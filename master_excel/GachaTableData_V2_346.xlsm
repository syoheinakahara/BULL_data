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activeTab="5"/>
  </bookViews>
  <sheets>
    <sheet name="確率の考え方" sheetId="110" r:id="rId1"/>
    <sheet name="Sheet1" sheetId="107" r:id="rId2"/>
    <sheet name="output" sheetId="103" r:id="rId3"/>
    <sheet name="input_346100" sheetId="106" r:id="rId4"/>
    <sheet name="tables_346100" sheetId="82" r:id="rId5"/>
    <sheet name="tables_settle_346100" sheetId="118" r:id="rId6"/>
    <sheet name="input_346100_使用しない" sheetId="116" r:id="rId7"/>
    <sheet name="tables_346100_使用しない" sheetId="117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tables_346100!$A$1:$V$271</definedName>
    <definedName name="_xlnm._FilterDatabase" localSheetId="7" hidden="1">tables_346100_使用しない!$A$1:$V$280</definedName>
    <definedName name="_xlnm._FilterDatabase" localSheetId="5" hidden="1">tables_settle_346100!$A$1:$V$5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06" l="1"/>
  <c r="O4" i="106"/>
  <c r="N4" i="106"/>
  <c r="O5" i="106"/>
  <c r="O6" i="106"/>
  <c r="O7" i="106"/>
  <c r="O8" i="106"/>
  <c r="N3" i="106"/>
  <c r="N5" i="106"/>
  <c r="N6" i="106"/>
  <c r="B7" i="106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F6" i="106"/>
  <c r="E6" i="106"/>
  <c r="Q3" i="106"/>
  <c r="Q4" i="106"/>
  <c r="Q5" i="106"/>
  <c r="Q6" i="106"/>
  <c r="Q7" i="106"/>
  <c r="Q8" i="106"/>
  <c r="Q9" i="106"/>
  <c r="E22" i="106"/>
  <c r="F5" i="106"/>
  <c r="E5" i="106"/>
  <c r="E26" i="106"/>
  <c r="B26" i="106"/>
  <c r="E28" i="106"/>
  <c r="B28" i="106"/>
  <c r="E29" i="106"/>
  <c r="B29" i="106"/>
  <c r="E21" i="106"/>
  <c r="B21" i="106"/>
  <c r="V6" i="106"/>
  <c r="B23" i="106"/>
  <c r="B22" i="106"/>
  <c r="E19" i="106"/>
  <c r="B5" i="106"/>
  <c r="B19" i="106"/>
  <c r="E24" i="106"/>
  <c r="B24" i="106"/>
  <c r="B17" i="106"/>
  <c r="E18" i="106"/>
  <c r="B18" i="106"/>
  <c r="E20" i="106"/>
  <c r="B20" i="106"/>
  <c r="E25" i="106"/>
  <c r="B25" i="106"/>
  <c r="E27" i="106"/>
  <c r="B27" i="106"/>
  <c r="B32" i="106"/>
  <c r="O5" i="118"/>
  <c r="O4" i="118"/>
  <c r="O3" i="118"/>
  <c r="O2" i="118"/>
  <c r="P7" i="118"/>
  <c r="N7" i="118"/>
  <c r="M7" i="118"/>
  <c r="L7" i="118"/>
  <c r="K7" i="118"/>
  <c r="J7" i="118"/>
  <c r="I7" i="118"/>
  <c r="H7" i="118"/>
  <c r="F7" i="118"/>
  <c r="E7" i="118"/>
  <c r="D7" i="118"/>
  <c r="C7" i="118"/>
  <c r="P6" i="118"/>
  <c r="N6" i="118"/>
  <c r="M6" i="118"/>
  <c r="L6" i="118"/>
  <c r="K6" i="118"/>
  <c r="J6" i="118"/>
  <c r="I6" i="118"/>
  <c r="H6" i="118"/>
  <c r="F6" i="118"/>
  <c r="E6" i="118"/>
  <c r="D6" i="118"/>
  <c r="C6" i="118"/>
  <c r="C19" i="106"/>
  <c r="C20" i="106"/>
  <c r="C21" i="106"/>
  <c r="C22" i="106"/>
  <c r="C23" i="106"/>
  <c r="C24" i="106"/>
  <c r="C25" i="106"/>
  <c r="C26" i="106"/>
  <c r="C27" i="106"/>
  <c r="C28" i="106"/>
  <c r="C29" i="106"/>
  <c r="C30" i="106"/>
  <c r="C31" i="106"/>
  <c r="C32" i="106"/>
  <c r="D32" i="106"/>
  <c r="I2" i="117"/>
  <c r="D2" i="117"/>
  <c r="J2" i="117"/>
  <c r="E2" i="117"/>
  <c r="C2" i="117"/>
  <c r="I3" i="117"/>
  <c r="D3" i="117"/>
  <c r="J3" i="117"/>
  <c r="E3" i="117"/>
  <c r="C3" i="117"/>
  <c r="I4" i="117"/>
  <c r="D4" i="117"/>
  <c r="J4" i="117"/>
  <c r="E4" i="117"/>
  <c r="C4" i="117"/>
  <c r="I5" i="117"/>
  <c r="D5" i="117"/>
  <c r="J5" i="117"/>
  <c r="E5" i="117"/>
  <c r="C5" i="117"/>
  <c r="I6" i="117"/>
  <c r="D6" i="117"/>
  <c r="J6" i="117"/>
  <c r="E6" i="117"/>
  <c r="C6" i="117"/>
  <c r="I7" i="117"/>
  <c r="D7" i="117"/>
  <c r="J7" i="117"/>
  <c r="E7" i="117"/>
  <c r="C7" i="117"/>
  <c r="I8" i="117"/>
  <c r="D8" i="117"/>
  <c r="J8" i="117"/>
  <c r="E8" i="117"/>
  <c r="C8" i="117"/>
  <c r="I9" i="117"/>
  <c r="D9" i="117"/>
  <c r="J9" i="117"/>
  <c r="E9" i="117"/>
  <c r="C9" i="117"/>
  <c r="I10" i="117"/>
  <c r="D10" i="117"/>
  <c r="J10" i="117"/>
  <c r="E10" i="117"/>
  <c r="C10" i="117"/>
  <c r="I11" i="117"/>
  <c r="D11" i="117"/>
  <c r="J11" i="117"/>
  <c r="E11" i="117"/>
  <c r="C11" i="117"/>
  <c r="I12" i="117"/>
  <c r="D12" i="117"/>
  <c r="J12" i="117"/>
  <c r="E12" i="117"/>
  <c r="C12" i="117"/>
  <c r="I13" i="117"/>
  <c r="D13" i="117"/>
  <c r="J13" i="117"/>
  <c r="E13" i="117"/>
  <c r="C13" i="117"/>
  <c r="I14" i="117"/>
  <c r="D14" i="117"/>
  <c r="J14" i="117"/>
  <c r="E14" i="117"/>
  <c r="C14" i="117"/>
  <c r="I15" i="117"/>
  <c r="D15" i="117"/>
  <c r="J15" i="117"/>
  <c r="E15" i="117"/>
  <c r="C15" i="117"/>
  <c r="I16" i="117"/>
  <c r="D16" i="117"/>
  <c r="J16" i="117"/>
  <c r="E16" i="117"/>
  <c r="C16" i="117"/>
  <c r="I17" i="117"/>
  <c r="D17" i="117"/>
  <c r="J17" i="117"/>
  <c r="E17" i="117"/>
  <c r="C17" i="117"/>
  <c r="I18" i="117"/>
  <c r="D18" i="117"/>
  <c r="J18" i="117"/>
  <c r="E18" i="117"/>
  <c r="C18" i="117"/>
  <c r="I19" i="117"/>
  <c r="D19" i="117"/>
  <c r="J19" i="117"/>
  <c r="E19" i="117"/>
  <c r="C19" i="117"/>
  <c r="I20" i="117"/>
  <c r="D20" i="117"/>
  <c r="J20" i="117"/>
  <c r="E20" i="117"/>
  <c r="C20" i="117"/>
  <c r="I21" i="117"/>
  <c r="D21" i="117"/>
  <c r="J21" i="117"/>
  <c r="E21" i="117"/>
  <c r="C21" i="117"/>
  <c r="I22" i="117"/>
  <c r="D22" i="117"/>
  <c r="J22" i="117"/>
  <c r="E22" i="117"/>
  <c r="C22" i="117"/>
  <c r="I23" i="117"/>
  <c r="D23" i="117"/>
  <c r="J23" i="117"/>
  <c r="E23" i="117"/>
  <c r="C23" i="117"/>
  <c r="I24" i="117"/>
  <c r="D24" i="117"/>
  <c r="J24" i="117"/>
  <c r="E24" i="117"/>
  <c r="C24" i="117"/>
  <c r="I25" i="117"/>
  <c r="D25" i="117"/>
  <c r="J25" i="117"/>
  <c r="E25" i="117"/>
  <c r="C25" i="117"/>
  <c r="I26" i="117"/>
  <c r="D26" i="117"/>
  <c r="J26" i="117"/>
  <c r="E26" i="117"/>
  <c r="C26" i="117"/>
  <c r="I27" i="117"/>
  <c r="D27" i="117"/>
  <c r="J27" i="117"/>
  <c r="E27" i="117"/>
  <c r="C27" i="117"/>
  <c r="I28" i="117"/>
  <c r="D28" i="117"/>
  <c r="J28" i="117"/>
  <c r="E28" i="117"/>
  <c r="C28" i="117"/>
  <c r="I29" i="117"/>
  <c r="D29" i="117"/>
  <c r="J29" i="117"/>
  <c r="E29" i="117"/>
  <c r="C29" i="117"/>
  <c r="I30" i="117"/>
  <c r="D30" i="117"/>
  <c r="J30" i="117"/>
  <c r="E30" i="117"/>
  <c r="C30" i="117"/>
  <c r="I31" i="117"/>
  <c r="D31" i="117"/>
  <c r="J31" i="117"/>
  <c r="E31" i="117"/>
  <c r="C31" i="117"/>
  <c r="I32" i="117"/>
  <c r="D32" i="117"/>
  <c r="J32" i="117"/>
  <c r="E32" i="117"/>
  <c r="C32" i="117"/>
  <c r="I33" i="117"/>
  <c r="D33" i="117"/>
  <c r="J33" i="117"/>
  <c r="E33" i="117"/>
  <c r="C33" i="117"/>
  <c r="I34" i="117"/>
  <c r="D34" i="117"/>
  <c r="J34" i="117"/>
  <c r="E34" i="117"/>
  <c r="C34" i="117"/>
  <c r="I35" i="117"/>
  <c r="D35" i="117"/>
  <c r="J35" i="117"/>
  <c r="E35" i="117"/>
  <c r="C35" i="117"/>
  <c r="I36" i="117"/>
  <c r="D36" i="117"/>
  <c r="J36" i="117"/>
  <c r="E36" i="117"/>
  <c r="C36" i="117"/>
  <c r="I37" i="117"/>
  <c r="D37" i="117"/>
  <c r="J37" i="117"/>
  <c r="E37" i="117"/>
  <c r="C37" i="117"/>
  <c r="I38" i="117"/>
  <c r="D38" i="117"/>
  <c r="J38" i="117"/>
  <c r="E38" i="117"/>
  <c r="C38" i="117"/>
  <c r="I39" i="117"/>
  <c r="D39" i="117"/>
  <c r="J39" i="117"/>
  <c r="E39" i="117"/>
  <c r="C39" i="117"/>
  <c r="I40" i="117"/>
  <c r="D40" i="117"/>
  <c r="J40" i="117"/>
  <c r="E40" i="117"/>
  <c r="C40" i="117"/>
  <c r="I41" i="117"/>
  <c r="D41" i="117"/>
  <c r="J41" i="117"/>
  <c r="E41" i="117"/>
  <c r="C41" i="117"/>
  <c r="I42" i="117"/>
  <c r="D42" i="117"/>
  <c r="J42" i="117"/>
  <c r="E42" i="117"/>
  <c r="C42" i="117"/>
  <c r="I43" i="117"/>
  <c r="D43" i="117"/>
  <c r="J43" i="117"/>
  <c r="E43" i="117"/>
  <c r="C43" i="117"/>
  <c r="I44" i="117"/>
  <c r="D44" i="117"/>
  <c r="J44" i="117"/>
  <c r="E44" i="117"/>
  <c r="C44" i="117"/>
  <c r="I45" i="117"/>
  <c r="D45" i="117"/>
  <c r="J45" i="117"/>
  <c r="E45" i="117"/>
  <c r="C45" i="117"/>
  <c r="I46" i="117"/>
  <c r="D46" i="117"/>
  <c r="J46" i="117"/>
  <c r="E46" i="117"/>
  <c r="C46" i="117"/>
  <c r="I47" i="117"/>
  <c r="D47" i="117"/>
  <c r="J47" i="117"/>
  <c r="E47" i="117"/>
  <c r="C47" i="117"/>
  <c r="I48" i="117"/>
  <c r="D48" i="117"/>
  <c r="J48" i="117"/>
  <c r="E48" i="117"/>
  <c r="C48" i="117"/>
  <c r="I49" i="117"/>
  <c r="D49" i="117"/>
  <c r="J49" i="117"/>
  <c r="E49" i="117"/>
  <c r="C49" i="117"/>
  <c r="I50" i="117"/>
  <c r="D50" i="117"/>
  <c r="J50" i="117"/>
  <c r="E50" i="117"/>
  <c r="C50" i="117"/>
  <c r="I51" i="117"/>
  <c r="D51" i="117"/>
  <c r="J51" i="117"/>
  <c r="E51" i="117"/>
  <c r="C51" i="117"/>
  <c r="I52" i="117"/>
  <c r="D52" i="117"/>
  <c r="J52" i="117"/>
  <c r="E52" i="117"/>
  <c r="C52" i="117"/>
  <c r="I53" i="117"/>
  <c r="D53" i="117"/>
  <c r="J53" i="117"/>
  <c r="E53" i="117"/>
  <c r="C53" i="117"/>
  <c r="I54" i="117"/>
  <c r="D54" i="117"/>
  <c r="J54" i="117"/>
  <c r="E54" i="117"/>
  <c r="C54" i="117"/>
  <c r="I55" i="117"/>
  <c r="D55" i="117"/>
  <c r="J55" i="117"/>
  <c r="E55" i="117"/>
  <c r="C55" i="117"/>
  <c r="I56" i="117"/>
  <c r="D56" i="117"/>
  <c r="J56" i="117"/>
  <c r="E56" i="117"/>
  <c r="C56" i="117"/>
  <c r="I57" i="117"/>
  <c r="D57" i="117"/>
  <c r="J57" i="117"/>
  <c r="E57" i="117"/>
  <c r="C57" i="117"/>
  <c r="I58" i="117"/>
  <c r="D58" i="117"/>
  <c r="J58" i="117"/>
  <c r="E58" i="117"/>
  <c r="C58" i="117"/>
  <c r="I59" i="117"/>
  <c r="D59" i="117"/>
  <c r="J59" i="117"/>
  <c r="E59" i="117"/>
  <c r="C59" i="117"/>
  <c r="I60" i="117"/>
  <c r="D60" i="117"/>
  <c r="J60" i="117"/>
  <c r="E60" i="117"/>
  <c r="C60" i="117"/>
  <c r="I61" i="117"/>
  <c r="D61" i="117"/>
  <c r="J61" i="117"/>
  <c r="E61" i="117"/>
  <c r="C61" i="117"/>
  <c r="I62" i="117"/>
  <c r="D62" i="117"/>
  <c r="J62" i="117"/>
  <c r="E62" i="117"/>
  <c r="C62" i="117"/>
  <c r="I63" i="117"/>
  <c r="D63" i="117"/>
  <c r="J63" i="117"/>
  <c r="E63" i="117"/>
  <c r="C63" i="117"/>
  <c r="I64" i="117"/>
  <c r="D64" i="117"/>
  <c r="J64" i="117"/>
  <c r="E64" i="117"/>
  <c r="C64" i="117"/>
  <c r="I65" i="117"/>
  <c r="D65" i="117"/>
  <c r="J65" i="117"/>
  <c r="E65" i="117"/>
  <c r="C65" i="117"/>
  <c r="I66" i="117"/>
  <c r="D66" i="117"/>
  <c r="J66" i="117"/>
  <c r="E66" i="117"/>
  <c r="C66" i="117"/>
  <c r="I67" i="117"/>
  <c r="D67" i="117"/>
  <c r="J67" i="117"/>
  <c r="E67" i="117"/>
  <c r="C67" i="117"/>
  <c r="I68" i="117"/>
  <c r="D68" i="117"/>
  <c r="J68" i="117"/>
  <c r="E68" i="117"/>
  <c r="C68" i="117"/>
  <c r="I69" i="117"/>
  <c r="D69" i="117"/>
  <c r="J69" i="117"/>
  <c r="E69" i="117"/>
  <c r="C69" i="117"/>
  <c r="I70" i="117"/>
  <c r="D70" i="117"/>
  <c r="J70" i="117"/>
  <c r="E70" i="117"/>
  <c r="C70" i="117"/>
  <c r="I71" i="117"/>
  <c r="D71" i="117"/>
  <c r="J71" i="117"/>
  <c r="E71" i="117"/>
  <c r="C71" i="117"/>
  <c r="I72" i="117"/>
  <c r="D72" i="117"/>
  <c r="J72" i="117"/>
  <c r="E72" i="117"/>
  <c r="C72" i="117"/>
  <c r="I73" i="117"/>
  <c r="D73" i="117"/>
  <c r="J73" i="117"/>
  <c r="E73" i="117"/>
  <c r="C73" i="117"/>
  <c r="I74" i="117"/>
  <c r="D74" i="117"/>
  <c r="J74" i="117"/>
  <c r="E74" i="117"/>
  <c r="C74" i="117"/>
  <c r="I75" i="117"/>
  <c r="D75" i="117"/>
  <c r="J75" i="117"/>
  <c r="E75" i="117"/>
  <c r="C75" i="117"/>
  <c r="I76" i="117"/>
  <c r="D76" i="117"/>
  <c r="J76" i="117"/>
  <c r="E76" i="117"/>
  <c r="C76" i="117"/>
  <c r="I77" i="117"/>
  <c r="D77" i="117"/>
  <c r="J77" i="117"/>
  <c r="E77" i="117"/>
  <c r="C77" i="117"/>
  <c r="I78" i="117"/>
  <c r="D78" i="117"/>
  <c r="J78" i="117"/>
  <c r="E78" i="117"/>
  <c r="C78" i="117"/>
  <c r="I79" i="117"/>
  <c r="D79" i="117"/>
  <c r="J79" i="117"/>
  <c r="E79" i="117"/>
  <c r="C79" i="117"/>
  <c r="I80" i="117"/>
  <c r="D80" i="117"/>
  <c r="J80" i="117"/>
  <c r="E80" i="117"/>
  <c r="C80" i="117"/>
  <c r="I81" i="117"/>
  <c r="D81" i="117"/>
  <c r="J81" i="117"/>
  <c r="E81" i="117"/>
  <c r="C81" i="117"/>
  <c r="I82" i="117"/>
  <c r="D82" i="117"/>
  <c r="J82" i="117"/>
  <c r="E82" i="117"/>
  <c r="C82" i="117"/>
  <c r="I83" i="117"/>
  <c r="D83" i="117"/>
  <c r="J83" i="117"/>
  <c r="E83" i="117"/>
  <c r="C83" i="117"/>
  <c r="I84" i="117"/>
  <c r="D84" i="117"/>
  <c r="J84" i="117"/>
  <c r="E84" i="117"/>
  <c r="C84" i="117"/>
  <c r="I85" i="117"/>
  <c r="D85" i="117"/>
  <c r="J85" i="117"/>
  <c r="E85" i="117"/>
  <c r="C85" i="117"/>
  <c r="I86" i="117"/>
  <c r="D86" i="117"/>
  <c r="J86" i="117"/>
  <c r="E86" i="117"/>
  <c r="C86" i="117"/>
  <c r="I87" i="117"/>
  <c r="D87" i="117"/>
  <c r="J87" i="117"/>
  <c r="E87" i="117"/>
  <c r="C87" i="117"/>
  <c r="I88" i="117"/>
  <c r="D88" i="117"/>
  <c r="J88" i="117"/>
  <c r="E88" i="117"/>
  <c r="C88" i="117"/>
  <c r="I89" i="117"/>
  <c r="D89" i="117"/>
  <c r="J89" i="117"/>
  <c r="E89" i="117"/>
  <c r="C89" i="117"/>
  <c r="I90" i="117"/>
  <c r="D90" i="117"/>
  <c r="J90" i="117"/>
  <c r="E90" i="117"/>
  <c r="C90" i="117"/>
  <c r="I91" i="117"/>
  <c r="D91" i="117"/>
  <c r="J91" i="117"/>
  <c r="E91" i="117"/>
  <c r="C91" i="117"/>
  <c r="I92" i="117"/>
  <c r="D92" i="117"/>
  <c r="J92" i="117"/>
  <c r="E92" i="117"/>
  <c r="C92" i="117"/>
  <c r="I93" i="117"/>
  <c r="D93" i="117"/>
  <c r="J93" i="117"/>
  <c r="E93" i="117"/>
  <c r="C93" i="117"/>
  <c r="I94" i="117"/>
  <c r="D94" i="117"/>
  <c r="J94" i="117"/>
  <c r="E94" i="117"/>
  <c r="C94" i="117"/>
  <c r="I95" i="117"/>
  <c r="D95" i="117"/>
  <c r="J95" i="117"/>
  <c r="E95" i="117"/>
  <c r="C95" i="117"/>
  <c r="I96" i="117"/>
  <c r="D96" i="117"/>
  <c r="J96" i="117"/>
  <c r="E96" i="117"/>
  <c r="C96" i="117"/>
  <c r="I97" i="117"/>
  <c r="D97" i="117"/>
  <c r="J97" i="117"/>
  <c r="E97" i="117"/>
  <c r="C97" i="117"/>
  <c r="I98" i="117"/>
  <c r="D98" i="117"/>
  <c r="J98" i="117"/>
  <c r="E98" i="117"/>
  <c r="C98" i="117"/>
  <c r="I99" i="117"/>
  <c r="D99" i="117"/>
  <c r="J99" i="117"/>
  <c r="E99" i="117"/>
  <c r="C99" i="117"/>
  <c r="I100" i="117"/>
  <c r="D100" i="117"/>
  <c r="J100" i="117"/>
  <c r="E100" i="117"/>
  <c r="C100" i="117"/>
  <c r="I101" i="117"/>
  <c r="D101" i="117"/>
  <c r="J101" i="117"/>
  <c r="E101" i="117"/>
  <c r="C101" i="117"/>
  <c r="I102" i="117"/>
  <c r="D102" i="117"/>
  <c r="J102" i="117"/>
  <c r="E102" i="117"/>
  <c r="C102" i="117"/>
  <c r="I103" i="117"/>
  <c r="D103" i="117"/>
  <c r="J103" i="117"/>
  <c r="E103" i="117"/>
  <c r="C103" i="117"/>
  <c r="I104" i="117"/>
  <c r="D104" i="117"/>
  <c r="J104" i="117"/>
  <c r="E104" i="117"/>
  <c r="C104" i="117"/>
  <c r="I105" i="117"/>
  <c r="D105" i="117"/>
  <c r="J105" i="117"/>
  <c r="E105" i="117"/>
  <c r="C105" i="117"/>
  <c r="I106" i="117"/>
  <c r="D106" i="117"/>
  <c r="J106" i="117"/>
  <c r="E106" i="117"/>
  <c r="C106" i="117"/>
  <c r="I107" i="117"/>
  <c r="D107" i="117"/>
  <c r="J107" i="117"/>
  <c r="E107" i="117"/>
  <c r="C107" i="117"/>
  <c r="I108" i="117"/>
  <c r="D108" i="117"/>
  <c r="J108" i="117"/>
  <c r="E108" i="117"/>
  <c r="C108" i="117"/>
  <c r="I109" i="117"/>
  <c r="D109" i="117"/>
  <c r="J109" i="117"/>
  <c r="E109" i="117"/>
  <c r="C109" i="117"/>
  <c r="I110" i="117"/>
  <c r="D110" i="117"/>
  <c r="J110" i="117"/>
  <c r="E110" i="117"/>
  <c r="C110" i="117"/>
  <c r="I111" i="117"/>
  <c r="D111" i="117"/>
  <c r="J111" i="117"/>
  <c r="E111" i="117"/>
  <c r="C111" i="117"/>
  <c r="I112" i="117"/>
  <c r="D112" i="117"/>
  <c r="J112" i="117"/>
  <c r="E112" i="117"/>
  <c r="C112" i="117"/>
  <c r="I113" i="117"/>
  <c r="D113" i="117"/>
  <c r="J113" i="117"/>
  <c r="E113" i="117"/>
  <c r="C113" i="117"/>
  <c r="I114" i="117"/>
  <c r="D114" i="117"/>
  <c r="J114" i="117"/>
  <c r="E114" i="117"/>
  <c r="C114" i="117"/>
  <c r="I115" i="117"/>
  <c r="D115" i="117"/>
  <c r="J115" i="117"/>
  <c r="E115" i="117"/>
  <c r="C115" i="117"/>
  <c r="I116" i="117"/>
  <c r="D116" i="117"/>
  <c r="J116" i="117"/>
  <c r="E116" i="117"/>
  <c r="C116" i="117"/>
  <c r="I117" i="117"/>
  <c r="D117" i="117"/>
  <c r="J117" i="117"/>
  <c r="E117" i="117"/>
  <c r="C117" i="117"/>
  <c r="I118" i="117"/>
  <c r="D118" i="117"/>
  <c r="J118" i="117"/>
  <c r="E118" i="117"/>
  <c r="C118" i="117"/>
  <c r="I119" i="117"/>
  <c r="D119" i="117"/>
  <c r="J119" i="117"/>
  <c r="E119" i="117"/>
  <c r="C119" i="117"/>
  <c r="I120" i="117"/>
  <c r="D120" i="117"/>
  <c r="J120" i="117"/>
  <c r="E120" i="117"/>
  <c r="C120" i="117"/>
  <c r="I121" i="117"/>
  <c r="D121" i="117"/>
  <c r="J121" i="117"/>
  <c r="E121" i="117"/>
  <c r="C121" i="117"/>
  <c r="I122" i="117"/>
  <c r="D122" i="117"/>
  <c r="J122" i="117"/>
  <c r="E122" i="117"/>
  <c r="C122" i="117"/>
  <c r="I123" i="117"/>
  <c r="D123" i="117"/>
  <c r="J123" i="117"/>
  <c r="E123" i="117"/>
  <c r="C123" i="117"/>
  <c r="I124" i="117"/>
  <c r="D124" i="117"/>
  <c r="J124" i="117"/>
  <c r="E124" i="117"/>
  <c r="C124" i="117"/>
  <c r="I125" i="117"/>
  <c r="D125" i="117"/>
  <c r="J125" i="117"/>
  <c r="E125" i="117"/>
  <c r="C125" i="117"/>
  <c r="I126" i="117"/>
  <c r="D126" i="117"/>
  <c r="J126" i="117"/>
  <c r="E126" i="117"/>
  <c r="C126" i="117"/>
  <c r="I127" i="117"/>
  <c r="D127" i="117"/>
  <c r="J127" i="117"/>
  <c r="E127" i="117"/>
  <c r="C127" i="117"/>
  <c r="I128" i="117"/>
  <c r="D128" i="117"/>
  <c r="J128" i="117"/>
  <c r="E128" i="117"/>
  <c r="C128" i="117"/>
  <c r="I129" i="117"/>
  <c r="D129" i="117"/>
  <c r="J129" i="117"/>
  <c r="E129" i="117"/>
  <c r="C129" i="117"/>
  <c r="I130" i="117"/>
  <c r="D130" i="117"/>
  <c r="J130" i="117"/>
  <c r="E130" i="117"/>
  <c r="C130" i="117"/>
  <c r="I131" i="117"/>
  <c r="D131" i="117"/>
  <c r="J131" i="117"/>
  <c r="E131" i="117"/>
  <c r="C131" i="117"/>
  <c r="I132" i="117"/>
  <c r="D132" i="117"/>
  <c r="J132" i="117"/>
  <c r="E132" i="117"/>
  <c r="C132" i="117"/>
  <c r="I133" i="117"/>
  <c r="D133" i="117"/>
  <c r="J133" i="117"/>
  <c r="E133" i="117"/>
  <c r="C133" i="117"/>
  <c r="I134" i="117"/>
  <c r="D134" i="117"/>
  <c r="J134" i="117"/>
  <c r="E134" i="117"/>
  <c r="C134" i="117"/>
  <c r="I135" i="117"/>
  <c r="D135" i="117"/>
  <c r="J135" i="117"/>
  <c r="E135" i="117"/>
  <c r="C135" i="117"/>
  <c r="I136" i="117"/>
  <c r="D136" i="117"/>
  <c r="J136" i="117"/>
  <c r="E136" i="117"/>
  <c r="C136" i="117"/>
  <c r="I137" i="117"/>
  <c r="D137" i="117"/>
  <c r="J137" i="117"/>
  <c r="E137" i="117"/>
  <c r="C137" i="117"/>
  <c r="I138" i="117"/>
  <c r="D138" i="117"/>
  <c r="J138" i="117"/>
  <c r="E138" i="117"/>
  <c r="C138" i="117"/>
  <c r="I139" i="117"/>
  <c r="D139" i="117"/>
  <c r="J139" i="117"/>
  <c r="E139" i="117"/>
  <c r="C139" i="117"/>
  <c r="I140" i="117"/>
  <c r="D140" i="117"/>
  <c r="J140" i="117"/>
  <c r="E140" i="117"/>
  <c r="C140" i="117"/>
  <c r="I141" i="117"/>
  <c r="D141" i="117"/>
  <c r="J141" i="117"/>
  <c r="E141" i="117"/>
  <c r="C141" i="117"/>
  <c r="I142" i="117"/>
  <c r="D142" i="117"/>
  <c r="J142" i="117"/>
  <c r="E142" i="117"/>
  <c r="C142" i="117"/>
  <c r="I143" i="117"/>
  <c r="D143" i="117"/>
  <c r="J143" i="117"/>
  <c r="E143" i="117"/>
  <c r="C143" i="117"/>
  <c r="I144" i="117"/>
  <c r="D144" i="117"/>
  <c r="J144" i="117"/>
  <c r="E144" i="117"/>
  <c r="C144" i="117"/>
  <c r="I145" i="117"/>
  <c r="D145" i="117"/>
  <c r="J145" i="117"/>
  <c r="E145" i="117"/>
  <c r="C145" i="117"/>
  <c r="I146" i="117"/>
  <c r="D146" i="117"/>
  <c r="J146" i="117"/>
  <c r="E146" i="117"/>
  <c r="C146" i="117"/>
  <c r="I147" i="117"/>
  <c r="D147" i="117"/>
  <c r="J147" i="117"/>
  <c r="E147" i="117"/>
  <c r="C147" i="117"/>
  <c r="I148" i="117"/>
  <c r="D148" i="117"/>
  <c r="J148" i="117"/>
  <c r="E148" i="117"/>
  <c r="C148" i="117"/>
  <c r="I149" i="117"/>
  <c r="D149" i="117"/>
  <c r="J149" i="117"/>
  <c r="E149" i="117"/>
  <c r="C149" i="117"/>
  <c r="I150" i="117"/>
  <c r="D150" i="117"/>
  <c r="J150" i="117"/>
  <c r="E150" i="117"/>
  <c r="C150" i="117"/>
  <c r="I151" i="117"/>
  <c r="D151" i="117"/>
  <c r="J151" i="117"/>
  <c r="E151" i="117"/>
  <c r="C151" i="117"/>
  <c r="I152" i="117"/>
  <c r="D152" i="117"/>
  <c r="J152" i="117"/>
  <c r="E152" i="117"/>
  <c r="C152" i="117"/>
  <c r="I153" i="117"/>
  <c r="D153" i="117"/>
  <c r="J153" i="117"/>
  <c r="E153" i="117"/>
  <c r="C153" i="117"/>
  <c r="I154" i="117"/>
  <c r="D154" i="117"/>
  <c r="J154" i="117"/>
  <c r="E154" i="117"/>
  <c r="C154" i="117"/>
  <c r="I155" i="117"/>
  <c r="D155" i="117"/>
  <c r="J155" i="117"/>
  <c r="E155" i="117"/>
  <c r="C155" i="117"/>
  <c r="I156" i="117"/>
  <c r="D156" i="117"/>
  <c r="J156" i="117"/>
  <c r="E156" i="117"/>
  <c r="C156" i="117"/>
  <c r="I157" i="117"/>
  <c r="D157" i="117"/>
  <c r="J157" i="117"/>
  <c r="E157" i="117"/>
  <c r="C157" i="117"/>
  <c r="I158" i="117"/>
  <c r="D158" i="117"/>
  <c r="J158" i="117"/>
  <c r="E158" i="117"/>
  <c r="C158" i="117"/>
  <c r="I159" i="117"/>
  <c r="D159" i="117"/>
  <c r="J159" i="117"/>
  <c r="E159" i="117"/>
  <c r="C159" i="117"/>
  <c r="I160" i="117"/>
  <c r="D160" i="117"/>
  <c r="J160" i="117"/>
  <c r="E160" i="117"/>
  <c r="C160" i="117"/>
  <c r="I161" i="117"/>
  <c r="D161" i="117"/>
  <c r="J161" i="117"/>
  <c r="E161" i="117"/>
  <c r="C161" i="117"/>
  <c r="I162" i="117"/>
  <c r="D162" i="117"/>
  <c r="J162" i="117"/>
  <c r="E162" i="117"/>
  <c r="C162" i="117"/>
  <c r="I163" i="117"/>
  <c r="D163" i="117"/>
  <c r="J163" i="117"/>
  <c r="E163" i="117"/>
  <c r="C163" i="117"/>
  <c r="I164" i="117"/>
  <c r="D164" i="117"/>
  <c r="J164" i="117"/>
  <c r="E164" i="117"/>
  <c r="C164" i="117"/>
  <c r="I165" i="117"/>
  <c r="D165" i="117"/>
  <c r="J165" i="117"/>
  <c r="E165" i="117"/>
  <c r="C165" i="117"/>
  <c r="I166" i="117"/>
  <c r="D166" i="117"/>
  <c r="J166" i="117"/>
  <c r="E166" i="117"/>
  <c r="C166" i="117"/>
  <c r="I167" i="117"/>
  <c r="D167" i="117"/>
  <c r="J167" i="117"/>
  <c r="E167" i="117"/>
  <c r="C167" i="117"/>
  <c r="I168" i="117"/>
  <c r="D168" i="117"/>
  <c r="J168" i="117"/>
  <c r="E168" i="117"/>
  <c r="C168" i="117"/>
  <c r="I169" i="117"/>
  <c r="D169" i="117"/>
  <c r="J169" i="117"/>
  <c r="E169" i="117"/>
  <c r="C169" i="117"/>
  <c r="I170" i="117"/>
  <c r="D170" i="117"/>
  <c r="J170" i="117"/>
  <c r="E170" i="117"/>
  <c r="C170" i="117"/>
  <c r="I171" i="117"/>
  <c r="D171" i="117"/>
  <c r="J171" i="117"/>
  <c r="E171" i="117"/>
  <c r="C171" i="117"/>
  <c r="I172" i="117"/>
  <c r="D172" i="117"/>
  <c r="J172" i="117"/>
  <c r="E172" i="117"/>
  <c r="C172" i="117"/>
  <c r="I173" i="117"/>
  <c r="D173" i="117"/>
  <c r="J173" i="117"/>
  <c r="E173" i="117"/>
  <c r="C173" i="117"/>
  <c r="I174" i="117"/>
  <c r="D174" i="117"/>
  <c r="J174" i="117"/>
  <c r="E174" i="117"/>
  <c r="C174" i="117"/>
  <c r="I175" i="117"/>
  <c r="D175" i="117"/>
  <c r="J175" i="117"/>
  <c r="E175" i="117"/>
  <c r="C175" i="117"/>
  <c r="I176" i="117"/>
  <c r="D176" i="117"/>
  <c r="J176" i="117"/>
  <c r="E176" i="117"/>
  <c r="C176" i="117"/>
  <c r="I177" i="117"/>
  <c r="D177" i="117"/>
  <c r="J177" i="117"/>
  <c r="E177" i="117"/>
  <c r="C177" i="117"/>
  <c r="I178" i="117"/>
  <c r="D178" i="117"/>
  <c r="J178" i="117"/>
  <c r="E178" i="117"/>
  <c r="C178" i="117"/>
  <c r="I179" i="117"/>
  <c r="D179" i="117"/>
  <c r="J179" i="117"/>
  <c r="E179" i="117"/>
  <c r="C179" i="117"/>
  <c r="I180" i="117"/>
  <c r="D180" i="117"/>
  <c r="J180" i="117"/>
  <c r="E180" i="117"/>
  <c r="C180" i="117"/>
  <c r="I181" i="117"/>
  <c r="D181" i="117"/>
  <c r="J181" i="117"/>
  <c r="E181" i="117"/>
  <c r="C181" i="117"/>
  <c r="I182" i="117"/>
  <c r="D182" i="117"/>
  <c r="J182" i="117"/>
  <c r="E182" i="117"/>
  <c r="C182" i="117"/>
  <c r="I183" i="117"/>
  <c r="D183" i="117"/>
  <c r="J183" i="117"/>
  <c r="E183" i="117"/>
  <c r="C183" i="117"/>
  <c r="I184" i="117"/>
  <c r="D184" i="117"/>
  <c r="J184" i="117"/>
  <c r="E184" i="117"/>
  <c r="C184" i="117"/>
  <c r="I185" i="117"/>
  <c r="D185" i="117"/>
  <c r="J185" i="117"/>
  <c r="E185" i="117"/>
  <c r="C185" i="117"/>
  <c r="I186" i="117"/>
  <c r="D186" i="117"/>
  <c r="J186" i="117"/>
  <c r="E186" i="117"/>
  <c r="C186" i="117"/>
  <c r="I187" i="117"/>
  <c r="D187" i="117"/>
  <c r="J187" i="117"/>
  <c r="E187" i="117"/>
  <c r="C187" i="117"/>
  <c r="I188" i="117"/>
  <c r="D188" i="117"/>
  <c r="J188" i="117"/>
  <c r="E188" i="117"/>
  <c r="C188" i="117"/>
  <c r="I189" i="117"/>
  <c r="D189" i="117"/>
  <c r="J189" i="117"/>
  <c r="E189" i="117"/>
  <c r="C189" i="117"/>
  <c r="I190" i="117"/>
  <c r="D190" i="117"/>
  <c r="J190" i="117"/>
  <c r="E190" i="117"/>
  <c r="C190" i="117"/>
  <c r="I191" i="117"/>
  <c r="D191" i="117"/>
  <c r="J191" i="117"/>
  <c r="E191" i="117"/>
  <c r="C191" i="117"/>
  <c r="I192" i="117"/>
  <c r="D192" i="117"/>
  <c r="J192" i="117"/>
  <c r="E192" i="117"/>
  <c r="C192" i="117"/>
  <c r="I193" i="117"/>
  <c r="D193" i="117"/>
  <c r="J193" i="117"/>
  <c r="E193" i="117"/>
  <c r="C193" i="117"/>
  <c r="I194" i="117"/>
  <c r="D194" i="117"/>
  <c r="J194" i="117"/>
  <c r="E194" i="117"/>
  <c r="C194" i="117"/>
  <c r="I195" i="117"/>
  <c r="D195" i="117"/>
  <c r="J195" i="117"/>
  <c r="E195" i="117"/>
  <c r="C195" i="117"/>
  <c r="I196" i="117"/>
  <c r="D196" i="117"/>
  <c r="J196" i="117"/>
  <c r="E196" i="117"/>
  <c r="C196" i="117"/>
  <c r="I197" i="117"/>
  <c r="D197" i="117"/>
  <c r="J197" i="117"/>
  <c r="E197" i="117"/>
  <c r="C197" i="117"/>
  <c r="I198" i="117"/>
  <c r="D198" i="117"/>
  <c r="J198" i="117"/>
  <c r="E198" i="117"/>
  <c r="C198" i="117"/>
  <c r="I199" i="117"/>
  <c r="D199" i="117"/>
  <c r="J199" i="117"/>
  <c r="E199" i="117"/>
  <c r="C199" i="117"/>
  <c r="I200" i="117"/>
  <c r="D200" i="117"/>
  <c r="J200" i="117"/>
  <c r="E200" i="117"/>
  <c r="C200" i="117"/>
  <c r="I201" i="117"/>
  <c r="D201" i="117"/>
  <c r="J201" i="117"/>
  <c r="E201" i="117"/>
  <c r="C201" i="117"/>
  <c r="I202" i="117"/>
  <c r="D202" i="117"/>
  <c r="J202" i="117"/>
  <c r="E202" i="117"/>
  <c r="C202" i="117"/>
  <c r="I203" i="117"/>
  <c r="D203" i="117"/>
  <c r="J203" i="117"/>
  <c r="E203" i="117"/>
  <c r="C203" i="117"/>
  <c r="I204" i="117"/>
  <c r="D204" i="117"/>
  <c r="J204" i="117"/>
  <c r="E204" i="117"/>
  <c r="C204" i="117"/>
  <c r="I205" i="117"/>
  <c r="D205" i="117"/>
  <c r="J205" i="117"/>
  <c r="E205" i="117"/>
  <c r="C205" i="117"/>
  <c r="I206" i="117"/>
  <c r="D206" i="117"/>
  <c r="J206" i="117"/>
  <c r="E206" i="117"/>
  <c r="C206" i="117"/>
  <c r="I207" i="117"/>
  <c r="D207" i="117"/>
  <c r="J207" i="117"/>
  <c r="E207" i="117"/>
  <c r="C207" i="117"/>
  <c r="I208" i="117"/>
  <c r="D208" i="117"/>
  <c r="J208" i="117"/>
  <c r="E208" i="117"/>
  <c r="C208" i="117"/>
  <c r="I209" i="117"/>
  <c r="D209" i="117"/>
  <c r="J209" i="117"/>
  <c r="E209" i="117"/>
  <c r="C209" i="117"/>
  <c r="I210" i="117"/>
  <c r="D210" i="117"/>
  <c r="J210" i="117"/>
  <c r="E210" i="117"/>
  <c r="C210" i="117"/>
  <c r="I211" i="117"/>
  <c r="D211" i="117"/>
  <c r="J211" i="117"/>
  <c r="E211" i="117"/>
  <c r="C211" i="117"/>
  <c r="I212" i="117"/>
  <c r="D212" i="117"/>
  <c r="J212" i="117"/>
  <c r="E212" i="117"/>
  <c r="C212" i="117"/>
  <c r="I213" i="117"/>
  <c r="D213" i="117"/>
  <c r="J213" i="117"/>
  <c r="E213" i="117"/>
  <c r="C213" i="117"/>
  <c r="I214" i="117"/>
  <c r="D214" i="117"/>
  <c r="J214" i="117"/>
  <c r="E214" i="117"/>
  <c r="C214" i="117"/>
  <c r="I215" i="117"/>
  <c r="D215" i="117"/>
  <c r="J215" i="117"/>
  <c r="E215" i="117"/>
  <c r="C215" i="117"/>
  <c r="I216" i="117"/>
  <c r="D216" i="117"/>
  <c r="J216" i="117"/>
  <c r="E216" i="117"/>
  <c r="C216" i="117"/>
  <c r="I217" i="117"/>
  <c r="D217" i="117"/>
  <c r="J217" i="117"/>
  <c r="E217" i="117"/>
  <c r="C217" i="117"/>
  <c r="I218" i="117"/>
  <c r="D218" i="117"/>
  <c r="J218" i="117"/>
  <c r="E218" i="117"/>
  <c r="C218" i="117"/>
  <c r="I219" i="117"/>
  <c r="D219" i="117"/>
  <c r="J219" i="117"/>
  <c r="E219" i="117"/>
  <c r="C219" i="117"/>
  <c r="I220" i="117"/>
  <c r="D220" i="117"/>
  <c r="J220" i="117"/>
  <c r="E220" i="117"/>
  <c r="C220" i="117"/>
  <c r="I221" i="117"/>
  <c r="D221" i="117"/>
  <c r="J221" i="117"/>
  <c r="E221" i="117"/>
  <c r="C221" i="117"/>
  <c r="I222" i="117"/>
  <c r="D222" i="117"/>
  <c r="J222" i="117"/>
  <c r="E222" i="117"/>
  <c r="C222" i="117"/>
  <c r="I223" i="117"/>
  <c r="D223" i="117"/>
  <c r="J223" i="117"/>
  <c r="E223" i="117"/>
  <c r="C223" i="117"/>
  <c r="I224" i="117"/>
  <c r="D224" i="117"/>
  <c r="J224" i="117"/>
  <c r="E224" i="117"/>
  <c r="C224" i="117"/>
  <c r="I225" i="117"/>
  <c r="D225" i="117"/>
  <c r="J225" i="117"/>
  <c r="E225" i="117"/>
  <c r="C225" i="117"/>
  <c r="I226" i="117"/>
  <c r="D226" i="117"/>
  <c r="J226" i="117"/>
  <c r="E226" i="117"/>
  <c r="C226" i="117"/>
  <c r="I227" i="117"/>
  <c r="D227" i="117"/>
  <c r="J227" i="117"/>
  <c r="E227" i="117"/>
  <c r="C227" i="117"/>
  <c r="I228" i="117"/>
  <c r="D228" i="117"/>
  <c r="J228" i="117"/>
  <c r="E228" i="117"/>
  <c r="C228" i="117"/>
  <c r="I229" i="117"/>
  <c r="D229" i="117"/>
  <c r="J229" i="117"/>
  <c r="E229" i="117"/>
  <c r="C229" i="117"/>
  <c r="I230" i="117"/>
  <c r="D230" i="117"/>
  <c r="J230" i="117"/>
  <c r="E230" i="117"/>
  <c r="C230" i="117"/>
  <c r="I231" i="117"/>
  <c r="D231" i="117"/>
  <c r="J231" i="117"/>
  <c r="E231" i="117"/>
  <c r="C231" i="117"/>
  <c r="I232" i="117"/>
  <c r="D232" i="117"/>
  <c r="J232" i="117"/>
  <c r="E232" i="117"/>
  <c r="C232" i="117"/>
  <c r="I233" i="117"/>
  <c r="D233" i="117"/>
  <c r="J233" i="117"/>
  <c r="E233" i="117"/>
  <c r="C233" i="117"/>
  <c r="I234" i="117"/>
  <c r="D234" i="117"/>
  <c r="J234" i="117"/>
  <c r="E234" i="117"/>
  <c r="C234" i="117"/>
  <c r="I235" i="117"/>
  <c r="D235" i="117"/>
  <c r="J235" i="117"/>
  <c r="E235" i="117"/>
  <c r="C235" i="117"/>
  <c r="I236" i="117"/>
  <c r="D236" i="117"/>
  <c r="J236" i="117"/>
  <c r="E236" i="117"/>
  <c r="C236" i="117"/>
  <c r="I237" i="117"/>
  <c r="D237" i="117"/>
  <c r="J237" i="117"/>
  <c r="E237" i="117"/>
  <c r="C237" i="117"/>
  <c r="I238" i="117"/>
  <c r="D238" i="117"/>
  <c r="J238" i="117"/>
  <c r="E238" i="117"/>
  <c r="C238" i="117"/>
  <c r="I239" i="117"/>
  <c r="D239" i="117"/>
  <c r="J239" i="117"/>
  <c r="E239" i="117"/>
  <c r="C239" i="117"/>
  <c r="I240" i="117"/>
  <c r="D240" i="117"/>
  <c r="J240" i="117"/>
  <c r="E240" i="117"/>
  <c r="C240" i="117"/>
  <c r="I241" i="117"/>
  <c r="D241" i="117"/>
  <c r="J241" i="117"/>
  <c r="E241" i="117"/>
  <c r="C241" i="117"/>
  <c r="I242" i="117"/>
  <c r="D242" i="117"/>
  <c r="J242" i="117"/>
  <c r="E242" i="117"/>
  <c r="C242" i="117"/>
  <c r="I243" i="117"/>
  <c r="D243" i="117"/>
  <c r="J243" i="117"/>
  <c r="E243" i="117"/>
  <c r="C243" i="117"/>
  <c r="I244" i="117"/>
  <c r="D244" i="117"/>
  <c r="J244" i="117"/>
  <c r="E244" i="117"/>
  <c r="C244" i="117"/>
  <c r="I245" i="117"/>
  <c r="D245" i="117"/>
  <c r="J245" i="117"/>
  <c r="E245" i="117"/>
  <c r="C245" i="117"/>
  <c r="I246" i="117"/>
  <c r="D246" i="117"/>
  <c r="J246" i="117"/>
  <c r="E246" i="117"/>
  <c r="C246" i="117"/>
  <c r="I247" i="117"/>
  <c r="D247" i="117"/>
  <c r="J247" i="117"/>
  <c r="E247" i="117"/>
  <c r="C247" i="117"/>
  <c r="I248" i="117"/>
  <c r="D248" i="117"/>
  <c r="J248" i="117"/>
  <c r="E248" i="117"/>
  <c r="C248" i="117"/>
  <c r="I249" i="117"/>
  <c r="D249" i="117"/>
  <c r="J249" i="117"/>
  <c r="E249" i="117"/>
  <c r="C249" i="117"/>
  <c r="I250" i="117"/>
  <c r="D250" i="117"/>
  <c r="J250" i="117"/>
  <c r="E250" i="117"/>
  <c r="C250" i="117"/>
  <c r="I251" i="117"/>
  <c r="D251" i="117"/>
  <c r="J251" i="117"/>
  <c r="E251" i="117"/>
  <c r="C251" i="117"/>
  <c r="I252" i="117"/>
  <c r="D252" i="117"/>
  <c r="J252" i="117"/>
  <c r="E252" i="117"/>
  <c r="C252" i="117"/>
  <c r="I253" i="117"/>
  <c r="D253" i="117"/>
  <c r="J253" i="117"/>
  <c r="E253" i="117"/>
  <c r="C253" i="117"/>
  <c r="I254" i="117"/>
  <c r="D254" i="117"/>
  <c r="J254" i="117"/>
  <c r="E254" i="117"/>
  <c r="C254" i="117"/>
  <c r="I255" i="117"/>
  <c r="D255" i="117"/>
  <c r="J255" i="117"/>
  <c r="E255" i="117"/>
  <c r="C255" i="117"/>
  <c r="I256" i="117"/>
  <c r="D256" i="117"/>
  <c r="J256" i="117"/>
  <c r="E256" i="117"/>
  <c r="C256" i="117"/>
  <c r="I257" i="117"/>
  <c r="D257" i="117"/>
  <c r="J257" i="117"/>
  <c r="E257" i="117"/>
  <c r="C257" i="117"/>
  <c r="I258" i="117"/>
  <c r="D258" i="117"/>
  <c r="J258" i="117"/>
  <c r="E258" i="117"/>
  <c r="C258" i="117"/>
  <c r="I259" i="117"/>
  <c r="D259" i="117"/>
  <c r="J259" i="117"/>
  <c r="E259" i="117"/>
  <c r="C259" i="117"/>
  <c r="I260" i="117"/>
  <c r="D260" i="117"/>
  <c r="J260" i="117"/>
  <c r="E260" i="117"/>
  <c r="C260" i="117"/>
  <c r="I261" i="117"/>
  <c r="D261" i="117"/>
  <c r="J261" i="117"/>
  <c r="E261" i="117"/>
  <c r="C261" i="117"/>
  <c r="I262" i="117"/>
  <c r="D262" i="117"/>
  <c r="J262" i="117"/>
  <c r="E262" i="117"/>
  <c r="C262" i="117"/>
  <c r="I263" i="117"/>
  <c r="D263" i="117"/>
  <c r="J263" i="117"/>
  <c r="E263" i="117"/>
  <c r="C263" i="117"/>
  <c r="I264" i="117"/>
  <c r="D264" i="117"/>
  <c r="J264" i="117"/>
  <c r="E264" i="117"/>
  <c r="C264" i="117"/>
  <c r="I265" i="117"/>
  <c r="D265" i="117"/>
  <c r="J265" i="117"/>
  <c r="E265" i="117"/>
  <c r="C265" i="117"/>
  <c r="I266" i="117"/>
  <c r="D266" i="117"/>
  <c r="J266" i="117"/>
  <c r="E266" i="117"/>
  <c r="C266" i="117"/>
  <c r="I267" i="117"/>
  <c r="D267" i="117"/>
  <c r="J267" i="117"/>
  <c r="E267" i="117"/>
  <c r="C267" i="117"/>
  <c r="I268" i="117"/>
  <c r="D268" i="117"/>
  <c r="J268" i="117"/>
  <c r="E268" i="117"/>
  <c r="C268" i="117"/>
  <c r="I269" i="117"/>
  <c r="D269" i="117"/>
  <c r="J269" i="117"/>
  <c r="E269" i="117"/>
  <c r="C269" i="117"/>
  <c r="I270" i="117"/>
  <c r="D270" i="117"/>
  <c r="J270" i="117"/>
  <c r="E270" i="117"/>
  <c r="C270" i="117"/>
  <c r="I271" i="117"/>
  <c r="D271" i="117"/>
  <c r="J271" i="117"/>
  <c r="E271" i="117"/>
  <c r="C271" i="117"/>
  <c r="I272" i="117"/>
  <c r="D272" i="117"/>
  <c r="J272" i="117"/>
  <c r="E272" i="117"/>
  <c r="C272" i="117"/>
  <c r="I273" i="117"/>
  <c r="D273" i="117"/>
  <c r="J273" i="117"/>
  <c r="E273" i="117"/>
  <c r="C273" i="117"/>
  <c r="I274" i="117"/>
  <c r="D274" i="117"/>
  <c r="J274" i="117"/>
  <c r="E274" i="117"/>
  <c r="C274" i="117"/>
  <c r="I275" i="117"/>
  <c r="D275" i="117"/>
  <c r="J275" i="117"/>
  <c r="E275" i="117"/>
  <c r="C275" i="117"/>
  <c r="I276" i="117"/>
  <c r="D276" i="117"/>
  <c r="J276" i="117"/>
  <c r="E276" i="117"/>
  <c r="C276" i="117"/>
  <c r="I277" i="117"/>
  <c r="D277" i="117"/>
  <c r="J277" i="117"/>
  <c r="E277" i="117"/>
  <c r="C277" i="117"/>
  <c r="I278" i="117"/>
  <c r="D278" i="117"/>
  <c r="J278" i="117"/>
  <c r="E278" i="117"/>
  <c r="C278" i="117"/>
  <c r="I279" i="117"/>
  <c r="D279" i="117"/>
  <c r="J279" i="117"/>
  <c r="E279" i="117"/>
  <c r="C279" i="117"/>
  <c r="I280" i="117"/>
  <c r="D280" i="117"/>
  <c r="J280" i="117"/>
  <c r="E280" i="117"/>
  <c r="C280" i="117"/>
  <c r="I281" i="117"/>
  <c r="D281" i="117"/>
  <c r="J281" i="117"/>
  <c r="E281" i="117"/>
  <c r="C281" i="117"/>
  <c r="I282" i="117"/>
  <c r="D282" i="117"/>
  <c r="J282" i="117"/>
  <c r="E282" i="117"/>
  <c r="C282" i="117"/>
  <c r="I283" i="117"/>
  <c r="D283" i="117"/>
  <c r="J283" i="117"/>
  <c r="E283" i="117"/>
  <c r="C283" i="117"/>
  <c r="Q3" i="116"/>
  <c r="Q4" i="116"/>
  <c r="Q5" i="116"/>
  <c r="Q6" i="116"/>
  <c r="Q7" i="116"/>
  <c r="Q8" i="116"/>
  <c r="E29" i="116"/>
  <c r="F5" i="116"/>
  <c r="E5" i="116"/>
  <c r="B29" i="116"/>
  <c r="E28" i="116"/>
  <c r="O3" i="116"/>
  <c r="O4" i="116"/>
  <c r="N4" i="116"/>
  <c r="O5" i="116"/>
  <c r="O6" i="116"/>
  <c r="O7" i="116"/>
  <c r="O8" i="116"/>
  <c r="N3" i="116"/>
  <c r="N5" i="116"/>
  <c r="N6" i="116"/>
  <c r="B7" i="116"/>
  <c r="B28" i="116"/>
  <c r="E27" i="116"/>
  <c r="B6" i="116"/>
  <c r="B5" i="116"/>
  <c r="B27" i="116"/>
  <c r="E26" i="116"/>
  <c r="B26" i="116"/>
  <c r="E25" i="116"/>
  <c r="B25" i="116"/>
  <c r="F6" i="116"/>
  <c r="E6" i="116"/>
  <c r="E21" i="116"/>
  <c r="B21" i="116"/>
  <c r="B23" i="116"/>
  <c r="B22" i="116"/>
  <c r="E20" i="116"/>
  <c r="B20" i="116"/>
  <c r="E18" i="116"/>
  <c r="B18" i="116"/>
  <c r="O9" i="106"/>
  <c r="A2" i="106"/>
  <c r="A278" i="82"/>
  <c r="F278" i="82"/>
  <c r="H278" i="82"/>
  <c r="K278" i="82"/>
  <c r="L278" i="82"/>
  <c r="M278" i="82"/>
  <c r="N278" i="82"/>
  <c r="F279" i="82"/>
  <c r="F280" i="82"/>
  <c r="F281" i="82"/>
  <c r="F282" i="82"/>
  <c r="F283" i="82"/>
  <c r="A36" i="106"/>
  <c r="B10" i="106"/>
  <c r="G23" i="106"/>
  <c r="E23" i="106"/>
  <c r="H23" i="106"/>
  <c r="G22" i="106"/>
  <c r="H22" i="106"/>
  <c r="R3" i="106"/>
  <c r="O278" i="82"/>
  <c r="G17" i="106"/>
  <c r="E17" i="106"/>
  <c r="H17" i="106"/>
  <c r="O2" i="82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G29" i="106"/>
  <c r="H29" i="106"/>
  <c r="O270" i="82"/>
  <c r="O271" i="82"/>
  <c r="O272" i="82"/>
  <c r="O273" i="82"/>
  <c r="O274" i="82"/>
  <c r="O275" i="82"/>
  <c r="O276" i="82"/>
  <c r="O277" i="82"/>
  <c r="R4" i="106"/>
  <c r="O279" i="82"/>
  <c r="R5" i="106"/>
  <c r="O280" i="82"/>
  <c r="R6" i="106"/>
  <c r="O281" i="82"/>
  <c r="R7" i="106"/>
  <c r="O282" i="82"/>
  <c r="R8" i="106"/>
  <c r="O283" i="82"/>
  <c r="P278" i="82"/>
  <c r="A279" i="82"/>
  <c r="H279" i="82"/>
  <c r="K279" i="82"/>
  <c r="L279" i="82"/>
  <c r="M279" i="82"/>
  <c r="N279" i="82"/>
  <c r="P279" i="82"/>
  <c r="A280" i="82"/>
  <c r="H280" i="82"/>
  <c r="K280" i="82"/>
  <c r="L280" i="82"/>
  <c r="M280" i="82"/>
  <c r="N280" i="82"/>
  <c r="P280" i="82"/>
  <c r="A281" i="82"/>
  <c r="H281" i="82"/>
  <c r="K281" i="82"/>
  <c r="L281" i="82"/>
  <c r="M281" i="82"/>
  <c r="N281" i="82"/>
  <c r="P281" i="82"/>
  <c r="A282" i="82"/>
  <c r="H282" i="82"/>
  <c r="K282" i="82"/>
  <c r="L282" i="82"/>
  <c r="M282" i="82"/>
  <c r="N282" i="82"/>
  <c r="P282" i="82"/>
  <c r="A283" i="82"/>
  <c r="H283" i="82"/>
  <c r="K283" i="82"/>
  <c r="L283" i="82"/>
  <c r="M283" i="82"/>
  <c r="N283" i="82"/>
  <c r="P283" i="82"/>
  <c r="I2" i="118"/>
  <c r="I3" i="118"/>
  <c r="I4" i="118"/>
  <c r="I5" i="118"/>
  <c r="F2" i="118"/>
  <c r="F3" i="118"/>
  <c r="F4" i="118"/>
  <c r="F5" i="118"/>
  <c r="D2" i="118"/>
  <c r="D3" i="118"/>
  <c r="D4" i="118"/>
  <c r="D5" i="118"/>
  <c r="J3" i="118"/>
  <c r="E3" i="118"/>
  <c r="C3" i="118"/>
  <c r="H3" i="118"/>
  <c r="K3" i="118"/>
  <c r="L3" i="118"/>
  <c r="M3" i="118"/>
  <c r="N3" i="118"/>
  <c r="P3" i="118"/>
  <c r="J4" i="118"/>
  <c r="E4" i="118"/>
  <c r="C4" i="118"/>
  <c r="H4" i="118"/>
  <c r="K4" i="118"/>
  <c r="L4" i="118"/>
  <c r="M4" i="118"/>
  <c r="N4" i="118"/>
  <c r="P4" i="118"/>
  <c r="J5" i="118"/>
  <c r="E5" i="118"/>
  <c r="C5" i="118"/>
  <c r="H5" i="118"/>
  <c r="K5" i="118"/>
  <c r="L5" i="118"/>
  <c r="M5" i="118"/>
  <c r="N5" i="118"/>
  <c r="P5" i="118"/>
  <c r="B10" i="116"/>
  <c r="F2" i="117"/>
  <c r="F3" i="117"/>
  <c r="F4" i="117"/>
  <c r="F5" i="117"/>
  <c r="F6" i="117"/>
  <c r="F7" i="117"/>
  <c r="F8" i="117"/>
  <c r="F9" i="117"/>
  <c r="F10" i="117"/>
  <c r="F11" i="117"/>
  <c r="F12" i="117"/>
  <c r="F13" i="117"/>
  <c r="F14" i="117"/>
  <c r="F15" i="117"/>
  <c r="F16" i="117"/>
  <c r="F17" i="117"/>
  <c r="F18" i="117"/>
  <c r="F19" i="117"/>
  <c r="F20" i="117"/>
  <c r="F21" i="117"/>
  <c r="F22" i="117"/>
  <c r="F23" i="117"/>
  <c r="F24" i="117"/>
  <c r="F25" i="117"/>
  <c r="F26" i="117"/>
  <c r="F27" i="117"/>
  <c r="F28" i="117"/>
  <c r="F29" i="117"/>
  <c r="F30" i="117"/>
  <c r="F31" i="117"/>
  <c r="F32" i="117"/>
  <c r="F33" i="117"/>
  <c r="F34" i="117"/>
  <c r="F35" i="117"/>
  <c r="F36" i="117"/>
  <c r="F37" i="117"/>
  <c r="F38" i="117"/>
  <c r="F39" i="117"/>
  <c r="F40" i="117"/>
  <c r="F41" i="117"/>
  <c r="F42" i="117"/>
  <c r="F43" i="117"/>
  <c r="F44" i="117"/>
  <c r="F45" i="117"/>
  <c r="F46" i="117"/>
  <c r="F47" i="117"/>
  <c r="F48" i="117"/>
  <c r="F49" i="117"/>
  <c r="F50" i="117"/>
  <c r="F51" i="117"/>
  <c r="F52" i="117"/>
  <c r="F53" i="117"/>
  <c r="F54" i="117"/>
  <c r="F55" i="117"/>
  <c r="F56" i="117"/>
  <c r="F57" i="117"/>
  <c r="F58" i="117"/>
  <c r="F59" i="117"/>
  <c r="F60" i="117"/>
  <c r="F61" i="117"/>
  <c r="F62" i="117"/>
  <c r="F63" i="117"/>
  <c r="F64" i="117"/>
  <c r="F65" i="117"/>
  <c r="F66" i="117"/>
  <c r="F67" i="117"/>
  <c r="F68" i="117"/>
  <c r="F69" i="117"/>
  <c r="F70" i="117"/>
  <c r="F71" i="117"/>
  <c r="F72" i="117"/>
  <c r="F73" i="117"/>
  <c r="F74" i="117"/>
  <c r="F75" i="117"/>
  <c r="F76" i="117"/>
  <c r="F77" i="117"/>
  <c r="F78" i="117"/>
  <c r="F79" i="117"/>
  <c r="F80" i="117"/>
  <c r="F81" i="117"/>
  <c r="F82" i="117"/>
  <c r="F83" i="117"/>
  <c r="F84" i="117"/>
  <c r="F85" i="117"/>
  <c r="F86" i="117"/>
  <c r="F87" i="117"/>
  <c r="F88" i="117"/>
  <c r="F89" i="117"/>
  <c r="F90" i="117"/>
  <c r="F91" i="117"/>
  <c r="F92" i="117"/>
  <c r="F93" i="117"/>
  <c r="F94" i="117"/>
  <c r="F95" i="117"/>
  <c r="F96" i="117"/>
  <c r="F97" i="117"/>
  <c r="F98" i="117"/>
  <c r="F99" i="117"/>
  <c r="F100" i="117"/>
  <c r="F101" i="117"/>
  <c r="F102" i="117"/>
  <c r="F103" i="117"/>
  <c r="F104" i="117"/>
  <c r="F105" i="117"/>
  <c r="F106" i="117"/>
  <c r="F107" i="117"/>
  <c r="F108" i="117"/>
  <c r="F109" i="117"/>
  <c r="F110" i="117"/>
  <c r="F111" i="117"/>
  <c r="F112" i="117"/>
  <c r="F113" i="117"/>
  <c r="F114" i="117"/>
  <c r="F115" i="117"/>
  <c r="F116" i="117"/>
  <c r="F117" i="117"/>
  <c r="F118" i="117"/>
  <c r="F119" i="117"/>
  <c r="F120" i="117"/>
  <c r="F121" i="117"/>
  <c r="F122" i="117"/>
  <c r="F123" i="117"/>
  <c r="F124" i="117"/>
  <c r="F125" i="117"/>
  <c r="F126" i="117"/>
  <c r="F127" i="117"/>
  <c r="F128" i="117"/>
  <c r="F129" i="117"/>
  <c r="F130" i="117"/>
  <c r="F131" i="117"/>
  <c r="F132" i="117"/>
  <c r="F133" i="117"/>
  <c r="F134" i="117"/>
  <c r="F135" i="117"/>
  <c r="F136" i="117"/>
  <c r="F137" i="117"/>
  <c r="F138" i="117"/>
  <c r="F139" i="117"/>
  <c r="F140" i="117"/>
  <c r="F141" i="117"/>
  <c r="F142" i="117"/>
  <c r="F143" i="117"/>
  <c r="F144" i="117"/>
  <c r="F145" i="117"/>
  <c r="F146" i="117"/>
  <c r="F147" i="117"/>
  <c r="F148" i="117"/>
  <c r="F149" i="117"/>
  <c r="F150" i="117"/>
  <c r="F151" i="117"/>
  <c r="F152" i="117"/>
  <c r="F153" i="117"/>
  <c r="F154" i="117"/>
  <c r="F155" i="117"/>
  <c r="F156" i="117"/>
  <c r="F157" i="117"/>
  <c r="F158" i="117"/>
  <c r="F159" i="117"/>
  <c r="F160" i="117"/>
  <c r="F161" i="117"/>
  <c r="F162" i="117"/>
  <c r="F163" i="117"/>
  <c r="F164" i="117"/>
  <c r="F165" i="117"/>
  <c r="F166" i="117"/>
  <c r="F167" i="117"/>
  <c r="F168" i="117"/>
  <c r="F169" i="117"/>
  <c r="F170" i="117"/>
  <c r="F171" i="117"/>
  <c r="F172" i="117"/>
  <c r="F173" i="117"/>
  <c r="F174" i="117"/>
  <c r="F175" i="117"/>
  <c r="F176" i="117"/>
  <c r="F177" i="117"/>
  <c r="F178" i="117"/>
  <c r="F179" i="117"/>
  <c r="F180" i="117"/>
  <c r="F181" i="117"/>
  <c r="F182" i="117"/>
  <c r="F183" i="117"/>
  <c r="F184" i="117"/>
  <c r="F185" i="117"/>
  <c r="F186" i="117"/>
  <c r="F187" i="117"/>
  <c r="F188" i="117"/>
  <c r="F189" i="117"/>
  <c r="F190" i="117"/>
  <c r="F191" i="117"/>
  <c r="F192" i="117"/>
  <c r="F193" i="117"/>
  <c r="F194" i="117"/>
  <c r="F195" i="117"/>
  <c r="F196" i="117"/>
  <c r="F197" i="117"/>
  <c r="F198" i="117"/>
  <c r="F199" i="117"/>
  <c r="F200" i="117"/>
  <c r="F201" i="117"/>
  <c r="F202" i="117"/>
  <c r="F203" i="117"/>
  <c r="F204" i="117"/>
  <c r="F205" i="117"/>
  <c r="F206" i="117"/>
  <c r="F207" i="117"/>
  <c r="F208" i="117"/>
  <c r="F209" i="117"/>
  <c r="F210" i="117"/>
  <c r="F211" i="117"/>
  <c r="F212" i="117"/>
  <c r="F213" i="117"/>
  <c r="F214" i="117"/>
  <c r="F215" i="117"/>
  <c r="F216" i="117"/>
  <c r="F217" i="117"/>
  <c r="F218" i="117"/>
  <c r="F219" i="117"/>
  <c r="F220" i="117"/>
  <c r="F221" i="117"/>
  <c r="F222" i="117"/>
  <c r="F223" i="117"/>
  <c r="F224" i="117"/>
  <c r="F225" i="117"/>
  <c r="F226" i="117"/>
  <c r="F227" i="117"/>
  <c r="F228" i="117"/>
  <c r="F229" i="117"/>
  <c r="F230" i="117"/>
  <c r="F231" i="117"/>
  <c r="F232" i="117"/>
  <c r="F233" i="117"/>
  <c r="F234" i="117"/>
  <c r="F235" i="117"/>
  <c r="F236" i="117"/>
  <c r="F237" i="117"/>
  <c r="F238" i="117"/>
  <c r="F239" i="117"/>
  <c r="F240" i="117"/>
  <c r="F241" i="117"/>
  <c r="F242" i="117"/>
  <c r="F243" i="117"/>
  <c r="F244" i="117"/>
  <c r="F245" i="117"/>
  <c r="F246" i="117"/>
  <c r="F247" i="117"/>
  <c r="F248" i="117"/>
  <c r="F249" i="117"/>
  <c r="F250" i="117"/>
  <c r="F251" i="117"/>
  <c r="F252" i="117"/>
  <c r="F253" i="117"/>
  <c r="F254" i="117"/>
  <c r="F255" i="117"/>
  <c r="F256" i="117"/>
  <c r="F257" i="117"/>
  <c r="F258" i="117"/>
  <c r="F259" i="117"/>
  <c r="F260" i="117"/>
  <c r="F261" i="117"/>
  <c r="F262" i="117"/>
  <c r="F263" i="117"/>
  <c r="F264" i="117"/>
  <c r="F265" i="117"/>
  <c r="F266" i="117"/>
  <c r="F267" i="117"/>
  <c r="F268" i="117"/>
  <c r="F269" i="117"/>
  <c r="F270" i="117"/>
  <c r="F271" i="117"/>
  <c r="F272" i="117"/>
  <c r="F273" i="117"/>
  <c r="F274" i="117"/>
  <c r="F275" i="117"/>
  <c r="F276" i="117"/>
  <c r="F277" i="117"/>
  <c r="F278" i="117"/>
  <c r="F279" i="117"/>
  <c r="F280" i="117"/>
  <c r="F281" i="117"/>
  <c r="F282" i="117"/>
  <c r="F283" i="117"/>
  <c r="M6" i="116"/>
  <c r="P6" i="116"/>
  <c r="A36" i="116"/>
  <c r="R6" i="116"/>
  <c r="M7" i="116"/>
  <c r="P7" i="116"/>
  <c r="R7" i="116"/>
  <c r="M8" i="116"/>
  <c r="P8" i="116"/>
  <c r="R8" i="116"/>
  <c r="M7" i="106"/>
  <c r="P7" i="106"/>
  <c r="M8" i="106"/>
  <c r="P8" i="106"/>
  <c r="M9" i="106"/>
  <c r="P9" i="106"/>
  <c r="R9" i="106"/>
  <c r="A2" i="116"/>
  <c r="G17" i="116"/>
  <c r="E17" i="116"/>
  <c r="H17" i="116"/>
  <c r="O2" i="117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E24" i="116"/>
  <c r="H24" i="116"/>
  <c r="O42" i="117"/>
  <c r="O45" i="117"/>
  <c r="O48" i="117"/>
  <c r="G19" i="116"/>
  <c r="E19" i="116"/>
  <c r="H19" i="116"/>
  <c r="O51" i="117"/>
  <c r="O54" i="117"/>
  <c r="O57" i="117"/>
  <c r="O60" i="117"/>
  <c r="O63" i="117"/>
  <c r="O66" i="117"/>
  <c r="O69" i="117"/>
  <c r="O72" i="117"/>
  <c r="O75" i="117"/>
  <c r="O78" i="117"/>
  <c r="O81" i="117"/>
  <c r="O84" i="117"/>
  <c r="O87" i="117"/>
  <c r="O90" i="117"/>
  <c r="O93" i="117"/>
  <c r="O96" i="117"/>
  <c r="O99" i="117"/>
  <c r="O102" i="117"/>
  <c r="O105" i="117"/>
  <c r="O108" i="117"/>
  <c r="O111" i="117"/>
  <c r="O114" i="117"/>
  <c r="O117" i="117"/>
  <c r="O120" i="117"/>
  <c r="O123" i="117"/>
  <c r="O126" i="117"/>
  <c r="O129" i="117"/>
  <c r="O132" i="117"/>
  <c r="O135" i="117"/>
  <c r="O146" i="117"/>
  <c r="O153" i="117"/>
  <c r="O158" i="117"/>
  <c r="O161" i="117"/>
  <c r="O166" i="117"/>
  <c r="O171" i="117"/>
  <c r="O178" i="117"/>
  <c r="O181" i="117"/>
  <c r="O186" i="117"/>
  <c r="O193" i="117"/>
  <c r="O198" i="117"/>
  <c r="O203" i="117"/>
  <c r="O210" i="117"/>
  <c r="O217" i="117"/>
  <c r="O220" i="117"/>
  <c r="O225" i="117"/>
  <c r="O228" i="117"/>
  <c r="O233" i="117"/>
  <c r="O240" i="117"/>
  <c r="O243" i="117"/>
  <c r="O246" i="117"/>
  <c r="O249" i="117"/>
  <c r="O260" i="117"/>
  <c r="O263" i="117"/>
  <c r="E22" i="116"/>
  <c r="E23" i="116"/>
  <c r="G29" i="116"/>
  <c r="H29" i="116"/>
  <c r="O270" i="117"/>
  <c r="O271" i="117"/>
  <c r="O272" i="117"/>
  <c r="O273" i="117"/>
  <c r="R5" i="116"/>
  <c r="O280" i="117"/>
  <c r="O281" i="117"/>
  <c r="O282" i="117"/>
  <c r="O283" i="117"/>
  <c r="A281" i="117"/>
  <c r="H281" i="117"/>
  <c r="K281" i="117"/>
  <c r="L281" i="117"/>
  <c r="M281" i="117"/>
  <c r="N281" i="117"/>
  <c r="A282" i="117"/>
  <c r="H282" i="117"/>
  <c r="K282" i="117"/>
  <c r="L282" i="117"/>
  <c r="M282" i="117"/>
  <c r="N282" i="117"/>
  <c r="A283" i="117"/>
  <c r="H283" i="117"/>
  <c r="K283" i="117"/>
  <c r="L283" i="117"/>
  <c r="M283" i="117"/>
  <c r="N283" i="117"/>
  <c r="C3" i="103"/>
  <c r="C4" i="103"/>
  <c r="E4" i="103"/>
  <c r="J2" i="118"/>
  <c r="E2" i="118"/>
  <c r="C2" i="118"/>
  <c r="H2" i="118"/>
  <c r="K2" i="118"/>
  <c r="L2" i="118"/>
  <c r="M2" i="118"/>
  <c r="N2" i="118"/>
  <c r="P2" i="118"/>
  <c r="E31" i="116"/>
  <c r="G31" i="116"/>
  <c r="H31" i="116"/>
  <c r="E30" i="116"/>
  <c r="G30" i="116"/>
  <c r="H30" i="116"/>
  <c r="N280" i="117"/>
  <c r="M280" i="117"/>
  <c r="L280" i="117"/>
  <c r="K280" i="117"/>
  <c r="H280" i="117"/>
  <c r="A280" i="117"/>
  <c r="N279" i="117"/>
  <c r="M279" i="117"/>
  <c r="L279" i="117"/>
  <c r="K279" i="117"/>
  <c r="H279" i="117"/>
  <c r="A279" i="117"/>
  <c r="N278" i="117"/>
  <c r="M278" i="117"/>
  <c r="L278" i="117"/>
  <c r="K278" i="117"/>
  <c r="H278" i="117"/>
  <c r="A278" i="117"/>
  <c r="F30" i="116"/>
  <c r="F31" i="116"/>
  <c r="A272" i="82"/>
  <c r="F272" i="82"/>
  <c r="H272" i="82"/>
  <c r="K272" i="82"/>
  <c r="L272" i="82"/>
  <c r="M272" i="82"/>
  <c r="N272" i="82"/>
  <c r="F273" i="82"/>
  <c r="F274" i="82"/>
  <c r="F275" i="82"/>
  <c r="F276" i="82"/>
  <c r="F277" i="82"/>
  <c r="F271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2" i="117"/>
  <c r="H272" i="117"/>
  <c r="K272" i="117"/>
  <c r="L272" i="117"/>
  <c r="M272" i="117"/>
  <c r="N272" i="117"/>
  <c r="A273" i="117"/>
  <c r="H273" i="117"/>
  <c r="K273" i="117"/>
  <c r="L273" i="117"/>
  <c r="M273" i="117"/>
  <c r="N273" i="117"/>
  <c r="A274" i="117"/>
  <c r="H274" i="117"/>
  <c r="K274" i="117"/>
  <c r="L274" i="117"/>
  <c r="M274" i="117"/>
  <c r="N274" i="117"/>
  <c r="A275" i="117"/>
  <c r="H275" i="117"/>
  <c r="K275" i="117"/>
  <c r="L275" i="117"/>
  <c r="M275" i="117"/>
  <c r="N275" i="117"/>
  <c r="A276" i="117"/>
  <c r="H276" i="117"/>
  <c r="K276" i="117"/>
  <c r="L276" i="117"/>
  <c r="M276" i="117"/>
  <c r="N276" i="117"/>
  <c r="A277" i="117"/>
  <c r="H277" i="117"/>
  <c r="K277" i="117"/>
  <c r="L277" i="117"/>
  <c r="M277" i="117"/>
  <c r="N277" i="117"/>
  <c r="N271" i="117"/>
  <c r="M271" i="117"/>
  <c r="L271" i="117"/>
  <c r="K271" i="117"/>
  <c r="H271" i="117"/>
  <c r="A271" i="117"/>
  <c r="N270" i="117"/>
  <c r="M270" i="117"/>
  <c r="L270" i="117"/>
  <c r="K270" i="117"/>
  <c r="H270" i="117"/>
  <c r="A270" i="117"/>
  <c r="N269" i="117"/>
  <c r="M269" i="117"/>
  <c r="L269" i="117"/>
  <c r="K269" i="117"/>
  <c r="H269" i="117"/>
  <c r="A269" i="117"/>
  <c r="N268" i="117"/>
  <c r="M268" i="117"/>
  <c r="L268" i="117"/>
  <c r="K268" i="117"/>
  <c r="H268" i="117"/>
  <c r="A268" i="117"/>
  <c r="N267" i="117"/>
  <c r="M267" i="117"/>
  <c r="L267" i="117"/>
  <c r="K267" i="117"/>
  <c r="H267" i="117"/>
  <c r="A267" i="117"/>
  <c r="N266" i="117"/>
  <c r="M266" i="117"/>
  <c r="L266" i="117"/>
  <c r="K266" i="117"/>
  <c r="H266" i="117"/>
  <c r="A266" i="117"/>
  <c r="N265" i="117"/>
  <c r="M265" i="117"/>
  <c r="L265" i="117"/>
  <c r="K265" i="117"/>
  <c r="H265" i="117"/>
  <c r="A265" i="117"/>
  <c r="N264" i="117"/>
  <c r="M264" i="117"/>
  <c r="L264" i="117"/>
  <c r="K264" i="117"/>
  <c r="H264" i="117"/>
  <c r="A264" i="117"/>
  <c r="N263" i="117"/>
  <c r="M263" i="117"/>
  <c r="L263" i="117"/>
  <c r="K263" i="117"/>
  <c r="H263" i="117"/>
  <c r="A263" i="117"/>
  <c r="N262" i="117"/>
  <c r="M262" i="117"/>
  <c r="L262" i="117"/>
  <c r="K262" i="117"/>
  <c r="H262" i="117"/>
  <c r="A262" i="117"/>
  <c r="N261" i="117"/>
  <c r="M261" i="117"/>
  <c r="L261" i="117"/>
  <c r="K261" i="117"/>
  <c r="H261" i="117"/>
  <c r="A261" i="117"/>
  <c r="N260" i="117"/>
  <c r="M260" i="117"/>
  <c r="L260" i="117"/>
  <c r="K260" i="117"/>
  <c r="H260" i="117"/>
  <c r="A260" i="117"/>
  <c r="N259" i="117"/>
  <c r="M259" i="117"/>
  <c r="L259" i="117"/>
  <c r="K259" i="117"/>
  <c r="H259" i="117"/>
  <c r="A259" i="117"/>
  <c r="N258" i="117"/>
  <c r="M258" i="117"/>
  <c r="L258" i="117"/>
  <c r="K258" i="117"/>
  <c r="H258" i="117"/>
  <c r="A258" i="117"/>
  <c r="N257" i="117"/>
  <c r="M257" i="117"/>
  <c r="L257" i="117"/>
  <c r="K257" i="117"/>
  <c r="H257" i="117"/>
  <c r="A257" i="117"/>
  <c r="N256" i="117"/>
  <c r="M256" i="117"/>
  <c r="L256" i="117"/>
  <c r="K256" i="117"/>
  <c r="H256" i="117"/>
  <c r="A256" i="117"/>
  <c r="N255" i="117"/>
  <c r="M255" i="117"/>
  <c r="L255" i="117"/>
  <c r="K255" i="117"/>
  <c r="H255" i="117"/>
  <c r="A255" i="117"/>
  <c r="N254" i="117"/>
  <c r="M254" i="117"/>
  <c r="L254" i="117"/>
  <c r="K254" i="117"/>
  <c r="H254" i="117"/>
  <c r="A254" i="117"/>
  <c r="N253" i="117"/>
  <c r="M253" i="117"/>
  <c r="L253" i="117"/>
  <c r="K253" i="117"/>
  <c r="H253" i="117"/>
  <c r="A253" i="117"/>
  <c r="N252" i="117"/>
  <c r="M252" i="117"/>
  <c r="L252" i="117"/>
  <c r="K252" i="117"/>
  <c r="H252" i="117"/>
  <c r="A252" i="117"/>
  <c r="N251" i="117"/>
  <c r="M251" i="117"/>
  <c r="L251" i="117"/>
  <c r="K251" i="117"/>
  <c r="H251" i="117"/>
  <c r="A251" i="117"/>
  <c r="N250" i="117"/>
  <c r="M250" i="117"/>
  <c r="L250" i="117"/>
  <c r="K250" i="117"/>
  <c r="H250" i="117"/>
  <c r="A250" i="117"/>
  <c r="N249" i="117"/>
  <c r="M249" i="117"/>
  <c r="L249" i="117"/>
  <c r="K249" i="117"/>
  <c r="H249" i="117"/>
  <c r="A249" i="117"/>
  <c r="N248" i="117"/>
  <c r="M248" i="117"/>
  <c r="L248" i="117"/>
  <c r="K248" i="117"/>
  <c r="H248" i="117"/>
  <c r="A248" i="117"/>
  <c r="N247" i="117"/>
  <c r="M247" i="117"/>
  <c r="L247" i="117"/>
  <c r="K247" i="117"/>
  <c r="H247" i="117"/>
  <c r="A247" i="117"/>
  <c r="N246" i="117"/>
  <c r="M246" i="117"/>
  <c r="L246" i="117"/>
  <c r="K246" i="117"/>
  <c r="H246" i="117"/>
  <c r="A246" i="117"/>
  <c r="N245" i="117"/>
  <c r="M245" i="117"/>
  <c r="L245" i="117"/>
  <c r="K245" i="117"/>
  <c r="H245" i="117"/>
  <c r="A245" i="117"/>
  <c r="N244" i="117"/>
  <c r="M244" i="117"/>
  <c r="L244" i="117"/>
  <c r="K244" i="117"/>
  <c r="H244" i="117"/>
  <c r="A244" i="117"/>
  <c r="N243" i="117"/>
  <c r="M243" i="117"/>
  <c r="L243" i="117"/>
  <c r="K243" i="117"/>
  <c r="H243" i="117"/>
  <c r="A243" i="117"/>
  <c r="N242" i="117"/>
  <c r="M242" i="117"/>
  <c r="L242" i="117"/>
  <c r="K242" i="117"/>
  <c r="H242" i="117"/>
  <c r="A242" i="117"/>
  <c r="N241" i="117"/>
  <c r="M241" i="117"/>
  <c r="L241" i="117"/>
  <c r="K241" i="117"/>
  <c r="H241" i="117"/>
  <c r="A241" i="117"/>
  <c r="N240" i="117"/>
  <c r="M240" i="117"/>
  <c r="L240" i="117"/>
  <c r="K240" i="117"/>
  <c r="H240" i="117"/>
  <c r="A240" i="117"/>
  <c r="N239" i="117"/>
  <c r="M239" i="117"/>
  <c r="L239" i="117"/>
  <c r="K239" i="117"/>
  <c r="H239" i="117"/>
  <c r="A239" i="117"/>
  <c r="N238" i="117"/>
  <c r="M238" i="117"/>
  <c r="L238" i="117"/>
  <c r="K238" i="117"/>
  <c r="H238" i="117"/>
  <c r="A238" i="117"/>
  <c r="N237" i="117"/>
  <c r="M237" i="117"/>
  <c r="L237" i="117"/>
  <c r="K237" i="117"/>
  <c r="H237" i="117"/>
  <c r="A237" i="117"/>
  <c r="N236" i="117"/>
  <c r="M236" i="117"/>
  <c r="L236" i="117"/>
  <c r="K236" i="117"/>
  <c r="H236" i="117"/>
  <c r="A236" i="117"/>
  <c r="N235" i="117"/>
  <c r="M235" i="117"/>
  <c r="L235" i="117"/>
  <c r="K235" i="117"/>
  <c r="H235" i="117"/>
  <c r="A235" i="117"/>
  <c r="N234" i="117"/>
  <c r="M234" i="117"/>
  <c r="L234" i="117"/>
  <c r="K234" i="117"/>
  <c r="H234" i="117"/>
  <c r="A234" i="117"/>
  <c r="N233" i="117"/>
  <c r="M233" i="117"/>
  <c r="L233" i="117"/>
  <c r="K233" i="117"/>
  <c r="H233" i="117"/>
  <c r="A233" i="117"/>
  <c r="N232" i="117"/>
  <c r="M232" i="117"/>
  <c r="L232" i="117"/>
  <c r="K232" i="117"/>
  <c r="H232" i="117"/>
  <c r="A232" i="117"/>
  <c r="N231" i="117"/>
  <c r="M231" i="117"/>
  <c r="L231" i="117"/>
  <c r="K231" i="117"/>
  <c r="H231" i="117"/>
  <c r="A231" i="117"/>
  <c r="N230" i="117"/>
  <c r="M230" i="117"/>
  <c r="L230" i="117"/>
  <c r="K230" i="117"/>
  <c r="H230" i="117"/>
  <c r="A230" i="117"/>
  <c r="N229" i="117"/>
  <c r="M229" i="117"/>
  <c r="L229" i="117"/>
  <c r="K229" i="117"/>
  <c r="H229" i="117"/>
  <c r="A229" i="117"/>
  <c r="N228" i="117"/>
  <c r="M228" i="117"/>
  <c r="L228" i="117"/>
  <c r="K228" i="117"/>
  <c r="H228" i="117"/>
  <c r="A228" i="117"/>
  <c r="N227" i="117"/>
  <c r="M227" i="117"/>
  <c r="L227" i="117"/>
  <c r="K227" i="117"/>
  <c r="H227" i="117"/>
  <c r="A227" i="117"/>
  <c r="N226" i="117"/>
  <c r="M226" i="117"/>
  <c r="L226" i="117"/>
  <c r="K226" i="117"/>
  <c r="H226" i="117"/>
  <c r="A226" i="117"/>
  <c r="N225" i="117"/>
  <c r="M225" i="117"/>
  <c r="L225" i="117"/>
  <c r="K225" i="117"/>
  <c r="H225" i="117"/>
  <c r="A225" i="117"/>
  <c r="N224" i="117"/>
  <c r="M224" i="117"/>
  <c r="L224" i="117"/>
  <c r="K224" i="117"/>
  <c r="H224" i="117"/>
  <c r="A224" i="117"/>
  <c r="N223" i="117"/>
  <c r="M223" i="117"/>
  <c r="L223" i="117"/>
  <c r="K223" i="117"/>
  <c r="H223" i="117"/>
  <c r="A223" i="117"/>
  <c r="N222" i="117"/>
  <c r="M222" i="117"/>
  <c r="L222" i="117"/>
  <c r="K222" i="117"/>
  <c r="H222" i="117"/>
  <c r="A222" i="117"/>
  <c r="N221" i="117"/>
  <c r="M221" i="117"/>
  <c r="L221" i="117"/>
  <c r="K221" i="117"/>
  <c r="H221" i="117"/>
  <c r="A221" i="117"/>
  <c r="N220" i="117"/>
  <c r="M220" i="117"/>
  <c r="L220" i="117"/>
  <c r="K220" i="117"/>
  <c r="H220" i="117"/>
  <c r="A220" i="117"/>
  <c r="N219" i="117"/>
  <c r="M219" i="117"/>
  <c r="L219" i="117"/>
  <c r="K219" i="117"/>
  <c r="H219" i="117"/>
  <c r="A219" i="117"/>
  <c r="N218" i="117"/>
  <c r="M218" i="117"/>
  <c r="L218" i="117"/>
  <c r="K218" i="117"/>
  <c r="H218" i="117"/>
  <c r="A218" i="117"/>
  <c r="N217" i="117"/>
  <c r="M217" i="117"/>
  <c r="L217" i="117"/>
  <c r="K217" i="117"/>
  <c r="H217" i="117"/>
  <c r="A217" i="117"/>
  <c r="N216" i="117"/>
  <c r="M216" i="117"/>
  <c r="L216" i="117"/>
  <c r="K216" i="117"/>
  <c r="H216" i="117"/>
  <c r="A216" i="117"/>
  <c r="N215" i="117"/>
  <c r="M215" i="117"/>
  <c r="L215" i="117"/>
  <c r="K215" i="117"/>
  <c r="H215" i="117"/>
  <c r="A215" i="117"/>
  <c r="N214" i="117"/>
  <c r="M214" i="117"/>
  <c r="L214" i="117"/>
  <c r="K214" i="117"/>
  <c r="H214" i="117"/>
  <c r="A214" i="117"/>
  <c r="N213" i="117"/>
  <c r="M213" i="117"/>
  <c r="L213" i="117"/>
  <c r="K213" i="117"/>
  <c r="H213" i="117"/>
  <c r="A213" i="117"/>
  <c r="N212" i="117"/>
  <c r="M212" i="117"/>
  <c r="L212" i="117"/>
  <c r="K212" i="117"/>
  <c r="H212" i="117"/>
  <c r="A212" i="117"/>
  <c r="N211" i="117"/>
  <c r="M211" i="117"/>
  <c r="L211" i="117"/>
  <c r="K211" i="117"/>
  <c r="H211" i="117"/>
  <c r="A211" i="117"/>
  <c r="N210" i="117"/>
  <c r="M210" i="117"/>
  <c r="L210" i="117"/>
  <c r="K210" i="117"/>
  <c r="H210" i="117"/>
  <c r="A210" i="117"/>
  <c r="N209" i="117"/>
  <c r="M209" i="117"/>
  <c r="L209" i="117"/>
  <c r="K209" i="117"/>
  <c r="H209" i="117"/>
  <c r="A209" i="117"/>
  <c r="N208" i="117"/>
  <c r="M208" i="117"/>
  <c r="L208" i="117"/>
  <c r="K208" i="117"/>
  <c r="H208" i="117"/>
  <c r="A208" i="117"/>
  <c r="N207" i="117"/>
  <c r="M207" i="117"/>
  <c r="L207" i="117"/>
  <c r="K207" i="117"/>
  <c r="H207" i="117"/>
  <c r="A207" i="117"/>
  <c r="N206" i="117"/>
  <c r="M206" i="117"/>
  <c r="L206" i="117"/>
  <c r="K206" i="117"/>
  <c r="H206" i="117"/>
  <c r="A206" i="117"/>
  <c r="N205" i="117"/>
  <c r="M205" i="117"/>
  <c r="L205" i="117"/>
  <c r="K205" i="117"/>
  <c r="H205" i="117"/>
  <c r="A205" i="117"/>
  <c r="N204" i="117"/>
  <c r="M204" i="117"/>
  <c r="L204" i="117"/>
  <c r="K204" i="117"/>
  <c r="H204" i="117"/>
  <c r="A204" i="117"/>
  <c r="N203" i="117"/>
  <c r="M203" i="117"/>
  <c r="L203" i="117"/>
  <c r="K203" i="117"/>
  <c r="H203" i="117"/>
  <c r="A203" i="117"/>
  <c r="N202" i="117"/>
  <c r="M202" i="117"/>
  <c r="L202" i="117"/>
  <c r="K202" i="117"/>
  <c r="H202" i="117"/>
  <c r="A202" i="117"/>
  <c r="N201" i="117"/>
  <c r="M201" i="117"/>
  <c r="L201" i="117"/>
  <c r="K201" i="117"/>
  <c r="H201" i="117"/>
  <c r="A201" i="117"/>
  <c r="N200" i="117"/>
  <c r="M200" i="117"/>
  <c r="L200" i="117"/>
  <c r="K200" i="117"/>
  <c r="H200" i="117"/>
  <c r="A200" i="117"/>
  <c r="N199" i="117"/>
  <c r="M199" i="117"/>
  <c r="L199" i="117"/>
  <c r="K199" i="117"/>
  <c r="H199" i="117"/>
  <c r="A199" i="117"/>
  <c r="N198" i="117"/>
  <c r="M198" i="117"/>
  <c r="L198" i="117"/>
  <c r="K198" i="117"/>
  <c r="H198" i="117"/>
  <c r="A198" i="117"/>
  <c r="N197" i="117"/>
  <c r="M197" i="117"/>
  <c r="L197" i="117"/>
  <c r="K197" i="117"/>
  <c r="H197" i="117"/>
  <c r="A197" i="117"/>
  <c r="N196" i="117"/>
  <c r="M196" i="117"/>
  <c r="L196" i="117"/>
  <c r="K196" i="117"/>
  <c r="H196" i="117"/>
  <c r="A196" i="117"/>
  <c r="N195" i="117"/>
  <c r="M195" i="117"/>
  <c r="L195" i="117"/>
  <c r="K195" i="117"/>
  <c r="H195" i="117"/>
  <c r="A195" i="117"/>
  <c r="N194" i="117"/>
  <c r="M194" i="117"/>
  <c r="L194" i="117"/>
  <c r="K194" i="117"/>
  <c r="H194" i="117"/>
  <c r="A194" i="117"/>
  <c r="N193" i="117"/>
  <c r="M193" i="117"/>
  <c r="L193" i="117"/>
  <c r="K193" i="117"/>
  <c r="H193" i="117"/>
  <c r="A193" i="117"/>
  <c r="N192" i="117"/>
  <c r="M192" i="117"/>
  <c r="L192" i="117"/>
  <c r="K192" i="117"/>
  <c r="H192" i="117"/>
  <c r="A192" i="117"/>
  <c r="N191" i="117"/>
  <c r="M191" i="117"/>
  <c r="L191" i="117"/>
  <c r="K191" i="117"/>
  <c r="H191" i="117"/>
  <c r="A191" i="117"/>
  <c r="N190" i="117"/>
  <c r="M190" i="117"/>
  <c r="L190" i="117"/>
  <c r="K190" i="117"/>
  <c r="H190" i="117"/>
  <c r="A190" i="117"/>
  <c r="N189" i="117"/>
  <c r="M189" i="117"/>
  <c r="L189" i="117"/>
  <c r="K189" i="117"/>
  <c r="H189" i="117"/>
  <c r="A189" i="117"/>
  <c r="N188" i="117"/>
  <c r="M188" i="117"/>
  <c r="L188" i="117"/>
  <c r="K188" i="117"/>
  <c r="H188" i="117"/>
  <c r="A188" i="117"/>
  <c r="N187" i="117"/>
  <c r="M187" i="117"/>
  <c r="L187" i="117"/>
  <c r="K187" i="117"/>
  <c r="H187" i="117"/>
  <c r="A187" i="117"/>
  <c r="N186" i="117"/>
  <c r="M186" i="117"/>
  <c r="L186" i="117"/>
  <c r="K186" i="117"/>
  <c r="H186" i="117"/>
  <c r="A186" i="117"/>
  <c r="N185" i="117"/>
  <c r="M185" i="117"/>
  <c r="L185" i="117"/>
  <c r="K185" i="117"/>
  <c r="H185" i="117"/>
  <c r="A185" i="117"/>
  <c r="N184" i="117"/>
  <c r="M184" i="117"/>
  <c r="L184" i="117"/>
  <c r="K184" i="117"/>
  <c r="H184" i="117"/>
  <c r="A184" i="117"/>
  <c r="N183" i="117"/>
  <c r="M183" i="117"/>
  <c r="L183" i="117"/>
  <c r="K183" i="117"/>
  <c r="H183" i="117"/>
  <c r="A183" i="117"/>
  <c r="N182" i="117"/>
  <c r="M182" i="117"/>
  <c r="L182" i="117"/>
  <c r="K182" i="117"/>
  <c r="H182" i="117"/>
  <c r="A182" i="117"/>
  <c r="N181" i="117"/>
  <c r="M181" i="117"/>
  <c r="L181" i="117"/>
  <c r="K181" i="117"/>
  <c r="H181" i="117"/>
  <c r="A181" i="117"/>
  <c r="N180" i="117"/>
  <c r="M180" i="117"/>
  <c r="L180" i="117"/>
  <c r="K180" i="117"/>
  <c r="H180" i="117"/>
  <c r="A180" i="117"/>
  <c r="N179" i="117"/>
  <c r="M179" i="117"/>
  <c r="L179" i="117"/>
  <c r="K179" i="117"/>
  <c r="H179" i="117"/>
  <c r="A179" i="117"/>
  <c r="N178" i="117"/>
  <c r="M178" i="117"/>
  <c r="L178" i="117"/>
  <c r="K178" i="117"/>
  <c r="H178" i="117"/>
  <c r="A178" i="117"/>
  <c r="N177" i="117"/>
  <c r="M177" i="117"/>
  <c r="L177" i="117"/>
  <c r="K177" i="117"/>
  <c r="H177" i="117"/>
  <c r="A177" i="117"/>
  <c r="N176" i="117"/>
  <c r="M176" i="117"/>
  <c r="L176" i="117"/>
  <c r="K176" i="117"/>
  <c r="H176" i="117"/>
  <c r="A176" i="117"/>
  <c r="N175" i="117"/>
  <c r="M175" i="117"/>
  <c r="L175" i="117"/>
  <c r="K175" i="117"/>
  <c r="H175" i="117"/>
  <c r="A175" i="117"/>
  <c r="N174" i="117"/>
  <c r="M174" i="117"/>
  <c r="L174" i="117"/>
  <c r="K174" i="117"/>
  <c r="H174" i="117"/>
  <c r="A174" i="117"/>
  <c r="N173" i="117"/>
  <c r="M173" i="117"/>
  <c r="L173" i="117"/>
  <c r="K173" i="117"/>
  <c r="H173" i="117"/>
  <c r="A173" i="117"/>
  <c r="N172" i="117"/>
  <c r="M172" i="117"/>
  <c r="L172" i="117"/>
  <c r="K172" i="117"/>
  <c r="H172" i="117"/>
  <c r="A172" i="117"/>
  <c r="N171" i="117"/>
  <c r="M171" i="117"/>
  <c r="L171" i="117"/>
  <c r="K171" i="117"/>
  <c r="H171" i="117"/>
  <c r="A171" i="117"/>
  <c r="N170" i="117"/>
  <c r="M170" i="117"/>
  <c r="L170" i="117"/>
  <c r="K170" i="117"/>
  <c r="H170" i="117"/>
  <c r="A170" i="117"/>
  <c r="N169" i="117"/>
  <c r="M169" i="117"/>
  <c r="L169" i="117"/>
  <c r="K169" i="117"/>
  <c r="H169" i="117"/>
  <c r="A169" i="117"/>
  <c r="N168" i="117"/>
  <c r="M168" i="117"/>
  <c r="L168" i="117"/>
  <c r="K168" i="117"/>
  <c r="H168" i="117"/>
  <c r="A168" i="117"/>
  <c r="N167" i="117"/>
  <c r="M167" i="117"/>
  <c r="L167" i="117"/>
  <c r="K167" i="117"/>
  <c r="H167" i="117"/>
  <c r="A167" i="117"/>
  <c r="N166" i="117"/>
  <c r="M166" i="117"/>
  <c r="L166" i="117"/>
  <c r="K166" i="117"/>
  <c r="H166" i="117"/>
  <c r="A166" i="117"/>
  <c r="N165" i="117"/>
  <c r="M165" i="117"/>
  <c r="L165" i="117"/>
  <c r="K165" i="117"/>
  <c r="H165" i="117"/>
  <c r="A165" i="117"/>
  <c r="N164" i="117"/>
  <c r="M164" i="117"/>
  <c r="L164" i="117"/>
  <c r="K164" i="117"/>
  <c r="H164" i="117"/>
  <c r="A164" i="117"/>
  <c r="N163" i="117"/>
  <c r="M163" i="117"/>
  <c r="L163" i="117"/>
  <c r="K163" i="117"/>
  <c r="H163" i="117"/>
  <c r="A163" i="117"/>
  <c r="N162" i="117"/>
  <c r="M162" i="117"/>
  <c r="L162" i="117"/>
  <c r="K162" i="117"/>
  <c r="H162" i="117"/>
  <c r="A162" i="117"/>
  <c r="N161" i="117"/>
  <c r="M161" i="117"/>
  <c r="L161" i="117"/>
  <c r="K161" i="117"/>
  <c r="H161" i="117"/>
  <c r="A161" i="117"/>
  <c r="N160" i="117"/>
  <c r="M160" i="117"/>
  <c r="L160" i="117"/>
  <c r="K160" i="117"/>
  <c r="H160" i="117"/>
  <c r="A160" i="117"/>
  <c r="N159" i="117"/>
  <c r="M159" i="117"/>
  <c r="L159" i="117"/>
  <c r="K159" i="117"/>
  <c r="H159" i="117"/>
  <c r="A159" i="117"/>
  <c r="N158" i="117"/>
  <c r="M158" i="117"/>
  <c r="L158" i="117"/>
  <c r="K158" i="117"/>
  <c r="H158" i="117"/>
  <c r="A158" i="117"/>
  <c r="N157" i="117"/>
  <c r="M157" i="117"/>
  <c r="L157" i="117"/>
  <c r="K157" i="117"/>
  <c r="H157" i="117"/>
  <c r="A157" i="117"/>
  <c r="N156" i="117"/>
  <c r="M156" i="117"/>
  <c r="L156" i="117"/>
  <c r="K156" i="117"/>
  <c r="H156" i="117"/>
  <c r="A156" i="117"/>
  <c r="N155" i="117"/>
  <c r="M155" i="117"/>
  <c r="L155" i="117"/>
  <c r="K155" i="117"/>
  <c r="H155" i="117"/>
  <c r="A155" i="117"/>
  <c r="N154" i="117"/>
  <c r="M154" i="117"/>
  <c r="L154" i="117"/>
  <c r="K154" i="117"/>
  <c r="H154" i="117"/>
  <c r="A154" i="117"/>
  <c r="N153" i="117"/>
  <c r="M153" i="117"/>
  <c r="L153" i="117"/>
  <c r="K153" i="117"/>
  <c r="H153" i="117"/>
  <c r="A153" i="117"/>
  <c r="N152" i="117"/>
  <c r="M152" i="117"/>
  <c r="L152" i="117"/>
  <c r="K152" i="117"/>
  <c r="H152" i="117"/>
  <c r="A152" i="117"/>
  <c r="N151" i="117"/>
  <c r="M151" i="117"/>
  <c r="L151" i="117"/>
  <c r="K151" i="117"/>
  <c r="H151" i="117"/>
  <c r="A151" i="117"/>
  <c r="N150" i="117"/>
  <c r="M150" i="117"/>
  <c r="L150" i="117"/>
  <c r="K150" i="117"/>
  <c r="H150" i="117"/>
  <c r="A150" i="117"/>
  <c r="N149" i="117"/>
  <c r="M149" i="117"/>
  <c r="L149" i="117"/>
  <c r="K149" i="117"/>
  <c r="H149" i="117"/>
  <c r="A149" i="117"/>
  <c r="N148" i="117"/>
  <c r="M148" i="117"/>
  <c r="L148" i="117"/>
  <c r="K148" i="117"/>
  <c r="H148" i="117"/>
  <c r="A148" i="117"/>
  <c r="N147" i="117"/>
  <c r="M147" i="117"/>
  <c r="L147" i="117"/>
  <c r="K147" i="117"/>
  <c r="H147" i="117"/>
  <c r="A147" i="117"/>
  <c r="N146" i="117"/>
  <c r="M146" i="117"/>
  <c r="L146" i="117"/>
  <c r="K146" i="117"/>
  <c r="H146" i="117"/>
  <c r="A146" i="117"/>
  <c r="N145" i="117"/>
  <c r="M145" i="117"/>
  <c r="L145" i="117"/>
  <c r="K145" i="117"/>
  <c r="H145" i="117"/>
  <c r="A145" i="117"/>
  <c r="N144" i="117"/>
  <c r="M144" i="117"/>
  <c r="L144" i="117"/>
  <c r="K144" i="117"/>
  <c r="H144" i="117"/>
  <c r="A144" i="117"/>
  <c r="N143" i="117"/>
  <c r="M143" i="117"/>
  <c r="L143" i="117"/>
  <c r="K143" i="117"/>
  <c r="H143" i="117"/>
  <c r="A143" i="117"/>
  <c r="N142" i="117"/>
  <c r="M142" i="117"/>
  <c r="L142" i="117"/>
  <c r="K142" i="117"/>
  <c r="H142" i="117"/>
  <c r="A142" i="117"/>
  <c r="N141" i="117"/>
  <c r="M141" i="117"/>
  <c r="L141" i="117"/>
  <c r="K141" i="117"/>
  <c r="H141" i="117"/>
  <c r="A141" i="117"/>
  <c r="N140" i="117"/>
  <c r="M140" i="117"/>
  <c r="L140" i="117"/>
  <c r="K140" i="117"/>
  <c r="H140" i="117"/>
  <c r="A140" i="117"/>
  <c r="N139" i="117"/>
  <c r="M139" i="117"/>
  <c r="L139" i="117"/>
  <c r="K139" i="117"/>
  <c r="H139" i="117"/>
  <c r="A139" i="117"/>
  <c r="N138" i="117"/>
  <c r="M138" i="117"/>
  <c r="L138" i="117"/>
  <c r="K138" i="117"/>
  <c r="H138" i="117"/>
  <c r="A138" i="117"/>
  <c r="N137" i="117"/>
  <c r="M137" i="117"/>
  <c r="L137" i="117"/>
  <c r="K137" i="117"/>
  <c r="H137" i="117"/>
  <c r="A137" i="117"/>
  <c r="N136" i="117"/>
  <c r="M136" i="117"/>
  <c r="L136" i="117"/>
  <c r="K136" i="117"/>
  <c r="H136" i="117"/>
  <c r="A136" i="117"/>
  <c r="N135" i="117"/>
  <c r="M135" i="117"/>
  <c r="L135" i="117"/>
  <c r="K135" i="117"/>
  <c r="H135" i="117"/>
  <c r="A135" i="117"/>
  <c r="N134" i="117"/>
  <c r="M134" i="117"/>
  <c r="L134" i="117"/>
  <c r="K134" i="117"/>
  <c r="H134" i="117"/>
  <c r="A134" i="117"/>
  <c r="N133" i="117"/>
  <c r="M133" i="117"/>
  <c r="L133" i="117"/>
  <c r="K133" i="117"/>
  <c r="H133" i="117"/>
  <c r="A133" i="117"/>
  <c r="N132" i="117"/>
  <c r="M132" i="117"/>
  <c r="L132" i="117"/>
  <c r="K132" i="117"/>
  <c r="H132" i="117"/>
  <c r="A132" i="117"/>
  <c r="N131" i="117"/>
  <c r="M131" i="117"/>
  <c r="L131" i="117"/>
  <c r="K131" i="117"/>
  <c r="H131" i="117"/>
  <c r="A131" i="117"/>
  <c r="N130" i="117"/>
  <c r="M130" i="117"/>
  <c r="L130" i="117"/>
  <c r="K130" i="117"/>
  <c r="H130" i="117"/>
  <c r="A130" i="117"/>
  <c r="N129" i="117"/>
  <c r="M129" i="117"/>
  <c r="L129" i="117"/>
  <c r="K129" i="117"/>
  <c r="H129" i="117"/>
  <c r="A129" i="117"/>
  <c r="N128" i="117"/>
  <c r="M128" i="117"/>
  <c r="L128" i="117"/>
  <c r="K128" i="117"/>
  <c r="H128" i="117"/>
  <c r="A128" i="117"/>
  <c r="N127" i="117"/>
  <c r="M127" i="117"/>
  <c r="L127" i="117"/>
  <c r="K127" i="117"/>
  <c r="H127" i="117"/>
  <c r="A127" i="117"/>
  <c r="N126" i="117"/>
  <c r="M126" i="117"/>
  <c r="L126" i="117"/>
  <c r="K126" i="117"/>
  <c r="H126" i="117"/>
  <c r="A126" i="117"/>
  <c r="N125" i="117"/>
  <c r="M125" i="117"/>
  <c r="L125" i="117"/>
  <c r="K125" i="117"/>
  <c r="H125" i="117"/>
  <c r="A125" i="117"/>
  <c r="N124" i="117"/>
  <c r="M124" i="117"/>
  <c r="L124" i="117"/>
  <c r="K124" i="117"/>
  <c r="H124" i="117"/>
  <c r="A124" i="117"/>
  <c r="N123" i="117"/>
  <c r="M123" i="117"/>
  <c r="L123" i="117"/>
  <c r="K123" i="117"/>
  <c r="H123" i="117"/>
  <c r="A123" i="117"/>
  <c r="N122" i="117"/>
  <c r="M122" i="117"/>
  <c r="L122" i="117"/>
  <c r="K122" i="117"/>
  <c r="H122" i="117"/>
  <c r="A122" i="117"/>
  <c r="N121" i="117"/>
  <c r="M121" i="117"/>
  <c r="L121" i="117"/>
  <c r="K121" i="117"/>
  <c r="H121" i="117"/>
  <c r="A121" i="117"/>
  <c r="N120" i="117"/>
  <c r="M120" i="117"/>
  <c r="L120" i="117"/>
  <c r="K120" i="117"/>
  <c r="H120" i="117"/>
  <c r="A120" i="117"/>
  <c r="N119" i="117"/>
  <c r="M119" i="117"/>
  <c r="L119" i="117"/>
  <c r="K119" i="117"/>
  <c r="H119" i="117"/>
  <c r="A119" i="117"/>
  <c r="N118" i="117"/>
  <c r="M118" i="117"/>
  <c r="L118" i="117"/>
  <c r="K118" i="117"/>
  <c r="H118" i="117"/>
  <c r="A118" i="117"/>
  <c r="N117" i="117"/>
  <c r="M117" i="117"/>
  <c r="L117" i="117"/>
  <c r="K117" i="117"/>
  <c r="H117" i="117"/>
  <c r="A117" i="117"/>
  <c r="N116" i="117"/>
  <c r="M116" i="117"/>
  <c r="L116" i="117"/>
  <c r="K116" i="117"/>
  <c r="H116" i="117"/>
  <c r="A116" i="117"/>
  <c r="N115" i="117"/>
  <c r="M115" i="117"/>
  <c r="L115" i="117"/>
  <c r="K115" i="117"/>
  <c r="H115" i="117"/>
  <c r="A115" i="117"/>
  <c r="N114" i="117"/>
  <c r="M114" i="117"/>
  <c r="L114" i="117"/>
  <c r="K114" i="117"/>
  <c r="H114" i="117"/>
  <c r="A114" i="117"/>
  <c r="N113" i="117"/>
  <c r="M113" i="117"/>
  <c r="L113" i="117"/>
  <c r="K113" i="117"/>
  <c r="H113" i="117"/>
  <c r="A113" i="117"/>
  <c r="N112" i="117"/>
  <c r="M112" i="117"/>
  <c r="L112" i="117"/>
  <c r="K112" i="117"/>
  <c r="H112" i="117"/>
  <c r="A112" i="117"/>
  <c r="N111" i="117"/>
  <c r="M111" i="117"/>
  <c r="L111" i="117"/>
  <c r="K111" i="117"/>
  <c r="H111" i="117"/>
  <c r="A111" i="117"/>
  <c r="N110" i="117"/>
  <c r="M110" i="117"/>
  <c r="L110" i="117"/>
  <c r="K110" i="117"/>
  <c r="H110" i="117"/>
  <c r="A110" i="117"/>
  <c r="N109" i="117"/>
  <c r="M109" i="117"/>
  <c r="L109" i="117"/>
  <c r="K109" i="117"/>
  <c r="H109" i="117"/>
  <c r="A109" i="117"/>
  <c r="N108" i="117"/>
  <c r="M108" i="117"/>
  <c r="L108" i="117"/>
  <c r="K108" i="117"/>
  <c r="H108" i="117"/>
  <c r="A108" i="117"/>
  <c r="N107" i="117"/>
  <c r="M107" i="117"/>
  <c r="L107" i="117"/>
  <c r="K107" i="117"/>
  <c r="H107" i="117"/>
  <c r="A107" i="117"/>
  <c r="N106" i="117"/>
  <c r="M106" i="117"/>
  <c r="L106" i="117"/>
  <c r="K106" i="117"/>
  <c r="H106" i="117"/>
  <c r="A106" i="117"/>
  <c r="N105" i="117"/>
  <c r="M105" i="117"/>
  <c r="L105" i="117"/>
  <c r="K105" i="117"/>
  <c r="H105" i="117"/>
  <c r="A105" i="117"/>
  <c r="N104" i="117"/>
  <c r="M104" i="117"/>
  <c r="L104" i="117"/>
  <c r="K104" i="117"/>
  <c r="H104" i="117"/>
  <c r="A104" i="117"/>
  <c r="N103" i="117"/>
  <c r="M103" i="117"/>
  <c r="L103" i="117"/>
  <c r="K103" i="117"/>
  <c r="H103" i="117"/>
  <c r="A103" i="117"/>
  <c r="N102" i="117"/>
  <c r="M102" i="117"/>
  <c r="L102" i="117"/>
  <c r="K102" i="117"/>
  <c r="H102" i="117"/>
  <c r="A102" i="117"/>
  <c r="N101" i="117"/>
  <c r="M101" i="117"/>
  <c r="L101" i="117"/>
  <c r="K101" i="117"/>
  <c r="H101" i="117"/>
  <c r="A101" i="117"/>
  <c r="N100" i="117"/>
  <c r="M100" i="117"/>
  <c r="L100" i="117"/>
  <c r="K100" i="117"/>
  <c r="H100" i="117"/>
  <c r="A100" i="117"/>
  <c r="N99" i="117"/>
  <c r="M99" i="117"/>
  <c r="L99" i="117"/>
  <c r="K99" i="117"/>
  <c r="H99" i="117"/>
  <c r="A99" i="117"/>
  <c r="N98" i="117"/>
  <c r="M98" i="117"/>
  <c r="L98" i="117"/>
  <c r="K98" i="117"/>
  <c r="H98" i="117"/>
  <c r="A98" i="117"/>
  <c r="N97" i="117"/>
  <c r="M97" i="117"/>
  <c r="L97" i="117"/>
  <c r="K97" i="117"/>
  <c r="H97" i="117"/>
  <c r="A97" i="117"/>
  <c r="N96" i="117"/>
  <c r="M96" i="117"/>
  <c r="L96" i="117"/>
  <c r="K96" i="117"/>
  <c r="H96" i="117"/>
  <c r="A96" i="117"/>
  <c r="N95" i="117"/>
  <c r="M95" i="117"/>
  <c r="L95" i="117"/>
  <c r="K95" i="117"/>
  <c r="H95" i="117"/>
  <c r="A95" i="117"/>
  <c r="N94" i="117"/>
  <c r="M94" i="117"/>
  <c r="L94" i="117"/>
  <c r="K94" i="117"/>
  <c r="H94" i="117"/>
  <c r="A94" i="117"/>
  <c r="N93" i="117"/>
  <c r="M93" i="117"/>
  <c r="L93" i="117"/>
  <c r="K93" i="117"/>
  <c r="H93" i="117"/>
  <c r="A93" i="117"/>
  <c r="N92" i="117"/>
  <c r="M92" i="117"/>
  <c r="L92" i="117"/>
  <c r="K92" i="117"/>
  <c r="H92" i="117"/>
  <c r="A92" i="117"/>
  <c r="N91" i="117"/>
  <c r="M91" i="117"/>
  <c r="L91" i="117"/>
  <c r="K91" i="117"/>
  <c r="H91" i="117"/>
  <c r="A91" i="117"/>
  <c r="N90" i="117"/>
  <c r="M90" i="117"/>
  <c r="L90" i="117"/>
  <c r="K90" i="117"/>
  <c r="H90" i="117"/>
  <c r="A90" i="117"/>
  <c r="N89" i="117"/>
  <c r="M89" i="117"/>
  <c r="L89" i="117"/>
  <c r="K89" i="117"/>
  <c r="H89" i="117"/>
  <c r="A89" i="117"/>
  <c r="N88" i="117"/>
  <c r="M88" i="117"/>
  <c r="L88" i="117"/>
  <c r="K88" i="117"/>
  <c r="H88" i="117"/>
  <c r="A88" i="117"/>
  <c r="N87" i="117"/>
  <c r="M87" i="117"/>
  <c r="L87" i="117"/>
  <c r="K87" i="117"/>
  <c r="H87" i="117"/>
  <c r="A87" i="117"/>
  <c r="N86" i="117"/>
  <c r="M86" i="117"/>
  <c r="L86" i="117"/>
  <c r="K86" i="117"/>
  <c r="H86" i="117"/>
  <c r="A86" i="117"/>
  <c r="N85" i="117"/>
  <c r="M85" i="117"/>
  <c r="L85" i="117"/>
  <c r="K85" i="117"/>
  <c r="H85" i="117"/>
  <c r="A85" i="117"/>
  <c r="N84" i="117"/>
  <c r="M84" i="117"/>
  <c r="L84" i="117"/>
  <c r="K84" i="117"/>
  <c r="H84" i="117"/>
  <c r="A84" i="117"/>
  <c r="N83" i="117"/>
  <c r="M83" i="117"/>
  <c r="L83" i="117"/>
  <c r="K83" i="117"/>
  <c r="H83" i="117"/>
  <c r="A83" i="117"/>
  <c r="N82" i="117"/>
  <c r="M82" i="117"/>
  <c r="L82" i="117"/>
  <c r="K82" i="117"/>
  <c r="H82" i="117"/>
  <c r="A82" i="117"/>
  <c r="N81" i="117"/>
  <c r="M81" i="117"/>
  <c r="L81" i="117"/>
  <c r="K81" i="117"/>
  <c r="H81" i="117"/>
  <c r="A81" i="117"/>
  <c r="N80" i="117"/>
  <c r="M80" i="117"/>
  <c r="L80" i="117"/>
  <c r="K80" i="117"/>
  <c r="H80" i="117"/>
  <c r="A80" i="117"/>
  <c r="N79" i="117"/>
  <c r="M79" i="117"/>
  <c r="L79" i="117"/>
  <c r="K79" i="117"/>
  <c r="H79" i="117"/>
  <c r="A79" i="117"/>
  <c r="N78" i="117"/>
  <c r="M78" i="117"/>
  <c r="L78" i="117"/>
  <c r="K78" i="117"/>
  <c r="H78" i="117"/>
  <c r="A78" i="117"/>
  <c r="N77" i="117"/>
  <c r="M77" i="117"/>
  <c r="L77" i="117"/>
  <c r="K77" i="117"/>
  <c r="H77" i="117"/>
  <c r="A77" i="117"/>
  <c r="N76" i="117"/>
  <c r="M76" i="117"/>
  <c r="L76" i="117"/>
  <c r="K76" i="117"/>
  <c r="H76" i="117"/>
  <c r="A76" i="117"/>
  <c r="N75" i="117"/>
  <c r="M75" i="117"/>
  <c r="L75" i="117"/>
  <c r="K75" i="117"/>
  <c r="H75" i="117"/>
  <c r="A75" i="117"/>
  <c r="N74" i="117"/>
  <c r="M74" i="117"/>
  <c r="L74" i="117"/>
  <c r="K74" i="117"/>
  <c r="H74" i="117"/>
  <c r="A74" i="117"/>
  <c r="N73" i="117"/>
  <c r="M73" i="117"/>
  <c r="L73" i="117"/>
  <c r="K73" i="117"/>
  <c r="H73" i="117"/>
  <c r="A73" i="117"/>
  <c r="N72" i="117"/>
  <c r="M72" i="117"/>
  <c r="L72" i="117"/>
  <c r="K72" i="117"/>
  <c r="H72" i="117"/>
  <c r="A72" i="117"/>
  <c r="N71" i="117"/>
  <c r="M71" i="117"/>
  <c r="L71" i="117"/>
  <c r="K71" i="117"/>
  <c r="H71" i="117"/>
  <c r="A71" i="117"/>
  <c r="N70" i="117"/>
  <c r="M70" i="117"/>
  <c r="L70" i="117"/>
  <c r="K70" i="117"/>
  <c r="H70" i="117"/>
  <c r="A70" i="117"/>
  <c r="N69" i="117"/>
  <c r="M69" i="117"/>
  <c r="L69" i="117"/>
  <c r="K69" i="117"/>
  <c r="H69" i="117"/>
  <c r="A69" i="117"/>
  <c r="N68" i="117"/>
  <c r="M68" i="117"/>
  <c r="L68" i="117"/>
  <c r="K68" i="117"/>
  <c r="H68" i="117"/>
  <c r="A68" i="117"/>
  <c r="N67" i="117"/>
  <c r="M67" i="117"/>
  <c r="L67" i="117"/>
  <c r="K67" i="117"/>
  <c r="H67" i="117"/>
  <c r="A67" i="117"/>
  <c r="N66" i="117"/>
  <c r="M66" i="117"/>
  <c r="L66" i="117"/>
  <c r="K66" i="117"/>
  <c r="H66" i="117"/>
  <c r="A66" i="117"/>
  <c r="N65" i="117"/>
  <c r="M65" i="117"/>
  <c r="L65" i="117"/>
  <c r="K65" i="117"/>
  <c r="H65" i="117"/>
  <c r="A65" i="117"/>
  <c r="N64" i="117"/>
  <c r="M64" i="117"/>
  <c r="L64" i="117"/>
  <c r="K64" i="117"/>
  <c r="H64" i="117"/>
  <c r="A64" i="117"/>
  <c r="N63" i="117"/>
  <c r="M63" i="117"/>
  <c r="L63" i="117"/>
  <c r="K63" i="117"/>
  <c r="H63" i="117"/>
  <c r="A63" i="117"/>
  <c r="N62" i="117"/>
  <c r="M62" i="117"/>
  <c r="L62" i="117"/>
  <c r="K62" i="117"/>
  <c r="H62" i="117"/>
  <c r="A62" i="117"/>
  <c r="N61" i="117"/>
  <c r="M61" i="117"/>
  <c r="L61" i="117"/>
  <c r="K61" i="117"/>
  <c r="H61" i="117"/>
  <c r="A61" i="117"/>
  <c r="N60" i="117"/>
  <c r="M60" i="117"/>
  <c r="L60" i="117"/>
  <c r="K60" i="117"/>
  <c r="H60" i="117"/>
  <c r="A60" i="117"/>
  <c r="N59" i="117"/>
  <c r="M59" i="117"/>
  <c r="L59" i="117"/>
  <c r="K59" i="117"/>
  <c r="H59" i="117"/>
  <c r="A59" i="117"/>
  <c r="N58" i="117"/>
  <c r="M58" i="117"/>
  <c r="L58" i="117"/>
  <c r="K58" i="117"/>
  <c r="H58" i="117"/>
  <c r="A58" i="117"/>
  <c r="N57" i="117"/>
  <c r="M57" i="117"/>
  <c r="L57" i="117"/>
  <c r="K57" i="117"/>
  <c r="H57" i="117"/>
  <c r="A57" i="117"/>
  <c r="N56" i="117"/>
  <c r="M56" i="117"/>
  <c r="L56" i="117"/>
  <c r="K56" i="117"/>
  <c r="H56" i="117"/>
  <c r="A56" i="117"/>
  <c r="N55" i="117"/>
  <c r="M55" i="117"/>
  <c r="L55" i="117"/>
  <c r="K55" i="117"/>
  <c r="H55" i="117"/>
  <c r="A55" i="117"/>
  <c r="N54" i="117"/>
  <c r="M54" i="117"/>
  <c r="L54" i="117"/>
  <c r="K54" i="117"/>
  <c r="H54" i="117"/>
  <c r="A54" i="117"/>
  <c r="N53" i="117"/>
  <c r="M53" i="117"/>
  <c r="L53" i="117"/>
  <c r="K53" i="117"/>
  <c r="H53" i="117"/>
  <c r="A53" i="117"/>
  <c r="N52" i="117"/>
  <c r="M52" i="117"/>
  <c r="L52" i="117"/>
  <c r="K52" i="117"/>
  <c r="H52" i="117"/>
  <c r="A52" i="117"/>
  <c r="N51" i="117"/>
  <c r="M51" i="117"/>
  <c r="L51" i="117"/>
  <c r="K51" i="117"/>
  <c r="H51" i="117"/>
  <c r="A51" i="117"/>
  <c r="N50" i="117"/>
  <c r="M50" i="117"/>
  <c r="L50" i="117"/>
  <c r="K50" i="117"/>
  <c r="H50" i="117"/>
  <c r="A50" i="117"/>
  <c r="N49" i="117"/>
  <c r="M49" i="117"/>
  <c r="L49" i="117"/>
  <c r="K49" i="117"/>
  <c r="H49" i="117"/>
  <c r="A49" i="117"/>
  <c r="N48" i="117"/>
  <c r="M48" i="117"/>
  <c r="L48" i="117"/>
  <c r="K48" i="117"/>
  <c r="H48" i="117"/>
  <c r="A48" i="117"/>
  <c r="N47" i="117"/>
  <c r="M47" i="117"/>
  <c r="L47" i="117"/>
  <c r="K47" i="117"/>
  <c r="H47" i="117"/>
  <c r="A47" i="117"/>
  <c r="N46" i="117"/>
  <c r="M46" i="117"/>
  <c r="L46" i="117"/>
  <c r="K46" i="117"/>
  <c r="H46" i="117"/>
  <c r="A46" i="117"/>
  <c r="N45" i="117"/>
  <c r="M45" i="117"/>
  <c r="L45" i="117"/>
  <c r="K45" i="117"/>
  <c r="H45" i="117"/>
  <c r="A45" i="117"/>
  <c r="N44" i="117"/>
  <c r="M44" i="117"/>
  <c r="L44" i="117"/>
  <c r="K44" i="117"/>
  <c r="H44" i="117"/>
  <c r="A44" i="117"/>
  <c r="N43" i="117"/>
  <c r="M43" i="117"/>
  <c r="L43" i="117"/>
  <c r="K43" i="117"/>
  <c r="H43" i="117"/>
  <c r="A43" i="117"/>
  <c r="N42" i="117"/>
  <c r="M42" i="117"/>
  <c r="L42" i="117"/>
  <c r="K42" i="117"/>
  <c r="H42" i="117"/>
  <c r="A42" i="117"/>
  <c r="N41" i="117"/>
  <c r="M41" i="117"/>
  <c r="L41" i="117"/>
  <c r="K41" i="117"/>
  <c r="H41" i="117"/>
  <c r="A41" i="117"/>
  <c r="N40" i="117"/>
  <c r="M40" i="117"/>
  <c r="L40" i="117"/>
  <c r="K40" i="117"/>
  <c r="H40" i="117"/>
  <c r="A40" i="117"/>
  <c r="N39" i="117"/>
  <c r="M39" i="117"/>
  <c r="L39" i="117"/>
  <c r="K39" i="117"/>
  <c r="H39" i="117"/>
  <c r="A39" i="117"/>
  <c r="N38" i="117"/>
  <c r="M38" i="117"/>
  <c r="L38" i="117"/>
  <c r="K38" i="117"/>
  <c r="H38" i="117"/>
  <c r="A38" i="117"/>
  <c r="N37" i="117"/>
  <c r="M37" i="117"/>
  <c r="L37" i="117"/>
  <c r="K37" i="117"/>
  <c r="H37" i="117"/>
  <c r="A37" i="117"/>
  <c r="N36" i="117"/>
  <c r="M36" i="117"/>
  <c r="L36" i="117"/>
  <c r="K36" i="117"/>
  <c r="H36" i="117"/>
  <c r="A36" i="117"/>
  <c r="N35" i="117"/>
  <c r="M35" i="117"/>
  <c r="L35" i="117"/>
  <c r="K35" i="117"/>
  <c r="H35" i="117"/>
  <c r="A35" i="117"/>
  <c r="N34" i="117"/>
  <c r="M34" i="117"/>
  <c r="L34" i="117"/>
  <c r="K34" i="117"/>
  <c r="H34" i="117"/>
  <c r="A34" i="117"/>
  <c r="N33" i="117"/>
  <c r="M33" i="117"/>
  <c r="L33" i="117"/>
  <c r="K33" i="117"/>
  <c r="H33" i="117"/>
  <c r="A33" i="117"/>
  <c r="N32" i="117"/>
  <c r="M32" i="117"/>
  <c r="L32" i="117"/>
  <c r="K32" i="117"/>
  <c r="H32" i="117"/>
  <c r="A32" i="117"/>
  <c r="N31" i="117"/>
  <c r="M31" i="117"/>
  <c r="L31" i="117"/>
  <c r="K31" i="117"/>
  <c r="H31" i="117"/>
  <c r="A31" i="117"/>
  <c r="N30" i="117"/>
  <c r="M30" i="117"/>
  <c r="L30" i="117"/>
  <c r="K30" i="117"/>
  <c r="H30" i="117"/>
  <c r="A30" i="117"/>
  <c r="N29" i="117"/>
  <c r="M29" i="117"/>
  <c r="L29" i="117"/>
  <c r="K29" i="117"/>
  <c r="H29" i="117"/>
  <c r="A29" i="117"/>
  <c r="N28" i="117"/>
  <c r="M28" i="117"/>
  <c r="L28" i="117"/>
  <c r="K28" i="117"/>
  <c r="H28" i="117"/>
  <c r="A28" i="117"/>
  <c r="N27" i="117"/>
  <c r="M27" i="117"/>
  <c r="L27" i="117"/>
  <c r="K27" i="117"/>
  <c r="H27" i="117"/>
  <c r="A27" i="117"/>
  <c r="N26" i="117"/>
  <c r="M26" i="117"/>
  <c r="L26" i="117"/>
  <c r="K26" i="117"/>
  <c r="H26" i="117"/>
  <c r="A26" i="117"/>
  <c r="N25" i="117"/>
  <c r="M25" i="117"/>
  <c r="L25" i="117"/>
  <c r="K25" i="117"/>
  <c r="H25" i="117"/>
  <c r="A25" i="117"/>
  <c r="N24" i="117"/>
  <c r="M24" i="117"/>
  <c r="L24" i="117"/>
  <c r="K24" i="117"/>
  <c r="H24" i="117"/>
  <c r="A24" i="117"/>
  <c r="N23" i="117"/>
  <c r="M23" i="117"/>
  <c r="L23" i="117"/>
  <c r="K23" i="117"/>
  <c r="H23" i="117"/>
  <c r="A23" i="117"/>
  <c r="N22" i="117"/>
  <c r="M22" i="117"/>
  <c r="L22" i="117"/>
  <c r="K22" i="117"/>
  <c r="H22" i="117"/>
  <c r="A22" i="117"/>
  <c r="N21" i="117"/>
  <c r="M21" i="117"/>
  <c r="L21" i="117"/>
  <c r="K21" i="117"/>
  <c r="H21" i="117"/>
  <c r="A21" i="117"/>
  <c r="N20" i="117"/>
  <c r="M20" i="117"/>
  <c r="L20" i="117"/>
  <c r="K20" i="117"/>
  <c r="H20" i="117"/>
  <c r="A20" i="117"/>
  <c r="N19" i="117"/>
  <c r="M19" i="117"/>
  <c r="L19" i="117"/>
  <c r="K19" i="117"/>
  <c r="H19" i="117"/>
  <c r="A19" i="117"/>
  <c r="N18" i="117"/>
  <c r="M18" i="117"/>
  <c r="L18" i="117"/>
  <c r="K18" i="117"/>
  <c r="H18" i="117"/>
  <c r="A18" i="117"/>
  <c r="N17" i="117"/>
  <c r="M17" i="117"/>
  <c r="L17" i="117"/>
  <c r="K17" i="117"/>
  <c r="H17" i="117"/>
  <c r="A17" i="117"/>
  <c r="N16" i="117"/>
  <c r="M16" i="117"/>
  <c r="L16" i="117"/>
  <c r="K16" i="117"/>
  <c r="H16" i="117"/>
  <c r="A16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B40" i="116"/>
  <c r="B43" i="116"/>
  <c r="B46" i="116"/>
  <c r="F40" i="116"/>
  <c r="G40" i="116"/>
  <c r="C19" i="116"/>
  <c r="C20" i="116"/>
  <c r="C21" i="116"/>
  <c r="C24" i="116"/>
  <c r="C25" i="116"/>
  <c r="C26" i="116"/>
  <c r="C27" i="116"/>
  <c r="C28" i="116"/>
  <c r="C29" i="116"/>
  <c r="C30" i="116"/>
  <c r="C31" i="116"/>
  <c r="I31" i="116"/>
  <c r="J31" i="116"/>
  <c r="D31" i="116"/>
  <c r="I30" i="116"/>
  <c r="J30" i="116"/>
  <c r="D30" i="116"/>
  <c r="I29" i="116"/>
  <c r="J29" i="116"/>
  <c r="F29" i="116"/>
  <c r="D29" i="116"/>
  <c r="I24" i="116"/>
  <c r="J24" i="116"/>
  <c r="F24" i="116"/>
  <c r="D24" i="116"/>
  <c r="I19" i="116"/>
  <c r="J19" i="116"/>
  <c r="F19" i="116"/>
  <c r="D19" i="116"/>
  <c r="I18" i="116"/>
  <c r="J18" i="116"/>
  <c r="F18" i="116"/>
  <c r="C18" i="116"/>
  <c r="D18" i="116"/>
  <c r="I17" i="116"/>
  <c r="J17" i="116"/>
  <c r="F17" i="116"/>
  <c r="C17" i="116"/>
  <c r="D17" i="116"/>
  <c r="V5" i="116"/>
  <c r="P5" i="116"/>
  <c r="M5" i="116"/>
  <c r="V4" i="116"/>
  <c r="P4" i="116"/>
  <c r="M4" i="116"/>
  <c r="V3" i="116"/>
  <c r="P3" i="116"/>
  <c r="M3" i="116"/>
  <c r="V2" i="116"/>
  <c r="F27" i="106"/>
  <c r="G30" i="106"/>
  <c r="G31" i="106"/>
  <c r="V3" i="106"/>
  <c r="V4" i="106"/>
  <c r="V5" i="106"/>
  <c r="V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P4" i="106"/>
  <c r="P5" i="106"/>
  <c r="P6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  <c r="G25" i="116"/>
  <c r="H25" i="116"/>
  <c r="O43" i="117"/>
  <c r="G26" i="116"/>
  <c r="H26" i="116"/>
  <c r="O44" i="117"/>
  <c r="O46" i="117"/>
  <c r="O47" i="117"/>
  <c r="O49" i="117"/>
  <c r="O50" i="117"/>
  <c r="G20" i="116"/>
  <c r="H20" i="116"/>
  <c r="O52" i="117"/>
  <c r="G21" i="116"/>
  <c r="H21" i="116"/>
  <c r="O53" i="117"/>
  <c r="O55" i="117"/>
  <c r="O56" i="117"/>
  <c r="O58" i="117"/>
  <c r="O59" i="117"/>
  <c r="O61" i="117"/>
  <c r="O62" i="117"/>
  <c r="O64" i="117"/>
  <c r="O65" i="117"/>
  <c r="O67" i="117"/>
  <c r="O68" i="117"/>
  <c r="O70" i="117"/>
  <c r="O71" i="117"/>
  <c r="O73" i="117"/>
  <c r="O74" i="117"/>
  <c r="O76" i="117"/>
  <c r="O77" i="117"/>
  <c r="O79" i="117"/>
  <c r="O80" i="117"/>
  <c r="O82" i="117"/>
  <c r="O83" i="117"/>
  <c r="O85" i="117"/>
  <c r="O86" i="117"/>
  <c r="O88" i="117"/>
  <c r="O89" i="117"/>
  <c r="O91" i="117"/>
  <c r="O92" i="117"/>
  <c r="O94" i="117"/>
  <c r="O95" i="117"/>
  <c r="O97" i="117"/>
  <c r="O98" i="117"/>
  <c r="O100" i="117"/>
  <c r="O101" i="117"/>
  <c r="O103" i="117"/>
  <c r="O104" i="117"/>
  <c r="O106" i="117"/>
  <c r="O107" i="117"/>
  <c r="O109" i="117"/>
  <c r="O110" i="117"/>
  <c r="O112" i="117"/>
  <c r="O113" i="117"/>
  <c r="O115" i="117"/>
  <c r="O116" i="117"/>
  <c r="O118" i="117"/>
  <c r="O119" i="117"/>
  <c r="O121" i="117"/>
  <c r="O122" i="117"/>
  <c r="O124" i="117"/>
  <c r="O125" i="117"/>
  <c r="O127" i="117"/>
  <c r="O128" i="117"/>
  <c r="O130" i="117"/>
  <c r="O131" i="117"/>
  <c r="O133" i="117"/>
  <c r="O134" i="117"/>
  <c r="O136" i="117"/>
  <c r="O137" i="117"/>
  <c r="G27" i="116"/>
  <c r="H27" i="116"/>
  <c r="O138" i="117"/>
  <c r="G28" i="116"/>
  <c r="H28" i="116"/>
  <c r="O139" i="117"/>
  <c r="O140" i="117"/>
  <c r="O141" i="117"/>
  <c r="O142" i="117"/>
  <c r="O143" i="117"/>
  <c r="O144" i="117"/>
  <c r="O145" i="117"/>
  <c r="O147" i="117"/>
  <c r="O148" i="117"/>
  <c r="O149" i="117"/>
  <c r="O150" i="117"/>
  <c r="O151" i="117"/>
  <c r="O152" i="117"/>
  <c r="O154" i="117"/>
  <c r="O155" i="117"/>
  <c r="O156" i="117"/>
  <c r="O157" i="117"/>
  <c r="O159" i="117"/>
  <c r="O160" i="117"/>
  <c r="O162" i="117"/>
  <c r="O163" i="117"/>
  <c r="O164" i="117"/>
  <c r="O165" i="117"/>
  <c r="O167" i="117"/>
  <c r="O168" i="117"/>
  <c r="O169" i="117"/>
  <c r="O170" i="117"/>
  <c r="O172" i="117"/>
  <c r="O173" i="117"/>
  <c r="O174" i="117"/>
  <c r="O175" i="117"/>
  <c r="O176" i="117"/>
  <c r="O177" i="117"/>
  <c r="O179" i="117"/>
  <c r="O180" i="117"/>
  <c r="O182" i="117"/>
  <c r="O183" i="117"/>
  <c r="O184" i="117"/>
  <c r="O185" i="117"/>
  <c r="O187" i="117"/>
  <c r="O188" i="117"/>
  <c r="O189" i="117"/>
  <c r="O190" i="117"/>
  <c r="O191" i="117"/>
  <c r="O192" i="117"/>
  <c r="O194" i="117"/>
  <c r="O195" i="117"/>
  <c r="O196" i="117"/>
  <c r="O197" i="117"/>
  <c r="O199" i="117"/>
  <c r="O200" i="117"/>
  <c r="O201" i="117"/>
  <c r="O202" i="117"/>
  <c r="O204" i="117"/>
  <c r="O205" i="117"/>
  <c r="O206" i="117"/>
  <c r="O207" i="117"/>
  <c r="O208" i="117"/>
  <c r="O209" i="117"/>
  <c r="O211" i="117"/>
  <c r="O212" i="117"/>
  <c r="O213" i="117"/>
  <c r="O214" i="117"/>
  <c r="O215" i="117"/>
  <c r="O216" i="117"/>
  <c r="O218" i="117"/>
  <c r="O219" i="117"/>
  <c r="O221" i="117"/>
  <c r="O222" i="117"/>
  <c r="O223" i="117"/>
  <c r="O224" i="117"/>
  <c r="O226" i="117"/>
  <c r="O227" i="117"/>
  <c r="O229" i="117"/>
  <c r="O230" i="117"/>
  <c r="O231" i="117"/>
  <c r="O232" i="117"/>
  <c r="O234" i="117"/>
  <c r="O235" i="117"/>
  <c r="O236" i="117"/>
  <c r="O237" i="117"/>
  <c r="O238" i="117"/>
  <c r="O239" i="117"/>
  <c r="O241" i="117"/>
  <c r="O242" i="117"/>
  <c r="O244" i="117"/>
  <c r="O245" i="117"/>
  <c r="O247" i="117"/>
  <c r="O248" i="117"/>
  <c r="O250" i="117"/>
  <c r="O251" i="117"/>
  <c r="O252" i="117"/>
  <c r="O253" i="117"/>
  <c r="O254" i="117"/>
  <c r="O255" i="117"/>
  <c r="O256" i="117"/>
  <c r="O257" i="117"/>
  <c r="O258" i="117"/>
  <c r="O259" i="117"/>
  <c r="O261" i="117"/>
  <c r="O262" i="117"/>
  <c r="O264" i="117"/>
  <c r="O265" i="117"/>
  <c r="G22" i="116"/>
  <c r="H22" i="116"/>
  <c r="O266" i="117"/>
  <c r="G23" i="116"/>
  <c r="H23" i="116"/>
  <c r="O267" i="117"/>
  <c r="O268" i="117"/>
  <c r="O269" i="117"/>
  <c r="O274" i="117"/>
  <c r="O275" i="117"/>
  <c r="O276" i="117"/>
  <c r="O277" i="117"/>
  <c r="R3" i="116"/>
  <c r="O278" i="117"/>
  <c r="R4" i="116"/>
  <c r="O279" i="117"/>
  <c r="P281" i="117"/>
  <c r="P282" i="117"/>
  <c r="P283" i="117"/>
  <c r="P280" i="117"/>
  <c r="P279" i="117"/>
  <c r="P278" i="117"/>
  <c r="P277" i="117"/>
  <c r="P272" i="117"/>
  <c r="P273" i="117"/>
  <c r="P274" i="117"/>
  <c r="P275" i="117"/>
  <c r="P276" i="117"/>
  <c r="P271" i="117"/>
  <c r="P270" i="117"/>
  <c r="P269" i="117"/>
  <c r="P268" i="117"/>
  <c r="P267" i="117"/>
  <c r="P266" i="117"/>
  <c r="P265" i="117"/>
  <c r="P264" i="117"/>
  <c r="P263" i="117"/>
  <c r="P262" i="117"/>
  <c r="P261" i="117"/>
  <c r="P260" i="117"/>
  <c r="P259" i="117"/>
  <c r="P258" i="117"/>
  <c r="P257" i="117"/>
  <c r="P256" i="117"/>
  <c r="P255" i="117"/>
  <c r="P254" i="117"/>
  <c r="P253" i="117"/>
  <c r="P252" i="117"/>
  <c r="P251" i="117"/>
  <c r="P250" i="117"/>
  <c r="P249" i="117"/>
  <c r="P248" i="117"/>
  <c r="P247" i="117"/>
  <c r="P246" i="117"/>
  <c r="P245" i="117"/>
  <c r="P244" i="117"/>
  <c r="P243" i="117"/>
  <c r="P242" i="117"/>
  <c r="P241" i="117"/>
  <c r="P240" i="117"/>
  <c r="P239" i="117"/>
  <c r="P238" i="117"/>
  <c r="P237" i="117"/>
  <c r="P236" i="117"/>
  <c r="P235" i="117"/>
  <c r="P234" i="117"/>
  <c r="P233" i="117"/>
  <c r="P232" i="117"/>
  <c r="P231" i="117"/>
  <c r="P230" i="117"/>
  <c r="P229" i="117"/>
  <c r="P228" i="117"/>
  <c r="P227" i="117"/>
  <c r="P226" i="117"/>
  <c r="P225" i="117"/>
  <c r="P224" i="117"/>
  <c r="P223" i="117"/>
  <c r="P222" i="117"/>
  <c r="P221" i="117"/>
  <c r="P220" i="117"/>
  <c r="P219" i="117"/>
  <c r="P218" i="117"/>
  <c r="P217" i="117"/>
  <c r="P216" i="117"/>
  <c r="P215" i="117"/>
  <c r="P214" i="117"/>
  <c r="P213" i="117"/>
  <c r="P212" i="117"/>
  <c r="P211" i="117"/>
  <c r="P210" i="117"/>
  <c r="P209" i="117"/>
  <c r="P208" i="117"/>
  <c r="P207" i="117"/>
  <c r="P206" i="117"/>
  <c r="P205" i="117"/>
  <c r="P204" i="117"/>
  <c r="P203" i="117"/>
  <c r="P202" i="117"/>
  <c r="P201" i="117"/>
  <c r="P200" i="117"/>
  <c r="P199" i="117"/>
  <c r="P198" i="117"/>
  <c r="P197" i="117"/>
  <c r="P196" i="117"/>
  <c r="P195" i="117"/>
  <c r="P194" i="117"/>
  <c r="P193" i="117"/>
  <c r="P192" i="117"/>
  <c r="P191" i="117"/>
  <c r="P190" i="117"/>
  <c r="P189" i="117"/>
  <c r="P188" i="117"/>
  <c r="P187" i="117"/>
  <c r="P186" i="117"/>
  <c r="P185" i="117"/>
  <c r="P184" i="117"/>
  <c r="P183" i="117"/>
  <c r="P182" i="117"/>
  <c r="P181" i="117"/>
  <c r="P180" i="117"/>
  <c r="P179" i="117"/>
  <c r="P178" i="117"/>
  <c r="P177" i="117"/>
  <c r="P176" i="117"/>
  <c r="P175" i="117"/>
  <c r="P174" i="117"/>
  <c r="P173" i="117"/>
  <c r="P172" i="117"/>
  <c r="P171" i="117"/>
  <c r="P170" i="117"/>
  <c r="P169" i="117"/>
  <c r="P168" i="117"/>
  <c r="P167" i="117"/>
  <c r="P166" i="117"/>
  <c r="P165" i="117"/>
  <c r="P164" i="117"/>
  <c r="P163" i="117"/>
  <c r="P162" i="117"/>
  <c r="P161" i="117"/>
  <c r="P160" i="117"/>
  <c r="P159" i="117"/>
  <c r="P158" i="117"/>
  <c r="P157" i="117"/>
  <c r="P156" i="117"/>
  <c r="P155" i="117"/>
  <c r="P154" i="117"/>
  <c r="P153" i="117"/>
  <c r="P152" i="117"/>
  <c r="P151" i="117"/>
  <c r="P150" i="117"/>
  <c r="P149" i="117"/>
  <c r="P148" i="117"/>
  <c r="P147" i="117"/>
  <c r="P146" i="117"/>
  <c r="P145" i="117"/>
  <c r="P144" i="117"/>
  <c r="P143" i="117"/>
  <c r="P142" i="117"/>
  <c r="P141" i="117"/>
  <c r="P140" i="117"/>
  <c r="P139" i="117"/>
  <c r="P137" i="117"/>
  <c r="P136" i="117"/>
  <c r="P135" i="117"/>
  <c r="P134" i="117"/>
  <c r="P133" i="117"/>
  <c r="P132" i="117"/>
  <c r="P131" i="117"/>
  <c r="P130" i="117"/>
  <c r="P129" i="117"/>
  <c r="P128" i="117"/>
  <c r="P127" i="117"/>
  <c r="P126" i="117"/>
  <c r="P125" i="117"/>
  <c r="P124" i="117"/>
  <c r="P123" i="117"/>
  <c r="P122" i="117"/>
  <c r="P121" i="117"/>
  <c r="P120" i="117"/>
  <c r="P119" i="117"/>
  <c r="P118" i="117"/>
  <c r="P117" i="117"/>
  <c r="P116" i="117"/>
  <c r="P115" i="117"/>
  <c r="P114" i="117"/>
  <c r="P113" i="117"/>
  <c r="P112" i="117"/>
  <c r="P111" i="117"/>
  <c r="P110" i="117"/>
  <c r="P109" i="117"/>
  <c r="P108" i="117"/>
  <c r="P107" i="117"/>
  <c r="P106" i="117"/>
  <c r="P105" i="117"/>
  <c r="P104" i="117"/>
  <c r="P103" i="117"/>
  <c r="P101" i="117"/>
  <c r="P100" i="117"/>
  <c r="P99" i="117"/>
  <c r="P98" i="117"/>
  <c r="P97" i="117"/>
  <c r="P96" i="117"/>
  <c r="P95" i="117"/>
  <c r="P94" i="117"/>
  <c r="P93" i="117"/>
  <c r="P92" i="117"/>
  <c r="P91" i="117"/>
  <c r="P90" i="117"/>
  <c r="P89" i="117"/>
  <c r="P88" i="117"/>
  <c r="P87" i="117"/>
  <c r="P86" i="117"/>
  <c r="P85" i="117"/>
  <c r="P84" i="117"/>
  <c r="P83" i="117"/>
  <c r="P82" i="117"/>
  <c r="P81" i="117"/>
  <c r="P80" i="117"/>
  <c r="P79" i="117"/>
  <c r="P78" i="117"/>
  <c r="P77" i="117"/>
  <c r="P76" i="117"/>
  <c r="P75" i="117"/>
  <c r="P74" i="117"/>
  <c r="P73" i="117"/>
  <c r="P72" i="117"/>
  <c r="P71" i="117"/>
  <c r="P70" i="117"/>
  <c r="P69" i="117"/>
  <c r="P68" i="117"/>
  <c r="P67" i="117"/>
  <c r="P66" i="117"/>
  <c r="P65" i="117"/>
  <c r="P64" i="117"/>
  <c r="P63" i="117"/>
  <c r="P62" i="117"/>
  <c r="P61" i="117"/>
  <c r="P60" i="117"/>
  <c r="P59" i="117"/>
  <c r="P58" i="117"/>
  <c r="P57" i="117"/>
  <c r="P56" i="117"/>
  <c r="P55" i="117"/>
  <c r="P54" i="117"/>
  <c r="P53" i="117"/>
  <c r="P52" i="117"/>
  <c r="P51" i="117"/>
  <c r="P50" i="117"/>
  <c r="P49" i="117"/>
  <c r="P48" i="117"/>
  <c r="P47" i="117"/>
  <c r="P46" i="117"/>
  <c r="P45" i="117"/>
  <c r="P44" i="117"/>
  <c r="P43" i="117"/>
  <c r="P41" i="117"/>
  <c r="P40" i="117"/>
  <c r="P39" i="117"/>
  <c r="P38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P24" i="117"/>
  <c r="P23" i="117"/>
  <c r="P22" i="117"/>
  <c r="P21" i="117"/>
  <c r="P20" i="117"/>
  <c r="P19" i="117"/>
  <c r="P18" i="117"/>
  <c r="P17" i="117"/>
  <c r="P16" i="117"/>
  <c r="P138" i="117"/>
  <c r="F48" i="116"/>
  <c r="P102" i="117"/>
  <c r="F47" i="116"/>
  <c r="B41" i="116"/>
  <c r="B42" i="116"/>
  <c r="B44" i="116"/>
  <c r="B45" i="116"/>
  <c r="B47" i="116"/>
  <c r="C41" i="116"/>
  <c r="C42" i="116"/>
  <c r="C43" i="116"/>
  <c r="C44" i="116"/>
  <c r="C45" i="116"/>
  <c r="C46" i="116"/>
  <c r="C40" i="116"/>
  <c r="C47" i="116"/>
  <c r="P42" i="117"/>
  <c r="F46" i="116"/>
  <c r="P15" i="117"/>
  <c r="F45" i="116"/>
  <c r="F42" i="116"/>
  <c r="G42" i="116"/>
  <c r="F41" i="116"/>
  <c r="G41" i="116"/>
  <c r="C23" i="116"/>
  <c r="C22" i="116"/>
  <c r="C32" i="116"/>
  <c r="B32" i="116"/>
  <c r="D32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I20" i="116"/>
  <c r="J20" i="116"/>
  <c r="F20" i="116"/>
  <c r="D20" i="116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<sst xmlns="http://schemas.openxmlformats.org/spreadsheetml/2006/main" count="447" uniqueCount="241">
  <si>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</si>
  <si>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</si>
  <si>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</si>
  <si>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</si>
  <si>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</si>
  <si>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</si>
  <si>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</si>
  <si>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</si>
  <si>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</si>
  <si>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</si>
  <si>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</si>
  <si>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</si>
  <si>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</si>
  <si>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</si>
  <si>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</si>
  <si>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</si>
  <si>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</si>
  <si>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</si>
  <si>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</si>
  <si>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</si>
  <si>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</si>
  <si>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</si>
  <si>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</si>
  <si>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</si>
  <si>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</si>
  <si>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</si>
  <si>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</si>
  <si>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</si>
  <si>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</si>
  <si>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</si>
  <si>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</si>
  <si>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</si>
  <si>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</si>
  <si>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</si>
  <si>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</si>
  <si>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</si>
  <si>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</si>
  <si>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</si>
  <si>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</si>
  <si>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weight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</si>
  <si>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</si>
  <si>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</si>
  <si>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</si>
  <si>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</si>
  <si>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</si>
  <si>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</si>
  <si>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</si>
  <si>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</si>
  <si>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</si>
  <si>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</si>
  <si>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</si>
  <si>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</si>
  <si>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</si>
  <si>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</si>
  <si>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skip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</si>
  <si>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</si>
  <si>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</si>
  <si>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</si>
  <si>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</si>
  <si>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hogehoge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</si>
  <si>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</si>
  <si>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</si>
  <si>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</si>
  <si>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</si>
  <si>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</si>
  <si>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</si>
  <si>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</si>
  <si>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</si>
  <si>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</si>
  <si>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</si>
  <si>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</si>
  <si>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</si>
  <si>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</si>
  <si>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</si>
  <si>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</si>
  <si>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</si>
  <si>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</si>
  <si>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</si>
  <si>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</si>
  <si>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確率</t>
    <rPh sb="0" eb="2">
      <t>カクリツ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</si>
  <si>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</si>
  <si>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</si>
  <si>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</si>
  <si>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</si>
  <si>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</si>
  <si>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</si>
  <si>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</si>
  <si>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</si>
  <si>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</si>
  <si>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</si>
  <si>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</si>
  <si>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</si>
  <si>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</si>
  <si>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</si>
  <si>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</si>
  <si>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</si>
  <si>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</si>
  <si>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</si>
  <si>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</si>
  <si>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ja</t>
    <phoneticPr fontId="21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</si>
  <si>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</si>
  <si>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</si>
  <si>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</si>
  <si>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</si>
  <si>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</si>
  <si>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</si>
  <si>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</si>
  <si>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</si>
  <si>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</si>
  <si>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</si>
  <si>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</si>
  <si>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</si>
  <si>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</si>
  <si>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</si>
  <si>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</si>
  <si>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PremiumSS4</t>
    <phoneticPr fontId="21"/>
  </si>
  <si>
    <t>PremiumSSS4</t>
    <phoneticPr fontId="21"/>
  </si>
  <si>
    <t>PremiumSS5</t>
    <phoneticPr fontId="21"/>
  </si>
  <si>
    <t>PremiumSSS5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</si>
  <si>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</si>
  <si>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</si>
  <si>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</si>
  <si>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</si>
  <si>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</si>
  <si>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</si>
  <si>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</si>
  <si>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</si>
  <si>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</si>
  <si>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</si>
  <si>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</si>
  <si>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</si>
  <si>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</si>
  <si>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</si>
  <si>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</si>
  <si>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</si>
  <si>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</si>
  <si>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</si>
  <si>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</si>
  <si>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</si>
  <si>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</si>
  <si>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</si>
  <si>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</si>
  <si>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</si>
  <si>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</si>
  <si>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</si>
  <si>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</si>
  <si>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</si>
  <si>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</si>
  <si>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</si>
  <si>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</si>
  <si>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</si>
  <si>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</si>
  <si>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</si>
  <si>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</si>
  <si>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</si>
  <si>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</si>
  <si>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</si>
  <si>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</si>
  <si>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</si>
  <si>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</si>
  <si>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</si>
  <si>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</si>
  <si>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</si>
  <si>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</si>
  <si>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</si>
  <si>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</si>
  <si>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</si>
  <si>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</si>
  <si>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</si>
  <si>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</si>
  <si>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</si>
  <si>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</si>
  <si>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</si>
  <si>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</si>
  <si>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</si>
  <si>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</si>
  <si>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</si>
  <si>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</si>
  <si>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</si>
  <si>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</si>
  <si>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</si>
  <si>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</si>
  <si>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</si>
  <si>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</si>
  <si>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</si>
  <si>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</si>
  <si>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</si>
  <si>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</si>
  <si>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</si>
  <si>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</si>
  <si>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</si>
  <si>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</si>
  <si>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</si>
  <si>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</si>
  <si>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</si>
  <si>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</si>
  <si>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</si>
  <si>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</si>
  <si>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</si>
  <si>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</si>
  <si>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</si>
  <si>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</si>
  <si>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</si>
  <si>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</si>
  <si>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</si>
  <si>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</si>
  <si>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</si>
  <si>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</si>
  <si>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</si>
  <si>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</si>
  <si>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</si>
  <si>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</si>
  <si>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</si>
  <si>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</si>
  <si>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</si>
  <si>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</si>
  <si>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</si>
  <si>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weight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</si>
  <si>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</si>
  <si>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</si>
  <si>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</si>
  <si>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</si>
  <si>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</si>
  <si>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old</t>
    <phoneticPr fontId="21"/>
  </si>
  <si>
    <t>tables_339010</t>
    <phoneticPr fontId="21"/>
  </si>
  <si>
    <t>skip</t>
    <phoneticPr fontId="21"/>
  </si>
  <si>
    <t>character_id</t>
    <phoneticPr fontId="21"/>
  </si>
  <si>
    <t>drop_label2</t>
    <phoneticPr fontId="21"/>
  </si>
  <si>
    <t>color2</t>
    <phoneticPr fontId="21"/>
  </si>
  <si>
    <t>name</t>
    <phoneticPr fontId="21"/>
  </si>
  <si>
    <t>drop_label</t>
    <phoneticPr fontId="21"/>
  </si>
  <si>
    <t>rare</t>
    <phoneticPr fontId="21"/>
  </si>
  <si>
    <t>color</t>
    <phoneticPr fontId="21"/>
  </si>
  <si>
    <t>character_type_id</t>
    <phoneticPr fontId="21"/>
  </si>
  <si>
    <t>character_tribe_id</t>
    <phoneticPr fontId="21"/>
  </si>
  <si>
    <t>weight</t>
    <phoneticPr fontId="21"/>
  </si>
  <si>
    <t>unit_level</t>
    <phoneticPr fontId="21"/>
  </si>
  <si>
    <t>old</t>
    <phoneticPr fontId="21"/>
  </si>
  <si>
    <t>gacha_settle_tables_</t>
    <phoneticPr fontId="21"/>
  </si>
  <si>
    <t>tables_346100</t>
    <phoneticPr fontId="21"/>
  </si>
  <si>
    <t>tables_settle_346100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</si>
</sst>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7" fillId="0" borderId="0"/>
    <xf numFmtId="0" fontId="3" fillId="0" borderId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3036" applyFont="1" applyBorder="1"/>
    <xf numFmtId="0" fontId="10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6" fillId="0" borderId="1" xfId="3036" applyFont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6" fillId="25" borderId="0" xfId="2" applyFont="1" applyFill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26" fillId="2" borderId="1" xfId="3663" applyFont="1" applyFill="1" applyBorder="1" applyAlignment="1">
      <alignment horizontal="left" vertical="center"/>
    </xf>
    <xf numFmtId="0" fontId="26" fillId="2" borderId="1" xfId="3663" applyFont="1" applyFill="1" applyBorder="1" applyAlignment="1">
      <alignment horizontal="center" vertical="center"/>
    </xf>
    <xf numFmtId="0" fontId="26" fillId="3" borderId="1" xfId="3663" applyFont="1" applyFill="1" applyBorder="1" applyAlignment="1">
      <alignment horizontal="center" vertical="center"/>
    </xf>
    <xf numFmtId="0" fontId="26" fillId="0" borderId="0" xfId="3663" applyFont="1" applyAlignment="1">
      <alignment vertical="center"/>
    </xf>
    <xf numFmtId="0" fontId="26" fillId="0" borderId="1" xfId="3663" applyFont="1" applyBorder="1" applyAlignment="1">
      <alignment vertical="center"/>
    </xf>
    <xf numFmtId="0" fontId="26" fillId="3" borderId="1" xfId="3663" applyFont="1" applyFill="1" applyBorder="1" applyAlignment="1">
      <alignment vertical="center"/>
    </xf>
    <xf numFmtId="0" fontId="26" fillId="0" borderId="0" xfId="3663" applyFont="1" applyAlignment="1">
      <alignment horizontal="center" vertical="center"/>
    </xf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3" fillId="2" borderId="1" xfId="19" applyFont="1" applyFill="1" applyBorder="1"/>
    <xf numFmtId="0" fontId="2" fillId="4" borderId="1" xfId="2978" applyFont="1" applyFill="1" applyBorder="1"/>
    <xf numFmtId="178" fontId="0" fillId="4" borderId="0" xfId="0" applyNumberFormat="1" applyFill="1"/>
    <xf numFmtId="10" fontId="0" fillId="4" borderId="0" xfId="0" applyNumberFormat="1" applyFill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2 3" xfId="3663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11" sqref="C11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F18" sqref="F1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225</v>
      </c>
      <c r="B2" s="63" t="s">
        <v>119</v>
      </c>
      <c r="C2" s="52" t="str">
        <f>RIGHT(F2,6)</f>
        <v>339010</v>
      </c>
      <c r="D2" s="19" t="s">
        <v>46</v>
      </c>
      <c r="E2" s="17" t="str">
        <f t="shared" ref="E2:E7" si="0">B2&amp;C2&amp;D2</f>
        <v>gacha_select_tables_339010.tmp</v>
      </c>
      <c r="F2" s="84" t="s">
        <v>224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4" t="s">
        <v>223</v>
      </c>
      <c r="B3" s="63" t="s">
        <v>119</v>
      </c>
      <c r="C3" s="52" t="str">
        <f>RIGHT(F3,6)</f>
        <v>346100</v>
      </c>
      <c r="D3" s="19" t="s">
        <v>46</v>
      </c>
      <c r="E3" s="17" t="str">
        <f t="shared" si="0"/>
        <v>gacha_select_tables_346100.tmp</v>
      </c>
      <c r="F3" s="97" t="s">
        <v>239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237</v>
      </c>
      <c r="B4" s="94" t="s">
        <v>238</v>
      </c>
      <c r="C4" s="95" t="str">
        <f>RIGHT(F4,6)</f>
        <v>346100</v>
      </c>
      <c r="D4" s="19" t="s">
        <v>46</v>
      </c>
      <c r="E4" s="17" t="str">
        <f t="shared" si="0"/>
        <v>gacha_settle_tables_346100.tmp</v>
      </c>
      <c r="F4" s="97" t="s">
        <v>240</v>
      </c>
      <c r="G4" s="96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N3" sqref="N3:N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346100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 s="83">
        <v>862</v>
      </c>
      <c r="M3" s="39" t="str">
        <f>VLOOKUP(L3,[1]characters!$A:$C,3,FALSE)</f>
        <v>ブレーメン</v>
      </c>
      <c r="N3" s="65">
        <f>0.01*0.95</f>
        <v>9.4999999999999998E-3</v>
      </c>
      <c r="O3" s="39">
        <f>VLOOKUP(L3,[1]characters!$A:$I,9,FALSE)</f>
        <v>4</v>
      </c>
      <c r="P3" s="39" t="str">
        <f>VLOOKUP(L3,[1]characters!$A:$J,10,FALSE)</f>
        <v>PremiumS</v>
      </c>
      <c r="Q3" s="39" t="str">
        <f>VLOOKUP(L3,tables_346100!B:C,2,FALSE)</f>
        <v>Premium4R3less</v>
      </c>
      <c r="R3" s="64">
        <f t="shared" ref="R3:R6" si="0">N3*A$36</f>
        <v>12996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83">
        <v>863</v>
      </c>
      <c r="M4" s="39" t="str">
        <f>VLOOKUP(L4,[1]characters!$A:$C,3,FALSE)</f>
        <v>歓揮の楽団長 ブレーメン</v>
      </c>
      <c r="N4" s="65">
        <f>0.01*0.05</f>
        <v>5.0000000000000001E-4</v>
      </c>
      <c r="O4" s="39">
        <f>VLOOKUP(L4,[1]characters!$A:$I,9,FALSE)</f>
        <v>5</v>
      </c>
      <c r="P4" s="39" t="str">
        <f>VLOOKUP(L4,[1]characters!$A:$J,10,FALSE)</f>
        <v>PremiumS</v>
      </c>
      <c r="Q4" s="39" t="str">
        <f>VLOOKUP(L4,tables_346100!B:C,2,FALSE)</f>
        <v>Premium5R3less</v>
      </c>
      <c r="R4" s="64">
        <f t="shared" si="0"/>
        <v>684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0.52500000000000002</v>
      </c>
      <c r="D5" t="s">
        <v>210</v>
      </c>
      <c r="E5" s="45">
        <f>(B11-H5)/(F5-I5)</f>
        <v>1.6666666666666663E-4</v>
      </c>
      <c r="F5">
        <f>(COUNTIF(tables_346100!C:C,input_346100!A26)+COUNTIF(tables_346100!C:C,input_346100!A28)+COUNTIF(tables_346100!C:C,input_346100!A29))</f>
        <v>38</v>
      </c>
      <c r="H5" s="99">
        <v>2.4E-2</v>
      </c>
      <c r="I5" s="31">
        <v>2</v>
      </c>
      <c r="L5" s="83">
        <v>864</v>
      </c>
      <c r="M5" s="39" t="str">
        <f>VLOOKUP(L5,[1]characters!$A:$C,3,FALSE)</f>
        <v>ピノキオ</v>
      </c>
      <c r="N5" s="65">
        <f>0.01*0.95</f>
        <v>9.4999999999999998E-3</v>
      </c>
      <c r="O5" s="39">
        <f>VLOOKUP(L5,[1]characters!$A:$I,9,FALSE)</f>
        <v>4</v>
      </c>
      <c r="P5" s="39" t="str">
        <f>VLOOKUP(L5,[1]characters!$A:$J,10,FALSE)</f>
        <v>PremiumS</v>
      </c>
      <c r="Q5" s="39" t="str">
        <f>VLOOKUP(L5,tables_346100!B:C,2,FALSE)</f>
        <v>Premium4R3less</v>
      </c>
      <c r="R5" s="64">
        <f t="shared" si="0"/>
        <v>12996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0.45</v>
      </c>
      <c r="D6" t="s">
        <v>211</v>
      </c>
      <c r="E6" s="82">
        <f>(B10-H6)/(F6-I6)</f>
        <v>1.2499999999999999E-2</v>
      </c>
      <c r="F6">
        <f>(COUNTIF(tables_346100!C:C,input_346100!A18)+COUNTIF(tables_346100!C:C,input_346100!A20)+COUNTIF(tables_346100!C:C,input_346100!A22))</f>
        <v>78</v>
      </c>
      <c r="H6" s="98">
        <v>0.02</v>
      </c>
      <c r="I6" s="31">
        <v>2</v>
      </c>
      <c r="L6" s="83">
        <v>865</v>
      </c>
      <c r="M6" s="39" t="str">
        <f>VLOOKUP(L6,[1]characters!$A:$C,3,FALSE)</f>
        <v>無情の感線 ピノキオ</v>
      </c>
      <c r="N6" s="65">
        <f>0.01*0.05</f>
        <v>5.0000000000000001E-4</v>
      </c>
      <c r="O6" s="39">
        <f>VLOOKUP(L6,[1]characters!$A:$I,9,FALSE)</f>
        <v>5</v>
      </c>
      <c r="P6" s="39" t="str">
        <f>VLOOKUP(L6,[1]characters!$A:$J,10,FALSE)</f>
        <v>PremiumS</v>
      </c>
      <c r="Q6" s="39" t="str">
        <f>VLOOKUP(L6,tables_346100!B:C,2,FALSE)</f>
        <v>Premium5R3less</v>
      </c>
      <c r="R6" s="64">
        <f t="shared" si="0"/>
        <v>684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f>0.05-SUMIF(O3:O8,5,N3:N8)</f>
        <v>2.5000000000000001E-2</v>
      </c>
      <c r="L7" s="83">
        <v>866</v>
      </c>
      <c r="M7" s="39" t="str">
        <f>VLOOKUP(L7,[1]characters!$A:$C,3,FALSE)</f>
        <v>無敗の司令姫 白雪姫</v>
      </c>
      <c r="N7" s="65">
        <v>1.2E-2</v>
      </c>
      <c r="O7" s="39">
        <f>VLOOKUP(L7,[1]characters!$A:$I,9,FALSE)</f>
        <v>5</v>
      </c>
      <c r="P7" s="39" t="str">
        <f>VLOOKUP(L7,[1]characters!$A:$J,10,FALSE)</f>
        <v>PremiumSS</v>
      </c>
      <c r="Q7" s="39" t="str">
        <f>VLOOKUP(L7,tables_346100!B:C,2,FALSE)</f>
        <v>PremiumSS5R5only</v>
      </c>
      <c r="R7" s="64">
        <f t="shared" ref="R7:R9" si="2">N7*A$36</f>
        <v>16416</v>
      </c>
      <c r="S7">
        <v>596</v>
      </c>
      <c r="U7" s="34"/>
      <c r="V7" s="56"/>
    </row>
    <row r="8" spans="1:22" x14ac:dyDescent="0.15">
      <c r="A8" s="59"/>
      <c r="B8" s="75"/>
      <c r="L8" s="83">
        <v>868</v>
      </c>
      <c r="M8" s="39" t="str">
        <f>VLOOKUP(L8,[1]characters!$A:$C,3,FALSE)</f>
        <v>アラジンと殲滅機兵LAMP</v>
      </c>
      <c r="N8" s="65">
        <v>1.2E-2</v>
      </c>
      <c r="O8" s="39">
        <f>VLOOKUP(L8,[1]characters!$A:$I,9,FALSE)</f>
        <v>5</v>
      </c>
      <c r="P8" s="39" t="str">
        <f>VLOOKUP(L8,[1]characters!$A:$J,10,FALSE)</f>
        <v>PremiumSS</v>
      </c>
      <c r="Q8" s="39" t="str">
        <f>VLOOKUP(L8,tables_346100!B:C,2,FALSE)</f>
        <v>PremiumSS5R5only</v>
      </c>
      <c r="R8" s="64">
        <f t="shared" si="2"/>
        <v>16416</v>
      </c>
      <c r="S8">
        <v>596</v>
      </c>
      <c r="U8" s="34"/>
      <c r="V8" s="56"/>
    </row>
    <row r="9" spans="1:22" x14ac:dyDescent="0.15">
      <c r="A9" s="37" t="s">
        <v>56</v>
      </c>
      <c r="B9" s="37"/>
      <c r="L9" s="83"/>
      <c r="M9" s="39" t="e">
        <f>VLOOKUP(L9,[1]characters!$A:$C,3,FALSE)</f>
        <v>#N/A</v>
      </c>
      <c r="N9" s="65"/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VLOOKUP(L9,tables_346100!B:C,2,FALSE)</f>
        <v>#N/A</v>
      </c>
      <c r="R9" s="64">
        <f t="shared" si="2"/>
        <v>0</v>
      </c>
      <c r="S9">
        <v>596</v>
      </c>
      <c r="U9" s="34"/>
      <c r="V9" s="56"/>
    </row>
    <row r="10" spans="1:22" x14ac:dyDescent="0.15">
      <c r="A10" s="34" t="s">
        <v>101</v>
      </c>
      <c r="B10" s="76">
        <f>1-B11-B12-B8</f>
        <v>0.97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0.03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B5-B19-B24</f>
        <v>0.18340000000000009</v>
      </c>
      <c r="C17" s="79">
        <f t="shared" ref="C17:C31" si="3">SUMIF(Q:Q,A17,N:N)</f>
        <v>0</v>
      </c>
      <c r="D17" s="80">
        <f t="shared" ref="D17:D26" si="4">B17-C17</f>
        <v>0.18340000000000009</v>
      </c>
      <c r="E17">
        <f>COUNTIF(tables_346100!C:C,input_346100!A17)-COUNTIF(Q:Q,A17)</f>
        <v>20</v>
      </c>
      <c r="F17" s="45">
        <f>IFERROR(B17/E17,0)</f>
        <v>9.1700000000000045E-3</v>
      </c>
      <c r="G17">
        <f>A$36*B17</f>
        <v>250891.20000000013</v>
      </c>
      <c r="H17">
        <f t="shared" ref="H17:H26" si="5">IFERROR(ROUND(G17/E17,5),0)</f>
        <v>12544.56</v>
      </c>
      <c r="I17">
        <f t="shared" ref="I17:I31" si="6">MOD(H17,1)</f>
        <v>0.55999999999949068</v>
      </c>
      <c r="J17">
        <f t="shared" ref="J17:J26" si="7">IFERROR(1/I17,1)</f>
        <v>1.7857142857159098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6.6599999999999882E-2</v>
      </c>
      <c r="C18" s="79">
        <f t="shared" si="3"/>
        <v>0</v>
      </c>
      <c r="D18" s="80">
        <f t="shared" si="4"/>
        <v>6.6599999999999882E-2</v>
      </c>
      <c r="E18">
        <f>COUNTIF(tables_346100!C:C,input_346100!A18)-COUNTIF(Q:Q,A18)</f>
        <v>20</v>
      </c>
      <c r="F18" s="45">
        <f t="shared" ref="F18:F31" si="8">IFERROR(B18/E18,0)</f>
        <v>3.329999999999994E-3</v>
      </c>
      <c r="G18">
        <f t="shared" ref="G18:G31" si="9">A$36*B18</f>
        <v>91108.799999999843</v>
      </c>
      <c r="H18">
        <f t="shared" si="5"/>
        <v>4555.4399999999996</v>
      </c>
      <c r="I18">
        <f t="shared" si="6"/>
        <v>0.43999999999959982</v>
      </c>
      <c r="J18">
        <f t="shared" si="7"/>
        <v>2.2727272727293397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0.34124999999999994</v>
      </c>
      <c r="C19" s="79">
        <f t="shared" si="3"/>
        <v>0</v>
      </c>
      <c r="D19" s="80">
        <f t="shared" si="4"/>
        <v>0.34124999999999994</v>
      </c>
      <c r="E19">
        <f>COUNTIF(tables_346100!C:C,input_346100!A19)-COUNTIF(Q:Q,A19)</f>
        <v>52</v>
      </c>
      <c r="F19" s="45">
        <f t="shared" si="8"/>
        <v>6.5624999999999989E-3</v>
      </c>
      <c r="G19">
        <f t="shared" si="9"/>
        <v>466829.99999999994</v>
      </c>
      <c r="H19">
        <f t="shared" si="5"/>
        <v>8977.5</v>
      </c>
      <c r="I19">
        <f t="shared" si="6"/>
        <v>0.5</v>
      </c>
      <c r="J19">
        <f t="shared" si="7"/>
        <v>2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0.29249999999999998</v>
      </c>
      <c r="C20" s="79">
        <f t="shared" si="3"/>
        <v>0</v>
      </c>
      <c r="D20" s="80">
        <f t="shared" si="4"/>
        <v>0.29249999999999998</v>
      </c>
      <c r="E20">
        <f>COUNTIF(tables_346100!C:C,input_346100!A20)-COUNTIF(Q:Q,A20)</f>
        <v>52</v>
      </c>
      <c r="F20" s="45">
        <f t="shared" si="8"/>
        <v>5.6249999999999998E-3</v>
      </c>
      <c r="G20">
        <f t="shared" si="9"/>
        <v>400140</v>
      </c>
      <c r="H20">
        <f t="shared" si="5"/>
        <v>7695</v>
      </c>
      <c r="I20">
        <f t="shared" si="6"/>
        <v>0</v>
      </c>
      <c r="J20">
        <f t="shared" si="7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1.6249999999999997E-2</v>
      </c>
      <c r="C21" s="79">
        <f t="shared" si="3"/>
        <v>0</v>
      </c>
      <c r="D21" s="80">
        <f t="shared" si="4"/>
        <v>1.6249999999999997E-2</v>
      </c>
      <c r="E21">
        <f>COUNTIF(tables_346100!C:C,input_346100!A21)-COUNTIF(Q:Q,A21)</f>
        <v>52</v>
      </c>
      <c r="F21" s="45">
        <f t="shared" si="8"/>
        <v>3.1249999999999995E-4</v>
      </c>
      <c r="G21">
        <f t="shared" si="9"/>
        <v>22229.999999999996</v>
      </c>
      <c r="H21">
        <f t="shared" si="5"/>
        <v>427.5</v>
      </c>
      <c r="I21">
        <f t="shared" si="6"/>
        <v>0.5</v>
      </c>
      <c r="J21">
        <f t="shared" si="7"/>
        <v>2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E6*E22-B23</f>
        <v>4.204999999999999E-2</v>
      </c>
      <c r="C22" s="79">
        <f t="shared" si="3"/>
        <v>1.9E-2</v>
      </c>
      <c r="D22" s="80">
        <f t="shared" si="4"/>
        <v>2.3049999999999991E-2</v>
      </c>
      <c r="E22">
        <f>COUNTIF(tables_346100!C:C,input_346100!A22)-COUNTIF(Q:Q,A22)</f>
        <v>4</v>
      </c>
      <c r="F22" s="45">
        <f t="shared" si="8"/>
        <v>1.0512499999999998E-2</v>
      </c>
      <c r="G22">
        <f t="shared" si="9"/>
        <v>57524.399999999987</v>
      </c>
      <c r="H22">
        <f t="shared" si="5"/>
        <v>14381.1</v>
      </c>
      <c r="I22">
        <f t="shared" si="6"/>
        <v>0.1000000000003638</v>
      </c>
      <c r="J22">
        <f t="shared" si="7"/>
        <v>9.9999999999636202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7.9500000000000022E-3</v>
      </c>
      <c r="C23" s="79">
        <f t="shared" si="3"/>
        <v>1E-3</v>
      </c>
      <c r="D23" s="80">
        <f t="shared" si="4"/>
        <v>6.9500000000000022E-3</v>
      </c>
      <c r="E23">
        <f>COUNTIF(tables_346100!C:C,input_346100!A23)-COUNTIF(Q:Q,A23)</f>
        <v>4</v>
      </c>
      <c r="F23" s="45">
        <f t="shared" si="8"/>
        <v>1.9875000000000006E-3</v>
      </c>
      <c r="G23">
        <f t="shared" si="9"/>
        <v>10875.600000000002</v>
      </c>
      <c r="H23">
        <f t="shared" si="5"/>
        <v>2718.9</v>
      </c>
      <c r="I23">
        <f t="shared" si="6"/>
        <v>0.90000000000009095</v>
      </c>
      <c r="J23">
        <f t="shared" si="7"/>
        <v>1.1111111111109988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3.4999999999999994E-4</v>
      </c>
      <c r="C24" s="79">
        <f t="shared" si="3"/>
        <v>0</v>
      </c>
      <c r="D24" s="80">
        <f t="shared" si="4"/>
        <v>3.4999999999999994E-4</v>
      </c>
      <c r="E24">
        <f>COUNTIF(tables_346100!C:C,input_346100!A24)-COUNTIF(Q:Q,A24)</f>
        <v>4</v>
      </c>
      <c r="F24" s="45">
        <f t="shared" si="8"/>
        <v>8.7499999999999986E-5</v>
      </c>
      <c r="G24">
        <f t="shared" si="9"/>
        <v>478.7999999999999</v>
      </c>
      <c r="H24">
        <f t="shared" si="5"/>
        <v>119.7</v>
      </c>
      <c r="I24">
        <f t="shared" si="6"/>
        <v>0.70000000000000284</v>
      </c>
      <c r="J24">
        <f t="shared" si="7"/>
        <v>1.4285714285714228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2.9999999999999997E-4</v>
      </c>
      <c r="C25" s="79">
        <f t="shared" si="3"/>
        <v>0</v>
      </c>
      <c r="D25" s="80">
        <f t="shared" si="4"/>
        <v>2.9999999999999997E-4</v>
      </c>
      <c r="E25">
        <f>COUNTIF(tables_346100!C:C,input_346100!A25)-COUNTIF(Q:Q,A25)</f>
        <v>4</v>
      </c>
      <c r="F25" s="45">
        <f t="shared" si="8"/>
        <v>7.4999999999999993E-5</v>
      </c>
      <c r="G25">
        <f t="shared" si="9"/>
        <v>410.4</v>
      </c>
      <c r="H25">
        <f t="shared" si="5"/>
        <v>102.6</v>
      </c>
      <c r="I25">
        <f t="shared" si="6"/>
        <v>0.59999999999999432</v>
      </c>
      <c r="J25">
        <f t="shared" si="7"/>
        <v>1.6666666666666825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1.6666666666666664E-5</v>
      </c>
      <c r="C26" s="79">
        <f t="shared" si="3"/>
        <v>0</v>
      </c>
      <c r="D26" s="80">
        <f t="shared" si="4"/>
        <v>1.6666666666666664E-5</v>
      </c>
      <c r="E26">
        <f>COUNTIF(tables_346100!C:C,input_346100!A26)-COUNTIF(Q:Q,A26)</f>
        <v>4</v>
      </c>
      <c r="F26" s="45">
        <f t="shared" si="8"/>
        <v>4.166666666666666E-6</v>
      </c>
      <c r="G26">
        <f t="shared" si="9"/>
        <v>22.799999999999997</v>
      </c>
      <c r="H26">
        <f t="shared" si="5"/>
        <v>5.7</v>
      </c>
      <c r="I26">
        <f t="shared" si="6"/>
        <v>0.70000000000000018</v>
      </c>
      <c r="J26">
        <f t="shared" si="7"/>
        <v>1.4285714285714282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4.5500000000000002E-3</v>
      </c>
      <c r="C27" s="79">
        <f t="shared" si="3"/>
        <v>0</v>
      </c>
      <c r="D27" s="80">
        <f t="shared" ref="D27:D29" si="10">B27-C27</f>
        <v>4.5500000000000002E-3</v>
      </c>
      <c r="E27">
        <f>COUNTIF(tables_346100!C:C,input_346100!A27)-COUNTIF(Q:Q,A27)</f>
        <v>28</v>
      </c>
      <c r="F27" s="45">
        <f>IFERROR(B27/E27,0)</f>
        <v>1.6250000000000002E-4</v>
      </c>
      <c r="G27">
        <f t="shared" si="9"/>
        <v>6224.4000000000005</v>
      </c>
      <c r="H27">
        <f t="shared" ref="H27:H29" si="11">IFERROR(ROUND(G27/E27,5),0)</f>
        <v>222.3</v>
      </c>
      <c r="I27">
        <f t="shared" si="6"/>
        <v>0.30000000000001137</v>
      </c>
      <c r="J27">
        <f t="shared" ref="J27:J29" si="12">IFERROR(1/I27,1)</f>
        <v>3.3333333333332069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1.1666666666666667E-4</v>
      </c>
      <c r="C28" s="79">
        <f t="shared" si="3"/>
        <v>0</v>
      </c>
      <c r="D28" s="80">
        <f t="shared" si="10"/>
        <v>1.1666666666666667E-4</v>
      </c>
      <c r="E28">
        <f>COUNTIF(tables_346100!C:C,input_346100!A28)-COUNTIF(Q:Q,A28)</f>
        <v>28</v>
      </c>
      <c r="F28" s="45">
        <f t="shared" si="8"/>
        <v>4.1666666666666669E-6</v>
      </c>
      <c r="G28">
        <f t="shared" si="9"/>
        <v>159.6</v>
      </c>
      <c r="H28">
        <f t="shared" si="11"/>
        <v>5.7</v>
      </c>
      <c r="I28">
        <f t="shared" si="6"/>
        <v>0.70000000000000018</v>
      </c>
      <c r="J28">
        <f t="shared" si="12"/>
        <v>1.4285714285714282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6.6666666666666654E-4</v>
      </c>
      <c r="C29" s="79">
        <f t="shared" si="3"/>
        <v>2.4E-2</v>
      </c>
      <c r="D29" s="80">
        <f t="shared" si="10"/>
        <v>-2.3333333333333334E-2</v>
      </c>
      <c r="E29">
        <f>COUNTIF(tables_346100!C:C,input_346100!A29)-COUNTIF(Q:Q,A29)</f>
        <v>4</v>
      </c>
      <c r="F29" s="45">
        <f t="shared" si="8"/>
        <v>1.6666666666666663E-4</v>
      </c>
      <c r="G29">
        <f t="shared" si="9"/>
        <v>911.99999999999977</v>
      </c>
      <c r="H29">
        <f t="shared" si="11"/>
        <v>228</v>
      </c>
      <c r="I29">
        <f t="shared" si="6"/>
        <v>0</v>
      </c>
      <c r="J29">
        <f t="shared" si="12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3"/>
        <v>0</v>
      </c>
      <c r="D30" s="80">
        <f t="shared" ref="D30:D31" si="13">B30-C30</f>
        <v>0</v>
      </c>
      <c r="E30">
        <f>COUNTIF(tables_346100!C:C,input_346100!A30)-COUNTIF(Q:Q,A30)</f>
        <v>0</v>
      </c>
      <c r="F30" s="45">
        <f t="shared" si="8"/>
        <v>0</v>
      </c>
      <c r="G30">
        <f t="shared" si="9"/>
        <v>0</v>
      </c>
      <c r="H30">
        <f t="shared" ref="H30:H31" si="14">IFERROR(ROUND(G30/E30,5),0)</f>
        <v>0</v>
      </c>
      <c r="I30">
        <f t="shared" si="6"/>
        <v>0</v>
      </c>
      <c r="J30">
        <f t="shared" ref="J30:J31" si="15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3"/>
        <v>0</v>
      </c>
      <c r="D31" s="80">
        <f t="shared" si="13"/>
        <v>0</v>
      </c>
      <c r="E31">
        <f>COUNTIF(tables_346100!C:C,input_346100!A31)-COUNTIF(Q:Q,A31)</f>
        <v>0</v>
      </c>
      <c r="F31" s="45">
        <f t="shared" si="8"/>
        <v>0</v>
      </c>
      <c r="G31">
        <f t="shared" si="9"/>
        <v>0</v>
      </c>
      <c r="H31">
        <f t="shared" si="14"/>
        <v>0</v>
      </c>
      <c r="I31">
        <f t="shared" si="6"/>
        <v>0</v>
      </c>
      <c r="J31">
        <f t="shared" si="15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0.95599999999999996</v>
      </c>
      <c r="C32" s="43">
        <f>SUM(C19:C31)</f>
        <v>4.3999999999999997E-2</v>
      </c>
      <c r="D32" s="44">
        <f>B32-C32</f>
        <v>0.91199999999999992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1368000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SUMIF(tables_346100!C:C,input_346100!A40,tables_346100!O:O)</f>
        <v>466830</v>
      </c>
      <c r="C40" s="56">
        <f t="shared" ref="C40:C46" ca="1" si="16">B40/B$47</f>
        <v>0.52125763747454179</v>
      </c>
      <c r="E40">
        <v>3</v>
      </c>
      <c r="F40">
        <f ca="1">SUMIF(tables_346100!J:J,input_346100!E40,tables_346100!O:O)</f>
        <v>718200</v>
      </c>
      <c r="G40">
        <f ca="1">F40/A36</f>
        <v>0.52500000000000002</v>
      </c>
    </row>
    <row r="41" spans="1:7" x14ac:dyDescent="0.15">
      <c r="A41" s="34" t="s">
        <v>110</v>
      </c>
      <c r="B41">
        <f ca="1">SUMIF(tables_346100!C:C,input_346100!A41,tables_346100!O:O)</f>
        <v>400140</v>
      </c>
      <c r="C41" s="56">
        <f t="shared" ca="1" si="16"/>
        <v>0.44679226069246436</v>
      </c>
      <c r="E41">
        <v>4</v>
      </c>
      <c r="F41">
        <f ca="1">SUMIF(tables_346100!J:J,input_346100!E41,tables_346100!O:O)</f>
        <v>581399.99999999965</v>
      </c>
      <c r="G41">
        <f ca="1">F41/A36</f>
        <v>0.42499999999999977</v>
      </c>
    </row>
    <row r="42" spans="1:7" x14ac:dyDescent="0.15">
      <c r="A42" s="34" t="s">
        <v>115</v>
      </c>
      <c r="B42">
        <f ca="1">SUMIF(tables_346100!C:C,input_346100!A42,tables_346100!O:O)</f>
        <v>6224.4000000000033</v>
      </c>
      <c r="C42" s="56">
        <f t="shared" ca="1" si="16"/>
        <v>6.9501018329938937E-3</v>
      </c>
      <c r="E42">
        <v>5</v>
      </c>
      <c r="F42">
        <f ca="1">SUMIF(tables_346100!J:J,input_346100!E42,tables_346100!O:O)</f>
        <v>68400.000000000029</v>
      </c>
      <c r="G42">
        <f ca="1">F42/A36</f>
        <v>5.0000000000000024E-2</v>
      </c>
    </row>
    <row r="43" spans="1:7" x14ac:dyDescent="0.15">
      <c r="A43" s="34" t="s">
        <v>116</v>
      </c>
      <c r="B43">
        <f>SUMIF(tables_346100!C:C,input_346100!A43,tables_346100!O:O)</f>
        <v>0</v>
      </c>
      <c r="C43" s="56">
        <f t="shared" ca="1" si="16"/>
        <v>0</v>
      </c>
      <c r="F43" s="57"/>
    </row>
    <row r="44" spans="1:7" x14ac:dyDescent="0.15">
      <c r="A44" s="34" t="s">
        <v>111</v>
      </c>
      <c r="B44">
        <f ca="1">SUMIF(tables_346100!C:C,input_346100!A44,tables_346100!O:O)</f>
        <v>22230</v>
      </c>
      <c r="C44" s="56">
        <f t="shared" ca="1" si="16"/>
        <v>2.4821792260692463E-2</v>
      </c>
      <c r="E44" t="s">
        <v>107</v>
      </c>
      <c r="F44" s="57"/>
    </row>
    <row r="45" spans="1:7" x14ac:dyDescent="0.15">
      <c r="A45" s="34" t="s">
        <v>117</v>
      </c>
      <c r="B45">
        <f ca="1">SUMIF(tables_346100!C:C,input_346100!A45,tables_346100!O:O)</f>
        <v>159.6</v>
      </c>
      <c r="C45" s="56">
        <f t="shared" ca="1" si="16"/>
        <v>1.7820773930753562E-4</v>
      </c>
      <c r="E45" t="s">
        <v>213</v>
      </c>
      <c r="F45" s="57">
        <f ca="1">SUMIF(tables_346100!I:I,input_346100!E45,tables_346100!P:P)</f>
        <v>0.2468300000000001</v>
      </c>
    </row>
    <row r="46" spans="1:7" x14ac:dyDescent="0.15">
      <c r="A46" s="34" t="s">
        <v>118</v>
      </c>
      <c r="B46">
        <f>SUMIF(tables_346100!C:C,input_346100!A46,tables_346100!O:O)</f>
        <v>0</v>
      </c>
      <c r="C46" s="56">
        <f t="shared" ca="1" si="16"/>
        <v>0</v>
      </c>
      <c r="E46" t="s">
        <v>214</v>
      </c>
      <c r="F46" s="57">
        <f ca="1">SUMIF(tables_346100!I:I,input_346100!E46,tables_346100!P:P)</f>
        <v>0.21299999999999986</v>
      </c>
    </row>
    <row r="47" spans="1:7" x14ac:dyDescent="0.15">
      <c r="A47" s="41" t="s">
        <v>62</v>
      </c>
      <c r="B47">
        <f ca="1">SUM(B40:B46)</f>
        <v>895584</v>
      </c>
      <c r="C47" s="57">
        <f ca="1">SUM(C40:C46)</f>
        <v>1</v>
      </c>
      <c r="E47" t="s">
        <v>215</v>
      </c>
      <c r="F47" s="57">
        <f ca="1">SUMIF(tables_346100!I:I,input_346100!E47,tables_346100!P:P)</f>
        <v>0.50766666666666638</v>
      </c>
    </row>
    <row r="48" spans="1:7" x14ac:dyDescent="0.15">
      <c r="E48" t="s">
        <v>216</v>
      </c>
      <c r="F48" s="57">
        <f ca="1">SUMIF(tables_346100!I:I,input_346100!E48,tables_346100!P:P)</f>
        <v>2.9333333333333336E-2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3"/>
  <sheetViews>
    <sheetView showGridLines="0" zoomScale="75" zoomScaleNormal="75" zoomScalePageLayoutView="75" workbookViewId="0">
      <pane ySplit="1" topLeftCell="A2" activePane="bottomLeft" state="frozen"/>
      <selection activeCell="F250" sqref="F250"/>
      <selection pane="bottomLeft" activeCell="F16" sqref="F1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input_346100!A$2</f>
        <v>346100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IFERROR(VLOOKUP(B2,input_346100!L:R,7,FALSE),VLOOKUP(tables_346100!C2,input_346100!A:H,8,FALSE))</f>
        <v>12544.56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input_346100!A$2</f>
        <v>346100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IFERROR(VLOOKUP(B3,input_346100!L:R,7,FALSE),VLOOKUP(tables_346100!C3,input_346100!A:H,8,FALSE))</f>
        <v>4555.4399999999996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input_346100!A$2</f>
        <v>346100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IFERROR(VLOOKUP(B4,input_346100!L:R,7,FALSE),VLOOKUP(tables_346100!C4,input_346100!A:H,8,FALSE))</f>
        <v>12544.56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input_346100!A$2</f>
        <v>346100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IFERROR(VLOOKUP(B5,input_346100!L:R,7,FALSE),VLOOKUP(tables_346100!C5,input_346100!A:H,8,FALSE))</f>
        <v>4555.4399999999996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input_346100!A$2</f>
        <v>346100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IFERROR(VLOOKUP(B6,input_346100!L:R,7,FALSE),VLOOKUP(tables_346100!C6,input_346100!A:H,8,FALSE))</f>
        <v>12544.56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input_346100!A$2</f>
        <v>346100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IFERROR(VLOOKUP(B7,input_346100!L:R,7,FALSE),VLOOKUP(tables_346100!C7,input_346100!A:H,8,FALSE))</f>
        <v>4555.4399999999996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input_346100!A$2</f>
        <v>346100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IFERROR(VLOOKUP(B8,input_346100!L:R,7,FALSE),VLOOKUP(tables_346100!C8,input_346100!A:H,8,FALSE))</f>
        <v>12544.56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input_346100!A$2</f>
        <v>346100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IFERROR(VLOOKUP(B9,input_346100!L:R,7,FALSE),VLOOKUP(tables_346100!C9,input_346100!A:H,8,FALSE))</f>
        <v>4555.4399999999996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input_346100!A$2</f>
        <v>346100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IFERROR(VLOOKUP(B10,input_346100!L:R,7,FALSE),VLOOKUP(tables_346100!C10,input_346100!A:H,8,FALSE))</f>
        <v>12544.56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input_346100!A$2</f>
        <v>346100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IFERROR(VLOOKUP(B11,input_346100!L:R,7,FALSE),VLOOKUP(tables_346100!C11,input_346100!A:H,8,FALSE))</f>
        <v>4555.4399999999996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input_346100!A$2</f>
        <v>346100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IFERROR(VLOOKUP(B12,input_346100!L:R,7,FALSE),VLOOKUP(tables_346100!C12,input_346100!A:H,8,FALSE))</f>
        <v>12544.56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input_346100!A$2</f>
        <v>346100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IFERROR(VLOOKUP(B13,input_346100!L:R,7,FALSE),VLOOKUP(tables_346100!C13,input_346100!A:H,8,FALSE))</f>
        <v>4555.4399999999996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input_346100!A$2</f>
        <v>346100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IFERROR(VLOOKUP(B14,input_346100!L:R,7,FALSE),VLOOKUP(tables_346100!C14,input_346100!A:H,8,FALSE))</f>
        <v>12544.56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input_346100!A$2</f>
        <v>346100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IFERROR(VLOOKUP(B15,input_346100!L:R,7,FALSE),VLOOKUP(tables_346100!C15,input_346100!A:H,8,FALSE))</f>
        <v>4555.4399999999996</v>
      </c>
      <c r="P15" s="48">
        <f t="shared" ref="P15:P78" ca="1" si="2">O15/SUM(O:O)</f>
        <v>3.3299999999999996E-3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input_346100!A$2</f>
        <v>346100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IFERROR(VLOOKUP(B16,input_346100!L:R,7,FALSE),VLOOKUP(tables_346100!C16,input_346100!A:H,8,FALSE))</f>
        <v>12544.56</v>
      </c>
      <c r="P16" s="48">
        <f t="shared" ca="1" si="2"/>
        <v>9.1699999999999993E-3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input_346100!A$2</f>
        <v>346100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IFERROR(VLOOKUP(B17,input_346100!L:R,7,FALSE),VLOOKUP(tables_346100!C17,input_346100!A:H,8,FALSE))</f>
        <v>4555.4399999999996</v>
      </c>
      <c r="P17" s="48">
        <f t="shared" ca="1" si="2"/>
        <v>3.3299999999999996E-3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input_346100!A$2</f>
        <v>346100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IFERROR(VLOOKUP(B18,input_346100!L:R,7,FALSE),VLOOKUP(tables_346100!C18,input_346100!A:H,8,FALSE))</f>
        <v>12544.56</v>
      </c>
      <c r="P18" s="48">
        <f t="shared" ca="1" si="2"/>
        <v>9.1699999999999993E-3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input_346100!A$2</f>
        <v>346100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IFERROR(VLOOKUP(B19,input_346100!L:R,7,FALSE),VLOOKUP(tables_346100!C19,input_346100!A:H,8,FALSE))</f>
        <v>4555.4399999999996</v>
      </c>
      <c r="P19" s="48">
        <f t="shared" ca="1" si="2"/>
        <v>3.3299999999999996E-3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input_346100!A$2</f>
        <v>346100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IFERROR(VLOOKUP(B20,input_346100!L:R,7,FALSE),VLOOKUP(tables_346100!C20,input_346100!A:H,8,FALSE))</f>
        <v>12544.56</v>
      </c>
      <c r="P20" s="48">
        <f t="shared" ca="1" si="2"/>
        <v>9.1699999999999993E-3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input_346100!A$2</f>
        <v>346100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IFERROR(VLOOKUP(B21,input_346100!L:R,7,FALSE),VLOOKUP(tables_346100!C21,input_346100!A:H,8,FALSE))</f>
        <v>4555.4399999999996</v>
      </c>
      <c r="P21" s="48">
        <f t="shared" ca="1" si="2"/>
        <v>3.3299999999999996E-3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input_346100!A$2</f>
        <v>346100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IFERROR(VLOOKUP(B22,input_346100!L:R,7,FALSE),VLOOKUP(tables_346100!C22,input_346100!A:H,8,FALSE))</f>
        <v>12544.56</v>
      </c>
      <c r="P22" s="48">
        <f t="shared" ca="1" si="2"/>
        <v>9.1699999999999993E-3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input_346100!A$2</f>
        <v>346100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IFERROR(VLOOKUP(B23,input_346100!L:R,7,FALSE),VLOOKUP(tables_346100!C23,input_346100!A:H,8,FALSE))</f>
        <v>4555.4399999999996</v>
      </c>
      <c r="P23" s="48">
        <f t="shared" ca="1" si="2"/>
        <v>3.3299999999999996E-3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input_346100!A$2</f>
        <v>346100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IFERROR(VLOOKUP(B24,input_346100!L:R,7,FALSE),VLOOKUP(tables_346100!C24,input_346100!A:H,8,FALSE))</f>
        <v>12544.56</v>
      </c>
      <c r="P24" s="48">
        <f t="shared" ca="1" si="2"/>
        <v>9.1699999999999993E-3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input_346100!A$2</f>
        <v>346100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IFERROR(VLOOKUP(B25,input_346100!L:R,7,FALSE),VLOOKUP(tables_346100!C25,input_346100!A:H,8,FALSE))</f>
        <v>4555.4399999999996</v>
      </c>
      <c r="P25" s="48">
        <f t="shared" ca="1" si="2"/>
        <v>3.3299999999999996E-3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input_346100!A$2</f>
        <v>346100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IFERROR(VLOOKUP(B26,input_346100!L:R,7,FALSE),VLOOKUP(tables_346100!C26,input_346100!A:H,8,FALSE))</f>
        <v>12544.56</v>
      </c>
      <c r="P26" s="48">
        <f t="shared" ca="1" si="2"/>
        <v>9.1699999999999993E-3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input_346100!A$2</f>
        <v>346100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IFERROR(VLOOKUP(B27,input_346100!L:R,7,FALSE),VLOOKUP(tables_346100!C27,input_346100!A:H,8,FALSE))</f>
        <v>4555.4399999999996</v>
      </c>
      <c r="P27" s="48">
        <f t="shared" ca="1" si="2"/>
        <v>3.3299999999999996E-3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input_346100!A$2</f>
        <v>346100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IFERROR(VLOOKUP(B28,input_346100!L:R,7,FALSE),VLOOKUP(tables_346100!C28,input_346100!A:H,8,FALSE))</f>
        <v>12544.56</v>
      </c>
      <c r="P28" s="48">
        <f t="shared" ca="1" si="2"/>
        <v>9.1699999999999993E-3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input_346100!A$2</f>
        <v>346100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IFERROR(VLOOKUP(B29,input_346100!L:R,7,FALSE),VLOOKUP(tables_346100!C29,input_346100!A:H,8,FALSE))</f>
        <v>4555.4399999999996</v>
      </c>
      <c r="P29" s="48">
        <f t="shared" ca="1" si="2"/>
        <v>3.3299999999999996E-3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input_346100!A$2</f>
        <v>346100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IFERROR(VLOOKUP(B30,input_346100!L:R,7,FALSE),VLOOKUP(tables_346100!C30,input_346100!A:H,8,FALSE))</f>
        <v>12544.56</v>
      </c>
      <c r="P30" s="48">
        <f t="shared" ca="1" si="2"/>
        <v>9.1699999999999993E-3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input_346100!A$2</f>
        <v>346100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IFERROR(VLOOKUP(B31,input_346100!L:R,7,FALSE),VLOOKUP(tables_346100!C31,input_346100!A:H,8,FALSE))</f>
        <v>4555.4399999999996</v>
      </c>
      <c r="P31" s="48">
        <f t="shared" ca="1" si="2"/>
        <v>3.3299999999999996E-3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input_346100!A$2</f>
        <v>346100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IFERROR(VLOOKUP(B32,input_346100!L:R,7,FALSE),VLOOKUP(tables_346100!C32,input_346100!A:H,8,FALSE))</f>
        <v>12544.56</v>
      </c>
      <c r="P32" s="48">
        <f t="shared" ca="1" si="2"/>
        <v>9.1699999999999993E-3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input_346100!A$2</f>
        <v>346100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IFERROR(VLOOKUP(B33,input_346100!L:R,7,FALSE),VLOOKUP(tables_346100!C33,input_346100!A:H,8,FALSE))</f>
        <v>4555.4399999999996</v>
      </c>
      <c r="P33" s="48">
        <f t="shared" ca="1" si="2"/>
        <v>3.3299999999999996E-3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input_346100!A$2</f>
        <v>346100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IFERROR(VLOOKUP(B34,input_346100!L:R,7,FALSE),VLOOKUP(tables_346100!C34,input_346100!A:H,8,FALSE))</f>
        <v>12544.56</v>
      </c>
      <c r="P34" s="48">
        <f t="shared" ca="1" si="2"/>
        <v>9.1699999999999993E-3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input_346100!A$2</f>
        <v>346100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IFERROR(VLOOKUP(B35,input_346100!L:R,7,FALSE),VLOOKUP(tables_346100!C35,input_346100!A:H,8,FALSE))</f>
        <v>4555.4399999999996</v>
      </c>
      <c r="P35" s="48">
        <f t="shared" ca="1" si="2"/>
        <v>3.3299999999999996E-3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input_346100!A$2</f>
        <v>346100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IFERROR(VLOOKUP(B36,input_346100!L:R,7,FALSE),VLOOKUP(tables_346100!C36,input_346100!A:H,8,FALSE))</f>
        <v>12544.56</v>
      </c>
      <c r="P36" s="48">
        <f t="shared" ca="1" si="2"/>
        <v>9.1699999999999993E-3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input_346100!A$2</f>
        <v>346100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IFERROR(VLOOKUP(B37,input_346100!L:R,7,FALSE),VLOOKUP(tables_346100!C37,input_346100!A:H,8,FALSE))</f>
        <v>4555.4399999999996</v>
      </c>
      <c r="P37" s="48">
        <f t="shared" ca="1" si="2"/>
        <v>3.3299999999999996E-3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input_346100!A$2</f>
        <v>346100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IFERROR(VLOOKUP(B38,input_346100!L:R,7,FALSE),VLOOKUP(tables_346100!C38,input_346100!A:H,8,FALSE))</f>
        <v>12544.56</v>
      </c>
      <c r="P38" s="48">
        <f t="shared" ca="1" si="2"/>
        <v>9.1699999999999993E-3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input_346100!A$2</f>
        <v>346100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IFERROR(VLOOKUP(B39,input_346100!L:R,7,FALSE),VLOOKUP(tables_346100!C39,input_346100!A:H,8,FALSE))</f>
        <v>4555.4399999999996</v>
      </c>
      <c r="P39" s="48">
        <f t="shared" ca="1" si="2"/>
        <v>3.3299999999999996E-3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input_346100!A$2</f>
        <v>346100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IFERROR(VLOOKUP(B40,input_346100!L:R,7,FALSE),VLOOKUP(tables_346100!C40,input_346100!A:H,8,FALSE))</f>
        <v>12544.56</v>
      </c>
      <c r="P40" s="48">
        <f t="shared" ca="1" si="2"/>
        <v>9.1699999999999993E-3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input_346100!A$2</f>
        <v>346100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IFERROR(VLOOKUP(B41,input_346100!L:R,7,FALSE),VLOOKUP(tables_346100!C41,input_346100!A:H,8,FALSE))</f>
        <v>4555.4399999999996</v>
      </c>
      <c r="P41" s="48">
        <f t="shared" ca="1" si="2"/>
        <v>3.3299999999999996E-3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input_346100!A$2</f>
        <v>346100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IFERROR(VLOOKUP(B42,input_346100!L:R,7,FALSE),VLOOKUP(tables_346100!C42,input_346100!A:H,8,FALSE))</f>
        <v>119.7</v>
      </c>
      <c r="P42" s="48">
        <f t="shared" ca="1" si="2"/>
        <v>8.7499999999999999E-5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input_346100!A$2</f>
        <v>346100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IFERROR(VLOOKUP(B43,input_346100!L:R,7,FALSE),VLOOKUP(tables_346100!C43,input_346100!A:H,8,FALSE))</f>
        <v>102.6</v>
      </c>
      <c r="P43" s="48">
        <f t="shared" ca="1" si="2"/>
        <v>7.4999999999999993E-5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input_346100!A$2</f>
        <v>346100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IFERROR(VLOOKUP(B44,input_346100!L:R,7,FALSE),VLOOKUP(tables_346100!C44,input_346100!A:H,8,FALSE))</f>
        <v>5.7</v>
      </c>
      <c r="P44" s="48">
        <f t="shared" ca="1" si="2"/>
        <v>4.1666666666666669E-6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input_346100!A$2</f>
        <v>346100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IFERROR(VLOOKUP(B45,input_346100!L:R,7,FALSE),VLOOKUP(tables_346100!C45,input_346100!A:H,8,FALSE))</f>
        <v>119.7</v>
      </c>
      <c r="P45" s="48">
        <f t="shared" ca="1" si="2"/>
        <v>8.7499999999999999E-5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input_346100!A$2</f>
        <v>346100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IFERROR(VLOOKUP(B46,input_346100!L:R,7,FALSE),VLOOKUP(tables_346100!C46,input_346100!A:H,8,FALSE))</f>
        <v>102.6</v>
      </c>
      <c r="P46" s="48">
        <f t="shared" ca="1" si="2"/>
        <v>7.4999999999999993E-5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input_346100!A$2</f>
        <v>346100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IFERROR(VLOOKUP(B47,input_346100!L:R,7,FALSE),VLOOKUP(tables_346100!C47,input_346100!A:H,8,FALSE))</f>
        <v>5.7</v>
      </c>
      <c r="P47" s="48">
        <f t="shared" ca="1" si="2"/>
        <v>4.1666666666666669E-6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input_346100!A$2</f>
        <v>346100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IFERROR(VLOOKUP(B48,input_346100!L:R,7,FALSE),VLOOKUP(tables_346100!C48,input_346100!A:H,8,FALSE))</f>
        <v>119.7</v>
      </c>
      <c r="P48" s="48">
        <f t="shared" ca="1" si="2"/>
        <v>8.7499999999999999E-5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input_346100!A$2</f>
        <v>346100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IFERROR(VLOOKUP(B49,input_346100!L:R,7,FALSE),VLOOKUP(tables_346100!C49,input_346100!A:H,8,FALSE))</f>
        <v>102.6</v>
      </c>
      <c r="P49" s="48">
        <f t="shared" ca="1" si="2"/>
        <v>7.4999999999999993E-5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input_346100!A$2</f>
        <v>346100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IFERROR(VLOOKUP(B50,input_346100!L:R,7,FALSE),VLOOKUP(tables_346100!C50,input_346100!A:H,8,FALSE))</f>
        <v>5.7</v>
      </c>
      <c r="P50" s="48">
        <f t="shared" ca="1" si="2"/>
        <v>4.1666666666666669E-6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input_346100!A$2</f>
        <v>346100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IFERROR(VLOOKUP(B51,input_346100!L:R,7,FALSE),VLOOKUP(tables_346100!C51,input_346100!A:H,8,FALSE))</f>
        <v>8977.5</v>
      </c>
      <c r="P51" s="48">
        <f t="shared" ca="1" si="2"/>
        <v>6.5624999999999998E-3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input_346100!A$2</f>
        <v>346100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IFERROR(VLOOKUP(B52,input_346100!L:R,7,FALSE),VLOOKUP(tables_346100!C52,input_346100!A:H,8,FALSE))</f>
        <v>7695</v>
      </c>
      <c r="P52" s="48">
        <f t="shared" ca="1" si="2"/>
        <v>5.6249999999999998E-3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input_346100!A$2</f>
        <v>346100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IFERROR(VLOOKUP(B53,input_346100!L:R,7,FALSE),VLOOKUP(tables_346100!C53,input_346100!A:H,8,FALSE))</f>
        <v>427.5</v>
      </c>
      <c r="P53" s="48">
        <f t="shared" ca="1" si="2"/>
        <v>3.1250000000000001E-4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input_346100!A$2</f>
        <v>346100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IFERROR(VLOOKUP(B54,input_346100!L:R,7,FALSE),VLOOKUP(tables_346100!C54,input_346100!A:H,8,FALSE))</f>
        <v>8977.5</v>
      </c>
      <c r="P54" s="48">
        <f t="shared" ca="1" si="2"/>
        <v>6.5624999999999998E-3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input_346100!A$2</f>
        <v>346100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IFERROR(VLOOKUP(B55,input_346100!L:R,7,FALSE),VLOOKUP(tables_346100!C55,input_346100!A:H,8,FALSE))</f>
        <v>7695</v>
      </c>
      <c r="P55" s="48">
        <f t="shared" ca="1" si="2"/>
        <v>5.6249999999999998E-3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input_346100!A$2</f>
        <v>346100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IFERROR(VLOOKUP(B56,input_346100!L:R,7,FALSE),VLOOKUP(tables_346100!C56,input_346100!A:H,8,FALSE))</f>
        <v>427.5</v>
      </c>
      <c r="P56" s="48">
        <f t="shared" ca="1" si="2"/>
        <v>3.1250000000000001E-4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input_346100!A$2</f>
        <v>346100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IFERROR(VLOOKUP(B57,input_346100!L:R,7,FALSE),VLOOKUP(tables_346100!C57,input_346100!A:H,8,FALSE))</f>
        <v>8977.5</v>
      </c>
      <c r="P57" s="48">
        <f t="shared" ca="1" si="2"/>
        <v>6.5624999999999998E-3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input_346100!A$2</f>
        <v>346100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IFERROR(VLOOKUP(B58,input_346100!L:R,7,FALSE),VLOOKUP(tables_346100!C58,input_346100!A:H,8,FALSE))</f>
        <v>7695</v>
      </c>
      <c r="P58" s="48">
        <f t="shared" ca="1" si="2"/>
        <v>5.6249999999999998E-3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input_346100!A$2</f>
        <v>346100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IFERROR(VLOOKUP(B59,input_346100!L:R,7,FALSE),VLOOKUP(tables_346100!C59,input_346100!A:H,8,FALSE))</f>
        <v>427.5</v>
      </c>
      <c r="P59" s="48">
        <f t="shared" ca="1" si="2"/>
        <v>3.1250000000000001E-4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input_346100!A$2</f>
        <v>346100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IFERROR(VLOOKUP(B60,input_346100!L:R,7,FALSE),VLOOKUP(tables_346100!C60,input_346100!A:H,8,FALSE))</f>
        <v>8977.5</v>
      </c>
      <c r="P60" s="48">
        <f t="shared" ca="1" si="2"/>
        <v>6.5624999999999998E-3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input_346100!A$2</f>
        <v>346100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IFERROR(VLOOKUP(B61,input_346100!L:R,7,FALSE),VLOOKUP(tables_346100!C61,input_346100!A:H,8,FALSE))</f>
        <v>7695</v>
      </c>
      <c r="P61" s="48">
        <f t="shared" ca="1" si="2"/>
        <v>5.6249999999999998E-3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input_346100!A$2</f>
        <v>346100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IFERROR(VLOOKUP(B62,input_346100!L:R,7,FALSE),VLOOKUP(tables_346100!C62,input_346100!A:H,8,FALSE))</f>
        <v>427.5</v>
      </c>
      <c r="P62" s="48">
        <f t="shared" ca="1" si="2"/>
        <v>3.1250000000000001E-4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input_346100!A$2</f>
        <v>346100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IFERROR(VLOOKUP(B63,input_346100!L:R,7,FALSE),VLOOKUP(tables_346100!C63,input_346100!A:H,8,FALSE))</f>
        <v>8977.5</v>
      </c>
      <c r="P63" s="48">
        <f t="shared" ca="1" si="2"/>
        <v>6.5624999999999998E-3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input_346100!A$2</f>
        <v>346100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IFERROR(VLOOKUP(B64,input_346100!L:R,7,FALSE),VLOOKUP(tables_346100!C64,input_346100!A:H,8,FALSE))</f>
        <v>7695</v>
      </c>
      <c r="P64" s="48">
        <f t="shared" ca="1" si="2"/>
        <v>5.6249999999999998E-3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input_346100!A$2</f>
        <v>346100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IFERROR(VLOOKUP(B65,input_346100!L:R,7,FALSE),VLOOKUP(tables_346100!C65,input_346100!A:H,8,FALSE))</f>
        <v>427.5</v>
      </c>
      <c r="P65" s="48">
        <f t="shared" ca="1" si="2"/>
        <v>3.1250000000000001E-4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input_346100!A$2</f>
        <v>346100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IFERROR(VLOOKUP(B66,input_346100!L:R,7,FALSE),VLOOKUP(tables_346100!C66,input_346100!A:H,8,FALSE))</f>
        <v>8977.5</v>
      </c>
      <c r="P66" s="48">
        <f t="shared" ca="1" si="2"/>
        <v>6.5624999999999998E-3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input_346100!A$2</f>
        <v>346100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IFERROR(VLOOKUP(B67,input_346100!L:R,7,FALSE),VLOOKUP(tables_346100!C67,input_346100!A:H,8,FALSE))</f>
        <v>7695</v>
      </c>
      <c r="P67" s="48">
        <f t="shared" ca="1" si="2"/>
        <v>5.6249999999999998E-3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input_346100!A$2</f>
        <v>346100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IFERROR(VLOOKUP(B68,input_346100!L:R,7,FALSE),VLOOKUP(tables_346100!C68,input_346100!A:H,8,FALSE))</f>
        <v>427.5</v>
      </c>
      <c r="P68" s="48">
        <f t="shared" ca="1" si="2"/>
        <v>3.1250000000000001E-4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input_346100!A$2</f>
        <v>346100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IFERROR(VLOOKUP(B69,input_346100!L:R,7,FALSE),VLOOKUP(tables_346100!C69,input_346100!A:H,8,FALSE))</f>
        <v>8977.5</v>
      </c>
      <c r="P69" s="48">
        <f t="shared" ca="1" si="2"/>
        <v>6.5624999999999998E-3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input_346100!A$2</f>
        <v>346100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IFERROR(VLOOKUP(B70,input_346100!L:R,7,FALSE),VLOOKUP(tables_346100!C70,input_346100!A:H,8,FALSE))</f>
        <v>7695</v>
      </c>
      <c r="P70" s="48">
        <f t="shared" ca="1" si="2"/>
        <v>5.6249999999999998E-3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input_346100!A$2</f>
        <v>346100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IFERROR(VLOOKUP(B71,input_346100!L:R,7,FALSE),VLOOKUP(tables_346100!C71,input_346100!A:H,8,FALSE))</f>
        <v>427.5</v>
      </c>
      <c r="P71" s="48">
        <f t="shared" ca="1" si="2"/>
        <v>3.1250000000000001E-4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input_346100!A$2</f>
        <v>346100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IFERROR(VLOOKUP(B72,input_346100!L:R,7,FALSE),VLOOKUP(tables_346100!C72,input_346100!A:H,8,FALSE))</f>
        <v>8977.5</v>
      </c>
      <c r="P72" s="48">
        <f t="shared" ca="1" si="2"/>
        <v>6.5624999999999998E-3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input_346100!A$2</f>
        <v>346100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IFERROR(VLOOKUP(B73,input_346100!L:R,7,FALSE),VLOOKUP(tables_346100!C73,input_346100!A:H,8,FALSE))</f>
        <v>7695</v>
      </c>
      <c r="P73" s="48">
        <f t="shared" ca="1" si="2"/>
        <v>5.6249999999999998E-3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input_346100!A$2</f>
        <v>346100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IFERROR(VLOOKUP(B74,input_346100!L:R,7,FALSE),VLOOKUP(tables_346100!C74,input_346100!A:H,8,FALSE))</f>
        <v>427.5</v>
      </c>
      <c r="P74" s="48">
        <f t="shared" ca="1" si="2"/>
        <v>3.1250000000000001E-4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input_346100!A$2</f>
        <v>346100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IFERROR(VLOOKUP(B75,input_346100!L:R,7,FALSE),VLOOKUP(tables_346100!C75,input_346100!A:H,8,FALSE))</f>
        <v>8977.5</v>
      </c>
      <c r="P75" s="48">
        <f t="shared" ca="1" si="2"/>
        <v>6.5624999999999998E-3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input_346100!A$2</f>
        <v>346100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IFERROR(VLOOKUP(B76,input_346100!L:R,7,FALSE),VLOOKUP(tables_346100!C76,input_346100!A:H,8,FALSE))</f>
        <v>7695</v>
      </c>
      <c r="P76" s="48">
        <f t="shared" ca="1" si="2"/>
        <v>5.6249999999999998E-3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input_346100!A$2</f>
        <v>346100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IFERROR(VLOOKUP(B77,input_346100!L:R,7,FALSE),VLOOKUP(tables_346100!C77,input_346100!A:H,8,FALSE))</f>
        <v>427.5</v>
      </c>
      <c r="P77" s="48">
        <f t="shared" ca="1" si="2"/>
        <v>3.1250000000000001E-4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input_346100!A$2</f>
        <v>346100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IFERROR(VLOOKUP(B78,input_346100!L:R,7,FALSE),VLOOKUP(tables_346100!C78,input_346100!A:H,8,FALSE))</f>
        <v>8977.5</v>
      </c>
      <c r="P78" s="48">
        <f t="shared" ca="1" si="2"/>
        <v>6.5624999999999998E-3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input_346100!A$2</f>
        <v>346100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IFERROR(VLOOKUP(B79,input_346100!L:R,7,FALSE),VLOOKUP(tables_346100!C79,input_346100!A:H,8,FALSE))</f>
        <v>7695</v>
      </c>
      <c r="P79" s="48">
        <f t="shared" ref="P79:P142" ca="1" si="5">O79/SUM(O:O)</f>
        <v>5.6249999999999998E-3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input_346100!A$2</f>
        <v>346100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IFERROR(VLOOKUP(B80,input_346100!L:R,7,FALSE),VLOOKUP(tables_346100!C80,input_346100!A:H,8,FALSE))</f>
        <v>427.5</v>
      </c>
      <c r="P80" s="48">
        <f t="shared" ca="1" si="5"/>
        <v>3.1250000000000001E-4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input_346100!A$2</f>
        <v>346100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IFERROR(VLOOKUP(B81,input_346100!L:R,7,FALSE),VLOOKUP(tables_346100!C81,input_346100!A:H,8,FALSE))</f>
        <v>8977.5</v>
      </c>
      <c r="P81" s="48">
        <f t="shared" ca="1" si="5"/>
        <v>6.5624999999999998E-3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input_346100!A$2</f>
        <v>346100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IFERROR(VLOOKUP(B82,input_346100!L:R,7,FALSE),VLOOKUP(tables_346100!C82,input_346100!A:H,8,FALSE))</f>
        <v>7695</v>
      </c>
      <c r="P82" s="48">
        <f t="shared" ca="1" si="5"/>
        <v>5.6249999999999998E-3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input_346100!A$2</f>
        <v>346100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IFERROR(VLOOKUP(B83,input_346100!L:R,7,FALSE),VLOOKUP(tables_346100!C83,input_346100!A:H,8,FALSE))</f>
        <v>427.5</v>
      </c>
      <c r="P83" s="48">
        <f t="shared" ca="1" si="5"/>
        <v>3.1250000000000001E-4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input_346100!A$2</f>
        <v>346100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IFERROR(VLOOKUP(B84,input_346100!L:R,7,FALSE),VLOOKUP(tables_346100!C84,input_346100!A:H,8,FALSE))</f>
        <v>8977.5</v>
      </c>
      <c r="P84" s="48">
        <f t="shared" ca="1" si="5"/>
        <v>6.5624999999999998E-3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input_346100!A$2</f>
        <v>346100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IFERROR(VLOOKUP(B85,input_346100!L:R,7,FALSE),VLOOKUP(tables_346100!C85,input_346100!A:H,8,FALSE))</f>
        <v>7695</v>
      </c>
      <c r="P85" s="48">
        <f t="shared" ca="1" si="5"/>
        <v>5.6249999999999998E-3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input_346100!A$2</f>
        <v>346100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IFERROR(VLOOKUP(B86,input_346100!L:R,7,FALSE),VLOOKUP(tables_346100!C86,input_346100!A:H,8,FALSE))</f>
        <v>427.5</v>
      </c>
      <c r="P86" s="48">
        <f t="shared" ca="1" si="5"/>
        <v>3.1250000000000001E-4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input_346100!A$2</f>
        <v>346100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IFERROR(VLOOKUP(B87,input_346100!L:R,7,FALSE),VLOOKUP(tables_346100!C87,input_346100!A:H,8,FALSE))</f>
        <v>8977.5</v>
      </c>
      <c r="P87" s="48">
        <f t="shared" ca="1" si="5"/>
        <v>6.5624999999999998E-3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input_346100!A$2</f>
        <v>346100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IFERROR(VLOOKUP(B88,input_346100!L:R,7,FALSE),VLOOKUP(tables_346100!C88,input_346100!A:H,8,FALSE))</f>
        <v>7695</v>
      </c>
      <c r="P88" s="48">
        <f t="shared" ca="1" si="5"/>
        <v>5.6249999999999998E-3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input_346100!A$2</f>
        <v>346100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IFERROR(VLOOKUP(B89,input_346100!L:R,7,FALSE),VLOOKUP(tables_346100!C89,input_346100!A:H,8,FALSE))</f>
        <v>427.5</v>
      </c>
      <c r="P89" s="48">
        <f t="shared" ca="1" si="5"/>
        <v>3.1250000000000001E-4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input_346100!A$2</f>
        <v>346100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IFERROR(VLOOKUP(B90,input_346100!L:R,7,FALSE),VLOOKUP(tables_346100!C90,input_346100!A:H,8,FALSE))</f>
        <v>8977.5</v>
      </c>
      <c r="P90" s="48">
        <f t="shared" ca="1" si="5"/>
        <v>6.5624999999999998E-3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input_346100!A$2</f>
        <v>346100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IFERROR(VLOOKUP(B91,input_346100!L:R,7,FALSE),VLOOKUP(tables_346100!C91,input_346100!A:H,8,FALSE))</f>
        <v>7695</v>
      </c>
      <c r="P91" s="48">
        <f t="shared" ca="1" si="5"/>
        <v>5.6249999999999998E-3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input_346100!A$2</f>
        <v>346100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IFERROR(VLOOKUP(B92,input_346100!L:R,7,FALSE),VLOOKUP(tables_346100!C92,input_346100!A:H,8,FALSE))</f>
        <v>427.5</v>
      </c>
      <c r="P92" s="48">
        <f t="shared" ca="1" si="5"/>
        <v>3.1250000000000001E-4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input_346100!A$2</f>
        <v>346100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IFERROR(VLOOKUP(B93,input_346100!L:R,7,FALSE),VLOOKUP(tables_346100!C93,input_346100!A:H,8,FALSE))</f>
        <v>8977.5</v>
      </c>
      <c r="P93" s="48">
        <f t="shared" ca="1" si="5"/>
        <v>6.5624999999999998E-3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input_346100!A$2</f>
        <v>346100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IFERROR(VLOOKUP(B94,input_346100!L:R,7,FALSE),VLOOKUP(tables_346100!C94,input_346100!A:H,8,FALSE))</f>
        <v>7695</v>
      </c>
      <c r="P94" s="48">
        <f t="shared" ca="1" si="5"/>
        <v>5.6249999999999998E-3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input_346100!A$2</f>
        <v>346100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IFERROR(VLOOKUP(B95,input_346100!L:R,7,FALSE),VLOOKUP(tables_346100!C95,input_346100!A:H,8,FALSE))</f>
        <v>427.5</v>
      </c>
      <c r="P95" s="48">
        <f t="shared" ca="1" si="5"/>
        <v>3.1250000000000001E-4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input_346100!A$2</f>
        <v>346100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IFERROR(VLOOKUP(B96,input_346100!L:R,7,FALSE),VLOOKUP(tables_346100!C96,input_346100!A:H,8,FALSE))</f>
        <v>8977.5</v>
      </c>
      <c r="P96" s="48">
        <f t="shared" ca="1" si="5"/>
        <v>6.5624999999999998E-3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input_346100!A$2</f>
        <v>346100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IFERROR(VLOOKUP(B97,input_346100!L:R,7,FALSE),VLOOKUP(tables_346100!C97,input_346100!A:H,8,FALSE))</f>
        <v>7695</v>
      </c>
      <c r="P97" s="48">
        <f t="shared" ca="1" si="5"/>
        <v>5.6249999999999998E-3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input_346100!A$2</f>
        <v>346100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IFERROR(VLOOKUP(B98,input_346100!L:R,7,FALSE),VLOOKUP(tables_346100!C98,input_346100!A:H,8,FALSE))</f>
        <v>427.5</v>
      </c>
      <c r="P98" s="48">
        <f t="shared" ca="1" si="5"/>
        <v>3.1250000000000001E-4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input_346100!A$2</f>
        <v>346100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IFERROR(VLOOKUP(B99,input_346100!L:R,7,FALSE),VLOOKUP(tables_346100!C99,input_346100!A:H,8,FALSE))</f>
        <v>8977.5</v>
      </c>
      <c r="P99" s="48">
        <f t="shared" ca="1" si="5"/>
        <v>6.5624999999999998E-3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input_346100!A$2</f>
        <v>346100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IFERROR(VLOOKUP(B100,input_346100!L:R,7,FALSE),VLOOKUP(tables_346100!C100,input_346100!A:H,8,FALSE))</f>
        <v>7695</v>
      </c>
      <c r="P100" s="48">
        <f t="shared" ca="1" si="5"/>
        <v>5.6249999999999998E-3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input_346100!A$2</f>
        <v>346100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IFERROR(VLOOKUP(B101,input_346100!L:R,7,FALSE),VLOOKUP(tables_346100!C101,input_346100!A:H,8,FALSE))</f>
        <v>427.5</v>
      </c>
      <c r="P101" s="48">
        <f t="shared" ca="1" si="5"/>
        <v>3.1250000000000001E-4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input_346100!A$2</f>
        <v>346100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IFERROR(VLOOKUP(B102,input_346100!L:R,7,FALSE),VLOOKUP(tables_346100!C102,input_346100!A:H,8,FALSE))</f>
        <v>8977.5</v>
      </c>
      <c r="P102" s="48">
        <f t="shared" ca="1" si="5"/>
        <v>6.5624999999999998E-3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input_346100!A$2</f>
        <v>346100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IFERROR(VLOOKUP(B103,input_346100!L:R,7,FALSE),VLOOKUP(tables_346100!C103,input_346100!A:H,8,FALSE))</f>
        <v>7695</v>
      </c>
      <c r="P103" s="48">
        <f t="shared" ca="1" si="5"/>
        <v>5.6249999999999998E-3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input_346100!A$2</f>
        <v>346100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IFERROR(VLOOKUP(B104,input_346100!L:R,7,FALSE),VLOOKUP(tables_346100!C104,input_346100!A:H,8,FALSE))</f>
        <v>427.5</v>
      </c>
      <c r="P104" s="48">
        <f t="shared" ca="1" si="5"/>
        <v>3.1250000000000001E-4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input_346100!A$2</f>
        <v>346100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IFERROR(VLOOKUP(B105,input_346100!L:R,7,FALSE),VLOOKUP(tables_346100!C105,input_346100!A:H,8,FALSE))</f>
        <v>8977.5</v>
      </c>
      <c r="P105" s="48">
        <f t="shared" ca="1" si="5"/>
        <v>6.5624999999999998E-3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input_346100!A$2</f>
        <v>346100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IFERROR(VLOOKUP(B106,input_346100!L:R,7,FALSE),VLOOKUP(tables_346100!C106,input_346100!A:H,8,FALSE))</f>
        <v>7695</v>
      </c>
      <c r="P106" s="48">
        <f t="shared" ca="1" si="5"/>
        <v>5.6249999999999998E-3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input_346100!A$2</f>
        <v>346100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IFERROR(VLOOKUP(B107,input_346100!L:R,7,FALSE),VLOOKUP(tables_346100!C107,input_346100!A:H,8,FALSE))</f>
        <v>427.5</v>
      </c>
      <c r="P107" s="48">
        <f t="shared" ca="1" si="5"/>
        <v>3.1250000000000001E-4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input_346100!A$2</f>
        <v>346100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IFERROR(VLOOKUP(B108,input_346100!L:R,7,FALSE),VLOOKUP(tables_346100!C108,input_346100!A:H,8,FALSE))</f>
        <v>8977.5</v>
      </c>
      <c r="P108" s="48">
        <f t="shared" ca="1" si="5"/>
        <v>6.5624999999999998E-3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input_346100!A$2</f>
        <v>346100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IFERROR(VLOOKUP(B109,input_346100!L:R,7,FALSE),VLOOKUP(tables_346100!C109,input_346100!A:H,8,FALSE))</f>
        <v>7695</v>
      </c>
      <c r="P109" s="48">
        <f t="shared" ca="1" si="5"/>
        <v>5.6249999999999998E-3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input_346100!A$2</f>
        <v>346100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IFERROR(VLOOKUP(B110,input_346100!L:R,7,FALSE),VLOOKUP(tables_346100!C110,input_346100!A:H,8,FALSE))</f>
        <v>427.5</v>
      </c>
      <c r="P110" s="48">
        <f t="shared" ca="1" si="5"/>
        <v>3.1250000000000001E-4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input_346100!A$2</f>
        <v>346100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IFERROR(VLOOKUP(B111,input_346100!L:R,7,FALSE),VLOOKUP(tables_346100!C111,input_346100!A:H,8,FALSE))</f>
        <v>119.7</v>
      </c>
      <c r="P111" s="48">
        <f t="shared" ca="1" si="5"/>
        <v>8.7499999999999999E-5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input_346100!A$2</f>
        <v>346100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IFERROR(VLOOKUP(B112,input_346100!L:R,7,FALSE),VLOOKUP(tables_346100!C112,input_346100!A:H,8,FALSE))</f>
        <v>102.6</v>
      </c>
      <c r="P112" s="48">
        <f t="shared" ca="1" si="5"/>
        <v>7.4999999999999993E-5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input_346100!A$2</f>
        <v>346100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IFERROR(VLOOKUP(B113,input_346100!L:R,7,FALSE),VLOOKUP(tables_346100!C113,input_346100!A:H,8,FALSE))</f>
        <v>5.7</v>
      </c>
      <c r="P113" s="48">
        <f t="shared" ca="1" si="5"/>
        <v>4.1666666666666669E-6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input_346100!A$2</f>
        <v>346100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IFERROR(VLOOKUP(B114,input_346100!L:R,7,FALSE),VLOOKUP(tables_346100!C114,input_346100!A:H,8,FALSE))</f>
        <v>8977.5</v>
      </c>
      <c r="P114" s="48">
        <f t="shared" ca="1" si="5"/>
        <v>6.5624999999999998E-3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input_346100!A$2</f>
        <v>346100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IFERROR(VLOOKUP(B115,input_346100!L:R,7,FALSE),VLOOKUP(tables_346100!C115,input_346100!A:H,8,FALSE))</f>
        <v>7695</v>
      </c>
      <c r="P115" s="48">
        <f t="shared" ca="1" si="5"/>
        <v>5.6249999999999998E-3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input_346100!A$2</f>
        <v>346100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IFERROR(VLOOKUP(B116,input_346100!L:R,7,FALSE),VLOOKUP(tables_346100!C116,input_346100!A:H,8,FALSE))</f>
        <v>427.5</v>
      </c>
      <c r="P116" s="48">
        <f t="shared" ca="1" si="5"/>
        <v>3.1250000000000001E-4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input_346100!A$2</f>
        <v>346100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IFERROR(VLOOKUP(B117,input_346100!L:R,7,FALSE),VLOOKUP(tables_346100!C117,input_346100!A:H,8,FALSE))</f>
        <v>8977.5</v>
      </c>
      <c r="P117" s="48">
        <f t="shared" ca="1" si="5"/>
        <v>6.5624999999999998E-3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input_346100!A$2</f>
        <v>346100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IFERROR(VLOOKUP(B118,input_346100!L:R,7,FALSE),VLOOKUP(tables_346100!C118,input_346100!A:H,8,FALSE))</f>
        <v>7695</v>
      </c>
      <c r="P118" s="48">
        <f t="shared" ca="1" si="5"/>
        <v>5.6249999999999998E-3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input_346100!A$2</f>
        <v>346100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IFERROR(VLOOKUP(B119,input_346100!L:R,7,FALSE),VLOOKUP(tables_346100!C119,input_346100!A:H,8,FALSE))</f>
        <v>427.5</v>
      </c>
      <c r="P119" s="48">
        <f t="shared" ca="1" si="5"/>
        <v>3.1250000000000001E-4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input_346100!A$2</f>
        <v>346100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IFERROR(VLOOKUP(B120,input_346100!L:R,7,FALSE),VLOOKUP(tables_346100!C120,input_346100!A:H,8,FALSE))</f>
        <v>8977.5</v>
      </c>
      <c r="P120" s="48">
        <f t="shared" ca="1" si="5"/>
        <v>6.5624999999999998E-3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input_346100!A$2</f>
        <v>346100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IFERROR(VLOOKUP(B121,input_346100!L:R,7,FALSE),VLOOKUP(tables_346100!C121,input_346100!A:H,8,FALSE))</f>
        <v>7695</v>
      </c>
      <c r="P121" s="48">
        <f t="shared" ca="1" si="5"/>
        <v>5.6249999999999998E-3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input_346100!A$2</f>
        <v>346100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IFERROR(VLOOKUP(B122,input_346100!L:R,7,FALSE),VLOOKUP(tables_346100!C122,input_346100!A:H,8,FALSE))</f>
        <v>427.5</v>
      </c>
      <c r="P122" s="48">
        <f t="shared" ca="1" si="5"/>
        <v>3.1250000000000001E-4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input_346100!A$2</f>
        <v>346100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IFERROR(VLOOKUP(B123,input_346100!L:R,7,FALSE),VLOOKUP(tables_346100!C123,input_346100!A:H,8,FALSE))</f>
        <v>8977.5</v>
      </c>
      <c r="P123" s="48">
        <f t="shared" ca="1" si="5"/>
        <v>6.5624999999999998E-3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input_346100!A$2</f>
        <v>346100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IFERROR(VLOOKUP(B124,input_346100!L:R,7,FALSE),VLOOKUP(tables_346100!C124,input_346100!A:H,8,FALSE))</f>
        <v>7695</v>
      </c>
      <c r="P124" s="48">
        <f t="shared" ca="1" si="5"/>
        <v>5.6249999999999998E-3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input_346100!A$2</f>
        <v>346100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IFERROR(VLOOKUP(B125,input_346100!L:R,7,FALSE),VLOOKUP(tables_346100!C125,input_346100!A:H,8,FALSE))</f>
        <v>427.5</v>
      </c>
      <c r="P125" s="48">
        <f t="shared" ca="1" si="5"/>
        <v>3.1250000000000001E-4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input_346100!A$2</f>
        <v>346100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IFERROR(VLOOKUP(B126,input_346100!L:R,7,FALSE),VLOOKUP(tables_346100!C126,input_346100!A:H,8,FALSE))</f>
        <v>8977.5</v>
      </c>
      <c r="P126" s="48">
        <f t="shared" ca="1" si="5"/>
        <v>6.5624999999999998E-3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input_346100!A$2</f>
        <v>346100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IFERROR(VLOOKUP(B127,input_346100!L:R,7,FALSE),VLOOKUP(tables_346100!C127,input_346100!A:H,8,FALSE))</f>
        <v>7695</v>
      </c>
      <c r="P127" s="48">
        <f t="shared" ca="1" si="5"/>
        <v>5.6249999999999998E-3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input_346100!A$2</f>
        <v>346100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IFERROR(VLOOKUP(B128,input_346100!L:R,7,FALSE),VLOOKUP(tables_346100!C128,input_346100!A:H,8,FALSE))</f>
        <v>427.5</v>
      </c>
      <c r="P128" s="48">
        <f t="shared" ca="1" si="5"/>
        <v>3.1250000000000001E-4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input_346100!A$2</f>
        <v>346100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IFERROR(VLOOKUP(B129,input_346100!L:R,7,FALSE),VLOOKUP(tables_346100!C129,input_346100!A:H,8,FALSE))</f>
        <v>8977.5</v>
      </c>
      <c r="P129" s="48">
        <f t="shared" ca="1" si="5"/>
        <v>6.5624999999999998E-3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input_346100!A$2</f>
        <v>346100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IFERROR(VLOOKUP(B130,input_346100!L:R,7,FALSE),VLOOKUP(tables_346100!C130,input_346100!A:H,8,FALSE))</f>
        <v>7695</v>
      </c>
      <c r="P130" s="48">
        <f t="shared" ca="1" si="5"/>
        <v>5.6249999999999998E-3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input_346100!A$2</f>
        <v>346100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IFERROR(VLOOKUP(B131,input_346100!L:R,7,FALSE),VLOOKUP(tables_346100!C131,input_346100!A:H,8,FALSE))</f>
        <v>427.5</v>
      </c>
      <c r="P131" s="48">
        <f t="shared" ca="1" si="5"/>
        <v>3.1250000000000001E-4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input_346100!A$2</f>
        <v>346100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IFERROR(VLOOKUP(B132,input_346100!L:R,7,FALSE),VLOOKUP(tables_346100!C132,input_346100!A:H,8,FALSE))</f>
        <v>8977.5</v>
      </c>
      <c r="P132" s="48">
        <f t="shared" ca="1" si="5"/>
        <v>6.5624999999999998E-3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input_346100!A$2</f>
        <v>346100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IFERROR(VLOOKUP(B133,input_346100!L:R,7,FALSE),VLOOKUP(tables_346100!C133,input_346100!A:H,8,FALSE))</f>
        <v>7695</v>
      </c>
      <c r="P133" s="48">
        <f t="shared" ca="1" si="5"/>
        <v>5.6249999999999998E-3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input_346100!A$2</f>
        <v>346100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IFERROR(VLOOKUP(B134,input_346100!L:R,7,FALSE),VLOOKUP(tables_346100!C134,input_346100!A:H,8,FALSE))</f>
        <v>427.5</v>
      </c>
      <c r="P134" s="48">
        <f t="shared" ca="1" si="5"/>
        <v>3.1250000000000001E-4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input_346100!A$2</f>
        <v>346100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IFERROR(VLOOKUP(B135,input_346100!L:R,7,FALSE),VLOOKUP(tables_346100!C135,input_346100!A:H,8,FALSE))</f>
        <v>8977.5</v>
      </c>
      <c r="P135" s="48">
        <f t="shared" ca="1" si="5"/>
        <v>6.5624999999999998E-3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input_346100!A$2</f>
        <v>346100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IFERROR(VLOOKUP(B136,input_346100!L:R,7,FALSE),VLOOKUP(tables_346100!C136,input_346100!A:H,8,FALSE))</f>
        <v>7695</v>
      </c>
      <c r="P136" s="48">
        <f t="shared" ca="1" si="5"/>
        <v>5.6249999999999998E-3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input_346100!A$2</f>
        <v>346100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IFERROR(VLOOKUP(B137,input_346100!L:R,7,FALSE),VLOOKUP(tables_346100!C137,input_346100!A:H,8,FALSE))</f>
        <v>427.5</v>
      </c>
      <c r="P137" s="48">
        <f t="shared" ca="1" si="5"/>
        <v>3.1250000000000001E-4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input_346100!A$2</f>
        <v>346100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IFERROR(VLOOKUP(B138,input_346100!L:R,7,FALSE),VLOOKUP(tables_346100!C138,input_346100!A:H,8,FALSE))</f>
        <v>222.3</v>
      </c>
      <c r="P138" s="48">
        <f t="shared" ca="1" si="5"/>
        <v>1.6250000000000002E-4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input_346100!A$2</f>
        <v>346100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IFERROR(VLOOKUP(B139,input_346100!L:R,7,FALSE),VLOOKUP(tables_346100!C139,input_346100!A:H,8,FALSE))</f>
        <v>5.7</v>
      </c>
      <c r="P139" s="48">
        <f t="shared" ca="1" si="5"/>
        <v>4.1666666666666669E-6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input_346100!A$2</f>
        <v>346100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IFERROR(VLOOKUP(B140,input_346100!L:R,7,FALSE),VLOOKUP(tables_346100!C140,input_346100!A:H,8,FALSE))</f>
        <v>222.3</v>
      </c>
      <c r="P140" s="48">
        <f t="shared" ca="1" si="5"/>
        <v>1.6250000000000002E-4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input_346100!A$2</f>
        <v>346100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IFERROR(VLOOKUP(B141,input_346100!L:R,7,FALSE),VLOOKUP(tables_346100!C141,input_346100!A:H,8,FALSE))</f>
        <v>5.7</v>
      </c>
      <c r="P141" s="48">
        <f t="shared" ca="1" si="5"/>
        <v>4.1666666666666669E-6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input_346100!A$2</f>
        <v>346100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IFERROR(VLOOKUP(B142,input_346100!L:R,7,FALSE),VLOOKUP(tables_346100!C142,input_346100!A:H,8,FALSE))</f>
        <v>222.3</v>
      </c>
      <c r="P142" s="48">
        <f t="shared" ca="1" si="5"/>
        <v>1.6250000000000002E-4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input_346100!A$2</f>
        <v>346100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IFERROR(VLOOKUP(B143,input_346100!L:R,7,FALSE),VLOOKUP(tables_346100!C143,input_346100!A:H,8,FALSE))</f>
        <v>5.7</v>
      </c>
      <c r="P143" s="48">
        <f t="shared" ref="P143:P206" ca="1" si="8">O143/SUM(O:O)</f>
        <v>4.1666666666666669E-6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input_346100!A$2</f>
        <v>346100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IFERROR(VLOOKUP(B144,input_346100!L:R,7,FALSE),VLOOKUP(tables_346100!C144,input_346100!A:H,8,FALSE))</f>
        <v>222.3</v>
      </c>
      <c r="P144" s="48">
        <f t="shared" ca="1" si="8"/>
        <v>1.6250000000000002E-4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input_346100!A$2</f>
        <v>346100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IFERROR(VLOOKUP(B145,input_346100!L:R,7,FALSE),VLOOKUP(tables_346100!C145,input_346100!A:H,8,FALSE))</f>
        <v>5.7</v>
      </c>
      <c r="P145" s="48">
        <f t="shared" ca="1" si="8"/>
        <v>4.1666666666666669E-6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input_346100!A$2</f>
        <v>346100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IFERROR(VLOOKUP(B146,input_346100!L:R,7,FALSE),VLOOKUP(tables_346100!C146,input_346100!A:H,8,FALSE))</f>
        <v>8977.5</v>
      </c>
      <c r="P146" s="48">
        <f t="shared" ca="1" si="8"/>
        <v>6.5624999999999998E-3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input_346100!A$2</f>
        <v>346100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IFERROR(VLOOKUP(B147,input_346100!L:R,7,FALSE),VLOOKUP(tables_346100!C147,input_346100!A:H,8,FALSE))</f>
        <v>7695</v>
      </c>
      <c r="P147" s="48">
        <f t="shared" ca="1" si="8"/>
        <v>5.6249999999999998E-3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input_346100!A$2</f>
        <v>346100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IFERROR(VLOOKUP(B148,input_346100!L:R,7,FALSE),VLOOKUP(tables_346100!C148,input_346100!A:H,8,FALSE))</f>
        <v>427.5</v>
      </c>
      <c r="P148" s="48">
        <f t="shared" ca="1" si="8"/>
        <v>3.1250000000000001E-4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input_346100!A$2</f>
        <v>346100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IFERROR(VLOOKUP(B149,input_346100!L:R,7,FALSE),VLOOKUP(tables_346100!C149,input_346100!A:H,8,FALSE))</f>
        <v>222.3</v>
      </c>
      <c r="P149" s="48">
        <f t="shared" ca="1" si="8"/>
        <v>1.6250000000000002E-4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input_346100!A$2</f>
        <v>346100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IFERROR(VLOOKUP(B150,input_346100!L:R,7,FALSE),VLOOKUP(tables_346100!C150,input_346100!A:H,8,FALSE))</f>
        <v>5.7</v>
      </c>
      <c r="P150" s="48">
        <f t="shared" ca="1" si="8"/>
        <v>4.1666666666666669E-6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input_346100!A$2</f>
        <v>346100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IFERROR(VLOOKUP(B151,input_346100!L:R,7,FALSE),VLOOKUP(tables_346100!C151,input_346100!A:H,8,FALSE))</f>
        <v>222.3</v>
      </c>
      <c r="P151" s="48">
        <f t="shared" ca="1" si="8"/>
        <v>1.6250000000000002E-4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input_346100!A$2</f>
        <v>346100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IFERROR(VLOOKUP(B152,input_346100!L:R,7,FALSE),VLOOKUP(tables_346100!C152,input_346100!A:H,8,FALSE))</f>
        <v>5.7</v>
      </c>
      <c r="P152" s="48">
        <f t="shared" ca="1" si="8"/>
        <v>4.1666666666666669E-6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input_346100!A$2</f>
        <v>346100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IFERROR(VLOOKUP(B153,input_346100!L:R,7,FALSE),VLOOKUP(tables_346100!C153,input_346100!A:H,8,FALSE))</f>
        <v>8977.5</v>
      </c>
      <c r="P153" s="48">
        <f t="shared" ca="1" si="8"/>
        <v>6.5624999999999998E-3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input_346100!A$2</f>
        <v>346100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IFERROR(VLOOKUP(B154,input_346100!L:R,7,FALSE),VLOOKUP(tables_346100!C154,input_346100!A:H,8,FALSE))</f>
        <v>7695</v>
      </c>
      <c r="P154" s="48">
        <f t="shared" ca="1" si="8"/>
        <v>5.6249999999999998E-3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input_346100!A$2</f>
        <v>346100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IFERROR(VLOOKUP(B155,input_346100!L:R,7,FALSE),VLOOKUP(tables_346100!C155,input_346100!A:H,8,FALSE))</f>
        <v>427.5</v>
      </c>
      <c r="P155" s="48">
        <f t="shared" ca="1" si="8"/>
        <v>3.1250000000000001E-4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input_346100!A$2</f>
        <v>346100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IFERROR(VLOOKUP(B156,input_346100!L:R,7,FALSE),VLOOKUP(tables_346100!C156,input_346100!A:H,8,FALSE))</f>
        <v>222.3</v>
      </c>
      <c r="P156" s="48">
        <f t="shared" ca="1" si="8"/>
        <v>1.6250000000000002E-4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input_346100!A$2</f>
        <v>346100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IFERROR(VLOOKUP(B157,input_346100!L:R,7,FALSE),VLOOKUP(tables_346100!C157,input_346100!A:H,8,FALSE))</f>
        <v>5.7</v>
      </c>
      <c r="P157" s="48">
        <f t="shared" ca="1" si="8"/>
        <v>4.1666666666666669E-6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input_346100!A$2</f>
        <v>346100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IFERROR(VLOOKUP(B158,input_346100!L:R,7,FALSE),VLOOKUP(tables_346100!C158,input_346100!A:H,8,FALSE))</f>
        <v>8977.5</v>
      </c>
      <c r="P158" s="48">
        <f t="shared" ca="1" si="8"/>
        <v>6.5624999999999998E-3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input_346100!A$2</f>
        <v>346100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IFERROR(VLOOKUP(B159,input_346100!L:R,7,FALSE),VLOOKUP(tables_346100!C159,input_346100!A:H,8,FALSE))</f>
        <v>7695</v>
      </c>
      <c r="P159" s="48">
        <f t="shared" ca="1" si="8"/>
        <v>5.6249999999999998E-3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input_346100!A$2</f>
        <v>346100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IFERROR(VLOOKUP(B160,input_346100!L:R,7,FALSE),VLOOKUP(tables_346100!C160,input_346100!A:H,8,FALSE))</f>
        <v>427.5</v>
      </c>
      <c r="P160" s="48">
        <f t="shared" ca="1" si="8"/>
        <v>3.1250000000000001E-4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input_346100!A$2</f>
        <v>346100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IFERROR(VLOOKUP(B161,input_346100!L:R,7,FALSE),VLOOKUP(tables_346100!C161,input_346100!A:H,8,FALSE))</f>
        <v>8977.5</v>
      </c>
      <c r="P161" s="48">
        <f t="shared" ca="1" si="8"/>
        <v>6.5624999999999998E-3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input_346100!A$2</f>
        <v>346100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IFERROR(VLOOKUP(B162,input_346100!L:R,7,FALSE),VLOOKUP(tables_346100!C162,input_346100!A:H,8,FALSE))</f>
        <v>7695</v>
      </c>
      <c r="P162" s="48">
        <f t="shared" ca="1" si="8"/>
        <v>5.6249999999999998E-3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input_346100!A$2</f>
        <v>346100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IFERROR(VLOOKUP(B163,input_346100!L:R,7,FALSE),VLOOKUP(tables_346100!C163,input_346100!A:H,8,FALSE))</f>
        <v>427.5</v>
      </c>
      <c r="P163" s="48">
        <f t="shared" ca="1" si="8"/>
        <v>3.1250000000000001E-4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input_346100!A$2</f>
        <v>346100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IFERROR(VLOOKUP(B164,input_346100!L:R,7,FALSE),VLOOKUP(tables_346100!C164,input_346100!A:H,8,FALSE))</f>
        <v>222.3</v>
      </c>
      <c r="P164" s="48">
        <f t="shared" ca="1" si="8"/>
        <v>1.6250000000000002E-4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input_346100!A$2</f>
        <v>346100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IFERROR(VLOOKUP(B165,input_346100!L:R,7,FALSE),VLOOKUP(tables_346100!C165,input_346100!A:H,8,FALSE))</f>
        <v>5.7</v>
      </c>
      <c r="P165" s="48">
        <f t="shared" ca="1" si="8"/>
        <v>4.1666666666666669E-6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input_346100!A$2</f>
        <v>346100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IFERROR(VLOOKUP(B166,input_346100!L:R,7,FALSE),VLOOKUP(tables_346100!C166,input_346100!A:H,8,FALSE))</f>
        <v>8977.5</v>
      </c>
      <c r="P166" s="48">
        <f t="shared" ca="1" si="8"/>
        <v>6.5624999999999998E-3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input_346100!A$2</f>
        <v>346100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IFERROR(VLOOKUP(B167,input_346100!L:R,7,FALSE),VLOOKUP(tables_346100!C167,input_346100!A:H,8,FALSE))</f>
        <v>7695</v>
      </c>
      <c r="P167" s="48">
        <f t="shared" ca="1" si="8"/>
        <v>5.6249999999999998E-3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input_346100!A$2</f>
        <v>346100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IFERROR(VLOOKUP(B168,input_346100!L:R,7,FALSE),VLOOKUP(tables_346100!C168,input_346100!A:H,8,FALSE))</f>
        <v>427.5</v>
      </c>
      <c r="P168" s="48">
        <f t="shared" ca="1" si="8"/>
        <v>3.1250000000000001E-4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input_346100!A$2</f>
        <v>346100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IFERROR(VLOOKUP(B169,input_346100!L:R,7,FALSE),VLOOKUP(tables_346100!C169,input_346100!A:H,8,FALSE))</f>
        <v>222.3</v>
      </c>
      <c r="P169" s="48">
        <f t="shared" ca="1" si="8"/>
        <v>1.6250000000000002E-4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input_346100!A$2</f>
        <v>346100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IFERROR(VLOOKUP(B170,input_346100!L:R,7,FALSE),VLOOKUP(tables_346100!C170,input_346100!A:H,8,FALSE))</f>
        <v>5.7</v>
      </c>
      <c r="P170" s="48">
        <f t="shared" ca="1" si="8"/>
        <v>4.1666666666666669E-6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input_346100!A$2</f>
        <v>346100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IFERROR(VLOOKUP(B171,input_346100!L:R,7,FALSE),VLOOKUP(tables_346100!C171,input_346100!A:H,8,FALSE))</f>
        <v>8977.5</v>
      </c>
      <c r="P171" s="48">
        <f t="shared" ca="1" si="8"/>
        <v>6.5624999999999998E-3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input_346100!A$2</f>
        <v>346100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IFERROR(VLOOKUP(B172,input_346100!L:R,7,FALSE),VLOOKUP(tables_346100!C172,input_346100!A:H,8,FALSE))</f>
        <v>7695</v>
      </c>
      <c r="P172" s="48">
        <f t="shared" ca="1" si="8"/>
        <v>5.6249999999999998E-3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input_346100!A$2</f>
        <v>346100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IFERROR(VLOOKUP(B173,input_346100!L:R,7,FALSE),VLOOKUP(tables_346100!C173,input_346100!A:H,8,FALSE))</f>
        <v>427.5</v>
      </c>
      <c r="P173" s="48">
        <f t="shared" ca="1" si="8"/>
        <v>3.1250000000000001E-4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input_346100!A$2</f>
        <v>346100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IFERROR(VLOOKUP(B174,input_346100!L:R,7,FALSE),VLOOKUP(tables_346100!C174,input_346100!A:H,8,FALSE))</f>
        <v>222.3</v>
      </c>
      <c r="P174" s="48">
        <f t="shared" ca="1" si="8"/>
        <v>1.6250000000000002E-4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input_346100!A$2</f>
        <v>346100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IFERROR(VLOOKUP(B175,input_346100!L:R,7,FALSE),VLOOKUP(tables_346100!C175,input_346100!A:H,8,FALSE))</f>
        <v>5.7</v>
      </c>
      <c r="P175" s="48">
        <f t="shared" ca="1" si="8"/>
        <v>4.1666666666666669E-6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input_346100!A$2</f>
        <v>346100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IFERROR(VLOOKUP(B176,input_346100!L:R,7,FALSE),VLOOKUP(tables_346100!C176,input_346100!A:H,8,FALSE))</f>
        <v>222.3</v>
      </c>
      <c r="P176" s="48">
        <f t="shared" ca="1" si="8"/>
        <v>1.6250000000000002E-4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input_346100!A$2</f>
        <v>346100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IFERROR(VLOOKUP(B177,input_346100!L:R,7,FALSE),VLOOKUP(tables_346100!C177,input_346100!A:H,8,FALSE))</f>
        <v>5.7</v>
      </c>
      <c r="P177" s="48">
        <f t="shared" ca="1" si="8"/>
        <v>4.1666666666666669E-6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input_346100!A$2</f>
        <v>346100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IFERROR(VLOOKUP(B178,input_346100!L:R,7,FALSE),VLOOKUP(tables_346100!C178,input_346100!A:H,8,FALSE))</f>
        <v>8977.5</v>
      </c>
      <c r="P178" s="48">
        <f t="shared" ca="1" si="8"/>
        <v>6.5624999999999998E-3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input_346100!A$2</f>
        <v>346100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IFERROR(VLOOKUP(B179,input_346100!L:R,7,FALSE),VLOOKUP(tables_346100!C179,input_346100!A:H,8,FALSE))</f>
        <v>7695</v>
      </c>
      <c r="P179" s="48">
        <f t="shared" ca="1" si="8"/>
        <v>5.6249999999999998E-3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input_346100!A$2</f>
        <v>346100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IFERROR(VLOOKUP(B180,input_346100!L:R,7,FALSE),VLOOKUP(tables_346100!C180,input_346100!A:H,8,FALSE))</f>
        <v>427.5</v>
      </c>
      <c r="P180" s="48">
        <f t="shared" ca="1" si="8"/>
        <v>3.1250000000000001E-4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input_346100!A$2</f>
        <v>346100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IFERROR(VLOOKUP(B181,input_346100!L:R,7,FALSE),VLOOKUP(tables_346100!C181,input_346100!A:H,8,FALSE))</f>
        <v>8977.5</v>
      </c>
      <c r="P181" s="48">
        <f t="shared" ca="1" si="8"/>
        <v>6.5624999999999998E-3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input_346100!A$2</f>
        <v>346100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IFERROR(VLOOKUP(B182,input_346100!L:R,7,FALSE),VLOOKUP(tables_346100!C182,input_346100!A:H,8,FALSE))</f>
        <v>7695</v>
      </c>
      <c r="P182" s="48">
        <f t="shared" ca="1" si="8"/>
        <v>5.6249999999999998E-3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input_346100!A$2</f>
        <v>346100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IFERROR(VLOOKUP(B183,input_346100!L:R,7,FALSE),VLOOKUP(tables_346100!C183,input_346100!A:H,8,FALSE))</f>
        <v>427.5</v>
      </c>
      <c r="P183" s="48">
        <f t="shared" ca="1" si="8"/>
        <v>3.1250000000000001E-4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input_346100!A$2</f>
        <v>346100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IFERROR(VLOOKUP(B184,input_346100!L:R,7,FALSE),VLOOKUP(tables_346100!C184,input_346100!A:H,8,FALSE))</f>
        <v>222.3</v>
      </c>
      <c r="P184" s="48">
        <f t="shared" ca="1" si="8"/>
        <v>1.6250000000000002E-4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input_346100!A$2</f>
        <v>346100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IFERROR(VLOOKUP(B185,input_346100!L:R,7,FALSE),VLOOKUP(tables_346100!C185,input_346100!A:H,8,FALSE))</f>
        <v>5.7</v>
      </c>
      <c r="P185" s="48">
        <f t="shared" ca="1" si="8"/>
        <v>4.1666666666666669E-6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input_346100!A$2</f>
        <v>346100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IFERROR(VLOOKUP(B186,input_346100!L:R,7,FALSE),VLOOKUP(tables_346100!C186,input_346100!A:H,8,FALSE))</f>
        <v>8977.5</v>
      </c>
      <c r="P186" s="48">
        <f t="shared" ca="1" si="8"/>
        <v>6.5624999999999998E-3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input_346100!A$2</f>
        <v>346100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IFERROR(VLOOKUP(B187,input_346100!L:R,7,FALSE),VLOOKUP(tables_346100!C187,input_346100!A:H,8,FALSE))</f>
        <v>7695</v>
      </c>
      <c r="P187" s="48">
        <f t="shared" ca="1" si="8"/>
        <v>5.6249999999999998E-3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input_346100!A$2</f>
        <v>346100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IFERROR(VLOOKUP(B188,input_346100!L:R,7,FALSE),VLOOKUP(tables_346100!C188,input_346100!A:H,8,FALSE))</f>
        <v>427.5</v>
      </c>
      <c r="P188" s="48">
        <f t="shared" ca="1" si="8"/>
        <v>3.1250000000000001E-4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input_346100!A$2</f>
        <v>346100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IFERROR(VLOOKUP(B189,input_346100!L:R,7,FALSE),VLOOKUP(tables_346100!C189,input_346100!A:H,8,FALSE))</f>
        <v>222.3</v>
      </c>
      <c r="P189" s="48">
        <f t="shared" ca="1" si="8"/>
        <v>1.6250000000000002E-4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input_346100!A$2</f>
        <v>346100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IFERROR(VLOOKUP(B190,input_346100!L:R,7,FALSE),VLOOKUP(tables_346100!C190,input_346100!A:H,8,FALSE))</f>
        <v>5.7</v>
      </c>
      <c r="P190" s="48">
        <f t="shared" ca="1" si="8"/>
        <v>4.1666666666666669E-6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input_346100!A$2</f>
        <v>346100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IFERROR(VLOOKUP(B191,input_346100!L:R,7,FALSE),VLOOKUP(tables_346100!C191,input_346100!A:H,8,FALSE))</f>
        <v>222.3</v>
      </c>
      <c r="P191" s="48">
        <f t="shared" ca="1" si="8"/>
        <v>1.6250000000000002E-4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input_346100!A$2</f>
        <v>346100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IFERROR(VLOOKUP(B192,input_346100!L:R,7,FALSE),VLOOKUP(tables_346100!C192,input_346100!A:H,8,FALSE))</f>
        <v>5.7</v>
      </c>
      <c r="P192" s="48">
        <f t="shared" ca="1" si="8"/>
        <v>4.1666666666666669E-6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input_346100!A$2</f>
        <v>346100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IFERROR(VLOOKUP(B193,input_346100!L:R,7,FALSE),VLOOKUP(tables_346100!C193,input_346100!A:H,8,FALSE))</f>
        <v>8977.5</v>
      </c>
      <c r="P193" s="48">
        <f t="shared" ca="1" si="8"/>
        <v>6.5624999999999998E-3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input_346100!A$2</f>
        <v>346100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IFERROR(VLOOKUP(B194,input_346100!L:R,7,FALSE),VLOOKUP(tables_346100!C194,input_346100!A:H,8,FALSE))</f>
        <v>7695</v>
      </c>
      <c r="P194" s="48">
        <f t="shared" ca="1" si="8"/>
        <v>5.6249999999999998E-3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input_346100!A$2</f>
        <v>346100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IFERROR(VLOOKUP(B195,input_346100!L:R,7,FALSE),VLOOKUP(tables_346100!C195,input_346100!A:H,8,FALSE))</f>
        <v>427.5</v>
      </c>
      <c r="P195" s="48">
        <f t="shared" ca="1" si="8"/>
        <v>3.1250000000000001E-4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input_346100!A$2</f>
        <v>346100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IFERROR(VLOOKUP(B196,input_346100!L:R,7,FALSE),VLOOKUP(tables_346100!C196,input_346100!A:H,8,FALSE))</f>
        <v>222.3</v>
      </c>
      <c r="P196" s="48">
        <f t="shared" ca="1" si="8"/>
        <v>1.6250000000000002E-4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input_346100!A$2</f>
        <v>346100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IFERROR(VLOOKUP(B197,input_346100!L:R,7,FALSE),VLOOKUP(tables_346100!C197,input_346100!A:H,8,FALSE))</f>
        <v>5.7</v>
      </c>
      <c r="P197" s="48">
        <f t="shared" ca="1" si="8"/>
        <v>4.1666666666666669E-6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input_346100!A$2</f>
        <v>346100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IFERROR(VLOOKUP(B198,input_346100!L:R,7,FALSE),VLOOKUP(tables_346100!C198,input_346100!A:H,8,FALSE))</f>
        <v>8977.5</v>
      </c>
      <c r="P198" s="48">
        <f t="shared" ca="1" si="8"/>
        <v>6.5624999999999998E-3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input_346100!A$2</f>
        <v>346100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IFERROR(VLOOKUP(B199,input_346100!L:R,7,FALSE),VLOOKUP(tables_346100!C199,input_346100!A:H,8,FALSE))</f>
        <v>7695</v>
      </c>
      <c r="P199" s="48">
        <f t="shared" ca="1" si="8"/>
        <v>5.6249999999999998E-3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input_346100!A$2</f>
        <v>346100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IFERROR(VLOOKUP(B200,input_346100!L:R,7,FALSE),VLOOKUP(tables_346100!C200,input_346100!A:H,8,FALSE))</f>
        <v>427.5</v>
      </c>
      <c r="P200" s="48">
        <f t="shared" ca="1" si="8"/>
        <v>3.1250000000000001E-4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input_346100!A$2</f>
        <v>346100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IFERROR(VLOOKUP(B201,input_346100!L:R,7,FALSE),VLOOKUP(tables_346100!C201,input_346100!A:H,8,FALSE))</f>
        <v>222.3</v>
      </c>
      <c r="P201" s="48">
        <f t="shared" ca="1" si="8"/>
        <v>1.6250000000000002E-4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input_346100!A$2</f>
        <v>346100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IFERROR(VLOOKUP(B202,input_346100!L:R,7,FALSE),VLOOKUP(tables_346100!C202,input_346100!A:H,8,FALSE))</f>
        <v>5.7</v>
      </c>
      <c r="P202" s="48">
        <f t="shared" ca="1" si="8"/>
        <v>4.1666666666666669E-6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input_346100!A$2</f>
        <v>346100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IFERROR(VLOOKUP(B203,input_346100!L:R,7,FALSE),VLOOKUP(tables_346100!C203,input_346100!A:H,8,FALSE))</f>
        <v>8977.5</v>
      </c>
      <c r="P203" s="48">
        <f t="shared" ca="1" si="8"/>
        <v>6.5624999999999998E-3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input_346100!A$2</f>
        <v>346100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IFERROR(VLOOKUP(B204,input_346100!L:R,7,FALSE),VLOOKUP(tables_346100!C204,input_346100!A:H,8,FALSE))</f>
        <v>7695</v>
      </c>
      <c r="P204" s="48">
        <f t="shared" ca="1" si="8"/>
        <v>5.6249999999999998E-3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input_346100!A$2</f>
        <v>346100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IFERROR(VLOOKUP(B205,input_346100!L:R,7,FALSE),VLOOKUP(tables_346100!C205,input_346100!A:H,8,FALSE))</f>
        <v>427.5</v>
      </c>
      <c r="P205" s="48">
        <f t="shared" ca="1" si="8"/>
        <v>3.1250000000000001E-4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input_346100!A$2</f>
        <v>346100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IFERROR(VLOOKUP(B206,input_346100!L:R,7,FALSE),VLOOKUP(tables_346100!C206,input_346100!A:H,8,FALSE))</f>
        <v>222.3</v>
      </c>
      <c r="P206" s="48">
        <f t="shared" ca="1" si="8"/>
        <v>1.6250000000000002E-4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input_346100!A$2</f>
        <v>346100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IFERROR(VLOOKUP(B207,input_346100!L:R,7,FALSE),VLOOKUP(tables_346100!C207,input_346100!A:H,8,FALSE))</f>
        <v>5.7</v>
      </c>
      <c r="P207" s="48">
        <f t="shared" ref="P207:P270" ca="1" si="11">O207/SUM(O:O)</f>
        <v>4.1666666666666669E-6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input_346100!A$2</f>
        <v>346100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IFERROR(VLOOKUP(B208,input_346100!L:R,7,FALSE),VLOOKUP(tables_346100!C208,input_346100!A:H,8,FALSE))</f>
        <v>222.3</v>
      </c>
      <c r="P208" s="48">
        <f t="shared" ca="1" si="11"/>
        <v>1.6250000000000002E-4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input_346100!A$2</f>
        <v>346100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IFERROR(VLOOKUP(B209,input_346100!L:R,7,FALSE),VLOOKUP(tables_346100!C209,input_346100!A:H,8,FALSE))</f>
        <v>5.7</v>
      </c>
      <c r="P209" s="48">
        <f t="shared" ca="1" si="11"/>
        <v>4.1666666666666669E-6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input_346100!A$2</f>
        <v>346100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IFERROR(VLOOKUP(B210,input_346100!L:R,7,FALSE),VLOOKUP(tables_346100!C210,input_346100!A:H,8,FALSE))</f>
        <v>8977.5</v>
      </c>
      <c r="P210" s="48">
        <f t="shared" ca="1" si="11"/>
        <v>6.5624999999999998E-3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input_346100!A$2</f>
        <v>346100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IFERROR(VLOOKUP(B211,input_346100!L:R,7,FALSE),VLOOKUP(tables_346100!C211,input_346100!A:H,8,FALSE))</f>
        <v>7695</v>
      </c>
      <c r="P211" s="48">
        <f t="shared" ca="1" si="11"/>
        <v>5.6249999999999998E-3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input_346100!A$2</f>
        <v>346100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IFERROR(VLOOKUP(B212,input_346100!L:R,7,FALSE),VLOOKUP(tables_346100!C212,input_346100!A:H,8,FALSE))</f>
        <v>427.5</v>
      </c>
      <c r="P212" s="48">
        <f t="shared" ca="1" si="11"/>
        <v>3.1250000000000001E-4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input_346100!A$2</f>
        <v>346100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IFERROR(VLOOKUP(B213,input_346100!L:R,7,FALSE),VLOOKUP(tables_346100!C213,input_346100!A:H,8,FALSE))</f>
        <v>222.3</v>
      </c>
      <c r="P213" s="48">
        <f t="shared" ca="1" si="11"/>
        <v>1.6250000000000002E-4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input_346100!A$2</f>
        <v>346100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IFERROR(VLOOKUP(B214,input_346100!L:R,7,FALSE),VLOOKUP(tables_346100!C214,input_346100!A:H,8,FALSE))</f>
        <v>5.7</v>
      </c>
      <c r="P214" s="48">
        <f t="shared" ca="1" si="11"/>
        <v>4.1666666666666669E-6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input_346100!A$2</f>
        <v>346100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IFERROR(VLOOKUP(B215,input_346100!L:R,7,FALSE),VLOOKUP(tables_346100!C215,input_346100!A:H,8,FALSE))</f>
        <v>222.3</v>
      </c>
      <c r="P215" s="48">
        <f t="shared" ca="1" si="11"/>
        <v>1.6250000000000002E-4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input_346100!A$2</f>
        <v>346100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IFERROR(VLOOKUP(B216,input_346100!L:R,7,FALSE),VLOOKUP(tables_346100!C216,input_346100!A:H,8,FALSE))</f>
        <v>5.7</v>
      </c>
      <c r="P216" s="48">
        <f t="shared" ca="1" si="11"/>
        <v>4.1666666666666669E-6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input_346100!A$2</f>
        <v>346100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IFERROR(VLOOKUP(B217,input_346100!L:R,7,FALSE),VLOOKUP(tables_346100!C217,input_346100!A:H,8,FALSE))</f>
        <v>8977.5</v>
      </c>
      <c r="P217" s="48">
        <f t="shared" ca="1" si="11"/>
        <v>6.5624999999999998E-3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input_346100!A$2</f>
        <v>346100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IFERROR(VLOOKUP(B218,input_346100!L:R,7,FALSE),VLOOKUP(tables_346100!C218,input_346100!A:H,8,FALSE))</f>
        <v>7695</v>
      </c>
      <c r="P218" s="48">
        <f t="shared" ca="1" si="11"/>
        <v>5.6249999999999998E-3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input_346100!A$2</f>
        <v>346100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IFERROR(VLOOKUP(B219,input_346100!L:R,7,FALSE),VLOOKUP(tables_346100!C219,input_346100!A:H,8,FALSE))</f>
        <v>427.5</v>
      </c>
      <c r="P219" s="48">
        <f t="shared" ca="1" si="11"/>
        <v>3.1250000000000001E-4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input_346100!A$2</f>
        <v>346100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IFERROR(VLOOKUP(B220,input_346100!L:R,7,FALSE),VLOOKUP(tables_346100!C220,input_346100!A:H,8,FALSE))</f>
        <v>8977.5</v>
      </c>
      <c r="P220" s="48">
        <f t="shared" ca="1" si="11"/>
        <v>6.5624999999999998E-3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input_346100!A$2</f>
        <v>346100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IFERROR(VLOOKUP(B221,input_346100!L:R,7,FALSE),VLOOKUP(tables_346100!C221,input_346100!A:H,8,FALSE))</f>
        <v>7695</v>
      </c>
      <c r="P221" s="48">
        <f t="shared" ca="1" si="11"/>
        <v>5.6249999999999998E-3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input_346100!A$2</f>
        <v>346100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IFERROR(VLOOKUP(B222,input_346100!L:R,7,FALSE),VLOOKUP(tables_346100!C222,input_346100!A:H,8,FALSE))</f>
        <v>427.5</v>
      </c>
      <c r="P222" s="48">
        <f t="shared" ca="1" si="11"/>
        <v>3.1250000000000001E-4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input_346100!A$2</f>
        <v>346100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IFERROR(VLOOKUP(B223,input_346100!L:R,7,FALSE),VLOOKUP(tables_346100!C223,input_346100!A:H,8,FALSE))</f>
        <v>222.3</v>
      </c>
      <c r="P223" s="48">
        <f t="shared" ca="1" si="11"/>
        <v>1.6250000000000002E-4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input_346100!A$2</f>
        <v>346100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IFERROR(VLOOKUP(B224,input_346100!L:R,7,FALSE),VLOOKUP(tables_346100!C224,input_346100!A:H,8,FALSE))</f>
        <v>5.7</v>
      </c>
      <c r="P224" s="48">
        <f t="shared" ca="1" si="11"/>
        <v>4.1666666666666669E-6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input_346100!A$2</f>
        <v>346100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IFERROR(VLOOKUP(B225,input_346100!L:R,7,FALSE),VLOOKUP(tables_346100!C225,input_346100!A:H,8,FALSE))</f>
        <v>8977.5</v>
      </c>
      <c r="P225" s="48">
        <f t="shared" ca="1" si="11"/>
        <v>6.5624999999999998E-3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input_346100!A$2</f>
        <v>346100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IFERROR(VLOOKUP(B226,input_346100!L:R,7,FALSE),VLOOKUP(tables_346100!C226,input_346100!A:H,8,FALSE))</f>
        <v>7695</v>
      </c>
      <c r="P226" s="48">
        <f t="shared" ca="1" si="11"/>
        <v>5.6249999999999998E-3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input_346100!A$2</f>
        <v>346100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IFERROR(VLOOKUP(B227,input_346100!L:R,7,FALSE),VLOOKUP(tables_346100!C227,input_346100!A:H,8,FALSE))</f>
        <v>427.5</v>
      </c>
      <c r="P227" s="48">
        <f t="shared" ca="1" si="11"/>
        <v>3.1250000000000001E-4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input_346100!A$2</f>
        <v>346100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IFERROR(VLOOKUP(B228,input_346100!L:R,7,FALSE),VLOOKUP(tables_346100!C228,input_346100!A:H,8,FALSE))</f>
        <v>8977.5</v>
      </c>
      <c r="P228" s="48">
        <f t="shared" ca="1" si="11"/>
        <v>6.5624999999999998E-3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input_346100!A$2</f>
        <v>346100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IFERROR(VLOOKUP(B229,input_346100!L:R,7,FALSE),VLOOKUP(tables_346100!C229,input_346100!A:H,8,FALSE))</f>
        <v>7695</v>
      </c>
      <c r="P229" s="48">
        <f t="shared" ca="1" si="11"/>
        <v>5.6249999999999998E-3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input_346100!A$2</f>
        <v>346100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IFERROR(VLOOKUP(B230,input_346100!L:R,7,FALSE),VLOOKUP(tables_346100!C230,input_346100!A:H,8,FALSE))</f>
        <v>427.5</v>
      </c>
      <c r="P230" s="48">
        <f t="shared" ca="1" si="11"/>
        <v>3.1250000000000001E-4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input_346100!A$2</f>
        <v>346100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IFERROR(VLOOKUP(B231,input_346100!L:R,7,FALSE),VLOOKUP(tables_346100!C231,input_346100!A:H,8,FALSE))</f>
        <v>222.3</v>
      </c>
      <c r="P231" s="48">
        <f t="shared" ca="1" si="11"/>
        <v>1.6250000000000002E-4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input_346100!A$2</f>
        <v>346100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IFERROR(VLOOKUP(B232,input_346100!L:R,7,FALSE),VLOOKUP(tables_346100!C232,input_346100!A:H,8,FALSE))</f>
        <v>5.7</v>
      </c>
      <c r="P232" s="48">
        <f t="shared" ca="1" si="11"/>
        <v>4.1666666666666669E-6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input_346100!A$2</f>
        <v>346100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IFERROR(VLOOKUP(B233,input_346100!L:R,7,FALSE),VLOOKUP(tables_346100!C233,input_346100!A:H,8,FALSE))</f>
        <v>8977.5</v>
      </c>
      <c r="P233" s="48">
        <f t="shared" ca="1" si="11"/>
        <v>6.5624999999999998E-3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input_346100!A$2</f>
        <v>346100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IFERROR(VLOOKUP(B234,input_346100!L:R,7,FALSE),VLOOKUP(tables_346100!C234,input_346100!A:H,8,FALSE))</f>
        <v>7695</v>
      </c>
      <c r="P234" s="48">
        <f t="shared" ca="1" si="11"/>
        <v>5.6249999999999998E-3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input_346100!A$2</f>
        <v>346100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IFERROR(VLOOKUP(B235,input_346100!L:R,7,FALSE),VLOOKUP(tables_346100!C235,input_346100!A:H,8,FALSE))</f>
        <v>427.5</v>
      </c>
      <c r="P235" s="48">
        <f t="shared" ca="1" si="11"/>
        <v>3.1250000000000001E-4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input_346100!A$2</f>
        <v>346100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IFERROR(VLOOKUP(B236,input_346100!L:R,7,FALSE),VLOOKUP(tables_346100!C236,input_346100!A:H,8,FALSE))</f>
        <v>222.3</v>
      </c>
      <c r="P236" s="48">
        <f t="shared" ca="1" si="11"/>
        <v>1.6250000000000002E-4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input_346100!A$2</f>
        <v>346100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IFERROR(VLOOKUP(B237,input_346100!L:R,7,FALSE),VLOOKUP(tables_346100!C237,input_346100!A:H,8,FALSE))</f>
        <v>5.7</v>
      </c>
      <c r="P237" s="48">
        <f t="shared" ca="1" si="11"/>
        <v>4.1666666666666669E-6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input_346100!A$2</f>
        <v>346100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IFERROR(VLOOKUP(B238,input_346100!L:R,7,FALSE),VLOOKUP(tables_346100!C238,input_346100!A:H,8,FALSE))</f>
        <v>222.3</v>
      </c>
      <c r="P238" s="48">
        <f t="shared" ca="1" si="11"/>
        <v>1.6250000000000002E-4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input_346100!A$2</f>
        <v>346100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IFERROR(VLOOKUP(B239,input_346100!L:R,7,FALSE),VLOOKUP(tables_346100!C239,input_346100!A:H,8,FALSE))</f>
        <v>5.7</v>
      </c>
      <c r="P239" s="48">
        <f t="shared" ca="1" si="11"/>
        <v>4.1666666666666669E-6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input_346100!A$2</f>
        <v>346100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IFERROR(VLOOKUP(B240,input_346100!L:R,7,FALSE),VLOOKUP(tables_346100!C240,input_346100!A:H,8,FALSE))</f>
        <v>8977.5</v>
      </c>
      <c r="P240" s="48">
        <f t="shared" ca="1" si="11"/>
        <v>6.5624999999999998E-3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input_346100!A$2</f>
        <v>346100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IFERROR(VLOOKUP(B241,input_346100!L:R,7,FALSE),VLOOKUP(tables_346100!C241,input_346100!A:H,8,FALSE))</f>
        <v>7695</v>
      </c>
      <c r="P241" s="48">
        <f t="shared" ca="1" si="11"/>
        <v>5.6249999999999998E-3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input_346100!A$2</f>
        <v>346100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IFERROR(VLOOKUP(B242,input_346100!L:R,7,FALSE),VLOOKUP(tables_346100!C242,input_346100!A:H,8,FALSE))</f>
        <v>427.5</v>
      </c>
      <c r="P242" s="48">
        <f t="shared" ca="1" si="11"/>
        <v>3.1250000000000001E-4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input_346100!A$2</f>
        <v>346100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IFERROR(VLOOKUP(B243,input_346100!L:R,7,FALSE),VLOOKUP(tables_346100!C243,input_346100!A:H,8,FALSE))</f>
        <v>8977.5</v>
      </c>
      <c r="P243" s="48">
        <f t="shared" ca="1" si="11"/>
        <v>6.5624999999999998E-3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input_346100!A$2</f>
        <v>346100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IFERROR(VLOOKUP(B244,input_346100!L:R,7,FALSE),VLOOKUP(tables_346100!C244,input_346100!A:H,8,FALSE))</f>
        <v>7695</v>
      </c>
      <c r="P244" s="48">
        <f t="shared" ca="1" si="11"/>
        <v>5.6249999999999998E-3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input_346100!A$2</f>
        <v>346100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IFERROR(VLOOKUP(B245,input_346100!L:R,7,FALSE),VLOOKUP(tables_346100!C245,input_346100!A:H,8,FALSE))</f>
        <v>427.5</v>
      </c>
      <c r="P245" s="48">
        <f t="shared" ca="1" si="11"/>
        <v>3.1250000000000001E-4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input_346100!A$2</f>
        <v>346100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IFERROR(VLOOKUP(B246,input_346100!L:R,7,FALSE),VLOOKUP(tables_346100!C246,input_346100!A:H,8,FALSE))</f>
        <v>8977.5</v>
      </c>
      <c r="P246" s="48">
        <f t="shared" ca="1" si="11"/>
        <v>6.5624999999999998E-3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input_346100!A$2</f>
        <v>346100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IFERROR(VLOOKUP(B247,input_346100!L:R,7,FALSE),VLOOKUP(tables_346100!C247,input_346100!A:H,8,FALSE))</f>
        <v>7695</v>
      </c>
      <c r="P247" s="48">
        <f t="shared" ca="1" si="11"/>
        <v>5.6249999999999998E-3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input_346100!A$2</f>
        <v>346100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IFERROR(VLOOKUP(B248,input_346100!L:R,7,FALSE),VLOOKUP(tables_346100!C248,input_346100!A:H,8,FALSE))</f>
        <v>427.5</v>
      </c>
      <c r="P248" s="48">
        <f t="shared" ca="1" si="11"/>
        <v>3.1250000000000001E-4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input_346100!A$2</f>
        <v>346100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IFERROR(VLOOKUP(B249,input_346100!L:R,7,FALSE),VLOOKUP(tables_346100!C249,input_346100!A:H,8,FALSE))</f>
        <v>8977.5</v>
      </c>
      <c r="P249" s="48">
        <f t="shared" ca="1" si="11"/>
        <v>6.5624999999999998E-3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input_346100!A$2</f>
        <v>346100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IFERROR(VLOOKUP(B250,input_346100!L:R,7,FALSE),VLOOKUP(tables_346100!C250,input_346100!A:H,8,FALSE))</f>
        <v>7695</v>
      </c>
      <c r="P250" s="48">
        <f t="shared" ca="1" si="11"/>
        <v>5.6249999999999998E-3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input_346100!A$2</f>
        <v>346100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IFERROR(VLOOKUP(B251,input_346100!L:R,7,FALSE),VLOOKUP(tables_346100!C251,input_346100!A:H,8,FALSE))</f>
        <v>427.5</v>
      </c>
      <c r="P251" s="48">
        <f t="shared" ca="1" si="11"/>
        <v>3.1250000000000001E-4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input_346100!A$2</f>
        <v>346100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IFERROR(VLOOKUP(B252,input_346100!L:R,7,FALSE),VLOOKUP(tables_346100!C252,input_346100!A:H,8,FALSE))</f>
        <v>222.3</v>
      </c>
      <c r="P252" s="48">
        <f t="shared" ca="1" si="11"/>
        <v>1.6250000000000002E-4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input_346100!A$2</f>
        <v>346100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IFERROR(VLOOKUP(B253,input_346100!L:R,7,FALSE),VLOOKUP(tables_346100!C253,input_346100!A:H,8,FALSE))</f>
        <v>5.7</v>
      </c>
      <c r="P253" s="48">
        <f t="shared" ca="1" si="11"/>
        <v>4.1666666666666669E-6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input_346100!A$2</f>
        <v>346100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IFERROR(VLOOKUP(B254,input_346100!L:R,7,FALSE),VLOOKUP(tables_346100!C254,input_346100!A:H,8,FALSE))</f>
        <v>222.3</v>
      </c>
      <c r="P254" s="48">
        <f t="shared" ca="1" si="11"/>
        <v>1.6250000000000002E-4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input_346100!A$2</f>
        <v>346100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IFERROR(VLOOKUP(B255,input_346100!L:R,7,FALSE),VLOOKUP(tables_346100!C255,input_346100!A:H,8,FALSE))</f>
        <v>5.7</v>
      </c>
      <c r="P255" s="48">
        <f t="shared" ca="1" si="11"/>
        <v>4.1666666666666669E-6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input_346100!A$2</f>
        <v>346100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IFERROR(VLOOKUP(B256,input_346100!L:R,7,FALSE),VLOOKUP(tables_346100!C256,input_346100!A:H,8,FALSE))</f>
        <v>222.3</v>
      </c>
      <c r="P256" s="48">
        <f t="shared" ca="1" si="11"/>
        <v>1.6250000000000002E-4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input_346100!A$2</f>
        <v>346100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IFERROR(VLOOKUP(B257,input_346100!L:R,7,FALSE),VLOOKUP(tables_346100!C257,input_346100!A:H,8,FALSE))</f>
        <v>5.7</v>
      </c>
      <c r="P257" s="48">
        <f t="shared" ca="1" si="11"/>
        <v>4.1666666666666669E-6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input_346100!A$2</f>
        <v>346100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IFERROR(VLOOKUP(B258,input_346100!L:R,7,FALSE),VLOOKUP(tables_346100!C258,input_346100!A:H,8,FALSE))</f>
        <v>222.3</v>
      </c>
      <c r="P258" s="48">
        <f t="shared" ca="1" si="11"/>
        <v>1.6250000000000002E-4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input_346100!A$2</f>
        <v>346100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IFERROR(VLOOKUP(B259,input_346100!L:R,7,FALSE),VLOOKUP(tables_346100!C259,input_346100!A:H,8,FALSE))</f>
        <v>5.7</v>
      </c>
      <c r="P259" s="48">
        <f t="shared" ca="1" si="11"/>
        <v>4.1666666666666669E-6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input_346100!A$2</f>
        <v>346100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IFERROR(VLOOKUP(B260,input_346100!L:R,7,FALSE),VLOOKUP(tables_346100!C260,input_346100!A:H,8,FALSE))</f>
        <v>8977.5</v>
      </c>
      <c r="P260" s="48">
        <f t="shared" ca="1" si="11"/>
        <v>6.5624999999999998E-3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input_346100!A$2</f>
        <v>346100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IFERROR(VLOOKUP(B261,input_346100!L:R,7,FALSE),VLOOKUP(tables_346100!C261,input_346100!A:H,8,FALSE))</f>
        <v>7695</v>
      </c>
      <c r="P261" s="48">
        <f t="shared" ca="1" si="11"/>
        <v>5.6249999999999998E-3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input_346100!A$2</f>
        <v>346100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IFERROR(VLOOKUP(B262,input_346100!L:R,7,FALSE),VLOOKUP(tables_346100!C262,input_346100!A:H,8,FALSE))</f>
        <v>427.5</v>
      </c>
      <c r="P262" s="48">
        <f t="shared" ca="1" si="11"/>
        <v>3.1250000000000001E-4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input_346100!A$2</f>
        <v>346100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IFERROR(VLOOKUP(B263,input_346100!L:R,7,FALSE),VLOOKUP(tables_346100!C263,input_346100!A:H,8,FALSE))</f>
        <v>8977.5</v>
      </c>
      <c r="P263" s="48">
        <f t="shared" ca="1" si="11"/>
        <v>6.5624999999999998E-3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input_346100!A$2</f>
        <v>346100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IFERROR(VLOOKUP(B264,input_346100!L:R,7,FALSE),VLOOKUP(tables_346100!C264,input_346100!A:H,8,FALSE))</f>
        <v>7695</v>
      </c>
      <c r="P264" s="48">
        <f t="shared" ca="1" si="11"/>
        <v>5.6249999999999998E-3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input_346100!A$2</f>
        <v>346100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IFERROR(VLOOKUP(B265,input_346100!L:R,7,FALSE),VLOOKUP(tables_346100!C265,input_346100!A:H,8,FALSE))</f>
        <v>427.5</v>
      </c>
      <c r="P265" s="48">
        <f t="shared" ca="1" si="11"/>
        <v>3.1250000000000001E-4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input_346100!A$2</f>
        <v>346100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IFERROR(VLOOKUP(B266,input_346100!L:R,7,FALSE),VLOOKUP(tables_346100!C266,input_346100!A:H,8,FALSE))</f>
        <v>14381.1</v>
      </c>
      <c r="P266" s="48">
        <f t="shared" ca="1" si="11"/>
        <v>1.0512500000000001E-2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input_346100!A$2</f>
        <v>346100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IFERROR(VLOOKUP(B267,input_346100!L:R,7,FALSE),VLOOKUP(tables_346100!C267,input_346100!A:H,8,FALSE))</f>
        <v>2718.9</v>
      </c>
      <c r="P267" s="48">
        <f t="shared" ca="1" si="11"/>
        <v>1.9875000000000001E-3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input_346100!A$2</f>
        <v>346100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IFERROR(VLOOKUP(B268,input_346100!L:R,7,FALSE),VLOOKUP(tables_346100!C268,input_346100!A:H,8,FALSE))</f>
        <v>14381.1</v>
      </c>
      <c r="P268" s="48">
        <f t="shared" ca="1" si="11"/>
        <v>1.0512500000000001E-2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input_346100!A$2</f>
        <v>346100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IFERROR(VLOOKUP(B269,input_346100!L:R,7,FALSE),VLOOKUP(tables_346100!C269,input_346100!A:H,8,FALSE))</f>
        <v>2718.9</v>
      </c>
      <c r="P269" s="48">
        <f t="shared" ca="1" si="11"/>
        <v>1.9875000000000001E-3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input_346100!A$2</f>
        <v>346100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IFERROR(VLOOKUP(B270,input_346100!L:R,7,FALSE),VLOOKUP(tables_346100!C270,input_346100!A:H,8,FALSE))</f>
        <v>228</v>
      </c>
      <c r="P270" s="48">
        <f t="shared" ca="1" si="11"/>
        <v>1.6666666666666666E-4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input_346100!A$2</f>
        <v>346100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IFERROR(VLOOKUP(B271,input_346100!L:R,7,FALSE),VLOOKUP(tables_346100!C271,input_346100!A:H,8,FALSE))</f>
        <v>228</v>
      </c>
      <c r="P271" s="48">
        <f t="shared" ref="P271:P277" ca="1" si="14">O271/SUM(O:O)</f>
        <v>1.6666666666666666E-4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input_346100!A$2</f>
        <v>346100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IFERROR(VLOOKUP(B272,input_346100!L:R,7,FALSE),VLOOKUP(tables_346100!C272,input_346100!A:H,8,FALSE))</f>
        <v>228</v>
      </c>
      <c r="P272" s="48">
        <f t="shared" ca="1" si="14"/>
        <v>1.6666666666666666E-4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input_346100!A$2</f>
        <v>346100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IFERROR(VLOOKUP(B273,input_346100!L:R,7,FALSE),VLOOKUP(tables_346100!C273,input_346100!A:H,8,FALSE))</f>
        <v>228</v>
      </c>
      <c r="P273" s="48">
        <f t="shared" ca="1" si="14"/>
        <v>1.6666666666666666E-4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input_346100!A$2</f>
        <v>346100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IFERROR(VLOOKUP(B274,input_346100!L:R,7,FALSE),VLOOKUP(tables_346100!C274,input_346100!A:H,8,FALSE))</f>
        <v>14381.1</v>
      </c>
      <c r="P274" s="48">
        <f t="shared" ca="1" si="14"/>
        <v>1.0512500000000001E-2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input_346100!A$2</f>
        <v>346100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IFERROR(VLOOKUP(B275,input_346100!L:R,7,FALSE),VLOOKUP(tables_346100!C275,input_346100!A:H,8,FALSE))</f>
        <v>2718.9</v>
      </c>
      <c r="P275" s="48">
        <f t="shared" ca="1" si="14"/>
        <v>1.9875000000000001E-3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input_346100!A$2</f>
        <v>346100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IFERROR(VLOOKUP(B276,input_346100!L:R,7,FALSE),VLOOKUP(tables_346100!C276,input_346100!A:H,8,FALSE))</f>
        <v>14381.1</v>
      </c>
      <c r="P276" s="48">
        <f t="shared" ca="1" si="14"/>
        <v>1.0512500000000001E-2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input_346100!A$2</f>
        <v>346100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IFERROR(VLOOKUP(B277,input_346100!L:R,7,FALSE),VLOOKUP(tables_346100!C277,input_346100!A:H,8,FALSE))</f>
        <v>2718.9</v>
      </c>
      <c r="P277" s="48">
        <f t="shared" ca="1" si="14"/>
        <v>1.9875000000000001E-3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input_346100!A$2</f>
        <v>346100</v>
      </c>
      <c r="B278" s="83">
        <v>862</v>
      </c>
      <c r="C278" s="7" t="str">
        <f t="shared" ref="C278:C283" si="17">D278&amp;J278&amp;E278&amp;F278&amp;G278</f>
        <v>Premium4R3less</v>
      </c>
      <c r="D278" s="7" t="str">
        <f t="shared" ref="D278:D283" si="18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>IFERROR(VLOOKUP(B278,input_346100!L:R,7,FALSE),VLOOKUP(tables_346100!C278,input_346100!A:H,8,FALSE))</f>
        <v>12996</v>
      </c>
      <c r="P278" s="48">
        <f t="shared" ref="P278:P283" ca="1" si="19">O278/SUM(O:O)</f>
        <v>9.4999999999999998E-3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input_346100!A$2</f>
        <v>346100</v>
      </c>
      <c r="B279" s="83">
        <v>863</v>
      </c>
      <c r="C279" s="7" t="str">
        <f t="shared" si="17"/>
        <v>Premium5R3less</v>
      </c>
      <c r="D279" s="7" t="str">
        <f t="shared" si="18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>IFERROR(VLOOKUP(B279,input_346100!L:R,7,FALSE),VLOOKUP(tables_346100!C279,input_346100!A:H,8,FALSE))</f>
        <v>684</v>
      </c>
      <c r="P279" s="48">
        <f t="shared" ca="1" si="19"/>
        <v>5.0000000000000001E-4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input_346100!A$2</f>
        <v>346100</v>
      </c>
      <c r="B280" s="83">
        <v>864</v>
      </c>
      <c r="C280" s="7" t="str">
        <f t="shared" si="17"/>
        <v>Premium4R3less</v>
      </c>
      <c r="D280" s="7" t="str">
        <f t="shared" si="18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>IFERROR(VLOOKUP(B280,input_346100!L:R,7,FALSE),VLOOKUP(tables_346100!C280,input_346100!A:H,8,FALSE))</f>
        <v>12996</v>
      </c>
      <c r="P280" s="48">
        <f t="shared" ca="1" si="19"/>
        <v>9.4999999999999998E-3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input_346100!A$2</f>
        <v>346100</v>
      </c>
      <c r="B281" s="83">
        <v>865</v>
      </c>
      <c r="C281" s="7" t="str">
        <f t="shared" si="17"/>
        <v>Premium5R3less</v>
      </c>
      <c r="D281" s="7" t="str">
        <f t="shared" si="18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>IFERROR(VLOOKUP(B281,input_346100!L:R,7,FALSE),VLOOKUP(tables_346100!C281,input_346100!A:H,8,FALSE))</f>
        <v>684</v>
      </c>
      <c r="P281" s="48">
        <f t="shared" ca="1" si="19"/>
        <v>5.0000000000000001E-4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input_346100!A$2</f>
        <v>346100</v>
      </c>
      <c r="B282" s="83">
        <v>866</v>
      </c>
      <c r="C282" s="7" t="str">
        <f t="shared" si="17"/>
        <v>PremiumSS5R5only</v>
      </c>
      <c r="D282" s="7" t="str">
        <f t="shared" si="18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>IFERROR(VLOOKUP(B282,input_346100!L:R,7,FALSE),VLOOKUP(tables_346100!C282,input_346100!A:H,8,FALSE))</f>
        <v>16416</v>
      </c>
      <c r="P282" s="48">
        <f t="shared" ca="1" si="19"/>
        <v>1.2E-2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input_346100!A$2</f>
        <v>346100</v>
      </c>
      <c r="B283" s="83">
        <v>868</v>
      </c>
      <c r="C283" s="7" t="str">
        <f t="shared" si="17"/>
        <v>PremiumSS5R5only</v>
      </c>
      <c r="D283" s="7" t="str">
        <f t="shared" si="18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>IFERROR(VLOOKUP(B283,input_346100!L:R,7,FALSE),VLOOKUP(tables_346100!C283,input_346100!A:H,8,FALSE))</f>
        <v>16416</v>
      </c>
      <c r="P283" s="48">
        <f t="shared" ca="1" si="19"/>
        <v>1.2E-2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autoFilter ref="A1:V271"/>
  <sortState ref="A2:Y189">
    <sortCondition ref="A2:A189"/>
  </sortState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7"/>
  <sheetViews>
    <sheetView showGridLines="0" tabSelected="1" zoomScale="75" zoomScaleNormal="75" zoomScalePageLayoutView="75" workbookViewId="0">
      <pane ySplit="1" topLeftCell="A2" activePane="bottomLeft" state="frozen"/>
      <selection activeCell="B272" sqref="B272:B277"/>
      <selection pane="bottomLeft" activeCell="G19" sqref="G19"/>
    </sheetView>
  </sheetViews>
  <sheetFormatPr baseColWidth="12" defaultRowHeight="21" customHeight="1" outlineLevelCol="1" x14ac:dyDescent="0.15"/>
  <cols>
    <col min="1" max="1" width="12.59765625" style="89" bestFit="1" customWidth="1"/>
    <col min="2" max="2" width="10.3984375" style="89" customWidth="1"/>
    <col min="3" max="3" width="17.59765625" style="89" bestFit="1" customWidth="1" outlineLevel="1"/>
    <col min="4" max="7" width="17.59765625" style="89" customWidth="1" outlineLevel="1"/>
    <col min="8" max="8" width="23.3984375" style="89" customWidth="1" outlineLevel="1"/>
    <col min="9" max="9" width="13.59765625" style="89" customWidth="1" outlineLevel="1"/>
    <col min="10" max="10" width="9.59765625" style="89" customWidth="1" outlineLevel="1"/>
    <col min="11" max="11" width="10.3984375" style="92" customWidth="1" outlineLevel="1"/>
    <col min="12" max="12" width="18.796875" style="89" customWidth="1" outlineLevel="1"/>
    <col min="13" max="14" width="19" style="89" customWidth="1" outlineLevel="1"/>
    <col min="15" max="15" width="11.3984375" style="89" bestFit="1" customWidth="1"/>
    <col min="16" max="16" width="11.3984375" style="89" customWidth="1"/>
    <col min="17" max="17" width="13.19921875" style="89" bestFit="1" customWidth="1"/>
    <col min="18" max="16384" width="13" style="89"/>
  </cols>
  <sheetData>
    <row r="1" spans="1:22" ht="21" customHeight="1" x14ac:dyDescent="0.15">
      <c r="A1" s="86" t="s">
        <v>88</v>
      </c>
      <c r="B1" s="87" t="s">
        <v>226</v>
      </c>
      <c r="C1" s="88" t="s">
        <v>31</v>
      </c>
      <c r="D1" s="88" t="s">
        <v>227</v>
      </c>
      <c r="E1" s="88" t="s">
        <v>197</v>
      </c>
      <c r="F1" s="88" t="s">
        <v>198</v>
      </c>
      <c r="G1" s="88" t="s">
        <v>228</v>
      </c>
      <c r="H1" s="88" t="s">
        <v>229</v>
      </c>
      <c r="I1" s="88" t="s">
        <v>230</v>
      </c>
      <c r="J1" s="88" t="s">
        <v>231</v>
      </c>
      <c r="K1" s="88" t="s">
        <v>232</v>
      </c>
      <c r="L1" s="88" t="s">
        <v>233</v>
      </c>
      <c r="M1" s="88" t="s">
        <v>234</v>
      </c>
      <c r="N1" s="88" t="s">
        <v>61</v>
      </c>
      <c r="O1" s="87" t="s">
        <v>235</v>
      </c>
      <c r="P1" s="88" t="s">
        <v>66</v>
      </c>
      <c r="Q1" s="87" t="s">
        <v>236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0">
        <v>346100</v>
      </c>
      <c r="B2" s="83">
        <v>862</v>
      </c>
      <c r="C2" s="91" t="str">
        <f t="shared" ref="C2" si="0">D2&amp;J2&amp;E2&amp;F2&amp;G2</f>
        <v>Premium4R3less</v>
      </c>
      <c r="D2" s="91" t="str">
        <f t="shared" ref="D2" si="1">IF(I2="PremiumSS",I2,IF(I2="PremiumSSS",I2,IF(I2="PremiumW",I2,"Premium")))</f>
        <v>Premium</v>
      </c>
      <c r="E2" s="91" t="str">
        <f>IF(COUNTIF('R6追加前'!A:A,B2)=0,IF(I2="PremiumSS","R5only","R3less"),"")</f>
        <v>R3less</v>
      </c>
      <c r="F2" s="91" t="str">
        <f>IF(COUNTIF('R6開放'!A:A,B2)&gt;0,"R6release","")</f>
        <v/>
      </c>
      <c r="G2" s="91"/>
      <c r="H2" s="91" t="str">
        <f>VLOOKUP(B2,[1]characters!$A:$C,3,FALSE)</f>
        <v>ブレーメン</v>
      </c>
      <c r="I2" s="91" t="str">
        <f>VLOOKUP(B2,[1]characters!$A:$J,10,FALSE)</f>
        <v>PremiumS</v>
      </c>
      <c r="J2" s="91">
        <f>VLOOKUP(B2,[1]characters!$A:$I,9,FALSE)</f>
        <v>4</v>
      </c>
      <c r="K2" s="91" t="str">
        <f>VLOOKUP(B2,[1]characters!$A:$H,8,FALSE)</f>
        <v>red</v>
      </c>
      <c r="L2" s="91" t="str">
        <f>VLOOKUP(B2,[1]characters!$A:$K,11,FALSE)</f>
        <v>balance</v>
      </c>
      <c r="M2" s="91" t="str">
        <f>VLOOKUP(B2,[1]characters!$A:$M,13,FALSE)</f>
        <v>animal</v>
      </c>
      <c r="N2" s="91" t="str">
        <f>VLOOKUP(B2,[1]characters!$A:$G,7,FALSE)</f>
        <v>男性</v>
      </c>
      <c r="O2" s="47">
        <f>43*0.95</f>
        <v>40.85</v>
      </c>
      <c r="P2" s="48">
        <f t="shared" ref="P2:P7" si="2">O2/SUM(O:O)</f>
        <v>0.40850000000000003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0">
        <v>346100</v>
      </c>
      <c r="B3" s="83">
        <v>863</v>
      </c>
      <c r="C3" s="91" t="str">
        <f t="shared" ref="C3:C5" si="3">D3&amp;J3&amp;E3&amp;F3&amp;G3</f>
        <v>Premium5R3less</v>
      </c>
      <c r="D3" s="91" t="str">
        <f t="shared" ref="D3:D5" si="4">IF(I3="PremiumSS",I3,IF(I3="PremiumSSS",I3,IF(I3="PremiumW",I3,"Premium")))</f>
        <v>Premium</v>
      </c>
      <c r="E3" s="91" t="str">
        <f>IF(COUNTIF('R6追加前'!A:A,B3)=0,IF(I3="PremiumSS","R5only","R3less"),"")</f>
        <v>R3less</v>
      </c>
      <c r="F3" s="91" t="str">
        <f>IF(COUNTIF('R6開放'!A:A,B3)&gt;0,"R6release","")</f>
        <v/>
      </c>
      <c r="G3" s="91"/>
      <c r="H3" s="91" t="str">
        <f>VLOOKUP(B3,[1]characters!$A:$C,3,FALSE)</f>
        <v>歓揮の楽団長 ブレーメン</v>
      </c>
      <c r="I3" s="91" t="str">
        <f>VLOOKUP(B3,[1]characters!$A:$J,10,FALSE)</f>
        <v>PremiumS</v>
      </c>
      <c r="J3" s="91">
        <f>VLOOKUP(B3,[1]characters!$A:$I,9,FALSE)</f>
        <v>5</v>
      </c>
      <c r="K3" s="91" t="str">
        <f>VLOOKUP(B3,[1]characters!$A:$H,8,FALSE)</f>
        <v>red</v>
      </c>
      <c r="L3" s="91" t="str">
        <f>VLOOKUP(B3,[1]characters!$A:$K,11,FALSE)</f>
        <v>balance</v>
      </c>
      <c r="M3" s="91" t="str">
        <f>VLOOKUP(B3,[1]characters!$A:$M,13,FALSE)</f>
        <v>animal</v>
      </c>
      <c r="N3" s="91" t="str">
        <f>VLOOKUP(B3,[1]characters!$A:$G,7,FALSE)</f>
        <v>男性</v>
      </c>
      <c r="O3" s="47">
        <f>43*0.05</f>
        <v>2.15</v>
      </c>
      <c r="P3" s="48">
        <f t="shared" si="2"/>
        <v>2.1499999999999998E-2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0">
        <v>346100</v>
      </c>
      <c r="B4" s="83">
        <v>864</v>
      </c>
      <c r="C4" s="91" t="str">
        <f t="shared" si="3"/>
        <v>Premium4R3less</v>
      </c>
      <c r="D4" s="91" t="str">
        <f t="shared" si="4"/>
        <v>Premium</v>
      </c>
      <c r="E4" s="91" t="str">
        <f>IF(COUNTIF('R6追加前'!A:A,B4)=0,IF(I4="PremiumSS","R5only","R3less"),"")</f>
        <v>R3less</v>
      </c>
      <c r="F4" s="91" t="str">
        <f>IF(COUNTIF('R6開放'!A:A,B4)&gt;0,"R6release","")</f>
        <v/>
      </c>
      <c r="G4" s="91"/>
      <c r="H4" s="91" t="str">
        <f>VLOOKUP(B4,[1]characters!$A:$C,3,FALSE)</f>
        <v>ピノキオ</v>
      </c>
      <c r="I4" s="91" t="str">
        <f>VLOOKUP(B4,[1]characters!$A:$J,10,FALSE)</f>
        <v>PremiumS</v>
      </c>
      <c r="J4" s="91">
        <f>VLOOKUP(B4,[1]characters!$A:$I,9,FALSE)</f>
        <v>4</v>
      </c>
      <c r="K4" s="91" t="str">
        <f>VLOOKUP(B4,[1]characters!$A:$H,8,FALSE)</f>
        <v>green</v>
      </c>
      <c r="L4" s="91" t="str">
        <f>VLOOKUP(B4,[1]characters!$A:$K,11,FALSE)</f>
        <v>attack</v>
      </c>
      <c r="M4" s="91" t="str">
        <f>VLOOKUP(B4,[1]characters!$A:$M,13,FALSE)</f>
        <v>machine</v>
      </c>
      <c r="N4" s="91" t="str">
        <f>VLOOKUP(B4,[1]characters!$A:$G,7,FALSE)</f>
        <v>男性</v>
      </c>
      <c r="O4" s="47">
        <f>42*0.95</f>
        <v>39.9</v>
      </c>
      <c r="P4" s="48">
        <f t="shared" si="2"/>
        <v>0.39899999999999997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0">
        <v>346100</v>
      </c>
      <c r="B5" s="83">
        <v>865</v>
      </c>
      <c r="C5" s="91" t="str">
        <f t="shared" si="3"/>
        <v>Premium5R3less</v>
      </c>
      <c r="D5" s="91" t="str">
        <f t="shared" si="4"/>
        <v>Premium</v>
      </c>
      <c r="E5" s="91" t="str">
        <f>IF(COUNTIF('R6追加前'!A:A,B5)=0,IF(I5="PremiumSS","R5only","R3less"),"")</f>
        <v>R3less</v>
      </c>
      <c r="F5" s="91" t="str">
        <f>IF(COUNTIF('R6開放'!A:A,B5)&gt;0,"R6release","")</f>
        <v/>
      </c>
      <c r="G5" s="91"/>
      <c r="H5" s="91" t="str">
        <f>VLOOKUP(B5,[1]characters!$A:$C,3,FALSE)</f>
        <v>無情の感線 ピノキオ</v>
      </c>
      <c r="I5" s="91" t="str">
        <f>VLOOKUP(B5,[1]characters!$A:$J,10,FALSE)</f>
        <v>PremiumS</v>
      </c>
      <c r="J5" s="91">
        <f>VLOOKUP(B5,[1]characters!$A:$I,9,FALSE)</f>
        <v>5</v>
      </c>
      <c r="K5" s="91" t="str">
        <f>VLOOKUP(B5,[1]characters!$A:$H,8,FALSE)</f>
        <v>green</v>
      </c>
      <c r="L5" s="91" t="str">
        <f>VLOOKUP(B5,[1]characters!$A:$K,11,FALSE)</f>
        <v>attack</v>
      </c>
      <c r="M5" s="91" t="str">
        <f>VLOOKUP(B5,[1]characters!$A:$M,13,FALSE)</f>
        <v>machine</v>
      </c>
      <c r="N5" s="91" t="str">
        <f>VLOOKUP(B5,[1]characters!$A:$G,7,FALSE)</f>
        <v>男性</v>
      </c>
      <c r="O5" s="47">
        <f>42*0.05</f>
        <v>2.1</v>
      </c>
      <c r="P5" s="48">
        <f t="shared" si="2"/>
        <v>2.1000000000000001E-2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0">
        <v>346100</v>
      </c>
      <c r="B6" s="83">
        <v>866</v>
      </c>
      <c r="C6" s="91" t="str">
        <f t="shared" ref="C6:C7" si="5">D6&amp;J6&amp;E6&amp;F6&amp;G6</f>
        <v>PremiumSS5R5only</v>
      </c>
      <c r="D6" s="91" t="str">
        <f t="shared" ref="D6:D7" si="6">IF(I6="PremiumSS",I6,IF(I6="PremiumSSS",I6,IF(I6="PremiumW",I6,"Premium")))</f>
        <v>PremiumSS</v>
      </c>
      <c r="E6" s="91" t="str">
        <f>IF(COUNTIF('R6追加前'!A:A,B6)=0,IF(I6="PremiumSS","R5only","R3less"),"")</f>
        <v>R5only</v>
      </c>
      <c r="F6" s="91" t="str">
        <f>IF(COUNTIF('R6開放'!A:A,B6)&gt;0,"R6release","")</f>
        <v/>
      </c>
      <c r="G6" s="91"/>
      <c r="H6" s="91" t="str">
        <f>VLOOKUP(B6,[1]characters!$A:$C,3,FALSE)</f>
        <v>無敗の司令姫 白雪姫</v>
      </c>
      <c r="I6" s="91" t="str">
        <f>VLOOKUP(B6,[1]characters!$A:$J,10,FALSE)</f>
        <v>PremiumSS</v>
      </c>
      <c r="J6" s="91">
        <f>VLOOKUP(B6,[1]characters!$A:$I,9,FALSE)</f>
        <v>5</v>
      </c>
      <c r="K6" s="91" t="str">
        <f>VLOOKUP(B6,[1]characters!$A:$H,8,FALSE)</f>
        <v>blue</v>
      </c>
      <c r="L6" s="91" t="str">
        <f>VLOOKUP(B6,[1]characters!$A:$K,11,FALSE)</f>
        <v>balance</v>
      </c>
      <c r="M6" s="91" t="str">
        <f>VLOOKUP(B6,[1]characters!$A:$M,13,FALSE)</f>
        <v>human</v>
      </c>
      <c r="N6" s="91" t="str">
        <f>VLOOKUP(B6,[1]characters!$A:$G,7,FALSE)</f>
        <v>男性</v>
      </c>
      <c r="O6" s="47">
        <v>5</v>
      </c>
      <c r="P6" s="48">
        <f t="shared" si="2"/>
        <v>0.05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0">
        <v>346100</v>
      </c>
      <c r="B7" s="83">
        <v>868</v>
      </c>
      <c r="C7" s="91" t="str">
        <f t="shared" si="5"/>
        <v>PremiumSS5R5only</v>
      </c>
      <c r="D7" s="91" t="str">
        <f t="shared" si="6"/>
        <v>PremiumSS</v>
      </c>
      <c r="E7" s="91" t="str">
        <f>IF(COUNTIF('R6追加前'!A:A,B7)=0,IF(I7="PremiumSS","R5only","R3less"),"")</f>
        <v>R5only</v>
      </c>
      <c r="F7" s="91" t="str">
        <f>IF(COUNTIF('R6開放'!A:A,B7)&gt;0,"R6release","")</f>
        <v/>
      </c>
      <c r="G7" s="91"/>
      <c r="H7" s="91" t="str">
        <f>VLOOKUP(B7,[1]characters!$A:$C,3,FALSE)</f>
        <v>アラジンと殲滅機兵LAMP</v>
      </c>
      <c r="I7" s="91" t="str">
        <f>VLOOKUP(B7,[1]characters!$A:$J,10,FALSE)</f>
        <v>PremiumSS</v>
      </c>
      <c r="J7" s="91">
        <f>VLOOKUP(B7,[1]characters!$A:$I,9,FALSE)</f>
        <v>5</v>
      </c>
      <c r="K7" s="91" t="str">
        <f>VLOOKUP(B7,[1]characters!$A:$H,8,FALSE)</f>
        <v>yellow</v>
      </c>
      <c r="L7" s="91" t="str">
        <f>VLOOKUP(B7,[1]characters!$A:$K,11,FALSE)</f>
        <v>hp</v>
      </c>
      <c r="M7" s="91" t="str">
        <f>VLOOKUP(B7,[1]characters!$A:$M,13,FALSE)</f>
        <v>human</v>
      </c>
      <c r="N7" s="91" t="str">
        <f>VLOOKUP(B7,[1]characters!$A:$G,7,FALSE)</f>
        <v>男性</v>
      </c>
      <c r="O7" s="47">
        <v>10</v>
      </c>
      <c r="P7" s="48">
        <f t="shared" si="2"/>
        <v>0.1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</sheetData>
  <autoFilter ref="A1:V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opLeftCell="A2" workbookViewId="0">
      <selection activeCell="L285" sqref="L285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_使用しない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 s="83">
        <v>862</v>
      </c>
      <c r="M3" s="39" t="str">
        <f>VLOOKUP(L3,[1]characters!$A:$C,3,FALSE)</f>
        <v>ブレーメン</v>
      </c>
      <c r="N3" s="65">
        <f>0.01*0.95</f>
        <v>9.4999999999999998E-3</v>
      </c>
      <c r="O3" s="39">
        <f>VLOOKUP(L3,[1]characters!$A:$I,9,FALSE)</f>
        <v>4</v>
      </c>
      <c r="P3" s="39" t="str">
        <f>VLOOKUP(L3,[1]characters!$A:$J,10,FALSE)</f>
        <v>PremiumS</v>
      </c>
      <c r="Q3" s="39" t="str">
        <f>VLOOKUP(L3,tables_346100_使用しない!B:C,2,FALSE)</f>
        <v>Premium4R3less</v>
      </c>
      <c r="R3" s="64">
        <f t="shared" ref="R3:R5" si="0">N3*A$36</f>
        <v>12996</v>
      </c>
      <c r="S3">
        <v>190</v>
      </c>
      <c r="U3" s="34" t="s">
        <v>200</v>
      </c>
      <c r="V3" s="56">
        <f t="shared" ref="V3:V5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83">
        <v>863</v>
      </c>
      <c r="M4" s="39" t="str">
        <f>VLOOKUP(L4,[1]characters!$A:$C,3,FALSE)</f>
        <v>歓揮の楽団長 ブレーメン</v>
      </c>
      <c r="N4" s="65">
        <f>0.01*0.05</f>
        <v>5.0000000000000001E-4</v>
      </c>
      <c r="O4" s="39">
        <f>VLOOKUP(L4,[1]characters!$A:$I,9,FALSE)</f>
        <v>5</v>
      </c>
      <c r="P4" s="39" t="str">
        <f>VLOOKUP(L4,[1]characters!$A:$J,10,FALSE)</f>
        <v>PremiumS</v>
      </c>
      <c r="Q4" s="39" t="str">
        <f>VLOOKUP(L4,tables_346100_使用しない!B:C,2,FALSE)</f>
        <v>Premium5R3less</v>
      </c>
      <c r="R4" s="64">
        <f t="shared" si="0"/>
        <v>684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2.0816681711721685E-17</v>
      </c>
      <c r="D5" t="s">
        <v>210</v>
      </c>
      <c r="E5" s="45">
        <f>(B11-H5)/(F5-I5)</f>
        <v>2.7777777777777772E-4</v>
      </c>
      <c r="F5">
        <f>(COUNTIF(tables_346100_使用しない!C:C,input_346100_使用しない!A26)+COUNTIF(tables_346100_使用しない!C:C,input_346100_使用しない!A28)+COUNTIF(tables_346100_使用しない!C:C,input_346100_使用しない!A29))</f>
        <v>38</v>
      </c>
      <c r="H5" s="78">
        <v>0.02</v>
      </c>
      <c r="I5" s="31">
        <v>2</v>
      </c>
      <c r="L5" s="83">
        <v>864</v>
      </c>
      <c r="M5" s="39" t="str">
        <f>VLOOKUP(L5,[1]characters!$A:$C,3,FALSE)</f>
        <v>ピノキオ</v>
      </c>
      <c r="N5" s="65">
        <f>0.01*0.95</f>
        <v>9.4999999999999998E-3</v>
      </c>
      <c r="O5" s="39">
        <f>VLOOKUP(L5,[1]characters!$A:$I,9,FALSE)</f>
        <v>4</v>
      </c>
      <c r="P5" s="39" t="str">
        <f>VLOOKUP(L5,[1]characters!$A:$J,10,FALSE)</f>
        <v>PremiumS</v>
      </c>
      <c r="Q5" s="39" t="str">
        <f>VLOOKUP(L5,tables_346100_使用しない!B:C,2,FALSE)</f>
        <v>Premium4R3less</v>
      </c>
      <c r="R5" s="64">
        <f t="shared" si="0"/>
        <v>12996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f>1-B7</f>
        <v>0.97499999999999998</v>
      </c>
      <c r="D6" t="s">
        <v>211</v>
      </c>
      <c r="E6" s="82">
        <f>(B10-H6)/(F6-I6)</f>
        <v>1.2447368421052631E-2</v>
      </c>
      <c r="F6">
        <f>(COUNTIF(tables_346100_使用しない!C:C,input_346100_使用しない!A18)+COUNTIF(tables_346100_使用しない!C:C,input_346100_使用しない!A20)+COUNTIF(tables_346100_使用しない!C:C,input_346100_使用しない!A22))</f>
        <v>78</v>
      </c>
      <c r="H6" s="98">
        <v>2.4E-2</v>
      </c>
      <c r="I6" s="31">
        <v>2</v>
      </c>
      <c r="L6" s="83">
        <v>865</v>
      </c>
      <c r="M6" s="39" t="str">
        <f>VLOOKUP(L6,[1]characters!$A:$C,3,FALSE)</f>
        <v>無情の感線 ピノキオ</v>
      </c>
      <c r="N6" s="65">
        <f>0.01*0.05</f>
        <v>5.0000000000000001E-4</v>
      </c>
      <c r="O6" s="39">
        <f>VLOOKUP(L6,[1]characters!$A:$I,9,FALSE)</f>
        <v>5</v>
      </c>
      <c r="P6" s="39" t="str">
        <f>VLOOKUP(L6,[1]characters!$A:$J,10,FALSE)</f>
        <v>PremiumS</v>
      </c>
      <c r="Q6" s="39" t="str">
        <f>VLOOKUP(L6,tables_346100_使用しない!B:C,2,FALSE)</f>
        <v>Premium5R3less</v>
      </c>
      <c r="R6" s="64">
        <f t="shared" ref="R6:R8" si="2">N6*A$36</f>
        <v>684</v>
      </c>
      <c r="S6">
        <v>192</v>
      </c>
      <c r="U6" s="34"/>
      <c r="V6" s="56"/>
    </row>
    <row r="7" spans="1:22" x14ac:dyDescent="0.15">
      <c r="A7" s="34" t="s">
        <v>73</v>
      </c>
      <c r="B7" s="76">
        <f>0.05-SUMIF(O3:O9,5,N3:N9)</f>
        <v>2.5000000000000001E-2</v>
      </c>
      <c r="L7" s="83">
        <v>866</v>
      </c>
      <c r="M7" s="39" t="str">
        <f>VLOOKUP(L7,[1]characters!$A:$C,3,FALSE)</f>
        <v>無敗の司令姫 白雪姫</v>
      </c>
      <c r="N7" s="65">
        <v>1.2E-2</v>
      </c>
      <c r="O7" s="39">
        <f>VLOOKUP(L7,[1]characters!$A:$I,9,FALSE)</f>
        <v>5</v>
      </c>
      <c r="P7" s="39" t="str">
        <f>VLOOKUP(L7,[1]characters!$A:$J,10,FALSE)</f>
        <v>PremiumSS</v>
      </c>
      <c r="Q7" s="39" t="str">
        <f>VLOOKUP(L7,tables_346100_使用しない!B:C,2,FALSE)</f>
        <v>PremiumSS5R5only</v>
      </c>
      <c r="R7" s="64">
        <f t="shared" si="2"/>
        <v>16416</v>
      </c>
      <c r="S7">
        <v>192</v>
      </c>
      <c r="U7" s="34"/>
      <c r="V7" s="56"/>
    </row>
    <row r="8" spans="1:22" x14ac:dyDescent="0.15">
      <c r="A8" s="59"/>
      <c r="B8" s="75"/>
      <c r="L8" s="83">
        <v>868</v>
      </c>
      <c r="M8" s="39" t="str">
        <f>VLOOKUP(L8,[1]characters!$A:$C,3,FALSE)</f>
        <v>アラジンと殲滅機兵LAMP</v>
      </c>
      <c r="N8" s="65">
        <v>1.2E-2</v>
      </c>
      <c r="O8" s="39">
        <f>VLOOKUP(L8,[1]characters!$A:$I,9,FALSE)</f>
        <v>5</v>
      </c>
      <c r="P8" s="39" t="str">
        <f>VLOOKUP(L8,[1]characters!$A:$J,10,FALSE)</f>
        <v>PremiumSS</v>
      </c>
      <c r="Q8" s="39" t="str">
        <f>VLOOKUP(L8,tables_346100_使用しない!B:C,2,FALSE)</f>
        <v>PremiumSS5R5only</v>
      </c>
      <c r="R8" s="64">
        <f t="shared" si="2"/>
        <v>16416</v>
      </c>
      <c r="S8">
        <v>192</v>
      </c>
      <c r="U8" s="34"/>
      <c r="V8" s="56"/>
    </row>
    <row r="9" spans="1:22" x14ac:dyDescent="0.15">
      <c r="A9" s="37" t="s">
        <v>56</v>
      </c>
      <c r="B9" s="37"/>
      <c r="L9" s="83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6">
        <f>1-B11-B12-B8</f>
        <v>0.97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0.03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v>0</v>
      </c>
      <c r="C17" s="79">
        <f t="shared" ref="C17:C31" si="3">SUMIF(Q:Q,A17,N:N)</f>
        <v>0</v>
      </c>
      <c r="D17" s="80">
        <f t="shared" ref="D17:D32" si="4">B17-C17</f>
        <v>0</v>
      </c>
      <c r="E17">
        <f>COUNTIF(tables_346100_使用しない!C:C,input_346100_使用しない!A17)-COUNTIF(Q:Q,A17)</f>
        <v>20</v>
      </c>
      <c r="F17" s="45">
        <f>IFERROR(B17/E17,0)</f>
        <v>0</v>
      </c>
      <c r="G17">
        <f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0.24894736842105261</v>
      </c>
      <c r="C18" s="79">
        <f t="shared" si="3"/>
        <v>0</v>
      </c>
      <c r="D18" s="80">
        <f t="shared" si="4"/>
        <v>0.24894736842105261</v>
      </c>
      <c r="E18">
        <f>COUNTIF(tables_346100_使用しない!C:C,input_346100_使用しない!A18)-COUNTIF(Q:Q,A18)</f>
        <v>20</v>
      </c>
      <c r="F18" s="45">
        <f t="shared" ref="F18:F31" si="8">IFERROR(B18/E18,0)</f>
        <v>1.2447368421052631E-2</v>
      </c>
      <c r="G18">
        <f t="shared" ref="G18:G31" si="9">A$36*B18</f>
        <v>340560</v>
      </c>
      <c r="H18">
        <f t="shared" si="5"/>
        <v>17028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72">
        <v>0</v>
      </c>
      <c r="C19" s="79">
        <f t="shared" si="3"/>
        <v>0</v>
      </c>
      <c r="D19" s="80">
        <f t="shared" si="4"/>
        <v>0</v>
      </c>
      <c r="E19">
        <f>COUNTIF(tables_346100_使用しない!C:C,input_346100_使用しない!A19)-COUNTIF(Q:Q,A19)</f>
        <v>52</v>
      </c>
      <c r="F19" s="45">
        <f t="shared" si="8"/>
        <v>0</v>
      </c>
      <c r="G19">
        <f t="shared" si="9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0.63108157894736838</v>
      </c>
      <c r="C20" s="79">
        <f t="shared" si="3"/>
        <v>0</v>
      </c>
      <c r="D20" s="80">
        <f t="shared" si="4"/>
        <v>0.63108157894736838</v>
      </c>
      <c r="E20">
        <f>COUNTIF(tables_346100_使用しない!C:C,input_346100_使用しない!A20)-COUNTIF(Q:Q,A20)</f>
        <v>52</v>
      </c>
      <c r="F20" s="45">
        <f t="shared" si="8"/>
        <v>1.2136184210526315E-2</v>
      </c>
      <c r="G20">
        <f t="shared" si="9"/>
        <v>863319.6</v>
      </c>
      <c r="H20">
        <f t="shared" si="5"/>
        <v>16602.3</v>
      </c>
      <c r="I20">
        <f t="shared" si="6"/>
        <v>0.2999999999992724</v>
      </c>
      <c r="J20">
        <f t="shared" si="7"/>
        <v>3.3333333333414177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1.6181578947368418E-2</v>
      </c>
      <c r="C21" s="79">
        <f t="shared" si="3"/>
        <v>0</v>
      </c>
      <c r="D21" s="80">
        <f t="shared" si="4"/>
        <v>1.6181578947368418E-2</v>
      </c>
      <c r="E21">
        <f>COUNTIF(tables_346100_使用しない!C:C,input_346100_使用しない!A21)-COUNTIF(Q:Q,A21)</f>
        <v>52</v>
      </c>
      <c r="F21" s="45">
        <f t="shared" si="8"/>
        <v>3.1118421052631572E-4</v>
      </c>
      <c r="G21">
        <f t="shared" si="9"/>
        <v>22136.399999999998</v>
      </c>
      <c r="H21">
        <f t="shared" si="5"/>
        <v>425.7</v>
      </c>
      <c r="I21">
        <f t="shared" si="6"/>
        <v>0.69999999999998863</v>
      </c>
      <c r="J21">
        <f t="shared" si="7"/>
        <v>1.4285714285714517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E6*COUNTIF(tables_346100_使用しない!C:C,input_346100_使用しない!A22)-B23</f>
        <v>6.7754678362573095E-2</v>
      </c>
      <c r="C22" s="79">
        <f t="shared" si="3"/>
        <v>1.9E-2</v>
      </c>
      <c r="D22" s="80">
        <f t="shared" si="4"/>
        <v>4.8754678362573092E-2</v>
      </c>
      <c r="E22">
        <f>COUNTIF(tables_346100_使用しない!C:C,input_346100_使用しない!A22)-COUNTIF(Q:Q,A22)</f>
        <v>4</v>
      </c>
      <c r="F22" s="45">
        <f t="shared" si="8"/>
        <v>1.6938669590643274E-2</v>
      </c>
      <c r="G22">
        <f t="shared" si="9"/>
        <v>92688.4</v>
      </c>
      <c r="H22">
        <f t="shared" si="5"/>
        <v>23172.1</v>
      </c>
      <c r="I22">
        <f t="shared" si="6"/>
        <v>9.9999999998544808E-2</v>
      </c>
      <c r="J22">
        <f t="shared" si="7"/>
        <v>10.000000000145519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6.9295321637426917E-3</v>
      </c>
      <c r="C23" s="79">
        <f t="shared" si="3"/>
        <v>1E-3</v>
      </c>
      <c r="D23" s="80">
        <f t="shared" si="4"/>
        <v>5.9295321637426917E-3</v>
      </c>
      <c r="E23">
        <f>COUNTIF(tables_346100_使用しない!C:C,input_346100_使用しない!A23)-COUNTIF(Q:Q,A23)</f>
        <v>4</v>
      </c>
      <c r="F23" s="45">
        <f t="shared" si="8"/>
        <v>1.7323830409356729E-3</v>
      </c>
      <c r="G23">
        <f t="shared" si="9"/>
        <v>9479.6000000000022</v>
      </c>
      <c r="H23">
        <f t="shared" si="5"/>
        <v>2369.9</v>
      </c>
      <c r="I23">
        <f t="shared" si="6"/>
        <v>0.90000000000009095</v>
      </c>
      <c r="J23">
        <f t="shared" si="7"/>
        <v>1.1111111111109988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72">
        <v>0</v>
      </c>
      <c r="C24" s="79">
        <f t="shared" si="3"/>
        <v>0</v>
      </c>
      <c r="D24" s="80">
        <f t="shared" si="4"/>
        <v>0</v>
      </c>
      <c r="E24">
        <f>COUNTIF(tables_346100_使用しない!C:C,input_346100_使用しない!A24)-COUNTIF(Q:Q,A24)</f>
        <v>4</v>
      </c>
      <c r="F24" s="45">
        <f t="shared" si="8"/>
        <v>0</v>
      </c>
      <c r="G24">
        <f t="shared" si="9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1.0833333333333331E-3</v>
      </c>
      <c r="C25" s="79">
        <f t="shared" si="3"/>
        <v>0</v>
      </c>
      <c r="D25" s="80">
        <f t="shared" si="4"/>
        <v>1.0833333333333331E-3</v>
      </c>
      <c r="E25">
        <f>COUNTIF(tables_346100_使用しない!C:C,input_346100_使用しない!A25)-COUNTIF(Q:Q,A25)</f>
        <v>4</v>
      </c>
      <c r="F25" s="45">
        <f t="shared" si="8"/>
        <v>2.7083333333333327E-4</v>
      </c>
      <c r="G25">
        <f t="shared" si="9"/>
        <v>1481.9999999999995</v>
      </c>
      <c r="H25">
        <f t="shared" si="5"/>
        <v>370.5</v>
      </c>
      <c r="I25">
        <f t="shared" si="6"/>
        <v>0.5</v>
      </c>
      <c r="J25">
        <f t="shared" si="7"/>
        <v>2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2.7777777777777772E-5</v>
      </c>
      <c r="C26" s="79">
        <f t="shared" si="3"/>
        <v>0</v>
      </c>
      <c r="D26" s="80">
        <f t="shared" si="4"/>
        <v>2.7777777777777772E-5</v>
      </c>
      <c r="E26">
        <f>COUNTIF(tables_346100_使用しない!C:C,input_346100_使用しない!A26)-COUNTIF(Q:Q,A26)</f>
        <v>4</v>
      </c>
      <c r="F26" s="45">
        <f t="shared" si="8"/>
        <v>6.9444444444444431E-6</v>
      </c>
      <c r="G26">
        <f t="shared" si="9"/>
        <v>37.999999999999993</v>
      </c>
      <c r="H26">
        <f t="shared" si="5"/>
        <v>9.5</v>
      </c>
      <c r="I26">
        <f t="shared" si="6"/>
        <v>0.5</v>
      </c>
      <c r="J26">
        <f t="shared" si="7"/>
        <v>2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7.5833333333333317E-3</v>
      </c>
      <c r="C27" s="79">
        <f t="shared" si="3"/>
        <v>0</v>
      </c>
      <c r="D27" s="80">
        <f t="shared" si="4"/>
        <v>7.5833333333333317E-3</v>
      </c>
      <c r="E27">
        <f>COUNTIF(tables_346100_使用しない!C:C,input_346100_使用しない!A27)-COUNTIF(Q:Q,A27)</f>
        <v>28</v>
      </c>
      <c r="F27" s="45">
        <f>IFERROR(B27/E27,0)</f>
        <v>2.7083333333333327E-4</v>
      </c>
      <c r="G27">
        <f t="shared" si="9"/>
        <v>10373.999999999998</v>
      </c>
      <c r="H27">
        <f t="shared" si="5"/>
        <v>370.5</v>
      </c>
      <c r="I27">
        <f t="shared" si="6"/>
        <v>0.5</v>
      </c>
      <c r="J27">
        <f t="shared" si="7"/>
        <v>2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1.9444444444444441E-4</v>
      </c>
      <c r="C28" s="79">
        <f t="shared" si="3"/>
        <v>0</v>
      </c>
      <c r="D28" s="80">
        <f t="shared" si="4"/>
        <v>1.9444444444444441E-4</v>
      </c>
      <c r="E28">
        <f>COUNTIF(tables_346100_使用しない!C:C,input_346100_使用しない!A28)-COUNTIF(Q:Q,A28)</f>
        <v>28</v>
      </c>
      <c r="F28" s="45">
        <f t="shared" si="8"/>
        <v>6.9444444444444431E-6</v>
      </c>
      <c r="G28">
        <f t="shared" si="9"/>
        <v>265.99999999999994</v>
      </c>
      <c r="H28">
        <f t="shared" si="5"/>
        <v>9.5</v>
      </c>
      <c r="I28">
        <f t="shared" si="6"/>
        <v>0.5</v>
      </c>
      <c r="J28">
        <f t="shared" si="7"/>
        <v>2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E5*COUNTIF(tables_346100_使用しない!C:C,input_346100_使用しない!A29)</f>
        <v>1.6666666666666663E-3</v>
      </c>
      <c r="C29" s="79">
        <f t="shared" si="3"/>
        <v>2.4E-2</v>
      </c>
      <c r="D29" s="80">
        <f t="shared" si="4"/>
        <v>-2.2333333333333334E-2</v>
      </c>
      <c r="E29">
        <f>COUNTIF(tables_346100_使用しない!C:C,input_346100_使用しない!A29)-COUNTIF(Q:Q,A29)</f>
        <v>4</v>
      </c>
      <c r="F29" s="45">
        <f t="shared" si="8"/>
        <v>4.1666666666666658E-4</v>
      </c>
      <c r="G29">
        <f t="shared" si="9"/>
        <v>2279.9999999999995</v>
      </c>
      <c r="H29">
        <f t="shared" si="5"/>
        <v>570</v>
      </c>
      <c r="I29">
        <f t="shared" si="6"/>
        <v>0</v>
      </c>
      <c r="J29">
        <f t="shared" si="7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3"/>
        <v>0</v>
      </c>
      <c r="D30" s="80">
        <f t="shared" si="4"/>
        <v>0</v>
      </c>
      <c r="E30">
        <f>COUNTIF(tables_346100_使用しない!C:C,input_346100_使用しない!A30)-COUNTIF(Q:Q,A30)</f>
        <v>0</v>
      </c>
      <c r="F30" s="45">
        <f t="shared" si="8"/>
        <v>0</v>
      </c>
      <c r="G30">
        <f t="shared" si="9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3"/>
        <v>0</v>
      </c>
      <c r="D31" s="80">
        <f t="shared" si="4"/>
        <v>0</v>
      </c>
      <c r="E31">
        <f>COUNTIF(tables_346100_使用しない!C:C,input_346100_使用しない!A31)-COUNTIF(Q:Q,A31)</f>
        <v>0</v>
      </c>
      <c r="F31" s="45">
        <f t="shared" si="8"/>
        <v>0</v>
      </c>
      <c r="G31">
        <f t="shared" si="9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0.9814502923976608</v>
      </c>
      <c r="C32" s="43">
        <f>SUM(C19:C31)</f>
        <v>4.3999999999999997E-2</v>
      </c>
      <c r="D32" s="44">
        <f t="shared" si="4"/>
        <v>0.93745029239766076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1368000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SUMIF(tables_346100_使用しない!C:C,input_346100_使用しない!A40,tables_346100_使用しない!O:O)</f>
        <v>0</v>
      </c>
      <c r="C40" s="56">
        <f t="shared" ref="C40:C46" ca="1" si="10">B40/B$47</f>
        <v>0</v>
      </c>
      <c r="E40">
        <v>3</v>
      </c>
      <c r="F40">
        <f ca="1">SUMIF(tables_346100_使用しない!J:J,input_346100_使用しない!E40,tables_346100_使用しない!O:O)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SUMIF(tables_346100_使用しない!C:C,input_346100_使用しない!A41,tables_346100_使用しない!O:O)</f>
        <v>863319.60000000068</v>
      </c>
      <c r="C41" s="56">
        <f t="shared" ca="1" si="10"/>
        <v>0.96342311538049497</v>
      </c>
      <c r="E41">
        <v>4</v>
      </c>
      <c r="F41">
        <f ca="1">SUMIF(tables_346100_使用しない!J:J,input_346100_使用しない!E41,tables_346100_使用しない!O:O)</f>
        <v>1334416.0000000021</v>
      </c>
      <c r="G41">
        <f ca="1">F41/A36</f>
        <v>0.97545029239766234</v>
      </c>
    </row>
    <row r="42" spans="1:7" x14ac:dyDescent="0.15">
      <c r="A42" s="34" t="s">
        <v>115</v>
      </c>
      <c r="B42">
        <f ca="1">SUMIF(tables_346100_使用しない!C:C,input_346100_使用しない!A42,tables_346100_使用しない!O:O)</f>
        <v>10374</v>
      </c>
      <c r="C42" s="56">
        <f t="shared" ca="1" si="10"/>
        <v>1.1576884619505044E-2</v>
      </c>
      <c r="E42">
        <v>5</v>
      </c>
      <c r="F42">
        <f ca="1">SUMIF(tables_346100_使用しない!J:J,input_346100_使用しない!E42,tables_346100_使用しない!O:O)</f>
        <v>68400.000000000029</v>
      </c>
      <c r="G42">
        <f ca="1">F42/A36</f>
        <v>5.0000000000000024E-2</v>
      </c>
    </row>
    <row r="43" spans="1:7" x14ac:dyDescent="0.15">
      <c r="A43" s="34" t="s">
        <v>116</v>
      </c>
      <c r="B43">
        <f>SUMIF(tables_346100_使用しない!C:C,input_346100_使用しない!A43,tables_346100_使用しない!O:O)</f>
        <v>0</v>
      </c>
      <c r="C43" s="56">
        <f t="shared" ca="1" si="10"/>
        <v>0</v>
      </c>
      <c r="F43" s="57"/>
    </row>
    <row r="44" spans="1:7" x14ac:dyDescent="0.15">
      <c r="A44" s="34" t="s">
        <v>111</v>
      </c>
      <c r="B44">
        <f ca="1">SUMIF(tables_346100_使用しない!C:C,input_346100_使用しない!A44,tables_346100_使用しない!O:O)</f>
        <v>22136.40000000002</v>
      </c>
      <c r="C44" s="56">
        <f t="shared" ca="1" si="10"/>
        <v>2.470315680462808E-2</v>
      </c>
      <c r="E44" t="s">
        <v>56</v>
      </c>
      <c r="F44" s="57"/>
    </row>
    <row r="45" spans="1:7" x14ac:dyDescent="0.15">
      <c r="A45" s="34" t="s">
        <v>117</v>
      </c>
      <c r="B45">
        <f ca="1">SUMIF(tables_346100_使用しない!C:C,input_346100_使用しない!A45,tables_346100_使用しない!O:O)</f>
        <v>266</v>
      </c>
      <c r="C45" s="56">
        <f t="shared" ca="1" si="10"/>
        <v>2.9684319537192418E-4</v>
      </c>
      <c r="E45" t="s">
        <v>213</v>
      </c>
      <c r="F45" s="57">
        <f ca="1">SUMIF(tables_346100_使用しない!I:I,input_346100_使用しない!E45,tables_346100_使用しない!P:P)</f>
        <v>0.25093818148638175</v>
      </c>
    </row>
    <row r="46" spans="1:7" x14ac:dyDescent="0.15">
      <c r="A46" s="34" t="s">
        <v>118</v>
      </c>
      <c r="B46">
        <f>SUMIF(tables_346100_使用しない!C:C,input_346100_使用しない!A46,tables_346100_使用しない!O:O)</f>
        <v>0</v>
      </c>
      <c r="C46" s="56">
        <f t="shared" ca="1" si="10"/>
        <v>0</v>
      </c>
      <c r="E46" t="s">
        <v>214</v>
      </c>
      <c r="F46" s="57">
        <f ca="1">SUMIF(tables_346100_使用しない!I:I,input_346100_使用しない!E46,tables_346100_使用しない!P:P)</f>
        <v>0.20716615721520143</v>
      </c>
    </row>
    <row r="47" spans="1:7" x14ac:dyDescent="0.15">
      <c r="A47" s="41" t="s">
        <v>62</v>
      </c>
      <c r="B47">
        <f ca="1">SUM(B40:B46)</f>
        <v>896096.0000000007</v>
      </c>
      <c r="C47" s="57">
        <f ca="1">SUM(C40:C46)</f>
        <v>1</v>
      </c>
      <c r="E47" t="s">
        <v>215</v>
      </c>
      <c r="F47" s="57">
        <f ca="1">SUMIF(tables_346100_使用しない!I:I,input_346100_使用しない!E47,tables_346100_使用しない!P:P)</f>
        <v>0.51745061362288414</v>
      </c>
    </row>
    <row r="48" spans="1:7" x14ac:dyDescent="0.15">
      <c r="E48" t="s">
        <v>216</v>
      </c>
      <c r="F48" s="57">
        <f ca="1">SUMIF(tables_346100_使用しない!I:I,input_346100_使用しない!E48,tables_346100_使用しない!P:P)</f>
        <v>3.2614398467083347E-2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3"/>
  <sheetViews>
    <sheetView showGridLines="0" zoomScale="75" zoomScaleNormal="75" zoomScalePageLayoutView="75" workbookViewId="0">
      <pane ySplit="1" topLeftCell="A255" activePane="bottomLeft" state="frozen"/>
      <selection activeCell="E9" sqref="E9"/>
      <selection pane="bottomLeft" activeCell="L285" sqref="L28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input_346100_使用しない!A$2</f>
        <v>_使用しない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IFERROR(VLOOKUP(B2,input_346100_使用しない!L:R,7,FALSE),VLOOKUP(tables_346100_使用しない!C2,input_346100_使用しない!A:H,8,FALSE))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input_346100_使用しない!A$2</f>
        <v>_使用しない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IFERROR(VLOOKUP(B3,input_346100_使用しない!L:R,7,FALSE),VLOOKUP(tables_346100_使用しない!C3,input_346100_使用しない!A:H,8,FALSE))</f>
        <v>17028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input_346100_使用しない!A$2</f>
        <v>_使用しない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IFERROR(VLOOKUP(B4,input_346100_使用しない!L:R,7,FALSE),VLOOKUP(tables_346100_使用しない!C4,input_346100_使用しない!A:H,8,FALSE))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input_346100_使用しない!A$2</f>
        <v>_使用しない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IFERROR(VLOOKUP(B5,input_346100_使用しない!L:R,7,FALSE),VLOOKUP(tables_346100_使用しない!C5,input_346100_使用しない!A:H,8,FALSE))</f>
        <v>17028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input_346100_使用しない!A$2</f>
        <v>_使用しない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IFERROR(VLOOKUP(B6,input_346100_使用しない!L:R,7,FALSE),VLOOKUP(tables_346100_使用しない!C6,input_346100_使用しない!A:H,8,FALSE))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input_346100_使用しない!A$2</f>
        <v>_使用しない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IFERROR(VLOOKUP(B7,input_346100_使用しない!L:R,7,FALSE),VLOOKUP(tables_346100_使用しない!C7,input_346100_使用しない!A:H,8,FALSE))</f>
        <v>17028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input_346100_使用しない!A$2</f>
        <v>_使用しない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IFERROR(VLOOKUP(B8,input_346100_使用しない!L:R,7,FALSE),VLOOKUP(tables_346100_使用しない!C8,input_346100_使用しない!A:H,8,FALSE))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input_346100_使用しない!A$2</f>
        <v>_使用しない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IFERROR(VLOOKUP(B9,input_346100_使用しない!L:R,7,FALSE),VLOOKUP(tables_346100_使用しない!C9,input_346100_使用しない!A:H,8,FALSE))</f>
        <v>17028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input_346100_使用しない!A$2</f>
        <v>_使用しない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IFERROR(VLOOKUP(B10,input_346100_使用しない!L:R,7,FALSE),VLOOKUP(tables_346100_使用しない!C10,input_346100_使用しない!A:H,8,FALSE))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input_346100_使用しない!A$2</f>
        <v>_使用しない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IFERROR(VLOOKUP(B11,input_346100_使用しない!L:R,7,FALSE),VLOOKUP(tables_346100_使用しない!C11,input_346100_使用しない!A:H,8,FALSE))</f>
        <v>17028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input_346100_使用しない!A$2</f>
        <v>_使用しない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IFERROR(VLOOKUP(B12,input_346100_使用しない!L:R,7,FALSE),VLOOKUP(tables_346100_使用しない!C12,input_346100_使用しない!A:H,8,FALSE))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input_346100_使用しない!A$2</f>
        <v>_使用しない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IFERROR(VLOOKUP(B13,input_346100_使用しない!L:R,7,FALSE),VLOOKUP(tables_346100_使用しない!C13,input_346100_使用しない!A:H,8,FALSE))</f>
        <v>17028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input_346100_使用しない!A$2</f>
        <v>_使用しない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IFERROR(VLOOKUP(B14,input_346100_使用しない!L:R,7,FALSE),VLOOKUP(tables_346100_使用しない!C14,input_346100_使用しない!A:H,8,FALSE))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input_346100_使用しない!A$2</f>
        <v>_使用しない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IFERROR(VLOOKUP(B15,input_346100_使用しない!L:R,7,FALSE),VLOOKUP(tables_346100_使用しない!C15,input_346100_使用しない!A:H,8,FALSE))</f>
        <v>17028</v>
      </c>
      <c r="P15" s="48">
        <f t="shared" ref="P15:P78" ca="1" si="2">O15/SUM(O:O)</f>
        <v>1.2138441534741548E-2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input_346100_使用しない!A$2</f>
        <v>_使用しない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IFERROR(VLOOKUP(B16,input_346100_使用しない!L:R,7,FALSE),VLOOKUP(tables_346100_使用しない!C16,input_346100_使用しない!A:H,8,FALSE))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input_346100_使用しない!A$2</f>
        <v>_使用しない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IFERROR(VLOOKUP(B17,input_346100_使用しない!L:R,7,FALSE),VLOOKUP(tables_346100_使用しない!C17,input_346100_使用しない!A:H,8,FALSE))</f>
        <v>17028</v>
      </c>
      <c r="P17" s="48">
        <f t="shared" ca="1" si="2"/>
        <v>1.2138441534741548E-2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input_346100_使用しない!A$2</f>
        <v>_使用しない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IFERROR(VLOOKUP(B18,input_346100_使用しない!L:R,7,FALSE),VLOOKUP(tables_346100_使用しない!C18,input_346100_使用しない!A:H,8,FALSE))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input_346100_使用しない!A$2</f>
        <v>_使用しない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IFERROR(VLOOKUP(B19,input_346100_使用しない!L:R,7,FALSE),VLOOKUP(tables_346100_使用しない!C19,input_346100_使用しない!A:H,8,FALSE))</f>
        <v>17028</v>
      </c>
      <c r="P19" s="48">
        <f t="shared" ca="1" si="2"/>
        <v>1.2138441534741548E-2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input_346100_使用しない!A$2</f>
        <v>_使用しない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IFERROR(VLOOKUP(B20,input_346100_使用しない!L:R,7,FALSE),VLOOKUP(tables_346100_使用しない!C20,input_346100_使用しない!A:H,8,FALSE))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input_346100_使用しない!A$2</f>
        <v>_使用しない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IFERROR(VLOOKUP(B21,input_346100_使用しない!L:R,7,FALSE),VLOOKUP(tables_346100_使用しない!C21,input_346100_使用しない!A:H,8,FALSE))</f>
        <v>17028</v>
      </c>
      <c r="P21" s="48">
        <f t="shared" ca="1" si="2"/>
        <v>1.2138441534741548E-2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input_346100_使用しない!A$2</f>
        <v>_使用しない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IFERROR(VLOOKUP(B22,input_346100_使用しない!L:R,7,FALSE),VLOOKUP(tables_346100_使用しない!C22,input_346100_使用しない!A:H,8,FALSE))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input_346100_使用しない!A$2</f>
        <v>_使用しない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IFERROR(VLOOKUP(B23,input_346100_使用しない!L:R,7,FALSE),VLOOKUP(tables_346100_使用しない!C23,input_346100_使用しない!A:H,8,FALSE))</f>
        <v>17028</v>
      </c>
      <c r="P23" s="48">
        <f t="shared" ca="1" si="2"/>
        <v>1.2138441534741548E-2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input_346100_使用しない!A$2</f>
        <v>_使用しない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IFERROR(VLOOKUP(B24,input_346100_使用しない!L:R,7,FALSE),VLOOKUP(tables_346100_使用しない!C24,input_346100_使用しない!A:H,8,FALSE))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input_346100_使用しない!A$2</f>
        <v>_使用しない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IFERROR(VLOOKUP(B25,input_346100_使用しない!L:R,7,FALSE),VLOOKUP(tables_346100_使用しない!C25,input_346100_使用しない!A:H,8,FALSE))</f>
        <v>17028</v>
      </c>
      <c r="P25" s="48">
        <f t="shared" ca="1" si="2"/>
        <v>1.2138441534741548E-2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input_346100_使用しない!A$2</f>
        <v>_使用しない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IFERROR(VLOOKUP(B26,input_346100_使用しない!L:R,7,FALSE),VLOOKUP(tables_346100_使用しない!C26,input_346100_使用しない!A:H,8,FALSE))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input_346100_使用しない!A$2</f>
        <v>_使用しない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IFERROR(VLOOKUP(B27,input_346100_使用しない!L:R,7,FALSE),VLOOKUP(tables_346100_使用しない!C27,input_346100_使用しない!A:H,8,FALSE))</f>
        <v>17028</v>
      </c>
      <c r="P27" s="48">
        <f t="shared" ca="1" si="2"/>
        <v>1.2138441534741548E-2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input_346100_使用しない!A$2</f>
        <v>_使用しない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IFERROR(VLOOKUP(B28,input_346100_使用しない!L:R,7,FALSE),VLOOKUP(tables_346100_使用しない!C28,input_346100_使用しない!A:H,8,FALSE))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input_346100_使用しない!A$2</f>
        <v>_使用しない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IFERROR(VLOOKUP(B29,input_346100_使用しない!L:R,7,FALSE),VLOOKUP(tables_346100_使用しない!C29,input_346100_使用しない!A:H,8,FALSE))</f>
        <v>17028</v>
      </c>
      <c r="P29" s="48">
        <f t="shared" ca="1" si="2"/>
        <v>1.2138441534741548E-2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input_346100_使用しない!A$2</f>
        <v>_使用しない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IFERROR(VLOOKUP(B30,input_346100_使用しない!L:R,7,FALSE),VLOOKUP(tables_346100_使用しない!C30,input_346100_使用しない!A:H,8,FALSE))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input_346100_使用しない!A$2</f>
        <v>_使用しない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IFERROR(VLOOKUP(B31,input_346100_使用しない!L:R,7,FALSE),VLOOKUP(tables_346100_使用しない!C31,input_346100_使用しない!A:H,8,FALSE))</f>
        <v>17028</v>
      </c>
      <c r="P31" s="48">
        <f t="shared" ca="1" si="2"/>
        <v>1.2138441534741548E-2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input_346100_使用しない!A$2</f>
        <v>_使用しない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IFERROR(VLOOKUP(B32,input_346100_使用しない!L:R,7,FALSE),VLOOKUP(tables_346100_使用しない!C32,input_346100_使用しない!A:H,8,FALSE))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input_346100_使用しない!A$2</f>
        <v>_使用しない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IFERROR(VLOOKUP(B33,input_346100_使用しない!L:R,7,FALSE),VLOOKUP(tables_346100_使用しない!C33,input_346100_使用しない!A:H,8,FALSE))</f>
        <v>17028</v>
      </c>
      <c r="P33" s="48">
        <f t="shared" ca="1" si="2"/>
        <v>1.2138441534741548E-2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input_346100_使用しない!A$2</f>
        <v>_使用しない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IFERROR(VLOOKUP(B34,input_346100_使用しない!L:R,7,FALSE),VLOOKUP(tables_346100_使用しない!C34,input_346100_使用しない!A:H,8,FALSE))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input_346100_使用しない!A$2</f>
        <v>_使用しない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IFERROR(VLOOKUP(B35,input_346100_使用しない!L:R,7,FALSE),VLOOKUP(tables_346100_使用しない!C35,input_346100_使用しない!A:H,8,FALSE))</f>
        <v>17028</v>
      </c>
      <c r="P35" s="48">
        <f t="shared" ca="1" si="2"/>
        <v>1.2138441534741548E-2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input_346100_使用しない!A$2</f>
        <v>_使用しない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IFERROR(VLOOKUP(B36,input_346100_使用しない!L:R,7,FALSE),VLOOKUP(tables_346100_使用しない!C36,input_346100_使用しない!A:H,8,FALSE))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input_346100_使用しない!A$2</f>
        <v>_使用しない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IFERROR(VLOOKUP(B37,input_346100_使用しない!L:R,7,FALSE),VLOOKUP(tables_346100_使用しない!C37,input_346100_使用しない!A:H,8,FALSE))</f>
        <v>17028</v>
      </c>
      <c r="P37" s="48">
        <f t="shared" ca="1" si="2"/>
        <v>1.2138441534741548E-2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input_346100_使用しない!A$2</f>
        <v>_使用しない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IFERROR(VLOOKUP(B38,input_346100_使用しない!L:R,7,FALSE),VLOOKUP(tables_346100_使用しない!C38,input_346100_使用しない!A:H,8,FALSE))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input_346100_使用しない!A$2</f>
        <v>_使用しない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IFERROR(VLOOKUP(B39,input_346100_使用しない!L:R,7,FALSE),VLOOKUP(tables_346100_使用しない!C39,input_346100_使用しない!A:H,8,FALSE))</f>
        <v>17028</v>
      </c>
      <c r="P39" s="48">
        <f t="shared" ca="1" si="2"/>
        <v>1.2138441534741548E-2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input_346100_使用しない!A$2</f>
        <v>_使用しない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IFERROR(VLOOKUP(B40,input_346100_使用しない!L:R,7,FALSE),VLOOKUP(tables_346100_使用しない!C40,input_346100_使用しない!A:H,8,FALSE))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input_346100_使用しない!A$2</f>
        <v>_使用しない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IFERROR(VLOOKUP(B41,input_346100_使用しない!L:R,7,FALSE),VLOOKUP(tables_346100_使用しない!C41,input_346100_使用しない!A:H,8,FALSE))</f>
        <v>17028</v>
      </c>
      <c r="P41" s="48">
        <f t="shared" ca="1" si="2"/>
        <v>1.2138441534741548E-2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input_346100_使用しない!A$2</f>
        <v>_使用しない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IFERROR(VLOOKUP(B42,input_346100_使用しない!L:R,7,FALSE),VLOOKUP(tables_346100_使用しない!C42,input_346100_使用しない!A:H,8,FALSE))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input_346100_使用しない!A$2</f>
        <v>_使用しない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IFERROR(VLOOKUP(B43,input_346100_使用しない!L:R,7,FALSE),VLOOKUP(tables_346100_使用しない!C43,input_346100_使用しない!A:H,8,FALSE))</f>
        <v>370.5</v>
      </c>
      <c r="P43" s="48">
        <f t="shared" ca="1" si="2"/>
        <v>2.6411161549340752E-4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input_346100_使用しない!A$2</f>
        <v>_使用しない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IFERROR(VLOOKUP(B44,input_346100_使用しない!L:R,7,FALSE),VLOOKUP(tables_346100_使用しない!C44,input_346100_使用しない!A:H,8,FALSE))</f>
        <v>9.5</v>
      </c>
      <c r="P44" s="48">
        <f t="shared" ca="1" si="2"/>
        <v>6.772092704959168E-6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input_346100_使用しない!A$2</f>
        <v>_使用しない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IFERROR(VLOOKUP(B45,input_346100_使用しない!L:R,7,FALSE),VLOOKUP(tables_346100_使用しない!C45,input_346100_使用しない!A:H,8,FALSE))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input_346100_使用しない!A$2</f>
        <v>_使用しない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IFERROR(VLOOKUP(B46,input_346100_使用しない!L:R,7,FALSE),VLOOKUP(tables_346100_使用しない!C46,input_346100_使用しない!A:H,8,FALSE))</f>
        <v>370.5</v>
      </c>
      <c r="P46" s="48">
        <f t="shared" ca="1" si="2"/>
        <v>2.6411161549340752E-4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input_346100_使用しない!A$2</f>
        <v>_使用しない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IFERROR(VLOOKUP(B47,input_346100_使用しない!L:R,7,FALSE),VLOOKUP(tables_346100_使用しない!C47,input_346100_使用しない!A:H,8,FALSE))</f>
        <v>9.5</v>
      </c>
      <c r="P47" s="48">
        <f t="shared" ca="1" si="2"/>
        <v>6.772092704959168E-6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input_346100_使用しない!A$2</f>
        <v>_使用しない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IFERROR(VLOOKUP(B48,input_346100_使用しない!L:R,7,FALSE),VLOOKUP(tables_346100_使用しない!C48,input_346100_使用しない!A:H,8,FALSE))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input_346100_使用しない!A$2</f>
        <v>_使用しない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IFERROR(VLOOKUP(B49,input_346100_使用しない!L:R,7,FALSE),VLOOKUP(tables_346100_使用しない!C49,input_346100_使用しない!A:H,8,FALSE))</f>
        <v>370.5</v>
      </c>
      <c r="P49" s="48">
        <f t="shared" ca="1" si="2"/>
        <v>2.6411161549340752E-4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input_346100_使用しない!A$2</f>
        <v>_使用しない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IFERROR(VLOOKUP(B50,input_346100_使用しない!L:R,7,FALSE),VLOOKUP(tables_346100_使用しない!C50,input_346100_使用しない!A:H,8,FALSE))</f>
        <v>9.5</v>
      </c>
      <c r="P50" s="48">
        <f t="shared" ca="1" si="2"/>
        <v>6.772092704959168E-6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input_346100_使用しない!A$2</f>
        <v>_使用しない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IFERROR(VLOOKUP(B51,input_346100_使用しない!L:R,7,FALSE),VLOOKUP(tables_346100_使用しない!C51,input_346100_使用しない!A:H,8,FALSE))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input_346100_使用しない!A$2</f>
        <v>_使用しない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IFERROR(VLOOKUP(B52,input_346100_使用しない!L:R,7,FALSE),VLOOKUP(tables_346100_使用しない!C52,input_346100_使用しない!A:H,8,FALSE))</f>
        <v>16602.3</v>
      </c>
      <c r="P52" s="48">
        <f t="shared" ca="1" si="2"/>
        <v>1.1834980496373009E-2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input_346100_使用しない!A$2</f>
        <v>_使用しない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IFERROR(VLOOKUP(B53,input_346100_使用しない!L:R,7,FALSE),VLOOKUP(tables_346100_使用しない!C53,input_346100_使用しない!A:H,8,FALSE))</f>
        <v>425.7</v>
      </c>
      <c r="P53" s="48">
        <f t="shared" ca="1" si="2"/>
        <v>3.0346103836853869E-4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input_346100_使用しない!A$2</f>
        <v>_使用しない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IFERROR(VLOOKUP(B54,input_346100_使用しない!L:R,7,FALSE),VLOOKUP(tables_346100_使用しない!C54,input_346100_使用しない!A:H,8,FALSE))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input_346100_使用しない!A$2</f>
        <v>_使用しない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IFERROR(VLOOKUP(B55,input_346100_使用しない!L:R,7,FALSE),VLOOKUP(tables_346100_使用しない!C55,input_346100_使用しない!A:H,8,FALSE))</f>
        <v>16602.3</v>
      </c>
      <c r="P55" s="48">
        <f t="shared" ca="1" si="2"/>
        <v>1.1834980496373009E-2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input_346100_使用しない!A$2</f>
        <v>_使用しない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IFERROR(VLOOKUP(B56,input_346100_使用しない!L:R,7,FALSE),VLOOKUP(tables_346100_使用しない!C56,input_346100_使用しない!A:H,8,FALSE))</f>
        <v>425.7</v>
      </c>
      <c r="P56" s="48">
        <f t="shared" ca="1" si="2"/>
        <v>3.0346103836853869E-4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input_346100_使用しない!A$2</f>
        <v>_使用しない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IFERROR(VLOOKUP(B57,input_346100_使用しない!L:R,7,FALSE),VLOOKUP(tables_346100_使用しない!C57,input_346100_使用しない!A:H,8,FALSE))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input_346100_使用しない!A$2</f>
        <v>_使用しない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IFERROR(VLOOKUP(B58,input_346100_使用しない!L:R,7,FALSE),VLOOKUP(tables_346100_使用しない!C58,input_346100_使用しない!A:H,8,FALSE))</f>
        <v>16602.3</v>
      </c>
      <c r="P58" s="48">
        <f t="shared" ca="1" si="2"/>
        <v>1.1834980496373009E-2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input_346100_使用しない!A$2</f>
        <v>_使用しない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IFERROR(VLOOKUP(B59,input_346100_使用しない!L:R,7,FALSE),VLOOKUP(tables_346100_使用しない!C59,input_346100_使用しない!A:H,8,FALSE))</f>
        <v>425.7</v>
      </c>
      <c r="P59" s="48">
        <f t="shared" ca="1" si="2"/>
        <v>3.0346103836853869E-4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input_346100_使用しない!A$2</f>
        <v>_使用しない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IFERROR(VLOOKUP(B60,input_346100_使用しない!L:R,7,FALSE),VLOOKUP(tables_346100_使用しない!C60,input_346100_使用しない!A:H,8,FALSE))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input_346100_使用しない!A$2</f>
        <v>_使用しない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IFERROR(VLOOKUP(B61,input_346100_使用しない!L:R,7,FALSE),VLOOKUP(tables_346100_使用しない!C61,input_346100_使用しない!A:H,8,FALSE))</f>
        <v>16602.3</v>
      </c>
      <c r="P61" s="48">
        <f t="shared" ca="1" si="2"/>
        <v>1.1834980496373009E-2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input_346100_使用しない!A$2</f>
        <v>_使用しない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IFERROR(VLOOKUP(B62,input_346100_使用しない!L:R,7,FALSE),VLOOKUP(tables_346100_使用しない!C62,input_346100_使用しない!A:H,8,FALSE))</f>
        <v>425.7</v>
      </c>
      <c r="P62" s="48">
        <f t="shared" ca="1" si="2"/>
        <v>3.0346103836853869E-4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input_346100_使用しない!A$2</f>
        <v>_使用しない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IFERROR(VLOOKUP(B63,input_346100_使用しない!L:R,7,FALSE),VLOOKUP(tables_346100_使用しない!C63,input_346100_使用しない!A:H,8,FALSE))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input_346100_使用しない!A$2</f>
        <v>_使用しない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IFERROR(VLOOKUP(B64,input_346100_使用しない!L:R,7,FALSE),VLOOKUP(tables_346100_使用しない!C64,input_346100_使用しない!A:H,8,FALSE))</f>
        <v>16602.3</v>
      </c>
      <c r="P64" s="48">
        <f t="shared" ca="1" si="2"/>
        <v>1.1834980496373009E-2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input_346100_使用しない!A$2</f>
        <v>_使用しない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IFERROR(VLOOKUP(B65,input_346100_使用しない!L:R,7,FALSE),VLOOKUP(tables_346100_使用しない!C65,input_346100_使用しない!A:H,8,FALSE))</f>
        <v>425.7</v>
      </c>
      <c r="P65" s="48">
        <f t="shared" ca="1" si="2"/>
        <v>3.0346103836853869E-4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input_346100_使用しない!A$2</f>
        <v>_使用しない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IFERROR(VLOOKUP(B66,input_346100_使用しない!L:R,7,FALSE),VLOOKUP(tables_346100_使用しない!C66,input_346100_使用しない!A:H,8,FALSE))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input_346100_使用しない!A$2</f>
        <v>_使用しない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IFERROR(VLOOKUP(B67,input_346100_使用しない!L:R,7,FALSE),VLOOKUP(tables_346100_使用しない!C67,input_346100_使用しない!A:H,8,FALSE))</f>
        <v>16602.3</v>
      </c>
      <c r="P67" s="48">
        <f t="shared" ca="1" si="2"/>
        <v>1.1834980496373009E-2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input_346100_使用しない!A$2</f>
        <v>_使用しない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IFERROR(VLOOKUP(B68,input_346100_使用しない!L:R,7,FALSE),VLOOKUP(tables_346100_使用しない!C68,input_346100_使用しない!A:H,8,FALSE))</f>
        <v>425.7</v>
      </c>
      <c r="P68" s="48">
        <f t="shared" ca="1" si="2"/>
        <v>3.0346103836853869E-4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input_346100_使用しない!A$2</f>
        <v>_使用しない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IFERROR(VLOOKUP(B69,input_346100_使用しない!L:R,7,FALSE),VLOOKUP(tables_346100_使用しない!C69,input_346100_使用しない!A:H,8,FALSE))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input_346100_使用しない!A$2</f>
        <v>_使用しない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IFERROR(VLOOKUP(B70,input_346100_使用しない!L:R,7,FALSE),VLOOKUP(tables_346100_使用しない!C70,input_346100_使用しない!A:H,8,FALSE))</f>
        <v>16602.3</v>
      </c>
      <c r="P70" s="48">
        <f t="shared" ca="1" si="2"/>
        <v>1.1834980496373009E-2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input_346100_使用しない!A$2</f>
        <v>_使用しない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IFERROR(VLOOKUP(B71,input_346100_使用しない!L:R,7,FALSE),VLOOKUP(tables_346100_使用しない!C71,input_346100_使用しない!A:H,8,FALSE))</f>
        <v>425.7</v>
      </c>
      <c r="P71" s="48">
        <f t="shared" ca="1" si="2"/>
        <v>3.0346103836853869E-4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input_346100_使用しない!A$2</f>
        <v>_使用しない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IFERROR(VLOOKUP(B72,input_346100_使用しない!L:R,7,FALSE),VLOOKUP(tables_346100_使用しない!C72,input_346100_使用しない!A:H,8,FALSE))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input_346100_使用しない!A$2</f>
        <v>_使用しない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IFERROR(VLOOKUP(B73,input_346100_使用しない!L:R,7,FALSE),VLOOKUP(tables_346100_使用しない!C73,input_346100_使用しない!A:H,8,FALSE))</f>
        <v>16602.3</v>
      </c>
      <c r="P73" s="48">
        <f t="shared" ca="1" si="2"/>
        <v>1.1834980496373009E-2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input_346100_使用しない!A$2</f>
        <v>_使用しない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IFERROR(VLOOKUP(B74,input_346100_使用しない!L:R,7,FALSE),VLOOKUP(tables_346100_使用しない!C74,input_346100_使用しない!A:H,8,FALSE))</f>
        <v>425.7</v>
      </c>
      <c r="P74" s="48">
        <f t="shared" ca="1" si="2"/>
        <v>3.0346103836853869E-4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input_346100_使用しない!A$2</f>
        <v>_使用しない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IFERROR(VLOOKUP(B75,input_346100_使用しない!L:R,7,FALSE),VLOOKUP(tables_346100_使用しない!C75,input_346100_使用しない!A:H,8,FALSE))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input_346100_使用しない!A$2</f>
        <v>_使用しない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IFERROR(VLOOKUP(B76,input_346100_使用しない!L:R,7,FALSE),VLOOKUP(tables_346100_使用しない!C76,input_346100_使用しない!A:H,8,FALSE))</f>
        <v>16602.3</v>
      </c>
      <c r="P76" s="48">
        <f t="shared" ca="1" si="2"/>
        <v>1.1834980496373009E-2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input_346100_使用しない!A$2</f>
        <v>_使用しない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IFERROR(VLOOKUP(B77,input_346100_使用しない!L:R,7,FALSE),VLOOKUP(tables_346100_使用しない!C77,input_346100_使用しない!A:H,8,FALSE))</f>
        <v>425.7</v>
      </c>
      <c r="P77" s="48">
        <f t="shared" ca="1" si="2"/>
        <v>3.0346103836853869E-4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input_346100_使用しない!A$2</f>
        <v>_使用しない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IFERROR(VLOOKUP(B78,input_346100_使用しない!L:R,7,FALSE),VLOOKUP(tables_346100_使用しない!C78,input_346100_使用しない!A:H,8,FALSE))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input_346100_使用しない!A$2</f>
        <v>_使用しない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IFERROR(VLOOKUP(B79,input_346100_使用しない!L:R,7,FALSE),VLOOKUP(tables_346100_使用しない!C79,input_346100_使用しない!A:H,8,FALSE))</f>
        <v>16602.3</v>
      </c>
      <c r="P79" s="48">
        <f t="shared" ref="P79:P142" ca="1" si="5">O79/SUM(O:O)</f>
        <v>1.1834980496373009E-2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input_346100_使用しない!A$2</f>
        <v>_使用しない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IFERROR(VLOOKUP(B80,input_346100_使用しない!L:R,7,FALSE),VLOOKUP(tables_346100_使用しない!C80,input_346100_使用しない!A:H,8,FALSE))</f>
        <v>425.7</v>
      </c>
      <c r="P80" s="48">
        <f t="shared" ca="1" si="5"/>
        <v>3.0346103836853869E-4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input_346100_使用しない!A$2</f>
        <v>_使用しない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IFERROR(VLOOKUP(B81,input_346100_使用しない!L:R,7,FALSE),VLOOKUP(tables_346100_使用しない!C81,input_346100_使用しない!A:H,8,FALSE))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input_346100_使用しない!A$2</f>
        <v>_使用しない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IFERROR(VLOOKUP(B82,input_346100_使用しない!L:R,7,FALSE),VLOOKUP(tables_346100_使用しない!C82,input_346100_使用しない!A:H,8,FALSE))</f>
        <v>16602.3</v>
      </c>
      <c r="P82" s="48">
        <f t="shared" ca="1" si="5"/>
        <v>1.1834980496373009E-2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input_346100_使用しない!A$2</f>
        <v>_使用しない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IFERROR(VLOOKUP(B83,input_346100_使用しない!L:R,7,FALSE),VLOOKUP(tables_346100_使用しない!C83,input_346100_使用しない!A:H,8,FALSE))</f>
        <v>425.7</v>
      </c>
      <c r="P83" s="48">
        <f t="shared" ca="1" si="5"/>
        <v>3.0346103836853869E-4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input_346100_使用しない!A$2</f>
        <v>_使用しない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IFERROR(VLOOKUP(B84,input_346100_使用しない!L:R,7,FALSE),VLOOKUP(tables_346100_使用しない!C84,input_346100_使用しない!A:H,8,FALSE))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input_346100_使用しない!A$2</f>
        <v>_使用しない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IFERROR(VLOOKUP(B85,input_346100_使用しない!L:R,7,FALSE),VLOOKUP(tables_346100_使用しない!C85,input_346100_使用しない!A:H,8,FALSE))</f>
        <v>16602.3</v>
      </c>
      <c r="P85" s="48">
        <f t="shared" ca="1" si="5"/>
        <v>1.1834980496373009E-2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input_346100_使用しない!A$2</f>
        <v>_使用しない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IFERROR(VLOOKUP(B86,input_346100_使用しない!L:R,7,FALSE),VLOOKUP(tables_346100_使用しない!C86,input_346100_使用しない!A:H,8,FALSE))</f>
        <v>425.7</v>
      </c>
      <c r="P86" s="48">
        <f t="shared" ca="1" si="5"/>
        <v>3.0346103836853869E-4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input_346100_使用しない!A$2</f>
        <v>_使用しない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IFERROR(VLOOKUP(B87,input_346100_使用しない!L:R,7,FALSE),VLOOKUP(tables_346100_使用しない!C87,input_346100_使用しない!A:H,8,FALSE))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input_346100_使用しない!A$2</f>
        <v>_使用しない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IFERROR(VLOOKUP(B88,input_346100_使用しない!L:R,7,FALSE),VLOOKUP(tables_346100_使用しない!C88,input_346100_使用しない!A:H,8,FALSE))</f>
        <v>16602.3</v>
      </c>
      <c r="P88" s="48">
        <f t="shared" ca="1" si="5"/>
        <v>1.1834980496373009E-2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input_346100_使用しない!A$2</f>
        <v>_使用しない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IFERROR(VLOOKUP(B89,input_346100_使用しない!L:R,7,FALSE),VLOOKUP(tables_346100_使用しない!C89,input_346100_使用しない!A:H,8,FALSE))</f>
        <v>425.7</v>
      </c>
      <c r="P89" s="48">
        <f t="shared" ca="1" si="5"/>
        <v>3.0346103836853869E-4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input_346100_使用しない!A$2</f>
        <v>_使用しない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IFERROR(VLOOKUP(B90,input_346100_使用しない!L:R,7,FALSE),VLOOKUP(tables_346100_使用しない!C90,input_346100_使用しない!A:H,8,FALSE))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input_346100_使用しない!A$2</f>
        <v>_使用しない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IFERROR(VLOOKUP(B91,input_346100_使用しない!L:R,7,FALSE),VLOOKUP(tables_346100_使用しない!C91,input_346100_使用しない!A:H,8,FALSE))</f>
        <v>16602.3</v>
      </c>
      <c r="P91" s="48">
        <f t="shared" ca="1" si="5"/>
        <v>1.1834980496373009E-2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input_346100_使用しない!A$2</f>
        <v>_使用しない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IFERROR(VLOOKUP(B92,input_346100_使用しない!L:R,7,FALSE),VLOOKUP(tables_346100_使用しない!C92,input_346100_使用しない!A:H,8,FALSE))</f>
        <v>425.7</v>
      </c>
      <c r="P92" s="48">
        <f t="shared" ca="1" si="5"/>
        <v>3.0346103836853869E-4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input_346100_使用しない!A$2</f>
        <v>_使用しない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IFERROR(VLOOKUP(B93,input_346100_使用しない!L:R,7,FALSE),VLOOKUP(tables_346100_使用しない!C93,input_346100_使用しない!A:H,8,FALSE))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input_346100_使用しない!A$2</f>
        <v>_使用しない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IFERROR(VLOOKUP(B94,input_346100_使用しない!L:R,7,FALSE),VLOOKUP(tables_346100_使用しない!C94,input_346100_使用しない!A:H,8,FALSE))</f>
        <v>16602.3</v>
      </c>
      <c r="P94" s="48">
        <f t="shared" ca="1" si="5"/>
        <v>1.1834980496373009E-2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input_346100_使用しない!A$2</f>
        <v>_使用しない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IFERROR(VLOOKUP(B95,input_346100_使用しない!L:R,7,FALSE),VLOOKUP(tables_346100_使用しない!C95,input_346100_使用しない!A:H,8,FALSE))</f>
        <v>425.7</v>
      </c>
      <c r="P95" s="48">
        <f t="shared" ca="1" si="5"/>
        <v>3.0346103836853869E-4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input_346100_使用しない!A$2</f>
        <v>_使用しない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IFERROR(VLOOKUP(B96,input_346100_使用しない!L:R,7,FALSE),VLOOKUP(tables_346100_使用しない!C96,input_346100_使用しない!A:H,8,FALSE))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input_346100_使用しない!A$2</f>
        <v>_使用しない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IFERROR(VLOOKUP(B97,input_346100_使用しない!L:R,7,FALSE),VLOOKUP(tables_346100_使用しない!C97,input_346100_使用しない!A:H,8,FALSE))</f>
        <v>16602.3</v>
      </c>
      <c r="P97" s="48">
        <f t="shared" ca="1" si="5"/>
        <v>1.1834980496373009E-2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input_346100_使用しない!A$2</f>
        <v>_使用しない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IFERROR(VLOOKUP(B98,input_346100_使用しない!L:R,7,FALSE),VLOOKUP(tables_346100_使用しない!C98,input_346100_使用しない!A:H,8,FALSE))</f>
        <v>425.7</v>
      </c>
      <c r="P98" s="48">
        <f t="shared" ca="1" si="5"/>
        <v>3.0346103836853869E-4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input_346100_使用しない!A$2</f>
        <v>_使用しない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IFERROR(VLOOKUP(B99,input_346100_使用しない!L:R,7,FALSE),VLOOKUP(tables_346100_使用しない!C99,input_346100_使用しない!A:H,8,FALSE))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input_346100_使用しない!A$2</f>
        <v>_使用しない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IFERROR(VLOOKUP(B100,input_346100_使用しない!L:R,7,FALSE),VLOOKUP(tables_346100_使用しない!C100,input_346100_使用しない!A:H,8,FALSE))</f>
        <v>16602.3</v>
      </c>
      <c r="P100" s="48">
        <f t="shared" ca="1" si="5"/>
        <v>1.1834980496373009E-2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input_346100_使用しない!A$2</f>
        <v>_使用しない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IFERROR(VLOOKUP(B101,input_346100_使用しない!L:R,7,FALSE),VLOOKUP(tables_346100_使用しない!C101,input_346100_使用しない!A:H,8,FALSE))</f>
        <v>425.7</v>
      </c>
      <c r="P101" s="48">
        <f t="shared" ca="1" si="5"/>
        <v>3.0346103836853869E-4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input_346100_使用しない!A$2</f>
        <v>_使用しない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IFERROR(VLOOKUP(B102,input_346100_使用しない!L:R,7,FALSE),VLOOKUP(tables_346100_使用しない!C102,input_346100_使用しない!A:H,8,FALSE))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input_346100_使用しない!A$2</f>
        <v>_使用しない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IFERROR(VLOOKUP(B103,input_346100_使用しない!L:R,7,FALSE),VLOOKUP(tables_346100_使用しない!C103,input_346100_使用しない!A:H,8,FALSE))</f>
        <v>16602.3</v>
      </c>
      <c r="P103" s="48">
        <f t="shared" ca="1" si="5"/>
        <v>1.1834980496373009E-2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input_346100_使用しない!A$2</f>
        <v>_使用しない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IFERROR(VLOOKUP(B104,input_346100_使用しない!L:R,7,FALSE),VLOOKUP(tables_346100_使用しない!C104,input_346100_使用しない!A:H,8,FALSE))</f>
        <v>425.7</v>
      </c>
      <c r="P104" s="48">
        <f t="shared" ca="1" si="5"/>
        <v>3.0346103836853869E-4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input_346100_使用しない!A$2</f>
        <v>_使用しない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IFERROR(VLOOKUP(B105,input_346100_使用しない!L:R,7,FALSE),VLOOKUP(tables_346100_使用しない!C105,input_346100_使用しない!A:H,8,FALSE))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input_346100_使用しない!A$2</f>
        <v>_使用しない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IFERROR(VLOOKUP(B106,input_346100_使用しない!L:R,7,FALSE),VLOOKUP(tables_346100_使用しない!C106,input_346100_使用しない!A:H,8,FALSE))</f>
        <v>16602.3</v>
      </c>
      <c r="P106" s="48">
        <f t="shared" ca="1" si="5"/>
        <v>1.1834980496373009E-2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input_346100_使用しない!A$2</f>
        <v>_使用しない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IFERROR(VLOOKUP(B107,input_346100_使用しない!L:R,7,FALSE),VLOOKUP(tables_346100_使用しない!C107,input_346100_使用しない!A:H,8,FALSE))</f>
        <v>425.7</v>
      </c>
      <c r="P107" s="48">
        <f t="shared" ca="1" si="5"/>
        <v>3.0346103836853869E-4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input_346100_使用しない!A$2</f>
        <v>_使用しない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IFERROR(VLOOKUP(B108,input_346100_使用しない!L:R,7,FALSE),VLOOKUP(tables_346100_使用しない!C108,input_346100_使用しない!A:H,8,FALSE))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input_346100_使用しない!A$2</f>
        <v>_使用しない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IFERROR(VLOOKUP(B109,input_346100_使用しない!L:R,7,FALSE),VLOOKUP(tables_346100_使用しない!C109,input_346100_使用しない!A:H,8,FALSE))</f>
        <v>16602.3</v>
      </c>
      <c r="P109" s="48">
        <f t="shared" ca="1" si="5"/>
        <v>1.1834980496373009E-2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input_346100_使用しない!A$2</f>
        <v>_使用しない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IFERROR(VLOOKUP(B110,input_346100_使用しない!L:R,7,FALSE),VLOOKUP(tables_346100_使用しない!C110,input_346100_使用しない!A:H,8,FALSE))</f>
        <v>425.7</v>
      </c>
      <c r="P110" s="48">
        <f t="shared" ca="1" si="5"/>
        <v>3.0346103836853869E-4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input_346100_使用しない!A$2</f>
        <v>_使用しない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IFERROR(VLOOKUP(B111,input_346100_使用しない!L:R,7,FALSE),VLOOKUP(tables_346100_使用しない!C111,input_346100_使用しない!A:H,8,FALSE))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input_346100_使用しない!A$2</f>
        <v>_使用しない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IFERROR(VLOOKUP(B112,input_346100_使用しない!L:R,7,FALSE),VLOOKUP(tables_346100_使用しない!C112,input_346100_使用しない!A:H,8,FALSE))</f>
        <v>370.5</v>
      </c>
      <c r="P112" s="48">
        <f t="shared" ca="1" si="5"/>
        <v>2.6411161549340752E-4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input_346100_使用しない!A$2</f>
        <v>_使用しない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IFERROR(VLOOKUP(B113,input_346100_使用しない!L:R,7,FALSE),VLOOKUP(tables_346100_使用しない!C113,input_346100_使用しない!A:H,8,FALSE))</f>
        <v>9.5</v>
      </c>
      <c r="P113" s="48">
        <f t="shared" ca="1" si="5"/>
        <v>6.772092704959168E-6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input_346100_使用しない!A$2</f>
        <v>_使用しない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IFERROR(VLOOKUP(B114,input_346100_使用しない!L:R,7,FALSE),VLOOKUP(tables_346100_使用しない!C114,input_346100_使用しない!A:H,8,FALSE))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input_346100_使用しない!A$2</f>
        <v>_使用しない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IFERROR(VLOOKUP(B115,input_346100_使用しない!L:R,7,FALSE),VLOOKUP(tables_346100_使用しない!C115,input_346100_使用しない!A:H,8,FALSE))</f>
        <v>16602.3</v>
      </c>
      <c r="P115" s="48">
        <f t="shared" ca="1" si="5"/>
        <v>1.1834980496373009E-2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input_346100_使用しない!A$2</f>
        <v>_使用しない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IFERROR(VLOOKUP(B116,input_346100_使用しない!L:R,7,FALSE),VLOOKUP(tables_346100_使用しない!C116,input_346100_使用しない!A:H,8,FALSE))</f>
        <v>425.7</v>
      </c>
      <c r="P116" s="48">
        <f t="shared" ca="1" si="5"/>
        <v>3.0346103836853869E-4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input_346100_使用しない!A$2</f>
        <v>_使用しない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IFERROR(VLOOKUP(B117,input_346100_使用しない!L:R,7,FALSE),VLOOKUP(tables_346100_使用しない!C117,input_346100_使用しない!A:H,8,FALSE))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input_346100_使用しない!A$2</f>
        <v>_使用しない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IFERROR(VLOOKUP(B118,input_346100_使用しない!L:R,7,FALSE),VLOOKUP(tables_346100_使用しない!C118,input_346100_使用しない!A:H,8,FALSE))</f>
        <v>16602.3</v>
      </c>
      <c r="P118" s="48">
        <f t="shared" ca="1" si="5"/>
        <v>1.1834980496373009E-2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input_346100_使用しない!A$2</f>
        <v>_使用しない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IFERROR(VLOOKUP(B119,input_346100_使用しない!L:R,7,FALSE),VLOOKUP(tables_346100_使用しない!C119,input_346100_使用しない!A:H,8,FALSE))</f>
        <v>425.7</v>
      </c>
      <c r="P119" s="48">
        <f t="shared" ca="1" si="5"/>
        <v>3.0346103836853869E-4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input_346100_使用しない!A$2</f>
        <v>_使用しない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IFERROR(VLOOKUP(B120,input_346100_使用しない!L:R,7,FALSE),VLOOKUP(tables_346100_使用しない!C120,input_346100_使用しない!A:H,8,FALSE))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input_346100_使用しない!A$2</f>
        <v>_使用しない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IFERROR(VLOOKUP(B121,input_346100_使用しない!L:R,7,FALSE),VLOOKUP(tables_346100_使用しない!C121,input_346100_使用しない!A:H,8,FALSE))</f>
        <v>16602.3</v>
      </c>
      <c r="P121" s="48">
        <f t="shared" ca="1" si="5"/>
        <v>1.1834980496373009E-2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input_346100_使用しない!A$2</f>
        <v>_使用しない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IFERROR(VLOOKUP(B122,input_346100_使用しない!L:R,7,FALSE),VLOOKUP(tables_346100_使用しない!C122,input_346100_使用しない!A:H,8,FALSE))</f>
        <v>425.7</v>
      </c>
      <c r="P122" s="48">
        <f t="shared" ca="1" si="5"/>
        <v>3.0346103836853869E-4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input_346100_使用しない!A$2</f>
        <v>_使用しない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IFERROR(VLOOKUP(B123,input_346100_使用しない!L:R,7,FALSE),VLOOKUP(tables_346100_使用しない!C123,input_346100_使用しない!A:H,8,FALSE))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input_346100_使用しない!A$2</f>
        <v>_使用しない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IFERROR(VLOOKUP(B124,input_346100_使用しない!L:R,7,FALSE),VLOOKUP(tables_346100_使用しない!C124,input_346100_使用しない!A:H,8,FALSE))</f>
        <v>16602.3</v>
      </c>
      <c r="P124" s="48">
        <f t="shared" ca="1" si="5"/>
        <v>1.1834980496373009E-2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input_346100_使用しない!A$2</f>
        <v>_使用しない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IFERROR(VLOOKUP(B125,input_346100_使用しない!L:R,7,FALSE),VLOOKUP(tables_346100_使用しない!C125,input_346100_使用しない!A:H,8,FALSE))</f>
        <v>425.7</v>
      </c>
      <c r="P125" s="48">
        <f t="shared" ca="1" si="5"/>
        <v>3.0346103836853869E-4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input_346100_使用しない!A$2</f>
        <v>_使用しない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IFERROR(VLOOKUP(B126,input_346100_使用しない!L:R,7,FALSE),VLOOKUP(tables_346100_使用しない!C126,input_346100_使用しない!A:H,8,FALSE))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input_346100_使用しない!A$2</f>
        <v>_使用しない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IFERROR(VLOOKUP(B127,input_346100_使用しない!L:R,7,FALSE),VLOOKUP(tables_346100_使用しない!C127,input_346100_使用しない!A:H,8,FALSE))</f>
        <v>16602.3</v>
      </c>
      <c r="P127" s="48">
        <f t="shared" ca="1" si="5"/>
        <v>1.1834980496373009E-2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input_346100_使用しない!A$2</f>
        <v>_使用しない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IFERROR(VLOOKUP(B128,input_346100_使用しない!L:R,7,FALSE),VLOOKUP(tables_346100_使用しない!C128,input_346100_使用しない!A:H,8,FALSE))</f>
        <v>425.7</v>
      </c>
      <c r="P128" s="48">
        <f t="shared" ca="1" si="5"/>
        <v>3.0346103836853869E-4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input_346100_使用しない!A$2</f>
        <v>_使用しない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IFERROR(VLOOKUP(B129,input_346100_使用しない!L:R,7,FALSE),VLOOKUP(tables_346100_使用しない!C129,input_346100_使用しない!A:H,8,FALSE))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input_346100_使用しない!A$2</f>
        <v>_使用しない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IFERROR(VLOOKUP(B130,input_346100_使用しない!L:R,7,FALSE),VLOOKUP(tables_346100_使用しない!C130,input_346100_使用しない!A:H,8,FALSE))</f>
        <v>16602.3</v>
      </c>
      <c r="P130" s="48">
        <f t="shared" ca="1" si="5"/>
        <v>1.1834980496373009E-2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input_346100_使用しない!A$2</f>
        <v>_使用しない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IFERROR(VLOOKUP(B131,input_346100_使用しない!L:R,7,FALSE),VLOOKUP(tables_346100_使用しない!C131,input_346100_使用しない!A:H,8,FALSE))</f>
        <v>425.7</v>
      </c>
      <c r="P131" s="48">
        <f t="shared" ca="1" si="5"/>
        <v>3.0346103836853869E-4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input_346100_使用しない!A$2</f>
        <v>_使用しない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IFERROR(VLOOKUP(B132,input_346100_使用しない!L:R,7,FALSE),VLOOKUP(tables_346100_使用しない!C132,input_346100_使用しない!A:H,8,FALSE))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input_346100_使用しない!A$2</f>
        <v>_使用しない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IFERROR(VLOOKUP(B133,input_346100_使用しない!L:R,7,FALSE),VLOOKUP(tables_346100_使用しない!C133,input_346100_使用しない!A:H,8,FALSE))</f>
        <v>16602.3</v>
      </c>
      <c r="P133" s="48">
        <f t="shared" ca="1" si="5"/>
        <v>1.1834980496373009E-2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input_346100_使用しない!A$2</f>
        <v>_使用しない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IFERROR(VLOOKUP(B134,input_346100_使用しない!L:R,7,FALSE),VLOOKUP(tables_346100_使用しない!C134,input_346100_使用しない!A:H,8,FALSE))</f>
        <v>425.7</v>
      </c>
      <c r="P134" s="48">
        <f t="shared" ca="1" si="5"/>
        <v>3.0346103836853869E-4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input_346100_使用しない!A$2</f>
        <v>_使用しない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IFERROR(VLOOKUP(B135,input_346100_使用しない!L:R,7,FALSE),VLOOKUP(tables_346100_使用しない!C135,input_346100_使用しない!A:H,8,FALSE))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input_346100_使用しない!A$2</f>
        <v>_使用しない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IFERROR(VLOOKUP(B136,input_346100_使用しない!L:R,7,FALSE),VLOOKUP(tables_346100_使用しない!C136,input_346100_使用しない!A:H,8,FALSE))</f>
        <v>16602.3</v>
      </c>
      <c r="P136" s="48">
        <f t="shared" ca="1" si="5"/>
        <v>1.1834980496373009E-2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input_346100_使用しない!A$2</f>
        <v>_使用しない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IFERROR(VLOOKUP(B137,input_346100_使用しない!L:R,7,FALSE),VLOOKUP(tables_346100_使用しない!C137,input_346100_使用しない!A:H,8,FALSE))</f>
        <v>425.7</v>
      </c>
      <c r="P137" s="48">
        <f t="shared" ca="1" si="5"/>
        <v>3.0346103836853869E-4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input_346100_使用しない!A$2</f>
        <v>_使用しない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IFERROR(VLOOKUP(B138,input_346100_使用しない!L:R,7,FALSE),VLOOKUP(tables_346100_使用しない!C138,input_346100_使用しない!A:H,8,FALSE))</f>
        <v>370.5</v>
      </c>
      <c r="P138" s="48">
        <f t="shared" ca="1" si="5"/>
        <v>2.6411161549340752E-4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input_346100_使用しない!A$2</f>
        <v>_使用しない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IFERROR(VLOOKUP(B139,input_346100_使用しない!L:R,7,FALSE),VLOOKUP(tables_346100_使用しない!C139,input_346100_使用しない!A:H,8,FALSE))</f>
        <v>9.5</v>
      </c>
      <c r="P139" s="48">
        <f t="shared" ca="1" si="5"/>
        <v>6.772092704959168E-6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input_346100_使用しない!A$2</f>
        <v>_使用しない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IFERROR(VLOOKUP(B140,input_346100_使用しない!L:R,7,FALSE),VLOOKUP(tables_346100_使用しない!C140,input_346100_使用しない!A:H,8,FALSE))</f>
        <v>370.5</v>
      </c>
      <c r="P140" s="48">
        <f t="shared" ca="1" si="5"/>
        <v>2.6411161549340752E-4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input_346100_使用しない!A$2</f>
        <v>_使用しない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IFERROR(VLOOKUP(B141,input_346100_使用しない!L:R,7,FALSE),VLOOKUP(tables_346100_使用しない!C141,input_346100_使用しない!A:H,8,FALSE))</f>
        <v>9.5</v>
      </c>
      <c r="P141" s="48">
        <f t="shared" ca="1" si="5"/>
        <v>6.772092704959168E-6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input_346100_使用しない!A$2</f>
        <v>_使用しない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IFERROR(VLOOKUP(B142,input_346100_使用しない!L:R,7,FALSE),VLOOKUP(tables_346100_使用しない!C142,input_346100_使用しない!A:H,8,FALSE))</f>
        <v>370.5</v>
      </c>
      <c r="P142" s="48">
        <f t="shared" ca="1" si="5"/>
        <v>2.6411161549340752E-4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input_346100_使用しない!A$2</f>
        <v>_使用しない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IFERROR(VLOOKUP(B143,input_346100_使用しない!L:R,7,FALSE),VLOOKUP(tables_346100_使用しない!C143,input_346100_使用しない!A:H,8,FALSE))</f>
        <v>9.5</v>
      </c>
      <c r="P143" s="48">
        <f t="shared" ref="P143:P206" ca="1" si="8">O143/SUM(O:O)</f>
        <v>6.772092704959168E-6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input_346100_使用しない!A$2</f>
        <v>_使用しない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IFERROR(VLOOKUP(B144,input_346100_使用しない!L:R,7,FALSE),VLOOKUP(tables_346100_使用しない!C144,input_346100_使用しない!A:H,8,FALSE))</f>
        <v>370.5</v>
      </c>
      <c r="P144" s="48">
        <f t="shared" ca="1" si="8"/>
        <v>2.6411161549340752E-4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input_346100_使用しない!A$2</f>
        <v>_使用しない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IFERROR(VLOOKUP(B145,input_346100_使用しない!L:R,7,FALSE),VLOOKUP(tables_346100_使用しない!C145,input_346100_使用しない!A:H,8,FALSE))</f>
        <v>9.5</v>
      </c>
      <c r="P145" s="48">
        <f t="shared" ca="1" si="8"/>
        <v>6.772092704959168E-6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input_346100_使用しない!A$2</f>
        <v>_使用しない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IFERROR(VLOOKUP(B146,input_346100_使用しない!L:R,7,FALSE),VLOOKUP(tables_346100_使用しない!C146,input_346100_使用しない!A:H,8,FALSE))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input_346100_使用しない!A$2</f>
        <v>_使用しない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IFERROR(VLOOKUP(B147,input_346100_使用しない!L:R,7,FALSE),VLOOKUP(tables_346100_使用しない!C147,input_346100_使用しない!A:H,8,FALSE))</f>
        <v>16602.3</v>
      </c>
      <c r="P147" s="48">
        <f t="shared" ca="1" si="8"/>
        <v>1.1834980496373009E-2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input_346100_使用しない!A$2</f>
        <v>_使用しない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IFERROR(VLOOKUP(B148,input_346100_使用しない!L:R,7,FALSE),VLOOKUP(tables_346100_使用しない!C148,input_346100_使用しない!A:H,8,FALSE))</f>
        <v>425.7</v>
      </c>
      <c r="P148" s="48">
        <f t="shared" ca="1" si="8"/>
        <v>3.0346103836853869E-4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input_346100_使用しない!A$2</f>
        <v>_使用しない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IFERROR(VLOOKUP(B149,input_346100_使用しない!L:R,7,FALSE),VLOOKUP(tables_346100_使用しない!C149,input_346100_使用しない!A:H,8,FALSE))</f>
        <v>370.5</v>
      </c>
      <c r="P149" s="48">
        <f t="shared" ca="1" si="8"/>
        <v>2.6411161549340752E-4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input_346100_使用しない!A$2</f>
        <v>_使用しない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IFERROR(VLOOKUP(B150,input_346100_使用しない!L:R,7,FALSE),VLOOKUP(tables_346100_使用しない!C150,input_346100_使用しない!A:H,8,FALSE))</f>
        <v>9.5</v>
      </c>
      <c r="P150" s="48">
        <f t="shared" ca="1" si="8"/>
        <v>6.772092704959168E-6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input_346100_使用しない!A$2</f>
        <v>_使用しない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IFERROR(VLOOKUP(B151,input_346100_使用しない!L:R,7,FALSE),VLOOKUP(tables_346100_使用しない!C151,input_346100_使用しない!A:H,8,FALSE))</f>
        <v>370.5</v>
      </c>
      <c r="P151" s="48">
        <f t="shared" ca="1" si="8"/>
        <v>2.6411161549340752E-4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input_346100_使用しない!A$2</f>
        <v>_使用しない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IFERROR(VLOOKUP(B152,input_346100_使用しない!L:R,7,FALSE),VLOOKUP(tables_346100_使用しない!C152,input_346100_使用しない!A:H,8,FALSE))</f>
        <v>9.5</v>
      </c>
      <c r="P152" s="48">
        <f t="shared" ca="1" si="8"/>
        <v>6.772092704959168E-6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input_346100_使用しない!A$2</f>
        <v>_使用しない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IFERROR(VLOOKUP(B153,input_346100_使用しない!L:R,7,FALSE),VLOOKUP(tables_346100_使用しない!C153,input_346100_使用しない!A:H,8,FALSE))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input_346100_使用しない!A$2</f>
        <v>_使用しない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IFERROR(VLOOKUP(B154,input_346100_使用しない!L:R,7,FALSE),VLOOKUP(tables_346100_使用しない!C154,input_346100_使用しない!A:H,8,FALSE))</f>
        <v>16602.3</v>
      </c>
      <c r="P154" s="48">
        <f t="shared" ca="1" si="8"/>
        <v>1.1834980496373009E-2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input_346100_使用しない!A$2</f>
        <v>_使用しない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IFERROR(VLOOKUP(B155,input_346100_使用しない!L:R,7,FALSE),VLOOKUP(tables_346100_使用しない!C155,input_346100_使用しない!A:H,8,FALSE))</f>
        <v>425.7</v>
      </c>
      <c r="P155" s="48">
        <f t="shared" ca="1" si="8"/>
        <v>3.0346103836853869E-4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input_346100_使用しない!A$2</f>
        <v>_使用しない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IFERROR(VLOOKUP(B156,input_346100_使用しない!L:R,7,FALSE),VLOOKUP(tables_346100_使用しない!C156,input_346100_使用しない!A:H,8,FALSE))</f>
        <v>370.5</v>
      </c>
      <c r="P156" s="48">
        <f t="shared" ca="1" si="8"/>
        <v>2.6411161549340752E-4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input_346100_使用しない!A$2</f>
        <v>_使用しない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IFERROR(VLOOKUP(B157,input_346100_使用しない!L:R,7,FALSE),VLOOKUP(tables_346100_使用しない!C157,input_346100_使用しない!A:H,8,FALSE))</f>
        <v>9.5</v>
      </c>
      <c r="P157" s="48">
        <f t="shared" ca="1" si="8"/>
        <v>6.772092704959168E-6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input_346100_使用しない!A$2</f>
        <v>_使用しない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IFERROR(VLOOKUP(B158,input_346100_使用しない!L:R,7,FALSE),VLOOKUP(tables_346100_使用しない!C158,input_346100_使用しない!A:H,8,FALSE))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input_346100_使用しない!A$2</f>
        <v>_使用しない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IFERROR(VLOOKUP(B159,input_346100_使用しない!L:R,7,FALSE),VLOOKUP(tables_346100_使用しない!C159,input_346100_使用しない!A:H,8,FALSE))</f>
        <v>16602.3</v>
      </c>
      <c r="P159" s="48">
        <f t="shared" ca="1" si="8"/>
        <v>1.1834980496373009E-2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input_346100_使用しない!A$2</f>
        <v>_使用しない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IFERROR(VLOOKUP(B160,input_346100_使用しない!L:R,7,FALSE),VLOOKUP(tables_346100_使用しない!C160,input_346100_使用しない!A:H,8,FALSE))</f>
        <v>425.7</v>
      </c>
      <c r="P160" s="48">
        <f t="shared" ca="1" si="8"/>
        <v>3.0346103836853869E-4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input_346100_使用しない!A$2</f>
        <v>_使用しない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IFERROR(VLOOKUP(B161,input_346100_使用しない!L:R,7,FALSE),VLOOKUP(tables_346100_使用しない!C161,input_346100_使用しない!A:H,8,FALSE))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input_346100_使用しない!A$2</f>
        <v>_使用しない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IFERROR(VLOOKUP(B162,input_346100_使用しない!L:R,7,FALSE),VLOOKUP(tables_346100_使用しない!C162,input_346100_使用しない!A:H,8,FALSE))</f>
        <v>16602.3</v>
      </c>
      <c r="P162" s="48">
        <f t="shared" ca="1" si="8"/>
        <v>1.1834980496373009E-2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input_346100_使用しない!A$2</f>
        <v>_使用しない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IFERROR(VLOOKUP(B163,input_346100_使用しない!L:R,7,FALSE),VLOOKUP(tables_346100_使用しない!C163,input_346100_使用しない!A:H,8,FALSE))</f>
        <v>425.7</v>
      </c>
      <c r="P163" s="48">
        <f t="shared" ca="1" si="8"/>
        <v>3.0346103836853869E-4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input_346100_使用しない!A$2</f>
        <v>_使用しない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IFERROR(VLOOKUP(B164,input_346100_使用しない!L:R,7,FALSE),VLOOKUP(tables_346100_使用しない!C164,input_346100_使用しない!A:H,8,FALSE))</f>
        <v>370.5</v>
      </c>
      <c r="P164" s="48">
        <f t="shared" ca="1" si="8"/>
        <v>2.6411161549340752E-4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input_346100_使用しない!A$2</f>
        <v>_使用しない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IFERROR(VLOOKUP(B165,input_346100_使用しない!L:R,7,FALSE),VLOOKUP(tables_346100_使用しない!C165,input_346100_使用しない!A:H,8,FALSE))</f>
        <v>9.5</v>
      </c>
      <c r="P165" s="48">
        <f t="shared" ca="1" si="8"/>
        <v>6.772092704959168E-6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input_346100_使用しない!A$2</f>
        <v>_使用しない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IFERROR(VLOOKUP(B166,input_346100_使用しない!L:R,7,FALSE),VLOOKUP(tables_346100_使用しない!C166,input_346100_使用しない!A:H,8,FALSE))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input_346100_使用しない!A$2</f>
        <v>_使用しない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IFERROR(VLOOKUP(B167,input_346100_使用しない!L:R,7,FALSE),VLOOKUP(tables_346100_使用しない!C167,input_346100_使用しない!A:H,8,FALSE))</f>
        <v>16602.3</v>
      </c>
      <c r="P167" s="48">
        <f t="shared" ca="1" si="8"/>
        <v>1.1834980496373009E-2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input_346100_使用しない!A$2</f>
        <v>_使用しない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IFERROR(VLOOKUP(B168,input_346100_使用しない!L:R,7,FALSE),VLOOKUP(tables_346100_使用しない!C168,input_346100_使用しない!A:H,8,FALSE))</f>
        <v>425.7</v>
      </c>
      <c r="P168" s="48">
        <f t="shared" ca="1" si="8"/>
        <v>3.0346103836853869E-4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input_346100_使用しない!A$2</f>
        <v>_使用しない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IFERROR(VLOOKUP(B169,input_346100_使用しない!L:R,7,FALSE),VLOOKUP(tables_346100_使用しない!C169,input_346100_使用しない!A:H,8,FALSE))</f>
        <v>370.5</v>
      </c>
      <c r="P169" s="48">
        <f t="shared" ca="1" si="8"/>
        <v>2.6411161549340752E-4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input_346100_使用しない!A$2</f>
        <v>_使用しない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IFERROR(VLOOKUP(B170,input_346100_使用しない!L:R,7,FALSE),VLOOKUP(tables_346100_使用しない!C170,input_346100_使用しない!A:H,8,FALSE))</f>
        <v>9.5</v>
      </c>
      <c r="P170" s="48">
        <f t="shared" ca="1" si="8"/>
        <v>6.772092704959168E-6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input_346100_使用しない!A$2</f>
        <v>_使用しない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IFERROR(VLOOKUP(B171,input_346100_使用しない!L:R,7,FALSE),VLOOKUP(tables_346100_使用しない!C171,input_346100_使用しない!A:H,8,FALSE))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input_346100_使用しない!A$2</f>
        <v>_使用しない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IFERROR(VLOOKUP(B172,input_346100_使用しない!L:R,7,FALSE),VLOOKUP(tables_346100_使用しない!C172,input_346100_使用しない!A:H,8,FALSE))</f>
        <v>16602.3</v>
      </c>
      <c r="P172" s="48">
        <f t="shared" ca="1" si="8"/>
        <v>1.1834980496373009E-2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input_346100_使用しない!A$2</f>
        <v>_使用しない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IFERROR(VLOOKUP(B173,input_346100_使用しない!L:R,7,FALSE),VLOOKUP(tables_346100_使用しない!C173,input_346100_使用しない!A:H,8,FALSE))</f>
        <v>425.7</v>
      </c>
      <c r="P173" s="48">
        <f t="shared" ca="1" si="8"/>
        <v>3.0346103836853869E-4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input_346100_使用しない!A$2</f>
        <v>_使用しない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IFERROR(VLOOKUP(B174,input_346100_使用しない!L:R,7,FALSE),VLOOKUP(tables_346100_使用しない!C174,input_346100_使用しない!A:H,8,FALSE))</f>
        <v>370.5</v>
      </c>
      <c r="P174" s="48">
        <f t="shared" ca="1" si="8"/>
        <v>2.6411161549340752E-4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input_346100_使用しない!A$2</f>
        <v>_使用しない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IFERROR(VLOOKUP(B175,input_346100_使用しない!L:R,7,FALSE),VLOOKUP(tables_346100_使用しない!C175,input_346100_使用しない!A:H,8,FALSE))</f>
        <v>9.5</v>
      </c>
      <c r="P175" s="48">
        <f t="shared" ca="1" si="8"/>
        <v>6.772092704959168E-6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input_346100_使用しない!A$2</f>
        <v>_使用しない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IFERROR(VLOOKUP(B176,input_346100_使用しない!L:R,7,FALSE),VLOOKUP(tables_346100_使用しない!C176,input_346100_使用しない!A:H,8,FALSE))</f>
        <v>370.5</v>
      </c>
      <c r="P176" s="48">
        <f t="shared" ca="1" si="8"/>
        <v>2.6411161549340752E-4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input_346100_使用しない!A$2</f>
        <v>_使用しない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IFERROR(VLOOKUP(B177,input_346100_使用しない!L:R,7,FALSE),VLOOKUP(tables_346100_使用しない!C177,input_346100_使用しない!A:H,8,FALSE))</f>
        <v>9.5</v>
      </c>
      <c r="P177" s="48">
        <f t="shared" ca="1" si="8"/>
        <v>6.772092704959168E-6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input_346100_使用しない!A$2</f>
        <v>_使用しない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IFERROR(VLOOKUP(B178,input_346100_使用しない!L:R,7,FALSE),VLOOKUP(tables_346100_使用しない!C178,input_346100_使用しない!A:H,8,FALSE))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input_346100_使用しない!A$2</f>
        <v>_使用しない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IFERROR(VLOOKUP(B179,input_346100_使用しない!L:R,7,FALSE),VLOOKUP(tables_346100_使用しない!C179,input_346100_使用しない!A:H,8,FALSE))</f>
        <v>16602.3</v>
      </c>
      <c r="P179" s="48">
        <f t="shared" ca="1" si="8"/>
        <v>1.1834980496373009E-2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input_346100_使用しない!A$2</f>
        <v>_使用しない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IFERROR(VLOOKUP(B180,input_346100_使用しない!L:R,7,FALSE),VLOOKUP(tables_346100_使用しない!C180,input_346100_使用しない!A:H,8,FALSE))</f>
        <v>425.7</v>
      </c>
      <c r="P180" s="48">
        <f t="shared" ca="1" si="8"/>
        <v>3.0346103836853869E-4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input_346100_使用しない!A$2</f>
        <v>_使用しない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IFERROR(VLOOKUP(B181,input_346100_使用しない!L:R,7,FALSE),VLOOKUP(tables_346100_使用しない!C181,input_346100_使用しない!A:H,8,FALSE))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input_346100_使用しない!A$2</f>
        <v>_使用しない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IFERROR(VLOOKUP(B182,input_346100_使用しない!L:R,7,FALSE),VLOOKUP(tables_346100_使用しない!C182,input_346100_使用しない!A:H,8,FALSE))</f>
        <v>16602.3</v>
      </c>
      <c r="P182" s="48">
        <f t="shared" ca="1" si="8"/>
        <v>1.1834980496373009E-2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input_346100_使用しない!A$2</f>
        <v>_使用しない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IFERROR(VLOOKUP(B183,input_346100_使用しない!L:R,7,FALSE),VLOOKUP(tables_346100_使用しない!C183,input_346100_使用しない!A:H,8,FALSE))</f>
        <v>425.7</v>
      </c>
      <c r="P183" s="48">
        <f t="shared" ca="1" si="8"/>
        <v>3.0346103836853869E-4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input_346100_使用しない!A$2</f>
        <v>_使用しない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IFERROR(VLOOKUP(B184,input_346100_使用しない!L:R,7,FALSE),VLOOKUP(tables_346100_使用しない!C184,input_346100_使用しない!A:H,8,FALSE))</f>
        <v>370.5</v>
      </c>
      <c r="P184" s="48">
        <f t="shared" ca="1" si="8"/>
        <v>2.6411161549340752E-4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input_346100_使用しない!A$2</f>
        <v>_使用しない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IFERROR(VLOOKUP(B185,input_346100_使用しない!L:R,7,FALSE),VLOOKUP(tables_346100_使用しない!C185,input_346100_使用しない!A:H,8,FALSE))</f>
        <v>9.5</v>
      </c>
      <c r="P185" s="48">
        <f t="shared" ca="1" si="8"/>
        <v>6.772092704959168E-6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input_346100_使用しない!A$2</f>
        <v>_使用しない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IFERROR(VLOOKUP(B186,input_346100_使用しない!L:R,7,FALSE),VLOOKUP(tables_346100_使用しない!C186,input_346100_使用しない!A:H,8,FALSE))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input_346100_使用しない!A$2</f>
        <v>_使用しない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IFERROR(VLOOKUP(B187,input_346100_使用しない!L:R,7,FALSE),VLOOKUP(tables_346100_使用しない!C187,input_346100_使用しない!A:H,8,FALSE))</f>
        <v>16602.3</v>
      </c>
      <c r="P187" s="48">
        <f t="shared" ca="1" si="8"/>
        <v>1.1834980496373009E-2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input_346100_使用しない!A$2</f>
        <v>_使用しない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IFERROR(VLOOKUP(B188,input_346100_使用しない!L:R,7,FALSE),VLOOKUP(tables_346100_使用しない!C188,input_346100_使用しない!A:H,8,FALSE))</f>
        <v>425.7</v>
      </c>
      <c r="P188" s="48">
        <f t="shared" ca="1" si="8"/>
        <v>3.0346103836853869E-4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input_346100_使用しない!A$2</f>
        <v>_使用しない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IFERROR(VLOOKUP(B189,input_346100_使用しない!L:R,7,FALSE),VLOOKUP(tables_346100_使用しない!C189,input_346100_使用しない!A:H,8,FALSE))</f>
        <v>370.5</v>
      </c>
      <c r="P189" s="48">
        <f t="shared" ca="1" si="8"/>
        <v>2.6411161549340752E-4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input_346100_使用しない!A$2</f>
        <v>_使用しない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IFERROR(VLOOKUP(B190,input_346100_使用しない!L:R,7,FALSE),VLOOKUP(tables_346100_使用しない!C190,input_346100_使用しない!A:H,8,FALSE))</f>
        <v>9.5</v>
      </c>
      <c r="P190" s="48">
        <f t="shared" ca="1" si="8"/>
        <v>6.772092704959168E-6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input_346100_使用しない!A$2</f>
        <v>_使用しない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IFERROR(VLOOKUP(B191,input_346100_使用しない!L:R,7,FALSE),VLOOKUP(tables_346100_使用しない!C191,input_346100_使用しない!A:H,8,FALSE))</f>
        <v>370.5</v>
      </c>
      <c r="P191" s="48">
        <f t="shared" ca="1" si="8"/>
        <v>2.6411161549340752E-4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input_346100_使用しない!A$2</f>
        <v>_使用しない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IFERROR(VLOOKUP(B192,input_346100_使用しない!L:R,7,FALSE),VLOOKUP(tables_346100_使用しない!C192,input_346100_使用しない!A:H,8,FALSE))</f>
        <v>9.5</v>
      </c>
      <c r="P192" s="48">
        <f t="shared" ca="1" si="8"/>
        <v>6.772092704959168E-6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input_346100_使用しない!A$2</f>
        <v>_使用しない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IFERROR(VLOOKUP(B193,input_346100_使用しない!L:R,7,FALSE),VLOOKUP(tables_346100_使用しない!C193,input_346100_使用しない!A:H,8,FALSE))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input_346100_使用しない!A$2</f>
        <v>_使用しない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IFERROR(VLOOKUP(B194,input_346100_使用しない!L:R,7,FALSE),VLOOKUP(tables_346100_使用しない!C194,input_346100_使用しない!A:H,8,FALSE))</f>
        <v>16602.3</v>
      </c>
      <c r="P194" s="48">
        <f t="shared" ca="1" si="8"/>
        <v>1.1834980496373009E-2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input_346100_使用しない!A$2</f>
        <v>_使用しない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IFERROR(VLOOKUP(B195,input_346100_使用しない!L:R,7,FALSE),VLOOKUP(tables_346100_使用しない!C195,input_346100_使用しない!A:H,8,FALSE))</f>
        <v>425.7</v>
      </c>
      <c r="P195" s="48">
        <f t="shared" ca="1" si="8"/>
        <v>3.0346103836853869E-4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input_346100_使用しない!A$2</f>
        <v>_使用しない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IFERROR(VLOOKUP(B196,input_346100_使用しない!L:R,7,FALSE),VLOOKUP(tables_346100_使用しない!C196,input_346100_使用しない!A:H,8,FALSE))</f>
        <v>370.5</v>
      </c>
      <c r="P196" s="48">
        <f t="shared" ca="1" si="8"/>
        <v>2.6411161549340752E-4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input_346100_使用しない!A$2</f>
        <v>_使用しない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IFERROR(VLOOKUP(B197,input_346100_使用しない!L:R,7,FALSE),VLOOKUP(tables_346100_使用しない!C197,input_346100_使用しない!A:H,8,FALSE))</f>
        <v>9.5</v>
      </c>
      <c r="P197" s="48">
        <f t="shared" ca="1" si="8"/>
        <v>6.772092704959168E-6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input_346100_使用しない!A$2</f>
        <v>_使用しない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IFERROR(VLOOKUP(B198,input_346100_使用しない!L:R,7,FALSE),VLOOKUP(tables_346100_使用しない!C198,input_346100_使用しない!A:H,8,FALSE))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input_346100_使用しない!A$2</f>
        <v>_使用しない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IFERROR(VLOOKUP(B199,input_346100_使用しない!L:R,7,FALSE),VLOOKUP(tables_346100_使用しない!C199,input_346100_使用しない!A:H,8,FALSE))</f>
        <v>16602.3</v>
      </c>
      <c r="P199" s="48">
        <f t="shared" ca="1" si="8"/>
        <v>1.1834980496373009E-2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input_346100_使用しない!A$2</f>
        <v>_使用しない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IFERROR(VLOOKUP(B200,input_346100_使用しない!L:R,7,FALSE),VLOOKUP(tables_346100_使用しない!C200,input_346100_使用しない!A:H,8,FALSE))</f>
        <v>425.7</v>
      </c>
      <c r="P200" s="48">
        <f t="shared" ca="1" si="8"/>
        <v>3.0346103836853869E-4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input_346100_使用しない!A$2</f>
        <v>_使用しない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IFERROR(VLOOKUP(B201,input_346100_使用しない!L:R,7,FALSE),VLOOKUP(tables_346100_使用しない!C201,input_346100_使用しない!A:H,8,FALSE))</f>
        <v>370.5</v>
      </c>
      <c r="P201" s="48">
        <f t="shared" ca="1" si="8"/>
        <v>2.6411161549340752E-4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input_346100_使用しない!A$2</f>
        <v>_使用しない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IFERROR(VLOOKUP(B202,input_346100_使用しない!L:R,7,FALSE),VLOOKUP(tables_346100_使用しない!C202,input_346100_使用しない!A:H,8,FALSE))</f>
        <v>9.5</v>
      </c>
      <c r="P202" s="48">
        <f t="shared" ca="1" si="8"/>
        <v>6.772092704959168E-6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input_346100_使用しない!A$2</f>
        <v>_使用しない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IFERROR(VLOOKUP(B203,input_346100_使用しない!L:R,7,FALSE),VLOOKUP(tables_346100_使用しない!C203,input_346100_使用しない!A:H,8,FALSE))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input_346100_使用しない!A$2</f>
        <v>_使用しない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IFERROR(VLOOKUP(B204,input_346100_使用しない!L:R,7,FALSE),VLOOKUP(tables_346100_使用しない!C204,input_346100_使用しない!A:H,8,FALSE))</f>
        <v>16602.3</v>
      </c>
      <c r="P204" s="48">
        <f t="shared" ca="1" si="8"/>
        <v>1.1834980496373009E-2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input_346100_使用しない!A$2</f>
        <v>_使用しない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IFERROR(VLOOKUP(B205,input_346100_使用しない!L:R,7,FALSE),VLOOKUP(tables_346100_使用しない!C205,input_346100_使用しない!A:H,8,FALSE))</f>
        <v>425.7</v>
      </c>
      <c r="P205" s="48">
        <f t="shared" ca="1" si="8"/>
        <v>3.0346103836853869E-4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input_346100_使用しない!A$2</f>
        <v>_使用しない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IFERROR(VLOOKUP(B206,input_346100_使用しない!L:R,7,FALSE),VLOOKUP(tables_346100_使用しない!C206,input_346100_使用しない!A:H,8,FALSE))</f>
        <v>370.5</v>
      </c>
      <c r="P206" s="48">
        <f t="shared" ca="1" si="8"/>
        <v>2.6411161549340752E-4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input_346100_使用しない!A$2</f>
        <v>_使用しない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IFERROR(VLOOKUP(B207,input_346100_使用しない!L:R,7,FALSE),VLOOKUP(tables_346100_使用しない!C207,input_346100_使用しない!A:H,8,FALSE))</f>
        <v>9.5</v>
      </c>
      <c r="P207" s="48">
        <f t="shared" ref="P207:P270" ca="1" si="11">O207/SUM(O:O)</f>
        <v>6.772092704959168E-6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input_346100_使用しない!A$2</f>
        <v>_使用しない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IFERROR(VLOOKUP(B208,input_346100_使用しない!L:R,7,FALSE),VLOOKUP(tables_346100_使用しない!C208,input_346100_使用しない!A:H,8,FALSE))</f>
        <v>370.5</v>
      </c>
      <c r="P208" s="48">
        <f t="shared" ca="1" si="11"/>
        <v>2.6411161549340752E-4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input_346100_使用しない!A$2</f>
        <v>_使用しない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IFERROR(VLOOKUP(B209,input_346100_使用しない!L:R,7,FALSE),VLOOKUP(tables_346100_使用しない!C209,input_346100_使用しない!A:H,8,FALSE))</f>
        <v>9.5</v>
      </c>
      <c r="P209" s="48">
        <f t="shared" ca="1" si="11"/>
        <v>6.772092704959168E-6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input_346100_使用しない!A$2</f>
        <v>_使用しない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IFERROR(VLOOKUP(B210,input_346100_使用しない!L:R,7,FALSE),VLOOKUP(tables_346100_使用しない!C210,input_346100_使用しない!A:H,8,FALSE))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input_346100_使用しない!A$2</f>
        <v>_使用しない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IFERROR(VLOOKUP(B211,input_346100_使用しない!L:R,7,FALSE),VLOOKUP(tables_346100_使用しない!C211,input_346100_使用しない!A:H,8,FALSE))</f>
        <v>16602.3</v>
      </c>
      <c r="P211" s="48">
        <f t="shared" ca="1" si="11"/>
        <v>1.1834980496373009E-2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input_346100_使用しない!A$2</f>
        <v>_使用しない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IFERROR(VLOOKUP(B212,input_346100_使用しない!L:R,7,FALSE),VLOOKUP(tables_346100_使用しない!C212,input_346100_使用しない!A:H,8,FALSE))</f>
        <v>425.7</v>
      </c>
      <c r="P212" s="48">
        <f t="shared" ca="1" si="11"/>
        <v>3.0346103836853869E-4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input_346100_使用しない!A$2</f>
        <v>_使用しない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IFERROR(VLOOKUP(B213,input_346100_使用しない!L:R,7,FALSE),VLOOKUP(tables_346100_使用しない!C213,input_346100_使用しない!A:H,8,FALSE))</f>
        <v>370.5</v>
      </c>
      <c r="P213" s="48">
        <f t="shared" ca="1" si="11"/>
        <v>2.6411161549340752E-4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input_346100_使用しない!A$2</f>
        <v>_使用しない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IFERROR(VLOOKUP(B214,input_346100_使用しない!L:R,7,FALSE),VLOOKUP(tables_346100_使用しない!C214,input_346100_使用しない!A:H,8,FALSE))</f>
        <v>9.5</v>
      </c>
      <c r="P214" s="48">
        <f t="shared" ca="1" si="11"/>
        <v>6.772092704959168E-6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input_346100_使用しない!A$2</f>
        <v>_使用しない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IFERROR(VLOOKUP(B215,input_346100_使用しない!L:R,7,FALSE),VLOOKUP(tables_346100_使用しない!C215,input_346100_使用しない!A:H,8,FALSE))</f>
        <v>370.5</v>
      </c>
      <c r="P215" s="48">
        <f t="shared" ca="1" si="11"/>
        <v>2.6411161549340752E-4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input_346100_使用しない!A$2</f>
        <v>_使用しない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IFERROR(VLOOKUP(B216,input_346100_使用しない!L:R,7,FALSE),VLOOKUP(tables_346100_使用しない!C216,input_346100_使用しない!A:H,8,FALSE))</f>
        <v>9.5</v>
      </c>
      <c r="P216" s="48">
        <f t="shared" ca="1" si="11"/>
        <v>6.772092704959168E-6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input_346100_使用しない!A$2</f>
        <v>_使用しない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IFERROR(VLOOKUP(B217,input_346100_使用しない!L:R,7,FALSE),VLOOKUP(tables_346100_使用しない!C217,input_346100_使用しない!A:H,8,FALSE))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input_346100_使用しない!A$2</f>
        <v>_使用しない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IFERROR(VLOOKUP(B218,input_346100_使用しない!L:R,7,FALSE),VLOOKUP(tables_346100_使用しない!C218,input_346100_使用しない!A:H,8,FALSE))</f>
        <v>16602.3</v>
      </c>
      <c r="P218" s="48">
        <f t="shared" ca="1" si="11"/>
        <v>1.1834980496373009E-2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input_346100_使用しない!A$2</f>
        <v>_使用しない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IFERROR(VLOOKUP(B219,input_346100_使用しない!L:R,7,FALSE),VLOOKUP(tables_346100_使用しない!C219,input_346100_使用しない!A:H,8,FALSE))</f>
        <v>425.7</v>
      </c>
      <c r="P219" s="48">
        <f t="shared" ca="1" si="11"/>
        <v>3.0346103836853869E-4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input_346100_使用しない!A$2</f>
        <v>_使用しない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IFERROR(VLOOKUP(B220,input_346100_使用しない!L:R,7,FALSE),VLOOKUP(tables_346100_使用しない!C220,input_346100_使用しない!A:H,8,FALSE))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input_346100_使用しない!A$2</f>
        <v>_使用しない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IFERROR(VLOOKUP(B221,input_346100_使用しない!L:R,7,FALSE),VLOOKUP(tables_346100_使用しない!C221,input_346100_使用しない!A:H,8,FALSE))</f>
        <v>16602.3</v>
      </c>
      <c r="P221" s="48">
        <f t="shared" ca="1" si="11"/>
        <v>1.1834980496373009E-2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input_346100_使用しない!A$2</f>
        <v>_使用しない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IFERROR(VLOOKUP(B222,input_346100_使用しない!L:R,7,FALSE),VLOOKUP(tables_346100_使用しない!C222,input_346100_使用しない!A:H,8,FALSE))</f>
        <v>425.7</v>
      </c>
      <c r="P222" s="48">
        <f t="shared" ca="1" si="11"/>
        <v>3.0346103836853869E-4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input_346100_使用しない!A$2</f>
        <v>_使用しない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IFERROR(VLOOKUP(B223,input_346100_使用しない!L:R,7,FALSE),VLOOKUP(tables_346100_使用しない!C223,input_346100_使用しない!A:H,8,FALSE))</f>
        <v>370.5</v>
      </c>
      <c r="P223" s="48">
        <f t="shared" ca="1" si="11"/>
        <v>2.6411161549340752E-4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input_346100_使用しない!A$2</f>
        <v>_使用しない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IFERROR(VLOOKUP(B224,input_346100_使用しない!L:R,7,FALSE),VLOOKUP(tables_346100_使用しない!C224,input_346100_使用しない!A:H,8,FALSE))</f>
        <v>9.5</v>
      </c>
      <c r="P224" s="48">
        <f t="shared" ca="1" si="11"/>
        <v>6.772092704959168E-6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input_346100_使用しない!A$2</f>
        <v>_使用しない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IFERROR(VLOOKUP(B225,input_346100_使用しない!L:R,7,FALSE),VLOOKUP(tables_346100_使用しない!C225,input_346100_使用しない!A:H,8,FALSE))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input_346100_使用しない!A$2</f>
        <v>_使用しない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IFERROR(VLOOKUP(B226,input_346100_使用しない!L:R,7,FALSE),VLOOKUP(tables_346100_使用しない!C226,input_346100_使用しない!A:H,8,FALSE))</f>
        <v>16602.3</v>
      </c>
      <c r="P226" s="48">
        <f t="shared" ca="1" si="11"/>
        <v>1.1834980496373009E-2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input_346100_使用しない!A$2</f>
        <v>_使用しない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IFERROR(VLOOKUP(B227,input_346100_使用しない!L:R,7,FALSE),VLOOKUP(tables_346100_使用しない!C227,input_346100_使用しない!A:H,8,FALSE))</f>
        <v>425.7</v>
      </c>
      <c r="P227" s="48">
        <f t="shared" ca="1" si="11"/>
        <v>3.0346103836853869E-4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input_346100_使用しない!A$2</f>
        <v>_使用しない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IFERROR(VLOOKUP(B228,input_346100_使用しない!L:R,7,FALSE),VLOOKUP(tables_346100_使用しない!C228,input_346100_使用しない!A:H,8,FALSE))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input_346100_使用しない!A$2</f>
        <v>_使用しない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IFERROR(VLOOKUP(B229,input_346100_使用しない!L:R,7,FALSE),VLOOKUP(tables_346100_使用しない!C229,input_346100_使用しない!A:H,8,FALSE))</f>
        <v>16602.3</v>
      </c>
      <c r="P229" s="48">
        <f t="shared" ca="1" si="11"/>
        <v>1.1834980496373009E-2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input_346100_使用しない!A$2</f>
        <v>_使用しない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IFERROR(VLOOKUP(B230,input_346100_使用しない!L:R,7,FALSE),VLOOKUP(tables_346100_使用しない!C230,input_346100_使用しない!A:H,8,FALSE))</f>
        <v>425.7</v>
      </c>
      <c r="P230" s="48">
        <f t="shared" ca="1" si="11"/>
        <v>3.0346103836853869E-4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input_346100_使用しない!A$2</f>
        <v>_使用しない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IFERROR(VLOOKUP(B231,input_346100_使用しない!L:R,7,FALSE),VLOOKUP(tables_346100_使用しない!C231,input_346100_使用しない!A:H,8,FALSE))</f>
        <v>370.5</v>
      </c>
      <c r="P231" s="48">
        <f t="shared" ca="1" si="11"/>
        <v>2.6411161549340752E-4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input_346100_使用しない!A$2</f>
        <v>_使用しない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IFERROR(VLOOKUP(B232,input_346100_使用しない!L:R,7,FALSE),VLOOKUP(tables_346100_使用しない!C232,input_346100_使用しない!A:H,8,FALSE))</f>
        <v>9.5</v>
      </c>
      <c r="P232" s="48">
        <f t="shared" ca="1" si="11"/>
        <v>6.772092704959168E-6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input_346100_使用しない!A$2</f>
        <v>_使用しない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IFERROR(VLOOKUP(B233,input_346100_使用しない!L:R,7,FALSE),VLOOKUP(tables_346100_使用しない!C233,input_346100_使用しない!A:H,8,FALSE))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input_346100_使用しない!A$2</f>
        <v>_使用しない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IFERROR(VLOOKUP(B234,input_346100_使用しない!L:R,7,FALSE),VLOOKUP(tables_346100_使用しない!C234,input_346100_使用しない!A:H,8,FALSE))</f>
        <v>16602.3</v>
      </c>
      <c r="P234" s="48">
        <f t="shared" ca="1" si="11"/>
        <v>1.1834980496373009E-2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input_346100_使用しない!A$2</f>
        <v>_使用しない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IFERROR(VLOOKUP(B235,input_346100_使用しない!L:R,7,FALSE),VLOOKUP(tables_346100_使用しない!C235,input_346100_使用しない!A:H,8,FALSE))</f>
        <v>425.7</v>
      </c>
      <c r="P235" s="48">
        <f t="shared" ca="1" si="11"/>
        <v>3.0346103836853869E-4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input_346100_使用しない!A$2</f>
        <v>_使用しない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IFERROR(VLOOKUP(B236,input_346100_使用しない!L:R,7,FALSE),VLOOKUP(tables_346100_使用しない!C236,input_346100_使用しない!A:H,8,FALSE))</f>
        <v>370.5</v>
      </c>
      <c r="P236" s="48">
        <f t="shared" ca="1" si="11"/>
        <v>2.6411161549340752E-4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input_346100_使用しない!A$2</f>
        <v>_使用しない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IFERROR(VLOOKUP(B237,input_346100_使用しない!L:R,7,FALSE),VLOOKUP(tables_346100_使用しない!C237,input_346100_使用しない!A:H,8,FALSE))</f>
        <v>9.5</v>
      </c>
      <c r="P237" s="48">
        <f t="shared" ca="1" si="11"/>
        <v>6.772092704959168E-6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input_346100_使用しない!A$2</f>
        <v>_使用しない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IFERROR(VLOOKUP(B238,input_346100_使用しない!L:R,7,FALSE),VLOOKUP(tables_346100_使用しない!C238,input_346100_使用しない!A:H,8,FALSE))</f>
        <v>370.5</v>
      </c>
      <c r="P238" s="48">
        <f t="shared" ca="1" si="11"/>
        <v>2.6411161549340752E-4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input_346100_使用しない!A$2</f>
        <v>_使用しない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IFERROR(VLOOKUP(B239,input_346100_使用しない!L:R,7,FALSE),VLOOKUP(tables_346100_使用しない!C239,input_346100_使用しない!A:H,8,FALSE))</f>
        <v>9.5</v>
      </c>
      <c r="P239" s="48">
        <f t="shared" ca="1" si="11"/>
        <v>6.772092704959168E-6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input_346100_使用しない!A$2</f>
        <v>_使用しない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IFERROR(VLOOKUP(B240,input_346100_使用しない!L:R,7,FALSE),VLOOKUP(tables_346100_使用しない!C240,input_346100_使用しない!A:H,8,FALSE))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input_346100_使用しない!A$2</f>
        <v>_使用しない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IFERROR(VLOOKUP(B241,input_346100_使用しない!L:R,7,FALSE),VLOOKUP(tables_346100_使用しない!C241,input_346100_使用しない!A:H,8,FALSE))</f>
        <v>16602.3</v>
      </c>
      <c r="P241" s="48">
        <f t="shared" ca="1" si="11"/>
        <v>1.1834980496373009E-2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input_346100_使用しない!A$2</f>
        <v>_使用しない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IFERROR(VLOOKUP(B242,input_346100_使用しない!L:R,7,FALSE),VLOOKUP(tables_346100_使用しない!C242,input_346100_使用しない!A:H,8,FALSE))</f>
        <v>425.7</v>
      </c>
      <c r="P242" s="48">
        <f t="shared" ca="1" si="11"/>
        <v>3.0346103836853869E-4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input_346100_使用しない!A$2</f>
        <v>_使用しない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IFERROR(VLOOKUP(B243,input_346100_使用しない!L:R,7,FALSE),VLOOKUP(tables_346100_使用しない!C243,input_346100_使用しない!A:H,8,FALSE))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input_346100_使用しない!A$2</f>
        <v>_使用しない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IFERROR(VLOOKUP(B244,input_346100_使用しない!L:R,7,FALSE),VLOOKUP(tables_346100_使用しない!C244,input_346100_使用しない!A:H,8,FALSE))</f>
        <v>16602.3</v>
      </c>
      <c r="P244" s="48">
        <f t="shared" ca="1" si="11"/>
        <v>1.1834980496373009E-2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input_346100_使用しない!A$2</f>
        <v>_使用しない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IFERROR(VLOOKUP(B245,input_346100_使用しない!L:R,7,FALSE),VLOOKUP(tables_346100_使用しない!C245,input_346100_使用しない!A:H,8,FALSE))</f>
        <v>425.7</v>
      </c>
      <c r="P245" s="48">
        <f t="shared" ca="1" si="11"/>
        <v>3.0346103836853869E-4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input_346100_使用しない!A$2</f>
        <v>_使用しない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IFERROR(VLOOKUP(B246,input_346100_使用しない!L:R,7,FALSE),VLOOKUP(tables_346100_使用しない!C246,input_346100_使用しない!A:H,8,FALSE))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input_346100_使用しない!A$2</f>
        <v>_使用しない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IFERROR(VLOOKUP(B247,input_346100_使用しない!L:R,7,FALSE),VLOOKUP(tables_346100_使用しない!C247,input_346100_使用しない!A:H,8,FALSE))</f>
        <v>16602.3</v>
      </c>
      <c r="P247" s="48">
        <f t="shared" ca="1" si="11"/>
        <v>1.1834980496373009E-2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input_346100_使用しない!A$2</f>
        <v>_使用しない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IFERROR(VLOOKUP(B248,input_346100_使用しない!L:R,7,FALSE),VLOOKUP(tables_346100_使用しない!C248,input_346100_使用しない!A:H,8,FALSE))</f>
        <v>425.7</v>
      </c>
      <c r="P248" s="48">
        <f t="shared" ca="1" si="11"/>
        <v>3.0346103836853869E-4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input_346100_使用しない!A$2</f>
        <v>_使用しない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IFERROR(VLOOKUP(B249,input_346100_使用しない!L:R,7,FALSE),VLOOKUP(tables_346100_使用しない!C249,input_346100_使用しない!A:H,8,FALSE))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input_346100_使用しない!A$2</f>
        <v>_使用しない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IFERROR(VLOOKUP(B250,input_346100_使用しない!L:R,7,FALSE),VLOOKUP(tables_346100_使用しない!C250,input_346100_使用しない!A:H,8,FALSE))</f>
        <v>16602.3</v>
      </c>
      <c r="P250" s="48">
        <f t="shared" ca="1" si="11"/>
        <v>1.1834980496373009E-2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input_346100_使用しない!A$2</f>
        <v>_使用しない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IFERROR(VLOOKUP(B251,input_346100_使用しない!L:R,7,FALSE),VLOOKUP(tables_346100_使用しない!C251,input_346100_使用しない!A:H,8,FALSE))</f>
        <v>425.7</v>
      </c>
      <c r="P251" s="48">
        <f t="shared" ca="1" si="11"/>
        <v>3.0346103836853869E-4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input_346100_使用しない!A$2</f>
        <v>_使用しない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IFERROR(VLOOKUP(B252,input_346100_使用しない!L:R,7,FALSE),VLOOKUP(tables_346100_使用しない!C252,input_346100_使用しない!A:H,8,FALSE))</f>
        <v>370.5</v>
      </c>
      <c r="P252" s="48">
        <f t="shared" ca="1" si="11"/>
        <v>2.6411161549340752E-4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input_346100_使用しない!A$2</f>
        <v>_使用しない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IFERROR(VLOOKUP(B253,input_346100_使用しない!L:R,7,FALSE),VLOOKUP(tables_346100_使用しない!C253,input_346100_使用しない!A:H,8,FALSE))</f>
        <v>9.5</v>
      </c>
      <c r="P253" s="48">
        <f t="shared" ca="1" si="11"/>
        <v>6.772092704959168E-6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input_346100_使用しない!A$2</f>
        <v>_使用しない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IFERROR(VLOOKUP(B254,input_346100_使用しない!L:R,7,FALSE),VLOOKUP(tables_346100_使用しない!C254,input_346100_使用しない!A:H,8,FALSE))</f>
        <v>370.5</v>
      </c>
      <c r="P254" s="48">
        <f t="shared" ca="1" si="11"/>
        <v>2.6411161549340752E-4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input_346100_使用しない!A$2</f>
        <v>_使用しない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IFERROR(VLOOKUP(B255,input_346100_使用しない!L:R,7,FALSE),VLOOKUP(tables_346100_使用しない!C255,input_346100_使用しない!A:H,8,FALSE))</f>
        <v>9.5</v>
      </c>
      <c r="P255" s="48">
        <f t="shared" ca="1" si="11"/>
        <v>6.772092704959168E-6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input_346100_使用しない!A$2</f>
        <v>_使用しない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IFERROR(VLOOKUP(B256,input_346100_使用しない!L:R,7,FALSE),VLOOKUP(tables_346100_使用しない!C256,input_346100_使用しない!A:H,8,FALSE))</f>
        <v>370.5</v>
      </c>
      <c r="P256" s="48">
        <f t="shared" ca="1" si="11"/>
        <v>2.6411161549340752E-4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input_346100_使用しない!A$2</f>
        <v>_使用しない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IFERROR(VLOOKUP(B257,input_346100_使用しない!L:R,7,FALSE),VLOOKUP(tables_346100_使用しない!C257,input_346100_使用しない!A:H,8,FALSE))</f>
        <v>9.5</v>
      </c>
      <c r="P257" s="48">
        <f t="shared" ca="1" si="11"/>
        <v>6.772092704959168E-6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input_346100_使用しない!A$2</f>
        <v>_使用しない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IFERROR(VLOOKUP(B258,input_346100_使用しない!L:R,7,FALSE),VLOOKUP(tables_346100_使用しない!C258,input_346100_使用しない!A:H,8,FALSE))</f>
        <v>370.5</v>
      </c>
      <c r="P258" s="48">
        <f t="shared" ca="1" si="11"/>
        <v>2.6411161549340752E-4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input_346100_使用しない!A$2</f>
        <v>_使用しない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IFERROR(VLOOKUP(B259,input_346100_使用しない!L:R,7,FALSE),VLOOKUP(tables_346100_使用しない!C259,input_346100_使用しない!A:H,8,FALSE))</f>
        <v>9.5</v>
      </c>
      <c r="P259" s="48">
        <f t="shared" ca="1" si="11"/>
        <v>6.772092704959168E-6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input_346100_使用しない!A$2</f>
        <v>_使用しない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IFERROR(VLOOKUP(B260,input_346100_使用しない!L:R,7,FALSE),VLOOKUP(tables_346100_使用しない!C260,input_346100_使用しない!A:H,8,FALSE))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input_346100_使用しない!A$2</f>
        <v>_使用しない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IFERROR(VLOOKUP(B261,input_346100_使用しない!L:R,7,FALSE),VLOOKUP(tables_346100_使用しない!C261,input_346100_使用しない!A:H,8,FALSE))</f>
        <v>16602.3</v>
      </c>
      <c r="P261" s="48">
        <f t="shared" ca="1" si="11"/>
        <v>1.1834980496373009E-2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input_346100_使用しない!A$2</f>
        <v>_使用しない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IFERROR(VLOOKUP(B262,input_346100_使用しない!L:R,7,FALSE),VLOOKUP(tables_346100_使用しない!C262,input_346100_使用しない!A:H,8,FALSE))</f>
        <v>425.7</v>
      </c>
      <c r="P262" s="48">
        <f t="shared" ca="1" si="11"/>
        <v>3.0346103836853869E-4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input_346100_使用しない!A$2</f>
        <v>_使用しない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IFERROR(VLOOKUP(B263,input_346100_使用しない!L:R,7,FALSE),VLOOKUP(tables_346100_使用しない!C263,input_346100_使用しない!A:H,8,FALSE))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input_346100_使用しない!A$2</f>
        <v>_使用しない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IFERROR(VLOOKUP(B264,input_346100_使用しない!L:R,7,FALSE),VLOOKUP(tables_346100_使用しない!C264,input_346100_使用しない!A:H,8,FALSE))</f>
        <v>16602.3</v>
      </c>
      <c r="P264" s="48">
        <f t="shared" ca="1" si="11"/>
        <v>1.1834980496373009E-2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input_346100_使用しない!A$2</f>
        <v>_使用しない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IFERROR(VLOOKUP(B265,input_346100_使用しない!L:R,7,FALSE),VLOOKUP(tables_346100_使用しない!C265,input_346100_使用しない!A:H,8,FALSE))</f>
        <v>425.7</v>
      </c>
      <c r="P265" s="48">
        <f t="shared" ca="1" si="11"/>
        <v>3.0346103836853869E-4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input_346100_使用しない!A$2</f>
        <v>_使用しない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IFERROR(VLOOKUP(B266,input_346100_使用しない!L:R,7,FALSE),VLOOKUP(tables_346100_使用しない!C266,input_346100_使用しない!A:H,8,FALSE))</f>
        <v>23172.1</v>
      </c>
      <c r="P266" s="48">
        <f t="shared" ca="1" si="11"/>
        <v>1.6518274670377298E-2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input_346100_使用しない!A$2</f>
        <v>_使用しない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IFERROR(VLOOKUP(B267,input_346100_使用しない!L:R,7,FALSE),VLOOKUP(tables_346100_使用しない!C267,input_346100_使用しない!A:H,8,FALSE))</f>
        <v>2369.9</v>
      </c>
      <c r="P267" s="48">
        <f t="shared" ca="1" si="11"/>
        <v>1.6893876317350244E-3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input_346100_使用しない!A$2</f>
        <v>_使用しない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IFERROR(VLOOKUP(B268,input_346100_使用しない!L:R,7,FALSE),VLOOKUP(tables_346100_使用しない!C268,input_346100_使用しない!A:H,8,FALSE))</f>
        <v>23172.1</v>
      </c>
      <c r="P268" s="48">
        <f t="shared" ca="1" si="11"/>
        <v>1.6518274670377298E-2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input_346100_使用しない!A$2</f>
        <v>_使用しない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IFERROR(VLOOKUP(B269,input_346100_使用しない!L:R,7,FALSE),VLOOKUP(tables_346100_使用しない!C269,input_346100_使用しない!A:H,8,FALSE))</f>
        <v>2369.9</v>
      </c>
      <c r="P269" s="48">
        <f t="shared" ca="1" si="11"/>
        <v>1.6893876317350244E-3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input_346100_使用しない!A$2</f>
        <v>_使用しない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IFERROR(VLOOKUP(B270,input_346100_使用しない!L:R,7,FALSE),VLOOKUP(tables_346100_使用しない!C270,input_346100_使用しない!A:H,8,FALSE))</f>
        <v>570</v>
      </c>
      <c r="P270" s="48">
        <f t="shared" ca="1" si="11"/>
        <v>4.0632556229755007E-4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input_346100_使用しない!A$2</f>
        <v>_使用しない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IFERROR(VLOOKUP(B271,input_346100_使用しない!L:R,7,FALSE),VLOOKUP(tables_346100_使用しない!C271,input_346100_使用しない!A:H,8,FALSE))</f>
        <v>570</v>
      </c>
      <c r="P271" s="48">
        <f t="shared" ref="P271:P283" ca="1" si="14">O271/SUM(O:O)</f>
        <v>4.0632556229755007E-4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input_346100_使用しない!A$2</f>
        <v>_使用しない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IFERROR(VLOOKUP(B272,input_346100_使用しない!L:R,7,FALSE),VLOOKUP(tables_346100_使用しない!C272,input_346100_使用しない!A:H,8,FALSE))</f>
        <v>570</v>
      </c>
      <c r="P272" s="48">
        <f t="shared" ca="1" si="14"/>
        <v>4.0632556229755007E-4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input_346100_使用しない!A$2</f>
        <v>_使用しない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IFERROR(VLOOKUP(B273,input_346100_使用しない!L:R,7,FALSE),VLOOKUP(tables_346100_使用しない!C273,input_346100_使用しない!A:H,8,FALSE))</f>
        <v>570</v>
      </c>
      <c r="P273" s="48">
        <f t="shared" ca="1" si="14"/>
        <v>4.0632556229755007E-4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input_346100_使用しない!A$2</f>
        <v>_使用しない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IFERROR(VLOOKUP(B274,input_346100_使用しない!L:R,7,FALSE),VLOOKUP(tables_346100_使用しない!C274,input_346100_使用しない!A:H,8,FALSE))</f>
        <v>23172.1</v>
      </c>
      <c r="P274" s="48">
        <f t="shared" ca="1" si="14"/>
        <v>1.6518274670377298E-2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input_346100_使用しない!A$2</f>
        <v>_使用しない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IFERROR(VLOOKUP(B275,input_346100_使用しない!L:R,7,FALSE),VLOOKUP(tables_346100_使用しない!C275,input_346100_使用しない!A:H,8,FALSE))</f>
        <v>2369.9</v>
      </c>
      <c r="P275" s="48">
        <f t="shared" ca="1" si="14"/>
        <v>1.6893876317350244E-3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input_346100_使用しない!A$2</f>
        <v>_使用しない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IFERROR(VLOOKUP(B276,input_346100_使用しない!L:R,7,FALSE),VLOOKUP(tables_346100_使用しない!C276,input_346100_使用しない!A:H,8,FALSE))</f>
        <v>23172.1</v>
      </c>
      <c r="P276" s="48">
        <f t="shared" ca="1" si="14"/>
        <v>1.6518274670377298E-2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input_346100_使用しない!A$2</f>
        <v>_使用しない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IFERROR(VLOOKUP(B277,input_346100_使用しない!L:R,7,FALSE),VLOOKUP(tables_346100_使用しない!C277,input_346100_使用しない!A:H,8,FALSE))</f>
        <v>2369.9</v>
      </c>
      <c r="P277" s="48">
        <f t="shared" ca="1" si="14"/>
        <v>1.6893876317350244E-3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input_346100_使用しない!A$2</f>
        <v>_使用しない</v>
      </c>
      <c r="B278" s="83">
        <v>862</v>
      </c>
      <c r="C278" s="7" t="str">
        <f t="shared" ref="C278:C280" si="17">D278&amp;J278&amp;E278&amp;F278&amp;G278</f>
        <v>Premium4R3less</v>
      </c>
      <c r="D278" s="7" t="str">
        <f t="shared" ref="D278:D280" si="18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>IFERROR(VLOOKUP(B278,input_346100_使用しない!L:R,7,FALSE),VLOOKUP(tables_346100_使用しない!C278,input_346100_使用しない!A:H,8,FALSE))</f>
        <v>12996</v>
      </c>
      <c r="P278" s="48">
        <f t="shared" ca="1" si="14"/>
        <v>9.2642228203841416E-3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input_346100_使用しない!A$2</f>
        <v>_使用しない</v>
      </c>
      <c r="B279" s="83">
        <v>863</v>
      </c>
      <c r="C279" s="7" t="str">
        <f t="shared" si="17"/>
        <v>Premium5R3less</v>
      </c>
      <c r="D279" s="7" t="str">
        <f t="shared" si="18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>IFERROR(VLOOKUP(B279,input_346100_使用しない!L:R,7,FALSE),VLOOKUP(tables_346100_使用しない!C279,input_346100_使用しない!A:H,8,FALSE))</f>
        <v>684</v>
      </c>
      <c r="P279" s="48">
        <f t="shared" ca="1" si="14"/>
        <v>4.8759067475706011E-4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input_346100_使用しない!A$2</f>
        <v>_使用しない</v>
      </c>
      <c r="B280" s="83">
        <v>864</v>
      </c>
      <c r="C280" s="7" t="str">
        <f t="shared" si="17"/>
        <v>Premium4R3less</v>
      </c>
      <c r="D280" s="7" t="str">
        <f t="shared" si="18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>IFERROR(VLOOKUP(B280,input_346100_使用しない!L:R,7,FALSE),VLOOKUP(tables_346100_使用しない!C280,input_346100_使用しない!A:H,8,FALSE))</f>
        <v>12996</v>
      </c>
      <c r="P280" s="48">
        <f t="shared" ca="1" si="14"/>
        <v>9.2642228203841416E-3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input_346100_使用しない!A$2</f>
        <v>_使用しない</v>
      </c>
      <c r="B281" s="83">
        <v>865</v>
      </c>
      <c r="C281" s="7" t="str">
        <f t="shared" ref="C281:C283" si="19">D281&amp;J281&amp;E281&amp;F281&amp;G281</f>
        <v>Premium5R3less</v>
      </c>
      <c r="D281" s="7" t="str">
        <f t="shared" ref="D281:D283" si="20">IF(I281="PremiumSS",I281,IF(I281="PremiumSSS",I281,IF(I281="PremiumW",I281,"Premium")))</f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>IFERROR(VLOOKUP(B281,input_346100_使用しない!L:R,7,FALSE),VLOOKUP(tables_346100_使用しない!C281,input_346100_使用しない!A:H,8,FALSE))</f>
        <v>684</v>
      </c>
      <c r="P281" s="48">
        <f t="shared" ca="1" si="14"/>
        <v>4.8759067475706011E-4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input_346100_使用しない!A$2</f>
        <v>_使用しない</v>
      </c>
      <c r="B282" s="83">
        <v>866</v>
      </c>
      <c r="C282" s="7" t="str">
        <f t="shared" si="19"/>
        <v>PremiumSS5R5only</v>
      </c>
      <c r="D282" s="7" t="str">
        <f t="shared" si="20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>IFERROR(VLOOKUP(B282,input_346100_使用しない!L:R,7,FALSE),VLOOKUP(tables_346100_使用しない!C282,input_346100_使用しない!A:H,8,FALSE))</f>
        <v>16416</v>
      </c>
      <c r="P282" s="48">
        <f t="shared" ca="1" si="14"/>
        <v>1.1702176194169443E-2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input_346100_使用しない!A$2</f>
        <v>_使用しない</v>
      </c>
      <c r="B283" s="83">
        <v>868</v>
      </c>
      <c r="C283" s="7" t="str">
        <f t="shared" si="19"/>
        <v>PremiumSS5R5only</v>
      </c>
      <c r="D283" s="7" t="str">
        <f t="shared" si="20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>IFERROR(VLOOKUP(B283,input_346100_使用しない!L:R,7,FALSE),VLOOKUP(tables_346100_使用しない!C283,input_346100_使用しない!A:H,8,FALSE))</f>
        <v>16416</v>
      </c>
      <c r="P283" s="48">
        <f t="shared" ca="1" si="14"/>
        <v>1.1702176194169443E-2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autoFilter ref="A1:V28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input_346100</vt:lpstr>
      <vt:lpstr>tables_346100</vt:lpstr>
      <vt:lpstr>tables_settle_346100</vt:lpstr>
      <vt:lpstr>input_346100_使用しない</vt:lpstr>
      <vt:lpstr>tables_346100_使用しない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2016-05-18T04:30:14Z</dcterms:modified>
</cp:coreProperties>
</file>