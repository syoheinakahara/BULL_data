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3"/>
  </bookViews>
  <sheets>
    <sheet name="確率の考え方" sheetId="110" r:id="rId1"/>
    <sheet name="Sheet1" sheetId="107" r:id="rId2"/>
    <sheet name="output" sheetId="103" r:id="rId3"/>
    <sheet name="tables_7307" sheetId="159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tables_7307!$A$1:$V$1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7" i="159" l="1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6" i="159"/>
  <c r="D6" i="159"/>
  <c r="J6" i="159"/>
  <c r="E6" i="159"/>
  <c r="F6" i="159"/>
  <c r="C6" i="159"/>
  <c r="H6" i="159"/>
  <c r="K6" i="159"/>
  <c r="L6" i="159"/>
  <c r="M6" i="159"/>
  <c r="N6" i="159"/>
  <c r="P6" i="159"/>
  <c r="I5" i="159"/>
  <c r="D5" i="159"/>
  <c r="J5" i="159"/>
  <c r="E5" i="159"/>
  <c r="F5" i="159"/>
  <c r="C5" i="159"/>
  <c r="H5" i="159"/>
  <c r="K5" i="159"/>
  <c r="L5" i="159"/>
  <c r="M5" i="159"/>
  <c r="N5" i="159"/>
  <c r="P5" i="159"/>
  <c r="C4" i="103"/>
  <c r="E4" i="103"/>
  <c r="C3" i="103"/>
  <c r="E3" i="103"/>
  <c r="I2" i="159"/>
  <c r="D2" i="159"/>
  <c r="J2" i="159"/>
  <c r="E2" i="159"/>
  <c r="F2" i="159"/>
  <c r="C2" i="159"/>
  <c r="H2" i="159"/>
  <c r="K2" i="159"/>
  <c r="L2" i="159"/>
  <c r="M2" i="159"/>
  <c r="N2" i="159"/>
  <c r="P2" i="159"/>
  <c r="I3" i="159"/>
  <c r="D3" i="159"/>
  <c r="J3" i="159"/>
  <c r="E3" i="159"/>
  <c r="F3" i="159"/>
  <c r="C3" i="159"/>
  <c r="H3" i="159"/>
  <c r="K3" i="159"/>
  <c r="L3" i="159"/>
  <c r="M3" i="159"/>
  <c r="N3" i="159"/>
  <c r="P3" i="159"/>
  <c r="I4" i="159"/>
  <c r="D4" i="159"/>
  <c r="J4" i="159"/>
  <c r="E4" i="159"/>
  <c r="F4" i="159"/>
  <c r="C4" i="159"/>
  <c r="H4" i="159"/>
  <c r="K4" i="159"/>
  <c r="L4" i="159"/>
  <c r="M4" i="159"/>
  <c r="N4" i="159"/>
  <c r="P4" i="159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<sst xmlns="http://schemas.openxmlformats.org/spreadsheetml/2006/main" count="292" uniqueCount="177">
  <si>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</si>
  <si>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</si>
  <si>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</si>
  <si>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</si>
  <si>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</si>
  <si>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</si>
  <si>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</si>
  <si>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</si>
  <si>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</si>
  <si>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</si>
  <si>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</si>
  <si>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</si>
  <si>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</si>
  <si>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</si>
  <si>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</si>
  <si>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</si>
  <si>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</si>
  <si>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</si>
  <si>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</si>
  <si>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</si>
  <si>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</si>
  <si>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</si>
  <si>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</si>
  <si>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</si>
  <si>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</si>
  <si>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</si>
  <si>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</si>
  <si>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</si>
  <si>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</si>
  <si>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</si>
  <si>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</si>
  <si>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</si>
  <si>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</si>
  <si>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</si>
  <si>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</si>
  <si>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</si>
  <si>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</si>
  <si>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</si>
  <si>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</si>
  <si>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</si>
  <si>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</si>
  <si>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</si>
  <si>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</si>
  <si>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</si>
  <si>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</si>
  <si>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性別</t>
    <rPh sb="0" eb="2">
      <t>セイベツ</t>
    </rPh>
    <phoneticPr fontId="22"/>
  </si>
  <si>
    <t>ピックアップ確率</t>
    <rPh sb="6" eb="8">
      <t>カクリツ</t>
    </rPh>
    <phoneticPr fontId="22"/>
  </si>
  <si>
    <t>確率</t>
    <rPh sb="0" eb="2">
      <t>カクリツ</t>
    </rPh>
    <phoneticPr fontId="22"/>
  </si>
  <si>
    <t>名前</t>
    <rPh sb="0" eb="2">
      <t>ナマエ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</si>
  <si>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</si>
  <si>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</si>
  <si>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</si>
  <si>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</si>
  <si>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table_no</t>
    <phoneticPr fontId="22"/>
  </si>
  <si>
    <t>table_no</t>
    <phoneticPr fontId="22"/>
  </si>
  <si>
    <t>level</t>
  </si>
  <si>
    <t>drop_label2</t>
    <phoneticPr fontId="22"/>
  </si>
  <si>
    <t>color2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</si>
  <si>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</si>
  <si>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</si>
  <si>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</si>
  <si>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</si>
  <si>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</si>
  <si>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</si>
  <si>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</si>
  <si>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</si>
  <si>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</si>
  <si>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</si>
  <si>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</si>
  <si>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</si>
  <si>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</si>
  <si>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</si>
  <si>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</si>
  <si>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</si>
  <si>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</si>
  <si>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</si>
  <si>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</si>
  <si>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</si>
  <si>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</si>
  <si>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</si>
  <si>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</si>
  <si>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</si>
  <si>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</si>
  <si>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</si>
  <si>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</si>
  <si>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</si>
  <si>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</si>
  <si>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</si>
  <si>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</si>
  <si>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</si>
  <si>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</si>
  <si>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</si>
  <si>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</si>
  <si>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</si>
  <si>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</si>
  <si>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</si>
  <si>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</si>
  <si>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</si>
  <si>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</si>
  <si>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</si>
  <si>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</si>
  <si>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</si>
  <si>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</si>
  <si>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</si>
  <si>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</si>
  <si>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</si>
  <si>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</si>
  <si>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</si>
  <si>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</si>
  <si>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</si>
  <si>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</si>
  <si>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</si>
  <si>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</si>
  <si>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</si>
  <si>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</si>
  <si>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</si>
  <si>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</si>
  <si>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</si>
  <si>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</si>
  <si>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</si>
  <si>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</si>
  <si>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</si>
  <si>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</si>
  <si>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</si>
  <si>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</si>
  <si>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</si>
  <si>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</si>
  <si>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</si>
  <si>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</si>
  <si>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</si>
  <si>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</si>
  <si>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</si>
  <si>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</si>
  <si>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</si>
  <si>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</si>
  <si>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</si>
  <si>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</si>
  <si>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</si>
  <si>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</si>
  <si>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</si>
  <si>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</si>
  <si>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</si>
  <si>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</si>
  <si>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</si>
  <si>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</si>
  <si>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</si>
  <si>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</si>
  <si>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</si>
  <si>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</si>
  <si>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</si>
  <si>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</si>
  <si>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</si>
  <si>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</si>
  <si>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</si>
  <si>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</si>
  <si>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</si>
  <si>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</si>
  <si>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</si>
  <si>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</si>
  <si>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</si>
  <si>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</si>
  <si>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</si>
  <si>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</si>
  <si>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</si>
  <si>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</si>
  <si>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skip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</si>
  <si>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</si>
  <si>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</si>
  <si>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</si>
  <si>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</si>
  <si>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</si>
  <si>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tables_settle_426104</t>
    <phoneticPr fontId="22"/>
  </si>
  <si>
    <t>tables_settle_426105</t>
    <phoneticPr fontId="22"/>
  </si>
  <si>
    <t>tables_426101</t>
    <phoneticPr fontId="22"/>
  </si>
  <si>
    <t>tables_7307</t>
    <phoneticPr fontId="22"/>
  </si>
  <si>
    <t>skill_level</t>
    <phoneticPr fontId="22"/>
  </si>
  <si>
    <t>skill_level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</si>
</sst>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9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58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3" xfId="0" applyFont="1" applyFill="1" applyBorder="1" applyAlignment="1">
      <alignment horizontal="right" vertical="center"/>
    </xf>
    <xf numFmtId="0" fontId="27" fillId="2" borderId="1" xfId="2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1" borderId="1" xfId="2978" applyFont="1" applyFill="1" applyBorder="1"/>
    <xf numFmtId="0" fontId="15" fillId="21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1" borderId="1" xfId="0" applyFont="1" applyFill="1" applyBorder="1"/>
    <xf numFmtId="0" fontId="54" fillId="22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12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26" fillId="23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0" fontId="8" fillId="0" borderId="0" xfId="3662" applyFont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6" fillId="4" borderId="1" xfId="2978" applyFont="1" applyFill="1" applyBorder="1"/>
    <xf numFmtId="0" fontId="6" fillId="0" borderId="1" xfId="3036" applyFont="1" applyBorder="1"/>
    <xf numFmtId="0" fontId="0" fillId="0" borderId="0" xfId="0" applyFill="1" applyBorder="1"/>
    <xf numFmtId="176" fontId="0" fillId="0" borderId="0" xfId="3575" applyNumberFormat="1" applyFont="1" applyFill="1" applyBorder="1"/>
    <xf numFmtId="0" fontId="54" fillId="0" borderId="0" xfId="0" applyFont="1" applyFill="1" applyBorder="1" applyAlignment="1">
      <alignment vertical="center"/>
    </xf>
    <xf numFmtId="0" fontId="5" fillId="0" borderId="1" xfId="2978" applyFont="1" applyBorder="1"/>
    <xf numFmtId="0" fontId="5" fillId="4" borderId="1" xfId="2978" applyFont="1" applyFill="1" applyBorder="1"/>
    <xf numFmtId="0" fontId="4" fillId="4" borderId="1" xfId="2978" applyFont="1" applyFill="1" applyBorder="1"/>
    <xf numFmtId="0" fontId="3" fillId="4" borderId="1" xfId="2978" applyFont="1" applyFill="1" applyBorder="1"/>
    <xf numFmtId="0" fontId="2" fillId="2" borderId="1" xfId="19" applyFont="1" applyFill="1" applyBorder="1"/>
  </cellXfs>
  <cellStyles count="3669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シャルルR6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/>
          <cell r="E1187"/>
          <cell r="F1187"/>
          <cell r="G1187"/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/>
          <cell r="E1188"/>
          <cell r="F1188"/>
          <cell r="G1188"/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/>
          <cell r="E1189"/>
          <cell r="F1189"/>
          <cell r="G1189"/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/>
          <cell r="E1190"/>
          <cell r="F1190"/>
          <cell r="G1190"/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/>
          <cell r="E1191"/>
          <cell r="F1191"/>
          <cell r="G1191"/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/>
          <cell r="E1201"/>
          <cell r="F1201"/>
          <cell r="G1201"/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/>
          <cell r="E1202"/>
          <cell r="F1202"/>
          <cell r="G1202"/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/>
          <cell r="E1203"/>
          <cell r="F1203"/>
          <cell r="G1203"/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/>
          <cell r="E1204"/>
          <cell r="F1204"/>
          <cell r="G1204"/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/>
          <cell r="E1205"/>
          <cell r="F1205"/>
          <cell r="G1205"/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/>
          <cell r="E1206"/>
          <cell r="F1206"/>
          <cell r="G1206"/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/>
          <cell r="E1207"/>
          <cell r="F1207"/>
          <cell r="G1207"/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/>
          <cell r="E1208"/>
          <cell r="F1208"/>
          <cell r="G1208"/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/>
          <cell r="E1209"/>
          <cell r="F1209"/>
          <cell r="G1209"/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/>
          <cell r="E1210"/>
          <cell r="F1210"/>
          <cell r="G1210"/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/>
          <cell r="E1211"/>
          <cell r="F1211"/>
          <cell r="G1211"/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/>
          <cell r="E1212"/>
          <cell r="F1212"/>
          <cell r="G1212"/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/>
          <cell r="E1213"/>
          <cell r="F1213"/>
          <cell r="G1213"/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/>
          <cell r="E1214"/>
          <cell r="F1214"/>
          <cell r="G1214"/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/>
          <cell r="E1215"/>
          <cell r="F1215"/>
          <cell r="G1215"/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/>
          <cell r="E1216"/>
          <cell r="F1216"/>
          <cell r="G1216"/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/>
          <cell r="E1217"/>
          <cell r="F1217"/>
          <cell r="G1217"/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/>
          <cell r="E1218"/>
          <cell r="F1218"/>
          <cell r="G1218"/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/>
          <cell r="E1219"/>
          <cell r="F1219"/>
          <cell r="G1219"/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/>
          <cell r="E1220"/>
          <cell r="F1220"/>
          <cell r="G1220"/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/>
          <cell r="E1221"/>
          <cell r="F1221"/>
          <cell r="G1221"/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/>
          <cell r="E1222"/>
          <cell r="F1222"/>
          <cell r="G1222"/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/>
          <cell r="E1223"/>
          <cell r="F1223"/>
          <cell r="G1223"/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/>
          <cell r="E1224"/>
          <cell r="F1224"/>
          <cell r="G1224"/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/>
          <cell r="E1225"/>
          <cell r="F1225"/>
          <cell r="G1225"/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/>
          <cell r="E1226"/>
          <cell r="F1226"/>
          <cell r="G1226"/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/>
          <cell r="E1227"/>
          <cell r="F1227"/>
          <cell r="G1227"/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/>
          <cell r="E1228"/>
          <cell r="F1228"/>
          <cell r="G1228"/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/>
          <cell r="E1229"/>
          <cell r="F1229"/>
          <cell r="G1229"/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/>
          <cell r="E1230"/>
          <cell r="F1230"/>
          <cell r="G1230"/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/>
          <cell r="E1231"/>
          <cell r="F1231"/>
          <cell r="G1231"/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/>
          <cell r="E1232"/>
          <cell r="F1232"/>
          <cell r="G1232"/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/>
          <cell r="E1233"/>
          <cell r="F1233"/>
          <cell r="G1233"/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/>
          <cell r="E1234"/>
          <cell r="F1234"/>
          <cell r="G1234"/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/>
          <cell r="E1235"/>
          <cell r="F1235"/>
          <cell r="G1235"/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/>
          <cell r="E1236"/>
          <cell r="F1236"/>
          <cell r="G1236"/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/>
          <cell r="E1237"/>
          <cell r="F1237"/>
          <cell r="G1237"/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/>
          <cell r="E1238"/>
          <cell r="F1238"/>
          <cell r="G1238"/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/>
          <cell r="E1239"/>
          <cell r="F1239"/>
          <cell r="G1239"/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/>
          <cell r="E1240"/>
          <cell r="F1240"/>
          <cell r="G1240"/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/>
          <cell r="E1241"/>
          <cell r="F1241"/>
          <cell r="G1241"/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/>
          <cell r="E1242"/>
          <cell r="F1242"/>
          <cell r="G1242"/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/>
          <cell r="E1243"/>
          <cell r="F1243"/>
          <cell r="G1243"/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/>
          <cell r="E1244"/>
          <cell r="F1244"/>
          <cell r="G1244"/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/>
          <cell r="E1245"/>
          <cell r="F1245"/>
          <cell r="G1245"/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/>
          <cell r="E1246"/>
          <cell r="F1246"/>
          <cell r="G1246"/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/>
          <cell r="E1247"/>
          <cell r="F1247"/>
          <cell r="G1247"/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/>
          <cell r="E1248"/>
          <cell r="F1248"/>
          <cell r="G1248"/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/>
          <cell r="E1249"/>
          <cell r="F1249"/>
          <cell r="G1249"/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/>
          <cell r="E1250"/>
          <cell r="F1250"/>
          <cell r="G1250"/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/>
          <cell r="E1251"/>
          <cell r="F1251"/>
          <cell r="G1251"/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/>
          <cell r="E1252"/>
          <cell r="F1252"/>
          <cell r="G1252"/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/>
          <cell r="E1253"/>
          <cell r="F1253"/>
          <cell r="G1253"/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/>
          <cell r="E1254"/>
          <cell r="F1254"/>
          <cell r="G1254"/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/>
          <cell r="E1255"/>
          <cell r="F1255"/>
          <cell r="G1255"/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/>
          <cell r="E1256"/>
          <cell r="F1256"/>
          <cell r="G1256"/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/>
          <cell r="E1257"/>
          <cell r="F1257"/>
          <cell r="G1257"/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/>
          <cell r="E1258"/>
          <cell r="F1258"/>
          <cell r="G1258"/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/>
          <cell r="E1259"/>
          <cell r="F1259"/>
          <cell r="G1259"/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/>
          <cell r="E1260"/>
          <cell r="F1260"/>
          <cell r="G1260"/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/>
          <cell r="E1261"/>
          <cell r="F1261"/>
          <cell r="G1261"/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/>
          <cell r="E1262"/>
          <cell r="F1262"/>
          <cell r="G1262"/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/>
          <cell r="E1263"/>
          <cell r="F1263"/>
          <cell r="G1263"/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/>
          <cell r="E1264"/>
          <cell r="F1264"/>
          <cell r="G1264"/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/>
          <cell r="E1265"/>
          <cell r="F1265"/>
          <cell r="G1265"/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/>
          <cell r="E1266"/>
          <cell r="F1266"/>
          <cell r="G1266"/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/>
          <cell r="E1267"/>
          <cell r="F1267"/>
          <cell r="G1267"/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/>
          <cell r="E1268"/>
          <cell r="F1268"/>
          <cell r="G1268"/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/>
          <cell r="E1269"/>
          <cell r="F1269"/>
          <cell r="G1269"/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/>
          <cell r="E1270"/>
          <cell r="F1270"/>
          <cell r="G1270"/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/>
          <cell r="E1271"/>
          <cell r="F1271"/>
          <cell r="G1271"/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/>
          <cell r="E1272"/>
          <cell r="F1272"/>
          <cell r="G1272"/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/>
          <cell r="E1273"/>
          <cell r="F1273"/>
          <cell r="G1273"/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/>
          <cell r="E1274"/>
          <cell r="F1274"/>
          <cell r="G1274"/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/>
          <cell r="E1275"/>
          <cell r="F1275"/>
          <cell r="G1275"/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/>
          <cell r="E1276"/>
          <cell r="F1276"/>
          <cell r="G1276"/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/>
          <cell r="E1277"/>
          <cell r="F1277"/>
          <cell r="G1277"/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/>
          <cell r="E1278"/>
          <cell r="F1278"/>
          <cell r="G1278"/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/>
          <cell r="E1279"/>
          <cell r="F1279"/>
          <cell r="G1279"/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/>
          <cell r="E1280"/>
          <cell r="F1280"/>
          <cell r="G1280"/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/>
          <cell r="E1281"/>
          <cell r="F1281"/>
          <cell r="G1281"/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/>
          <cell r="E1282"/>
          <cell r="F1282"/>
          <cell r="G1282"/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/>
          <cell r="E1283"/>
          <cell r="F1283"/>
          <cell r="G1283"/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/>
          <cell r="E1284"/>
          <cell r="F1284"/>
          <cell r="G1284"/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/>
          <cell r="E1285"/>
          <cell r="F1285"/>
          <cell r="G1285"/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/>
          <cell r="E1286"/>
          <cell r="F1286"/>
          <cell r="G1286"/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/>
          <cell r="E1287"/>
          <cell r="F1287"/>
          <cell r="G1287"/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/>
          <cell r="E1288"/>
          <cell r="F1288"/>
          <cell r="G1288"/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/>
          <cell r="E1289"/>
          <cell r="F1289"/>
          <cell r="G1289"/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/>
          <cell r="E1290"/>
          <cell r="F1290"/>
          <cell r="G1290"/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/>
          <cell r="E1291"/>
          <cell r="F1291"/>
          <cell r="G1291"/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/>
          <cell r="E1292"/>
          <cell r="F1292"/>
          <cell r="G1292"/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/>
          <cell r="E1293"/>
          <cell r="F1293"/>
          <cell r="G1293"/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/>
          <cell r="E1294"/>
          <cell r="F1294"/>
          <cell r="G1294"/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/>
          <cell r="E1295"/>
          <cell r="F1295"/>
          <cell r="G1295"/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/>
          <cell r="E1296"/>
          <cell r="F1296"/>
          <cell r="G1296"/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/>
          <cell r="E1297"/>
          <cell r="F1297"/>
          <cell r="G1297"/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/>
          <cell r="E1298"/>
          <cell r="F1298"/>
          <cell r="G1298"/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/>
          <cell r="E1299"/>
          <cell r="F1299"/>
          <cell r="G1299"/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/>
          <cell r="E1300"/>
          <cell r="F1300"/>
          <cell r="G1300"/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/>
          <cell r="E1301"/>
          <cell r="F1301"/>
          <cell r="G1301"/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/>
          <cell r="E1302"/>
          <cell r="F1302"/>
          <cell r="G1302"/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/>
          <cell r="E1303"/>
          <cell r="F1303"/>
          <cell r="G1303"/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/>
          <cell r="E1304"/>
          <cell r="F1304"/>
          <cell r="G1304"/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/>
          <cell r="E1305"/>
          <cell r="F1305"/>
          <cell r="G1305"/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/>
          <cell r="E1306"/>
          <cell r="F1306"/>
          <cell r="G1306"/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/>
          <cell r="E1307"/>
          <cell r="F1307"/>
          <cell r="G1307"/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/>
          <cell r="E1308"/>
          <cell r="F1308"/>
          <cell r="G1308"/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/>
          <cell r="E1309"/>
          <cell r="F1309"/>
          <cell r="G1309"/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/>
          <cell r="E1310"/>
          <cell r="F1310"/>
          <cell r="G1310"/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/>
          <cell r="E1311"/>
          <cell r="F1311"/>
          <cell r="G1311"/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/>
          <cell r="E1312"/>
          <cell r="F1312"/>
          <cell r="G1312"/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/>
          <cell r="E1313"/>
          <cell r="F1313"/>
          <cell r="G1313"/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/>
          <cell r="E1314"/>
          <cell r="F1314"/>
          <cell r="G1314"/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/>
          <cell r="E1315"/>
          <cell r="F1315"/>
          <cell r="G1315"/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/>
          <cell r="E1316"/>
          <cell r="F1316"/>
          <cell r="G1316"/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/>
          <cell r="E1317"/>
          <cell r="F1317"/>
          <cell r="G1317"/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/>
          <cell r="E1318"/>
          <cell r="F1318"/>
          <cell r="G1318"/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/>
          <cell r="E1319"/>
          <cell r="F1319"/>
          <cell r="G1319"/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/>
          <cell r="E1320"/>
          <cell r="F1320"/>
          <cell r="G1320"/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/>
          <cell r="E1321"/>
          <cell r="F1321"/>
          <cell r="G1321"/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/>
          <cell r="E1322"/>
          <cell r="F1322"/>
          <cell r="G1322"/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/>
          <cell r="E1323"/>
          <cell r="F1323"/>
          <cell r="G1323"/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/>
          <cell r="E1324"/>
          <cell r="F1324"/>
          <cell r="G1324"/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/>
          <cell r="E1325"/>
          <cell r="F1325"/>
          <cell r="G1325"/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/>
          <cell r="E1326"/>
          <cell r="F1326"/>
          <cell r="G1326"/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/>
          <cell r="E1327"/>
          <cell r="F1327"/>
          <cell r="G1327"/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/>
          <cell r="E1328"/>
          <cell r="F1328"/>
          <cell r="G1328"/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/>
          <cell r="E1329"/>
          <cell r="F1329"/>
          <cell r="G1329"/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/>
          <cell r="E1330"/>
          <cell r="F1330"/>
          <cell r="G1330"/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/>
          <cell r="E1331"/>
          <cell r="F1331"/>
          <cell r="G1331"/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/>
          <cell r="E1332"/>
          <cell r="F1332"/>
          <cell r="G1332"/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/>
          <cell r="E1333"/>
          <cell r="F1333"/>
          <cell r="G1333"/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/>
          <cell r="E1334"/>
          <cell r="F1334"/>
          <cell r="G1334"/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/>
          <cell r="E1335"/>
          <cell r="F1335"/>
          <cell r="G1335"/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/>
          <cell r="E1336"/>
          <cell r="F1336"/>
          <cell r="G1336"/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/>
          <cell r="E1337"/>
          <cell r="F1337"/>
          <cell r="G1337"/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/>
          <cell r="E1338"/>
          <cell r="F1338"/>
          <cell r="G1338"/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/>
          <cell r="E1339"/>
          <cell r="F1339"/>
          <cell r="G1339"/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/>
          <cell r="E1340"/>
          <cell r="F1340"/>
          <cell r="G1340"/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/>
          <cell r="E1341"/>
          <cell r="F1341"/>
          <cell r="G1341"/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/>
          <cell r="E1342"/>
          <cell r="F1342"/>
          <cell r="G1342"/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/>
          <cell r="E1343"/>
          <cell r="F1343"/>
          <cell r="G1343"/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/>
          <cell r="E1344"/>
          <cell r="F1344"/>
          <cell r="G1344"/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D1345"/>
          <cell r="E1345"/>
          <cell r="F1345"/>
          <cell r="G1345"/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D1346"/>
          <cell r="E1346"/>
          <cell r="F1346"/>
          <cell r="G1346"/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/>
          <cell r="E1347"/>
          <cell r="F1347"/>
          <cell r="G1347"/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/>
          <cell r="E1348"/>
          <cell r="F1348"/>
          <cell r="G1348"/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D1349"/>
          <cell r="E1349"/>
          <cell r="F1349"/>
          <cell r="G1349"/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D1350"/>
          <cell r="E1350"/>
          <cell r="F1350"/>
          <cell r="G1350"/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/>
          <cell r="E1351"/>
          <cell r="F1351"/>
          <cell r="G1351"/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/>
          <cell r="E1352"/>
          <cell r="F1352"/>
          <cell r="G1352"/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/>
          <cell r="E1353"/>
          <cell r="F1353"/>
          <cell r="G1353"/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/>
          <cell r="E1354"/>
          <cell r="F1354"/>
          <cell r="G1354"/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/>
          <cell r="E1355"/>
          <cell r="F1355"/>
          <cell r="G1355"/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/>
          <cell r="E1356"/>
          <cell r="F1356"/>
          <cell r="G1356"/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/>
          <cell r="E1357"/>
          <cell r="F1357"/>
          <cell r="G1357"/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/>
          <cell r="E1358"/>
          <cell r="F1358"/>
          <cell r="G1358"/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/>
          <cell r="E1359"/>
          <cell r="F1359"/>
          <cell r="G1359"/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/>
          <cell r="E1360"/>
          <cell r="F1360"/>
          <cell r="G1360"/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/>
          <cell r="E1361"/>
          <cell r="F1361"/>
          <cell r="G1361"/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/>
          <cell r="E1362"/>
          <cell r="F1362"/>
          <cell r="G1362"/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/>
          <cell r="E1363"/>
          <cell r="F1363"/>
          <cell r="G1363"/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/>
          <cell r="E1364"/>
          <cell r="F1364"/>
          <cell r="G1364"/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/>
          <cell r="E1365"/>
          <cell r="F1365"/>
          <cell r="G1365"/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/>
          <cell r="E1366"/>
          <cell r="F1366"/>
          <cell r="G1366"/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/>
          <cell r="E1367"/>
          <cell r="F1367"/>
          <cell r="G1367"/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/>
          <cell r="E1368"/>
          <cell r="F1368"/>
          <cell r="G1368"/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/>
          <cell r="E1369"/>
          <cell r="F1369"/>
          <cell r="G1369"/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/>
          <cell r="E1370"/>
          <cell r="F1370"/>
          <cell r="G1370"/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/>
          <cell r="E1371"/>
          <cell r="F1371"/>
          <cell r="G1371"/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/>
          <cell r="E1372"/>
          <cell r="F1372"/>
          <cell r="G1372"/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/>
          <cell r="E1373"/>
          <cell r="F1373"/>
          <cell r="G1373"/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/>
          <cell r="E1374"/>
          <cell r="F1374"/>
          <cell r="G1374"/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/>
          <cell r="E1375"/>
          <cell r="F1375"/>
          <cell r="G1375"/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/>
          <cell r="E1376"/>
          <cell r="F1376"/>
          <cell r="G1376"/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/>
          <cell r="E1377"/>
          <cell r="F1377"/>
          <cell r="G1377"/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/>
          <cell r="E1378"/>
          <cell r="F1378"/>
          <cell r="G1378"/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/>
          <cell r="E1379"/>
          <cell r="F1379"/>
          <cell r="G1379"/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/>
          <cell r="E1380"/>
          <cell r="F1380"/>
          <cell r="G1380"/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/>
          <cell r="E1381"/>
          <cell r="F1381"/>
          <cell r="G1381"/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D1382"/>
          <cell r="E1382"/>
          <cell r="F1382"/>
          <cell r="G1382"/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D1383"/>
          <cell r="E1383"/>
          <cell r="F1383"/>
          <cell r="G1383"/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D1384"/>
          <cell r="E1384"/>
          <cell r="F1384"/>
          <cell r="G1384"/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D1385"/>
          <cell r="E1385"/>
          <cell r="F1385"/>
          <cell r="G1385"/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D1386"/>
          <cell r="E1386"/>
          <cell r="F1386"/>
          <cell r="G1386"/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D1387"/>
          <cell r="E1387"/>
          <cell r="F1387"/>
          <cell r="G1387"/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D1388"/>
          <cell r="E1388"/>
          <cell r="F1388"/>
          <cell r="G1388"/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D1393"/>
          <cell r="E1393"/>
          <cell r="F1393"/>
          <cell r="G1393"/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D1394"/>
          <cell r="E1394"/>
          <cell r="F1394"/>
          <cell r="G1394"/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D1395"/>
          <cell r="E1395"/>
          <cell r="F1395"/>
          <cell r="G1395"/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D1396"/>
          <cell r="E1396"/>
          <cell r="F1396"/>
          <cell r="G1396"/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D1397"/>
          <cell r="E1397"/>
          <cell r="F1397"/>
          <cell r="G1397"/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D1398"/>
          <cell r="E1398"/>
          <cell r="F1398"/>
          <cell r="G1398"/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D1399"/>
          <cell r="E1399"/>
          <cell r="F1399"/>
          <cell r="G1399"/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1452</v>
          </cell>
          <cell r="B1405" t="str">
            <v>ja</v>
          </cell>
          <cell r="C1405" t="str">
            <v>メルセンヌ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5</v>
          </cell>
          <cell r="J1405" t="str">
            <v>PremiumSSS</v>
          </cell>
          <cell r="K1405" t="str">
            <v>hp</v>
          </cell>
          <cell r="L1405" t="str">
            <v>体力タイプ</v>
          </cell>
          <cell r="M1405" t="str">
            <v>academia</v>
          </cell>
        </row>
        <row r="1406">
          <cell r="A1406">
            <v>1453</v>
          </cell>
          <cell r="B1406" t="str">
            <v>ja</v>
          </cell>
          <cell r="C1406" t="str">
            <v>数解の自鳴琴 メルセンヌ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6</v>
          </cell>
          <cell r="J1406" t="str">
            <v>PremiumSSS</v>
          </cell>
          <cell r="K1406" t="str">
            <v>hp</v>
          </cell>
          <cell r="L1406" t="str">
            <v>体力タイプ</v>
          </cell>
          <cell r="M1406" t="str">
            <v>academia</v>
          </cell>
        </row>
        <row r="1407">
          <cell r="A1407">
            <v>1454</v>
          </cell>
          <cell r="B1407" t="str">
            <v>ja</v>
          </cell>
          <cell r="C1407" t="str">
            <v>ストレングス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PremiumSSS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1455</v>
          </cell>
          <cell r="B1408" t="str">
            <v>ja</v>
          </cell>
          <cell r="C1408" t="str">
            <v>豪毅なる征獣師 ストレングス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god</v>
          </cell>
        </row>
        <row r="1409">
          <cell r="A1409">
            <v>1456</v>
          </cell>
          <cell r="B1409" t="str">
            <v>ja</v>
          </cell>
          <cell r="C1409" t="str">
            <v>ネセバル</v>
          </cell>
          <cell r="D1409"/>
          <cell r="E1409"/>
          <cell r="F1409"/>
          <cell r="G1409"/>
          <cell r="H1409" t="str">
            <v>blue</v>
          </cell>
          <cell r="I1409">
            <v>5</v>
          </cell>
          <cell r="J1409" t="str">
            <v>PremiumSSw</v>
          </cell>
          <cell r="K1409" t="str">
            <v>attack</v>
          </cell>
          <cell r="L1409" t="str">
            <v>攻撃タイプ</v>
          </cell>
          <cell r="M1409" t="str">
            <v>hero</v>
          </cell>
        </row>
        <row r="1410">
          <cell r="A1410">
            <v>1457</v>
          </cell>
          <cell r="B1410" t="str">
            <v>ja</v>
          </cell>
          <cell r="C1410" t="str">
            <v>碧影の聖跡 ネセバル</v>
          </cell>
          <cell r="D1410"/>
          <cell r="E1410"/>
          <cell r="F1410"/>
          <cell r="G1410"/>
          <cell r="H1410" t="str">
            <v>blue</v>
          </cell>
          <cell r="I1410">
            <v>6</v>
          </cell>
          <cell r="J1410" t="str">
            <v>PremiumSSw</v>
          </cell>
          <cell r="K1410" t="str">
            <v>attack</v>
          </cell>
          <cell r="L1410" t="str">
            <v>攻撃タイプ</v>
          </cell>
          <cell r="M1410" t="str">
            <v>hero</v>
          </cell>
        </row>
        <row r="1411">
          <cell r="A1411">
            <v>1458</v>
          </cell>
          <cell r="B1411" t="str">
            <v>ja</v>
          </cell>
          <cell r="C1411" t="str">
            <v>diamond01</v>
          </cell>
          <cell r="D1411"/>
          <cell r="E1411"/>
          <cell r="F1411"/>
          <cell r="G1411"/>
          <cell r="H1411" t="str">
            <v>red</v>
          </cell>
          <cell r="I1411">
            <v>5</v>
          </cell>
          <cell r="J1411" t="str">
            <v>PremiumSS</v>
          </cell>
          <cell r="K1411" t="str">
            <v>attack</v>
          </cell>
          <cell r="L1411" t="str">
            <v>攻撃タイプ</v>
          </cell>
          <cell r="M1411" t="str">
            <v>human</v>
          </cell>
        </row>
        <row r="1412">
          <cell r="A1412">
            <v>1459</v>
          </cell>
          <cell r="B1412" t="str">
            <v>ja</v>
          </cell>
          <cell r="C1412" t="str">
            <v>diamond02</v>
          </cell>
          <cell r="D1412"/>
          <cell r="E1412"/>
          <cell r="F1412"/>
          <cell r="G1412"/>
          <cell r="H1412" t="str">
            <v>red</v>
          </cell>
          <cell r="I1412">
            <v>6</v>
          </cell>
          <cell r="J1412" t="str">
            <v>PremiumSS</v>
          </cell>
          <cell r="K1412" t="str">
            <v>attack</v>
          </cell>
          <cell r="L1412" t="str">
            <v>攻撃タイプ</v>
          </cell>
          <cell r="M1412" t="str">
            <v>human</v>
          </cell>
        </row>
        <row r="1413">
          <cell r="A1413">
            <v>1460</v>
          </cell>
          <cell r="B1413" t="str">
            <v>ja</v>
          </cell>
          <cell r="C1413" t="str">
            <v>opal01</v>
          </cell>
          <cell r="D1413"/>
          <cell r="E1413"/>
          <cell r="F1413"/>
          <cell r="G1413"/>
          <cell r="H1413" t="str">
            <v>blue</v>
          </cell>
          <cell r="I1413">
            <v>4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human</v>
          </cell>
        </row>
        <row r="1414">
          <cell r="A1414">
            <v>1461</v>
          </cell>
          <cell r="B1414" t="str">
            <v>ja</v>
          </cell>
          <cell r="C1414" t="str">
            <v>opal02</v>
          </cell>
          <cell r="D1414"/>
          <cell r="E1414"/>
          <cell r="F1414"/>
          <cell r="G1414"/>
          <cell r="H1414" t="str">
            <v>blue</v>
          </cell>
          <cell r="I1414">
            <v>5</v>
          </cell>
          <cell r="J1414" t="str">
            <v>PremiumS</v>
          </cell>
          <cell r="K1414" t="str">
            <v>balance</v>
          </cell>
          <cell r="L1414" t="str">
            <v>バランスタイプ</v>
          </cell>
          <cell r="M1414" t="str">
            <v>human</v>
          </cell>
        </row>
        <row r="1415">
          <cell r="A1415">
            <v>1462</v>
          </cell>
          <cell r="B1415" t="str">
            <v>ja</v>
          </cell>
          <cell r="C1415" t="str">
            <v>ruby01</v>
          </cell>
          <cell r="D1415"/>
          <cell r="E1415"/>
          <cell r="F1415"/>
          <cell r="G1415"/>
          <cell r="H1415" t="str">
            <v>yellow</v>
          </cell>
          <cell r="I1415">
            <v>5</v>
          </cell>
          <cell r="J1415" t="str">
            <v>PremiumSS</v>
          </cell>
          <cell r="K1415" t="str">
            <v>technical</v>
          </cell>
          <cell r="L1415" t="str">
            <v>テクニカルタイプ</v>
          </cell>
          <cell r="M1415" t="str">
            <v>human</v>
          </cell>
        </row>
        <row r="1416">
          <cell r="A1416">
            <v>1463</v>
          </cell>
          <cell r="B1416" t="str">
            <v>ja</v>
          </cell>
          <cell r="C1416" t="str">
            <v>ruby02</v>
          </cell>
          <cell r="D1416"/>
          <cell r="E1416"/>
          <cell r="F1416"/>
          <cell r="G1416"/>
          <cell r="H1416" t="str">
            <v>yellow</v>
          </cell>
          <cell r="I1416">
            <v>6</v>
          </cell>
          <cell r="J1416" t="str">
            <v>PremiumSS</v>
          </cell>
          <cell r="K1416" t="str">
            <v>technical</v>
          </cell>
          <cell r="L1416" t="str">
            <v>テクニカルタイプ</v>
          </cell>
          <cell r="M1416" t="str">
            <v>human</v>
          </cell>
        </row>
        <row r="1417">
          <cell r="A1417">
            <v>1464</v>
          </cell>
          <cell r="B1417" t="str">
            <v>ja</v>
          </cell>
          <cell r="C1417" t="str">
            <v>garnet01</v>
          </cell>
          <cell r="D1417"/>
          <cell r="E1417"/>
          <cell r="F1417"/>
          <cell r="G1417"/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hp</v>
          </cell>
          <cell r="L1417" t="str">
            <v>体力タイプ</v>
          </cell>
          <cell r="M1417" t="str">
            <v>human</v>
          </cell>
        </row>
        <row r="1418">
          <cell r="A1418">
            <v>1465</v>
          </cell>
          <cell r="B1418" t="str">
            <v>ja</v>
          </cell>
          <cell r="C1418" t="str">
            <v>garnet02</v>
          </cell>
          <cell r="D1418"/>
          <cell r="E1418"/>
          <cell r="F1418"/>
          <cell r="G1418"/>
          <cell r="H1418" t="str">
            <v>yellow</v>
          </cell>
          <cell r="I1418">
            <v>6</v>
          </cell>
          <cell r="J1418" t="str">
            <v>PremiumSS</v>
          </cell>
          <cell r="K1418" t="str">
            <v>hp</v>
          </cell>
          <cell r="L1418" t="str">
            <v>体力タイプ</v>
          </cell>
          <cell r="M1418" t="str">
            <v>human</v>
          </cell>
        </row>
        <row r="1419">
          <cell r="A1419">
            <v>1466</v>
          </cell>
          <cell r="B1419" t="str">
            <v>ja</v>
          </cell>
          <cell r="C1419" t="str">
            <v>sapphire01</v>
          </cell>
          <cell r="D1419"/>
          <cell r="E1419"/>
          <cell r="F1419"/>
          <cell r="G1419"/>
          <cell r="H1419" t="str">
            <v>blue</v>
          </cell>
          <cell r="I1419">
            <v>5</v>
          </cell>
          <cell r="J1419" t="str">
            <v>DropWizS</v>
          </cell>
          <cell r="K1419" t="str">
            <v>attack</v>
          </cell>
          <cell r="L1419" t="str">
            <v>攻撃タイプ</v>
          </cell>
          <cell r="M1419" t="str">
            <v>human</v>
          </cell>
        </row>
        <row r="1420">
          <cell r="A1420">
            <v>1467</v>
          </cell>
          <cell r="B1420" t="str">
            <v>ja</v>
          </cell>
          <cell r="C1420" t="str">
            <v>sapphire02</v>
          </cell>
          <cell r="D1420"/>
          <cell r="E1420"/>
          <cell r="F1420"/>
          <cell r="G1420"/>
          <cell r="H1420" t="str">
            <v>blue</v>
          </cell>
          <cell r="I1420">
            <v>6</v>
          </cell>
          <cell r="J1420" t="str">
            <v>DropWizS</v>
          </cell>
          <cell r="K1420" t="str">
            <v>attack</v>
          </cell>
          <cell r="L1420" t="str">
            <v>攻撃タイプ</v>
          </cell>
          <cell r="M1420" t="str">
            <v>human</v>
          </cell>
        </row>
        <row r="1421">
          <cell r="A1421">
            <v>1468</v>
          </cell>
          <cell r="B1421" t="str">
            <v>ja</v>
          </cell>
          <cell r="C1421" t="str">
            <v>emerald01</v>
          </cell>
          <cell r="D1421"/>
          <cell r="E1421"/>
          <cell r="F1421"/>
          <cell r="G1421"/>
          <cell r="H1421" t="str">
            <v>green</v>
          </cell>
          <cell r="I1421">
            <v>5</v>
          </cell>
          <cell r="J1421" t="str">
            <v>Drop2N</v>
          </cell>
          <cell r="K1421" t="str">
            <v>attack</v>
          </cell>
          <cell r="L1421" t="str">
            <v>攻撃タイプ</v>
          </cell>
          <cell r="M1421" t="str">
            <v>unknown</v>
          </cell>
        </row>
        <row r="1422">
          <cell r="A1422">
            <v>1469</v>
          </cell>
          <cell r="B1422" t="str">
            <v>ja</v>
          </cell>
          <cell r="C1422" t="str">
            <v>aquamarine01</v>
          </cell>
          <cell r="D1422"/>
          <cell r="E1422"/>
          <cell r="F1422"/>
          <cell r="G1422"/>
          <cell r="H1422" t="str">
            <v>yellow</v>
          </cell>
          <cell r="I1422">
            <v>5</v>
          </cell>
          <cell r="J1422" t="str">
            <v>Drop2N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1470</v>
          </cell>
          <cell r="B1423" t="str">
            <v>ja</v>
          </cell>
          <cell r="C1423" t="str">
            <v>amethyst01</v>
          </cell>
          <cell r="D1423"/>
          <cell r="E1423"/>
          <cell r="F1423"/>
          <cell r="G1423"/>
          <cell r="H1423" t="str">
            <v>red</v>
          </cell>
          <cell r="I1423">
            <v>5</v>
          </cell>
          <cell r="J1423" t="str">
            <v>Drop2N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1488</v>
          </cell>
          <cell r="B1424" t="str">
            <v>ja</v>
          </cell>
          <cell r="C1424" t="str">
            <v>バクR5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green</v>
          </cell>
          <cell r="I1424">
            <v>5</v>
          </cell>
          <cell r="J1424" t="str">
            <v>PremiumSSS</v>
          </cell>
          <cell r="K1424" t="str">
            <v>attack</v>
          </cell>
          <cell r="L1424" t="str">
            <v>攻撃タイプ</v>
          </cell>
          <cell r="M1424" t="str">
            <v>academia</v>
          </cell>
        </row>
        <row r="1425">
          <cell r="A1425">
            <v>1489</v>
          </cell>
          <cell r="B1425" t="str">
            <v>ja</v>
          </cell>
          <cell r="C1425" t="str">
            <v>バクR6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green</v>
          </cell>
          <cell r="I1425">
            <v>6</v>
          </cell>
          <cell r="J1425" t="str">
            <v>PremiumSSS</v>
          </cell>
          <cell r="K1425" t="str">
            <v>attack</v>
          </cell>
          <cell r="L1425" t="str">
            <v>攻撃タイプ</v>
          </cell>
          <cell r="M1425" t="str">
            <v>academia</v>
          </cell>
        </row>
        <row r="1426">
          <cell r="A1426">
            <v>1497</v>
          </cell>
          <cell r="B1426" t="str">
            <v>ja</v>
          </cell>
          <cell r="C1426" t="str">
            <v>ヨシノ</v>
          </cell>
          <cell r="D1426"/>
          <cell r="E1426"/>
          <cell r="F1426"/>
          <cell r="G1426"/>
          <cell r="H1426" t="str">
            <v>yellow</v>
          </cell>
          <cell r="I1426">
            <v>5</v>
          </cell>
          <cell r="J1426" t="str">
            <v>PremiumSS</v>
          </cell>
          <cell r="K1426" t="str">
            <v>technical</v>
          </cell>
          <cell r="L1426" t="str">
            <v>テクニカルタイプ</v>
          </cell>
          <cell r="M1426" t="str">
            <v>human</v>
          </cell>
        </row>
        <row r="1427">
          <cell r="A1427">
            <v>1498</v>
          </cell>
          <cell r="B1427" t="str">
            <v>ja</v>
          </cell>
          <cell r="C1427" t="str">
            <v>咲誇る夢見草 ヨシノ</v>
          </cell>
          <cell r="D1427"/>
          <cell r="E1427"/>
          <cell r="F1427"/>
          <cell r="G1427"/>
          <cell r="H1427" t="str">
            <v>yellow</v>
          </cell>
          <cell r="I1427">
            <v>6</v>
          </cell>
          <cell r="J1427" t="str">
            <v>PremiumSS</v>
          </cell>
          <cell r="K1427" t="str">
            <v>technical</v>
          </cell>
          <cell r="L1427" t="str">
            <v>テクニカルタイプ</v>
          </cell>
          <cell r="M1427" t="str">
            <v>human</v>
          </cell>
        </row>
        <row r="1428">
          <cell r="A1428">
            <v>1499</v>
          </cell>
          <cell r="B1428" t="str">
            <v>ja</v>
          </cell>
          <cell r="C1428" t="str">
            <v>コノハナサクヤ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blue</v>
          </cell>
          <cell r="I1428">
            <v>5</v>
          </cell>
          <cell r="J1428" t="str">
            <v>DropWizS</v>
          </cell>
          <cell r="K1428" t="str">
            <v>heal</v>
          </cell>
          <cell r="L1428" t="str">
            <v>回復タイプ</v>
          </cell>
          <cell r="M1428" t="str">
            <v>human</v>
          </cell>
        </row>
        <row r="1429">
          <cell r="A1429">
            <v>1500</v>
          </cell>
          <cell r="B1429" t="str">
            <v>ja</v>
          </cell>
          <cell r="C1429" t="str">
            <v>櫻歌する開華 コノハナサクヤ</v>
          </cell>
          <cell r="D1429" t="str">
            <v>未定</v>
          </cell>
          <cell r="E1429" t="str">
            <v>アリス</v>
          </cell>
          <cell r="F1429" t="str">
            <v>世界観</v>
          </cell>
          <cell r="G1429" t="str">
            <v>不明</v>
          </cell>
          <cell r="H1429" t="str">
            <v>blue</v>
          </cell>
          <cell r="I1429">
            <v>6</v>
          </cell>
          <cell r="J1429" t="str">
            <v>DropWizS</v>
          </cell>
          <cell r="K1429" t="str">
            <v>heal</v>
          </cell>
          <cell r="L1429" t="str">
            <v>回復タイプ</v>
          </cell>
          <cell r="M1429" t="str">
            <v>human</v>
          </cell>
        </row>
        <row r="1430">
          <cell r="A1430">
            <v>1504</v>
          </cell>
          <cell r="B1430" t="str">
            <v>ja</v>
          </cell>
          <cell r="C1430" t="str">
            <v>ネコ</v>
          </cell>
          <cell r="D1430"/>
          <cell r="E1430"/>
          <cell r="F1430"/>
          <cell r="G1430"/>
          <cell r="H1430" t="str">
            <v>red</v>
          </cell>
          <cell r="I1430">
            <v>1</v>
          </cell>
          <cell r="J1430" t="str">
            <v>Drop1T</v>
          </cell>
          <cell r="K1430" t="str">
            <v>balance</v>
          </cell>
          <cell r="L1430" t="str">
            <v>バランスタイプ</v>
          </cell>
          <cell r="M1430" t="str">
            <v>unknown</v>
          </cell>
        </row>
        <row r="1431">
          <cell r="A1431">
            <v>1505</v>
          </cell>
          <cell r="B1431" t="str">
            <v>ja</v>
          </cell>
          <cell r="C1431" t="str">
            <v>タンクネコ</v>
          </cell>
          <cell r="D1431"/>
          <cell r="E1431"/>
          <cell r="F1431"/>
          <cell r="G1431"/>
          <cell r="H1431" t="str">
            <v>green</v>
          </cell>
          <cell r="I1431">
            <v>1</v>
          </cell>
          <cell r="J1431" t="str">
            <v>Drop1T</v>
          </cell>
          <cell r="K1431" t="str">
            <v>hp</v>
          </cell>
          <cell r="L1431" t="str">
            <v>体力タイプ</v>
          </cell>
          <cell r="M1431" t="str">
            <v>unknown</v>
          </cell>
        </row>
        <row r="1432">
          <cell r="A1432">
            <v>1506</v>
          </cell>
          <cell r="B1432" t="str">
            <v>ja</v>
          </cell>
          <cell r="C1432" t="str">
            <v>バトルネコ</v>
          </cell>
          <cell r="D1432"/>
          <cell r="E1432"/>
          <cell r="F1432"/>
          <cell r="G1432"/>
          <cell r="H1432" t="str">
            <v>yellow</v>
          </cell>
          <cell r="I1432">
            <v>2</v>
          </cell>
          <cell r="J1432" t="str">
            <v>Drop1S</v>
          </cell>
          <cell r="K1432" t="str">
            <v>attack</v>
          </cell>
          <cell r="L1432" t="str">
            <v>攻撃タイプ</v>
          </cell>
          <cell r="M1432" t="str">
            <v>unknown</v>
          </cell>
        </row>
        <row r="1433">
          <cell r="A1433">
            <v>1507</v>
          </cell>
          <cell r="B1433" t="str">
            <v>ja</v>
          </cell>
          <cell r="C1433" t="str">
            <v>キモネコ</v>
          </cell>
          <cell r="D1433"/>
          <cell r="E1433"/>
          <cell r="F1433"/>
          <cell r="G1433"/>
          <cell r="H1433" t="str">
            <v>blue</v>
          </cell>
          <cell r="I1433">
            <v>3</v>
          </cell>
          <cell r="J1433" t="str">
            <v>Drop2N</v>
          </cell>
          <cell r="K1433" t="str">
            <v>technical</v>
          </cell>
          <cell r="L1433" t="str">
            <v>テクニカルタイプ</v>
          </cell>
          <cell r="M1433" t="str">
            <v>unknown</v>
          </cell>
        </row>
        <row r="1434">
          <cell r="A1434">
            <v>1508</v>
          </cell>
          <cell r="B1434" t="str">
            <v>ja</v>
          </cell>
          <cell r="C1434" t="str">
            <v>ネコノトリ</v>
          </cell>
          <cell r="D1434"/>
          <cell r="E1434"/>
          <cell r="F1434"/>
          <cell r="G1434"/>
          <cell r="H1434" t="str">
            <v>red</v>
          </cell>
          <cell r="I1434">
            <v>4</v>
          </cell>
          <cell r="J1434" t="str">
            <v>Drop2N</v>
          </cell>
          <cell r="K1434" t="str">
            <v>balance</v>
          </cell>
          <cell r="L1434" t="str">
            <v>バランスタイプ</v>
          </cell>
          <cell r="M1434" t="str">
            <v>unknown</v>
          </cell>
        </row>
        <row r="1435">
          <cell r="A1435">
            <v>1509</v>
          </cell>
          <cell r="B1435" t="str">
            <v>ja</v>
          </cell>
          <cell r="C1435" t="str">
            <v>巨神ネコ</v>
          </cell>
          <cell r="D1435"/>
          <cell r="E1435"/>
          <cell r="F1435"/>
          <cell r="G1435"/>
          <cell r="H1435" t="str">
            <v>green</v>
          </cell>
          <cell r="I1435">
            <v>5</v>
          </cell>
          <cell r="J1435" t="str">
            <v>Drop2N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1510</v>
          </cell>
          <cell r="B1436" t="str">
            <v>ja</v>
          </cell>
          <cell r="C1436" t="str">
            <v>ネコヴァルキリー</v>
          </cell>
          <cell r="D1436"/>
          <cell r="E1436"/>
          <cell r="F1436"/>
          <cell r="G1436"/>
          <cell r="H1436" t="str">
            <v>yellow</v>
          </cell>
          <cell r="I1436">
            <v>4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1511</v>
          </cell>
          <cell r="B1437" t="str">
            <v>ja</v>
          </cell>
          <cell r="C1437" t="str">
            <v>ネコヴァルキリー･真</v>
          </cell>
          <cell r="D1437"/>
          <cell r="E1437"/>
          <cell r="F1437"/>
          <cell r="G1437"/>
          <cell r="H1437" t="str">
            <v>yellow</v>
          </cell>
          <cell r="I1437">
            <v>5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1512</v>
          </cell>
          <cell r="B1438" t="str">
            <v>ja</v>
          </cell>
          <cell r="C1438" t="str">
            <v>ネコヴァルキリー･聖</v>
          </cell>
          <cell r="D1438"/>
          <cell r="E1438"/>
          <cell r="F1438"/>
          <cell r="G1438"/>
          <cell r="H1438" t="str">
            <v>yellow</v>
          </cell>
          <cell r="I1438">
            <v>6</v>
          </cell>
          <cell r="J1438" t="str">
            <v>DropWizS</v>
          </cell>
          <cell r="K1438" t="str">
            <v>balance</v>
          </cell>
          <cell r="L1438" t="str">
            <v>バランスタイプ</v>
          </cell>
          <cell r="M1438" t="str">
            <v>god</v>
          </cell>
        </row>
        <row r="1439">
          <cell r="A1439">
            <v>1513</v>
          </cell>
          <cell r="B1439" t="str">
            <v>ja</v>
          </cell>
          <cell r="C1439" t="str">
            <v>金ネコ</v>
          </cell>
          <cell r="D1439"/>
          <cell r="E1439"/>
          <cell r="F1439"/>
          <cell r="G1439"/>
          <cell r="H1439" t="str">
            <v>yellow</v>
          </cell>
          <cell r="I1439">
            <v>4</v>
          </cell>
          <cell r="J1439" t="str">
            <v>Material</v>
          </cell>
          <cell r="K1439" t="str">
            <v>coin</v>
          </cell>
          <cell r="L1439" t="str">
            <v>コインタイプ</v>
          </cell>
          <cell r="M1439" t="str">
            <v>unknown</v>
          </cell>
        </row>
        <row r="1440">
          <cell r="A1440">
            <v>1514</v>
          </cell>
          <cell r="B1440" t="str">
            <v>ja</v>
          </cell>
          <cell r="C1440" t="str">
            <v>金ネコビルダー</v>
          </cell>
          <cell r="D1440"/>
          <cell r="E1440"/>
          <cell r="F1440"/>
          <cell r="G1440"/>
          <cell r="H1440" t="str">
            <v>yellow</v>
          </cell>
          <cell r="I1440">
            <v>5</v>
          </cell>
          <cell r="J1440" t="str">
            <v>Material</v>
          </cell>
          <cell r="K1440" t="str">
            <v>coin</v>
          </cell>
          <cell r="L1440" t="str">
            <v>コインタイプ</v>
          </cell>
          <cell r="M1440" t="str">
            <v>unknown</v>
          </cell>
        </row>
        <row r="1441">
          <cell r="A1441">
            <v>1515</v>
          </cell>
          <cell r="B1441" t="str">
            <v>ja</v>
          </cell>
          <cell r="C1441" t="str">
            <v>赤メタルネコ</v>
          </cell>
          <cell r="D1441"/>
          <cell r="E1441"/>
          <cell r="F1441"/>
          <cell r="G1441"/>
          <cell r="H1441" t="str">
            <v>red</v>
          </cell>
          <cell r="I1441">
            <v>4</v>
          </cell>
          <cell r="J1441" t="str">
            <v>Material</v>
          </cell>
          <cell r="K1441" t="str">
            <v>exp</v>
          </cell>
          <cell r="L1441" t="str">
            <v>強化素材タイプ</v>
          </cell>
          <cell r="M1441" t="str">
            <v>unknown</v>
          </cell>
        </row>
        <row r="1442">
          <cell r="A1442">
            <v>1516</v>
          </cell>
          <cell r="B1442" t="str">
            <v>ja</v>
          </cell>
          <cell r="C1442" t="str">
            <v>赤メタルネコビルダー</v>
          </cell>
          <cell r="D1442"/>
          <cell r="E1442"/>
          <cell r="F1442"/>
          <cell r="G1442"/>
          <cell r="H1442" t="str">
            <v>red</v>
          </cell>
          <cell r="I1442">
            <v>5</v>
          </cell>
          <cell r="J1442" t="str">
            <v>Material</v>
          </cell>
          <cell r="K1442" t="str">
            <v>exp</v>
          </cell>
          <cell r="L1442" t="str">
            <v>強化素材タイプ</v>
          </cell>
          <cell r="M1442" t="str">
            <v>unknown</v>
          </cell>
        </row>
        <row r="1443">
          <cell r="A1443">
            <v>1517</v>
          </cell>
          <cell r="B1443" t="str">
            <v>ja</v>
          </cell>
          <cell r="C1443" t="str">
            <v>青メタルネコ</v>
          </cell>
          <cell r="D1443"/>
          <cell r="E1443"/>
          <cell r="F1443"/>
          <cell r="G1443"/>
          <cell r="H1443" t="str">
            <v>blue</v>
          </cell>
          <cell r="I1443">
            <v>4</v>
          </cell>
          <cell r="J1443" t="str">
            <v>Material</v>
          </cell>
          <cell r="K1443" t="str">
            <v>exp</v>
          </cell>
          <cell r="L1443" t="str">
            <v>強化素材タイプ</v>
          </cell>
          <cell r="M1443" t="str">
            <v>unknown</v>
          </cell>
        </row>
        <row r="1444">
          <cell r="A1444">
            <v>1518</v>
          </cell>
          <cell r="B1444" t="str">
            <v>ja</v>
          </cell>
          <cell r="C1444" t="str">
            <v>青メタルネコビルダー</v>
          </cell>
          <cell r="D1444"/>
          <cell r="E1444"/>
          <cell r="F1444"/>
          <cell r="G1444"/>
          <cell r="H1444" t="str">
            <v>blue</v>
          </cell>
          <cell r="I1444">
            <v>5</v>
          </cell>
          <cell r="J1444" t="str">
            <v>Material</v>
          </cell>
          <cell r="K1444" t="str">
            <v>exp</v>
          </cell>
          <cell r="L1444" t="str">
            <v>強化素材タイプ</v>
          </cell>
          <cell r="M1444" t="str">
            <v>unknown</v>
          </cell>
        </row>
        <row r="1445">
          <cell r="A1445">
            <v>1519</v>
          </cell>
          <cell r="B1445" t="str">
            <v>ja</v>
          </cell>
          <cell r="C1445" t="str">
            <v>緑メタルネコ</v>
          </cell>
          <cell r="D1445"/>
          <cell r="E1445"/>
          <cell r="F1445"/>
          <cell r="G1445"/>
          <cell r="H1445" t="str">
            <v>green</v>
          </cell>
          <cell r="I1445">
            <v>4</v>
          </cell>
          <cell r="J1445" t="str">
            <v>Material</v>
          </cell>
          <cell r="K1445" t="str">
            <v>exp</v>
          </cell>
          <cell r="L1445" t="str">
            <v>強化素材タイプ</v>
          </cell>
          <cell r="M1445" t="str">
            <v>unknown</v>
          </cell>
        </row>
        <row r="1446">
          <cell r="A1446">
            <v>1520</v>
          </cell>
          <cell r="B1446" t="str">
            <v>ja</v>
          </cell>
          <cell r="C1446" t="str">
            <v>緑メタルネコビルダー</v>
          </cell>
          <cell r="D1446"/>
          <cell r="E1446"/>
          <cell r="F1446"/>
          <cell r="G1446"/>
          <cell r="H1446" t="str">
            <v>green</v>
          </cell>
          <cell r="I1446">
            <v>5</v>
          </cell>
          <cell r="J1446" t="str">
            <v>Material</v>
          </cell>
          <cell r="K1446" t="str">
            <v>exp</v>
          </cell>
          <cell r="L1446" t="str">
            <v>強化素材タイプ</v>
          </cell>
          <cell r="M1446" t="str">
            <v>unknown</v>
          </cell>
        </row>
        <row r="1447">
          <cell r="A1447">
            <v>1521</v>
          </cell>
          <cell r="B1447" t="str">
            <v>ja</v>
          </cell>
          <cell r="C1447" t="str">
            <v>黄メタルネコ</v>
          </cell>
          <cell r="D1447"/>
          <cell r="E1447"/>
          <cell r="F1447"/>
          <cell r="G1447"/>
          <cell r="H1447" t="str">
            <v>yellow</v>
          </cell>
          <cell r="I1447">
            <v>4</v>
          </cell>
          <cell r="J1447" t="str">
            <v>Material</v>
          </cell>
          <cell r="K1447" t="str">
            <v>exp</v>
          </cell>
          <cell r="L1447" t="str">
            <v>強化素材タイプ</v>
          </cell>
          <cell r="M1447" t="str">
            <v>unknown</v>
          </cell>
        </row>
        <row r="1448">
          <cell r="A1448">
            <v>1522</v>
          </cell>
          <cell r="B1448" t="str">
            <v>ja</v>
          </cell>
          <cell r="C1448" t="str">
            <v>黄メタルネコビルダー</v>
          </cell>
          <cell r="D1448"/>
          <cell r="E1448"/>
          <cell r="F1448"/>
          <cell r="G1448"/>
          <cell r="H1448" t="str">
            <v>yellow</v>
          </cell>
          <cell r="I1448">
            <v>5</v>
          </cell>
          <cell r="J1448" t="str">
            <v>Material</v>
          </cell>
          <cell r="K1448" t="str">
            <v>exp</v>
          </cell>
          <cell r="L1448" t="str">
            <v>強化素材タイプ</v>
          </cell>
          <cell r="M1448" t="str">
            <v>unknown</v>
          </cell>
        </row>
        <row r="1449">
          <cell r="A1449">
            <v>1523</v>
          </cell>
          <cell r="B1449" t="str">
            <v>ja</v>
          </cell>
          <cell r="C1449" t="str">
            <v>ネコムート</v>
          </cell>
          <cell r="D1449"/>
          <cell r="E1449"/>
          <cell r="F1449"/>
          <cell r="G1449"/>
          <cell r="H1449" t="str">
            <v>blue</v>
          </cell>
          <cell r="I1449">
            <v>5</v>
          </cell>
          <cell r="J1449" t="str">
            <v>DropWizS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1524</v>
          </cell>
          <cell r="B1450" t="str">
            <v>ja</v>
          </cell>
          <cell r="C1450" t="str">
            <v>狂乱のネコムート</v>
          </cell>
          <cell r="D1450"/>
          <cell r="E1450"/>
          <cell r="F1450"/>
          <cell r="G1450"/>
          <cell r="H1450" t="str">
            <v>blue</v>
          </cell>
          <cell r="I1450">
            <v>6</v>
          </cell>
          <cell r="J1450" t="str">
            <v>DropWizS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1525</v>
          </cell>
          <cell r="B1451" t="str">
            <v>ja</v>
          </cell>
          <cell r="C1451" t="str">
            <v>狂乱のネコ</v>
          </cell>
          <cell r="D1451"/>
          <cell r="E1451"/>
          <cell r="F1451"/>
          <cell r="G1451"/>
          <cell r="H1451" t="str">
            <v>red</v>
          </cell>
          <cell r="I1451">
            <v>5</v>
          </cell>
          <cell r="J1451" t="str">
            <v>DropWizSS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1526</v>
          </cell>
          <cell r="B1452" t="str">
            <v>ja</v>
          </cell>
          <cell r="C1452" t="str">
            <v>狂乱のネコビルダー</v>
          </cell>
          <cell r="D1452"/>
          <cell r="E1452"/>
          <cell r="F1452"/>
          <cell r="G1452"/>
          <cell r="H1452" t="str">
            <v>red</v>
          </cell>
          <cell r="I1452">
            <v>6</v>
          </cell>
          <cell r="J1452" t="str">
            <v>DropWizSS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1527</v>
          </cell>
          <cell r="B1453" t="str">
            <v>ja</v>
          </cell>
          <cell r="C1453" t="str">
            <v>ネコ魔剣士</v>
          </cell>
          <cell r="D1453"/>
          <cell r="E1453"/>
          <cell r="F1453"/>
          <cell r="G1453"/>
          <cell r="H1453" t="str">
            <v>red</v>
          </cell>
          <cell r="I1453">
            <v>4</v>
          </cell>
          <cell r="J1453" t="str">
            <v>PremiumS</v>
          </cell>
          <cell r="K1453" t="str">
            <v>attack</v>
          </cell>
          <cell r="L1453" t="str">
            <v>攻撃タイプ</v>
          </cell>
          <cell r="M1453" t="str">
            <v>animal</v>
          </cell>
        </row>
        <row r="1454">
          <cell r="A1454">
            <v>1528</v>
          </cell>
          <cell r="B1454" t="str">
            <v>ja</v>
          </cell>
          <cell r="C1454" t="str">
            <v>双剣ネコ魔剣士</v>
          </cell>
          <cell r="D1454"/>
          <cell r="E1454"/>
          <cell r="F1454"/>
          <cell r="G1454"/>
          <cell r="H1454" t="str">
            <v>red</v>
          </cell>
          <cell r="I1454">
            <v>5</v>
          </cell>
          <cell r="J1454" t="str">
            <v>PremiumS</v>
          </cell>
          <cell r="K1454" t="str">
            <v>attack</v>
          </cell>
          <cell r="L1454" t="str">
            <v>攻撃タイプ</v>
          </cell>
          <cell r="M1454" t="str">
            <v>animal</v>
          </cell>
        </row>
        <row r="1455">
          <cell r="A1455">
            <v>1529</v>
          </cell>
          <cell r="B1455" t="str">
            <v>ja</v>
          </cell>
          <cell r="C1455" t="str">
            <v>ねこ海賊</v>
          </cell>
          <cell r="D1455"/>
          <cell r="E1455"/>
          <cell r="F1455"/>
          <cell r="G1455"/>
          <cell r="H1455" t="str">
            <v>blue</v>
          </cell>
          <cell r="I1455">
            <v>4</v>
          </cell>
          <cell r="J1455" t="str">
            <v>PremiumS</v>
          </cell>
          <cell r="K1455" t="str">
            <v>balance</v>
          </cell>
          <cell r="L1455" t="str">
            <v>バランスタイプ</v>
          </cell>
          <cell r="M1455" t="str">
            <v>unknown</v>
          </cell>
        </row>
        <row r="1456">
          <cell r="A1456">
            <v>1530</v>
          </cell>
          <cell r="B1456" t="str">
            <v>ja</v>
          </cell>
          <cell r="C1456" t="str">
            <v>ニャーコック船長</v>
          </cell>
          <cell r="D1456"/>
          <cell r="E1456"/>
          <cell r="F1456"/>
          <cell r="G1456"/>
          <cell r="H1456" t="str">
            <v>blue</v>
          </cell>
          <cell r="I1456">
            <v>5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unknown</v>
          </cell>
        </row>
        <row r="1457">
          <cell r="A1457">
            <v>1531</v>
          </cell>
          <cell r="B1457" t="str">
            <v>ja</v>
          </cell>
          <cell r="C1457" t="str">
            <v>ねこジュラ</v>
          </cell>
          <cell r="D1457"/>
          <cell r="E1457"/>
          <cell r="F1457"/>
          <cell r="G1457"/>
          <cell r="H1457" t="str">
            <v>green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animal</v>
          </cell>
        </row>
        <row r="1458">
          <cell r="A1458">
            <v>1532</v>
          </cell>
          <cell r="B1458" t="str">
            <v>ja</v>
          </cell>
          <cell r="C1458" t="str">
            <v>ねこジュラシッター</v>
          </cell>
          <cell r="D1458"/>
          <cell r="E1458"/>
          <cell r="F1458"/>
          <cell r="G1458"/>
          <cell r="H1458" t="str">
            <v>green</v>
          </cell>
          <cell r="I1458">
            <v>5</v>
          </cell>
          <cell r="J1458" t="str">
            <v>PremiumS</v>
          </cell>
          <cell r="K1458" t="str">
            <v>technical</v>
          </cell>
          <cell r="L1458" t="str">
            <v>テクニカルタイプ</v>
          </cell>
          <cell r="M1458" t="str">
            <v>animal</v>
          </cell>
        </row>
        <row r="1459">
          <cell r="A1459">
            <v>1533</v>
          </cell>
          <cell r="B1459" t="str">
            <v>ja</v>
          </cell>
          <cell r="C1459" t="str">
            <v>ネコエステ</v>
          </cell>
          <cell r="D1459"/>
          <cell r="E1459"/>
          <cell r="F1459"/>
          <cell r="G1459"/>
          <cell r="H1459" t="str">
            <v>yellow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animal</v>
          </cell>
        </row>
        <row r="1460">
          <cell r="A1460">
            <v>1534</v>
          </cell>
          <cell r="B1460" t="str">
            <v>ja</v>
          </cell>
          <cell r="C1460" t="str">
            <v>ネコジェンヌ</v>
          </cell>
          <cell r="D1460"/>
          <cell r="E1460"/>
          <cell r="F1460"/>
          <cell r="G1460"/>
          <cell r="H1460" t="str">
            <v>yellow</v>
          </cell>
          <cell r="I1460">
            <v>5</v>
          </cell>
          <cell r="J1460" t="str">
            <v>PremiumS</v>
          </cell>
          <cell r="K1460" t="str">
            <v>attack</v>
          </cell>
          <cell r="L1460" t="str">
            <v>攻撃タイプ</v>
          </cell>
          <cell r="M1460" t="str">
            <v>animal</v>
          </cell>
        </row>
        <row r="1461">
          <cell r="A1461">
            <v>1535</v>
          </cell>
          <cell r="B1461" t="str">
            <v>ja</v>
          </cell>
          <cell r="C1461" t="str">
            <v>ねこナース</v>
          </cell>
          <cell r="D1461"/>
          <cell r="E1461"/>
          <cell r="F1461"/>
          <cell r="G1461"/>
          <cell r="H1461" t="str">
            <v>red</v>
          </cell>
          <cell r="I1461">
            <v>5</v>
          </cell>
          <cell r="J1461" t="str">
            <v>PremiumSS</v>
          </cell>
          <cell r="K1461" t="str">
            <v>technical</v>
          </cell>
          <cell r="L1461" t="str">
            <v>テクニカルタイプ</v>
          </cell>
          <cell r="M1461" t="str">
            <v>god</v>
          </cell>
        </row>
        <row r="1462">
          <cell r="A1462">
            <v>1536</v>
          </cell>
          <cell r="B1462" t="str">
            <v>ja</v>
          </cell>
          <cell r="C1462" t="str">
            <v>ハートフルねこナース</v>
          </cell>
          <cell r="D1462"/>
          <cell r="E1462"/>
          <cell r="F1462"/>
          <cell r="G1462"/>
          <cell r="H1462" t="str">
            <v>red</v>
          </cell>
          <cell r="I1462">
            <v>6</v>
          </cell>
          <cell r="J1462" t="str">
            <v>PremiumSS</v>
          </cell>
          <cell r="K1462" t="str">
            <v>technical</v>
          </cell>
          <cell r="L1462" t="str">
            <v>テクニカルタイプ</v>
          </cell>
          <cell r="M1462" t="str">
            <v>god</v>
          </cell>
        </row>
        <row r="1463">
          <cell r="A1463">
            <v>1537</v>
          </cell>
          <cell r="B1463" t="str">
            <v>ja</v>
          </cell>
          <cell r="C1463" t="str">
            <v>キャットマンダディ</v>
          </cell>
          <cell r="D1463"/>
          <cell r="E1463"/>
          <cell r="F1463"/>
          <cell r="G1463"/>
          <cell r="H1463" t="str">
            <v>blue</v>
          </cell>
          <cell r="I1463">
            <v>5</v>
          </cell>
          <cell r="J1463" t="str">
            <v>PremiumSSS</v>
          </cell>
          <cell r="K1463" t="str">
            <v>attack</v>
          </cell>
          <cell r="L1463" t="str">
            <v>攻撃タイプ</v>
          </cell>
          <cell r="M1463" t="str">
            <v>unknown</v>
          </cell>
        </row>
        <row r="1464">
          <cell r="A1464">
            <v>1538</v>
          </cell>
          <cell r="B1464" t="str">
            <v>ja</v>
          </cell>
          <cell r="C1464" t="str">
            <v>キャットマンダーク</v>
          </cell>
          <cell r="D1464"/>
          <cell r="E1464"/>
          <cell r="F1464"/>
          <cell r="G1464"/>
          <cell r="H1464" t="str">
            <v>blue</v>
          </cell>
          <cell r="I1464">
            <v>6</v>
          </cell>
          <cell r="J1464" t="str">
            <v>PremiumSSS</v>
          </cell>
          <cell r="K1464" t="str">
            <v>attack</v>
          </cell>
          <cell r="L1464" t="str">
            <v>攻撃タイプ</v>
          </cell>
          <cell r="M1464" t="str">
            <v>unknown</v>
          </cell>
        </row>
        <row r="1465">
          <cell r="A1465">
            <v>1539</v>
          </cell>
          <cell r="B1465" t="str">
            <v>ja</v>
          </cell>
          <cell r="C1465" t="str">
            <v>雷神のサンディア</v>
          </cell>
          <cell r="D1465"/>
          <cell r="E1465"/>
          <cell r="F1465"/>
          <cell r="G1465"/>
          <cell r="H1465" t="str">
            <v>yellow</v>
          </cell>
          <cell r="I1465">
            <v>5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god</v>
          </cell>
        </row>
        <row r="1466">
          <cell r="A1466">
            <v>1540</v>
          </cell>
          <cell r="B1466" t="str">
            <v>ja</v>
          </cell>
          <cell r="C1466" t="str">
            <v>雷神のサンディアβ</v>
          </cell>
          <cell r="D1466"/>
          <cell r="E1466"/>
          <cell r="F1466"/>
          <cell r="G1466"/>
          <cell r="H1466" t="str">
            <v>yellow</v>
          </cell>
          <cell r="I1466">
            <v>6</v>
          </cell>
          <cell r="J1466" t="str">
            <v>PremiumSS</v>
          </cell>
          <cell r="K1466" t="str">
            <v>attack</v>
          </cell>
          <cell r="L1466" t="str">
            <v>攻撃タイプ</v>
          </cell>
          <cell r="M1466" t="str">
            <v>god</v>
          </cell>
        </row>
        <row r="1467">
          <cell r="A1467">
            <v>1541</v>
          </cell>
          <cell r="B1467" t="str">
            <v>ja</v>
          </cell>
          <cell r="C1467" t="str">
            <v>美女神アフロディーテ</v>
          </cell>
          <cell r="D1467"/>
          <cell r="E1467"/>
          <cell r="F1467"/>
          <cell r="G1467"/>
          <cell r="H1467" t="str">
            <v>red</v>
          </cell>
          <cell r="I1467">
            <v>5</v>
          </cell>
          <cell r="J1467" t="str">
            <v>PremiumSSS</v>
          </cell>
          <cell r="K1467" t="str">
            <v>technical</v>
          </cell>
          <cell r="L1467" t="str">
            <v>テクニカルタイプ</v>
          </cell>
          <cell r="M1467" t="str">
            <v>god</v>
          </cell>
        </row>
        <row r="1468">
          <cell r="A1468">
            <v>1542</v>
          </cell>
          <cell r="B1468" t="str">
            <v>ja</v>
          </cell>
          <cell r="C1468" t="str">
            <v>メガロディーテ</v>
          </cell>
          <cell r="D1468"/>
          <cell r="E1468"/>
          <cell r="F1468"/>
          <cell r="G1468"/>
          <cell r="H1468" t="str">
            <v>red</v>
          </cell>
          <cell r="I1468">
            <v>6</v>
          </cell>
          <cell r="J1468" t="str">
            <v>PremiumSSS</v>
          </cell>
          <cell r="K1468" t="str">
            <v>technical</v>
          </cell>
          <cell r="L1468" t="str">
            <v>テクニカルタイプ</v>
          </cell>
          <cell r="M1468" t="str">
            <v>god</v>
          </cell>
        </row>
        <row r="1469">
          <cell r="A1469">
            <v>1543</v>
          </cell>
          <cell r="B1469" t="str">
            <v>ja</v>
          </cell>
          <cell r="C1469" t="str">
            <v>ツルの恩返し</v>
          </cell>
          <cell r="D1469"/>
          <cell r="E1469"/>
          <cell r="F1469"/>
          <cell r="G1469"/>
          <cell r="H1469" t="str">
            <v>red</v>
          </cell>
          <cell r="I1469">
            <v>5</v>
          </cell>
          <cell r="J1469" t="str">
            <v>PremiumSS</v>
          </cell>
          <cell r="K1469" t="str">
            <v>balance</v>
          </cell>
          <cell r="L1469" t="str">
            <v>バランスタイプ</v>
          </cell>
          <cell r="M1469" t="str">
            <v>hero</v>
          </cell>
        </row>
        <row r="1470">
          <cell r="A1470">
            <v>1544</v>
          </cell>
          <cell r="B1470" t="str">
            <v>ja</v>
          </cell>
          <cell r="C1470" t="str">
            <v>銀河戦士コスモ</v>
          </cell>
          <cell r="D1470"/>
          <cell r="E1470"/>
          <cell r="F1470"/>
          <cell r="G1470"/>
          <cell r="H1470" t="str">
            <v>red</v>
          </cell>
          <cell r="I1470">
            <v>6</v>
          </cell>
          <cell r="J1470" t="str">
            <v>PremiumSS</v>
          </cell>
          <cell r="K1470" t="str">
            <v>balance</v>
          </cell>
          <cell r="L1470" t="str">
            <v>バランスタイプ</v>
          </cell>
          <cell r="M1470" t="str">
            <v>hero</v>
          </cell>
        </row>
        <row r="1471">
          <cell r="A1471">
            <v>1545</v>
          </cell>
          <cell r="B1471" t="str">
            <v>ja</v>
          </cell>
          <cell r="C1471" t="str">
            <v>ネコルガ</v>
          </cell>
          <cell r="D1471"/>
          <cell r="E1471"/>
          <cell r="F1471"/>
          <cell r="G1471"/>
          <cell r="H1471" t="str">
            <v>green</v>
          </cell>
          <cell r="I1471">
            <v>5</v>
          </cell>
          <cell r="J1471" t="str">
            <v>PremiumSS</v>
          </cell>
          <cell r="K1471" t="str">
            <v>hp</v>
          </cell>
          <cell r="L1471" t="str">
            <v>体力タイプ</v>
          </cell>
          <cell r="M1471" t="str">
            <v>unknown</v>
          </cell>
        </row>
        <row r="1472">
          <cell r="A1472">
            <v>1546</v>
          </cell>
          <cell r="B1472" t="str">
            <v>ja</v>
          </cell>
          <cell r="C1472" t="str">
            <v>ケサランパサラン</v>
          </cell>
          <cell r="D1472"/>
          <cell r="E1472"/>
          <cell r="F1472"/>
          <cell r="G1472"/>
          <cell r="H1472" t="str">
            <v>green</v>
          </cell>
          <cell r="I1472">
            <v>6</v>
          </cell>
          <cell r="J1472" t="str">
            <v>PremiumSS</v>
          </cell>
          <cell r="K1472" t="str">
            <v>hp</v>
          </cell>
          <cell r="L1472" t="str">
            <v>体力タイプ</v>
          </cell>
          <cell r="M1472" t="str">
            <v>unknown</v>
          </cell>
        </row>
        <row r="1473">
          <cell r="A1473">
            <v>1547</v>
          </cell>
          <cell r="B1473" t="str">
            <v>ja</v>
          </cell>
          <cell r="C1473" t="str">
            <v>ネコフラワー</v>
          </cell>
          <cell r="D1473"/>
          <cell r="E1473"/>
          <cell r="F1473"/>
          <cell r="G1473"/>
          <cell r="H1473" t="str">
            <v>green</v>
          </cell>
          <cell r="I1473">
            <v>4</v>
          </cell>
          <cell r="J1473" t="str">
            <v>Drop2N</v>
          </cell>
          <cell r="K1473" t="str">
            <v>hp</v>
          </cell>
          <cell r="L1473" t="str">
            <v>体力タイプ</v>
          </cell>
          <cell r="M1473" t="str">
            <v>animal</v>
          </cell>
        </row>
        <row r="1474">
          <cell r="A1474">
            <v>1548</v>
          </cell>
          <cell r="B1474" t="str">
            <v>ja</v>
          </cell>
          <cell r="C1474" t="str">
            <v>にゃんこ扇風</v>
          </cell>
          <cell r="D1474"/>
          <cell r="E1474"/>
          <cell r="F1474"/>
          <cell r="G1474"/>
          <cell r="H1474" t="str">
            <v>green</v>
          </cell>
          <cell r="I1474">
            <v>5</v>
          </cell>
          <cell r="J1474" t="str">
            <v>Drop2N</v>
          </cell>
          <cell r="K1474" t="str">
            <v>hp</v>
          </cell>
          <cell r="L1474" t="str">
            <v>体力タイプ</v>
          </cell>
          <cell r="M1474" t="str">
            <v>animal</v>
          </cell>
        </row>
        <row r="1475">
          <cell r="A1475">
            <v>1549</v>
          </cell>
          <cell r="B1475" t="str">
            <v>ja</v>
          </cell>
          <cell r="C1475" t="str">
            <v>ネコリンゴ</v>
          </cell>
          <cell r="D1475"/>
          <cell r="E1475"/>
          <cell r="F1475"/>
          <cell r="G1475"/>
          <cell r="H1475" t="str">
            <v>green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1550</v>
          </cell>
          <cell r="B1476" t="str">
            <v>ja</v>
          </cell>
          <cell r="C1476" t="str">
            <v>カオルくん</v>
          </cell>
          <cell r="D1476"/>
          <cell r="E1476"/>
          <cell r="F1476"/>
          <cell r="G1476"/>
          <cell r="H1476" t="str">
            <v>green</v>
          </cell>
          <cell r="I1476">
            <v>6</v>
          </cell>
          <cell r="J1476" t="str">
            <v>DropWizS</v>
          </cell>
          <cell r="K1476" t="str">
            <v>balance</v>
          </cell>
          <cell r="L1476" t="str">
            <v>バランスタイプ</v>
          </cell>
          <cell r="M1476" t="str">
            <v>unknown</v>
          </cell>
        </row>
        <row r="1477">
          <cell r="A1477">
            <v>5001</v>
          </cell>
          <cell r="B1477" t="str">
            <v>ja</v>
          </cell>
          <cell r="C1477" t="str">
            <v>ガルーダ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5</v>
          </cell>
          <cell r="J1477" t="str">
            <v>PremiumSSw</v>
          </cell>
          <cell r="K1477" t="str">
            <v>attack</v>
          </cell>
          <cell r="L1477" t="str">
            <v>攻撃タイプ</v>
          </cell>
          <cell r="M1477" t="str">
            <v>god</v>
          </cell>
        </row>
        <row r="1478">
          <cell r="A1478">
            <v>5002</v>
          </cell>
          <cell r="B1478" t="str">
            <v>ja</v>
          </cell>
          <cell r="C1478" t="str">
            <v>ガルーダ★６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6</v>
          </cell>
          <cell r="J1478" t="str">
            <v>PremiumSSw</v>
          </cell>
          <cell r="K1478" t="str">
            <v>attack</v>
          </cell>
          <cell r="L1478" t="str">
            <v>攻撃タイプ</v>
          </cell>
          <cell r="M1478" t="str">
            <v>god</v>
          </cell>
        </row>
        <row r="1479">
          <cell r="A1479">
            <v>5003</v>
          </cell>
          <cell r="B1479" t="str">
            <v>ja</v>
          </cell>
          <cell r="C1479" t="str">
            <v>ナーガ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green</v>
          </cell>
          <cell r="I1479">
            <v>5</v>
          </cell>
          <cell r="J1479" t="str">
            <v>DropWizS</v>
          </cell>
          <cell r="K1479" t="str">
            <v>technical</v>
          </cell>
          <cell r="L1479" t="str">
            <v>テクニカルタイプ</v>
          </cell>
          <cell r="M1479" t="str">
            <v>animal</v>
          </cell>
        </row>
        <row r="1480">
          <cell r="A1480">
            <v>5004</v>
          </cell>
          <cell r="B1480" t="str">
            <v>ja</v>
          </cell>
          <cell r="C1480" t="str">
            <v>ナーガ★６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green</v>
          </cell>
          <cell r="I1480">
            <v>6</v>
          </cell>
          <cell r="J1480" t="str">
            <v>DropWizS</v>
          </cell>
          <cell r="K1480" t="str">
            <v>technical</v>
          </cell>
          <cell r="L1480" t="str">
            <v>テクニカルタイプ</v>
          </cell>
          <cell r="M1480" t="str">
            <v>animal</v>
          </cell>
        </row>
        <row r="1481">
          <cell r="A1481">
            <v>5005</v>
          </cell>
          <cell r="B1481" t="str">
            <v>ja</v>
          </cell>
          <cell r="C1481" t="str">
            <v>カーミラ</v>
          </cell>
          <cell r="D1481" t="str">
            <v>ノーマルクエスト</v>
          </cell>
          <cell r="E1481" t="str">
            <v>QoH</v>
          </cell>
          <cell r="F1481" t="str">
            <v>世界観</v>
          </cell>
          <cell r="G1481" t="str">
            <v>不明</v>
          </cell>
          <cell r="H1481" t="str">
            <v>green</v>
          </cell>
          <cell r="I1481">
            <v>5</v>
          </cell>
          <cell r="J1481" t="str">
            <v>PremiumSSw</v>
          </cell>
          <cell r="K1481" t="str">
            <v>balance</v>
          </cell>
          <cell r="L1481" t="str">
            <v>バランスタイプ</v>
          </cell>
          <cell r="M1481" t="str">
            <v>demon</v>
          </cell>
        </row>
        <row r="1482">
          <cell r="A1482">
            <v>5006</v>
          </cell>
          <cell r="B1482" t="str">
            <v>ja</v>
          </cell>
          <cell r="C1482" t="str">
            <v>カーミラ★６</v>
          </cell>
          <cell r="D1482" t="str">
            <v>ノーマルクエスト</v>
          </cell>
          <cell r="E1482" t="str">
            <v>アバター</v>
          </cell>
          <cell r="F1482" t="str">
            <v>世界観</v>
          </cell>
          <cell r="G1482" t="str">
            <v>男性</v>
          </cell>
          <cell r="H1482" t="str">
            <v>green</v>
          </cell>
          <cell r="I1482">
            <v>6</v>
          </cell>
          <cell r="J1482" t="str">
            <v>PremiumSSw</v>
          </cell>
          <cell r="K1482" t="str">
            <v>balance</v>
          </cell>
          <cell r="L1482" t="str">
            <v>バランスタイプ</v>
          </cell>
          <cell r="M1482" t="str">
            <v>demon</v>
          </cell>
        </row>
        <row r="1483">
          <cell r="A1483">
            <v>5007</v>
          </cell>
          <cell r="B1483" t="str">
            <v>ja</v>
          </cell>
          <cell r="C1483" t="str">
            <v>ヘルシング</v>
          </cell>
          <cell r="D1483" t="str">
            <v>リンクガチャ:4神</v>
          </cell>
          <cell r="E1483" t="str">
            <v>守護神</v>
          </cell>
          <cell r="F1483" t="str">
            <v>格好いい</v>
          </cell>
          <cell r="G1483" t="str">
            <v>不明</v>
          </cell>
          <cell r="H1483" t="str">
            <v>yellow</v>
          </cell>
          <cell r="I1483">
            <v>5</v>
          </cell>
          <cell r="J1483" t="str">
            <v>DropWizS</v>
          </cell>
          <cell r="K1483" t="str">
            <v>technical</v>
          </cell>
          <cell r="L1483" t="str">
            <v>テクニカルタイプ</v>
          </cell>
          <cell r="M1483" t="str">
            <v>human</v>
          </cell>
        </row>
        <row r="1484">
          <cell r="A1484">
            <v>5008</v>
          </cell>
          <cell r="B1484" t="str">
            <v>ja</v>
          </cell>
          <cell r="C1484" t="str">
            <v>ヘルシング★６</v>
          </cell>
          <cell r="D1484" t="str">
            <v>ノーマルクエスト</v>
          </cell>
          <cell r="E1484" t="str">
            <v>アバター</v>
          </cell>
          <cell r="F1484" t="str">
            <v>世界観</v>
          </cell>
          <cell r="G1484" t="str">
            <v>不明</v>
          </cell>
          <cell r="H1484" t="str">
            <v>yellow</v>
          </cell>
          <cell r="I1484">
            <v>6</v>
          </cell>
          <cell r="J1484" t="str">
            <v>DropWizS</v>
          </cell>
          <cell r="K1484" t="str">
            <v>technical</v>
          </cell>
          <cell r="L1484" t="str">
            <v>テクニカルタイプ</v>
          </cell>
          <cell r="M1484" t="str">
            <v>human</v>
          </cell>
        </row>
        <row r="1485">
          <cell r="A1485">
            <v>6001</v>
          </cell>
          <cell r="B1485" t="str">
            <v>ja</v>
          </cell>
          <cell r="C1485" t="str">
            <v>ジェリー</v>
          </cell>
          <cell r="D1485" t="str">
            <v>ノーマルクエスト</v>
          </cell>
          <cell r="E1485" t="str">
            <v>QoH</v>
          </cell>
          <cell r="F1485" t="str">
            <v>世界観</v>
          </cell>
          <cell r="G1485" t="str">
            <v>不明</v>
          </cell>
          <cell r="H1485" t="str">
            <v>red</v>
          </cell>
          <cell r="I1485">
            <v>1</v>
          </cell>
          <cell r="J1485" t="str">
            <v>Drop1T</v>
          </cell>
          <cell r="K1485" t="str">
            <v>ra</v>
          </cell>
          <cell r="L1485" t="str">
            <v>ラグランジュチャレンジ</v>
          </cell>
          <cell r="M1485" t="str">
            <v>unknown</v>
          </cell>
        </row>
        <row r="1486">
          <cell r="A1486">
            <v>6002</v>
          </cell>
          <cell r="B1486" t="str">
            <v>ja</v>
          </cell>
          <cell r="C1486" t="str">
            <v>ヨシタカ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男性</v>
          </cell>
          <cell r="H1486" t="str">
            <v>red</v>
          </cell>
          <cell r="I1486">
            <v>2</v>
          </cell>
          <cell r="J1486" t="str">
            <v>Drop1N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6003</v>
          </cell>
          <cell r="B1487" t="str">
            <v>ja</v>
          </cell>
          <cell r="C1487" t="str">
            <v>朱雀</v>
          </cell>
          <cell r="D1487" t="str">
            <v>リンクガチャ:4神</v>
          </cell>
          <cell r="E1487" t="str">
            <v>守護神</v>
          </cell>
          <cell r="F1487" t="str">
            <v>格好いい</v>
          </cell>
          <cell r="G1487" t="str">
            <v>不明</v>
          </cell>
          <cell r="H1487" t="str">
            <v>red</v>
          </cell>
          <cell r="I1487">
            <v>3</v>
          </cell>
          <cell r="J1487" t="str">
            <v>Drop2N</v>
          </cell>
          <cell r="K1487" t="str">
            <v>ra</v>
          </cell>
          <cell r="L1487" t="str">
            <v>ラグランジュチャレンジ</v>
          </cell>
          <cell r="M1487" t="str">
            <v>animal</v>
          </cell>
        </row>
        <row r="1488">
          <cell r="A1488">
            <v>6004</v>
          </cell>
          <cell r="B1488" t="str">
            <v>ja</v>
          </cell>
          <cell r="C1488" t="str">
            <v>ブレット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不明</v>
          </cell>
          <cell r="H1488" t="str">
            <v>red</v>
          </cell>
          <cell r="I1488">
            <v>1</v>
          </cell>
          <cell r="J1488" t="str">
            <v>Drop1W</v>
          </cell>
          <cell r="K1488" t="str">
            <v>ra</v>
          </cell>
          <cell r="L1488" t="str">
            <v>ラグランジュチャレンジ</v>
          </cell>
          <cell r="M1488" t="str">
            <v>animal</v>
          </cell>
        </row>
        <row r="1489">
          <cell r="A1489">
            <v>6005</v>
          </cell>
          <cell r="B1489" t="str">
            <v>ja</v>
          </cell>
          <cell r="C1489" t="str">
            <v>孤神 テティス</v>
          </cell>
          <cell r="D1489" t="str">
            <v>初期ガチャ</v>
          </cell>
          <cell r="E1489" t="str">
            <v>管理者</v>
          </cell>
          <cell r="F1489" t="str">
            <v>美しい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PremiumN</v>
          </cell>
          <cell r="K1489" t="str">
            <v>ra</v>
          </cell>
          <cell r="L1489" t="str">
            <v>ラグランジュチャレンジ</v>
          </cell>
          <cell r="M1489" t="str">
            <v>god</v>
          </cell>
        </row>
        <row r="1490">
          <cell r="A1490">
            <v>6006</v>
          </cell>
          <cell r="B1490" t="str">
            <v>ja</v>
          </cell>
          <cell r="C1490" t="str">
            <v>海底の孤高神 テティス</v>
          </cell>
          <cell r="D1490" t="str">
            <v>初期ガチャ</v>
          </cell>
          <cell r="E1490" t="str">
            <v>管理者</v>
          </cell>
          <cell r="F1490" t="str">
            <v>美しい</v>
          </cell>
          <cell r="G1490" t="str">
            <v>女性</v>
          </cell>
          <cell r="H1490" t="str">
            <v>blue</v>
          </cell>
          <cell r="I1490">
            <v>5</v>
          </cell>
          <cell r="J1490" t="str">
            <v>PremiumN</v>
          </cell>
          <cell r="K1490" t="str">
            <v>ra</v>
          </cell>
          <cell r="L1490" t="str">
            <v>ラグランジュチャレンジ</v>
          </cell>
          <cell r="M1490" t="str">
            <v>god</v>
          </cell>
        </row>
        <row r="1491">
          <cell r="A1491">
            <v>6007</v>
          </cell>
          <cell r="B1491" t="str">
            <v>ja</v>
          </cell>
          <cell r="C1491" t="str">
            <v>番犬 ケルベロス</v>
          </cell>
          <cell r="D1491" t="str">
            <v>初期ガチャ</v>
          </cell>
          <cell r="E1491" t="str">
            <v>破界者</v>
          </cell>
          <cell r="F1491" t="str">
            <v>可愛い</v>
          </cell>
          <cell r="G1491" t="str">
            <v>女性</v>
          </cell>
          <cell r="H1491" t="str">
            <v>red</v>
          </cell>
          <cell r="I1491">
            <v>4</v>
          </cell>
          <cell r="J1491" t="str">
            <v>PremiumN</v>
          </cell>
          <cell r="K1491" t="str">
            <v>ra</v>
          </cell>
          <cell r="L1491" t="str">
            <v>ラグランジュチャレンジ</v>
          </cell>
          <cell r="M1491" t="str">
            <v>animal</v>
          </cell>
        </row>
        <row r="1492">
          <cell r="A1492">
            <v>6008</v>
          </cell>
          <cell r="B1492" t="str">
            <v>ja</v>
          </cell>
          <cell r="C1492" t="str">
            <v>焔神 プロメテウス</v>
          </cell>
          <cell r="D1492" t="str">
            <v>初期ガチャ</v>
          </cell>
          <cell r="E1492" t="str">
            <v>管理者</v>
          </cell>
          <cell r="F1492" t="str">
            <v>格好いい</v>
          </cell>
          <cell r="G1492" t="str">
            <v>男性</v>
          </cell>
          <cell r="H1492" t="str">
            <v>red</v>
          </cell>
          <cell r="I1492">
            <v>4</v>
          </cell>
          <cell r="J1492" t="str">
            <v>PremiumN</v>
          </cell>
          <cell r="K1492" t="str">
            <v>ra</v>
          </cell>
          <cell r="L1492" t="str">
            <v>ラグランジュチャレンジ</v>
          </cell>
          <cell r="M1492" t="str">
            <v>god</v>
          </cell>
        </row>
        <row r="1493">
          <cell r="A1493">
            <v>6009</v>
          </cell>
          <cell r="B1493" t="str">
            <v>ja</v>
          </cell>
          <cell r="C1493" t="str">
            <v>超越自我 ラグランジュ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5</v>
          </cell>
          <cell r="J1493" t="str">
            <v>PremiumSSS</v>
          </cell>
          <cell r="K1493" t="str">
            <v>ra</v>
          </cell>
          <cell r="L1493" t="str">
            <v>ラグランジュチャレンジ</v>
          </cell>
          <cell r="M1493" t="str">
            <v>human</v>
          </cell>
        </row>
        <row r="1494">
          <cell r="A1494">
            <v>6010</v>
          </cell>
          <cell r="B1494" t="str">
            <v>ja</v>
          </cell>
          <cell r="C1494" t="str">
            <v>超越凌駕 ラグランジュ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red</v>
          </cell>
          <cell r="I1494">
            <v>6</v>
          </cell>
          <cell r="J1494" t="str">
            <v>PremiumSSS</v>
          </cell>
          <cell r="K1494" t="str">
            <v>ra</v>
          </cell>
          <cell r="L1494" t="str">
            <v>ラグランジュチャレンジ</v>
          </cell>
          <cell r="M1494" t="str">
            <v>human</v>
          </cell>
        </row>
        <row r="1495">
          <cell r="A1495">
            <v>6011</v>
          </cell>
          <cell r="B1495" t="str">
            <v>ja</v>
          </cell>
          <cell r="C1495" t="str">
            <v>パトドッグリーダー ポチ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blue</v>
          </cell>
          <cell r="I1495">
            <v>2</v>
          </cell>
          <cell r="J1495" t="str">
            <v>Drop1T</v>
          </cell>
          <cell r="K1495" t="str">
            <v>ra002</v>
          </cell>
          <cell r="L1495" t="str">
            <v>ユークリッドチャレンジ</v>
          </cell>
          <cell r="M1495" t="str">
            <v>unknown</v>
          </cell>
        </row>
        <row r="1496">
          <cell r="A1496">
            <v>6012</v>
          </cell>
          <cell r="B1496" t="str">
            <v>ja</v>
          </cell>
          <cell r="C1496" t="str">
            <v>ミミ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yellow</v>
          </cell>
          <cell r="I1496">
            <v>1</v>
          </cell>
          <cell r="J1496" t="str">
            <v>Drop1W</v>
          </cell>
          <cell r="K1496" t="str">
            <v>ra002</v>
          </cell>
          <cell r="L1496" t="str">
            <v>ユークリッドチャレンジ</v>
          </cell>
          <cell r="M1496" t="str">
            <v>animal</v>
          </cell>
        </row>
        <row r="1497">
          <cell r="A1497">
            <v>6013</v>
          </cell>
          <cell r="B1497" t="str">
            <v>ja</v>
          </cell>
          <cell r="C1497" t="str">
            <v>護衛機人 スケアクロウ</v>
          </cell>
          <cell r="D1497" t="str">
            <v>ガチャ:フィーバーフェス02</v>
          </cell>
          <cell r="E1497" t="str">
            <v>執行者</v>
          </cell>
          <cell r="F1497" t="str">
            <v>格好いい</v>
          </cell>
          <cell r="G1497" t="str">
            <v>男性</v>
          </cell>
          <cell r="H1497" t="str">
            <v>blue</v>
          </cell>
          <cell r="I1497">
            <v>2</v>
          </cell>
          <cell r="J1497" t="str">
            <v>Drop1N</v>
          </cell>
          <cell r="K1497" t="str">
            <v>ra002</v>
          </cell>
          <cell r="L1497" t="str">
            <v>ユークリッドチャレンジ</v>
          </cell>
          <cell r="M1497" t="str">
            <v>machine</v>
          </cell>
        </row>
        <row r="1498">
          <cell r="A1498">
            <v>6014</v>
          </cell>
          <cell r="B1498" t="str">
            <v>ja</v>
          </cell>
          <cell r="C1498" t="str">
            <v>月下の人狼 ローレンス</v>
          </cell>
          <cell r="D1498" t="str">
            <v>ガチャ:フィーバーフェス02</v>
          </cell>
          <cell r="E1498" t="str">
            <v>執行者</v>
          </cell>
          <cell r="F1498" t="str">
            <v>格好いい</v>
          </cell>
          <cell r="G1498" t="str">
            <v>男性</v>
          </cell>
          <cell r="H1498" t="str">
            <v>blue</v>
          </cell>
          <cell r="I1498">
            <v>4</v>
          </cell>
          <cell r="J1498" t="str">
            <v>PremiumW</v>
          </cell>
          <cell r="K1498" t="str">
            <v>ra002</v>
          </cell>
          <cell r="L1498" t="str">
            <v>ユークリッドチャレンジ</v>
          </cell>
          <cell r="M1498" t="str">
            <v>animal</v>
          </cell>
        </row>
        <row r="1499">
          <cell r="A1499">
            <v>6015</v>
          </cell>
          <cell r="B1499" t="str">
            <v>ja</v>
          </cell>
          <cell r="C1499" t="str">
            <v>フレイヤ</v>
          </cell>
          <cell r="D1499" t="str">
            <v>ガチャ:フィーバーフェス02</v>
          </cell>
          <cell r="E1499" t="str">
            <v>執行者</v>
          </cell>
          <cell r="F1499" t="str">
            <v>格好いい</v>
          </cell>
          <cell r="G1499" t="str">
            <v>男性</v>
          </cell>
          <cell r="H1499" t="str">
            <v>blue</v>
          </cell>
          <cell r="I1499">
            <v>4</v>
          </cell>
          <cell r="J1499" t="str">
            <v>PremiumSS</v>
          </cell>
          <cell r="K1499" t="str">
            <v>ra002</v>
          </cell>
          <cell r="L1499" t="str">
            <v>ユークリッドチャレンジ</v>
          </cell>
          <cell r="M1499" t="str">
            <v>animal</v>
          </cell>
        </row>
        <row r="1500">
          <cell r="A1500">
            <v>6016</v>
          </cell>
          <cell r="B1500" t="str">
            <v>ja</v>
          </cell>
          <cell r="C1500" t="str">
            <v>根原論理 ユークリッド</v>
          </cell>
          <cell r="D1500" t="str">
            <v>ガチャ:フィーバーフェス02</v>
          </cell>
          <cell r="E1500" t="str">
            <v>執行者</v>
          </cell>
          <cell r="F1500" t="str">
            <v>格好いい</v>
          </cell>
          <cell r="G1500" t="str">
            <v>男性</v>
          </cell>
          <cell r="H1500" t="str">
            <v>blue</v>
          </cell>
          <cell r="I1500">
            <v>5</v>
          </cell>
          <cell r="J1500" t="str">
            <v>PremiumSSS</v>
          </cell>
          <cell r="K1500" t="str">
            <v>ra002</v>
          </cell>
          <cell r="L1500" t="str">
            <v>ユークリッドチャレンジ</v>
          </cell>
          <cell r="M1500" t="str">
            <v>human</v>
          </cell>
        </row>
        <row r="1501">
          <cell r="A1501">
            <v>6017</v>
          </cell>
          <cell r="B1501" t="str">
            <v>ja</v>
          </cell>
          <cell r="C1501" t="str">
            <v>不朽の極論 ユークリッド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男性</v>
          </cell>
          <cell r="H1501" t="str">
            <v>blue</v>
          </cell>
          <cell r="I1501">
            <v>6</v>
          </cell>
          <cell r="J1501" t="str">
            <v>PremiumSSS</v>
          </cell>
          <cell r="K1501" t="str">
            <v>ra002</v>
          </cell>
          <cell r="L1501" t="str">
            <v>ユークリッドチャレンジ</v>
          </cell>
          <cell r="M1501" t="str">
            <v>human</v>
          </cell>
        </row>
        <row r="1502">
          <cell r="A1502">
            <v>6018</v>
          </cell>
          <cell r="B1502" t="str">
            <v>ja</v>
          </cell>
          <cell r="C1502" t="str">
            <v>ハヅル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男性</v>
          </cell>
          <cell r="H1502" t="str">
            <v>red</v>
          </cell>
          <cell r="I1502">
            <v>4</v>
          </cell>
          <cell r="J1502" t="str">
            <v>PremiumSS</v>
          </cell>
          <cell r="K1502" t="str">
            <v>ra002</v>
          </cell>
          <cell r="L1502" t="str">
            <v>ユークリッドチャレンジ</v>
          </cell>
          <cell r="M1502" t="str">
            <v>animal</v>
          </cell>
        </row>
        <row r="1503">
          <cell r="A1503">
            <v>6019</v>
          </cell>
          <cell r="B1503" t="str">
            <v>ja</v>
          </cell>
          <cell r="C1503" t="str">
            <v>天織羽鶴 ハヅル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red</v>
          </cell>
          <cell r="I1503">
            <v>5</v>
          </cell>
          <cell r="J1503" t="str">
            <v>PremiumSS</v>
          </cell>
          <cell r="K1503" t="str">
            <v>ra002</v>
          </cell>
          <cell r="L1503" t="str">
            <v>ユークリッドチャレンジ</v>
          </cell>
          <cell r="M1503" t="str">
            <v>animal</v>
          </cell>
        </row>
        <row r="1504">
          <cell r="A1504">
            <v>6020</v>
          </cell>
          <cell r="B1504" t="str">
            <v>ja</v>
          </cell>
          <cell r="C1504" t="str">
            <v>ミズチ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blue</v>
          </cell>
          <cell r="I1504">
            <v>4</v>
          </cell>
          <cell r="J1504" t="str">
            <v>PremiumS</v>
          </cell>
          <cell r="K1504" t="str">
            <v>ra002</v>
          </cell>
          <cell r="L1504" t="str">
            <v>ユークリッドチャレンジ</v>
          </cell>
          <cell r="M1504" t="str">
            <v>dragon</v>
          </cell>
        </row>
        <row r="1505">
          <cell r="A1505">
            <v>8001</v>
          </cell>
          <cell r="B1505" t="str">
            <v>ja</v>
          </cell>
          <cell r="C1505" t="str">
            <v>媽祖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yellow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8002</v>
          </cell>
          <cell r="B1506" t="str">
            <v>ja</v>
          </cell>
          <cell r="C1506" t="str">
            <v>宣導する天海妃 媽祖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8003</v>
          </cell>
          <cell r="B1507" t="str">
            <v>ja</v>
          </cell>
          <cell r="C1507" t="str">
            <v>蛟龍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不明</v>
          </cell>
          <cell r="H1507" t="str">
            <v>blue</v>
          </cell>
          <cell r="I1507">
            <v>5</v>
          </cell>
          <cell r="J1507" t="str">
            <v>DropWizS</v>
          </cell>
          <cell r="K1507" t="str">
            <v>hp</v>
          </cell>
          <cell r="L1507" t="str">
            <v>体力タイプ</v>
          </cell>
          <cell r="M1507" t="str">
            <v>dragon</v>
          </cell>
        </row>
        <row r="1508">
          <cell r="A1508">
            <v>8004</v>
          </cell>
          <cell r="B1508" t="str">
            <v>ja</v>
          </cell>
          <cell r="C1508" t="str">
            <v>呼嵐の蒼棲龍 蛟龍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不明</v>
          </cell>
          <cell r="H1508" t="str">
            <v>blue</v>
          </cell>
          <cell r="I1508">
            <v>6</v>
          </cell>
          <cell r="J1508" t="str">
            <v>DropWizS</v>
          </cell>
          <cell r="K1508" t="str">
            <v>hp</v>
          </cell>
          <cell r="L1508" t="str">
            <v>体力タイプ</v>
          </cell>
          <cell r="M1508" t="str">
            <v>dragon</v>
          </cell>
        </row>
        <row r="1509">
          <cell r="A1509">
            <v>8005</v>
          </cell>
          <cell r="B1509" t="str">
            <v>ja</v>
          </cell>
          <cell r="C1509" t="str">
            <v>三蔵法師</v>
          </cell>
          <cell r="D1509" t="str">
            <v>イベント:ミクコラボ01</v>
          </cell>
          <cell r="E1509" t="str">
            <v>執行者</v>
          </cell>
          <cell r="F1509" t="str">
            <v>格好いい</v>
          </cell>
          <cell r="G1509" t="str">
            <v>不明</v>
          </cell>
          <cell r="H1509" t="str">
            <v>blue</v>
          </cell>
          <cell r="I1509">
            <v>5</v>
          </cell>
          <cell r="J1509" t="str">
            <v>PremiumSS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8006</v>
          </cell>
          <cell r="B1510" t="str">
            <v>ja</v>
          </cell>
          <cell r="C1510" t="str">
            <v>慈戒の呪封使 三蔵法師</v>
          </cell>
          <cell r="D1510" t="str">
            <v>イベント:ミクコラボ01</v>
          </cell>
          <cell r="E1510" t="str">
            <v>執行者</v>
          </cell>
          <cell r="F1510" t="str">
            <v>格好いい</v>
          </cell>
          <cell r="G1510" t="str">
            <v>不明</v>
          </cell>
          <cell r="H1510" t="str">
            <v>blue</v>
          </cell>
          <cell r="I1510">
            <v>6</v>
          </cell>
          <cell r="J1510" t="str">
            <v>PremiumSS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8007</v>
          </cell>
          <cell r="B1511" t="str">
            <v>ja</v>
          </cell>
          <cell r="C1511" t="str">
            <v>孫悟空</v>
          </cell>
          <cell r="D1511" t="str">
            <v>イベント:ミクコラボ01</v>
          </cell>
          <cell r="E1511" t="str">
            <v>執行者</v>
          </cell>
          <cell r="F1511" t="str">
            <v>格好いい</v>
          </cell>
          <cell r="G1511" t="str">
            <v>不明</v>
          </cell>
          <cell r="H1511" t="str">
            <v>red</v>
          </cell>
          <cell r="I1511">
            <v>5</v>
          </cell>
          <cell r="J1511" t="str">
            <v>DropWizS</v>
          </cell>
          <cell r="K1511" t="str">
            <v>attack</v>
          </cell>
          <cell r="L1511" t="str">
            <v>攻撃タイプ</v>
          </cell>
          <cell r="M1511" t="str">
            <v>animal</v>
          </cell>
        </row>
        <row r="1512">
          <cell r="A1512">
            <v>8008</v>
          </cell>
          <cell r="B1512" t="str">
            <v>ja</v>
          </cell>
          <cell r="C1512" t="str">
            <v>花果の天猿仙人 孫悟空</v>
          </cell>
          <cell r="D1512" t="str">
            <v>イベント:ミクコラボ01</v>
          </cell>
          <cell r="E1512" t="str">
            <v>執行者</v>
          </cell>
          <cell r="F1512" t="str">
            <v>格好いい</v>
          </cell>
          <cell r="G1512" t="str">
            <v>不明</v>
          </cell>
          <cell r="H1512" t="str">
            <v>red</v>
          </cell>
          <cell r="I1512">
            <v>6</v>
          </cell>
          <cell r="J1512" t="str">
            <v>DropWizS</v>
          </cell>
          <cell r="K1512" t="str">
            <v>attack</v>
          </cell>
          <cell r="L1512" t="str">
            <v>攻撃タイプ</v>
          </cell>
          <cell r="M1512" t="str">
            <v>animal</v>
          </cell>
        </row>
        <row r="1513">
          <cell r="A1513">
            <v>8009</v>
          </cell>
          <cell r="B1513" t="str">
            <v>ja</v>
          </cell>
          <cell r="C1513" t="str">
            <v>西王娘娘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不明</v>
          </cell>
          <cell r="H1513" t="str">
            <v>green</v>
          </cell>
          <cell r="I1513">
            <v>5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8010</v>
          </cell>
          <cell r="B1514" t="str">
            <v>ja</v>
          </cell>
          <cell r="C1514" t="str">
            <v>極楽瑶池の聖母 西王娘娘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不明</v>
          </cell>
          <cell r="H1514" t="str">
            <v>green</v>
          </cell>
          <cell r="I1514">
            <v>6</v>
          </cell>
          <cell r="J1514" t="str">
            <v>PremiumSS</v>
          </cell>
          <cell r="K1514" t="str">
            <v>attack</v>
          </cell>
          <cell r="L1514" t="str">
            <v>攻撃タイプ</v>
          </cell>
          <cell r="M1514" t="str">
            <v>god</v>
          </cell>
        </row>
        <row r="1515">
          <cell r="A1515">
            <v>8011</v>
          </cell>
          <cell r="B1515" t="str">
            <v>ja</v>
          </cell>
          <cell r="C1515" t="str">
            <v>月下老人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god</v>
          </cell>
        </row>
        <row r="1516">
          <cell r="A1516">
            <v>8012</v>
          </cell>
          <cell r="B1516" t="str">
            <v>ja</v>
          </cell>
          <cell r="C1516" t="str">
            <v>破戀斬る縁剣 月下老人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god</v>
          </cell>
        </row>
        <row r="1517">
          <cell r="A1517">
            <v>8013</v>
          </cell>
          <cell r="B1517" t="str">
            <v>ja</v>
          </cell>
          <cell r="C1517" t="str">
            <v>初音ミクV3</v>
          </cell>
          <cell r="D1517" t="str">
            <v>初音ミクV3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unknown</v>
          </cell>
        </row>
        <row r="1518">
          <cell r="A1518">
            <v>8014</v>
          </cell>
          <cell r="B1518" t="str">
            <v>ja</v>
          </cell>
          <cell r="C1518" t="str">
            <v>初音ミクV3</v>
          </cell>
          <cell r="D1518" t="str">
            <v>初音ミクV3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unknown</v>
          </cell>
        </row>
        <row r="1519">
          <cell r="A1519">
            <v>8015</v>
          </cell>
          <cell r="B1519" t="str">
            <v>ja</v>
          </cell>
          <cell r="C1519" t="str">
            <v>初音ミク・アペンド</v>
          </cell>
          <cell r="D1519" t="str">
            <v>初音ミク・アペンド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4</v>
          </cell>
          <cell r="J1519" t="str">
            <v>PremiumSSS</v>
          </cell>
          <cell r="K1519" t="str">
            <v>technical</v>
          </cell>
          <cell r="L1519" t="str">
            <v>テクニカルタイプ</v>
          </cell>
          <cell r="M1519" t="str">
            <v>unknown</v>
          </cell>
        </row>
        <row r="1520">
          <cell r="A1520">
            <v>8016</v>
          </cell>
          <cell r="B1520" t="str">
            <v>ja</v>
          </cell>
          <cell r="C1520" t="str">
            <v>初音ミク・アペンド</v>
          </cell>
          <cell r="D1520" t="str">
            <v>初音ミク・アペンド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5</v>
          </cell>
          <cell r="J1520" t="str">
            <v>PremiumSSS</v>
          </cell>
          <cell r="K1520" t="str">
            <v>technical</v>
          </cell>
          <cell r="L1520" t="str">
            <v>テクニカルタイプ</v>
          </cell>
          <cell r="M1520" t="str">
            <v>unknown</v>
          </cell>
        </row>
        <row r="1521">
          <cell r="A1521">
            <v>8017</v>
          </cell>
          <cell r="B1521" t="str">
            <v>ja</v>
          </cell>
          <cell r="C1521" t="str">
            <v>初音ミク</v>
          </cell>
          <cell r="D1521" t="str">
            <v>初音ミク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4</v>
          </cell>
          <cell r="J1521" t="str">
            <v>PremiumSSS</v>
          </cell>
          <cell r="K1521" t="str">
            <v>balance</v>
          </cell>
          <cell r="L1521" t="str">
            <v>バランスタイプ</v>
          </cell>
          <cell r="M1521" t="str">
            <v>unknown</v>
          </cell>
        </row>
        <row r="1522">
          <cell r="A1522">
            <v>8018</v>
          </cell>
          <cell r="B1522" t="str">
            <v>ja</v>
          </cell>
          <cell r="C1522" t="str">
            <v>初音ミク</v>
          </cell>
          <cell r="D1522" t="str">
            <v>初音ミク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5</v>
          </cell>
          <cell r="J1522" t="str">
            <v>PremiumSSS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8019</v>
          </cell>
          <cell r="B1523" t="str">
            <v>ja</v>
          </cell>
          <cell r="C1523" t="str">
            <v>鏡音リン</v>
          </cell>
          <cell r="D1523" t="str">
            <v>鏡音リン</v>
          </cell>
          <cell r="E1523" t="str">
            <v>執行者</v>
          </cell>
          <cell r="F1523" t="str">
            <v>格好いい</v>
          </cell>
          <cell r="G1523" t="str">
            <v>男性</v>
          </cell>
          <cell r="H1523" t="str">
            <v>yellow</v>
          </cell>
          <cell r="I1523">
            <v>4</v>
          </cell>
          <cell r="J1523" t="str">
            <v>PremiumSS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8020</v>
          </cell>
          <cell r="B1524" t="str">
            <v>ja</v>
          </cell>
          <cell r="C1524" t="str">
            <v>鏡音リン</v>
          </cell>
          <cell r="D1524" t="str">
            <v>鏡音リン</v>
          </cell>
          <cell r="E1524" t="str">
            <v>執行者</v>
          </cell>
          <cell r="F1524" t="str">
            <v>格好いい</v>
          </cell>
          <cell r="G1524" t="str">
            <v>男性</v>
          </cell>
          <cell r="H1524" t="str">
            <v>yellow</v>
          </cell>
          <cell r="I1524">
            <v>5</v>
          </cell>
          <cell r="J1524" t="str">
            <v>PremiumSS</v>
          </cell>
          <cell r="K1524" t="str">
            <v>balance</v>
          </cell>
          <cell r="L1524" t="str">
            <v>バランスタイプ</v>
          </cell>
          <cell r="M1524" t="str">
            <v>unknown</v>
          </cell>
        </row>
        <row r="1525">
          <cell r="A1525">
            <v>8021</v>
          </cell>
          <cell r="B1525" t="str">
            <v>ja</v>
          </cell>
          <cell r="C1525" t="str">
            <v>鏡音レン</v>
          </cell>
          <cell r="D1525" t="str">
            <v>鏡音レン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yellow</v>
          </cell>
          <cell r="I1525">
            <v>4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8022</v>
          </cell>
          <cell r="B1526" t="str">
            <v>ja</v>
          </cell>
          <cell r="C1526" t="str">
            <v>鏡音レン</v>
          </cell>
          <cell r="D1526" t="str">
            <v>鏡音レン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8023</v>
          </cell>
          <cell r="B1527" t="str">
            <v>ja</v>
          </cell>
          <cell r="C1527" t="str">
            <v>巡音ルカ</v>
          </cell>
          <cell r="D1527" t="str">
            <v>巡音ルカ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3</v>
          </cell>
          <cell r="J1527" t="str">
            <v>PremiumS</v>
          </cell>
          <cell r="K1527" t="str">
            <v>attack</v>
          </cell>
          <cell r="L1527" t="str">
            <v>攻撃タイプ</v>
          </cell>
          <cell r="M1527" t="str">
            <v>unknown</v>
          </cell>
        </row>
        <row r="1528">
          <cell r="A1528">
            <v>8024</v>
          </cell>
          <cell r="B1528" t="str">
            <v>ja</v>
          </cell>
          <cell r="C1528" t="str">
            <v>巡音ルカ</v>
          </cell>
          <cell r="D1528" t="str">
            <v>巡音ルカ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4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unknown</v>
          </cell>
        </row>
        <row r="1529">
          <cell r="A1529">
            <v>8025</v>
          </cell>
          <cell r="B1529" t="str">
            <v>ja</v>
          </cell>
          <cell r="C1529" t="str">
            <v>MEIKO</v>
          </cell>
          <cell r="D1529" t="str">
            <v>MEIKO</v>
          </cell>
          <cell r="E1529" t="str">
            <v>執行者</v>
          </cell>
          <cell r="F1529" t="str">
            <v>格好いい</v>
          </cell>
          <cell r="G1529" t="str">
            <v>男性</v>
          </cell>
          <cell r="H1529" t="str">
            <v>red</v>
          </cell>
          <cell r="I1529">
            <v>3</v>
          </cell>
          <cell r="J1529" t="str">
            <v>PremiumS</v>
          </cell>
          <cell r="K1529" t="str">
            <v>hp</v>
          </cell>
          <cell r="L1529" t="str">
            <v>体力タイプ</v>
          </cell>
          <cell r="M1529" t="str">
            <v>unknown</v>
          </cell>
        </row>
        <row r="1530">
          <cell r="A1530">
            <v>8026</v>
          </cell>
          <cell r="B1530" t="str">
            <v>ja</v>
          </cell>
          <cell r="C1530" t="str">
            <v>MEIKO</v>
          </cell>
          <cell r="D1530" t="str">
            <v>MEIKO</v>
          </cell>
          <cell r="E1530" t="str">
            <v>執行者</v>
          </cell>
          <cell r="F1530" t="str">
            <v>格好いい</v>
          </cell>
          <cell r="G1530" t="str">
            <v>男性</v>
          </cell>
          <cell r="H1530" t="str">
            <v>red</v>
          </cell>
          <cell r="I1530">
            <v>4</v>
          </cell>
          <cell r="J1530" t="str">
            <v>PremiumS</v>
          </cell>
          <cell r="K1530" t="str">
            <v>hp</v>
          </cell>
          <cell r="L1530" t="str">
            <v>体力タイプ</v>
          </cell>
          <cell r="M1530" t="str">
            <v>unknown</v>
          </cell>
        </row>
        <row r="1531">
          <cell r="A1531">
            <v>8027</v>
          </cell>
          <cell r="B1531" t="str">
            <v>ja</v>
          </cell>
          <cell r="C1531" t="str">
            <v>KAITO</v>
          </cell>
          <cell r="D1531" t="str">
            <v>KAITO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3</v>
          </cell>
          <cell r="J1531" t="str">
            <v>PremiumS</v>
          </cell>
          <cell r="K1531" t="str">
            <v>technical</v>
          </cell>
          <cell r="L1531" t="str">
            <v>テクニカルタイプ</v>
          </cell>
          <cell r="M1531" t="str">
            <v>unknown</v>
          </cell>
        </row>
        <row r="1532">
          <cell r="A1532">
            <v>8028</v>
          </cell>
          <cell r="B1532" t="str">
            <v>ja</v>
          </cell>
          <cell r="C1532" t="str">
            <v>KAITO</v>
          </cell>
          <cell r="D1532" t="str">
            <v>KAITO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4</v>
          </cell>
          <cell r="J1532" t="str">
            <v>PremiumS</v>
          </cell>
          <cell r="K1532" t="str">
            <v>technical</v>
          </cell>
          <cell r="L1532" t="str">
            <v>テクニカルタイプ</v>
          </cell>
          <cell r="M1532" t="str">
            <v>unknown</v>
          </cell>
        </row>
        <row r="1533">
          <cell r="A1533">
            <v>8029</v>
          </cell>
          <cell r="B1533" t="str">
            <v>ja</v>
          </cell>
          <cell r="C1533" t="str">
            <v>Expoミク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4</v>
          </cell>
          <cell r="J1533" t="str">
            <v>Drop2N</v>
          </cell>
          <cell r="K1533" t="str">
            <v>heal</v>
          </cell>
          <cell r="L1533" t="str">
            <v>回復タイプ</v>
          </cell>
          <cell r="M1533" t="str">
            <v>unknown</v>
          </cell>
        </row>
        <row r="1534">
          <cell r="A1534">
            <v>8030</v>
          </cell>
          <cell r="B1534" t="str">
            <v>ja</v>
          </cell>
          <cell r="C1534" t="str">
            <v>Expoミク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5</v>
          </cell>
          <cell r="J1534" t="str">
            <v>Drop2N</v>
          </cell>
          <cell r="K1534" t="str">
            <v>heal</v>
          </cell>
          <cell r="L1534" t="str">
            <v>回復タイプ</v>
          </cell>
          <cell r="M1534" t="str">
            <v>unknown</v>
          </cell>
        </row>
        <row r="1535">
          <cell r="A1535">
            <v>8031</v>
          </cell>
          <cell r="B1535" t="str">
            <v>ja</v>
          </cell>
          <cell r="C1535" t="str">
            <v>閻羅王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5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god</v>
          </cell>
        </row>
        <row r="1536">
          <cell r="A1536">
            <v>8032</v>
          </cell>
          <cell r="B1536" t="str">
            <v>ja</v>
          </cell>
          <cell r="C1536" t="str">
            <v>六道輪廻の絶獄 閻羅王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8033</v>
          </cell>
          <cell r="B1537" t="str">
            <v>ja</v>
          </cell>
          <cell r="C1537" t="str">
            <v>牛頭馬面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green</v>
          </cell>
          <cell r="I1537">
            <v>5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god</v>
          </cell>
        </row>
        <row r="1538">
          <cell r="A1538">
            <v>8034</v>
          </cell>
          <cell r="B1538" t="str">
            <v>ja</v>
          </cell>
          <cell r="C1538" t="str">
            <v>冥府狩る魂使 牛頭馬面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green</v>
          </cell>
          <cell r="I1538">
            <v>6</v>
          </cell>
          <cell r="J1538" t="str">
            <v>DropWizS</v>
          </cell>
          <cell r="K1538" t="str">
            <v>attack</v>
          </cell>
          <cell r="L1538" t="str">
            <v>攻撃タイプ</v>
          </cell>
          <cell r="M1538" t="str">
            <v>god</v>
          </cell>
        </row>
        <row r="1539">
          <cell r="A1539">
            <v>8035</v>
          </cell>
          <cell r="B1539" t="str">
            <v>ja</v>
          </cell>
          <cell r="C1539" t="str">
            <v>飛衛</v>
          </cell>
          <cell r="D1539" t="str">
            <v>Expoミク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5</v>
          </cell>
          <cell r="J1539" t="str">
            <v>PremiumSS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8036</v>
          </cell>
          <cell r="B1540" t="str">
            <v>ja</v>
          </cell>
          <cell r="C1540" t="str">
            <v>レア６飛衛</v>
          </cell>
          <cell r="D1540" t="str">
            <v>Expoミク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6</v>
          </cell>
          <cell r="J1540" t="str">
            <v>PremiumSS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8037</v>
          </cell>
          <cell r="B1541" t="str">
            <v>ja</v>
          </cell>
          <cell r="C1541" t="str">
            <v>紀昌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5</v>
          </cell>
          <cell r="J1541" t="str">
            <v>DropWizS</v>
          </cell>
          <cell r="K1541" t="str">
            <v>attack</v>
          </cell>
          <cell r="L1541" t="str">
            <v>攻撃タイプ</v>
          </cell>
          <cell r="M1541" t="str">
            <v>human</v>
          </cell>
        </row>
        <row r="1542">
          <cell r="A1542">
            <v>8038</v>
          </cell>
          <cell r="B1542" t="str">
            <v>ja</v>
          </cell>
          <cell r="C1542" t="str">
            <v>レア６紀昌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red</v>
          </cell>
          <cell r="I1542">
            <v>6</v>
          </cell>
          <cell r="J1542" t="str">
            <v>DropWizS</v>
          </cell>
          <cell r="K1542" t="str">
            <v>attack</v>
          </cell>
          <cell r="L1542" t="str">
            <v>攻撃タイプ</v>
          </cell>
          <cell r="M1542" t="str">
            <v>human</v>
          </cell>
        </row>
        <row r="1543">
          <cell r="A1543">
            <v>8039</v>
          </cell>
          <cell r="B1543" t="str">
            <v>ja</v>
          </cell>
          <cell r="C1543" t="str">
            <v>何仙姑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yellow</v>
          </cell>
          <cell r="I1543">
            <v>5</v>
          </cell>
          <cell r="J1543" t="str">
            <v>PremiumSSw</v>
          </cell>
          <cell r="K1543" t="str">
            <v>hp</v>
          </cell>
          <cell r="L1543" t="str">
            <v>体力タイプ</v>
          </cell>
          <cell r="M1543" t="str">
            <v>god</v>
          </cell>
        </row>
        <row r="1544">
          <cell r="A1544">
            <v>8040</v>
          </cell>
          <cell r="B1544" t="str">
            <v>ja</v>
          </cell>
          <cell r="C1544" t="str">
            <v>レア６何仙姑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yellow</v>
          </cell>
          <cell r="I1544">
            <v>6</v>
          </cell>
          <cell r="J1544" t="str">
            <v>PremiumSSw</v>
          </cell>
          <cell r="K1544" t="str">
            <v>hp</v>
          </cell>
          <cell r="L1544" t="str">
            <v>体力タイプ</v>
          </cell>
          <cell r="M1544" t="str">
            <v>god</v>
          </cell>
        </row>
        <row r="1545">
          <cell r="A1545">
            <v>8041</v>
          </cell>
          <cell r="B1545" t="str">
            <v>ja</v>
          </cell>
          <cell r="C1545" t="str">
            <v>藍采和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blue</v>
          </cell>
          <cell r="I1545">
            <v>5</v>
          </cell>
          <cell r="J1545" t="str">
            <v>DropWizS</v>
          </cell>
          <cell r="K1545" t="str">
            <v>balance</v>
          </cell>
          <cell r="L1545" t="str">
            <v>バランスタイプ</v>
          </cell>
          <cell r="M1545" t="str">
            <v>god</v>
          </cell>
        </row>
        <row r="1546">
          <cell r="A1546">
            <v>8042</v>
          </cell>
          <cell r="B1546" t="str">
            <v>ja</v>
          </cell>
          <cell r="C1546" t="str">
            <v>レア６藍采和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blue</v>
          </cell>
          <cell r="I1546">
            <v>6</v>
          </cell>
          <cell r="J1546" t="str">
            <v>DropWizS</v>
          </cell>
          <cell r="K1546" t="str">
            <v>balance</v>
          </cell>
          <cell r="L1546" t="str">
            <v>バランスタイプ</v>
          </cell>
          <cell r="M1546" t="str">
            <v>god</v>
          </cell>
        </row>
        <row r="1547">
          <cell r="A1547">
            <v>8043</v>
          </cell>
          <cell r="B1547" t="str">
            <v>ja</v>
          </cell>
          <cell r="C1547" t="str">
            <v>サンリオキャラ大集合+アザゼル</v>
          </cell>
          <cell r="D1547" t="str">
            <v>サンリオキャラ大集合+アザゼル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ss</v>
          </cell>
        </row>
        <row r="1548">
          <cell r="A1548">
            <v>8044</v>
          </cell>
          <cell r="B1548" t="str">
            <v>ja</v>
          </cell>
          <cell r="C1548" t="str">
            <v>サンリオキャラ大集合+アザゼル</v>
          </cell>
          <cell r="D1548" t="str">
            <v>サンリオキャラ大集合+アザゼル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ss</v>
          </cell>
        </row>
        <row r="1549">
          <cell r="A1549">
            <v>8045</v>
          </cell>
          <cell r="B1549" t="str">
            <v>ja</v>
          </cell>
          <cell r="C1549" t="str">
            <v>ニムダ_サンリオキャラ混じり</v>
          </cell>
          <cell r="D1549" t="str">
            <v>ニムダ_サンリオキャラ混じり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yellow</v>
          </cell>
          <cell r="I1549">
            <v>4</v>
          </cell>
          <cell r="J1549" t="str">
            <v>Drop2N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</row>
        <row r="1550">
          <cell r="A1550">
            <v>8046</v>
          </cell>
          <cell r="B1550" t="str">
            <v>ja</v>
          </cell>
          <cell r="C1550" t="str">
            <v>ニムダ_サンリオキャラ混じり</v>
          </cell>
          <cell r="D1550" t="str">
            <v>ニムダ_サンリオキャラ混じり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yellow</v>
          </cell>
          <cell r="I1550">
            <v>5</v>
          </cell>
          <cell r="J1550" t="str">
            <v>Drop2N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</row>
        <row r="1551">
          <cell r="A1551">
            <v>8047</v>
          </cell>
          <cell r="B1551" t="str">
            <v>ja</v>
          </cell>
          <cell r="C1551" t="str">
            <v>ハローキティ</v>
          </cell>
          <cell r="D1551" t="str">
            <v>ハローキティ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Drop2N</v>
          </cell>
          <cell r="K1551" t="str">
            <v>balance</v>
          </cell>
          <cell r="L1551" t="str">
            <v>バランスタイプ</v>
          </cell>
          <cell r="M1551" t="str">
            <v>ss</v>
          </cell>
        </row>
        <row r="1552">
          <cell r="A1552">
            <v>8048</v>
          </cell>
          <cell r="B1552" t="str">
            <v>ja</v>
          </cell>
          <cell r="C1552" t="str">
            <v>ハローキティ</v>
          </cell>
          <cell r="D1552" t="str">
            <v>ハローキティ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Drop2N</v>
          </cell>
          <cell r="K1552" t="str">
            <v>balance</v>
          </cell>
          <cell r="L1552" t="str">
            <v>バランスタイプ</v>
          </cell>
          <cell r="M1552" t="str">
            <v>ss</v>
          </cell>
        </row>
        <row r="1553">
          <cell r="A1553">
            <v>8049</v>
          </cell>
          <cell r="B1553" t="str">
            <v>ja</v>
          </cell>
          <cell r="C1553" t="str">
            <v>KIRIMIちゃん</v>
          </cell>
          <cell r="D1553" t="str">
            <v>KIRIMIちゃん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red</v>
          </cell>
          <cell r="I1553">
            <v>4</v>
          </cell>
          <cell r="J1553" t="str">
            <v>Drop2N</v>
          </cell>
          <cell r="K1553" t="str">
            <v>hp</v>
          </cell>
          <cell r="L1553" t="str">
            <v>体力タイプ</v>
          </cell>
          <cell r="M1553" t="str">
            <v>ss</v>
          </cell>
        </row>
        <row r="1554">
          <cell r="A1554">
            <v>8050</v>
          </cell>
          <cell r="B1554" t="str">
            <v>ja</v>
          </cell>
          <cell r="C1554" t="str">
            <v>KIRIMIちゃん</v>
          </cell>
          <cell r="D1554" t="str">
            <v>KIRIMIちゃん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red</v>
          </cell>
          <cell r="I1554">
            <v>5</v>
          </cell>
          <cell r="J1554" t="str">
            <v>Drop2N</v>
          </cell>
          <cell r="K1554" t="str">
            <v>hp</v>
          </cell>
          <cell r="L1554" t="str">
            <v>体力タイプ</v>
          </cell>
          <cell r="M1554" t="str">
            <v>ss</v>
          </cell>
        </row>
        <row r="1555">
          <cell r="A1555">
            <v>8051</v>
          </cell>
          <cell r="B1555" t="str">
            <v>ja</v>
          </cell>
          <cell r="C1555" t="str">
            <v>ハローキティのリボン</v>
          </cell>
          <cell r="D1555" t="str">
            <v>ハローキティのリボン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red</v>
          </cell>
          <cell r="I1555">
            <v>5</v>
          </cell>
          <cell r="J1555" t="str">
            <v>Drop2N</v>
          </cell>
          <cell r="K1555" t="str">
            <v>evolution</v>
          </cell>
          <cell r="L1555" t="str">
            <v>覚醒素材タイプ</v>
          </cell>
          <cell r="M1555" t="str">
            <v>ss</v>
          </cell>
        </row>
        <row r="1556">
          <cell r="A1556">
            <v>8052</v>
          </cell>
          <cell r="B1556" t="str">
            <v>ja</v>
          </cell>
          <cell r="C1556" t="str">
            <v>ママの作ったアップルパイ</v>
          </cell>
          <cell r="D1556" t="str">
            <v>ママの作ったアップルパイ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red</v>
          </cell>
          <cell r="I1556">
            <v>4</v>
          </cell>
          <cell r="J1556" t="str">
            <v>Drop2N</v>
          </cell>
          <cell r="K1556" t="str">
            <v>evolution</v>
          </cell>
          <cell r="L1556" t="str">
            <v>覚醒素材タイプ</v>
          </cell>
          <cell r="M1556" t="str">
            <v>ss</v>
          </cell>
        </row>
        <row r="1557">
          <cell r="A1557">
            <v>8053</v>
          </cell>
          <cell r="B1557" t="str">
            <v>ja</v>
          </cell>
          <cell r="C1557" t="str">
            <v>D.R.T.H__キティコスプレ</v>
          </cell>
          <cell r="D1557" t="str">
            <v>D.R.T.H__キティコスプレ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red</v>
          </cell>
          <cell r="I1557">
            <v>5</v>
          </cell>
          <cell r="J1557" t="str">
            <v>PremiumSS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8054</v>
          </cell>
          <cell r="B1558" t="str">
            <v>ja</v>
          </cell>
          <cell r="C1558" t="str">
            <v>D.R.T.H__キティコスプレ</v>
          </cell>
          <cell r="D1558" t="str">
            <v>D.R.T.H__キティコスプレ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6</v>
          </cell>
          <cell r="J1558" t="str">
            <v>PremiumSS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8055</v>
          </cell>
          <cell r="B1559" t="str">
            <v>ja</v>
          </cell>
          <cell r="C1559" t="str">
            <v>マイメロディ</v>
          </cell>
          <cell r="D1559" t="str">
            <v>マイメロディ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PremiumS</v>
          </cell>
          <cell r="K1559" t="str">
            <v>attack</v>
          </cell>
          <cell r="L1559" t="str">
            <v>攻撃タイプ</v>
          </cell>
          <cell r="M1559" t="str">
            <v>ss</v>
          </cell>
        </row>
        <row r="1560">
          <cell r="A1560">
            <v>8056</v>
          </cell>
          <cell r="B1560" t="str">
            <v>ja</v>
          </cell>
          <cell r="C1560" t="str">
            <v>マイメロディ</v>
          </cell>
          <cell r="D1560" t="str">
            <v>マイメロディ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5</v>
          </cell>
          <cell r="J1560" t="str">
            <v>PremiumS</v>
          </cell>
          <cell r="K1560" t="str">
            <v>attack</v>
          </cell>
          <cell r="L1560" t="str">
            <v>攻撃タイプ</v>
          </cell>
          <cell r="M1560" t="str">
            <v>ss</v>
          </cell>
        </row>
        <row r="1561">
          <cell r="A1561">
            <v>8057</v>
          </cell>
          <cell r="B1561" t="str">
            <v>ja</v>
          </cell>
          <cell r="C1561" t="str">
            <v>ニーベルゲン_シナモロールコスプレ</v>
          </cell>
          <cell r="D1561" t="str">
            <v>ニーベルゲン_シナモロールコスプレ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green</v>
          </cell>
          <cell r="I1561">
            <v>4</v>
          </cell>
          <cell r="J1561" t="str">
            <v>PremiumS</v>
          </cell>
          <cell r="K1561" t="str">
            <v>balance</v>
          </cell>
          <cell r="L1561" t="str">
            <v>バランスタイプ</v>
          </cell>
          <cell r="M1561" t="str">
            <v>ss</v>
          </cell>
        </row>
        <row r="1562">
          <cell r="A1562">
            <v>8058</v>
          </cell>
          <cell r="B1562" t="str">
            <v>ja</v>
          </cell>
          <cell r="C1562" t="str">
            <v>ニーベルゲン_シナモロールコスプレ</v>
          </cell>
          <cell r="D1562" t="str">
            <v>ニーベルゲン_シナモロールコスプレ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green</v>
          </cell>
          <cell r="I1562">
            <v>5</v>
          </cell>
          <cell r="J1562" t="str">
            <v>PremiumS</v>
          </cell>
          <cell r="K1562" t="str">
            <v>balance</v>
          </cell>
          <cell r="L1562" t="str">
            <v>バランスタイプ</v>
          </cell>
          <cell r="M1562" t="str">
            <v>ss</v>
          </cell>
        </row>
        <row r="1563">
          <cell r="A1563">
            <v>8059</v>
          </cell>
          <cell r="B1563" t="str">
            <v>ja</v>
          </cell>
          <cell r="C1563" t="str">
            <v>カカシ_マイメロディコスプレ</v>
          </cell>
          <cell r="D1563" t="str">
            <v>カカシ_マイメロディコスプレ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green</v>
          </cell>
          <cell r="I1563">
            <v>4</v>
          </cell>
          <cell r="J1563" t="str">
            <v>PremiumS</v>
          </cell>
          <cell r="K1563" t="str">
            <v>technical</v>
          </cell>
          <cell r="L1563" t="str">
            <v>テクニカルタイプ</v>
          </cell>
          <cell r="M1563" t="str">
            <v>ss</v>
          </cell>
        </row>
        <row r="1564">
          <cell r="A1564">
            <v>8060</v>
          </cell>
          <cell r="B1564" t="str">
            <v>ja</v>
          </cell>
          <cell r="C1564" t="str">
            <v>カカシ_マイメロディコスプレ</v>
          </cell>
          <cell r="D1564" t="str">
            <v>カカシ_マイメロディコスプレ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green</v>
          </cell>
          <cell r="I1564">
            <v>5</v>
          </cell>
          <cell r="J1564" t="str">
            <v>PremiumS</v>
          </cell>
          <cell r="K1564" t="str">
            <v>technical</v>
          </cell>
          <cell r="L1564" t="str">
            <v>テクニカルタイプ</v>
          </cell>
          <cell r="M1564" t="str">
            <v>ss</v>
          </cell>
        </row>
        <row r="1565">
          <cell r="A1565">
            <v>8061</v>
          </cell>
          <cell r="B1565" t="str">
            <v>ja</v>
          </cell>
          <cell r="C1565" t="str">
            <v>ケロケロけろっぴ</v>
          </cell>
          <cell r="D1565" t="str">
            <v>ケロケロけろっぴ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green</v>
          </cell>
          <cell r="I1565">
            <v>3</v>
          </cell>
          <cell r="J1565" t="str">
            <v>PremiumS</v>
          </cell>
          <cell r="K1565" t="str">
            <v>balance</v>
          </cell>
          <cell r="L1565" t="str">
            <v>バランスタイプ</v>
          </cell>
          <cell r="M1565" t="str">
            <v>ss</v>
          </cell>
        </row>
        <row r="1566">
          <cell r="A1566">
            <v>8062</v>
          </cell>
          <cell r="B1566" t="str">
            <v>ja</v>
          </cell>
          <cell r="C1566" t="str">
            <v>ケロケロけろっぴ</v>
          </cell>
          <cell r="D1566" t="str">
            <v>ケロケロけろっぴ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green</v>
          </cell>
          <cell r="I1566">
            <v>4</v>
          </cell>
          <cell r="J1566" t="str">
            <v>PremiumS</v>
          </cell>
          <cell r="K1566" t="str">
            <v>balance</v>
          </cell>
          <cell r="L1566" t="str">
            <v>バランスタイプ</v>
          </cell>
          <cell r="M1566" t="str">
            <v>ss</v>
          </cell>
        </row>
        <row r="1567">
          <cell r="A1567">
            <v>8063</v>
          </cell>
          <cell r="B1567" t="str">
            <v>ja</v>
          </cell>
          <cell r="C1567" t="str">
            <v>モルドレッド_ポムポムプリンコスプレ</v>
          </cell>
          <cell r="D1567" t="str">
            <v>モルドレッド_ポムポムプリンコスプレ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5</v>
          </cell>
          <cell r="J1567" t="str">
            <v>PremiumSS</v>
          </cell>
          <cell r="K1567" t="str">
            <v>heal</v>
          </cell>
          <cell r="L1567" t="str">
            <v>回復タイプ</v>
          </cell>
          <cell r="M1567" t="str">
            <v>ss</v>
          </cell>
        </row>
        <row r="1568">
          <cell r="A1568">
            <v>8064</v>
          </cell>
          <cell r="B1568" t="str">
            <v>ja</v>
          </cell>
          <cell r="C1568" t="str">
            <v>モルドレッド_ポムポムプリンコスプレ</v>
          </cell>
          <cell r="D1568" t="str">
            <v>モルドレッド_ポムポムプリンコスプレ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heal</v>
          </cell>
          <cell r="L1568" t="str">
            <v>回復タイプ</v>
          </cell>
          <cell r="M1568" t="str">
            <v>ss</v>
          </cell>
        </row>
        <row r="1569">
          <cell r="A1569">
            <v>8065</v>
          </cell>
          <cell r="B1569" t="str">
            <v>ja</v>
          </cell>
          <cell r="C1569" t="str">
            <v>クロミ</v>
          </cell>
          <cell r="D1569" t="str">
            <v>クロミ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blue</v>
          </cell>
          <cell r="I1569">
            <v>3</v>
          </cell>
          <cell r="J1569" t="str">
            <v>PremiumS</v>
          </cell>
          <cell r="K1569" t="str">
            <v>technical</v>
          </cell>
          <cell r="L1569" t="str">
            <v>テクニカルタイプ</v>
          </cell>
          <cell r="M1569" t="str">
            <v>ss</v>
          </cell>
        </row>
        <row r="1570">
          <cell r="A1570">
            <v>8066</v>
          </cell>
          <cell r="B1570" t="str">
            <v>ja</v>
          </cell>
          <cell r="C1570" t="str">
            <v>クロミ</v>
          </cell>
          <cell r="D1570" t="str">
            <v>クロミ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4</v>
          </cell>
          <cell r="J1570" t="str">
            <v>PremiumS</v>
          </cell>
          <cell r="K1570" t="str">
            <v>technical</v>
          </cell>
          <cell r="L1570" t="str">
            <v>テクニカルタイプ</v>
          </cell>
          <cell r="M1570" t="str">
            <v>ss</v>
          </cell>
        </row>
        <row r="1571">
          <cell r="A1571">
            <v>8067</v>
          </cell>
          <cell r="B1571" t="str">
            <v>ja</v>
          </cell>
          <cell r="C1571" t="str">
            <v>バッドばつ丸</v>
          </cell>
          <cell r="D1571" t="str">
            <v>バッドばつ丸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3</v>
          </cell>
          <cell r="J1571" t="str">
            <v>PremiumS</v>
          </cell>
          <cell r="K1571" t="str">
            <v>attack</v>
          </cell>
          <cell r="L1571" t="str">
            <v>攻撃タイプ</v>
          </cell>
          <cell r="M1571" t="str">
            <v>ss</v>
          </cell>
        </row>
        <row r="1572">
          <cell r="A1572">
            <v>8068</v>
          </cell>
          <cell r="B1572" t="str">
            <v>ja</v>
          </cell>
          <cell r="C1572" t="str">
            <v>バッドばつ丸</v>
          </cell>
          <cell r="D1572" t="str">
            <v>バッドばつ丸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attack</v>
          </cell>
          <cell r="L1572" t="str">
            <v>攻撃タイプ</v>
          </cell>
          <cell r="M1572" t="str">
            <v>ss</v>
          </cell>
        </row>
        <row r="1573">
          <cell r="A1573">
            <v>8069</v>
          </cell>
          <cell r="B1573" t="str">
            <v>ja</v>
          </cell>
          <cell r="C1573" t="str">
            <v>シナモロール</v>
          </cell>
          <cell r="D1573" t="str">
            <v>シナモロール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4</v>
          </cell>
          <cell r="J1573" t="str">
            <v>PremiumS</v>
          </cell>
          <cell r="K1573" t="str">
            <v>heal</v>
          </cell>
          <cell r="L1573" t="str">
            <v>回復タイプ</v>
          </cell>
          <cell r="M1573" t="str">
            <v>ss</v>
          </cell>
        </row>
        <row r="1574">
          <cell r="A1574">
            <v>8070</v>
          </cell>
          <cell r="B1574" t="str">
            <v>ja</v>
          </cell>
          <cell r="C1574" t="str">
            <v>シナモロール</v>
          </cell>
          <cell r="D1574" t="str">
            <v>シナモロール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5</v>
          </cell>
          <cell r="J1574" t="str">
            <v>PremiumS</v>
          </cell>
          <cell r="K1574" t="str">
            <v>heal</v>
          </cell>
          <cell r="L1574" t="str">
            <v>回復タイプ</v>
          </cell>
          <cell r="M1574" t="str">
            <v>ss</v>
          </cell>
        </row>
        <row r="1575">
          <cell r="A1575">
            <v>8071</v>
          </cell>
          <cell r="B1575" t="str">
            <v>ja</v>
          </cell>
          <cell r="C1575" t="str">
            <v>ポムポムプリン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yellow</v>
          </cell>
          <cell r="I1575">
            <v>3</v>
          </cell>
          <cell r="J1575" t="str">
            <v>PremiumS</v>
          </cell>
          <cell r="K1575" t="str">
            <v>hp</v>
          </cell>
          <cell r="L1575" t="str">
            <v>体力タイプ</v>
          </cell>
          <cell r="M1575" t="str">
            <v>ss</v>
          </cell>
        </row>
        <row r="1576">
          <cell r="A1576">
            <v>8072</v>
          </cell>
          <cell r="B1576" t="str">
            <v>ja</v>
          </cell>
          <cell r="C1576" t="str">
            <v>ポムポムプリン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yellow</v>
          </cell>
          <cell r="I1576">
            <v>4</v>
          </cell>
          <cell r="J1576" t="str">
            <v>PremiumS</v>
          </cell>
          <cell r="K1576" t="str">
            <v>hp</v>
          </cell>
          <cell r="L1576" t="str">
            <v>体力タイプ</v>
          </cell>
          <cell r="M1576" t="str">
            <v>ss</v>
          </cell>
        </row>
        <row r="1577">
          <cell r="A1577">
            <v>8073</v>
          </cell>
          <cell r="B1577" t="str">
            <v>ja</v>
          </cell>
          <cell r="C1577" t="str">
            <v>星海祈る天光妃 媽祖</v>
          </cell>
          <cell r="D1577" t="str">
            <v>Expoミク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yellow</v>
          </cell>
          <cell r="I1577">
            <v>6</v>
          </cell>
          <cell r="J1577" t="str">
            <v>PremiumSS</v>
          </cell>
          <cell r="K1577" t="str">
            <v>attack</v>
          </cell>
          <cell r="L1577" t="str">
            <v>攻撃タイプ</v>
          </cell>
          <cell r="M1577" t="str">
            <v>human</v>
          </cell>
        </row>
        <row r="1578">
          <cell r="A1578">
            <v>8074</v>
          </cell>
          <cell r="B1578" t="str">
            <v>ja</v>
          </cell>
          <cell r="C1578" t="str">
            <v>海戀の絶龍姫 蛟龍</v>
          </cell>
          <cell r="D1578" t="str">
            <v>Expoミク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6</v>
          </cell>
          <cell r="J1578" t="str">
            <v>DropWizS</v>
          </cell>
          <cell r="K1578" t="str">
            <v>hp</v>
          </cell>
          <cell r="L1578" t="str">
            <v>体力タイプ</v>
          </cell>
          <cell r="M1578" t="str">
            <v>dragon</v>
          </cell>
        </row>
        <row r="1579">
          <cell r="A1579">
            <v>8075</v>
          </cell>
          <cell r="B1579" t="str">
            <v>ja</v>
          </cell>
          <cell r="C1579" t="str">
            <v>三蔵法師_超覚醒</v>
          </cell>
          <cell r="D1579" t="str">
            <v>Expoミク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blue</v>
          </cell>
          <cell r="I1579">
            <v>6</v>
          </cell>
          <cell r="J1579" t="str">
            <v>PremiumSS</v>
          </cell>
          <cell r="K1579" t="str">
            <v>balance</v>
          </cell>
          <cell r="L1579" t="str">
            <v>バランスタイプ</v>
          </cell>
          <cell r="M1579" t="str">
            <v>god</v>
          </cell>
        </row>
        <row r="1580">
          <cell r="A1580">
            <v>8076</v>
          </cell>
          <cell r="B1580" t="str">
            <v>ja</v>
          </cell>
          <cell r="C1580" t="str">
            <v>孫悟空_超覚醒</v>
          </cell>
          <cell r="D1580" t="str">
            <v>Expoミク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unknown</v>
          </cell>
        </row>
        <row r="1581">
          <cell r="A1581">
            <v>8077</v>
          </cell>
          <cell r="B1581" t="str">
            <v>ja</v>
          </cell>
          <cell r="C1581" t="str">
            <v>鄭成功</v>
          </cell>
          <cell r="D1581" t="str">
            <v>ポムポムプリン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human</v>
          </cell>
        </row>
        <row r="1582">
          <cell r="A1582">
            <v>8078</v>
          </cell>
          <cell r="B1582" t="str">
            <v>ja</v>
          </cell>
          <cell r="C1582" t="str">
            <v>レア６鄭成功</v>
          </cell>
          <cell r="D1582" t="str">
            <v>ポムポムプリン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blue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human</v>
          </cell>
        </row>
        <row r="1583">
          <cell r="A1583">
            <v>8079</v>
          </cell>
          <cell r="B1583" t="str">
            <v>ja</v>
          </cell>
          <cell r="C1583" t="str">
            <v>赤鬼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red</v>
          </cell>
          <cell r="I1583">
            <v>5</v>
          </cell>
          <cell r="J1583" t="str">
            <v>DropWizS</v>
          </cell>
          <cell r="K1583" t="str">
            <v>hp</v>
          </cell>
          <cell r="L1583" t="str">
            <v>体力タイプ</v>
          </cell>
          <cell r="M1583" t="str">
            <v>dragon</v>
          </cell>
        </row>
        <row r="1584">
          <cell r="A1584">
            <v>8080</v>
          </cell>
          <cell r="B1584" t="str">
            <v>ja</v>
          </cell>
          <cell r="C1584" t="str">
            <v>レア６赤鬼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red</v>
          </cell>
          <cell r="I1584">
            <v>6</v>
          </cell>
          <cell r="J1584" t="str">
            <v>DropWizS</v>
          </cell>
          <cell r="K1584" t="str">
            <v>hp</v>
          </cell>
          <cell r="L1584" t="str">
            <v>体力タイプ</v>
          </cell>
          <cell r="M1584" t="str">
            <v>dragon</v>
          </cell>
        </row>
        <row r="1585">
          <cell r="A1585">
            <v>8081</v>
          </cell>
          <cell r="B1585" t="str">
            <v>ja</v>
          </cell>
          <cell r="C1585" t="str">
            <v>関羽</v>
          </cell>
          <cell r="D1585"/>
          <cell r="E1585"/>
          <cell r="F1585"/>
          <cell r="G1585"/>
          <cell r="H1585" t="str">
            <v>green</v>
          </cell>
          <cell r="I1585">
            <v>5</v>
          </cell>
          <cell r="J1585" t="str">
            <v>PremiumSSS</v>
          </cell>
          <cell r="K1585" t="str">
            <v>balance</v>
          </cell>
          <cell r="L1585" t="str">
            <v>バランスタイプ</v>
          </cell>
          <cell r="M1585" t="str">
            <v>samurai</v>
          </cell>
        </row>
        <row r="1586">
          <cell r="A1586">
            <v>8082</v>
          </cell>
          <cell r="B1586" t="str">
            <v>ja</v>
          </cell>
          <cell r="C1586" t="str">
            <v>★６関羽</v>
          </cell>
          <cell r="D1586"/>
          <cell r="E1586"/>
          <cell r="F1586"/>
          <cell r="G1586"/>
          <cell r="H1586" t="str">
            <v>green</v>
          </cell>
          <cell r="I1586">
            <v>6</v>
          </cell>
          <cell r="J1586" t="str">
            <v>PremiumSSS</v>
          </cell>
          <cell r="K1586" t="str">
            <v>balance</v>
          </cell>
          <cell r="L1586" t="str">
            <v>バランスタイプ</v>
          </cell>
          <cell r="M1586" t="str">
            <v>samurai</v>
          </cell>
        </row>
        <row r="1587">
          <cell r="A1587">
            <v>8083</v>
          </cell>
          <cell r="B1587" t="str">
            <v>ja</v>
          </cell>
          <cell r="C1587" t="str">
            <v>曹操</v>
          </cell>
          <cell r="D1587"/>
          <cell r="E1587"/>
          <cell r="F1587"/>
          <cell r="G1587"/>
          <cell r="H1587" t="str">
            <v>yellow</v>
          </cell>
          <cell r="I1587">
            <v>5</v>
          </cell>
          <cell r="J1587" t="str">
            <v>DropWizSS</v>
          </cell>
          <cell r="K1587" t="str">
            <v>technical</v>
          </cell>
          <cell r="L1587" t="str">
            <v>テクニカルタイプ</v>
          </cell>
          <cell r="M1587" t="str">
            <v>samurai</v>
          </cell>
        </row>
        <row r="1588">
          <cell r="A1588">
            <v>8084</v>
          </cell>
          <cell r="B1588" t="str">
            <v>ja</v>
          </cell>
          <cell r="C1588" t="str">
            <v>★６曹操</v>
          </cell>
          <cell r="D1588"/>
          <cell r="E1588"/>
          <cell r="F1588"/>
          <cell r="G1588"/>
          <cell r="H1588" t="str">
            <v>yellow</v>
          </cell>
          <cell r="I1588">
            <v>6</v>
          </cell>
          <cell r="J1588" t="str">
            <v>DropWizSS</v>
          </cell>
          <cell r="K1588" t="str">
            <v>technical</v>
          </cell>
          <cell r="L1588" t="str">
            <v>テクニカルタイプ</v>
          </cell>
          <cell r="M1588" t="str">
            <v>samurai</v>
          </cell>
        </row>
        <row r="1589">
          <cell r="A1589">
            <v>8087</v>
          </cell>
          <cell r="B1589" t="str">
            <v>ja</v>
          </cell>
          <cell r="C1589" t="str">
            <v>財神</v>
          </cell>
          <cell r="D1589"/>
          <cell r="E1589"/>
          <cell r="F1589"/>
          <cell r="G1589"/>
          <cell r="H1589" t="str">
            <v>red</v>
          </cell>
          <cell r="I1589">
            <v>5</v>
          </cell>
          <cell r="J1589" t="str">
            <v>PremiumSSS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</row>
        <row r="1590">
          <cell r="A1590">
            <v>8088</v>
          </cell>
          <cell r="B1590" t="str">
            <v>ja</v>
          </cell>
          <cell r="C1590" t="str">
            <v>★６財神</v>
          </cell>
          <cell r="D1590"/>
          <cell r="E1590"/>
          <cell r="F1590"/>
          <cell r="G1590"/>
          <cell r="H1590" t="str">
            <v>red</v>
          </cell>
          <cell r="I1590">
            <v>6</v>
          </cell>
          <cell r="J1590" t="str">
            <v>PremiumSSS</v>
          </cell>
          <cell r="K1590" t="str">
            <v>technical</v>
          </cell>
          <cell r="L1590" t="str">
            <v>テクニカルタイプ</v>
          </cell>
          <cell r="M1590" t="str">
            <v>god</v>
          </cell>
        </row>
        <row r="1591">
          <cell r="A1591">
            <v>8089</v>
          </cell>
          <cell r="B1591" t="str">
            <v>ja</v>
          </cell>
          <cell r="C1591" t="str">
            <v>年獣</v>
          </cell>
          <cell r="D1591"/>
          <cell r="E1591"/>
          <cell r="F1591"/>
          <cell r="G1591"/>
          <cell r="H1591" t="str">
            <v>green</v>
          </cell>
          <cell r="I1591">
            <v>5</v>
          </cell>
          <cell r="J1591" t="str">
            <v>DropWizS</v>
          </cell>
          <cell r="K1591" t="str">
            <v>attack</v>
          </cell>
          <cell r="L1591" t="str">
            <v>攻撃タイプ</v>
          </cell>
          <cell r="M1591" t="str">
            <v>animal</v>
          </cell>
        </row>
        <row r="1592">
          <cell r="A1592">
            <v>8090</v>
          </cell>
          <cell r="B1592" t="str">
            <v>ja</v>
          </cell>
          <cell r="C1592" t="str">
            <v>★６年獣</v>
          </cell>
          <cell r="D1592"/>
          <cell r="E1592"/>
          <cell r="F1592"/>
          <cell r="G1592"/>
          <cell r="H1592" t="str">
            <v>green</v>
          </cell>
          <cell r="I1592">
            <v>6</v>
          </cell>
          <cell r="J1592" t="str">
            <v>DropWizS</v>
          </cell>
          <cell r="K1592" t="str">
            <v>attack</v>
          </cell>
          <cell r="L1592" t="str">
            <v>攻撃タイプ</v>
          </cell>
          <cell r="M1592" t="str">
            <v>animal</v>
          </cell>
        </row>
        <row r="1593">
          <cell r="A1593">
            <v>8095</v>
          </cell>
          <cell r="B1593" t="str">
            <v>ja</v>
          </cell>
          <cell r="C1593" t="str">
            <v>バハムートダック赤</v>
          </cell>
          <cell r="D1593" t="str">
            <v>ポムポムプリン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red</v>
          </cell>
          <cell r="I1593">
            <v>6</v>
          </cell>
          <cell r="J1593" t="str">
            <v>Material</v>
          </cell>
          <cell r="K1593" t="str">
            <v>exp</v>
          </cell>
          <cell r="L1593" t="str">
            <v>強化素材タイプ</v>
          </cell>
          <cell r="M1593" t="str">
            <v>unknown</v>
          </cell>
        </row>
        <row r="1594">
          <cell r="A1594">
            <v>8096</v>
          </cell>
          <cell r="B1594" t="str">
            <v>ja</v>
          </cell>
          <cell r="C1594" t="str">
            <v>バハムートダック緑</v>
          </cell>
          <cell r="D1594" t="str">
            <v>ポムポムプリン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green</v>
          </cell>
          <cell r="I1594">
            <v>6</v>
          </cell>
          <cell r="J1594" t="str">
            <v>Material</v>
          </cell>
          <cell r="K1594" t="str">
            <v>exp</v>
          </cell>
          <cell r="L1594" t="str">
            <v>強化素材タイプ</v>
          </cell>
          <cell r="M1594" t="str">
            <v>unknown</v>
          </cell>
        </row>
        <row r="1595">
          <cell r="A1595">
            <v>8097</v>
          </cell>
          <cell r="B1595" t="str">
            <v>ja</v>
          </cell>
          <cell r="C1595" t="str">
            <v>バハムートダック青</v>
          </cell>
          <cell r="D1595" t="str">
            <v>ポムポムプリン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blue</v>
          </cell>
          <cell r="I1595">
            <v>6</v>
          </cell>
          <cell r="J1595" t="str">
            <v>Material</v>
          </cell>
          <cell r="K1595" t="str">
            <v>exp</v>
          </cell>
          <cell r="L1595" t="str">
            <v>強化素材タイプ</v>
          </cell>
          <cell r="M1595" t="str">
            <v>unknown</v>
          </cell>
        </row>
        <row r="1596">
          <cell r="A1596">
            <v>8098</v>
          </cell>
          <cell r="B1596" t="str">
            <v>ja</v>
          </cell>
          <cell r="C1596" t="str">
            <v>バハムートダック黄</v>
          </cell>
          <cell r="D1596" t="str">
            <v>ポムポムプリン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yellow</v>
          </cell>
          <cell r="I1596">
            <v>6</v>
          </cell>
          <cell r="J1596" t="str">
            <v>Material</v>
          </cell>
          <cell r="K1596" t="str">
            <v>exp</v>
          </cell>
          <cell r="L1596" t="str">
            <v>強化素材タイプ</v>
          </cell>
          <cell r="M1596" t="str">
            <v>unknown</v>
          </cell>
        </row>
        <row r="1597">
          <cell r="A1597">
            <v>8099</v>
          </cell>
          <cell r="B1597" t="str">
            <v>ja</v>
          </cell>
          <cell r="C1597" t="str">
            <v>リトルハンプティ</v>
          </cell>
          <cell r="D1597" t="str">
            <v>各属性相性良3・黄・R455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green</v>
          </cell>
          <cell r="I1597">
            <v>6</v>
          </cell>
          <cell r="J1597" t="str">
            <v>Material</v>
          </cell>
          <cell r="K1597" t="str">
            <v>evolution</v>
          </cell>
          <cell r="L1597" t="str">
            <v>覚醒素材タイプ</v>
          </cell>
          <cell r="M1597" t="str">
            <v>unknown</v>
          </cell>
        </row>
        <row r="1598">
          <cell r="A1598">
            <v>9001</v>
          </cell>
          <cell r="B1598" t="str">
            <v>ja</v>
          </cell>
          <cell r="C1598" t="str">
            <v>春香</v>
          </cell>
          <cell r="D1598" t="str">
            <v>ポムポムプリン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red</v>
          </cell>
          <cell r="I1598">
            <v>5</v>
          </cell>
          <cell r="J1598" t="str">
            <v>PremiumSSw</v>
          </cell>
          <cell r="K1598" t="str">
            <v>attack</v>
          </cell>
          <cell r="L1598" t="str">
            <v>攻撃タイプ</v>
          </cell>
          <cell r="M1598" t="str">
            <v>human</v>
          </cell>
        </row>
        <row r="1599">
          <cell r="A1599">
            <v>9002</v>
          </cell>
          <cell r="B1599" t="str">
            <v>ja</v>
          </cell>
          <cell r="C1599" t="str">
            <v>春香★６</v>
          </cell>
          <cell r="D1599" t="str">
            <v>ポムポムプリン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red</v>
          </cell>
          <cell r="I1599">
            <v>6</v>
          </cell>
          <cell r="J1599" t="str">
            <v>PremiumSSw</v>
          </cell>
          <cell r="K1599" t="str">
            <v>attack</v>
          </cell>
          <cell r="L1599" t="str">
            <v>攻撃タイプ</v>
          </cell>
          <cell r="M1599" t="str">
            <v>human</v>
          </cell>
        </row>
        <row r="1600">
          <cell r="A1600">
            <v>9003</v>
          </cell>
          <cell r="B1600" t="str">
            <v>ja</v>
          </cell>
          <cell r="C1600" t="str">
            <v>夢龍</v>
          </cell>
          <cell r="D1600" t="str">
            <v>ポムポムプリン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green</v>
          </cell>
          <cell r="I1600">
            <v>5</v>
          </cell>
          <cell r="J1600" t="str">
            <v>DropWizS</v>
          </cell>
          <cell r="K1600" t="str">
            <v>technical</v>
          </cell>
          <cell r="L1600" t="str">
            <v>テクニカルタイプ</v>
          </cell>
          <cell r="M1600" t="str">
            <v>human</v>
          </cell>
        </row>
        <row r="1601">
          <cell r="A1601">
            <v>9004</v>
          </cell>
          <cell r="B1601" t="str">
            <v>ja</v>
          </cell>
          <cell r="C1601" t="str">
            <v>夢龍★６</v>
          </cell>
          <cell r="D1601" t="str">
            <v>各属性相性良3・黄・R455</v>
          </cell>
          <cell r="E1601" t="str">
            <v>執行者</v>
          </cell>
          <cell r="F1601" t="str">
            <v>格好いい</v>
          </cell>
          <cell r="G1601" t="str">
            <v>男性</v>
          </cell>
          <cell r="H1601" t="str">
            <v>green</v>
          </cell>
          <cell r="I1601">
            <v>6</v>
          </cell>
          <cell r="J1601" t="str">
            <v>DropWizS</v>
          </cell>
          <cell r="K1601" t="str">
            <v>technical</v>
          </cell>
          <cell r="L1601" t="str">
            <v>テクニカルタイプ</v>
          </cell>
          <cell r="M1601" t="str">
            <v>human</v>
          </cell>
        </row>
        <row r="1602">
          <cell r="A1602">
            <v>10001</v>
          </cell>
          <cell r="B1602" t="str">
            <v>ja</v>
          </cell>
          <cell r="C1602" t="str">
            <v>テストユニット黄</v>
          </cell>
          <cell r="D1602"/>
          <cell r="E1602"/>
          <cell r="F1602"/>
          <cell r="G1602"/>
          <cell r="H1602" t="str">
            <v>yellow</v>
          </cell>
          <cell r="I1602">
            <v>6</v>
          </cell>
          <cell r="J1602" t="str">
            <v>PremiumSSS</v>
          </cell>
          <cell r="K1602" t="str">
            <v>hp</v>
          </cell>
          <cell r="L1602" t="str">
            <v>体力タイプ</v>
          </cell>
          <cell r="M1602" t="str">
            <v>academia</v>
          </cell>
        </row>
        <row r="1603">
          <cell r="A1603">
            <v>10002</v>
          </cell>
          <cell r="B1603" t="str">
            <v>ja</v>
          </cell>
          <cell r="C1603" t="str">
            <v>テストユニット02</v>
          </cell>
          <cell r="D1603"/>
          <cell r="E1603"/>
          <cell r="F1603"/>
          <cell r="G1603"/>
          <cell r="H1603" t="str">
            <v>yellow</v>
          </cell>
          <cell r="I1603">
            <v>6</v>
          </cell>
          <cell r="J1603" t="str">
            <v>PremiumSS</v>
          </cell>
          <cell r="K1603" t="str">
            <v>technical</v>
          </cell>
          <cell r="L1603" t="str">
            <v>テクニカルタイプ</v>
          </cell>
          <cell r="M1603" t="str">
            <v>demon</v>
          </cell>
        </row>
        <row r="1604">
          <cell r="A1604">
            <v>10003</v>
          </cell>
          <cell r="B1604" t="str">
            <v>ja</v>
          </cell>
          <cell r="C1604" t="str">
            <v>テストユニット03</v>
          </cell>
          <cell r="D1604"/>
          <cell r="E1604"/>
          <cell r="F1604"/>
          <cell r="G1604"/>
          <cell r="H1604" t="str">
            <v>red</v>
          </cell>
          <cell r="I1604">
            <v>5</v>
          </cell>
          <cell r="J1604" t="str">
            <v>PremiumSSS</v>
          </cell>
          <cell r="K1604" t="str">
            <v>technical</v>
          </cell>
          <cell r="L1604" t="str">
            <v>テクニカルタイプ</v>
          </cell>
          <cell r="M1604" t="str">
            <v>academia</v>
          </cell>
        </row>
        <row r="1605">
          <cell r="A1605">
            <v>10004</v>
          </cell>
          <cell r="B1605" t="str">
            <v>ja</v>
          </cell>
          <cell r="C1605" t="str">
            <v>テストユニット04</v>
          </cell>
          <cell r="D1605"/>
          <cell r="E1605"/>
          <cell r="F1605"/>
          <cell r="G1605"/>
          <cell r="H1605" t="str">
            <v>red</v>
          </cell>
          <cell r="I1605">
            <v>6</v>
          </cell>
          <cell r="J1605" t="str">
            <v>PremiumSSS</v>
          </cell>
          <cell r="K1605" t="str">
            <v>technical</v>
          </cell>
          <cell r="L1605" t="str">
            <v>テクニカルタイプ</v>
          </cell>
          <cell r="M1605" t="str">
            <v>academia</v>
          </cell>
        </row>
        <row r="1606">
          <cell r="A1606">
            <v>10005</v>
          </cell>
          <cell r="B1606" t="str">
            <v>ja</v>
          </cell>
          <cell r="C1606" t="str">
            <v>テストユニット05</v>
          </cell>
          <cell r="D1606"/>
          <cell r="E1606"/>
          <cell r="F1606"/>
          <cell r="G1606"/>
          <cell r="H1606" t="str">
            <v>green</v>
          </cell>
          <cell r="I1606">
            <v>5</v>
          </cell>
          <cell r="J1606" t="str">
            <v>PremiumSSS</v>
          </cell>
          <cell r="K1606" t="str">
            <v>hp</v>
          </cell>
          <cell r="L1606" t="str">
            <v>体力タイプ</v>
          </cell>
          <cell r="M1606" t="str">
            <v>god</v>
          </cell>
        </row>
        <row r="1607">
          <cell r="A1607">
            <v>10006</v>
          </cell>
          <cell r="B1607" t="str">
            <v>ja</v>
          </cell>
          <cell r="C1607" t="str">
            <v>テストユニット06</v>
          </cell>
          <cell r="D1607"/>
          <cell r="E1607"/>
          <cell r="F1607"/>
          <cell r="G1607"/>
          <cell r="H1607" t="str">
            <v>green</v>
          </cell>
          <cell r="I1607">
            <v>6</v>
          </cell>
          <cell r="J1607" t="str">
            <v>PremiumSSS</v>
          </cell>
          <cell r="K1607" t="str">
            <v>hp</v>
          </cell>
          <cell r="L1607" t="str">
            <v>体力タイプ</v>
          </cell>
          <cell r="M1607" t="str">
            <v>god</v>
          </cell>
        </row>
        <row r="1608">
          <cell r="A1608">
            <v>10007</v>
          </cell>
          <cell r="B1608" t="str">
            <v>ja</v>
          </cell>
          <cell r="C1608" t="str">
            <v>テストユニット07</v>
          </cell>
          <cell r="D1608"/>
          <cell r="E1608"/>
          <cell r="F1608"/>
          <cell r="G1608"/>
          <cell r="H1608" t="str">
            <v>yellow</v>
          </cell>
          <cell r="I1608">
            <v>5</v>
          </cell>
          <cell r="J1608" t="str">
            <v>PremiumSSS</v>
          </cell>
          <cell r="K1608" t="str">
            <v>technical</v>
          </cell>
          <cell r="L1608" t="str">
            <v>テクニカルタイプ</v>
          </cell>
          <cell r="M1608" t="str">
            <v>machine</v>
          </cell>
        </row>
        <row r="1609">
          <cell r="A1609">
            <v>10008</v>
          </cell>
          <cell r="B1609" t="str">
            <v>ja</v>
          </cell>
          <cell r="C1609" t="str">
            <v>テストユニット08</v>
          </cell>
          <cell r="D1609"/>
          <cell r="E1609"/>
          <cell r="F1609"/>
          <cell r="G1609"/>
          <cell r="H1609" t="str">
            <v>yellow</v>
          </cell>
          <cell r="I1609">
            <v>6</v>
          </cell>
          <cell r="J1609" t="str">
            <v>PremiumSSS</v>
          </cell>
          <cell r="K1609" t="str">
            <v>technical</v>
          </cell>
          <cell r="L1609" t="str">
            <v>テクニカルタイプ</v>
          </cell>
          <cell r="M1609" t="str">
            <v>machine</v>
          </cell>
        </row>
        <row r="1610">
          <cell r="A1610">
            <v>10009</v>
          </cell>
          <cell r="B1610" t="str">
            <v>ja</v>
          </cell>
          <cell r="C1610" t="str">
            <v>青テスト01</v>
          </cell>
          <cell r="D1610"/>
          <cell r="E1610"/>
          <cell r="F1610"/>
          <cell r="G1610"/>
          <cell r="H1610" t="str">
            <v>blue</v>
          </cell>
          <cell r="I1610">
            <v>6</v>
          </cell>
          <cell r="J1610" t="str">
            <v>DropWizS</v>
          </cell>
          <cell r="K1610" t="str">
            <v>heal</v>
          </cell>
          <cell r="L1610" t="str">
            <v>回復タイプ</v>
          </cell>
          <cell r="M1610" t="str">
            <v>human</v>
          </cell>
        </row>
        <row r="1611">
          <cell r="A1611">
            <v>10010</v>
          </cell>
          <cell r="B1611" t="str">
            <v>ja</v>
          </cell>
          <cell r="C1611" t="str">
            <v>赤テスト01</v>
          </cell>
          <cell r="D1611"/>
          <cell r="E1611"/>
          <cell r="F1611"/>
          <cell r="G1611"/>
          <cell r="H1611" t="str">
            <v>red</v>
          </cell>
          <cell r="I1611">
            <v>6</v>
          </cell>
          <cell r="J1611" t="str">
            <v>PremiumSSS</v>
          </cell>
          <cell r="K1611" t="str">
            <v>technical</v>
          </cell>
          <cell r="L1611" t="str">
            <v>テクニカルタイプ</v>
          </cell>
          <cell r="M1611" t="str">
            <v>human</v>
          </cell>
        </row>
        <row r="1612">
          <cell r="A1612">
            <v>10011</v>
          </cell>
          <cell r="B1612" t="str">
            <v>ja</v>
          </cell>
          <cell r="C1612" t="str">
            <v>テストユニット11</v>
          </cell>
          <cell r="D1612"/>
          <cell r="E1612"/>
          <cell r="F1612"/>
          <cell r="G1612"/>
          <cell r="H1612" t="str">
            <v>red</v>
          </cell>
          <cell r="I1612">
            <v>5</v>
          </cell>
          <cell r="J1612" t="str">
            <v>PremiumSSS</v>
          </cell>
          <cell r="K1612" t="str">
            <v>technical</v>
          </cell>
          <cell r="L1612" t="str">
            <v>テクニカルタイプ</v>
          </cell>
          <cell r="M1612" t="str">
            <v>academia</v>
          </cell>
        </row>
        <row r="1613">
          <cell r="A1613">
            <v>10012</v>
          </cell>
          <cell r="B1613" t="str">
            <v>ja</v>
          </cell>
          <cell r="C1613" t="str">
            <v>テストユニット12</v>
          </cell>
          <cell r="D1613"/>
          <cell r="E1613"/>
          <cell r="F1613"/>
          <cell r="G1613"/>
          <cell r="H1613" t="str">
            <v>red</v>
          </cell>
          <cell r="I1613">
            <v>6</v>
          </cell>
          <cell r="J1613" t="str">
            <v>PremiumSSS</v>
          </cell>
          <cell r="K1613" t="str">
            <v>technical</v>
          </cell>
          <cell r="L1613" t="str">
            <v>テクニカルタイプ</v>
          </cell>
          <cell r="M1613" t="str">
            <v>academia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39" customWidth="1"/>
    <col min="2" max="16384" width="13" style="39"/>
  </cols>
  <sheetData>
    <row r="1" spans="1:13" x14ac:dyDescent="0.15">
      <c r="A1" s="39" t="s">
        <v>59</v>
      </c>
      <c r="B1" s="39" t="s">
        <v>60</v>
      </c>
    </row>
    <row r="2" spans="1:13" x14ac:dyDescent="0.15">
      <c r="A2" s="39" t="s">
        <v>61</v>
      </c>
      <c r="B2" s="39" t="s">
        <v>62</v>
      </c>
      <c r="C2" s="39" t="s">
        <v>63</v>
      </c>
      <c r="D2" s="39" t="s">
        <v>64</v>
      </c>
      <c r="E2" s="39" t="s">
        <v>65</v>
      </c>
      <c r="F2" s="39" t="s">
        <v>66</v>
      </c>
      <c r="G2" s="39" t="s">
        <v>67</v>
      </c>
      <c r="H2" s="39" t="s">
        <v>68</v>
      </c>
    </row>
    <row r="3" spans="1:13" x14ac:dyDescent="0.15">
      <c r="A3" s="39">
        <v>3</v>
      </c>
      <c r="B3" s="40" t="s">
        <v>69</v>
      </c>
      <c r="C3" s="40" t="s">
        <v>70</v>
      </c>
      <c r="D3" s="39">
        <v>0</v>
      </c>
      <c r="E3" s="40" t="s">
        <v>71</v>
      </c>
      <c r="F3" s="39">
        <v>0</v>
      </c>
      <c r="G3" s="39">
        <v>0</v>
      </c>
      <c r="H3" s="41">
        <v>0.5</v>
      </c>
    </row>
    <row r="4" spans="1:13" x14ac:dyDescent="0.15">
      <c r="A4" s="39">
        <v>4</v>
      </c>
      <c r="B4" s="40" t="s">
        <v>72</v>
      </c>
      <c r="C4" s="40" t="s">
        <v>73</v>
      </c>
      <c r="D4" s="40" t="s">
        <v>74</v>
      </c>
      <c r="E4" s="40" t="s">
        <v>75</v>
      </c>
      <c r="F4" s="40" t="s">
        <v>76</v>
      </c>
      <c r="G4" s="39">
        <v>0</v>
      </c>
      <c r="H4" s="41">
        <v>0.45</v>
      </c>
    </row>
    <row r="5" spans="1:13" x14ac:dyDescent="0.15">
      <c r="A5" s="39">
        <v>5</v>
      </c>
      <c r="B5" s="42">
        <v>0</v>
      </c>
      <c r="C5" s="40" t="s">
        <v>77</v>
      </c>
      <c r="D5" s="40" t="s">
        <v>78</v>
      </c>
      <c r="E5" s="40" t="s">
        <v>79</v>
      </c>
      <c r="F5" s="40" t="s">
        <v>80</v>
      </c>
      <c r="G5" s="40" t="s">
        <v>81</v>
      </c>
      <c r="H5" s="41">
        <v>0.05</v>
      </c>
    </row>
    <row r="6" spans="1:13" x14ac:dyDescent="0.15">
      <c r="B6" s="41" t="s">
        <v>82</v>
      </c>
      <c r="C6" s="41" t="s">
        <v>82</v>
      </c>
      <c r="D6" s="41" t="s">
        <v>83</v>
      </c>
      <c r="E6" s="41" t="s">
        <v>82</v>
      </c>
      <c r="F6" s="41" t="s">
        <v>82</v>
      </c>
      <c r="G6" s="43" t="s">
        <v>84</v>
      </c>
      <c r="H6" s="41">
        <v>1</v>
      </c>
    </row>
    <row r="7" spans="1:13" x14ac:dyDescent="0.15">
      <c r="B7" s="41"/>
      <c r="C7" s="41"/>
      <c r="D7" s="41"/>
      <c r="E7" s="41"/>
      <c r="F7" s="41"/>
      <c r="G7" s="43"/>
      <c r="H7" s="41"/>
    </row>
    <row r="8" spans="1:13" x14ac:dyDescent="0.15">
      <c r="A8" s="39" t="s">
        <v>85</v>
      </c>
      <c r="B8" s="41"/>
      <c r="C8" s="41"/>
      <c r="D8" s="41"/>
      <c r="E8" s="41"/>
      <c r="F8" s="41"/>
      <c r="G8" s="43"/>
      <c r="H8" s="41"/>
    </row>
    <row r="9" spans="1:13" x14ac:dyDescent="0.15">
      <c r="A9" s="39" t="s">
        <v>86</v>
      </c>
      <c r="B9" s="41"/>
      <c r="C9" s="41"/>
      <c r="D9" s="41"/>
      <c r="E9" s="41"/>
      <c r="F9" s="41"/>
      <c r="G9" s="43"/>
      <c r="H9" s="41"/>
    </row>
    <row r="10" spans="1:13" x14ac:dyDescent="0.15">
      <c r="A10" s="39" t="s">
        <v>87</v>
      </c>
      <c r="B10" s="41"/>
      <c r="C10" s="41"/>
      <c r="D10" s="41"/>
      <c r="E10" s="41"/>
      <c r="F10" s="41"/>
      <c r="G10" s="43"/>
      <c r="H10" s="41"/>
    </row>
    <row r="11" spans="1:13" x14ac:dyDescent="0.15">
      <c r="A11" s="39" t="s">
        <v>88</v>
      </c>
      <c r="B11" s="41"/>
      <c r="C11" s="41"/>
      <c r="D11" s="41"/>
      <c r="E11" s="41"/>
      <c r="F11" s="41"/>
      <c r="G11" s="43"/>
      <c r="H11" s="41"/>
    </row>
    <row r="12" spans="1:13" x14ac:dyDescent="0.15">
      <c r="A12" s="39" t="s">
        <v>81</v>
      </c>
      <c r="B12" s="41" t="s">
        <v>89</v>
      </c>
      <c r="C12" s="41" t="s">
        <v>90</v>
      </c>
      <c r="D12" s="41"/>
      <c r="E12" s="41"/>
      <c r="F12" s="41"/>
      <c r="G12" s="43"/>
      <c r="H12" s="41"/>
    </row>
    <row r="13" spans="1:13" x14ac:dyDescent="0.15">
      <c r="A13" s="39" t="s">
        <v>91</v>
      </c>
      <c r="B13" s="39" t="s">
        <v>92</v>
      </c>
      <c r="C13" s="39" t="s">
        <v>93</v>
      </c>
    </row>
    <row r="14" spans="1:13" x14ac:dyDescent="0.15">
      <c r="A14" s="39" t="s">
        <v>94</v>
      </c>
      <c r="B14" s="39" t="s">
        <v>89</v>
      </c>
      <c r="C14" s="42" t="s">
        <v>95</v>
      </c>
      <c r="E14" s="42"/>
      <c r="F14" s="42"/>
      <c r="M14" s="41"/>
    </row>
    <row r="15" spans="1:13" x14ac:dyDescent="0.15">
      <c r="A15" s="39" t="s">
        <v>71</v>
      </c>
      <c r="B15" s="41" t="s">
        <v>89</v>
      </c>
      <c r="C15" s="41" t="s">
        <v>96</v>
      </c>
      <c r="H15" s="44"/>
      <c r="M15" s="41"/>
    </row>
    <row r="16" spans="1:13" x14ac:dyDescent="0.15">
      <c r="A16" s="39" t="s">
        <v>75</v>
      </c>
      <c r="B16" s="41" t="s">
        <v>89</v>
      </c>
      <c r="C16" s="41" t="s">
        <v>97</v>
      </c>
      <c r="M16" s="41"/>
    </row>
    <row r="17" spans="1:13" x14ac:dyDescent="0.15">
      <c r="A17" s="39" t="s">
        <v>98</v>
      </c>
      <c r="B17" s="41" t="s">
        <v>89</v>
      </c>
      <c r="C17" s="41" t="s">
        <v>99</v>
      </c>
      <c r="M17" s="41"/>
    </row>
    <row r="18" spans="1:13" x14ac:dyDescent="0.15">
      <c r="B18" s="41"/>
      <c r="C18" s="41"/>
    </row>
    <row r="19" spans="1:13" x14ac:dyDescent="0.15">
      <c r="A19" s="39" t="s">
        <v>100</v>
      </c>
    </row>
    <row r="20" spans="1:13" x14ac:dyDescent="0.15">
      <c r="A20" s="39" t="s">
        <v>101</v>
      </c>
      <c r="B20" s="41"/>
      <c r="C20" s="41"/>
    </row>
    <row r="21" spans="1:13" x14ac:dyDescent="0.15">
      <c r="A21" s="39" t="s">
        <v>102</v>
      </c>
      <c r="B21" s="41" t="s">
        <v>103</v>
      </c>
      <c r="C21" s="41" t="s">
        <v>104</v>
      </c>
      <c r="D21" s="39" t="s">
        <v>105</v>
      </c>
    </row>
    <row r="22" spans="1:13" x14ac:dyDescent="0.15">
      <c r="A22" s="39" t="s">
        <v>106</v>
      </c>
      <c r="B22" s="41" t="s">
        <v>89</v>
      </c>
      <c r="C22" s="41" t="s">
        <v>107</v>
      </c>
      <c r="D22" s="39" t="s">
        <v>108</v>
      </c>
    </row>
    <row r="23" spans="1:13" x14ac:dyDescent="0.15">
      <c r="A23" s="39" t="s">
        <v>109</v>
      </c>
      <c r="B23" s="41" t="s">
        <v>89</v>
      </c>
      <c r="C23" s="39" t="s">
        <v>110</v>
      </c>
      <c r="D23" s="39" t="s">
        <v>111</v>
      </c>
    </row>
    <row r="24" spans="1:13" x14ac:dyDescent="0.15">
      <c r="A24" s="39" t="s">
        <v>112</v>
      </c>
      <c r="B24" s="41" t="s">
        <v>89</v>
      </c>
      <c r="C24" s="41" t="s">
        <v>113</v>
      </c>
      <c r="D24" s="39" t="s">
        <v>114</v>
      </c>
    </row>
    <row r="25" spans="1:13" x14ac:dyDescent="0.15">
      <c r="A25" s="39" t="s">
        <v>115</v>
      </c>
      <c r="B25" s="41" t="s">
        <v>89</v>
      </c>
      <c r="C25" s="41" t="s">
        <v>116</v>
      </c>
      <c r="D25" s="39" t="s">
        <v>117</v>
      </c>
    </row>
    <row r="26" spans="1:13" x14ac:dyDescent="0.15">
      <c r="A26" s="39" t="s">
        <v>118</v>
      </c>
      <c r="B26" s="41" t="s">
        <v>89</v>
      </c>
      <c r="C26" s="41" t="s">
        <v>119</v>
      </c>
      <c r="D26" s="39" t="s">
        <v>120</v>
      </c>
    </row>
    <row r="27" spans="1:13" x14ac:dyDescent="0.15">
      <c r="A27" s="39" t="s">
        <v>121</v>
      </c>
      <c r="B27" s="41" t="s">
        <v>89</v>
      </c>
      <c r="C27" s="41" t="s">
        <v>83</v>
      </c>
      <c r="D27" s="39" t="s">
        <v>122</v>
      </c>
      <c r="E27" s="39" t="s">
        <v>123</v>
      </c>
    </row>
    <row r="28" spans="1:13" x14ac:dyDescent="0.15">
      <c r="A28" s="39" t="s">
        <v>70</v>
      </c>
      <c r="B28" s="41" t="s">
        <v>89</v>
      </c>
      <c r="C28" s="41" t="s">
        <v>124</v>
      </c>
      <c r="E28" s="39" t="s">
        <v>125</v>
      </c>
    </row>
    <row r="29" spans="1:13" x14ac:dyDescent="0.15">
      <c r="A29" s="39" t="s">
        <v>73</v>
      </c>
      <c r="B29" s="41" t="s">
        <v>89</v>
      </c>
      <c r="C29" s="41" t="s">
        <v>126</v>
      </c>
    </row>
    <row r="30" spans="1:13" x14ac:dyDescent="0.15">
      <c r="B30" s="41"/>
    </row>
    <row r="31" spans="1:13" x14ac:dyDescent="0.15">
      <c r="A31" s="39" t="s">
        <v>127</v>
      </c>
    </row>
    <row r="32" spans="1:13" x14ac:dyDescent="0.15">
      <c r="A32" s="39" t="s">
        <v>128</v>
      </c>
      <c r="B32" s="41" t="s">
        <v>89</v>
      </c>
      <c r="C32" s="41" t="s">
        <v>129</v>
      </c>
    </row>
    <row r="33" spans="1:13" x14ac:dyDescent="0.15">
      <c r="A33" s="39" t="s">
        <v>73</v>
      </c>
      <c r="B33" s="41" t="s">
        <v>89</v>
      </c>
      <c r="C33" s="41" t="s">
        <v>130</v>
      </c>
    </row>
    <row r="34" spans="1:13" x14ac:dyDescent="0.15">
      <c r="A34" s="39" t="s">
        <v>70</v>
      </c>
      <c r="B34" s="41" t="s">
        <v>89</v>
      </c>
      <c r="C34" s="41" t="s">
        <v>131</v>
      </c>
    </row>
    <row r="35" spans="1:13" x14ac:dyDescent="0.15">
      <c r="A35" s="39" t="s">
        <v>69</v>
      </c>
      <c r="B35" s="41" t="s">
        <v>89</v>
      </c>
      <c r="C35" s="41" t="s">
        <v>132</v>
      </c>
    </row>
    <row r="36" spans="1:13" x14ac:dyDescent="0.15">
      <c r="A36" s="39" t="s">
        <v>72</v>
      </c>
      <c r="B36" s="41" t="s">
        <v>89</v>
      </c>
      <c r="C36" s="41" t="s">
        <v>133</v>
      </c>
    </row>
    <row r="37" spans="1:13" x14ac:dyDescent="0.15">
      <c r="A37" s="39" t="s">
        <v>78</v>
      </c>
      <c r="B37" s="41" t="s">
        <v>89</v>
      </c>
      <c r="C37" s="41" t="s">
        <v>134</v>
      </c>
    </row>
    <row r="38" spans="1:13" x14ac:dyDescent="0.15">
      <c r="A38" s="39" t="s">
        <v>74</v>
      </c>
      <c r="B38" s="41" t="s">
        <v>89</v>
      </c>
      <c r="C38" s="41" t="s">
        <v>135</v>
      </c>
    </row>
    <row r="40" spans="1:13" x14ac:dyDescent="0.15">
      <c r="J40" s="45" t="s">
        <v>139</v>
      </c>
      <c r="K40" s="45" t="s">
        <v>138</v>
      </c>
      <c r="M40" s="45" t="s">
        <v>164</v>
      </c>
    </row>
    <row r="41" spans="1:13" x14ac:dyDescent="0.15">
      <c r="J41" s="45" t="s">
        <v>140</v>
      </c>
      <c r="K41" s="45" t="s">
        <v>141</v>
      </c>
      <c r="M41" s="41" t="s">
        <v>133</v>
      </c>
    </row>
    <row r="42" spans="1:13" x14ac:dyDescent="0.15">
      <c r="J42" s="45" t="s">
        <v>142</v>
      </c>
      <c r="K42" s="45" t="s">
        <v>143</v>
      </c>
    </row>
    <row r="43" spans="1:13" x14ac:dyDescent="0.15">
      <c r="J43" s="45" t="s">
        <v>144</v>
      </c>
      <c r="K43" s="45" t="s">
        <v>145</v>
      </c>
    </row>
    <row r="44" spans="1:13" x14ac:dyDescent="0.15">
      <c r="J44" s="45" t="s">
        <v>146</v>
      </c>
      <c r="K44" s="45" t="s">
        <v>147</v>
      </c>
    </row>
    <row r="45" spans="1:13" x14ac:dyDescent="0.15">
      <c r="J45" s="45" t="s">
        <v>148</v>
      </c>
      <c r="K45" s="45" t="s">
        <v>149</v>
      </c>
    </row>
    <row r="46" spans="1:13" x14ac:dyDescent="0.15">
      <c r="J46" s="45" t="s">
        <v>150</v>
      </c>
      <c r="K46" s="45" t="s">
        <v>151</v>
      </c>
    </row>
    <row r="47" spans="1:13" x14ac:dyDescent="0.15">
      <c r="J47" s="45" t="s">
        <v>152</v>
      </c>
      <c r="K47" s="45" t="s">
        <v>156</v>
      </c>
    </row>
    <row r="48" spans="1:13" x14ac:dyDescent="0.15">
      <c r="J48" s="45" t="s">
        <v>153</v>
      </c>
      <c r="K48" s="45" t="s">
        <v>157</v>
      </c>
    </row>
    <row r="49" spans="10:11" x14ac:dyDescent="0.15">
      <c r="J49" s="45" t="s">
        <v>154</v>
      </c>
      <c r="K49" s="45" t="s">
        <v>158</v>
      </c>
    </row>
    <row r="50" spans="10:11" x14ac:dyDescent="0.15">
      <c r="J50" s="45" t="s">
        <v>155</v>
      </c>
      <c r="K50" s="45" t="s">
        <v>159</v>
      </c>
    </row>
    <row r="51" spans="10:11" x14ac:dyDescent="0.15">
      <c r="J51" s="45" t="s">
        <v>161</v>
      </c>
      <c r="K51" s="45" t="s">
        <v>160</v>
      </c>
    </row>
    <row r="52" spans="10:11" x14ac:dyDescent="0.15">
      <c r="J52" s="45" t="s">
        <v>162</v>
      </c>
      <c r="K52" s="45" t="s">
        <v>163</v>
      </c>
    </row>
    <row r="53" spans="10:11" x14ac:dyDescent="0.15">
      <c r="J53" s="45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49</v>
      </c>
    </row>
    <row r="2" spans="1:1" x14ac:dyDescent="0.15">
      <c r="A2" t="s">
        <v>50</v>
      </c>
    </row>
    <row r="3" spans="1:1" x14ac:dyDescent="0.15">
      <c r="A3" t="s">
        <v>51</v>
      </c>
    </row>
    <row r="4" spans="1:1" x14ac:dyDescent="0.15">
      <c r="A4" t="s">
        <v>52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30" sqref="D30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43</v>
      </c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9" t="s">
        <v>168</v>
      </c>
      <c r="B2" s="38" t="s">
        <v>58</v>
      </c>
      <c r="C2" s="35">
        <v>7307</v>
      </c>
      <c r="D2" s="16" t="s">
        <v>37</v>
      </c>
      <c r="E2" s="14" t="str">
        <f t="shared" ref="E2:E3" si="0">B2&amp;C2&amp;D2</f>
        <v>gacha_select_tables_7307.tmp</v>
      </c>
      <c r="F2" s="56" t="s">
        <v>174</v>
      </c>
      <c r="G2" s="34" t="s">
        <v>54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  <c r="P2" s="57" t="s">
        <v>176</v>
      </c>
    </row>
    <row r="3" spans="1:21" x14ac:dyDescent="0.15">
      <c r="A3" s="47" t="s">
        <v>165</v>
      </c>
      <c r="B3" s="53" t="s">
        <v>169</v>
      </c>
      <c r="C3" s="54" t="str">
        <f t="shared" ref="C3" si="1">RIGHT(F3,6)</f>
        <v>426104</v>
      </c>
      <c r="D3" s="16" t="s">
        <v>170</v>
      </c>
      <c r="E3" s="14" t="str">
        <f t="shared" si="0"/>
        <v>gacha_settle_tables_426104.tmp</v>
      </c>
      <c r="F3" s="54" t="s">
        <v>171</v>
      </c>
      <c r="G3" s="34" t="s">
        <v>54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47" t="s">
        <v>165</v>
      </c>
      <c r="B4" s="53" t="s">
        <v>169</v>
      </c>
      <c r="C4" s="54" t="str">
        <f t="shared" ref="C4" si="2">RIGHT(F4,6)</f>
        <v>426105</v>
      </c>
      <c r="D4" s="16" t="s">
        <v>170</v>
      </c>
      <c r="E4" s="14" t="str">
        <f t="shared" ref="E4" si="3">B4&amp;C4&amp;D4</f>
        <v>gacha_settle_tables_426105.tmp</v>
      </c>
      <c r="F4" s="54" t="s">
        <v>172</v>
      </c>
      <c r="G4" s="34" t="s">
        <v>54</v>
      </c>
      <c r="H4" s="19" t="s">
        <v>0</v>
      </c>
      <c r="I4" s="19" t="s">
        <v>3</v>
      </c>
      <c r="J4" s="19" t="s">
        <v>4</v>
      </c>
      <c r="K4" s="19" t="s">
        <v>5</v>
      </c>
      <c r="L4" s="19" t="s">
        <v>6</v>
      </c>
      <c r="M4" s="19" t="s">
        <v>7</v>
      </c>
      <c r="N4" s="19" t="s">
        <v>8</v>
      </c>
      <c r="O4" s="19" t="s">
        <v>9</v>
      </c>
    </row>
    <row r="5" spans="1:21" x14ac:dyDescent="0.15">
      <c r="A5" s="47" t="s">
        <v>165</v>
      </c>
      <c r="B5" s="38" t="s">
        <v>58</v>
      </c>
      <c r="C5" s="35" t="str">
        <f t="shared" ref="C5:C7" si="4">RIGHT(F5,6)</f>
        <v>426101</v>
      </c>
      <c r="D5" s="16" t="s">
        <v>37</v>
      </c>
      <c r="E5" s="14" t="str">
        <f t="shared" ref="E5:E7" si="5">B5&amp;C5&amp;D5</f>
        <v>gacha_select_tables_426101.tmp</v>
      </c>
      <c r="F5" s="55" t="s">
        <v>173</v>
      </c>
      <c r="G5" s="34" t="s">
        <v>53</v>
      </c>
      <c r="H5" s="19" t="s">
        <v>0</v>
      </c>
      <c r="I5" s="19" t="s">
        <v>3</v>
      </c>
      <c r="J5" s="19" t="s">
        <v>4</v>
      </c>
      <c r="K5" s="19" t="s">
        <v>5</v>
      </c>
      <c r="L5" s="19" t="s">
        <v>6</v>
      </c>
      <c r="M5" s="19" t="s">
        <v>7</v>
      </c>
      <c r="N5" s="19" t="s">
        <v>8</v>
      </c>
      <c r="O5" s="19" t="s">
        <v>9</v>
      </c>
    </row>
    <row r="6" spans="1:21" x14ac:dyDescent="0.15">
      <c r="A6" s="47" t="s">
        <v>165</v>
      </c>
      <c r="B6" s="38" t="s">
        <v>58</v>
      </c>
      <c r="C6" s="35" t="str">
        <f t="shared" ref="C6" si="6">RIGHT(F6,6)</f>
        <v>363105</v>
      </c>
      <c r="D6" s="16" t="s">
        <v>37</v>
      </c>
      <c r="E6" s="14" t="str">
        <f t="shared" ref="E6" si="7">B6&amp;C6&amp;D6</f>
        <v>gacha_select_tables_363105.tmp</v>
      </c>
      <c r="F6" s="48" t="s">
        <v>166</v>
      </c>
      <c r="G6" s="34" t="s">
        <v>53</v>
      </c>
      <c r="H6" s="19" t="s">
        <v>0</v>
      </c>
      <c r="I6" s="19" t="s">
        <v>3</v>
      </c>
      <c r="J6" s="19" t="s">
        <v>4</v>
      </c>
      <c r="K6" s="19" t="s">
        <v>5</v>
      </c>
      <c r="L6" s="19" t="s">
        <v>6</v>
      </c>
      <c r="M6" s="19" t="s">
        <v>7</v>
      </c>
      <c r="N6" s="19" t="s">
        <v>8</v>
      </c>
      <c r="O6" s="19" t="s">
        <v>9</v>
      </c>
    </row>
    <row r="7" spans="1:21" x14ac:dyDescent="0.15">
      <c r="A7" s="47" t="s">
        <v>165</v>
      </c>
      <c r="B7" s="38" t="s">
        <v>58</v>
      </c>
      <c r="C7" s="35" t="str">
        <f t="shared" si="4"/>
        <v>363100</v>
      </c>
      <c r="D7" s="16" t="s">
        <v>37</v>
      </c>
      <c r="E7" s="14" t="str">
        <f t="shared" si="5"/>
        <v>gacha_select_tables_363100.tmp</v>
      </c>
      <c r="F7" s="48" t="s">
        <v>167</v>
      </c>
      <c r="G7" s="34" t="s">
        <v>53</v>
      </c>
      <c r="H7" s="19" t="s">
        <v>0</v>
      </c>
      <c r="I7" s="19" t="s">
        <v>3</v>
      </c>
      <c r="J7" s="19" t="s">
        <v>4</v>
      </c>
      <c r="K7" s="19" t="s">
        <v>5</v>
      </c>
      <c r="L7" s="19" t="s">
        <v>6</v>
      </c>
      <c r="M7" s="19" t="s">
        <v>7</v>
      </c>
      <c r="N7" s="19" t="s">
        <v>8</v>
      </c>
      <c r="O7" s="19" t="s">
        <v>9</v>
      </c>
    </row>
    <row r="8" spans="1:21" x14ac:dyDescent="0.15">
      <c r="A8" s="47" t="s">
        <v>165</v>
      </c>
      <c r="B8" s="24" t="s">
        <v>42</v>
      </c>
      <c r="C8" s="28">
        <v>426</v>
      </c>
      <c r="D8" s="16" t="s">
        <v>38</v>
      </c>
      <c r="E8" s="14" t="str">
        <f t="shared" ref="E8:E10" si="8">B8&amp;C8&amp;D8</f>
        <v>gacha_bonus_tables_426.tmp</v>
      </c>
      <c r="F8" s="16" t="s">
        <v>39</v>
      </c>
      <c r="G8" s="18" t="s">
        <v>10</v>
      </c>
      <c r="H8" s="20" t="s">
        <v>13</v>
      </c>
      <c r="I8" s="18" t="s">
        <v>11</v>
      </c>
      <c r="J8" s="17"/>
      <c r="K8" s="17"/>
      <c r="L8" s="17"/>
      <c r="M8" s="17"/>
      <c r="N8" s="17"/>
      <c r="O8" s="17"/>
    </row>
    <row r="9" spans="1:21" x14ac:dyDescent="0.15">
      <c r="A9" s="47" t="s">
        <v>165</v>
      </c>
      <c r="B9" s="16" t="s">
        <v>40</v>
      </c>
      <c r="C9" s="28">
        <v>426</v>
      </c>
      <c r="D9" s="16" t="s">
        <v>38</v>
      </c>
      <c r="E9" s="14" t="str">
        <f t="shared" si="8"/>
        <v>gifts_tmp_426.tmp</v>
      </c>
      <c r="F9" s="16" t="s">
        <v>39</v>
      </c>
      <c r="G9" s="20" t="s">
        <v>14</v>
      </c>
      <c r="H9" s="21" t="s">
        <v>22</v>
      </c>
      <c r="I9" s="20" t="s">
        <v>15</v>
      </c>
      <c r="J9" s="20" t="s">
        <v>16</v>
      </c>
      <c r="K9" s="20" t="s">
        <v>16</v>
      </c>
      <c r="L9" s="20" t="s">
        <v>17</v>
      </c>
      <c r="M9" s="20" t="s">
        <v>17</v>
      </c>
      <c r="N9" s="20" t="s">
        <v>17</v>
      </c>
      <c r="O9" s="36" t="s">
        <v>7</v>
      </c>
      <c r="P9" s="36" t="s">
        <v>9</v>
      </c>
      <c r="Q9" s="36" t="s">
        <v>6</v>
      </c>
      <c r="R9" s="36" t="s">
        <v>175</v>
      </c>
      <c r="S9" s="36" t="s">
        <v>8</v>
      </c>
      <c r="T9" s="36" t="s">
        <v>55</v>
      </c>
      <c r="U9" s="36" t="s">
        <v>5</v>
      </c>
    </row>
    <row r="10" spans="1:21" x14ac:dyDescent="0.15">
      <c r="A10" s="47" t="s">
        <v>165</v>
      </c>
      <c r="B10" s="16" t="s">
        <v>41</v>
      </c>
      <c r="C10" s="28">
        <v>426</v>
      </c>
      <c r="D10" s="16" t="s">
        <v>38</v>
      </c>
      <c r="E10" s="14" t="str">
        <f t="shared" si="8"/>
        <v>gifts_i18n_426.tmp</v>
      </c>
      <c r="F10" s="16" t="s">
        <v>39</v>
      </c>
      <c r="G10" s="20" t="s">
        <v>12</v>
      </c>
      <c r="H10" s="22" t="s">
        <v>18</v>
      </c>
      <c r="I10" s="22" t="s">
        <v>19</v>
      </c>
      <c r="J10" s="22" t="s">
        <v>20</v>
      </c>
      <c r="K10" s="22" t="s">
        <v>21</v>
      </c>
      <c r="L10" s="23"/>
      <c r="M10" s="20"/>
      <c r="N10" s="20"/>
      <c r="O10" s="16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W18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3" ht="21" customHeight="1" x14ac:dyDescent="0.15">
      <c r="A1" s="11" t="s">
        <v>53</v>
      </c>
      <c r="B1" s="12" t="s">
        <v>1</v>
      </c>
      <c r="C1" s="3" t="s">
        <v>23</v>
      </c>
      <c r="D1" s="3" t="s">
        <v>56</v>
      </c>
      <c r="E1" s="3" t="s">
        <v>136</v>
      </c>
      <c r="F1" s="3" t="s">
        <v>137</v>
      </c>
      <c r="G1" s="3" t="s">
        <v>57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45</v>
      </c>
      <c r="O1" s="12" t="s">
        <v>2</v>
      </c>
      <c r="P1" s="3" t="s">
        <v>47</v>
      </c>
      <c r="Q1" s="12" t="s">
        <v>30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  <c r="W1" s="26" t="s">
        <v>175</v>
      </c>
    </row>
    <row r="2" spans="1:23" ht="21" customHeight="1" x14ac:dyDescent="0.15">
      <c r="A2" s="2">
        <v>7307010</v>
      </c>
      <c r="B2" s="2">
        <v>1138</v>
      </c>
      <c r="C2" s="7" t="str">
        <f t="shared" ref="C2:C4" si="0">D2&amp;J2&amp;E2&amp;F2&amp;G2</f>
        <v>PremiumSS6R5only</v>
      </c>
      <c r="D2" s="7" t="str">
        <f t="shared" ref="D2:D4" si="1"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神算鬼謀の宰相 諸葛亮</v>
      </c>
      <c r="I2" s="7" t="str">
        <f>VLOOKUP(B2,[1]characters!$A:$J,10,FALSE)</f>
        <v>PremiumSSW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technical</v>
      </c>
      <c r="M2" s="7" t="str">
        <f>VLOOKUP(B2,[1]characters!$A:$M,13,FALSE)</f>
        <v>samurai</v>
      </c>
      <c r="N2" s="7" t="str">
        <f>VLOOKUP(B2,[1]characters!$A:$G,7,FALSE)</f>
        <v>不明</v>
      </c>
      <c r="O2" s="32">
        <v>50</v>
      </c>
      <c r="P2" s="33">
        <f>O2/SUM(O:O)</f>
        <v>0.14285714285714285</v>
      </c>
      <c r="Q2" s="27">
        <v>99</v>
      </c>
      <c r="R2" s="27">
        <v>33</v>
      </c>
      <c r="S2" s="27">
        <v>33</v>
      </c>
      <c r="T2" s="27">
        <v>0</v>
      </c>
      <c r="U2" s="27">
        <v>33</v>
      </c>
      <c r="V2" s="27">
        <v>1</v>
      </c>
      <c r="W2" s="27">
        <v>5</v>
      </c>
    </row>
    <row r="3" spans="1:23" ht="21" customHeight="1" x14ac:dyDescent="0.15">
      <c r="A3" s="2">
        <v>7307010</v>
      </c>
      <c r="B3" s="2">
        <v>1154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幸吹の蓮華粧 ラクシュミー</v>
      </c>
      <c r="I3" s="7" t="str">
        <f>VLOOKUP(B3,[1]characters!$A:$J,10,FALSE)</f>
        <v>PremiumSSW</v>
      </c>
      <c r="J3" s="7">
        <f>VLOOKUP(B3,[1]characters!$A:$I,9,FALSE)</f>
        <v>6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god</v>
      </c>
      <c r="N3" s="7" t="str">
        <f>VLOOKUP(B3,[1]characters!$A:$G,7,FALSE)</f>
        <v>不明</v>
      </c>
      <c r="O3" s="32">
        <v>50</v>
      </c>
      <c r="P3" s="33">
        <f>O3/SUM(O:O)</f>
        <v>0.14285714285714285</v>
      </c>
      <c r="Q3" s="27">
        <v>99</v>
      </c>
      <c r="R3" s="27">
        <v>33</v>
      </c>
      <c r="S3" s="27">
        <v>33</v>
      </c>
      <c r="T3" s="27">
        <v>0</v>
      </c>
      <c r="U3" s="27">
        <v>33</v>
      </c>
      <c r="V3" s="27">
        <v>1</v>
      </c>
      <c r="W3" s="27">
        <v>5</v>
      </c>
    </row>
    <row r="4" spans="1:23" ht="22" customHeight="1" x14ac:dyDescent="0.15">
      <c r="A4" s="2">
        <v>7307010</v>
      </c>
      <c r="B4" s="37">
        <v>1215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穿潮の雷月神 アルテミス</v>
      </c>
      <c r="I4" s="7" t="str">
        <f>VLOOKUP(B4,[1]characters!$A:$J,10,FALSE)</f>
        <v>PremiumSSw</v>
      </c>
      <c r="J4" s="7">
        <f>VLOOKUP(B4,[1]characters!$A:$I,9,FALSE)</f>
        <v>6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god</v>
      </c>
      <c r="N4" s="7">
        <f>VLOOKUP(B4,[1]characters!$A:$G,7,FALSE)</f>
        <v>0</v>
      </c>
      <c r="O4" s="32">
        <v>50</v>
      </c>
      <c r="P4" s="33">
        <f>O4/SUM(O:O)</f>
        <v>0.14285714285714285</v>
      </c>
      <c r="Q4" s="27">
        <v>99</v>
      </c>
      <c r="R4" s="27">
        <v>33</v>
      </c>
      <c r="S4" s="27">
        <v>33</v>
      </c>
      <c r="T4" s="27">
        <v>0</v>
      </c>
      <c r="U4" s="27">
        <v>33</v>
      </c>
      <c r="V4" s="27">
        <v>1</v>
      </c>
      <c r="W4" s="27">
        <v>5</v>
      </c>
    </row>
    <row r="5" spans="1:23" ht="21" customHeight="1" x14ac:dyDescent="0.15">
      <c r="A5" s="2">
        <v>7307010</v>
      </c>
      <c r="B5" s="2">
        <v>1229</v>
      </c>
      <c r="C5" s="7" t="str">
        <f t="shared" ref="C5" si="2">D5&amp;J5&amp;E5&amp;F5&amp;G5</f>
        <v>PremiumSS6R5only</v>
      </c>
      <c r="D5" s="7" t="str">
        <f t="shared" ref="D5" si="3">IF(OR(I5="PremiumSS",I5="PremiumSSw"),"PremiumSS",IF(I5="PremiumSSS",I5,IF(I5="PremiumW",I5,"Premium")))</f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羅生の鬼我 芥川龍之介</v>
      </c>
      <c r="I5" s="7" t="str">
        <f>VLOOKUP(B5,[1]characters!$A:$J,10,FALSE)</f>
        <v>PremiumSSw</v>
      </c>
      <c r="J5" s="7">
        <f>VLOOKUP(B5,[1]characters!$A:$I,9,FALSE)</f>
        <v>6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human</v>
      </c>
      <c r="N5" s="7">
        <f>VLOOKUP(B5,[1]characters!$A:$G,7,FALSE)</f>
        <v>0</v>
      </c>
      <c r="O5" s="32">
        <v>50</v>
      </c>
      <c r="P5" s="33">
        <f>O5/SUM(O:O)</f>
        <v>0.14285714285714285</v>
      </c>
      <c r="Q5" s="27">
        <v>99</v>
      </c>
      <c r="R5" s="27">
        <v>33</v>
      </c>
      <c r="S5" s="27">
        <v>33</v>
      </c>
      <c r="T5" s="27">
        <v>0</v>
      </c>
      <c r="U5" s="27">
        <v>33</v>
      </c>
      <c r="V5" s="27">
        <v>1</v>
      </c>
      <c r="W5" s="27">
        <v>5</v>
      </c>
    </row>
    <row r="6" spans="1:23" ht="21" customHeight="1" x14ac:dyDescent="0.15">
      <c r="A6" s="2">
        <v>7307010</v>
      </c>
      <c r="B6" s="37">
        <v>1333</v>
      </c>
      <c r="C6" s="7" t="str">
        <f t="shared" ref="C6:C7" si="4">D6&amp;J6&amp;E6&amp;F6&amp;G6</f>
        <v>PremiumSS6R5only</v>
      </c>
      <c r="D6" s="7" t="str">
        <f t="shared" ref="D6:D7" si="5">IF(OR(I6="PremiumSS",I6="PremiumSSw"),"PremiumSS",IF(I6="PremiumSSS",I6,IF(I6="PremiumW",I6,"Premium")))</f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神心を射る穂神 クシナダヒメ</v>
      </c>
      <c r="I6" s="7" t="str">
        <f>VLOOKUP(B6,[1]characters!$A:$J,10,FALSE)</f>
        <v>PremiumSSw</v>
      </c>
      <c r="J6" s="7">
        <f>VLOOKUP(B6,[1]characters!$A:$I,9,FALSE)</f>
        <v>6</v>
      </c>
      <c r="K6" s="7" t="str">
        <f>VLOOKUP(B6,[1]characters!$A:$H,8,FALSE)</f>
        <v>red</v>
      </c>
      <c r="L6" s="7" t="str">
        <f>VLOOKUP(B6,[1]characters!$A:$K,11,FALSE)</f>
        <v>hp</v>
      </c>
      <c r="M6" s="7" t="str">
        <f>VLOOKUP(B6,[1]characters!$A:$M,13,FALSE)</f>
        <v>god</v>
      </c>
      <c r="N6" s="7">
        <f>VLOOKUP(B6,[1]characters!$A:$G,7,FALSE)</f>
        <v>0</v>
      </c>
      <c r="O6" s="32">
        <v>50</v>
      </c>
      <c r="P6" s="33">
        <f>O6/SUM(O:O)</f>
        <v>0.14285714285714285</v>
      </c>
      <c r="Q6" s="27">
        <v>99</v>
      </c>
      <c r="R6" s="27">
        <v>33</v>
      </c>
      <c r="S6" s="27">
        <v>33</v>
      </c>
      <c r="T6" s="27">
        <v>0</v>
      </c>
      <c r="U6" s="27">
        <v>33</v>
      </c>
      <c r="V6" s="27">
        <v>1</v>
      </c>
      <c r="W6" s="27">
        <v>5</v>
      </c>
    </row>
    <row r="7" spans="1:23" ht="21" customHeight="1" x14ac:dyDescent="0.15">
      <c r="A7" s="2">
        <v>7307010</v>
      </c>
      <c r="B7" s="2">
        <v>1251</v>
      </c>
      <c r="C7" s="7" t="str">
        <f t="shared" si="4"/>
        <v>PremiumSS6R5only</v>
      </c>
      <c r="D7" s="7" t="str">
        <f t="shared" si="5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錯槍の英勇 真田幸村</v>
      </c>
      <c r="I7" s="7" t="str">
        <f>VLOOKUP(B7,[1]characters!$A:$J,10,FALSE)</f>
        <v>PremiumSSw</v>
      </c>
      <c r="J7" s="7">
        <f>VLOOKUP(B7,[1]characters!$A:$I,9,FALSE)</f>
        <v>6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>
        <f>VLOOKUP(B7,[1]characters!$A:$G,7,FALSE)</f>
        <v>0</v>
      </c>
      <c r="O7" s="32">
        <v>50</v>
      </c>
      <c r="P7" s="33">
        <f>O7/SUM(O:O)</f>
        <v>0.14285714285714285</v>
      </c>
      <c r="Q7" s="27">
        <v>99</v>
      </c>
      <c r="R7" s="27">
        <v>33</v>
      </c>
      <c r="S7" s="27">
        <v>33</v>
      </c>
      <c r="T7" s="27">
        <v>0</v>
      </c>
      <c r="U7" s="27">
        <v>33</v>
      </c>
      <c r="V7" s="27">
        <v>1</v>
      </c>
      <c r="W7" s="27">
        <v>5</v>
      </c>
    </row>
    <row r="8" spans="1:23" ht="21" customHeight="1" x14ac:dyDescent="0.15">
      <c r="A8" s="2">
        <v>7307010</v>
      </c>
      <c r="B8" s="37">
        <v>1263</v>
      </c>
      <c r="C8" s="7" t="str">
        <f t="shared" ref="C8" si="6">D8&amp;J8&amp;E8&amp;F8&amp;G8</f>
        <v>PremiumSS6R5only</v>
      </c>
      <c r="D8" s="7" t="str">
        <f t="shared" ref="D8" si="7">IF(OR(I8="PremiumSS",I8="PremiumSSw"),"PremiumSS",IF(I8="PremiumSSS",I8,IF(I8="PremiumW",I8,"Premium")))</f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純朴なる檻理人 イズン</v>
      </c>
      <c r="I8" s="7" t="str">
        <f>VLOOKUP(B8,[1]characters!$A:$J,10,FALSE)</f>
        <v>PremiumSSw</v>
      </c>
      <c r="J8" s="7">
        <f>VLOOKUP(B8,[1]characters!$A:$I,9,FALSE)</f>
        <v>6</v>
      </c>
      <c r="K8" s="7" t="str">
        <f>VLOOKUP(B8,[1]characters!$A:$H,8,FALSE)</f>
        <v>green</v>
      </c>
      <c r="L8" s="7" t="str">
        <f>VLOOKUP(B8,[1]characters!$A:$K,11,FALSE)</f>
        <v>heal</v>
      </c>
      <c r="M8" s="7" t="str">
        <f>VLOOKUP(B8,[1]characters!$A:$M,13,FALSE)</f>
        <v>god</v>
      </c>
      <c r="N8" s="7">
        <f>VLOOKUP(B8,[1]characters!$A:$G,7,FALSE)</f>
        <v>0</v>
      </c>
      <c r="O8" s="32">
        <v>50</v>
      </c>
      <c r="P8" s="33">
        <f>O8/SUM(O:O)</f>
        <v>0.14285714285714285</v>
      </c>
      <c r="Q8" s="27">
        <v>99</v>
      </c>
      <c r="R8" s="27">
        <v>33</v>
      </c>
      <c r="S8" s="27">
        <v>33</v>
      </c>
      <c r="T8" s="27">
        <v>0</v>
      </c>
      <c r="U8" s="27">
        <v>33</v>
      </c>
      <c r="V8" s="27">
        <v>1</v>
      </c>
      <c r="W8" s="27">
        <v>5</v>
      </c>
    </row>
    <row r="9" spans="1:23" ht="21" customHeight="1" x14ac:dyDescent="0.1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50"/>
      <c r="P9" s="51"/>
      <c r="Q9" s="52"/>
      <c r="R9" s="52"/>
      <c r="S9" s="52"/>
      <c r="T9" s="52"/>
      <c r="U9" s="52"/>
      <c r="V9" s="52"/>
    </row>
    <row r="10" spans="1:23" ht="21" customHeight="1" x14ac:dyDescent="0.1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50"/>
      <c r="P10" s="51"/>
      <c r="Q10" s="52"/>
      <c r="R10" s="52"/>
      <c r="S10" s="52"/>
      <c r="T10" s="52"/>
      <c r="U10" s="52"/>
      <c r="V10" s="52"/>
    </row>
    <row r="11" spans="1:23" ht="21" customHeight="1" x14ac:dyDescent="0.1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50"/>
      <c r="P11" s="51"/>
      <c r="Q11" s="52"/>
      <c r="R11" s="52"/>
      <c r="S11" s="52"/>
      <c r="T11" s="52"/>
      <c r="U11" s="52"/>
      <c r="V11" s="52"/>
    </row>
    <row r="12" spans="1:23" ht="21" customHeight="1" x14ac:dyDescent="0.1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50"/>
      <c r="P12" s="51"/>
      <c r="Q12" s="52"/>
      <c r="R12" s="52"/>
      <c r="S12" s="52"/>
      <c r="T12" s="52"/>
      <c r="U12" s="52"/>
      <c r="V12" s="52"/>
    </row>
    <row r="13" spans="1:23" ht="21" customHeight="1" x14ac:dyDescent="0.1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50"/>
      <c r="P13" s="51"/>
      <c r="Q13" s="52"/>
      <c r="R13" s="52"/>
      <c r="S13" s="52"/>
      <c r="T13" s="52"/>
      <c r="U13" s="52"/>
      <c r="V13" s="52"/>
    </row>
    <row r="14" spans="1:23" ht="21" customHeight="1" x14ac:dyDescent="0.1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50"/>
      <c r="P14" s="51"/>
      <c r="Q14" s="52"/>
      <c r="R14" s="52"/>
      <c r="S14" s="52"/>
      <c r="T14" s="52"/>
      <c r="U14" s="52"/>
      <c r="V14" s="52"/>
    </row>
    <row r="15" spans="1:23" ht="21" customHeight="1" x14ac:dyDescent="0.1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50"/>
      <c r="P15" s="51"/>
      <c r="Q15" s="52"/>
      <c r="R15" s="52"/>
      <c r="S15" s="52"/>
      <c r="T15" s="52"/>
      <c r="U15" s="52"/>
      <c r="V15" s="52"/>
    </row>
    <row r="16" spans="1:23" ht="21" customHeight="1" x14ac:dyDescent="0.1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50"/>
      <c r="P16" s="51"/>
      <c r="Q16" s="52"/>
      <c r="R16" s="52"/>
      <c r="S16" s="52"/>
      <c r="T16" s="52"/>
      <c r="U16" s="52"/>
      <c r="V16" s="52"/>
    </row>
    <row r="17" spans="1:22" ht="21" customHeight="1" x14ac:dyDescent="0.1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50"/>
      <c r="P17" s="51"/>
      <c r="Q17" s="52"/>
      <c r="R17" s="52"/>
      <c r="S17" s="52"/>
      <c r="T17" s="52"/>
      <c r="U17" s="52"/>
      <c r="V17" s="52"/>
    </row>
    <row r="18" spans="1:22" ht="21" customHeight="1" x14ac:dyDescent="0.1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50"/>
      <c r="P18" s="51"/>
      <c r="Q18" s="52"/>
      <c r="R18" s="52"/>
      <c r="S18" s="52"/>
      <c r="T18" s="52"/>
      <c r="U18" s="52"/>
      <c r="V18" s="52"/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7">
        <v>668</v>
      </c>
      <c r="B246" s="7" t="str">
        <f>VLOOKUP(A246,[1]characters!$A:$C,3,FALSE)</f>
        <v>アグニ</v>
      </c>
    </row>
    <row r="247" spans="1:2" x14ac:dyDescent="0.15">
      <c r="A247" s="37">
        <v>669</v>
      </c>
      <c r="B247" s="7" t="str">
        <f>VLOOKUP(A247,[1]characters!$A:$C,3,FALSE)</f>
        <v>天地の仲界 アグニ</v>
      </c>
    </row>
    <row r="248" spans="1:2" x14ac:dyDescent="0.15">
      <c r="A248" s="37">
        <v>670</v>
      </c>
      <c r="B248" s="7" t="str">
        <f>VLOOKUP(A248,[1]characters!$A:$C,3,FALSE)</f>
        <v>陽天の噴煙 アグニ</v>
      </c>
    </row>
    <row r="249" spans="1:2" x14ac:dyDescent="0.15">
      <c r="A249" s="37">
        <v>671</v>
      </c>
      <c r="B249" s="7" t="str">
        <f>VLOOKUP(A249,[1]characters!$A:$C,3,FALSE)</f>
        <v>ハヌマーン</v>
      </c>
    </row>
    <row r="250" spans="1:2" x14ac:dyDescent="0.15">
      <c r="A250" s="37">
        <v>672</v>
      </c>
      <c r="B250" s="7" t="str">
        <f>VLOOKUP(A250,[1]characters!$A:$C,3,FALSE)</f>
        <v>西遊韋駄天 ハヌマーン</v>
      </c>
    </row>
    <row r="251" spans="1:2" x14ac:dyDescent="0.15">
      <c r="A251" s="37">
        <v>673</v>
      </c>
      <c r="B251" s="7" t="str">
        <f>VLOOKUP(A251,[1]characters!$A:$C,3,FALSE)</f>
        <v>変幻自在の猿王 ハヌマーン</v>
      </c>
    </row>
    <row r="252" spans="1:2" x14ac:dyDescent="0.15">
      <c r="A252" s="37">
        <v>674</v>
      </c>
      <c r="B252" s="7" t="str">
        <f>VLOOKUP(A252,[1]characters!$A:$C,3,FALSE)</f>
        <v>サラスヴァティ</v>
      </c>
    </row>
    <row r="253" spans="1:2" x14ac:dyDescent="0.15">
      <c r="A253" s="37">
        <v>675</v>
      </c>
      <c r="B253" s="7" t="str">
        <f>VLOOKUP(A253,[1]characters!$A:$C,3,FALSE)</f>
        <v>芸楽の奔流 サラスヴァティ</v>
      </c>
    </row>
    <row r="254" spans="1:2" x14ac:dyDescent="0.15">
      <c r="A254" s="37">
        <v>676</v>
      </c>
      <c r="B254" s="7" t="str">
        <f>VLOOKUP(A254,[1]characters!$A:$C,3,FALSE)</f>
        <v>ヴィシュヌ</v>
      </c>
    </row>
    <row r="255" spans="1:2" x14ac:dyDescent="0.15">
      <c r="A255" s="37">
        <v>677</v>
      </c>
      <c r="B255" s="7" t="str">
        <f>VLOOKUP(A255,[1]characters!$A:$C,3,FALSE)</f>
        <v>武遊闊歩 ヴィシュヌ</v>
      </c>
    </row>
    <row r="256" spans="1:2" x14ac:dyDescent="0.15">
      <c r="A256" s="37">
        <v>770</v>
      </c>
      <c r="B256" s="7" t="str">
        <f>VLOOKUP(A256,[1]characters!$A:$C,3,FALSE)</f>
        <v>ハヅル</v>
      </c>
    </row>
    <row r="257" spans="1:2" x14ac:dyDescent="0.15">
      <c r="A257" s="37">
        <v>771</v>
      </c>
      <c r="B257" s="7" t="str">
        <f>VLOOKUP(A257,[1]characters!$A:$C,3,FALSE)</f>
        <v>天織羽鶴 ハヅル</v>
      </c>
    </row>
    <row r="258" spans="1:2" x14ac:dyDescent="0.15">
      <c r="A258" s="37">
        <v>772</v>
      </c>
      <c r="B258" s="7" t="str">
        <f>VLOOKUP(A258,[1]characters!$A:$C,3,FALSE)</f>
        <v>イナバ</v>
      </c>
    </row>
    <row r="259" spans="1:2" x14ac:dyDescent="0.15">
      <c r="A259" s="37">
        <v>773</v>
      </c>
      <c r="B259" s="7" t="str">
        <f>VLOOKUP(A259,[1]characters!$A:$C,3,FALSE)</f>
        <v>浮跳天兎 イナバ</v>
      </c>
    </row>
    <row r="260" spans="1:2" x14ac:dyDescent="0.15">
      <c r="A260" s="37">
        <v>774</v>
      </c>
      <c r="B260" s="7" t="str">
        <f>VLOOKUP(A260,[1]characters!$A:$C,3,FALSE)</f>
        <v>ミズチ</v>
      </c>
    </row>
    <row r="261" spans="1:2" x14ac:dyDescent="0.15">
      <c r="A261" s="37">
        <v>775</v>
      </c>
      <c r="B261" s="7" t="str">
        <f>VLOOKUP(A261,[1]characters!$A:$C,3,FALSE)</f>
        <v>水底霊竜 ミズチ</v>
      </c>
    </row>
    <row r="262" spans="1:2" x14ac:dyDescent="0.15">
      <c r="A262" s="37">
        <v>776</v>
      </c>
      <c r="B262" s="7" t="str">
        <f>VLOOKUP(A262,[1]characters!$A:$C,3,FALSE)</f>
        <v>水竜底主 ミズチ</v>
      </c>
    </row>
    <row r="263" spans="1:2" x14ac:dyDescent="0.15">
      <c r="A263" s="37">
        <v>777</v>
      </c>
      <c r="B263" s="7" t="str">
        <f>VLOOKUP(A263,[1]characters!$A:$C,3,FALSE)</f>
        <v>ガメック</v>
      </c>
    </row>
    <row r="264" spans="1:2" x14ac:dyDescent="0.15">
      <c r="A264" s="37">
        <v>778</v>
      </c>
      <c r="B264" s="7" t="str">
        <f>VLOOKUP(A264,[1]characters!$A:$C,3,FALSE)</f>
        <v>一亀懸明 ガメック</v>
      </c>
    </row>
    <row r="265" spans="1:2" x14ac:dyDescent="0.15">
      <c r="A265" s="37">
        <v>779</v>
      </c>
      <c r="B265" s="7" t="str">
        <f>VLOOKUP(A265,[1]characters!$A:$C,3,FALSE)</f>
        <v>頑堅咬亀 ガメック</v>
      </c>
    </row>
    <row r="266" spans="1:2" x14ac:dyDescent="0.15">
      <c r="A266" s="37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1" t="s">
        <v>46</v>
      </c>
      <c r="B1" s="31"/>
    </row>
    <row r="2" spans="1:2" x14ac:dyDescent="0.15">
      <c r="A2" s="29" t="s">
        <v>1</v>
      </c>
      <c r="B2" s="30" t="s">
        <v>48</v>
      </c>
    </row>
    <row r="3" spans="1:2" x14ac:dyDescent="0.15">
      <c r="A3" s="6">
        <v>166</v>
      </c>
      <c r="B3" s="30" t="str">
        <f>VLOOKUP(A3,[1]characters!$A:$C,3,FALSE)</f>
        <v>ベリアル</v>
      </c>
    </row>
    <row r="4" spans="1:2" x14ac:dyDescent="0.15">
      <c r="A4" s="6">
        <v>167</v>
      </c>
      <c r="B4" s="30" t="str">
        <f>VLOOKUP(A4,[1]characters!$A:$C,3,FALSE)</f>
        <v>逆徒 ベリアル</v>
      </c>
    </row>
    <row r="5" spans="1:2" x14ac:dyDescent="0.15">
      <c r="A5" s="6">
        <v>168</v>
      </c>
      <c r="B5" s="30" t="str">
        <f>VLOOKUP(A5,[1]characters!$A:$C,3,FALSE)</f>
        <v>猛進の大逆者 ベリアル</v>
      </c>
    </row>
    <row r="6" spans="1:2" x14ac:dyDescent="0.15">
      <c r="A6" s="29">
        <v>169</v>
      </c>
      <c r="B6" s="30" t="str">
        <f>VLOOKUP(A6,[1]characters!$A:$C,3,FALSE)</f>
        <v>オセ</v>
      </c>
    </row>
    <row r="7" spans="1:2" x14ac:dyDescent="0.15">
      <c r="A7" s="29">
        <v>170</v>
      </c>
      <c r="B7" s="30" t="str">
        <f>VLOOKUP(A7,[1]characters!$A:$C,3,FALSE)</f>
        <v>識徒 オセ</v>
      </c>
    </row>
    <row r="8" spans="1:2" x14ac:dyDescent="0.15">
      <c r="A8" s="29">
        <v>171</v>
      </c>
      <c r="B8" s="30" t="str">
        <f>VLOOKUP(A8,[1]characters!$A:$C,3,FALSE)</f>
        <v>精解の預知者 オセ</v>
      </c>
    </row>
    <row r="9" spans="1:2" x14ac:dyDescent="0.15">
      <c r="A9" s="29">
        <v>172</v>
      </c>
      <c r="B9" s="30" t="str">
        <f>VLOOKUP(A9,[1]characters!$A:$C,3,FALSE)</f>
        <v>フォルネウス</v>
      </c>
    </row>
    <row r="10" spans="1:2" x14ac:dyDescent="0.15">
      <c r="A10" s="29">
        <v>173</v>
      </c>
      <c r="B10" s="30" t="str">
        <f>VLOOKUP(A10,[1]characters!$A:$C,3,FALSE)</f>
        <v>公爵 フォルネウス</v>
      </c>
    </row>
    <row r="11" spans="1:2" x14ac:dyDescent="0.15">
      <c r="A11" s="29">
        <v>174</v>
      </c>
      <c r="B11" s="30" t="str">
        <f>VLOOKUP(A11,[1]characters!$A:$C,3,FALSE)</f>
        <v>偽愛の大公爵 フォルネウス</v>
      </c>
    </row>
    <row r="12" spans="1:2" x14ac:dyDescent="0.15">
      <c r="A12" s="29">
        <v>235</v>
      </c>
      <c r="B12" s="30" t="str">
        <f>VLOOKUP(A12,[1]characters!$A:$C,3,FALSE)</f>
        <v>イザナミ</v>
      </c>
    </row>
    <row r="13" spans="1:2" x14ac:dyDescent="0.15">
      <c r="A13" s="29">
        <v>236</v>
      </c>
      <c r="B13" s="30" t="str">
        <f>VLOOKUP(A13,[1]characters!$A:$C,3,FALSE)</f>
        <v>神産 イザナミ</v>
      </c>
    </row>
    <row r="14" spans="1:2" x14ac:dyDescent="0.15">
      <c r="A14" s="29">
        <v>237</v>
      </c>
      <c r="B14" s="30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tables_7307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2017-03-16T07:07:41Z</dcterms:modified>
</cp:coreProperties>
</file>