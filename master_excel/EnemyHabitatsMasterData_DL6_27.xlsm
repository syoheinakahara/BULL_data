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shizawa/Projects/BULL/Repository/BULL_data/master_excel/"/>
    </mc:Choice>
  </mc:AlternateContent>
  <bookViews>
    <workbookView xWindow="40" yWindow="1580" windowWidth="28800" windowHeight="1542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3" hidden="1">enemy_habitat_S!$B$1:$Y$2</definedName>
    <definedName name="_xlnm._FilterDatabase" localSheetId="2" hidden="1">enemy_habitats!$B$1:$AH$50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21" l="1"/>
  <c r="I4" i="21"/>
  <c r="I5" i="21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C38" i="18"/>
  <c r="D38" i="18"/>
  <c r="C39" i="18"/>
  <c r="D39" i="18"/>
  <c r="C40" i="18"/>
  <c r="D40" i="18"/>
  <c r="C41" i="18"/>
  <c r="D41" i="18"/>
  <c r="C42" i="18"/>
  <c r="D42" i="18"/>
  <c r="C43" i="18"/>
  <c r="D43" i="18"/>
  <c r="C44" i="18"/>
  <c r="D44" i="18"/>
  <c r="C45" i="18"/>
  <c r="D45" i="18"/>
  <c r="C46" i="18"/>
  <c r="D46" i="18"/>
  <c r="W15" i="1"/>
  <c r="W16" i="1"/>
  <c r="W17" i="1"/>
  <c r="W19" i="1"/>
  <c r="W20" i="1"/>
  <c r="W21" i="1"/>
  <c r="W11" i="1"/>
  <c r="AA49" i="1"/>
  <c r="A49" i="1"/>
  <c r="D49" i="1"/>
  <c r="E49" i="1"/>
  <c r="F49" i="1"/>
  <c r="H49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G18" i="2"/>
  <c r="A18" i="2"/>
  <c r="I49" i="1"/>
  <c r="J49" i="1"/>
  <c r="M49" i="1"/>
  <c r="N49" i="1"/>
  <c r="O49" i="1"/>
  <c r="P49" i="1"/>
  <c r="Q49" i="1"/>
  <c r="W49" i="1"/>
  <c r="V49" i="1"/>
  <c r="AB49" i="1"/>
  <c r="AC49" i="1"/>
  <c r="AD49" i="1"/>
  <c r="AE49" i="1"/>
  <c r="AG49" i="1"/>
  <c r="AA50" i="1"/>
  <c r="A50" i="1"/>
  <c r="D50" i="1"/>
  <c r="E50" i="1"/>
  <c r="F50" i="1"/>
  <c r="H50" i="1"/>
  <c r="I50" i="1"/>
  <c r="J50" i="1"/>
  <c r="M50" i="1"/>
  <c r="N50" i="1"/>
  <c r="O50" i="1"/>
  <c r="P50" i="1"/>
  <c r="Q50" i="1"/>
  <c r="W50" i="1"/>
  <c r="V50" i="1"/>
  <c r="AB50" i="1"/>
  <c r="AC50" i="1"/>
  <c r="AD50" i="1"/>
  <c r="AE50" i="1"/>
  <c r="AG50" i="1"/>
  <c r="AB34" i="1"/>
  <c r="AD34" i="1"/>
  <c r="AG34" i="1"/>
  <c r="AE34" i="1"/>
  <c r="AC34" i="1"/>
  <c r="E21" i="9"/>
  <c r="V34" i="1"/>
  <c r="Q34" i="1"/>
  <c r="P34" i="1"/>
  <c r="O34" i="1"/>
  <c r="N34" i="1"/>
  <c r="M34" i="1"/>
  <c r="H34" i="1"/>
  <c r="J34" i="1"/>
  <c r="I34" i="1"/>
  <c r="D34" i="1"/>
  <c r="F34" i="1"/>
  <c r="E34" i="1"/>
  <c r="A34" i="1"/>
  <c r="AB33" i="1"/>
  <c r="AD33" i="1"/>
  <c r="AG33" i="1"/>
  <c r="AE33" i="1"/>
  <c r="AC33" i="1"/>
  <c r="E2" i="9"/>
  <c r="V33" i="1"/>
  <c r="Q33" i="1"/>
  <c r="P33" i="1"/>
  <c r="O33" i="1"/>
  <c r="N33" i="1"/>
  <c r="M33" i="1"/>
  <c r="H33" i="1"/>
  <c r="J33" i="1"/>
  <c r="I33" i="1"/>
  <c r="D33" i="1"/>
  <c r="F33" i="1"/>
  <c r="E33" i="1"/>
  <c r="A33" i="1"/>
  <c r="AB27" i="1"/>
  <c r="AD27" i="1"/>
  <c r="AG27" i="1"/>
  <c r="AE27" i="1"/>
  <c r="AC27" i="1"/>
  <c r="E19" i="9"/>
  <c r="V27" i="1"/>
  <c r="Q27" i="1"/>
  <c r="P27" i="1"/>
  <c r="O27" i="1"/>
  <c r="N27" i="1"/>
  <c r="M27" i="1"/>
  <c r="H27" i="1"/>
  <c r="J27" i="1"/>
  <c r="I27" i="1"/>
  <c r="D27" i="1"/>
  <c r="F27" i="1"/>
  <c r="E27" i="1"/>
  <c r="A27" i="1"/>
  <c r="AB26" i="1"/>
  <c r="AD26" i="1"/>
  <c r="AG26" i="1"/>
  <c r="AE26" i="1"/>
  <c r="AC26" i="1"/>
  <c r="E17" i="9"/>
  <c r="V26" i="1"/>
  <c r="Q26" i="1"/>
  <c r="P26" i="1"/>
  <c r="O26" i="1"/>
  <c r="N26" i="1"/>
  <c r="M26" i="1"/>
  <c r="H26" i="1"/>
  <c r="J26" i="1"/>
  <c r="I26" i="1"/>
  <c r="D26" i="1"/>
  <c r="F26" i="1"/>
  <c r="E26" i="1"/>
  <c r="A26" i="1"/>
  <c r="AB20" i="1"/>
  <c r="AD20" i="1"/>
  <c r="AG20" i="1"/>
  <c r="AE20" i="1"/>
  <c r="AC20" i="1"/>
  <c r="V20" i="1"/>
  <c r="Q20" i="1"/>
  <c r="P20" i="1"/>
  <c r="O20" i="1"/>
  <c r="N20" i="1"/>
  <c r="M20" i="1"/>
  <c r="H20" i="1"/>
  <c r="J20" i="1"/>
  <c r="I20" i="1"/>
  <c r="D20" i="1"/>
  <c r="F20" i="1"/>
  <c r="E20" i="1"/>
  <c r="A20" i="1"/>
  <c r="AB19" i="1"/>
  <c r="AD19" i="1"/>
  <c r="AG19" i="1"/>
  <c r="AE19" i="1"/>
  <c r="AC19" i="1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B10" i="1"/>
  <c r="AD10" i="1"/>
  <c r="AG10" i="1"/>
  <c r="AE10" i="1"/>
  <c r="AC10" i="1"/>
  <c r="W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E9" i="9"/>
  <c r="V9" i="1"/>
  <c r="Q9" i="1"/>
  <c r="P9" i="1"/>
  <c r="O9" i="1"/>
  <c r="N9" i="1"/>
  <c r="M9" i="1"/>
  <c r="H9" i="1"/>
  <c r="J9" i="1"/>
  <c r="I9" i="1"/>
  <c r="D9" i="1"/>
  <c r="F9" i="1"/>
  <c r="E9" i="1"/>
  <c r="A9" i="1"/>
  <c r="AB4" i="1"/>
  <c r="AD4" i="1"/>
  <c r="AG4" i="1"/>
  <c r="AE4" i="1"/>
  <c r="AC4" i="1"/>
  <c r="V4" i="1"/>
  <c r="Q4" i="1"/>
  <c r="P4" i="1"/>
  <c r="O4" i="1"/>
  <c r="N4" i="1"/>
  <c r="M4" i="1"/>
  <c r="H4" i="1"/>
  <c r="J4" i="1"/>
  <c r="I4" i="1"/>
  <c r="D4" i="1"/>
  <c r="F4" i="1"/>
  <c r="E4" i="1"/>
  <c r="A4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C37" i="18"/>
  <c r="D37" i="18"/>
  <c r="C36" i="18"/>
  <c r="D36" i="18"/>
  <c r="C35" i="18"/>
  <c r="D35" i="18"/>
  <c r="C34" i="18"/>
  <c r="D34" i="18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B2" i="21"/>
  <c r="B3" i="19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2" i="19"/>
  <c r="F18" i="19"/>
  <c r="G18" i="19"/>
  <c r="D18" i="19"/>
  <c r="C18" i="19"/>
  <c r="F17" i="19"/>
  <c r="G17" i="19"/>
  <c r="D17" i="19"/>
  <c r="C17" i="19"/>
  <c r="F16" i="19"/>
  <c r="G16" i="19"/>
  <c r="D16" i="19"/>
  <c r="C16" i="19"/>
  <c r="F15" i="19"/>
  <c r="G15" i="19"/>
  <c r="D15" i="19"/>
  <c r="C15" i="19"/>
  <c r="F14" i="19"/>
  <c r="G14" i="19"/>
  <c r="D14" i="19"/>
  <c r="C14" i="19"/>
  <c r="F13" i="19"/>
  <c r="G13" i="19"/>
  <c r="D13" i="19"/>
  <c r="C13" i="19"/>
  <c r="F12" i="19"/>
  <c r="G12" i="19"/>
  <c r="D12" i="19"/>
  <c r="C12" i="19"/>
  <c r="F11" i="19"/>
  <c r="G11" i="19"/>
  <c r="D11" i="19"/>
  <c r="C11" i="19"/>
  <c r="F10" i="19"/>
  <c r="G10" i="19"/>
  <c r="D10" i="19"/>
  <c r="C10" i="19"/>
  <c r="F9" i="19"/>
  <c r="G9" i="19"/>
  <c r="D9" i="19"/>
  <c r="C9" i="19"/>
  <c r="F8" i="19"/>
  <c r="G8" i="19"/>
  <c r="D8" i="19"/>
  <c r="C8" i="19"/>
  <c r="F7" i="19"/>
  <c r="G7" i="19"/>
  <c r="D7" i="19"/>
  <c r="C7" i="19"/>
  <c r="F6" i="19"/>
  <c r="G6" i="19"/>
  <c r="D6" i="19"/>
  <c r="C6" i="19"/>
  <c r="F5" i="19"/>
  <c r="G5" i="19"/>
  <c r="D5" i="19"/>
  <c r="C5" i="19"/>
  <c r="F4" i="19"/>
  <c r="G4" i="19"/>
  <c r="D4" i="19"/>
  <c r="C4" i="19"/>
  <c r="F3" i="19"/>
  <c r="G3" i="19"/>
  <c r="D3" i="19"/>
  <c r="C3" i="19"/>
  <c r="F2" i="19"/>
  <c r="G2" i="19"/>
  <c r="D2" i="19"/>
  <c r="C2" i="19"/>
  <c r="B14" i="21"/>
  <c r="B15" i="21"/>
  <c r="B16" i="21"/>
  <c r="B17" i="21"/>
  <c r="B18" i="21"/>
  <c r="J18" i="21"/>
  <c r="G18" i="21"/>
  <c r="F18" i="21"/>
  <c r="D18" i="21"/>
  <c r="C18" i="21"/>
  <c r="J17" i="21"/>
  <c r="G17" i="21"/>
  <c r="F17" i="21"/>
  <c r="D17" i="21"/>
  <c r="C17" i="21"/>
  <c r="J16" i="21"/>
  <c r="G16" i="21"/>
  <c r="F16" i="21"/>
  <c r="D16" i="21"/>
  <c r="C16" i="21"/>
  <c r="J15" i="21"/>
  <c r="G15" i="21"/>
  <c r="F15" i="21"/>
  <c r="D15" i="21"/>
  <c r="C15" i="21"/>
  <c r="J14" i="21"/>
  <c r="G14" i="21"/>
  <c r="F14" i="21"/>
  <c r="D14" i="21"/>
  <c r="C14" i="21"/>
  <c r="B13" i="21"/>
  <c r="J13" i="21"/>
  <c r="G13" i="21"/>
  <c r="F13" i="21"/>
  <c r="D13" i="21"/>
  <c r="C13" i="21"/>
  <c r="B12" i="21"/>
  <c r="J12" i="21"/>
  <c r="G12" i="21"/>
  <c r="F12" i="21"/>
  <c r="D12" i="21"/>
  <c r="C12" i="21"/>
  <c r="B11" i="21"/>
  <c r="J11" i="21"/>
  <c r="G11" i="21"/>
  <c r="F11" i="21"/>
  <c r="D11" i="21"/>
  <c r="C11" i="21"/>
  <c r="B10" i="21"/>
  <c r="J10" i="21"/>
  <c r="G10" i="21"/>
  <c r="F10" i="21"/>
  <c r="D10" i="21"/>
  <c r="C10" i="21"/>
  <c r="B9" i="21"/>
  <c r="J9" i="21"/>
  <c r="G9" i="21"/>
  <c r="F9" i="21"/>
  <c r="D9" i="21"/>
  <c r="C9" i="21"/>
  <c r="B8" i="21"/>
  <c r="J8" i="21"/>
  <c r="G8" i="21"/>
  <c r="F8" i="21"/>
  <c r="D8" i="21"/>
  <c r="C8" i="21"/>
  <c r="B7" i="21"/>
  <c r="J7" i="21"/>
  <c r="G7" i="21"/>
  <c r="F7" i="21"/>
  <c r="D7" i="21"/>
  <c r="C7" i="21"/>
  <c r="B6" i="21"/>
  <c r="J6" i="21"/>
  <c r="G6" i="21"/>
  <c r="F6" i="21"/>
  <c r="D6" i="21"/>
  <c r="C6" i="21"/>
  <c r="B5" i="21"/>
  <c r="J5" i="21"/>
  <c r="G5" i="21"/>
  <c r="F5" i="21"/>
  <c r="D5" i="21"/>
  <c r="C5" i="21"/>
  <c r="B4" i="21"/>
  <c r="J4" i="21"/>
  <c r="G4" i="21"/>
  <c r="F4" i="21"/>
  <c r="D4" i="21"/>
  <c r="C4" i="21"/>
  <c r="B3" i="21"/>
  <c r="J3" i="21"/>
  <c r="G3" i="21"/>
  <c r="F3" i="21"/>
  <c r="D3" i="21"/>
  <c r="C3" i="21"/>
  <c r="AB42" i="1"/>
  <c r="AD42" i="1"/>
  <c r="AG42" i="1"/>
  <c r="AE42" i="1"/>
  <c r="AC42" i="1"/>
  <c r="AA42" i="1"/>
  <c r="W42" i="1"/>
  <c r="V42" i="1"/>
  <c r="Q42" i="1"/>
  <c r="P42" i="1"/>
  <c r="O42" i="1"/>
  <c r="N42" i="1"/>
  <c r="M42" i="1"/>
  <c r="H42" i="1"/>
  <c r="J42" i="1"/>
  <c r="I42" i="1"/>
  <c r="D42" i="1"/>
  <c r="F42" i="1"/>
  <c r="E42" i="1"/>
  <c r="A42" i="1"/>
  <c r="AA36" i="1"/>
  <c r="M41" i="1"/>
  <c r="AB46" i="1"/>
  <c r="AD46" i="1"/>
  <c r="AG46" i="1"/>
  <c r="AE46" i="1"/>
  <c r="AC46" i="1"/>
  <c r="AA46" i="1"/>
  <c r="W46" i="1"/>
  <c r="V46" i="1"/>
  <c r="Q46" i="1"/>
  <c r="P46" i="1"/>
  <c r="O46" i="1"/>
  <c r="N46" i="1"/>
  <c r="M46" i="1"/>
  <c r="H46" i="1"/>
  <c r="J46" i="1"/>
  <c r="I46" i="1"/>
  <c r="D46" i="1"/>
  <c r="F46" i="1"/>
  <c r="E46" i="1"/>
  <c r="A46" i="1"/>
  <c r="AB47" i="1"/>
  <c r="AD47" i="1"/>
  <c r="AG47" i="1"/>
  <c r="AE47" i="1"/>
  <c r="AC47" i="1"/>
  <c r="AA47" i="1"/>
  <c r="W47" i="1"/>
  <c r="V47" i="1"/>
  <c r="Q47" i="1"/>
  <c r="P47" i="1"/>
  <c r="O47" i="1"/>
  <c r="N47" i="1"/>
  <c r="M47" i="1"/>
  <c r="H47" i="1"/>
  <c r="J47" i="1"/>
  <c r="I47" i="1"/>
  <c r="D47" i="1"/>
  <c r="F47" i="1"/>
  <c r="E47" i="1"/>
  <c r="A47" i="1"/>
  <c r="AB45" i="1"/>
  <c r="AD45" i="1"/>
  <c r="AG45" i="1"/>
  <c r="AE45" i="1"/>
  <c r="AC45" i="1"/>
  <c r="AA45" i="1"/>
  <c r="W45" i="1"/>
  <c r="V45" i="1"/>
  <c r="Q45" i="1"/>
  <c r="P45" i="1"/>
  <c r="O45" i="1"/>
  <c r="N45" i="1"/>
  <c r="M45" i="1"/>
  <c r="H45" i="1"/>
  <c r="J45" i="1"/>
  <c r="I45" i="1"/>
  <c r="D45" i="1"/>
  <c r="F45" i="1"/>
  <c r="E45" i="1"/>
  <c r="A45" i="1"/>
  <c r="AB43" i="1"/>
  <c r="AD43" i="1"/>
  <c r="AG43" i="1"/>
  <c r="AE43" i="1"/>
  <c r="AC43" i="1"/>
  <c r="AA43" i="1"/>
  <c r="W43" i="1"/>
  <c r="V43" i="1"/>
  <c r="Q43" i="1"/>
  <c r="P43" i="1"/>
  <c r="O43" i="1"/>
  <c r="N43" i="1"/>
  <c r="M43" i="1"/>
  <c r="H43" i="1"/>
  <c r="J43" i="1"/>
  <c r="I43" i="1"/>
  <c r="D43" i="1"/>
  <c r="F43" i="1"/>
  <c r="E43" i="1"/>
  <c r="A43" i="1"/>
  <c r="E25" i="9"/>
  <c r="W2" i="7"/>
  <c r="W39" i="1"/>
  <c r="N31" i="1"/>
  <c r="J28" i="11"/>
  <c r="J27" i="11"/>
  <c r="J5" i="11"/>
  <c r="J6" i="11"/>
  <c r="J7" i="11"/>
  <c r="J8" i="11"/>
  <c r="J9" i="11"/>
  <c r="J10" i="11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H8" i="2"/>
  <c r="E8" i="2"/>
  <c r="D8" i="2"/>
  <c r="H28" i="1"/>
  <c r="H29" i="1"/>
  <c r="H2" i="1"/>
  <c r="H3" i="1"/>
  <c r="H6" i="1"/>
  <c r="H7" i="1"/>
  <c r="H8" i="1"/>
  <c r="H11" i="1"/>
  <c r="H12" i="1"/>
  <c r="H13" i="1"/>
  <c r="H14" i="1"/>
  <c r="H15" i="1"/>
  <c r="H16" i="1"/>
  <c r="H17" i="1"/>
  <c r="H18" i="1"/>
  <c r="H21" i="1"/>
  <c r="H22" i="1"/>
  <c r="H23" i="1"/>
  <c r="H24" i="1"/>
  <c r="H25" i="1"/>
  <c r="H30" i="1"/>
  <c r="H31" i="1"/>
  <c r="H32" i="1"/>
  <c r="H35" i="1"/>
  <c r="H36" i="1"/>
  <c r="H37" i="1"/>
  <c r="H38" i="1"/>
  <c r="H39" i="1"/>
  <c r="H40" i="1"/>
  <c r="H41" i="1"/>
  <c r="H44" i="1"/>
  <c r="H48" i="1"/>
  <c r="B8" i="2"/>
  <c r="H4" i="2"/>
  <c r="E4" i="2"/>
  <c r="D4" i="2"/>
  <c r="B4" i="2"/>
  <c r="AB24" i="1"/>
  <c r="AD24" i="1"/>
  <c r="AG24" i="1"/>
  <c r="AE24" i="1"/>
  <c r="AC24" i="1"/>
  <c r="E26" i="9"/>
  <c r="E27" i="9"/>
  <c r="V24" i="1"/>
  <c r="Q24" i="1"/>
  <c r="P24" i="1"/>
  <c r="O24" i="1"/>
  <c r="N24" i="1"/>
  <c r="M24" i="1"/>
  <c r="J24" i="1"/>
  <c r="I24" i="1"/>
  <c r="D24" i="1"/>
  <c r="F24" i="1"/>
  <c r="E24" i="1"/>
  <c r="A24" i="1"/>
  <c r="AB25" i="1"/>
  <c r="AD25" i="1"/>
  <c r="AG25" i="1"/>
  <c r="AE25" i="1"/>
  <c r="AC25" i="1"/>
  <c r="E28" i="9"/>
  <c r="V25" i="1"/>
  <c r="Q25" i="1"/>
  <c r="P25" i="1"/>
  <c r="O25" i="1"/>
  <c r="N25" i="1"/>
  <c r="M25" i="1"/>
  <c r="J25" i="1"/>
  <c r="I25" i="1"/>
  <c r="D25" i="1"/>
  <c r="F25" i="1"/>
  <c r="E25" i="1"/>
  <c r="A25" i="1"/>
  <c r="AB6" i="1"/>
  <c r="AD6" i="1"/>
  <c r="AG6" i="1"/>
  <c r="AE6" i="1"/>
  <c r="AC6" i="1"/>
  <c r="AA6" i="1"/>
  <c r="E4" i="9"/>
  <c r="V6" i="1"/>
  <c r="Q6" i="1"/>
  <c r="P6" i="1"/>
  <c r="O6" i="1"/>
  <c r="N6" i="1"/>
  <c r="M6" i="1"/>
  <c r="J6" i="1"/>
  <c r="I6" i="1"/>
  <c r="D6" i="1"/>
  <c r="F6" i="1"/>
  <c r="E6" i="1"/>
  <c r="A6" i="1"/>
  <c r="AB7" i="1"/>
  <c r="AD7" i="1"/>
  <c r="AG7" i="1"/>
  <c r="AE7" i="1"/>
  <c r="AC7" i="1"/>
  <c r="E5" i="9"/>
  <c r="V7" i="1"/>
  <c r="Q7" i="1"/>
  <c r="P7" i="1"/>
  <c r="O7" i="1"/>
  <c r="N7" i="1"/>
  <c r="M7" i="1"/>
  <c r="J7" i="1"/>
  <c r="I7" i="1"/>
  <c r="D7" i="1"/>
  <c r="F7" i="1"/>
  <c r="E7" i="1"/>
  <c r="A7" i="1"/>
  <c r="AB8" i="1"/>
  <c r="AD8" i="1"/>
  <c r="AG8" i="1"/>
  <c r="AE8" i="1"/>
  <c r="AC8" i="1"/>
  <c r="E6" i="9"/>
  <c r="E8" i="9"/>
  <c r="V8" i="1"/>
  <c r="Q8" i="1"/>
  <c r="P8" i="1"/>
  <c r="O8" i="1"/>
  <c r="N8" i="1"/>
  <c r="M8" i="1"/>
  <c r="J8" i="1"/>
  <c r="I8" i="1"/>
  <c r="D8" i="1"/>
  <c r="F8" i="1"/>
  <c r="E8" i="1"/>
  <c r="A8" i="1"/>
  <c r="J23" i="11"/>
  <c r="J17" i="11"/>
  <c r="O17" i="9"/>
  <c r="N17" i="9"/>
  <c r="M17" i="9"/>
  <c r="L17" i="9"/>
  <c r="K17" i="9"/>
  <c r="J17" i="9"/>
  <c r="I17" i="9"/>
  <c r="H17" i="9"/>
  <c r="G17" i="9"/>
  <c r="D17" i="9"/>
  <c r="A17" i="9"/>
  <c r="J22" i="11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21" i="11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20" i="11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9" i="11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24" i="11"/>
  <c r="J25" i="11"/>
  <c r="J26" i="11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O9" i="9"/>
  <c r="N9" i="9"/>
  <c r="M9" i="9"/>
  <c r="L9" i="9"/>
  <c r="K9" i="9"/>
  <c r="J9" i="9"/>
  <c r="I9" i="9"/>
  <c r="H9" i="9"/>
  <c r="G9" i="9"/>
  <c r="D9" i="9"/>
  <c r="A9" i="9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O28" i="9"/>
  <c r="N28" i="9"/>
  <c r="M28" i="9"/>
  <c r="L28" i="9"/>
  <c r="K28" i="9"/>
  <c r="J28" i="9"/>
  <c r="I28" i="9"/>
  <c r="H28" i="9"/>
  <c r="G28" i="9"/>
  <c r="D28" i="9"/>
  <c r="A28" i="9"/>
  <c r="O27" i="9"/>
  <c r="N27" i="9"/>
  <c r="M27" i="9"/>
  <c r="L27" i="9"/>
  <c r="K27" i="9"/>
  <c r="J27" i="9"/>
  <c r="I27" i="9"/>
  <c r="H27" i="9"/>
  <c r="G27" i="9"/>
  <c r="D27" i="9"/>
  <c r="A27" i="9"/>
  <c r="O26" i="9"/>
  <c r="N26" i="9"/>
  <c r="M26" i="9"/>
  <c r="L26" i="9"/>
  <c r="K26" i="9"/>
  <c r="J26" i="9"/>
  <c r="I26" i="9"/>
  <c r="H26" i="9"/>
  <c r="G26" i="9"/>
  <c r="D26" i="9"/>
  <c r="A26" i="9"/>
  <c r="O25" i="9"/>
  <c r="N25" i="9"/>
  <c r="M25" i="9"/>
  <c r="L25" i="9"/>
  <c r="K25" i="9"/>
  <c r="J25" i="9"/>
  <c r="I25" i="9"/>
  <c r="H25" i="9"/>
  <c r="G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J18" i="11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AA13" i="1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A11" i="1"/>
  <c r="J3" i="11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D6" i="9"/>
  <c r="A6" i="9"/>
  <c r="O5" i="9"/>
  <c r="N5" i="9"/>
  <c r="M5" i="9"/>
  <c r="L5" i="9"/>
  <c r="K5" i="9"/>
  <c r="J5" i="9"/>
  <c r="I5" i="9"/>
  <c r="H5" i="9"/>
  <c r="G5" i="9"/>
  <c r="D5" i="9"/>
  <c r="A5" i="9"/>
  <c r="J4" i="11"/>
  <c r="O4" i="9"/>
  <c r="N4" i="9"/>
  <c r="M4" i="9"/>
  <c r="L4" i="9"/>
  <c r="K4" i="9"/>
  <c r="J4" i="9"/>
  <c r="I4" i="9"/>
  <c r="H4" i="9"/>
  <c r="G4" i="9"/>
  <c r="D4" i="9"/>
  <c r="A4" i="9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L8" i="9"/>
  <c r="O10" i="9"/>
  <c r="N10" i="9"/>
  <c r="M10" i="9"/>
  <c r="L10" i="9"/>
  <c r="K10" i="9"/>
  <c r="J10" i="9"/>
  <c r="I10" i="9"/>
  <c r="H10" i="9"/>
  <c r="G10" i="9"/>
  <c r="E10" i="9"/>
  <c r="D10" i="9"/>
  <c r="A10" i="9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O8" i="9"/>
  <c r="N8" i="9"/>
  <c r="M8" i="9"/>
  <c r="K8" i="9"/>
  <c r="J8" i="9"/>
  <c r="I8" i="9"/>
  <c r="H8" i="9"/>
  <c r="G8" i="9"/>
  <c r="D8" i="9"/>
  <c r="A8" i="9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AB39" i="1"/>
  <c r="AD39" i="1"/>
  <c r="AG39" i="1"/>
  <c r="AE39" i="1"/>
  <c r="AC39" i="1"/>
  <c r="V39" i="1"/>
  <c r="Q39" i="1"/>
  <c r="P39" i="1"/>
  <c r="O39" i="1"/>
  <c r="N39" i="1"/>
  <c r="M39" i="1"/>
  <c r="J39" i="1"/>
  <c r="I39" i="1"/>
  <c r="D39" i="1"/>
  <c r="F39" i="1"/>
  <c r="E39" i="1"/>
  <c r="A39" i="1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O3" i="9"/>
  <c r="N3" i="9"/>
  <c r="M3" i="9"/>
  <c r="L3" i="9"/>
  <c r="K3" i="9"/>
  <c r="J3" i="9"/>
  <c r="I3" i="9"/>
  <c r="H3" i="9"/>
  <c r="G3" i="9"/>
  <c r="E3" i="9"/>
  <c r="D3" i="9"/>
  <c r="A3" i="9"/>
  <c r="AB23" i="1"/>
  <c r="AD23" i="1"/>
  <c r="AG23" i="1"/>
  <c r="AE23" i="1"/>
  <c r="AC23" i="1"/>
  <c r="V23" i="1"/>
  <c r="Q23" i="1"/>
  <c r="P23" i="1"/>
  <c r="O23" i="1"/>
  <c r="N23" i="1"/>
  <c r="M23" i="1"/>
  <c r="J23" i="1"/>
  <c r="I23" i="1"/>
  <c r="D23" i="1"/>
  <c r="F23" i="1"/>
  <c r="E23" i="1"/>
  <c r="A23" i="1"/>
  <c r="A28" i="1"/>
  <c r="E3" i="2"/>
  <c r="D3" i="2"/>
  <c r="V2" i="1"/>
  <c r="AB14" i="1"/>
  <c r="AD14" i="1"/>
  <c r="AG14" i="1"/>
  <c r="AE14" i="1"/>
  <c r="AC14" i="1"/>
  <c r="W14" i="1"/>
  <c r="V14" i="1"/>
  <c r="Q14" i="1"/>
  <c r="P14" i="1"/>
  <c r="O14" i="1"/>
  <c r="N14" i="1"/>
  <c r="M14" i="1"/>
  <c r="J14" i="1"/>
  <c r="I14" i="1"/>
  <c r="D14" i="1"/>
  <c r="F14" i="1"/>
  <c r="E14" i="1"/>
  <c r="A14" i="1"/>
  <c r="M15" i="1"/>
  <c r="W41" i="1"/>
  <c r="W44" i="1"/>
  <c r="W48" i="1"/>
  <c r="AA12" i="1"/>
  <c r="A12" i="1"/>
  <c r="D12" i="1"/>
  <c r="E12" i="1"/>
  <c r="F12" i="1"/>
  <c r="I12" i="1"/>
  <c r="J12" i="1"/>
  <c r="M12" i="1"/>
  <c r="N12" i="1"/>
  <c r="O12" i="1"/>
  <c r="P12" i="1"/>
  <c r="Q12" i="1"/>
  <c r="V12" i="1"/>
  <c r="AB12" i="1"/>
  <c r="AC12" i="1"/>
  <c r="AD12" i="1"/>
  <c r="AE12" i="1"/>
  <c r="AG12" i="1"/>
  <c r="A13" i="1"/>
  <c r="D13" i="1"/>
  <c r="E13" i="1"/>
  <c r="F13" i="1"/>
  <c r="I13" i="1"/>
  <c r="J13" i="1"/>
  <c r="M13" i="1"/>
  <c r="N13" i="1"/>
  <c r="O13" i="1"/>
  <c r="P13" i="1"/>
  <c r="Q13" i="1"/>
  <c r="V13" i="1"/>
  <c r="AB13" i="1"/>
  <c r="AC13" i="1"/>
  <c r="AD13" i="1"/>
  <c r="AE13" i="1"/>
  <c r="AG13" i="1"/>
  <c r="D11" i="1"/>
  <c r="E11" i="1"/>
  <c r="F11" i="1"/>
  <c r="I11" i="1"/>
  <c r="J11" i="1"/>
  <c r="M11" i="1"/>
  <c r="N11" i="1"/>
  <c r="O11" i="1"/>
  <c r="P11" i="1"/>
  <c r="Q11" i="1"/>
  <c r="V11" i="1"/>
  <c r="AB11" i="1"/>
  <c r="AC11" i="1"/>
  <c r="AD11" i="1"/>
  <c r="AE11" i="1"/>
  <c r="AG11" i="1"/>
  <c r="A15" i="1"/>
  <c r="D15" i="1"/>
  <c r="E15" i="1"/>
  <c r="F15" i="1"/>
  <c r="I15" i="1"/>
  <c r="J15" i="1"/>
  <c r="N15" i="1"/>
  <c r="O15" i="1"/>
  <c r="P15" i="1"/>
  <c r="Q15" i="1"/>
  <c r="V15" i="1"/>
  <c r="AB15" i="1"/>
  <c r="AC15" i="1"/>
  <c r="AD15" i="1"/>
  <c r="AE15" i="1"/>
  <c r="AG15" i="1"/>
  <c r="A16" i="1"/>
  <c r="D16" i="1"/>
  <c r="E16" i="1"/>
  <c r="F16" i="1"/>
  <c r="I16" i="1"/>
  <c r="J16" i="1"/>
  <c r="M16" i="1"/>
  <c r="N16" i="1"/>
  <c r="O16" i="1"/>
  <c r="P16" i="1"/>
  <c r="Q16" i="1"/>
  <c r="V16" i="1"/>
  <c r="AB16" i="1"/>
  <c r="AC16" i="1"/>
  <c r="AD16" i="1"/>
  <c r="AE16" i="1"/>
  <c r="AG16" i="1"/>
  <c r="A17" i="1"/>
  <c r="D17" i="1"/>
  <c r="E17" i="1"/>
  <c r="F17" i="1"/>
  <c r="I17" i="1"/>
  <c r="J17" i="1"/>
  <c r="M17" i="1"/>
  <c r="N17" i="1"/>
  <c r="O17" i="1"/>
  <c r="P17" i="1"/>
  <c r="Q17" i="1"/>
  <c r="V17" i="1"/>
  <c r="AB17" i="1"/>
  <c r="AC17" i="1"/>
  <c r="AD17" i="1"/>
  <c r="AE17" i="1"/>
  <c r="AG17" i="1"/>
  <c r="AA18" i="1"/>
  <c r="A18" i="1"/>
  <c r="D18" i="1"/>
  <c r="E18" i="1"/>
  <c r="F18" i="1"/>
  <c r="I18" i="1"/>
  <c r="J18" i="1"/>
  <c r="M18" i="1"/>
  <c r="N18" i="1"/>
  <c r="O18" i="1"/>
  <c r="P18" i="1"/>
  <c r="Q18" i="1"/>
  <c r="V18" i="1"/>
  <c r="AB18" i="1"/>
  <c r="AC18" i="1"/>
  <c r="AD18" i="1"/>
  <c r="AE18" i="1"/>
  <c r="AG18" i="1"/>
  <c r="A21" i="1"/>
  <c r="D21" i="1"/>
  <c r="E21" i="1"/>
  <c r="F21" i="1"/>
  <c r="I21" i="1"/>
  <c r="J21" i="1"/>
  <c r="M21" i="1"/>
  <c r="N21" i="1"/>
  <c r="O21" i="1"/>
  <c r="P21" i="1"/>
  <c r="Q21" i="1"/>
  <c r="V21" i="1"/>
  <c r="AB21" i="1"/>
  <c r="AC21" i="1"/>
  <c r="AD21" i="1"/>
  <c r="AE21" i="1"/>
  <c r="AG21" i="1"/>
  <c r="A22" i="1"/>
  <c r="D22" i="1"/>
  <c r="E22" i="1"/>
  <c r="F22" i="1"/>
  <c r="I22" i="1"/>
  <c r="J22" i="1"/>
  <c r="M22" i="1"/>
  <c r="N22" i="1"/>
  <c r="O22" i="1"/>
  <c r="P22" i="1"/>
  <c r="Q22" i="1"/>
  <c r="V22" i="1"/>
  <c r="AB22" i="1"/>
  <c r="AC22" i="1"/>
  <c r="AD22" i="1"/>
  <c r="AE22" i="1"/>
  <c r="AG22" i="1"/>
  <c r="D28" i="1"/>
  <c r="E28" i="1"/>
  <c r="F28" i="1"/>
  <c r="I28" i="1"/>
  <c r="J28" i="1"/>
  <c r="M28" i="1"/>
  <c r="N28" i="1"/>
  <c r="O28" i="1"/>
  <c r="P28" i="1"/>
  <c r="Q28" i="1"/>
  <c r="V28" i="1"/>
  <c r="AB28" i="1"/>
  <c r="AC28" i="1"/>
  <c r="AD28" i="1"/>
  <c r="AE28" i="1"/>
  <c r="AG28" i="1"/>
  <c r="A29" i="1"/>
  <c r="D29" i="1"/>
  <c r="E29" i="1"/>
  <c r="F29" i="1"/>
  <c r="I29" i="1"/>
  <c r="J29" i="1"/>
  <c r="M29" i="1"/>
  <c r="N29" i="1"/>
  <c r="O29" i="1"/>
  <c r="P29" i="1"/>
  <c r="Q29" i="1"/>
  <c r="V29" i="1"/>
  <c r="AB29" i="1"/>
  <c r="AC29" i="1"/>
  <c r="AD29" i="1"/>
  <c r="AE29" i="1"/>
  <c r="AG29" i="1"/>
  <c r="A30" i="1"/>
  <c r="D30" i="1"/>
  <c r="E30" i="1"/>
  <c r="F30" i="1"/>
  <c r="I30" i="1"/>
  <c r="J30" i="1"/>
  <c r="M30" i="1"/>
  <c r="N30" i="1"/>
  <c r="O30" i="1"/>
  <c r="P30" i="1"/>
  <c r="Q30" i="1"/>
  <c r="V30" i="1"/>
  <c r="AB30" i="1"/>
  <c r="AC30" i="1"/>
  <c r="AD30" i="1"/>
  <c r="AE30" i="1"/>
  <c r="AG30" i="1"/>
  <c r="A31" i="1"/>
  <c r="D31" i="1"/>
  <c r="E31" i="1"/>
  <c r="F31" i="1"/>
  <c r="I31" i="1"/>
  <c r="J31" i="1"/>
  <c r="M31" i="1"/>
  <c r="O31" i="1"/>
  <c r="P31" i="1"/>
  <c r="Q31" i="1"/>
  <c r="V31" i="1"/>
  <c r="AB31" i="1"/>
  <c r="AC31" i="1"/>
  <c r="AD31" i="1"/>
  <c r="AE31" i="1"/>
  <c r="AG31" i="1"/>
  <c r="A32" i="1"/>
  <c r="D32" i="1"/>
  <c r="E32" i="1"/>
  <c r="F32" i="1"/>
  <c r="I32" i="1"/>
  <c r="J32" i="1"/>
  <c r="M32" i="1"/>
  <c r="N32" i="1"/>
  <c r="O32" i="1"/>
  <c r="P32" i="1"/>
  <c r="Q32" i="1"/>
  <c r="V32" i="1"/>
  <c r="AB32" i="1"/>
  <c r="AC32" i="1"/>
  <c r="AD32" i="1"/>
  <c r="AE32" i="1"/>
  <c r="AG32" i="1"/>
  <c r="A35" i="1"/>
  <c r="D35" i="1"/>
  <c r="E35" i="1"/>
  <c r="F35" i="1"/>
  <c r="I35" i="1"/>
  <c r="J35" i="1"/>
  <c r="M35" i="1"/>
  <c r="N35" i="1"/>
  <c r="O35" i="1"/>
  <c r="P35" i="1"/>
  <c r="Q35" i="1"/>
  <c r="V35" i="1"/>
  <c r="AB35" i="1"/>
  <c r="AC35" i="1"/>
  <c r="AD35" i="1"/>
  <c r="AE35" i="1"/>
  <c r="AG35" i="1"/>
  <c r="A36" i="1"/>
  <c r="D36" i="1"/>
  <c r="E36" i="1"/>
  <c r="F36" i="1"/>
  <c r="I36" i="1"/>
  <c r="J36" i="1"/>
  <c r="M36" i="1"/>
  <c r="N36" i="1"/>
  <c r="O36" i="1"/>
  <c r="P36" i="1"/>
  <c r="Q36" i="1"/>
  <c r="V36" i="1"/>
  <c r="AB36" i="1"/>
  <c r="AC36" i="1"/>
  <c r="AD36" i="1"/>
  <c r="AE36" i="1"/>
  <c r="AG36" i="1"/>
  <c r="A37" i="1"/>
  <c r="D37" i="1"/>
  <c r="E37" i="1"/>
  <c r="F37" i="1"/>
  <c r="I37" i="1"/>
  <c r="J37" i="1"/>
  <c r="M37" i="1"/>
  <c r="N37" i="1"/>
  <c r="O37" i="1"/>
  <c r="P37" i="1"/>
  <c r="Q37" i="1"/>
  <c r="V37" i="1"/>
  <c r="AB37" i="1"/>
  <c r="AC37" i="1"/>
  <c r="AD37" i="1"/>
  <c r="AE37" i="1"/>
  <c r="AG37" i="1"/>
  <c r="AA38" i="1"/>
  <c r="A38" i="1"/>
  <c r="D38" i="1"/>
  <c r="E38" i="1"/>
  <c r="F38" i="1"/>
  <c r="I38" i="1"/>
  <c r="J38" i="1"/>
  <c r="M38" i="1"/>
  <c r="N38" i="1"/>
  <c r="O38" i="1"/>
  <c r="P38" i="1"/>
  <c r="Q38" i="1"/>
  <c r="V38" i="1"/>
  <c r="AB38" i="1"/>
  <c r="AC38" i="1"/>
  <c r="AD38" i="1"/>
  <c r="AE38" i="1"/>
  <c r="AG38" i="1"/>
  <c r="A40" i="1"/>
  <c r="D40" i="1"/>
  <c r="E40" i="1"/>
  <c r="F40" i="1"/>
  <c r="I40" i="1"/>
  <c r="J40" i="1"/>
  <c r="M40" i="1"/>
  <c r="N40" i="1"/>
  <c r="O40" i="1"/>
  <c r="P40" i="1"/>
  <c r="Q40" i="1"/>
  <c r="V40" i="1"/>
  <c r="AB40" i="1"/>
  <c r="AC40" i="1"/>
  <c r="AD40" i="1"/>
  <c r="AE40" i="1"/>
  <c r="AG40" i="1"/>
  <c r="AA41" i="1"/>
  <c r="A41" i="1"/>
  <c r="D41" i="1"/>
  <c r="E41" i="1"/>
  <c r="F41" i="1"/>
  <c r="I41" i="1"/>
  <c r="J41" i="1"/>
  <c r="N41" i="1"/>
  <c r="O41" i="1"/>
  <c r="P41" i="1"/>
  <c r="Q41" i="1"/>
  <c r="V41" i="1"/>
  <c r="AB41" i="1"/>
  <c r="AC41" i="1"/>
  <c r="AD41" i="1"/>
  <c r="AE41" i="1"/>
  <c r="AG41" i="1"/>
  <c r="AA44" i="1"/>
  <c r="A44" i="1"/>
  <c r="D44" i="1"/>
  <c r="E44" i="1"/>
  <c r="F44" i="1"/>
  <c r="I44" i="1"/>
  <c r="J44" i="1"/>
  <c r="M44" i="1"/>
  <c r="N44" i="1"/>
  <c r="O44" i="1"/>
  <c r="P44" i="1"/>
  <c r="Q44" i="1"/>
  <c r="V44" i="1"/>
  <c r="AB44" i="1"/>
  <c r="AC44" i="1"/>
  <c r="AD44" i="1"/>
  <c r="AE44" i="1"/>
  <c r="AG44" i="1"/>
  <c r="AA48" i="1"/>
  <c r="A48" i="1"/>
  <c r="D48" i="1"/>
  <c r="E48" i="1"/>
  <c r="F48" i="1"/>
  <c r="I48" i="1"/>
  <c r="J48" i="1"/>
  <c r="M48" i="1"/>
  <c r="N48" i="1"/>
  <c r="O48" i="1"/>
  <c r="P48" i="1"/>
  <c r="Q48" i="1"/>
  <c r="V48" i="1"/>
  <c r="AB48" i="1"/>
  <c r="AC48" i="1"/>
  <c r="AD48" i="1"/>
  <c r="AE48" i="1"/>
  <c r="AG48" i="1"/>
  <c r="B3" i="2"/>
  <c r="H3" i="2"/>
  <c r="B5" i="2"/>
  <c r="D5" i="2"/>
  <c r="E5" i="2"/>
  <c r="H5" i="2"/>
  <c r="B6" i="2"/>
  <c r="D6" i="2"/>
  <c r="E6" i="2"/>
  <c r="H6" i="2"/>
  <c r="B7" i="2"/>
  <c r="D7" i="2"/>
  <c r="E7" i="2"/>
  <c r="H7" i="2"/>
  <c r="B9" i="2"/>
  <c r="D9" i="2"/>
  <c r="E9" i="2"/>
  <c r="H9" i="2"/>
  <c r="B10" i="2"/>
  <c r="D10" i="2"/>
  <c r="E10" i="2"/>
  <c r="H10" i="2"/>
  <c r="B11" i="2"/>
  <c r="D11" i="2"/>
  <c r="E11" i="2"/>
  <c r="H11" i="2"/>
  <c r="B12" i="2"/>
  <c r="D12" i="2"/>
  <c r="E12" i="2"/>
  <c r="H12" i="2"/>
  <c r="B13" i="2"/>
  <c r="D13" i="2"/>
  <c r="E13" i="2"/>
  <c r="H13" i="2"/>
  <c r="B14" i="2"/>
  <c r="D14" i="2"/>
  <c r="E14" i="2"/>
  <c r="H14" i="2"/>
  <c r="B15" i="2"/>
  <c r="D15" i="2"/>
  <c r="E15" i="2"/>
  <c r="H15" i="2"/>
  <c r="B16" i="2"/>
  <c r="D16" i="2"/>
  <c r="E16" i="2"/>
  <c r="H16" i="2"/>
  <c r="B17" i="2"/>
  <c r="D17" i="2"/>
  <c r="E17" i="2"/>
  <c r="H17" i="2"/>
  <c r="B18" i="2"/>
  <c r="D18" i="2"/>
  <c r="E18" i="2"/>
  <c r="H18" i="2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AA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<sst xmlns="http://schemas.openxmlformats.org/spreadsheetml/2006/main" count="885" uniqueCount="333">
  <si>
    <t>quest_id</t>
  </si>
  <si>
    <t>stage_id</t>
  </si>
  <si>
    <t>character_id</t>
  </si>
  <si>
    <t>level</t>
  </si>
  <si>
    <t>skill_set_id</t>
    <phoneticPr fontId="6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</si>
  <si>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</si>
  <si>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</si>
  <si>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</si>
  <si>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</si>
  <si>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</si>
  <si>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</si>
  <si>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</si>
  <si>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</si>
  <si>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</si>
  <si>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</si>
  <si>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</si>
  <si>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6"/>
  </si>
  <si>
    <t>rare</t>
    <phoneticPr fontId="6"/>
  </si>
  <si>
    <t>name</t>
    <phoneticPr fontId="6"/>
  </si>
  <si>
    <t>floor_id</t>
    <phoneticPr fontId="6"/>
  </si>
  <si>
    <t>name</t>
    <phoneticPr fontId="6"/>
  </si>
  <si>
    <t>name</t>
    <phoneticPr fontId="6"/>
  </si>
  <si>
    <t>skill_set_id</t>
  </si>
  <si>
    <t>drop_label</t>
    <phoneticPr fontId="6"/>
  </si>
  <si>
    <t>color</t>
    <phoneticPr fontId="6"/>
  </si>
  <si>
    <t>size</t>
    <phoneticPr fontId="6"/>
  </si>
  <si>
    <t>character_main_tribe_id</t>
    <phoneticPr fontId="6"/>
  </si>
  <si>
    <t>drop_label</t>
    <phoneticPr fontId="8"/>
  </si>
  <si>
    <t>temp_stage</t>
    <phoneticPr fontId="6"/>
  </si>
  <si>
    <t>temp_habitats</t>
    <phoneticPr fontId="6"/>
  </si>
  <si>
    <t>temp_floor</t>
    <phoneticPr fontId="6"/>
  </si>
  <si>
    <t>スキル</t>
    <phoneticPr fontId="6"/>
  </si>
  <si>
    <t>temp_stage</t>
    <phoneticPr fontId="6"/>
  </si>
  <si>
    <t>位置付け</t>
    <rPh sb="0" eb="3">
      <t>イチヅ</t>
    </rPh>
    <phoneticPr fontId="6"/>
  </si>
  <si>
    <t>name</t>
    <phoneticPr fontId="6"/>
  </si>
  <si>
    <t>temp_floor</t>
    <phoneticPr fontId="6"/>
  </si>
  <si>
    <t>status</t>
    <phoneticPr fontId="6"/>
  </si>
  <si>
    <t>hp_plus</t>
  </si>
  <si>
    <t>hp_plus</t>
    <phoneticPr fontId="6"/>
  </si>
  <si>
    <t>attack_plus</t>
  </si>
  <si>
    <t>attack_plus</t>
    <phoneticPr fontId="6"/>
  </si>
  <si>
    <t>defense_plus</t>
  </si>
  <si>
    <t>defense_plus</t>
    <phoneticPr fontId="6"/>
  </si>
  <si>
    <t>heal_plus</t>
  </si>
  <si>
    <t>heal_plus</t>
    <phoneticPr fontId="6"/>
  </si>
  <si>
    <t>bug</t>
  </si>
  <si>
    <t>bug</t>
    <phoneticPr fontId="6"/>
  </si>
  <si>
    <t>hp_coefficient</t>
  </si>
  <si>
    <t>hp_coefficient</t>
    <phoneticPr fontId="6"/>
  </si>
  <si>
    <t>attack_coefficient</t>
  </si>
  <si>
    <t>attack_coefficient</t>
    <phoneticPr fontId="6"/>
  </si>
  <si>
    <t>defense_correction</t>
  </si>
  <si>
    <t>defense_correction</t>
    <phoneticPr fontId="6"/>
  </si>
  <si>
    <t>null</t>
    <phoneticPr fontId="6"/>
  </si>
  <si>
    <t>seq_no</t>
    <phoneticPr fontId="6"/>
  </si>
  <si>
    <t>state_no</t>
    <phoneticPr fontId="6"/>
  </si>
  <si>
    <t>character_id</t>
    <phoneticPr fontId="6"/>
  </si>
  <si>
    <t>level</t>
    <phoneticPr fontId="6"/>
  </si>
  <si>
    <t>speed</t>
    <phoneticPr fontId="6"/>
  </si>
  <si>
    <t>skill_set_id</t>
    <phoneticPr fontId="6"/>
  </si>
  <si>
    <t>temp_id</t>
    <phoneticPr fontId="6"/>
  </si>
  <si>
    <t>skill_set_id</t>
    <phoneticPr fontId="8"/>
  </si>
  <si>
    <t>skill_id</t>
    <phoneticPr fontId="8"/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</si>
  <si>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</si>
  <si>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</si>
  <si>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</si>
  <si>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</si>
  <si>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</si>
  <si>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priority</t>
    <phoneticPr fontId="6"/>
  </si>
  <si>
    <t>invoke_rate</t>
    <phoneticPr fontId="6"/>
  </si>
  <si>
    <t>hp_threshold</t>
    <phoneticPr fontId="6"/>
  </si>
  <si>
    <t>hp_termination</t>
    <phoneticPr fontId="6"/>
  </si>
  <si>
    <t>invoke_times</t>
    <phoneticPr fontId="6"/>
  </si>
  <si>
    <t>every_time_count</t>
    <phoneticPr fontId="6"/>
  </si>
  <si>
    <t>neighbor_dead_id</t>
    <phoneticPr fontId="6"/>
  </si>
  <si>
    <t>invoke_weight</t>
    <phoneticPr fontId="6"/>
  </si>
  <si>
    <t>作成者</t>
    <rPh sb="0" eb="3">
      <t>サクセイシャ</t>
    </rPh>
    <phoneticPr fontId="6"/>
  </si>
  <si>
    <t>更新日</t>
    <rPh sb="0" eb="3">
      <t>コウシンニチジ</t>
    </rPh>
    <phoneticPr fontId="6"/>
  </si>
  <si>
    <t>備考（使用箇所）</t>
    <rPh sb="0" eb="2">
      <t>ビコウ</t>
    </rPh>
    <rPh sb="3" eb="7">
      <t>シヨウカショ</t>
    </rPh>
    <phoneticPr fontId="6"/>
  </si>
  <si>
    <t>enemy_skill_id</t>
  </si>
  <si>
    <t>effect_param</t>
    <phoneticPr fontId="6"/>
  </si>
  <si>
    <t>valid_flg</t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</si>
  <si>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</si>
  <si>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</si>
  <si>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</si>
  <si>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</si>
  <si>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</si>
  <si>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invoke_rate</t>
    <phoneticPr fontId="6"/>
  </si>
  <si>
    <t>重複チェック</t>
    <rPh sb="0" eb="2">
      <t>チョウフク</t>
    </rPh>
    <phoneticPr fontId="6"/>
  </si>
  <si>
    <t>null</t>
    <phoneticPr fontId="6"/>
  </si>
  <si>
    <t>null</t>
    <phoneticPr fontId="6"/>
  </si>
  <si>
    <t>enemy_skills</t>
    <phoneticPr fontId="6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</si>
  <si>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</si>
  <si>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</si>
  <si>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</si>
  <si>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</si>
  <si>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</si>
  <si>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</si>
  <si>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</si>
  <si>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</si>
  <si>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</si>
  <si>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6"/>
  </si>
  <si>
    <t>識別子</t>
    <rPh sb="0" eb="3">
      <t>シキベツシ</t>
    </rPh>
    <phoneticPr fontId="6"/>
  </si>
  <si>
    <t>形式</t>
    <rPh sb="0" eb="2">
      <t>ケイシキ</t>
    </rPh>
    <phoneticPr fontId="6"/>
  </si>
  <si>
    <t>出力ファイル名</t>
    <rPh sb="0" eb="2">
      <t>シュツリョク</t>
    </rPh>
    <rPh sb="6" eb="7">
      <t>メイ</t>
    </rPh>
    <phoneticPr fontId="6"/>
  </si>
  <si>
    <t>入力シート名</t>
    <rPh sb="0" eb="2">
      <t>ニュウリョク</t>
    </rPh>
    <rPh sb="5" eb="6">
      <t>メイ</t>
    </rPh>
    <phoneticPr fontId="6"/>
  </si>
  <si>
    <t>出力データ</t>
    <rPh sb="0" eb="2">
      <t>シュツリョク</t>
    </rPh>
    <phoneticPr fontId="6"/>
  </si>
  <si>
    <t>floors_</t>
    <phoneticPr fontId="6"/>
  </si>
  <si>
    <t>.tmp</t>
    <phoneticPr fontId="6"/>
  </si>
  <si>
    <t>floors</t>
    <phoneticPr fontId="6"/>
  </si>
  <si>
    <t>enemy_habitats_</t>
    <phoneticPr fontId="6"/>
  </si>
  <si>
    <t>enemy_habitats</t>
    <phoneticPr fontId="6"/>
  </si>
  <si>
    <t>enemy_habitat_S_</t>
    <phoneticPr fontId="6"/>
  </si>
  <si>
    <t>enemy_habitat_S</t>
    <phoneticPr fontId="6"/>
  </si>
  <si>
    <t>enemy_skill_sets_</t>
    <phoneticPr fontId="6"/>
  </si>
  <si>
    <t>enemy_skill_sets</t>
    <phoneticPr fontId="6"/>
  </si>
  <si>
    <t>enemy_skills_tmp_</t>
    <phoneticPr fontId="6"/>
  </si>
  <si>
    <t>.tmp</t>
    <phoneticPr fontId="6"/>
  </si>
  <si>
    <t>enemy_skills_i18n_</t>
    <phoneticPr fontId="6"/>
  </si>
  <si>
    <t>enemy_skills</t>
    <phoneticPr fontId="6"/>
  </si>
  <si>
    <t>enemy_skill_triggers_</t>
    <phoneticPr fontId="6"/>
  </si>
  <si>
    <t>.tmp</t>
    <phoneticPr fontId="6"/>
  </si>
  <si>
    <t>enemy_skill_triggers</t>
    <phoneticPr fontId="6"/>
  </si>
  <si>
    <t>hp_termination</t>
    <phoneticPr fontId="6"/>
  </si>
  <si>
    <t>invoke_weight</t>
    <phoneticPr fontId="6"/>
  </si>
  <si>
    <t>every_time_count</t>
    <phoneticPr fontId="6"/>
  </si>
  <si>
    <t>neighbor_dead_id</t>
    <phoneticPr fontId="6"/>
  </si>
  <si>
    <t>language</t>
    <phoneticPr fontId="6"/>
  </si>
  <si>
    <t>ja</t>
    <phoneticPr fontId="6"/>
  </si>
  <si>
    <t>skill_set_id</t>
    <phoneticPr fontId="6"/>
  </si>
  <si>
    <t>スキル</t>
    <phoneticPr fontId="6"/>
  </si>
  <si>
    <t>出力flg</t>
    <rPh sb="0" eb="2">
      <t>シュツリョク</t>
    </rPh>
    <phoneticPr fontId="6"/>
  </si>
  <si>
    <t>中間文字列１</t>
    <rPh sb="0" eb="2">
      <t>チュウカン</t>
    </rPh>
    <rPh sb="2" eb="5">
      <t>モジレツ</t>
    </rPh>
    <phoneticPr fontId="6"/>
  </si>
  <si>
    <t>効果１文字列</t>
    <rPh sb="0" eb="2">
      <t>コウカ</t>
    </rPh>
    <rPh sb="3" eb="6">
      <t>モジレツ</t>
    </rPh>
    <phoneticPr fontId="6"/>
  </si>
  <si>
    <t>効果１簡易デコード</t>
    <rPh sb="0" eb="2">
      <t>コウカ</t>
    </rPh>
    <rPh sb="3" eb="5">
      <t>カンイ</t>
    </rPh>
    <phoneticPr fontId="6"/>
  </si>
  <si>
    <t>効果２文字列</t>
    <rPh sb="0" eb="2">
      <t>コウカ</t>
    </rPh>
    <rPh sb="3" eb="6">
      <t>モジレツ</t>
    </rPh>
    <phoneticPr fontId="6"/>
  </si>
  <si>
    <t>効果２簡易デコード</t>
    <rPh sb="0" eb="2">
      <t>コウカ</t>
    </rPh>
    <rPh sb="3" eb="5">
      <t>カンイ</t>
    </rPh>
    <phoneticPr fontId="6"/>
  </si>
  <si>
    <t>効果３文字列</t>
    <rPh sb="0" eb="2">
      <t>コウカ</t>
    </rPh>
    <rPh sb="3" eb="6">
      <t>モジレツ</t>
    </rPh>
    <phoneticPr fontId="6"/>
  </si>
  <si>
    <t>効果３簡易デコード</t>
    <rPh sb="0" eb="2">
      <t>コウカ</t>
    </rPh>
    <rPh sb="3" eb="5">
      <t>カンイ</t>
    </rPh>
    <phoneticPr fontId="6"/>
  </si>
  <si>
    <t>効果１efect位置</t>
    <rPh sb="0" eb="2">
      <t>コウカ</t>
    </rPh>
    <rPh sb="8" eb="10">
      <t>イチ</t>
    </rPh>
    <phoneticPr fontId="6"/>
  </si>
  <si>
    <t>効果１target位置</t>
    <rPh sb="0" eb="2">
      <t>コウカ</t>
    </rPh>
    <rPh sb="9" eb="11">
      <t>イチ</t>
    </rPh>
    <phoneticPr fontId="6"/>
  </si>
  <si>
    <t>効果1終了位置</t>
    <rPh sb="0" eb="2">
      <t>コウカ</t>
    </rPh>
    <rPh sb="3" eb="5">
      <t>シュウリョウ</t>
    </rPh>
    <rPh sb="5" eb="7">
      <t>イチ</t>
    </rPh>
    <phoneticPr fontId="6"/>
  </si>
  <si>
    <t>効果1target終了位置</t>
    <rPh sb="0" eb="2">
      <t>コウカ</t>
    </rPh>
    <rPh sb="9" eb="11">
      <t>シュウリョウ</t>
    </rPh>
    <rPh sb="11" eb="13">
      <t>イチ</t>
    </rPh>
    <phoneticPr fontId="6"/>
  </si>
  <si>
    <t>効果2efect位置</t>
    <rPh sb="0" eb="2">
      <t>コウカ</t>
    </rPh>
    <rPh sb="8" eb="10">
      <t>イチ</t>
    </rPh>
    <phoneticPr fontId="6"/>
  </si>
  <si>
    <t>効果2終了位置</t>
    <rPh sb="0" eb="2">
      <t>コウカ</t>
    </rPh>
    <rPh sb="3" eb="5">
      <t>シュウリョウ</t>
    </rPh>
    <rPh sb="5" eb="7">
      <t>イチ</t>
    </rPh>
    <phoneticPr fontId="6"/>
  </si>
  <si>
    <t>効果2target位置</t>
    <rPh sb="0" eb="2">
      <t>コウカ</t>
    </rPh>
    <rPh sb="9" eb="11">
      <t>イチ</t>
    </rPh>
    <phoneticPr fontId="6"/>
  </si>
  <si>
    <t>効果2target終了位置</t>
    <rPh sb="0" eb="2">
      <t>コウカ</t>
    </rPh>
    <rPh sb="9" eb="11">
      <t>シュウリョウ</t>
    </rPh>
    <rPh sb="11" eb="13">
      <t>イチ</t>
    </rPh>
    <phoneticPr fontId="6"/>
  </si>
  <si>
    <t>効果3efect位置</t>
    <rPh sb="0" eb="2">
      <t>コウカ</t>
    </rPh>
    <rPh sb="8" eb="10">
      <t>イチ</t>
    </rPh>
    <phoneticPr fontId="6"/>
  </si>
  <si>
    <t>効果3終了位置</t>
    <rPh sb="0" eb="2">
      <t>コウカ</t>
    </rPh>
    <rPh sb="3" eb="5">
      <t>シュウリョウ</t>
    </rPh>
    <rPh sb="5" eb="7">
      <t>イチ</t>
    </rPh>
    <phoneticPr fontId="6"/>
  </si>
  <si>
    <t>効果3target位置</t>
    <rPh sb="0" eb="2">
      <t>コウカ</t>
    </rPh>
    <rPh sb="9" eb="11">
      <t>イチ</t>
    </rPh>
    <phoneticPr fontId="6"/>
  </si>
  <si>
    <t>効果3target終了位置</t>
    <rPh sb="0" eb="2">
      <t>コウカ</t>
    </rPh>
    <rPh sb="9" eb="11">
      <t>シュウリョウ</t>
    </rPh>
    <rPh sb="11" eb="13">
      <t>イチ</t>
    </rPh>
    <phoneticPr fontId="6"/>
  </si>
  <si>
    <t>quest_id</t>
    <phoneticPr fontId="6"/>
  </si>
  <si>
    <t>stage_id</t>
    <phoneticPr fontId="6"/>
  </si>
  <si>
    <t>temp_stage</t>
    <phoneticPr fontId="8"/>
  </si>
  <si>
    <t>stage_target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</si>
  <si>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</si>
  <si>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</si>
  <si>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</si>
  <si>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</si>
  <si>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</si>
  <si>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</si>
  <si>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</si>
  <si>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</si>
  <si>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</si>
  <si>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</si>
  <si>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</si>
  <si>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</si>
  <si>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</si>
  <si>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</si>
  <si>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</si>
  <si>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</si>
  <si>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</si>
  <si>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</si>
  <si>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bugbonuses</t>
    <phoneticPr fontId="6"/>
  </si>
  <si>
    <t>stage_id</t>
    <phoneticPr fontId="6"/>
  </si>
  <si>
    <t>stage_target</t>
    <phoneticPr fontId="6"/>
  </si>
  <si>
    <t>bonus_id</t>
    <phoneticPr fontId="6"/>
  </si>
  <si>
    <t>bonus_type</t>
    <phoneticPr fontId="6"/>
  </si>
  <si>
    <t>stage_bug_bonuses_</t>
    <phoneticPr fontId="6"/>
  </si>
  <si>
    <t>skill_level</t>
    <phoneticPr fontId="6"/>
  </si>
  <si>
    <t>skill_level</t>
    <phoneticPr fontId="6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</si>
  <si>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</si>
  <si>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quest_id</t>
    <phoneticPr fontId="6"/>
  </si>
  <si>
    <t>hint_id</t>
    <phoneticPr fontId="6"/>
  </si>
  <si>
    <t>floor_id</t>
    <phoneticPr fontId="6"/>
  </si>
  <si>
    <t>hint_type</t>
    <phoneticPr fontId="6"/>
  </si>
  <si>
    <t>hint</t>
    <phoneticPr fontId="6"/>
  </si>
  <si>
    <t>title</t>
    <phoneticPr fontId="6"/>
  </si>
  <si>
    <t>hint_type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</si>
  <si>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</si>
  <si>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</si>
  <si>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</si>
  <si>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</si>
  <si>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floor_id</t>
    <phoneticPr fontId="6"/>
  </si>
  <si>
    <t>tmp_hint_id</t>
    <phoneticPr fontId="6"/>
  </si>
  <si>
    <t>hint_id</t>
    <phoneticPr fontId="6"/>
  </si>
  <si>
    <t>filename</t>
    <phoneticPr fontId="6"/>
  </si>
  <si>
    <t>failure</t>
  </si>
  <si>
    <t>ja</t>
    <phoneticPr fontId="6"/>
  </si>
  <si>
    <t>攻略のヒント</t>
    <rPh sb="0" eb="2">
      <t>コウリャク</t>
    </rPh>
    <phoneticPr fontId="6"/>
  </si>
  <si>
    <t>NULL</t>
    <phoneticPr fontId="6"/>
  </si>
  <si>
    <t>stage_hints_data_c_</t>
    <phoneticPr fontId="6"/>
  </si>
  <si>
    <t>stage_hints_data_f_</t>
    <phoneticPr fontId="6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</si>
  <si>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6"/>
  </si>
  <si>
    <t>hint_id</t>
    <phoneticPr fontId="6"/>
  </si>
  <si>
    <t>language</t>
    <phoneticPr fontId="6"/>
  </si>
  <si>
    <t>hint</t>
    <phoneticPr fontId="6"/>
  </si>
  <si>
    <t>filename</t>
  </si>
  <si>
    <t>title</t>
    <phoneticPr fontId="6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</si>
  <si>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6"/>
  </si>
  <si>
    <t>stage_hints_failure</t>
    <phoneticPr fontId="6"/>
  </si>
  <si>
    <t>stage_hints_failure</t>
    <phoneticPr fontId="6"/>
  </si>
  <si>
    <t>old</t>
    <phoneticPr fontId="6"/>
  </si>
  <si>
    <t>null</t>
    <phoneticPr fontId="6"/>
  </si>
  <si>
    <t xml:space="preserve"> 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</si>
  <si>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</si>
  <si>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</si>
  <si>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</si>
  <si>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</si>
  <si>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ja</t>
    <phoneticPr fontId="6"/>
  </si>
  <si>
    <t>NULL</t>
    <phoneticPr fontId="6"/>
  </si>
  <si>
    <t>ja</t>
    <phoneticPr fontId="6"/>
  </si>
  <si>
    <t>NULL</t>
    <phoneticPr fontId="6"/>
  </si>
  <si>
    <t>complete</t>
  </si>
  <si>
    <t>ja</t>
    <phoneticPr fontId="6"/>
  </si>
  <si>
    <t>NULL</t>
    <phoneticPr fontId="6"/>
  </si>
  <si>
    <t>NULL</t>
    <phoneticPr fontId="6"/>
  </si>
  <si>
    <t>敵の連続攻撃には</t>
  </si>
  <si>
    <t>カウンタースキルを持つユニットがいれば
ダメージ回数分の反撃ができます</t>
  </si>
  <si>
    <t>敵のカウンター攻撃には</t>
  </si>
  <si>
    <t>カウンターブレイクスキルを持っていれば
敵のカウンターを解除して攻撃ができます</t>
  </si>
  <si>
    <t>ステータスをスキルで下げられたら</t>
  </si>
  <si>
    <t>ステータスダウンのスキルを受けたら
ステータスアップスキルで上書きしましょう</t>
  </si>
  <si>
    <t>敵のステータスがスキルで上がったら</t>
  </si>
  <si>
    <t>敵のステータスがスキルでアップしたときは
ステータスダウンスキルで上書きしましょう</t>
  </si>
  <si>
    <t>チャレンジタワーのボス</t>
  </si>
  <si>
    <t>チャレンジタワーでのみ登場するボスは
一定確率で獲得することができます</t>
  </si>
  <si>
    <t>限界突破値の引き継ぎ</t>
  </si>
  <si>
    <t>同じユニットを強化で合成すると
限界突破値を引き継げます（覚醒前後も可）</t>
  </si>
  <si>
    <t>null</t>
    <phoneticPr fontId="6"/>
  </si>
  <si>
    <t>link</t>
    <phoneticPr fontId="6"/>
  </si>
  <si>
    <t>unit</t>
    <phoneticPr fontId="6"/>
  </si>
  <si>
    <t>[effect:dark, target:unit_all, turn:8, animation:enemy_dark]</t>
  </si>
  <si>
    <t>[effect:damage_anti_abnormal, target:unit_all, target_effect01:dark, val1:0.8, val2:0.2]</t>
  </si>
  <si>
    <t>[effect:force_change_block, new_block:block_heart, target:block_all, count:20, val:0,animation:change_block]</t>
  </si>
  <si>
    <t>[effect:remove_enhancement, target:unit_all, target_effect:all, target_type:debuff, count:-1, animation:frozen_wave]</t>
  </si>
  <si>
    <t>[effect:kamikaze, val:0.5]</t>
  </si>
  <si>
    <t>[effect:remove_enhancement, target:unit_all, target_effect:all, target_type:debuff, count:-1, animation:frozen_wave],[effect:suicide, val:1, dead_type:escape, target:myself, animation:enemy_suicide],[effect:force_change_block, new_block:block_heart, target:block_all, count:10, val:0,animation:change_block]</t>
  </si>
  <si>
    <t>[effect:damage_anti_color, target:unit_all, color:red, val1:1.5, val2:0.6]</t>
  </si>
  <si>
    <t>[effect:damage_anti_color, target:unit_all, color:blue, val1:1.5, val2:0.6]</t>
  </si>
  <si>
    <t>[effect:sleep, target:unit_green, turn:5, rate:0.6, animation:sleep01]</t>
  </si>
  <si>
    <t>[effect:hungup, target:unit_all, turn:4, rate:0.7, animation:enemy_hungup]</t>
  </si>
  <si>
    <t>[effect:rush, count:3, val:0.6]</t>
  </si>
  <si>
    <t>[effect:change_block, new_block:time_bomb, target:block_all, count:3, val:0.5, animation:change_block],[effect:change_block, new_block:block_heart, target:block_yellow, count:3, val:0, no_effect_msg:no_effect_msg_change_block_heal, animation:change_block]</t>
  </si>
  <si>
    <t>[effect:rush, count:6, val:0.3]</t>
  </si>
  <si>
    <t>[effect:damage_anti_tribe, target:unit_all, tribe:animal, val1:1.3, val2:0.4],[effect:hungup, target:unit_animal, turn:5, rate:1, animation:hungup01]</t>
  </si>
  <si>
    <t>[effect:damage_anti_type, target:unit_all, type:technical, val1:1.5, val2:0.5]</t>
  </si>
  <si>
    <t>[effect:barrier_attack_skill_tribe, target:enemy_all, option:invalid, tribe:human, turn:3, val:0, animation:crash_panel_reduce04_unit02]</t>
  </si>
  <si>
    <t>[effect:degrade_unit, target:unit_all, turn:2, status:attack, val:0.5, calc:mul],[effect:degrade_unit, target:unit_all, turn:2, status:heal, val:0.5, calc:mul, animation:degrade_unit_all_heal]</t>
  </si>
  <si>
    <t>[effect:barrier_attack_skill_tribe, target:enemy_all, option:invalid, tribe:animal, turn:3, val:0, animation:crash_panel_reduce04_unit02]</t>
  </si>
  <si>
    <t>[effect:hungup, target:unit_human, turn:8, rate:0.8, animation:hungup01]</t>
  </si>
  <si>
    <t>[effect:change_block, new_block:jammer, target:block_heart, count:3, val:0, animation:change_block],[effect:crash_condition, target:unit_all, val:4, turn:4, animation:enemy_crash_extend],[effect:rush, count:2, val:0.6]</t>
  </si>
  <si>
    <t>[effect:damage_anti_color, target:unit_all, color:red, val1:1.5, val2:0.5]</t>
  </si>
  <si>
    <t>[effect:change_block, new_block:time_bomb, target:block_blue, count:15, val:0.11, min_time_count:2, max_time_count:3, no_effect_msg:no_effect_msg_change_block, animation:change_block],[effect:rush, count:1, val:0.6]</t>
    <phoneticPr fontId="6"/>
  </si>
  <si>
    <t>[effect:force_change_block, new_block:block_heart, target:block_yellow, count:8, val:0, min_time_count:2, max_time_count:2, animation:change_block],[effect:degrade_crash, target:unit_all, count:12, special:18, turn:2, animation:enemy_crash_extend],[effect:dark, target:unit_all, turn:2, animation:enemy_dark]</t>
    <phoneticPr fontId="6"/>
  </si>
  <si>
    <t>[effect:change_block, new_block:time_bomb, target:block_heart, count:5, val:0.1, min_time_count:2, max_time_count:4, animation:change_block],[effect:hungup, target:unit_all, turn:3, rate:0.6, animation:enemy_hungup],[effect:rush, count:1, val:0.7]</t>
  </si>
  <si>
    <t>青属性に対して大ダメージの全体攻撃</t>
  </si>
  <si>
    <t>赤属性に対して大ダメージの全体攻撃</t>
  </si>
  <si>
    <t>8ターンの間 パネルの色が分からなくなる !</t>
  </si>
  <si>
    <t>暗闇状態のユニットに大ダメージ</t>
    <phoneticPr fontId="6"/>
  </si>
  <si>
    <t>パネルをランダムで20個ハートに変換</t>
  </si>
  <si>
    <t>全ユニットの状態異常を解除してくれた</t>
  </si>
  <si>
    <t>突然弾け飛んだ！</t>
  </si>
  <si>
    <t>一定確率で5ターン緑属性のユニットをスリープ</t>
  </si>
  <si>
    <t>一定確率で4ターンスキルバインド</t>
  </si>
  <si>
    <t>3回連続攻撃</t>
  </si>
  <si>
    <t>6回連続攻撃</t>
  </si>
  <si>
    <t>テクニカルタイプのユニットに大ダメージ</t>
  </si>
  <si>
    <t>青パネルを時限式パネルに変換＋攻撃</t>
    <phoneticPr fontId="6"/>
  </si>
  <si>
    <t>発熱トリック</t>
    <phoneticPr fontId="6"/>
  </si>
  <si>
    <t>メランコリアボム</t>
    <phoneticPr fontId="6"/>
  </si>
  <si>
    <t>ライトニングハート</t>
    <phoneticPr fontId="6"/>
  </si>
  <si>
    <t>オプティカルジャマー</t>
  </si>
  <si>
    <t>ヤミウチゴメン</t>
  </si>
  <si>
    <t>ハートフルブッダ</t>
  </si>
  <si>
    <t>ミホトケノジヒ</t>
  </si>
  <si>
    <t>ブツメツクラッシャー</t>
  </si>
  <si>
    <t>ピースフルマインド</t>
  </si>
  <si>
    <t>レッドクラッシャー</t>
  </si>
  <si>
    <t>ブルークラッシャー</t>
  </si>
  <si>
    <t>安寧への誘い</t>
  </si>
  <si>
    <t>孤独の支配</t>
  </si>
  <si>
    <t>耐えられない孤独</t>
  </si>
  <si>
    <t>クレイモア</t>
  </si>
  <si>
    <t>トトブラスター</t>
  </si>
  <si>
    <t>ドラゴニックハンター</t>
  </si>
  <si>
    <t>ウルトラタイガークラッシャー</t>
  </si>
  <si>
    <t>ディープオーシャン</t>
  </si>
  <si>
    <t>フルリール・アメール</t>
  </si>
  <si>
    <t>ガーディアンハート</t>
  </si>
  <si>
    <t>忍び寄る人狼</t>
  </si>
  <si>
    <t>電光の一刀</t>
  </si>
  <si>
    <t>マインドジャミング</t>
  </si>
  <si>
    <t>聴き取れない呟き</t>
  </si>
  <si>
    <t>ハートパネルを時限式ダメージパネルに変換
＋一定確率で3ターンスキルバインド＋攻撃</t>
    <phoneticPr fontId="6"/>
  </si>
  <si>
    <t>ハートパネルをお邪魔パネルに変換
＋4ターンの間 Cパネル生成延長＋2回攻撃</t>
    <phoneticPr fontId="6"/>
  </si>
  <si>
    <t>種族ヒューマンのユニットは
高確率で8ターンスキルが使えない！</t>
    <phoneticPr fontId="6"/>
  </si>
  <si>
    <t>カタラクトインバース</t>
    <phoneticPr fontId="6"/>
  </si>
  <si>
    <t>パネル3個を時限式パネルに変換
＋黄パネル3個をハートパネルに変換</t>
    <phoneticPr fontId="6"/>
  </si>
  <si>
    <t>3ターンの間 種族ヒューマン からの
攻撃スキルを無効化</t>
    <phoneticPr fontId="6"/>
  </si>
  <si>
    <t>2ターンの間 全ユニットの
攻撃力と回復力が特大ダウン</t>
    <phoneticPr fontId="6"/>
  </si>
  <si>
    <t>青属性に対して大ダメージの全体攻撃</t>
    <phoneticPr fontId="6"/>
  </si>
  <si>
    <t>赤属性に対して大ダメージの全体攻撃</t>
    <phoneticPr fontId="6"/>
  </si>
  <si>
    <t>[effect:crash_growth, count:-1, val:-3, animation:change_block]</t>
    <phoneticPr fontId="6"/>
  </si>
  <si>
    <t>全てのCパネルが縮小</t>
    <phoneticPr fontId="6"/>
  </si>
  <si>
    <t>null</t>
  </si>
  <si>
    <t>null</t>
    <phoneticPr fontId="6"/>
  </si>
  <si>
    <t>null</t>
    <phoneticPr fontId="6"/>
  </si>
  <si>
    <t>bit</t>
    <phoneticPr fontId="6"/>
  </si>
  <si>
    <t>link</t>
    <phoneticPr fontId="6"/>
  </si>
  <si>
    <t>影丸をターゲットして先に倒しましょう</t>
    <phoneticPr fontId="6"/>
  </si>
  <si>
    <t>フールの妨害は強力ですが短期間で済むため
妨害の解除よりも HP回復を優先しましょう</t>
    <phoneticPr fontId="6"/>
  </si>
  <si>
    <t>全ユニットの状態異常を解除
＆パネルをランダムで10個ハートに変換
＆撤退</t>
    <phoneticPr fontId="6"/>
  </si>
  <si>
    <t>黄パネルをハートに変換
+2ターンの間 パネルの色がわからなくなる！
+2ターンの間 Cパネル生成延長</t>
    <rPh sb="0" eb="1">
      <t>キ</t>
    </rPh>
    <rPh sb="9" eb="11">
      <t>ヘンカｎ</t>
    </rPh>
    <rPh sb="18" eb="19">
      <t>アイダ</t>
    </rPh>
    <rPh sb="47" eb="51">
      <t>セイセイエンチョウ</t>
    </rPh>
    <phoneticPr fontId="6"/>
  </si>
  <si>
    <t>3ターンの間 種族アニマルからの攻撃スキルを無効化</t>
    <phoneticPr fontId="6"/>
  </si>
  <si>
    <t>種族アニマルのユニットに大ダメージ
＆5ターンスキルバインド</t>
    <phoneticPr fontId="6"/>
  </si>
  <si>
    <t>ケンジとマミコは弱点属性のユニットに対し
大ダメージの全体攻撃スキルを持っています
発動前に倒してしまいましょう</t>
    <phoneticPr fontId="6"/>
  </si>
  <si>
    <t>テティスとトトは残り体力によって
使用スキルが変わります
変化ラインを見極めて一気に倒しましょう</t>
    <phoneticPr fontId="6"/>
  </si>
  <si>
    <t>エネミーのアバターをタップすることで
攻撃対象を指定することができます
まずは数的に優位な状況を作りましょう</t>
    <phoneticPr fontId="6"/>
  </si>
  <si>
    <t>青龍はアニマル 白虎はテクニカルに対し
それぞれ有効な攻撃をしてきます
編成を見直してみるのも一考です</t>
    <phoneticPr fontId="6"/>
  </si>
  <si>
    <t>リヴァイアサンとスフィンクスは特定種族の
通常攻撃を防ぐスキルを使用します
編成を見直してみるのも一考です</t>
    <phoneticPr fontId="6"/>
  </si>
  <si>
    <t>ケンジ マミコ ハヤトは特定属性に対し
大ダメージの全体攻撃を使用します
発動前に倒してしまいましょう</t>
    <phoneticPr fontId="6"/>
  </si>
  <si>
    <t>エネミーのアバターをタップすることで
攻撃対象を指定することができます
まずは数的に優位な状況を作りましょう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</si>
</sst>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9"/>
      <color theme="1"/>
      <name val="メイリオ"/>
      <family val="3"/>
      <charset val="128"/>
    </font>
    <font>
      <sz val="9"/>
      <color rgb="FF222222"/>
      <name val="メイリオ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indexed="24"/>
      </patternFill>
    </fill>
  </fills>
  <borders count="4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/>
      <top/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1266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9" fillId="0" borderId="0"/>
    <xf numFmtId="38" fontId="20" fillId="0" borderId="0" applyFill="0" applyBorder="0" applyAlignment="0" applyProtection="0"/>
    <xf numFmtId="0" fontId="21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0" borderId="0"/>
    <xf numFmtId="0" fontId="24" fillId="0" borderId="0">
      <alignment vertical="center"/>
    </xf>
    <xf numFmtId="0" fontId="25" fillId="0" borderId="0">
      <alignment vertical="center"/>
    </xf>
    <xf numFmtId="0" fontId="26" fillId="10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0" fontId="33" fillId="16" borderId="13" applyNumberFormat="0" applyAlignment="0" applyProtection="0"/>
    <xf numFmtId="0" fontId="34" fillId="17" borderId="0" applyNumberFormat="0" applyBorder="0" applyAlignment="0" applyProtection="0"/>
    <xf numFmtId="0" fontId="35" fillId="18" borderId="14" applyNumberFormat="0" applyAlignment="0" applyProtection="0"/>
    <xf numFmtId="0" fontId="36" fillId="0" borderId="0" applyNumberFormat="0" applyFill="0" applyBorder="0" applyAlignment="0" applyProtection="0"/>
    <xf numFmtId="0" fontId="37" fillId="19" borderId="0" applyNumberFormat="0" applyBorder="0" applyAlignment="0" applyProtection="0"/>
    <xf numFmtId="0" fontId="38" fillId="20" borderId="15" applyNumberFormat="0" applyAlignment="0" applyProtection="0"/>
    <xf numFmtId="0" fontId="39" fillId="0" borderId="0" applyNumberFormat="0" applyFill="0" applyBorder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2" fillId="0" borderId="18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16" borderId="0" applyNumberFormat="0" applyBorder="0" applyAlignment="0" applyProtection="0"/>
    <xf numFmtId="0" fontId="43" fillId="18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4" borderId="0" applyNumberFormat="0" applyBorder="0" applyAlignment="0" applyProtection="0"/>
    <xf numFmtId="0" fontId="43" fillId="1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5" borderId="0" applyNumberFormat="0" applyBorder="0" applyAlignment="0" applyProtection="0"/>
    <xf numFmtId="0" fontId="44" fillId="17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44" fillId="21" borderId="0" applyNumberFormat="0" applyBorder="0" applyAlignment="0" applyProtection="0"/>
    <xf numFmtId="0" fontId="44" fillId="2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5" fillId="28" borderId="0" applyNumberFormat="0" applyBorder="0" applyAlignment="0" applyProtection="0"/>
    <xf numFmtId="0" fontId="34" fillId="17" borderId="0" applyNumberFormat="0" applyBorder="0" applyAlignment="0" applyProtection="0"/>
    <xf numFmtId="0" fontId="46" fillId="0" borderId="19" applyNumberFormat="0" applyFill="0" applyAlignment="0" applyProtection="0"/>
    <xf numFmtId="0" fontId="47" fillId="18" borderId="20" applyNumberFormat="0" applyAlignment="0" applyProtection="0"/>
    <xf numFmtId="0" fontId="47" fillId="29" borderId="20" applyNumberFormat="0" applyAlignment="0" applyProtection="0"/>
    <xf numFmtId="0" fontId="35" fillId="17" borderId="14" applyNumberFormat="0" applyAlignment="0" applyProtection="0"/>
    <xf numFmtId="0" fontId="48" fillId="0" borderId="21" applyNumberFormat="0" applyFill="0" applyAlignment="0" applyProtection="0"/>
    <xf numFmtId="0" fontId="49" fillId="29" borderId="14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2" applyNumberFormat="0" applyFill="0" applyAlignment="0" applyProtection="0"/>
    <xf numFmtId="0" fontId="2" fillId="0" borderId="0"/>
    <xf numFmtId="0" fontId="2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223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7" fillId="5" borderId="3" xfId="0" applyFont="1" applyFill="1" applyBorder="1" applyAlignment="1">
      <alignment vertical="center"/>
    </xf>
    <xf numFmtId="0" fontId="9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7" fillId="5" borderId="1" xfId="0" applyFont="1" applyFill="1" applyBorder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7" xfId="0" applyFont="1" applyFill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7" fillId="5" borderId="9" xfId="0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7" fillId="3" borderId="7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177" fontId="9" fillId="0" borderId="4" xfId="0" applyNumberFormat="1" applyFont="1" applyBorder="1" applyAlignment="1">
      <alignment vertical="center"/>
    </xf>
    <xf numFmtId="0" fontId="5" fillId="2" borderId="7" xfId="0" applyFont="1" applyFill="1" applyBorder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6" borderId="7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vertical="center"/>
    </xf>
    <xf numFmtId="0" fontId="15" fillId="7" borderId="0" xfId="0" applyFont="1" applyFill="1" applyAlignment="1">
      <alignment vertical="center"/>
    </xf>
    <xf numFmtId="0" fontId="17" fillId="6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3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2" fillId="6" borderId="2" xfId="0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4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7" fillId="12" borderId="7" xfId="0" applyFont="1" applyFill="1" applyBorder="1"/>
    <xf numFmtId="0" fontId="14" fillId="11" borderId="7" xfId="434" applyFont="1" applyFill="1" applyBorder="1" applyAlignment="1"/>
    <xf numFmtId="0" fontId="25" fillId="0" borderId="7" xfId="434" applyBorder="1" applyAlignment="1"/>
    <xf numFmtId="0" fontId="0" fillId="13" borderId="7" xfId="0" applyFill="1" applyBorder="1"/>
    <xf numFmtId="0" fontId="17" fillId="6" borderId="7" xfId="614" applyFont="1" applyFill="1" applyBorder="1" applyAlignment="1">
      <alignment horizontal="left"/>
    </xf>
    <xf numFmtId="0" fontId="15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3" fillId="11" borderId="7" xfId="615" applyFill="1" applyBorder="1"/>
    <xf numFmtId="0" fontId="5" fillId="0" borderId="7" xfId="0" applyFont="1" applyBorder="1" applyAlignment="1">
      <alignment vertical="center"/>
    </xf>
    <xf numFmtId="0" fontId="17" fillId="3" borderId="7" xfId="614" applyFont="1" applyFill="1" applyBorder="1" applyAlignment="1">
      <alignment horizontal="left"/>
    </xf>
    <xf numFmtId="0" fontId="17" fillId="6" borderId="7" xfId="0" applyFont="1" applyFill="1" applyBorder="1" applyAlignment="1">
      <alignment horizontal="center"/>
    </xf>
    <xf numFmtId="56" fontId="17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3" fillId="0" borderId="0" xfId="615"/>
    <xf numFmtId="0" fontId="28" fillId="6" borderId="7" xfId="0" applyFont="1" applyFill="1" applyBorder="1" applyAlignment="1">
      <alignment horizontal="center"/>
    </xf>
    <xf numFmtId="0" fontId="17" fillId="3" borderId="7" xfId="0" applyFont="1" applyFill="1" applyBorder="1" applyAlignment="1">
      <alignment horizontal="center"/>
    </xf>
    <xf numFmtId="0" fontId="17" fillId="14" borderId="7" xfId="0" applyFont="1" applyFill="1" applyBorder="1" applyAlignment="1">
      <alignment horizontal="center"/>
    </xf>
    <xf numFmtId="0" fontId="17" fillId="15" borderId="7" xfId="0" applyFont="1" applyFill="1" applyBorder="1" applyAlignment="1">
      <alignment horizontal="center"/>
    </xf>
    <xf numFmtId="0" fontId="0" fillId="15" borderId="7" xfId="0" applyFill="1" applyBorder="1"/>
    <xf numFmtId="0" fontId="28" fillId="0" borderId="7" xfId="0" applyFont="1" applyFill="1" applyBorder="1"/>
    <xf numFmtId="0" fontId="29" fillId="0" borderId="7" xfId="0" applyFont="1" applyFill="1" applyBorder="1"/>
    <xf numFmtId="0" fontId="30" fillId="3" borderId="12" xfId="0" applyFont="1" applyFill="1" applyBorder="1" applyAlignment="1">
      <alignment vertical="center"/>
    </xf>
    <xf numFmtId="0" fontId="31" fillId="0" borderId="7" xfId="0" applyFont="1" applyFill="1" applyBorder="1"/>
    <xf numFmtId="0" fontId="30" fillId="0" borderId="12" xfId="0" applyFont="1" applyFill="1" applyBorder="1" applyAlignment="1">
      <alignment vertical="center"/>
    </xf>
    <xf numFmtId="0" fontId="31" fillId="14" borderId="7" xfId="0" applyFont="1" applyFill="1" applyBorder="1"/>
    <xf numFmtId="0" fontId="32" fillId="0" borderId="7" xfId="0" applyFont="1" applyFill="1" applyBorder="1"/>
    <xf numFmtId="0" fontId="28" fillId="0" borderId="0" xfId="0" applyFont="1" applyFill="1"/>
    <xf numFmtId="0" fontId="17" fillId="30" borderId="7" xfId="0" applyFont="1" applyFill="1" applyBorder="1" applyAlignment="1">
      <alignment horizontal="center"/>
    </xf>
    <xf numFmtId="0" fontId="31" fillId="30" borderId="7" xfId="0" applyFont="1" applyFill="1" applyBorder="1"/>
    <xf numFmtId="0" fontId="17" fillId="13" borderId="7" xfId="0" applyFont="1" applyFill="1" applyBorder="1" applyAlignment="1">
      <alignment horizontal="center"/>
    </xf>
    <xf numFmtId="56" fontId="17" fillId="14" borderId="7" xfId="0" applyNumberFormat="1" applyFont="1" applyFill="1" applyBorder="1" applyAlignment="1">
      <alignment horizontal="center"/>
    </xf>
    <xf numFmtId="0" fontId="17" fillId="6" borderId="7" xfId="11" applyFont="1" applyFill="1" applyBorder="1" applyAlignment="1">
      <alignment horizontal="left"/>
    </xf>
    <xf numFmtId="0" fontId="3" fillId="6" borderId="0" xfId="615" applyFill="1"/>
    <xf numFmtId="0" fontId="12" fillId="0" borderId="7" xfId="0" applyFont="1" applyBorder="1" applyAlignment="1">
      <alignment vertical="center"/>
    </xf>
    <xf numFmtId="0" fontId="5" fillId="0" borderId="23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vertical="center"/>
    </xf>
    <xf numFmtId="0" fontId="7" fillId="0" borderId="25" xfId="0" applyFont="1" applyFill="1" applyBorder="1" applyAlignment="1">
      <alignment vertical="center"/>
    </xf>
    <xf numFmtId="0" fontId="7" fillId="0" borderId="26" xfId="0" applyFont="1" applyFill="1" applyBorder="1" applyAlignment="1">
      <alignment vertical="center"/>
    </xf>
    <xf numFmtId="0" fontId="7" fillId="0" borderId="24" xfId="0" applyFont="1" applyFill="1" applyBorder="1" applyAlignment="1">
      <alignment vertical="center"/>
    </xf>
    <xf numFmtId="0" fontId="7" fillId="0" borderId="27" xfId="0" applyFont="1" applyFill="1" applyBorder="1" applyAlignment="1">
      <alignment vertical="center"/>
    </xf>
    <xf numFmtId="0" fontId="7" fillId="0" borderId="12" xfId="0" applyFont="1" applyFill="1" applyBorder="1" applyAlignment="1">
      <alignment vertical="center"/>
    </xf>
    <xf numFmtId="0" fontId="7" fillId="0" borderId="28" xfId="0" applyFont="1" applyFill="1" applyBorder="1" applyAlignment="1">
      <alignment vertical="center"/>
    </xf>
    <xf numFmtId="0" fontId="7" fillId="0" borderId="2" xfId="0" applyFont="1" applyFill="1" applyBorder="1" applyAlignment="1">
      <alignment vertical="center"/>
    </xf>
    <xf numFmtId="0" fontId="7" fillId="0" borderId="29" xfId="0" applyFont="1" applyFill="1" applyBorder="1" applyAlignment="1">
      <alignment vertical="center"/>
    </xf>
    <xf numFmtId="176" fontId="5" fillId="0" borderId="3" xfId="0" applyNumberFormat="1" applyFont="1" applyFill="1" applyBorder="1" applyAlignment="1">
      <alignment horizontal="right" vertical="center"/>
    </xf>
    <xf numFmtId="0" fontId="5" fillId="31" borderId="7" xfId="0" applyFont="1" applyFill="1" applyBorder="1" applyAlignment="1">
      <alignment horizontal="center" vertical="center"/>
    </xf>
    <xf numFmtId="176" fontId="5" fillId="0" borderId="30" xfId="0" applyNumberFormat="1" applyFont="1" applyFill="1" applyBorder="1" applyAlignment="1">
      <alignment horizontal="right" vertical="center"/>
    </xf>
    <xf numFmtId="0" fontId="5" fillId="31" borderId="2" xfId="0" applyFont="1" applyFill="1" applyBorder="1" applyAlignment="1">
      <alignment horizontal="center" vertical="center"/>
    </xf>
    <xf numFmtId="176" fontId="5" fillId="0" borderId="7" xfId="0" applyNumberFormat="1" applyFont="1" applyFill="1" applyBorder="1" applyAlignment="1">
      <alignment horizontal="right"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176" fontId="5" fillId="0" borderId="31" xfId="0" applyNumberFormat="1" applyFont="1" applyFill="1" applyBorder="1" applyAlignment="1">
      <alignment horizontal="right" vertical="center"/>
    </xf>
    <xf numFmtId="0" fontId="5" fillId="6" borderId="24" xfId="0" applyFont="1" applyFill="1" applyBorder="1" applyAlignment="1">
      <alignment horizontal="center" vertical="center"/>
    </xf>
    <xf numFmtId="0" fontId="5" fillId="32" borderId="12" xfId="0" applyFont="1" applyFill="1" applyBorder="1" applyAlignment="1">
      <alignment horizontal="center" vertical="center"/>
    </xf>
    <xf numFmtId="0" fontId="5" fillId="32" borderId="7" xfId="0" applyFont="1" applyFill="1" applyBorder="1" applyAlignment="1">
      <alignment horizontal="center" vertical="center"/>
    </xf>
    <xf numFmtId="0" fontId="5" fillId="31" borderId="12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177" fontId="9" fillId="0" borderId="32" xfId="0" applyNumberFormat="1" applyFont="1" applyBorder="1" applyAlignment="1">
      <alignment vertical="center"/>
    </xf>
    <xf numFmtId="0" fontId="9" fillId="0" borderId="32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0" fontId="9" fillId="0" borderId="33" xfId="0" applyFont="1" applyBorder="1" applyAlignment="1">
      <alignment vertical="center"/>
    </xf>
    <xf numFmtId="177" fontId="9" fillId="0" borderId="34" xfId="0" applyNumberFormat="1" applyFont="1" applyBorder="1" applyAlignment="1">
      <alignment vertical="center"/>
    </xf>
    <xf numFmtId="0" fontId="9" fillId="0" borderId="34" xfId="0" applyFont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12" xfId="0" applyFont="1" applyFill="1" applyBorder="1" applyAlignment="1">
      <alignment vertical="center"/>
    </xf>
    <xf numFmtId="0" fontId="5" fillId="0" borderId="24" xfId="0" applyFont="1" applyFill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5" fillId="0" borderId="38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5" fillId="0" borderId="39" xfId="0" applyFont="1" applyBorder="1" applyAlignment="1">
      <alignment vertical="center"/>
    </xf>
    <xf numFmtId="0" fontId="7" fillId="34" borderId="3" xfId="0" applyFont="1" applyFill="1" applyBorder="1" applyAlignment="1">
      <alignment vertical="center"/>
    </xf>
    <xf numFmtId="0" fontId="7" fillId="34" borderId="9" xfId="0" applyFont="1" applyFill="1" applyBorder="1" applyAlignment="1">
      <alignment vertical="center"/>
    </xf>
    <xf numFmtId="177" fontId="9" fillId="35" borderId="4" xfId="0" applyNumberFormat="1" applyFont="1" applyFill="1" applyBorder="1" applyAlignment="1">
      <alignment vertical="center"/>
    </xf>
    <xf numFmtId="177" fontId="9" fillId="35" borderId="33" xfId="0" applyNumberFormat="1" applyFont="1" applyFill="1" applyBorder="1" applyAlignment="1">
      <alignment vertical="center"/>
    </xf>
    <xf numFmtId="0" fontId="5" fillId="35" borderId="5" xfId="0" applyFont="1" applyFill="1" applyBorder="1" applyAlignment="1">
      <alignment vertical="center"/>
    </xf>
    <xf numFmtId="177" fontId="9" fillId="35" borderId="32" xfId="0" applyNumberFormat="1" applyFont="1" applyFill="1" applyBorder="1" applyAlignment="1">
      <alignment vertical="center"/>
    </xf>
    <xf numFmtId="177" fontId="9" fillId="35" borderId="34" xfId="0" applyNumberFormat="1" applyFont="1" applyFill="1" applyBorder="1" applyAlignment="1">
      <alignment vertical="center"/>
    </xf>
    <xf numFmtId="0" fontId="5" fillId="35" borderId="35" xfId="0" applyFont="1" applyFill="1" applyBorder="1" applyAlignment="1">
      <alignment vertical="center"/>
    </xf>
    <xf numFmtId="0" fontId="5" fillId="35" borderId="7" xfId="0" applyFont="1" applyFill="1" applyBorder="1" applyAlignment="1">
      <alignment vertical="center"/>
    </xf>
    <xf numFmtId="0" fontId="5" fillId="35" borderId="3" xfId="0" applyFont="1" applyFill="1" applyBorder="1" applyAlignment="1">
      <alignment vertical="center"/>
    </xf>
    <xf numFmtId="0" fontId="5" fillId="35" borderId="36" xfId="0" applyFont="1" applyFill="1" applyBorder="1" applyAlignment="1">
      <alignment vertical="center"/>
    </xf>
    <xf numFmtId="0" fontId="5" fillId="35" borderId="6" xfId="0" applyFont="1" applyFill="1" applyBorder="1" applyAlignment="1">
      <alignment vertical="center"/>
    </xf>
    <xf numFmtId="0" fontId="5" fillId="35" borderId="38" xfId="0" applyFont="1" applyFill="1" applyBorder="1" applyAlignment="1">
      <alignment vertical="center"/>
    </xf>
    <xf numFmtId="177" fontId="9" fillId="35" borderId="7" xfId="0" applyNumberFormat="1" applyFont="1" applyFill="1" applyBorder="1" applyAlignment="1">
      <alignment vertical="center"/>
    </xf>
    <xf numFmtId="0" fontId="7" fillId="34" borderId="11" xfId="0" applyFont="1" applyFill="1" applyBorder="1" applyAlignment="1">
      <alignment vertical="center"/>
    </xf>
    <xf numFmtId="0" fontId="5" fillId="33" borderId="7" xfId="0" applyFont="1" applyFill="1" applyBorder="1" applyAlignment="1">
      <alignment horizontal="center" vertical="center"/>
    </xf>
    <xf numFmtId="0" fontId="5" fillId="33" borderId="24" xfId="0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0" fontId="32" fillId="14" borderId="7" xfId="0" applyFont="1" applyFill="1" applyBorder="1"/>
    <xf numFmtId="38" fontId="17" fillId="14" borderId="7" xfId="628" applyFont="1" applyFill="1" applyBorder="1" applyAlignment="1"/>
    <xf numFmtId="38" fontId="17" fillId="0" borderId="7" xfId="628" applyFont="1" applyFill="1" applyBorder="1" applyAlignment="1">
      <alignment wrapText="1"/>
    </xf>
    <xf numFmtId="0" fontId="7" fillId="37" borderId="7" xfId="0" applyFont="1" applyFill="1" applyBorder="1" applyAlignment="1">
      <alignment vertical="center"/>
    </xf>
    <xf numFmtId="0" fontId="5" fillId="3" borderId="12" xfId="0" applyFont="1" applyFill="1" applyBorder="1" applyAlignment="1">
      <alignment horizontal="center" vertical="center"/>
    </xf>
    <xf numFmtId="0" fontId="5" fillId="33" borderId="12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13" fillId="7" borderId="40" xfId="0" applyFont="1" applyFill="1" applyBorder="1" applyAlignment="1">
      <alignment vertical="center"/>
    </xf>
    <xf numFmtId="0" fontId="5" fillId="3" borderId="24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vertical="center"/>
    </xf>
    <xf numFmtId="0" fontId="5" fillId="32" borderId="24" xfId="0" applyFont="1" applyFill="1" applyBorder="1" applyAlignment="1">
      <alignment horizontal="center" vertical="center"/>
    </xf>
    <xf numFmtId="0" fontId="7" fillId="5" borderId="41" xfId="0" applyFont="1" applyFill="1" applyBorder="1" applyAlignment="1">
      <alignment vertical="center"/>
    </xf>
    <xf numFmtId="0" fontId="7" fillId="34" borderId="41" xfId="0" applyFont="1" applyFill="1" applyBorder="1" applyAlignment="1">
      <alignment vertical="center"/>
    </xf>
    <xf numFmtId="0" fontId="5" fillId="3" borderId="24" xfId="0" applyFont="1" applyFill="1" applyBorder="1" applyAlignment="1">
      <alignment vertical="center"/>
    </xf>
    <xf numFmtId="0" fontId="5" fillId="35" borderId="39" xfId="0" applyFont="1" applyFill="1" applyBorder="1" applyAlignment="1">
      <alignment vertical="center"/>
    </xf>
    <xf numFmtId="0" fontId="5" fillId="0" borderId="40" xfId="0" applyFont="1" applyBorder="1" applyAlignment="1">
      <alignment vertical="center"/>
    </xf>
    <xf numFmtId="0" fontId="5" fillId="3" borderId="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vertical="center"/>
    </xf>
    <xf numFmtId="0" fontId="7" fillId="5" borderId="42" xfId="0" applyFont="1" applyFill="1" applyBorder="1" applyAlignment="1">
      <alignment vertical="center"/>
    </xf>
    <xf numFmtId="0" fontId="7" fillId="34" borderId="42" xfId="0" applyFont="1" applyFill="1" applyBorder="1" applyAlignment="1">
      <alignment vertical="center"/>
    </xf>
    <xf numFmtId="0" fontId="5" fillId="3" borderId="2" xfId="0" applyFont="1" applyFill="1" applyBorder="1" applyAlignment="1">
      <alignment vertical="center"/>
    </xf>
    <xf numFmtId="0" fontId="5" fillId="0" borderId="0" xfId="0" applyFont="1" applyBorder="1" applyAlignment="1">
      <alignment vertical="center"/>
    </xf>
    <xf numFmtId="0" fontId="13" fillId="7" borderId="7" xfId="0" applyFont="1" applyFill="1" applyBorder="1" applyAlignment="1">
      <alignment vertical="center"/>
    </xf>
    <xf numFmtId="0" fontId="7" fillId="34" borderId="7" xfId="0" applyFont="1" applyFill="1" applyBorder="1" applyAlignment="1">
      <alignment vertical="center"/>
    </xf>
    <xf numFmtId="0" fontId="5" fillId="3" borderId="7" xfId="0" applyFont="1" applyFill="1" applyBorder="1" applyAlignment="1">
      <alignment vertical="center"/>
    </xf>
    <xf numFmtId="0" fontId="13" fillId="7" borderId="12" xfId="0" applyFont="1" applyFill="1" applyBorder="1" applyAlignment="1">
      <alignment vertical="center"/>
    </xf>
    <xf numFmtId="176" fontId="5" fillId="0" borderId="12" xfId="0" applyNumberFormat="1" applyFont="1" applyFill="1" applyBorder="1" applyAlignment="1">
      <alignment horizontal="right" vertical="center"/>
    </xf>
    <xf numFmtId="0" fontId="7" fillId="5" borderId="12" xfId="0" applyFont="1" applyFill="1" applyBorder="1" applyAlignment="1">
      <alignment vertical="center"/>
    </xf>
    <xf numFmtId="0" fontId="9" fillId="0" borderId="12" xfId="0" applyFont="1" applyBorder="1" applyAlignment="1">
      <alignment vertical="center"/>
    </xf>
    <xf numFmtId="177" fontId="9" fillId="35" borderId="12" xfId="0" applyNumberFormat="1" applyFont="1" applyFill="1" applyBorder="1" applyAlignment="1">
      <alignment vertical="center"/>
    </xf>
    <xf numFmtId="0" fontId="7" fillId="34" borderId="12" xfId="0" applyFont="1" applyFill="1" applyBorder="1" applyAlignment="1">
      <alignment vertical="center"/>
    </xf>
    <xf numFmtId="0" fontId="5" fillId="35" borderId="12" xfId="0" applyFont="1" applyFill="1" applyBorder="1" applyAlignment="1">
      <alignment vertical="center"/>
    </xf>
    <xf numFmtId="0" fontId="5" fillId="31" borderId="24" xfId="0" applyFont="1" applyFill="1" applyBorder="1" applyAlignment="1">
      <alignment horizontal="center" vertical="center"/>
    </xf>
    <xf numFmtId="0" fontId="5" fillId="0" borderId="35" xfId="0" applyFont="1" applyBorder="1" applyAlignment="1">
      <alignment vertical="center"/>
    </xf>
    <xf numFmtId="177" fontId="9" fillId="0" borderId="7" xfId="0" applyNumberFormat="1" applyFont="1" applyBorder="1" applyAlignment="1">
      <alignment vertical="center"/>
    </xf>
    <xf numFmtId="177" fontId="9" fillId="0" borderId="33" xfId="0" applyNumberFormat="1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13" fillId="7" borderId="43" xfId="0" applyFont="1" applyFill="1" applyBorder="1" applyAlignment="1">
      <alignment vertical="center"/>
    </xf>
    <xf numFmtId="176" fontId="5" fillId="0" borderId="34" xfId="0" applyNumberFormat="1" applyFont="1" applyFill="1" applyBorder="1" applyAlignment="1">
      <alignment horizontal="right" vertical="center"/>
    </xf>
    <xf numFmtId="0" fontId="7" fillId="5" borderId="34" xfId="0" applyFont="1" applyFill="1" applyBorder="1" applyAlignment="1">
      <alignment vertical="center"/>
    </xf>
    <xf numFmtId="0" fontId="7" fillId="5" borderId="44" xfId="0" applyFont="1" applyFill="1" applyBorder="1" applyAlignment="1">
      <alignment vertical="center"/>
    </xf>
    <xf numFmtId="0" fontId="5" fillId="35" borderId="34" xfId="0" applyFont="1" applyFill="1" applyBorder="1" applyAlignment="1">
      <alignment vertical="center"/>
    </xf>
    <xf numFmtId="0" fontId="7" fillId="34" borderId="44" xfId="0" applyFont="1" applyFill="1" applyBorder="1" applyAlignment="1">
      <alignment vertical="center"/>
    </xf>
    <xf numFmtId="0" fontId="5" fillId="0" borderId="43" xfId="0" applyFont="1" applyBorder="1" applyAlignment="1">
      <alignment vertical="center"/>
    </xf>
    <xf numFmtId="0" fontId="5" fillId="0" borderId="34" xfId="0" applyFont="1" applyBorder="1" applyAlignment="1">
      <alignment vertical="center"/>
    </xf>
    <xf numFmtId="0" fontId="5" fillId="36" borderId="1" xfId="0" applyFont="1" applyFill="1" applyBorder="1" applyAlignment="1">
      <alignment horizontal="left" vertical="center"/>
    </xf>
    <xf numFmtId="0" fontId="7" fillId="37" borderId="3" xfId="0" applyFont="1" applyFill="1" applyBorder="1" applyAlignment="1">
      <alignment vertical="center"/>
    </xf>
    <xf numFmtId="0" fontId="7" fillId="37" borderId="31" xfId="0" applyFont="1" applyFill="1" applyBorder="1" applyAlignment="1">
      <alignment vertical="center"/>
    </xf>
    <xf numFmtId="0" fontId="7" fillId="37" borderId="12" xfId="0" applyFont="1" applyFill="1" applyBorder="1" applyAlignment="1">
      <alignment vertical="center"/>
    </xf>
    <xf numFmtId="0" fontId="7" fillId="37" borderId="34" xfId="0" applyFont="1" applyFill="1" applyBorder="1" applyAlignment="1">
      <alignment vertical="center"/>
    </xf>
    <xf numFmtId="0" fontId="7" fillId="37" borderId="30" xfId="0" applyFont="1" applyFill="1" applyBorder="1" applyAlignment="1">
      <alignment vertical="center"/>
    </xf>
    <xf numFmtId="0" fontId="5" fillId="36" borderId="0" xfId="0" applyFont="1" applyFill="1" applyAlignment="1">
      <alignment vertical="center"/>
    </xf>
    <xf numFmtId="0" fontId="5" fillId="6" borderId="8" xfId="0" applyFont="1" applyFill="1" applyBorder="1" applyAlignment="1">
      <alignment horizontal="left" vertical="center"/>
    </xf>
    <xf numFmtId="0" fontId="5" fillId="0" borderId="8" xfId="0" applyFont="1" applyBorder="1" applyAlignment="1">
      <alignment vertical="center"/>
    </xf>
    <xf numFmtId="0" fontId="5" fillId="0" borderId="45" xfId="0" applyFont="1" applyBorder="1" applyAlignment="1">
      <alignment vertical="center"/>
    </xf>
    <xf numFmtId="0" fontId="5" fillId="0" borderId="46" xfId="0" applyFont="1" applyBorder="1" applyAlignment="1">
      <alignment vertical="center"/>
    </xf>
    <xf numFmtId="0" fontId="5" fillId="0" borderId="47" xfId="0" applyFont="1" applyBorder="1" applyAlignment="1">
      <alignment vertical="center"/>
    </xf>
    <xf numFmtId="0" fontId="5" fillId="0" borderId="0" xfId="0" applyFont="1" applyBorder="1" applyAlignment="1">
      <alignment horizontal="left" vertical="center"/>
    </xf>
    <xf numFmtId="0" fontId="52" fillId="6" borderId="7" xfId="0" applyFont="1" applyFill="1" applyBorder="1" applyAlignment="1">
      <alignment horizontal="left" vertical="top"/>
    </xf>
    <xf numFmtId="0" fontId="52" fillId="3" borderId="7" xfId="0" applyFont="1" applyFill="1" applyBorder="1" applyAlignment="1">
      <alignment horizontal="left" vertical="top"/>
    </xf>
    <xf numFmtId="0" fontId="52" fillId="0" borderId="0" xfId="0" applyFont="1" applyFill="1" applyAlignment="1">
      <alignment horizontal="left" vertical="top"/>
    </xf>
    <xf numFmtId="0" fontId="52" fillId="35" borderId="7" xfId="0" applyFont="1" applyFill="1" applyBorder="1" applyAlignment="1">
      <alignment horizontal="left" vertical="top"/>
    </xf>
    <xf numFmtId="0" fontId="52" fillId="0" borderId="7" xfId="0" applyFont="1" applyBorder="1" applyAlignment="1">
      <alignment horizontal="left" vertical="top"/>
    </xf>
    <xf numFmtId="0" fontId="52" fillId="0" borderId="7" xfId="0" applyFont="1" applyFill="1" applyBorder="1" applyAlignment="1">
      <alignment horizontal="left" vertical="top"/>
    </xf>
    <xf numFmtId="0" fontId="52" fillId="3" borderId="7" xfId="0" applyFont="1" applyFill="1" applyBorder="1" applyAlignment="1">
      <alignment horizontal="left" vertical="top" wrapText="1"/>
    </xf>
    <xf numFmtId="14" fontId="52" fillId="0" borderId="7" xfId="0" applyNumberFormat="1" applyFont="1" applyFill="1" applyBorder="1" applyAlignment="1">
      <alignment horizontal="left" vertical="top"/>
    </xf>
    <xf numFmtId="0" fontId="52" fillId="0" borderId="7" xfId="0" applyFont="1" applyBorder="1" applyAlignment="1">
      <alignment horizontal="left" vertical="top" wrapText="1"/>
    </xf>
    <xf numFmtId="0" fontId="53" fillId="0" borderId="7" xfId="0" applyFont="1" applyBorder="1" applyAlignment="1">
      <alignment horizontal="left" vertical="top"/>
    </xf>
    <xf numFmtId="0" fontId="53" fillId="0" borderId="7" xfId="0" applyFont="1" applyBorder="1" applyAlignment="1">
      <alignment horizontal="left" vertical="top" wrapText="1"/>
    </xf>
    <xf numFmtId="0" fontId="52" fillId="0" borderId="7" xfId="0" applyFont="1" applyFill="1" applyBorder="1" applyAlignment="1">
      <alignment horizontal="left" vertical="top" wrapText="1"/>
    </xf>
    <xf numFmtId="0" fontId="0" fillId="0" borderId="7" xfId="0" applyFill="1" applyBorder="1"/>
    <xf numFmtId="38" fontId="17" fillId="0" borderId="10" xfId="628" applyFont="1" applyFill="1" applyBorder="1" applyAlignment="1">
      <alignment wrapText="1"/>
    </xf>
  </cellXfs>
  <cellStyles count="126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4 2 2" xfId="1220"/>
    <cellStyle name="標準 5" xfId="676"/>
    <cellStyle name="標準 5 2" xfId="677"/>
    <cellStyle name="標準 6" xfId="615"/>
    <cellStyle name="標準 6 2" xfId="1221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赤字強調" xfId="431"/>
    <cellStyle name="青字強調" xfId="43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11225</v>
          </cell>
        </row>
        <row r="80">
          <cell r="A80">
            <v>12001</v>
          </cell>
        </row>
        <row r="81">
          <cell r="A81">
            <v>12002</v>
          </cell>
        </row>
        <row r="82">
          <cell r="A82">
            <v>12003</v>
          </cell>
        </row>
        <row r="83">
          <cell r="A83">
            <v>12004</v>
          </cell>
        </row>
        <row r="84">
          <cell r="A84">
            <v>13001</v>
          </cell>
        </row>
        <row r="85">
          <cell r="A85">
            <v>14001</v>
          </cell>
        </row>
        <row r="86">
          <cell r="A86">
            <v>14002</v>
          </cell>
        </row>
        <row r="87">
          <cell r="A87">
            <v>14003</v>
          </cell>
        </row>
        <row r="88">
          <cell r="A88">
            <v>14004</v>
          </cell>
        </row>
        <row r="89">
          <cell r="A89">
            <v>14005</v>
          </cell>
        </row>
        <row r="90">
          <cell r="A90">
            <v>14006</v>
          </cell>
        </row>
        <row r="91">
          <cell r="A91">
            <v>15027</v>
          </cell>
        </row>
        <row r="92">
          <cell r="A92">
            <v>15028</v>
          </cell>
        </row>
        <row r="93">
          <cell r="A93">
            <v>15029</v>
          </cell>
        </row>
        <row r="94">
          <cell r="A94">
            <v>15030</v>
          </cell>
        </row>
        <row r="95">
          <cell r="A95">
            <v>15031</v>
          </cell>
        </row>
        <row r="96">
          <cell r="A96">
            <v>20001</v>
          </cell>
        </row>
        <row r="97">
          <cell r="A97">
            <v>20002</v>
          </cell>
        </row>
        <row r="98">
          <cell r="A98">
            <v>20003</v>
          </cell>
        </row>
        <row r="99">
          <cell r="A99">
            <v>20004</v>
          </cell>
        </row>
        <row r="100">
          <cell r="A100">
            <v>20005</v>
          </cell>
        </row>
        <row r="101">
          <cell r="A101">
            <v>20006</v>
          </cell>
        </row>
        <row r="102">
          <cell r="A102">
            <v>20007</v>
          </cell>
        </row>
        <row r="103">
          <cell r="A103">
            <v>20008</v>
          </cell>
        </row>
        <row r="104">
          <cell r="A104">
            <v>20009</v>
          </cell>
        </row>
        <row r="105">
          <cell r="A105">
            <v>20010</v>
          </cell>
        </row>
        <row r="106">
          <cell r="A106">
            <v>20011</v>
          </cell>
        </row>
        <row r="107">
          <cell r="A107">
            <v>20012</v>
          </cell>
        </row>
        <row r="108">
          <cell r="A108">
            <v>20013</v>
          </cell>
        </row>
        <row r="109">
          <cell r="A109">
            <v>20014</v>
          </cell>
        </row>
        <row r="110">
          <cell r="A110">
            <v>20015</v>
          </cell>
        </row>
        <row r="111">
          <cell r="A111">
            <v>20016</v>
          </cell>
        </row>
        <row r="112">
          <cell r="A112">
            <v>20017</v>
          </cell>
        </row>
        <row r="113">
          <cell r="A113">
            <v>30001</v>
          </cell>
        </row>
        <row r="114">
          <cell r="A114">
            <v>30002</v>
          </cell>
        </row>
        <row r="115">
          <cell r="A115">
            <v>30003</v>
          </cell>
        </row>
        <row r="116">
          <cell r="A116">
            <v>30004</v>
          </cell>
        </row>
        <row r="117">
          <cell r="A117">
            <v>30005</v>
          </cell>
        </row>
        <row r="118">
          <cell r="A118">
            <v>30006</v>
          </cell>
        </row>
        <row r="119">
          <cell r="A119">
            <v>30007</v>
          </cell>
        </row>
        <row r="120">
          <cell r="A120">
            <v>30008</v>
          </cell>
        </row>
        <row r="121">
          <cell r="A121">
            <v>30009</v>
          </cell>
        </row>
        <row r="122">
          <cell r="A122">
            <v>30010</v>
          </cell>
        </row>
        <row r="123">
          <cell r="A123">
            <v>30011</v>
          </cell>
        </row>
        <row r="124">
          <cell r="A124">
            <v>30012</v>
          </cell>
        </row>
        <row r="125">
          <cell r="A125">
            <v>30013</v>
          </cell>
        </row>
        <row r="126">
          <cell r="A126">
            <v>30014</v>
          </cell>
        </row>
        <row r="127">
          <cell r="A127">
            <v>30015</v>
          </cell>
        </row>
        <row r="128">
          <cell r="A128">
            <v>30016</v>
          </cell>
        </row>
        <row r="129">
          <cell r="A129">
            <v>30017</v>
          </cell>
        </row>
        <row r="130">
          <cell r="A130">
            <v>30018</v>
          </cell>
        </row>
        <row r="131">
          <cell r="A131">
            <v>30019</v>
          </cell>
        </row>
        <row r="132">
          <cell r="A132">
            <v>30020</v>
          </cell>
        </row>
        <row r="133">
          <cell r="A133">
            <v>30021</v>
          </cell>
        </row>
        <row r="134">
          <cell r="A134">
            <v>30022</v>
          </cell>
        </row>
        <row r="135">
          <cell r="A135">
            <v>30023</v>
          </cell>
        </row>
        <row r="136">
          <cell r="A136">
            <v>30024</v>
          </cell>
        </row>
        <row r="137">
          <cell r="A137">
            <v>30025</v>
          </cell>
        </row>
        <row r="138">
          <cell r="A138">
            <v>30026</v>
          </cell>
        </row>
        <row r="139">
          <cell r="A139">
            <v>30027</v>
          </cell>
        </row>
        <row r="140">
          <cell r="A140">
            <v>30028</v>
          </cell>
        </row>
        <row r="141">
          <cell r="A141">
            <v>30029</v>
          </cell>
        </row>
        <row r="142">
          <cell r="A142">
            <v>30030</v>
          </cell>
        </row>
        <row r="143">
          <cell r="A143">
            <v>30031</v>
          </cell>
        </row>
        <row r="144">
          <cell r="A144">
            <v>30032</v>
          </cell>
        </row>
        <row r="145">
          <cell r="A145">
            <v>30033</v>
          </cell>
        </row>
        <row r="146">
          <cell r="A146">
            <v>30034</v>
          </cell>
        </row>
        <row r="147">
          <cell r="A147">
            <v>30035</v>
          </cell>
        </row>
        <row r="148">
          <cell r="A148">
            <v>30036</v>
          </cell>
        </row>
        <row r="149">
          <cell r="A149">
            <v>30037</v>
          </cell>
        </row>
        <row r="150">
          <cell r="A150">
            <v>39001</v>
          </cell>
        </row>
        <row r="151">
          <cell r="A151">
            <v>39002</v>
          </cell>
        </row>
        <row r="152">
          <cell r="A152">
            <v>39003</v>
          </cell>
        </row>
        <row r="153">
          <cell r="A153">
            <v>39004</v>
          </cell>
        </row>
        <row r="154">
          <cell r="A154">
            <v>39005</v>
          </cell>
        </row>
        <row r="155">
          <cell r="A155">
            <v>39006</v>
          </cell>
        </row>
        <row r="156">
          <cell r="A156">
            <v>40001</v>
          </cell>
        </row>
        <row r="157">
          <cell r="A157">
            <v>40002</v>
          </cell>
        </row>
        <row r="158">
          <cell r="A158">
            <v>40003</v>
          </cell>
        </row>
        <row r="159">
          <cell r="A159">
            <v>40004</v>
          </cell>
        </row>
        <row r="160">
          <cell r="A160">
            <v>40005</v>
          </cell>
        </row>
        <row r="161">
          <cell r="A161">
            <v>40006</v>
          </cell>
        </row>
        <row r="162">
          <cell r="A162">
            <v>40007</v>
          </cell>
        </row>
        <row r="163">
          <cell r="A163">
            <v>40008</v>
          </cell>
        </row>
        <row r="164">
          <cell r="A164">
            <v>40009</v>
          </cell>
        </row>
        <row r="165">
          <cell r="A165">
            <v>40010</v>
          </cell>
        </row>
        <row r="166">
          <cell r="A166">
            <v>40011</v>
          </cell>
        </row>
        <row r="167">
          <cell r="A167">
            <v>40012</v>
          </cell>
        </row>
        <row r="168">
          <cell r="A168">
            <v>40013</v>
          </cell>
        </row>
        <row r="169">
          <cell r="A169">
            <v>40014</v>
          </cell>
        </row>
        <row r="170">
          <cell r="A170">
            <v>40015</v>
          </cell>
        </row>
        <row r="171">
          <cell r="A171">
            <v>40016</v>
          </cell>
        </row>
        <row r="172">
          <cell r="A172">
            <v>40017</v>
          </cell>
        </row>
        <row r="173">
          <cell r="A173">
            <v>40018</v>
          </cell>
        </row>
        <row r="174">
          <cell r="A174">
            <v>40019</v>
          </cell>
        </row>
        <row r="175">
          <cell r="A175">
            <v>40020</v>
          </cell>
        </row>
        <row r="176">
          <cell r="A176">
            <v>40021</v>
          </cell>
        </row>
        <row r="177">
          <cell r="A177">
            <v>48001</v>
          </cell>
        </row>
        <row r="178">
          <cell r="A178">
            <v>48002</v>
          </cell>
        </row>
        <row r="179">
          <cell r="A179">
            <v>41001</v>
          </cell>
        </row>
        <row r="180">
          <cell r="A180">
            <v>41002</v>
          </cell>
        </row>
        <row r="181">
          <cell r="A181">
            <v>41003</v>
          </cell>
        </row>
        <row r="182">
          <cell r="A182">
            <v>41004</v>
          </cell>
        </row>
        <row r="183">
          <cell r="A183">
            <v>41005</v>
          </cell>
        </row>
        <row r="184">
          <cell r="A184">
            <v>41006</v>
          </cell>
        </row>
        <row r="185">
          <cell r="A185">
            <v>41007</v>
          </cell>
        </row>
        <row r="186">
          <cell r="A186">
            <v>41008</v>
          </cell>
        </row>
        <row r="187">
          <cell r="A187">
            <v>41009</v>
          </cell>
        </row>
        <row r="188">
          <cell r="A188">
            <v>41010</v>
          </cell>
        </row>
        <row r="189">
          <cell r="A189">
            <v>49001</v>
          </cell>
        </row>
        <row r="190">
          <cell r="A190">
            <v>49002</v>
          </cell>
        </row>
        <row r="191">
          <cell r="A191">
            <v>49003</v>
          </cell>
        </row>
        <row r="192">
          <cell r="A192">
            <v>49004</v>
          </cell>
        </row>
        <row r="193">
          <cell r="A193">
            <v>49005</v>
          </cell>
        </row>
        <row r="194">
          <cell r="A194">
            <v>49006</v>
          </cell>
        </row>
        <row r="195">
          <cell r="A195">
            <v>50001</v>
          </cell>
        </row>
        <row r="196">
          <cell r="A196">
            <v>50002</v>
          </cell>
        </row>
        <row r="197">
          <cell r="A197">
            <v>50003</v>
          </cell>
        </row>
        <row r="198">
          <cell r="A198">
            <v>50004</v>
          </cell>
        </row>
        <row r="199">
          <cell r="A199">
            <v>50005</v>
          </cell>
        </row>
        <row r="200">
          <cell r="A200">
            <v>51001</v>
          </cell>
        </row>
        <row r="201">
          <cell r="A201">
            <v>51002</v>
          </cell>
        </row>
        <row r="202">
          <cell r="A202">
            <v>60001</v>
          </cell>
        </row>
        <row r="203">
          <cell r="A203">
            <v>60002</v>
          </cell>
        </row>
        <row r="204">
          <cell r="A204">
            <v>60003</v>
          </cell>
        </row>
        <row r="205">
          <cell r="A205">
            <v>60004</v>
          </cell>
        </row>
        <row r="206">
          <cell r="A206">
            <v>60005</v>
          </cell>
        </row>
        <row r="207">
          <cell r="A207">
            <v>60006</v>
          </cell>
        </row>
        <row r="208">
          <cell r="A208">
            <v>60007</v>
          </cell>
        </row>
        <row r="209">
          <cell r="A209">
            <v>60010</v>
          </cell>
        </row>
        <row r="210">
          <cell r="A210">
            <v>60011</v>
          </cell>
        </row>
        <row r="211">
          <cell r="A211">
            <v>65535</v>
          </cell>
        </row>
        <row r="212">
          <cell r="A212">
            <v>60021</v>
          </cell>
        </row>
        <row r="213">
          <cell r="A213">
            <v>60022</v>
          </cell>
        </row>
        <row r="214">
          <cell r="A214">
            <v>60023</v>
          </cell>
        </row>
        <row r="215">
          <cell r="A21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11101_1</v>
          </cell>
        </row>
        <row r="224">
          <cell r="A224" t="str">
            <v>11101_2</v>
          </cell>
        </row>
        <row r="225">
          <cell r="A225" t="str">
            <v>11101_3</v>
          </cell>
        </row>
        <row r="226">
          <cell r="A226" t="str">
            <v>11101_4</v>
          </cell>
        </row>
        <row r="227">
          <cell r="A227" t="str">
            <v>11101_10</v>
          </cell>
        </row>
        <row r="228">
          <cell r="A228" t="str">
            <v>11102_1</v>
          </cell>
        </row>
        <row r="229">
          <cell r="A229" t="str">
            <v>11102_2</v>
          </cell>
        </row>
        <row r="230">
          <cell r="A230" t="str">
            <v>11102_3</v>
          </cell>
        </row>
        <row r="231">
          <cell r="A231" t="str">
            <v>11102_4</v>
          </cell>
        </row>
        <row r="232">
          <cell r="A232" t="str">
            <v>11102_10</v>
          </cell>
        </row>
        <row r="233">
          <cell r="A233" t="str">
            <v>11103_1</v>
          </cell>
        </row>
        <row r="234">
          <cell r="A234" t="str">
            <v>11103_2</v>
          </cell>
        </row>
        <row r="235">
          <cell r="A235" t="str">
            <v>11103_3</v>
          </cell>
        </row>
        <row r="236">
          <cell r="A236" t="str">
            <v>11103_4</v>
          </cell>
        </row>
        <row r="237">
          <cell r="A237" t="str">
            <v>11103_10</v>
          </cell>
        </row>
        <row r="238">
          <cell r="A238" t="str">
            <v>11104_1</v>
          </cell>
        </row>
        <row r="239">
          <cell r="A239" t="str">
            <v>11104_2</v>
          </cell>
        </row>
        <row r="240">
          <cell r="A240" t="str">
            <v>11104_3</v>
          </cell>
        </row>
        <row r="241">
          <cell r="A241" t="str">
            <v>11104_4</v>
          </cell>
        </row>
        <row r="242">
          <cell r="A242" t="str">
            <v>11104_10</v>
          </cell>
        </row>
        <row r="243">
          <cell r="A243" t="str">
            <v>11105_1</v>
          </cell>
        </row>
        <row r="244">
          <cell r="A244" t="str">
            <v>11105_2</v>
          </cell>
        </row>
        <row r="245">
          <cell r="A245" t="str">
            <v>11105_3</v>
          </cell>
        </row>
        <row r="246">
          <cell r="A246" t="str">
            <v>11105_4</v>
          </cell>
        </row>
        <row r="247">
          <cell r="A247" t="str">
            <v>11106_1</v>
          </cell>
        </row>
        <row r="248">
          <cell r="A248" t="str">
            <v>11106_2</v>
          </cell>
        </row>
        <row r="249">
          <cell r="A249" t="str">
            <v>11106_3</v>
          </cell>
        </row>
        <row r="250">
          <cell r="A250" t="str">
            <v>11206_1</v>
          </cell>
        </row>
        <row r="251">
          <cell r="A251" t="str">
            <v>11206_2</v>
          </cell>
        </row>
        <row r="252">
          <cell r="A252" t="str">
            <v>11206_3</v>
          </cell>
        </row>
        <row r="253">
          <cell r="A253" t="str">
            <v>11016_1</v>
          </cell>
        </row>
        <row r="254">
          <cell r="A254" t="str">
            <v>11207_1</v>
          </cell>
        </row>
        <row r="255">
          <cell r="A255" t="str">
            <v>11207_2</v>
          </cell>
        </row>
        <row r="256">
          <cell r="A256" t="str">
            <v>11208_1</v>
          </cell>
        </row>
        <row r="257">
          <cell r="A257" t="str">
            <v>11208_2</v>
          </cell>
        </row>
        <row r="258">
          <cell r="A258" t="str">
            <v>11209_1</v>
          </cell>
        </row>
        <row r="259">
          <cell r="A259" t="str">
            <v>11209_2</v>
          </cell>
        </row>
        <row r="260">
          <cell r="A260" t="str">
            <v>11212_1</v>
          </cell>
        </row>
        <row r="261">
          <cell r="A261" t="str">
            <v>11213_1</v>
          </cell>
        </row>
        <row r="262">
          <cell r="A262" t="str">
            <v>11214_1</v>
          </cell>
        </row>
        <row r="263">
          <cell r="A263" t="str">
            <v>11214_2</v>
          </cell>
        </row>
        <row r="264">
          <cell r="A264" t="str">
            <v>11214_3</v>
          </cell>
        </row>
        <row r="265">
          <cell r="A265" t="str">
            <v>11215_1</v>
          </cell>
        </row>
        <row r="266">
          <cell r="A266" t="str">
            <v>11216_1</v>
          </cell>
        </row>
        <row r="267">
          <cell r="A267" t="str">
            <v>11217_1</v>
          </cell>
        </row>
        <row r="268">
          <cell r="A268" t="str">
            <v>11218_1</v>
          </cell>
        </row>
        <row r="269">
          <cell r="A269" t="str">
            <v>11219_1</v>
          </cell>
        </row>
        <row r="270">
          <cell r="A270" t="str">
            <v>11220_1</v>
          </cell>
        </row>
        <row r="271">
          <cell r="A271" t="str">
            <v>11221_1</v>
          </cell>
        </row>
        <row r="272">
          <cell r="A272" t="str">
            <v>11224_1</v>
          </cell>
        </row>
        <row r="273">
          <cell r="A273" t="str">
            <v>11225_1</v>
          </cell>
        </row>
        <row r="274">
          <cell r="A274" t="str">
            <v>12001_1</v>
          </cell>
        </row>
        <row r="275">
          <cell r="A275" t="str">
            <v>12001_2</v>
          </cell>
        </row>
        <row r="276">
          <cell r="A276" t="str">
            <v>12001_3</v>
          </cell>
        </row>
        <row r="277">
          <cell r="A277" t="str">
            <v>12002_1</v>
          </cell>
        </row>
        <row r="278">
          <cell r="A278" t="str">
            <v>12002_2</v>
          </cell>
        </row>
        <row r="279">
          <cell r="A279" t="str">
            <v>12003_1</v>
          </cell>
        </row>
        <row r="280">
          <cell r="A280" t="str">
            <v>12003_2</v>
          </cell>
        </row>
        <row r="281">
          <cell r="A281" t="str">
            <v>12003_3</v>
          </cell>
        </row>
        <row r="282">
          <cell r="A282" t="str">
            <v>12003_4</v>
          </cell>
        </row>
        <row r="283">
          <cell r="A283" t="str">
            <v>12004_1</v>
          </cell>
        </row>
        <row r="284">
          <cell r="A284" t="str">
            <v>13001_1</v>
          </cell>
        </row>
        <row r="285">
          <cell r="A285" t="str">
            <v>13001_2</v>
          </cell>
        </row>
        <row r="286">
          <cell r="A286" t="str">
            <v>13001_3</v>
          </cell>
        </row>
        <row r="287">
          <cell r="A287" t="str">
            <v>13001_4</v>
          </cell>
        </row>
        <row r="288">
          <cell r="A288" t="str">
            <v>13001_5</v>
          </cell>
        </row>
        <row r="289">
          <cell r="A289" t="str">
            <v>13001_6</v>
          </cell>
        </row>
        <row r="290">
          <cell r="A290" t="str">
            <v>13001_7</v>
          </cell>
        </row>
        <row r="291">
          <cell r="A291" t="str">
            <v>13001_8</v>
          </cell>
        </row>
        <row r="292">
          <cell r="A292" t="str">
            <v>13001_9</v>
          </cell>
        </row>
        <row r="293">
          <cell r="A293" t="str">
            <v>13001_10</v>
          </cell>
        </row>
        <row r="294">
          <cell r="A294" t="str">
            <v>13001_11</v>
          </cell>
        </row>
        <row r="295">
          <cell r="A295" t="str">
            <v>13001_12</v>
          </cell>
        </row>
        <row r="296">
          <cell r="A296" t="str">
            <v>13001_13</v>
          </cell>
        </row>
        <row r="297">
          <cell r="A297" t="str">
            <v>13001_14</v>
          </cell>
        </row>
        <row r="298">
          <cell r="A298" t="str">
            <v>13001_15</v>
          </cell>
        </row>
        <row r="299">
          <cell r="A299" t="str">
            <v>13001_16</v>
          </cell>
        </row>
        <row r="300">
          <cell r="A300" t="str">
            <v>13001_17</v>
          </cell>
        </row>
        <row r="301">
          <cell r="A301" t="str">
            <v>13001_18</v>
          </cell>
        </row>
        <row r="302">
          <cell r="A302" t="str">
            <v>13001_19</v>
          </cell>
        </row>
        <row r="303">
          <cell r="A303" t="str">
            <v>13001_20</v>
          </cell>
        </row>
        <row r="304">
          <cell r="A304" t="str">
            <v>13001_21</v>
          </cell>
        </row>
        <row r="305">
          <cell r="A305" t="str">
            <v>13001_22</v>
          </cell>
        </row>
        <row r="306">
          <cell r="A306" t="str">
            <v>13001_23</v>
          </cell>
        </row>
        <row r="307">
          <cell r="A307" t="str">
            <v>13001_24</v>
          </cell>
        </row>
        <row r="308">
          <cell r="A308" t="str">
            <v>13001_25</v>
          </cell>
        </row>
        <row r="309">
          <cell r="A309" t="str">
            <v>14001_1</v>
          </cell>
        </row>
        <row r="310">
          <cell r="A310" t="str">
            <v>14001_2</v>
          </cell>
        </row>
        <row r="311">
          <cell r="A311" t="str">
            <v>14001_3</v>
          </cell>
        </row>
        <row r="312">
          <cell r="A312" t="str">
            <v>14001_4</v>
          </cell>
        </row>
        <row r="313">
          <cell r="A313" t="str">
            <v>14001_5</v>
          </cell>
        </row>
        <row r="314">
          <cell r="A314" t="str">
            <v>14001_6</v>
          </cell>
        </row>
        <row r="315">
          <cell r="A315" t="str">
            <v>14001_7</v>
          </cell>
        </row>
        <row r="316">
          <cell r="A316" t="str">
            <v>14001_8</v>
          </cell>
        </row>
        <row r="317">
          <cell r="A317" t="str">
            <v>14002_1</v>
          </cell>
        </row>
        <row r="318">
          <cell r="A318" t="str">
            <v>14002_2</v>
          </cell>
        </row>
        <row r="319">
          <cell r="A319" t="str">
            <v>14003_1</v>
          </cell>
        </row>
        <row r="320">
          <cell r="A320" t="str">
            <v>14003_2</v>
          </cell>
        </row>
        <row r="321">
          <cell r="A321" t="str">
            <v>14003_3</v>
          </cell>
        </row>
        <row r="322">
          <cell r="A322" t="str">
            <v>14003_4</v>
          </cell>
        </row>
        <row r="323">
          <cell r="A323" t="str">
            <v>14004_1</v>
          </cell>
        </row>
        <row r="324">
          <cell r="A324" t="str">
            <v>14004_2</v>
          </cell>
        </row>
        <row r="325">
          <cell r="A325" t="str">
            <v>14004_3</v>
          </cell>
        </row>
        <row r="326">
          <cell r="A326" t="str">
            <v>14004_4</v>
          </cell>
        </row>
        <row r="327">
          <cell r="A327" t="str">
            <v>14005_1</v>
          </cell>
        </row>
        <row r="328">
          <cell r="A328" t="str">
            <v>14006_1</v>
          </cell>
        </row>
        <row r="329">
          <cell r="A329" t="str">
            <v>15027_1</v>
          </cell>
        </row>
        <row r="330">
          <cell r="A330" t="str">
            <v>15027_2</v>
          </cell>
        </row>
        <row r="331">
          <cell r="A331" t="str">
            <v>15027_3</v>
          </cell>
        </row>
        <row r="332">
          <cell r="A332" t="str">
            <v>15027_4</v>
          </cell>
        </row>
        <row r="333">
          <cell r="A333" t="str">
            <v>15028_1</v>
          </cell>
        </row>
        <row r="334">
          <cell r="A334" t="str">
            <v>15028_2</v>
          </cell>
        </row>
        <row r="335">
          <cell r="A335" t="str">
            <v>15028_3</v>
          </cell>
        </row>
        <row r="336">
          <cell r="A336" t="str">
            <v>15028_4</v>
          </cell>
        </row>
        <row r="337">
          <cell r="A337" t="str">
            <v>15029_1</v>
          </cell>
        </row>
        <row r="338">
          <cell r="A338" t="str">
            <v>15029_2</v>
          </cell>
        </row>
        <row r="339">
          <cell r="A339" t="str">
            <v>15029_3</v>
          </cell>
        </row>
        <row r="340">
          <cell r="A340" t="str">
            <v>15029_4</v>
          </cell>
        </row>
        <row r="341">
          <cell r="A341" t="str">
            <v>15030_1</v>
          </cell>
        </row>
        <row r="342">
          <cell r="A342" t="str">
            <v>15030_2</v>
          </cell>
        </row>
        <row r="343">
          <cell r="A343" t="str">
            <v>15030_3</v>
          </cell>
        </row>
        <row r="344">
          <cell r="A344" t="str">
            <v>15030_4</v>
          </cell>
        </row>
        <row r="345">
          <cell r="A345" t="str">
            <v>15031_1</v>
          </cell>
        </row>
        <row r="346">
          <cell r="A346" t="str">
            <v>15031_2</v>
          </cell>
        </row>
        <row r="347">
          <cell r="A347" t="str">
            <v>15031_3</v>
          </cell>
        </row>
        <row r="348">
          <cell r="A348" t="str">
            <v>15031_4</v>
          </cell>
        </row>
        <row r="349">
          <cell r="A349" t="str">
            <v>20001_1</v>
          </cell>
        </row>
        <row r="350">
          <cell r="A350" t="str">
            <v>20001_2</v>
          </cell>
        </row>
        <row r="351">
          <cell r="A351" t="str">
            <v>20001_3</v>
          </cell>
        </row>
        <row r="352">
          <cell r="A352" t="str">
            <v>20002_1</v>
          </cell>
        </row>
        <row r="353">
          <cell r="A353" t="str">
            <v>20002_2</v>
          </cell>
        </row>
        <row r="354">
          <cell r="A354" t="str">
            <v>20002_3</v>
          </cell>
        </row>
        <row r="355">
          <cell r="A355" t="str">
            <v>20003_1</v>
          </cell>
        </row>
        <row r="356">
          <cell r="A356" t="str">
            <v>20003_2</v>
          </cell>
        </row>
        <row r="357">
          <cell r="A357" t="str">
            <v>20003_3</v>
          </cell>
        </row>
        <row r="358">
          <cell r="A358" t="str">
            <v>20004_1</v>
          </cell>
        </row>
        <row r="359">
          <cell r="A359" t="str">
            <v>20004_2</v>
          </cell>
        </row>
        <row r="360">
          <cell r="A360" t="str">
            <v>20004_3</v>
          </cell>
        </row>
        <row r="361">
          <cell r="A361" t="str">
            <v>20005_1</v>
          </cell>
        </row>
        <row r="362">
          <cell r="A362" t="str">
            <v>20005_2</v>
          </cell>
        </row>
        <row r="363">
          <cell r="A363" t="str">
            <v>20005_3</v>
          </cell>
        </row>
        <row r="364">
          <cell r="A364" t="str">
            <v>20006_1</v>
          </cell>
        </row>
        <row r="365">
          <cell r="A365" t="str">
            <v>20006_2</v>
          </cell>
        </row>
        <row r="366">
          <cell r="A366" t="str">
            <v>20006_3</v>
          </cell>
        </row>
        <row r="367">
          <cell r="A367" t="str">
            <v>20007_1</v>
          </cell>
        </row>
        <row r="368">
          <cell r="A368" t="str">
            <v>20007_2</v>
          </cell>
        </row>
        <row r="369">
          <cell r="A369" t="str">
            <v>20007_3</v>
          </cell>
        </row>
        <row r="370">
          <cell r="A370" t="str">
            <v>20008_1</v>
          </cell>
        </row>
        <row r="371">
          <cell r="A371" t="str">
            <v>20008_2</v>
          </cell>
        </row>
        <row r="372">
          <cell r="A372" t="str">
            <v>20008_3</v>
          </cell>
        </row>
        <row r="373">
          <cell r="A373" t="str">
            <v>20009_1</v>
          </cell>
        </row>
        <row r="374">
          <cell r="A374" t="str">
            <v>20009_2</v>
          </cell>
        </row>
        <row r="375">
          <cell r="A375" t="str">
            <v>20009_3</v>
          </cell>
        </row>
        <row r="376">
          <cell r="A376" t="str">
            <v>20010_1</v>
          </cell>
        </row>
        <row r="377">
          <cell r="A377" t="str">
            <v>20010_2</v>
          </cell>
        </row>
        <row r="378">
          <cell r="A378" t="str">
            <v>20010_3</v>
          </cell>
        </row>
        <row r="379">
          <cell r="A379" t="str">
            <v>20011_1</v>
          </cell>
        </row>
        <row r="380">
          <cell r="A380" t="str">
            <v>20011_2</v>
          </cell>
        </row>
        <row r="381">
          <cell r="A381" t="str">
            <v>20011_3</v>
          </cell>
        </row>
        <row r="382">
          <cell r="A382" t="str">
            <v>20012_1</v>
          </cell>
        </row>
        <row r="383">
          <cell r="A383" t="str">
            <v>20012_2</v>
          </cell>
        </row>
        <row r="384">
          <cell r="A384" t="str">
            <v>20012_3</v>
          </cell>
        </row>
        <row r="385">
          <cell r="A385" t="str">
            <v>20013_1</v>
          </cell>
        </row>
        <row r="386">
          <cell r="A386" t="str">
            <v>20013_2</v>
          </cell>
        </row>
        <row r="387">
          <cell r="A387" t="str">
            <v>20013_3</v>
          </cell>
        </row>
        <row r="388">
          <cell r="A388" t="str">
            <v>20014_1</v>
          </cell>
        </row>
        <row r="389">
          <cell r="A389" t="str">
            <v>20014_2</v>
          </cell>
        </row>
        <row r="390">
          <cell r="A390" t="str">
            <v>20014_3</v>
          </cell>
        </row>
        <row r="391">
          <cell r="A391" t="str">
            <v>20015_1</v>
          </cell>
        </row>
        <row r="392">
          <cell r="A392" t="str">
            <v>20015_2</v>
          </cell>
        </row>
        <row r="393">
          <cell r="A393" t="str">
            <v>20015_3</v>
          </cell>
        </row>
        <row r="394">
          <cell r="A394" t="str">
            <v>20016_1</v>
          </cell>
        </row>
        <row r="395">
          <cell r="A395" t="str">
            <v>20016_2</v>
          </cell>
        </row>
        <row r="396">
          <cell r="A396" t="str">
            <v>20016_3</v>
          </cell>
        </row>
        <row r="397">
          <cell r="A397" t="str">
            <v>20017_1</v>
          </cell>
        </row>
        <row r="398">
          <cell r="A398" t="str">
            <v>20017_2</v>
          </cell>
        </row>
        <row r="399">
          <cell r="A399" t="str">
            <v>20017_3</v>
          </cell>
        </row>
        <row r="400">
          <cell r="A400" t="str">
            <v>30001_1</v>
          </cell>
        </row>
        <row r="401">
          <cell r="A401" t="str">
            <v>30001_2</v>
          </cell>
        </row>
        <row r="402">
          <cell r="A402" t="str">
            <v>30001_3</v>
          </cell>
        </row>
        <row r="403">
          <cell r="A403" t="str">
            <v>30002_1</v>
          </cell>
        </row>
        <row r="404">
          <cell r="A404" t="str">
            <v>30002_2</v>
          </cell>
        </row>
        <row r="405">
          <cell r="A405" t="str">
            <v>30002_3</v>
          </cell>
        </row>
        <row r="406">
          <cell r="A406" t="str">
            <v>30003_1</v>
          </cell>
        </row>
        <row r="407">
          <cell r="A407" t="str">
            <v>30003_2</v>
          </cell>
        </row>
        <row r="408">
          <cell r="A408" t="str">
            <v>30003_3</v>
          </cell>
        </row>
        <row r="409">
          <cell r="A409" t="str">
            <v>30004_1</v>
          </cell>
        </row>
        <row r="410">
          <cell r="A410" t="str">
            <v>30004_2</v>
          </cell>
        </row>
        <row r="411">
          <cell r="A411" t="str">
            <v>30004_3</v>
          </cell>
        </row>
        <row r="412">
          <cell r="A412" t="str">
            <v>30005_1</v>
          </cell>
        </row>
        <row r="413">
          <cell r="A413" t="str">
            <v>30005_2</v>
          </cell>
        </row>
        <row r="414">
          <cell r="A414" t="str">
            <v>30005_3</v>
          </cell>
        </row>
        <row r="415">
          <cell r="A415" t="str">
            <v>30006_1</v>
          </cell>
        </row>
        <row r="416">
          <cell r="A416" t="str">
            <v>30006_2</v>
          </cell>
        </row>
        <row r="417">
          <cell r="A417" t="str">
            <v>30006_3</v>
          </cell>
        </row>
        <row r="418">
          <cell r="A418" t="str">
            <v>30007_1</v>
          </cell>
        </row>
        <row r="419">
          <cell r="A419" t="str">
            <v>30007_2</v>
          </cell>
        </row>
        <row r="420">
          <cell r="A420" t="str">
            <v>30007_3</v>
          </cell>
        </row>
        <row r="421">
          <cell r="A421" t="str">
            <v>30008_1</v>
          </cell>
        </row>
        <row r="422">
          <cell r="A422" t="str">
            <v>30008_2</v>
          </cell>
        </row>
        <row r="423">
          <cell r="A423" t="str">
            <v>30008_3</v>
          </cell>
        </row>
        <row r="424">
          <cell r="A424" t="str">
            <v>30009_3</v>
          </cell>
        </row>
        <row r="425">
          <cell r="A425" t="str">
            <v>30009_1</v>
          </cell>
        </row>
        <row r="426">
          <cell r="A426" t="str">
            <v>30009_2</v>
          </cell>
        </row>
        <row r="427">
          <cell r="A427" t="str">
            <v>30010_1</v>
          </cell>
        </row>
        <row r="428">
          <cell r="A428" t="str">
            <v>30010_2</v>
          </cell>
        </row>
        <row r="429">
          <cell r="A429" t="str">
            <v>30010_3</v>
          </cell>
        </row>
        <row r="430">
          <cell r="A430" t="str">
            <v>30011_1</v>
          </cell>
        </row>
        <row r="431">
          <cell r="A431" t="str">
            <v>30011_2</v>
          </cell>
        </row>
        <row r="432">
          <cell r="A432" t="str">
            <v>30011_3</v>
          </cell>
        </row>
        <row r="433">
          <cell r="A433" t="str">
            <v>30012_1</v>
          </cell>
        </row>
        <row r="434">
          <cell r="A434" t="str">
            <v>30012_2</v>
          </cell>
        </row>
        <row r="435">
          <cell r="A435" t="str">
            <v>30012_3</v>
          </cell>
        </row>
        <row r="436">
          <cell r="A436" t="str">
            <v>30013_1</v>
          </cell>
        </row>
        <row r="437">
          <cell r="A437" t="str">
            <v>30013_2</v>
          </cell>
        </row>
        <row r="438">
          <cell r="A438" t="str">
            <v>30014_1</v>
          </cell>
        </row>
        <row r="439">
          <cell r="A439" t="str">
            <v>30014_2</v>
          </cell>
        </row>
        <row r="440">
          <cell r="A440" t="str">
            <v>30015_1</v>
          </cell>
        </row>
        <row r="441">
          <cell r="A441" t="str">
            <v>30015_2</v>
          </cell>
        </row>
        <row r="442">
          <cell r="A442" t="str">
            <v>30016_1</v>
          </cell>
        </row>
        <row r="443">
          <cell r="A443" t="str">
            <v>30016_2</v>
          </cell>
        </row>
        <row r="444">
          <cell r="A444" t="str">
            <v>30017_1</v>
          </cell>
        </row>
        <row r="445">
          <cell r="A445" t="str">
            <v>30017_2</v>
          </cell>
        </row>
        <row r="446">
          <cell r="A446" t="str">
            <v>30018_1</v>
          </cell>
        </row>
        <row r="447">
          <cell r="A447" t="str">
            <v>30018_2</v>
          </cell>
        </row>
        <row r="448">
          <cell r="A448" t="str">
            <v>30019_1</v>
          </cell>
        </row>
        <row r="449">
          <cell r="A449" t="str">
            <v>30019_2</v>
          </cell>
        </row>
        <row r="450">
          <cell r="A450" t="str">
            <v>30020_1</v>
          </cell>
        </row>
        <row r="451">
          <cell r="A451" t="str">
            <v>30020_2</v>
          </cell>
        </row>
        <row r="452">
          <cell r="A452" t="str">
            <v>30021_1</v>
          </cell>
        </row>
        <row r="453">
          <cell r="A453" t="str">
            <v>30021_2</v>
          </cell>
        </row>
        <row r="454">
          <cell r="A454" t="str">
            <v>30021_3</v>
          </cell>
        </row>
        <row r="455">
          <cell r="A455" t="str">
            <v>30022_1</v>
          </cell>
        </row>
        <row r="456">
          <cell r="A456" t="str">
            <v>30022_2</v>
          </cell>
        </row>
        <row r="457">
          <cell r="A457" t="str">
            <v>30023_1</v>
          </cell>
        </row>
        <row r="458">
          <cell r="A458" t="str">
            <v>30023_2</v>
          </cell>
        </row>
        <row r="459">
          <cell r="A459" t="str">
            <v>30023_3</v>
          </cell>
        </row>
        <row r="460">
          <cell r="A460" t="str">
            <v>30024_1</v>
          </cell>
        </row>
        <row r="461">
          <cell r="A461" t="str">
            <v>30024_2</v>
          </cell>
        </row>
        <row r="462">
          <cell r="A462" t="str">
            <v>30024_3</v>
          </cell>
        </row>
        <row r="463">
          <cell r="A463" t="str">
            <v>30025_1</v>
          </cell>
        </row>
        <row r="464">
          <cell r="A464" t="str">
            <v>30025_2</v>
          </cell>
        </row>
        <row r="465">
          <cell r="A465" t="str">
            <v>30025_3</v>
          </cell>
        </row>
        <row r="466">
          <cell r="A466" t="str">
            <v>30026_1</v>
          </cell>
        </row>
        <row r="467">
          <cell r="A467" t="str">
            <v>30026_2</v>
          </cell>
        </row>
        <row r="468">
          <cell r="A468" t="str">
            <v>30026_3</v>
          </cell>
        </row>
        <row r="469">
          <cell r="A469" t="str">
            <v>30027_1</v>
          </cell>
        </row>
        <row r="470">
          <cell r="A470" t="str">
            <v>30027_2</v>
          </cell>
        </row>
        <row r="471">
          <cell r="A471" t="str">
            <v>30027_3</v>
          </cell>
        </row>
        <row r="472">
          <cell r="A472" t="str">
            <v>30028_1</v>
          </cell>
        </row>
        <row r="473">
          <cell r="A473" t="str">
            <v>30028_2</v>
          </cell>
        </row>
        <row r="474">
          <cell r="A474" t="str">
            <v>30028_3</v>
          </cell>
        </row>
        <row r="475">
          <cell r="A475" t="str">
            <v>30029_1</v>
          </cell>
        </row>
        <row r="476">
          <cell r="A476" t="str">
            <v>30029_2</v>
          </cell>
        </row>
        <row r="477">
          <cell r="A477" t="str">
            <v>30029_3</v>
          </cell>
        </row>
        <row r="478">
          <cell r="A478" t="str">
            <v>30030_1</v>
          </cell>
        </row>
        <row r="479">
          <cell r="A479" t="str">
            <v>30030_2</v>
          </cell>
        </row>
        <row r="480">
          <cell r="A480" t="str">
            <v>30030_3</v>
          </cell>
        </row>
        <row r="481">
          <cell r="A481" t="str">
            <v>30031_1</v>
          </cell>
        </row>
        <row r="482">
          <cell r="A482" t="str">
            <v>30031_2</v>
          </cell>
        </row>
        <row r="483">
          <cell r="A483" t="str">
            <v>30031_3</v>
          </cell>
        </row>
        <row r="484">
          <cell r="A484" t="str">
            <v>30032_1</v>
          </cell>
        </row>
        <row r="485">
          <cell r="A485" t="str">
            <v>30032_2</v>
          </cell>
        </row>
        <row r="486">
          <cell r="A486" t="str">
            <v>30032_3</v>
          </cell>
        </row>
        <row r="487">
          <cell r="A487" t="str">
            <v>30033_1</v>
          </cell>
        </row>
        <row r="488">
          <cell r="A488" t="str">
            <v>30033_2</v>
          </cell>
        </row>
        <row r="489">
          <cell r="A489" t="str">
            <v>30033_3</v>
          </cell>
        </row>
        <row r="490">
          <cell r="A490" t="str">
            <v>30034_1</v>
          </cell>
        </row>
        <row r="491">
          <cell r="A491" t="str">
            <v>30034_2</v>
          </cell>
        </row>
        <row r="492">
          <cell r="A492" t="str">
            <v>30034_3</v>
          </cell>
        </row>
        <row r="493">
          <cell r="A493" t="str">
            <v>30035_1</v>
          </cell>
        </row>
        <row r="494">
          <cell r="A494" t="str">
            <v>30035_2</v>
          </cell>
        </row>
        <row r="495">
          <cell r="A495" t="str">
            <v>30035_3</v>
          </cell>
        </row>
        <row r="496">
          <cell r="A496" t="str">
            <v>30036_1</v>
          </cell>
        </row>
        <row r="497">
          <cell r="A497" t="str">
            <v>30036_2</v>
          </cell>
        </row>
        <row r="498">
          <cell r="A498" t="str">
            <v>30036_3</v>
          </cell>
        </row>
        <row r="499">
          <cell r="A499" t="str">
            <v>30037_1</v>
          </cell>
        </row>
        <row r="500">
          <cell r="A500" t="str">
            <v>30037_2</v>
          </cell>
        </row>
        <row r="501">
          <cell r="A501" t="str">
            <v>30037_3</v>
          </cell>
        </row>
        <row r="502">
          <cell r="A502" t="str">
            <v>39001_1</v>
          </cell>
        </row>
        <row r="503">
          <cell r="A503" t="str">
            <v>39001_2</v>
          </cell>
        </row>
        <row r="504">
          <cell r="A504" t="str">
            <v>39001_3</v>
          </cell>
        </row>
        <row r="505">
          <cell r="A505" t="str">
            <v>39001_4</v>
          </cell>
        </row>
        <row r="506">
          <cell r="A506" t="str">
            <v>39001_5</v>
          </cell>
        </row>
        <row r="507">
          <cell r="A507" t="str">
            <v>39002_1</v>
          </cell>
        </row>
        <row r="508">
          <cell r="A508" t="str">
            <v>39002_2</v>
          </cell>
        </row>
        <row r="509">
          <cell r="A509" t="str">
            <v>39002_3</v>
          </cell>
        </row>
        <row r="510">
          <cell r="A510" t="str">
            <v>39002_4</v>
          </cell>
        </row>
        <row r="511">
          <cell r="A511" t="str">
            <v>39003_1</v>
          </cell>
        </row>
        <row r="512">
          <cell r="A512" t="str">
            <v>39003_2</v>
          </cell>
        </row>
        <row r="513">
          <cell r="A513" t="str">
            <v>39003_3</v>
          </cell>
        </row>
        <row r="514">
          <cell r="A514" t="str">
            <v>39003_4</v>
          </cell>
        </row>
        <row r="515">
          <cell r="A515" t="str">
            <v>39004_1</v>
          </cell>
        </row>
        <row r="516">
          <cell r="A516" t="str">
            <v>39004_2</v>
          </cell>
        </row>
        <row r="517">
          <cell r="A517" t="str">
            <v>39004_3</v>
          </cell>
        </row>
        <row r="518">
          <cell r="A518" t="str">
            <v>39004_4</v>
          </cell>
        </row>
        <row r="519">
          <cell r="A519" t="str">
            <v>39005_1</v>
          </cell>
        </row>
        <row r="520">
          <cell r="A520" t="str">
            <v>39005_2</v>
          </cell>
        </row>
        <row r="521">
          <cell r="A521" t="str">
            <v>39005_3</v>
          </cell>
        </row>
        <row r="522">
          <cell r="A522" t="str">
            <v>39005_4</v>
          </cell>
        </row>
        <row r="523">
          <cell r="A523" t="str">
            <v>39005_5</v>
          </cell>
        </row>
        <row r="524">
          <cell r="A524" t="str">
            <v>39006_1</v>
          </cell>
        </row>
        <row r="525">
          <cell r="A525" t="str">
            <v>39006_2</v>
          </cell>
        </row>
        <row r="526">
          <cell r="A526" t="str">
            <v>39006_3</v>
          </cell>
        </row>
        <row r="527">
          <cell r="A527" t="str">
            <v>39006_4</v>
          </cell>
        </row>
        <row r="528">
          <cell r="A528" t="str">
            <v>40001_1</v>
          </cell>
        </row>
        <row r="529">
          <cell r="A529" t="str">
            <v>40002_1</v>
          </cell>
        </row>
        <row r="530">
          <cell r="A530" t="str">
            <v>40002_2</v>
          </cell>
        </row>
        <row r="531">
          <cell r="A531" t="str">
            <v>40002_3</v>
          </cell>
        </row>
        <row r="532">
          <cell r="A532" t="str">
            <v>40003_1</v>
          </cell>
        </row>
        <row r="533">
          <cell r="A533" t="str">
            <v>40004_1</v>
          </cell>
        </row>
        <row r="534">
          <cell r="A534" t="str">
            <v>40005_1</v>
          </cell>
        </row>
        <row r="535">
          <cell r="A535" t="str">
            <v>40006_1</v>
          </cell>
        </row>
        <row r="536">
          <cell r="A536" t="str">
            <v>40007_1</v>
          </cell>
        </row>
        <row r="537">
          <cell r="A537" t="str">
            <v>40008_1</v>
          </cell>
        </row>
        <row r="538">
          <cell r="A538" t="str">
            <v>40009_1</v>
          </cell>
        </row>
        <row r="539">
          <cell r="A539" t="str">
            <v>40010_1</v>
          </cell>
        </row>
        <row r="540">
          <cell r="A540" t="str">
            <v>40011_1</v>
          </cell>
        </row>
        <row r="541">
          <cell r="A541" t="str">
            <v>40012_1</v>
          </cell>
        </row>
        <row r="542">
          <cell r="A542" t="str">
            <v>40013_1</v>
          </cell>
        </row>
        <row r="543">
          <cell r="A543" t="str">
            <v>40014_1</v>
          </cell>
        </row>
        <row r="544">
          <cell r="A544" t="str">
            <v>40015_1</v>
          </cell>
        </row>
        <row r="545">
          <cell r="A545" t="str">
            <v>40016_1</v>
          </cell>
        </row>
        <row r="546">
          <cell r="A546" t="str">
            <v>40016_2</v>
          </cell>
        </row>
        <row r="547">
          <cell r="A547" t="str">
            <v>40017_1</v>
          </cell>
        </row>
        <row r="548">
          <cell r="A548" t="str">
            <v>40017_2</v>
          </cell>
        </row>
        <row r="549">
          <cell r="A549" t="str">
            <v>40017_3</v>
          </cell>
        </row>
        <row r="550">
          <cell r="A550" t="str">
            <v>40018_1</v>
          </cell>
        </row>
        <row r="551">
          <cell r="A551" t="str">
            <v>40018_2</v>
          </cell>
        </row>
        <row r="552">
          <cell r="A552" t="str">
            <v>40018_3</v>
          </cell>
        </row>
        <row r="553">
          <cell r="A553" t="str">
            <v>40019_1</v>
          </cell>
        </row>
        <row r="554">
          <cell r="A554" t="str">
            <v>40019_2</v>
          </cell>
        </row>
        <row r="555">
          <cell r="A555" t="str">
            <v>40019_3</v>
          </cell>
        </row>
        <row r="556">
          <cell r="A556" t="str">
            <v>40020_1</v>
          </cell>
        </row>
        <row r="557">
          <cell r="A557" t="str">
            <v>40020_2</v>
          </cell>
        </row>
        <row r="558">
          <cell r="A558" t="str">
            <v>40021_1</v>
          </cell>
        </row>
        <row r="559">
          <cell r="A559" t="str">
            <v>40021_2</v>
          </cell>
        </row>
        <row r="560">
          <cell r="A560" t="str">
            <v>48001_1</v>
          </cell>
        </row>
        <row r="561">
          <cell r="A561" t="str">
            <v>48002_1</v>
          </cell>
        </row>
        <row r="562">
          <cell r="A562" t="str">
            <v>48002_2</v>
          </cell>
        </row>
        <row r="563">
          <cell r="A563" t="str">
            <v>48002_3</v>
          </cell>
        </row>
        <row r="564">
          <cell r="A564" t="str">
            <v>41001_1</v>
          </cell>
        </row>
        <row r="565">
          <cell r="A565" t="str">
            <v>41001_2</v>
          </cell>
        </row>
        <row r="566">
          <cell r="A566" t="str">
            <v>41001_3</v>
          </cell>
        </row>
        <row r="567">
          <cell r="A567" t="str">
            <v>41002_1</v>
          </cell>
        </row>
        <row r="568">
          <cell r="A568" t="str">
            <v>41002_2</v>
          </cell>
        </row>
        <row r="569">
          <cell r="A569" t="str">
            <v>41002_3</v>
          </cell>
        </row>
        <row r="570">
          <cell r="A570" t="str">
            <v>41003_1</v>
          </cell>
        </row>
        <row r="571">
          <cell r="A571" t="str">
            <v>41003_2</v>
          </cell>
        </row>
        <row r="572">
          <cell r="A572" t="str">
            <v>41003_3</v>
          </cell>
        </row>
        <row r="573">
          <cell r="A573" t="str">
            <v>41004_1</v>
          </cell>
        </row>
        <row r="574">
          <cell r="A574" t="str">
            <v>41004_2</v>
          </cell>
        </row>
        <row r="575">
          <cell r="A575" t="str">
            <v>41004_3</v>
          </cell>
        </row>
        <row r="576">
          <cell r="A576" t="str">
            <v>41005_1</v>
          </cell>
        </row>
        <row r="577">
          <cell r="A577" t="str">
            <v>41005_2</v>
          </cell>
        </row>
        <row r="578">
          <cell r="A578" t="str">
            <v>41005_3</v>
          </cell>
        </row>
        <row r="579">
          <cell r="A579" t="str">
            <v>41006_1</v>
          </cell>
        </row>
        <row r="580">
          <cell r="A580" t="str">
            <v>41006_2</v>
          </cell>
        </row>
        <row r="581">
          <cell r="A581" t="str">
            <v>41006_3</v>
          </cell>
        </row>
        <row r="582">
          <cell r="A582" t="str">
            <v>41007_1</v>
          </cell>
        </row>
        <row r="583">
          <cell r="A583" t="str">
            <v>41007_2</v>
          </cell>
        </row>
        <row r="584">
          <cell r="A584" t="str">
            <v>41007_3</v>
          </cell>
        </row>
        <row r="585">
          <cell r="A585" t="str">
            <v>41008_1</v>
          </cell>
        </row>
        <row r="586">
          <cell r="A586" t="str">
            <v>41008_2</v>
          </cell>
        </row>
        <row r="587">
          <cell r="A587" t="str">
            <v>41008_3</v>
          </cell>
        </row>
        <row r="588">
          <cell r="A588" t="str">
            <v>41009_1</v>
          </cell>
        </row>
        <row r="589">
          <cell r="A589" t="str">
            <v>41009_2</v>
          </cell>
        </row>
        <row r="590">
          <cell r="A590" t="str">
            <v>41009_3</v>
          </cell>
        </row>
        <row r="591">
          <cell r="A591" t="str">
            <v>41010_1</v>
          </cell>
        </row>
        <row r="592">
          <cell r="A592" t="str">
            <v>41010_2</v>
          </cell>
        </row>
        <row r="593">
          <cell r="A593" t="str">
            <v>41010_3</v>
          </cell>
        </row>
        <row r="594">
          <cell r="A594" t="str">
            <v>49001_1</v>
          </cell>
        </row>
        <row r="595">
          <cell r="A595" t="str">
            <v>49002_1</v>
          </cell>
        </row>
        <row r="596">
          <cell r="A596" t="str">
            <v>49002_2</v>
          </cell>
        </row>
        <row r="597">
          <cell r="A597" t="str">
            <v>49003_1</v>
          </cell>
        </row>
        <row r="598">
          <cell r="A598" t="str">
            <v>49003_2</v>
          </cell>
        </row>
        <row r="599">
          <cell r="A599" t="str">
            <v>49004_1</v>
          </cell>
        </row>
        <row r="600">
          <cell r="A600" t="str">
            <v>49004_2</v>
          </cell>
        </row>
        <row r="601">
          <cell r="A601" t="str">
            <v>49004_3</v>
          </cell>
        </row>
        <row r="602">
          <cell r="A602" t="str">
            <v>49005_1</v>
          </cell>
        </row>
        <row r="603">
          <cell r="A603" t="str">
            <v>49006_1</v>
          </cell>
        </row>
        <row r="604">
          <cell r="A604" t="str">
            <v>50001_1</v>
          </cell>
        </row>
        <row r="605">
          <cell r="A605" t="str">
            <v>50002_1</v>
          </cell>
        </row>
        <row r="606">
          <cell r="A606" t="str">
            <v>50003_1</v>
          </cell>
        </row>
        <row r="607">
          <cell r="A607" t="str">
            <v>50004_1</v>
          </cell>
        </row>
        <row r="608">
          <cell r="A608" t="str">
            <v>50005_1</v>
          </cell>
        </row>
        <row r="609">
          <cell r="A609" t="str">
            <v>51001_1</v>
          </cell>
        </row>
        <row r="610">
          <cell r="A610" t="str">
            <v>51002_1</v>
          </cell>
        </row>
        <row r="611">
          <cell r="A611" t="str">
            <v>60001_1</v>
          </cell>
        </row>
        <row r="612">
          <cell r="A612" t="str">
            <v>60002_1</v>
          </cell>
        </row>
        <row r="613">
          <cell r="A613" t="str">
            <v>60002_2</v>
          </cell>
        </row>
        <row r="614">
          <cell r="A614" t="str">
            <v>60003_1</v>
          </cell>
        </row>
        <row r="615">
          <cell r="A615" t="str">
            <v>60003_2</v>
          </cell>
        </row>
        <row r="616">
          <cell r="A616" t="str">
            <v>60003_3</v>
          </cell>
        </row>
        <row r="617">
          <cell r="A617" t="str">
            <v>60004_1</v>
          </cell>
        </row>
        <row r="618">
          <cell r="A618" t="str">
            <v>60005_1</v>
          </cell>
        </row>
        <row r="619">
          <cell r="A619" t="str">
            <v>60006_1</v>
          </cell>
        </row>
        <row r="620">
          <cell r="A620" t="str">
            <v>60006_2</v>
          </cell>
        </row>
        <row r="621">
          <cell r="A621" t="str">
            <v>60006_3</v>
          </cell>
        </row>
        <row r="622">
          <cell r="A622" t="str">
            <v>60007_1</v>
          </cell>
        </row>
        <row r="623">
          <cell r="A623" t="str">
            <v>60007_2</v>
          </cell>
        </row>
        <row r="624">
          <cell r="A624" t="str">
            <v>60007_3</v>
          </cell>
        </row>
        <row r="625">
          <cell r="A625" t="str">
            <v>60010_1</v>
          </cell>
        </row>
        <row r="626">
          <cell r="A626" t="str">
            <v>60011_1</v>
          </cell>
        </row>
        <row r="627">
          <cell r="A627" t="str">
            <v>65535_1</v>
          </cell>
        </row>
        <row r="628">
          <cell r="A628" t="str">
            <v>65535_2</v>
          </cell>
        </row>
        <row r="629">
          <cell r="A629" t="str">
            <v>65535_3</v>
          </cell>
        </row>
        <row r="630">
          <cell r="A630" t="str">
            <v>65535_4</v>
          </cell>
        </row>
        <row r="631">
          <cell r="A631" t="str">
            <v>65535_5</v>
          </cell>
        </row>
        <row r="632">
          <cell r="A632" t="str">
            <v>65535_6</v>
          </cell>
        </row>
        <row r="633">
          <cell r="A633" t="str">
            <v>65535_7</v>
          </cell>
        </row>
        <row r="634">
          <cell r="A634" t="str">
            <v>65535_8</v>
          </cell>
        </row>
        <row r="635">
          <cell r="A635" t="str">
            <v>60021_3</v>
          </cell>
        </row>
        <row r="636">
          <cell r="A636" t="str">
            <v>60022_3</v>
          </cell>
        </row>
        <row r="637">
          <cell r="A637" t="str">
            <v>60023_3</v>
          </cell>
        </row>
        <row r="638">
          <cell r="A638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6011</v>
          </cell>
        </row>
        <row r="1071">
          <cell r="A1071">
            <v>6012</v>
          </cell>
        </row>
        <row r="1072">
          <cell r="A1072">
            <v>6013</v>
          </cell>
        </row>
        <row r="1073">
          <cell r="A1073">
            <v>6014</v>
          </cell>
        </row>
        <row r="1074">
          <cell r="A1074">
            <v>6015</v>
          </cell>
        </row>
        <row r="1075">
          <cell r="A1075">
            <v>6016</v>
          </cell>
        </row>
        <row r="1076">
          <cell r="A1076">
            <v>6017</v>
          </cell>
        </row>
        <row r="1077">
          <cell r="A1077">
            <v>6018</v>
          </cell>
        </row>
        <row r="1078">
          <cell r="A1078">
            <v>6019</v>
          </cell>
        </row>
        <row r="1079">
          <cell r="A1079">
            <v>6020</v>
          </cell>
        </row>
        <row r="1080">
          <cell r="A1080">
            <v>8001</v>
          </cell>
        </row>
        <row r="1081">
          <cell r="A1081">
            <v>8002</v>
          </cell>
        </row>
        <row r="1082">
          <cell r="A1082">
            <v>8003</v>
          </cell>
        </row>
        <row r="1083">
          <cell r="A1083">
            <v>8004</v>
          </cell>
        </row>
        <row r="1084">
          <cell r="A1084">
            <v>8005</v>
          </cell>
        </row>
        <row r="1085">
          <cell r="A1085">
            <v>8006</v>
          </cell>
        </row>
        <row r="1086">
          <cell r="A1086">
            <v>8007</v>
          </cell>
        </row>
        <row r="1087">
          <cell r="A1087">
            <v>8008</v>
          </cell>
        </row>
        <row r="1088">
          <cell r="A1088">
            <v>8009</v>
          </cell>
        </row>
        <row r="1089">
          <cell r="A1089">
            <v>8010</v>
          </cell>
        </row>
        <row r="1090">
          <cell r="A1090">
            <v>8011</v>
          </cell>
        </row>
        <row r="1091">
          <cell r="A1091">
            <v>8012</v>
          </cell>
        </row>
        <row r="1092">
          <cell r="A1092">
            <v>8013</v>
          </cell>
        </row>
        <row r="1093">
          <cell r="A1093">
            <v>8014</v>
          </cell>
        </row>
        <row r="1094">
          <cell r="A1094">
            <v>8015</v>
          </cell>
        </row>
        <row r="1095">
          <cell r="A1095">
            <v>8016</v>
          </cell>
        </row>
        <row r="1096">
          <cell r="A1096">
            <v>8017</v>
          </cell>
        </row>
        <row r="1097">
          <cell r="A1097">
            <v>8018</v>
          </cell>
        </row>
        <row r="1098">
          <cell r="A1098">
            <v>8019</v>
          </cell>
        </row>
        <row r="1099">
          <cell r="A1099">
            <v>8020</v>
          </cell>
        </row>
        <row r="1100">
          <cell r="A1100">
            <v>8021</v>
          </cell>
        </row>
        <row r="1101">
          <cell r="A1101">
            <v>8022</v>
          </cell>
        </row>
        <row r="1102">
          <cell r="A1102">
            <v>8023</v>
          </cell>
        </row>
        <row r="1103">
          <cell r="A1103">
            <v>8024</v>
          </cell>
        </row>
        <row r="1104">
          <cell r="A1104">
            <v>8025</v>
          </cell>
        </row>
        <row r="1105">
          <cell r="A1105">
            <v>8026</v>
          </cell>
        </row>
        <row r="1106">
          <cell r="A1106">
            <v>8027</v>
          </cell>
        </row>
        <row r="1107">
          <cell r="A1107">
            <v>8028</v>
          </cell>
        </row>
        <row r="1108">
          <cell r="A1108">
            <v>8029</v>
          </cell>
        </row>
        <row r="1109">
          <cell r="A1109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6011</v>
          </cell>
        </row>
        <row r="1071">
          <cell r="A1071">
            <v>6012</v>
          </cell>
        </row>
        <row r="1072">
          <cell r="A1072">
            <v>6013</v>
          </cell>
        </row>
        <row r="1073">
          <cell r="A1073">
            <v>6014</v>
          </cell>
        </row>
        <row r="1074">
          <cell r="A1074">
            <v>6015</v>
          </cell>
        </row>
        <row r="1075">
          <cell r="A1075">
            <v>6016</v>
          </cell>
        </row>
        <row r="1076">
          <cell r="A1076">
            <v>6017</v>
          </cell>
        </row>
        <row r="1077">
          <cell r="A1077">
            <v>6018</v>
          </cell>
        </row>
        <row r="1078">
          <cell r="A1078">
            <v>6019</v>
          </cell>
        </row>
        <row r="1079">
          <cell r="A1079">
            <v>6020</v>
          </cell>
        </row>
        <row r="1080">
          <cell r="A1080">
            <v>8001</v>
          </cell>
        </row>
        <row r="1081">
          <cell r="A1081">
            <v>8002</v>
          </cell>
        </row>
        <row r="1082">
          <cell r="A1082">
            <v>8003</v>
          </cell>
        </row>
        <row r="1083">
          <cell r="A1083">
            <v>8004</v>
          </cell>
        </row>
        <row r="1084">
          <cell r="A1084">
            <v>8005</v>
          </cell>
        </row>
        <row r="1085">
          <cell r="A1085">
            <v>8006</v>
          </cell>
        </row>
        <row r="1086">
          <cell r="A1086">
            <v>8007</v>
          </cell>
        </row>
        <row r="1087">
          <cell r="A1087">
            <v>8008</v>
          </cell>
        </row>
        <row r="1088">
          <cell r="A1088">
            <v>8009</v>
          </cell>
        </row>
        <row r="1089">
          <cell r="A1089">
            <v>8010</v>
          </cell>
        </row>
        <row r="1090">
          <cell r="A1090">
            <v>8011</v>
          </cell>
        </row>
        <row r="1091">
          <cell r="A1091">
            <v>8012</v>
          </cell>
        </row>
        <row r="1092">
          <cell r="A1092">
            <v>8013</v>
          </cell>
        </row>
        <row r="1093">
          <cell r="A1093">
            <v>8014</v>
          </cell>
        </row>
        <row r="1094">
          <cell r="A1094">
            <v>8015</v>
          </cell>
        </row>
        <row r="1095">
          <cell r="A1095">
            <v>8016</v>
          </cell>
        </row>
        <row r="1096">
          <cell r="A1096">
            <v>8017</v>
          </cell>
        </row>
        <row r="1097">
          <cell r="A1097">
            <v>8018</v>
          </cell>
        </row>
        <row r="1098">
          <cell r="A1098">
            <v>8019</v>
          </cell>
        </row>
        <row r="1099">
          <cell r="A1099">
            <v>8020</v>
          </cell>
        </row>
        <row r="1100">
          <cell r="A1100">
            <v>8021</v>
          </cell>
        </row>
        <row r="1101">
          <cell r="A1101">
            <v>8022</v>
          </cell>
        </row>
        <row r="1102">
          <cell r="A1102">
            <v>8023</v>
          </cell>
        </row>
        <row r="1103">
          <cell r="A1103">
            <v>8024</v>
          </cell>
        </row>
        <row r="1104">
          <cell r="A1104">
            <v>8025</v>
          </cell>
        </row>
        <row r="1105">
          <cell r="A1105">
            <v>8026</v>
          </cell>
        </row>
        <row r="1106">
          <cell r="A1106">
            <v>8027</v>
          </cell>
        </row>
        <row r="1107">
          <cell r="A1107">
            <v>8028</v>
          </cell>
        </row>
        <row r="1108">
          <cell r="A1108">
            <v>8029</v>
          </cell>
        </row>
        <row r="1109">
          <cell r="A110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C32" sqref="C3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3" t="s">
        <v>131</v>
      </c>
      <c r="B1" s="48" t="s">
        <v>101</v>
      </c>
      <c r="C1" s="48" t="s">
        <v>102</v>
      </c>
      <c r="D1" s="48" t="s">
        <v>103</v>
      </c>
      <c r="E1" s="48" t="s">
        <v>104</v>
      </c>
      <c r="F1" s="48" t="s">
        <v>105</v>
      </c>
      <c r="G1" s="48" t="s">
        <v>106</v>
      </c>
      <c r="H1" s="48"/>
      <c r="I1" s="48"/>
      <c r="J1" s="48"/>
      <c r="K1" s="48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</row>
    <row r="2" spans="1:30" x14ac:dyDescent="0.15">
      <c r="A2" s="54" t="s">
        <v>212</v>
      </c>
      <c r="B2" s="50" t="s">
        <v>107</v>
      </c>
      <c r="C2" s="55">
        <v>15027</v>
      </c>
      <c r="D2" s="50" t="s">
        <v>108</v>
      </c>
      <c r="E2" s="49" t="str">
        <f>B2&amp;C2&amp;D2</f>
        <v>floors_15027.tmp</v>
      </c>
      <c r="F2" s="50" t="s">
        <v>109</v>
      </c>
      <c r="G2" s="51" t="s">
        <v>0</v>
      </c>
      <c r="H2" s="51" t="s">
        <v>1</v>
      </c>
      <c r="I2" s="51" t="s">
        <v>13</v>
      </c>
      <c r="J2" s="51" t="s">
        <v>14</v>
      </c>
      <c r="K2" s="51" t="s">
        <v>15</v>
      </c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</row>
    <row r="3" spans="1:30" x14ac:dyDescent="0.15">
      <c r="A3" s="54" t="s">
        <v>212</v>
      </c>
      <c r="B3" s="50" t="s">
        <v>110</v>
      </c>
      <c r="C3" s="55">
        <v>15027</v>
      </c>
      <c r="D3" s="50" t="s">
        <v>108</v>
      </c>
      <c r="E3" s="49" t="str">
        <f>B3&amp;C3&amp;D3</f>
        <v>enemy_habitats_15027.tmp</v>
      </c>
      <c r="F3" s="50" t="s">
        <v>111</v>
      </c>
      <c r="G3" s="51" t="s">
        <v>0</v>
      </c>
      <c r="H3" s="51" t="s">
        <v>1</v>
      </c>
      <c r="I3" s="51" t="s">
        <v>13</v>
      </c>
      <c r="J3" s="51" t="s">
        <v>2</v>
      </c>
      <c r="K3" s="51" t="s">
        <v>3</v>
      </c>
      <c r="L3" s="51" t="s">
        <v>47</v>
      </c>
      <c r="M3" s="51" t="s">
        <v>49</v>
      </c>
      <c r="N3" s="51" t="s">
        <v>51</v>
      </c>
      <c r="O3" s="51" t="s">
        <v>22</v>
      </c>
      <c r="P3" s="51" t="s">
        <v>5</v>
      </c>
      <c r="Q3" s="51" t="s">
        <v>6</v>
      </c>
      <c r="R3" s="51" t="s">
        <v>7</v>
      </c>
      <c r="S3" s="51" t="s">
        <v>8</v>
      </c>
      <c r="T3" s="51" t="s">
        <v>9</v>
      </c>
      <c r="U3" s="51" t="s">
        <v>10</v>
      </c>
      <c r="V3" s="51" t="s">
        <v>11</v>
      </c>
      <c r="W3" s="51" t="s">
        <v>12</v>
      </c>
      <c r="X3" s="51" t="s">
        <v>37</v>
      </c>
      <c r="Y3" s="51" t="s">
        <v>39</v>
      </c>
      <c r="Z3" s="51" t="s">
        <v>41</v>
      </c>
      <c r="AA3" s="51" t="s">
        <v>43</v>
      </c>
      <c r="AB3" s="51" t="s">
        <v>45</v>
      </c>
      <c r="AC3" s="51" t="s">
        <v>54</v>
      </c>
      <c r="AD3" s="51" t="s">
        <v>179</v>
      </c>
    </row>
    <row r="4" spans="1:30" x14ac:dyDescent="0.15">
      <c r="A4" s="54" t="s">
        <v>212</v>
      </c>
      <c r="B4" s="50" t="s">
        <v>112</v>
      </c>
      <c r="C4" s="55">
        <v>15027</v>
      </c>
      <c r="D4" s="50" t="s">
        <v>108</v>
      </c>
      <c r="E4" s="49" t="str">
        <f>B4&amp;C4&amp;D4</f>
        <v>enemy_habitat_S_15027.tmp</v>
      </c>
      <c r="F4" s="50" t="s">
        <v>113</v>
      </c>
      <c r="G4" s="51" t="s">
        <v>0</v>
      </c>
      <c r="H4" s="51" t="s">
        <v>1</v>
      </c>
      <c r="I4" s="51" t="s">
        <v>13</v>
      </c>
      <c r="J4" s="51" t="s">
        <v>54</v>
      </c>
      <c r="K4" s="51" t="s">
        <v>55</v>
      </c>
      <c r="L4" s="51" t="s">
        <v>56</v>
      </c>
      <c r="M4" s="51" t="s">
        <v>57</v>
      </c>
      <c r="N4" s="51" t="s">
        <v>58</v>
      </c>
      <c r="O4" s="51" t="s">
        <v>59</v>
      </c>
      <c r="P4" s="51" t="s">
        <v>48</v>
      </c>
      <c r="Q4" s="51" t="s">
        <v>50</v>
      </c>
      <c r="R4" s="51" t="s">
        <v>52</v>
      </c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</row>
    <row r="5" spans="1:30" x14ac:dyDescent="0.15">
      <c r="A5" s="54" t="s">
        <v>212</v>
      </c>
      <c r="B5" s="50" t="s">
        <v>114</v>
      </c>
      <c r="C5" s="55">
        <v>15027</v>
      </c>
      <c r="D5" s="50" t="s">
        <v>108</v>
      </c>
      <c r="E5" s="49" t="str">
        <f>B5&amp;C5&amp;D5</f>
        <v>enemy_skill_sets_15027.tmp</v>
      </c>
      <c r="F5" s="50" t="s">
        <v>115</v>
      </c>
      <c r="G5" s="52" t="s">
        <v>22</v>
      </c>
      <c r="H5" s="52" t="s">
        <v>100</v>
      </c>
      <c r="I5" s="52" t="s">
        <v>95</v>
      </c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</row>
    <row r="6" spans="1:30" x14ac:dyDescent="0.15">
      <c r="A6" s="54" t="s">
        <v>212</v>
      </c>
      <c r="B6" s="50" t="s">
        <v>116</v>
      </c>
      <c r="C6" s="55">
        <v>15027</v>
      </c>
      <c r="D6" s="50" t="s">
        <v>117</v>
      </c>
      <c r="E6" s="49" t="str">
        <f t="shared" ref="E6:E10" si="0">B6&amp;C6&amp;D6</f>
        <v>enemy_skills_tmp_15027.tmp</v>
      </c>
      <c r="F6" s="50" t="s">
        <v>91</v>
      </c>
      <c r="G6" s="51" t="s">
        <v>79</v>
      </c>
      <c r="H6" s="51" t="s">
        <v>80</v>
      </c>
      <c r="I6" s="51" t="s">
        <v>81</v>
      </c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</row>
    <row r="7" spans="1:30" x14ac:dyDescent="0.15">
      <c r="A7" s="54" t="s">
        <v>212</v>
      </c>
      <c r="B7" s="50" t="s">
        <v>118</v>
      </c>
      <c r="C7" s="55">
        <v>15027</v>
      </c>
      <c r="D7" s="50" t="s">
        <v>108</v>
      </c>
      <c r="E7" s="49" t="str">
        <f>B7&amp;C7&amp;D7</f>
        <v>enemy_skills_i18n_15027.tmp</v>
      </c>
      <c r="F7" s="50" t="s">
        <v>119</v>
      </c>
      <c r="G7" s="51" t="s">
        <v>79</v>
      </c>
      <c r="H7" s="51" t="s">
        <v>92</v>
      </c>
      <c r="I7" s="51" t="s">
        <v>93</v>
      </c>
      <c r="J7" s="51" t="s">
        <v>94</v>
      </c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</row>
    <row r="8" spans="1:30" x14ac:dyDescent="0.15">
      <c r="A8" s="54" t="s">
        <v>212</v>
      </c>
      <c r="B8" s="50" t="s">
        <v>120</v>
      </c>
      <c r="C8" s="55">
        <v>15027</v>
      </c>
      <c r="D8" s="50" t="s">
        <v>121</v>
      </c>
      <c r="E8" s="49" t="str">
        <f t="shared" si="0"/>
        <v>enemy_skill_triggers_15027.tmp</v>
      </c>
      <c r="F8" s="50" t="s">
        <v>122</v>
      </c>
      <c r="G8" s="51" t="s">
        <v>95</v>
      </c>
      <c r="H8" s="51" t="s">
        <v>96</v>
      </c>
      <c r="I8" s="51" t="s">
        <v>97</v>
      </c>
      <c r="J8" s="51" t="s">
        <v>98</v>
      </c>
      <c r="K8" s="51" t="s">
        <v>123</v>
      </c>
      <c r="L8" s="51" t="s">
        <v>99</v>
      </c>
      <c r="M8" s="51" t="s">
        <v>124</v>
      </c>
      <c r="N8" s="51" t="s">
        <v>125</v>
      </c>
      <c r="O8" s="51" t="s">
        <v>126</v>
      </c>
      <c r="P8" s="51" t="s">
        <v>67</v>
      </c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</row>
    <row r="9" spans="1:30" x14ac:dyDescent="0.15">
      <c r="A9" s="54" t="s">
        <v>212</v>
      </c>
      <c r="B9" s="59" t="s">
        <v>178</v>
      </c>
      <c r="C9" s="55">
        <v>15027</v>
      </c>
      <c r="D9" s="59" t="s">
        <v>172</v>
      </c>
      <c r="E9" s="60" t="str">
        <f t="shared" si="0"/>
        <v>stage_bug_bonuses_15027.tmp</v>
      </c>
      <c r="F9" s="59" t="s">
        <v>173</v>
      </c>
      <c r="G9" s="56" t="s">
        <v>151</v>
      </c>
      <c r="H9" s="56" t="s">
        <v>174</v>
      </c>
      <c r="I9" s="56" t="s">
        <v>175</v>
      </c>
      <c r="J9" s="58" t="s">
        <v>176</v>
      </c>
      <c r="K9" s="56" t="s">
        <v>177</v>
      </c>
      <c r="L9" s="56" t="s">
        <v>157</v>
      </c>
      <c r="M9" s="56" t="s">
        <v>158</v>
      </c>
      <c r="N9" s="56" t="s">
        <v>159</v>
      </c>
      <c r="O9" s="56" t="s">
        <v>160</v>
      </c>
      <c r="P9" s="56" t="s">
        <v>161</v>
      </c>
      <c r="Q9" s="56" t="s">
        <v>162</v>
      </c>
      <c r="R9" s="56" t="s">
        <v>163</v>
      </c>
      <c r="S9" s="56" t="s">
        <v>164</v>
      </c>
      <c r="T9" s="56" t="s">
        <v>165</v>
      </c>
      <c r="U9" s="56" t="s">
        <v>166</v>
      </c>
      <c r="V9" s="56" t="s">
        <v>167</v>
      </c>
      <c r="W9" s="56" t="s">
        <v>168</v>
      </c>
    </row>
    <row r="10" spans="1:30" s="66" customFormat="1" x14ac:dyDescent="0.15">
      <c r="A10" s="54" t="s">
        <v>212</v>
      </c>
      <c r="B10" s="59" t="s">
        <v>201</v>
      </c>
      <c r="C10" s="55">
        <v>15027</v>
      </c>
      <c r="D10" s="59" t="s">
        <v>181</v>
      </c>
      <c r="E10" s="60" t="str">
        <f t="shared" si="0"/>
        <v>stage_hints_data_c_15027.tmp</v>
      </c>
      <c r="F10" s="59" t="s">
        <v>209</v>
      </c>
      <c r="G10" s="63" t="s">
        <v>182</v>
      </c>
      <c r="H10" s="63" t="s">
        <v>174</v>
      </c>
      <c r="I10" s="64" t="s">
        <v>183</v>
      </c>
      <c r="J10" s="58" t="s">
        <v>184</v>
      </c>
      <c r="K10" s="65" t="s">
        <v>185</v>
      </c>
    </row>
    <row r="11" spans="1:30" s="66" customFormat="1" x14ac:dyDescent="0.15">
      <c r="A11" s="54" t="s">
        <v>212</v>
      </c>
      <c r="B11" s="59" t="s">
        <v>202</v>
      </c>
      <c r="C11" s="55">
        <v>15027</v>
      </c>
      <c r="D11" s="59" t="s">
        <v>172</v>
      </c>
      <c r="E11" s="60" t="str">
        <f t="shared" ref="E11:E12" si="1">B11&amp;C11&amp;D11</f>
        <v>stage_hints_data_f_15027.tmp</v>
      </c>
      <c r="F11" s="59" t="s">
        <v>210</v>
      </c>
      <c r="G11" s="63" t="s">
        <v>182</v>
      </c>
      <c r="H11" s="63" t="s">
        <v>174</v>
      </c>
      <c r="I11" s="64" t="s">
        <v>183</v>
      </c>
      <c r="J11" s="58" t="s">
        <v>184</v>
      </c>
      <c r="K11" s="65" t="s">
        <v>185</v>
      </c>
    </row>
    <row r="12" spans="1:30" s="66" customFormat="1" x14ac:dyDescent="0.15">
      <c r="A12" s="54" t="s">
        <v>212</v>
      </c>
      <c r="B12" s="59" t="s">
        <v>203</v>
      </c>
      <c r="C12" s="55">
        <v>15027</v>
      </c>
      <c r="D12" s="59" t="s">
        <v>172</v>
      </c>
      <c r="E12" s="60" t="str">
        <f t="shared" si="1"/>
        <v>stage_hints_i18n_15027.tmp</v>
      </c>
      <c r="F12" s="59" t="s">
        <v>211</v>
      </c>
      <c r="G12" s="64" t="s">
        <v>204</v>
      </c>
      <c r="H12" s="84" t="s">
        <v>205</v>
      </c>
      <c r="I12" s="63" t="s">
        <v>206</v>
      </c>
      <c r="J12" s="85" t="s">
        <v>207</v>
      </c>
      <c r="K12" s="65" t="s">
        <v>208</v>
      </c>
    </row>
  </sheetData>
  <phoneticPr fontId="6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8"/>
  <sheetViews>
    <sheetView showGridLines="0" workbookViewId="0">
      <pane ySplit="1" topLeftCell="A2" activePane="bottomLeft" state="frozen"/>
      <selection activeCell="V2" sqref="V2:X34"/>
      <selection pane="bottomLeft" activeCell="K19" sqref="K19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thickBot="1" x14ac:dyDescent="0.2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19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15027_1-1</v>
      </c>
      <c r="B2" s="15" t="str">
        <f>IF(COUNTIF(enemy_habitats!$H:$H,A2),"OK","NG")</f>
        <v>OK</v>
      </c>
      <c r="C2" s="7">
        <v>15027</v>
      </c>
      <c r="D2" s="11" t="str">
        <f ca="1">VLOOKUP($C2,OFFSET([2]quests!$A$1,0,0,COUNTA([2]quests!$A:$A),MATCH(D$1,[2]quests!$1:$1,0)-MATCH($C$1,[2]quests!$1:$1,0)+1),MATCH(D$1,[2]quests!$1:$1,0)-MATCH($C$1,[2]quests!$1:$1,0)+1,FALSE)</f>
        <v>27. 雷雨の登山道</v>
      </c>
      <c r="E2" s="17" t="str">
        <f ca="1">VLOOKUP($C2,OFFSET([2]quests!$A$1,0,0,COUNTA([2]quests!$A:$A),MATCH(E$1,[2]quests!$1:$1,0)-MATCH($C$1,[2]quests!$1:$1,0)+1),MATCH(E$1,[2]quests!$1:$1,0)-MATCH($C$1,[2]quests!$1:$1,0)+1,FALSE)</f>
        <v>黄青DL6</v>
      </c>
      <c r="F2" s="87">
        <v>1</v>
      </c>
      <c r="G2" s="19" t="str">
        <f>C2&amp;"_"&amp;F2</f>
        <v>15027_1</v>
      </c>
      <c r="H2" s="14" t="str">
        <f ca="1">VLOOKUP($G2,OFFSET([2]stages!$A$1,0,0,COUNTA([2]stages!$A:$A),MATCH(H$1,[2]stages!$2:$2,0)-MATCH($G$1,[2]stages!$2:$2,0)+1),MATCH(H$1,[2]stages!$2:$2,0)-MATCH($G$1,[2]stages!$2:$2,0)+1,FALSE)</f>
        <v>27-1. 登山道入口</v>
      </c>
      <c r="I2" s="87">
        <v>1</v>
      </c>
      <c r="J2" s="92">
        <v>45</v>
      </c>
      <c r="K2" s="93">
        <v>55</v>
      </c>
    </row>
    <row r="3" spans="1:11" ht="21" customHeight="1" x14ac:dyDescent="0.15">
      <c r="A3" s="15" t="str">
        <f t="shared" ref="A3:A18" si="0">G3&amp;"-"&amp;I3</f>
        <v>15027_1-2</v>
      </c>
      <c r="B3" s="15" t="str">
        <f>IF(COUNTIF(enemy_habitats!$H:$H,A3),"OK","NG")</f>
        <v>OK</v>
      </c>
      <c r="C3" s="7">
        <v>15027</v>
      </c>
      <c r="D3" s="11" t="str">
        <f ca="1">VLOOKUP($C3,OFFSET([2]quests!$A$1,0,0,COUNTA([2]quests!$A:$A),MATCH(D$1,[2]quests!$1:$1,0)-MATCH($C$1,[2]quests!$1:$1,0)+1),MATCH(D$1,[2]quests!$1:$1,0)-MATCH($C$1,[2]quests!$1:$1,0)+1,FALSE)</f>
        <v>27. 雷雨の登山道</v>
      </c>
      <c r="E3" s="17" t="str">
        <f ca="1">VLOOKUP($C3,OFFSET([2]quests!$A$1,0,0,COUNTA([2]quests!$A:$A),MATCH(E$1,[2]quests!$1:$1,0)-MATCH($C$1,[2]quests!$1:$1,0)+1),MATCH(E$1,[2]quests!$1:$1,0)-MATCH($C$1,[2]quests!$1:$1,0)+1,FALSE)</f>
        <v>黄青DL6</v>
      </c>
      <c r="F3" s="88">
        <v>1</v>
      </c>
      <c r="G3" s="19" t="str">
        <f t="shared" ref="G3:G18" si="1">C3&amp;"_"&amp;F3</f>
        <v>15027_1</v>
      </c>
      <c r="H3" s="14" t="str">
        <f ca="1">VLOOKUP($G3,OFFSET([2]stages!$A$1,0,0,COUNTA([2]stages!$A:$A),MATCH(H$1,[2]stages!$2:$2,0)-MATCH($G$1,[2]stages!$2:$2,0)+1),MATCH(H$1,[2]stages!$2:$2,0)-MATCH($G$1,[2]stages!$2:$2,0)+1,FALSE)</f>
        <v>27-1. 登山道入口</v>
      </c>
      <c r="I3" s="88">
        <v>2</v>
      </c>
      <c r="J3" s="34">
        <v>30</v>
      </c>
      <c r="K3" s="94">
        <v>30</v>
      </c>
    </row>
    <row r="4" spans="1:11" ht="21" customHeight="1" x14ac:dyDescent="0.15">
      <c r="A4" s="15" t="str">
        <f t="shared" ref="A4" si="2">G4&amp;"-"&amp;I4</f>
        <v>15027_1-3</v>
      </c>
      <c r="B4" s="15" t="str">
        <f>IF(COUNTIF(enemy_habitats!$H:$H,A4),"OK","NG")</f>
        <v>OK</v>
      </c>
      <c r="C4" s="7">
        <v>15027</v>
      </c>
      <c r="D4" s="11" t="str">
        <f ca="1">VLOOKUP($C4,OFFSET([2]quests!$A$1,0,0,COUNTA([2]quests!$A:$A),MATCH(D$1,[2]quests!$1:$1,0)-MATCH($C$1,[2]quests!$1:$1,0)+1),MATCH(D$1,[2]quests!$1:$1,0)-MATCH($C$1,[2]quests!$1:$1,0)+1,FALSE)</f>
        <v>27. 雷雨の登山道</v>
      </c>
      <c r="E4" s="17" t="str">
        <f ca="1">VLOOKUP($C4,OFFSET([2]quests!$A$1,0,0,COUNTA([2]quests!$A:$A),MATCH(E$1,[2]quests!$1:$1,0)-MATCH($C$1,[2]quests!$1:$1,0)+1),MATCH(E$1,[2]quests!$1:$1,0)-MATCH($C$1,[2]quests!$1:$1,0)+1,FALSE)</f>
        <v>黄青DL6</v>
      </c>
      <c r="F4" s="88">
        <v>1</v>
      </c>
      <c r="G4" s="19" t="str">
        <f t="shared" ref="G4" si="3">C4&amp;"_"&amp;F4</f>
        <v>15027_1</v>
      </c>
      <c r="H4" s="14" t="str">
        <f ca="1">VLOOKUP($G4,OFFSET([2]stages!$A$1,0,0,COUNTA([2]stages!$A:$A),MATCH(H$1,[2]stages!$2:$2,0)-MATCH($G$1,[2]stages!$2:$2,0)+1),MATCH(H$1,[2]stages!$2:$2,0)-MATCH($G$1,[2]stages!$2:$2,0)+1,FALSE)</f>
        <v>27-1. 登山道入口</v>
      </c>
      <c r="I4" s="88">
        <v>3</v>
      </c>
      <c r="J4" s="34">
        <v>55</v>
      </c>
      <c r="K4" s="94">
        <v>55</v>
      </c>
    </row>
    <row r="5" spans="1:11" ht="21" customHeight="1" thickBot="1" x14ac:dyDescent="0.2">
      <c r="A5" s="15" t="str">
        <f t="shared" si="0"/>
        <v>15027_1-4</v>
      </c>
      <c r="B5" s="15" t="str">
        <f>IF(COUNTIF(enemy_habitats!$H:$H,A5),"OK","NG")</f>
        <v>OK</v>
      </c>
      <c r="C5" s="7">
        <v>15027</v>
      </c>
      <c r="D5" s="11" t="str">
        <f ca="1">VLOOKUP($C5,OFFSET([2]quests!$A$1,0,0,COUNTA([2]quests!$A:$A),MATCH(D$1,[2]quests!$1:$1,0)-MATCH($C$1,[2]quests!$1:$1,0)+1),MATCH(D$1,[2]quests!$1:$1,0)-MATCH($C$1,[2]quests!$1:$1,0)+1,FALSE)</f>
        <v>27. 雷雨の登山道</v>
      </c>
      <c r="E5" s="17" t="str">
        <f ca="1">VLOOKUP($C5,OFFSET([2]quests!$A$1,0,0,COUNTA([2]quests!$A:$A),MATCH(E$1,[2]quests!$1:$1,0)-MATCH($C$1,[2]quests!$1:$1,0)+1),MATCH(E$1,[2]quests!$1:$1,0)-MATCH($C$1,[2]quests!$1:$1,0)+1,FALSE)</f>
        <v>黄青DL6</v>
      </c>
      <c r="F5" s="89">
        <v>1</v>
      </c>
      <c r="G5" s="19" t="str">
        <f t="shared" si="1"/>
        <v>15027_1</v>
      </c>
      <c r="H5" s="14" t="str">
        <f ca="1">VLOOKUP($G5,OFFSET([2]stages!$A$1,0,0,COUNTA([2]stages!$A:$A),MATCH(H$1,[2]stages!$2:$2,0)-MATCH($G$1,[2]stages!$2:$2,0)+1),MATCH(H$1,[2]stages!$2:$2,0)-MATCH($G$1,[2]stages!$2:$2,0)+1,FALSE)</f>
        <v>27-1. 登山道入口</v>
      </c>
      <c r="I5" s="89">
        <v>4</v>
      </c>
      <c r="J5" s="95">
        <v>60</v>
      </c>
      <c r="K5" s="96">
        <v>60</v>
      </c>
    </row>
    <row r="6" spans="1:11" ht="21" customHeight="1" x14ac:dyDescent="0.15">
      <c r="A6" s="15" t="str">
        <f t="shared" si="0"/>
        <v>15027_2-1</v>
      </c>
      <c r="B6" s="15" t="str">
        <f>IF(COUNTIF(enemy_habitats!$H:$H,A6),"OK","NG")</f>
        <v>OK</v>
      </c>
      <c r="C6" s="7">
        <v>15027</v>
      </c>
      <c r="D6" s="11" t="str">
        <f ca="1">VLOOKUP($C6,OFFSET([2]quests!$A$1,0,0,COUNTA([2]quests!$A:$A),MATCH(D$1,[2]quests!$1:$1,0)-MATCH($C$1,[2]quests!$1:$1,0)+1),MATCH(D$1,[2]quests!$1:$1,0)-MATCH($C$1,[2]quests!$1:$1,0)+1,FALSE)</f>
        <v>27. 雷雨の登山道</v>
      </c>
      <c r="E6" s="17" t="str">
        <f ca="1">VLOOKUP($C6,OFFSET([2]quests!$A$1,0,0,COUNTA([2]quests!$A:$A),MATCH(E$1,[2]quests!$1:$1,0)-MATCH($C$1,[2]quests!$1:$1,0)+1),MATCH(E$1,[2]quests!$1:$1,0)-MATCH($C$1,[2]quests!$1:$1,0)+1,FALSE)</f>
        <v>黄青DL6</v>
      </c>
      <c r="F6" s="90">
        <v>2</v>
      </c>
      <c r="G6" s="19" t="str">
        <f t="shared" si="1"/>
        <v>15027_2</v>
      </c>
      <c r="H6" s="14" t="str">
        <f ca="1">VLOOKUP($G6,OFFSET([2]stages!$A$1,0,0,COUNTA([2]stages!$A:$A),MATCH(H$1,[2]stages!$2:$2,0)-MATCH($G$1,[2]stages!$2:$2,0)+1),MATCH(H$1,[2]stages!$2:$2,0)-MATCH($G$1,[2]stages!$2:$2,0)+1,FALSE)</f>
        <v>27-2. 霊峰の守護者</v>
      </c>
      <c r="I6" s="90">
        <v>1</v>
      </c>
      <c r="J6" s="97">
        <v>45</v>
      </c>
      <c r="K6" s="98">
        <v>60</v>
      </c>
    </row>
    <row r="7" spans="1:11" ht="21" customHeight="1" x14ac:dyDescent="0.15">
      <c r="A7" s="15" t="str">
        <f t="shared" si="0"/>
        <v>15027_2-2</v>
      </c>
      <c r="B7" s="15" t="str">
        <f>IF(COUNTIF(enemy_habitats!$H:$H,A7),"OK","NG")</f>
        <v>OK</v>
      </c>
      <c r="C7" s="7">
        <v>15027</v>
      </c>
      <c r="D7" s="11" t="str">
        <f ca="1">VLOOKUP($C7,OFFSET([2]quests!$A$1,0,0,COUNTA([2]quests!$A:$A),MATCH(D$1,[2]quests!$1:$1,0)-MATCH($C$1,[2]quests!$1:$1,0)+1),MATCH(D$1,[2]quests!$1:$1,0)-MATCH($C$1,[2]quests!$1:$1,0)+1,FALSE)</f>
        <v>27. 雷雨の登山道</v>
      </c>
      <c r="E7" s="17" t="str">
        <f ca="1">VLOOKUP($C7,OFFSET([2]quests!$A$1,0,0,COUNTA([2]quests!$A:$A),MATCH(E$1,[2]quests!$1:$1,0)-MATCH($C$1,[2]quests!$1:$1,0)+1),MATCH(E$1,[2]quests!$1:$1,0)-MATCH($C$1,[2]quests!$1:$1,0)+1,FALSE)</f>
        <v>黄青DL6</v>
      </c>
      <c r="F7" s="88">
        <v>2</v>
      </c>
      <c r="G7" s="19" t="str">
        <f t="shared" si="1"/>
        <v>15027_2</v>
      </c>
      <c r="H7" s="14" t="str">
        <f ca="1">VLOOKUP($G7,OFFSET([2]stages!$A$1,0,0,COUNTA([2]stages!$A:$A),MATCH(H$1,[2]stages!$2:$2,0)-MATCH($G$1,[2]stages!$2:$2,0)+1),MATCH(H$1,[2]stages!$2:$2,0)-MATCH($G$1,[2]stages!$2:$2,0)+1,FALSE)</f>
        <v>27-2. 霊峰の守護者</v>
      </c>
      <c r="I7" s="90">
        <v>2</v>
      </c>
      <c r="J7" s="34">
        <v>45</v>
      </c>
      <c r="K7" s="94">
        <v>60</v>
      </c>
    </row>
    <row r="8" spans="1:11" ht="21" customHeight="1" x14ac:dyDescent="0.15">
      <c r="A8" s="15" t="str">
        <f t="shared" ref="A8" si="4">G8&amp;"-"&amp;I8</f>
        <v>15027_2-3</v>
      </c>
      <c r="B8" s="15" t="str">
        <f>IF(COUNTIF(enemy_habitats!$H:$H,A8),"OK","NG")</f>
        <v>OK</v>
      </c>
      <c r="C8" s="7">
        <v>15027</v>
      </c>
      <c r="D8" s="11" t="str">
        <f ca="1">VLOOKUP($C8,OFFSET([2]quests!$A$1,0,0,COUNTA([2]quests!$A:$A),MATCH(D$1,[2]quests!$1:$1,0)-MATCH($C$1,[2]quests!$1:$1,0)+1),MATCH(D$1,[2]quests!$1:$1,0)-MATCH($C$1,[2]quests!$1:$1,0)+1,FALSE)</f>
        <v>27. 雷雨の登山道</v>
      </c>
      <c r="E8" s="17" t="str">
        <f ca="1">VLOOKUP($C8,OFFSET([2]quests!$A$1,0,0,COUNTA([2]quests!$A:$A),MATCH(E$1,[2]quests!$1:$1,0)-MATCH($C$1,[2]quests!$1:$1,0)+1),MATCH(E$1,[2]quests!$1:$1,0)-MATCH($C$1,[2]quests!$1:$1,0)+1,FALSE)</f>
        <v>黄青DL6</v>
      </c>
      <c r="F8" s="88">
        <v>2</v>
      </c>
      <c r="G8" s="19" t="str">
        <f t="shared" ref="G8" si="5">C8&amp;"_"&amp;F8</f>
        <v>15027_2</v>
      </c>
      <c r="H8" s="14" t="str">
        <f ca="1">VLOOKUP($G8,OFFSET([2]stages!$A$1,0,0,COUNTA([2]stages!$A:$A),MATCH(H$1,[2]stages!$2:$2,0)-MATCH($G$1,[2]stages!$2:$2,0)+1),MATCH(H$1,[2]stages!$2:$2,0)-MATCH($G$1,[2]stages!$2:$2,0)+1,FALSE)</f>
        <v>27-2. 霊峰の守護者</v>
      </c>
      <c r="I8" s="90">
        <v>3</v>
      </c>
      <c r="J8" s="34">
        <v>45</v>
      </c>
      <c r="K8" s="94">
        <v>45</v>
      </c>
    </row>
    <row r="9" spans="1:11" ht="21" customHeight="1" thickBot="1" x14ac:dyDescent="0.2">
      <c r="A9" s="15" t="str">
        <f t="shared" si="0"/>
        <v>15027_2-4</v>
      </c>
      <c r="B9" s="15" t="str">
        <f>IF(COUNTIF(enemy_habitats!$H:$H,A9),"OK","NG")</f>
        <v>OK</v>
      </c>
      <c r="C9" s="7">
        <v>15027</v>
      </c>
      <c r="D9" s="11" t="str">
        <f ca="1">VLOOKUP($C9,OFFSET([2]quests!$A$1,0,0,COUNTA([2]quests!$A:$A),MATCH(D$1,[2]quests!$1:$1,0)-MATCH($C$1,[2]quests!$1:$1,0)+1),MATCH(D$1,[2]quests!$1:$1,0)-MATCH($C$1,[2]quests!$1:$1,0)+1,FALSE)</f>
        <v>27. 雷雨の登山道</v>
      </c>
      <c r="E9" s="17" t="str">
        <f ca="1">VLOOKUP($C9,OFFSET([2]quests!$A$1,0,0,COUNTA([2]quests!$A:$A),MATCH(E$1,[2]quests!$1:$1,0)-MATCH($C$1,[2]quests!$1:$1,0)+1),MATCH(E$1,[2]quests!$1:$1,0)-MATCH($C$1,[2]quests!$1:$1,0)+1,FALSE)</f>
        <v>黄青DL6</v>
      </c>
      <c r="F9" s="91">
        <v>2</v>
      </c>
      <c r="G9" s="19" t="str">
        <f t="shared" si="1"/>
        <v>15027_2</v>
      </c>
      <c r="H9" s="14" t="str">
        <f ca="1">VLOOKUP($G9,OFFSET([2]stages!$A$1,0,0,COUNTA([2]stages!$A:$A),MATCH(H$1,[2]stages!$2:$2,0)-MATCH($G$1,[2]stages!$2:$2,0)+1),MATCH(H$1,[2]stages!$2:$2,0)-MATCH($G$1,[2]stages!$2:$2,0)+1,FALSE)</f>
        <v>27-2. 霊峰の守護者</v>
      </c>
      <c r="I9" s="90">
        <v>4</v>
      </c>
      <c r="J9" s="99">
        <v>60</v>
      </c>
      <c r="K9" s="100">
        <v>60</v>
      </c>
    </row>
    <row r="10" spans="1:11" ht="21" customHeight="1" x14ac:dyDescent="0.15">
      <c r="A10" s="15" t="str">
        <f t="shared" si="0"/>
        <v>15027_3-1</v>
      </c>
      <c r="B10" s="15" t="str">
        <f>IF(COUNTIF(enemy_habitats!$H:$H,A10),"OK","NG")</f>
        <v>OK</v>
      </c>
      <c r="C10" s="7">
        <v>15027</v>
      </c>
      <c r="D10" s="11" t="str">
        <f ca="1">VLOOKUP($C10,OFFSET([2]quests!$A$1,0,0,COUNTA([2]quests!$A:$A),MATCH(D$1,[2]quests!$1:$1,0)-MATCH($C$1,[2]quests!$1:$1,0)+1),MATCH(D$1,[2]quests!$1:$1,0)-MATCH($C$1,[2]quests!$1:$1,0)+1,FALSE)</f>
        <v>27. 雷雨の登山道</v>
      </c>
      <c r="E10" s="17" t="str">
        <f ca="1">VLOOKUP($C10,OFFSET([2]quests!$A$1,0,0,COUNTA([2]quests!$A:$A),MATCH(E$1,[2]quests!$1:$1,0)-MATCH($C$1,[2]quests!$1:$1,0)+1),MATCH(E$1,[2]quests!$1:$1,0)-MATCH($C$1,[2]quests!$1:$1,0)+1,FALSE)</f>
        <v>黄青DL6</v>
      </c>
      <c r="F10" s="87">
        <v>3</v>
      </c>
      <c r="G10" s="19" t="str">
        <f t="shared" si="1"/>
        <v>15027_3</v>
      </c>
      <c r="H10" s="14" t="str">
        <f ca="1">VLOOKUP($G10,OFFSET([2]stages!$A$1,0,0,COUNTA([2]stages!$A:$A),MATCH(H$1,[2]stages!$2:$2,0)-MATCH($G$1,[2]stages!$2:$2,0)+1),MATCH(H$1,[2]stages!$2:$2,0)-MATCH($G$1,[2]stages!$2:$2,0)+1,FALSE)</f>
        <v>27-3. 山岳の王者</v>
      </c>
      <c r="I10" s="87">
        <v>1</v>
      </c>
      <c r="J10" s="92">
        <v>60</v>
      </c>
      <c r="K10" s="93">
        <v>60</v>
      </c>
    </row>
    <row r="11" spans="1:11" ht="21" customHeight="1" x14ac:dyDescent="0.15">
      <c r="A11" s="15" t="str">
        <f t="shared" si="0"/>
        <v>15027_3-2</v>
      </c>
      <c r="B11" s="15" t="str">
        <f>IF(COUNTIF(enemy_habitats!$H:$H,A11),"OK","NG")</f>
        <v>OK</v>
      </c>
      <c r="C11" s="7">
        <v>15027</v>
      </c>
      <c r="D11" s="11" t="str">
        <f ca="1">VLOOKUP($C11,OFFSET([2]quests!$A$1,0,0,COUNTA([2]quests!$A:$A),MATCH(D$1,[2]quests!$1:$1,0)-MATCH($C$1,[2]quests!$1:$1,0)+1),MATCH(D$1,[2]quests!$1:$1,0)-MATCH($C$1,[2]quests!$1:$1,0)+1,FALSE)</f>
        <v>27. 雷雨の登山道</v>
      </c>
      <c r="E11" s="17" t="str">
        <f ca="1">VLOOKUP($C11,OFFSET([2]quests!$A$1,0,0,COUNTA([2]quests!$A:$A),MATCH(E$1,[2]quests!$1:$1,0)-MATCH($C$1,[2]quests!$1:$1,0)+1),MATCH(E$1,[2]quests!$1:$1,0)-MATCH($C$1,[2]quests!$1:$1,0)+1,FALSE)</f>
        <v>黄青DL6</v>
      </c>
      <c r="F11" s="88">
        <v>3</v>
      </c>
      <c r="G11" s="19" t="str">
        <f t="shared" si="1"/>
        <v>15027_3</v>
      </c>
      <c r="H11" s="14" t="str">
        <f ca="1">VLOOKUP($G11,OFFSET([2]stages!$A$1,0,0,COUNTA([2]stages!$A:$A),MATCH(H$1,[2]stages!$2:$2,0)-MATCH($G$1,[2]stages!$2:$2,0)+1),MATCH(H$1,[2]stages!$2:$2,0)-MATCH($G$1,[2]stages!$2:$2,0)+1,FALSE)</f>
        <v>27-3. 山岳の王者</v>
      </c>
      <c r="I11" s="88">
        <v>2</v>
      </c>
      <c r="J11" s="34">
        <v>45</v>
      </c>
      <c r="K11" s="94">
        <v>45</v>
      </c>
    </row>
    <row r="12" spans="1:11" ht="21" customHeight="1" x14ac:dyDescent="0.15">
      <c r="A12" s="15" t="str">
        <f t="shared" si="0"/>
        <v>15027_3-3</v>
      </c>
      <c r="B12" s="15" t="str">
        <f>IF(COUNTIF(enemy_habitats!$H:$H,A12),"OK","NG")</f>
        <v>OK</v>
      </c>
      <c r="C12" s="7">
        <v>15027</v>
      </c>
      <c r="D12" s="11" t="str">
        <f ca="1">VLOOKUP($C12,OFFSET([2]quests!$A$1,0,0,COUNTA([2]quests!$A:$A),MATCH(D$1,[2]quests!$1:$1,0)-MATCH($C$1,[2]quests!$1:$1,0)+1),MATCH(D$1,[2]quests!$1:$1,0)-MATCH($C$1,[2]quests!$1:$1,0)+1,FALSE)</f>
        <v>27. 雷雨の登山道</v>
      </c>
      <c r="E12" s="17" t="str">
        <f ca="1">VLOOKUP($C12,OFFSET([2]quests!$A$1,0,0,COUNTA([2]quests!$A:$A),MATCH(E$1,[2]quests!$1:$1,0)-MATCH($C$1,[2]quests!$1:$1,0)+1),MATCH(E$1,[2]quests!$1:$1,0)-MATCH($C$1,[2]quests!$1:$1,0)+1,FALSE)</f>
        <v>黄青DL6</v>
      </c>
      <c r="F12" s="88">
        <v>3</v>
      </c>
      <c r="G12" s="19" t="str">
        <f t="shared" si="1"/>
        <v>15027_3</v>
      </c>
      <c r="H12" s="14" t="str">
        <f ca="1">VLOOKUP($G12,OFFSET([2]stages!$A$1,0,0,COUNTA([2]stages!$A:$A),MATCH(H$1,[2]stages!$2:$2,0)-MATCH($G$1,[2]stages!$2:$2,0)+1),MATCH(H$1,[2]stages!$2:$2,0)-MATCH($G$1,[2]stages!$2:$2,0)+1,FALSE)</f>
        <v>27-3. 山岳の王者</v>
      </c>
      <c r="I12" s="88">
        <v>3</v>
      </c>
      <c r="J12" s="34">
        <v>60</v>
      </c>
      <c r="K12" s="94">
        <v>60</v>
      </c>
    </row>
    <row r="13" spans="1:11" ht="21" customHeight="1" thickBot="1" x14ac:dyDescent="0.2">
      <c r="A13" s="15" t="str">
        <f t="shared" si="0"/>
        <v>15027_3-4</v>
      </c>
      <c r="B13" s="15" t="str">
        <f>IF(COUNTIF(enemy_habitats!$H:$H,A13),"OK","NG")</f>
        <v>OK</v>
      </c>
      <c r="C13" s="7">
        <v>15027</v>
      </c>
      <c r="D13" s="11" t="str">
        <f ca="1">VLOOKUP($C13,OFFSET([2]quests!$A$1,0,0,COUNTA([2]quests!$A:$A),MATCH(D$1,[2]quests!$1:$1,0)-MATCH($C$1,[2]quests!$1:$1,0)+1),MATCH(D$1,[2]quests!$1:$1,0)-MATCH($C$1,[2]quests!$1:$1,0)+1,FALSE)</f>
        <v>27. 雷雨の登山道</v>
      </c>
      <c r="E13" s="17" t="str">
        <f ca="1">VLOOKUP($C13,OFFSET([2]quests!$A$1,0,0,COUNTA([2]quests!$A:$A),MATCH(E$1,[2]quests!$1:$1,0)-MATCH($C$1,[2]quests!$1:$1,0)+1),MATCH(E$1,[2]quests!$1:$1,0)-MATCH($C$1,[2]quests!$1:$1,0)+1,FALSE)</f>
        <v>黄青DL6</v>
      </c>
      <c r="F13" s="89">
        <v>3</v>
      </c>
      <c r="G13" s="19" t="str">
        <f t="shared" si="1"/>
        <v>15027_3</v>
      </c>
      <c r="H13" s="14" t="str">
        <f ca="1">VLOOKUP($G13,OFFSET([2]stages!$A$1,0,0,COUNTA([2]stages!$A:$A),MATCH(H$1,[2]stages!$2:$2,0)-MATCH($G$1,[2]stages!$2:$2,0)+1),MATCH(H$1,[2]stages!$2:$2,0)-MATCH($G$1,[2]stages!$2:$2,0)+1,FALSE)</f>
        <v>27-3. 山岳の王者</v>
      </c>
      <c r="I13" s="89">
        <v>4</v>
      </c>
      <c r="J13" s="95">
        <v>60</v>
      </c>
      <c r="K13" s="96">
        <v>60</v>
      </c>
    </row>
    <row r="14" spans="1:11" ht="21" customHeight="1" x14ac:dyDescent="0.15">
      <c r="A14" s="15" t="str">
        <f t="shared" si="0"/>
        <v>15027_4-1</v>
      </c>
      <c r="B14" s="15" t="str">
        <f>IF(COUNTIF(enemy_habitats!$H:$H,A14),"OK","NG")</f>
        <v>OK</v>
      </c>
      <c r="C14" s="7">
        <v>15027</v>
      </c>
      <c r="D14" s="11" t="str">
        <f ca="1">VLOOKUP($C14,OFFSET([2]quests!$A$1,0,0,COUNTA([2]quests!$A:$A),MATCH(D$1,[2]quests!$1:$1,0)-MATCH($C$1,[2]quests!$1:$1,0)+1),MATCH(D$1,[2]quests!$1:$1,0)-MATCH($C$1,[2]quests!$1:$1,0)+1,FALSE)</f>
        <v>27. 雷雨の登山道</v>
      </c>
      <c r="E14" s="17" t="str">
        <f ca="1">VLOOKUP($C14,OFFSET([2]quests!$A$1,0,0,COUNTA([2]quests!$A:$A),MATCH(E$1,[2]quests!$1:$1,0)-MATCH($C$1,[2]quests!$1:$1,0)+1),MATCH(E$1,[2]quests!$1:$1,0)-MATCH($C$1,[2]quests!$1:$1,0)+1,FALSE)</f>
        <v>黄青DL6</v>
      </c>
      <c r="F14" s="90">
        <v>4</v>
      </c>
      <c r="G14" s="19" t="str">
        <f t="shared" si="1"/>
        <v>15027_4</v>
      </c>
      <c r="H14" s="14" t="str">
        <f ca="1">VLOOKUP($G14,OFFSET([2]stages!$A$1,0,0,COUNTA([2]stages!$A:$A),MATCH(H$1,[2]stages!$2:$2,0)-MATCH($G$1,[2]stages!$2:$2,0)+1),MATCH(H$1,[2]stages!$2:$2,0)-MATCH($G$1,[2]stages!$2:$2,0)+1,FALSE)</f>
        <v>27-4. 【1回のみ】ボーナスステージ</v>
      </c>
      <c r="I14" s="90">
        <v>1</v>
      </c>
      <c r="J14" s="97">
        <v>60</v>
      </c>
      <c r="K14" s="98">
        <v>60</v>
      </c>
    </row>
    <row r="15" spans="1:11" ht="21" customHeight="1" x14ac:dyDescent="0.15">
      <c r="A15" s="15" t="str">
        <f t="shared" si="0"/>
        <v>15027_4-2</v>
      </c>
      <c r="B15" s="15" t="str">
        <f>IF(COUNTIF(enemy_habitats!$H:$H,A15),"OK","NG")</f>
        <v>OK</v>
      </c>
      <c r="C15" s="7">
        <v>15027</v>
      </c>
      <c r="D15" s="11" t="str">
        <f ca="1">VLOOKUP($C15,OFFSET([2]quests!$A$1,0,0,COUNTA([2]quests!$A:$A),MATCH(D$1,[2]quests!$1:$1,0)-MATCH($C$1,[2]quests!$1:$1,0)+1),MATCH(D$1,[2]quests!$1:$1,0)-MATCH($C$1,[2]quests!$1:$1,0)+1,FALSE)</f>
        <v>27. 雷雨の登山道</v>
      </c>
      <c r="E15" s="17" t="str">
        <f ca="1">VLOOKUP($C15,OFFSET([2]quests!$A$1,0,0,COUNTA([2]quests!$A:$A),MATCH(E$1,[2]quests!$1:$1,0)-MATCH($C$1,[2]quests!$1:$1,0)+1),MATCH(E$1,[2]quests!$1:$1,0)-MATCH($C$1,[2]quests!$1:$1,0)+1,FALSE)</f>
        <v>黄青DL6</v>
      </c>
      <c r="F15" s="88">
        <v>4</v>
      </c>
      <c r="G15" s="19" t="str">
        <f t="shared" si="1"/>
        <v>15027_4</v>
      </c>
      <c r="H15" s="14" t="str">
        <f ca="1">VLOOKUP($G15,OFFSET([2]stages!$A$1,0,0,COUNTA([2]stages!$A:$A),MATCH(H$1,[2]stages!$2:$2,0)-MATCH($G$1,[2]stages!$2:$2,0)+1),MATCH(H$1,[2]stages!$2:$2,0)-MATCH($G$1,[2]stages!$2:$2,0)+1,FALSE)</f>
        <v>27-4. 【1回のみ】ボーナスステージ</v>
      </c>
      <c r="I15" s="88">
        <v>2</v>
      </c>
      <c r="J15" s="34">
        <v>60</v>
      </c>
      <c r="K15" s="94">
        <v>60</v>
      </c>
    </row>
    <row r="16" spans="1:11" ht="21" customHeight="1" x14ac:dyDescent="0.15">
      <c r="A16" s="15" t="str">
        <f t="shared" si="0"/>
        <v>15027_4-3</v>
      </c>
      <c r="B16" s="15" t="str">
        <f>IF(COUNTIF(enemy_habitats!$H:$H,A16),"OK","NG")</f>
        <v>OK</v>
      </c>
      <c r="C16" s="7">
        <v>15027</v>
      </c>
      <c r="D16" s="11" t="str">
        <f ca="1">VLOOKUP($C16,OFFSET([2]quests!$A$1,0,0,COUNTA([2]quests!$A:$A),MATCH(D$1,[2]quests!$1:$1,0)-MATCH($C$1,[2]quests!$1:$1,0)+1),MATCH(D$1,[2]quests!$1:$1,0)-MATCH($C$1,[2]quests!$1:$1,0)+1,FALSE)</f>
        <v>27. 雷雨の登山道</v>
      </c>
      <c r="E16" s="17" t="str">
        <f ca="1">VLOOKUP($C16,OFFSET([2]quests!$A$1,0,0,COUNTA([2]quests!$A:$A),MATCH(E$1,[2]quests!$1:$1,0)-MATCH($C$1,[2]quests!$1:$1,0)+1),MATCH(E$1,[2]quests!$1:$1,0)-MATCH($C$1,[2]quests!$1:$1,0)+1,FALSE)</f>
        <v>黄青DL6</v>
      </c>
      <c r="F16" s="88">
        <v>4</v>
      </c>
      <c r="G16" s="19" t="str">
        <f t="shared" si="1"/>
        <v>15027_4</v>
      </c>
      <c r="H16" s="14" t="str">
        <f ca="1">VLOOKUP($G16,OFFSET([2]stages!$A$1,0,0,COUNTA([2]stages!$A:$A),MATCH(H$1,[2]stages!$2:$2,0)-MATCH($G$1,[2]stages!$2:$2,0)+1),MATCH(H$1,[2]stages!$2:$2,0)-MATCH($G$1,[2]stages!$2:$2,0)+1,FALSE)</f>
        <v>27-4. 【1回のみ】ボーナスステージ</v>
      </c>
      <c r="I16" s="88">
        <v>3</v>
      </c>
      <c r="J16" s="34">
        <v>60</v>
      </c>
      <c r="K16" s="94">
        <v>60</v>
      </c>
    </row>
    <row r="17" spans="1:11" ht="21" customHeight="1" x14ac:dyDescent="0.15">
      <c r="A17" s="15" t="str">
        <f t="shared" si="0"/>
        <v>15027_4-4</v>
      </c>
      <c r="B17" s="15" t="str">
        <f>IF(COUNTIF(enemy_habitats!$H:$H,A17),"OK","NG")</f>
        <v>OK</v>
      </c>
      <c r="C17" s="7">
        <v>15027</v>
      </c>
      <c r="D17" s="11" t="str">
        <f ca="1">VLOOKUP($C17,OFFSET([2]quests!$A$1,0,0,COUNTA([2]quests!$A:$A),MATCH(D$1,[2]quests!$1:$1,0)-MATCH($C$1,[2]quests!$1:$1,0)+1),MATCH(D$1,[2]quests!$1:$1,0)-MATCH($C$1,[2]quests!$1:$1,0)+1,FALSE)</f>
        <v>27. 雷雨の登山道</v>
      </c>
      <c r="E17" s="17" t="str">
        <f ca="1">VLOOKUP($C17,OFFSET([2]quests!$A$1,0,0,COUNTA([2]quests!$A:$A),MATCH(E$1,[2]quests!$1:$1,0)-MATCH($C$1,[2]quests!$1:$1,0)+1),MATCH(E$1,[2]quests!$1:$1,0)-MATCH($C$1,[2]quests!$1:$1,0)+1,FALSE)</f>
        <v>黄青DL6</v>
      </c>
      <c r="F17" s="88">
        <v>4</v>
      </c>
      <c r="G17" s="19" t="str">
        <f t="shared" si="1"/>
        <v>15027_4</v>
      </c>
      <c r="H17" s="14" t="str">
        <f ca="1">VLOOKUP($G17,OFFSET([2]stages!$A$1,0,0,COUNTA([2]stages!$A:$A),MATCH(H$1,[2]stages!$2:$2,0)-MATCH($G$1,[2]stages!$2:$2,0)+1),MATCH(H$1,[2]stages!$2:$2,0)-MATCH($G$1,[2]stages!$2:$2,0)+1,FALSE)</f>
        <v>27-4. 【1回のみ】ボーナスステージ</v>
      </c>
      <c r="I17" s="88">
        <v>4</v>
      </c>
      <c r="J17" s="34">
        <v>60</v>
      </c>
      <c r="K17" s="94">
        <v>60</v>
      </c>
    </row>
    <row r="18" spans="1:11" ht="21" customHeight="1" thickBot="1" x14ac:dyDescent="0.2">
      <c r="A18" s="15" t="str">
        <f t="shared" si="0"/>
        <v>15027_4-5</v>
      </c>
      <c r="B18" s="15" t="str">
        <f>IF(COUNTIF(enemy_habitats!$H:$H,A18),"OK","NG")</f>
        <v>OK</v>
      </c>
      <c r="C18" s="7">
        <v>15027</v>
      </c>
      <c r="D18" s="11" t="str">
        <f ca="1">VLOOKUP($C18,OFFSET([2]quests!$A$1,0,0,COUNTA([2]quests!$A:$A),MATCH(D$1,[2]quests!$1:$1,0)-MATCH($C$1,[2]quests!$1:$1,0)+1),MATCH(D$1,[2]quests!$1:$1,0)-MATCH($C$1,[2]quests!$1:$1,0)+1,FALSE)</f>
        <v>27. 雷雨の登山道</v>
      </c>
      <c r="E18" s="17" t="str">
        <f ca="1">VLOOKUP($C18,OFFSET([2]quests!$A$1,0,0,COUNTA([2]quests!$A:$A),MATCH(E$1,[2]quests!$1:$1,0)-MATCH($C$1,[2]quests!$1:$1,0)+1),MATCH(E$1,[2]quests!$1:$1,0)-MATCH($C$1,[2]quests!$1:$1,0)+1,FALSE)</f>
        <v>黄青DL6</v>
      </c>
      <c r="F18" s="89">
        <v>4</v>
      </c>
      <c r="G18" s="19" t="str">
        <f t="shared" si="1"/>
        <v>15027_4</v>
      </c>
      <c r="H18" s="14" t="str">
        <f ca="1">VLOOKUP($G18,OFFSET([2]stages!$A$1,0,0,COUNTA([2]stages!$A:$A),MATCH(H$1,[2]stages!$2:$2,0)-MATCH($G$1,[2]stages!$2:$2,0)+1),MATCH(H$1,[2]stages!$2:$2,0)-MATCH($G$1,[2]stages!$2:$2,0)+1,FALSE)</f>
        <v>27-4. 【1回のみ】ボーナスステージ</v>
      </c>
      <c r="I18" s="89">
        <v>5</v>
      </c>
      <c r="J18" s="95">
        <v>60</v>
      </c>
      <c r="K18" s="96">
        <v>60</v>
      </c>
    </row>
  </sheetData>
  <sheetProtection selectLockedCells="1" selectUnlockedCells="1"/>
  <phoneticPr fontId="6"/>
  <pageMargins left="0.74791666666666667" right="0.74791666666666667" top="0.98402777777777772" bottom="0.98402777777777772" header="0.51180555555555551" footer="0.5118055555555555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BD135"/>
  <sheetViews>
    <sheetView showGridLines="0" tabSelected="1" workbookViewId="0">
      <selection activeCell="AF12" sqref="AF12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20.16406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202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2" bestFit="1" customWidth="1" outlineLevel="1"/>
    <col min="30" max="30" width="8" style="13" bestFit="1" customWidth="1" outlineLevel="1"/>
    <col min="31" max="31" width="12" style="13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40" width="13" style="3"/>
    <col min="41" max="56" width="13" style="172"/>
    <col min="57" max="16384" width="13" style="3"/>
  </cols>
  <sheetData>
    <row r="1" spans="1:56" s="31" customFormat="1" ht="21" customHeight="1" x14ac:dyDescent="0.15">
      <c r="A1" s="23" t="s">
        <v>29</v>
      </c>
      <c r="B1" s="24" t="s">
        <v>0</v>
      </c>
      <c r="C1" s="24" t="s">
        <v>1</v>
      </c>
      <c r="D1" s="25" t="s">
        <v>28</v>
      </c>
      <c r="E1" s="26" t="s">
        <v>20</v>
      </c>
      <c r="F1" s="26" t="s">
        <v>20</v>
      </c>
      <c r="G1" s="24" t="s">
        <v>19</v>
      </c>
      <c r="H1" s="25" t="s">
        <v>35</v>
      </c>
      <c r="I1" s="25" t="s">
        <v>14</v>
      </c>
      <c r="J1" s="25" t="s">
        <v>15</v>
      </c>
      <c r="K1" s="32" t="s">
        <v>54</v>
      </c>
      <c r="L1" s="33" t="s">
        <v>2</v>
      </c>
      <c r="M1" s="27" t="s">
        <v>21</v>
      </c>
      <c r="N1" s="25" t="s">
        <v>24</v>
      </c>
      <c r="O1" s="25" t="s">
        <v>23</v>
      </c>
      <c r="P1" s="28" t="s">
        <v>26</v>
      </c>
      <c r="Q1" s="26" t="s">
        <v>25</v>
      </c>
      <c r="R1" s="24" t="s">
        <v>3</v>
      </c>
      <c r="S1" s="22" t="s">
        <v>48</v>
      </c>
      <c r="T1" s="22" t="s">
        <v>50</v>
      </c>
      <c r="U1" s="22" t="s">
        <v>52</v>
      </c>
      <c r="V1" s="25" t="s">
        <v>31</v>
      </c>
      <c r="W1" s="196" t="s">
        <v>4</v>
      </c>
      <c r="X1" s="24" t="s">
        <v>5</v>
      </c>
      <c r="Y1" s="24" t="s">
        <v>6</v>
      </c>
      <c r="Z1" s="24" t="s">
        <v>7</v>
      </c>
      <c r="AA1" s="24" t="s">
        <v>8</v>
      </c>
      <c r="AB1" s="29" t="s">
        <v>9</v>
      </c>
      <c r="AC1" s="30" t="s">
        <v>16</v>
      </c>
      <c r="AD1" s="30" t="s">
        <v>17</v>
      </c>
      <c r="AE1" s="30" t="s">
        <v>27</v>
      </c>
      <c r="AF1" s="29" t="s">
        <v>10</v>
      </c>
      <c r="AG1" s="24" t="s">
        <v>11</v>
      </c>
      <c r="AH1" s="24" t="s">
        <v>12</v>
      </c>
      <c r="AI1" s="24" t="s">
        <v>38</v>
      </c>
      <c r="AJ1" s="24" t="s">
        <v>40</v>
      </c>
      <c r="AK1" s="24" t="s">
        <v>42</v>
      </c>
      <c r="AL1" s="24" t="s">
        <v>44</v>
      </c>
      <c r="AM1" s="24" t="s">
        <v>46</v>
      </c>
      <c r="AN1" s="203" t="s">
        <v>180</v>
      </c>
      <c r="AO1" s="208"/>
      <c r="AP1" s="208"/>
      <c r="AQ1" s="208"/>
      <c r="AR1" s="208"/>
      <c r="AS1" s="208"/>
      <c r="AT1" s="208"/>
      <c r="AU1" s="208"/>
      <c r="AV1" s="208"/>
      <c r="AW1" s="208"/>
      <c r="AX1" s="208"/>
      <c r="AY1" s="208"/>
      <c r="AZ1" s="208"/>
      <c r="BA1" s="208"/>
      <c r="BB1" s="208"/>
      <c r="BC1" s="208"/>
      <c r="BD1" s="208"/>
    </row>
    <row r="2" spans="1:56" ht="21" customHeight="1" x14ac:dyDescent="0.15">
      <c r="A2" s="15" t="str">
        <f t="shared" ref="A2:A11" ca="1" si="0">B2&amp;"_"&amp;C2&amp;"-"&amp;G2&amp;"/"&amp;L2&amp;"&lt;lv"&amp;R2&amp;"&gt;s"&amp;AA2</f>
        <v>15027_1-1/14&lt;lv52&gt;s2</v>
      </c>
      <c r="B2" s="101">
        <v>15027</v>
      </c>
      <c r="C2" s="102">
        <v>1</v>
      </c>
      <c r="D2" s="2" t="str">
        <f t="shared" ref="D2:D11" si="1">B2&amp;"_"&amp;C2</f>
        <v>15027_1</v>
      </c>
      <c r="E2" s="4" t="str">
        <f ca="1">VLOOKUP($B2,OFFSET([2]quests!$A$1,0,0,COUNTA([2]quests!$A:$A),MATCH(E$1,[2]quests!$1:$1,0)-MATCH($B$1,[2]quests!$1:$1,0)+1),MATCH(E$1,[2]quests!$1:$1,0)-MATCH($B$1,[2]quests!$1:$1,0)+1,FALSE)</f>
        <v>27. 雷雨の登山道</v>
      </c>
      <c r="F2" s="4" t="str">
        <f ca="1">VLOOKUP($D2,OFFSET([2]stages!$A$1,0,0,COUNTA([2]stages!$A:$A),MATCH(F$1,[2]stages!$2:$2,0)-MATCH($D$1,[2]stages!$2:$2,0)+1),MATCH(F$1,[2]stages!$2:$2,0)-MATCH($D$1,[2]stages!$2:$2,0)+1,FALSE)</f>
        <v>27-1. 登山道入口</v>
      </c>
      <c r="G2" s="102">
        <v>1</v>
      </c>
      <c r="H2" s="14" t="str">
        <f t="shared" ref="H2:H11" si="2">B2&amp;"_"&amp;C2&amp;"-"&amp;G2</f>
        <v>15027_1-1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55</v>
      </c>
      <c r="K2" s="34" t="s">
        <v>53</v>
      </c>
      <c r="L2" s="115">
        <v>14</v>
      </c>
      <c r="M2" s="16" t="str">
        <f ca="1">VLOOKUP($L2,OFFSET([3]enemies!$A$1,0,0,COUNTA([3]enemies!$A:$A),MATCH(M$1,[3]enemies!$1:$1,0)-MATCH($L$1,[3]enemies!$1:$1,0)+1),MATCH(M$1,[3]enemies!$1:$1,0)-MATCH($L$1,[3]enemies!$1:$1,0)+1,FALSE)</f>
        <v>ミミ・ザ・ガンマンキャット</v>
      </c>
      <c r="N2" s="16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Drop1W</v>
      </c>
      <c r="P2" s="16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6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52</v>
      </c>
      <c r="S2" s="135">
        <v>1.2</v>
      </c>
      <c r="T2" s="135">
        <v>1</v>
      </c>
      <c r="U2" s="5">
        <v>0</v>
      </c>
      <c r="V2" s="4" t="e">
        <f ca="1">VLOOKUP($W2,OFFSET(enemy_skill_sets!$B$1,0,0,COUNTA(enemy_skill_sets!$B:$B),MATCH(M$1,enemy_skill_sets!$1:$1,0)-MATCH($W$1,enemy_skill_sets!$1:$1,0)+2),MATCH(M$1,enemy_skill_sets!$1:$1,0)-MATCH($W$1,enemy_skill_sets!$1:$1,0)+2,FALSE)</f>
        <v>#N/A</v>
      </c>
      <c r="W2" s="197">
        <v>0</v>
      </c>
      <c r="X2" s="137">
        <v>0</v>
      </c>
      <c r="Y2" s="137">
        <v>100</v>
      </c>
      <c r="Z2" s="137">
        <v>0</v>
      </c>
      <c r="AA2" s="16">
        <f ca="1">VLOOKUP($L2,OFFSET([3]enemies!$A$1,0,0,COUNTA([3]enemies!$A:$A),MATCH(AA$1,[3]enemies!$1:$1,0)-MATCH($L$1,[3]enemies!$1:$1,0)+1),MATCH(AA$1,[3]enemies!$1:$1,0)-MATCH($L$1,[3]enemies!$1:$1,0)+1,FALSE)</f>
        <v>2</v>
      </c>
      <c r="AB2" s="20">
        <f t="shared" ref="AB2:AB11" si="3">L2</f>
        <v>14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ミミ・ザ・ガンマンキャット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Drop1W</v>
      </c>
      <c r="AF2" s="125">
        <v>1</v>
      </c>
      <c r="AG2" s="20">
        <f t="shared" ref="AG2:AG11" ca="1" si="4">AD2</f>
        <v>2</v>
      </c>
      <c r="AH2" s="8">
        <v>20</v>
      </c>
      <c r="AI2" s="125">
        <v>0</v>
      </c>
      <c r="AJ2" s="125">
        <v>0</v>
      </c>
      <c r="AK2" s="125">
        <v>0</v>
      </c>
      <c r="AL2" s="125">
        <v>0</v>
      </c>
      <c r="AM2" s="125">
        <v>1</v>
      </c>
      <c r="AN2" s="204">
        <v>1</v>
      </c>
    </row>
    <row r="3" spans="1:56" ht="21" customHeight="1" x14ac:dyDescent="0.15">
      <c r="A3" s="15" t="str">
        <f t="shared" si="0"/>
        <v>15027_1-1/18&lt;lv52&gt;s2</v>
      </c>
      <c r="B3" s="101">
        <v>15027</v>
      </c>
      <c r="C3" s="102">
        <v>1</v>
      </c>
      <c r="D3" s="2" t="str">
        <f t="shared" si="1"/>
        <v>15027_1</v>
      </c>
      <c r="E3" s="4" t="str">
        <f ca="1">VLOOKUP($B3,OFFSET([2]quests!$A$1,0,0,COUNTA([2]quests!$A:$A),MATCH(E$1,[2]quests!$1:$1,0)-MATCH($B$1,[2]quests!$1:$1,0)+1),MATCH(E$1,[2]quests!$1:$1,0)-MATCH($B$1,[2]quests!$1:$1,0)+1,FALSE)</f>
        <v>27. 雷雨の登山道</v>
      </c>
      <c r="F3" s="4" t="str">
        <f ca="1">VLOOKUP($D3,OFFSET([2]stages!$A$1,0,0,COUNTA([2]stages!$A:$A),MATCH(F$1,[2]stages!$2:$2,0)-MATCH($D$1,[2]stages!$2:$2,0)+1),MATCH(F$1,[2]stages!$2:$2,0)-MATCH($D$1,[2]stages!$2:$2,0)+1,FALSE)</f>
        <v>27-1. 登山道入口</v>
      </c>
      <c r="G3" s="102">
        <v>1</v>
      </c>
      <c r="H3" s="14" t="str">
        <f t="shared" si="2"/>
        <v>15027_1-1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55</v>
      </c>
      <c r="K3" s="34" t="s">
        <v>53</v>
      </c>
      <c r="L3" s="115">
        <v>18</v>
      </c>
      <c r="M3" s="16" t="str">
        <f ca="1">VLOOKUP($L3,OFFSET([3]enemies!$A$1,0,0,COUNTA([3]enemies!$A:$A),MATCH(M$1,[3]enemies!$1:$1,0)-MATCH($L$1,[3]enemies!$1:$1,0)+1),MATCH(M$1,[3]enemies!$1:$1,0)-MATCH($L$1,[3]enemies!$1:$1,0)+1,FALSE)</f>
        <v>戦闘案内人 リム</v>
      </c>
      <c r="N3" s="16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Drop1W</v>
      </c>
      <c r="P3" s="16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6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52</v>
      </c>
      <c r="S3" s="135">
        <v>1.2</v>
      </c>
      <c r="T3" s="135">
        <v>1</v>
      </c>
      <c r="U3" s="5">
        <v>0</v>
      </c>
      <c r="V3" s="4" t="e">
        <f ca="1">VLOOKUP($W3,OFFSET(enemy_skill_sets!$B$1,0,0,COUNTA(enemy_skill_sets!$B:$B),MATCH(M$1,enemy_skill_sets!$1:$1,0)-MATCH($W$1,enemy_skill_sets!$1:$1,0)+2),MATCH(M$1,enemy_skill_sets!$1:$1,0)-MATCH($W$1,enemy_skill_sets!$1:$1,0)+2,FALSE)</f>
        <v>#N/A</v>
      </c>
      <c r="W3" s="197">
        <v>0</v>
      </c>
      <c r="X3" s="137">
        <v>0</v>
      </c>
      <c r="Y3" s="137">
        <v>100</v>
      </c>
      <c r="Z3" s="137">
        <v>0</v>
      </c>
      <c r="AA3" s="134">
        <v>2</v>
      </c>
      <c r="AB3" s="20">
        <f t="shared" si="3"/>
        <v>18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戦闘案内人 リム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Drop1W</v>
      </c>
      <c r="AF3" s="125">
        <v>1</v>
      </c>
      <c r="AG3" s="20">
        <f t="shared" ca="1" si="4"/>
        <v>2</v>
      </c>
      <c r="AH3" s="8">
        <v>20</v>
      </c>
      <c r="AI3" s="125">
        <v>0</v>
      </c>
      <c r="AJ3" s="125">
        <v>0</v>
      </c>
      <c r="AK3" s="125">
        <v>0</v>
      </c>
      <c r="AL3" s="125">
        <v>0</v>
      </c>
      <c r="AM3" s="125">
        <v>1</v>
      </c>
      <c r="AN3" s="204">
        <v>1</v>
      </c>
    </row>
    <row r="4" spans="1:56" ht="21" customHeight="1" x14ac:dyDescent="0.15">
      <c r="A4" s="15" t="str">
        <f t="shared" si="0"/>
        <v>15027_1-1/62&lt;lv52&gt;s2</v>
      </c>
      <c r="B4" s="101">
        <v>15027</v>
      </c>
      <c r="C4" s="102">
        <v>1</v>
      </c>
      <c r="D4" s="2" t="str">
        <f t="shared" si="1"/>
        <v>15027_1</v>
      </c>
      <c r="E4" s="4" t="str">
        <f ca="1">VLOOKUP($B4,OFFSET([2]quests!$A$1,0,0,COUNTA([2]quests!$A:$A),MATCH(E$1,[2]quests!$1:$1,0)-MATCH($B$1,[2]quests!$1:$1,0)+1),MATCH(E$1,[2]quests!$1:$1,0)-MATCH($B$1,[2]quests!$1:$1,0)+1,FALSE)</f>
        <v>27. 雷雨の登山道</v>
      </c>
      <c r="F4" s="4" t="str">
        <f ca="1">VLOOKUP($D4,OFFSET([2]stages!$A$1,0,0,COUNTA([2]stages!$A:$A),MATCH(F$1,[2]stages!$2:$2,0)-MATCH($D$1,[2]stages!$2:$2,0)+1),MATCH(F$1,[2]stages!$2:$2,0)-MATCH($D$1,[2]stages!$2:$2,0)+1,FALSE)</f>
        <v>27-1. 登山道入口</v>
      </c>
      <c r="G4" s="102">
        <v>1</v>
      </c>
      <c r="H4" s="14" t="str">
        <f t="shared" si="2"/>
        <v>15027_1-1</v>
      </c>
      <c r="I4" s="4">
        <f ca="1">VLOOKUP($H4,OFFSET(floors!$A$1,0,0,COUNTA(floors!$A:$A),MATCH(I$1,floors!$1:$1,0)-MATCH($H$1,floors!$1:$1,0)+1),MATCH(I$1,floors!$1:$1,0)-MATCH($H$1,floors!$1:$1,0)+1,FALSE)</f>
        <v>45</v>
      </c>
      <c r="J4" s="4">
        <f ca="1">VLOOKUP($H4,OFFSET(floors!$A$1,0,0,COUNTA(floors!$A:$A),MATCH(J$1,floors!$1:$1,0)-MATCH($H$1,floors!$1:$1,0)+1),MATCH(J$1,floors!$1:$1,0)-MATCH($H$1,floors!$1:$1,0)+1,FALSE)</f>
        <v>55</v>
      </c>
      <c r="K4" s="34" t="s">
        <v>53</v>
      </c>
      <c r="L4" s="115">
        <v>62</v>
      </c>
      <c r="M4" s="16" t="str">
        <f ca="1">VLOOKUP($L4,OFFSET([3]enemies!$A$1,0,0,COUNTA([3]enemies!$A:$A),MATCH(M$1,[3]enemies!$1:$1,0)-MATCH($L$1,[3]enemies!$1:$1,0)+1),MATCH(M$1,[3]enemies!$1:$1,0)-MATCH($L$1,[3]enemies!$1:$1,0)+1,FALSE)</f>
        <v>脈動旋律のクロウ</v>
      </c>
      <c r="N4" s="16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6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6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52</v>
      </c>
      <c r="S4" s="135">
        <v>1.2</v>
      </c>
      <c r="T4" s="135">
        <v>1</v>
      </c>
      <c r="U4" s="5">
        <v>0</v>
      </c>
      <c r="V4" s="4" t="e">
        <f ca="1">VLOOKUP($W4,OFFSET(enemy_skill_sets!$B$1,0,0,COUNTA(enemy_skill_sets!$B:$B),MATCH(M$1,enemy_skill_sets!$1:$1,0)-MATCH($W$1,enemy_skill_sets!$1:$1,0)+2),MATCH(M$1,enemy_skill_sets!$1:$1,0)-MATCH($W$1,enemy_skill_sets!$1:$1,0)+2,FALSE)</f>
        <v>#N/A</v>
      </c>
      <c r="W4" s="197">
        <v>0</v>
      </c>
      <c r="X4" s="137">
        <v>0</v>
      </c>
      <c r="Y4" s="137">
        <v>100</v>
      </c>
      <c r="Z4" s="137">
        <v>0</v>
      </c>
      <c r="AA4" s="134">
        <v>2</v>
      </c>
      <c r="AB4" s="20">
        <f t="shared" si="3"/>
        <v>62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脈動旋律のクロウ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125">
        <v>1</v>
      </c>
      <c r="AG4" s="20">
        <f t="shared" ca="1" si="4"/>
        <v>3</v>
      </c>
      <c r="AH4" s="144">
        <v>20</v>
      </c>
      <c r="AI4" s="125">
        <v>0</v>
      </c>
      <c r="AJ4" s="125">
        <v>0</v>
      </c>
      <c r="AK4" s="125">
        <v>0</v>
      </c>
      <c r="AL4" s="125">
        <v>0</v>
      </c>
      <c r="AM4" s="125">
        <v>1</v>
      </c>
      <c r="AN4" s="204">
        <v>1</v>
      </c>
    </row>
    <row r="5" spans="1:56" ht="21" customHeight="1" x14ac:dyDescent="0.15">
      <c r="A5" s="15" t="str">
        <f t="shared" si="0"/>
        <v>15027_1-1/64&lt;lv52&gt;s1</v>
      </c>
      <c r="B5" s="101">
        <v>15027</v>
      </c>
      <c r="C5" s="102">
        <v>1</v>
      </c>
      <c r="D5" s="2" t="str">
        <f t="shared" si="1"/>
        <v>15027_1</v>
      </c>
      <c r="E5" s="4" t="str">
        <f ca="1">VLOOKUP($B5,OFFSET([2]quests!$A$1,0,0,COUNTA([2]quests!$A:$A),MATCH(E$1,[2]quests!$1:$1,0)-MATCH($B$1,[2]quests!$1:$1,0)+1),MATCH(E$1,[2]quests!$1:$1,0)-MATCH($B$1,[2]quests!$1:$1,0)+1,FALSE)</f>
        <v>27. 雷雨の登山道</v>
      </c>
      <c r="F5" s="4" t="str">
        <f ca="1">VLOOKUP($D5,OFFSET([2]stages!$A$1,0,0,COUNTA([2]stages!$A:$A),MATCH(F$1,[2]stages!$2:$2,0)-MATCH($D$1,[2]stages!$2:$2,0)+1),MATCH(F$1,[2]stages!$2:$2,0)-MATCH($D$1,[2]stages!$2:$2,0)+1,FALSE)</f>
        <v>27-1. 登山道入口</v>
      </c>
      <c r="G5" s="102">
        <v>1</v>
      </c>
      <c r="H5" s="14" t="str">
        <f t="shared" si="2"/>
        <v>15027_1-1</v>
      </c>
      <c r="I5" s="4">
        <f ca="1">VLOOKUP($H5,OFFSET(floors!$A$1,0,0,COUNTA(floors!$A:$A),MATCH(I$1,floors!$1:$1,0)-MATCH($H$1,floors!$1:$1,0)+1),MATCH(I$1,floors!$1:$1,0)-MATCH($H$1,floors!$1:$1,0)+1,FALSE)</f>
        <v>45</v>
      </c>
      <c r="J5" s="4">
        <f ca="1">VLOOKUP($H5,OFFSET(floors!$A$1,0,0,COUNTA(floors!$A:$A),MATCH(J$1,floors!$1:$1,0)-MATCH($H$1,floors!$1:$1,0)+1),MATCH(J$1,floors!$1:$1,0)-MATCH($H$1,floors!$1:$1,0)+1,FALSE)</f>
        <v>55</v>
      </c>
      <c r="K5" s="34" t="s">
        <v>53</v>
      </c>
      <c r="L5" s="115">
        <v>64</v>
      </c>
      <c r="M5" s="16" t="str">
        <f ca="1">VLOOKUP($L5,OFFSET([3]enemies!$A$1,0,0,COUNTA([3]enemies!$A:$A),MATCH(M$1,[3]enemies!$1:$1,0)-MATCH($L$1,[3]enemies!$1:$1,0)+1),MATCH(M$1,[3]enemies!$1:$1,0)-MATCH($L$1,[3]enemies!$1:$1,0)+1,FALSE)</f>
        <v>フレイムエッジ トニー</v>
      </c>
      <c r="N5" s="16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6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6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52</v>
      </c>
      <c r="S5" s="135">
        <v>1.2</v>
      </c>
      <c r="T5" s="135">
        <v>1</v>
      </c>
      <c r="U5" s="5">
        <v>0</v>
      </c>
      <c r="V5" s="4" t="e">
        <f ca="1">VLOOKUP($W5,OFFSET(enemy_skill_sets!$B$1,0,0,COUNTA(enemy_skill_sets!$B:$B),MATCH(M$1,enemy_skill_sets!$1:$1,0)-MATCH($W$1,enemy_skill_sets!$1:$1,0)+2),MATCH(M$1,enemy_skill_sets!$1:$1,0)-MATCH($W$1,enemy_skill_sets!$1:$1,0)+2,FALSE)</f>
        <v>#N/A</v>
      </c>
      <c r="W5" s="197">
        <v>0</v>
      </c>
      <c r="X5" s="137">
        <v>0</v>
      </c>
      <c r="Y5" s="137">
        <v>100</v>
      </c>
      <c r="Z5" s="137">
        <v>0</v>
      </c>
      <c r="AA5" s="134">
        <v>1</v>
      </c>
      <c r="AB5" s="20">
        <f t="shared" si="3"/>
        <v>64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フレイムエッジ トニー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125">
        <v>1</v>
      </c>
      <c r="AG5" s="20">
        <f t="shared" ca="1" si="4"/>
        <v>3</v>
      </c>
      <c r="AH5" s="144">
        <v>20</v>
      </c>
      <c r="AI5" s="125">
        <v>0</v>
      </c>
      <c r="AJ5" s="125">
        <v>0</v>
      </c>
      <c r="AK5" s="125">
        <v>0</v>
      </c>
      <c r="AL5" s="125">
        <v>0</v>
      </c>
      <c r="AM5" s="125">
        <v>1</v>
      </c>
      <c r="AN5" s="204">
        <v>1</v>
      </c>
    </row>
    <row r="6" spans="1:56" ht="21" customHeight="1" x14ac:dyDescent="0.15">
      <c r="A6" s="15" t="str">
        <f t="shared" ca="1" si="0"/>
        <v>15027_1-2/374&lt;lv54&gt;s1</v>
      </c>
      <c r="B6" s="101">
        <v>15027</v>
      </c>
      <c r="C6" s="102">
        <v>1</v>
      </c>
      <c r="D6" s="2" t="str">
        <f t="shared" si="1"/>
        <v>15027_1</v>
      </c>
      <c r="E6" s="4" t="str">
        <f ca="1">VLOOKUP($B6,OFFSET([2]quests!$A$1,0,0,COUNTA([2]quests!$A:$A),MATCH(E$1,[2]quests!$1:$1,0)-MATCH($B$1,[2]quests!$1:$1,0)+1),MATCH(E$1,[2]quests!$1:$1,0)-MATCH($B$1,[2]quests!$1:$1,0)+1,FALSE)</f>
        <v>27. 雷雨の登山道</v>
      </c>
      <c r="F6" s="4" t="str">
        <f ca="1">VLOOKUP($D6,OFFSET([2]stages!$A$1,0,0,COUNTA([2]stages!$A:$A),MATCH(F$1,[2]stages!$2:$2,0)-MATCH($D$1,[2]stages!$2:$2,0)+1),MATCH(F$1,[2]stages!$2:$2,0)-MATCH($D$1,[2]stages!$2:$2,0)+1,FALSE)</f>
        <v>27-1. 登山道入口</v>
      </c>
      <c r="G6" s="106">
        <v>2</v>
      </c>
      <c r="H6" s="14" t="str">
        <f t="shared" si="2"/>
        <v>15027_1-2</v>
      </c>
      <c r="I6" s="4">
        <f ca="1">VLOOKUP($H6,OFFSET(floors!$A$1,0,0,COUNTA(floors!$A:$A),MATCH(I$1,floors!$1:$1,0)-MATCH($H$1,floors!$1:$1,0)+1),MATCH(I$1,floors!$1:$1,0)-MATCH($H$1,floors!$1:$1,0)+1,FALSE)</f>
        <v>30</v>
      </c>
      <c r="J6" s="4">
        <f ca="1">VLOOKUP($H6,OFFSET(floors!$A$1,0,0,COUNTA(floors!$A:$A),MATCH(J$1,floors!$1:$1,0)-MATCH($H$1,floors!$1:$1,0)+1),MATCH(J$1,floors!$1:$1,0)-MATCH($H$1,floors!$1:$1,0)+1,FALSE)</f>
        <v>30</v>
      </c>
      <c r="K6" s="34" t="s">
        <v>53</v>
      </c>
      <c r="L6" s="115">
        <v>374</v>
      </c>
      <c r="M6" s="16" t="str">
        <f ca="1">VLOOKUP($L6,OFFSET([3]enemies!$A$1,0,0,COUNTA([3]enemies!$A:$A),MATCH(M$1,[3]enemies!$1:$1,0)-MATCH($L$1,[3]enemies!$1:$1,0)+1),MATCH(M$1,[3]enemies!$1:$1,0)-MATCH($L$1,[3]enemies!$1:$1,0)+1,FALSE)</f>
        <v>影丸</v>
      </c>
      <c r="N6" s="16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6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6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54</v>
      </c>
      <c r="S6" s="135">
        <v>2</v>
      </c>
      <c r="T6" s="135">
        <v>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8ターンの間 パネルの色が分からなくなる !</v>
      </c>
      <c r="W6" s="197">
        <v>15027001</v>
      </c>
      <c r="X6" s="137">
        <v>1</v>
      </c>
      <c r="Y6" s="137">
        <v>100</v>
      </c>
      <c r="Z6" s="137">
        <v>1</v>
      </c>
      <c r="AA6" s="16">
        <f ca="1">VLOOKUP($L6,OFFSET([3]enemies!$A$1,0,0,COUNTA([3]enemies!$A:$A),MATCH(AA$1,[3]enemies!$1:$1,0)-MATCH($L$1,[3]enemies!$1:$1,0)+1),MATCH(AA$1,[3]enemies!$1:$1,0)-MATCH($L$1,[3]enemies!$1:$1,0)+1,FALSE)</f>
        <v>1</v>
      </c>
      <c r="AB6" s="20">
        <f t="shared" si="3"/>
        <v>374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影丸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Drop1S</v>
      </c>
      <c r="AF6" s="125">
        <v>1</v>
      </c>
      <c r="AG6" s="20">
        <f t="shared" ca="1" si="4"/>
        <v>2</v>
      </c>
      <c r="AH6" s="8">
        <v>20</v>
      </c>
      <c r="AI6" s="125">
        <v>0</v>
      </c>
      <c r="AJ6" s="125">
        <v>0</v>
      </c>
      <c r="AK6" s="125">
        <v>0</v>
      </c>
      <c r="AL6" s="125">
        <v>0</v>
      </c>
      <c r="AM6" s="125">
        <v>1</v>
      </c>
      <c r="AN6" s="204">
        <v>1</v>
      </c>
    </row>
    <row r="7" spans="1:56" ht="21" customHeight="1" x14ac:dyDescent="0.15">
      <c r="A7" s="15" t="str">
        <f t="shared" si="0"/>
        <v>15027_1-2/412&lt;lv54&gt;s1</v>
      </c>
      <c r="B7" s="101">
        <v>15027</v>
      </c>
      <c r="C7" s="102">
        <v>1</v>
      </c>
      <c r="D7" s="2" t="str">
        <f t="shared" si="1"/>
        <v>15027_1</v>
      </c>
      <c r="E7" s="4" t="str">
        <f ca="1">VLOOKUP($B7,OFFSET([2]quests!$A$1,0,0,COUNTA([2]quests!$A:$A),MATCH(E$1,[2]quests!$1:$1,0)-MATCH($B$1,[2]quests!$1:$1,0)+1),MATCH(E$1,[2]quests!$1:$1,0)-MATCH($B$1,[2]quests!$1:$1,0)+1,FALSE)</f>
        <v>27. 雷雨の登山道</v>
      </c>
      <c r="F7" s="4" t="str">
        <f ca="1">VLOOKUP($D7,OFFSET([2]stages!$A$1,0,0,COUNTA([2]stages!$A:$A),MATCH(F$1,[2]stages!$2:$2,0)-MATCH($D$1,[2]stages!$2:$2,0)+1),MATCH(F$1,[2]stages!$2:$2,0)-MATCH($D$1,[2]stages!$2:$2,0)+1,FALSE)</f>
        <v>27-1. 登山道入口</v>
      </c>
      <c r="G7" s="106">
        <v>2</v>
      </c>
      <c r="H7" s="14" t="str">
        <f t="shared" si="2"/>
        <v>15027_1-2</v>
      </c>
      <c r="I7" s="4">
        <f ca="1">VLOOKUP($H7,OFFSET(floors!$A$1,0,0,COUNTA(floors!$A:$A),MATCH(I$1,floors!$1:$1,0)-MATCH($H$1,floors!$1:$1,0)+1),MATCH(I$1,floors!$1:$1,0)-MATCH($H$1,floors!$1:$1,0)+1,FALSE)</f>
        <v>30</v>
      </c>
      <c r="J7" s="4">
        <f ca="1">VLOOKUP($H7,OFFSET(floors!$A$1,0,0,COUNTA(floors!$A:$A),MATCH(J$1,floors!$1:$1,0)-MATCH($H$1,floors!$1:$1,0)+1),MATCH(J$1,floors!$1:$1,0)-MATCH($H$1,floors!$1:$1,0)+1,FALSE)</f>
        <v>30</v>
      </c>
      <c r="K7" s="34" t="s">
        <v>53</v>
      </c>
      <c r="L7" s="115">
        <v>412</v>
      </c>
      <c r="M7" s="16" t="str">
        <f ca="1">VLOOKUP($L7,OFFSET([3]enemies!$A$1,0,0,COUNTA([3]enemies!$A:$A),MATCH(M$1,[3]enemies!$1:$1,0)-MATCH($L$1,[3]enemies!$1:$1,0)+1),MATCH(M$1,[3]enemies!$1:$1,0)-MATCH($L$1,[3]enemies!$1:$1,0)+1,FALSE)</f>
        <v>コウネン</v>
      </c>
      <c r="N7" s="16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6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6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54</v>
      </c>
      <c r="S7" s="135">
        <v>3</v>
      </c>
      <c r="T7" s="135">
        <v>1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パネルをランダムで20個ハートに変換</v>
      </c>
      <c r="W7" s="197">
        <v>15027002</v>
      </c>
      <c r="X7" s="137">
        <v>1</v>
      </c>
      <c r="Y7" s="137">
        <v>100</v>
      </c>
      <c r="Z7" s="137">
        <v>2</v>
      </c>
      <c r="AA7" s="16">
        <v>1</v>
      </c>
      <c r="AB7" s="20">
        <f t="shared" si="3"/>
        <v>412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コウネン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Drop1S</v>
      </c>
      <c r="AF7" s="125">
        <v>1</v>
      </c>
      <c r="AG7" s="20">
        <f t="shared" ca="1" si="4"/>
        <v>2</v>
      </c>
      <c r="AH7" s="8">
        <v>20</v>
      </c>
      <c r="AI7" s="125">
        <v>0</v>
      </c>
      <c r="AJ7" s="125">
        <v>0</v>
      </c>
      <c r="AK7" s="125">
        <v>0</v>
      </c>
      <c r="AL7" s="125">
        <v>0</v>
      </c>
      <c r="AM7" s="125">
        <v>1</v>
      </c>
      <c r="AN7" s="204">
        <v>1</v>
      </c>
    </row>
    <row r="8" spans="1:56" ht="21" customHeight="1" x14ac:dyDescent="0.15">
      <c r="A8" s="15" t="str">
        <f t="shared" si="0"/>
        <v>15027_1-3/54&lt;lv52&gt;s2</v>
      </c>
      <c r="B8" s="101">
        <v>15027</v>
      </c>
      <c r="C8" s="102">
        <v>1</v>
      </c>
      <c r="D8" s="2" t="str">
        <f t="shared" si="1"/>
        <v>15027_1</v>
      </c>
      <c r="E8" s="4" t="str">
        <f ca="1">VLOOKUP($B8,OFFSET([2]quests!$A$1,0,0,COUNTA([2]quests!$A:$A),MATCH(E$1,[2]quests!$1:$1,0)-MATCH($B$1,[2]quests!$1:$1,0)+1),MATCH(E$1,[2]quests!$1:$1,0)-MATCH($B$1,[2]quests!$1:$1,0)+1,FALSE)</f>
        <v>27. 雷雨の登山道</v>
      </c>
      <c r="F8" s="4" t="str">
        <f ca="1">VLOOKUP($D8,OFFSET([2]stages!$A$1,0,0,COUNTA([2]stages!$A:$A),MATCH(F$1,[2]stages!$2:$2,0)-MATCH($D$1,[2]stages!$2:$2,0)+1),MATCH(F$1,[2]stages!$2:$2,0)-MATCH($D$1,[2]stages!$2:$2,0)+1,FALSE)</f>
        <v>27-1. 登山道入口</v>
      </c>
      <c r="G8" s="111">
        <v>3</v>
      </c>
      <c r="H8" s="14" t="str">
        <f t="shared" si="2"/>
        <v>15027_1-3</v>
      </c>
      <c r="I8" s="4">
        <f ca="1">VLOOKUP($H8,OFFSET(floors!$A$1,0,0,COUNTA(floors!$A:$A),MATCH(I$1,floors!$1:$1,0)-MATCH($H$1,floors!$1:$1,0)+1),MATCH(I$1,floors!$1:$1,0)-MATCH($H$1,floors!$1:$1,0)+1,FALSE)</f>
        <v>55</v>
      </c>
      <c r="J8" s="4">
        <f ca="1">VLOOKUP($H8,OFFSET(floors!$A$1,0,0,COUNTA(floors!$A:$A),MATCH(J$1,floors!$1:$1,0)-MATCH($H$1,floors!$1:$1,0)+1),MATCH(J$1,floors!$1:$1,0)-MATCH($H$1,floors!$1:$1,0)+1,FALSE)</f>
        <v>55</v>
      </c>
      <c r="K8" s="34" t="s">
        <v>53</v>
      </c>
      <c r="L8" s="115">
        <v>54</v>
      </c>
      <c r="M8" s="16" t="str">
        <f ca="1">VLOOKUP($L8,OFFSET([3]enemies!$A$1,0,0,COUNTA([3]enemies!$A:$A),MATCH(M$1,[3]enemies!$1:$1,0)-MATCH($L$1,[3]enemies!$1:$1,0)+1),MATCH(M$1,[3]enemies!$1:$1,0)-MATCH($L$1,[3]enemies!$1:$1,0)+1,FALSE)</f>
        <v>蒼斬のレジスタンス ケンジ</v>
      </c>
      <c r="N8" s="16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6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6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6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52</v>
      </c>
      <c r="S8" s="135">
        <v>1.2</v>
      </c>
      <c r="T8" s="135">
        <v>1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赤属性に対して大ダメージの全体攻撃</v>
      </c>
      <c r="W8" s="197">
        <v>15027003</v>
      </c>
      <c r="X8" s="137">
        <v>1</v>
      </c>
      <c r="Y8" s="137">
        <v>100</v>
      </c>
      <c r="Z8" s="137">
        <v>0</v>
      </c>
      <c r="AA8" s="134">
        <v>2</v>
      </c>
      <c r="AB8" s="20">
        <f t="shared" si="3"/>
        <v>54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蒼斬のレジスタンス ケンジ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3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Drop1N</v>
      </c>
      <c r="AF8" s="125">
        <v>1</v>
      </c>
      <c r="AG8" s="20">
        <f t="shared" ca="1" si="4"/>
        <v>3</v>
      </c>
      <c r="AH8" s="8">
        <v>20</v>
      </c>
      <c r="AI8" s="125">
        <v>0</v>
      </c>
      <c r="AJ8" s="125">
        <v>0</v>
      </c>
      <c r="AK8" s="125">
        <v>0</v>
      </c>
      <c r="AL8" s="125">
        <v>0</v>
      </c>
      <c r="AM8" s="125">
        <v>1</v>
      </c>
      <c r="AN8" s="204">
        <v>1</v>
      </c>
    </row>
    <row r="9" spans="1:56" ht="21" customHeight="1" x14ac:dyDescent="0.15">
      <c r="A9" s="15" t="str">
        <f t="shared" ref="A9:A10" si="5">B9&amp;"_"&amp;C9&amp;"-"&amp;G9&amp;"/"&amp;L9&amp;"&lt;lv"&amp;R9&amp;"&gt;s"&amp;AA9</f>
        <v>15027_1-3/56&lt;lv52&gt;s2</v>
      </c>
      <c r="B9" s="101">
        <v>15027</v>
      </c>
      <c r="C9" s="102">
        <v>1</v>
      </c>
      <c r="D9" s="2" t="str">
        <f t="shared" ref="D9:D10" si="6">B9&amp;"_"&amp;C9</f>
        <v>15027_1</v>
      </c>
      <c r="E9" s="4" t="str">
        <f ca="1">VLOOKUP($B9,OFFSET([2]quests!$A$1,0,0,COUNTA([2]quests!$A:$A),MATCH(E$1,[2]quests!$1:$1,0)-MATCH($B$1,[2]quests!$1:$1,0)+1),MATCH(E$1,[2]quests!$1:$1,0)-MATCH($B$1,[2]quests!$1:$1,0)+1,FALSE)</f>
        <v>27. 雷雨の登山道</v>
      </c>
      <c r="F9" s="4" t="str">
        <f ca="1">VLOOKUP($D9,OFFSET([2]stages!$A$1,0,0,COUNTA([2]stages!$A:$A),MATCH(F$1,[2]stages!$2:$2,0)-MATCH($D$1,[2]stages!$2:$2,0)+1),MATCH(F$1,[2]stages!$2:$2,0)-MATCH($D$1,[2]stages!$2:$2,0)+1,FALSE)</f>
        <v>27-1. 登山道入口</v>
      </c>
      <c r="G9" s="111">
        <v>3</v>
      </c>
      <c r="H9" s="14" t="str">
        <f t="shared" ref="H9:H10" si="7">B9&amp;"_"&amp;C9&amp;"-"&amp;G9</f>
        <v>15027_1-3</v>
      </c>
      <c r="I9" s="4">
        <f ca="1">VLOOKUP($H9,OFFSET(floors!$A$1,0,0,COUNTA(floors!$A:$A),MATCH(I$1,floors!$1:$1,0)-MATCH($H$1,floors!$1:$1,0)+1),MATCH(I$1,floors!$1:$1,0)-MATCH($H$1,floors!$1:$1,0)+1,FALSE)</f>
        <v>55</v>
      </c>
      <c r="J9" s="4">
        <f ca="1">VLOOKUP($H9,OFFSET(floors!$A$1,0,0,COUNTA(floors!$A:$A),MATCH(J$1,floors!$1:$1,0)-MATCH($H$1,floors!$1:$1,0)+1),MATCH(J$1,floors!$1:$1,0)-MATCH($H$1,floors!$1:$1,0)+1,FALSE)</f>
        <v>55</v>
      </c>
      <c r="K9" s="34" t="s">
        <v>53</v>
      </c>
      <c r="L9" s="115">
        <v>56</v>
      </c>
      <c r="M9" s="16" t="str">
        <f ca="1">VLOOKUP($L9,OFFSET([3]enemies!$A$1,0,0,COUNTA([3]enemies!$A:$A),MATCH(M$1,[3]enemies!$1:$1,0)-MATCH($L$1,[3]enemies!$1:$1,0)+1),MATCH(M$1,[3]enemies!$1:$1,0)-MATCH($L$1,[3]enemies!$1:$1,0)+1,FALSE)</f>
        <v>黄槌のレジスタンス マミコ</v>
      </c>
      <c r="N9" s="16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6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6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6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52</v>
      </c>
      <c r="S9" s="135">
        <v>1.2</v>
      </c>
      <c r="T9" s="135">
        <v>1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青属性に対して大ダメージの全体攻撃</v>
      </c>
      <c r="W9" s="197">
        <v>15027004</v>
      </c>
      <c r="X9" s="137">
        <v>1</v>
      </c>
      <c r="Y9" s="137">
        <v>100</v>
      </c>
      <c r="Z9" s="137">
        <v>0</v>
      </c>
      <c r="AA9" s="134">
        <v>2</v>
      </c>
      <c r="AB9" s="20">
        <f t="shared" ref="AB9:AB10" si="8">L9</f>
        <v>56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黄槌のレジスタンス マミコ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3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Drop1N</v>
      </c>
      <c r="AF9" s="125">
        <v>1</v>
      </c>
      <c r="AG9" s="20">
        <f t="shared" ref="AG9:AG10" ca="1" si="9">AD9</f>
        <v>3</v>
      </c>
      <c r="AH9" s="144">
        <v>20</v>
      </c>
      <c r="AI9" s="125">
        <v>0</v>
      </c>
      <c r="AJ9" s="125">
        <v>0</v>
      </c>
      <c r="AK9" s="125">
        <v>0</v>
      </c>
      <c r="AL9" s="125">
        <v>0</v>
      </c>
      <c r="AM9" s="125">
        <v>1</v>
      </c>
      <c r="AN9" s="204">
        <v>1</v>
      </c>
    </row>
    <row r="10" spans="1:56" ht="21" customHeight="1" x14ac:dyDescent="0.15">
      <c r="A10" s="15" t="str">
        <f t="shared" si="5"/>
        <v>15027_1-3/352&lt;lv52&gt;s3</v>
      </c>
      <c r="B10" s="101">
        <v>15027</v>
      </c>
      <c r="C10" s="102">
        <v>1</v>
      </c>
      <c r="D10" s="2" t="str">
        <f t="shared" si="6"/>
        <v>15027_1</v>
      </c>
      <c r="E10" s="4" t="str">
        <f ca="1">VLOOKUP($B10,OFFSET([2]quests!$A$1,0,0,COUNTA([2]quests!$A:$A),MATCH(E$1,[2]quests!$1:$1,0)-MATCH($B$1,[2]quests!$1:$1,0)+1),MATCH(E$1,[2]quests!$1:$1,0)-MATCH($B$1,[2]quests!$1:$1,0)+1,FALSE)</f>
        <v>27. 雷雨の登山道</v>
      </c>
      <c r="F10" s="4" t="str">
        <f ca="1">VLOOKUP($D10,OFFSET([2]stages!$A$1,0,0,COUNTA([2]stages!$A:$A),MATCH(F$1,[2]stages!$2:$2,0)-MATCH($D$1,[2]stages!$2:$2,0)+1),MATCH(F$1,[2]stages!$2:$2,0)-MATCH($D$1,[2]stages!$2:$2,0)+1,FALSE)</f>
        <v>27-1. 登山道入口</v>
      </c>
      <c r="G10" s="111">
        <v>3</v>
      </c>
      <c r="H10" s="14" t="str">
        <f t="shared" si="7"/>
        <v>15027_1-3</v>
      </c>
      <c r="I10" s="4">
        <f ca="1">VLOOKUP($H10,OFFSET(floors!$A$1,0,0,COUNTA(floors!$A:$A),MATCH(I$1,floors!$1:$1,0)-MATCH($H$1,floors!$1:$1,0)+1),MATCH(I$1,floors!$1:$1,0)-MATCH($H$1,floors!$1:$1,0)+1,FALSE)</f>
        <v>55</v>
      </c>
      <c r="J10" s="4">
        <f ca="1">VLOOKUP($H10,OFFSET(floors!$A$1,0,0,COUNTA(floors!$A:$A),MATCH(J$1,floors!$1:$1,0)-MATCH($H$1,floors!$1:$1,0)+1),MATCH(J$1,floors!$1:$1,0)-MATCH($H$1,floors!$1:$1,0)+1,FALSE)</f>
        <v>55</v>
      </c>
      <c r="K10" s="34" t="s">
        <v>53</v>
      </c>
      <c r="L10" s="115">
        <v>352</v>
      </c>
      <c r="M10" s="16" t="str">
        <f ca="1">VLOOKUP($L10,OFFSET([3]enemies!$A$1,0,0,COUNTA([3]enemies!$A:$A),MATCH(M$1,[3]enemies!$1:$1,0)-MATCH($L$1,[3]enemies!$1:$1,0)+1),MATCH(M$1,[3]enemies!$1:$1,0)-MATCH($L$1,[3]enemies!$1:$1,0)+1,FALSE)</f>
        <v>水のケロケロ</v>
      </c>
      <c r="N10" s="16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6" t="str">
        <f ca="1">VLOOKUP($L10,OFFSET([4]characters!$A$1,0,0,COUNTA([4]characters!$A:$A),MATCH(O$1,[4]characters!$1:$1,0)-MATCH($L$1,[4]characters!$1:$1,0)+1),MATCH(O$1,[4]characters!$1:$1,0)-MATCH($L$1,[4]characters!$1:$1,0)+1,FALSE)</f>
        <v>Material</v>
      </c>
      <c r="P10" s="16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6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52</v>
      </c>
      <c r="S10" s="135">
        <v>1</v>
      </c>
      <c r="T10" s="135">
        <v>1</v>
      </c>
      <c r="U10" s="5">
        <v>0</v>
      </c>
      <c r="V10" s="4" t="e">
        <f ca="1">VLOOKUP($W10,OFFSET(enemy_skill_sets!$B$1,0,0,COUNTA(enemy_skill_sets!$B:$B),MATCH(M$1,enemy_skill_sets!$1:$1,0)-MATCH($W$1,enemy_skill_sets!$1:$1,0)+2),MATCH(M$1,enemy_skill_sets!$1:$1,0)-MATCH($W$1,enemy_skill_sets!$1:$1,0)+2,FALSE)</f>
        <v>#N/A</v>
      </c>
      <c r="W10" s="197">
        <f ca="1">VLOOKUP($L10,OFFSET([3]enemies!$A$1,0,0,COUNTA([3]enemies!$A:$A),MATCH(W$1,[3]enemies!$1:$1,0)-MATCH($L$1,[3]enemies!$1:$1,0)+1),MATCH(W$1,[3]enemies!$1:$1,0)-MATCH($L$1,[3]enemies!$1:$1,0)+1,FALSE)</f>
        <v>0</v>
      </c>
      <c r="X10" s="137">
        <v>0</v>
      </c>
      <c r="Y10" s="137">
        <v>100</v>
      </c>
      <c r="Z10" s="137">
        <v>1</v>
      </c>
      <c r="AA10" s="134">
        <v>3</v>
      </c>
      <c r="AB10" s="20">
        <f t="shared" si="8"/>
        <v>352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水のケロケロ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2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" s="125">
        <v>10</v>
      </c>
      <c r="AG10" s="20">
        <f t="shared" ca="1" si="9"/>
        <v>2</v>
      </c>
      <c r="AH10" s="144">
        <v>20</v>
      </c>
      <c r="AI10" s="125">
        <v>0</v>
      </c>
      <c r="AJ10" s="125">
        <v>0</v>
      </c>
      <c r="AK10" s="125">
        <v>0</v>
      </c>
      <c r="AL10" s="125">
        <v>0</v>
      </c>
      <c r="AM10" s="125">
        <v>1</v>
      </c>
      <c r="AN10" s="204">
        <v>1</v>
      </c>
    </row>
    <row r="11" spans="1:56" ht="21" customHeight="1" x14ac:dyDescent="0.15">
      <c r="A11" s="15" t="str">
        <f t="shared" si="0"/>
        <v>15027_1-3/354&lt;lv52&gt;s3</v>
      </c>
      <c r="B11" s="101">
        <v>15027</v>
      </c>
      <c r="C11" s="102">
        <v>1</v>
      </c>
      <c r="D11" s="2" t="str">
        <f t="shared" si="1"/>
        <v>15027_1</v>
      </c>
      <c r="E11" s="4" t="str">
        <f ca="1">VLOOKUP($B11,OFFSET([2]quests!$A$1,0,0,COUNTA([2]quests!$A:$A),MATCH(E$1,[2]quests!$1:$1,0)-MATCH($B$1,[2]quests!$1:$1,0)+1),MATCH(E$1,[2]quests!$1:$1,0)-MATCH($B$1,[2]quests!$1:$1,0)+1,FALSE)</f>
        <v>27. 雷雨の登山道</v>
      </c>
      <c r="F11" s="4" t="str">
        <f ca="1">VLOOKUP($D11,OFFSET([2]stages!$A$1,0,0,COUNTA([2]stages!$A:$A),MATCH(F$1,[2]stages!$2:$2,0)-MATCH($D$1,[2]stages!$2:$2,0)+1),MATCH(F$1,[2]stages!$2:$2,0)-MATCH($D$1,[2]stages!$2:$2,0)+1,FALSE)</f>
        <v>27-1. 登山道入口</v>
      </c>
      <c r="G11" s="111">
        <v>3</v>
      </c>
      <c r="H11" s="14" t="str">
        <f t="shared" si="2"/>
        <v>15027_1-3</v>
      </c>
      <c r="I11" s="4">
        <f ca="1">VLOOKUP($H11,OFFSET(floors!$A$1,0,0,COUNTA(floors!$A:$A),MATCH(I$1,floors!$1:$1,0)-MATCH($H$1,floors!$1:$1,0)+1),MATCH(I$1,floors!$1:$1,0)-MATCH($H$1,floors!$1:$1,0)+1,FALSE)</f>
        <v>55</v>
      </c>
      <c r="J11" s="4">
        <f ca="1">VLOOKUP($H11,OFFSET(floors!$A$1,0,0,COUNTA(floors!$A:$A),MATCH(J$1,floors!$1:$1,0)-MATCH($H$1,floors!$1:$1,0)+1),MATCH(J$1,floors!$1:$1,0)-MATCH($H$1,floors!$1:$1,0)+1,FALSE)</f>
        <v>55</v>
      </c>
      <c r="K11" s="34" t="s">
        <v>53</v>
      </c>
      <c r="L11" s="115">
        <v>354</v>
      </c>
      <c r="M11" s="16" t="str">
        <f ca="1">VLOOKUP($L11,OFFSET([3]enemies!$A$1,0,0,COUNTA([3]enemies!$A:$A),MATCH(M$1,[3]enemies!$1:$1,0)-MATCH($L$1,[3]enemies!$1:$1,0)+1),MATCH(M$1,[3]enemies!$1:$1,0)-MATCH($L$1,[3]enemies!$1:$1,0)+1,FALSE)</f>
        <v>雷のケロケロ</v>
      </c>
      <c r="N11" s="16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6" t="str">
        <f ca="1">VLOOKUP($L11,OFFSET([4]characters!$A$1,0,0,COUNTA([4]characters!$A:$A),MATCH(O$1,[4]characters!$1:$1,0)-MATCH($L$1,[4]characters!$1:$1,0)+1),MATCH(O$1,[4]characters!$1:$1,0)-MATCH($L$1,[4]characters!$1:$1,0)+1,FALSE)</f>
        <v>Material</v>
      </c>
      <c r="P11" s="16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6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52</v>
      </c>
      <c r="S11" s="135">
        <v>1</v>
      </c>
      <c r="T11" s="135">
        <v>1</v>
      </c>
      <c r="U11" s="5">
        <v>0</v>
      </c>
      <c r="V11" s="4" t="e">
        <f ca="1">VLOOKUP($W11,OFFSET(enemy_skill_sets!$B$1,0,0,COUNTA(enemy_skill_sets!$B:$B),MATCH(M$1,enemy_skill_sets!$1:$1,0)-MATCH($W$1,enemy_skill_sets!$1:$1,0)+2),MATCH(M$1,enemy_skill_sets!$1:$1,0)-MATCH($W$1,enemy_skill_sets!$1:$1,0)+2,FALSE)</f>
        <v>#N/A</v>
      </c>
      <c r="W11" s="197">
        <f ca="1">VLOOKUP($L11,OFFSET([3]enemies!$A$1,0,0,COUNTA([3]enemies!$A:$A),MATCH(W$1,[3]enemies!$1:$1,0)-MATCH($L$1,[3]enemies!$1:$1,0)+1),MATCH(W$1,[3]enemies!$1:$1,0)-MATCH($L$1,[3]enemies!$1:$1,0)+1,FALSE)</f>
        <v>0</v>
      </c>
      <c r="X11" s="137">
        <v>0</v>
      </c>
      <c r="Y11" s="137">
        <v>100</v>
      </c>
      <c r="Z11" s="137">
        <v>1</v>
      </c>
      <c r="AA11" s="16">
        <v>3</v>
      </c>
      <c r="AB11" s="20">
        <f t="shared" si="3"/>
        <v>354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雷のケロケロ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2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1" s="125">
        <v>10</v>
      </c>
      <c r="AG11" s="20">
        <f t="shared" ca="1" si="4"/>
        <v>2</v>
      </c>
      <c r="AH11" s="8">
        <v>20</v>
      </c>
      <c r="AI11" s="125">
        <v>0</v>
      </c>
      <c r="AJ11" s="125">
        <v>0</v>
      </c>
      <c r="AK11" s="125">
        <v>0</v>
      </c>
      <c r="AL11" s="125">
        <v>0</v>
      </c>
      <c r="AM11" s="125">
        <v>1</v>
      </c>
      <c r="AN11" s="204">
        <v>1</v>
      </c>
    </row>
    <row r="12" spans="1:56" ht="21" customHeight="1" x14ac:dyDescent="0.15">
      <c r="A12" s="15" t="str">
        <f t="shared" ref="A12:A48" ca="1" si="10">B12&amp;"_"&amp;C12&amp;"-"&amp;G12&amp;"/"&amp;L12&amp;"&lt;lv"&amp;R12&amp;"&gt;s"&amp;AA12</f>
        <v>15027_1-4/209&lt;lv54&gt;s2</v>
      </c>
      <c r="B12" s="101">
        <v>15027</v>
      </c>
      <c r="C12" s="102">
        <v>1</v>
      </c>
      <c r="D12" s="2" t="str">
        <f t="shared" ref="D12:D48" si="11">B12&amp;"_"&amp;C12</f>
        <v>15027_1</v>
      </c>
      <c r="E12" s="4" t="str">
        <f ca="1">VLOOKUP($B12,OFFSET([2]quests!$A$1,0,0,COUNTA([2]quests!$A:$A),MATCH(E$1,[2]quests!$1:$1,0)-MATCH($B$1,[2]quests!$1:$1,0)+1),MATCH(E$1,[2]quests!$1:$1,0)-MATCH($B$1,[2]quests!$1:$1,0)+1,FALSE)</f>
        <v>27. 雷雨の登山道</v>
      </c>
      <c r="F12" s="4" t="str">
        <f ca="1">VLOOKUP($D12,OFFSET([2]stages!$A$1,0,0,COUNTA([2]stages!$A:$A),MATCH(F$1,[2]stages!$2:$2,0)-MATCH($D$1,[2]stages!$2:$2,0)+1),MATCH(F$1,[2]stages!$2:$2,0)-MATCH($D$1,[2]stages!$2:$2,0)+1,FALSE)</f>
        <v>27-1. 登山道入口</v>
      </c>
      <c r="G12" s="148">
        <v>4</v>
      </c>
      <c r="H12" s="14" t="str">
        <f t="shared" ref="H12:H48" si="12">B12&amp;"_"&amp;C12&amp;"-"&amp;G12</f>
        <v>15027_1-4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4" t="s">
        <v>53</v>
      </c>
      <c r="L12" s="115">
        <v>209</v>
      </c>
      <c r="M12" s="16" t="str">
        <f ca="1">VLOOKUP($L12,OFFSET([3]enemies!$A$1,0,0,COUNTA([3]enemies!$A:$A),MATCH(M$1,[3]enemies!$1:$1,0)-MATCH($L$1,[3]enemies!$1:$1,0)+1),MATCH(M$1,[3]enemies!$1:$1,0)-MATCH($L$1,[3]enemies!$1:$1,0)+1,FALSE)</f>
        <v>孤神 テティス</v>
      </c>
      <c r="N12" s="16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6" t="str">
        <f ca="1">VLOOKUP($L12,OFFSET([4]characters!$A$1,0,0,COUNTA([4]characters!$A:$A),MATCH(O$1,[4]characters!$1:$1,0)-MATCH($L$1,[4]characters!$1:$1,0)+1),MATCH(O$1,[4]characters!$1:$1,0)-MATCH($L$1,[4]characters!$1:$1,0)+1,FALSE)</f>
        <v>PremiumN</v>
      </c>
      <c r="P12" s="16" t="str">
        <f ca="1">VLOOKUP($L12,OFFSET([3]enemies!$A$1,0,0,COUNTA([3]enemies!$A:$A),MATCH(P$1,[3]enemies!$1:$1,0)-MATCH($L$1,[3]enemies!$1:$1,0)+1),MATCH(P$1,[3]enemies!$1:$1,0)-MATCH($L$1,[3]enemies!$1:$1,0)+1,FALSE)</f>
        <v>god</v>
      </c>
      <c r="Q12" s="16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54</v>
      </c>
      <c r="S12" s="135">
        <v>1.5</v>
      </c>
      <c r="T12" s="135">
        <v>1.2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一定確率で5ターン緑属性のユニットをスリープ</v>
      </c>
      <c r="W12" s="197">
        <v>15027005</v>
      </c>
      <c r="X12" s="137">
        <v>1</v>
      </c>
      <c r="Y12" s="137">
        <v>100</v>
      </c>
      <c r="Z12" s="137">
        <v>1</v>
      </c>
      <c r="AA12" s="16">
        <f ca="1">VLOOKUP($L12,OFFSET([3]enemies!$A$1,0,0,COUNTA([3]enemies!$A:$A),MATCH(AA$1,[3]enemies!$1:$1,0)-MATCH($L$1,[3]enemies!$1:$1,0)+1),MATCH(AA$1,[3]enemies!$1:$1,0)-MATCH($L$1,[3]enemies!$1:$1,0)+1,FALSE)</f>
        <v>2</v>
      </c>
      <c r="AB12" s="20">
        <f t="shared" ref="AB12:AB48" si="13">L12</f>
        <v>209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孤神 テティス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4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2" s="125">
        <v>1</v>
      </c>
      <c r="AG12" s="20">
        <f t="shared" ref="AG12:AG48" ca="1" si="14">AD12</f>
        <v>4</v>
      </c>
      <c r="AH12" s="8">
        <v>0</v>
      </c>
      <c r="AI12" s="125">
        <v>0</v>
      </c>
      <c r="AJ12" s="125">
        <v>0</v>
      </c>
      <c r="AK12" s="125">
        <v>0</v>
      </c>
      <c r="AL12" s="125">
        <v>0</v>
      </c>
      <c r="AM12" s="125">
        <v>1</v>
      </c>
      <c r="AN12" s="204">
        <v>1</v>
      </c>
    </row>
    <row r="13" spans="1:56" s="166" customFormat="1" ht="21" customHeight="1" thickBot="1" x14ac:dyDescent="0.2">
      <c r="A13" s="158" t="str">
        <f t="shared" ca="1" si="10"/>
        <v>15027_1-4/366&lt;lv54&gt;s3</v>
      </c>
      <c r="B13" s="108">
        <v>15027</v>
      </c>
      <c r="C13" s="183">
        <v>1</v>
      </c>
      <c r="D13" s="159" t="str">
        <f t="shared" si="11"/>
        <v>15027_1</v>
      </c>
      <c r="E13" s="160" t="str">
        <f ca="1">VLOOKUP($B13,OFFSET([2]quests!$A$1,0,0,COUNTA([2]quests!$A:$A),MATCH(E$1,[2]quests!$1:$1,0)-MATCH($B$1,[2]quests!$1:$1,0)+1),MATCH(E$1,[2]quests!$1:$1,0)-MATCH($B$1,[2]quests!$1:$1,0)+1,FALSE)</f>
        <v>27. 雷雨の登山道</v>
      </c>
      <c r="F13" s="160" t="str">
        <f ca="1">VLOOKUP($D13,OFFSET([2]stages!$A$1,0,0,COUNTA([2]stages!$A:$A),MATCH(F$1,[2]stages!$2:$2,0)-MATCH($D$1,[2]stages!$2:$2,0)+1),MATCH(F$1,[2]stages!$2:$2,0)-MATCH($D$1,[2]stages!$2:$2,0)+1,FALSE)</f>
        <v>27-1. 登山道入口</v>
      </c>
      <c r="G13" s="149">
        <v>4</v>
      </c>
      <c r="H13" s="159" t="str">
        <f t="shared" si="12"/>
        <v>15027_1-4</v>
      </c>
      <c r="I13" s="160">
        <f ca="1">VLOOKUP($H13,OFFSET(floors!$A$1,0,0,COUNTA(floors!$A:$A),MATCH(I$1,floors!$1:$1,0)-MATCH($H$1,floors!$1:$1,0)+1),MATCH(I$1,floors!$1:$1,0)-MATCH($H$1,floors!$1:$1,0)+1,FALSE)</f>
        <v>60</v>
      </c>
      <c r="J13" s="160">
        <f ca="1">VLOOKUP($H13,OFFSET(floors!$A$1,0,0,COUNTA(floors!$A:$A),MATCH(J$1,floors!$1:$1,0)-MATCH($H$1,floors!$1:$1,0)+1),MATCH(J$1,floors!$1:$1,0)-MATCH($H$1,floors!$1:$1,0)+1,FALSE)</f>
        <v>60</v>
      </c>
      <c r="K13" s="95" t="s">
        <v>53</v>
      </c>
      <c r="L13" s="118">
        <v>366</v>
      </c>
      <c r="M13" s="162" t="str">
        <f ca="1">VLOOKUP($L13,OFFSET([3]enemies!$A$1,0,0,COUNTA([3]enemies!$A:$A),MATCH(M$1,[3]enemies!$1:$1,0)-MATCH($L$1,[3]enemies!$1:$1,0)+1),MATCH(M$1,[3]enemies!$1:$1,0)-MATCH($L$1,[3]enemies!$1:$1,0)+1,FALSE)</f>
        <v>トト</v>
      </c>
      <c r="N13" s="162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62" t="str">
        <f ca="1">VLOOKUP($L13,OFFSET([4]characters!$A$1,0,0,COUNTA([4]characters!$A:$A),MATCH(O$1,[4]characters!$1:$1,0)-MATCH($L$1,[4]characters!$1:$1,0)+1),MATCH(O$1,[4]characters!$1:$1,0)-MATCH($L$1,[4]characters!$1:$1,0)+1,FALSE)</f>
        <v>Drop1S</v>
      </c>
      <c r="P13" s="162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62">
        <f ca="1">VLOOKUP($L13,OFFSET([3]enemies!$A$1,0,0,COUNTA([3]enemies!$A:$A),MATCH(Q$1,[3]enemies!$1:$1,0)-MATCH($L$1,[3]enemies!$1:$1,0)+1),MATCH(Q$1,[3]enemies!$1:$1,0)-MATCH($L$1,[3]enemies!$1:$1,0)+1,FALSE)</f>
        <v>15</v>
      </c>
      <c r="R13" s="124">
        <v>54</v>
      </c>
      <c r="S13" s="139">
        <v>2.5</v>
      </c>
      <c r="T13" s="135">
        <v>0.8</v>
      </c>
      <c r="U13" s="124">
        <v>0</v>
      </c>
      <c r="V13" s="160" t="str">
        <f ca="1">VLOOKUP($W13,OFFSET(enemy_skill_sets!$B$1,0,0,COUNTA(enemy_skill_sets!$B:$B),MATCH(M$1,enemy_skill_sets!$1:$1,0)-MATCH($W$1,enemy_skill_sets!$1:$1,0)+2),MATCH(M$1,enemy_skill_sets!$1:$1,0)-MATCH($W$1,enemy_skill_sets!$1:$1,0)+2,FALSE)</f>
        <v>パネル3個を時限式パネルに変換_x000D_＋黄パネル3個をハートパネルに変換</v>
      </c>
      <c r="W13" s="198">
        <v>15027006</v>
      </c>
      <c r="X13" s="143">
        <v>2</v>
      </c>
      <c r="Y13" s="143">
        <v>100</v>
      </c>
      <c r="Z13" s="143">
        <v>2</v>
      </c>
      <c r="AA13" s="162">
        <f ca="1">VLOOKUP($L13,OFFSET([3]enemies!$A$1,0,0,COUNTA([3]enemies!$A:$A),MATCH(AA$1,[3]enemies!$1:$1,0)-MATCH($L$1,[3]enemies!$1:$1,0)+1),MATCH(AA$1,[3]enemies!$1:$1,0)-MATCH($L$1,[3]enemies!$1:$1,0)+1,FALSE)</f>
        <v>3</v>
      </c>
      <c r="AB13" s="164">
        <f t="shared" si="13"/>
        <v>366</v>
      </c>
      <c r="AC13" s="160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トト</v>
      </c>
      <c r="AD13" s="160">
        <f ca="1">VLOOKUP($AB13,OFFSET([4]characters!$A$1,0,0,COUNTA([4]characters!$A:$A),MATCH(AD$1,[4]characters!$1:$1,0)-MATCH("character_id",[4]characters!$1:$1,0)+1),MATCH(AD$1,[4]characters!$1:$1,0)-MATCH("character_id",[4]characters!$1:$1,0)+1,FALSE)</f>
        <v>2</v>
      </c>
      <c r="AE13" s="160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Drop1S</v>
      </c>
      <c r="AF13" s="128">
        <v>1</v>
      </c>
      <c r="AG13" s="164">
        <f t="shared" ca="1" si="14"/>
        <v>2</v>
      </c>
      <c r="AH13" s="132">
        <v>0</v>
      </c>
      <c r="AI13" s="128">
        <v>0</v>
      </c>
      <c r="AJ13" s="128">
        <v>0</v>
      </c>
      <c r="AK13" s="128">
        <v>0</v>
      </c>
      <c r="AL13" s="128">
        <v>0</v>
      </c>
      <c r="AM13" s="128">
        <v>1</v>
      </c>
      <c r="AN13" s="205">
        <v>1</v>
      </c>
      <c r="AO13" s="172"/>
      <c r="AP13" s="172"/>
      <c r="AQ13" s="172"/>
      <c r="AR13" s="172"/>
      <c r="AS13" s="172"/>
      <c r="AT13" s="172"/>
      <c r="AU13" s="172"/>
      <c r="AV13" s="172"/>
      <c r="AW13" s="172"/>
      <c r="AX13" s="172"/>
      <c r="AY13" s="172"/>
      <c r="AZ13" s="172"/>
      <c r="BA13" s="172"/>
      <c r="BB13" s="172"/>
      <c r="BC13" s="172"/>
      <c r="BD13" s="172"/>
    </row>
    <row r="14" spans="1:56" ht="21" customHeight="1" x14ac:dyDescent="0.15">
      <c r="A14" s="15" t="str">
        <f t="shared" ref="A14" si="15">B14&amp;"_"&amp;C14&amp;"-"&amp;G14&amp;"/"&amp;L14&amp;"&lt;lv"&amp;R14&amp;"&gt;s"&amp;AA14</f>
        <v>15027_2-1/6&lt;lv52&gt;s3</v>
      </c>
      <c r="B14" s="101">
        <v>15027</v>
      </c>
      <c r="C14" s="107">
        <v>2</v>
      </c>
      <c r="D14" s="155" t="str">
        <f t="shared" ref="D14" si="16">B14&amp;"_"&amp;C14</f>
        <v>15027_2</v>
      </c>
      <c r="E14" s="4" t="str">
        <f ca="1">VLOOKUP($B14,OFFSET([2]quests!$A$1,0,0,COUNTA([2]quests!$A:$A),MATCH(E$1,[2]quests!$1:$1,0)-MATCH($B$1,[2]quests!$1:$1,0)+1),MATCH(E$1,[2]quests!$1:$1,0)-MATCH($B$1,[2]quests!$1:$1,0)+1,FALSE)</f>
        <v>27. 雷雨の登山道</v>
      </c>
      <c r="F14" s="4" t="str">
        <f ca="1">VLOOKUP($D14,OFFSET([2]stages!$A$1,0,0,COUNTA([2]stages!$A:$A),MATCH(F$1,[2]stages!$2:$2,0)-MATCH($D$1,[2]stages!$2:$2,0)+1),MATCH(F$1,[2]stages!$2:$2,0)-MATCH($D$1,[2]stages!$2:$2,0)+1,FALSE)</f>
        <v>27-2. 霊峰の守護者</v>
      </c>
      <c r="G14" s="112">
        <v>1</v>
      </c>
      <c r="H14" s="155" t="str">
        <f t="shared" ref="H14" si="17">B14&amp;"_"&amp;C14&amp;"-"&amp;G14</f>
        <v>15027_2-1</v>
      </c>
      <c r="I14" s="4">
        <f ca="1">VLOOKUP($H14,OFFSET(floors!$A$1,0,0,COUNTA(floors!$A:$A),MATCH(I$1,floors!$1:$1,0)-MATCH($H$1,floors!$1:$1,0)+1),MATCH(I$1,floors!$1:$1,0)-MATCH($H$1,floors!$1:$1,0)+1,FALSE)</f>
        <v>45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97" t="s">
        <v>53</v>
      </c>
      <c r="L14" s="117">
        <v>6</v>
      </c>
      <c r="M14" s="16" t="str">
        <f ca="1">VLOOKUP($L14,OFFSET([3]enemies!$A$1,0,0,COUNTA([3]enemies!$A:$A),MATCH(M$1,[3]enemies!$1:$1,0)-MATCH($L$1,[3]enemies!$1:$1,0)+1),MATCH(M$1,[3]enemies!$1:$1,0)-MATCH($L$1,[3]enemies!$1:$1,0)+1,FALSE)</f>
        <v>パトドッグリーダー ポチ</v>
      </c>
      <c r="N14" s="16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6" t="str">
        <f ca="1">VLOOKUP($L14,OFFSET([4]characters!$A$1,0,0,COUNTA([4]characters!$A:$A),MATCH(O$1,[4]characters!$1:$1,0)-MATCH($L$1,[4]characters!$1:$1,0)+1),MATCH(O$1,[4]characters!$1:$1,0)-MATCH($L$1,[4]characters!$1:$1,0)+1,FALSE)</f>
        <v>Drop1T</v>
      </c>
      <c r="P14" s="16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6">
        <f ca="1">VLOOKUP($L14,OFFSET([3]enemies!$A$1,0,0,COUNTA([3]enemies!$A:$A),MATCH(Q$1,[3]enemies!$1:$1,0)-MATCH($L$1,[3]enemies!$1:$1,0)+1),MATCH(Q$1,[3]enemies!$1:$1,0)-MATCH($L$1,[3]enemies!$1:$1,0)+1,FALSE)</f>
        <v>15</v>
      </c>
      <c r="R14" s="122">
        <v>52</v>
      </c>
      <c r="S14" s="136">
        <v>1.2</v>
      </c>
      <c r="T14" s="136">
        <v>1</v>
      </c>
      <c r="U14" s="122">
        <v>0</v>
      </c>
      <c r="V14" s="4" t="e">
        <f ca="1">VLOOKUP($W14,OFFSET(enemy_skill_sets!$B$1,0,0,COUNTA(enemy_skill_sets!$B:$B),MATCH(M$1,enemy_skill_sets!$1:$1,0)-MATCH($W$1,enemy_skill_sets!$1:$1,0)+2),MATCH(M$1,enemy_skill_sets!$1:$1,0)-MATCH($W$1,enemy_skill_sets!$1:$1,0)+2,FALSE)</f>
        <v>#N/A</v>
      </c>
      <c r="W14" s="197">
        <f ca="1">VLOOKUP($L14,OFFSET([3]enemies!$A$1,0,0,COUNTA([3]enemies!$A:$A),MATCH(W$1,[3]enemies!$1:$1,0)-MATCH($L$1,[3]enemies!$1:$1,0)+1),MATCH(W$1,[3]enemies!$1:$1,0)-MATCH($L$1,[3]enemies!$1:$1,0)+1,FALSE)</f>
        <v>0</v>
      </c>
      <c r="X14" s="142">
        <v>0</v>
      </c>
      <c r="Y14" s="142">
        <v>100</v>
      </c>
      <c r="Z14" s="142">
        <v>0</v>
      </c>
      <c r="AA14" s="134">
        <v>3</v>
      </c>
      <c r="AB14" s="157">
        <f t="shared" ref="AB14" si="18">L14</f>
        <v>6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パトドッグリーダー ポチ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2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Drop1T</v>
      </c>
      <c r="AF14" s="127">
        <v>1</v>
      </c>
      <c r="AG14" s="157">
        <f t="shared" ref="AG14" ca="1" si="19">AD14</f>
        <v>2</v>
      </c>
      <c r="AH14" s="145">
        <v>20</v>
      </c>
      <c r="AI14" s="127">
        <v>0</v>
      </c>
      <c r="AJ14" s="127">
        <v>0</v>
      </c>
      <c r="AK14" s="127">
        <v>0</v>
      </c>
      <c r="AL14" s="127">
        <v>0</v>
      </c>
      <c r="AM14" s="127">
        <v>1</v>
      </c>
      <c r="AN14" s="206">
        <v>1</v>
      </c>
    </row>
    <row r="15" spans="1:56" ht="21" customHeight="1" x14ac:dyDescent="0.15">
      <c r="A15" s="15" t="str">
        <f t="shared" si="10"/>
        <v>15027_2-1/8&lt;lv52&gt;s2</v>
      </c>
      <c r="B15" s="103">
        <v>15027</v>
      </c>
      <c r="C15" s="113">
        <v>2</v>
      </c>
      <c r="D15" s="167" t="str">
        <f t="shared" si="11"/>
        <v>15027_2</v>
      </c>
      <c r="E15" s="168" t="str">
        <f ca="1">VLOOKUP($B15,OFFSET([2]quests!$A$1,0,0,COUNTA([2]quests!$A:$A),MATCH(E$1,[2]quests!$1:$1,0)-MATCH($B$1,[2]quests!$1:$1,0)+1),MATCH(E$1,[2]quests!$1:$1,0)-MATCH($B$1,[2]quests!$1:$1,0)+1,FALSE)</f>
        <v>27. 雷雨の登山道</v>
      </c>
      <c r="F15" s="168" t="str">
        <f ca="1">VLOOKUP($D15,OFFSET([2]stages!$A$1,0,0,COUNTA([2]stages!$A:$A),MATCH(F$1,[2]stages!$2:$2,0)-MATCH($D$1,[2]stages!$2:$2,0)+1),MATCH(F$1,[2]stages!$2:$2,0)-MATCH($D$1,[2]stages!$2:$2,0)+1,FALSE)</f>
        <v>27-2. 霊峰の守護者</v>
      </c>
      <c r="G15" s="104">
        <v>1</v>
      </c>
      <c r="H15" s="167" t="str">
        <f t="shared" si="12"/>
        <v>15027_2-1</v>
      </c>
      <c r="I15" s="168">
        <f ca="1">VLOOKUP($H15,OFFSET(floors!$A$1,0,0,COUNTA(floors!$A:$A),MATCH(I$1,floors!$1:$1,0)-MATCH($H$1,floors!$1:$1,0)+1),MATCH(I$1,floors!$1:$1,0)-MATCH($H$1,floors!$1:$1,0)+1,FALSE)</f>
        <v>45</v>
      </c>
      <c r="J15" s="168">
        <f ca="1">VLOOKUP($H15,OFFSET(floors!$A$1,0,0,COUNTA(floors!$A:$A),MATCH(J$1,floors!$1:$1,0)-MATCH($H$1,floors!$1:$1,0)+1),MATCH(J$1,floors!$1:$1,0)-MATCH($H$1,floors!$1:$1,0)+1,FALSE)</f>
        <v>60</v>
      </c>
      <c r="K15" s="99" t="s">
        <v>215</v>
      </c>
      <c r="L15" s="116">
        <v>8</v>
      </c>
      <c r="M15" s="169" t="str">
        <f ca="1">VLOOKUP($L15,OFFSET([3]enemies!$A$1,0,0,COUNTA([3]enemies!$A:$A),MATCH(M$1,[3]enemies!$1:$1,0)-MATCH($L$1,[3]enemies!$1:$1,0)+1),MATCH(M$1,[3]enemies!$1:$1,0)-MATCH($L$1,[3]enemies!$1:$1,0)+1,FALSE)</f>
        <v>ハイボルテージ エレキポット</v>
      </c>
      <c r="N15" s="169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69" t="str">
        <f ca="1">VLOOKUP($L15,OFFSET([4]characters!$A$1,0,0,COUNTA([4]characters!$A:$A),MATCH(O$1,[4]characters!$1:$1,0)-MATCH($L$1,[4]characters!$1:$1,0)+1),MATCH(O$1,[4]characters!$1:$1,0)-MATCH($L$1,[4]characters!$1:$1,0)+1,FALSE)</f>
        <v>Drop1T</v>
      </c>
      <c r="P15" s="169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69">
        <f ca="1">VLOOKUP($L15,OFFSET([3]enemies!$A$1,0,0,COUNTA([3]enemies!$A:$A),MATCH(Q$1,[3]enemies!$1:$1,0)-MATCH($L$1,[3]enemies!$1:$1,0)+1),MATCH(Q$1,[3]enemies!$1:$1,0)-MATCH($L$1,[3]enemies!$1:$1,0)+1,FALSE)</f>
        <v>15</v>
      </c>
      <c r="R15" s="120">
        <v>52</v>
      </c>
      <c r="S15" s="138">
        <v>1.2</v>
      </c>
      <c r="T15" s="138">
        <v>1</v>
      </c>
      <c r="U15" s="120">
        <v>0</v>
      </c>
      <c r="V15" s="168" t="e">
        <f ca="1">VLOOKUP($W15,OFFSET(enemy_skill_sets!$B$1,0,0,COUNTA(enemy_skill_sets!$B:$B),MATCH(M$1,enemy_skill_sets!$1:$1,0)-MATCH($W$1,enemy_skill_sets!$1:$1,0)+2),MATCH(M$1,enemy_skill_sets!$1:$1,0)-MATCH($W$1,enemy_skill_sets!$1:$1,0)+2,FALSE)</f>
        <v>#N/A</v>
      </c>
      <c r="W15" s="197">
        <f ca="1">VLOOKUP($L15,OFFSET([3]enemies!$A$1,0,0,COUNTA([3]enemies!$A:$A),MATCH(W$1,[3]enemies!$1:$1,0)-MATCH($L$1,[3]enemies!$1:$1,0)+1),MATCH(W$1,[3]enemies!$1:$1,0)-MATCH($L$1,[3]enemies!$1:$1,0)+1,FALSE)</f>
        <v>0</v>
      </c>
      <c r="X15" s="140">
        <v>0</v>
      </c>
      <c r="Y15" s="140">
        <v>100</v>
      </c>
      <c r="Z15" s="140">
        <v>0</v>
      </c>
      <c r="AA15" s="170">
        <v>2</v>
      </c>
      <c r="AB15" s="171">
        <f t="shared" si="13"/>
        <v>8</v>
      </c>
      <c r="AC15" s="168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ハイボルテージ エレキポット</v>
      </c>
      <c r="AD15" s="168">
        <f ca="1">VLOOKUP($AB15,OFFSET([4]characters!$A$1,0,0,COUNTA([4]characters!$A:$A),MATCH(AD$1,[4]characters!$1:$1,0)-MATCH("character_id",[4]characters!$1:$1,0)+1),MATCH(AD$1,[4]characters!$1:$1,0)-MATCH("character_id",[4]characters!$1:$1,0)+1,FALSE)</f>
        <v>2</v>
      </c>
      <c r="AE15" s="168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Drop1T</v>
      </c>
      <c r="AF15" s="126">
        <v>1</v>
      </c>
      <c r="AG15" s="171">
        <f t="shared" ca="1" si="14"/>
        <v>2</v>
      </c>
      <c r="AH15" s="129">
        <v>20</v>
      </c>
      <c r="AI15" s="126">
        <v>0</v>
      </c>
      <c r="AJ15" s="126">
        <v>0</v>
      </c>
      <c r="AK15" s="126">
        <v>0</v>
      </c>
      <c r="AL15" s="126">
        <v>0</v>
      </c>
      <c r="AM15" s="126">
        <v>1</v>
      </c>
      <c r="AN15" s="207">
        <v>1</v>
      </c>
    </row>
    <row r="16" spans="1:56" s="61" customFormat="1" ht="21" customHeight="1" x14ac:dyDescent="0.15">
      <c r="A16" s="173" t="str">
        <f t="shared" si="10"/>
        <v>15027_2-1/18&lt;lv52&gt;s2</v>
      </c>
      <c r="B16" s="105">
        <v>15027</v>
      </c>
      <c r="C16" s="106">
        <v>2</v>
      </c>
      <c r="D16" s="14" t="str">
        <f t="shared" si="11"/>
        <v>15027_2</v>
      </c>
      <c r="E16" s="17" t="str">
        <f ca="1">VLOOKUP($B16,OFFSET([2]quests!$A$1,0,0,COUNTA([2]quests!$A:$A),MATCH(E$1,[2]quests!$1:$1,0)-MATCH($B$1,[2]quests!$1:$1,0)+1),MATCH(E$1,[2]quests!$1:$1,0)-MATCH($B$1,[2]quests!$1:$1,0)+1,FALSE)</f>
        <v>27. 雷雨の登山道</v>
      </c>
      <c r="F16" s="17" t="str">
        <f ca="1">VLOOKUP($D16,OFFSET([2]stages!$A$1,0,0,COUNTA([2]stages!$A:$A),MATCH(F$1,[2]stages!$2:$2,0)-MATCH($D$1,[2]stages!$2:$2,0)+1),MATCH(F$1,[2]stages!$2:$2,0)-MATCH($D$1,[2]stages!$2:$2,0)+1,FALSE)</f>
        <v>27-2. 霊峰の守護者</v>
      </c>
      <c r="G16" s="102">
        <v>1</v>
      </c>
      <c r="H16" s="14" t="str">
        <f t="shared" si="12"/>
        <v>15027_2-1</v>
      </c>
      <c r="I16" s="17">
        <f ca="1">VLOOKUP($H16,OFFSET(floors!$A$1,0,0,COUNTA(floors!$A:$A),MATCH(I$1,floors!$1:$1,0)-MATCH($H$1,floors!$1:$1,0)+1),MATCH(I$1,floors!$1:$1,0)-MATCH($H$1,floors!$1:$1,0)+1,FALSE)</f>
        <v>45</v>
      </c>
      <c r="J16" s="17">
        <f ca="1">VLOOKUP($H16,OFFSET(floors!$A$1,0,0,COUNTA(floors!$A:$A),MATCH(J$1,floors!$1:$1,0)-MATCH($H$1,floors!$1:$1,0)+1),MATCH(J$1,floors!$1:$1,0)-MATCH($H$1,floors!$1:$1,0)+1,FALSE)</f>
        <v>60</v>
      </c>
      <c r="K16" s="34" t="s">
        <v>53</v>
      </c>
      <c r="L16" s="115">
        <v>18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戦闘案内人 リム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Drop1W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120">
        <v>52</v>
      </c>
      <c r="S16" s="146">
        <v>1.2</v>
      </c>
      <c r="T16" s="146">
        <v>1</v>
      </c>
      <c r="U16" s="121">
        <v>0</v>
      </c>
      <c r="V16" s="17" t="e">
        <f ca="1">VLOOKUP($W16,OFFSET(enemy_skill_sets!$B$1,0,0,COUNTA(enemy_skill_sets!$B:$B),MATCH(M$1,enemy_skill_sets!$1:$1,0)-MATCH($W$1,enemy_skill_sets!$1:$1,0)+2),MATCH(M$1,enemy_skill_sets!$1:$1,0)-MATCH($W$1,enemy_skill_sets!$1:$1,0)+2,FALSE)</f>
        <v>#N/A</v>
      </c>
      <c r="W16" s="197">
        <f ca="1">VLOOKUP($L16,OFFSET([3]enemies!$A$1,0,0,COUNTA([3]enemies!$A:$A),MATCH(W$1,[3]enemies!$1:$1,0)-MATCH($L$1,[3]enemies!$1:$1,0)+1),MATCH(W$1,[3]enemies!$1:$1,0)-MATCH($L$1,[3]enemies!$1:$1,0)+1,FALSE)</f>
        <v>0</v>
      </c>
      <c r="X16" s="140">
        <v>0</v>
      </c>
      <c r="Y16" s="141">
        <v>100</v>
      </c>
      <c r="Z16" s="141">
        <v>0</v>
      </c>
      <c r="AA16" s="174">
        <v>2</v>
      </c>
      <c r="AB16" s="175">
        <f t="shared" si="13"/>
        <v>18</v>
      </c>
      <c r="AC16" s="17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戦闘案内人 リム</v>
      </c>
      <c r="AD16" s="17">
        <f ca="1">VLOOKUP($AB16,OFFSET([4]characters!$A$1,0,0,COUNTA([4]characters!$A:$A),MATCH(AD$1,[4]characters!$1:$1,0)-MATCH("character_id",[4]characters!$1:$1,0)+1),MATCH(AD$1,[4]characters!$1:$1,0)-MATCH("character_id",[4]characters!$1:$1,0)+1,FALSE)</f>
        <v>2</v>
      </c>
      <c r="AE16" s="17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Drop1W</v>
      </c>
      <c r="AF16" s="125">
        <v>1</v>
      </c>
      <c r="AG16" s="175">
        <f t="shared" ca="1" si="14"/>
        <v>2</v>
      </c>
      <c r="AH16" s="61">
        <v>20</v>
      </c>
      <c r="AI16" s="125">
        <v>0</v>
      </c>
      <c r="AJ16" s="125">
        <v>0</v>
      </c>
      <c r="AK16" s="125">
        <v>0</v>
      </c>
      <c r="AL16" s="125">
        <v>0</v>
      </c>
      <c r="AM16" s="125">
        <v>1</v>
      </c>
      <c r="AN16" s="204">
        <v>1</v>
      </c>
      <c r="AO16" s="172"/>
      <c r="AP16" s="172"/>
      <c r="AQ16" s="172"/>
      <c r="AR16" s="172"/>
      <c r="AS16" s="172"/>
      <c r="AT16" s="172"/>
      <c r="AU16" s="172"/>
      <c r="AV16" s="172"/>
      <c r="AW16" s="172"/>
      <c r="AX16" s="172"/>
      <c r="AY16" s="172"/>
      <c r="AZ16" s="172"/>
      <c r="BA16" s="172"/>
      <c r="BB16" s="172"/>
      <c r="BC16" s="172"/>
      <c r="BD16" s="172"/>
    </row>
    <row r="17" spans="1:56" s="61" customFormat="1" ht="21" customHeight="1" x14ac:dyDescent="0.15">
      <c r="A17" s="173" t="str">
        <f t="shared" si="10"/>
        <v>15027_2-1/20&lt;lv52&gt;s3</v>
      </c>
      <c r="B17" s="105">
        <v>15027</v>
      </c>
      <c r="C17" s="106">
        <v>2</v>
      </c>
      <c r="D17" s="14" t="str">
        <f t="shared" si="11"/>
        <v>15027_2</v>
      </c>
      <c r="E17" s="17" t="str">
        <f ca="1">VLOOKUP($B17,OFFSET([2]quests!$A$1,0,0,COUNTA([2]quests!$A:$A),MATCH(E$1,[2]quests!$1:$1,0)-MATCH($B$1,[2]quests!$1:$1,0)+1),MATCH(E$1,[2]quests!$1:$1,0)-MATCH($B$1,[2]quests!$1:$1,0)+1,FALSE)</f>
        <v>27. 雷雨の登山道</v>
      </c>
      <c r="F17" s="17" t="str">
        <f ca="1">VLOOKUP($D17,OFFSET([2]stages!$A$1,0,0,COUNTA([2]stages!$A:$A),MATCH(F$1,[2]stages!$2:$2,0)-MATCH($D$1,[2]stages!$2:$2,0)+1),MATCH(F$1,[2]stages!$2:$2,0)-MATCH($D$1,[2]stages!$2:$2,0)+1,FALSE)</f>
        <v>27-2. 霊峰の守護者</v>
      </c>
      <c r="G17" s="102">
        <v>1</v>
      </c>
      <c r="H17" s="14" t="str">
        <f t="shared" si="12"/>
        <v>15027_2-1</v>
      </c>
      <c r="I17" s="17">
        <f ca="1">VLOOKUP($H17,OFFSET(floors!$A$1,0,0,COUNTA(floors!$A:$A),MATCH(I$1,floors!$1:$1,0)-MATCH($H$1,floors!$1:$1,0)+1),MATCH(I$1,floors!$1:$1,0)-MATCH($H$1,floors!$1:$1,0)+1,FALSE)</f>
        <v>45</v>
      </c>
      <c r="J17" s="17">
        <f ca="1">VLOOKUP($H17,OFFSET(floors!$A$1,0,0,COUNTA(floors!$A:$A),MATCH(J$1,floors!$1:$1,0)-MATCH($H$1,floors!$1:$1,0)+1),MATCH(J$1,floors!$1:$1,0)-MATCH($H$1,floors!$1:$1,0)+1,FALSE)</f>
        <v>60</v>
      </c>
      <c r="K17" s="34" t="s">
        <v>53</v>
      </c>
      <c r="L17" s="115">
        <v>20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電子妖精 ティンク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Drop1W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human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120">
        <v>52</v>
      </c>
      <c r="S17" s="146">
        <v>1.2</v>
      </c>
      <c r="T17" s="146">
        <v>1</v>
      </c>
      <c r="U17" s="121">
        <v>0</v>
      </c>
      <c r="V17" s="17" t="e">
        <f ca="1">VLOOKUP($W17,OFFSET(enemy_skill_sets!$B$1,0,0,COUNTA(enemy_skill_sets!$B:$B),MATCH(M$1,enemy_skill_sets!$1:$1,0)-MATCH($W$1,enemy_skill_sets!$1:$1,0)+2),MATCH(M$1,enemy_skill_sets!$1:$1,0)-MATCH($W$1,enemy_skill_sets!$1:$1,0)+2,FALSE)</f>
        <v>#N/A</v>
      </c>
      <c r="W17" s="197">
        <f ca="1">VLOOKUP($L17,OFFSET([3]enemies!$A$1,0,0,COUNTA([3]enemies!$A:$A),MATCH(W$1,[3]enemies!$1:$1,0)-MATCH($L$1,[3]enemies!$1:$1,0)+1),MATCH(W$1,[3]enemies!$1:$1,0)-MATCH($L$1,[3]enemies!$1:$1,0)+1,FALSE)</f>
        <v>0</v>
      </c>
      <c r="X17" s="140">
        <v>0</v>
      </c>
      <c r="Y17" s="141">
        <v>100</v>
      </c>
      <c r="Z17" s="141">
        <v>0</v>
      </c>
      <c r="AA17" s="174">
        <v>3</v>
      </c>
      <c r="AB17" s="175">
        <f t="shared" si="13"/>
        <v>20</v>
      </c>
      <c r="AC17" s="17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電子妖精 ティンク</v>
      </c>
      <c r="AD17" s="17">
        <f ca="1">VLOOKUP($AB17,OFFSET([4]characters!$A$1,0,0,COUNTA([4]characters!$A:$A),MATCH(AD$1,[4]characters!$1:$1,0)-MATCH("character_id",[4]characters!$1:$1,0)+1),MATCH(AD$1,[4]characters!$1:$1,0)-MATCH("character_id",[4]characters!$1:$1,0)+1,FALSE)</f>
        <v>2</v>
      </c>
      <c r="AE17" s="17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Drop1W</v>
      </c>
      <c r="AF17" s="125">
        <v>1</v>
      </c>
      <c r="AG17" s="175">
        <f t="shared" ca="1" si="14"/>
        <v>2</v>
      </c>
      <c r="AH17" s="61">
        <v>20</v>
      </c>
      <c r="AI17" s="125">
        <v>0</v>
      </c>
      <c r="AJ17" s="125">
        <v>0</v>
      </c>
      <c r="AK17" s="125">
        <v>0</v>
      </c>
      <c r="AL17" s="125">
        <v>0</v>
      </c>
      <c r="AM17" s="125">
        <v>1</v>
      </c>
      <c r="AN17" s="204">
        <v>1</v>
      </c>
      <c r="AO17" s="172"/>
      <c r="AP17" s="172"/>
      <c r="AQ17" s="172"/>
      <c r="AR17" s="172"/>
      <c r="AS17" s="172"/>
      <c r="AT17" s="172"/>
      <c r="AU17" s="172"/>
      <c r="AV17" s="172"/>
      <c r="AW17" s="172"/>
      <c r="AX17" s="172"/>
      <c r="AY17" s="172"/>
      <c r="AZ17" s="172"/>
      <c r="BA17" s="172"/>
      <c r="BB17" s="172"/>
      <c r="BC17" s="172"/>
      <c r="BD17" s="172"/>
    </row>
    <row r="18" spans="1:56" s="61" customFormat="1" ht="21" customHeight="1" x14ac:dyDescent="0.15">
      <c r="A18" s="173" t="str">
        <f t="shared" ca="1" si="10"/>
        <v>15027_2-2/30&lt;lv52&gt;s2</v>
      </c>
      <c r="B18" s="105">
        <v>15027</v>
      </c>
      <c r="C18" s="106">
        <v>2</v>
      </c>
      <c r="D18" s="14" t="str">
        <f t="shared" si="11"/>
        <v>15027_2</v>
      </c>
      <c r="E18" s="17" t="str">
        <f ca="1">VLOOKUP($B18,OFFSET([2]quests!$A$1,0,0,COUNTA([2]quests!$A:$A),MATCH(E$1,[2]quests!$1:$1,0)-MATCH($B$1,[2]quests!$1:$1,0)+1),MATCH(E$1,[2]quests!$1:$1,0)-MATCH($B$1,[2]quests!$1:$1,0)+1,FALSE)</f>
        <v>27. 雷雨の登山道</v>
      </c>
      <c r="F18" s="17" t="str">
        <f ca="1">VLOOKUP($D18,OFFSET([2]stages!$A$1,0,0,COUNTA([2]stages!$A:$A),MATCH(F$1,[2]stages!$2:$2,0)-MATCH($D$1,[2]stages!$2:$2,0)+1),MATCH(F$1,[2]stages!$2:$2,0)-MATCH($D$1,[2]stages!$2:$2,0)+1,FALSE)</f>
        <v>27-2. 霊峰の守護者</v>
      </c>
      <c r="G18" s="106">
        <v>2</v>
      </c>
      <c r="H18" s="14" t="str">
        <f t="shared" si="12"/>
        <v>15027_2-2</v>
      </c>
      <c r="I18" s="17">
        <f ca="1">VLOOKUP($H18,OFFSET(floors!$A$1,0,0,COUNTA(floors!$A:$A),MATCH(I$1,floors!$1:$1,0)-MATCH($H$1,floors!$1:$1,0)+1),MATCH(I$1,floors!$1:$1,0)-MATCH($H$1,floors!$1:$1,0)+1,FALSE)</f>
        <v>45</v>
      </c>
      <c r="J18" s="17">
        <f ca="1">VLOOKUP($H18,OFFSET(floors!$A$1,0,0,COUNTA(floors!$A:$A),MATCH(J$1,floors!$1:$1,0)-MATCH($H$1,floors!$1:$1,0)+1),MATCH(J$1,floors!$1:$1,0)-MATCH($H$1,floors!$1:$1,0)+1,FALSE)</f>
        <v>60</v>
      </c>
      <c r="K18" s="34" t="s">
        <v>53</v>
      </c>
      <c r="L18" s="115">
        <v>30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護衛機人 スケアクロウ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machine</v>
      </c>
      <c r="Q18" s="17">
        <f ca="1">VLOOKUP($L18,OFFSET([3]enemies!$A$1,0,0,COUNTA([3]enemies!$A:$A),MATCH(Q$1,[3]enemies!$1:$1,0)-MATCH($L$1,[3]enemies!$1:$1,0)+1),MATCH(Q$1,[3]enemies!$1:$1,0)-MATCH($L$1,[3]enemies!$1:$1,0)+1,FALSE)</f>
        <v>15</v>
      </c>
      <c r="R18" s="120">
        <v>52</v>
      </c>
      <c r="S18" s="146">
        <v>1.2</v>
      </c>
      <c r="T18" s="146">
        <v>1</v>
      </c>
      <c r="U18" s="121">
        <v>0</v>
      </c>
      <c r="V18" s="17" t="e">
        <f ca="1">VLOOKUP($W18,OFFSET(enemy_skill_sets!$B$1,0,0,COUNTA(enemy_skill_sets!$B:$B),MATCH(M$1,enemy_skill_sets!$1:$1,0)-MATCH($W$1,enemy_skill_sets!$1:$1,0)+2),MATCH(M$1,enemy_skill_sets!$1:$1,0)-MATCH($W$1,enemy_skill_sets!$1:$1,0)+2,FALSE)</f>
        <v>#N/A</v>
      </c>
      <c r="W18" s="197">
        <v>0</v>
      </c>
      <c r="X18" s="140">
        <v>0</v>
      </c>
      <c r="Y18" s="141">
        <v>100</v>
      </c>
      <c r="Z18" s="141">
        <v>0</v>
      </c>
      <c r="AA18" s="17">
        <f ca="1">VLOOKUP($L18,OFFSET([3]enemies!$A$1,0,0,COUNTA([3]enemies!$A:$A),MATCH(AA$1,[3]enemies!$1:$1,0)-MATCH($L$1,[3]enemies!$1:$1,0)+1),MATCH(AA$1,[3]enemies!$1:$1,0)-MATCH($L$1,[3]enemies!$1:$1,0)+1,FALSE)</f>
        <v>2</v>
      </c>
      <c r="AB18" s="175">
        <f t="shared" si="13"/>
        <v>30</v>
      </c>
      <c r="AC18" s="17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護衛機人 スケアクロウ</v>
      </c>
      <c r="AD18" s="17">
        <f ca="1">VLOOKUP($AB18,OFFSET([4]characters!$A$1,0,0,COUNTA([4]characters!$A:$A),MATCH(AD$1,[4]characters!$1:$1,0)-MATCH("character_id",[4]characters!$1:$1,0)+1),MATCH(AD$1,[4]characters!$1:$1,0)-MATCH("character_id",[4]characters!$1:$1,0)+1,FALSE)</f>
        <v>2</v>
      </c>
      <c r="AE18" s="17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Drop1N</v>
      </c>
      <c r="AF18" s="125">
        <v>1</v>
      </c>
      <c r="AG18" s="175">
        <f t="shared" ca="1" si="14"/>
        <v>2</v>
      </c>
      <c r="AH18" s="61">
        <v>20</v>
      </c>
      <c r="AI18" s="125">
        <v>0</v>
      </c>
      <c r="AJ18" s="125">
        <v>0</v>
      </c>
      <c r="AK18" s="125">
        <v>0</v>
      </c>
      <c r="AL18" s="125">
        <v>0</v>
      </c>
      <c r="AM18" s="125">
        <v>1</v>
      </c>
      <c r="AN18" s="204">
        <v>1</v>
      </c>
      <c r="AO18" s="172"/>
      <c r="AP18" s="172"/>
      <c r="AQ18" s="172"/>
      <c r="AR18" s="172"/>
      <c r="AS18" s="172"/>
      <c r="AT18" s="172"/>
      <c r="AU18" s="172"/>
      <c r="AV18" s="172"/>
      <c r="AW18" s="172"/>
      <c r="AX18" s="172"/>
      <c r="AY18" s="172"/>
      <c r="AZ18" s="172"/>
      <c r="BA18" s="172"/>
      <c r="BB18" s="172"/>
      <c r="BC18" s="172"/>
      <c r="BD18" s="172"/>
    </row>
    <row r="19" spans="1:56" ht="21" customHeight="1" x14ac:dyDescent="0.15">
      <c r="A19" s="15" t="str">
        <f t="shared" si="10"/>
        <v>15027_2-2/32&lt;lv52&gt;s5</v>
      </c>
      <c r="B19" s="101">
        <v>15027</v>
      </c>
      <c r="C19" s="107">
        <v>2</v>
      </c>
      <c r="D19" s="155" t="str">
        <f t="shared" si="11"/>
        <v>15027_2</v>
      </c>
      <c r="E19" s="4" t="str">
        <f ca="1">VLOOKUP($B19,OFFSET([2]quests!$A$1,0,0,COUNTA([2]quests!$A:$A),MATCH(E$1,[2]quests!$1:$1,0)-MATCH($B$1,[2]quests!$1:$1,0)+1),MATCH(E$1,[2]quests!$1:$1,0)-MATCH($B$1,[2]quests!$1:$1,0)+1,FALSE)</f>
        <v>27. 雷雨の登山道</v>
      </c>
      <c r="F19" s="4" t="str">
        <f ca="1">VLOOKUP($D19,OFFSET([2]stages!$A$1,0,0,COUNTA([2]stages!$A:$A),MATCH(F$1,[2]stages!$2:$2,0)-MATCH($D$1,[2]stages!$2:$2,0)+1),MATCH(F$1,[2]stages!$2:$2,0)-MATCH($D$1,[2]stages!$2:$2,0)+1,FALSE)</f>
        <v>27-2. 霊峰の守護者</v>
      </c>
      <c r="G19" s="107">
        <v>2</v>
      </c>
      <c r="H19" s="155" t="str">
        <f t="shared" si="12"/>
        <v>15027_2-2</v>
      </c>
      <c r="I19" s="4">
        <f ca="1">VLOOKUP($H19,OFFSET(floors!$A$1,0,0,COUNTA(floors!$A:$A),MATCH(I$1,floors!$1:$1,0)-MATCH($H$1,floors!$1:$1,0)+1),MATCH(I$1,floors!$1:$1,0)-MATCH($H$1,floors!$1:$1,0)+1,FALSE)</f>
        <v>45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97" t="s">
        <v>53</v>
      </c>
      <c r="L19" s="117">
        <v>32</v>
      </c>
      <c r="M19" s="16" t="str">
        <f ca="1">VLOOKUP($L19,OFFSET([3]enemies!$A$1,0,0,COUNTA([3]enemies!$A:$A),MATCH(M$1,[3]enemies!$1:$1,0)-MATCH($L$1,[3]enemies!$1:$1,0)+1),MATCH(M$1,[3]enemies!$1:$1,0)-MATCH($L$1,[3]enemies!$1:$1,0)+1,FALSE)</f>
        <v>沈黙のジャミング マービー</v>
      </c>
      <c r="N19" s="16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6" t="str">
        <f ca="1">VLOOKUP($L19,OFFSET([4]characters!$A$1,0,0,COUNTA([4]characters!$A:$A),MATCH(O$1,[4]characters!$1:$1,0)-MATCH($L$1,[4]characters!$1:$1,0)+1),MATCH(O$1,[4]characters!$1:$1,0)-MATCH($L$1,[4]characters!$1:$1,0)+1,FALSE)</f>
        <v>Drop1N</v>
      </c>
      <c r="P19" s="16" t="str">
        <f ca="1">VLOOKUP($L19,OFFSET([3]enemies!$A$1,0,0,COUNTA([3]enemies!$A:$A),MATCH(P$1,[3]enemies!$1:$1,0)-MATCH($L$1,[3]enemies!$1:$1,0)+1),MATCH(P$1,[3]enemies!$1:$1,0)-MATCH($L$1,[3]enemies!$1:$1,0)+1,FALSE)</f>
        <v>machine</v>
      </c>
      <c r="Q19" s="16">
        <f ca="1">VLOOKUP($L19,OFFSET([3]enemies!$A$1,0,0,COUNTA([3]enemies!$A:$A),MATCH(Q$1,[3]enemies!$1:$1,0)-MATCH($L$1,[3]enemies!$1:$1,0)+1),MATCH(Q$1,[3]enemies!$1:$1,0)-MATCH($L$1,[3]enemies!$1:$1,0)+1,FALSE)</f>
        <v>15</v>
      </c>
      <c r="R19" s="120">
        <v>52</v>
      </c>
      <c r="S19" s="146">
        <v>1.2</v>
      </c>
      <c r="T19" s="146">
        <v>1</v>
      </c>
      <c r="U19" s="122">
        <v>0</v>
      </c>
      <c r="V19" s="4" t="e">
        <f ca="1">VLOOKUP($W19,OFFSET(enemy_skill_sets!$B$1,0,0,COUNTA(enemy_skill_sets!$B:$B),MATCH(M$1,enemy_skill_sets!$1:$1,0)-MATCH($W$1,enemy_skill_sets!$1:$1,0)+2),MATCH(M$1,enemy_skill_sets!$1:$1,0)-MATCH($W$1,enemy_skill_sets!$1:$1,0)+2,FALSE)</f>
        <v>#N/A</v>
      </c>
      <c r="W19" s="197">
        <f ca="1">VLOOKUP($L19,OFFSET([3]enemies!$A$1,0,0,COUNTA([3]enemies!$A:$A),MATCH(W$1,[3]enemies!$1:$1,0)-MATCH($L$1,[3]enemies!$1:$1,0)+1),MATCH(W$1,[3]enemies!$1:$1,0)-MATCH($L$1,[3]enemies!$1:$1,0)+1,FALSE)</f>
        <v>0</v>
      </c>
      <c r="X19" s="140">
        <v>0</v>
      </c>
      <c r="Y19" s="141">
        <v>100</v>
      </c>
      <c r="Z19" s="141">
        <v>0</v>
      </c>
      <c r="AA19" s="134">
        <v>5</v>
      </c>
      <c r="AB19" s="157">
        <f t="shared" si="13"/>
        <v>32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沈黙のジャミング マービー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2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Drop1N</v>
      </c>
      <c r="AF19" s="127">
        <v>1</v>
      </c>
      <c r="AG19" s="157">
        <f t="shared" ca="1" si="14"/>
        <v>2</v>
      </c>
      <c r="AH19" s="145">
        <v>20</v>
      </c>
      <c r="AI19" s="127">
        <v>0</v>
      </c>
      <c r="AJ19" s="127">
        <v>0</v>
      </c>
      <c r="AK19" s="127">
        <v>0</v>
      </c>
      <c r="AL19" s="127">
        <v>0</v>
      </c>
      <c r="AM19" s="127">
        <v>1</v>
      </c>
      <c r="AN19" s="206">
        <v>1</v>
      </c>
    </row>
    <row r="20" spans="1:56" ht="21" customHeight="1" x14ac:dyDescent="0.15">
      <c r="A20" s="15" t="str">
        <f t="shared" si="10"/>
        <v>15027_2-2/46&lt;lv52&gt;s3</v>
      </c>
      <c r="B20" s="101">
        <v>15027</v>
      </c>
      <c r="C20" s="106">
        <v>2</v>
      </c>
      <c r="D20" s="2" t="str">
        <f t="shared" si="11"/>
        <v>15027_2</v>
      </c>
      <c r="E20" s="4" t="str">
        <f ca="1">VLOOKUP($B20,OFFSET([2]quests!$A$1,0,0,COUNTA([2]quests!$A:$A),MATCH(E$1,[2]quests!$1:$1,0)-MATCH($B$1,[2]quests!$1:$1,0)+1),MATCH(E$1,[2]quests!$1:$1,0)-MATCH($B$1,[2]quests!$1:$1,0)+1,FALSE)</f>
        <v>27. 雷雨の登山道</v>
      </c>
      <c r="F20" s="4" t="str">
        <f ca="1">VLOOKUP($D20,OFFSET([2]stages!$A$1,0,0,COUNTA([2]stages!$A:$A),MATCH(F$1,[2]stages!$2:$2,0)-MATCH($D$1,[2]stages!$2:$2,0)+1),MATCH(F$1,[2]stages!$2:$2,0)-MATCH($D$1,[2]stages!$2:$2,0)+1,FALSE)</f>
        <v>27-2. 霊峰の守護者</v>
      </c>
      <c r="G20" s="106">
        <v>2</v>
      </c>
      <c r="H20" s="14" t="str">
        <f t="shared" si="12"/>
        <v>15027_2-2</v>
      </c>
      <c r="I20" s="4">
        <f ca="1">VLOOKUP($H20,OFFSET(floors!$A$1,0,0,COUNTA(floors!$A:$A),MATCH(I$1,floors!$1:$1,0)-MATCH($H$1,floors!$1:$1,0)+1),MATCH(I$1,floors!$1:$1,0)-MATCH($H$1,floors!$1:$1,0)+1,FALSE)</f>
        <v>45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4" t="s">
        <v>53</v>
      </c>
      <c r="L20" s="115">
        <v>46</v>
      </c>
      <c r="M20" s="16" t="str">
        <f ca="1">VLOOKUP($L20,OFFSET([3]enemies!$A$1,0,0,COUNTA([3]enemies!$A:$A),MATCH(M$1,[3]enemies!$1:$1,0)-MATCH($L$1,[3]enemies!$1:$1,0)+1),MATCH(M$1,[3]enemies!$1:$1,0)-MATCH($L$1,[3]enemies!$1:$1,0)+1,FALSE)</f>
        <v>微笑みの筆跡 ショウイン</v>
      </c>
      <c r="N20" s="16" t="str">
        <f ca="1">VLOOKUP($L20,OFFSET([3]enemies!$A$1,0,0,COUNTA([3]enemies!$A:$A),MATCH(N$1,[3]enemies!$1:$1,0)-MATCH($L$1,[3]enemies!$1:$1,0)+1),MATCH(N$1,[3]enemies!$1:$1,0)-MATCH($L$1,[3]enemies!$1:$1,0)+1,FALSE)</f>
        <v>blue</v>
      </c>
      <c r="O20" s="16" t="str">
        <f ca="1">VLOOKUP($L20,OFFSET([4]characters!$A$1,0,0,COUNTA([4]characters!$A:$A),MATCH(O$1,[4]characters!$1:$1,0)-MATCH($L$1,[4]characters!$1:$1,0)+1),MATCH(O$1,[4]characters!$1:$1,0)-MATCH($L$1,[4]characters!$1:$1,0)+1,FALSE)</f>
        <v>Drop1N</v>
      </c>
      <c r="P20" s="16" t="str">
        <f ca="1">VLOOKUP($L20,OFFSET([3]enemies!$A$1,0,0,COUNTA([3]enemies!$A:$A),MATCH(P$1,[3]enemies!$1:$1,0)-MATCH($L$1,[3]enemies!$1:$1,0)+1),MATCH(P$1,[3]enemies!$1:$1,0)-MATCH($L$1,[3]enemies!$1:$1,0)+1,FALSE)</f>
        <v>animal</v>
      </c>
      <c r="Q20" s="16">
        <f ca="1">VLOOKUP($L20,OFFSET([3]enemies!$A$1,0,0,COUNTA([3]enemies!$A:$A),MATCH(Q$1,[3]enemies!$1:$1,0)-MATCH($L$1,[3]enemies!$1:$1,0)+1),MATCH(Q$1,[3]enemies!$1:$1,0)-MATCH($L$1,[3]enemies!$1:$1,0)+1,FALSE)</f>
        <v>20</v>
      </c>
      <c r="R20" s="120">
        <v>52</v>
      </c>
      <c r="S20" s="146">
        <v>1.2</v>
      </c>
      <c r="T20" s="146">
        <v>1</v>
      </c>
      <c r="U20" s="5">
        <v>0</v>
      </c>
      <c r="V20" s="4" t="e">
        <f ca="1">VLOOKUP($W20,OFFSET(enemy_skill_sets!$B$1,0,0,COUNTA(enemy_skill_sets!$B:$B),MATCH(M$1,enemy_skill_sets!$1:$1,0)-MATCH($W$1,enemy_skill_sets!$1:$1,0)+2),MATCH(M$1,enemy_skill_sets!$1:$1,0)-MATCH($W$1,enemy_skill_sets!$1:$1,0)+2,FALSE)</f>
        <v>#N/A</v>
      </c>
      <c r="W20" s="197">
        <f ca="1">VLOOKUP($L20,OFFSET([3]enemies!$A$1,0,0,COUNTA([3]enemies!$A:$A),MATCH(W$1,[3]enemies!$1:$1,0)-MATCH($L$1,[3]enemies!$1:$1,0)+1),MATCH(W$1,[3]enemies!$1:$1,0)-MATCH($L$1,[3]enemies!$1:$1,0)+1,FALSE)</f>
        <v>0</v>
      </c>
      <c r="X20" s="140">
        <v>0</v>
      </c>
      <c r="Y20" s="141">
        <v>100</v>
      </c>
      <c r="Z20" s="141">
        <v>0</v>
      </c>
      <c r="AA20" s="134">
        <v>3</v>
      </c>
      <c r="AB20" s="20">
        <f t="shared" si="13"/>
        <v>46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微笑みの筆跡 ショウイン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3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Drop1N</v>
      </c>
      <c r="AF20" s="125">
        <v>1</v>
      </c>
      <c r="AG20" s="20">
        <f t="shared" ca="1" si="14"/>
        <v>3</v>
      </c>
      <c r="AH20" s="144">
        <v>20</v>
      </c>
      <c r="AI20" s="125">
        <v>0</v>
      </c>
      <c r="AJ20" s="125">
        <v>0</v>
      </c>
      <c r="AK20" s="125">
        <v>0</v>
      </c>
      <c r="AL20" s="125">
        <v>0</v>
      </c>
      <c r="AM20" s="125">
        <v>1</v>
      </c>
      <c r="AN20" s="204">
        <v>1</v>
      </c>
    </row>
    <row r="21" spans="1:56" ht="21" customHeight="1" x14ac:dyDescent="0.15">
      <c r="A21" s="15" t="str">
        <f t="shared" si="10"/>
        <v>15027_2-2/48&lt;lv52&gt;s2</v>
      </c>
      <c r="B21" s="101">
        <v>15027</v>
      </c>
      <c r="C21" s="107">
        <v>2</v>
      </c>
      <c r="D21" s="2" t="str">
        <f t="shared" si="11"/>
        <v>15027_2</v>
      </c>
      <c r="E21" s="4" t="str">
        <f ca="1">VLOOKUP($B21,OFFSET([2]quests!$A$1,0,0,COUNTA([2]quests!$A:$A),MATCH(E$1,[2]quests!$1:$1,0)-MATCH($B$1,[2]quests!$1:$1,0)+1),MATCH(E$1,[2]quests!$1:$1,0)-MATCH($B$1,[2]quests!$1:$1,0)+1,FALSE)</f>
        <v>27. 雷雨の登山道</v>
      </c>
      <c r="F21" s="4" t="str">
        <f ca="1">VLOOKUP($D21,OFFSET([2]stages!$A$1,0,0,COUNTA([2]stages!$A:$A),MATCH(F$1,[2]stages!$2:$2,0)-MATCH($D$1,[2]stages!$2:$2,0)+1),MATCH(F$1,[2]stages!$2:$2,0)-MATCH($D$1,[2]stages!$2:$2,0)+1,FALSE)</f>
        <v>27-2. 霊峰の守護者</v>
      </c>
      <c r="G21" s="107">
        <v>2</v>
      </c>
      <c r="H21" s="14" t="str">
        <f t="shared" si="12"/>
        <v>15027_2-2</v>
      </c>
      <c r="I21" s="4">
        <f ca="1">VLOOKUP($H21,OFFSET(floors!$A$1,0,0,COUNTA(floors!$A:$A),MATCH(I$1,floors!$1:$1,0)-MATCH($H$1,floors!$1:$1,0)+1),MATCH(I$1,floors!$1:$1,0)-MATCH($H$1,floors!$1:$1,0)+1,FALSE)</f>
        <v>45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97" t="s">
        <v>53</v>
      </c>
      <c r="L21" s="117">
        <v>48</v>
      </c>
      <c r="M21" s="16" t="str">
        <f ca="1">VLOOKUP($L21,OFFSET([3]enemies!$A$1,0,0,COUNTA([3]enemies!$A:$A),MATCH(M$1,[3]enemies!$1:$1,0)-MATCH($L$1,[3]enemies!$1:$1,0)+1),MATCH(M$1,[3]enemies!$1:$1,0)-MATCH($L$1,[3]enemies!$1:$1,0)+1,FALSE)</f>
        <v>サンダーステップのヒロ</v>
      </c>
      <c r="N21" s="16" t="str">
        <f ca="1">VLOOKUP($L21,OFFSET([3]enemies!$A$1,0,0,COUNTA([3]enemies!$A:$A),MATCH(N$1,[3]enemies!$1:$1,0)-MATCH($L$1,[3]enemies!$1:$1,0)+1),MATCH(N$1,[3]enemies!$1:$1,0)-MATCH($L$1,[3]enemies!$1:$1,0)+1,FALSE)</f>
        <v>yellow</v>
      </c>
      <c r="O21" s="16" t="str">
        <f ca="1">VLOOKUP($L21,OFFSET([4]characters!$A$1,0,0,COUNTA([4]characters!$A:$A),MATCH(O$1,[4]characters!$1:$1,0)-MATCH($L$1,[4]characters!$1:$1,0)+1),MATCH(O$1,[4]characters!$1:$1,0)-MATCH($L$1,[4]characters!$1:$1,0)+1,FALSE)</f>
        <v>Drop1N</v>
      </c>
      <c r="P21" s="16" t="str">
        <f ca="1">VLOOKUP($L21,OFFSET([3]enemies!$A$1,0,0,COUNTA([3]enemies!$A:$A),MATCH(P$1,[3]enemies!$1:$1,0)-MATCH($L$1,[3]enemies!$1:$1,0)+1),MATCH(P$1,[3]enemies!$1:$1,0)-MATCH($L$1,[3]enemies!$1:$1,0)+1,FALSE)</f>
        <v>animal</v>
      </c>
      <c r="Q21" s="16">
        <f ca="1">VLOOKUP($L21,OFFSET([3]enemies!$A$1,0,0,COUNTA([3]enemies!$A:$A),MATCH(Q$1,[3]enemies!$1:$1,0)-MATCH($L$1,[3]enemies!$1:$1,0)+1),MATCH(Q$1,[3]enemies!$1:$1,0)-MATCH($L$1,[3]enemies!$1:$1,0)+1,FALSE)</f>
        <v>20</v>
      </c>
      <c r="R21" s="120">
        <v>52</v>
      </c>
      <c r="S21" s="136">
        <v>1</v>
      </c>
      <c r="T21" s="136">
        <v>1</v>
      </c>
      <c r="U21" s="122">
        <v>0</v>
      </c>
      <c r="V21" s="4" t="e">
        <f ca="1">VLOOKUP($W21,OFFSET(enemy_skill_sets!$B$1,0,0,COUNTA(enemy_skill_sets!$B:$B),MATCH(M$1,enemy_skill_sets!$1:$1,0)-MATCH($W$1,enemy_skill_sets!$1:$1,0)+2),MATCH(M$1,enemy_skill_sets!$1:$1,0)-MATCH($W$1,enemy_skill_sets!$1:$1,0)+2,FALSE)</f>
        <v>#N/A</v>
      </c>
      <c r="W21" s="197">
        <f ca="1">VLOOKUP($L21,OFFSET([3]enemies!$A$1,0,0,COUNTA([3]enemies!$A:$A),MATCH(W$1,[3]enemies!$1:$1,0)-MATCH($L$1,[3]enemies!$1:$1,0)+1),MATCH(W$1,[3]enemies!$1:$1,0)-MATCH($L$1,[3]enemies!$1:$1,0)+1,FALSE)</f>
        <v>0</v>
      </c>
      <c r="X21" s="140">
        <v>0</v>
      </c>
      <c r="Y21" s="142">
        <v>100</v>
      </c>
      <c r="Z21" s="141">
        <v>0</v>
      </c>
      <c r="AA21" s="134">
        <v>2</v>
      </c>
      <c r="AB21" s="20">
        <f t="shared" si="13"/>
        <v>48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サンダーステップのヒロ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3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Drop1N</v>
      </c>
      <c r="AF21" s="127">
        <v>1</v>
      </c>
      <c r="AG21" s="20">
        <f t="shared" ca="1" si="14"/>
        <v>3</v>
      </c>
      <c r="AH21" s="130">
        <v>20</v>
      </c>
      <c r="AI21" s="127">
        <v>0</v>
      </c>
      <c r="AJ21" s="127">
        <v>0</v>
      </c>
      <c r="AK21" s="127">
        <v>0</v>
      </c>
      <c r="AL21" s="127">
        <v>0</v>
      </c>
      <c r="AM21" s="127">
        <v>1</v>
      </c>
      <c r="AN21" s="206">
        <v>1</v>
      </c>
    </row>
    <row r="22" spans="1:56" ht="21" customHeight="1" x14ac:dyDescent="0.15">
      <c r="A22" s="15" t="str">
        <f t="shared" si="10"/>
        <v>15027_2-3/92&lt;lv54&gt;s2</v>
      </c>
      <c r="B22" s="101">
        <v>15027</v>
      </c>
      <c r="C22" s="107">
        <v>2</v>
      </c>
      <c r="D22" s="2" t="str">
        <f t="shared" si="11"/>
        <v>15027_2</v>
      </c>
      <c r="E22" s="4" t="str">
        <f ca="1">VLOOKUP($B22,OFFSET([2]quests!$A$1,0,0,COUNTA([2]quests!$A:$A),MATCH(E$1,[2]quests!$1:$1,0)-MATCH($B$1,[2]quests!$1:$1,0)+1),MATCH(E$1,[2]quests!$1:$1,0)-MATCH($B$1,[2]quests!$1:$1,0)+1,FALSE)</f>
        <v>27. 雷雨の登山道</v>
      </c>
      <c r="F22" s="4" t="str">
        <f ca="1">VLOOKUP($D22,OFFSET([2]stages!$A$1,0,0,COUNTA([2]stages!$A:$A),MATCH(F$1,[2]stages!$2:$2,0)-MATCH($D$1,[2]stages!$2:$2,0)+1),MATCH(F$1,[2]stages!$2:$2,0)-MATCH($D$1,[2]stages!$2:$2,0)+1,FALSE)</f>
        <v>27-2. 霊峰の守護者</v>
      </c>
      <c r="G22" s="110">
        <v>3</v>
      </c>
      <c r="H22" s="14" t="str">
        <f t="shared" si="12"/>
        <v>15027_2-3</v>
      </c>
      <c r="I22" s="4">
        <f ca="1">VLOOKUP($H22,OFFSET(floors!$A$1,0,0,COUNTA(floors!$A:$A),MATCH(I$1,floors!$1:$1,0)-MATCH($H$1,floors!$1:$1,0)+1),MATCH(I$1,floors!$1:$1,0)-MATCH($H$1,floors!$1:$1,0)+1,FALSE)</f>
        <v>45</v>
      </c>
      <c r="J22" s="4">
        <f ca="1">VLOOKUP($H22,OFFSET(floors!$A$1,0,0,COUNTA(floors!$A:$A),MATCH(J$1,floors!$1:$1,0)-MATCH($H$1,floors!$1:$1,0)+1),MATCH(J$1,floors!$1:$1,0)-MATCH($H$1,floors!$1:$1,0)+1,FALSE)</f>
        <v>45</v>
      </c>
      <c r="K22" s="97" t="s">
        <v>53</v>
      </c>
      <c r="L22" s="117">
        <v>92</v>
      </c>
      <c r="M22" s="16" t="str">
        <f ca="1">VLOOKUP($L22,OFFSET([3]enemies!$A$1,0,0,COUNTA([3]enemies!$A:$A),MATCH(M$1,[3]enemies!$1:$1,0)-MATCH($L$1,[3]enemies!$1:$1,0)+1),MATCH(M$1,[3]enemies!$1:$1,0)-MATCH($L$1,[3]enemies!$1:$1,0)+1,FALSE)</f>
        <v>守護者 青龍</v>
      </c>
      <c r="N22" s="16" t="str">
        <f ca="1">VLOOKUP($L22,OFFSET([3]enemies!$A$1,0,0,COUNTA([3]enemies!$A:$A),MATCH(N$1,[3]enemies!$1:$1,0)-MATCH($L$1,[3]enemies!$1:$1,0)+1),MATCH(N$1,[3]enemies!$1:$1,0)-MATCH($L$1,[3]enemies!$1:$1,0)+1,FALSE)</f>
        <v>blue</v>
      </c>
      <c r="O22" s="16" t="str">
        <f ca="1">VLOOKUP($L22,OFFSET([4]characters!$A$1,0,0,COUNTA([4]characters!$A:$A),MATCH(O$1,[4]characters!$1:$1,0)-MATCH($L$1,[4]characters!$1:$1,0)+1),MATCH(O$1,[4]characters!$1:$1,0)-MATCH($L$1,[4]characters!$1:$1,0)+1,FALSE)</f>
        <v>Drop2N</v>
      </c>
      <c r="P22" s="16" t="str">
        <f ca="1">VLOOKUP($L22,OFFSET([3]enemies!$A$1,0,0,COUNTA([3]enemies!$A:$A),MATCH(P$1,[3]enemies!$1:$1,0)-MATCH($L$1,[3]enemies!$1:$1,0)+1),MATCH(P$1,[3]enemies!$1:$1,0)-MATCH($L$1,[3]enemies!$1:$1,0)+1,FALSE)</f>
        <v>dragon</v>
      </c>
      <c r="Q22" s="16">
        <f ca="1">VLOOKUP($L22,OFFSET([3]enemies!$A$1,0,0,COUNTA([3]enemies!$A:$A),MATCH(Q$1,[3]enemies!$1:$1,0)-MATCH($L$1,[3]enemies!$1:$1,0)+1),MATCH(Q$1,[3]enemies!$1:$1,0)-MATCH($L$1,[3]enemies!$1:$1,0)+1,FALSE)</f>
        <v>30</v>
      </c>
      <c r="R22" s="120">
        <v>54</v>
      </c>
      <c r="S22" s="135">
        <v>1.5</v>
      </c>
      <c r="T22" s="135">
        <v>1</v>
      </c>
      <c r="U22" s="122">
        <v>0</v>
      </c>
      <c r="V22" s="4" t="str">
        <f ca="1">VLOOKUP($W22,OFFSET(enemy_skill_sets!$B$1,0,0,COUNTA(enemy_skill_sets!$B:$B),MATCH(M$1,enemy_skill_sets!$1:$1,0)-MATCH($W$1,enemy_skill_sets!$1:$1,0)+2),MATCH(M$1,enemy_skill_sets!$1:$1,0)-MATCH($W$1,enemy_skill_sets!$1:$1,0)+2,FALSE)</f>
        <v>種族アニマルのユニットに大ダメージ_x000D_＆5ターンスキルバインド</v>
      </c>
      <c r="W22" s="197">
        <v>15027007</v>
      </c>
      <c r="X22" s="140">
        <v>0</v>
      </c>
      <c r="Y22" s="142">
        <v>100</v>
      </c>
      <c r="Z22" s="141">
        <v>0</v>
      </c>
      <c r="AA22" s="16">
        <v>2</v>
      </c>
      <c r="AB22" s="20">
        <f t="shared" si="13"/>
        <v>92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守護者 青龍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4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Drop2N</v>
      </c>
      <c r="AF22" s="127">
        <v>1</v>
      </c>
      <c r="AG22" s="20">
        <f t="shared" ca="1" si="14"/>
        <v>4</v>
      </c>
      <c r="AH22" s="130">
        <v>0</v>
      </c>
      <c r="AI22" s="127">
        <v>0</v>
      </c>
      <c r="AJ22" s="127">
        <v>0</v>
      </c>
      <c r="AK22" s="127">
        <v>0</v>
      </c>
      <c r="AL22" s="127">
        <v>0</v>
      </c>
      <c r="AM22" s="127">
        <v>1</v>
      </c>
      <c r="AN22" s="206">
        <v>1</v>
      </c>
    </row>
    <row r="23" spans="1:56" ht="21" customHeight="1" x14ac:dyDescent="0.15">
      <c r="A23" s="15" t="str">
        <f t="shared" ref="A23" si="20">B23&amp;"_"&amp;C23&amp;"-"&amp;G23&amp;"/"&amp;L23&amp;"&lt;lv"&amp;R23&amp;"&gt;s"&amp;AA23</f>
        <v>15027_2-3/95&lt;lv54&gt;s2</v>
      </c>
      <c r="B23" s="101">
        <v>15027</v>
      </c>
      <c r="C23" s="107">
        <v>2</v>
      </c>
      <c r="D23" s="2" t="str">
        <f t="shared" ref="D23" si="21">B23&amp;"_"&amp;C23</f>
        <v>15027_2</v>
      </c>
      <c r="E23" s="4" t="str">
        <f ca="1">VLOOKUP($B23,OFFSET([2]quests!$A$1,0,0,COUNTA([2]quests!$A:$A),MATCH(E$1,[2]quests!$1:$1,0)-MATCH($B$1,[2]quests!$1:$1,0)+1),MATCH(E$1,[2]quests!$1:$1,0)-MATCH($B$1,[2]quests!$1:$1,0)+1,FALSE)</f>
        <v>27. 雷雨の登山道</v>
      </c>
      <c r="F23" s="4" t="str">
        <f ca="1">VLOOKUP($D23,OFFSET([2]stages!$A$1,0,0,COUNTA([2]stages!$A:$A),MATCH(F$1,[2]stages!$2:$2,0)-MATCH($D$1,[2]stages!$2:$2,0)+1),MATCH(F$1,[2]stages!$2:$2,0)-MATCH($D$1,[2]stages!$2:$2,0)+1,FALSE)</f>
        <v>27-2. 霊峰の守護者</v>
      </c>
      <c r="G23" s="110">
        <v>3</v>
      </c>
      <c r="H23" s="14" t="str">
        <f t="shared" ref="H23" si="22">B23&amp;"_"&amp;C23&amp;"-"&amp;G23</f>
        <v>15027_2-3</v>
      </c>
      <c r="I23" s="4">
        <f ca="1">VLOOKUP($H23,OFFSET(floors!$A$1,0,0,COUNTA(floors!$A:$A),MATCH(I$1,floors!$1:$1,0)-MATCH($H$1,floors!$1:$1,0)+1),MATCH(I$1,floors!$1:$1,0)-MATCH($H$1,floors!$1:$1,0)+1,FALSE)</f>
        <v>45</v>
      </c>
      <c r="J23" s="4">
        <f ca="1">VLOOKUP($H23,OFFSET(floors!$A$1,0,0,COUNTA(floors!$A:$A),MATCH(J$1,floors!$1:$1,0)-MATCH($H$1,floors!$1:$1,0)+1),MATCH(J$1,floors!$1:$1,0)-MATCH($H$1,floors!$1:$1,0)+1,FALSE)</f>
        <v>45</v>
      </c>
      <c r="K23" s="97" t="s">
        <v>53</v>
      </c>
      <c r="L23" s="117">
        <v>95</v>
      </c>
      <c r="M23" s="16" t="str">
        <f ca="1">VLOOKUP($L23,OFFSET([3]enemies!$A$1,0,0,COUNTA([3]enemies!$A:$A),MATCH(M$1,[3]enemies!$1:$1,0)-MATCH($L$1,[3]enemies!$1:$1,0)+1),MATCH(M$1,[3]enemies!$1:$1,0)-MATCH($L$1,[3]enemies!$1:$1,0)+1,FALSE)</f>
        <v>守護者 白虎</v>
      </c>
      <c r="N23" s="16" t="str">
        <f ca="1">VLOOKUP($L23,OFFSET([3]enemies!$A$1,0,0,COUNTA([3]enemies!$A:$A),MATCH(N$1,[3]enemies!$1:$1,0)-MATCH($L$1,[3]enemies!$1:$1,0)+1),MATCH(N$1,[3]enemies!$1:$1,0)-MATCH($L$1,[3]enemies!$1:$1,0)+1,FALSE)</f>
        <v>yellow</v>
      </c>
      <c r="O23" s="16" t="str">
        <f ca="1">VLOOKUP($L23,OFFSET([4]characters!$A$1,0,0,COUNTA([4]characters!$A:$A),MATCH(O$1,[4]characters!$1:$1,0)-MATCH($L$1,[4]characters!$1:$1,0)+1),MATCH(O$1,[4]characters!$1:$1,0)-MATCH($L$1,[4]characters!$1:$1,0)+1,FALSE)</f>
        <v>Drop2N</v>
      </c>
      <c r="P23" s="16" t="str">
        <f ca="1">VLOOKUP($L23,OFFSET([3]enemies!$A$1,0,0,COUNTA([3]enemies!$A:$A),MATCH(P$1,[3]enemies!$1:$1,0)-MATCH($L$1,[3]enemies!$1:$1,0)+1),MATCH(P$1,[3]enemies!$1:$1,0)-MATCH($L$1,[3]enemies!$1:$1,0)+1,FALSE)</f>
        <v>animal</v>
      </c>
      <c r="Q23" s="16">
        <f ca="1">VLOOKUP($L23,OFFSET([3]enemies!$A$1,0,0,COUNTA([3]enemies!$A:$A),MATCH(Q$1,[3]enemies!$1:$1,0)-MATCH($L$1,[3]enemies!$1:$1,0)+1),MATCH(Q$1,[3]enemies!$1:$1,0)-MATCH($L$1,[3]enemies!$1:$1,0)+1,FALSE)</f>
        <v>30</v>
      </c>
      <c r="R23" s="120">
        <v>54</v>
      </c>
      <c r="S23" s="135">
        <v>1.5</v>
      </c>
      <c r="T23" s="135">
        <v>0.3</v>
      </c>
      <c r="U23" s="122">
        <v>0</v>
      </c>
      <c r="V23" s="4" t="str">
        <f ca="1">VLOOKUP($W23,OFFSET(enemy_skill_sets!$B$1,0,0,COUNTA(enemy_skill_sets!$B:$B),MATCH(M$1,enemy_skill_sets!$1:$1,0)-MATCH($W$1,enemy_skill_sets!$1:$1,0)+2),MATCH(M$1,enemy_skill_sets!$1:$1,0)-MATCH($W$1,enemy_skill_sets!$1:$1,0)+2,FALSE)</f>
        <v>テクニカルタイプのユニットに大ダメージ</v>
      </c>
      <c r="W23" s="197">
        <v>15027008</v>
      </c>
      <c r="X23" s="140">
        <v>0</v>
      </c>
      <c r="Y23" s="142">
        <v>100</v>
      </c>
      <c r="Z23" s="141">
        <v>0</v>
      </c>
      <c r="AA23" s="134">
        <v>2</v>
      </c>
      <c r="AB23" s="20">
        <f t="shared" ref="AB23" si="23">L23</f>
        <v>95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守護者 白虎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4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Drop2N</v>
      </c>
      <c r="AF23" s="127">
        <v>1</v>
      </c>
      <c r="AG23" s="20">
        <f t="shared" ref="AG23" ca="1" si="24">AD23</f>
        <v>4</v>
      </c>
      <c r="AH23" s="145">
        <v>0</v>
      </c>
      <c r="AI23" s="127">
        <v>0</v>
      </c>
      <c r="AJ23" s="127">
        <v>0</v>
      </c>
      <c r="AK23" s="127">
        <v>0</v>
      </c>
      <c r="AL23" s="127">
        <v>0</v>
      </c>
      <c r="AM23" s="127">
        <v>1</v>
      </c>
      <c r="AN23" s="206">
        <v>1</v>
      </c>
    </row>
    <row r="24" spans="1:56" ht="21" customHeight="1" x14ac:dyDescent="0.15">
      <c r="A24" s="15" t="str">
        <f t="shared" ref="A24" si="25">B24&amp;"_"&amp;C24&amp;"-"&amp;G24&amp;"/"&amp;L24&amp;"&lt;lv"&amp;R24&amp;"&gt;s"&amp;AA24</f>
        <v>15027_2-3/352&lt;lv54&gt;s3</v>
      </c>
      <c r="B24" s="101">
        <v>15027</v>
      </c>
      <c r="C24" s="107">
        <v>2</v>
      </c>
      <c r="D24" s="2" t="str">
        <f t="shared" ref="D24" si="26">B24&amp;"_"&amp;C24</f>
        <v>15027_2</v>
      </c>
      <c r="E24" s="4" t="str">
        <f ca="1">VLOOKUP($B24,OFFSET([2]quests!$A$1,0,0,COUNTA([2]quests!$A:$A),MATCH(E$1,[2]quests!$1:$1,0)-MATCH($B$1,[2]quests!$1:$1,0)+1),MATCH(E$1,[2]quests!$1:$1,0)-MATCH($B$1,[2]quests!$1:$1,0)+1,FALSE)</f>
        <v>27. 雷雨の登山道</v>
      </c>
      <c r="F24" s="4" t="str">
        <f ca="1">VLOOKUP($D24,OFFSET([2]stages!$A$1,0,0,COUNTA([2]stages!$A:$A),MATCH(F$1,[2]stages!$2:$2,0)-MATCH($D$1,[2]stages!$2:$2,0)+1),MATCH(F$1,[2]stages!$2:$2,0)-MATCH($D$1,[2]stages!$2:$2,0)+1,FALSE)</f>
        <v>27-2. 霊峰の守護者</v>
      </c>
      <c r="G24" s="111">
        <v>3</v>
      </c>
      <c r="H24" s="14" t="str">
        <f t="shared" ref="H24" si="27">B24&amp;"_"&amp;C24&amp;"-"&amp;G24</f>
        <v>15027_2-3</v>
      </c>
      <c r="I24" s="4">
        <f ca="1">VLOOKUP($H24,OFFSET(floors!$A$1,0,0,COUNTA(floors!$A:$A),MATCH(I$1,floors!$1:$1,0)-MATCH($H$1,floors!$1:$1,0)+1),MATCH(I$1,floors!$1:$1,0)-MATCH($H$1,floors!$1:$1,0)+1,FALSE)</f>
        <v>45</v>
      </c>
      <c r="J24" s="4">
        <f ca="1">VLOOKUP($H24,OFFSET(floors!$A$1,0,0,COUNTA(floors!$A:$A),MATCH(J$1,floors!$1:$1,0)-MATCH($H$1,floors!$1:$1,0)+1),MATCH(J$1,floors!$1:$1,0)-MATCH($H$1,floors!$1:$1,0)+1,FALSE)</f>
        <v>45</v>
      </c>
      <c r="K24" s="97" t="s">
        <v>53</v>
      </c>
      <c r="L24" s="117">
        <v>352</v>
      </c>
      <c r="M24" s="16" t="str">
        <f ca="1">VLOOKUP($L24,OFFSET([3]enemies!$A$1,0,0,COUNTA([3]enemies!$A:$A),MATCH(M$1,[3]enemies!$1:$1,0)-MATCH($L$1,[3]enemies!$1:$1,0)+1),MATCH(M$1,[3]enemies!$1:$1,0)-MATCH($L$1,[3]enemies!$1:$1,0)+1,FALSE)</f>
        <v>水のケロケロ</v>
      </c>
      <c r="N24" s="16" t="str">
        <f ca="1">VLOOKUP($L24,OFFSET([3]enemies!$A$1,0,0,COUNTA([3]enemies!$A:$A),MATCH(N$1,[3]enemies!$1:$1,0)-MATCH($L$1,[3]enemies!$1:$1,0)+1),MATCH(N$1,[3]enemies!$1:$1,0)-MATCH($L$1,[3]enemies!$1:$1,0)+1,FALSE)</f>
        <v>blue</v>
      </c>
      <c r="O24" s="16" t="str">
        <f ca="1">VLOOKUP($L24,OFFSET([4]characters!$A$1,0,0,COUNTA([4]characters!$A:$A),MATCH(O$1,[4]characters!$1:$1,0)-MATCH($L$1,[4]characters!$1:$1,0)+1),MATCH(O$1,[4]characters!$1:$1,0)-MATCH($L$1,[4]characters!$1:$1,0)+1,FALSE)</f>
        <v>Material</v>
      </c>
      <c r="P24" s="16" t="str">
        <f ca="1">VLOOKUP($L24,OFFSET([3]enemies!$A$1,0,0,COUNTA([3]enemies!$A:$A),MATCH(P$1,[3]enemies!$1:$1,0)-MATCH($L$1,[3]enemies!$1:$1,0)+1),MATCH(P$1,[3]enemies!$1:$1,0)-MATCH($L$1,[3]enemies!$1:$1,0)+1,FALSE)</f>
        <v>unknown</v>
      </c>
      <c r="Q24" s="16">
        <f ca="1">VLOOKUP($L24,OFFSET([3]enemies!$A$1,0,0,COUNTA([3]enemies!$A:$A),MATCH(Q$1,[3]enemies!$1:$1,0)-MATCH($L$1,[3]enemies!$1:$1,0)+1),MATCH(Q$1,[3]enemies!$1:$1,0)-MATCH($L$1,[3]enemies!$1:$1,0)+1,FALSE)</f>
        <v>15</v>
      </c>
      <c r="R24" s="120">
        <v>54</v>
      </c>
      <c r="S24" s="136">
        <v>1</v>
      </c>
      <c r="T24" s="136">
        <v>1</v>
      </c>
      <c r="U24" s="122">
        <v>0</v>
      </c>
      <c r="V24" s="4" t="e">
        <f ca="1">VLOOKUP($W24,OFFSET(enemy_skill_sets!$B$1,0,0,COUNTA(enemy_skill_sets!$B:$B),MATCH(M$1,enemy_skill_sets!$1:$1,0)-MATCH($W$1,enemy_skill_sets!$1:$1,0)+2),MATCH(M$1,enemy_skill_sets!$1:$1,0)-MATCH($W$1,enemy_skill_sets!$1:$1,0)+2,FALSE)</f>
        <v>#N/A</v>
      </c>
      <c r="W24" s="197">
        <v>0</v>
      </c>
      <c r="X24" s="140">
        <v>0</v>
      </c>
      <c r="Y24" s="142">
        <v>100</v>
      </c>
      <c r="Z24" s="142">
        <v>1</v>
      </c>
      <c r="AA24" s="134">
        <v>3</v>
      </c>
      <c r="AB24" s="20">
        <f t="shared" ref="AB24" si="28">L24</f>
        <v>352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水のケロケロ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2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4" s="125">
        <v>10</v>
      </c>
      <c r="AG24" s="20">
        <f t="shared" ref="AG24" ca="1" si="29">AD24</f>
        <v>2</v>
      </c>
      <c r="AH24" s="145">
        <v>20</v>
      </c>
      <c r="AI24" s="127">
        <v>0</v>
      </c>
      <c r="AJ24" s="127">
        <v>0</v>
      </c>
      <c r="AK24" s="127">
        <v>0</v>
      </c>
      <c r="AL24" s="127">
        <v>0</v>
      </c>
      <c r="AM24" s="127">
        <v>1</v>
      </c>
      <c r="AN24" s="206">
        <v>1</v>
      </c>
    </row>
    <row r="25" spans="1:56" ht="21" customHeight="1" x14ac:dyDescent="0.15">
      <c r="A25" s="15" t="str">
        <f t="shared" ref="A25:A27" si="30">B25&amp;"_"&amp;C25&amp;"-"&amp;G25&amp;"/"&amp;L25&amp;"&lt;lv"&amp;R25&amp;"&gt;s"&amp;AA25</f>
        <v>15027_2-3/354&lt;lv54&gt;s3</v>
      </c>
      <c r="B25" s="101">
        <v>15027</v>
      </c>
      <c r="C25" s="107">
        <v>2</v>
      </c>
      <c r="D25" s="2" t="str">
        <f t="shared" ref="D25:D27" si="31">B25&amp;"_"&amp;C25</f>
        <v>15027_2</v>
      </c>
      <c r="E25" s="4" t="str">
        <f ca="1">VLOOKUP($B25,OFFSET([2]quests!$A$1,0,0,COUNTA([2]quests!$A:$A),MATCH(E$1,[2]quests!$1:$1,0)-MATCH($B$1,[2]quests!$1:$1,0)+1),MATCH(E$1,[2]quests!$1:$1,0)-MATCH($B$1,[2]quests!$1:$1,0)+1,FALSE)</f>
        <v>27. 雷雨の登山道</v>
      </c>
      <c r="F25" s="4" t="str">
        <f ca="1">VLOOKUP($D25,OFFSET([2]stages!$A$1,0,0,COUNTA([2]stages!$A:$A),MATCH(F$1,[2]stages!$2:$2,0)-MATCH($D$1,[2]stages!$2:$2,0)+1),MATCH(F$1,[2]stages!$2:$2,0)-MATCH($D$1,[2]stages!$2:$2,0)+1,FALSE)</f>
        <v>27-2. 霊峰の守護者</v>
      </c>
      <c r="G25" s="111">
        <v>3</v>
      </c>
      <c r="H25" s="14" t="str">
        <f t="shared" ref="H25:H27" si="32">B25&amp;"_"&amp;C25&amp;"-"&amp;G25</f>
        <v>15027_2-3</v>
      </c>
      <c r="I25" s="4">
        <f ca="1">VLOOKUP($H25,OFFSET(floors!$A$1,0,0,COUNTA(floors!$A:$A),MATCH(I$1,floors!$1:$1,0)-MATCH($H$1,floors!$1:$1,0)+1),MATCH(I$1,floors!$1:$1,0)-MATCH($H$1,floors!$1:$1,0)+1,FALSE)</f>
        <v>45</v>
      </c>
      <c r="J25" s="4">
        <f ca="1">VLOOKUP($H25,OFFSET(floors!$A$1,0,0,COUNTA(floors!$A:$A),MATCH(J$1,floors!$1:$1,0)-MATCH($H$1,floors!$1:$1,0)+1),MATCH(J$1,floors!$1:$1,0)-MATCH($H$1,floors!$1:$1,0)+1,FALSE)</f>
        <v>45</v>
      </c>
      <c r="K25" s="97" t="s">
        <v>53</v>
      </c>
      <c r="L25" s="117">
        <v>354</v>
      </c>
      <c r="M25" s="16" t="str">
        <f ca="1">VLOOKUP($L25,OFFSET([3]enemies!$A$1,0,0,COUNTA([3]enemies!$A:$A),MATCH(M$1,[3]enemies!$1:$1,0)-MATCH($L$1,[3]enemies!$1:$1,0)+1),MATCH(M$1,[3]enemies!$1:$1,0)-MATCH($L$1,[3]enemies!$1:$1,0)+1,FALSE)</f>
        <v>雷のケロケロ</v>
      </c>
      <c r="N25" s="16" t="str">
        <f ca="1">VLOOKUP($L25,OFFSET([3]enemies!$A$1,0,0,COUNTA([3]enemies!$A:$A),MATCH(N$1,[3]enemies!$1:$1,0)-MATCH($L$1,[3]enemies!$1:$1,0)+1),MATCH(N$1,[3]enemies!$1:$1,0)-MATCH($L$1,[3]enemies!$1:$1,0)+1,FALSE)</f>
        <v>yellow</v>
      </c>
      <c r="O25" s="16" t="str">
        <f ca="1">VLOOKUP($L25,OFFSET([4]characters!$A$1,0,0,COUNTA([4]characters!$A:$A),MATCH(O$1,[4]characters!$1:$1,0)-MATCH($L$1,[4]characters!$1:$1,0)+1),MATCH(O$1,[4]characters!$1:$1,0)-MATCH($L$1,[4]characters!$1:$1,0)+1,FALSE)</f>
        <v>Material</v>
      </c>
      <c r="P25" s="16" t="str">
        <f ca="1">VLOOKUP($L25,OFFSET([3]enemies!$A$1,0,0,COUNTA([3]enemies!$A:$A),MATCH(P$1,[3]enemies!$1:$1,0)-MATCH($L$1,[3]enemies!$1:$1,0)+1),MATCH(P$1,[3]enemies!$1:$1,0)-MATCH($L$1,[3]enemies!$1:$1,0)+1,FALSE)</f>
        <v>unknown</v>
      </c>
      <c r="Q25" s="16">
        <f ca="1">VLOOKUP($L25,OFFSET([3]enemies!$A$1,0,0,COUNTA([3]enemies!$A:$A),MATCH(Q$1,[3]enemies!$1:$1,0)-MATCH($L$1,[3]enemies!$1:$1,0)+1),MATCH(Q$1,[3]enemies!$1:$1,0)-MATCH($L$1,[3]enemies!$1:$1,0)+1,FALSE)</f>
        <v>15</v>
      </c>
      <c r="R25" s="120">
        <v>54</v>
      </c>
      <c r="S25" s="136">
        <v>1</v>
      </c>
      <c r="T25" s="136">
        <v>1</v>
      </c>
      <c r="U25" s="122">
        <v>0</v>
      </c>
      <c r="V25" s="4" t="e">
        <f ca="1">VLOOKUP($W25,OFFSET(enemy_skill_sets!$B$1,0,0,COUNTA(enemy_skill_sets!$B:$B),MATCH(M$1,enemy_skill_sets!$1:$1,0)-MATCH($W$1,enemy_skill_sets!$1:$1,0)+2),MATCH(M$1,enemy_skill_sets!$1:$1,0)-MATCH($W$1,enemy_skill_sets!$1:$1,0)+2,FALSE)</f>
        <v>#N/A</v>
      </c>
      <c r="W25" s="197">
        <v>0</v>
      </c>
      <c r="X25" s="140">
        <v>0</v>
      </c>
      <c r="Y25" s="142">
        <v>100</v>
      </c>
      <c r="Z25" s="142">
        <v>1</v>
      </c>
      <c r="AA25" s="134">
        <v>3</v>
      </c>
      <c r="AB25" s="20">
        <f t="shared" ref="AB25:AB27" si="33">L25</f>
        <v>354</v>
      </c>
      <c r="AC25" s="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雷のケロケロ</v>
      </c>
      <c r="AD25" s="4">
        <f ca="1">VLOOKUP($AB25,OFFSET([4]characters!$A$1,0,0,COUNTA([4]characters!$A:$A),MATCH(AD$1,[4]characters!$1:$1,0)-MATCH("character_id",[4]characters!$1:$1,0)+1),MATCH(AD$1,[4]characters!$1:$1,0)-MATCH("character_id",[4]characters!$1:$1,0)+1,FALSE)</f>
        <v>2</v>
      </c>
      <c r="AE25" s="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5" s="125">
        <v>10</v>
      </c>
      <c r="AG25" s="20">
        <f t="shared" ref="AG25:AG27" ca="1" si="34">AD25</f>
        <v>2</v>
      </c>
      <c r="AH25" s="145">
        <v>20</v>
      </c>
      <c r="AI25" s="127">
        <v>0</v>
      </c>
      <c r="AJ25" s="127">
        <v>0</v>
      </c>
      <c r="AK25" s="127">
        <v>0</v>
      </c>
      <c r="AL25" s="127">
        <v>0</v>
      </c>
      <c r="AM25" s="127">
        <v>1</v>
      </c>
      <c r="AN25" s="206">
        <v>1</v>
      </c>
    </row>
    <row r="26" spans="1:56" ht="21" customHeight="1" x14ac:dyDescent="0.15">
      <c r="A26" s="15" t="str">
        <f t="shared" si="30"/>
        <v>15027_2-4/385&lt;lv56&gt;s3</v>
      </c>
      <c r="B26" s="101">
        <v>15027</v>
      </c>
      <c r="C26" s="106">
        <v>2</v>
      </c>
      <c r="D26" s="2" t="str">
        <f t="shared" si="31"/>
        <v>15027_2</v>
      </c>
      <c r="E26" s="4" t="str">
        <f ca="1">VLOOKUP($B26,OFFSET([2]quests!$A$1,0,0,COUNTA([2]quests!$A:$A),MATCH(E$1,[2]quests!$1:$1,0)-MATCH($B$1,[2]quests!$1:$1,0)+1),MATCH(E$1,[2]quests!$1:$1,0)-MATCH($B$1,[2]quests!$1:$1,0)+1,FALSE)</f>
        <v>27. 雷雨の登山道</v>
      </c>
      <c r="F26" s="4" t="str">
        <f ca="1">VLOOKUP($D26,OFFSET([2]stages!$A$1,0,0,COUNTA([2]stages!$A:$A),MATCH(F$1,[2]stages!$2:$2,0)-MATCH($D$1,[2]stages!$2:$2,0)+1),MATCH(F$1,[2]stages!$2:$2,0)-MATCH($D$1,[2]stages!$2:$2,0)+1,FALSE)</f>
        <v>27-2. 霊峰の守護者</v>
      </c>
      <c r="G26" s="148">
        <v>4</v>
      </c>
      <c r="H26" s="14" t="str">
        <f t="shared" si="32"/>
        <v>15027_2-4</v>
      </c>
      <c r="I26" s="4">
        <f ca="1">VLOOKUP($H26,OFFSET(floors!$A$1,0,0,COUNTA(floors!$A:$A),MATCH(I$1,floors!$1:$1,0)-MATCH($H$1,floors!$1:$1,0)+1),MATCH(I$1,floors!$1:$1,0)-MATCH($H$1,floors!$1:$1,0)+1,FALSE)</f>
        <v>60</v>
      </c>
      <c r="J26" s="4">
        <f ca="1">VLOOKUP($H26,OFFSET(floors!$A$1,0,0,COUNTA(floors!$A:$A),MATCH(J$1,floors!$1:$1,0)-MATCH($H$1,floors!$1:$1,0)+1),MATCH(J$1,floors!$1:$1,0)-MATCH($H$1,floors!$1:$1,0)+1,FALSE)</f>
        <v>60</v>
      </c>
      <c r="K26" s="34" t="s">
        <v>53</v>
      </c>
      <c r="L26" s="115">
        <v>385</v>
      </c>
      <c r="M26" s="16" t="str">
        <f ca="1">VLOOKUP($L26,OFFSET([3]enemies!$A$1,0,0,COUNTA([3]enemies!$A:$A),MATCH(M$1,[3]enemies!$1:$1,0)-MATCH($L$1,[3]enemies!$1:$1,0)+1),MATCH(M$1,[3]enemies!$1:$1,0)-MATCH($L$1,[3]enemies!$1:$1,0)+1,FALSE)</f>
        <v>波烈の出奔 リヴァイアサン</v>
      </c>
      <c r="N26" s="16" t="str">
        <f ca="1">VLOOKUP($L26,OFFSET([3]enemies!$A$1,0,0,COUNTA([3]enemies!$A:$A),MATCH(N$1,[3]enemies!$1:$1,0)-MATCH($L$1,[3]enemies!$1:$1,0)+1),MATCH(N$1,[3]enemies!$1:$1,0)-MATCH($L$1,[3]enemies!$1:$1,0)+1,FALSE)</f>
        <v>blue</v>
      </c>
      <c r="O26" s="16" t="str">
        <f ca="1">VLOOKUP($L26,OFFSET([4]characters!$A$1,0,0,COUNTA([4]characters!$A:$A),MATCH(O$1,[4]characters!$1:$1,0)-MATCH($L$1,[4]characters!$1:$1,0)+1),MATCH(O$1,[4]characters!$1:$1,0)-MATCH($L$1,[4]characters!$1:$1,0)+1,FALSE)</f>
        <v>PremiumSS</v>
      </c>
      <c r="P26" s="16" t="str">
        <f ca="1">VLOOKUP($L26,OFFSET([3]enemies!$A$1,0,0,COUNTA([3]enemies!$A:$A),MATCH(P$1,[3]enemies!$1:$1,0)-MATCH($L$1,[3]enemies!$1:$1,0)+1),MATCH(P$1,[3]enemies!$1:$1,0)-MATCH($L$1,[3]enemies!$1:$1,0)+1,FALSE)</f>
        <v>dragon</v>
      </c>
      <c r="Q26" s="16">
        <f ca="1">VLOOKUP($L26,OFFSET([3]enemies!$A$1,0,0,COUNTA([3]enemies!$A:$A),MATCH(Q$1,[3]enemies!$1:$1,0)-MATCH($L$1,[3]enemies!$1:$1,0)+1),MATCH(Q$1,[3]enemies!$1:$1,0)-MATCH($L$1,[3]enemies!$1:$1,0)+1,FALSE)</f>
        <v>30</v>
      </c>
      <c r="R26" s="120">
        <v>56</v>
      </c>
      <c r="S26" s="135">
        <v>1.5</v>
      </c>
      <c r="T26" s="135">
        <v>1</v>
      </c>
      <c r="U26" s="5">
        <v>0</v>
      </c>
      <c r="V26" s="4" t="str">
        <f ca="1">VLOOKUP($W26,OFFSET(enemy_skill_sets!$B$1,0,0,COUNTA(enemy_skill_sets!$B:$B),MATCH(M$1,enemy_skill_sets!$1:$1,0)-MATCH($W$1,enemy_skill_sets!$1:$1,0)+2),MATCH(M$1,enemy_skill_sets!$1:$1,0)-MATCH($W$1,enemy_skill_sets!$1:$1,0)+2,FALSE)</f>
        <v>全てのCパネルが縮小</v>
      </c>
      <c r="W26" s="197">
        <v>15027009</v>
      </c>
      <c r="X26" s="137">
        <v>1</v>
      </c>
      <c r="Y26" s="137">
        <v>100</v>
      </c>
      <c r="Z26" s="137">
        <v>1</v>
      </c>
      <c r="AA26" s="134">
        <v>3</v>
      </c>
      <c r="AB26" s="20">
        <f t="shared" si="33"/>
        <v>385</v>
      </c>
      <c r="AC26" s="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波烈の出奔 リヴァイアサン</v>
      </c>
      <c r="AD26" s="4">
        <f ca="1">VLOOKUP($AB26,OFFSET([4]characters!$A$1,0,0,COUNTA([4]characters!$A:$A),MATCH(AD$1,[4]characters!$1:$1,0)-MATCH("character_id",[4]characters!$1:$1,0)+1),MATCH(AD$1,[4]characters!$1:$1,0)-MATCH("character_id",[4]characters!$1:$1,0)+1,FALSE)</f>
        <v>4</v>
      </c>
      <c r="AE26" s="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26" s="125">
        <v>1</v>
      </c>
      <c r="AG26" s="20">
        <f t="shared" ca="1" si="34"/>
        <v>4</v>
      </c>
      <c r="AH26" s="144">
        <v>0</v>
      </c>
      <c r="AI26" s="125">
        <v>0</v>
      </c>
      <c r="AJ26" s="125">
        <v>0</v>
      </c>
      <c r="AK26" s="125">
        <v>0</v>
      </c>
      <c r="AL26" s="125">
        <v>0</v>
      </c>
      <c r="AM26" s="125">
        <v>1</v>
      </c>
      <c r="AN26" s="204">
        <v>1</v>
      </c>
    </row>
    <row r="27" spans="1:56" s="166" customFormat="1" ht="21" customHeight="1" thickBot="1" x14ac:dyDescent="0.2">
      <c r="A27" s="158" t="str">
        <f t="shared" si="30"/>
        <v>15027_2-4/388&lt;lv56&gt;s3</v>
      </c>
      <c r="B27" s="108">
        <v>15027</v>
      </c>
      <c r="C27" s="109">
        <v>2</v>
      </c>
      <c r="D27" s="159" t="str">
        <f t="shared" si="31"/>
        <v>15027_2</v>
      </c>
      <c r="E27" s="160" t="str">
        <f ca="1">VLOOKUP($B27,OFFSET([2]quests!$A$1,0,0,COUNTA([2]quests!$A:$A),MATCH(E$1,[2]quests!$1:$1,0)-MATCH($B$1,[2]quests!$1:$1,0)+1),MATCH(E$1,[2]quests!$1:$1,0)-MATCH($B$1,[2]quests!$1:$1,0)+1,FALSE)</f>
        <v>27. 雷雨の登山道</v>
      </c>
      <c r="F27" s="160" t="str">
        <f ca="1">VLOOKUP($D27,OFFSET([2]stages!$A$1,0,0,COUNTA([2]stages!$A:$A),MATCH(F$1,[2]stages!$2:$2,0)-MATCH($D$1,[2]stages!$2:$2,0)+1),MATCH(F$1,[2]stages!$2:$2,0)-MATCH($D$1,[2]stages!$2:$2,0)+1,FALSE)</f>
        <v>27-2. 霊峰の守護者</v>
      </c>
      <c r="G27" s="149">
        <v>4</v>
      </c>
      <c r="H27" s="159" t="str">
        <f t="shared" si="32"/>
        <v>15027_2-4</v>
      </c>
      <c r="I27" s="160">
        <f ca="1">VLOOKUP($H27,OFFSET(floors!$A$1,0,0,COUNTA(floors!$A:$A),MATCH(I$1,floors!$1:$1,0)-MATCH($H$1,floors!$1:$1,0)+1),MATCH(I$1,floors!$1:$1,0)-MATCH($H$1,floors!$1:$1,0)+1,FALSE)</f>
        <v>60</v>
      </c>
      <c r="J27" s="160">
        <f ca="1">VLOOKUP($H27,OFFSET(floors!$A$1,0,0,COUNTA(floors!$A:$A),MATCH(J$1,floors!$1:$1,0)-MATCH($H$1,floors!$1:$1,0)+1),MATCH(J$1,floors!$1:$1,0)-MATCH($H$1,floors!$1:$1,0)+1,FALSE)</f>
        <v>60</v>
      </c>
      <c r="K27" s="95" t="s">
        <v>53</v>
      </c>
      <c r="L27" s="118">
        <v>388</v>
      </c>
      <c r="M27" s="162" t="str">
        <f ca="1">VLOOKUP($L27,OFFSET([3]enemies!$A$1,0,0,COUNTA([3]enemies!$A:$A),MATCH(M$1,[3]enemies!$1:$1,0)-MATCH($L$1,[3]enemies!$1:$1,0)+1),MATCH(M$1,[3]enemies!$1:$1,0)-MATCH($L$1,[3]enemies!$1:$1,0)+1,FALSE)</f>
        <v>神円の恋姫 スフィンクス</v>
      </c>
      <c r="N27" s="162" t="str">
        <f ca="1">VLOOKUP($L27,OFFSET([3]enemies!$A$1,0,0,COUNTA([3]enemies!$A:$A),MATCH(N$1,[3]enemies!$1:$1,0)-MATCH($L$1,[3]enemies!$1:$1,0)+1),MATCH(N$1,[3]enemies!$1:$1,0)-MATCH($L$1,[3]enemies!$1:$1,0)+1,FALSE)</f>
        <v>yellow</v>
      </c>
      <c r="O27" s="162" t="str">
        <f ca="1">VLOOKUP($L27,OFFSET([4]characters!$A$1,0,0,COUNTA([4]characters!$A:$A),MATCH(O$1,[4]characters!$1:$1,0)-MATCH($L$1,[4]characters!$1:$1,0)+1),MATCH(O$1,[4]characters!$1:$1,0)-MATCH($L$1,[4]characters!$1:$1,0)+1,FALSE)</f>
        <v>PremiumS</v>
      </c>
      <c r="P27" s="162" t="str">
        <f ca="1">VLOOKUP($L27,OFFSET([3]enemies!$A$1,0,0,COUNTA([3]enemies!$A:$A),MATCH(P$1,[3]enemies!$1:$1,0)-MATCH($L$1,[3]enemies!$1:$1,0)+1),MATCH(P$1,[3]enemies!$1:$1,0)-MATCH($L$1,[3]enemies!$1:$1,0)+1,FALSE)</f>
        <v>animal</v>
      </c>
      <c r="Q27" s="162">
        <f ca="1">VLOOKUP($L27,OFFSET([3]enemies!$A$1,0,0,COUNTA([3]enemies!$A:$A),MATCH(Q$1,[3]enemies!$1:$1,0)-MATCH($L$1,[3]enemies!$1:$1,0)+1),MATCH(Q$1,[3]enemies!$1:$1,0)-MATCH($L$1,[3]enemies!$1:$1,0)+1,FALSE)</f>
        <v>30</v>
      </c>
      <c r="R27" s="124">
        <v>56</v>
      </c>
      <c r="S27" s="139">
        <v>1.5</v>
      </c>
      <c r="T27" s="139">
        <v>1</v>
      </c>
      <c r="U27" s="124">
        <v>0</v>
      </c>
      <c r="V27" s="160" t="str">
        <f ca="1">VLOOKUP($W27,OFFSET(enemy_skill_sets!$B$1,0,0,COUNTA(enemy_skill_sets!$B:$B),MATCH(M$1,enemy_skill_sets!$1:$1,0)-MATCH($W$1,enemy_skill_sets!$1:$1,0)+2),MATCH(M$1,enemy_skill_sets!$1:$1,0)-MATCH($W$1,enemy_skill_sets!$1:$1,0)+2,FALSE)</f>
        <v>2ターンの間 全ユニットの_x000D_攻撃力と回復力が特大ダウン</v>
      </c>
      <c r="W27" s="198">
        <v>15027010</v>
      </c>
      <c r="X27" s="143">
        <v>1</v>
      </c>
      <c r="Y27" s="143">
        <v>100</v>
      </c>
      <c r="Z27" s="143">
        <v>2</v>
      </c>
      <c r="AA27" s="163">
        <v>3</v>
      </c>
      <c r="AB27" s="164">
        <f t="shared" si="33"/>
        <v>388</v>
      </c>
      <c r="AC27" s="160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神円の恋姫 スフィンクス</v>
      </c>
      <c r="AD27" s="160">
        <f ca="1">VLOOKUP($AB27,OFFSET([4]characters!$A$1,0,0,COUNTA([4]characters!$A:$A),MATCH(AD$1,[4]characters!$1:$1,0)-MATCH("character_id",[4]characters!$1:$1,0)+1),MATCH(AD$1,[4]characters!$1:$1,0)-MATCH("character_id",[4]characters!$1:$1,0)+1,FALSE)</f>
        <v>4</v>
      </c>
      <c r="AE27" s="160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7" s="128">
        <v>1</v>
      </c>
      <c r="AG27" s="164">
        <f t="shared" ca="1" si="34"/>
        <v>4</v>
      </c>
      <c r="AH27" s="165">
        <v>0</v>
      </c>
      <c r="AI27" s="128">
        <v>0</v>
      </c>
      <c r="AJ27" s="128">
        <v>0</v>
      </c>
      <c r="AK27" s="128">
        <v>0</v>
      </c>
      <c r="AL27" s="128">
        <v>0</v>
      </c>
      <c r="AM27" s="128">
        <v>1</v>
      </c>
      <c r="AN27" s="205">
        <v>1</v>
      </c>
      <c r="AO27" s="172"/>
      <c r="AP27" s="172"/>
      <c r="AQ27" s="172"/>
      <c r="AR27" s="172"/>
      <c r="AS27" s="172"/>
      <c r="AT27" s="172"/>
      <c r="AU27" s="172"/>
      <c r="AV27" s="172"/>
      <c r="AW27" s="172"/>
      <c r="AX27" s="172"/>
      <c r="AY27" s="172"/>
      <c r="AZ27" s="172"/>
      <c r="BA27" s="172"/>
      <c r="BB27" s="172"/>
      <c r="BC27" s="172"/>
      <c r="BD27" s="172"/>
    </row>
    <row r="28" spans="1:56" s="131" customFormat="1" ht="21" customHeight="1" x14ac:dyDescent="0.15">
      <c r="A28" s="176" t="str">
        <f t="shared" si="10"/>
        <v>15027_3-1/73&lt;lv53&gt;s4</v>
      </c>
      <c r="B28" s="177">
        <v>15027</v>
      </c>
      <c r="C28" s="110">
        <v>3</v>
      </c>
      <c r="D28" s="155" t="str">
        <f t="shared" si="11"/>
        <v>15027_3</v>
      </c>
      <c r="E28" s="178" t="str">
        <f ca="1">VLOOKUP($B28,OFFSET([2]quests!$A$1,0,0,COUNTA([2]quests!$A:$A),MATCH(E$1,[2]quests!$1:$1,0)-MATCH($B$1,[2]quests!$1:$1,0)+1),MATCH(E$1,[2]quests!$1:$1,0)-MATCH($B$1,[2]quests!$1:$1,0)+1,FALSE)</f>
        <v>27. 雷雨の登山道</v>
      </c>
      <c r="F28" s="178" t="str">
        <f ca="1">VLOOKUP($D28,OFFSET([2]stages!$A$1,0,0,COUNTA([2]stages!$A:$A),MATCH(F$1,[2]stages!$2:$2,0)-MATCH($D$1,[2]stages!$2:$2,0)+1),MATCH(F$1,[2]stages!$2:$2,0)-MATCH($D$1,[2]stages!$2:$2,0)+1,FALSE)</f>
        <v>27-3. 山岳の王者</v>
      </c>
      <c r="G28" s="112">
        <v>1</v>
      </c>
      <c r="H28" s="155" t="str">
        <f t="shared" si="12"/>
        <v>15027_3-1</v>
      </c>
      <c r="I28" s="178">
        <f ca="1">VLOOKUP($H28,OFFSET(floors!$A$1,0,0,COUNTA(floors!$A:$A),MATCH(I$1,floors!$1:$1,0)-MATCH($H$1,floors!$1:$1,0)+1),MATCH(I$1,floors!$1:$1,0)-MATCH($H$1,floors!$1:$1,0)+1,FALSE)</f>
        <v>60</v>
      </c>
      <c r="J28" s="178">
        <f ca="1">VLOOKUP($H28,OFFSET(floors!$A$1,0,0,COUNTA(floors!$A:$A),MATCH(J$1,floors!$1:$1,0)-MATCH($H$1,floors!$1:$1,0)+1),MATCH(J$1,floors!$1:$1,0)-MATCH($H$1,floors!$1:$1,0)+1,FALSE)</f>
        <v>60</v>
      </c>
      <c r="K28" s="97" t="s">
        <v>53</v>
      </c>
      <c r="L28" s="117">
        <v>73</v>
      </c>
      <c r="M28" s="178" t="str">
        <f ca="1">VLOOKUP($L28,OFFSET([3]enemies!$A$1,0,0,COUNTA([3]enemies!$A:$A),MATCH(M$1,[3]enemies!$1:$1,0)-MATCH($L$1,[3]enemies!$1:$1,0)+1),MATCH(M$1,[3]enemies!$1:$1,0)-MATCH($L$1,[3]enemies!$1:$1,0)+1,FALSE)</f>
        <v>自由の探求者 ダックス</v>
      </c>
      <c r="N28" s="178" t="str">
        <f ca="1">VLOOKUP($L28,OFFSET([3]enemies!$A$1,0,0,COUNTA([3]enemies!$A:$A),MATCH(N$1,[3]enemies!$1:$1,0)-MATCH($L$1,[3]enemies!$1:$1,0)+1),MATCH(N$1,[3]enemies!$1:$1,0)-MATCH($L$1,[3]enemies!$1:$1,0)+1,FALSE)</f>
        <v>blue</v>
      </c>
      <c r="O28" s="178" t="str">
        <f ca="1">VLOOKUP($L28,OFFSET([4]characters!$A$1,0,0,COUNTA([4]characters!$A:$A),MATCH(O$1,[4]characters!$1:$1,0)-MATCH($L$1,[4]characters!$1:$1,0)+1),MATCH(O$1,[4]characters!$1:$1,0)-MATCH($L$1,[4]characters!$1:$1,0)+1,FALSE)</f>
        <v>Drop1S</v>
      </c>
      <c r="P28" s="178" t="str">
        <f ca="1">VLOOKUP($L28,OFFSET([3]enemies!$A$1,0,0,COUNTA([3]enemies!$A:$A),MATCH(P$1,[3]enemies!$1:$1,0)-MATCH($L$1,[3]enemies!$1:$1,0)+1),MATCH(P$1,[3]enemies!$1:$1,0)-MATCH($L$1,[3]enemies!$1:$1,0)+1,FALSE)</f>
        <v>animal</v>
      </c>
      <c r="Q28" s="178">
        <f ca="1">VLOOKUP($L28,OFFSET([3]enemies!$A$1,0,0,COUNTA([3]enemies!$A:$A),MATCH(Q$1,[3]enemies!$1:$1,0)-MATCH($L$1,[3]enemies!$1:$1,0)+1),MATCH(Q$1,[3]enemies!$1:$1,0)-MATCH($L$1,[3]enemies!$1:$1,0)+1,FALSE)</f>
        <v>30</v>
      </c>
      <c r="R28" s="179">
        <v>53</v>
      </c>
      <c r="S28" s="180">
        <v>1</v>
      </c>
      <c r="T28" s="180">
        <v>0.8</v>
      </c>
      <c r="U28" s="179">
        <v>0</v>
      </c>
      <c r="V28" s="178" t="e">
        <f ca="1">VLOOKUP($W28,OFFSET(enemy_skill_sets!$B$1,0,0,COUNTA(enemy_skill_sets!$B:$B),MATCH(M$1,enemy_skill_sets!$1:$1,0)-MATCH($W$1,enemy_skill_sets!$1:$1,0)+2),MATCH(M$1,enemy_skill_sets!$1:$1,0)-MATCH($W$1,enemy_skill_sets!$1:$1,0)+2,FALSE)</f>
        <v>#N/A</v>
      </c>
      <c r="W28" s="199">
        <v>0</v>
      </c>
      <c r="X28" s="182">
        <v>0</v>
      </c>
      <c r="Y28" s="182">
        <v>100</v>
      </c>
      <c r="Z28" s="182">
        <v>0</v>
      </c>
      <c r="AA28" s="181">
        <v>4</v>
      </c>
      <c r="AB28" s="157">
        <f t="shared" si="13"/>
        <v>73</v>
      </c>
      <c r="AC28" s="178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自由の探求者 ダックス</v>
      </c>
      <c r="AD28" s="178">
        <f ca="1">VLOOKUP($AB28,OFFSET([4]characters!$A$1,0,0,COUNTA([4]characters!$A:$A),MATCH(AD$1,[4]characters!$1:$1,0)-MATCH("character_id",[4]characters!$1:$1,0)+1),MATCH(AD$1,[4]characters!$1:$1,0)-MATCH("character_id",[4]characters!$1:$1,0)+1,FALSE)</f>
        <v>4</v>
      </c>
      <c r="AE28" s="178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Drop1S</v>
      </c>
      <c r="AF28" s="127">
        <v>1</v>
      </c>
      <c r="AG28" s="157">
        <f t="shared" ca="1" si="14"/>
        <v>4</v>
      </c>
      <c r="AH28" s="131">
        <v>20</v>
      </c>
      <c r="AI28" s="127">
        <v>0</v>
      </c>
      <c r="AJ28" s="127">
        <v>0</v>
      </c>
      <c r="AK28" s="127">
        <v>0</v>
      </c>
      <c r="AL28" s="127">
        <v>0</v>
      </c>
      <c r="AM28" s="127">
        <v>1</v>
      </c>
      <c r="AN28" s="206">
        <v>1</v>
      </c>
      <c r="AO28" s="172"/>
      <c r="AP28" s="172"/>
      <c r="AQ28" s="172"/>
      <c r="AR28" s="172"/>
      <c r="AS28" s="172"/>
      <c r="AT28" s="172"/>
      <c r="AU28" s="172"/>
      <c r="AV28" s="172"/>
      <c r="AW28" s="172"/>
      <c r="AX28" s="172"/>
      <c r="AY28" s="172"/>
      <c r="AZ28" s="172"/>
      <c r="BA28" s="172"/>
      <c r="BB28" s="172"/>
      <c r="BC28" s="172"/>
      <c r="BD28" s="172"/>
    </row>
    <row r="29" spans="1:56" s="61" customFormat="1" ht="21" customHeight="1" x14ac:dyDescent="0.15">
      <c r="A29" s="173" t="str">
        <f t="shared" si="10"/>
        <v>15027_3-1/76&lt;lv53&gt;s1</v>
      </c>
      <c r="B29" s="105">
        <v>15027</v>
      </c>
      <c r="C29" s="111">
        <v>3</v>
      </c>
      <c r="D29" s="14" t="str">
        <f t="shared" si="11"/>
        <v>15027_3</v>
      </c>
      <c r="E29" s="17" t="str">
        <f ca="1">VLOOKUP($B29,OFFSET([2]quests!$A$1,0,0,COUNTA([2]quests!$A:$A),MATCH(E$1,[2]quests!$1:$1,0)-MATCH($B$1,[2]quests!$1:$1,0)+1),MATCH(E$1,[2]quests!$1:$1,0)-MATCH($B$1,[2]quests!$1:$1,0)+1,FALSE)</f>
        <v>27. 雷雨の登山道</v>
      </c>
      <c r="F29" s="17" t="str">
        <f ca="1">VLOOKUP($D29,OFFSET([2]stages!$A$1,0,0,COUNTA([2]stages!$A:$A),MATCH(F$1,[2]stages!$2:$2,0)-MATCH($D$1,[2]stages!$2:$2,0)+1),MATCH(F$1,[2]stages!$2:$2,0)-MATCH($D$1,[2]stages!$2:$2,0)+1,FALSE)</f>
        <v>27-3. 山岳の王者</v>
      </c>
      <c r="G29" s="102">
        <v>1</v>
      </c>
      <c r="H29" s="14" t="str">
        <f t="shared" si="12"/>
        <v>15027_3-1</v>
      </c>
      <c r="I29" s="17">
        <f ca="1">VLOOKUP($H29,OFFSET(floors!$A$1,0,0,COUNTA(floors!$A:$A),MATCH(I$1,floors!$1:$1,0)-MATCH($H$1,floors!$1:$1,0)+1),MATCH(I$1,floors!$1:$1,0)-MATCH($H$1,floors!$1:$1,0)+1,FALSE)</f>
        <v>60</v>
      </c>
      <c r="J29" s="17">
        <f ca="1">VLOOKUP($H29,OFFSET(floors!$A$1,0,0,COUNTA(floors!$A:$A),MATCH(J$1,floors!$1:$1,0)-MATCH($H$1,floors!$1:$1,0)+1),MATCH(J$1,floors!$1:$1,0)-MATCH($H$1,floors!$1:$1,0)+1,FALSE)</f>
        <v>60</v>
      </c>
      <c r="K29" s="34" t="s">
        <v>53</v>
      </c>
      <c r="L29" s="115">
        <v>76</v>
      </c>
      <c r="M29" s="17" t="str">
        <f ca="1">VLOOKUP($L29,OFFSET([3]enemies!$A$1,0,0,COUNTA([3]enemies!$A:$A),MATCH(M$1,[3]enemies!$1:$1,0)-MATCH($L$1,[3]enemies!$1:$1,0)+1),MATCH(M$1,[3]enemies!$1:$1,0)-MATCH($L$1,[3]enemies!$1:$1,0)+1,FALSE)</f>
        <v>閃速の伝令者 サンダーバード</v>
      </c>
      <c r="N29" s="17" t="str">
        <f ca="1">VLOOKUP($L29,OFFSET([3]enemies!$A$1,0,0,COUNTA([3]enemies!$A:$A),MATCH(N$1,[3]enemies!$1:$1,0)-MATCH($L$1,[3]enemies!$1:$1,0)+1),MATCH(N$1,[3]enemies!$1:$1,0)-MATCH($L$1,[3]enemies!$1:$1,0)+1,FALSE)</f>
        <v>yellow</v>
      </c>
      <c r="O29" s="17" t="str">
        <f ca="1">VLOOKUP($L29,OFFSET([4]characters!$A$1,0,0,COUNTA([4]characters!$A:$A),MATCH(O$1,[4]characters!$1:$1,0)-MATCH($L$1,[4]characters!$1:$1,0)+1),MATCH(O$1,[4]characters!$1:$1,0)-MATCH($L$1,[4]characters!$1:$1,0)+1,FALSE)</f>
        <v>Drop1S</v>
      </c>
      <c r="P29" s="17" t="str">
        <f ca="1">VLOOKUP($L29,OFFSET([3]enemies!$A$1,0,0,COUNTA([3]enemies!$A:$A),MATCH(P$1,[3]enemies!$1:$1,0)-MATCH($L$1,[3]enemies!$1:$1,0)+1),MATCH(P$1,[3]enemies!$1:$1,0)-MATCH($L$1,[3]enemies!$1:$1,0)+1,FALSE)</f>
        <v>animal</v>
      </c>
      <c r="Q29" s="17">
        <f ca="1">VLOOKUP($L29,OFFSET([3]enemies!$A$1,0,0,COUNTA([3]enemies!$A:$A),MATCH(Q$1,[3]enemies!$1:$1,0)-MATCH($L$1,[3]enemies!$1:$1,0)+1),MATCH(Q$1,[3]enemies!$1:$1,0)-MATCH($L$1,[3]enemies!$1:$1,0)+1,FALSE)</f>
        <v>30</v>
      </c>
      <c r="R29" s="121">
        <v>53</v>
      </c>
      <c r="S29" s="146">
        <v>1</v>
      </c>
      <c r="T29" s="146">
        <v>0.8</v>
      </c>
      <c r="U29" s="121">
        <v>0</v>
      </c>
      <c r="V29" s="17" t="e">
        <f ca="1">VLOOKUP($W29,OFFSET(enemy_skill_sets!$B$1,0,0,COUNTA(enemy_skill_sets!$B:$B),MATCH(M$1,enemy_skill_sets!$1:$1,0)-MATCH($W$1,enemy_skill_sets!$1:$1,0)+2),MATCH(M$1,enemy_skill_sets!$1:$1,0)-MATCH($W$1,enemy_skill_sets!$1:$1,0)+2,FALSE)</f>
        <v>#N/A</v>
      </c>
      <c r="W29" s="154">
        <v>0</v>
      </c>
      <c r="X29" s="141">
        <v>0</v>
      </c>
      <c r="Y29" s="141">
        <v>100</v>
      </c>
      <c r="Z29" s="182">
        <v>0</v>
      </c>
      <c r="AA29" s="174">
        <v>1</v>
      </c>
      <c r="AB29" s="175">
        <f t="shared" si="13"/>
        <v>76</v>
      </c>
      <c r="AC29" s="17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閃速の伝令者 サンダーバード</v>
      </c>
      <c r="AD29" s="17">
        <f ca="1">VLOOKUP($AB29,OFFSET([4]characters!$A$1,0,0,COUNTA([4]characters!$A:$A),MATCH(AD$1,[4]characters!$1:$1,0)-MATCH("character_id",[4]characters!$1:$1,0)+1),MATCH(AD$1,[4]characters!$1:$1,0)-MATCH("character_id",[4]characters!$1:$1,0)+1,FALSE)</f>
        <v>4</v>
      </c>
      <c r="AE29" s="17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Drop1S</v>
      </c>
      <c r="AF29" s="125">
        <v>1</v>
      </c>
      <c r="AG29" s="175">
        <f t="shared" ca="1" si="14"/>
        <v>4</v>
      </c>
      <c r="AH29" s="61">
        <v>20</v>
      </c>
      <c r="AI29" s="125">
        <v>0</v>
      </c>
      <c r="AJ29" s="125">
        <v>0</v>
      </c>
      <c r="AK29" s="125">
        <v>0</v>
      </c>
      <c r="AL29" s="125">
        <v>0</v>
      </c>
      <c r="AM29" s="125">
        <v>1</v>
      </c>
      <c r="AN29" s="204">
        <v>1</v>
      </c>
      <c r="AO29" s="172"/>
      <c r="AP29" s="172"/>
      <c r="AQ29" s="172"/>
      <c r="AR29" s="172"/>
      <c r="AS29" s="172"/>
      <c r="AT29" s="172"/>
      <c r="AU29" s="172"/>
      <c r="AV29" s="172"/>
      <c r="AW29" s="172"/>
      <c r="AX29" s="172"/>
      <c r="AY29" s="172"/>
      <c r="AZ29" s="172"/>
      <c r="BA29" s="172"/>
      <c r="BB29" s="172"/>
      <c r="BC29" s="172"/>
      <c r="BD29" s="172"/>
    </row>
    <row r="30" spans="1:56" s="61" customFormat="1" ht="21" customHeight="1" x14ac:dyDescent="0.15">
      <c r="A30" s="173" t="str">
        <f t="shared" si="10"/>
        <v>15027_3-1/38&lt;lv53&gt;s3</v>
      </c>
      <c r="B30" s="105">
        <v>15027</v>
      </c>
      <c r="C30" s="111">
        <v>3</v>
      </c>
      <c r="D30" s="14" t="str">
        <f t="shared" si="11"/>
        <v>15027_3</v>
      </c>
      <c r="E30" s="17" t="str">
        <f ca="1">VLOOKUP($B30,OFFSET([2]quests!$A$1,0,0,COUNTA([2]quests!$A:$A),MATCH(E$1,[2]quests!$1:$1,0)-MATCH($B$1,[2]quests!$1:$1,0)+1),MATCH(E$1,[2]quests!$1:$1,0)-MATCH($B$1,[2]quests!$1:$1,0)+1,FALSE)</f>
        <v>27. 雷雨の登山道</v>
      </c>
      <c r="F30" s="17" t="str">
        <f ca="1">VLOOKUP($D30,OFFSET([2]stages!$A$1,0,0,COUNTA([2]stages!$A:$A),MATCH(F$1,[2]stages!$2:$2,0)-MATCH($D$1,[2]stages!$2:$2,0)+1),MATCH(F$1,[2]stages!$2:$2,0)-MATCH($D$1,[2]stages!$2:$2,0)+1,FALSE)</f>
        <v>27-3. 山岳の王者</v>
      </c>
      <c r="G30" s="102">
        <v>1</v>
      </c>
      <c r="H30" s="14" t="str">
        <f t="shared" si="12"/>
        <v>15027_3-1</v>
      </c>
      <c r="I30" s="17">
        <f ca="1">VLOOKUP($H30,OFFSET(floors!$A$1,0,0,COUNTA(floors!$A:$A),MATCH(I$1,floors!$1:$1,0)-MATCH($H$1,floors!$1:$1,0)+1),MATCH(I$1,floors!$1:$1,0)-MATCH($H$1,floors!$1:$1,0)+1,FALSE)</f>
        <v>60</v>
      </c>
      <c r="J30" s="17">
        <f ca="1">VLOOKUP($H30,OFFSET(floors!$A$1,0,0,COUNTA(floors!$A:$A),MATCH(J$1,floors!$1:$1,0)-MATCH($H$1,floors!$1:$1,0)+1),MATCH(J$1,floors!$1:$1,0)-MATCH($H$1,floors!$1:$1,0)+1,FALSE)</f>
        <v>60</v>
      </c>
      <c r="K30" s="34" t="s">
        <v>53</v>
      </c>
      <c r="L30" s="115">
        <v>38</v>
      </c>
      <c r="M30" s="17" t="str">
        <f ca="1">VLOOKUP($L30,OFFSET([3]enemies!$A$1,0,0,COUNTA([3]enemies!$A:$A),MATCH(M$1,[3]enemies!$1:$1,0)-MATCH($L$1,[3]enemies!$1:$1,0)+1),MATCH(M$1,[3]enemies!$1:$1,0)-MATCH($L$1,[3]enemies!$1:$1,0)+1,FALSE)</f>
        <v>通話対応型 ガイル</v>
      </c>
      <c r="N30" s="17" t="str">
        <f ca="1">VLOOKUP($L30,OFFSET([3]enemies!$A$1,0,0,COUNTA([3]enemies!$A:$A),MATCH(N$1,[3]enemies!$1:$1,0)-MATCH($L$1,[3]enemies!$1:$1,0)+1),MATCH(N$1,[3]enemies!$1:$1,0)-MATCH($L$1,[3]enemies!$1:$1,0)+1,FALSE)</f>
        <v>blue</v>
      </c>
      <c r="O30" s="17" t="str">
        <f ca="1">VLOOKUP($L30,OFFSET([4]characters!$A$1,0,0,COUNTA([4]characters!$A:$A),MATCH(O$1,[4]characters!$1:$1,0)-MATCH($L$1,[4]characters!$1:$1,0)+1),MATCH(O$1,[4]characters!$1:$1,0)-MATCH($L$1,[4]characters!$1:$1,0)+1,FALSE)</f>
        <v>Drop1S</v>
      </c>
      <c r="P30" s="17" t="str">
        <f ca="1">VLOOKUP($L30,OFFSET([3]enemies!$A$1,0,0,COUNTA([3]enemies!$A:$A),MATCH(P$1,[3]enemies!$1:$1,0)-MATCH($L$1,[3]enemies!$1:$1,0)+1),MATCH(P$1,[3]enemies!$1:$1,0)-MATCH($L$1,[3]enemies!$1:$1,0)+1,FALSE)</f>
        <v>animal</v>
      </c>
      <c r="Q30" s="17">
        <f ca="1">VLOOKUP($L30,OFFSET([3]enemies!$A$1,0,0,COUNTA([3]enemies!$A:$A),MATCH(Q$1,[3]enemies!$1:$1,0)-MATCH($L$1,[3]enemies!$1:$1,0)+1),MATCH(Q$1,[3]enemies!$1:$1,0)-MATCH($L$1,[3]enemies!$1:$1,0)+1,FALSE)</f>
        <v>20</v>
      </c>
      <c r="R30" s="121">
        <v>53</v>
      </c>
      <c r="S30" s="146">
        <v>1</v>
      </c>
      <c r="T30" s="146">
        <v>0.8</v>
      </c>
      <c r="U30" s="121">
        <v>0</v>
      </c>
      <c r="V30" s="17" t="e">
        <f ca="1">VLOOKUP($W30,OFFSET(enemy_skill_sets!$B$1,0,0,COUNTA(enemy_skill_sets!$B:$B),MATCH(M$1,enemy_skill_sets!$1:$1,0)-MATCH($W$1,enemy_skill_sets!$1:$1,0)+2),MATCH(M$1,enemy_skill_sets!$1:$1,0)-MATCH($W$1,enemy_skill_sets!$1:$1,0)+2,FALSE)</f>
        <v>#N/A</v>
      </c>
      <c r="W30" s="154">
        <v>0</v>
      </c>
      <c r="X30" s="141">
        <v>0</v>
      </c>
      <c r="Y30" s="141">
        <v>100</v>
      </c>
      <c r="Z30" s="141">
        <v>0</v>
      </c>
      <c r="AA30" s="174">
        <v>3</v>
      </c>
      <c r="AB30" s="175">
        <f t="shared" si="13"/>
        <v>38</v>
      </c>
      <c r="AC30" s="17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通話対応型 ガイル</v>
      </c>
      <c r="AD30" s="17">
        <f ca="1">VLOOKUP($AB30,OFFSET([4]characters!$A$1,0,0,COUNTA([4]characters!$A:$A),MATCH(AD$1,[4]characters!$1:$1,0)-MATCH("character_id",[4]characters!$1:$1,0)+1),MATCH(AD$1,[4]characters!$1:$1,0)-MATCH("character_id",[4]characters!$1:$1,0)+1,FALSE)</f>
        <v>3</v>
      </c>
      <c r="AE30" s="17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Drop1S</v>
      </c>
      <c r="AF30" s="125">
        <v>1</v>
      </c>
      <c r="AG30" s="175">
        <f t="shared" ca="1" si="14"/>
        <v>3</v>
      </c>
      <c r="AH30" s="61">
        <v>20</v>
      </c>
      <c r="AI30" s="125">
        <v>0</v>
      </c>
      <c r="AJ30" s="125">
        <v>0</v>
      </c>
      <c r="AK30" s="125">
        <v>0</v>
      </c>
      <c r="AL30" s="125">
        <v>0</v>
      </c>
      <c r="AM30" s="125">
        <v>1</v>
      </c>
      <c r="AN30" s="204">
        <v>1</v>
      </c>
      <c r="AO30" s="172"/>
      <c r="AP30" s="172"/>
      <c r="AQ30" s="172"/>
      <c r="AR30" s="172"/>
      <c r="AS30" s="172"/>
      <c r="AT30" s="172"/>
      <c r="AU30" s="172"/>
      <c r="AV30" s="172"/>
      <c r="AW30" s="172"/>
      <c r="AX30" s="172"/>
      <c r="AY30" s="172"/>
      <c r="AZ30" s="172"/>
      <c r="BA30" s="172"/>
      <c r="BB30" s="172"/>
      <c r="BC30" s="172"/>
      <c r="BD30" s="172"/>
    </row>
    <row r="31" spans="1:56" s="61" customFormat="1" ht="21" customHeight="1" x14ac:dyDescent="0.15">
      <c r="A31" s="173" t="str">
        <f t="shared" si="10"/>
        <v>15027_3-1/40&lt;lv53&gt;s3</v>
      </c>
      <c r="B31" s="105">
        <v>15027</v>
      </c>
      <c r="C31" s="111">
        <v>3</v>
      </c>
      <c r="D31" s="14" t="str">
        <f t="shared" si="11"/>
        <v>15027_3</v>
      </c>
      <c r="E31" s="17" t="str">
        <f ca="1">VLOOKUP($B31,OFFSET([2]quests!$A$1,0,0,COUNTA([2]quests!$A:$A),MATCH(E$1,[2]quests!$1:$1,0)-MATCH($B$1,[2]quests!$1:$1,0)+1),MATCH(E$1,[2]quests!$1:$1,0)-MATCH($B$1,[2]quests!$1:$1,0)+1,FALSE)</f>
        <v>27. 雷雨の登山道</v>
      </c>
      <c r="F31" s="17" t="str">
        <f ca="1">VLOOKUP($D31,OFFSET([2]stages!$A$1,0,0,COUNTA([2]stages!$A:$A),MATCH(F$1,[2]stages!$2:$2,0)-MATCH($D$1,[2]stages!$2:$2,0)+1),MATCH(F$1,[2]stages!$2:$2,0)-MATCH($D$1,[2]stages!$2:$2,0)+1,FALSE)</f>
        <v>27-3. 山岳の王者</v>
      </c>
      <c r="G31" s="102">
        <v>1</v>
      </c>
      <c r="H31" s="14" t="str">
        <f t="shared" si="12"/>
        <v>15027_3-1</v>
      </c>
      <c r="I31" s="17">
        <f ca="1">VLOOKUP($H31,OFFSET(floors!$A$1,0,0,COUNTA(floors!$A:$A),MATCH(I$1,floors!$1:$1,0)-MATCH($H$1,floors!$1:$1,0)+1),MATCH(I$1,floors!$1:$1,0)-MATCH($H$1,floors!$1:$1,0)+1,FALSE)</f>
        <v>60</v>
      </c>
      <c r="J31" s="17">
        <f ca="1">VLOOKUP($H31,OFFSET(floors!$A$1,0,0,COUNTA(floors!$A:$A),MATCH(J$1,floors!$1:$1,0)-MATCH($H$1,floors!$1:$1,0)+1),MATCH(J$1,floors!$1:$1,0)-MATCH($H$1,floors!$1:$1,0)+1,FALSE)</f>
        <v>60</v>
      </c>
      <c r="K31" s="34" t="s">
        <v>53</v>
      </c>
      <c r="L31" s="115">
        <v>40</v>
      </c>
      <c r="M31" s="17" t="str">
        <f ca="1">VLOOKUP($L31,OFFSET([3]enemies!$A$1,0,0,COUNTA([3]enemies!$A:$A),MATCH(M$1,[3]enemies!$1:$1,0)-MATCH($L$1,[3]enemies!$1:$1,0)+1),MATCH(M$1,[3]enemies!$1:$1,0)-MATCH($L$1,[3]enemies!$1:$1,0)+1,FALSE)</f>
        <v>デジタルマジシャン マーロン</v>
      </c>
      <c r="N31" s="17" t="str">
        <f ca="1">VLOOKUP($L31,OFFSET([3]enemies!$A$1,0,0,COUNTA([3]enemies!$A:$A),MATCH(N$1,[3]enemies!$1:$1,0)-MATCH($L$1,[3]enemies!$1:$1,0)+1),MATCH(N$1,[3]enemies!$1:$1,0)-MATCH($L$1,[3]enemies!$1:$1,0)+1,FALSE)</f>
        <v>yellow</v>
      </c>
      <c r="O31" s="17" t="str">
        <f ca="1">VLOOKUP($L31,OFFSET([4]characters!$A$1,0,0,COUNTA([4]characters!$A:$A),MATCH(O$1,[4]characters!$1:$1,0)-MATCH($L$1,[4]characters!$1:$1,0)+1),MATCH(O$1,[4]characters!$1:$1,0)-MATCH($L$1,[4]characters!$1:$1,0)+1,FALSE)</f>
        <v>Drop1S</v>
      </c>
      <c r="P31" s="17" t="str">
        <f ca="1">VLOOKUP($L31,OFFSET([3]enemies!$A$1,0,0,COUNTA([3]enemies!$A:$A),MATCH(P$1,[3]enemies!$1:$1,0)-MATCH($L$1,[3]enemies!$1:$1,0)+1),MATCH(P$1,[3]enemies!$1:$1,0)-MATCH($L$1,[3]enemies!$1:$1,0)+1,FALSE)</f>
        <v>human</v>
      </c>
      <c r="Q31" s="17">
        <f ca="1">VLOOKUP($L31,OFFSET([3]enemies!$A$1,0,0,COUNTA([3]enemies!$A:$A),MATCH(Q$1,[3]enemies!$1:$1,0)-MATCH($L$1,[3]enemies!$1:$1,0)+1),MATCH(Q$1,[3]enemies!$1:$1,0)-MATCH($L$1,[3]enemies!$1:$1,0)+1,FALSE)</f>
        <v>20</v>
      </c>
      <c r="R31" s="121">
        <v>53</v>
      </c>
      <c r="S31" s="146">
        <v>1</v>
      </c>
      <c r="T31" s="146">
        <v>0.8</v>
      </c>
      <c r="U31" s="121">
        <v>0</v>
      </c>
      <c r="V31" s="17" t="e">
        <f ca="1">VLOOKUP($W31,OFFSET(enemy_skill_sets!$B$1,0,0,COUNTA(enemy_skill_sets!$B:$B),MATCH(M$1,enemy_skill_sets!$1:$1,0)-MATCH($W$1,enemy_skill_sets!$1:$1,0)+2),MATCH(M$1,enemy_skill_sets!$1:$1,0)-MATCH($W$1,enemy_skill_sets!$1:$1,0)+2,FALSE)</f>
        <v>#N/A</v>
      </c>
      <c r="W31" s="154">
        <v>0</v>
      </c>
      <c r="X31" s="141">
        <v>0</v>
      </c>
      <c r="Y31" s="141">
        <v>100</v>
      </c>
      <c r="Z31" s="141">
        <v>0</v>
      </c>
      <c r="AA31" s="174">
        <v>3</v>
      </c>
      <c r="AB31" s="175">
        <f t="shared" si="13"/>
        <v>40</v>
      </c>
      <c r="AC31" s="17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デジタルマジシャン マーロン</v>
      </c>
      <c r="AD31" s="17">
        <f ca="1">VLOOKUP($AB31,OFFSET([4]characters!$A$1,0,0,COUNTA([4]characters!$A:$A),MATCH(AD$1,[4]characters!$1:$1,0)-MATCH("character_id",[4]characters!$1:$1,0)+1),MATCH(AD$1,[4]characters!$1:$1,0)-MATCH("character_id",[4]characters!$1:$1,0)+1,FALSE)</f>
        <v>3</v>
      </c>
      <c r="AE31" s="17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Drop1S</v>
      </c>
      <c r="AF31" s="125">
        <v>1</v>
      </c>
      <c r="AG31" s="175">
        <f t="shared" ca="1" si="14"/>
        <v>3</v>
      </c>
      <c r="AH31" s="61">
        <v>20</v>
      </c>
      <c r="AI31" s="125">
        <v>0</v>
      </c>
      <c r="AJ31" s="125">
        <v>0</v>
      </c>
      <c r="AK31" s="125">
        <v>0</v>
      </c>
      <c r="AL31" s="125">
        <v>0</v>
      </c>
      <c r="AM31" s="125">
        <v>1</v>
      </c>
      <c r="AN31" s="204">
        <v>1</v>
      </c>
      <c r="AO31" s="172"/>
      <c r="AP31" s="172"/>
      <c r="AQ31" s="172"/>
      <c r="AR31" s="172"/>
      <c r="AS31" s="172"/>
      <c r="AT31" s="172"/>
      <c r="AU31" s="172"/>
      <c r="AV31" s="172"/>
      <c r="AW31" s="172"/>
      <c r="AX31" s="172"/>
      <c r="AY31" s="172"/>
      <c r="AZ31" s="172"/>
      <c r="BA31" s="172"/>
      <c r="BB31" s="172"/>
      <c r="BC31" s="172"/>
      <c r="BD31" s="172"/>
    </row>
    <row r="32" spans="1:56" s="61" customFormat="1" ht="21" customHeight="1" x14ac:dyDescent="0.15">
      <c r="A32" s="173" t="str">
        <f t="shared" si="10"/>
        <v>15027_3-2/412&lt;lv56&gt;s1</v>
      </c>
      <c r="B32" s="105">
        <v>15027</v>
      </c>
      <c r="C32" s="111">
        <v>3</v>
      </c>
      <c r="D32" s="14" t="str">
        <f t="shared" si="11"/>
        <v>15027_3</v>
      </c>
      <c r="E32" s="17" t="str">
        <f ca="1">VLOOKUP($B32,OFFSET([2]quests!$A$1,0,0,COUNTA([2]quests!$A:$A),MATCH(E$1,[2]quests!$1:$1,0)-MATCH($B$1,[2]quests!$1:$1,0)+1),MATCH(E$1,[2]quests!$1:$1,0)-MATCH($B$1,[2]quests!$1:$1,0)+1,FALSE)</f>
        <v>27. 雷雨の登山道</v>
      </c>
      <c r="F32" s="17" t="str">
        <f ca="1">VLOOKUP($D32,OFFSET([2]stages!$A$1,0,0,COUNTA([2]stages!$A:$A),MATCH(F$1,[2]stages!$2:$2,0)-MATCH($D$1,[2]stages!$2:$2,0)+1),MATCH(F$1,[2]stages!$2:$2,0)-MATCH($D$1,[2]stages!$2:$2,0)+1,FALSE)</f>
        <v>27-3. 山岳の王者</v>
      </c>
      <c r="G32" s="106">
        <v>2</v>
      </c>
      <c r="H32" s="14" t="str">
        <f t="shared" si="12"/>
        <v>15027_3-2</v>
      </c>
      <c r="I32" s="17">
        <f ca="1">VLOOKUP($H32,OFFSET(floors!$A$1,0,0,COUNTA(floors!$A:$A),MATCH(I$1,floors!$1:$1,0)-MATCH($H$1,floors!$1:$1,0)+1),MATCH(I$1,floors!$1:$1,0)-MATCH($H$1,floors!$1:$1,0)+1,FALSE)</f>
        <v>45</v>
      </c>
      <c r="J32" s="17">
        <f ca="1">VLOOKUP($H32,OFFSET(floors!$A$1,0,0,COUNTA(floors!$A:$A),MATCH(J$1,floors!$1:$1,0)-MATCH($H$1,floors!$1:$1,0)+1),MATCH(J$1,floors!$1:$1,0)-MATCH($H$1,floors!$1:$1,0)+1,FALSE)</f>
        <v>45</v>
      </c>
      <c r="K32" s="34" t="s">
        <v>53</v>
      </c>
      <c r="L32" s="115">
        <v>412</v>
      </c>
      <c r="M32" s="17" t="str">
        <f ca="1">VLOOKUP($L32,OFFSET([3]enemies!$A$1,0,0,COUNTA([3]enemies!$A:$A),MATCH(M$1,[3]enemies!$1:$1,0)-MATCH($L$1,[3]enemies!$1:$1,0)+1),MATCH(M$1,[3]enemies!$1:$1,0)-MATCH($L$1,[3]enemies!$1:$1,0)+1,FALSE)</f>
        <v>コウネン</v>
      </c>
      <c r="N32" s="17" t="str">
        <f ca="1">VLOOKUP($L32,OFFSET([3]enemies!$A$1,0,0,COUNTA([3]enemies!$A:$A),MATCH(N$1,[3]enemies!$1:$1,0)-MATCH($L$1,[3]enemies!$1:$1,0)+1),MATCH(N$1,[3]enemies!$1:$1,0)-MATCH($L$1,[3]enemies!$1:$1,0)+1,FALSE)</f>
        <v>yellow</v>
      </c>
      <c r="O32" s="17" t="str">
        <f ca="1">VLOOKUP($L32,OFFSET([4]characters!$A$1,0,0,COUNTA([4]characters!$A:$A),MATCH(O$1,[4]characters!$1:$1,0)-MATCH($L$1,[4]characters!$1:$1,0)+1),MATCH(O$1,[4]characters!$1:$1,0)-MATCH($L$1,[4]characters!$1:$1,0)+1,FALSE)</f>
        <v>Drop1S</v>
      </c>
      <c r="P32" s="17" t="str">
        <f ca="1">VLOOKUP($L32,OFFSET([3]enemies!$A$1,0,0,COUNTA([3]enemies!$A:$A),MATCH(P$1,[3]enemies!$1:$1,0)-MATCH($L$1,[3]enemies!$1:$1,0)+1),MATCH(P$1,[3]enemies!$1:$1,0)-MATCH($L$1,[3]enemies!$1:$1,0)+1,FALSE)</f>
        <v>unknown</v>
      </c>
      <c r="Q32" s="17">
        <f ca="1">VLOOKUP($L32,OFFSET([3]enemies!$A$1,0,0,COUNTA([3]enemies!$A:$A),MATCH(Q$1,[3]enemies!$1:$1,0)-MATCH($L$1,[3]enemies!$1:$1,0)+1),MATCH(Q$1,[3]enemies!$1:$1,0)-MATCH($L$1,[3]enemies!$1:$1,0)+1,FALSE)</f>
        <v>15</v>
      </c>
      <c r="R32" s="121">
        <v>56</v>
      </c>
      <c r="S32" s="146">
        <v>3</v>
      </c>
      <c r="T32" s="146">
        <v>1</v>
      </c>
      <c r="U32" s="121">
        <v>0</v>
      </c>
      <c r="V32" s="17" t="str">
        <f ca="1">VLOOKUP($W32,OFFSET(enemy_skill_sets!$B$1,0,0,COUNTA(enemy_skill_sets!$B:$B),MATCH(M$1,enemy_skill_sets!$1:$1,0)-MATCH($W$1,enemy_skill_sets!$1:$1,0)+2),MATCH(M$1,enemy_skill_sets!$1:$1,0)-MATCH($W$1,enemy_skill_sets!$1:$1,0)+2,FALSE)</f>
        <v>パネルをランダムで20個ハートに変換</v>
      </c>
      <c r="W32" s="154">
        <v>15027002</v>
      </c>
      <c r="X32" s="141">
        <v>1</v>
      </c>
      <c r="Y32" s="141">
        <v>100</v>
      </c>
      <c r="Z32" s="141">
        <v>1</v>
      </c>
      <c r="AA32" s="174">
        <v>1</v>
      </c>
      <c r="AB32" s="175">
        <f t="shared" si="13"/>
        <v>412</v>
      </c>
      <c r="AC32" s="17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コウネン</v>
      </c>
      <c r="AD32" s="17">
        <f ca="1">VLOOKUP($AB32,OFFSET([4]characters!$A$1,0,0,COUNTA([4]characters!$A:$A),MATCH(AD$1,[4]characters!$1:$1,0)-MATCH("character_id",[4]characters!$1:$1,0)+1),MATCH(AD$1,[4]characters!$1:$1,0)-MATCH("character_id",[4]characters!$1:$1,0)+1,FALSE)</f>
        <v>2</v>
      </c>
      <c r="AE32" s="17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Drop1S</v>
      </c>
      <c r="AF32" s="125">
        <v>1</v>
      </c>
      <c r="AG32" s="175">
        <f t="shared" ca="1" si="14"/>
        <v>2</v>
      </c>
      <c r="AH32" s="61">
        <v>20</v>
      </c>
      <c r="AI32" s="125">
        <v>0</v>
      </c>
      <c r="AJ32" s="125">
        <v>0</v>
      </c>
      <c r="AK32" s="125">
        <v>0</v>
      </c>
      <c r="AL32" s="125">
        <v>0</v>
      </c>
      <c r="AM32" s="125">
        <v>1</v>
      </c>
      <c r="AN32" s="204">
        <v>1</v>
      </c>
      <c r="AO32" s="172"/>
      <c r="AP32" s="172"/>
      <c r="AQ32" s="172"/>
      <c r="AR32" s="172"/>
      <c r="AS32" s="172"/>
      <c r="AT32" s="172"/>
      <c r="AU32" s="172"/>
      <c r="AV32" s="172"/>
      <c r="AW32" s="172"/>
      <c r="AX32" s="172"/>
      <c r="AY32" s="172"/>
      <c r="AZ32" s="172"/>
      <c r="BA32" s="172"/>
      <c r="BB32" s="172"/>
      <c r="BC32" s="172"/>
      <c r="BD32" s="172"/>
    </row>
    <row r="33" spans="1:56" s="61" customFormat="1" ht="21" customHeight="1" x14ac:dyDescent="0.15">
      <c r="A33" s="173" t="str">
        <f t="shared" si="10"/>
        <v>15027_3-2/374&lt;lv56&gt;s1</v>
      </c>
      <c r="B33" s="105">
        <v>15027</v>
      </c>
      <c r="C33" s="111">
        <v>3</v>
      </c>
      <c r="D33" s="14" t="str">
        <f t="shared" si="11"/>
        <v>15027_3</v>
      </c>
      <c r="E33" s="17" t="str">
        <f ca="1">VLOOKUP($B33,OFFSET([2]quests!$A$1,0,0,COUNTA([2]quests!$A:$A),MATCH(E$1,[2]quests!$1:$1,0)-MATCH($B$1,[2]quests!$1:$1,0)+1),MATCH(E$1,[2]quests!$1:$1,0)-MATCH($B$1,[2]quests!$1:$1,0)+1,FALSE)</f>
        <v>27. 雷雨の登山道</v>
      </c>
      <c r="F33" s="17" t="str">
        <f ca="1">VLOOKUP($D33,OFFSET([2]stages!$A$1,0,0,COUNTA([2]stages!$A:$A),MATCH(F$1,[2]stages!$2:$2,0)-MATCH($D$1,[2]stages!$2:$2,0)+1),MATCH(F$1,[2]stages!$2:$2,0)-MATCH($D$1,[2]stages!$2:$2,0)+1,FALSE)</f>
        <v>27-3. 山岳の王者</v>
      </c>
      <c r="G33" s="106">
        <v>2</v>
      </c>
      <c r="H33" s="14" t="str">
        <f t="shared" si="12"/>
        <v>15027_3-2</v>
      </c>
      <c r="I33" s="17">
        <f ca="1">VLOOKUP($H33,OFFSET(floors!$A$1,0,0,COUNTA(floors!$A:$A),MATCH(I$1,floors!$1:$1,0)-MATCH($H$1,floors!$1:$1,0)+1),MATCH(I$1,floors!$1:$1,0)-MATCH($H$1,floors!$1:$1,0)+1,FALSE)</f>
        <v>45</v>
      </c>
      <c r="J33" s="17">
        <f ca="1">VLOOKUP($H33,OFFSET(floors!$A$1,0,0,COUNTA(floors!$A:$A),MATCH(J$1,floors!$1:$1,0)-MATCH($H$1,floors!$1:$1,0)+1),MATCH(J$1,floors!$1:$1,0)-MATCH($H$1,floors!$1:$1,0)+1,FALSE)</f>
        <v>45</v>
      </c>
      <c r="K33" s="34" t="s">
        <v>53</v>
      </c>
      <c r="L33" s="115">
        <v>374</v>
      </c>
      <c r="M33" s="17" t="str">
        <f ca="1">VLOOKUP($L33,OFFSET([3]enemies!$A$1,0,0,COUNTA([3]enemies!$A:$A),MATCH(M$1,[3]enemies!$1:$1,0)-MATCH($L$1,[3]enemies!$1:$1,0)+1),MATCH(M$1,[3]enemies!$1:$1,0)-MATCH($L$1,[3]enemies!$1:$1,0)+1,FALSE)</f>
        <v>影丸</v>
      </c>
      <c r="N33" s="17" t="str">
        <f ca="1">VLOOKUP($L33,OFFSET([3]enemies!$A$1,0,0,COUNTA([3]enemies!$A:$A),MATCH(N$1,[3]enemies!$1:$1,0)-MATCH($L$1,[3]enemies!$1:$1,0)+1),MATCH(N$1,[3]enemies!$1:$1,0)-MATCH($L$1,[3]enemies!$1:$1,0)+1,FALSE)</f>
        <v>blue</v>
      </c>
      <c r="O33" s="17" t="str">
        <f ca="1">VLOOKUP($L33,OFFSET([4]characters!$A$1,0,0,COUNTA([4]characters!$A:$A),MATCH(O$1,[4]characters!$1:$1,0)-MATCH($L$1,[4]characters!$1:$1,0)+1),MATCH(O$1,[4]characters!$1:$1,0)-MATCH($L$1,[4]characters!$1:$1,0)+1,FALSE)</f>
        <v>Drop1S</v>
      </c>
      <c r="P33" s="17" t="str">
        <f ca="1">VLOOKUP($L33,OFFSET([3]enemies!$A$1,0,0,COUNTA([3]enemies!$A:$A),MATCH(P$1,[3]enemies!$1:$1,0)-MATCH($L$1,[3]enemies!$1:$1,0)+1),MATCH(P$1,[3]enemies!$1:$1,0)-MATCH($L$1,[3]enemies!$1:$1,0)+1,FALSE)</f>
        <v>animal</v>
      </c>
      <c r="Q33" s="17">
        <f ca="1">VLOOKUP($L33,OFFSET([3]enemies!$A$1,0,0,COUNTA([3]enemies!$A:$A),MATCH(Q$1,[3]enemies!$1:$1,0)-MATCH($L$1,[3]enemies!$1:$1,0)+1),MATCH(Q$1,[3]enemies!$1:$1,0)-MATCH($L$1,[3]enemies!$1:$1,0)+1,FALSE)</f>
        <v>15</v>
      </c>
      <c r="R33" s="121">
        <v>56</v>
      </c>
      <c r="S33" s="146">
        <v>2</v>
      </c>
      <c r="T33" s="146">
        <v>1</v>
      </c>
      <c r="U33" s="121">
        <v>0</v>
      </c>
      <c r="V33" s="17" t="str">
        <f ca="1">VLOOKUP($W33,OFFSET(enemy_skill_sets!$B$1,0,0,COUNTA(enemy_skill_sets!$B:$B),MATCH(M$1,enemy_skill_sets!$1:$1,0)-MATCH($W$1,enemy_skill_sets!$1:$1,0)+2),MATCH(M$1,enemy_skill_sets!$1:$1,0)-MATCH($W$1,enemy_skill_sets!$1:$1,0)+2,FALSE)</f>
        <v>8ターンの間 パネルの色が分からなくなる !</v>
      </c>
      <c r="W33" s="154">
        <v>15027001</v>
      </c>
      <c r="X33" s="141">
        <v>1</v>
      </c>
      <c r="Y33" s="141">
        <v>100</v>
      </c>
      <c r="Z33" s="141">
        <v>2</v>
      </c>
      <c r="AA33" s="174">
        <v>1</v>
      </c>
      <c r="AB33" s="175">
        <f t="shared" si="13"/>
        <v>374</v>
      </c>
      <c r="AC33" s="17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影丸</v>
      </c>
      <c r="AD33" s="17">
        <f ca="1">VLOOKUP($AB33,OFFSET([4]characters!$A$1,0,0,COUNTA([4]characters!$A:$A),MATCH(AD$1,[4]characters!$1:$1,0)-MATCH("character_id",[4]characters!$1:$1,0)+1),MATCH(AD$1,[4]characters!$1:$1,0)-MATCH("character_id",[4]characters!$1:$1,0)+1,FALSE)</f>
        <v>2</v>
      </c>
      <c r="AE33" s="17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Drop1S</v>
      </c>
      <c r="AF33" s="125">
        <v>1</v>
      </c>
      <c r="AG33" s="175">
        <f t="shared" ca="1" si="14"/>
        <v>2</v>
      </c>
      <c r="AH33" s="141">
        <v>20</v>
      </c>
      <c r="AI33" s="125">
        <v>0</v>
      </c>
      <c r="AJ33" s="125">
        <v>0</v>
      </c>
      <c r="AK33" s="125">
        <v>0</v>
      </c>
      <c r="AL33" s="125">
        <v>0</v>
      </c>
      <c r="AM33" s="125">
        <v>1</v>
      </c>
      <c r="AN33" s="204">
        <v>1</v>
      </c>
      <c r="AO33" s="172"/>
      <c r="AP33" s="172"/>
      <c r="AQ33" s="172"/>
      <c r="AR33" s="172"/>
      <c r="AS33" s="172"/>
      <c r="AT33" s="172"/>
      <c r="AU33" s="172"/>
      <c r="AV33" s="172"/>
      <c r="AW33" s="172"/>
      <c r="AX33" s="172"/>
      <c r="AY33" s="172"/>
      <c r="AZ33" s="172"/>
      <c r="BA33" s="172"/>
      <c r="BB33" s="172"/>
      <c r="BC33" s="172"/>
      <c r="BD33" s="172"/>
    </row>
    <row r="34" spans="1:56" s="61" customFormat="1" ht="21" customHeight="1" x14ac:dyDescent="0.15">
      <c r="A34" s="173" t="str">
        <f t="shared" si="10"/>
        <v>15027_3-3/131&lt;lv55&gt;s2</v>
      </c>
      <c r="B34" s="105">
        <v>15027</v>
      </c>
      <c r="C34" s="111">
        <v>3</v>
      </c>
      <c r="D34" s="14" t="str">
        <f t="shared" si="11"/>
        <v>15027_3</v>
      </c>
      <c r="E34" s="17" t="str">
        <f ca="1">VLOOKUP($B34,OFFSET([2]quests!$A$1,0,0,COUNTA([2]quests!$A:$A),MATCH(E$1,[2]quests!$1:$1,0)-MATCH($B$1,[2]quests!$1:$1,0)+1),MATCH(E$1,[2]quests!$1:$1,0)-MATCH($B$1,[2]quests!$1:$1,0)+1,FALSE)</f>
        <v>27. 雷雨の登山道</v>
      </c>
      <c r="F34" s="17" t="str">
        <f ca="1">VLOOKUP($D34,OFFSET([2]stages!$A$1,0,0,COUNTA([2]stages!$A:$A),MATCH(F$1,[2]stages!$2:$2,0)-MATCH($D$1,[2]stages!$2:$2,0)+1),MATCH(F$1,[2]stages!$2:$2,0)-MATCH($D$1,[2]stages!$2:$2,0)+1,FALSE)</f>
        <v>27-3. 山岳の王者</v>
      </c>
      <c r="G34" s="111">
        <v>3</v>
      </c>
      <c r="H34" s="14" t="str">
        <f t="shared" si="12"/>
        <v>15027_3-3</v>
      </c>
      <c r="I34" s="17">
        <f ca="1">VLOOKUP($H34,OFFSET(floors!$A$1,0,0,COUNTA(floors!$A:$A),MATCH(I$1,floors!$1:$1,0)-MATCH($H$1,floors!$1:$1,0)+1),MATCH(I$1,floors!$1:$1,0)-MATCH($H$1,floors!$1:$1,0)+1,FALSE)</f>
        <v>60</v>
      </c>
      <c r="J34" s="17">
        <f ca="1">VLOOKUP($H34,OFFSET(floors!$A$1,0,0,COUNTA(floors!$A:$A),MATCH(J$1,floors!$1:$1,0)-MATCH($H$1,floors!$1:$1,0)+1),MATCH(J$1,floors!$1:$1,0)-MATCH($H$1,floors!$1:$1,0)+1,FALSE)</f>
        <v>60</v>
      </c>
      <c r="K34" s="34" t="s">
        <v>53</v>
      </c>
      <c r="L34" s="115">
        <v>131</v>
      </c>
      <c r="M34" s="17" t="str">
        <f ca="1">VLOOKUP($L34,OFFSET([3]enemies!$A$1,0,0,COUNTA([3]enemies!$A:$A),MATCH(M$1,[3]enemies!$1:$1,0)-MATCH($L$1,[3]enemies!$1:$1,0)+1),MATCH(M$1,[3]enemies!$1:$1,0)-MATCH($L$1,[3]enemies!$1:$1,0)+1,FALSE)</f>
        <v>月下の人狼 ローレンス</v>
      </c>
      <c r="N34" s="17" t="str">
        <f ca="1">VLOOKUP($L34,OFFSET([3]enemies!$A$1,0,0,COUNTA([3]enemies!$A:$A),MATCH(N$1,[3]enemies!$1:$1,0)-MATCH($L$1,[3]enemies!$1:$1,0)+1),MATCH(N$1,[3]enemies!$1:$1,0)-MATCH($L$1,[3]enemies!$1:$1,0)+1,FALSE)</f>
        <v>blue</v>
      </c>
      <c r="O34" s="17" t="str">
        <f ca="1">VLOOKUP($L34,OFFSET([4]characters!$A$1,0,0,COUNTA([4]characters!$A:$A),MATCH(O$1,[4]characters!$1:$1,0)-MATCH($L$1,[4]characters!$1:$1,0)+1),MATCH(O$1,[4]characters!$1:$1,0)-MATCH($L$1,[4]characters!$1:$1,0)+1,FALSE)</f>
        <v>PremiumW</v>
      </c>
      <c r="P34" s="17" t="str">
        <f ca="1">VLOOKUP($L34,OFFSET([3]enemies!$A$1,0,0,COUNTA([3]enemies!$A:$A),MATCH(P$1,[3]enemies!$1:$1,0)-MATCH($L$1,[3]enemies!$1:$1,0)+1),MATCH(P$1,[3]enemies!$1:$1,0)-MATCH($L$1,[3]enemies!$1:$1,0)+1,FALSE)</f>
        <v>animal</v>
      </c>
      <c r="Q34" s="17">
        <f ca="1">VLOOKUP($L34,OFFSET([3]enemies!$A$1,0,0,COUNTA([3]enemies!$A:$A),MATCH(Q$1,[3]enemies!$1:$1,0)-MATCH($L$1,[3]enemies!$1:$1,0)+1),MATCH(Q$1,[3]enemies!$1:$1,0)-MATCH($L$1,[3]enemies!$1:$1,0)+1,FALSE)</f>
        <v>30</v>
      </c>
      <c r="R34" s="121">
        <v>55</v>
      </c>
      <c r="S34" s="146">
        <v>1.2</v>
      </c>
      <c r="T34" s="146">
        <v>1</v>
      </c>
      <c r="U34" s="121">
        <v>0</v>
      </c>
      <c r="V34" s="17" t="str">
        <f ca="1">VLOOKUP($W34,OFFSET(enemy_skill_sets!$B$1,0,0,COUNTA(enemy_skill_sets!$B:$B),MATCH(M$1,enemy_skill_sets!$1:$1,0)-MATCH($W$1,enemy_skill_sets!$1:$1,0)+2),MATCH(M$1,enemy_skill_sets!$1:$1,0)-MATCH($W$1,enemy_skill_sets!$1:$1,0)+2,FALSE)</f>
        <v>種族ヒューマンのユニットは_x000D_高確率で8ターンスキルが使えない！</v>
      </c>
      <c r="W34" s="154">
        <v>15027011</v>
      </c>
      <c r="X34" s="141">
        <v>0</v>
      </c>
      <c r="Y34" s="141">
        <v>100</v>
      </c>
      <c r="Z34" s="141">
        <v>0</v>
      </c>
      <c r="AA34" s="174">
        <v>2</v>
      </c>
      <c r="AB34" s="175">
        <f t="shared" si="13"/>
        <v>131</v>
      </c>
      <c r="AC34" s="17" t="str">
        <f ca="1">VLOOKUP($AB34,OFFSET([4]characters!$A$1,0,0,COUNTA([4]characters!$A:$A),MATCH(AC$1,[4]characters!$1:$1,0)-MATCH("character_id",[4]characters!$1:$1,0)+1),MATCH(AC$1,[4]characters!$1:$1,0)-MATCH("character_id",[4]characters!$1:$1,0)+1,FALSE)</f>
        <v>月下の人狼 ローレンス</v>
      </c>
      <c r="AD34" s="17">
        <f ca="1">VLOOKUP($AB34,OFFSET([4]characters!$A$1,0,0,COUNTA([4]characters!$A:$A),MATCH(AD$1,[4]characters!$1:$1,0)-MATCH("character_id",[4]characters!$1:$1,0)+1),MATCH(AD$1,[4]characters!$1:$1,0)-MATCH("character_id",[4]characters!$1:$1,0)+1,FALSE)</f>
        <v>4</v>
      </c>
      <c r="AE34" s="17" t="str">
        <f ca="1">VLOOKUP($AB34,OFFSET([4]characters!$A$1,0,0,COUNTA([4]characters!$A:$A),MATCH(AE$1,[4]characters!$1:$1,0)-MATCH("character_id",[4]characters!$1:$1,0)+1),MATCH(AE$1,[4]characters!$1:$1,0)-MATCH("character_id",[4]characters!$1:$1,0)+1,FALSE)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34" s="125">
        <v>1</v>
      </c>
      <c r="AG34" s="175">
        <f t="shared" ca="1" si="14"/>
        <v>4</v>
      </c>
      <c r="AH34" s="141">
        <v>0</v>
      </c>
      <c r="AI34" s="125">
        <v>0</v>
      </c>
      <c r="AJ34" s="125">
        <v>0</v>
      </c>
      <c r="AK34" s="125">
        <v>0</v>
      </c>
      <c r="AL34" s="125">
        <v>0</v>
      </c>
      <c r="AM34" s="125">
        <v>1</v>
      </c>
      <c r="AN34" s="204">
        <v>1</v>
      </c>
      <c r="AO34" s="172"/>
      <c r="AP34" s="172"/>
      <c r="AQ34" s="172"/>
      <c r="AR34" s="172"/>
      <c r="AS34" s="172"/>
      <c r="AT34" s="172"/>
      <c r="AU34" s="172"/>
      <c r="AV34" s="172"/>
      <c r="AW34" s="172"/>
      <c r="AX34" s="172"/>
      <c r="AY34" s="172"/>
      <c r="AZ34" s="172"/>
      <c r="BA34" s="172"/>
      <c r="BB34" s="172"/>
      <c r="BC34" s="172"/>
      <c r="BD34" s="172"/>
    </row>
    <row r="35" spans="1:56" s="61" customFormat="1" ht="21" customHeight="1" x14ac:dyDescent="0.15">
      <c r="A35" s="173" t="str">
        <f t="shared" si="10"/>
        <v>15027_3-3/133&lt;lv55&gt;s2</v>
      </c>
      <c r="B35" s="105">
        <v>15027</v>
      </c>
      <c r="C35" s="111">
        <v>3</v>
      </c>
      <c r="D35" s="14" t="str">
        <f t="shared" si="11"/>
        <v>15027_3</v>
      </c>
      <c r="E35" s="17" t="str">
        <f ca="1">VLOOKUP($B35,OFFSET([2]quests!$A$1,0,0,COUNTA([2]quests!$A:$A),MATCH(E$1,[2]quests!$1:$1,0)-MATCH($B$1,[2]quests!$1:$1,0)+1),MATCH(E$1,[2]quests!$1:$1,0)-MATCH($B$1,[2]quests!$1:$1,0)+1,FALSE)</f>
        <v>27. 雷雨の登山道</v>
      </c>
      <c r="F35" s="17" t="str">
        <f ca="1">VLOOKUP($D35,OFFSET([2]stages!$A$1,0,0,COUNTA([2]stages!$A:$A),MATCH(F$1,[2]stages!$2:$2,0)-MATCH($D$1,[2]stages!$2:$2,0)+1),MATCH(F$1,[2]stages!$2:$2,0)-MATCH($D$1,[2]stages!$2:$2,0)+1,FALSE)</f>
        <v>27-3. 山岳の王者</v>
      </c>
      <c r="G35" s="111">
        <v>3</v>
      </c>
      <c r="H35" s="14" t="str">
        <f t="shared" si="12"/>
        <v>15027_3-3</v>
      </c>
      <c r="I35" s="17">
        <f ca="1">VLOOKUP($H35,OFFSET(floors!$A$1,0,0,COUNTA(floors!$A:$A),MATCH(I$1,floors!$1:$1,0)-MATCH($H$1,floors!$1:$1,0)+1),MATCH(I$1,floors!$1:$1,0)-MATCH($H$1,floors!$1:$1,0)+1,FALSE)</f>
        <v>60</v>
      </c>
      <c r="J35" s="17">
        <f ca="1">VLOOKUP($H35,OFFSET(floors!$A$1,0,0,COUNTA(floors!$A:$A),MATCH(J$1,floors!$1:$1,0)-MATCH($H$1,floors!$1:$1,0)+1),MATCH(J$1,floors!$1:$1,0)-MATCH($H$1,floors!$1:$1,0)+1,FALSE)</f>
        <v>60</v>
      </c>
      <c r="K35" s="34" t="s">
        <v>53</v>
      </c>
      <c r="L35" s="115">
        <v>133</v>
      </c>
      <c r="M35" s="17" t="str">
        <f ca="1">VLOOKUP($L35,OFFSET([3]enemies!$A$1,0,0,COUNTA([3]enemies!$A:$A),MATCH(M$1,[3]enemies!$1:$1,0)-MATCH($L$1,[3]enemies!$1:$1,0)+1),MATCH(M$1,[3]enemies!$1:$1,0)-MATCH($L$1,[3]enemies!$1:$1,0)+1,FALSE)</f>
        <v>迅雷の刀剣 ハヤト</v>
      </c>
      <c r="N35" s="17" t="str">
        <f ca="1">VLOOKUP($L35,OFFSET([3]enemies!$A$1,0,0,COUNTA([3]enemies!$A:$A),MATCH(N$1,[3]enemies!$1:$1,0)-MATCH($L$1,[3]enemies!$1:$1,0)+1),MATCH(N$1,[3]enemies!$1:$1,0)-MATCH($L$1,[3]enemies!$1:$1,0)+1,FALSE)</f>
        <v>yellow</v>
      </c>
      <c r="O35" s="17" t="str">
        <f ca="1">VLOOKUP($L35,OFFSET([4]characters!$A$1,0,0,COUNTA([4]characters!$A:$A),MATCH(O$1,[4]characters!$1:$1,0)-MATCH($L$1,[4]characters!$1:$1,0)+1),MATCH(O$1,[4]characters!$1:$1,0)-MATCH($L$1,[4]characters!$1:$1,0)+1,FALSE)</f>
        <v>PremiumW</v>
      </c>
      <c r="P35" s="17" t="str">
        <f ca="1">VLOOKUP($L35,OFFSET([3]enemies!$A$1,0,0,COUNTA([3]enemies!$A:$A),MATCH(P$1,[3]enemies!$1:$1,0)-MATCH($L$1,[3]enemies!$1:$1,0)+1),MATCH(P$1,[3]enemies!$1:$1,0)-MATCH($L$1,[3]enemies!$1:$1,0)+1,FALSE)</f>
        <v>human</v>
      </c>
      <c r="Q35" s="17">
        <f ca="1">VLOOKUP($L35,OFFSET([3]enemies!$A$1,0,0,COUNTA([3]enemies!$A:$A),MATCH(Q$1,[3]enemies!$1:$1,0)-MATCH($L$1,[3]enemies!$1:$1,0)+1),MATCH(Q$1,[3]enemies!$1:$1,0)-MATCH($L$1,[3]enemies!$1:$1,0)+1,FALSE)</f>
        <v>30</v>
      </c>
      <c r="R35" s="121">
        <v>55</v>
      </c>
      <c r="S35" s="146">
        <v>1.2</v>
      </c>
      <c r="T35" s="146">
        <v>1</v>
      </c>
      <c r="U35" s="121">
        <v>0</v>
      </c>
      <c r="V35" s="17" t="str">
        <f ca="1">VLOOKUP($W35,OFFSET(enemy_skill_sets!$B$1,0,0,COUNTA(enemy_skill_sets!$B:$B),MATCH(M$1,enemy_skill_sets!$1:$1,0)-MATCH($W$1,enemy_skill_sets!$1:$1,0)+2),MATCH(M$1,enemy_skill_sets!$1:$1,0)-MATCH($W$1,enemy_skill_sets!$1:$1,0)+2,FALSE)</f>
        <v>青属性に対して大ダメージの全体攻撃</v>
      </c>
      <c r="W35" s="154">
        <v>15027012</v>
      </c>
      <c r="X35" s="141">
        <v>0</v>
      </c>
      <c r="Y35" s="141">
        <v>100</v>
      </c>
      <c r="Z35" s="141">
        <v>0</v>
      </c>
      <c r="AA35" s="17">
        <v>2</v>
      </c>
      <c r="AB35" s="175">
        <f t="shared" si="13"/>
        <v>133</v>
      </c>
      <c r="AC35" s="17" t="str">
        <f ca="1">VLOOKUP($AB35,OFFSET([4]characters!$A$1,0,0,COUNTA([4]characters!$A:$A),MATCH(AC$1,[4]characters!$1:$1,0)-MATCH("character_id",[4]characters!$1:$1,0)+1),MATCH(AC$1,[4]characters!$1:$1,0)-MATCH("character_id",[4]characters!$1:$1,0)+1,FALSE)</f>
        <v>迅雷の刀剣 ハヤト</v>
      </c>
      <c r="AD35" s="17">
        <f ca="1">VLOOKUP($AB35,OFFSET([4]characters!$A$1,0,0,COUNTA([4]characters!$A:$A),MATCH(AD$1,[4]characters!$1:$1,0)-MATCH("character_id",[4]characters!$1:$1,0)+1),MATCH(AD$1,[4]characters!$1:$1,0)-MATCH("character_id",[4]characters!$1:$1,0)+1,FALSE)</f>
        <v>4</v>
      </c>
      <c r="AE35" s="17" t="str">
        <f ca="1">VLOOKUP($AB35,OFFSET([4]characters!$A$1,0,0,COUNTA([4]characters!$A:$A),MATCH(AE$1,[4]characters!$1:$1,0)-MATCH("character_id",[4]characters!$1:$1,0)+1),MATCH(AE$1,[4]characters!$1:$1,0)-MATCH("character_id",[4]characters!$1:$1,0)+1,FALSE)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35" s="125">
        <v>1</v>
      </c>
      <c r="AG35" s="175">
        <f t="shared" ca="1" si="14"/>
        <v>4</v>
      </c>
      <c r="AH35" s="61">
        <v>0</v>
      </c>
      <c r="AI35" s="125">
        <v>0</v>
      </c>
      <c r="AJ35" s="125">
        <v>0</v>
      </c>
      <c r="AK35" s="125">
        <v>0</v>
      </c>
      <c r="AL35" s="125">
        <v>0</v>
      </c>
      <c r="AM35" s="125">
        <v>1</v>
      </c>
      <c r="AN35" s="204">
        <v>1</v>
      </c>
      <c r="AO35" s="172"/>
      <c r="AP35" s="172"/>
      <c r="AQ35" s="172"/>
      <c r="AR35" s="172"/>
      <c r="AS35" s="172"/>
      <c r="AT35" s="172"/>
      <c r="AU35" s="172"/>
      <c r="AV35" s="172"/>
      <c r="AW35" s="172"/>
      <c r="AX35" s="172"/>
      <c r="AY35" s="172"/>
      <c r="AZ35" s="172"/>
      <c r="BA35" s="172"/>
      <c r="BB35" s="172"/>
      <c r="BC35" s="172"/>
      <c r="BD35" s="172"/>
    </row>
    <row r="36" spans="1:56" s="61" customFormat="1" ht="21" customHeight="1" x14ac:dyDescent="0.15">
      <c r="A36" s="173" t="str">
        <f t="shared" ca="1" si="10"/>
        <v>15027_3-3/54&lt;lv55&gt;s2</v>
      </c>
      <c r="B36" s="105">
        <v>15027</v>
      </c>
      <c r="C36" s="111">
        <v>3</v>
      </c>
      <c r="D36" s="14" t="str">
        <f t="shared" si="11"/>
        <v>15027_3</v>
      </c>
      <c r="E36" s="17" t="str">
        <f ca="1">VLOOKUP($B36,OFFSET([2]quests!$A$1,0,0,COUNTA([2]quests!$A:$A),MATCH(E$1,[2]quests!$1:$1,0)-MATCH($B$1,[2]quests!$1:$1,0)+1),MATCH(E$1,[2]quests!$1:$1,0)-MATCH($B$1,[2]quests!$1:$1,0)+1,FALSE)</f>
        <v>27. 雷雨の登山道</v>
      </c>
      <c r="F36" s="17" t="str">
        <f ca="1">VLOOKUP($D36,OFFSET([2]stages!$A$1,0,0,COUNTA([2]stages!$A:$A),MATCH(F$1,[2]stages!$2:$2,0)-MATCH($D$1,[2]stages!$2:$2,0)+1),MATCH(F$1,[2]stages!$2:$2,0)-MATCH($D$1,[2]stages!$2:$2,0)+1,FALSE)</f>
        <v>27-3. 山岳の王者</v>
      </c>
      <c r="G36" s="111">
        <v>3</v>
      </c>
      <c r="H36" s="14" t="str">
        <f t="shared" si="12"/>
        <v>15027_3-3</v>
      </c>
      <c r="I36" s="17">
        <f ca="1">VLOOKUP($H36,OFFSET(floors!$A$1,0,0,COUNTA(floors!$A:$A),MATCH(I$1,floors!$1:$1,0)-MATCH($H$1,floors!$1:$1,0)+1),MATCH(I$1,floors!$1:$1,0)-MATCH($H$1,floors!$1:$1,0)+1,FALSE)</f>
        <v>60</v>
      </c>
      <c r="J36" s="17">
        <f ca="1">VLOOKUP($H36,OFFSET(floors!$A$1,0,0,COUNTA(floors!$A:$A),MATCH(J$1,floors!$1:$1,0)-MATCH($H$1,floors!$1:$1,0)+1),MATCH(J$1,floors!$1:$1,0)-MATCH($H$1,floors!$1:$1,0)+1,FALSE)</f>
        <v>60</v>
      </c>
      <c r="K36" s="34" t="s">
        <v>53</v>
      </c>
      <c r="L36" s="115">
        <v>54</v>
      </c>
      <c r="M36" s="17" t="str">
        <f ca="1">VLOOKUP($L36,OFFSET([3]enemies!$A$1,0,0,COUNTA([3]enemies!$A:$A),MATCH(M$1,[3]enemies!$1:$1,0)-MATCH($L$1,[3]enemies!$1:$1,0)+1),MATCH(M$1,[3]enemies!$1:$1,0)-MATCH($L$1,[3]enemies!$1:$1,0)+1,FALSE)</f>
        <v>蒼斬のレジスタンス ケンジ</v>
      </c>
      <c r="N36" s="17" t="str">
        <f ca="1">VLOOKUP($L36,OFFSET([3]enemies!$A$1,0,0,COUNTA([3]enemies!$A:$A),MATCH(N$1,[3]enemies!$1:$1,0)-MATCH($L$1,[3]enemies!$1:$1,0)+1),MATCH(N$1,[3]enemies!$1:$1,0)-MATCH($L$1,[3]enemies!$1:$1,0)+1,FALSE)</f>
        <v>blue</v>
      </c>
      <c r="O36" s="17" t="str">
        <f ca="1">VLOOKUP($L36,OFFSET([4]characters!$A$1,0,0,COUNTA([4]characters!$A:$A),MATCH(O$1,[4]characters!$1:$1,0)-MATCH($L$1,[4]characters!$1:$1,0)+1),MATCH(O$1,[4]characters!$1:$1,0)-MATCH($L$1,[4]characters!$1:$1,0)+1,FALSE)</f>
        <v>Drop1N</v>
      </c>
      <c r="P36" s="17" t="str">
        <f ca="1">VLOOKUP($L36,OFFSET([3]enemies!$A$1,0,0,COUNTA([3]enemies!$A:$A),MATCH(P$1,[3]enemies!$1:$1,0)-MATCH($L$1,[3]enemies!$1:$1,0)+1),MATCH(P$1,[3]enemies!$1:$1,0)-MATCH($L$1,[3]enemies!$1:$1,0)+1,FALSE)</f>
        <v>human</v>
      </c>
      <c r="Q36" s="17">
        <f ca="1">VLOOKUP($L36,OFFSET([3]enemies!$A$1,0,0,COUNTA([3]enemies!$A:$A),MATCH(Q$1,[3]enemies!$1:$1,0)-MATCH($L$1,[3]enemies!$1:$1,0)+1),MATCH(Q$1,[3]enemies!$1:$1,0)-MATCH($L$1,[3]enemies!$1:$1,0)+1,FALSE)</f>
        <v>20</v>
      </c>
      <c r="R36" s="121">
        <v>55</v>
      </c>
      <c r="S36" s="146">
        <v>1.2</v>
      </c>
      <c r="T36" s="146">
        <v>1</v>
      </c>
      <c r="U36" s="121">
        <v>0</v>
      </c>
      <c r="V36" s="17" t="str">
        <f ca="1">VLOOKUP($W36,OFFSET(enemy_skill_sets!$B$1,0,0,COUNTA(enemy_skill_sets!$B:$B),MATCH(M$1,enemy_skill_sets!$1:$1,0)-MATCH($W$1,enemy_skill_sets!$1:$1,0)+2),MATCH(M$1,enemy_skill_sets!$1:$1,0)-MATCH($W$1,enemy_skill_sets!$1:$1,0)+2,FALSE)</f>
        <v>赤属性に対して大ダメージの全体攻撃</v>
      </c>
      <c r="W36" s="154">
        <v>15027003</v>
      </c>
      <c r="X36" s="141">
        <v>0</v>
      </c>
      <c r="Y36" s="141">
        <v>100</v>
      </c>
      <c r="Z36" s="141">
        <v>0</v>
      </c>
      <c r="AA36" s="17">
        <f ca="1">VLOOKUP($L36,OFFSET([3]enemies!$A$1,0,0,COUNTA([3]enemies!$A:$A),MATCH(AA$1,[3]enemies!$1:$1,0)-MATCH($L$1,[3]enemies!$1:$1,0)+1),MATCH(AA$1,[3]enemies!$1:$1,0)-MATCH($L$1,[3]enemies!$1:$1,0)+1,FALSE)</f>
        <v>2</v>
      </c>
      <c r="AB36" s="175">
        <f t="shared" si="13"/>
        <v>54</v>
      </c>
      <c r="AC36" s="17" t="str">
        <f ca="1">VLOOKUP($AB36,OFFSET([4]characters!$A$1,0,0,COUNTA([4]characters!$A:$A),MATCH(AC$1,[4]characters!$1:$1,0)-MATCH("character_id",[4]characters!$1:$1,0)+1),MATCH(AC$1,[4]characters!$1:$1,0)-MATCH("character_id",[4]characters!$1:$1,0)+1,FALSE)</f>
        <v>蒼斬のレジスタンス ケンジ</v>
      </c>
      <c r="AD36" s="17">
        <f ca="1">VLOOKUP($AB36,OFFSET([4]characters!$A$1,0,0,COUNTA([4]characters!$A:$A),MATCH(AD$1,[4]characters!$1:$1,0)-MATCH("character_id",[4]characters!$1:$1,0)+1),MATCH(AD$1,[4]characters!$1:$1,0)-MATCH("character_id",[4]characters!$1:$1,0)+1,FALSE)</f>
        <v>3</v>
      </c>
      <c r="AE36" s="17" t="str">
        <f ca="1">VLOOKUP($AB36,OFFSET([4]characters!$A$1,0,0,COUNTA([4]characters!$A:$A),MATCH(AE$1,[4]characters!$1:$1,0)-MATCH("character_id",[4]characters!$1:$1,0)+1),MATCH(AE$1,[4]characters!$1:$1,0)-MATCH("character_id",[4]characters!$1:$1,0)+1,FALSE)</f>
        <v>Drop1N</v>
      </c>
      <c r="AF36" s="125">
        <v>1</v>
      </c>
      <c r="AG36" s="175">
        <f t="shared" ca="1" si="14"/>
        <v>3</v>
      </c>
      <c r="AH36" s="61">
        <v>20</v>
      </c>
      <c r="AI36" s="125">
        <v>0</v>
      </c>
      <c r="AJ36" s="125">
        <v>0</v>
      </c>
      <c r="AK36" s="125">
        <v>0</v>
      </c>
      <c r="AL36" s="125">
        <v>0</v>
      </c>
      <c r="AM36" s="125">
        <v>1</v>
      </c>
      <c r="AN36" s="204">
        <v>1</v>
      </c>
      <c r="AO36" s="172"/>
      <c r="AP36" s="172"/>
      <c r="AQ36" s="172"/>
      <c r="AR36" s="172"/>
      <c r="AS36" s="172"/>
      <c r="AT36" s="172"/>
      <c r="AU36" s="172"/>
      <c r="AV36" s="172"/>
      <c r="AW36" s="172"/>
      <c r="AX36" s="172"/>
      <c r="AY36" s="172"/>
      <c r="AZ36" s="172"/>
      <c r="BA36" s="172"/>
      <c r="BB36" s="172"/>
      <c r="BC36" s="172"/>
      <c r="BD36" s="172"/>
    </row>
    <row r="37" spans="1:56" s="61" customFormat="1" ht="21" customHeight="1" x14ac:dyDescent="0.15">
      <c r="A37" s="173" t="str">
        <f t="shared" si="10"/>
        <v>15027_3-3/56&lt;lv55&gt;s2</v>
      </c>
      <c r="B37" s="105">
        <v>15027</v>
      </c>
      <c r="C37" s="111">
        <v>3</v>
      </c>
      <c r="D37" s="14" t="str">
        <f t="shared" si="11"/>
        <v>15027_3</v>
      </c>
      <c r="E37" s="17" t="str">
        <f ca="1">VLOOKUP($B37,OFFSET([2]quests!$A$1,0,0,COUNTA([2]quests!$A:$A),MATCH(E$1,[2]quests!$1:$1,0)-MATCH($B$1,[2]quests!$1:$1,0)+1),MATCH(E$1,[2]quests!$1:$1,0)-MATCH($B$1,[2]quests!$1:$1,0)+1,FALSE)</f>
        <v>27. 雷雨の登山道</v>
      </c>
      <c r="F37" s="17" t="str">
        <f ca="1">VLOOKUP($D37,OFFSET([2]stages!$A$1,0,0,COUNTA([2]stages!$A:$A),MATCH(F$1,[2]stages!$2:$2,0)-MATCH($D$1,[2]stages!$2:$2,0)+1),MATCH(F$1,[2]stages!$2:$2,0)-MATCH($D$1,[2]stages!$2:$2,0)+1,FALSE)</f>
        <v>27-3. 山岳の王者</v>
      </c>
      <c r="G37" s="111">
        <v>3</v>
      </c>
      <c r="H37" s="14" t="str">
        <f t="shared" si="12"/>
        <v>15027_3-3</v>
      </c>
      <c r="I37" s="17">
        <f ca="1">VLOOKUP($H37,OFFSET(floors!$A$1,0,0,COUNTA(floors!$A:$A),MATCH(I$1,floors!$1:$1,0)-MATCH($H$1,floors!$1:$1,0)+1),MATCH(I$1,floors!$1:$1,0)-MATCH($H$1,floors!$1:$1,0)+1,FALSE)</f>
        <v>60</v>
      </c>
      <c r="J37" s="17">
        <f ca="1">VLOOKUP($H37,OFFSET(floors!$A$1,0,0,COUNTA(floors!$A:$A),MATCH(J$1,floors!$1:$1,0)-MATCH($H$1,floors!$1:$1,0)+1),MATCH(J$1,floors!$1:$1,0)-MATCH($H$1,floors!$1:$1,0)+1,FALSE)</f>
        <v>60</v>
      </c>
      <c r="K37" s="34" t="s">
        <v>53</v>
      </c>
      <c r="L37" s="115">
        <v>56</v>
      </c>
      <c r="M37" s="17" t="str">
        <f ca="1">VLOOKUP($L37,OFFSET([3]enemies!$A$1,0,0,COUNTA([3]enemies!$A:$A),MATCH(M$1,[3]enemies!$1:$1,0)-MATCH($L$1,[3]enemies!$1:$1,0)+1),MATCH(M$1,[3]enemies!$1:$1,0)-MATCH($L$1,[3]enemies!$1:$1,0)+1,FALSE)</f>
        <v>黄槌のレジスタンス マミコ</v>
      </c>
      <c r="N37" s="17" t="str">
        <f ca="1">VLOOKUP($L37,OFFSET([3]enemies!$A$1,0,0,COUNTA([3]enemies!$A:$A),MATCH(N$1,[3]enemies!$1:$1,0)-MATCH($L$1,[3]enemies!$1:$1,0)+1),MATCH(N$1,[3]enemies!$1:$1,0)-MATCH($L$1,[3]enemies!$1:$1,0)+1,FALSE)</f>
        <v>yellow</v>
      </c>
      <c r="O37" s="17" t="str">
        <f ca="1">VLOOKUP($L37,OFFSET([4]characters!$A$1,0,0,COUNTA([4]characters!$A:$A),MATCH(O$1,[4]characters!$1:$1,0)-MATCH($L$1,[4]characters!$1:$1,0)+1),MATCH(O$1,[4]characters!$1:$1,0)-MATCH($L$1,[4]characters!$1:$1,0)+1,FALSE)</f>
        <v>Drop1N</v>
      </c>
      <c r="P37" s="17" t="str">
        <f ca="1">VLOOKUP($L37,OFFSET([3]enemies!$A$1,0,0,COUNTA([3]enemies!$A:$A),MATCH(P$1,[3]enemies!$1:$1,0)-MATCH($L$1,[3]enemies!$1:$1,0)+1),MATCH(P$1,[3]enemies!$1:$1,0)-MATCH($L$1,[3]enemies!$1:$1,0)+1,FALSE)</f>
        <v>human</v>
      </c>
      <c r="Q37" s="17">
        <f ca="1">VLOOKUP($L37,OFFSET([3]enemies!$A$1,0,0,COUNTA([3]enemies!$A:$A),MATCH(Q$1,[3]enemies!$1:$1,0)-MATCH($L$1,[3]enemies!$1:$1,0)+1),MATCH(Q$1,[3]enemies!$1:$1,0)-MATCH($L$1,[3]enemies!$1:$1,0)+1,FALSE)</f>
        <v>20</v>
      </c>
      <c r="R37" s="121">
        <v>55</v>
      </c>
      <c r="S37" s="146">
        <v>1.2</v>
      </c>
      <c r="T37" s="146">
        <v>1</v>
      </c>
      <c r="U37" s="121">
        <v>0</v>
      </c>
      <c r="V37" s="17" t="str">
        <f ca="1">VLOOKUP($W37,OFFSET(enemy_skill_sets!$B$1,0,0,COUNTA(enemy_skill_sets!$B:$B),MATCH(M$1,enemy_skill_sets!$1:$1,0)-MATCH($W$1,enemy_skill_sets!$1:$1,0)+2),MATCH(M$1,enemy_skill_sets!$1:$1,0)-MATCH($W$1,enemy_skill_sets!$1:$1,0)+2,FALSE)</f>
        <v>青属性に対して大ダメージの全体攻撃</v>
      </c>
      <c r="W37" s="154">
        <v>15027004</v>
      </c>
      <c r="X37" s="141">
        <v>0</v>
      </c>
      <c r="Y37" s="141">
        <v>100</v>
      </c>
      <c r="Z37" s="141">
        <v>0</v>
      </c>
      <c r="AA37" s="174">
        <v>2</v>
      </c>
      <c r="AB37" s="175">
        <f t="shared" si="13"/>
        <v>56</v>
      </c>
      <c r="AC37" s="17" t="str">
        <f ca="1">VLOOKUP($AB37,OFFSET([4]characters!$A$1,0,0,COUNTA([4]characters!$A:$A),MATCH(AC$1,[4]characters!$1:$1,0)-MATCH("character_id",[4]characters!$1:$1,0)+1),MATCH(AC$1,[4]characters!$1:$1,0)-MATCH("character_id",[4]characters!$1:$1,0)+1,FALSE)</f>
        <v>黄槌のレジスタンス マミコ</v>
      </c>
      <c r="AD37" s="17">
        <f ca="1">VLOOKUP($AB37,OFFSET([4]characters!$A$1,0,0,COUNTA([4]characters!$A:$A),MATCH(AD$1,[4]characters!$1:$1,0)-MATCH("character_id",[4]characters!$1:$1,0)+1),MATCH(AD$1,[4]characters!$1:$1,0)-MATCH("character_id",[4]characters!$1:$1,0)+1,FALSE)</f>
        <v>3</v>
      </c>
      <c r="AE37" s="17" t="str">
        <f ca="1">VLOOKUP($AB37,OFFSET([4]characters!$A$1,0,0,COUNTA([4]characters!$A:$A),MATCH(AE$1,[4]characters!$1:$1,0)-MATCH("character_id",[4]characters!$1:$1,0)+1),MATCH(AE$1,[4]characters!$1:$1,0)-MATCH("character_id",[4]characters!$1:$1,0)+1,FALSE)</f>
        <v>Drop1N</v>
      </c>
      <c r="AF37" s="125">
        <v>1</v>
      </c>
      <c r="AG37" s="175">
        <f t="shared" ca="1" si="14"/>
        <v>3</v>
      </c>
      <c r="AH37" s="61">
        <v>20</v>
      </c>
      <c r="AI37" s="125">
        <v>0</v>
      </c>
      <c r="AJ37" s="125">
        <v>0</v>
      </c>
      <c r="AK37" s="125">
        <v>0</v>
      </c>
      <c r="AL37" s="125">
        <v>0</v>
      </c>
      <c r="AM37" s="125">
        <v>1</v>
      </c>
      <c r="AN37" s="204">
        <v>1</v>
      </c>
      <c r="AO37" s="172"/>
      <c r="AP37" s="172"/>
      <c r="AQ37" s="172"/>
      <c r="AR37" s="172"/>
      <c r="AS37" s="172"/>
      <c r="AT37" s="172"/>
      <c r="AU37" s="172"/>
      <c r="AV37" s="172"/>
      <c r="AW37" s="172"/>
      <c r="AX37" s="172"/>
      <c r="AY37" s="172"/>
      <c r="AZ37" s="172"/>
      <c r="BA37" s="172"/>
      <c r="BB37" s="172"/>
      <c r="BC37" s="172"/>
      <c r="BD37" s="172"/>
    </row>
    <row r="38" spans="1:56" s="61" customFormat="1" ht="21" customHeight="1" x14ac:dyDescent="0.15">
      <c r="A38" s="173" t="str">
        <f t="shared" ca="1" si="10"/>
        <v>15027_3-3/352&lt;lv55&gt;s3</v>
      </c>
      <c r="B38" s="105">
        <v>15027</v>
      </c>
      <c r="C38" s="111">
        <v>3</v>
      </c>
      <c r="D38" s="14" t="str">
        <f t="shared" si="11"/>
        <v>15027_3</v>
      </c>
      <c r="E38" s="17" t="str">
        <f ca="1">VLOOKUP($B38,OFFSET([2]quests!$A$1,0,0,COUNTA([2]quests!$A:$A),MATCH(E$1,[2]quests!$1:$1,0)-MATCH($B$1,[2]quests!$1:$1,0)+1),MATCH(E$1,[2]quests!$1:$1,0)-MATCH($B$1,[2]quests!$1:$1,0)+1,FALSE)</f>
        <v>27. 雷雨の登山道</v>
      </c>
      <c r="F38" s="17" t="str">
        <f ca="1">VLOOKUP($D38,OFFSET([2]stages!$A$1,0,0,COUNTA([2]stages!$A:$A),MATCH(F$1,[2]stages!$2:$2,0)-MATCH($D$1,[2]stages!$2:$2,0)+1),MATCH(F$1,[2]stages!$2:$2,0)-MATCH($D$1,[2]stages!$2:$2,0)+1,FALSE)</f>
        <v>27-3. 山岳の王者</v>
      </c>
      <c r="G38" s="111">
        <v>3</v>
      </c>
      <c r="H38" s="14" t="str">
        <f t="shared" si="12"/>
        <v>15027_3-3</v>
      </c>
      <c r="I38" s="17">
        <f ca="1">VLOOKUP($H38,OFFSET(floors!$A$1,0,0,COUNTA(floors!$A:$A),MATCH(I$1,floors!$1:$1,0)-MATCH($H$1,floors!$1:$1,0)+1),MATCH(I$1,floors!$1:$1,0)-MATCH($H$1,floors!$1:$1,0)+1,FALSE)</f>
        <v>60</v>
      </c>
      <c r="J38" s="17">
        <f ca="1">VLOOKUP($H38,OFFSET(floors!$A$1,0,0,COUNTA(floors!$A:$A),MATCH(J$1,floors!$1:$1,0)-MATCH($H$1,floors!$1:$1,0)+1),MATCH(J$1,floors!$1:$1,0)-MATCH($H$1,floors!$1:$1,0)+1,FALSE)</f>
        <v>60</v>
      </c>
      <c r="K38" s="34" t="s">
        <v>53</v>
      </c>
      <c r="L38" s="115">
        <v>352</v>
      </c>
      <c r="M38" s="17" t="str">
        <f ca="1">VLOOKUP($L38,OFFSET([3]enemies!$A$1,0,0,COUNTA([3]enemies!$A:$A),MATCH(M$1,[3]enemies!$1:$1,0)-MATCH($L$1,[3]enemies!$1:$1,0)+1),MATCH(M$1,[3]enemies!$1:$1,0)-MATCH($L$1,[3]enemies!$1:$1,0)+1,FALSE)</f>
        <v>水のケロケロ</v>
      </c>
      <c r="N38" s="17" t="str">
        <f ca="1">VLOOKUP($L38,OFFSET([3]enemies!$A$1,0,0,COUNTA([3]enemies!$A:$A),MATCH(N$1,[3]enemies!$1:$1,0)-MATCH($L$1,[3]enemies!$1:$1,0)+1),MATCH(N$1,[3]enemies!$1:$1,0)-MATCH($L$1,[3]enemies!$1:$1,0)+1,FALSE)</f>
        <v>blue</v>
      </c>
      <c r="O38" s="17" t="str">
        <f ca="1">VLOOKUP($L38,OFFSET([4]characters!$A$1,0,0,COUNTA([4]characters!$A:$A),MATCH(O$1,[4]characters!$1:$1,0)-MATCH($L$1,[4]characters!$1:$1,0)+1),MATCH(O$1,[4]characters!$1:$1,0)-MATCH($L$1,[4]characters!$1:$1,0)+1,FALSE)</f>
        <v>Material</v>
      </c>
      <c r="P38" s="17" t="str">
        <f ca="1">VLOOKUP($L38,OFFSET([3]enemies!$A$1,0,0,COUNTA([3]enemies!$A:$A),MATCH(P$1,[3]enemies!$1:$1,0)-MATCH($L$1,[3]enemies!$1:$1,0)+1),MATCH(P$1,[3]enemies!$1:$1,0)-MATCH($L$1,[3]enemies!$1:$1,0)+1,FALSE)</f>
        <v>unknown</v>
      </c>
      <c r="Q38" s="17">
        <f ca="1">VLOOKUP($L38,OFFSET([3]enemies!$A$1,0,0,COUNTA([3]enemies!$A:$A),MATCH(Q$1,[3]enemies!$1:$1,0)-MATCH($L$1,[3]enemies!$1:$1,0)+1),MATCH(Q$1,[3]enemies!$1:$1,0)-MATCH($L$1,[3]enemies!$1:$1,0)+1,FALSE)</f>
        <v>15</v>
      </c>
      <c r="R38" s="121">
        <v>55</v>
      </c>
      <c r="S38" s="146">
        <v>1</v>
      </c>
      <c r="T38" s="146">
        <v>1</v>
      </c>
      <c r="U38" s="121">
        <v>0</v>
      </c>
      <c r="V38" s="17" t="e">
        <f ca="1">VLOOKUP($W38,OFFSET(enemy_skill_sets!$B$1,0,0,COUNTA(enemy_skill_sets!$B:$B),MATCH(M$1,enemy_skill_sets!$1:$1,0)-MATCH($W$1,enemy_skill_sets!$1:$1,0)+2),MATCH(M$1,enemy_skill_sets!$1:$1,0)-MATCH($W$1,enemy_skill_sets!$1:$1,0)+2,FALSE)</f>
        <v>#N/A</v>
      </c>
      <c r="W38" s="154">
        <v>0</v>
      </c>
      <c r="X38" s="141">
        <v>0</v>
      </c>
      <c r="Y38" s="141">
        <v>100</v>
      </c>
      <c r="Z38" s="141">
        <v>1</v>
      </c>
      <c r="AA38" s="17">
        <f ca="1">VLOOKUP($L38,OFFSET([3]enemies!$A$1,0,0,COUNTA([3]enemies!$A:$A),MATCH(AA$1,[3]enemies!$1:$1,0)-MATCH($L$1,[3]enemies!$1:$1,0)+1),MATCH(AA$1,[3]enemies!$1:$1,0)-MATCH($L$1,[3]enemies!$1:$1,0)+1,FALSE)</f>
        <v>3</v>
      </c>
      <c r="AB38" s="175">
        <f t="shared" si="13"/>
        <v>352</v>
      </c>
      <c r="AC38" s="17" t="str">
        <f ca="1">VLOOKUP($AB38,OFFSET([4]characters!$A$1,0,0,COUNTA([4]characters!$A:$A),MATCH(AC$1,[4]characters!$1:$1,0)-MATCH("character_id",[4]characters!$1:$1,0)+1),MATCH(AC$1,[4]characters!$1:$1,0)-MATCH("character_id",[4]characters!$1:$1,0)+1,FALSE)</f>
        <v>水のケロケロ</v>
      </c>
      <c r="AD38" s="17">
        <f ca="1">VLOOKUP($AB38,OFFSET([4]characters!$A$1,0,0,COUNTA([4]characters!$A:$A),MATCH(AD$1,[4]characters!$1:$1,0)-MATCH("character_id",[4]characters!$1:$1,0)+1),MATCH(AD$1,[4]characters!$1:$1,0)-MATCH("character_id",[4]characters!$1:$1,0)+1,FALSE)</f>
        <v>2</v>
      </c>
      <c r="AE38" s="17" t="str">
        <f ca="1">VLOOKUP($AB38,OFFSET([4]characters!$A$1,0,0,COUNTA([4]characters!$A:$A),MATCH(AE$1,[4]characters!$1:$1,0)-MATCH("character_id",[4]characters!$1:$1,0)+1),MATCH(AE$1,[4]characters!$1:$1,0)-MATCH("character_id",[4]characters!$1:$1,0)+1,FALSE)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8" s="125">
        <v>10</v>
      </c>
      <c r="AG38" s="175">
        <f t="shared" ca="1" si="14"/>
        <v>2</v>
      </c>
      <c r="AH38" s="61">
        <v>100</v>
      </c>
      <c r="AI38" s="125">
        <v>0</v>
      </c>
      <c r="AJ38" s="125">
        <v>0</v>
      </c>
      <c r="AK38" s="125">
        <v>0</v>
      </c>
      <c r="AL38" s="125">
        <v>0</v>
      </c>
      <c r="AM38" s="125">
        <v>1</v>
      </c>
      <c r="AN38" s="204">
        <v>1</v>
      </c>
      <c r="AO38" s="172"/>
      <c r="AP38" s="172"/>
      <c r="AQ38" s="172"/>
      <c r="AR38" s="172"/>
      <c r="AS38" s="172"/>
      <c r="AT38" s="172"/>
      <c r="AU38" s="172"/>
      <c r="AV38" s="172"/>
      <c r="AW38" s="172"/>
      <c r="AX38" s="172"/>
      <c r="AY38" s="172"/>
      <c r="AZ38" s="172"/>
      <c r="BA38" s="172"/>
      <c r="BB38" s="172"/>
      <c r="BC38" s="172"/>
      <c r="BD38" s="172"/>
    </row>
    <row r="39" spans="1:56" s="61" customFormat="1" ht="21" customHeight="1" x14ac:dyDescent="0.15">
      <c r="A39" s="173" t="str">
        <f t="shared" ref="A39" si="35">B39&amp;"_"&amp;C39&amp;"-"&amp;G39&amp;"/"&amp;L39&amp;"&lt;lv"&amp;R39&amp;"&gt;s"&amp;AA39</f>
        <v>15027_3-3/354&lt;lv55&gt;s3</v>
      </c>
      <c r="B39" s="105">
        <v>15027</v>
      </c>
      <c r="C39" s="111">
        <v>3</v>
      </c>
      <c r="D39" s="14" t="str">
        <f t="shared" ref="D39" si="36">B39&amp;"_"&amp;C39</f>
        <v>15027_3</v>
      </c>
      <c r="E39" s="17" t="str">
        <f ca="1">VLOOKUP($B39,OFFSET([2]quests!$A$1,0,0,COUNTA([2]quests!$A:$A),MATCH(E$1,[2]quests!$1:$1,0)-MATCH($B$1,[2]quests!$1:$1,0)+1),MATCH(E$1,[2]quests!$1:$1,0)-MATCH($B$1,[2]quests!$1:$1,0)+1,FALSE)</f>
        <v>27. 雷雨の登山道</v>
      </c>
      <c r="F39" s="17" t="str">
        <f ca="1">VLOOKUP($D39,OFFSET([2]stages!$A$1,0,0,COUNTA([2]stages!$A:$A),MATCH(F$1,[2]stages!$2:$2,0)-MATCH($D$1,[2]stages!$2:$2,0)+1),MATCH(F$1,[2]stages!$2:$2,0)-MATCH($D$1,[2]stages!$2:$2,0)+1,FALSE)</f>
        <v>27-3. 山岳の王者</v>
      </c>
      <c r="G39" s="111">
        <v>3</v>
      </c>
      <c r="H39" s="14" t="str">
        <f t="shared" ref="H39" si="37">B39&amp;"_"&amp;C39&amp;"-"&amp;G39</f>
        <v>15027_3-3</v>
      </c>
      <c r="I39" s="17">
        <f ca="1">VLOOKUP($H39,OFFSET(floors!$A$1,0,0,COUNTA(floors!$A:$A),MATCH(I$1,floors!$1:$1,0)-MATCH($H$1,floors!$1:$1,0)+1),MATCH(I$1,floors!$1:$1,0)-MATCH($H$1,floors!$1:$1,0)+1,FALSE)</f>
        <v>60</v>
      </c>
      <c r="J39" s="17">
        <f ca="1">VLOOKUP($H39,OFFSET(floors!$A$1,0,0,COUNTA(floors!$A:$A),MATCH(J$1,floors!$1:$1,0)-MATCH($H$1,floors!$1:$1,0)+1),MATCH(J$1,floors!$1:$1,0)-MATCH($H$1,floors!$1:$1,0)+1,FALSE)</f>
        <v>60</v>
      </c>
      <c r="K39" s="34" t="s">
        <v>53</v>
      </c>
      <c r="L39" s="115">
        <v>354</v>
      </c>
      <c r="M39" s="17" t="str">
        <f ca="1">VLOOKUP($L39,OFFSET([3]enemies!$A$1,0,0,COUNTA([3]enemies!$A:$A),MATCH(M$1,[3]enemies!$1:$1,0)-MATCH($L$1,[3]enemies!$1:$1,0)+1),MATCH(M$1,[3]enemies!$1:$1,0)-MATCH($L$1,[3]enemies!$1:$1,0)+1,FALSE)</f>
        <v>雷のケロケロ</v>
      </c>
      <c r="N39" s="17" t="str">
        <f ca="1">VLOOKUP($L39,OFFSET([3]enemies!$A$1,0,0,COUNTA([3]enemies!$A:$A),MATCH(N$1,[3]enemies!$1:$1,0)-MATCH($L$1,[3]enemies!$1:$1,0)+1),MATCH(N$1,[3]enemies!$1:$1,0)-MATCH($L$1,[3]enemies!$1:$1,0)+1,FALSE)</f>
        <v>yellow</v>
      </c>
      <c r="O39" s="17" t="str">
        <f ca="1">VLOOKUP($L39,OFFSET([4]characters!$A$1,0,0,COUNTA([4]characters!$A:$A),MATCH(O$1,[4]characters!$1:$1,0)-MATCH($L$1,[4]characters!$1:$1,0)+1),MATCH(O$1,[4]characters!$1:$1,0)-MATCH($L$1,[4]characters!$1:$1,0)+1,FALSE)</f>
        <v>Material</v>
      </c>
      <c r="P39" s="17" t="str">
        <f ca="1">VLOOKUP($L39,OFFSET([3]enemies!$A$1,0,0,COUNTA([3]enemies!$A:$A),MATCH(P$1,[3]enemies!$1:$1,0)-MATCH($L$1,[3]enemies!$1:$1,0)+1),MATCH(P$1,[3]enemies!$1:$1,0)-MATCH($L$1,[3]enemies!$1:$1,0)+1,FALSE)</f>
        <v>unknown</v>
      </c>
      <c r="Q39" s="17">
        <f ca="1">VLOOKUP($L39,OFFSET([3]enemies!$A$1,0,0,COUNTA([3]enemies!$A:$A),MATCH(Q$1,[3]enemies!$1:$1,0)-MATCH($L$1,[3]enemies!$1:$1,0)+1),MATCH(Q$1,[3]enemies!$1:$1,0)-MATCH($L$1,[3]enemies!$1:$1,0)+1,FALSE)</f>
        <v>15</v>
      </c>
      <c r="R39" s="121">
        <v>55</v>
      </c>
      <c r="S39" s="146">
        <v>1</v>
      </c>
      <c r="T39" s="146">
        <v>1</v>
      </c>
      <c r="U39" s="121">
        <v>0</v>
      </c>
      <c r="V39" s="17" t="e">
        <f ca="1">VLOOKUP($W39,OFFSET(enemy_skill_sets!$B$1,0,0,COUNTA(enemy_skill_sets!$B:$B),MATCH(M$1,enemy_skill_sets!$1:$1,0)-MATCH($W$1,enemy_skill_sets!$1:$1,0)+2),MATCH(M$1,enemy_skill_sets!$1:$1,0)-MATCH($W$1,enemy_skill_sets!$1:$1,0)+2,FALSE)</f>
        <v>#N/A</v>
      </c>
      <c r="W39" s="154">
        <f ca="1">VLOOKUP($L39,OFFSET([3]enemies!$A$1,0,0,COUNTA([3]enemies!$A:$A),MATCH(W$1,[3]enemies!$1:$1,0)-MATCH($L$1,[3]enemies!$1:$1,0)+1),MATCH(W$1,[3]enemies!$1:$1,0)-MATCH($L$1,[3]enemies!$1:$1,0)+1,FALSE)</f>
        <v>0</v>
      </c>
      <c r="X39" s="141">
        <v>0</v>
      </c>
      <c r="Y39" s="141">
        <v>100</v>
      </c>
      <c r="Z39" s="141">
        <v>1</v>
      </c>
      <c r="AA39" s="174">
        <v>3</v>
      </c>
      <c r="AB39" s="175">
        <f t="shared" ref="AB39" si="38">L39</f>
        <v>354</v>
      </c>
      <c r="AC39" s="17" t="str">
        <f ca="1">VLOOKUP($AB39,OFFSET([4]characters!$A$1,0,0,COUNTA([4]characters!$A:$A),MATCH(AC$1,[4]characters!$1:$1,0)-MATCH("character_id",[4]characters!$1:$1,0)+1),MATCH(AC$1,[4]characters!$1:$1,0)-MATCH("character_id",[4]characters!$1:$1,0)+1,FALSE)</f>
        <v>雷のケロケロ</v>
      </c>
      <c r="AD39" s="17">
        <f ca="1">VLOOKUP($AB39,OFFSET([4]characters!$A$1,0,0,COUNTA([4]characters!$A:$A),MATCH(AD$1,[4]characters!$1:$1,0)-MATCH("character_id",[4]characters!$1:$1,0)+1),MATCH(AD$1,[4]characters!$1:$1,0)-MATCH("character_id",[4]characters!$1:$1,0)+1,FALSE)</f>
        <v>2</v>
      </c>
      <c r="AE39" s="17" t="str">
        <f ca="1">VLOOKUP($AB39,OFFSET([4]characters!$A$1,0,0,COUNTA([4]characters!$A:$A),MATCH(AE$1,[4]characters!$1:$1,0)-MATCH("character_id",[4]characters!$1:$1,0)+1),MATCH(AE$1,[4]characters!$1:$1,0)-MATCH("character_id",[4]characters!$1:$1,0)+1,FALSE)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9" s="125">
        <v>10</v>
      </c>
      <c r="AG39" s="175">
        <f t="shared" ref="AG39" ca="1" si="39">AD39</f>
        <v>2</v>
      </c>
      <c r="AH39" s="141">
        <v>100</v>
      </c>
      <c r="AI39" s="125">
        <v>0</v>
      </c>
      <c r="AJ39" s="125">
        <v>0</v>
      </c>
      <c r="AK39" s="125">
        <v>0</v>
      </c>
      <c r="AL39" s="125">
        <v>0</v>
      </c>
      <c r="AM39" s="125">
        <v>1</v>
      </c>
      <c r="AN39" s="204">
        <v>1</v>
      </c>
      <c r="AO39" s="172"/>
      <c r="AP39" s="172"/>
      <c r="AQ39" s="172"/>
      <c r="AR39" s="172"/>
      <c r="AS39" s="172"/>
      <c r="AT39" s="172"/>
      <c r="AU39" s="172"/>
      <c r="AV39" s="172"/>
      <c r="AW39" s="172"/>
      <c r="AX39" s="172"/>
      <c r="AY39" s="172"/>
      <c r="AZ39" s="172"/>
      <c r="BA39" s="172"/>
      <c r="BB39" s="172"/>
      <c r="BC39" s="172"/>
      <c r="BD39" s="172"/>
    </row>
    <row r="40" spans="1:56" s="194" customFormat="1" ht="21" customHeight="1" thickBot="1" x14ac:dyDescent="0.2">
      <c r="A40" s="188" t="str">
        <f t="shared" si="10"/>
        <v>15027_3-4/479&lt;lv58&gt;s3</v>
      </c>
      <c r="B40" s="189">
        <v>15027</v>
      </c>
      <c r="C40" s="161">
        <v>3</v>
      </c>
      <c r="D40" s="159" t="str">
        <f t="shared" si="11"/>
        <v>15027_3</v>
      </c>
      <c r="E40" s="190" t="str">
        <f ca="1">VLOOKUP($B40,OFFSET([2]quests!$A$1,0,0,COUNTA([2]quests!$A:$A),MATCH(E$1,[2]quests!$1:$1,0)-MATCH($B$1,[2]quests!$1:$1,0)+1),MATCH(E$1,[2]quests!$1:$1,0)-MATCH($B$1,[2]quests!$1:$1,0)+1,FALSE)</f>
        <v>27. 雷雨の登山道</v>
      </c>
      <c r="F40" s="190" t="str">
        <f ca="1">VLOOKUP($D40,OFFSET([2]stages!$A$1,0,0,COUNTA([2]stages!$A:$A),MATCH(F$1,[2]stages!$2:$2,0)-MATCH($D$1,[2]stages!$2:$2,0)+1),MATCH(F$1,[2]stages!$2:$2,0)-MATCH($D$1,[2]stages!$2:$2,0)+1,FALSE)</f>
        <v>27-3. 山岳の王者</v>
      </c>
      <c r="G40" s="149">
        <v>4</v>
      </c>
      <c r="H40" s="159" t="str">
        <f t="shared" si="12"/>
        <v>15027_3-4</v>
      </c>
      <c r="I40" s="190">
        <f ca="1">VLOOKUP($H40,OFFSET(floors!$A$1,0,0,COUNTA(floors!$A:$A),MATCH(I$1,floors!$1:$1,0)-MATCH($H$1,floors!$1:$1,0)+1),MATCH(I$1,floors!$1:$1,0)-MATCH($H$1,floors!$1:$1,0)+1,FALSE)</f>
        <v>60</v>
      </c>
      <c r="J40" s="190">
        <f ca="1">VLOOKUP($H40,OFFSET(floors!$A$1,0,0,COUNTA(floors!$A:$A),MATCH(J$1,floors!$1:$1,0)-MATCH($H$1,floors!$1:$1,0)+1),MATCH(J$1,floors!$1:$1,0)-MATCH($H$1,floors!$1:$1,0)+1,FALSE)</f>
        <v>60</v>
      </c>
      <c r="K40" s="95">
        <v>1</v>
      </c>
      <c r="L40" s="118">
        <v>479</v>
      </c>
      <c r="M40" s="191" t="str">
        <f ca="1">VLOOKUP($L40,OFFSET([3]enemies!$A$1,0,0,COUNTA([3]enemies!$A:$A),MATCH(M$1,[3]enemies!$1:$1,0)-MATCH($L$1,[3]enemies!$1:$1,0)+1),MATCH(M$1,[3]enemies!$1:$1,0)-MATCH($L$1,[3]enemies!$1:$1,0)+1,FALSE)</f>
        <v>フール</v>
      </c>
      <c r="N40" s="191" t="str">
        <f ca="1">VLOOKUP($L40,OFFSET([3]enemies!$A$1,0,0,COUNTA([3]enemies!$A:$A),MATCH(N$1,[3]enemies!$1:$1,0)-MATCH($L$1,[3]enemies!$1:$1,0)+1),MATCH(N$1,[3]enemies!$1:$1,0)-MATCH($L$1,[3]enemies!$1:$1,0)+1,FALSE)</f>
        <v>blue</v>
      </c>
      <c r="O40" s="191" t="str">
        <f ca="1">VLOOKUP($L40,OFFSET([4]characters!$A$1,0,0,COUNTA([4]characters!$A:$A),MATCH(O$1,[4]characters!$1:$1,0)-MATCH($L$1,[4]characters!$1:$1,0)+1),MATCH(O$1,[4]characters!$1:$1,0)-MATCH($L$1,[4]characters!$1:$1,0)+1,FALSE)</f>
        <v>PremiumSS</v>
      </c>
      <c r="P40" s="191" t="str">
        <f ca="1">VLOOKUP($L40,OFFSET([3]enemies!$A$1,0,0,COUNTA([3]enemies!$A:$A),MATCH(P$1,[3]enemies!$1:$1,0)-MATCH($L$1,[3]enemies!$1:$1,0)+1),MATCH(P$1,[3]enemies!$1:$1,0)-MATCH($L$1,[3]enemies!$1:$1,0)+1,FALSE)</f>
        <v>god</v>
      </c>
      <c r="Q40" s="191">
        <f ca="1">VLOOKUP($L40,OFFSET([3]enemies!$A$1,0,0,COUNTA([3]enemies!$A:$A),MATCH(Q$1,[3]enemies!$1:$1,0)-MATCH($L$1,[3]enemies!$1:$1,0)+1),MATCH(Q$1,[3]enemies!$1:$1,0)-MATCH($L$1,[3]enemies!$1:$1,0)+1,FALSE)</f>
        <v>30</v>
      </c>
      <c r="R40" s="124">
        <v>58</v>
      </c>
      <c r="S40" s="123">
        <v>2.2000000000000002</v>
      </c>
      <c r="T40" s="123">
        <v>1.3</v>
      </c>
      <c r="U40" s="124">
        <v>0</v>
      </c>
      <c r="V40" s="190" t="str">
        <f ca="1">VLOOKUP($W40,OFFSET(enemy_skill_sets!$B$1,0,0,COUNTA(enemy_skill_sets!$B:$B),MATCH(M$1,enemy_skill_sets!$1:$1,0)-MATCH($W$1,enemy_skill_sets!$1:$1,0)+2),MATCH(M$1,enemy_skill_sets!$1:$1,0)-MATCH($W$1,enemy_skill_sets!$1:$1,0)+2,FALSE)</f>
        <v>ハートパネルをお邪魔パネルに変換_x000D_＋4ターンの間 Cパネル生成延長＋2回攻撃</v>
      </c>
      <c r="W40" s="200">
        <v>15027013</v>
      </c>
      <c r="X40" s="192">
        <v>1</v>
      </c>
      <c r="Y40" s="192">
        <v>100</v>
      </c>
      <c r="Z40" s="192">
        <v>1</v>
      </c>
      <c r="AA40" s="193">
        <v>3</v>
      </c>
      <c r="AB40" s="164">
        <f t="shared" si="13"/>
        <v>479</v>
      </c>
      <c r="AC40" s="190" t="str">
        <f ca="1">VLOOKUP($AB40,OFFSET([4]characters!$A$1,0,0,COUNTA([4]characters!$A:$A),MATCH(AC$1,[4]characters!$1:$1,0)-MATCH("character_id",[4]characters!$1:$1,0)+1),MATCH(AC$1,[4]characters!$1:$1,0)-MATCH("character_id",[4]characters!$1:$1,0)+1,FALSE)</f>
        <v>フール</v>
      </c>
      <c r="AD40" s="190">
        <f ca="1">VLOOKUP($AB40,OFFSET([4]characters!$A$1,0,0,COUNTA([4]characters!$A:$A),MATCH(AD$1,[4]characters!$1:$1,0)-MATCH("character_id",[4]characters!$1:$1,0)+1),MATCH(AD$1,[4]characters!$1:$1,0)-MATCH("character_id",[4]characters!$1:$1,0)+1,FALSE)</f>
        <v>4</v>
      </c>
      <c r="AE40" s="190" t="str">
        <f ca="1">VLOOKUP($AB40,OFFSET([4]characters!$A$1,0,0,COUNTA([4]characters!$A:$A),MATCH(AE$1,[4]characters!$1:$1,0)-MATCH("character_id",[4]characters!$1:$1,0)+1),MATCH(AE$1,[4]characters!$1:$1,0)-MATCH("character_id",[4]characters!$1:$1,0)+1,FALSE)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40" s="128">
        <v>1</v>
      </c>
      <c r="AG40" s="164">
        <f t="shared" ca="1" si="14"/>
        <v>4</v>
      </c>
      <c r="AH40" s="132">
        <v>0</v>
      </c>
      <c r="AI40" s="128">
        <v>0</v>
      </c>
      <c r="AJ40" s="128">
        <v>0</v>
      </c>
      <c r="AK40" s="128">
        <v>0</v>
      </c>
      <c r="AL40" s="128">
        <v>0</v>
      </c>
      <c r="AM40" s="128">
        <v>1</v>
      </c>
      <c r="AN40" s="205">
        <v>1</v>
      </c>
      <c r="AO40" s="172"/>
      <c r="AP40" s="172"/>
      <c r="AQ40" s="172"/>
      <c r="AR40" s="172"/>
      <c r="AS40" s="172"/>
      <c r="AT40" s="172"/>
      <c r="AU40" s="172"/>
      <c r="AV40" s="172"/>
      <c r="AW40" s="172"/>
      <c r="AX40" s="172"/>
      <c r="AY40" s="172"/>
      <c r="AZ40" s="172"/>
      <c r="BA40" s="172"/>
      <c r="BB40" s="172"/>
      <c r="BC40" s="172"/>
      <c r="BD40" s="172"/>
    </row>
    <row r="41" spans="1:56" ht="21" customHeight="1" x14ac:dyDescent="0.15">
      <c r="A41" s="15" t="str">
        <f t="shared" ca="1" si="10"/>
        <v>15027_4-1/342&lt;lv1&gt;s3</v>
      </c>
      <c r="B41" s="101">
        <v>15027</v>
      </c>
      <c r="C41" s="156">
        <v>4</v>
      </c>
      <c r="D41" s="155" t="str">
        <f t="shared" si="11"/>
        <v>15027_4</v>
      </c>
      <c r="E41" s="4" t="str">
        <f ca="1">VLOOKUP($B41,OFFSET([2]quests!$A$1,0,0,COUNTA([2]quests!$A:$A),MATCH(E$1,[2]quests!$1:$1,0)-MATCH($B$1,[2]quests!$1:$1,0)+1),MATCH(E$1,[2]quests!$1:$1,0)-MATCH($B$1,[2]quests!$1:$1,0)+1,FALSE)</f>
        <v>27. 雷雨の登山道</v>
      </c>
      <c r="F41" s="4" t="str">
        <f ca="1">VLOOKUP($D41,OFFSET([2]stages!$A$1,0,0,COUNTA([2]stages!$A:$A),MATCH(F$1,[2]stages!$2:$2,0)-MATCH($D$1,[2]stages!$2:$2,0)+1),MATCH(F$1,[2]stages!$2:$2,0)-MATCH($D$1,[2]stages!$2:$2,0)+1,FALSE)</f>
        <v>27-4. 【1回のみ】ボーナスステージ</v>
      </c>
      <c r="G41" s="112">
        <v>1</v>
      </c>
      <c r="H41" s="155" t="str">
        <f t="shared" si="12"/>
        <v>15027_4-1</v>
      </c>
      <c r="I41" s="4">
        <f ca="1">VLOOKUP($H41,OFFSET(floors!$A$1,0,0,COUNTA(floors!$A:$A),MATCH(I$1,floors!$1:$1,0)-MATCH($H$1,floors!$1:$1,0)+1),MATCH(I$1,floors!$1:$1,0)-MATCH($H$1,floors!$1:$1,0)+1,FALSE)</f>
        <v>60</v>
      </c>
      <c r="J41" s="4">
        <f ca="1">VLOOKUP($H41,OFFSET(floors!$A$1,0,0,COUNTA(floors!$A:$A),MATCH(J$1,floors!$1:$1,0)-MATCH($H$1,floors!$1:$1,0)+1),MATCH(J$1,floors!$1:$1,0)-MATCH($H$1,floors!$1:$1,0)+1,FALSE)</f>
        <v>60</v>
      </c>
      <c r="K41" s="97" t="s">
        <v>53</v>
      </c>
      <c r="L41" s="117">
        <v>342</v>
      </c>
      <c r="M41" s="16" t="str">
        <f ca="1">VLOOKUP($L41,OFFSET([3]enemies!$A$1,0,0,COUNTA([3]enemies!$A:$A),MATCH(M$1,[3]enemies!$1:$1,0)-MATCH($L$1,[3]enemies!$1:$1,0)+1),MATCH(M$1,[3]enemies!$1:$1,0)-MATCH($L$1,[3]enemies!$1:$1,0)+1,FALSE)</f>
        <v>水のメタルダック</v>
      </c>
      <c r="N41" s="16" t="str">
        <f ca="1">VLOOKUP($L41,OFFSET([3]enemies!$A$1,0,0,COUNTA([3]enemies!$A:$A),MATCH(N$1,[3]enemies!$1:$1,0)-MATCH($L$1,[3]enemies!$1:$1,0)+1),MATCH(N$1,[3]enemies!$1:$1,0)-MATCH($L$1,[3]enemies!$1:$1,0)+1,FALSE)</f>
        <v>blue</v>
      </c>
      <c r="O41" s="16" t="str">
        <f ca="1">VLOOKUP($L41,OFFSET([4]characters!$A$1,0,0,COUNTA([4]characters!$A:$A),MATCH(O$1,[4]characters!$1:$1,0)-MATCH($L$1,[4]characters!$1:$1,0)+1),MATCH(O$1,[4]characters!$1:$1,0)-MATCH($L$1,[4]characters!$1:$1,0)+1,FALSE)</f>
        <v>Material</v>
      </c>
      <c r="P41" s="16" t="str">
        <f ca="1">VLOOKUP($L41,OFFSET([3]enemies!$A$1,0,0,COUNTA([3]enemies!$A:$A),MATCH(P$1,[3]enemies!$1:$1,0)-MATCH($L$1,[3]enemies!$1:$1,0)+1),MATCH(P$1,[3]enemies!$1:$1,0)-MATCH($L$1,[3]enemies!$1:$1,0)+1,FALSE)</f>
        <v>unknown</v>
      </c>
      <c r="Q41" s="16">
        <f ca="1">VLOOKUP($L41,OFFSET([3]enemies!$A$1,0,0,COUNTA([3]enemies!$A:$A),MATCH(Q$1,[3]enemies!$1:$1,0)-MATCH($L$1,[3]enemies!$1:$1,0)+1),MATCH(Q$1,[3]enemies!$1:$1,0)-MATCH($L$1,[3]enemies!$1:$1,0)+1,FALSE)</f>
        <v>20</v>
      </c>
      <c r="R41" s="122">
        <v>1</v>
      </c>
      <c r="S41" s="186">
        <v>1</v>
      </c>
      <c r="T41" s="186">
        <v>1</v>
      </c>
      <c r="U41" s="122">
        <v>-5000</v>
      </c>
      <c r="V41" s="4" t="e">
        <f ca="1">VLOOKUP($W41,OFFSET(enemy_skill_sets!$B$1,0,0,COUNTA(enemy_skill_sets!$B:$B),MATCH(M$1,enemy_skill_sets!$1:$1,0)-MATCH($W$1,enemy_skill_sets!$1:$1,0)+2),MATCH(M$1,enemy_skill_sets!$1:$1,0)-MATCH($W$1,enemy_skill_sets!$1:$1,0)+2,FALSE)</f>
        <v>#N/A</v>
      </c>
      <c r="W41" s="197">
        <f ca="1">VLOOKUP($L41,OFFSET([3]enemies!$A$1,0,0,COUNTA([3]enemies!$A:$A),MATCH(W$1,[3]enemies!$1:$1,0)-MATCH($L$1,[3]enemies!$1:$1,0)+1),MATCH(W$1,[3]enemies!$1:$1,0)-MATCH($L$1,[3]enemies!$1:$1,0)+1,FALSE)</f>
        <v>0</v>
      </c>
      <c r="X41" s="187">
        <v>1</v>
      </c>
      <c r="Y41" s="187">
        <v>100</v>
      </c>
      <c r="Z41" s="187">
        <v>0</v>
      </c>
      <c r="AA41" s="16">
        <f ca="1">VLOOKUP($L41,OFFSET([3]enemies!$A$1,0,0,COUNTA([3]enemies!$A:$A),MATCH(AA$1,[3]enemies!$1:$1,0)-MATCH($L$1,[3]enemies!$1:$1,0)+1),MATCH(AA$1,[3]enemies!$1:$1,0)-MATCH($L$1,[3]enemies!$1:$1,0)+1,FALSE)</f>
        <v>3</v>
      </c>
      <c r="AB41" s="157">
        <f t="shared" si="13"/>
        <v>342</v>
      </c>
      <c r="AC41" s="4" t="str">
        <f ca="1">VLOOKUP($AB41,OFFSET([4]characters!$A$1,0,0,COUNTA([4]characters!$A:$A),MATCH(AC$1,[4]characters!$1:$1,0)-MATCH("character_id",[4]characters!$1:$1,0)+1),MATCH(AC$1,[4]characters!$1:$1,0)-MATCH("character_id",[4]characters!$1:$1,0)+1,FALSE)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41" s="4">
        <f ca="1">VLOOKUP($AB41,OFFSET([4]characters!$A$1,0,0,COUNTA([4]characters!$A:$A),MATCH(AD$1,[4]characters!$1:$1,0)-MATCH("character_id",[4]characters!$1:$1,0)+1),MATCH(AD$1,[4]characters!$1:$1,0)-MATCH("character_id",[4]characters!$1:$1,0)+1,FALSE)</f>
        <v>5</v>
      </c>
      <c r="AE41" s="4" t="str">
        <f ca="1">VLOOKUP($AB41,OFFSET([4]characters!$A$1,0,0,COUNTA([4]characters!$A:$A),MATCH(AE$1,[4]characters!$1:$1,0)-MATCH("character_id",[4]characters!$1:$1,0)+1),MATCH(AE$1,[4]characters!$1:$1,0)-MATCH("character_id",[4]characters!$1:$1,0)+1,FALSE)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1" s="127">
        <v>1</v>
      </c>
      <c r="AG41" s="157">
        <f t="shared" ca="1" si="14"/>
        <v>5</v>
      </c>
      <c r="AH41" s="130">
        <v>100</v>
      </c>
      <c r="AI41" s="127">
        <v>0</v>
      </c>
      <c r="AJ41" s="127">
        <v>0</v>
      </c>
      <c r="AK41" s="127">
        <v>0</v>
      </c>
      <c r="AL41" s="127">
        <v>0</v>
      </c>
      <c r="AM41" s="127">
        <v>1</v>
      </c>
      <c r="AN41" s="206">
        <v>1</v>
      </c>
    </row>
    <row r="42" spans="1:56" ht="21" customHeight="1" x14ac:dyDescent="0.15">
      <c r="A42" s="15" t="str">
        <f t="shared" ca="1" si="10"/>
        <v>15027_4-1/346&lt;lv1&gt;s3</v>
      </c>
      <c r="B42" s="101">
        <v>15027</v>
      </c>
      <c r="C42" s="148">
        <v>4</v>
      </c>
      <c r="D42" s="2" t="str">
        <f t="shared" si="11"/>
        <v>15027_4</v>
      </c>
      <c r="E42" s="4" t="str">
        <f ca="1">VLOOKUP($B42,OFFSET([2]quests!$A$1,0,0,COUNTA([2]quests!$A:$A),MATCH(E$1,[2]quests!$1:$1,0)-MATCH($B$1,[2]quests!$1:$1,0)+1),MATCH(E$1,[2]quests!$1:$1,0)-MATCH($B$1,[2]quests!$1:$1,0)+1,FALSE)</f>
        <v>27. 雷雨の登山道</v>
      </c>
      <c r="F42" s="4" t="str">
        <f ca="1">VLOOKUP($D42,OFFSET([2]stages!$A$1,0,0,COUNTA([2]stages!$A:$A),MATCH(F$1,[2]stages!$2:$2,0)-MATCH($D$1,[2]stages!$2:$2,0)+1),MATCH(F$1,[2]stages!$2:$2,0)-MATCH($D$1,[2]stages!$2:$2,0)+1,FALSE)</f>
        <v>27-4. 【1回のみ】ボーナスステージ</v>
      </c>
      <c r="G42" s="102">
        <v>1</v>
      </c>
      <c r="H42" s="14" t="str">
        <f t="shared" si="12"/>
        <v>15027_4-1</v>
      </c>
      <c r="I42" s="4">
        <f ca="1">VLOOKUP($H42,OFFSET(floors!$A$1,0,0,COUNTA(floors!$A:$A),MATCH(I$1,floors!$1:$1,0)-MATCH($H$1,floors!$1:$1,0)+1),MATCH(I$1,floors!$1:$1,0)-MATCH($H$1,floors!$1:$1,0)+1,FALSE)</f>
        <v>60</v>
      </c>
      <c r="J42" s="4">
        <f ca="1">VLOOKUP($H42,OFFSET(floors!$A$1,0,0,COUNTA(floors!$A:$A),MATCH(J$1,floors!$1:$1,0)-MATCH($H$1,floors!$1:$1,0)+1),MATCH(J$1,floors!$1:$1,0)-MATCH($H$1,floors!$1:$1,0)+1,FALSE)</f>
        <v>60</v>
      </c>
      <c r="K42" s="34" t="s">
        <v>53</v>
      </c>
      <c r="L42" s="115">
        <v>346</v>
      </c>
      <c r="M42" s="16" t="str">
        <f ca="1">VLOOKUP($L42,OFFSET([3]enemies!$A$1,0,0,COUNTA([3]enemies!$A:$A),MATCH(M$1,[3]enemies!$1:$1,0)-MATCH($L$1,[3]enemies!$1:$1,0)+1),MATCH(M$1,[3]enemies!$1:$1,0)-MATCH($L$1,[3]enemies!$1:$1,0)+1,FALSE)</f>
        <v>雷のメタルダック</v>
      </c>
      <c r="N42" s="16" t="str">
        <f ca="1">VLOOKUP($L42,OFFSET([3]enemies!$A$1,0,0,COUNTA([3]enemies!$A:$A),MATCH(N$1,[3]enemies!$1:$1,0)-MATCH($L$1,[3]enemies!$1:$1,0)+1),MATCH(N$1,[3]enemies!$1:$1,0)-MATCH($L$1,[3]enemies!$1:$1,0)+1,FALSE)</f>
        <v>yellow</v>
      </c>
      <c r="O42" s="16" t="str">
        <f ca="1">VLOOKUP($L42,OFFSET([4]characters!$A$1,0,0,COUNTA([4]characters!$A:$A),MATCH(O$1,[4]characters!$1:$1,0)-MATCH($L$1,[4]characters!$1:$1,0)+1),MATCH(O$1,[4]characters!$1:$1,0)-MATCH($L$1,[4]characters!$1:$1,0)+1,FALSE)</f>
        <v>Material</v>
      </c>
      <c r="P42" s="16" t="str">
        <f ca="1">VLOOKUP($L42,OFFSET([3]enemies!$A$1,0,0,COUNTA([3]enemies!$A:$A),MATCH(P$1,[3]enemies!$1:$1,0)-MATCH($L$1,[3]enemies!$1:$1,0)+1),MATCH(P$1,[3]enemies!$1:$1,0)-MATCH($L$1,[3]enemies!$1:$1,0)+1,FALSE)</f>
        <v>unknown</v>
      </c>
      <c r="Q42" s="16">
        <f ca="1">VLOOKUP($L42,OFFSET([3]enemies!$A$1,0,0,COUNTA([3]enemies!$A:$A),MATCH(Q$1,[3]enemies!$1:$1,0)-MATCH($L$1,[3]enemies!$1:$1,0)+1),MATCH(Q$1,[3]enemies!$1:$1,0)-MATCH($L$1,[3]enemies!$1:$1,0)+1,FALSE)</f>
        <v>20</v>
      </c>
      <c r="R42" s="5">
        <v>1</v>
      </c>
      <c r="S42" s="21">
        <v>1</v>
      </c>
      <c r="T42" s="21">
        <v>1</v>
      </c>
      <c r="U42" s="5">
        <v>-5000</v>
      </c>
      <c r="V42" s="4" t="e">
        <f ca="1">VLOOKUP($W42,OFFSET(enemy_skill_sets!$B$1,0,0,COUNTA(enemy_skill_sets!$B:$B),MATCH(M$1,enemy_skill_sets!$1:$1,0)-MATCH($W$1,enemy_skill_sets!$1:$1,0)+2),MATCH(M$1,enemy_skill_sets!$1:$1,0)-MATCH($W$1,enemy_skill_sets!$1:$1,0)+2,FALSE)</f>
        <v>#N/A</v>
      </c>
      <c r="W42" s="197">
        <f ca="1">VLOOKUP($L42,OFFSET([3]enemies!$A$1,0,0,COUNTA([3]enemies!$A:$A),MATCH(W$1,[3]enemies!$1:$1,0)-MATCH($L$1,[3]enemies!$1:$1,0)+1),MATCH(W$1,[3]enemies!$1:$1,0)-MATCH($L$1,[3]enemies!$1:$1,0)+1,FALSE)</f>
        <v>0</v>
      </c>
      <c r="X42" s="6">
        <v>1</v>
      </c>
      <c r="Y42" s="6">
        <v>100</v>
      </c>
      <c r="Z42" s="6">
        <v>0</v>
      </c>
      <c r="AA42" s="16">
        <f ca="1">VLOOKUP($L42,OFFSET([3]enemies!$A$1,0,0,COUNTA([3]enemies!$A:$A),MATCH(AA$1,[3]enemies!$1:$1,0)-MATCH($L$1,[3]enemies!$1:$1,0)+1),MATCH(AA$1,[3]enemies!$1:$1,0)-MATCH($L$1,[3]enemies!$1:$1,0)+1,FALSE)</f>
        <v>3</v>
      </c>
      <c r="AB42" s="20">
        <f t="shared" si="13"/>
        <v>346</v>
      </c>
      <c r="AC42" s="4" t="str">
        <f ca="1">VLOOKUP($AB42,OFFSET([4]characters!$A$1,0,0,COUNTA([4]characters!$A:$A),MATCH(AC$1,[4]characters!$1:$1,0)-MATCH("character_id",[4]characters!$1:$1,0)+1),MATCH(AC$1,[4]characters!$1:$1,0)-MATCH("character_id",[4]characters!$1:$1,0)+1,FALSE)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42" s="4">
        <f ca="1">VLOOKUP($AB42,OFFSET([4]characters!$A$1,0,0,COUNTA([4]characters!$A:$A),MATCH(AD$1,[4]characters!$1:$1,0)-MATCH("character_id",[4]characters!$1:$1,0)+1),MATCH(AD$1,[4]characters!$1:$1,0)-MATCH("character_id",[4]characters!$1:$1,0)+1,FALSE)</f>
        <v>5</v>
      </c>
      <c r="AE42" s="4" t="str">
        <f ca="1">VLOOKUP($AB42,OFFSET([4]characters!$A$1,0,0,COUNTA([4]characters!$A:$A),MATCH(AE$1,[4]characters!$1:$1,0)-MATCH("character_id",[4]characters!$1:$1,0)+1),MATCH(AE$1,[4]characters!$1:$1,0)-MATCH("character_id",[4]characters!$1:$1,0)+1,FALSE)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2" s="125">
        <v>1</v>
      </c>
      <c r="AG42" s="20">
        <f t="shared" ca="1" si="14"/>
        <v>5</v>
      </c>
      <c r="AH42" s="8">
        <v>100</v>
      </c>
      <c r="AI42" s="125">
        <v>0</v>
      </c>
      <c r="AJ42" s="125">
        <v>0</v>
      </c>
      <c r="AK42" s="125">
        <v>0</v>
      </c>
      <c r="AL42" s="125">
        <v>0</v>
      </c>
      <c r="AM42" s="125">
        <v>1</v>
      </c>
      <c r="AN42" s="204">
        <v>1</v>
      </c>
    </row>
    <row r="43" spans="1:56" ht="21" customHeight="1" x14ac:dyDescent="0.15">
      <c r="A43" s="15" t="str">
        <f t="shared" ref="A43" ca="1" si="40">B43&amp;"_"&amp;C43&amp;"-"&amp;G43&amp;"/"&amp;L43&amp;"&lt;lv"&amp;R43&amp;"&gt;s"&amp;AA43</f>
        <v>15027_4-2/343&lt;lv1&gt;s4</v>
      </c>
      <c r="B43" s="101">
        <v>15027</v>
      </c>
      <c r="C43" s="148">
        <v>4</v>
      </c>
      <c r="D43" s="2" t="str">
        <f t="shared" ref="D43" si="41">B43&amp;"_"&amp;C43</f>
        <v>15027_4</v>
      </c>
      <c r="E43" s="4" t="str">
        <f ca="1">VLOOKUP($B43,OFFSET([2]quests!$A$1,0,0,COUNTA([2]quests!$A:$A),MATCH(E$1,[2]quests!$1:$1,0)-MATCH($B$1,[2]quests!$1:$1,0)+1),MATCH(E$1,[2]quests!$1:$1,0)-MATCH($B$1,[2]quests!$1:$1,0)+1,FALSE)</f>
        <v>27. 雷雨の登山道</v>
      </c>
      <c r="F43" s="4" t="str">
        <f ca="1">VLOOKUP($D43,OFFSET([2]stages!$A$1,0,0,COUNTA([2]stages!$A:$A),MATCH(F$1,[2]stages!$2:$2,0)-MATCH($D$1,[2]stages!$2:$2,0)+1),MATCH(F$1,[2]stages!$2:$2,0)-MATCH($D$1,[2]stages!$2:$2,0)+1,FALSE)</f>
        <v>27-4. 【1回のみ】ボーナスステージ</v>
      </c>
      <c r="G43" s="106">
        <v>2</v>
      </c>
      <c r="H43" s="14" t="str">
        <f t="shared" ref="H43" si="42">B43&amp;"_"&amp;C43&amp;"-"&amp;G43</f>
        <v>15027_4-2</v>
      </c>
      <c r="I43" s="4">
        <f ca="1">VLOOKUP($H43,OFFSET(floors!$A$1,0,0,COUNTA(floors!$A:$A),MATCH(I$1,floors!$1:$1,0)-MATCH($H$1,floors!$1:$1,0)+1),MATCH(I$1,floors!$1:$1,0)-MATCH($H$1,floors!$1:$1,0)+1,FALSE)</f>
        <v>60</v>
      </c>
      <c r="J43" s="4">
        <f ca="1">VLOOKUP($H43,OFFSET(floors!$A$1,0,0,COUNTA(floors!$A:$A),MATCH(J$1,floors!$1:$1,0)-MATCH($H$1,floors!$1:$1,0)+1),MATCH(J$1,floors!$1:$1,0)-MATCH($H$1,floors!$1:$1,0)+1,FALSE)</f>
        <v>60</v>
      </c>
      <c r="K43" s="34" t="s">
        <v>53</v>
      </c>
      <c r="L43" s="115">
        <v>343</v>
      </c>
      <c r="M43" s="16" t="str">
        <f ca="1">VLOOKUP($L43,OFFSET([3]enemies!$A$1,0,0,COUNTA([3]enemies!$A:$A),MATCH(M$1,[3]enemies!$1:$1,0)-MATCH($L$1,[3]enemies!$1:$1,0)+1),MATCH(M$1,[3]enemies!$1:$1,0)-MATCH($L$1,[3]enemies!$1:$1,0)+1,FALSE)</f>
        <v>水のメタルジェントル</v>
      </c>
      <c r="N43" s="16" t="str">
        <f ca="1">VLOOKUP($L43,OFFSET([3]enemies!$A$1,0,0,COUNTA([3]enemies!$A:$A),MATCH(N$1,[3]enemies!$1:$1,0)-MATCH($L$1,[3]enemies!$1:$1,0)+1),MATCH(N$1,[3]enemies!$1:$1,0)-MATCH($L$1,[3]enemies!$1:$1,0)+1,FALSE)</f>
        <v>blue</v>
      </c>
      <c r="O43" s="16" t="str">
        <f ca="1">VLOOKUP($L43,OFFSET([4]characters!$A$1,0,0,COUNTA([4]characters!$A:$A),MATCH(O$1,[4]characters!$1:$1,0)-MATCH($L$1,[4]characters!$1:$1,0)+1),MATCH(O$1,[4]characters!$1:$1,0)-MATCH($L$1,[4]characters!$1:$1,0)+1,FALSE)</f>
        <v>Material</v>
      </c>
      <c r="P43" s="16" t="str">
        <f ca="1">VLOOKUP($L43,OFFSET([3]enemies!$A$1,0,0,COUNTA([3]enemies!$A:$A),MATCH(P$1,[3]enemies!$1:$1,0)-MATCH($L$1,[3]enemies!$1:$1,0)+1),MATCH(P$1,[3]enemies!$1:$1,0)-MATCH($L$1,[3]enemies!$1:$1,0)+1,FALSE)</f>
        <v>unknown</v>
      </c>
      <c r="Q43" s="16">
        <f ca="1">VLOOKUP($L43,OFFSET([3]enemies!$A$1,0,0,COUNTA([3]enemies!$A:$A),MATCH(Q$1,[3]enemies!$1:$1,0)-MATCH($L$1,[3]enemies!$1:$1,0)+1),MATCH(Q$1,[3]enemies!$1:$1,0)-MATCH($L$1,[3]enemies!$1:$1,0)+1,FALSE)</f>
        <v>20</v>
      </c>
      <c r="R43" s="5">
        <v>1</v>
      </c>
      <c r="S43" s="21">
        <v>1</v>
      </c>
      <c r="T43" s="21">
        <v>1</v>
      </c>
      <c r="U43" s="5">
        <v>-5000</v>
      </c>
      <c r="V43" s="4" t="e">
        <f ca="1">VLOOKUP($W43,OFFSET(enemy_skill_sets!$B$1,0,0,COUNTA(enemy_skill_sets!$B:$B),MATCH(M$1,enemy_skill_sets!$1:$1,0)-MATCH($W$1,enemy_skill_sets!$1:$1,0)+2),MATCH(M$1,enemy_skill_sets!$1:$1,0)-MATCH($W$1,enemy_skill_sets!$1:$1,0)+2,FALSE)</f>
        <v>#N/A</v>
      </c>
      <c r="W43" s="197">
        <f ca="1">VLOOKUP($L43,OFFSET([3]enemies!$A$1,0,0,COUNTA([3]enemies!$A:$A),MATCH(W$1,[3]enemies!$1:$1,0)-MATCH($L$1,[3]enemies!$1:$1,0)+1),MATCH(W$1,[3]enemies!$1:$1,0)-MATCH($L$1,[3]enemies!$1:$1,0)+1,FALSE)</f>
        <v>0</v>
      </c>
      <c r="X43" s="6">
        <v>1</v>
      </c>
      <c r="Y43" s="6">
        <v>100</v>
      </c>
      <c r="Z43" s="6">
        <v>0</v>
      </c>
      <c r="AA43" s="16">
        <f ca="1">VLOOKUP($L43,OFFSET([3]enemies!$A$1,0,0,COUNTA([3]enemies!$A:$A),MATCH(AA$1,[3]enemies!$1:$1,0)-MATCH($L$1,[3]enemies!$1:$1,0)+1),MATCH(AA$1,[3]enemies!$1:$1,0)-MATCH($L$1,[3]enemies!$1:$1,0)+1,FALSE)</f>
        <v>4</v>
      </c>
      <c r="AB43" s="20">
        <f t="shared" ref="AB43" si="43">L43</f>
        <v>343</v>
      </c>
      <c r="AC43" s="4" t="str">
        <f ca="1">VLOOKUP($AB43,OFFSET([4]characters!$A$1,0,0,COUNTA([4]characters!$A:$A),MATCH(AC$1,[4]characters!$1:$1,0)-MATCH("character_id",[4]characters!$1:$1,0)+1),MATCH(AC$1,[4]characters!$1:$1,0)-MATCH("character_id",[4]characters!$1:$1,0)+1,FALSE)</f>
        <v>水のメタルジェントル</v>
      </c>
      <c r="AD43" s="4">
        <f ca="1">VLOOKUP($AB43,OFFSET([4]characters!$A$1,0,0,COUNTA([4]characters!$A:$A),MATCH(AD$1,[4]characters!$1:$1,0)-MATCH("character_id",[4]characters!$1:$1,0)+1),MATCH(AD$1,[4]characters!$1:$1,0)-MATCH("character_id",[4]characters!$1:$1,0)+1,FALSE)</f>
        <v>6</v>
      </c>
      <c r="AE43" s="4" t="str">
        <f ca="1">VLOOKUP($AB43,OFFSET([4]characters!$A$1,0,0,COUNTA([4]characters!$A:$A),MATCH(AE$1,[4]characters!$1:$1,0)-MATCH("character_id",[4]characters!$1:$1,0)+1),MATCH(AE$1,[4]characters!$1:$1,0)-MATCH("character_id",[4]characters!$1:$1,0)+1,FALSE)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3" s="125">
        <v>1</v>
      </c>
      <c r="AG43" s="20">
        <f t="shared" ref="AG43" ca="1" si="44">AD43</f>
        <v>6</v>
      </c>
      <c r="AH43" s="8">
        <v>100</v>
      </c>
      <c r="AI43" s="125">
        <v>0</v>
      </c>
      <c r="AJ43" s="125">
        <v>0</v>
      </c>
      <c r="AK43" s="125">
        <v>0</v>
      </c>
      <c r="AL43" s="125">
        <v>0</v>
      </c>
      <c r="AM43" s="125">
        <v>1</v>
      </c>
      <c r="AN43" s="204">
        <v>1</v>
      </c>
    </row>
    <row r="44" spans="1:56" ht="21" customHeight="1" x14ac:dyDescent="0.15">
      <c r="A44" s="15" t="str">
        <f t="shared" ca="1" si="10"/>
        <v>15027_4-2/347&lt;lv1&gt;s4</v>
      </c>
      <c r="B44" s="101">
        <v>15027</v>
      </c>
      <c r="C44" s="148">
        <v>4</v>
      </c>
      <c r="D44" s="2" t="str">
        <f t="shared" si="11"/>
        <v>15027_4</v>
      </c>
      <c r="E44" s="4" t="str">
        <f ca="1">VLOOKUP($B44,OFFSET([2]quests!$A$1,0,0,COUNTA([2]quests!$A:$A),MATCH(E$1,[2]quests!$1:$1,0)-MATCH($B$1,[2]quests!$1:$1,0)+1),MATCH(E$1,[2]quests!$1:$1,0)-MATCH($B$1,[2]quests!$1:$1,0)+1,FALSE)</f>
        <v>27. 雷雨の登山道</v>
      </c>
      <c r="F44" s="4" t="str">
        <f ca="1">VLOOKUP($D44,OFFSET([2]stages!$A$1,0,0,COUNTA([2]stages!$A:$A),MATCH(F$1,[2]stages!$2:$2,0)-MATCH($D$1,[2]stages!$2:$2,0)+1),MATCH(F$1,[2]stages!$2:$2,0)-MATCH($D$1,[2]stages!$2:$2,0)+1,FALSE)</f>
        <v>27-4. 【1回のみ】ボーナスステージ</v>
      </c>
      <c r="G44" s="106">
        <v>2</v>
      </c>
      <c r="H44" s="14" t="str">
        <f t="shared" si="12"/>
        <v>15027_4-2</v>
      </c>
      <c r="I44" s="4">
        <f ca="1">VLOOKUP($H44,OFFSET(floors!$A$1,0,0,COUNTA(floors!$A:$A),MATCH(I$1,floors!$1:$1,0)-MATCH($H$1,floors!$1:$1,0)+1),MATCH(I$1,floors!$1:$1,0)-MATCH($H$1,floors!$1:$1,0)+1,FALSE)</f>
        <v>60</v>
      </c>
      <c r="J44" s="4">
        <f ca="1">VLOOKUP($H44,OFFSET(floors!$A$1,0,0,COUNTA(floors!$A:$A),MATCH(J$1,floors!$1:$1,0)-MATCH($H$1,floors!$1:$1,0)+1),MATCH(J$1,floors!$1:$1,0)-MATCH($H$1,floors!$1:$1,0)+1,FALSE)</f>
        <v>60</v>
      </c>
      <c r="K44" s="34" t="s">
        <v>53</v>
      </c>
      <c r="L44" s="115">
        <v>347</v>
      </c>
      <c r="M44" s="16" t="str">
        <f ca="1">VLOOKUP($L44,OFFSET([3]enemies!$A$1,0,0,COUNTA([3]enemies!$A:$A),MATCH(M$1,[3]enemies!$1:$1,0)-MATCH($L$1,[3]enemies!$1:$1,0)+1),MATCH(M$1,[3]enemies!$1:$1,0)-MATCH($L$1,[3]enemies!$1:$1,0)+1,FALSE)</f>
        <v>雷のメタルジェントル</v>
      </c>
      <c r="N44" s="16" t="str">
        <f ca="1">VLOOKUP($L44,OFFSET([3]enemies!$A$1,0,0,COUNTA([3]enemies!$A:$A),MATCH(N$1,[3]enemies!$1:$1,0)-MATCH($L$1,[3]enemies!$1:$1,0)+1),MATCH(N$1,[3]enemies!$1:$1,0)-MATCH($L$1,[3]enemies!$1:$1,0)+1,FALSE)</f>
        <v>yellow</v>
      </c>
      <c r="O44" s="16" t="str">
        <f ca="1">VLOOKUP($L44,OFFSET([4]characters!$A$1,0,0,COUNTA([4]characters!$A:$A),MATCH(O$1,[4]characters!$1:$1,0)-MATCH($L$1,[4]characters!$1:$1,0)+1),MATCH(O$1,[4]characters!$1:$1,0)-MATCH($L$1,[4]characters!$1:$1,0)+1,FALSE)</f>
        <v>Material</v>
      </c>
      <c r="P44" s="16" t="str">
        <f ca="1">VLOOKUP($L44,OFFSET([3]enemies!$A$1,0,0,COUNTA([3]enemies!$A:$A),MATCH(P$1,[3]enemies!$1:$1,0)-MATCH($L$1,[3]enemies!$1:$1,0)+1),MATCH(P$1,[3]enemies!$1:$1,0)-MATCH($L$1,[3]enemies!$1:$1,0)+1,FALSE)</f>
        <v>unknown</v>
      </c>
      <c r="Q44" s="16">
        <f ca="1">VLOOKUP($L44,OFFSET([3]enemies!$A$1,0,0,COUNTA([3]enemies!$A:$A),MATCH(Q$1,[3]enemies!$1:$1,0)-MATCH($L$1,[3]enemies!$1:$1,0)+1),MATCH(Q$1,[3]enemies!$1:$1,0)-MATCH($L$1,[3]enemies!$1:$1,0)+1,FALSE)</f>
        <v>20</v>
      </c>
      <c r="R44" s="5">
        <v>1</v>
      </c>
      <c r="S44" s="21">
        <v>1</v>
      </c>
      <c r="T44" s="21">
        <v>1</v>
      </c>
      <c r="U44" s="5">
        <v>-5000</v>
      </c>
      <c r="V44" s="4" t="e">
        <f ca="1">VLOOKUP($W44,OFFSET(enemy_skill_sets!$B$1,0,0,COUNTA(enemy_skill_sets!$B:$B),MATCH(M$1,enemy_skill_sets!$1:$1,0)-MATCH($W$1,enemy_skill_sets!$1:$1,0)+2),MATCH(M$1,enemy_skill_sets!$1:$1,0)-MATCH($W$1,enemy_skill_sets!$1:$1,0)+2,FALSE)</f>
        <v>#N/A</v>
      </c>
      <c r="W44" s="197">
        <f ca="1">VLOOKUP($L44,OFFSET([3]enemies!$A$1,0,0,COUNTA([3]enemies!$A:$A),MATCH(W$1,[3]enemies!$1:$1,0)-MATCH($L$1,[3]enemies!$1:$1,0)+1),MATCH(W$1,[3]enemies!$1:$1,0)-MATCH($L$1,[3]enemies!$1:$1,0)+1,FALSE)</f>
        <v>0</v>
      </c>
      <c r="X44" s="6">
        <v>1</v>
      </c>
      <c r="Y44" s="6">
        <v>100</v>
      </c>
      <c r="Z44" s="6">
        <v>0</v>
      </c>
      <c r="AA44" s="16">
        <f ca="1">VLOOKUP($L44,OFFSET([3]enemies!$A$1,0,0,COUNTA([3]enemies!$A:$A),MATCH(AA$1,[3]enemies!$1:$1,0)-MATCH($L$1,[3]enemies!$1:$1,0)+1),MATCH(AA$1,[3]enemies!$1:$1,0)-MATCH($L$1,[3]enemies!$1:$1,0)+1,FALSE)</f>
        <v>4</v>
      </c>
      <c r="AB44" s="20">
        <f t="shared" si="13"/>
        <v>347</v>
      </c>
      <c r="AC44" s="4" t="str">
        <f ca="1">VLOOKUP($AB44,OFFSET([4]characters!$A$1,0,0,COUNTA([4]characters!$A:$A),MATCH(AC$1,[4]characters!$1:$1,0)-MATCH("character_id",[4]characters!$1:$1,0)+1),MATCH(AC$1,[4]characters!$1:$1,0)-MATCH("character_id",[4]characters!$1:$1,0)+1,FALSE)</f>
        <v>雷のメタルジェントル</v>
      </c>
      <c r="AD44" s="4">
        <f ca="1">VLOOKUP($AB44,OFFSET([4]characters!$A$1,0,0,COUNTA([4]characters!$A:$A),MATCH(AD$1,[4]characters!$1:$1,0)-MATCH("character_id",[4]characters!$1:$1,0)+1),MATCH(AD$1,[4]characters!$1:$1,0)-MATCH("character_id",[4]characters!$1:$1,0)+1,FALSE)</f>
        <v>6</v>
      </c>
      <c r="AE44" s="4" t="str">
        <f ca="1">VLOOKUP($AB44,OFFSET([4]characters!$A$1,0,0,COUNTA([4]characters!$A:$A),MATCH(AE$1,[4]characters!$1:$1,0)-MATCH("character_id",[4]characters!$1:$1,0)+1),MATCH(AE$1,[4]characters!$1:$1,0)-MATCH("character_id",[4]characters!$1:$1,0)+1,FALSE)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4" s="125">
        <v>1</v>
      </c>
      <c r="AG44" s="20">
        <f t="shared" ca="1" si="14"/>
        <v>6</v>
      </c>
      <c r="AH44" s="8">
        <v>0</v>
      </c>
      <c r="AI44" s="125">
        <v>0</v>
      </c>
      <c r="AJ44" s="125">
        <v>0</v>
      </c>
      <c r="AK44" s="125">
        <v>0</v>
      </c>
      <c r="AL44" s="125">
        <v>0</v>
      </c>
      <c r="AM44" s="125">
        <v>1</v>
      </c>
      <c r="AN44" s="204">
        <v>1</v>
      </c>
    </row>
    <row r="45" spans="1:56" ht="21" customHeight="1" x14ac:dyDescent="0.15">
      <c r="A45" s="15" t="str">
        <f t="shared" ref="A45" ca="1" si="45">B45&amp;"_"&amp;C45&amp;"-"&amp;G45&amp;"/"&amp;L45&amp;"&lt;lv"&amp;R45&amp;"&gt;s"&amp;AA45</f>
        <v>15027_4-3/120&lt;lv10&gt;s4</v>
      </c>
      <c r="B45" s="101">
        <v>15027</v>
      </c>
      <c r="C45" s="148">
        <v>4</v>
      </c>
      <c r="D45" s="2" t="str">
        <f t="shared" ref="D45" si="46">B45&amp;"_"&amp;C45</f>
        <v>15027_4</v>
      </c>
      <c r="E45" s="4" t="str">
        <f ca="1">VLOOKUP($B45,OFFSET([2]quests!$A$1,0,0,COUNTA([2]quests!$A:$A),MATCH(E$1,[2]quests!$1:$1,0)-MATCH($B$1,[2]quests!$1:$1,0)+1),MATCH(E$1,[2]quests!$1:$1,0)-MATCH($B$1,[2]quests!$1:$1,0)+1,FALSE)</f>
        <v>27. 雷雨の登山道</v>
      </c>
      <c r="F45" s="4" t="str">
        <f ca="1">VLOOKUP($D45,OFFSET([2]stages!$A$1,0,0,COUNTA([2]stages!$A:$A),MATCH(F$1,[2]stages!$2:$2,0)-MATCH($D$1,[2]stages!$2:$2,0)+1),MATCH(F$1,[2]stages!$2:$2,0)-MATCH($D$1,[2]stages!$2:$2,0)+1,FALSE)</f>
        <v>27-4. 【1回のみ】ボーナスステージ</v>
      </c>
      <c r="G45" s="111">
        <v>3</v>
      </c>
      <c r="H45" s="14" t="str">
        <f t="shared" ref="H45" si="47">B45&amp;"_"&amp;C45&amp;"-"&amp;G45</f>
        <v>15027_4-3</v>
      </c>
      <c r="I45" s="4">
        <f ca="1">VLOOKUP($H45,OFFSET(floors!$A$1,0,0,COUNTA(floors!$A:$A),MATCH(I$1,floors!$1:$1,0)-MATCH($H$1,floors!$1:$1,0)+1),MATCH(I$1,floors!$1:$1,0)-MATCH($H$1,floors!$1:$1,0)+1,FALSE)</f>
        <v>60</v>
      </c>
      <c r="J45" s="4">
        <f ca="1">VLOOKUP($H45,OFFSET(floors!$A$1,0,0,COUNTA(floors!$A:$A),MATCH(J$1,floors!$1:$1,0)-MATCH($H$1,floors!$1:$1,0)+1),MATCH(J$1,floors!$1:$1,0)-MATCH($H$1,floors!$1:$1,0)+1,FALSE)</f>
        <v>60</v>
      </c>
      <c r="K45" s="34" t="s">
        <v>53</v>
      </c>
      <c r="L45" s="115">
        <v>120</v>
      </c>
      <c r="M45" s="16" t="str">
        <f ca="1">VLOOKUP($L45,OFFSET([3]enemies!$A$1,0,0,COUNTA([3]enemies!$A:$A),MATCH(M$1,[3]enemies!$1:$1,0)-MATCH($L$1,[3]enemies!$1:$1,0)+1),MATCH(M$1,[3]enemies!$1:$1,0)-MATCH($L$1,[3]enemies!$1:$1,0)+1,FALSE)</f>
        <v>ゴールドキング</v>
      </c>
      <c r="N45" s="16" t="str">
        <f ca="1">VLOOKUP($L45,OFFSET([3]enemies!$A$1,0,0,COUNTA([3]enemies!$A:$A),MATCH(N$1,[3]enemies!$1:$1,0)-MATCH($L$1,[3]enemies!$1:$1,0)+1),MATCH(N$1,[3]enemies!$1:$1,0)-MATCH($L$1,[3]enemies!$1:$1,0)+1,FALSE)</f>
        <v>yellow</v>
      </c>
      <c r="O45" s="16" t="str">
        <f ca="1">VLOOKUP($L45,OFFSET([4]characters!$A$1,0,0,COUNTA([4]characters!$A:$A),MATCH(O$1,[4]characters!$1:$1,0)-MATCH($L$1,[4]characters!$1:$1,0)+1),MATCH(O$1,[4]characters!$1:$1,0)-MATCH($L$1,[4]characters!$1:$1,0)+1,FALSE)</f>
        <v>Material</v>
      </c>
      <c r="P45" s="16" t="str">
        <f ca="1">VLOOKUP($L45,OFFSET([3]enemies!$A$1,0,0,COUNTA([3]enemies!$A:$A),MATCH(P$1,[3]enemies!$1:$1,0)-MATCH($L$1,[3]enemies!$1:$1,0)+1),MATCH(P$1,[3]enemies!$1:$1,0)-MATCH($L$1,[3]enemies!$1:$1,0)+1,FALSE)</f>
        <v>unknown</v>
      </c>
      <c r="Q45" s="16">
        <f ca="1">VLOOKUP($L45,OFFSET([3]enemies!$A$1,0,0,COUNTA([3]enemies!$A:$A),MATCH(Q$1,[3]enemies!$1:$1,0)-MATCH($L$1,[3]enemies!$1:$1,0)+1),MATCH(Q$1,[3]enemies!$1:$1,0)-MATCH($L$1,[3]enemies!$1:$1,0)+1,FALSE)</f>
        <v>20</v>
      </c>
      <c r="R45" s="5">
        <v>10</v>
      </c>
      <c r="S45" s="21">
        <v>1</v>
      </c>
      <c r="T45" s="21">
        <v>1</v>
      </c>
      <c r="U45" s="5">
        <v>0</v>
      </c>
      <c r="V45" s="4" t="e">
        <f ca="1">VLOOKUP($W45,OFFSET(enemy_skill_sets!$B$1,0,0,COUNTA(enemy_skill_sets!$B:$B),MATCH(M$1,enemy_skill_sets!$1:$1,0)-MATCH($W$1,enemy_skill_sets!$1:$1,0)+2),MATCH(M$1,enemy_skill_sets!$1:$1,0)-MATCH($W$1,enemy_skill_sets!$1:$1,0)+2,FALSE)</f>
        <v>#N/A</v>
      </c>
      <c r="W45" s="197">
        <f ca="1">VLOOKUP($L45,OFFSET([3]enemies!$A$1,0,0,COUNTA([3]enemies!$A:$A),MATCH(W$1,[3]enemies!$1:$1,0)-MATCH($L$1,[3]enemies!$1:$1,0)+1),MATCH(W$1,[3]enemies!$1:$1,0)-MATCH($L$1,[3]enemies!$1:$1,0)+1,FALSE)</f>
        <v>0</v>
      </c>
      <c r="X45" s="6">
        <v>1</v>
      </c>
      <c r="Y45" s="6">
        <v>100</v>
      </c>
      <c r="Z45" s="6">
        <v>0</v>
      </c>
      <c r="AA45" s="16">
        <f ca="1">VLOOKUP($L45,OFFSET([3]enemies!$A$1,0,0,COUNTA([3]enemies!$A:$A),MATCH(AA$1,[3]enemies!$1:$1,0)-MATCH($L$1,[3]enemies!$1:$1,0)+1),MATCH(AA$1,[3]enemies!$1:$1,0)-MATCH($L$1,[3]enemies!$1:$1,0)+1,FALSE)</f>
        <v>4</v>
      </c>
      <c r="AB45" s="20">
        <f t="shared" ref="AB45" si="48">L45</f>
        <v>120</v>
      </c>
      <c r="AC45" s="4" t="str">
        <f ca="1">VLOOKUP($AB45,OFFSET([4]characters!$A$1,0,0,COUNTA([4]characters!$A:$A),MATCH(AC$1,[4]characters!$1:$1,0)-MATCH("character_id",[4]characters!$1:$1,0)+1),MATCH(AC$1,[4]characters!$1:$1,0)-MATCH("character_id",[4]characters!$1:$1,0)+1,FALSE)</f>
        <v>ゴールドキング</v>
      </c>
      <c r="AD45" s="4">
        <f ca="1">VLOOKUP($AB45,OFFSET([4]characters!$A$1,0,0,COUNTA([4]characters!$A:$A),MATCH(AD$1,[4]characters!$1:$1,0)-MATCH("character_id",[4]characters!$1:$1,0)+1),MATCH(AD$1,[4]characters!$1:$1,0)-MATCH("character_id",[4]characters!$1:$1,0)+1,FALSE)</f>
        <v>6</v>
      </c>
      <c r="AE45" s="4" t="str">
        <f ca="1">VLOOKUP($AB45,OFFSET([4]characters!$A$1,0,0,COUNTA([4]characters!$A:$A),MATCH(AE$1,[4]characters!$1:$1,0)-MATCH("character_id",[4]characters!$1:$1,0)+1),MATCH(AE$1,[4]characters!$1:$1,0)-MATCH("character_id",[4]characters!$1:$1,0)+1,FALSE)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5" s="125">
        <v>1</v>
      </c>
      <c r="AG45" s="20">
        <f t="shared" ref="AG45" ca="1" si="49">AD45</f>
        <v>6</v>
      </c>
      <c r="AH45" s="8">
        <v>100</v>
      </c>
      <c r="AI45" s="125">
        <v>0</v>
      </c>
      <c r="AJ45" s="125">
        <v>0</v>
      </c>
      <c r="AK45" s="125">
        <v>0</v>
      </c>
      <c r="AL45" s="125">
        <v>0</v>
      </c>
      <c r="AM45" s="125">
        <v>1</v>
      </c>
      <c r="AN45" s="204">
        <v>1</v>
      </c>
    </row>
    <row r="46" spans="1:56" ht="21" customHeight="1" x14ac:dyDescent="0.15">
      <c r="A46" s="15" t="str">
        <f t="shared" ca="1" si="10"/>
        <v>15027_4-4/343&lt;lv1&gt;s4</v>
      </c>
      <c r="B46" s="101">
        <v>15027</v>
      </c>
      <c r="C46" s="148">
        <v>4</v>
      </c>
      <c r="D46" s="2" t="str">
        <f t="shared" si="11"/>
        <v>15027_4</v>
      </c>
      <c r="E46" s="4" t="str">
        <f ca="1">VLOOKUP($B46,OFFSET([2]quests!$A$1,0,0,COUNTA([2]quests!$A:$A),MATCH(E$1,[2]quests!$1:$1,0)-MATCH($B$1,[2]quests!$1:$1,0)+1),MATCH(E$1,[2]quests!$1:$1,0)-MATCH($B$1,[2]quests!$1:$1,0)+1,FALSE)</f>
        <v>27. 雷雨の登山道</v>
      </c>
      <c r="F46" s="4" t="str">
        <f ca="1">VLOOKUP($D46,OFFSET([2]stages!$A$1,0,0,COUNTA([2]stages!$A:$A),MATCH(F$1,[2]stages!$2:$2,0)-MATCH($D$1,[2]stages!$2:$2,0)+1),MATCH(F$1,[2]stages!$2:$2,0)-MATCH($D$1,[2]stages!$2:$2,0)+1,FALSE)</f>
        <v>27-4. 【1回のみ】ボーナスステージ</v>
      </c>
      <c r="G46" s="148">
        <v>4</v>
      </c>
      <c r="H46" s="14" t="str">
        <f t="shared" si="12"/>
        <v>15027_4-4</v>
      </c>
      <c r="I46" s="4">
        <f ca="1">VLOOKUP($H46,OFFSET(floors!$A$1,0,0,COUNTA(floors!$A:$A),MATCH(I$1,floors!$1:$1,0)-MATCH($H$1,floors!$1:$1,0)+1),MATCH(I$1,floors!$1:$1,0)-MATCH($H$1,floors!$1:$1,0)+1,FALSE)</f>
        <v>60</v>
      </c>
      <c r="J46" s="4">
        <f ca="1">VLOOKUP($H46,OFFSET(floors!$A$1,0,0,COUNTA(floors!$A:$A),MATCH(J$1,floors!$1:$1,0)-MATCH($H$1,floors!$1:$1,0)+1),MATCH(J$1,floors!$1:$1,0)-MATCH($H$1,floors!$1:$1,0)+1,FALSE)</f>
        <v>60</v>
      </c>
      <c r="K46" s="34" t="s">
        <v>53</v>
      </c>
      <c r="L46" s="115">
        <v>343</v>
      </c>
      <c r="M46" s="16" t="str">
        <f ca="1">VLOOKUP($L46,OFFSET([3]enemies!$A$1,0,0,COUNTA([3]enemies!$A:$A),MATCH(M$1,[3]enemies!$1:$1,0)-MATCH($L$1,[3]enemies!$1:$1,0)+1),MATCH(M$1,[3]enemies!$1:$1,0)-MATCH($L$1,[3]enemies!$1:$1,0)+1,FALSE)</f>
        <v>水のメタルジェントル</v>
      </c>
      <c r="N46" s="16" t="str">
        <f ca="1">VLOOKUP($L46,OFFSET([3]enemies!$A$1,0,0,COUNTA([3]enemies!$A:$A),MATCH(N$1,[3]enemies!$1:$1,0)-MATCH($L$1,[3]enemies!$1:$1,0)+1),MATCH(N$1,[3]enemies!$1:$1,0)-MATCH($L$1,[3]enemies!$1:$1,0)+1,FALSE)</f>
        <v>blue</v>
      </c>
      <c r="O46" s="16" t="str">
        <f ca="1">VLOOKUP($L46,OFFSET([4]characters!$A$1,0,0,COUNTA([4]characters!$A:$A),MATCH(O$1,[4]characters!$1:$1,0)-MATCH($L$1,[4]characters!$1:$1,0)+1),MATCH(O$1,[4]characters!$1:$1,0)-MATCH($L$1,[4]characters!$1:$1,0)+1,FALSE)</f>
        <v>Material</v>
      </c>
      <c r="P46" s="16" t="str">
        <f ca="1">VLOOKUP($L46,OFFSET([3]enemies!$A$1,0,0,COUNTA([3]enemies!$A:$A),MATCH(P$1,[3]enemies!$1:$1,0)-MATCH($L$1,[3]enemies!$1:$1,0)+1),MATCH(P$1,[3]enemies!$1:$1,0)-MATCH($L$1,[3]enemies!$1:$1,0)+1,FALSE)</f>
        <v>unknown</v>
      </c>
      <c r="Q46" s="16">
        <f ca="1">VLOOKUP($L46,OFFSET([3]enemies!$A$1,0,0,COUNTA([3]enemies!$A:$A),MATCH(Q$1,[3]enemies!$1:$1,0)-MATCH($L$1,[3]enemies!$1:$1,0)+1),MATCH(Q$1,[3]enemies!$1:$1,0)-MATCH($L$1,[3]enemies!$1:$1,0)+1,FALSE)</f>
        <v>20</v>
      </c>
      <c r="R46" s="5">
        <v>1</v>
      </c>
      <c r="S46" s="21">
        <v>1</v>
      </c>
      <c r="T46" s="21">
        <v>1</v>
      </c>
      <c r="U46" s="5">
        <v>-5000</v>
      </c>
      <c r="V46" s="4" t="e">
        <f ca="1">VLOOKUP($W46,OFFSET(enemy_skill_sets!$B$1,0,0,COUNTA(enemy_skill_sets!$B:$B),MATCH(M$1,enemy_skill_sets!$1:$1,0)-MATCH($W$1,enemy_skill_sets!$1:$1,0)+2),MATCH(M$1,enemy_skill_sets!$1:$1,0)-MATCH($W$1,enemy_skill_sets!$1:$1,0)+2,FALSE)</f>
        <v>#N/A</v>
      </c>
      <c r="W46" s="197">
        <f ca="1">VLOOKUP($L46,OFFSET([3]enemies!$A$1,0,0,COUNTA([3]enemies!$A:$A),MATCH(W$1,[3]enemies!$1:$1,0)-MATCH($L$1,[3]enemies!$1:$1,0)+1),MATCH(W$1,[3]enemies!$1:$1,0)-MATCH($L$1,[3]enemies!$1:$1,0)+1,FALSE)</f>
        <v>0</v>
      </c>
      <c r="X46" s="6">
        <v>1</v>
      </c>
      <c r="Y46" s="6">
        <v>100</v>
      </c>
      <c r="Z46" s="6">
        <v>0</v>
      </c>
      <c r="AA46" s="16">
        <f ca="1">VLOOKUP($L46,OFFSET([3]enemies!$A$1,0,0,COUNTA([3]enemies!$A:$A),MATCH(AA$1,[3]enemies!$1:$1,0)-MATCH($L$1,[3]enemies!$1:$1,0)+1),MATCH(AA$1,[3]enemies!$1:$1,0)-MATCH($L$1,[3]enemies!$1:$1,0)+1,FALSE)</f>
        <v>4</v>
      </c>
      <c r="AB46" s="20">
        <f t="shared" si="13"/>
        <v>343</v>
      </c>
      <c r="AC46" s="4" t="str">
        <f ca="1">VLOOKUP($AB46,OFFSET([4]characters!$A$1,0,0,COUNTA([4]characters!$A:$A),MATCH(AC$1,[4]characters!$1:$1,0)-MATCH("character_id",[4]characters!$1:$1,0)+1),MATCH(AC$1,[4]characters!$1:$1,0)-MATCH("character_id",[4]characters!$1:$1,0)+1,FALSE)</f>
        <v>水のメタルジェントル</v>
      </c>
      <c r="AD46" s="4">
        <f ca="1">VLOOKUP($AB46,OFFSET([4]characters!$A$1,0,0,COUNTA([4]characters!$A:$A),MATCH(AD$1,[4]characters!$1:$1,0)-MATCH("character_id",[4]characters!$1:$1,0)+1),MATCH(AD$1,[4]characters!$1:$1,0)-MATCH("character_id",[4]characters!$1:$1,0)+1,FALSE)</f>
        <v>6</v>
      </c>
      <c r="AE46" s="4" t="str">
        <f ca="1">VLOOKUP($AB46,OFFSET([4]characters!$A$1,0,0,COUNTA([4]characters!$A:$A),MATCH(AE$1,[4]characters!$1:$1,0)-MATCH("character_id",[4]characters!$1:$1,0)+1),MATCH(AE$1,[4]characters!$1:$1,0)-MATCH("character_id",[4]characters!$1:$1,0)+1,FALSE)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6" s="125">
        <v>1</v>
      </c>
      <c r="AG46" s="20">
        <f t="shared" ca="1" si="14"/>
        <v>6</v>
      </c>
      <c r="AH46" s="8">
        <v>0</v>
      </c>
      <c r="AI46" s="125">
        <v>0</v>
      </c>
      <c r="AJ46" s="125">
        <v>0</v>
      </c>
      <c r="AK46" s="125">
        <v>0</v>
      </c>
      <c r="AL46" s="125">
        <v>0</v>
      </c>
      <c r="AM46" s="125">
        <v>1</v>
      </c>
      <c r="AN46" s="204">
        <v>1</v>
      </c>
    </row>
    <row r="47" spans="1:56" ht="21" customHeight="1" x14ac:dyDescent="0.15">
      <c r="A47" s="15" t="str">
        <f t="shared" ref="A47" ca="1" si="50">B47&amp;"_"&amp;C47&amp;"-"&amp;G47&amp;"/"&amp;L47&amp;"&lt;lv"&amp;R47&amp;"&gt;s"&amp;AA47</f>
        <v>15027_4-4/347&lt;lv1&gt;s4</v>
      </c>
      <c r="B47" s="103">
        <v>15027</v>
      </c>
      <c r="C47" s="114">
        <v>4</v>
      </c>
      <c r="D47" s="167" t="str">
        <f t="shared" ref="D47" si="51">B47&amp;"_"&amp;C47</f>
        <v>15027_4</v>
      </c>
      <c r="E47" s="168" t="str">
        <f ca="1">VLOOKUP($B47,OFFSET([2]quests!$A$1,0,0,COUNTA([2]quests!$A:$A),MATCH(E$1,[2]quests!$1:$1,0)-MATCH($B$1,[2]quests!$1:$1,0)+1),MATCH(E$1,[2]quests!$1:$1,0)-MATCH($B$1,[2]quests!$1:$1,0)+1,FALSE)</f>
        <v>27. 雷雨の登山道</v>
      </c>
      <c r="F47" s="168" t="str">
        <f ca="1">VLOOKUP($D47,OFFSET([2]stages!$A$1,0,0,COUNTA([2]stages!$A:$A),MATCH(F$1,[2]stages!$2:$2,0)-MATCH($D$1,[2]stages!$2:$2,0)+1),MATCH(F$1,[2]stages!$2:$2,0)-MATCH($D$1,[2]stages!$2:$2,0)+1,FALSE)</f>
        <v>27-4. 【1回のみ】ボーナスステージ</v>
      </c>
      <c r="G47" s="114">
        <v>4</v>
      </c>
      <c r="H47" s="167" t="str">
        <f t="shared" ref="H47" si="52">B47&amp;"_"&amp;C47&amp;"-"&amp;G47</f>
        <v>15027_4-4</v>
      </c>
      <c r="I47" s="168">
        <f ca="1">VLOOKUP($H47,OFFSET(floors!$A$1,0,0,COUNTA(floors!$A:$A),MATCH(I$1,floors!$1:$1,0)-MATCH($H$1,floors!$1:$1,0)+1),MATCH(I$1,floors!$1:$1,0)-MATCH($H$1,floors!$1:$1,0)+1,FALSE)</f>
        <v>60</v>
      </c>
      <c r="J47" s="168">
        <f ca="1">VLOOKUP($H47,OFFSET(floors!$A$1,0,0,COUNTA(floors!$A:$A),MATCH(J$1,floors!$1:$1,0)-MATCH($H$1,floors!$1:$1,0)+1),MATCH(J$1,floors!$1:$1,0)-MATCH($H$1,floors!$1:$1,0)+1,FALSE)</f>
        <v>60</v>
      </c>
      <c r="K47" s="99" t="s">
        <v>53</v>
      </c>
      <c r="L47" s="116">
        <v>347</v>
      </c>
      <c r="M47" s="169" t="str">
        <f ca="1">VLOOKUP($L47,OFFSET([3]enemies!$A$1,0,0,COUNTA([3]enemies!$A:$A),MATCH(M$1,[3]enemies!$1:$1,0)-MATCH($L$1,[3]enemies!$1:$1,0)+1),MATCH(M$1,[3]enemies!$1:$1,0)-MATCH($L$1,[3]enemies!$1:$1,0)+1,FALSE)</f>
        <v>雷のメタルジェントル</v>
      </c>
      <c r="N47" s="169" t="str">
        <f ca="1">VLOOKUP($L47,OFFSET([3]enemies!$A$1,0,0,COUNTA([3]enemies!$A:$A),MATCH(N$1,[3]enemies!$1:$1,0)-MATCH($L$1,[3]enemies!$1:$1,0)+1),MATCH(N$1,[3]enemies!$1:$1,0)-MATCH($L$1,[3]enemies!$1:$1,0)+1,FALSE)</f>
        <v>yellow</v>
      </c>
      <c r="O47" s="169" t="str">
        <f ca="1">VLOOKUP($L47,OFFSET([4]characters!$A$1,0,0,COUNTA([4]characters!$A:$A),MATCH(O$1,[4]characters!$1:$1,0)-MATCH($L$1,[4]characters!$1:$1,0)+1),MATCH(O$1,[4]characters!$1:$1,0)-MATCH($L$1,[4]characters!$1:$1,0)+1,FALSE)</f>
        <v>Material</v>
      </c>
      <c r="P47" s="169" t="str">
        <f ca="1">VLOOKUP($L47,OFFSET([3]enemies!$A$1,0,0,COUNTA([3]enemies!$A:$A),MATCH(P$1,[3]enemies!$1:$1,0)-MATCH($L$1,[3]enemies!$1:$1,0)+1),MATCH(P$1,[3]enemies!$1:$1,0)-MATCH($L$1,[3]enemies!$1:$1,0)+1,FALSE)</f>
        <v>unknown</v>
      </c>
      <c r="Q47" s="169">
        <f ca="1">VLOOKUP($L47,OFFSET([3]enemies!$A$1,0,0,COUNTA([3]enemies!$A:$A),MATCH(Q$1,[3]enemies!$1:$1,0)-MATCH($L$1,[3]enemies!$1:$1,0)+1),MATCH(Q$1,[3]enemies!$1:$1,0)-MATCH($L$1,[3]enemies!$1:$1,0)+1,FALSE)</f>
        <v>20</v>
      </c>
      <c r="R47" s="120">
        <v>1</v>
      </c>
      <c r="S47" s="119">
        <v>1</v>
      </c>
      <c r="T47" s="119">
        <v>1</v>
      </c>
      <c r="U47" s="5">
        <v>-5000</v>
      </c>
      <c r="V47" s="168" t="e">
        <f ca="1">VLOOKUP($W47,OFFSET(enemy_skill_sets!$B$1,0,0,COUNTA(enemy_skill_sets!$B:$B),MATCH(M$1,enemy_skill_sets!$1:$1,0)-MATCH($W$1,enemy_skill_sets!$1:$1,0)+2),MATCH(M$1,enemy_skill_sets!$1:$1,0)-MATCH($W$1,enemy_skill_sets!$1:$1,0)+2,FALSE)</f>
        <v>#N/A</v>
      </c>
      <c r="W47" s="201">
        <f ca="1">VLOOKUP($L47,OFFSET([3]enemies!$A$1,0,0,COUNTA([3]enemies!$A:$A),MATCH(W$1,[3]enemies!$1:$1,0)-MATCH($L$1,[3]enemies!$1:$1,0)+1),MATCH(W$1,[3]enemies!$1:$1,0)-MATCH($L$1,[3]enemies!$1:$1,0)+1,FALSE)</f>
        <v>0</v>
      </c>
      <c r="X47" s="6">
        <v>1</v>
      </c>
      <c r="Y47" s="184">
        <v>100</v>
      </c>
      <c r="Z47" s="6">
        <v>0</v>
      </c>
      <c r="AA47" s="169">
        <f ca="1">VLOOKUP($L47,OFFSET([3]enemies!$A$1,0,0,COUNTA([3]enemies!$A:$A),MATCH(AA$1,[3]enemies!$1:$1,0)-MATCH($L$1,[3]enemies!$1:$1,0)+1),MATCH(AA$1,[3]enemies!$1:$1,0)-MATCH($L$1,[3]enemies!$1:$1,0)+1,FALSE)</f>
        <v>4</v>
      </c>
      <c r="AB47" s="171">
        <f t="shared" ref="AB47" si="53">L47</f>
        <v>347</v>
      </c>
      <c r="AC47" s="168" t="str">
        <f ca="1">VLOOKUP($AB47,OFFSET([4]characters!$A$1,0,0,COUNTA([4]characters!$A:$A),MATCH(AC$1,[4]characters!$1:$1,0)-MATCH("character_id",[4]characters!$1:$1,0)+1),MATCH(AC$1,[4]characters!$1:$1,0)-MATCH("character_id",[4]characters!$1:$1,0)+1,FALSE)</f>
        <v>雷のメタルジェントル</v>
      </c>
      <c r="AD47" s="168">
        <f ca="1">VLOOKUP($AB47,OFFSET([4]characters!$A$1,0,0,COUNTA([4]characters!$A:$A),MATCH(AD$1,[4]characters!$1:$1,0)-MATCH("character_id",[4]characters!$1:$1,0)+1),MATCH(AD$1,[4]characters!$1:$1,0)-MATCH("character_id",[4]characters!$1:$1,0)+1,FALSE)</f>
        <v>6</v>
      </c>
      <c r="AE47" s="168" t="str">
        <f ca="1">VLOOKUP($AB47,OFFSET([4]characters!$A$1,0,0,COUNTA([4]characters!$A:$A),MATCH(AE$1,[4]characters!$1:$1,0)-MATCH("character_id",[4]characters!$1:$1,0)+1),MATCH(AE$1,[4]characters!$1:$1,0)-MATCH("character_id",[4]characters!$1:$1,0)+1,FALSE)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7" s="126">
        <v>1</v>
      </c>
      <c r="AG47" s="171">
        <f t="shared" ref="AG47" ca="1" si="54">AD47</f>
        <v>6</v>
      </c>
      <c r="AH47" s="129">
        <v>100</v>
      </c>
      <c r="AI47" s="126">
        <v>0</v>
      </c>
      <c r="AJ47" s="126">
        <v>0</v>
      </c>
      <c r="AK47" s="126">
        <v>0</v>
      </c>
      <c r="AL47" s="126">
        <v>0</v>
      </c>
      <c r="AM47" s="126">
        <v>1</v>
      </c>
      <c r="AN47" s="207">
        <v>1</v>
      </c>
    </row>
    <row r="48" spans="1:56" s="61" customFormat="1" ht="21" customHeight="1" x14ac:dyDescent="0.15">
      <c r="A48" s="173" t="str">
        <f t="shared" ca="1" si="10"/>
        <v>15027_4-5/120&lt;lv10&gt;s4</v>
      </c>
      <c r="B48" s="105">
        <v>15027</v>
      </c>
      <c r="C48" s="148">
        <v>4</v>
      </c>
      <c r="D48" s="14" t="str">
        <f t="shared" si="11"/>
        <v>15027_4</v>
      </c>
      <c r="E48" s="17" t="str">
        <f ca="1">VLOOKUP($B48,OFFSET([2]quests!$A$1,0,0,COUNTA([2]quests!$A:$A),MATCH(E$1,[2]quests!$1:$1,0)-MATCH($B$1,[2]quests!$1:$1,0)+1),MATCH(E$1,[2]quests!$1:$1,0)-MATCH($B$1,[2]quests!$1:$1,0)+1,FALSE)</f>
        <v>27. 雷雨の登山道</v>
      </c>
      <c r="F48" s="17" t="str">
        <f ca="1">VLOOKUP($D48,OFFSET([2]stages!$A$1,0,0,COUNTA([2]stages!$A:$A),MATCH(F$1,[2]stages!$2:$2,0)-MATCH($D$1,[2]stages!$2:$2,0)+1),MATCH(F$1,[2]stages!$2:$2,0)-MATCH($D$1,[2]stages!$2:$2,0)+1,FALSE)</f>
        <v>27-4. 【1回のみ】ボーナスステージ</v>
      </c>
      <c r="G48" s="88">
        <v>5</v>
      </c>
      <c r="H48" s="14" t="str">
        <f t="shared" si="12"/>
        <v>15027_4-5</v>
      </c>
      <c r="I48" s="17">
        <f ca="1">VLOOKUP($H48,OFFSET(floors!$A$1,0,0,COUNTA(floors!$A:$A),MATCH(I$1,floors!$1:$1,0)-MATCH($H$1,floors!$1:$1,0)+1),MATCH(I$1,floors!$1:$1,0)-MATCH($H$1,floors!$1:$1,0)+1,FALSE)</f>
        <v>60</v>
      </c>
      <c r="J48" s="17">
        <f ca="1">VLOOKUP($H48,OFFSET(floors!$A$1,0,0,COUNTA(floors!$A:$A),MATCH(J$1,floors!$1:$1,0)-MATCH($H$1,floors!$1:$1,0)+1),MATCH(J$1,floors!$1:$1,0)-MATCH($H$1,floors!$1:$1,0)+1,FALSE)</f>
        <v>60</v>
      </c>
      <c r="K48" s="34" t="s">
        <v>53</v>
      </c>
      <c r="L48" s="115">
        <v>120</v>
      </c>
      <c r="M48" s="17" t="str">
        <f ca="1">VLOOKUP($L48,OFFSET([3]enemies!$A$1,0,0,COUNTA([3]enemies!$A:$A),MATCH(M$1,[3]enemies!$1:$1,0)-MATCH($L$1,[3]enemies!$1:$1,0)+1),MATCH(M$1,[3]enemies!$1:$1,0)-MATCH($L$1,[3]enemies!$1:$1,0)+1,FALSE)</f>
        <v>ゴールドキング</v>
      </c>
      <c r="N48" s="17" t="str">
        <f ca="1">VLOOKUP($L48,OFFSET([3]enemies!$A$1,0,0,COUNTA([3]enemies!$A:$A),MATCH(N$1,[3]enemies!$1:$1,0)-MATCH($L$1,[3]enemies!$1:$1,0)+1),MATCH(N$1,[3]enemies!$1:$1,0)-MATCH($L$1,[3]enemies!$1:$1,0)+1,FALSE)</f>
        <v>yellow</v>
      </c>
      <c r="O48" s="17" t="str">
        <f ca="1">VLOOKUP($L48,OFFSET([4]characters!$A$1,0,0,COUNTA([4]characters!$A:$A),MATCH(O$1,[4]characters!$1:$1,0)-MATCH($L$1,[4]characters!$1:$1,0)+1),MATCH(O$1,[4]characters!$1:$1,0)-MATCH($L$1,[4]characters!$1:$1,0)+1,FALSE)</f>
        <v>Material</v>
      </c>
      <c r="P48" s="17" t="str">
        <f ca="1">VLOOKUP($L48,OFFSET([3]enemies!$A$1,0,0,COUNTA([3]enemies!$A:$A),MATCH(P$1,[3]enemies!$1:$1,0)-MATCH($L$1,[3]enemies!$1:$1,0)+1),MATCH(P$1,[3]enemies!$1:$1,0)-MATCH($L$1,[3]enemies!$1:$1,0)+1,FALSE)</f>
        <v>unknown</v>
      </c>
      <c r="Q48" s="17">
        <f ca="1">VLOOKUP($L48,OFFSET([3]enemies!$A$1,0,0,COUNTA([3]enemies!$A:$A),MATCH(Q$1,[3]enemies!$1:$1,0)-MATCH($L$1,[3]enemies!$1:$1,0)+1),MATCH(Q$1,[3]enemies!$1:$1,0)-MATCH($L$1,[3]enemies!$1:$1,0)+1,FALSE)</f>
        <v>20</v>
      </c>
      <c r="R48" s="121">
        <v>10</v>
      </c>
      <c r="S48" s="185">
        <v>1</v>
      </c>
      <c r="T48" s="185">
        <v>1</v>
      </c>
      <c r="U48" s="121">
        <v>0</v>
      </c>
      <c r="V48" s="17" t="e">
        <f ca="1">VLOOKUP($W48,OFFSET(enemy_skill_sets!$B$1,0,0,COUNTA(enemy_skill_sets!$B:$B),MATCH(M$1,enemy_skill_sets!$1:$1,0)-MATCH($W$1,enemy_skill_sets!$1:$1,0)+2),MATCH(M$1,enemy_skill_sets!$1:$1,0)-MATCH($W$1,enemy_skill_sets!$1:$1,0)+2,FALSE)</f>
        <v>#N/A</v>
      </c>
      <c r="W48" s="154">
        <f ca="1">VLOOKUP($L48,OFFSET([3]enemies!$A$1,0,0,COUNTA([3]enemies!$A:$A),MATCH(W$1,[3]enemies!$1:$1,0)-MATCH($L$1,[3]enemies!$1:$1,0)+1),MATCH(W$1,[3]enemies!$1:$1,0)-MATCH($L$1,[3]enemies!$1:$1,0)+1,FALSE)</f>
        <v>0</v>
      </c>
      <c r="X48" s="6">
        <v>1</v>
      </c>
      <c r="Y48" s="61">
        <v>100</v>
      </c>
      <c r="Z48" s="6">
        <v>1</v>
      </c>
      <c r="AA48" s="17">
        <f ca="1">VLOOKUP($L48,OFFSET([3]enemies!$A$1,0,0,COUNTA([3]enemies!$A:$A),MATCH(AA$1,[3]enemies!$1:$1,0)-MATCH($L$1,[3]enemies!$1:$1,0)+1),MATCH(AA$1,[3]enemies!$1:$1,0)-MATCH($L$1,[3]enemies!$1:$1,0)+1,FALSE)</f>
        <v>4</v>
      </c>
      <c r="AB48" s="175">
        <f t="shared" si="13"/>
        <v>120</v>
      </c>
      <c r="AC48" s="17" t="str">
        <f ca="1">VLOOKUP($AB48,OFFSET([4]characters!$A$1,0,0,COUNTA([4]characters!$A:$A),MATCH(AC$1,[4]characters!$1:$1,0)-MATCH("character_id",[4]characters!$1:$1,0)+1),MATCH(AC$1,[4]characters!$1:$1,0)-MATCH("character_id",[4]characters!$1:$1,0)+1,FALSE)</f>
        <v>ゴールドキング</v>
      </c>
      <c r="AD48" s="17">
        <f ca="1">VLOOKUP($AB48,OFFSET([4]characters!$A$1,0,0,COUNTA([4]characters!$A:$A),MATCH(AD$1,[4]characters!$1:$1,0)-MATCH("character_id",[4]characters!$1:$1,0)+1),MATCH(AD$1,[4]characters!$1:$1,0)-MATCH("character_id",[4]characters!$1:$1,0)+1,FALSE)</f>
        <v>6</v>
      </c>
      <c r="AE48" s="17" t="str">
        <f ca="1">VLOOKUP($AB48,OFFSET([4]characters!$A$1,0,0,COUNTA([4]characters!$A:$A),MATCH(AE$1,[4]characters!$1:$1,0)-MATCH("character_id",[4]characters!$1:$1,0)+1),MATCH(AE$1,[4]characters!$1:$1,0)-MATCH("character_id",[4]characters!$1:$1,0)+1,FALSE)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8" s="125">
        <v>1</v>
      </c>
      <c r="AG48" s="175">
        <f t="shared" ca="1" si="14"/>
        <v>6</v>
      </c>
      <c r="AH48" s="61">
        <v>100</v>
      </c>
      <c r="AI48" s="125">
        <v>0</v>
      </c>
      <c r="AJ48" s="125">
        <v>0</v>
      </c>
      <c r="AK48" s="125">
        <v>0</v>
      </c>
      <c r="AL48" s="125">
        <v>0</v>
      </c>
      <c r="AM48" s="125">
        <v>1</v>
      </c>
      <c r="AN48" s="204">
        <v>1</v>
      </c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C48" s="172"/>
      <c r="BD48" s="172"/>
    </row>
    <row r="49" spans="1:56" s="61" customFormat="1" ht="21" customHeight="1" x14ac:dyDescent="0.15">
      <c r="A49" s="173" t="str">
        <f t="shared" ref="A49:A50" ca="1" si="55">B49&amp;"_"&amp;C49&amp;"-"&amp;G49&amp;"/"&amp;L49&amp;"&lt;lv"&amp;R49&amp;"&gt;s"&amp;AA49</f>
        <v>15027_4-5/342&lt;lv1&gt;s3</v>
      </c>
      <c r="B49" s="105">
        <v>15027</v>
      </c>
      <c r="C49" s="148">
        <v>4</v>
      </c>
      <c r="D49" s="14" t="str">
        <f t="shared" ref="D49:D50" si="56">B49&amp;"_"&amp;C49</f>
        <v>15027_4</v>
      </c>
      <c r="E49" s="17" t="str">
        <f ca="1">VLOOKUP($B49,OFFSET([2]quests!$A$1,0,0,COUNTA([2]quests!$A:$A),MATCH(E$1,[2]quests!$1:$1,0)-MATCH($B$1,[2]quests!$1:$1,0)+1),MATCH(E$1,[2]quests!$1:$1,0)-MATCH($B$1,[2]quests!$1:$1,0)+1,FALSE)</f>
        <v>27. 雷雨の登山道</v>
      </c>
      <c r="F49" s="17" t="str">
        <f ca="1">VLOOKUP($D49,OFFSET([2]stages!$A$1,0,0,COUNTA([2]stages!$A:$A),MATCH(F$1,[2]stages!$2:$2,0)-MATCH($D$1,[2]stages!$2:$2,0)+1),MATCH(F$1,[2]stages!$2:$2,0)-MATCH($D$1,[2]stages!$2:$2,0)+1,FALSE)</f>
        <v>27-4. 【1回のみ】ボーナスステージ</v>
      </c>
      <c r="G49" s="88">
        <v>5</v>
      </c>
      <c r="H49" s="14" t="str">
        <f t="shared" ref="H49:H50" si="57">B49&amp;"_"&amp;C49&amp;"-"&amp;G49</f>
        <v>15027_4-5</v>
      </c>
      <c r="I49" s="17">
        <f ca="1">VLOOKUP($H49,OFFSET(floors!$A$1,0,0,COUNTA(floors!$A:$A),MATCH(I$1,floors!$1:$1,0)-MATCH($H$1,floors!$1:$1,0)+1),MATCH(I$1,floors!$1:$1,0)-MATCH($H$1,floors!$1:$1,0)+1,FALSE)</f>
        <v>60</v>
      </c>
      <c r="J49" s="17">
        <f ca="1">VLOOKUP($H49,OFFSET(floors!$A$1,0,0,COUNTA(floors!$A:$A),MATCH(J$1,floors!$1:$1,0)-MATCH($H$1,floors!$1:$1,0)+1),MATCH(J$1,floors!$1:$1,0)-MATCH($H$1,floors!$1:$1,0)+1,FALSE)</f>
        <v>60</v>
      </c>
      <c r="K49" s="34" t="s">
        <v>53</v>
      </c>
      <c r="L49" s="115">
        <v>342</v>
      </c>
      <c r="M49" s="17" t="str">
        <f ca="1">VLOOKUP($L49,OFFSET([3]enemies!$A$1,0,0,COUNTA([3]enemies!$A:$A),MATCH(M$1,[3]enemies!$1:$1,0)-MATCH($L$1,[3]enemies!$1:$1,0)+1),MATCH(M$1,[3]enemies!$1:$1,0)-MATCH($L$1,[3]enemies!$1:$1,0)+1,FALSE)</f>
        <v>水のメタルダック</v>
      </c>
      <c r="N49" s="17" t="str">
        <f ca="1">VLOOKUP($L49,OFFSET([3]enemies!$A$1,0,0,COUNTA([3]enemies!$A:$A),MATCH(N$1,[3]enemies!$1:$1,0)-MATCH($L$1,[3]enemies!$1:$1,0)+1),MATCH(N$1,[3]enemies!$1:$1,0)-MATCH($L$1,[3]enemies!$1:$1,0)+1,FALSE)</f>
        <v>blue</v>
      </c>
      <c r="O49" s="17" t="str">
        <f ca="1">VLOOKUP($L49,OFFSET([4]characters!$A$1,0,0,COUNTA([4]characters!$A:$A),MATCH(O$1,[4]characters!$1:$1,0)-MATCH($L$1,[4]characters!$1:$1,0)+1),MATCH(O$1,[4]characters!$1:$1,0)-MATCH($L$1,[4]characters!$1:$1,0)+1,FALSE)</f>
        <v>Material</v>
      </c>
      <c r="P49" s="17" t="str">
        <f ca="1">VLOOKUP($L49,OFFSET([3]enemies!$A$1,0,0,COUNTA([3]enemies!$A:$A),MATCH(P$1,[3]enemies!$1:$1,0)-MATCH($L$1,[3]enemies!$1:$1,0)+1),MATCH(P$1,[3]enemies!$1:$1,0)-MATCH($L$1,[3]enemies!$1:$1,0)+1,FALSE)</f>
        <v>unknown</v>
      </c>
      <c r="Q49" s="17">
        <f ca="1">VLOOKUP($L49,OFFSET([3]enemies!$A$1,0,0,COUNTA([3]enemies!$A:$A),MATCH(Q$1,[3]enemies!$1:$1,0)-MATCH($L$1,[3]enemies!$1:$1,0)+1),MATCH(Q$1,[3]enemies!$1:$1,0)-MATCH($L$1,[3]enemies!$1:$1,0)+1,FALSE)</f>
        <v>20</v>
      </c>
      <c r="R49" s="121">
        <v>1</v>
      </c>
      <c r="S49" s="185">
        <v>1</v>
      </c>
      <c r="T49" s="185">
        <v>1</v>
      </c>
      <c r="U49" s="5">
        <v>-5000</v>
      </c>
      <c r="V49" s="17" t="e">
        <f ca="1">VLOOKUP($W49,OFFSET(enemy_skill_sets!$B$1,0,0,COUNTA(enemy_skill_sets!$B:$B),MATCH(M$1,enemy_skill_sets!$1:$1,0)-MATCH($W$1,enemy_skill_sets!$1:$1,0)+2),MATCH(M$1,enemy_skill_sets!$1:$1,0)-MATCH($W$1,enemy_skill_sets!$1:$1,0)+2,FALSE)</f>
        <v>#N/A</v>
      </c>
      <c r="W49" s="154">
        <f ca="1">VLOOKUP($L49,OFFSET([3]enemies!$A$1,0,0,COUNTA([3]enemies!$A:$A),MATCH(W$1,[3]enemies!$1:$1,0)-MATCH($L$1,[3]enemies!$1:$1,0)+1),MATCH(W$1,[3]enemies!$1:$1,0)-MATCH($L$1,[3]enemies!$1:$1,0)+1,FALSE)</f>
        <v>0</v>
      </c>
      <c r="X49" s="6">
        <v>1</v>
      </c>
      <c r="Y49" s="61">
        <v>100</v>
      </c>
      <c r="Z49" s="6">
        <v>0</v>
      </c>
      <c r="AA49" s="17">
        <f ca="1">VLOOKUP($L49,OFFSET([3]enemies!$A$1,0,0,COUNTA([3]enemies!$A:$A),MATCH(AA$1,[3]enemies!$1:$1,0)-MATCH($L$1,[3]enemies!$1:$1,0)+1),MATCH(AA$1,[3]enemies!$1:$1,0)-MATCH($L$1,[3]enemies!$1:$1,0)+1,FALSE)</f>
        <v>3</v>
      </c>
      <c r="AB49" s="175">
        <f t="shared" ref="AB49:AB50" si="58">L49</f>
        <v>342</v>
      </c>
      <c r="AC49" s="17" t="str">
        <f ca="1">VLOOKUP($AB49,OFFSET([4]characters!$A$1,0,0,COUNTA([4]characters!$A:$A),MATCH(AC$1,[4]characters!$1:$1,0)-MATCH("character_id",[4]characters!$1:$1,0)+1),MATCH(AC$1,[4]characters!$1:$1,0)-MATCH("character_id",[4]characters!$1:$1,0)+1,FALSE)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49" s="17">
        <f ca="1">VLOOKUP($AB49,OFFSET([4]characters!$A$1,0,0,COUNTA([4]characters!$A:$A),MATCH(AD$1,[4]characters!$1:$1,0)-MATCH("character_id",[4]characters!$1:$1,0)+1),MATCH(AD$1,[4]characters!$1:$1,0)-MATCH("character_id",[4]characters!$1:$1,0)+1,FALSE)</f>
        <v>5</v>
      </c>
      <c r="AE49" s="17" t="str">
        <f ca="1">VLOOKUP($AB49,OFFSET([4]characters!$A$1,0,0,COUNTA([4]characters!$A:$A),MATCH(AE$1,[4]characters!$1:$1,0)-MATCH("character_id",[4]characters!$1:$1,0)+1),MATCH(AE$1,[4]characters!$1:$1,0)-MATCH("character_id",[4]characters!$1:$1,0)+1,FALSE)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9" s="125">
        <v>1</v>
      </c>
      <c r="AG49" s="175">
        <f t="shared" ref="AG49:AG50" ca="1" si="59">AD49</f>
        <v>5</v>
      </c>
      <c r="AH49" s="61">
        <v>0</v>
      </c>
      <c r="AI49" s="125">
        <v>0</v>
      </c>
      <c r="AJ49" s="125">
        <v>0</v>
      </c>
      <c r="AK49" s="125">
        <v>0</v>
      </c>
      <c r="AL49" s="125">
        <v>0</v>
      </c>
      <c r="AM49" s="125">
        <v>1</v>
      </c>
      <c r="AN49" s="204">
        <v>1</v>
      </c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C49" s="172"/>
      <c r="BD49" s="172"/>
    </row>
    <row r="50" spans="1:56" s="194" customFormat="1" ht="21" customHeight="1" thickBot="1" x14ac:dyDescent="0.2">
      <c r="A50" s="188" t="str">
        <f t="shared" ca="1" si="55"/>
        <v>15027_4-5/346&lt;lv1&gt;s3</v>
      </c>
      <c r="B50" s="105">
        <v>15027</v>
      </c>
      <c r="C50" s="149">
        <v>4</v>
      </c>
      <c r="D50" s="159" t="str">
        <f t="shared" si="56"/>
        <v>15027_4</v>
      </c>
      <c r="E50" s="190" t="str">
        <f ca="1">VLOOKUP($B50,OFFSET([2]quests!$A$1,0,0,COUNTA([2]quests!$A:$A),MATCH(E$1,[2]quests!$1:$1,0)-MATCH($B$1,[2]quests!$1:$1,0)+1),MATCH(E$1,[2]quests!$1:$1,0)-MATCH($B$1,[2]quests!$1:$1,0)+1,FALSE)</f>
        <v>27. 雷雨の登山道</v>
      </c>
      <c r="F50" s="190" t="str">
        <f ca="1">VLOOKUP($D50,OFFSET([2]stages!$A$1,0,0,COUNTA([2]stages!$A:$A),MATCH(F$1,[2]stages!$2:$2,0)-MATCH($D$1,[2]stages!$2:$2,0)+1),MATCH(F$1,[2]stages!$2:$2,0)-MATCH($D$1,[2]stages!$2:$2,0)+1,FALSE)</f>
        <v>27-4. 【1回のみ】ボーナスステージ</v>
      </c>
      <c r="G50" s="89">
        <v>5</v>
      </c>
      <c r="H50" s="159" t="str">
        <f t="shared" si="57"/>
        <v>15027_4-5</v>
      </c>
      <c r="I50" s="190">
        <f ca="1">VLOOKUP($H50,OFFSET(floors!$A$1,0,0,COUNTA(floors!$A:$A),MATCH(I$1,floors!$1:$1,0)-MATCH($H$1,floors!$1:$1,0)+1),MATCH(I$1,floors!$1:$1,0)-MATCH($H$1,floors!$1:$1,0)+1,FALSE)</f>
        <v>60</v>
      </c>
      <c r="J50" s="190">
        <f ca="1">VLOOKUP($H50,OFFSET(floors!$A$1,0,0,COUNTA(floors!$A:$A),MATCH(J$1,floors!$1:$1,0)-MATCH($H$1,floors!$1:$1,0)+1),MATCH(J$1,floors!$1:$1,0)-MATCH($H$1,floors!$1:$1,0)+1,FALSE)</f>
        <v>60</v>
      </c>
      <c r="K50" s="95" t="s">
        <v>53</v>
      </c>
      <c r="L50" s="150">
        <v>346</v>
      </c>
      <c r="M50" s="191" t="str">
        <f ca="1">VLOOKUP($L50,OFFSET([3]enemies!$A$1,0,0,COUNTA([3]enemies!$A:$A),MATCH(M$1,[3]enemies!$1:$1,0)-MATCH($L$1,[3]enemies!$1:$1,0)+1),MATCH(M$1,[3]enemies!$1:$1,0)-MATCH($L$1,[3]enemies!$1:$1,0)+1,FALSE)</f>
        <v>雷のメタルダック</v>
      </c>
      <c r="N50" s="191" t="str">
        <f ca="1">VLOOKUP($L50,OFFSET([3]enemies!$A$1,0,0,COUNTA([3]enemies!$A:$A),MATCH(N$1,[3]enemies!$1:$1,0)-MATCH($L$1,[3]enemies!$1:$1,0)+1),MATCH(N$1,[3]enemies!$1:$1,0)-MATCH($L$1,[3]enemies!$1:$1,0)+1,FALSE)</f>
        <v>yellow</v>
      </c>
      <c r="O50" s="191" t="str">
        <f ca="1">VLOOKUP($L50,OFFSET([4]characters!$A$1,0,0,COUNTA([4]characters!$A:$A),MATCH(O$1,[4]characters!$1:$1,0)-MATCH($L$1,[4]characters!$1:$1,0)+1),MATCH(O$1,[4]characters!$1:$1,0)-MATCH($L$1,[4]characters!$1:$1,0)+1,FALSE)</f>
        <v>Material</v>
      </c>
      <c r="P50" s="191" t="str">
        <f ca="1">VLOOKUP($L50,OFFSET([3]enemies!$A$1,0,0,COUNTA([3]enemies!$A:$A),MATCH(P$1,[3]enemies!$1:$1,0)-MATCH($L$1,[3]enemies!$1:$1,0)+1),MATCH(P$1,[3]enemies!$1:$1,0)-MATCH($L$1,[3]enemies!$1:$1,0)+1,FALSE)</f>
        <v>unknown</v>
      </c>
      <c r="Q50" s="191">
        <f ca="1">VLOOKUP($L50,OFFSET([3]enemies!$A$1,0,0,COUNTA([3]enemies!$A:$A),MATCH(Q$1,[3]enemies!$1:$1,0)-MATCH($L$1,[3]enemies!$1:$1,0)+1),MATCH(Q$1,[3]enemies!$1:$1,0)-MATCH($L$1,[3]enemies!$1:$1,0)+1,FALSE)</f>
        <v>20</v>
      </c>
      <c r="R50" s="124">
        <v>1</v>
      </c>
      <c r="S50" s="123">
        <v>1</v>
      </c>
      <c r="T50" s="123">
        <v>1</v>
      </c>
      <c r="U50" s="5">
        <v>-5000</v>
      </c>
      <c r="V50" s="190" t="e">
        <f ca="1">VLOOKUP($W50,OFFSET(enemy_skill_sets!$B$1,0,0,COUNTA(enemy_skill_sets!$B:$B),MATCH(M$1,enemy_skill_sets!$1:$1,0)-MATCH($W$1,enemy_skill_sets!$1:$1,0)+2),MATCH(M$1,enemy_skill_sets!$1:$1,0)-MATCH($W$1,enemy_skill_sets!$1:$1,0)+2,FALSE)</f>
        <v>#N/A</v>
      </c>
      <c r="W50" s="200">
        <f ca="1">VLOOKUP($L50,OFFSET([3]enemies!$A$1,0,0,COUNTA([3]enemies!$A:$A),MATCH(W$1,[3]enemies!$1:$1,0)-MATCH($L$1,[3]enemies!$1:$1,0)+1),MATCH(W$1,[3]enemies!$1:$1,0)-MATCH($L$1,[3]enemies!$1:$1,0)+1,FALSE)</f>
        <v>0</v>
      </c>
      <c r="X50" s="195">
        <v>1</v>
      </c>
      <c r="Y50" s="195">
        <v>100</v>
      </c>
      <c r="Z50" s="195">
        <v>0</v>
      </c>
      <c r="AA50" s="191">
        <f ca="1">VLOOKUP($L50,OFFSET([3]enemies!$A$1,0,0,COUNTA([3]enemies!$A:$A),MATCH(AA$1,[3]enemies!$1:$1,0)-MATCH($L$1,[3]enemies!$1:$1,0)+1),MATCH(AA$1,[3]enemies!$1:$1,0)-MATCH($L$1,[3]enemies!$1:$1,0)+1,FALSE)</f>
        <v>3</v>
      </c>
      <c r="AB50" s="164">
        <f t="shared" si="58"/>
        <v>346</v>
      </c>
      <c r="AC50" s="190" t="str">
        <f ca="1">VLOOKUP($AB50,OFFSET([4]characters!$A$1,0,0,COUNTA([4]characters!$A:$A),MATCH(AC$1,[4]characters!$1:$1,0)-MATCH("character_id",[4]characters!$1:$1,0)+1),MATCH(AC$1,[4]characters!$1:$1,0)-MATCH("character_id",[4]characters!$1:$1,0)+1,FALSE)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50" s="190">
        <f ca="1">VLOOKUP($AB50,OFFSET([4]characters!$A$1,0,0,COUNTA([4]characters!$A:$A),MATCH(AD$1,[4]characters!$1:$1,0)-MATCH("character_id",[4]characters!$1:$1,0)+1),MATCH(AD$1,[4]characters!$1:$1,0)-MATCH("character_id",[4]characters!$1:$1,0)+1,FALSE)</f>
        <v>5</v>
      </c>
      <c r="AE50" s="190" t="str">
        <f ca="1">VLOOKUP($AB50,OFFSET([4]characters!$A$1,0,0,COUNTA([4]characters!$A:$A),MATCH(AE$1,[4]characters!$1:$1,0)-MATCH("character_id",[4]characters!$1:$1,0)+1),MATCH(AE$1,[4]characters!$1:$1,0)-MATCH("character_id",[4]characters!$1:$1,0)+1,FALSE)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0" s="125">
        <v>1</v>
      </c>
      <c r="AG50" s="164">
        <f t="shared" ca="1" si="59"/>
        <v>5</v>
      </c>
      <c r="AH50" s="132">
        <v>0</v>
      </c>
      <c r="AI50" s="125">
        <v>0</v>
      </c>
      <c r="AJ50" s="125">
        <v>0</v>
      </c>
      <c r="AK50" s="125">
        <v>0</v>
      </c>
      <c r="AL50" s="125">
        <v>0</v>
      </c>
      <c r="AM50" s="125">
        <v>1</v>
      </c>
      <c r="AN50" s="204">
        <v>1</v>
      </c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C50" s="172"/>
      <c r="BD50" s="172"/>
    </row>
    <row r="135" spans="32:32" ht="21" customHeight="1" x14ac:dyDescent="0.15">
      <c r="AF135" s="10" t="s">
        <v>214</v>
      </c>
    </row>
  </sheetData>
  <sheetProtection selectLockedCells="1" selectUnlockedCells="1"/>
  <autoFilter ref="B1:AH50"/>
  <phoneticPr fontId="6"/>
  <conditionalFormatting sqref="W1:W1048576">
    <cfRule type="cellIs" dxfId="16" priority="1" operator="notEqual">
      <formula>0</formula>
    </cfRule>
  </conditionalFormatting>
  <pageMargins left="0.74791666666666667" right="0.74791666666666667" top="0.98402777777777772" bottom="0.98402777777777772" header="0.51180555555555551" footer="0.51180555555555551"/>
  <pageSetup paperSize="9"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"/>
  <sheetViews>
    <sheetView showGridLines="0" zoomScale="75" zoomScaleNormal="75" zoomScalePageLayoutView="75" workbookViewId="0">
      <selection activeCell="A35" sqref="A35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/>
    <col min="4" max="4" width="13" style="13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1" customFormat="1" ht="21" customHeight="1" x14ac:dyDescent="0.15">
      <c r="A1" s="23" t="s">
        <v>29</v>
      </c>
      <c r="B1" s="24" t="s">
        <v>0</v>
      </c>
      <c r="C1" s="24" t="s">
        <v>1</v>
      </c>
      <c r="D1" s="25" t="s">
        <v>28</v>
      </c>
      <c r="E1" s="26" t="s">
        <v>16</v>
      </c>
      <c r="F1" s="26" t="s">
        <v>16</v>
      </c>
      <c r="G1" s="24" t="s">
        <v>19</v>
      </c>
      <c r="H1" s="25" t="s">
        <v>30</v>
      </c>
      <c r="I1" s="25" t="s">
        <v>14</v>
      </c>
      <c r="J1" s="25" t="s">
        <v>15</v>
      </c>
      <c r="K1" s="32" t="s">
        <v>54</v>
      </c>
      <c r="L1" s="32" t="s">
        <v>55</v>
      </c>
      <c r="M1" s="33" t="s">
        <v>2</v>
      </c>
      <c r="N1" s="27" t="s">
        <v>16</v>
      </c>
      <c r="O1" s="25" t="s">
        <v>24</v>
      </c>
      <c r="P1" s="25" t="s">
        <v>23</v>
      </c>
      <c r="Q1" s="28" t="s">
        <v>26</v>
      </c>
      <c r="R1" s="26" t="s">
        <v>25</v>
      </c>
      <c r="S1" s="24" t="s">
        <v>3</v>
      </c>
      <c r="T1" s="22" t="s">
        <v>48</v>
      </c>
      <c r="U1" s="22" t="s">
        <v>50</v>
      </c>
      <c r="V1" s="22" t="s">
        <v>52</v>
      </c>
      <c r="W1" s="24" t="s">
        <v>130</v>
      </c>
      <c r="X1" s="25" t="s">
        <v>129</v>
      </c>
      <c r="Y1" s="24" t="s">
        <v>8</v>
      </c>
    </row>
    <row r="2" spans="1:25" ht="21" customHeight="1" x14ac:dyDescent="0.15">
      <c r="A2" s="15" t="str">
        <f>B2&amp;"_"&amp;C2&amp;"-"&amp;G2&amp;"/"&amp;M2&amp;"&lt;lv"&amp;S2&amp;"&gt;sq"&amp;K2&amp;"st"&amp;L2</f>
        <v>15027_3-4/480&lt;lv61&gt;sq1st2</v>
      </c>
      <c r="B2" s="125">
        <v>15027</v>
      </c>
      <c r="C2" s="106">
        <v>3</v>
      </c>
      <c r="D2" s="2" t="str">
        <f>B2&amp;"_"&amp;C2</f>
        <v>15027_3</v>
      </c>
      <c r="E2" s="4" t="str">
        <f ca="1">VLOOKUP($B2,OFFSET([2]quests!$A$1,0,0,COUNTA([2]quests!$A:$A),MATCH(E$1,[2]quests!$1:$1,0)-MATCH($B$1,[2]quests!$1:$1,0)+1),MATCH(E$1,[2]quests!$1:$1,0)-MATCH($B$1,[2]quests!$1:$1,0)+1,FALSE)</f>
        <v>27. 雷雨の登山道</v>
      </c>
      <c r="F2" s="4" t="str">
        <f ca="1">VLOOKUP($D2,OFFSET([2]stages!$A$1,0,0,COUNTA([2]stages!$A:$A),MATCH(F$1,[2]stages!$2:$2,0)-MATCH($D$1,[2]stages!$2:$2,0)+1),MATCH(F$1,[2]stages!$2:$2,0)-MATCH($D$1,[2]stages!$2:$2,0)+1,FALSE)</f>
        <v>27-3. 山岳の王者</v>
      </c>
      <c r="G2" s="148">
        <v>4</v>
      </c>
      <c r="H2" s="14" t="str">
        <f>B2&amp;"_"&amp;C2&amp;"-"&amp;G2</f>
        <v>15027_3-4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4">
        <v>1</v>
      </c>
      <c r="L2" s="34">
        <v>2</v>
      </c>
      <c r="M2" s="115">
        <v>480</v>
      </c>
      <c r="N2" s="16" t="str">
        <f ca="1">VLOOKUP($M2,OFFSET([3]enemies!$A$1,0,0,COUNTA([3]enemies!$A:$A),MATCH(N$1,[3]enemies!$1:$1,0)-MATCH($M$1,[3]enemies!$1:$1,0)+1),MATCH(N$1,[3]enemies!$1:$1,0)-MATCH($M$1,[3]enemies!$1:$1,0)+1,FALSE)</f>
        <v>夢幻の愚者フール</v>
      </c>
      <c r="O2" s="16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61</v>
      </c>
      <c r="T2" s="21">
        <v>2.5</v>
      </c>
      <c r="U2" s="21">
        <v>1</v>
      </c>
      <c r="V2" s="5">
        <v>0</v>
      </c>
      <c r="W2" s="4" t="str">
        <f ca="1">VLOOKUP($X2,OFFSET(enemy_skill_sets!$B$1,0,0,COUNTA(enemy_skill_sets!$B:$B),MATCH(N$1,enemy_skill_sets!$1:$1,0)-MATCH($X$1,enemy_skill_sets!$1:$1,0)+2),MATCH(N$1,enemy_skill_sets!$1:$1,0)-MATCH($X$1,enemy_skill_sets!$1:$1,0)+2,FALSE)</f>
        <v>青パネルを時限式パネルに変換＋攻撃</v>
      </c>
      <c r="X2" s="133">
        <v>15027014</v>
      </c>
      <c r="Y2" s="147">
        <v>2</v>
      </c>
    </row>
  </sheetData>
  <sheetProtection selectLockedCells="1" selectUnlockedCells="1"/>
  <autoFilter ref="B1:Y2"/>
  <phoneticPr fontId="6"/>
  <pageMargins left="0.74791666666666667" right="0.74791666666666667" top="0.98402777777777772" bottom="0.98402777777777772" header="0.51180555555555551" footer="0.51180555555555551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7"/>
  <sheetViews>
    <sheetView showGridLines="0" topLeftCell="A22" workbookViewId="0">
      <selection activeCell="B27" sqref="B27"/>
    </sheetView>
  </sheetViews>
  <sheetFormatPr baseColWidth="12" defaultColWidth="12.83203125" defaultRowHeight="16" outlineLevelCol="1" x14ac:dyDescent="0.15"/>
  <cols>
    <col min="1" max="1" width="12.83203125" style="211"/>
    <col min="2" max="2" width="88.5" style="211" customWidth="1"/>
    <col min="3" max="4" width="12.83203125" style="211"/>
    <col min="5" max="5" width="23.6640625" style="211" bestFit="1" customWidth="1"/>
    <col min="6" max="6" width="44.1640625" style="211" bestFit="1" customWidth="1"/>
    <col min="7" max="7" width="52" style="211" hidden="1" customWidth="1" outlineLevel="1"/>
    <col min="8" max="8" width="18.33203125" style="211" hidden="1" customWidth="1" outlineLevel="1"/>
    <col min="9" max="11" width="18.6640625" style="211" hidden="1" customWidth="1" outlineLevel="1"/>
    <col min="12" max="12" width="23.6640625" style="211" customWidth="1" collapsed="1"/>
    <col min="13" max="18" width="23.6640625" style="211" hidden="1" customWidth="1" outlineLevel="1"/>
    <col min="19" max="19" width="23.6640625" style="211" customWidth="1" collapsed="1"/>
    <col min="20" max="24" width="23.6640625" style="211" hidden="1" customWidth="1" outlineLevel="1"/>
    <col min="25" max="25" width="23.6640625" style="211" customWidth="1" collapsed="1"/>
    <col min="26" max="27" width="12.83203125" style="211"/>
    <col min="28" max="28" width="44.5" style="211" customWidth="1"/>
    <col min="29" max="16384" width="12.83203125" style="211"/>
  </cols>
  <sheetData>
    <row r="1" spans="1:28" x14ac:dyDescent="0.15">
      <c r="A1" s="209" t="s">
        <v>79</v>
      </c>
      <c r="B1" s="209" t="s">
        <v>80</v>
      </c>
      <c r="C1" s="209" t="s">
        <v>81</v>
      </c>
      <c r="D1" s="209" t="s">
        <v>127</v>
      </c>
      <c r="E1" s="209" t="s">
        <v>82</v>
      </c>
      <c r="F1" s="209" t="s">
        <v>83</v>
      </c>
      <c r="G1" s="210" t="s">
        <v>133</v>
      </c>
      <c r="H1" s="210" t="s">
        <v>139</v>
      </c>
      <c r="I1" s="210" t="s">
        <v>141</v>
      </c>
      <c r="J1" s="210" t="s">
        <v>140</v>
      </c>
      <c r="K1" s="210" t="s">
        <v>142</v>
      </c>
      <c r="L1" s="210" t="s">
        <v>134</v>
      </c>
      <c r="M1" s="210" t="s">
        <v>132</v>
      </c>
      <c r="N1" s="210" t="s">
        <v>135</v>
      </c>
      <c r="O1" s="210" t="s">
        <v>143</v>
      </c>
      <c r="P1" s="210" t="s">
        <v>144</v>
      </c>
      <c r="Q1" s="210" t="s">
        <v>145</v>
      </c>
      <c r="R1" s="210" t="s">
        <v>146</v>
      </c>
      <c r="S1" s="210" t="s">
        <v>136</v>
      </c>
      <c r="T1" s="210" t="s">
        <v>137</v>
      </c>
      <c r="U1" s="210" t="s">
        <v>147</v>
      </c>
      <c r="V1" s="210" t="s">
        <v>148</v>
      </c>
      <c r="W1" s="210" t="s">
        <v>149</v>
      </c>
      <c r="X1" s="210" t="s">
        <v>150</v>
      </c>
      <c r="Y1" s="210" t="s">
        <v>138</v>
      </c>
      <c r="Z1" s="210" t="s">
        <v>76</v>
      </c>
      <c r="AA1" s="210" t="s">
        <v>77</v>
      </c>
      <c r="AB1" s="210" t="s">
        <v>78</v>
      </c>
    </row>
    <row r="2" spans="1:28" x14ac:dyDescent="0.15">
      <c r="A2" s="212">
        <v>15027001</v>
      </c>
      <c r="B2" s="213" t="s">
        <v>242</v>
      </c>
      <c r="C2" s="214">
        <v>3</v>
      </c>
      <c r="D2" s="214" t="s">
        <v>128</v>
      </c>
      <c r="E2" s="213" t="s">
        <v>282</v>
      </c>
      <c r="F2" s="213" t="s">
        <v>268</v>
      </c>
      <c r="G2" s="215" t="str">
        <f t="shared" ref="G2:G17" si="0">IFERROR(LEFT(B2,FIND("],",B2)),B2)</f>
        <v>[effect:dark, target:unit_all, turn:8, animation:enemy_dark]</v>
      </c>
      <c r="H2" s="215">
        <f t="shared" ref="H2:H26" si="1">FIND("effect:",G2)+7</f>
        <v>9</v>
      </c>
      <c r="I2" s="215">
        <f t="shared" ref="I2:I17" si="2">IFERROR(FIND(",",G2),LEN(G2))</f>
        <v>13</v>
      </c>
      <c r="J2" s="215">
        <f t="shared" ref="J2:J17" si="3">FIND("target:",G2)+7</f>
        <v>22</v>
      </c>
      <c r="K2" s="215">
        <f t="shared" ref="K2:K17" si="4">FIND(",",G2,I2+1)</f>
        <v>30</v>
      </c>
      <c r="L2" s="215" t="str">
        <f>IFERROR(VLOOKUP(MID(G2,J2,K2-J2),[5]skilldef!$C:$D,2,FALSE),"-") &amp; " / " &amp; IFERROR(VLOOKUP(MID(G2,H2,I2-H2),[5]skilldef!$A:$B,2,FALSE),"-")</f>
        <v>味方全体に / 暗黒</v>
      </c>
      <c r="M2" s="215" t="str">
        <f t="shared" ref="M2:M17" si="5">IFERROR(RIGHT(B2,LEN(B2)-FIND("],",B2)-1),"none")</f>
        <v>none</v>
      </c>
      <c r="N2" s="210" t="str">
        <f>IFERROR(LEFT(M2,FIND("],",M2)+#REF!),M2)</f>
        <v>none</v>
      </c>
      <c r="O2" s="215" t="e">
        <f t="shared" ref="O2:O26" si="6">FIND("effect:",N2)+7</f>
        <v>#VALUE!</v>
      </c>
      <c r="P2" s="215">
        <f t="shared" ref="P2:P17" si="7">IFERROR(FIND(",",N2),LEN(N2))</f>
        <v>4</v>
      </c>
      <c r="Q2" s="215" t="e">
        <f t="shared" ref="Q2:Q17" si="8">FIND("target:",N2)+7</f>
        <v>#VALUE!</v>
      </c>
      <c r="R2" s="215" t="e">
        <f t="shared" ref="R2:R17" si="9">FIND(",",N2,P2+1)</f>
        <v>#VALUE!</v>
      </c>
      <c r="S2" s="215" t="str">
        <f>IFERROR(VLOOKUP(MID(N2,Q2,R2-Q2),[5]skilldef!$C:$D,2,FALSE),"-") &amp; " / " &amp; IFERROR(VLOOKUP(MID(N2,O2,P2-O2),[5]skilldef!$A:$B,2,FALSE),"-")</f>
        <v>- / -</v>
      </c>
      <c r="T2" s="210" t="str">
        <f t="shared" ref="T2:T17" si="10">IFERROR(RIGHT(M2,LEN(M2)-FIND("],",M2)-1),"none")</f>
        <v>none</v>
      </c>
      <c r="U2" s="215" t="e">
        <f t="shared" ref="U2:U26" si="11">FIND("effect:",T2)+7</f>
        <v>#VALUE!</v>
      </c>
      <c r="V2" s="215">
        <f t="shared" ref="V2:V17" si="12">IFERROR(FIND(",",T2),LEN(T2))</f>
        <v>4</v>
      </c>
      <c r="W2" s="215" t="e">
        <f t="shared" ref="W2:W17" si="13">FIND("target:",T2)+7</f>
        <v>#VALUE!</v>
      </c>
      <c r="X2" s="215" t="e">
        <f t="shared" ref="X2:X17" si="14">FIND(",",T2,V2+1)</f>
        <v>#VALUE!</v>
      </c>
      <c r="Y2" s="215" t="str">
        <f>IFERROR(VLOOKUP(MID(T2,W2,X2-W2),[5]skilldef!$C:$D,2,FALSE),"-") &amp; " / " &amp; IFERROR(VLOOKUP(MID(T2,U2,V2-U2),[5]skilldef!$A:$B,2,FALSE),"-")</f>
        <v>- / -</v>
      </c>
      <c r="Z2" s="214"/>
      <c r="AA2" s="216"/>
      <c r="AB2" s="214"/>
    </row>
    <row r="3" spans="1:28" ht="32" x14ac:dyDescent="0.15">
      <c r="A3" s="212">
        <v>15027002</v>
      </c>
      <c r="B3" s="213" t="s">
        <v>243</v>
      </c>
      <c r="C3" s="214">
        <v>3</v>
      </c>
      <c r="D3" s="214" t="s">
        <v>128</v>
      </c>
      <c r="E3" s="213" t="s">
        <v>283</v>
      </c>
      <c r="F3" s="213" t="s">
        <v>269</v>
      </c>
      <c r="G3" s="215" t="str">
        <f t="shared" si="0"/>
        <v>[effect:damage_anti_abnormal, target:unit_all, target_effect01:dark, val1:0.8, val2:0.2]</v>
      </c>
      <c r="H3" s="215">
        <f t="shared" si="1"/>
        <v>9</v>
      </c>
      <c r="I3" s="215">
        <f t="shared" si="2"/>
        <v>29</v>
      </c>
      <c r="J3" s="215">
        <f t="shared" si="3"/>
        <v>38</v>
      </c>
      <c r="K3" s="215">
        <f t="shared" si="4"/>
        <v>46</v>
      </c>
      <c r="L3" s="215" t="str">
        <f>IFERROR(VLOOKUP(MID(G3,J3,K3-J3),[5]skilldef!$C:$D,2,FALSE),"-") &amp; " / " &amp; IFERROR(VLOOKUP(MID(G3,H3,I3-H3),[5]skilldef!$A:$B,2,FALSE),"-")</f>
        <v>味方全体に / -</v>
      </c>
      <c r="M3" s="215" t="str">
        <f t="shared" si="5"/>
        <v>none</v>
      </c>
      <c r="N3" s="210" t="str">
        <f>IFERROR(LEFT(M3,FIND("],",M3)+#REF!),M3)</f>
        <v>none</v>
      </c>
      <c r="O3" s="215" t="e">
        <f t="shared" si="6"/>
        <v>#VALUE!</v>
      </c>
      <c r="P3" s="215">
        <f t="shared" si="7"/>
        <v>4</v>
      </c>
      <c r="Q3" s="215" t="e">
        <f t="shared" si="8"/>
        <v>#VALUE!</v>
      </c>
      <c r="R3" s="215" t="e">
        <f t="shared" si="9"/>
        <v>#VALUE!</v>
      </c>
      <c r="S3" s="215" t="str">
        <f>IFERROR(VLOOKUP(MID(N3,Q3,R3-Q3),[5]skilldef!$C:$D,2,FALSE),"-") &amp; " / " &amp; IFERROR(VLOOKUP(MID(N3,O3,P3-O3),[5]skilldef!$A:$B,2,FALSE),"-")</f>
        <v>- / -</v>
      </c>
      <c r="T3" s="210" t="str">
        <f t="shared" si="10"/>
        <v>none</v>
      </c>
      <c r="U3" s="215" t="e">
        <f t="shared" si="11"/>
        <v>#VALUE!</v>
      </c>
      <c r="V3" s="215">
        <f t="shared" si="12"/>
        <v>4</v>
      </c>
      <c r="W3" s="215" t="e">
        <f t="shared" si="13"/>
        <v>#VALUE!</v>
      </c>
      <c r="X3" s="215" t="e">
        <f t="shared" si="14"/>
        <v>#VALUE!</v>
      </c>
      <c r="Y3" s="215" t="str">
        <f>IFERROR(VLOOKUP(MID(T3,W3,X3-W3),[5]skilldef!$C:$D,2,FALSE),"-") &amp; " / " &amp; IFERROR(VLOOKUP(MID(T3,U3,V3-U3),[5]skilldef!$A:$B,2,FALSE),"-")</f>
        <v>- / -</v>
      </c>
      <c r="Z3" s="214"/>
      <c r="AA3" s="216"/>
      <c r="AB3" s="214"/>
    </row>
    <row r="4" spans="1:28" ht="32" x14ac:dyDescent="0.15">
      <c r="A4" s="212">
        <v>15027003</v>
      </c>
      <c r="B4" s="213" t="s">
        <v>244</v>
      </c>
      <c r="C4" s="214">
        <v>3</v>
      </c>
      <c r="D4" s="214" t="s">
        <v>128</v>
      </c>
      <c r="E4" s="213" t="s">
        <v>284</v>
      </c>
      <c r="F4" s="213" t="s">
        <v>270</v>
      </c>
      <c r="G4" s="215" t="str">
        <f t="shared" ref="G4" si="15">IFERROR(LEFT(B4,FIND("],",B4)),B4)</f>
        <v>[effect:force_change_block, new_block:block_heart, target:block_all, count:20, val:0,animation:change_block]</v>
      </c>
      <c r="H4" s="215">
        <f t="shared" ref="H4" si="16">FIND("effect:",G4)+7</f>
        <v>9</v>
      </c>
      <c r="I4" s="215">
        <f t="shared" ref="I4" si="17">IFERROR(FIND(",",G4),LEN(G4))</f>
        <v>27</v>
      </c>
      <c r="J4" s="215">
        <f t="shared" ref="J4" si="18">FIND("target:",G4)+7</f>
        <v>59</v>
      </c>
      <c r="K4" s="215">
        <f t="shared" ref="K4" si="19">FIND(",",G4,I4+1)</f>
        <v>50</v>
      </c>
      <c r="L4" s="215" t="str">
        <f>IFERROR(VLOOKUP(MID(G4,J4,K4-J4),[5]skilldef!$C:$D,2,FALSE),"-") &amp; " / " &amp; IFERROR(VLOOKUP(MID(G4,H4,I4-H4),[5]skilldef!$A:$B,2,FALSE),"-")</f>
        <v>- / -</v>
      </c>
      <c r="M4" s="215" t="str">
        <f t="shared" ref="M4" si="20">IFERROR(RIGHT(B4,LEN(B4)-FIND("],",B4)-1),"none")</f>
        <v>none</v>
      </c>
      <c r="N4" s="210" t="str">
        <f>IFERROR(LEFT(M4,FIND("],",M4)+#REF!),M4)</f>
        <v>none</v>
      </c>
      <c r="O4" s="215" t="e">
        <f t="shared" ref="O4" si="21">FIND("effect:",N4)+7</f>
        <v>#VALUE!</v>
      </c>
      <c r="P4" s="215">
        <f t="shared" ref="P4" si="22">IFERROR(FIND(",",N4),LEN(N4))</f>
        <v>4</v>
      </c>
      <c r="Q4" s="215" t="e">
        <f t="shared" ref="Q4" si="23">FIND("target:",N4)+7</f>
        <v>#VALUE!</v>
      </c>
      <c r="R4" s="215" t="e">
        <f t="shared" ref="R4" si="24">FIND(",",N4,P4+1)</f>
        <v>#VALUE!</v>
      </c>
      <c r="S4" s="215" t="str">
        <f>IFERROR(VLOOKUP(MID(N4,Q4,R4-Q4),[5]skilldef!$C:$D,2,FALSE),"-") &amp; " / " &amp; IFERROR(VLOOKUP(MID(N4,O4,P4-O4),[5]skilldef!$A:$B,2,FALSE),"-")</f>
        <v>- / -</v>
      </c>
      <c r="T4" s="210" t="str">
        <f t="shared" ref="T4" si="25">IFERROR(RIGHT(M4,LEN(M4)-FIND("],",M4)-1),"none")</f>
        <v>none</v>
      </c>
      <c r="U4" s="215" t="e">
        <f t="shared" ref="U4" si="26">FIND("effect:",T4)+7</f>
        <v>#VALUE!</v>
      </c>
      <c r="V4" s="215">
        <f t="shared" ref="V4" si="27">IFERROR(FIND(",",T4),LEN(T4))</f>
        <v>4</v>
      </c>
      <c r="W4" s="215" t="e">
        <f t="shared" ref="W4" si="28">FIND("target:",T4)+7</f>
        <v>#VALUE!</v>
      </c>
      <c r="X4" s="215" t="e">
        <f t="shared" ref="X4" si="29">FIND(",",T4,V4+1)</f>
        <v>#VALUE!</v>
      </c>
      <c r="Y4" s="215" t="str">
        <f>IFERROR(VLOOKUP(MID(T4,W4,X4-W4),[5]skilldef!$C:$D,2,FALSE),"-") &amp; " / " &amp; IFERROR(VLOOKUP(MID(T4,U4,V4-U4),[5]skilldef!$A:$B,2,FALSE),"-")</f>
        <v>- / -</v>
      </c>
      <c r="Z4" s="214"/>
      <c r="AA4" s="216"/>
      <c r="AB4" s="214"/>
    </row>
    <row r="5" spans="1:28" ht="32" x14ac:dyDescent="0.15">
      <c r="A5" s="212">
        <v>15027004</v>
      </c>
      <c r="B5" s="213" t="s">
        <v>245</v>
      </c>
      <c r="C5" s="214">
        <v>3</v>
      </c>
      <c r="D5" s="214" t="s">
        <v>128</v>
      </c>
      <c r="E5" s="213" t="s">
        <v>285</v>
      </c>
      <c r="F5" s="213" t="s">
        <v>271</v>
      </c>
      <c r="G5" s="215" t="str">
        <f t="shared" ref="G5:G7" si="30">IFERROR(LEFT(B5,FIND("],",B5)),B5)</f>
        <v>[effect:remove_enhancement, target:unit_all, target_effect:all, target_type:debuff, count:-1, animation:frozen_wave]</v>
      </c>
      <c r="H5" s="215">
        <f t="shared" ref="H5:H7" si="31">FIND("effect:",G5)+7</f>
        <v>9</v>
      </c>
      <c r="I5" s="215">
        <f t="shared" ref="I5:I7" si="32">IFERROR(FIND(",",G5),LEN(G5))</f>
        <v>27</v>
      </c>
      <c r="J5" s="215">
        <f t="shared" ref="J5:J7" si="33">FIND("target:",G5)+7</f>
        <v>36</v>
      </c>
      <c r="K5" s="215">
        <f t="shared" ref="K5:K7" si="34">FIND(",",G5,I5+1)</f>
        <v>44</v>
      </c>
      <c r="L5" s="215" t="str">
        <f>IFERROR(VLOOKUP(MID(G5,J5,K5-J5),[5]skilldef!$C:$D,2,FALSE),"-") &amp; " / " &amp; IFERROR(VLOOKUP(MID(G5,H5,I5-H5),[5]skilldef!$A:$B,2,FALSE),"-")</f>
        <v>味方全体に / -</v>
      </c>
      <c r="M5" s="215" t="str">
        <f t="shared" ref="M5:M7" si="35">IFERROR(RIGHT(B5,LEN(B5)-FIND("],",B5)-1),"none")</f>
        <v>none</v>
      </c>
      <c r="N5" s="210" t="str">
        <f>IFERROR(LEFT(M5,FIND("],",M5)+#REF!),M5)</f>
        <v>none</v>
      </c>
      <c r="O5" s="215" t="e">
        <f t="shared" ref="O5:O7" si="36">FIND("effect:",N5)+7</f>
        <v>#VALUE!</v>
      </c>
      <c r="P5" s="215">
        <f t="shared" ref="P5:P7" si="37">IFERROR(FIND(",",N5),LEN(N5))</f>
        <v>4</v>
      </c>
      <c r="Q5" s="215" t="e">
        <f t="shared" ref="Q5:Q7" si="38">FIND("target:",N5)+7</f>
        <v>#VALUE!</v>
      </c>
      <c r="R5" s="215" t="e">
        <f t="shared" ref="R5:R7" si="39">FIND(",",N5,P5+1)</f>
        <v>#VALUE!</v>
      </c>
      <c r="S5" s="215" t="str">
        <f>IFERROR(VLOOKUP(MID(N5,Q5,R5-Q5),[5]skilldef!$C:$D,2,FALSE),"-") &amp; " / " &amp; IFERROR(VLOOKUP(MID(N5,O5,P5-O5),[5]skilldef!$A:$B,2,FALSE),"-")</f>
        <v>- / -</v>
      </c>
      <c r="T5" s="210" t="str">
        <f t="shared" ref="T5:T7" si="40">IFERROR(RIGHT(M5,LEN(M5)-FIND("],",M5)-1),"none")</f>
        <v>none</v>
      </c>
      <c r="U5" s="215" t="e">
        <f t="shared" ref="U5:U7" si="41">FIND("effect:",T5)+7</f>
        <v>#VALUE!</v>
      </c>
      <c r="V5" s="215">
        <f t="shared" ref="V5:V7" si="42">IFERROR(FIND(",",T5),LEN(T5))</f>
        <v>4</v>
      </c>
      <c r="W5" s="215" t="e">
        <f t="shared" ref="W5:W7" si="43">FIND("target:",T5)+7</f>
        <v>#VALUE!</v>
      </c>
      <c r="X5" s="215" t="e">
        <f t="shared" ref="X5:X7" si="44">FIND(",",T5,V5+1)</f>
        <v>#VALUE!</v>
      </c>
      <c r="Y5" s="215" t="str">
        <f>IFERROR(VLOOKUP(MID(T5,W5,X5-W5),[5]skilldef!$C:$D,2,FALSE),"-") &amp; " / " &amp; IFERROR(VLOOKUP(MID(T5,U5,V5-U5),[5]skilldef!$A:$B,2,FALSE),"-")</f>
        <v>- / -</v>
      </c>
      <c r="Z5" s="214"/>
      <c r="AA5" s="216"/>
      <c r="AB5" s="214"/>
    </row>
    <row r="6" spans="1:28" x14ac:dyDescent="0.15">
      <c r="A6" s="212">
        <v>15027005</v>
      </c>
      <c r="B6" s="213" t="s">
        <v>246</v>
      </c>
      <c r="C6" s="214">
        <v>3</v>
      </c>
      <c r="D6" s="214" t="s">
        <v>128</v>
      </c>
      <c r="E6" s="213" t="s">
        <v>286</v>
      </c>
      <c r="F6" s="213" t="s">
        <v>272</v>
      </c>
      <c r="G6" s="215" t="str">
        <f t="shared" si="30"/>
        <v>[effect:kamikaze, val:0.5]</v>
      </c>
      <c r="H6" s="215">
        <f t="shared" si="31"/>
        <v>9</v>
      </c>
      <c r="I6" s="215">
        <f t="shared" si="32"/>
        <v>17</v>
      </c>
      <c r="J6" s="215" t="e">
        <f t="shared" si="33"/>
        <v>#VALUE!</v>
      </c>
      <c r="K6" s="215" t="e">
        <f t="shared" si="34"/>
        <v>#VALUE!</v>
      </c>
      <c r="L6" s="215" t="str">
        <f>IFERROR(VLOOKUP(MID(G6,J6,K6-J6),[5]skilldef!$C:$D,2,FALSE),"-") &amp; " / " &amp; IFERROR(VLOOKUP(MID(G6,H6,I6-H6),[5]skilldef!$A:$B,2,FALSE),"-")</f>
        <v>- / 自爆</v>
      </c>
      <c r="M6" s="215" t="str">
        <f t="shared" si="35"/>
        <v>none</v>
      </c>
      <c r="N6" s="210" t="str">
        <f>IFERROR(LEFT(M6,FIND("],",M6)+#REF!),M6)</f>
        <v>none</v>
      </c>
      <c r="O6" s="215" t="e">
        <f t="shared" si="36"/>
        <v>#VALUE!</v>
      </c>
      <c r="P6" s="215">
        <f t="shared" si="37"/>
        <v>4</v>
      </c>
      <c r="Q6" s="215" t="e">
        <f t="shared" si="38"/>
        <v>#VALUE!</v>
      </c>
      <c r="R6" s="215" t="e">
        <f t="shared" si="39"/>
        <v>#VALUE!</v>
      </c>
      <c r="S6" s="215" t="str">
        <f>IFERROR(VLOOKUP(MID(N6,Q6,R6-Q6),[5]skilldef!$C:$D,2,FALSE),"-") &amp; " / " &amp; IFERROR(VLOOKUP(MID(N6,O6,P6-O6),[5]skilldef!$A:$B,2,FALSE),"-")</f>
        <v>- / -</v>
      </c>
      <c r="T6" s="210" t="str">
        <f t="shared" si="40"/>
        <v>none</v>
      </c>
      <c r="U6" s="215" t="e">
        <f t="shared" si="41"/>
        <v>#VALUE!</v>
      </c>
      <c r="V6" s="215">
        <f t="shared" si="42"/>
        <v>4</v>
      </c>
      <c r="W6" s="215" t="e">
        <f t="shared" si="43"/>
        <v>#VALUE!</v>
      </c>
      <c r="X6" s="215" t="e">
        <f t="shared" si="44"/>
        <v>#VALUE!</v>
      </c>
      <c r="Y6" s="215" t="str">
        <f>IFERROR(VLOOKUP(MID(T6,W6,X6-W6),[5]skilldef!$C:$D,2,FALSE),"-") &amp; " / " &amp; IFERROR(VLOOKUP(MID(T6,U6,V6-U6),[5]skilldef!$A:$B,2,FALSE),"-")</f>
        <v>- / -</v>
      </c>
      <c r="Z6" s="214"/>
      <c r="AA6" s="216"/>
      <c r="AB6" s="214"/>
    </row>
    <row r="7" spans="1:28" ht="128" x14ac:dyDescent="0.15">
      <c r="A7" s="212">
        <v>15027006</v>
      </c>
      <c r="B7" s="213" t="s">
        <v>247</v>
      </c>
      <c r="C7" s="214">
        <v>3</v>
      </c>
      <c r="D7" s="214" t="s">
        <v>128</v>
      </c>
      <c r="E7" s="213" t="s">
        <v>287</v>
      </c>
      <c r="F7" s="217" t="s">
        <v>322</v>
      </c>
      <c r="G7" s="215" t="str">
        <f t="shared" si="30"/>
        <v>[effect:remove_enhancement, target:unit_all, target_effect:all, target_type:debuff, count:-1, animation:frozen_wave]</v>
      </c>
      <c r="H7" s="215">
        <f t="shared" si="31"/>
        <v>9</v>
      </c>
      <c r="I7" s="215">
        <f t="shared" si="32"/>
        <v>27</v>
      </c>
      <c r="J7" s="215">
        <f t="shared" si="33"/>
        <v>36</v>
      </c>
      <c r="K7" s="215">
        <f t="shared" si="34"/>
        <v>44</v>
      </c>
      <c r="L7" s="215" t="str">
        <f>IFERROR(VLOOKUP(MID(G7,J7,K7-J7),[5]skilldef!$C:$D,2,FALSE),"-") &amp; " / " &amp; IFERROR(VLOOKUP(MID(G7,H7,I7-H7),[5]skilldef!$A:$B,2,FALSE),"-")</f>
        <v>味方全体に / -</v>
      </c>
      <c r="M7" s="215" t="str">
        <f t="shared" si="35"/>
        <v>[effect:suicide, val:1, dead_type:escape, target:myself, animation:enemy_suicide],[effect:force_change_block, new_block:block_heart, target:block_all, count:10, val:0,animation:change_block]</v>
      </c>
      <c r="N7" s="210" t="str">
        <f>IFERROR(LEFT(M7,FIND("],",M7)+#REF!),M7)</f>
        <v>[effect:suicide, val:1, dead_type:escape, target:myself, animation:enemy_suicide],[effect:force_change_block, new_block:block_heart, target:block_all, count:10, val:0,animation:change_block]</v>
      </c>
      <c r="O7" s="215">
        <f t="shared" si="36"/>
        <v>9</v>
      </c>
      <c r="P7" s="215">
        <f t="shared" si="37"/>
        <v>16</v>
      </c>
      <c r="Q7" s="215">
        <f t="shared" si="38"/>
        <v>50</v>
      </c>
      <c r="R7" s="215">
        <f t="shared" si="39"/>
        <v>23</v>
      </c>
      <c r="S7" s="215" t="str">
        <f>IFERROR(VLOOKUP(MID(N7,Q7,R7-Q7),[5]skilldef!$C:$D,2,FALSE),"-") &amp; " / " &amp; IFERROR(VLOOKUP(MID(N7,O7,P7-O7),[5]skilldef!$A:$B,2,FALSE),"-")</f>
        <v>- / -</v>
      </c>
      <c r="T7" s="210" t="str">
        <f t="shared" si="40"/>
        <v>[effect:force_change_block, new_block:block_heart, target:block_all, count:10, val:0,animation:change_block]</v>
      </c>
      <c r="U7" s="215">
        <f t="shared" si="41"/>
        <v>9</v>
      </c>
      <c r="V7" s="215">
        <f t="shared" si="42"/>
        <v>27</v>
      </c>
      <c r="W7" s="215">
        <f t="shared" si="43"/>
        <v>59</v>
      </c>
      <c r="X7" s="215">
        <f t="shared" si="44"/>
        <v>50</v>
      </c>
      <c r="Y7" s="215" t="str">
        <f>IFERROR(VLOOKUP(MID(T7,W7,X7-W7),[5]skilldef!$C:$D,2,FALSE),"-") &amp; " / " &amp; IFERROR(VLOOKUP(MID(T7,U7,V7-U7),[5]skilldef!$A:$B,2,FALSE),"-")</f>
        <v>- / -</v>
      </c>
      <c r="Z7" s="214"/>
      <c r="AA7" s="216"/>
      <c r="AB7" s="214"/>
    </row>
    <row r="8" spans="1:28" ht="32" x14ac:dyDescent="0.15">
      <c r="A8" s="212">
        <v>15027007</v>
      </c>
      <c r="B8" s="213" t="s">
        <v>248</v>
      </c>
      <c r="C8" s="214">
        <v>3</v>
      </c>
      <c r="D8" s="214" t="s">
        <v>128</v>
      </c>
      <c r="E8" s="213" t="s">
        <v>288</v>
      </c>
      <c r="F8" s="213" t="s">
        <v>267</v>
      </c>
      <c r="G8" s="215" t="str">
        <f t="shared" ref="G8" si="45">IFERROR(LEFT(B8,FIND("],",B8)),B8)</f>
        <v>[effect:damage_anti_color, target:unit_all, color:red, val1:1.5, val2:0.6]</v>
      </c>
      <c r="H8" s="215">
        <f t="shared" ref="H8" si="46">FIND("effect:",G8)+7</f>
        <v>9</v>
      </c>
      <c r="I8" s="215">
        <f t="shared" ref="I8" si="47">IFERROR(FIND(",",G8),LEN(G8))</f>
        <v>26</v>
      </c>
      <c r="J8" s="215">
        <f t="shared" ref="J8" si="48">FIND("target:",G8)+7</f>
        <v>35</v>
      </c>
      <c r="K8" s="215">
        <f t="shared" ref="K8" si="49">FIND(",",G8,I8+1)</f>
        <v>43</v>
      </c>
      <c r="L8" s="215" t="str">
        <f>IFERROR(VLOOKUP(MID(G8,J8,K8-J8),[5]skilldef!$C:$D,2,FALSE),"-") &amp; " / " &amp; IFERROR(VLOOKUP(MID(G8,H8,I8-H8),[5]skilldef!$A:$B,2,FALSE),"-")</f>
        <v>味方全体に / 属性キラー</v>
      </c>
      <c r="M8" s="215" t="str">
        <f t="shared" ref="M8" si="50">IFERROR(RIGHT(B8,LEN(B8)-FIND("],",B8)-1),"none")</f>
        <v>none</v>
      </c>
      <c r="N8" s="210" t="str">
        <f>IFERROR(LEFT(M8,FIND("],",M8)+#REF!),M8)</f>
        <v>none</v>
      </c>
      <c r="O8" s="215" t="e">
        <f t="shared" ref="O8" si="51">FIND("effect:",N8)+7</f>
        <v>#VALUE!</v>
      </c>
      <c r="P8" s="215">
        <f t="shared" ref="P8" si="52">IFERROR(FIND(",",N8),LEN(N8))</f>
        <v>4</v>
      </c>
      <c r="Q8" s="215" t="e">
        <f t="shared" ref="Q8" si="53">FIND("target:",N8)+7</f>
        <v>#VALUE!</v>
      </c>
      <c r="R8" s="215" t="e">
        <f t="shared" ref="R8" si="54">FIND(",",N8,P8+1)</f>
        <v>#VALUE!</v>
      </c>
      <c r="S8" s="215" t="str">
        <f>IFERROR(VLOOKUP(MID(N8,Q8,R8-Q8),[5]skilldef!$C:$D,2,FALSE),"-") &amp; " / " &amp; IFERROR(VLOOKUP(MID(N8,O8,P8-O8),[5]skilldef!$A:$B,2,FALSE),"-")</f>
        <v>- / -</v>
      </c>
      <c r="T8" s="210" t="str">
        <f t="shared" ref="T8" si="55">IFERROR(RIGHT(M8,LEN(M8)-FIND("],",M8)-1),"none")</f>
        <v>none</v>
      </c>
      <c r="U8" s="215" t="e">
        <f t="shared" ref="U8" si="56">FIND("effect:",T8)+7</f>
        <v>#VALUE!</v>
      </c>
      <c r="V8" s="215">
        <f t="shared" ref="V8" si="57">IFERROR(FIND(",",T8),LEN(T8))</f>
        <v>4</v>
      </c>
      <c r="W8" s="215" t="e">
        <f t="shared" ref="W8" si="58">FIND("target:",T8)+7</f>
        <v>#VALUE!</v>
      </c>
      <c r="X8" s="215" t="e">
        <f t="shared" ref="X8" si="59">FIND(",",T8,V8+1)</f>
        <v>#VALUE!</v>
      </c>
      <c r="Y8" s="215" t="str">
        <f>IFERROR(VLOOKUP(MID(T8,W8,X8-W8),[5]skilldef!$C:$D,2,FALSE),"-") &amp; " / " &amp; IFERROR(VLOOKUP(MID(T8,U8,V8-U8),[5]skilldef!$A:$B,2,FALSE),"-")</f>
        <v>- / -</v>
      </c>
      <c r="Z8" s="214"/>
      <c r="AA8" s="216"/>
      <c r="AB8" s="214"/>
    </row>
    <row r="9" spans="1:28" ht="32" x14ac:dyDescent="0.15">
      <c r="A9" s="212">
        <v>15027008</v>
      </c>
      <c r="B9" s="213" t="s">
        <v>249</v>
      </c>
      <c r="C9" s="214">
        <v>3</v>
      </c>
      <c r="D9" s="214" t="s">
        <v>128</v>
      </c>
      <c r="E9" s="213" t="s">
        <v>289</v>
      </c>
      <c r="F9" s="213" t="s">
        <v>266</v>
      </c>
      <c r="G9" s="215" t="str">
        <f t="shared" ref="G9" si="60">IFERROR(LEFT(B9,FIND("],",B9)),B9)</f>
        <v>[effect:damage_anti_color, target:unit_all, color:blue, val1:1.5, val2:0.6]</v>
      </c>
      <c r="H9" s="215">
        <f t="shared" ref="H9" si="61">FIND("effect:",G9)+7</f>
        <v>9</v>
      </c>
      <c r="I9" s="215">
        <f t="shared" ref="I9" si="62">IFERROR(FIND(",",G9),LEN(G9))</f>
        <v>26</v>
      </c>
      <c r="J9" s="215">
        <f t="shared" ref="J9" si="63">FIND("target:",G9)+7</f>
        <v>35</v>
      </c>
      <c r="K9" s="215">
        <f t="shared" ref="K9" si="64">FIND(",",G9,I9+1)</f>
        <v>43</v>
      </c>
      <c r="L9" s="215" t="str">
        <f>IFERROR(VLOOKUP(MID(G9,J9,K9-J9),[5]skilldef!$C:$D,2,FALSE),"-") &amp; " / " &amp; IFERROR(VLOOKUP(MID(G9,H9,I9-H9),[5]skilldef!$A:$B,2,FALSE),"-")</f>
        <v>味方全体に / 属性キラー</v>
      </c>
      <c r="M9" s="215" t="str">
        <f t="shared" ref="M9" si="65">IFERROR(RIGHT(B9,LEN(B9)-FIND("],",B9)-1),"none")</f>
        <v>none</v>
      </c>
      <c r="N9" s="210" t="str">
        <f>IFERROR(LEFT(M9,FIND("],",M9)+#REF!),M9)</f>
        <v>none</v>
      </c>
      <c r="O9" s="215" t="e">
        <f t="shared" ref="O9" si="66">FIND("effect:",N9)+7</f>
        <v>#VALUE!</v>
      </c>
      <c r="P9" s="215">
        <f t="shared" ref="P9" si="67">IFERROR(FIND(",",N9),LEN(N9))</f>
        <v>4</v>
      </c>
      <c r="Q9" s="215" t="e">
        <f t="shared" ref="Q9" si="68">FIND("target:",N9)+7</f>
        <v>#VALUE!</v>
      </c>
      <c r="R9" s="215" t="e">
        <f t="shared" ref="R9" si="69">FIND(",",N9,P9+1)</f>
        <v>#VALUE!</v>
      </c>
      <c r="S9" s="215" t="str">
        <f>IFERROR(VLOOKUP(MID(N9,Q9,R9-Q9),[5]skilldef!$C:$D,2,FALSE),"-") &amp; " / " &amp; IFERROR(VLOOKUP(MID(N9,O9,P9-O9),[5]skilldef!$A:$B,2,FALSE),"-")</f>
        <v>- / -</v>
      </c>
      <c r="T9" s="210" t="str">
        <f t="shared" ref="T9" si="70">IFERROR(RIGHT(M9,LEN(M9)-FIND("],",M9)-1),"none")</f>
        <v>none</v>
      </c>
      <c r="U9" s="215" t="e">
        <f t="shared" ref="U9" si="71">FIND("effect:",T9)+7</f>
        <v>#VALUE!</v>
      </c>
      <c r="V9" s="215">
        <f t="shared" ref="V9" si="72">IFERROR(FIND(",",T9),LEN(T9))</f>
        <v>4</v>
      </c>
      <c r="W9" s="215" t="e">
        <f t="shared" ref="W9" si="73">FIND("target:",T9)+7</f>
        <v>#VALUE!</v>
      </c>
      <c r="X9" s="215" t="e">
        <f t="shared" ref="X9" si="74">FIND(",",T9,V9+1)</f>
        <v>#VALUE!</v>
      </c>
      <c r="Y9" s="215" t="str">
        <f>IFERROR(VLOOKUP(MID(T9,W9,X9-W9),[5]skilldef!$C:$D,2,FALSE),"-") &amp; " / " &amp; IFERROR(VLOOKUP(MID(T9,U9,V9-U9),[5]skilldef!$A:$B,2,FALSE),"-")</f>
        <v>- / -</v>
      </c>
      <c r="Z9" s="214"/>
      <c r="AA9" s="216"/>
      <c r="AB9" s="214"/>
    </row>
    <row r="10" spans="1:28" x14ac:dyDescent="0.15">
      <c r="A10" s="212">
        <v>15027009</v>
      </c>
      <c r="B10" s="213" t="s">
        <v>250</v>
      </c>
      <c r="C10" s="214">
        <v>3</v>
      </c>
      <c r="D10" s="214" t="s">
        <v>128</v>
      </c>
      <c r="E10" s="213" t="s">
        <v>290</v>
      </c>
      <c r="F10" s="213" t="s">
        <v>273</v>
      </c>
      <c r="G10" s="215" t="str">
        <f t="shared" si="0"/>
        <v>[effect:sleep, target:unit_green, turn:5, rate:0.6, animation:sleep01]</v>
      </c>
      <c r="H10" s="215">
        <f t="shared" si="1"/>
        <v>9</v>
      </c>
      <c r="I10" s="215">
        <f t="shared" si="2"/>
        <v>14</v>
      </c>
      <c r="J10" s="215">
        <f t="shared" si="3"/>
        <v>23</v>
      </c>
      <c r="K10" s="215">
        <f t="shared" si="4"/>
        <v>33</v>
      </c>
      <c r="L10" s="215" t="str">
        <f>IFERROR(VLOOKUP(MID(G10,J10,K10-J10),[5]skilldef!$C:$D,2,FALSE),"-") &amp; " / " &amp; IFERROR(VLOOKUP(MID(G10,H10,I10-H10),[5]skilldef!$A:$B,2,FALSE),"-")</f>
        <v>緑の味方に / スリープ</v>
      </c>
      <c r="M10" s="215" t="str">
        <f t="shared" si="5"/>
        <v>none</v>
      </c>
      <c r="N10" s="210" t="str">
        <f>IFERROR(LEFT(M10,FIND("],",M10)+#REF!),M10)</f>
        <v>none</v>
      </c>
      <c r="O10" s="215" t="e">
        <f t="shared" si="6"/>
        <v>#VALUE!</v>
      </c>
      <c r="P10" s="215">
        <f t="shared" si="7"/>
        <v>4</v>
      </c>
      <c r="Q10" s="215" t="e">
        <f t="shared" si="8"/>
        <v>#VALUE!</v>
      </c>
      <c r="R10" s="215" t="e">
        <f t="shared" si="9"/>
        <v>#VALUE!</v>
      </c>
      <c r="S10" s="215" t="str">
        <f>IFERROR(VLOOKUP(MID(N10,Q10,R10-Q10),[5]skilldef!$C:$D,2,FALSE),"-") &amp; " / " &amp; IFERROR(VLOOKUP(MID(N10,O10,P10-O10),[5]skilldef!$A:$B,2,FALSE),"-")</f>
        <v>- / -</v>
      </c>
      <c r="T10" s="210" t="str">
        <f t="shared" si="10"/>
        <v>none</v>
      </c>
      <c r="U10" s="215" t="e">
        <f t="shared" si="11"/>
        <v>#VALUE!</v>
      </c>
      <c r="V10" s="215">
        <f t="shared" si="12"/>
        <v>4</v>
      </c>
      <c r="W10" s="215" t="e">
        <f t="shared" si="13"/>
        <v>#VALUE!</v>
      </c>
      <c r="X10" s="215" t="e">
        <f t="shared" si="14"/>
        <v>#VALUE!</v>
      </c>
      <c r="Y10" s="215" t="str">
        <f>IFERROR(VLOOKUP(MID(T10,W10,X10-W10),[5]skilldef!$C:$D,2,FALSE),"-") &amp; " / " &amp; IFERROR(VLOOKUP(MID(T10,U10,V10-U10),[5]skilldef!$A:$B,2,FALSE),"-")</f>
        <v>- / -</v>
      </c>
      <c r="Z10" s="214"/>
      <c r="AA10" s="216"/>
      <c r="AB10" s="214"/>
    </row>
    <row r="11" spans="1:28" ht="32" x14ac:dyDescent="0.15">
      <c r="A11" s="212">
        <v>15027010</v>
      </c>
      <c r="B11" s="213" t="s">
        <v>251</v>
      </c>
      <c r="C11" s="214">
        <v>3</v>
      </c>
      <c r="D11" s="214" t="s">
        <v>128</v>
      </c>
      <c r="E11" s="213" t="s">
        <v>291</v>
      </c>
      <c r="F11" s="213" t="s">
        <v>274</v>
      </c>
      <c r="G11" s="215" t="str">
        <f t="shared" si="0"/>
        <v>[effect:hungup, target:unit_all, turn:4, rate:0.7, animation:enemy_hungup]</v>
      </c>
      <c r="H11" s="215">
        <f t="shared" si="1"/>
        <v>9</v>
      </c>
      <c r="I11" s="215">
        <f t="shared" si="2"/>
        <v>15</v>
      </c>
      <c r="J11" s="215">
        <f t="shared" si="3"/>
        <v>24</v>
      </c>
      <c r="K11" s="215">
        <f t="shared" si="4"/>
        <v>32</v>
      </c>
      <c r="L11" s="215" t="str">
        <f>IFERROR(VLOOKUP(MID(G11,J11,K11-J11),[5]skilldef!$C:$D,2,FALSE),"-") &amp; " / " &amp; IFERROR(VLOOKUP(MID(G11,H11,I11-H11),[5]skilldef!$A:$B,2,FALSE),"-")</f>
        <v>味方全体に / ハングアップ</v>
      </c>
      <c r="M11" s="215" t="str">
        <f t="shared" si="5"/>
        <v>none</v>
      </c>
      <c r="N11" s="210" t="str">
        <f>IFERROR(LEFT(M11,FIND("],",M11)+#REF!),M11)</f>
        <v>none</v>
      </c>
      <c r="O11" s="215" t="e">
        <f t="shared" si="6"/>
        <v>#VALUE!</v>
      </c>
      <c r="P11" s="215">
        <f t="shared" si="7"/>
        <v>4</v>
      </c>
      <c r="Q11" s="215" t="e">
        <f t="shared" si="8"/>
        <v>#VALUE!</v>
      </c>
      <c r="R11" s="215" t="e">
        <f t="shared" si="9"/>
        <v>#VALUE!</v>
      </c>
      <c r="S11" s="215" t="str">
        <f>IFERROR(VLOOKUP(MID(N11,Q11,R11-Q11),[5]skilldef!$C:$D,2,FALSE),"-") &amp; " / " &amp; IFERROR(VLOOKUP(MID(N11,O11,P11-O11),[5]skilldef!$A:$B,2,FALSE),"-")</f>
        <v>- / -</v>
      </c>
      <c r="T11" s="210" t="str">
        <f t="shared" si="10"/>
        <v>none</v>
      </c>
      <c r="U11" s="215" t="e">
        <f t="shared" si="11"/>
        <v>#VALUE!</v>
      </c>
      <c r="V11" s="215">
        <f t="shared" si="12"/>
        <v>4</v>
      </c>
      <c r="W11" s="215" t="e">
        <f t="shared" si="13"/>
        <v>#VALUE!</v>
      </c>
      <c r="X11" s="215" t="e">
        <f t="shared" si="14"/>
        <v>#VALUE!</v>
      </c>
      <c r="Y11" s="215" t="str">
        <f>IFERROR(VLOOKUP(MID(T11,W11,X11-W11),[5]skilldef!$C:$D,2,FALSE),"-") &amp; " / " &amp; IFERROR(VLOOKUP(MID(T11,U11,V11-U11),[5]skilldef!$A:$B,2,FALSE),"-")</f>
        <v>- / -</v>
      </c>
      <c r="Z11" s="214"/>
      <c r="AA11" s="216"/>
      <c r="AB11" s="214"/>
    </row>
    <row r="12" spans="1:28" x14ac:dyDescent="0.15">
      <c r="A12" s="212">
        <v>15027011</v>
      </c>
      <c r="B12" s="213" t="s">
        <v>252</v>
      </c>
      <c r="C12" s="214">
        <v>3</v>
      </c>
      <c r="D12" s="214" t="s">
        <v>128</v>
      </c>
      <c r="E12" s="213" t="s">
        <v>292</v>
      </c>
      <c r="F12" s="213" t="s">
        <v>275</v>
      </c>
      <c r="G12" s="215" t="str">
        <f t="shared" si="0"/>
        <v>[effect:rush, count:3, val:0.6]</v>
      </c>
      <c r="H12" s="215">
        <f t="shared" si="1"/>
        <v>9</v>
      </c>
      <c r="I12" s="215">
        <f t="shared" si="2"/>
        <v>13</v>
      </c>
      <c r="J12" s="215" t="e">
        <f t="shared" si="3"/>
        <v>#VALUE!</v>
      </c>
      <c r="K12" s="215">
        <f t="shared" si="4"/>
        <v>22</v>
      </c>
      <c r="L12" s="215" t="str">
        <f>IFERROR(VLOOKUP(MID(G12,J12,K12-J12),[5]skilldef!$C:$D,2,FALSE),"-") &amp; " / " &amp; IFERROR(VLOOKUP(MID(G12,H12,I12-H12),[5]skilldef!$A:$B,2,FALSE),"-")</f>
        <v>- / 連続攻撃</v>
      </c>
      <c r="M12" s="215" t="str">
        <f t="shared" si="5"/>
        <v>none</v>
      </c>
      <c r="N12" s="210" t="str">
        <f>IFERROR(LEFT(M12,FIND("],",M12)+#REF!),M12)</f>
        <v>none</v>
      </c>
      <c r="O12" s="215" t="e">
        <f t="shared" si="6"/>
        <v>#VALUE!</v>
      </c>
      <c r="P12" s="215">
        <f t="shared" si="7"/>
        <v>4</v>
      </c>
      <c r="Q12" s="215" t="e">
        <f t="shared" si="8"/>
        <v>#VALUE!</v>
      </c>
      <c r="R12" s="215" t="e">
        <f t="shared" si="9"/>
        <v>#VALUE!</v>
      </c>
      <c r="S12" s="215" t="str">
        <f>IFERROR(VLOOKUP(MID(N12,Q12,R12-Q12),[5]skilldef!$C:$D,2,FALSE),"-") &amp; " / " &amp; IFERROR(VLOOKUP(MID(N12,O12,P12-O12),[5]skilldef!$A:$B,2,FALSE),"-")</f>
        <v>- / -</v>
      </c>
      <c r="T12" s="210" t="str">
        <f t="shared" si="10"/>
        <v>none</v>
      </c>
      <c r="U12" s="215" t="e">
        <f t="shared" si="11"/>
        <v>#VALUE!</v>
      </c>
      <c r="V12" s="215">
        <f t="shared" si="12"/>
        <v>4</v>
      </c>
      <c r="W12" s="215" t="e">
        <f t="shared" si="13"/>
        <v>#VALUE!</v>
      </c>
      <c r="X12" s="215" t="e">
        <f t="shared" si="14"/>
        <v>#VALUE!</v>
      </c>
      <c r="Y12" s="215" t="str">
        <f>IFERROR(VLOOKUP(MID(T12,W12,X12-W12),[5]skilldef!$C:$D,2,FALSE),"-") &amp; " / " &amp; IFERROR(VLOOKUP(MID(T12,U12,V12-U12),[5]skilldef!$A:$B,2,FALSE),"-")</f>
        <v>- / -</v>
      </c>
      <c r="Z12" s="214"/>
      <c r="AA12" s="216"/>
      <c r="AB12" s="214"/>
    </row>
    <row r="13" spans="1:28" ht="112" x14ac:dyDescent="0.15">
      <c r="A13" s="212">
        <v>15027012</v>
      </c>
      <c r="B13" s="213" t="s">
        <v>253</v>
      </c>
      <c r="C13" s="214">
        <v>3</v>
      </c>
      <c r="D13" s="214" t="s">
        <v>128</v>
      </c>
      <c r="E13" s="213" t="s">
        <v>293</v>
      </c>
      <c r="F13" s="217" t="s">
        <v>308</v>
      </c>
      <c r="G13" s="215" t="str">
        <f t="shared" si="0"/>
        <v>[effect:change_block, new_block:time_bomb, target:block_all, count:3, val:0.5, animation:change_block]</v>
      </c>
      <c r="H13" s="215">
        <f t="shared" si="1"/>
        <v>9</v>
      </c>
      <c r="I13" s="215">
        <f t="shared" si="2"/>
        <v>21</v>
      </c>
      <c r="J13" s="215">
        <f t="shared" si="3"/>
        <v>51</v>
      </c>
      <c r="K13" s="215">
        <f t="shared" si="4"/>
        <v>42</v>
      </c>
      <c r="L13" s="215" t="str">
        <f>IFERROR(VLOOKUP(MID(G13,J13,K13-J13),[5]skilldef!$C:$D,2,FALSE),"-") &amp; " / " &amp; IFERROR(VLOOKUP(MID(G13,H13,I13-H13),[5]skilldef!$A:$B,2,FALSE),"-")</f>
        <v>- / ブロック変換</v>
      </c>
      <c r="M13" s="215" t="str">
        <f t="shared" si="5"/>
        <v>[effect:change_block, new_block:block_heart, target:block_yellow, count:3, val:0, no_effect_msg:no_effect_msg_change_block_heal, animation:change_block]</v>
      </c>
      <c r="N13" s="210" t="str">
        <f>IFERROR(LEFT(M13,FIND("],",M13)+#REF!),M13)</f>
        <v>[effect:change_block, new_block:block_heart, target:block_yellow, count:3, val:0, no_effect_msg:no_effect_msg_change_block_heal, animation:change_block]</v>
      </c>
      <c r="O13" s="215">
        <f t="shared" si="6"/>
        <v>9</v>
      </c>
      <c r="P13" s="215">
        <f t="shared" si="7"/>
        <v>21</v>
      </c>
      <c r="Q13" s="215">
        <f t="shared" si="8"/>
        <v>53</v>
      </c>
      <c r="R13" s="215">
        <f t="shared" si="9"/>
        <v>44</v>
      </c>
      <c r="S13" s="215" t="str">
        <f>IFERROR(VLOOKUP(MID(N13,Q13,R13-Q13),[5]skilldef!$C:$D,2,FALSE),"-") &amp; " / " &amp; IFERROR(VLOOKUP(MID(N13,O13,P13-O13),[5]skilldef!$A:$B,2,FALSE),"-")</f>
        <v>- / ブロック変換</v>
      </c>
      <c r="T13" s="210" t="str">
        <f t="shared" si="10"/>
        <v>none</v>
      </c>
      <c r="U13" s="215" t="e">
        <f t="shared" si="11"/>
        <v>#VALUE!</v>
      </c>
      <c r="V13" s="215">
        <f t="shared" si="12"/>
        <v>4</v>
      </c>
      <c r="W13" s="215" t="e">
        <f t="shared" si="13"/>
        <v>#VALUE!</v>
      </c>
      <c r="X13" s="215" t="e">
        <f t="shared" si="14"/>
        <v>#VALUE!</v>
      </c>
      <c r="Y13" s="215" t="str">
        <f>IFERROR(VLOOKUP(MID(T13,W13,X13-W13),[5]skilldef!$C:$D,2,FALSE),"-") &amp; " / " &amp; IFERROR(VLOOKUP(MID(T13,U13,V13-U13),[5]skilldef!$A:$B,2,FALSE),"-")</f>
        <v>- / -</v>
      </c>
      <c r="Z13" s="214"/>
      <c r="AA13" s="216"/>
      <c r="AB13" s="214"/>
    </row>
    <row r="14" spans="1:28" x14ac:dyDescent="0.15">
      <c r="A14" s="212">
        <v>15027013</v>
      </c>
      <c r="B14" s="213" t="s">
        <v>254</v>
      </c>
      <c r="C14" s="214">
        <v>3</v>
      </c>
      <c r="D14" s="214" t="s">
        <v>128</v>
      </c>
      <c r="E14" s="213" t="s">
        <v>294</v>
      </c>
      <c r="F14" s="213" t="s">
        <v>276</v>
      </c>
      <c r="G14" s="215" t="str">
        <f t="shared" ref="G14" si="75">IFERROR(LEFT(B14,FIND("],",B14)),B14)</f>
        <v>[effect:rush, count:6, val:0.3]</v>
      </c>
      <c r="H14" s="215">
        <f t="shared" ref="H14" si="76">FIND("effect:",G14)+7</f>
        <v>9</v>
      </c>
      <c r="I14" s="215">
        <f t="shared" ref="I14" si="77">IFERROR(FIND(",",G14),LEN(G14))</f>
        <v>13</v>
      </c>
      <c r="J14" s="215" t="e">
        <f t="shared" ref="J14" si="78">FIND("target:",G14)+7</f>
        <v>#VALUE!</v>
      </c>
      <c r="K14" s="215">
        <f t="shared" ref="K14" si="79">FIND(",",G14,I14+1)</f>
        <v>22</v>
      </c>
      <c r="L14" s="215" t="str">
        <f>IFERROR(VLOOKUP(MID(G14,J14,K14-J14),[5]skilldef!$C:$D,2,FALSE),"-") &amp; " / " &amp; IFERROR(VLOOKUP(MID(G14,H14,I14-H14),[5]skilldef!$A:$B,2,FALSE),"-")</f>
        <v>- / 連続攻撃</v>
      </c>
      <c r="M14" s="215" t="str">
        <f t="shared" ref="M14" si="80">IFERROR(RIGHT(B14,LEN(B14)-FIND("],",B14)-1),"none")</f>
        <v>none</v>
      </c>
      <c r="N14" s="210" t="str">
        <f>IFERROR(LEFT(M14,FIND("],",M14)+#REF!),M14)</f>
        <v>none</v>
      </c>
      <c r="O14" s="215" t="e">
        <f t="shared" ref="O14" si="81">FIND("effect:",N14)+7</f>
        <v>#VALUE!</v>
      </c>
      <c r="P14" s="215">
        <f t="shared" ref="P14" si="82">IFERROR(FIND(",",N14),LEN(N14))</f>
        <v>4</v>
      </c>
      <c r="Q14" s="215" t="e">
        <f t="shared" ref="Q14" si="83">FIND("target:",N14)+7</f>
        <v>#VALUE!</v>
      </c>
      <c r="R14" s="215" t="e">
        <f t="shared" ref="R14" si="84">FIND(",",N14,P14+1)</f>
        <v>#VALUE!</v>
      </c>
      <c r="S14" s="215" t="str">
        <f>IFERROR(VLOOKUP(MID(N14,Q14,R14-Q14),[5]skilldef!$C:$D,2,FALSE),"-") &amp; " / " &amp; IFERROR(VLOOKUP(MID(N14,O14,P14-O14),[5]skilldef!$A:$B,2,FALSE),"-")</f>
        <v>- / -</v>
      </c>
      <c r="T14" s="210" t="str">
        <f t="shared" ref="T14" si="85">IFERROR(RIGHT(M14,LEN(M14)-FIND("],",M14)-1),"none")</f>
        <v>none</v>
      </c>
      <c r="U14" s="215" t="e">
        <f t="shared" ref="U14" si="86">FIND("effect:",T14)+7</f>
        <v>#VALUE!</v>
      </c>
      <c r="V14" s="215">
        <f t="shared" ref="V14" si="87">IFERROR(FIND(",",T14),LEN(T14))</f>
        <v>4</v>
      </c>
      <c r="W14" s="215" t="e">
        <f t="shared" ref="W14" si="88">FIND("target:",T14)+7</f>
        <v>#VALUE!</v>
      </c>
      <c r="X14" s="215" t="e">
        <f t="shared" ref="X14" si="89">FIND(",",T14,V14+1)</f>
        <v>#VALUE!</v>
      </c>
      <c r="Y14" s="215" t="str">
        <f>IFERROR(VLOOKUP(MID(T14,W14,X14-W14),[5]skilldef!$C:$D,2,FALSE),"-") &amp; " / " &amp; IFERROR(VLOOKUP(MID(T14,U14,V14-U14),[5]skilldef!$A:$B,2,FALSE),"-")</f>
        <v>- / -</v>
      </c>
      <c r="Z14" s="214"/>
      <c r="AA14" s="216"/>
      <c r="AB14" s="214"/>
    </row>
    <row r="15" spans="1:28" ht="48" x14ac:dyDescent="0.15">
      <c r="A15" s="212">
        <v>15027014</v>
      </c>
      <c r="B15" s="218" t="s">
        <v>255</v>
      </c>
      <c r="C15" s="214">
        <v>3</v>
      </c>
      <c r="D15" s="214" t="s">
        <v>128</v>
      </c>
      <c r="E15" s="218" t="s">
        <v>295</v>
      </c>
      <c r="F15" s="219" t="s">
        <v>325</v>
      </c>
      <c r="G15" s="215" t="str">
        <f t="shared" ref="G15" si="90">IFERROR(LEFT(B15,FIND("],",B15)),B15)</f>
        <v>[effect:damage_anti_tribe, target:unit_all, tribe:animal, val1:1.3, val2:0.4]</v>
      </c>
      <c r="H15" s="215">
        <f t="shared" ref="H15" si="91">FIND("effect:",G15)+7</f>
        <v>9</v>
      </c>
      <c r="I15" s="215">
        <f t="shared" ref="I15" si="92">IFERROR(FIND(",",G15),LEN(G15))</f>
        <v>26</v>
      </c>
      <c r="J15" s="215">
        <f t="shared" ref="J15" si="93">FIND("target:",G15)+7</f>
        <v>35</v>
      </c>
      <c r="K15" s="215">
        <f t="shared" ref="K15" si="94">FIND(",",G15,I15+1)</f>
        <v>43</v>
      </c>
      <c r="L15" s="215" t="str">
        <f>IFERROR(VLOOKUP(MID(G15,J15,K15-J15),[5]skilldef!$C:$D,2,FALSE),"-") &amp; " / " &amp; IFERROR(VLOOKUP(MID(G15,H15,I15-H15),[5]skilldef!$A:$B,2,FALSE),"-")</f>
        <v>味方全体に / 種族キラー</v>
      </c>
      <c r="M15" s="215" t="str">
        <f t="shared" ref="M15" si="95">IFERROR(RIGHT(B15,LEN(B15)-FIND("],",B15)-1),"none")</f>
        <v>[effect:hungup, target:unit_animal, turn:5, rate:1, animation:hungup01]</v>
      </c>
      <c r="N15" s="210" t="str">
        <f>IFERROR(LEFT(M15,FIND("],",M15)+#REF!),M15)</f>
        <v>[effect:hungup, target:unit_animal, turn:5, rate:1, animation:hungup01]</v>
      </c>
      <c r="O15" s="215">
        <f t="shared" ref="O15" si="96">FIND("effect:",N15)+7</f>
        <v>9</v>
      </c>
      <c r="P15" s="215">
        <f t="shared" ref="P15" si="97">IFERROR(FIND(",",N15),LEN(N15))</f>
        <v>15</v>
      </c>
      <c r="Q15" s="215">
        <f t="shared" ref="Q15" si="98">FIND("target:",N15)+7</f>
        <v>24</v>
      </c>
      <c r="R15" s="215">
        <f t="shared" ref="R15" si="99">FIND(",",N15,P15+1)</f>
        <v>35</v>
      </c>
      <c r="S15" s="215" t="str">
        <f>IFERROR(VLOOKUP(MID(N15,Q15,R15-Q15),[5]skilldef!$C:$D,2,FALSE),"-") &amp; " / " &amp; IFERROR(VLOOKUP(MID(N15,O15,P15-O15),[5]skilldef!$A:$B,2,FALSE),"-")</f>
        <v>アニマルの味方に / ハングアップ</v>
      </c>
      <c r="T15" s="210" t="str">
        <f t="shared" ref="T15" si="100">IFERROR(RIGHT(M15,LEN(M15)-FIND("],",M15)-1),"none")</f>
        <v>none</v>
      </c>
      <c r="U15" s="215" t="e">
        <f t="shared" ref="U15" si="101">FIND("effect:",T15)+7</f>
        <v>#VALUE!</v>
      </c>
      <c r="V15" s="215">
        <f t="shared" ref="V15" si="102">IFERROR(FIND(",",T15),LEN(T15))</f>
        <v>4</v>
      </c>
      <c r="W15" s="215" t="e">
        <f t="shared" ref="W15" si="103">FIND("target:",T15)+7</f>
        <v>#VALUE!</v>
      </c>
      <c r="X15" s="215" t="e">
        <f t="shared" ref="X15" si="104">FIND(",",T15,V15+1)</f>
        <v>#VALUE!</v>
      </c>
      <c r="Y15" s="215" t="str">
        <f>IFERROR(VLOOKUP(MID(T15,W15,X15-W15),[5]skilldef!$C:$D,2,FALSE),"-") &amp; " / " &amp; IFERROR(VLOOKUP(MID(T15,U15,V15-U15),[5]skilldef!$A:$B,2,FALSE),"-")</f>
        <v>- / -</v>
      </c>
      <c r="Z15" s="214"/>
      <c r="AA15" s="216"/>
      <c r="AB15" s="214"/>
    </row>
    <row r="16" spans="1:28" ht="32" x14ac:dyDescent="0.15">
      <c r="A16" s="212">
        <v>15027015</v>
      </c>
      <c r="B16" s="218" t="s">
        <v>256</v>
      </c>
      <c r="C16" s="214">
        <v>3</v>
      </c>
      <c r="D16" s="214" t="s">
        <v>128</v>
      </c>
      <c r="E16" s="218" t="s">
        <v>296</v>
      </c>
      <c r="F16" s="218" t="s">
        <v>277</v>
      </c>
      <c r="G16" s="215" t="str">
        <f t="shared" si="0"/>
        <v>[effect:damage_anti_type, target:unit_all, type:technical, val1:1.5, val2:0.5]</v>
      </c>
      <c r="H16" s="215">
        <f t="shared" si="1"/>
        <v>9</v>
      </c>
      <c r="I16" s="215">
        <f t="shared" si="2"/>
        <v>25</v>
      </c>
      <c r="J16" s="215">
        <f t="shared" si="3"/>
        <v>34</v>
      </c>
      <c r="K16" s="215">
        <f t="shared" si="4"/>
        <v>42</v>
      </c>
      <c r="L16" s="215" t="str">
        <f>IFERROR(VLOOKUP(MID(G16,J16,K16-J16),[5]skilldef!$C:$D,2,FALSE),"-") &amp; " / " &amp; IFERROR(VLOOKUP(MID(G16,H16,I16-H16),[5]skilldef!$A:$B,2,FALSE),"-")</f>
        <v>味方全体に / タイプキラー</v>
      </c>
      <c r="M16" s="215" t="str">
        <f t="shared" si="5"/>
        <v>none</v>
      </c>
      <c r="N16" s="210" t="str">
        <f>IFERROR(LEFT(M16,FIND("],",M16)+#REF!),M16)</f>
        <v>none</v>
      </c>
      <c r="O16" s="215" t="e">
        <f t="shared" si="6"/>
        <v>#VALUE!</v>
      </c>
      <c r="P16" s="215">
        <f t="shared" si="7"/>
        <v>4</v>
      </c>
      <c r="Q16" s="215" t="e">
        <f t="shared" si="8"/>
        <v>#VALUE!</v>
      </c>
      <c r="R16" s="215" t="e">
        <f t="shared" si="9"/>
        <v>#VALUE!</v>
      </c>
      <c r="S16" s="215" t="str">
        <f>IFERROR(VLOOKUP(MID(N16,Q16,R16-Q16),[5]skilldef!$C:$D,2,FALSE),"-") &amp; " / " &amp; IFERROR(VLOOKUP(MID(N16,O16,P16-O16),[5]skilldef!$A:$B,2,FALSE),"-")</f>
        <v>- / -</v>
      </c>
      <c r="T16" s="210" t="str">
        <f t="shared" si="10"/>
        <v>none</v>
      </c>
      <c r="U16" s="215" t="e">
        <f t="shared" si="11"/>
        <v>#VALUE!</v>
      </c>
      <c r="V16" s="215">
        <f t="shared" si="12"/>
        <v>4</v>
      </c>
      <c r="W16" s="215" t="e">
        <f t="shared" si="13"/>
        <v>#VALUE!</v>
      </c>
      <c r="X16" s="215" t="e">
        <f t="shared" si="14"/>
        <v>#VALUE!</v>
      </c>
      <c r="Y16" s="215" t="str">
        <f>IFERROR(VLOOKUP(MID(T16,W16,X16-W16),[5]skilldef!$C:$D,2,FALSE),"-") &amp; " / " &amp; IFERROR(VLOOKUP(MID(T16,U16,V16-U16),[5]skilldef!$A:$B,2,FALSE),"-")</f>
        <v>- / -</v>
      </c>
      <c r="Z16" s="214"/>
      <c r="AA16" s="216"/>
      <c r="AB16" s="214"/>
    </row>
    <row r="17" spans="1:28" ht="27" customHeight="1" x14ac:dyDescent="0.15">
      <c r="A17" s="212">
        <v>15027016</v>
      </c>
      <c r="B17" s="218" t="s">
        <v>313</v>
      </c>
      <c r="C17" s="214">
        <v>3</v>
      </c>
      <c r="D17" s="214" t="s">
        <v>128</v>
      </c>
      <c r="E17" s="218" t="s">
        <v>307</v>
      </c>
      <c r="F17" s="218" t="s">
        <v>314</v>
      </c>
      <c r="G17" s="215" t="str">
        <f t="shared" si="0"/>
        <v>[effect:crash_growth, count:-1, val:-3, animation:change_block]</v>
      </c>
      <c r="H17" s="215">
        <f t="shared" si="1"/>
        <v>9</v>
      </c>
      <c r="I17" s="215">
        <f t="shared" si="2"/>
        <v>21</v>
      </c>
      <c r="J17" s="215" t="e">
        <f t="shared" si="3"/>
        <v>#VALUE!</v>
      </c>
      <c r="K17" s="215">
        <f t="shared" si="4"/>
        <v>31</v>
      </c>
      <c r="L17" s="215" t="str">
        <f>IFERROR(VLOOKUP(MID(G17,J17,K17-J17),[5]skilldef!$C:$D,2,FALSE),"-") &amp; " / " &amp; IFERROR(VLOOKUP(MID(G17,H17,I17-H17),[5]skilldef!$A:$B,2,FALSE),"-")</f>
        <v>- / -</v>
      </c>
      <c r="M17" s="215" t="str">
        <f t="shared" si="5"/>
        <v>none</v>
      </c>
      <c r="N17" s="210" t="str">
        <f>IFERROR(LEFT(M17,FIND("],",M17)+#REF!),M17)</f>
        <v>none</v>
      </c>
      <c r="O17" s="215" t="e">
        <f t="shared" si="6"/>
        <v>#VALUE!</v>
      </c>
      <c r="P17" s="215">
        <f t="shared" si="7"/>
        <v>4</v>
      </c>
      <c r="Q17" s="215" t="e">
        <f t="shared" si="8"/>
        <v>#VALUE!</v>
      </c>
      <c r="R17" s="215" t="e">
        <f t="shared" si="9"/>
        <v>#VALUE!</v>
      </c>
      <c r="S17" s="215" t="str">
        <f>IFERROR(VLOOKUP(MID(N17,Q17,R17-Q17),[5]skilldef!$C:$D,2,FALSE),"-") &amp; " / " &amp; IFERROR(VLOOKUP(MID(N17,O17,P17-O17),[5]skilldef!$A:$B,2,FALSE),"-")</f>
        <v>- / -</v>
      </c>
      <c r="T17" s="210" t="str">
        <f t="shared" si="10"/>
        <v>none</v>
      </c>
      <c r="U17" s="215" t="e">
        <f t="shared" si="11"/>
        <v>#VALUE!</v>
      </c>
      <c r="V17" s="215">
        <f t="shared" si="12"/>
        <v>4</v>
      </c>
      <c r="W17" s="215" t="e">
        <f t="shared" si="13"/>
        <v>#VALUE!</v>
      </c>
      <c r="X17" s="215" t="e">
        <f t="shared" si="14"/>
        <v>#VALUE!</v>
      </c>
      <c r="Y17" s="215" t="str">
        <f>IFERROR(VLOOKUP(MID(T17,W17,X17-W17),[5]skilldef!$C:$D,2,FALSE),"-") &amp; " / " &amp; IFERROR(VLOOKUP(MID(T17,U17,V17-U17),[5]skilldef!$A:$B,2,FALSE),"-")</f>
        <v>- / -</v>
      </c>
      <c r="Z17" s="214"/>
      <c r="AA17" s="216"/>
      <c r="AB17" s="214"/>
    </row>
    <row r="18" spans="1:28" ht="30" customHeight="1" x14ac:dyDescent="0.15">
      <c r="A18" s="212">
        <v>15027017</v>
      </c>
      <c r="B18" s="218" t="s">
        <v>257</v>
      </c>
      <c r="C18" s="214">
        <v>3</v>
      </c>
      <c r="D18" s="214" t="s">
        <v>128</v>
      </c>
      <c r="E18" s="218" t="s">
        <v>297</v>
      </c>
      <c r="F18" s="219" t="s">
        <v>309</v>
      </c>
      <c r="G18" s="215" t="str">
        <f t="shared" ref="G18" si="105">IFERROR(LEFT(B18,FIND("],",B18)),B18)</f>
        <v>[effect:barrier_attack_skill_tribe, target:enemy_all, option:invalid, tribe:human, turn:3, val:0, animation:crash_panel_reduce04_unit02]</v>
      </c>
      <c r="H18" s="215">
        <f t="shared" ref="H18" si="106">FIND("effect:",G18)+7</f>
        <v>9</v>
      </c>
      <c r="I18" s="215">
        <f t="shared" ref="I18" si="107">IFERROR(FIND(",",G18),LEN(G18))</f>
        <v>35</v>
      </c>
      <c r="J18" s="215">
        <f t="shared" ref="J18" si="108">FIND("target:",G18)+7</f>
        <v>44</v>
      </c>
      <c r="K18" s="215">
        <f t="shared" ref="K18" si="109">FIND(",",G18,I18+1)</f>
        <v>53</v>
      </c>
      <c r="L18" s="215" t="str">
        <f>IFERROR(VLOOKUP(MID(G18,J18,K18-J18),[5]skilldef!$C:$D,2,FALSE),"-") &amp; " / " &amp; IFERROR(VLOOKUP(MID(G18,H18,I18-H18),[5]skilldef!$A:$B,2,FALSE),"-")</f>
        <v>敵全体に / 一定ターン特定種族のユニットの攻撃スキルダメージを軽減／無効／反射</v>
      </c>
      <c r="M18" s="215" t="str">
        <f t="shared" ref="M18" si="110">IFERROR(RIGHT(B18,LEN(B18)-FIND("],",B18)-1),"none")</f>
        <v>none</v>
      </c>
      <c r="N18" s="210" t="str">
        <f>IFERROR(LEFT(M18,FIND("],",M18)+#REF!),M18)</f>
        <v>none</v>
      </c>
      <c r="O18" s="215" t="e">
        <f t="shared" ref="O18" si="111">FIND("effect:",N18)+7</f>
        <v>#VALUE!</v>
      </c>
      <c r="P18" s="215">
        <f t="shared" ref="P18" si="112">IFERROR(FIND(",",N18),LEN(N18))</f>
        <v>4</v>
      </c>
      <c r="Q18" s="215" t="e">
        <f t="shared" ref="Q18" si="113">FIND("target:",N18)+7</f>
        <v>#VALUE!</v>
      </c>
      <c r="R18" s="215" t="e">
        <f t="shared" ref="R18" si="114">FIND(",",N18,P18+1)</f>
        <v>#VALUE!</v>
      </c>
      <c r="S18" s="215" t="str">
        <f>IFERROR(VLOOKUP(MID(N18,Q18,R18-Q18),[5]skilldef!$C:$D,2,FALSE),"-") &amp; " / " &amp; IFERROR(VLOOKUP(MID(N18,O18,P18-O18),[5]skilldef!$A:$B,2,FALSE),"-")</f>
        <v>- / -</v>
      </c>
      <c r="T18" s="210" t="str">
        <f t="shared" ref="T18" si="115">IFERROR(RIGHT(M18,LEN(M18)-FIND("],",M18)-1),"none")</f>
        <v>none</v>
      </c>
      <c r="U18" s="215" t="e">
        <f t="shared" ref="U18" si="116">FIND("effect:",T18)+7</f>
        <v>#VALUE!</v>
      </c>
      <c r="V18" s="215">
        <f t="shared" ref="V18" si="117">IFERROR(FIND(",",T18),LEN(T18))</f>
        <v>4</v>
      </c>
      <c r="W18" s="215" t="e">
        <f t="shared" ref="W18" si="118">FIND("target:",T18)+7</f>
        <v>#VALUE!</v>
      </c>
      <c r="X18" s="215" t="e">
        <f t="shared" ref="X18" si="119">FIND(",",T18,V18+1)</f>
        <v>#VALUE!</v>
      </c>
      <c r="Y18" s="215" t="str">
        <f>IFERROR(VLOOKUP(MID(T18,W18,X18-W18),[5]skilldef!$C:$D,2,FALSE),"-") &amp; " / " &amp; IFERROR(VLOOKUP(MID(T18,U18,V18-U18),[5]skilldef!$A:$B,2,FALSE),"-")</f>
        <v>- / -</v>
      </c>
      <c r="Z18" s="214"/>
      <c r="AA18" s="216"/>
      <c r="AB18" s="214"/>
    </row>
    <row r="19" spans="1:28" ht="30" customHeight="1" x14ac:dyDescent="0.15">
      <c r="A19" s="212">
        <v>15027018</v>
      </c>
      <c r="B19" s="218" t="s">
        <v>258</v>
      </c>
      <c r="C19" s="214">
        <v>3</v>
      </c>
      <c r="D19" s="214" t="s">
        <v>128</v>
      </c>
      <c r="E19" s="218" t="s">
        <v>298</v>
      </c>
      <c r="F19" s="219" t="s">
        <v>310</v>
      </c>
      <c r="G19" s="215" t="str">
        <f t="shared" ref="G19" si="120">IFERROR(LEFT(B19,FIND("],",B19)),B19)</f>
        <v>[effect:degrade_unit, target:unit_all, turn:2, status:attack, val:0.5, calc:mul]</v>
      </c>
      <c r="H19" s="215">
        <f t="shared" ref="H19" si="121">FIND("effect:",G19)+7</f>
        <v>9</v>
      </c>
      <c r="I19" s="215">
        <f t="shared" ref="I19" si="122">IFERROR(FIND(",",G19),LEN(G19))</f>
        <v>21</v>
      </c>
      <c r="J19" s="215">
        <f t="shared" ref="J19" si="123">FIND("target:",G19)+7</f>
        <v>30</v>
      </c>
      <c r="K19" s="215">
        <f t="shared" ref="K19" si="124">FIND(",",G19,I19+1)</f>
        <v>38</v>
      </c>
      <c r="L19" s="215" t="str">
        <f>IFERROR(VLOOKUP(MID(G19,J19,K19-J19),[5]skilldef!$C:$D,2,FALSE),"-") &amp; " / " &amp; IFERROR(VLOOKUP(MID(G19,H19,I19-H19),[5]skilldef!$A:$B,2,FALSE),"-")</f>
        <v>味方全体に / ステータスDOWN</v>
      </c>
      <c r="M19" s="215" t="str">
        <f t="shared" ref="M19" si="125">IFERROR(RIGHT(B19,LEN(B19)-FIND("],",B19)-1),"none")</f>
        <v>[effect:degrade_unit, target:unit_all, turn:2, status:heal, val:0.5, calc:mul, animation:degrade_unit_all_heal]</v>
      </c>
      <c r="N19" s="210" t="str">
        <f>IFERROR(LEFT(M19,FIND("],",M19)+#REF!),M19)</f>
        <v>[effect:degrade_unit, target:unit_all, turn:2, status:heal, val:0.5, calc:mul, animation:degrade_unit_all_heal]</v>
      </c>
      <c r="O19" s="215">
        <f t="shared" ref="O19" si="126">FIND("effect:",N19)+7</f>
        <v>9</v>
      </c>
      <c r="P19" s="215">
        <f t="shared" ref="P19" si="127">IFERROR(FIND(",",N19),LEN(N19))</f>
        <v>21</v>
      </c>
      <c r="Q19" s="215">
        <f t="shared" ref="Q19" si="128">FIND("target:",N19)+7</f>
        <v>30</v>
      </c>
      <c r="R19" s="215">
        <f t="shared" ref="R19" si="129">FIND(",",N19,P19+1)</f>
        <v>38</v>
      </c>
      <c r="S19" s="215" t="str">
        <f>IFERROR(VLOOKUP(MID(N19,Q19,R19-Q19),[5]skilldef!$C:$D,2,FALSE),"-") &amp; " / " &amp; IFERROR(VLOOKUP(MID(N19,O19,P19-O19),[5]skilldef!$A:$B,2,FALSE),"-")</f>
        <v>味方全体に / ステータスDOWN</v>
      </c>
      <c r="T19" s="210" t="str">
        <f t="shared" ref="T19" si="130">IFERROR(RIGHT(M19,LEN(M19)-FIND("],",M19)-1),"none")</f>
        <v>none</v>
      </c>
      <c r="U19" s="215" t="e">
        <f t="shared" ref="U19" si="131">FIND("effect:",T19)+7</f>
        <v>#VALUE!</v>
      </c>
      <c r="V19" s="215">
        <f t="shared" ref="V19" si="132">IFERROR(FIND(",",T19),LEN(T19))</f>
        <v>4</v>
      </c>
      <c r="W19" s="215" t="e">
        <f t="shared" ref="W19" si="133">FIND("target:",T19)+7</f>
        <v>#VALUE!</v>
      </c>
      <c r="X19" s="215" t="e">
        <f t="shared" ref="X19" si="134">FIND(",",T19,V19+1)</f>
        <v>#VALUE!</v>
      </c>
      <c r="Y19" s="215" t="str">
        <f>IFERROR(VLOOKUP(MID(T19,W19,X19-W19),[5]skilldef!$C:$D,2,FALSE),"-") &amp; " / " &amp; IFERROR(VLOOKUP(MID(T19,U19,V19-U19),[5]skilldef!$A:$B,2,FALSE),"-")</f>
        <v>- / -</v>
      </c>
      <c r="Z19" s="214"/>
      <c r="AA19" s="216"/>
      <c r="AB19" s="214"/>
    </row>
    <row r="20" spans="1:28" ht="30" customHeight="1" x14ac:dyDescent="0.15">
      <c r="A20" s="212">
        <v>15027019</v>
      </c>
      <c r="B20" s="218" t="s">
        <v>259</v>
      </c>
      <c r="C20" s="214">
        <v>3</v>
      </c>
      <c r="D20" s="214" t="s">
        <v>128</v>
      </c>
      <c r="E20" s="218" t="s">
        <v>299</v>
      </c>
      <c r="F20" s="219" t="s">
        <v>324</v>
      </c>
      <c r="G20" s="215" t="str">
        <f t="shared" ref="G20:G21" si="135">IFERROR(LEFT(B20,FIND("],",B20)),B20)</f>
        <v>[effect:barrier_attack_skill_tribe, target:enemy_all, option:invalid, tribe:animal, turn:3, val:0, animation:crash_panel_reduce04_unit02]</v>
      </c>
      <c r="H20" s="215">
        <f t="shared" ref="H20:H21" si="136">FIND("effect:",G20)+7</f>
        <v>9</v>
      </c>
      <c r="I20" s="215">
        <f t="shared" ref="I20:I21" si="137">IFERROR(FIND(",",G20),LEN(G20))</f>
        <v>35</v>
      </c>
      <c r="J20" s="215">
        <f t="shared" ref="J20:J21" si="138">FIND("target:",G20)+7</f>
        <v>44</v>
      </c>
      <c r="K20" s="215">
        <f t="shared" ref="K20:K21" si="139">FIND(",",G20,I20+1)</f>
        <v>53</v>
      </c>
      <c r="L20" s="215" t="str">
        <f>IFERROR(VLOOKUP(MID(G20,J20,K20-J20),[5]skilldef!$C:$D,2,FALSE),"-") &amp; " / " &amp; IFERROR(VLOOKUP(MID(G20,H20,I20-H20),[5]skilldef!$A:$B,2,FALSE),"-")</f>
        <v>敵全体に / 一定ターン特定種族のユニットの攻撃スキルダメージを軽減／無効／反射</v>
      </c>
      <c r="M20" s="215" t="str">
        <f t="shared" ref="M20:M21" si="140">IFERROR(RIGHT(B20,LEN(B20)-FIND("],",B20)-1),"none")</f>
        <v>none</v>
      </c>
      <c r="N20" s="210" t="str">
        <f>IFERROR(LEFT(M20,FIND("],",M20)+#REF!),M20)</f>
        <v>none</v>
      </c>
      <c r="O20" s="215" t="e">
        <f t="shared" ref="O20:O21" si="141">FIND("effect:",N20)+7</f>
        <v>#VALUE!</v>
      </c>
      <c r="P20" s="215">
        <f t="shared" ref="P20:P21" si="142">IFERROR(FIND(",",N20),LEN(N20))</f>
        <v>4</v>
      </c>
      <c r="Q20" s="215" t="e">
        <f t="shared" ref="Q20:Q21" si="143">FIND("target:",N20)+7</f>
        <v>#VALUE!</v>
      </c>
      <c r="R20" s="215" t="e">
        <f t="shared" ref="R20:R21" si="144">FIND(",",N20,P20+1)</f>
        <v>#VALUE!</v>
      </c>
      <c r="S20" s="215" t="str">
        <f>IFERROR(VLOOKUP(MID(N20,Q20,R20-Q20),[5]skilldef!$C:$D,2,FALSE),"-") &amp; " / " &amp; IFERROR(VLOOKUP(MID(N20,O20,P20-O20),[5]skilldef!$A:$B,2,FALSE),"-")</f>
        <v>- / -</v>
      </c>
      <c r="T20" s="210" t="str">
        <f t="shared" ref="T20:T21" si="145">IFERROR(RIGHT(M20,LEN(M20)-FIND("],",M20)-1),"none")</f>
        <v>none</v>
      </c>
      <c r="U20" s="215" t="e">
        <f t="shared" ref="U20:U21" si="146">FIND("effect:",T20)+7</f>
        <v>#VALUE!</v>
      </c>
      <c r="V20" s="215">
        <f t="shared" ref="V20:V21" si="147">IFERROR(FIND(",",T20),LEN(T20))</f>
        <v>4</v>
      </c>
      <c r="W20" s="215" t="e">
        <f t="shared" ref="W20:W21" si="148">FIND("target:",T20)+7</f>
        <v>#VALUE!</v>
      </c>
      <c r="X20" s="215" t="e">
        <f t="shared" ref="X20:X21" si="149">FIND(",",T20,V20+1)</f>
        <v>#VALUE!</v>
      </c>
      <c r="Y20" s="215" t="str">
        <f>IFERROR(VLOOKUP(MID(T20,W20,X20-W20),[5]skilldef!$C:$D,2,FALSE),"-") &amp; " / " &amp; IFERROR(VLOOKUP(MID(T20,U20,V20-U20),[5]skilldef!$A:$B,2,FALSE),"-")</f>
        <v>- / -</v>
      </c>
      <c r="Z20" s="214"/>
      <c r="AA20" s="216"/>
      <c r="AB20" s="214"/>
    </row>
    <row r="21" spans="1:28" ht="27" customHeight="1" x14ac:dyDescent="0.15">
      <c r="A21" s="212">
        <v>15027020</v>
      </c>
      <c r="B21" s="218" t="s">
        <v>260</v>
      </c>
      <c r="C21" s="214">
        <v>3</v>
      </c>
      <c r="D21" s="214" t="s">
        <v>128</v>
      </c>
      <c r="E21" s="218" t="s">
        <v>300</v>
      </c>
      <c r="F21" s="219" t="s">
        <v>306</v>
      </c>
      <c r="G21" s="215" t="str">
        <f t="shared" si="135"/>
        <v>[effect:hungup, target:unit_human, turn:8, rate:0.8, animation:hungup01]</v>
      </c>
      <c r="H21" s="215">
        <f t="shared" si="136"/>
        <v>9</v>
      </c>
      <c r="I21" s="215">
        <f t="shared" si="137"/>
        <v>15</v>
      </c>
      <c r="J21" s="215">
        <f t="shared" si="138"/>
        <v>24</v>
      </c>
      <c r="K21" s="215">
        <f t="shared" si="139"/>
        <v>34</v>
      </c>
      <c r="L21" s="215" t="str">
        <f>IFERROR(VLOOKUP(MID(G21,J21,K21-J21),[5]skilldef!$C:$D,2,FALSE),"-") &amp; " / " &amp; IFERROR(VLOOKUP(MID(G21,H21,I21-H21),[5]skilldef!$A:$B,2,FALSE),"-")</f>
        <v>ヒューマンの味方に / ハングアップ</v>
      </c>
      <c r="M21" s="215" t="str">
        <f t="shared" si="140"/>
        <v>none</v>
      </c>
      <c r="N21" s="210" t="str">
        <f>IFERROR(LEFT(M21,FIND("],",M21)+#REF!),M21)</f>
        <v>none</v>
      </c>
      <c r="O21" s="215" t="e">
        <f t="shared" si="141"/>
        <v>#VALUE!</v>
      </c>
      <c r="P21" s="215">
        <f t="shared" si="142"/>
        <v>4</v>
      </c>
      <c r="Q21" s="215" t="e">
        <f t="shared" si="143"/>
        <v>#VALUE!</v>
      </c>
      <c r="R21" s="215" t="e">
        <f t="shared" si="144"/>
        <v>#VALUE!</v>
      </c>
      <c r="S21" s="215" t="str">
        <f>IFERROR(VLOOKUP(MID(N21,Q21,R21-Q21),[5]skilldef!$C:$D,2,FALSE),"-") &amp; " / " &amp; IFERROR(VLOOKUP(MID(N21,O21,P21-O21),[5]skilldef!$A:$B,2,FALSE),"-")</f>
        <v>- / -</v>
      </c>
      <c r="T21" s="210" t="str">
        <f t="shared" si="145"/>
        <v>none</v>
      </c>
      <c r="U21" s="215" t="e">
        <f t="shared" si="146"/>
        <v>#VALUE!</v>
      </c>
      <c r="V21" s="215">
        <f t="shared" si="147"/>
        <v>4</v>
      </c>
      <c r="W21" s="215" t="e">
        <f t="shared" si="148"/>
        <v>#VALUE!</v>
      </c>
      <c r="X21" s="215" t="e">
        <f t="shared" si="149"/>
        <v>#VALUE!</v>
      </c>
      <c r="Y21" s="215" t="str">
        <f>IFERROR(VLOOKUP(MID(T21,W21,X21-W21),[5]skilldef!$C:$D,2,FALSE),"-") &amp; " / " &amp; IFERROR(VLOOKUP(MID(T21,U21,V21-U21),[5]skilldef!$A:$B,2,FALSE),"-")</f>
        <v>- / -</v>
      </c>
      <c r="Z21" s="214"/>
      <c r="AA21" s="216"/>
      <c r="AB21" s="214"/>
    </row>
    <row r="22" spans="1:28" ht="30" customHeight="1" x14ac:dyDescent="0.15">
      <c r="A22" s="212">
        <v>15027021</v>
      </c>
      <c r="B22" s="218" t="s">
        <v>249</v>
      </c>
      <c r="C22" s="214">
        <v>3</v>
      </c>
      <c r="D22" s="214" t="s">
        <v>128</v>
      </c>
      <c r="E22" s="218" t="s">
        <v>301</v>
      </c>
      <c r="F22" s="218" t="s">
        <v>311</v>
      </c>
      <c r="G22" s="215" t="str">
        <f t="shared" ref="G22" si="150">IFERROR(LEFT(B22,FIND("],",B22)),B22)</f>
        <v>[effect:damage_anti_color, target:unit_all, color:blue, val1:1.5, val2:0.6]</v>
      </c>
      <c r="H22" s="215">
        <f t="shared" ref="H22" si="151">FIND("effect:",G22)+7</f>
        <v>9</v>
      </c>
      <c r="I22" s="215">
        <f t="shared" ref="I22" si="152">IFERROR(FIND(",",G22),LEN(G22))</f>
        <v>26</v>
      </c>
      <c r="J22" s="215">
        <f t="shared" ref="J22" si="153">FIND("target:",G22)+7</f>
        <v>35</v>
      </c>
      <c r="K22" s="215">
        <f t="shared" ref="K22" si="154">FIND(",",G22,I22+1)</f>
        <v>43</v>
      </c>
      <c r="L22" s="215" t="str">
        <f>IFERROR(VLOOKUP(MID(G22,J22,K22-J22),[5]skilldef!$C:$D,2,FALSE),"-") &amp; " / " &amp; IFERROR(VLOOKUP(MID(G22,H22,I22-H22),[5]skilldef!$A:$B,2,FALSE),"-")</f>
        <v>味方全体に / 属性キラー</v>
      </c>
      <c r="M22" s="215" t="str">
        <f t="shared" ref="M22" si="155">IFERROR(RIGHT(B22,LEN(B22)-FIND("],",B22)-1),"none")</f>
        <v>none</v>
      </c>
      <c r="N22" s="210" t="str">
        <f>IFERROR(LEFT(M22,FIND("],",M22)+#REF!),M22)</f>
        <v>none</v>
      </c>
      <c r="O22" s="215" t="e">
        <f t="shared" ref="O22" si="156">FIND("effect:",N22)+7</f>
        <v>#VALUE!</v>
      </c>
      <c r="P22" s="215">
        <f t="shared" ref="P22" si="157">IFERROR(FIND(",",N22),LEN(N22))</f>
        <v>4</v>
      </c>
      <c r="Q22" s="215" t="e">
        <f t="shared" ref="Q22" si="158">FIND("target:",N22)+7</f>
        <v>#VALUE!</v>
      </c>
      <c r="R22" s="215" t="e">
        <f t="shared" ref="R22" si="159">FIND(",",N22,P22+1)</f>
        <v>#VALUE!</v>
      </c>
      <c r="S22" s="215" t="str">
        <f>IFERROR(VLOOKUP(MID(N22,Q22,R22-Q22),[5]skilldef!$C:$D,2,FALSE),"-") &amp; " / " &amp; IFERROR(VLOOKUP(MID(N22,O22,P22-O22),[5]skilldef!$A:$B,2,FALSE),"-")</f>
        <v>- / -</v>
      </c>
      <c r="T22" s="210" t="str">
        <f t="shared" ref="T22" si="160">IFERROR(RIGHT(M22,LEN(M22)-FIND("],",M22)-1),"none")</f>
        <v>none</v>
      </c>
      <c r="U22" s="215" t="e">
        <f t="shared" ref="U22" si="161">FIND("effect:",T22)+7</f>
        <v>#VALUE!</v>
      </c>
      <c r="V22" s="215">
        <f t="shared" ref="V22" si="162">IFERROR(FIND(",",T22),LEN(T22))</f>
        <v>4</v>
      </c>
      <c r="W22" s="215" t="e">
        <f t="shared" ref="W22" si="163">FIND("target:",T22)+7</f>
        <v>#VALUE!</v>
      </c>
      <c r="X22" s="215" t="e">
        <f t="shared" ref="X22" si="164">FIND(",",T22,V22+1)</f>
        <v>#VALUE!</v>
      </c>
      <c r="Y22" s="215" t="str">
        <f>IFERROR(VLOOKUP(MID(T22,W22,X22-W22),[5]skilldef!$C:$D,2,FALSE),"-") &amp; " / " &amp; IFERROR(VLOOKUP(MID(T22,U22,V22-U22),[5]skilldef!$A:$B,2,FALSE),"-")</f>
        <v>- / -</v>
      </c>
      <c r="Z22" s="214"/>
      <c r="AA22" s="216"/>
      <c r="AB22" s="214"/>
    </row>
    <row r="23" spans="1:28" ht="40" customHeight="1" x14ac:dyDescent="0.15">
      <c r="A23" s="212">
        <v>15027022</v>
      </c>
      <c r="B23" s="218" t="s">
        <v>261</v>
      </c>
      <c r="C23" s="214">
        <v>3</v>
      </c>
      <c r="D23" s="214" t="s">
        <v>128</v>
      </c>
      <c r="E23" s="218" t="s">
        <v>302</v>
      </c>
      <c r="F23" s="219" t="s">
        <v>305</v>
      </c>
      <c r="G23" s="215" t="str">
        <f t="shared" ref="G23" si="165">IFERROR(LEFT(B23,FIND("],",B23)),B23)</f>
        <v>[effect:change_block, new_block:jammer, target:block_heart, count:3, val:0, animation:change_block]</v>
      </c>
      <c r="H23" s="215">
        <f t="shared" ref="H23" si="166">FIND("effect:",G23)+7</f>
        <v>9</v>
      </c>
      <c r="I23" s="215">
        <f t="shared" ref="I23" si="167">IFERROR(FIND(",",G23),LEN(G23))</f>
        <v>21</v>
      </c>
      <c r="J23" s="215">
        <f t="shared" ref="J23" si="168">FIND("target:",G23)+7</f>
        <v>48</v>
      </c>
      <c r="K23" s="215">
        <f t="shared" ref="K23" si="169">FIND(",",G23,I23+1)</f>
        <v>39</v>
      </c>
      <c r="L23" s="215" t="str">
        <f>IFERROR(VLOOKUP(MID(G23,J23,K23-J23),[5]skilldef!$C:$D,2,FALSE),"-") &amp; " / " &amp; IFERROR(VLOOKUP(MID(G23,H23,I23-H23),[5]skilldef!$A:$B,2,FALSE),"-")</f>
        <v>- / ブロック変換</v>
      </c>
      <c r="M23" s="215" t="str">
        <f t="shared" ref="M23" si="170">IFERROR(RIGHT(B23,LEN(B23)-FIND("],",B23)-1),"none")</f>
        <v>[effect:crash_condition, target:unit_all, val:4, turn:4, animation:enemy_crash_extend],[effect:rush, count:2, val:0.6]</v>
      </c>
      <c r="N23" s="210" t="str">
        <f>IFERROR(LEFT(M23,FIND("],",M23)+#REF!),M23)</f>
        <v>[effect:crash_condition, target:unit_all, val:4, turn:4, animation:enemy_crash_extend],[effect:rush, count:2, val:0.6]</v>
      </c>
      <c r="O23" s="215">
        <f t="shared" ref="O23" si="171">FIND("effect:",N23)+7</f>
        <v>9</v>
      </c>
      <c r="P23" s="215">
        <f t="shared" ref="P23" si="172">IFERROR(FIND(",",N23),LEN(N23))</f>
        <v>24</v>
      </c>
      <c r="Q23" s="215">
        <f t="shared" ref="Q23" si="173">FIND("target:",N23)+7</f>
        <v>33</v>
      </c>
      <c r="R23" s="215">
        <f t="shared" ref="R23" si="174">FIND(",",N23,P23+1)</f>
        <v>41</v>
      </c>
      <c r="S23" s="215" t="str">
        <f>IFERROR(VLOOKUP(MID(N23,Q23,R23-Q23),[5]skilldef!$C:$D,2,FALSE),"-") &amp; " / " &amp; IFERROR(VLOOKUP(MID(N23,O23,P23-O23),[5]skilldef!$A:$B,2,FALSE),"-")</f>
        <v>味方全体に / -</v>
      </c>
      <c r="T23" s="210" t="str">
        <f t="shared" ref="T23" si="175">IFERROR(RIGHT(M23,LEN(M23)-FIND("],",M23)-1),"none")</f>
        <v>[effect:rush, count:2, val:0.6]</v>
      </c>
      <c r="U23" s="215">
        <f t="shared" ref="U23" si="176">FIND("effect:",T23)+7</f>
        <v>9</v>
      </c>
      <c r="V23" s="215">
        <f t="shared" ref="V23" si="177">IFERROR(FIND(",",T23),LEN(T23))</f>
        <v>13</v>
      </c>
      <c r="W23" s="215" t="e">
        <f t="shared" ref="W23" si="178">FIND("target:",T23)+7</f>
        <v>#VALUE!</v>
      </c>
      <c r="X23" s="215">
        <f t="shared" ref="X23" si="179">FIND(",",T23,V23+1)</f>
        <v>22</v>
      </c>
      <c r="Y23" s="215" t="str">
        <f>IFERROR(VLOOKUP(MID(T23,W23,X23-W23),[5]skilldef!$C:$D,2,FALSE),"-") &amp; " / " &amp; IFERROR(VLOOKUP(MID(T23,U23,V23-U23),[5]skilldef!$A:$B,2,FALSE),"-")</f>
        <v>- / 連続攻撃</v>
      </c>
      <c r="Z23" s="214"/>
      <c r="AA23" s="216"/>
      <c r="AB23" s="214"/>
    </row>
    <row r="24" spans="1:28" ht="27" customHeight="1" x14ac:dyDescent="0.15">
      <c r="A24" s="212">
        <v>15027023</v>
      </c>
      <c r="B24" s="218" t="s">
        <v>262</v>
      </c>
      <c r="C24" s="214">
        <v>3</v>
      </c>
      <c r="D24" s="214" t="s">
        <v>128</v>
      </c>
      <c r="E24" s="220" t="s">
        <v>279</v>
      </c>
      <c r="F24" s="218" t="s">
        <v>312</v>
      </c>
      <c r="G24" s="215" t="str">
        <f t="shared" ref="G24" si="180">IFERROR(LEFT(B24,FIND("],",B24)),B24)</f>
        <v>[effect:damage_anti_color, target:unit_all, color:red, val1:1.5, val2:0.5]</v>
      </c>
      <c r="H24" s="215">
        <f t="shared" si="1"/>
        <v>9</v>
      </c>
      <c r="I24" s="215">
        <f t="shared" ref="I24" si="181">IFERROR(FIND(",",G24),LEN(G24))</f>
        <v>26</v>
      </c>
      <c r="J24" s="215">
        <f t="shared" ref="J24" si="182">FIND("target:",G24)+7</f>
        <v>35</v>
      </c>
      <c r="K24" s="215">
        <f t="shared" ref="K24" si="183">FIND(",",G24,I24+1)</f>
        <v>43</v>
      </c>
      <c r="L24" s="215" t="str">
        <f>IFERROR(VLOOKUP(MID(G24,J24,K24-J24),[5]skilldef!$C:$D,2,FALSE),"-") &amp; " / " &amp; IFERROR(VLOOKUP(MID(G24,H24,I24-H24),[5]skilldef!$A:$B,2,FALSE),"-")</f>
        <v>味方全体に / 属性キラー</v>
      </c>
      <c r="M24" s="215" t="str">
        <f t="shared" ref="M24" si="184">IFERROR(RIGHT(B24,LEN(B24)-FIND("],",B24)-1),"none")</f>
        <v>none</v>
      </c>
      <c r="N24" s="210" t="str">
        <f>IFERROR(LEFT(M24,FIND("],",M24)+#REF!),M24)</f>
        <v>none</v>
      </c>
      <c r="O24" s="215" t="e">
        <f t="shared" si="6"/>
        <v>#VALUE!</v>
      </c>
      <c r="P24" s="215">
        <f t="shared" ref="P24" si="185">IFERROR(FIND(",",N24),LEN(N24))</f>
        <v>4</v>
      </c>
      <c r="Q24" s="215" t="e">
        <f t="shared" ref="Q24" si="186">FIND("target:",N24)+7</f>
        <v>#VALUE!</v>
      </c>
      <c r="R24" s="215" t="e">
        <f t="shared" ref="R24" si="187">FIND(",",N24,P24+1)</f>
        <v>#VALUE!</v>
      </c>
      <c r="S24" s="215" t="str">
        <f>IFERROR(VLOOKUP(MID(N24,Q24,R24-Q24),[5]skilldef!$C:$D,2,FALSE),"-") &amp; " / " &amp; IFERROR(VLOOKUP(MID(N24,O24,P24-O24),[5]skilldef!$A:$B,2,FALSE),"-")</f>
        <v>- / -</v>
      </c>
      <c r="T24" s="210" t="str">
        <f t="shared" ref="T24" si="188">IFERROR(RIGHT(M24,LEN(M24)-FIND("],",M24)-1),"none")</f>
        <v>none</v>
      </c>
      <c r="U24" s="215" t="e">
        <f t="shared" si="11"/>
        <v>#VALUE!</v>
      </c>
      <c r="V24" s="215">
        <f t="shared" ref="V24" si="189">IFERROR(FIND(",",T24),LEN(T24))</f>
        <v>4</v>
      </c>
      <c r="W24" s="215" t="e">
        <f t="shared" ref="W24" si="190">FIND("target:",T24)+7</f>
        <v>#VALUE!</v>
      </c>
      <c r="X24" s="215" t="e">
        <f t="shared" ref="X24" si="191">FIND(",",T24,V24+1)</f>
        <v>#VALUE!</v>
      </c>
      <c r="Y24" s="215" t="str">
        <f>IFERROR(VLOOKUP(MID(T24,W24,X24-W24),[5]skilldef!$C:$D,2,FALSE),"-") &amp; " / " &amp; IFERROR(VLOOKUP(MID(T24,U24,V24-U24),[5]skilldef!$A:$B,2,FALSE),"-")</f>
        <v>- / -</v>
      </c>
      <c r="Z24" s="214"/>
      <c r="AA24" s="216"/>
      <c r="AB24" s="214"/>
    </row>
    <row r="25" spans="1:28" ht="64" x14ac:dyDescent="0.15">
      <c r="A25" s="212">
        <v>15027024</v>
      </c>
      <c r="B25" s="214" t="s">
        <v>263</v>
      </c>
      <c r="C25" s="214">
        <v>3</v>
      </c>
      <c r="D25" s="214" t="s">
        <v>128</v>
      </c>
      <c r="E25" s="220" t="s">
        <v>280</v>
      </c>
      <c r="F25" s="220" t="s">
        <v>278</v>
      </c>
      <c r="G25" s="215" t="str">
        <f t="shared" ref="G25" si="192">IFERROR(LEFT(B25,FIND("],",B25)),B25)</f>
        <v>[effect:change_block, new_block:time_bomb, target:block_blue, count:15, val:0.11, min_time_count:2, max_time_count:3, no_effect_msg:no_effect_msg_change_block, animation:change_block]</v>
      </c>
      <c r="H25" s="215">
        <f t="shared" si="1"/>
        <v>9</v>
      </c>
      <c r="I25" s="215">
        <f t="shared" ref="I25" si="193">IFERROR(FIND(",",G25),LEN(G25))</f>
        <v>21</v>
      </c>
      <c r="J25" s="215">
        <f t="shared" ref="J25" si="194">FIND("target:",G25)+7</f>
        <v>51</v>
      </c>
      <c r="K25" s="215">
        <f t="shared" ref="K25" si="195">FIND(",",G25,I25+1)</f>
        <v>42</v>
      </c>
      <c r="L25" s="215" t="str">
        <f>IFERROR(VLOOKUP(MID(G25,J25,K25-J25),[5]skilldef!$C:$D,2,FALSE),"-") &amp; " / " &amp; IFERROR(VLOOKUP(MID(G25,H25,I25-H25),[5]skilldef!$A:$B,2,FALSE),"-")</f>
        <v>- / ブロック変換</v>
      </c>
      <c r="M25" s="215" t="str">
        <f t="shared" ref="M25" si="196">IFERROR(RIGHT(B25,LEN(B25)-FIND("],",B25)-1),"none")</f>
        <v>[effect:rush, count:1, val:0.6]</v>
      </c>
      <c r="N25" s="210" t="str">
        <f>IFERROR(LEFT(M25,FIND("],",M25)+#REF!),M25)</f>
        <v>[effect:rush, count:1, val:0.6]</v>
      </c>
      <c r="O25" s="215">
        <f t="shared" si="6"/>
        <v>9</v>
      </c>
      <c r="P25" s="215">
        <f t="shared" ref="P25" si="197">IFERROR(FIND(",",N25),LEN(N25))</f>
        <v>13</v>
      </c>
      <c r="Q25" s="215" t="e">
        <f t="shared" ref="Q25" si="198">FIND("target:",N25)+7</f>
        <v>#VALUE!</v>
      </c>
      <c r="R25" s="215">
        <f t="shared" ref="R25" si="199">FIND(",",N25,P25+1)</f>
        <v>22</v>
      </c>
      <c r="S25" s="215" t="str">
        <f>IFERROR(VLOOKUP(MID(N25,Q25,R25-Q25),[5]skilldef!$C:$D,2,FALSE),"-") &amp; " / " &amp; IFERROR(VLOOKUP(MID(N25,O25,P25-O25),[5]skilldef!$A:$B,2,FALSE),"-")</f>
        <v>- / 連続攻撃</v>
      </c>
      <c r="T25" s="210" t="str">
        <f t="shared" ref="T25" si="200">IFERROR(RIGHT(M25,LEN(M25)-FIND("],",M25)-1),"none")</f>
        <v>none</v>
      </c>
      <c r="U25" s="215" t="e">
        <f t="shared" si="11"/>
        <v>#VALUE!</v>
      </c>
      <c r="V25" s="215">
        <f t="shared" ref="V25" si="201">IFERROR(FIND(",",T25),LEN(T25))</f>
        <v>4</v>
      </c>
      <c r="W25" s="215" t="e">
        <f t="shared" ref="W25" si="202">FIND("target:",T25)+7</f>
        <v>#VALUE!</v>
      </c>
      <c r="X25" s="215" t="e">
        <f t="shared" ref="X25" si="203">FIND(",",T25,V25+1)</f>
        <v>#VALUE!</v>
      </c>
      <c r="Y25" s="215" t="str">
        <f>IFERROR(VLOOKUP(MID(T25,W25,X25-W25),[5]skilldef!$C:$D,2,FALSE),"-") &amp; " / " &amp; IFERROR(VLOOKUP(MID(T25,U25,V25-U25),[5]skilldef!$A:$B,2,FALSE),"-")</f>
        <v>- / -</v>
      </c>
      <c r="Z25" s="214"/>
      <c r="AA25" s="216"/>
      <c r="AB25" s="214"/>
    </row>
    <row r="26" spans="1:28" ht="112" x14ac:dyDescent="0.15">
      <c r="A26" s="212">
        <v>15027025</v>
      </c>
      <c r="B26" s="214" t="s">
        <v>264</v>
      </c>
      <c r="C26" s="214">
        <v>3</v>
      </c>
      <c r="D26" s="214" t="s">
        <v>128</v>
      </c>
      <c r="E26" s="220" t="s">
        <v>281</v>
      </c>
      <c r="F26" s="220" t="s">
        <v>323</v>
      </c>
      <c r="G26" s="215" t="str">
        <f t="shared" ref="G26" si="204">IFERROR(LEFT(B26,FIND("],",B26)),B26)</f>
        <v>[effect:force_change_block, new_block:block_heart, target:block_yellow, count:8, val:0, min_time_count:2, max_time_count:2, animation:change_block]</v>
      </c>
      <c r="H26" s="215">
        <f t="shared" si="1"/>
        <v>9</v>
      </c>
      <c r="I26" s="215">
        <f t="shared" ref="I26" si="205">IFERROR(FIND(",",G26),LEN(G26))</f>
        <v>27</v>
      </c>
      <c r="J26" s="215">
        <f t="shared" ref="J26" si="206">FIND("target:",G26)+7</f>
        <v>59</v>
      </c>
      <c r="K26" s="215">
        <f t="shared" ref="K26" si="207">FIND(",",G26,I26+1)</f>
        <v>50</v>
      </c>
      <c r="L26" s="215" t="str">
        <f>IFERROR(VLOOKUP(MID(G26,J26,K26-J26),[5]skilldef!$C:$D,2,FALSE),"-") &amp; " / " &amp; IFERROR(VLOOKUP(MID(G26,H26,I26-H26),[5]skilldef!$A:$B,2,FALSE),"-")</f>
        <v>- / -</v>
      </c>
      <c r="M26" s="215" t="str">
        <f t="shared" ref="M26" si="208">IFERROR(RIGHT(B26,LEN(B26)-FIND("],",B26)-1),"none")</f>
        <v>[effect:degrade_crash, target:unit_all, count:12, special:18, turn:2, animation:enemy_crash_extend],[effect:dark, target:unit_all, turn:2, animation:enemy_dark]</v>
      </c>
      <c r="N26" s="210" t="str">
        <f>IFERROR(LEFT(M26,FIND("],",M26)+#REF!),M26)</f>
        <v>[effect:degrade_crash, target:unit_all, count:12, special:18, turn:2, animation:enemy_crash_extend],[effect:dark, target:unit_all, turn:2, animation:enemy_dark]</v>
      </c>
      <c r="O26" s="215">
        <f t="shared" si="6"/>
        <v>9</v>
      </c>
      <c r="P26" s="215">
        <f t="shared" ref="P26" si="209">IFERROR(FIND(",",N26),LEN(N26))</f>
        <v>22</v>
      </c>
      <c r="Q26" s="215">
        <f t="shared" ref="Q26" si="210">FIND("target:",N26)+7</f>
        <v>31</v>
      </c>
      <c r="R26" s="215">
        <f t="shared" ref="R26" si="211">FIND(",",N26,P26+1)</f>
        <v>39</v>
      </c>
      <c r="S26" s="215" t="str">
        <f>IFERROR(VLOOKUP(MID(N26,Q26,R26-Q26),[5]skilldef!$C:$D,2,FALSE),"-") &amp; " / " &amp; IFERROR(VLOOKUP(MID(N26,O26,P26-O26),[5]skilldef!$A:$B,2,FALSE),"-")</f>
        <v>味方全体に / クラッシュパネル生成条件増加</v>
      </c>
      <c r="T26" s="210" t="str">
        <f t="shared" ref="T26" si="212">IFERROR(RIGHT(M26,LEN(M26)-FIND("],",M26)-1),"none")</f>
        <v>[effect:dark, target:unit_all, turn:2, animation:enemy_dark]</v>
      </c>
      <c r="U26" s="215">
        <f t="shared" si="11"/>
        <v>9</v>
      </c>
      <c r="V26" s="215">
        <f t="shared" ref="V26" si="213">IFERROR(FIND(",",T26),LEN(T26))</f>
        <v>13</v>
      </c>
      <c r="W26" s="215">
        <f t="shared" ref="W26" si="214">FIND("target:",T26)+7</f>
        <v>22</v>
      </c>
      <c r="X26" s="215">
        <f t="shared" ref="X26" si="215">FIND(",",T26,V26+1)</f>
        <v>30</v>
      </c>
      <c r="Y26" s="215" t="str">
        <f>IFERROR(VLOOKUP(MID(T26,W26,X26-W26),[5]skilldef!$C:$D,2,FALSE),"-") &amp; " / " &amp; IFERROR(VLOOKUP(MID(T26,U26,V26-U26),[5]skilldef!$A:$B,2,FALSE),"-")</f>
        <v>味方全体に / 暗黒</v>
      </c>
      <c r="Z26" s="214"/>
      <c r="AA26" s="216"/>
      <c r="AB26" s="214"/>
    </row>
    <row r="27" spans="1:28" ht="64" x14ac:dyDescent="0.15">
      <c r="A27" s="212">
        <v>15027026</v>
      </c>
      <c r="B27" s="218" t="s">
        <v>265</v>
      </c>
      <c r="C27" s="214">
        <v>3</v>
      </c>
      <c r="D27" s="214" t="s">
        <v>128</v>
      </c>
      <c r="E27" s="218" t="s">
        <v>303</v>
      </c>
      <c r="F27" s="220" t="s">
        <v>304</v>
      </c>
      <c r="G27" s="215" t="str">
        <f t="shared" ref="G27" si="216">IFERROR(LEFT(B27,FIND("],",B27)),B27)</f>
        <v>[effect:change_block, new_block:time_bomb, target:block_heart, count:5, val:0.1, min_time_count:2, max_time_count:4, animation:change_block]</v>
      </c>
      <c r="H27" s="215">
        <f t="shared" ref="H27" si="217">FIND("effect:",G27)+7</f>
        <v>9</v>
      </c>
      <c r="I27" s="215">
        <f t="shared" ref="I27" si="218">IFERROR(FIND(",",G27),LEN(G27))</f>
        <v>21</v>
      </c>
      <c r="J27" s="215">
        <f t="shared" ref="J27" si="219">FIND("target:",G27)+7</f>
        <v>51</v>
      </c>
      <c r="K27" s="215">
        <f t="shared" ref="K27" si="220">FIND(",",G27,I27+1)</f>
        <v>42</v>
      </c>
      <c r="L27" s="215" t="str">
        <f>IFERROR(VLOOKUP(MID(G27,J27,K27-J27),[5]skilldef!$C:$D,2,FALSE),"-") &amp; " / " &amp; IFERROR(VLOOKUP(MID(G27,H27,I27-H27),[5]skilldef!$A:$B,2,FALSE),"-")</f>
        <v>- / ブロック変換</v>
      </c>
      <c r="M27" s="215" t="str">
        <f t="shared" ref="M27" si="221">IFERROR(RIGHT(B27,LEN(B27)-FIND("],",B27)-1),"none")</f>
        <v>[effect:hungup, target:unit_all, turn:3, rate:0.6, animation:enemy_hungup],[effect:rush, count:1, val:0.7]</v>
      </c>
      <c r="N27" s="210" t="str">
        <f>IFERROR(LEFT(M27,FIND("],",M27)+#REF!),M27)</f>
        <v>[effect:hungup, target:unit_all, turn:3, rate:0.6, animation:enemy_hungup],[effect:rush, count:1, val:0.7]</v>
      </c>
      <c r="O27" s="215">
        <f t="shared" ref="O27" si="222">FIND("effect:",N27)+7</f>
        <v>9</v>
      </c>
      <c r="P27" s="215">
        <f t="shared" ref="P27" si="223">IFERROR(FIND(",",N27),LEN(N27))</f>
        <v>15</v>
      </c>
      <c r="Q27" s="215">
        <f t="shared" ref="Q27" si="224">FIND("target:",N27)+7</f>
        <v>24</v>
      </c>
      <c r="R27" s="215">
        <f t="shared" ref="R27" si="225">FIND(",",N27,P27+1)</f>
        <v>32</v>
      </c>
      <c r="S27" s="215" t="str">
        <f>IFERROR(VLOOKUP(MID(N27,Q27,R27-Q27),[5]skilldef!$C:$D,2,FALSE),"-") &amp; " / " &amp; IFERROR(VLOOKUP(MID(N27,O27,P27-O27),[5]skilldef!$A:$B,2,FALSE),"-")</f>
        <v>味方全体に / ハングアップ</v>
      </c>
      <c r="T27" s="210" t="str">
        <f t="shared" ref="T27" si="226">IFERROR(RIGHT(M27,LEN(M27)-FIND("],",M27)-1),"none")</f>
        <v>[effect:rush, count:1, val:0.7]</v>
      </c>
      <c r="U27" s="215">
        <f t="shared" ref="U27" si="227">FIND("effect:",T27)+7</f>
        <v>9</v>
      </c>
      <c r="V27" s="215">
        <f t="shared" ref="V27" si="228">IFERROR(FIND(",",T27),LEN(T27))</f>
        <v>13</v>
      </c>
      <c r="W27" s="215" t="e">
        <f t="shared" ref="W27" si="229">FIND("target:",T27)+7</f>
        <v>#VALUE!</v>
      </c>
      <c r="X27" s="215">
        <f t="shared" ref="X27" si="230">FIND(",",T27,V27+1)</f>
        <v>22</v>
      </c>
      <c r="Y27" s="215" t="str">
        <f>IFERROR(VLOOKUP(MID(T27,W27,X27-W27),[5]skilldef!$C:$D,2,FALSE),"-") &amp; " / " &amp; IFERROR(VLOOKUP(MID(T27,U27,V27-U27),[5]skilldef!$A:$B,2,FALSE),"-")</f>
        <v>- / 連続攻撃</v>
      </c>
      <c r="Z27" s="214"/>
      <c r="AA27" s="216"/>
      <c r="AB27" s="214"/>
    </row>
  </sheetData>
  <autoFilter ref="A1:AB1"/>
  <phoneticPr fontId="6"/>
  <pageMargins left="0.75" right="0.75" top="1" bottom="1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8"/>
  <sheetViews>
    <sheetView showGridLines="0" workbookViewId="0">
      <pane ySplit="1" topLeftCell="A2" activePane="bottomLeft" state="frozenSplit"/>
      <selection pane="bottomLeft" activeCell="G33" sqref="G33"/>
    </sheetView>
  </sheetViews>
  <sheetFormatPr baseColWidth="12" defaultColWidth="12.83203125" defaultRowHeight="21" customHeight="1" x14ac:dyDescent="0.15"/>
  <cols>
    <col min="1" max="1" width="16.1640625" style="45" bestFit="1" customWidth="1"/>
    <col min="2" max="2" width="13.33203125" style="45" bestFit="1" customWidth="1"/>
    <col min="3" max="3" width="11.83203125" style="45" bestFit="1" customWidth="1"/>
    <col min="4" max="4" width="14.6640625" style="45" bestFit="1" customWidth="1"/>
    <col min="5" max="5" width="15.6640625" style="45" bestFit="1" customWidth="1"/>
    <col min="6" max="6" width="17" style="45" bestFit="1" customWidth="1"/>
    <col min="7" max="7" width="15.6640625" style="45" bestFit="1" customWidth="1"/>
    <col min="8" max="9" width="14.6640625" style="45" customWidth="1"/>
    <col min="10" max="10" width="14.6640625" style="45" bestFit="1" customWidth="1"/>
    <col min="11" max="11" width="22.83203125" style="35" bestFit="1" customWidth="1"/>
    <col min="12" max="16384" width="12.83203125" style="41"/>
  </cols>
  <sheetData>
    <row r="1" spans="1:11" ht="21" customHeight="1" x14ac:dyDescent="0.15">
      <c r="A1" s="38" t="s">
        <v>84</v>
      </c>
      <c r="B1" s="38" t="s">
        <v>85</v>
      </c>
      <c r="C1" s="38" t="s">
        <v>86</v>
      </c>
      <c r="D1" s="38" t="s">
        <v>87</v>
      </c>
      <c r="E1" s="38" t="s">
        <v>70</v>
      </c>
      <c r="F1" s="46" t="s">
        <v>71</v>
      </c>
      <c r="G1" s="46" t="s">
        <v>72</v>
      </c>
      <c r="H1" s="38" t="s">
        <v>73</v>
      </c>
      <c r="I1" s="38" t="s">
        <v>74</v>
      </c>
      <c r="J1" s="38" t="s">
        <v>75</v>
      </c>
      <c r="K1" s="47" t="s">
        <v>88</v>
      </c>
    </row>
    <row r="2" spans="1:11" ht="21" customHeight="1" x14ac:dyDescent="0.15">
      <c r="A2" s="86">
        <v>15027001</v>
      </c>
      <c r="B2" s="43">
        <v>1</v>
      </c>
      <c r="C2" s="43">
        <v>100</v>
      </c>
      <c r="D2" s="43">
        <v>100</v>
      </c>
      <c r="E2" s="43" t="s">
        <v>53</v>
      </c>
      <c r="F2" s="43" t="s">
        <v>315</v>
      </c>
      <c r="G2" s="43">
        <v>3</v>
      </c>
      <c r="H2" s="43">
        <v>5</v>
      </c>
      <c r="I2" s="43" t="s">
        <v>315</v>
      </c>
      <c r="J2" s="44">
        <f t="shared" ref="J2" si="0">D2</f>
        <v>100</v>
      </c>
    </row>
    <row r="3" spans="1:11" ht="21" customHeight="1" x14ac:dyDescent="0.15">
      <c r="A3" s="86">
        <v>15027002</v>
      </c>
      <c r="B3" s="43">
        <v>0</v>
      </c>
      <c r="C3" s="43">
        <v>99</v>
      </c>
      <c r="D3" s="43">
        <v>100</v>
      </c>
      <c r="E3" s="43" t="s">
        <v>315</v>
      </c>
      <c r="F3" s="43" t="s">
        <v>315</v>
      </c>
      <c r="G3" s="43" t="s">
        <v>53</v>
      </c>
      <c r="H3" s="43">
        <v>2</v>
      </c>
      <c r="I3" s="43" t="s">
        <v>315</v>
      </c>
      <c r="J3" s="44">
        <f t="shared" ref="J3" si="1">D3</f>
        <v>100</v>
      </c>
    </row>
    <row r="4" spans="1:11" ht="21" customHeight="1" x14ac:dyDescent="0.15">
      <c r="A4" s="86">
        <v>15027003</v>
      </c>
      <c r="B4" s="43">
        <v>0</v>
      </c>
      <c r="C4" s="43">
        <v>98</v>
      </c>
      <c r="D4" s="43">
        <v>100</v>
      </c>
      <c r="E4" s="43" t="s">
        <v>315</v>
      </c>
      <c r="F4" s="43">
        <v>66</v>
      </c>
      <c r="G4" s="43" t="s">
        <v>53</v>
      </c>
      <c r="H4" s="43">
        <v>2</v>
      </c>
      <c r="I4" s="43" t="s">
        <v>315</v>
      </c>
      <c r="J4" s="44">
        <f t="shared" ref="J4:J13" si="2">D4</f>
        <v>100</v>
      </c>
    </row>
    <row r="5" spans="1:11" ht="21" customHeight="1" x14ac:dyDescent="0.15">
      <c r="A5" s="86">
        <v>15027004</v>
      </c>
      <c r="B5" s="43">
        <v>0</v>
      </c>
      <c r="C5" s="43">
        <v>99</v>
      </c>
      <c r="D5" s="43">
        <v>100</v>
      </c>
      <c r="E5" s="43" t="s">
        <v>315</v>
      </c>
      <c r="F5" s="43">
        <v>33</v>
      </c>
      <c r="G5" s="43" t="s">
        <v>53</v>
      </c>
      <c r="H5" s="43">
        <v>3</v>
      </c>
      <c r="I5" s="43" t="s">
        <v>315</v>
      </c>
      <c r="J5" s="44">
        <f t="shared" ref="J5:J10" si="3">D5</f>
        <v>100</v>
      </c>
    </row>
    <row r="6" spans="1:11" ht="21" customHeight="1" x14ac:dyDescent="0.15">
      <c r="A6" s="86">
        <v>15027005</v>
      </c>
      <c r="B6" s="43">
        <v>0</v>
      </c>
      <c r="C6" s="43" t="s">
        <v>217</v>
      </c>
      <c r="D6" s="43">
        <v>100</v>
      </c>
      <c r="E6" s="43">
        <v>25</v>
      </c>
      <c r="F6" s="43" t="s">
        <v>315</v>
      </c>
      <c r="G6" s="43" t="s">
        <v>53</v>
      </c>
      <c r="H6" s="43" t="s">
        <v>315</v>
      </c>
      <c r="I6" s="43" t="s">
        <v>315</v>
      </c>
      <c r="J6" s="44">
        <f t="shared" si="3"/>
        <v>100</v>
      </c>
    </row>
    <row r="7" spans="1:11" ht="21" customHeight="1" x14ac:dyDescent="0.15">
      <c r="A7" s="86">
        <v>15027006</v>
      </c>
      <c r="B7" s="43">
        <v>0</v>
      </c>
      <c r="C7" s="43">
        <v>100</v>
      </c>
      <c r="D7" s="43">
        <v>100</v>
      </c>
      <c r="E7" s="43" t="s">
        <v>315</v>
      </c>
      <c r="F7" s="43">
        <v>25</v>
      </c>
      <c r="G7" s="43" t="s">
        <v>53</v>
      </c>
      <c r="H7" s="43" t="s">
        <v>315</v>
      </c>
      <c r="I7" s="43">
        <v>374</v>
      </c>
      <c r="J7" s="44">
        <f t="shared" si="3"/>
        <v>100</v>
      </c>
    </row>
    <row r="8" spans="1:11" ht="21" customHeight="1" x14ac:dyDescent="0.15">
      <c r="A8" s="86">
        <v>15027007</v>
      </c>
      <c r="B8" s="43">
        <v>0</v>
      </c>
      <c r="C8" s="43" t="s">
        <v>218</v>
      </c>
      <c r="D8" s="43">
        <v>100</v>
      </c>
      <c r="E8" s="43" t="s">
        <v>315</v>
      </c>
      <c r="F8" s="43" t="s">
        <v>315</v>
      </c>
      <c r="G8" s="43">
        <v>2</v>
      </c>
      <c r="H8" s="43" t="s">
        <v>315</v>
      </c>
      <c r="I8" s="43" t="s">
        <v>315</v>
      </c>
      <c r="J8" s="44">
        <f t="shared" si="3"/>
        <v>100</v>
      </c>
    </row>
    <row r="9" spans="1:11" ht="21" customHeight="1" x14ac:dyDescent="0.15">
      <c r="A9" s="86">
        <v>15027008</v>
      </c>
      <c r="B9" s="43">
        <v>0</v>
      </c>
      <c r="C9" s="43" t="s">
        <v>218</v>
      </c>
      <c r="D9" s="43">
        <v>100</v>
      </c>
      <c r="E9" s="43" t="s">
        <v>315</v>
      </c>
      <c r="F9" s="43" t="s">
        <v>315</v>
      </c>
      <c r="G9" s="43">
        <v>2</v>
      </c>
      <c r="H9" s="43" t="s">
        <v>315</v>
      </c>
      <c r="I9" s="43" t="s">
        <v>315</v>
      </c>
      <c r="J9" s="44">
        <f t="shared" si="3"/>
        <v>100</v>
      </c>
    </row>
    <row r="10" spans="1:11" ht="21" customHeight="1" x14ac:dyDescent="0.15">
      <c r="A10" s="86">
        <v>15027009</v>
      </c>
      <c r="B10" s="43">
        <v>1</v>
      </c>
      <c r="C10" s="43">
        <v>100</v>
      </c>
      <c r="D10" s="43">
        <v>30</v>
      </c>
      <c r="E10" s="43" t="s">
        <v>315</v>
      </c>
      <c r="F10" s="43">
        <v>80</v>
      </c>
      <c r="G10" s="43">
        <v>3</v>
      </c>
      <c r="H10" s="43" t="s">
        <v>315</v>
      </c>
      <c r="I10" s="43" t="s">
        <v>315</v>
      </c>
      <c r="J10" s="44">
        <f t="shared" si="3"/>
        <v>30</v>
      </c>
    </row>
    <row r="11" spans="1:11" ht="21" customHeight="1" x14ac:dyDescent="0.15">
      <c r="A11" s="86">
        <v>15027010</v>
      </c>
      <c r="B11" s="43">
        <v>0</v>
      </c>
      <c r="C11" s="43">
        <v>99</v>
      </c>
      <c r="D11" s="43">
        <v>30</v>
      </c>
      <c r="E11" s="43">
        <v>75</v>
      </c>
      <c r="F11" s="43">
        <v>30</v>
      </c>
      <c r="G11" s="43">
        <v>3</v>
      </c>
      <c r="H11" s="43" t="s">
        <v>315</v>
      </c>
      <c r="I11" s="43" t="s">
        <v>315</v>
      </c>
      <c r="J11" s="44">
        <f t="shared" si="2"/>
        <v>30</v>
      </c>
    </row>
    <row r="12" spans="1:11" ht="21" customHeight="1" x14ac:dyDescent="0.15">
      <c r="A12" s="86">
        <v>15027011</v>
      </c>
      <c r="B12" s="43">
        <v>0</v>
      </c>
      <c r="C12" s="43">
        <v>98</v>
      </c>
      <c r="D12" s="43">
        <v>30</v>
      </c>
      <c r="E12" s="43">
        <v>50</v>
      </c>
      <c r="F12" s="43" t="s">
        <v>315</v>
      </c>
      <c r="G12" s="43">
        <v>3</v>
      </c>
      <c r="H12" s="43" t="s">
        <v>315</v>
      </c>
      <c r="I12" s="43" t="s">
        <v>315</v>
      </c>
      <c r="J12" s="44">
        <f t="shared" si="2"/>
        <v>30</v>
      </c>
    </row>
    <row r="13" spans="1:11" ht="21" customHeight="1" x14ac:dyDescent="0.15">
      <c r="A13" s="86">
        <v>15027012</v>
      </c>
      <c r="B13" s="43">
        <v>1</v>
      </c>
      <c r="C13" s="43">
        <v>100</v>
      </c>
      <c r="D13" s="43">
        <v>40</v>
      </c>
      <c r="E13" s="43" t="s">
        <v>53</v>
      </c>
      <c r="F13" s="43">
        <v>30</v>
      </c>
      <c r="G13" s="43">
        <v>3</v>
      </c>
      <c r="H13" s="43" t="s">
        <v>315</v>
      </c>
      <c r="I13" s="43" t="s">
        <v>315</v>
      </c>
      <c r="J13" s="44">
        <f t="shared" si="2"/>
        <v>40</v>
      </c>
    </row>
    <row r="14" spans="1:11" ht="21" customHeight="1" x14ac:dyDescent="0.15">
      <c r="A14" s="86">
        <v>15027013</v>
      </c>
      <c r="B14" s="43">
        <v>0</v>
      </c>
      <c r="C14" s="43">
        <v>99</v>
      </c>
      <c r="D14" s="43">
        <v>40</v>
      </c>
      <c r="E14" s="43">
        <v>50</v>
      </c>
      <c r="F14" s="43" t="s">
        <v>315</v>
      </c>
      <c r="G14" s="43">
        <v>3</v>
      </c>
      <c r="H14" s="43" t="s">
        <v>315</v>
      </c>
      <c r="I14" s="43" t="s">
        <v>315</v>
      </c>
      <c r="J14" s="44">
        <f t="shared" ref="J14" si="4">D14</f>
        <v>40</v>
      </c>
    </row>
    <row r="15" spans="1:11" ht="21" customHeight="1" x14ac:dyDescent="0.15">
      <c r="A15" s="86">
        <v>15027014</v>
      </c>
      <c r="B15" s="43">
        <v>0</v>
      </c>
      <c r="C15" s="43" t="s">
        <v>89</v>
      </c>
      <c r="D15" s="43">
        <v>100</v>
      </c>
      <c r="E15" s="43" t="s">
        <v>53</v>
      </c>
      <c r="F15" s="43" t="s">
        <v>315</v>
      </c>
      <c r="G15" s="43">
        <v>2</v>
      </c>
      <c r="H15" s="43" t="s">
        <v>315</v>
      </c>
      <c r="I15" s="43" t="s">
        <v>315</v>
      </c>
      <c r="J15" s="44">
        <f t="shared" ref="J15" si="5">D15</f>
        <v>100</v>
      </c>
    </row>
    <row r="16" spans="1:11" ht="21" customHeight="1" x14ac:dyDescent="0.15">
      <c r="A16" s="86">
        <v>15027015</v>
      </c>
      <c r="B16" s="43">
        <v>0</v>
      </c>
      <c r="C16" s="43" t="s">
        <v>53</v>
      </c>
      <c r="D16" s="43">
        <v>100</v>
      </c>
      <c r="E16" s="43" t="s">
        <v>53</v>
      </c>
      <c r="F16" s="43" t="s">
        <v>315</v>
      </c>
      <c r="G16" s="43">
        <v>2</v>
      </c>
      <c r="H16" s="43" t="s">
        <v>315</v>
      </c>
      <c r="I16" s="43" t="s">
        <v>315</v>
      </c>
      <c r="J16" s="44">
        <f t="shared" ref="J16:J17" si="6">D16</f>
        <v>100</v>
      </c>
    </row>
    <row r="17" spans="1:10" ht="21" customHeight="1" x14ac:dyDescent="0.15">
      <c r="A17" s="86">
        <v>15027016</v>
      </c>
      <c r="B17" s="43">
        <v>1</v>
      </c>
      <c r="C17" s="43">
        <v>100</v>
      </c>
      <c r="D17" s="43">
        <v>50</v>
      </c>
      <c r="E17" s="43" t="s">
        <v>53</v>
      </c>
      <c r="F17" s="43">
        <v>40</v>
      </c>
      <c r="G17" s="43">
        <v>3</v>
      </c>
      <c r="H17" s="43" t="s">
        <v>315</v>
      </c>
      <c r="I17" s="43" t="s">
        <v>315</v>
      </c>
      <c r="J17" s="44">
        <f t="shared" si="6"/>
        <v>50</v>
      </c>
    </row>
    <row r="18" spans="1:10" ht="21" customHeight="1" x14ac:dyDescent="0.15">
      <c r="A18" s="86">
        <v>15027017</v>
      </c>
      <c r="B18" s="43">
        <v>0</v>
      </c>
      <c r="C18" s="43">
        <v>99</v>
      </c>
      <c r="D18" s="43">
        <v>50</v>
      </c>
      <c r="E18" s="43">
        <v>60</v>
      </c>
      <c r="F18" s="43" t="s">
        <v>315</v>
      </c>
      <c r="G18" s="43">
        <v>1</v>
      </c>
      <c r="H18" s="43" t="s">
        <v>315</v>
      </c>
      <c r="I18" s="43" t="s">
        <v>315</v>
      </c>
      <c r="J18" s="44">
        <f t="shared" ref="J18" si="7">D18</f>
        <v>50</v>
      </c>
    </row>
    <row r="19" spans="1:10" ht="21" customHeight="1" x14ac:dyDescent="0.15">
      <c r="A19" s="86">
        <v>15027018</v>
      </c>
      <c r="B19" s="43">
        <v>1</v>
      </c>
      <c r="C19" s="43">
        <v>100</v>
      </c>
      <c r="D19" s="43">
        <v>50</v>
      </c>
      <c r="E19" s="43" t="s">
        <v>53</v>
      </c>
      <c r="F19" s="43">
        <v>40</v>
      </c>
      <c r="G19" s="43">
        <v>3</v>
      </c>
      <c r="H19" s="43" t="s">
        <v>315</v>
      </c>
      <c r="I19" s="43" t="s">
        <v>315</v>
      </c>
      <c r="J19" s="44">
        <f t="shared" ref="J19" si="8">D19</f>
        <v>50</v>
      </c>
    </row>
    <row r="20" spans="1:10" ht="21" customHeight="1" x14ac:dyDescent="0.15">
      <c r="A20" s="86">
        <v>15027019</v>
      </c>
      <c r="B20" s="43">
        <v>0</v>
      </c>
      <c r="C20" s="43">
        <v>99</v>
      </c>
      <c r="D20" s="43">
        <v>50</v>
      </c>
      <c r="E20" s="43">
        <v>60</v>
      </c>
      <c r="F20" s="43" t="s">
        <v>315</v>
      </c>
      <c r="G20" s="43">
        <v>1</v>
      </c>
      <c r="H20" s="43" t="s">
        <v>315</v>
      </c>
      <c r="I20" s="43" t="s">
        <v>315</v>
      </c>
      <c r="J20" s="44">
        <f t="shared" ref="J20:J22" si="9">D20</f>
        <v>50</v>
      </c>
    </row>
    <row r="21" spans="1:10" ht="21" customHeight="1" x14ac:dyDescent="0.15">
      <c r="A21" s="86">
        <v>15027020</v>
      </c>
      <c r="B21" s="43">
        <v>0</v>
      </c>
      <c r="C21" s="43" t="s">
        <v>316</v>
      </c>
      <c r="D21" s="43">
        <v>100</v>
      </c>
      <c r="E21" s="43" t="s">
        <v>317</v>
      </c>
      <c r="F21" s="43" t="s">
        <v>315</v>
      </c>
      <c r="G21" s="43">
        <v>1</v>
      </c>
      <c r="H21" s="43">
        <v>8</v>
      </c>
      <c r="I21" s="43" t="s">
        <v>315</v>
      </c>
      <c r="J21" s="44">
        <f t="shared" si="9"/>
        <v>100</v>
      </c>
    </row>
    <row r="22" spans="1:10" ht="21" customHeight="1" x14ac:dyDescent="0.15">
      <c r="A22" s="86">
        <v>15027021</v>
      </c>
      <c r="B22" s="43">
        <v>0</v>
      </c>
      <c r="C22" s="43" t="s">
        <v>316</v>
      </c>
      <c r="D22" s="43">
        <v>100</v>
      </c>
      <c r="E22" s="43" t="s">
        <v>317</v>
      </c>
      <c r="F22" s="43" t="s">
        <v>315</v>
      </c>
      <c r="G22" s="43">
        <v>1</v>
      </c>
      <c r="H22" s="43">
        <v>8</v>
      </c>
      <c r="I22" s="43" t="s">
        <v>315</v>
      </c>
      <c r="J22" s="44">
        <f t="shared" si="9"/>
        <v>100</v>
      </c>
    </row>
    <row r="23" spans="1:10" ht="21" customHeight="1" x14ac:dyDescent="0.15">
      <c r="A23" s="86">
        <v>15027022</v>
      </c>
      <c r="B23" s="43">
        <v>1</v>
      </c>
      <c r="C23" s="43">
        <v>100</v>
      </c>
      <c r="D23" s="43">
        <v>50</v>
      </c>
      <c r="E23" s="43" t="s">
        <v>317</v>
      </c>
      <c r="F23" s="43" t="s">
        <v>315</v>
      </c>
      <c r="G23" s="43">
        <v>3</v>
      </c>
      <c r="H23" s="43" t="s">
        <v>315</v>
      </c>
      <c r="I23" s="43" t="s">
        <v>315</v>
      </c>
      <c r="J23" s="44">
        <f t="shared" ref="J23" si="10">D23</f>
        <v>50</v>
      </c>
    </row>
    <row r="24" spans="1:10" ht="21" customHeight="1" x14ac:dyDescent="0.15">
      <c r="A24" s="86">
        <v>15027023</v>
      </c>
      <c r="B24" s="43">
        <v>0</v>
      </c>
      <c r="C24" s="43">
        <v>90</v>
      </c>
      <c r="D24" s="43">
        <v>50</v>
      </c>
      <c r="E24" s="43" t="s">
        <v>317</v>
      </c>
      <c r="F24" s="43" t="s">
        <v>315</v>
      </c>
      <c r="G24" s="43">
        <v>3</v>
      </c>
      <c r="H24" s="43" t="s">
        <v>315</v>
      </c>
      <c r="I24" s="43" t="s">
        <v>315</v>
      </c>
      <c r="J24" s="44">
        <f t="shared" ref="J24" si="11">D24</f>
        <v>50</v>
      </c>
    </row>
    <row r="25" spans="1:10" ht="21" customHeight="1" x14ac:dyDescent="0.15">
      <c r="A25" s="86">
        <v>15027024</v>
      </c>
      <c r="B25" s="43">
        <v>1</v>
      </c>
      <c r="C25" s="43">
        <v>100</v>
      </c>
      <c r="D25" s="43">
        <v>50</v>
      </c>
      <c r="E25" s="43" t="s">
        <v>53</v>
      </c>
      <c r="F25" s="43" t="s">
        <v>90</v>
      </c>
      <c r="G25" s="43">
        <v>3</v>
      </c>
      <c r="H25" s="43" t="s">
        <v>216</v>
      </c>
      <c r="I25" s="43" t="s">
        <v>90</v>
      </c>
      <c r="J25" s="44">
        <f t="shared" ref="J25" si="12">D25</f>
        <v>50</v>
      </c>
    </row>
    <row r="26" spans="1:10" ht="21" customHeight="1" x14ac:dyDescent="0.15">
      <c r="A26" s="86">
        <v>15027025</v>
      </c>
      <c r="B26" s="43">
        <v>0</v>
      </c>
      <c r="C26" s="43">
        <v>90</v>
      </c>
      <c r="D26" s="43">
        <v>50</v>
      </c>
      <c r="E26" s="43" t="s">
        <v>53</v>
      </c>
      <c r="F26" s="43" t="s">
        <v>90</v>
      </c>
      <c r="G26" s="43">
        <v>3</v>
      </c>
      <c r="H26" s="43" t="s">
        <v>213</v>
      </c>
      <c r="I26" s="43" t="s">
        <v>90</v>
      </c>
      <c r="J26" s="44">
        <f t="shared" ref="J26" si="13">D26</f>
        <v>50</v>
      </c>
    </row>
    <row r="27" spans="1:10" ht="21" customHeight="1" x14ac:dyDescent="0.15">
      <c r="A27" s="86">
        <v>15027026</v>
      </c>
      <c r="B27" s="43">
        <v>0</v>
      </c>
      <c r="C27" s="43">
        <v>80</v>
      </c>
      <c r="D27" s="43">
        <v>80</v>
      </c>
      <c r="E27" s="43" t="s">
        <v>53</v>
      </c>
      <c r="F27" s="43" t="s">
        <v>90</v>
      </c>
      <c r="G27" s="43">
        <v>3</v>
      </c>
      <c r="H27" s="43" t="s">
        <v>53</v>
      </c>
      <c r="I27" s="43" t="s">
        <v>90</v>
      </c>
      <c r="J27" s="44">
        <f t="shared" ref="J27" si="14">D27</f>
        <v>80</v>
      </c>
    </row>
    <row r="28" spans="1:10" ht="21" customHeight="1" x14ac:dyDescent="0.15">
      <c r="A28" s="86">
        <v>15027027</v>
      </c>
      <c r="B28" s="43">
        <v>0</v>
      </c>
      <c r="C28" s="43">
        <v>80</v>
      </c>
      <c r="D28" s="43">
        <v>80</v>
      </c>
      <c r="E28" s="43" t="s">
        <v>53</v>
      </c>
      <c r="F28" s="43" t="s">
        <v>90</v>
      </c>
      <c r="G28" s="43">
        <v>3</v>
      </c>
      <c r="H28" s="43" t="s">
        <v>53</v>
      </c>
      <c r="I28" s="43" t="s">
        <v>90</v>
      </c>
      <c r="J28" s="44">
        <f t="shared" ref="J28" si="15">D28</f>
        <v>80</v>
      </c>
    </row>
  </sheetData>
  <autoFilter ref="A1:G1"/>
  <phoneticPr fontId="6"/>
  <conditionalFormatting sqref="K29:K1048576 K1:K2">
    <cfRule type="duplicateValues" dxfId="15" priority="58"/>
  </conditionalFormatting>
  <conditionalFormatting sqref="K3">
    <cfRule type="duplicateValues" dxfId="14" priority="57"/>
  </conditionalFormatting>
  <conditionalFormatting sqref="K15">
    <cfRule type="duplicateValues" dxfId="13" priority="55"/>
  </conditionalFormatting>
  <conditionalFormatting sqref="K4:K10">
    <cfRule type="duplicateValues" dxfId="12" priority="54"/>
  </conditionalFormatting>
  <conditionalFormatting sqref="K11">
    <cfRule type="duplicateValues" dxfId="11" priority="53"/>
  </conditionalFormatting>
  <conditionalFormatting sqref="K12">
    <cfRule type="duplicateValues" dxfId="10" priority="52"/>
  </conditionalFormatting>
  <conditionalFormatting sqref="K13">
    <cfRule type="duplicateValues" dxfId="9" priority="51"/>
  </conditionalFormatting>
  <conditionalFormatting sqref="K16">
    <cfRule type="duplicateValues" dxfId="8" priority="50"/>
  </conditionalFormatting>
  <conditionalFormatting sqref="K17">
    <cfRule type="duplicateValues" dxfId="7" priority="42"/>
  </conditionalFormatting>
  <conditionalFormatting sqref="K18">
    <cfRule type="duplicateValues" dxfId="6" priority="41"/>
  </conditionalFormatting>
  <conditionalFormatting sqref="K14">
    <cfRule type="duplicateValues" dxfId="5" priority="31"/>
  </conditionalFormatting>
  <conditionalFormatting sqref="K19">
    <cfRule type="duplicateValues" dxfId="4" priority="30"/>
  </conditionalFormatting>
  <conditionalFormatting sqref="K20">
    <cfRule type="duplicateValues" dxfId="3" priority="29"/>
  </conditionalFormatting>
  <conditionalFormatting sqref="K27">
    <cfRule type="duplicateValues" dxfId="2" priority="24"/>
  </conditionalFormatting>
  <conditionalFormatting sqref="K28">
    <cfRule type="duplicateValues" dxfId="1" priority="23"/>
  </conditionalFormatting>
  <conditionalFormatting sqref="K21:K26">
    <cfRule type="duplicateValues" dxfId="0" priority="60"/>
  </conditionalFormatting>
  <printOptions gridLines="1"/>
  <pageMargins left="0.75" right="0.75" top="1" bottom="1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8"/>
  <sheetViews>
    <sheetView showGridLines="0" topLeftCell="B1" workbookViewId="0">
      <selection activeCell="M31" sqref="M31"/>
    </sheetView>
  </sheetViews>
  <sheetFormatPr baseColWidth="12" defaultColWidth="12.83203125" defaultRowHeight="21" customHeight="1" outlineLevelCol="1" x14ac:dyDescent="0.15"/>
  <cols>
    <col min="1" max="1" width="11.33203125" style="35" bestFit="1" customWidth="1"/>
    <col min="2" max="2" width="9.5" style="45" bestFit="1" customWidth="1"/>
    <col min="3" max="3" width="9.6640625" style="45" customWidth="1"/>
    <col min="4" max="4" width="18.5" style="45" customWidth="1" outlineLevel="1"/>
    <col min="5" max="5" width="44.1640625" style="45" bestFit="1" customWidth="1" outlineLevel="1"/>
    <col min="6" max="6" width="10.83203125" style="45" bestFit="1" customWidth="1"/>
    <col min="7" max="7" width="8.33203125" style="45" bestFit="1" customWidth="1" outlineLevel="1"/>
    <col min="8" max="9" width="12.83203125" style="45" outlineLevel="1"/>
    <col min="10" max="10" width="17.6640625" style="45" bestFit="1" customWidth="1" outlineLevel="1"/>
    <col min="11" max="15" width="12.83203125" style="45" outlineLevel="1"/>
    <col min="16" max="16" width="8.33203125" style="41" bestFit="1" customWidth="1"/>
    <col min="17" max="17" width="9.6640625" style="41" customWidth="1"/>
    <col min="18" max="18" width="56.5" style="41" bestFit="1" customWidth="1"/>
    <col min="19" max="16384" width="12.83203125" style="41"/>
  </cols>
  <sheetData>
    <row r="1" spans="1:18" ht="21" customHeight="1" x14ac:dyDescent="0.15">
      <c r="A1" s="35" t="s">
        <v>60</v>
      </c>
      <c r="B1" s="36" t="s">
        <v>61</v>
      </c>
      <c r="C1" s="36" t="s">
        <v>62</v>
      </c>
      <c r="D1" s="37" t="s">
        <v>63</v>
      </c>
      <c r="E1" s="37" t="s">
        <v>64</v>
      </c>
      <c r="F1" s="38" t="s">
        <v>65</v>
      </c>
      <c r="G1" s="39" t="s">
        <v>66</v>
      </c>
      <c r="H1" s="39" t="s">
        <v>68</v>
      </c>
      <c r="I1" s="39" t="s">
        <v>69</v>
      </c>
      <c r="J1" s="39" t="s">
        <v>70</v>
      </c>
      <c r="K1" s="40" t="s">
        <v>71</v>
      </c>
      <c r="L1" s="40" t="s">
        <v>72</v>
      </c>
      <c r="M1" s="39" t="s">
        <v>73</v>
      </c>
      <c r="N1" s="39" t="s">
        <v>74</v>
      </c>
      <c r="O1" s="39" t="s">
        <v>75</v>
      </c>
      <c r="P1" s="37" t="s">
        <v>76</v>
      </c>
      <c r="Q1" s="37" t="s">
        <v>77</v>
      </c>
      <c r="R1" s="37" t="s">
        <v>78</v>
      </c>
    </row>
    <row r="2" spans="1:18" ht="21" customHeight="1" x14ac:dyDescent="0.15">
      <c r="A2" s="35" t="str">
        <f t="shared" ref="A2" si="0">B2&amp;"_"&amp;C2</f>
        <v>15027001_15027001</v>
      </c>
      <c r="B2" s="43">
        <v>15027001</v>
      </c>
      <c r="C2" s="43">
        <v>15027001</v>
      </c>
      <c r="D2" s="42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オプティカルジャマー</v>
      </c>
      <c r="E2" s="42" t="str">
        <f ca="1">VLOOKUP($C2,OFFSET(enemy_skills!$A$1,0,0,COUNTA(enemy_skills!$A:$A),MATCH(E$1,enemy_skills!$1:$1,0)-MATCH("enemy_skill_id",enemy_skills!$1:$1,0)+1),MATCH(E$1,enemy_skills!$1:$1,0)-MATCH("enemy_skill_id",enemy_skills!$1:$1,0)+1,FALSE)</f>
        <v>8ターンの間 パネルの色が分からなくなる !</v>
      </c>
      <c r="F2" s="43">
        <v>15027001</v>
      </c>
      <c r="G2" s="44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4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4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4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4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4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" s="44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" s="44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4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3"/>
      <c r="Q2" s="43"/>
      <c r="R2" s="43"/>
    </row>
    <row r="3" spans="1:18" ht="21" customHeight="1" x14ac:dyDescent="0.15">
      <c r="A3" s="35" t="str">
        <f t="shared" ref="A3" si="1">B3&amp;"_"&amp;C3</f>
        <v>15027001_15027002</v>
      </c>
      <c r="B3" s="43">
        <v>15027001</v>
      </c>
      <c r="C3" s="43">
        <v>15027002</v>
      </c>
      <c r="D3" s="42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ヤミウチゴメン</v>
      </c>
      <c r="E3" s="42" t="str">
        <f ca="1">VLOOKUP($C3,OFFSET(enemy_skills!$A$1,0,0,COUNTA(enemy_skills!$A:$A),MATCH(E$1,enemy_skills!$1:$1,0)-MATCH("enemy_skill_id",enemy_skills!$1:$1,0)+1),MATCH(E$1,enemy_skills!$1:$1,0)-MATCH("enemy_skill_id",enemy_skills!$1:$1,0)+1,FALSE)</f>
        <v>暗闇状態のユニットに大ダメージ</v>
      </c>
      <c r="F3" s="43">
        <v>15027002</v>
      </c>
      <c r="G3" s="44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4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" s="44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4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4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4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4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4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4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3"/>
      <c r="Q3" s="43"/>
      <c r="R3" s="43"/>
    </row>
    <row r="4" spans="1:18" ht="21" customHeight="1" x14ac:dyDescent="0.15">
      <c r="A4" s="35" t="str">
        <f t="shared" ref="A4:A7" si="2">B4&amp;"_"&amp;C4</f>
        <v>15027002_15027003</v>
      </c>
      <c r="B4" s="43">
        <v>15027002</v>
      </c>
      <c r="C4" s="43">
        <v>15027003</v>
      </c>
      <c r="D4" s="42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ハートフルブッダ</v>
      </c>
      <c r="E4" s="42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パネルをランダムで20個ハートに変換</v>
      </c>
      <c r="F4" s="43">
        <v>15027003</v>
      </c>
      <c r="G4" s="44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4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4" s="44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4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4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66</v>
      </c>
      <c r="L4" s="44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4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4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4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3"/>
      <c r="Q4" s="43"/>
      <c r="R4" s="43"/>
    </row>
    <row r="5" spans="1:18" ht="21" customHeight="1" x14ac:dyDescent="0.15">
      <c r="A5" s="35" t="str">
        <f t="shared" si="2"/>
        <v>15027002_15027004</v>
      </c>
      <c r="B5" s="43">
        <v>15027002</v>
      </c>
      <c r="C5" s="43">
        <v>15027004</v>
      </c>
      <c r="D5" s="42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ミホトケノジヒ</v>
      </c>
      <c r="E5" s="42" t="str">
        <f ca="1">VLOOKUP($C5,OFFSET(enemy_skills!$A$1,0,0,COUNTA(enemy_skills!$A:$A),MATCH(E$1,enemy_skills!$1:$1,0)-MATCH("enemy_skill_id",enemy_skills!$1:$1,0)+1),MATCH(E$1,enemy_skills!$1:$1,0)-MATCH("enemy_skill_id",enemy_skills!$1:$1,0)+1,FALSE)</f>
        <v>全ユニットの状態異常を解除してくれた</v>
      </c>
      <c r="F5" s="43">
        <v>15027004</v>
      </c>
      <c r="G5" s="44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4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" s="44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4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4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33</v>
      </c>
      <c r="L5" s="44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4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" s="44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4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3"/>
      <c r="Q5" s="43"/>
      <c r="R5" s="43"/>
    </row>
    <row r="6" spans="1:18" ht="21" customHeight="1" x14ac:dyDescent="0.15">
      <c r="A6" s="35" t="str">
        <f t="shared" si="2"/>
        <v>15027002_15027005</v>
      </c>
      <c r="B6" s="43">
        <v>15027002</v>
      </c>
      <c r="C6" s="43">
        <v>15027005</v>
      </c>
      <c r="D6" s="42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ブツメツクラッシャー</v>
      </c>
      <c r="E6" s="42" t="str">
        <f ca="1">VLOOKUP($C6,OFFSET(enemy_skills!$A$1,0,0,COUNTA(enemy_skills!$A:$A),MATCH(E$1,enemy_skills!$1:$1,0)-MATCH("enemy_skill_id",enemy_skills!$1:$1,0)+1),MATCH(E$1,enemy_skills!$1:$1,0)-MATCH("enemy_skill_id",enemy_skills!$1:$1,0)+1,FALSE)</f>
        <v>突然弾け飛んだ！</v>
      </c>
      <c r="F6" s="43">
        <v>15027005</v>
      </c>
      <c r="G6" s="44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4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4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4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6" s="44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4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4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4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4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3"/>
      <c r="Q6" s="43"/>
      <c r="R6" s="43"/>
    </row>
    <row r="7" spans="1:18" ht="21" customHeight="1" x14ac:dyDescent="0.15">
      <c r="A7" s="35" t="str">
        <f t="shared" si="2"/>
        <v>15027002_15027006</v>
      </c>
      <c r="B7" s="43">
        <v>15027002</v>
      </c>
      <c r="C7" s="43">
        <v>15027006</v>
      </c>
      <c r="D7" s="42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ピースフルマインド</v>
      </c>
      <c r="E7" s="42" t="str">
        <f ca="1">VLOOKUP($C7,OFFSET(enemy_skills!$A$1,0,0,COUNTA(enemy_skills!$A:$A),MATCH(E$1,enemy_skills!$1:$1,0)-MATCH("enemy_skill_id",enemy_skills!$1:$1,0)+1),MATCH(E$1,enemy_skills!$1:$1,0)-MATCH("enemy_skill_id",enemy_skills!$1:$1,0)+1,FALSE)</f>
        <v>全ユニットの状態異常を解除_x000D_＆パネルをランダムで10個ハートに変換_x000D_＆撤退</v>
      </c>
      <c r="F7" s="43">
        <v>15027006</v>
      </c>
      <c r="G7" s="44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4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4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4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4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25</v>
      </c>
      <c r="L7" s="44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4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4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374</v>
      </c>
      <c r="O7" s="44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3"/>
      <c r="Q7" s="43"/>
      <c r="R7" s="43"/>
    </row>
    <row r="8" spans="1:18" ht="21" customHeight="1" x14ac:dyDescent="0.15">
      <c r="A8" s="35" t="str">
        <f t="shared" ref="A8:A9" si="3">B8&amp;"_"&amp;C8</f>
        <v>15027003_15027007</v>
      </c>
      <c r="B8" s="43">
        <v>15027003</v>
      </c>
      <c r="C8" s="43">
        <v>15027007</v>
      </c>
      <c r="D8" s="42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レッドクラッシャー</v>
      </c>
      <c r="E8" s="42" t="str">
        <f ca="1">VLOOKUP($C8,OFFSET(enemy_skills!$A$1,0,0,COUNTA(enemy_skills!$A:$A),MATCH(E$1,enemy_skills!$1:$1,0)-MATCH("enemy_skill_id",enemy_skills!$1:$1,0)+1),MATCH(E$1,enemy_skills!$1:$1,0)-MATCH("enemy_skill_id",enemy_skills!$1:$1,0)+1,FALSE)</f>
        <v>赤属性に対して大ダメージの全体攻撃</v>
      </c>
      <c r="F8" s="43">
        <v>15027007</v>
      </c>
      <c r="G8" s="44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4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4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4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4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4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8" s="44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4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4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3"/>
      <c r="Q8" s="43"/>
      <c r="R8" s="43"/>
    </row>
    <row r="9" spans="1:18" ht="21" customHeight="1" x14ac:dyDescent="0.15">
      <c r="A9" s="35" t="str">
        <f t="shared" si="3"/>
        <v>15027004_15027008</v>
      </c>
      <c r="B9" s="43">
        <v>15027004</v>
      </c>
      <c r="C9" s="43">
        <v>15027008</v>
      </c>
      <c r="D9" s="42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ブルークラッシャー</v>
      </c>
      <c r="E9" s="42" t="str">
        <f ca="1">VLOOKUP($C9,OFFSET(enemy_skills!$A$1,0,0,COUNTA(enemy_skills!$A:$A),MATCH(E$1,enemy_skills!$1:$1,0)-MATCH("enemy_skill_id",enemy_skills!$1:$1,0)+1),MATCH(E$1,enemy_skills!$1:$1,0)-MATCH("enemy_skill_id",enemy_skills!$1:$1,0)+1,FALSE)</f>
        <v>青属性に対して大ダメージの全体攻撃</v>
      </c>
      <c r="F9" s="43">
        <v>15027008</v>
      </c>
      <c r="G9" s="44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4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4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4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4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4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9" s="44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4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4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3"/>
      <c r="Q9" s="43"/>
      <c r="R9" s="43"/>
    </row>
    <row r="10" spans="1:18" ht="21" customHeight="1" x14ac:dyDescent="0.15">
      <c r="A10" s="35" t="str">
        <f t="shared" ref="A10" si="4">B10&amp;"_"&amp;C10</f>
        <v>15027005_15027009</v>
      </c>
      <c r="B10" s="43">
        <v>15027005</v>
      </c>
      <c r="C10" s="43">
        <v>15027009</v>
      </c>
      <c r="D10" s="42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安寧への誘い</v>
      </c>
      <c r="E10" s="42" t="str">
        <f ca="1">VLOOKUP($C10,OFFSET(enemy_skills!$A$1,0,0,COUNTA(enemy_skills!$A:$A),MATCH(E$1,enemy_skills!$1:$1,0)-MATCH("enemy_skill_id",enemy_skills!$1:$1,0)+1),MATCH(E$1,enemy_skills!$1:$1,0)-MATCH("enemy_skill_id",enemy_skills!$1:$1,0)+1,FALSE)</f>
        <v>一定確率で5ターン緑属性のユニットをスリープ</v>
      </c>
      <c r="F10" s="43">
        <v>15027009</v>
      </c>
      <c r="G10" s="44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4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44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0" s="44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4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80</v>
      </c>
      <c r="L10" s="44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0" s="44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4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4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0" s="43"/>
      <c r="Q10" s="43"/>
      <c r="R10" s="43"/>
    </row>
    <row r="11" spans="1:18" ht="21" customHeight="1" x14ac:dyDescent="0.15">
      <c r="A11" s="35" t="str">
        <f t="shared" ref="A11" si="5">B11&amp;"_"&amp;C11</f>
        <v>15027005_15027010</v>
      </c>
      <c r="B11" s="43">
        <v>15027005</v>
      </c>
      <c r="C11" s="43">
        <v>15027010</v>
      </c>
      <c r="D11" s="42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孤独の支配</v>
      </c>
      <c r="E11" s="42" t="str">
        <f ca="1">VLOOKUP($C11,OFFSET(enemy_skills!$A$1,0,0,COUNTA(enemy_skills!$A:$A),MATCH(E$1,enemy_skills!$1:$1,0)-MATCH("enemy_skill_id",enemy_skills!$1:$1,0)+1),MATCH(E$1,enemy_skills!$1:$1,0)-MATCH("enemy_skill_id",enemy_skills!$1:$1,0)+1,FALSE)</f>
        <v>一定確率で4ターンスキルバインド</v>
      </c>
      <c r="F11" s="43">
        <v>15027010</v>
      </c>
      <c r="G11" s="44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4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1" s="44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1" s="44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11" s="44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30</v>
      </c>
      <c r="L11" s="44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1" s="44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4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4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1" s="43"/>
      <c r="Q11" s="43"/>
      <c r="R11" s="43"/>
    </row>
    <row r="12" spans="1:18" ht="21" customHeight="1" x14ac:dyDescent="0.15">
      <c r="A12" s="35" t="str">
        <f t="shared" ref="A12" si="6">B12&amp;"_"&amp;C12</f>
        <v>15027005_15027011</v>
      </c>
      <c r="B12" s="43">
        <v>15027005</v>
      </c>
      <c r="C12" s="43">
        <v>15027011</v>
      </c>
      <c r="D12" s="42" t="str">
        <f ca="1">VLOOKUP($C12,OFFSET(enemy_skills!$A$1,0,0,COUNTA(enemy_skills!$A:$A),MATCH(D$1,enemy_skills!$1:$1,0)-MATCH("enemy_skill_id",enemy_skills!$1:$1,0)+1),MATCH(D$1,enemy_skills!$1:$1,0)-MATCH("enemy_skill_id",enemy_skills!$1:$1,0)+1,FALSE)</f>
        <v>耐えられない孤独</v>
      </c>
      <c r="E12" s="42" t="str">
        <f ca="1">VLOOKUP($C12,OFFSET(enemy_skills!$A$1,0,0,COUNTA(enemy_skills!$A:$A),MATCH(E$1,enemy_skills!$1:$1,0)-MATCH("enemy_skill_id",enemy_skills!$1:$1,0)+1),MATCH(E$1,enemy_skills!$1:$1,0)-MATCH("enemy_skill_id",enemy_skills!$1:$1,0)+1,FALSE)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2" s="43">
        <v>15027011</v>
      </c>
      <c r="G12" s="44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4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2" s="44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2" s="44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" s="44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4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2" s="44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4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4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2" s="43"/>
      <c r="Q12" s="43"/>
      <c r="R12" s="43"/>
    </row>
    <row r="13" spans="1:18" ht="21" customHeight="1" x14ac:dyDescent="0.15">
      <c r="A13" s="35" t="str">
        <f t="shared" ref="A13:A15" si="7">B13&amp;"_"&amp;C13</f>
        <v>15027006_15027012</v>
      </c>
      <c r="B13" s="43">
        <v>15027006</v>
      </c>
      <c r="C13" s="43">
        <v>15027012</v>
      </c>
      <c r="D13" s="42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クレイモア</v>
      </c>
      <c r="E13" s="42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パネル3個を時限式パネルに変換_x000D_＋黄パネル3個をハートパネルに変換</v>
      </c>
      <c r="F13" s="43">
        <v>15027012</v>
      </c>
      <c r="G13" s="44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4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4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3" s="44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4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30</v>
      </c>
      <c r="L13" s="44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3" s="44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4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4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3" s="43"/>
      <c r="Q13" s="43"/>
      <c r="R13" s="43"/>
    </row>
    <row r="14" spans="1:18" ht="21" customHeight="1" x14ac:dyDescent="0.15">
      <c r="A14" s="35" t="str">
        <f t="shared" si="7"/>
        <v>15027006_15027013</v>
      </c>
      <c r="B14" s="43">
        <v>15027006</v>
      </c>
      <c r="C14" s="43">
        <v>15027013</v>
      </c>
      <c r="D14" s="42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トトブラスター</v>
      </c>
      <c r="E14" s="42" t="str">
        <f ca="1">VLOOKUP($C14,OFFSET(enemy_skills!$A$1,0,0,COUNTA(enemy_skills!$A:$A),MATCH(E$1,enemy_skills!$1:$1,0)-MATCH("enemy_skill_id",enemy_skills!$1:$1,0)+1),MATCH(E$1,enemy_skills!$1:$1,0)-MATCH("enemy_skill_id",enemy_skills!$1:$1,0)+1,FALSE)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14" s="43">
        <v>15027013</v>
      </c>
      <c r="G14" s="44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4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4" s="44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4" s="44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4" s="44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4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4" s="44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4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4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4" s="43"/>
      <c r="Q14" s="43"/>
      <c r="R14" s="43"/>
    </row>
    <row r="15" spans="1:18" ht="21" customHeight="1" x14ac:dyDescent="0.15">
      <c r="A15" s="35" t="str">
        <f t="shared" si="7"/>
        <v>15027007_15027014</v>
      </c>
      <c r="B15" s="43">
        <v>15027007</v>
      </c>
      <c r="C15" s="43">
        <v>15027014</v>
      </c>
      <c r="D15" s="42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ドラゴニックハンター</v>
      </c>
      <c r="E15" s="42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種族アニマルのユニットに大ダメージ_x000D_＆5ターンスキルバインド</v>
      </c>
      <c r="F15" s="43">
        <v>15027014</v>
      </c>
      <c r="G15" s="44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4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4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4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4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4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5" s="44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4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4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3"/>
      <c r="Q15" s="43"/>
      <c r="R15" s="43"/>
    </row>
    <row r="16" spans="1:18" ht="21" customHeight="1" x14ac:dyDescent="0.15">
      <c r="A16" s="35" t="str">
        <f t="shared" ref="A16:A17" si="8">B16&amp;"_"&amp;C16</f>
        <v>15027008_15027015</v>
      </c>
      <c r="B16" s="43">
        <v>15027008</v>
      </c>
      <c r="C16" s="43">
        <v>15027015</v>
      </c>
      <c r="D16" s="42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ウルトラタイガークラッシャー</v>
      </c>
      <c r="E16" s="42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テクニカルタイプのユニットに大ダメージ</v>
      </c>
      <c r="F16" s="43">
        <v>15027015</v>
      </c>
      <c r="G16" s="44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4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4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4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4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4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6" s="44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4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4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3"/>
      <c r="Q16" s="43"/>
      <c r="R16" s="43"/>
    </row>
    <row r="17" spans="1:18" ht="21" customHeight="1" x14ac:dyDescent="0.15">
      <c r="A17" s="35" t="str">
        <f t="shared" si="8"/>
        <v>15027009_15027016</v>
      </c>
      <c r="B17" s="43">
        <v>15027009</v>
      </c>
      <c r="C17" s="43">
        <v>15027016</v>
      </c>
      <c r="D17" s="42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カタラクトインバース</v>
      </c>
      <c r="E17" s="42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全てのCパネルが縮小</v>
      </c>
      <c r="F17" s="43">
        <v>15027016</v>
      </c>
      <c r="G17" s="44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4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4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7" s="44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4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40</v>
      </c>
      <c r="L17" s="44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7" s="44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4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4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7" s="43"/>
      <c r="Q17" s="43"/>
      <c r="R17" s="43"/>
    </row>
    <row r="18" spans="1:18" ht="21" customHeight="1" x14ac:dyDescent="0.15">
      <c r="A18" s="35" t="str">
        <f t="shared" ref="A18" si="9">B18&amp;"_"&amp;C18</f>
        <v>15027009_15027017</v>
      </c>
      <c r="B18" s="43">
        <v>15027009</v>
      </c>
      <c r="C18" s="43">
        <v>15027017</v>
      </c>
      <c r="D18" s="42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ディープオーシャン</v>
      </c>
      <c r="E18" s="42" t="str">
        <f ca="1">VLOOKUP($C18,OFFSET(enemy_skills!$A$1,0,0,COUNTA(enemy_skills!$A:$A),MATCH(E$1,enemy_skills!$1:$1,0)-MATCH("enemy_skill_id",enemy_skills!$1:$1,0)+1),MATCH(E$1,enemy_skills!$1:$1,0)-MATCH("enemy_skill_id",enemy_skills!$1:$1,0)+1,FALSE)</f>
        <v>3ターンの間 種族ヒューマン からの_x000D_攻撃スキルを無効化</v>
      </c>
      <c r="F18" s="43">
        <v>15027017</v>
      </c>
      <c r="G18" s="44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4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8" s="44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8" s="44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18" s="44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4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4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4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4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8" s="43"/>
      <c r="Q18" s="43"/>
      <c r="R18" s="43"/>
    </row>
    <row r="19" spans="1:18" ht="21" customHeight="1" x14ac:dyDescent="0.15">
      <c r="A19" s="35" t="str">
        <f t="shared" ref="A19:A27" si="10">B19&amp;"_"&amp;C19</f>
        <v>15027010_15027018</v>
      </c>
      <c r="B19" s="43">
        <v>15027010</v>
      </c>
      <c r="C19" s="43">
        <v>15027018</v>
      </c>
      <c r="D19" s="42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フルリール・アメール</v>
      </c>
      <c r="E19" s="42" t="str">
        <f ca="1">VLOOKUP($C19,OFFSET(enemy_skills!$A$1,0,0,COUNTA(enemy_skills!$A:$A),MATCH(E$1,enemy_skills!$1:$1,0)-MATCH("enemy_skill_id",enemy_skills!$1:$1,0)+1),MATCH(E$1,enemy_skills!$1:$1,0)-MATCH("enemy_skill_id",enemy_skills!$1:$1,0)+1,FALSE)</f>
        <v>2ターンの間 全ユニットの_x000D_攻撃力と回復力が特大ダウン</v>
      </c>
      <c r="F19" s="43">
        <v>15027018</v>
      </c>
      <c r="G19" s="44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4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4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9" s="44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4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40</v>
      </c>
      <c r="L19" s="44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9" s="44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4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4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9" s="43"/>
      <c r="Q19" s="43"/>
      <c r="R19" s="43"/>
    </row>
    <row r="20" spans="1:18" ht="21" customHeight="1" x14ac:dyDescent="0.15">
      <c r="A20" s="35" t="str">
        <f t="shared" si="10"/>
        <v>15027010_15027019</v>
      </c>
      <c r="B20" s="43">
        <v>15027010</v>
      </c>
      <c r="C20" s="43">
        <v>15027019</v>
      </c>
      <c r="D20" s="42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ガーディアンハート</v>
      </c>
      <c r="E20" s="42" t="str">
        <f ca="1">VLOOKUP($C20,OFFSET(enemy_skills!$A$1,0,0,COUNTA(enemy_skills!$A:$A),MATCH(E$1,enemy_skills!$1:$1,0)-MATCH("enemy_skill_id",enemy_skills!$1:$1,0)+1),MATCH(E$1,enemy_skills!$1:$1,0)-MATCH("enemy_skill_id",enemy_skills!$1:$1,0)+1,FALSE)</f>
        <v>3ターンの間 種族アニマルからの攻撃スキルを無効化</v>
      </c>
      <c r="F20" s="43">
        <v>15027019</v>
      </c>
      <c r="G20" s="44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4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0" s="44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0" s="44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20" s="44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4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4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4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4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0" s="43"/>
      <c r="Q20" s="43"/>
      <c r="R20" s="43"/>
    </row>
    <row r="21" spans="1:18" ht="21" customHeight="1" x14ac:dyDescent="0.15">
      <c r="A21" s="35" t="str">
        <f t="shared" si="10"/>
        <v>15027011_15027020</v>
      </c>
      <c r="B21" s="43">
        <v>15027011</v>
      </c>
      <c r="C21" s="43">
        <v>15027020</v>
      </c>
      <c r="D21" s="42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忍び寄る人狼</v>
      </c>
      <c r="E21" s="42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種族ヒューマンのユニットは_x000D_高確率で8ターンスキルが使えない！</v>
      </c>
      <c r="F21" s="43">
        <v>15027020</v>
      </c>
      <c r="G21" s="44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4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4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4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4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4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4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21" s="44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4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3"/>
      <c r="Q21" s="43"/>
      <c r="R21" s="43"/>
    </row>
    <row r="22" spans="1:18" ht="21" customHeight="1" x14ac:dyDescent="0.15">
      <c r="A22" s="35" t="str">
        <f t="shared" si="10"/>
        <v>15027012_15027021</v>
      </c>
      <c r="B22" s="43">
        <v>15027012</v>
      </c>
      <c r="C22" s="43">
        <v>15027021</v>
      </c>
      <c r="D22" s="42" t="str">
        <f ca="1">VLOOKUP($C22,OFFSET(enemy_skills!$A$1,0,0,COUNTA(enemy_skills!$A:$A),MATCH(D$1,enemy_skills!$1:$1,0)-MATCH("enemy_skill_id",enemy_skills!$1:$1,0)+1),MATCH(D$1,enemy_skills!$1:$1,0)-MATCH("enemy_skill_id",enemy_skills!$1:$1,0)+1,FALSE)</f>
        <v>電光の一刀</v>
      </c>
      <c r="E22" s="42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青属性に対して大ダメージの全体攻撃</v>
      </c>
      <c r="F22" s="43">
        <v>15027021</v>
      </c>
      <c r="G22" s="44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4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4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4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4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4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4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22" s="44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4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3"/>
      <c r="Q22" s="43"/>
      <c r="R22" s="43"/>
    </row>
    <row r="23" spans="1:18" ht="21" customHeight="1" x14ac:dyDescent="0.15">
      <c r="A23" s="35" t="str">
        <f t="shared" si="10"/>
        <v>15027013_15027022</v>
      </c>
      <c r="B23" s="43">
        <v>15027013</v>
      </c>
      <c r="C23" s="43">
        <v>15027022</v>
      </c>
      <c r="D23" s="42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マインドジャミング</v>
      </c>
      <c r="E23" s="42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ハートパネルをお邪魔パネルに変換_x000D_＋4ターンの間 Cパネル生成延長＋2回攻撃</v>
      </c>
      <c r="F23" s="43">
        <v>15027022</v>
      </c>
      <c r="G23" s="44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4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" s="44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3" s="44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4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4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3" s="44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4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4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3" s="43"/>
      <c r="Q23" s="43"/>
      <c r="R23" s="43"/>
    </row>
    <row r="24" spans="1:18" ht="21" customHeight="1" x14ac:dyDescent="0.15">
      <c r="A24" s="35" t="str">
        <f t="shared" si="10"/>
        <v>15027013_15027023</v>
      </c>
      <c r="B24" s="43">
        <v>15027013</v>
      </c>
      <c r="C24" s="43">
        <v>15027023</v>
      </c>
      <c r="D24" s="42" t="str">
        <f ca="1">VLOOKUP($C24,OFFSET(enemy_skills!$A$1,0,0,COUNTA(enemy_skills!$A:$A),MATCH(D$1,enemy_skills!$1:$1,0)-MATCH("enemy_skill_id",enemy_skills!$1:$1,0)+1),MATCH(D$1,enemy_skills!$1:$1,0)-MATCH("enemy_skill_id",enemy_skills!$1:$1,0)+1,FALSE)</f>
        <v>発熱トリック</v>
      </c>
      <c r="E24" s="42" t="str">
        <f ca="1">VLOOKUP($C24,OFFSET(enemy_skills!$A$1,0,0,COUNTA(enemy_skills!$A:$A),MATCH(E$1,enemy_skills!$1:$1,0)-MATCH("enemy_skill_id",enemy_skills!$1:$1,0)+1),MATCH(E$1,enemy_skills!$1:$1,0)-MATCH("enemy_skill_id",enemy_skills!$1:$1,0)+1,FALSE)</f>
        <v>赤属性に対して大ダメージの全体攻撃</v>
      </c>
      <c r="F24" s="43">
        <v>15027023</v>
      </c>
      <c r="G24" s="44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4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4" s="44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4" s="44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4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4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4" s="44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4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4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4" s="43"/>
      <c r="Q24" s="43"/>
      <c r="R24" s="43"/>
    </row>
    <row r="25" spans="1:18" ht="21" customHeight="1" x14ac:dyDescent="0.15">
      <c r="A25" s="35" t="str">
        <f t="shared" si="10"/>
        <v>15027014_15027024</v>
      </c>
      <c r="B25" s="43">
        <v>15027014</v>
      </c>
      <c r="C25" s="43">
        <v>15027024</v>
      </c>
      <c r="D25" s="42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メランコリアボム</v>
      </c>
      <c r="E25" s="42" t="str">
        <f ca="1">VLOOKUP($C25,OFFSET(enemy_skills!$A$1,0,0,COUNTA(enemy_skills!$A:$A),MATCH(E$1,enemy_skills!$1:$1,0)-MATCH("enemy_skill_id",enemy_skills!$1:$1,0)+1),MATCH(E$1,enemy_skills!$1:$1,0)-MATCH("enemy_skill_id",enemy_skills!$1:$1,0)+1,FALSE)</f>
        <v>青パネルを時限式パネルに変換＋攻撃</v>
      </c>
      <c r="F25" s="43">
        <v>15027024</v>
      </c>
      <c r="G25" s="44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4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44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5" s="44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4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4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5" s="44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4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4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5" s="43"/>
      <c r="Q25" s="43"/>
      <c r="R25" s="43"/>
    </row>
    <row r="26" spans="1:18" ht="21" customHeight="1" x14ac:dyDescent="0.15">
      <c r="A26" s="35" t="str">
        <f t="shared" si="10"/>
        <v>15027014_15027025</v>
      </c>
      <c r="B26" s="43">
        <v>15027014</v>
      </c>
      <c r="C26" s="43">
        <v>15027025</v>
      </c>
      <c r="D26" s="42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ライトニングハート</v>
      </c>
      <c r="E26" s="42" t="str">
        <f ca="1">VLOOKUP($C26,OFFSET(enemy_skills!$A$1,0,0,COUNTA(enemy_skills!$A:$A),MATCH(E$1,enemy_skills!$1:$1,0)-MATCH("enemy_skill_id",enemy_skills!$1:$1,0)+1),MATCH(E$1,enemy_skills!$1:$1,0)-MATCH("enemy_skill_id",enemy_skills!$1:$1,0)+1,FALSE)</f>
        <v>黄パネルをハートに変換_x000D_+2ターンの間 パネルの色がわからなくなる！_x000D_+2ターンの間 Cパネル生成延長</v>
      </c>
      <c r="F26" s="43">
        <v>15027025</v>
      </c>
      <c r="G26" s="44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4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6" s="44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6" s="44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4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4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6" s="44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4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4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6" s="43"/>
      <c r="Q26" s="43"/>
      <c r="R26" s="43"/>
    </row>
    <row r="27" spans="1:18" ht="21" customHeight="1" x14ac:dyDescent="0.15">
      <c r="A27" s="35" t="str">
        <f t="shared" si="10"/>
        <v>15027013_15027026</v>
      </c>
      <c r="B27" s="43">
        <v>15027013</v>
      </c>
      <c r="C27" s="43">
        <v>15027026</v>
      </c>
      <c r="D27" s="42" t="str">
        <f ca="1">VLOOKUP($C27,OFFSET(enemy_skills!$A$1,0,0,COUNTA(enemy_skills!$A:$A),MATCH(D$1,enemy_skills!$1:$1,0)-MATCH("enemy_skill_id",enemy_skills!$1:$1,0)+1),MATCH(D$1,enemy_skills!$1:$1,0)-MATCH("enemy_skill_id",enemy_skills!$1:$1,0)+1,FALSE)</f>
        <v>聴き取れない呟き</v>
      </c>
      <c r="E27" s="42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ハートパネルを時限式ダメージパネルに変換_x000D_＋一定確率で3ターンスキルバインド＋攻撃</v>
      </c>
      <c r="F27" s="43">
        <v>15027026</v>
      </c>
      <c r="G27" s="44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4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7" s="44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27" s="44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4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4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7" s="44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4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4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27" s="43"/>
      <c r="Q27" s="43"/>
      <c r="R27" s="43"/>
    </row>
    <row r="28" spans="1:18" ht="21" customHeight="1" x14ac:dyDescent="0.15">
      <c r="A28" s="35" t="str">
        <f t="shared" ref="A28" si="11">B28&amp;"_"&amp;C28</f>
        <v>15027014_15027023</v>
      </c>
      <c r="B28" s="43">
        <v>15027014</v>
      </c>
      <c r="C28" s="43">
        <v>15027023</v>
      </c>
      <c r="D28" s="42" t="str">
        <f ca="1">VLOOKUP($C28,OFFSET(enemy_skills!$A$1,0,0,COUNTA(enemy_skills!$A:$A),MATCH(D$1,enemy_skills!$1:$1,0)-MATCH("enemy_skill_id",enemy_skills!$1:$1,0)+1),MATCH(D$1,enemy_skills!$1:$1,0)-MATCH("enemy_skill_id",enemy_skills!$1:$1,0)+1,FALSE)</f>
        <v>発熱トリック</v>
      </c>
      <c r="E28" s="42" t="str">
        <f ca="1">VLOOKUP($C28,OFFSET(enemy_skills!$A$1,0,0,COUNTA(enemy_skills!$A:$A),MATCH(E$1,enemy_skills!$1:$1,0)-MATCH("enemy_skill_id",enemy_skills!$1:$1,0)+1),MATCH(E$1,enemy_skills!$1:$1,0)-MATCH("enemy_skill_id",enemy_skills!$1:$1,0)+1,FALSE)</f>
        <v>赤属性に対して大ダメージの全体攻撃</v>
      </c>
      <c r="F28" s="43">
        <v>15027027</v>
      </c>
      <c r="G28" s="44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4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8" s="44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28" s="44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4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4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8" s="44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4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4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28" s="43"/>
      <c r="Q28" s="43"/>
      <c r="R28" s="43"/>
    </row>
  </sheetData>
  <autoFilter ref="A1:R1"/>
  <phoneticPr fontId="6"/>
  <pageMargins left="0.75" right="0.75" top="1" bottom="1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46"/>
  <sheetViews>
    <sheetView topLeftCell="A12" workbookViewId="0">
      <selection activeCell="H33" sqref="H3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56" t="s">
        <v>151</v>
      </c>
      <c r="B1" s="56" t="s">
        <v>152</v>
      </c>
      <c r="C1" s="57" t="s">
        <v>153</v>
      </c>
      <c r="D1" s="62" t="s">
        <v>154</v>
      </c>
      <c r="E1" s="58" t="s">
        <v>155</v>
      </c>
      <c r="F1" s="56" t="s">
        <v>156</v>
      </c>
      <c r="G1" s="56" t="s">
        <v>157</v>
      </c>
      <c r="H1" s="56" t="s">
        <v>158</v>
      </c>
      <c r="I1" s="56" t="s">
        <v>159</v>
      </c>
      <c r="J1" s="56" t="s">
        <v>160</v>
      </c>
      <c r="K1" s="56" t="s">
        <v>161</v>
      </c>
      <c r="L1" s="56" t="s">
        <v>162</v>
      </c>
      <c r="M1" s="56" t="s">
        <v>163</v>
      </c>
      <c r="N1" s="56" t="s">
        <v>164</v>
      </c>
      <c r="O1" s="56" t="s">
        <v>165</v>
      </c>
      <c r="P1" s="56" t="s">
        <v>166</v>
      </c>
      <c r="Q1" s="56" t="s">
        <v>167</v>
      </c>
      <c r="R1" s="56" t="s">
        <v>168</v>
      </c>
    </row>
    <row r="2" spans="1:18" x14ac:dyDescent="0.15">
      <c r="A2" s="72">
        <v>15027</v>
      </c>
      <c r="B2" s="72">
        <v>1</v>
      </c>
      <c r="C2" s="221" t="str">
        <f>A2&amp; "_"&amp;B2</f>
        <v>15027_1</v>
      </c>
      <c r="D2" s="34" t="str">
        <f ca="1">VLOOKUP($C2,OFFSET([2]stages!$A$1,0,0,COUNTA([2]stages!$A:$A),MATCH(D$1,[2]stages!$2:$2,0)-MATCH($C$1,[2]stages!$2:$2,0)+1),MATCH(D$1,[2]stages!$2:$2,0)-MATCH($C$1,[2]stages!$2:$2,0)+1,FALSE)</f>
        <v>everyone</v>
      </c>
      <c r="E2" s="72">
        <v>1</v>
      </c>
      <c r="F2" s="72" t="s">
        <v>169</v>
      </c>
      <c r="G2" s="72">
        <v>3000</v>
      </c>
      <c r="H2" s="72" t="s">
        <v>239</v>
      </c>
      <c r="I2" s="72">
        <v>1</v>
      </c>
      <c r="J2" s="72">
        <v>1</v>
      </c>
      <c r="K2" s="72">
        <v>0</v>
      </c>
      <c r="L2" s="72">
        <v>0</v>
      </c>
      <c r="M2" s="72">
        <v>0</v>
      </c>
      <c r="N2" s="72">
        <v>0</v>
      </c>
      <c r="O2" s="72">
        <v>1</v>
      </c>
      <c r="P2" s="72">
        <v>2000</v>
      </c>
      <c r="Q2" s="72" t="s">
        <v>170</v>
      </c>
      <c r="R2" s="72" t="s">
        <v>171</v>
      </c>
    </row>
    <row r="3" spans="1:18" x14ac:dyDescent="0.15">
      <c r="A3" s="72">
        <v>15027</v>
      </c>
      <c r="B3" s="72">
        <v>1</v>
      </c>
      <c r="C3" s="221" t="str">
        <f t="shared" ref="C3:C40" si="0">A3&amp; "_"&amp;B3</f>
        <v>15027_1</v>
      </c>
      <c r="D3" s="34" t="str">
        <f ca="1">VLOOKUP($C3,OFFSET([2]stages!$A$1,0,0,COUNTA([2]stages!$A:$A),MATCH(D$1,[2]stages!$2:$2,0)-MATCH($C$1,[2]stages!$2:$2,0)+1),MATCH(D$1,[2]stages!$2:$2,0)-MATCH($C$1,[2]stages!$2:$2,0)+1,FALSE)</f>
        <v>everyone</v>
      </c>
      <c r="E3" s="72">
        <v>2</v>
      </c>
      <c r="F3" s="72" t="s">
        <v>240</v>
      </c>
      <c r="G3" s="72">
        <v>25</v>
      </c>
      <c r="H3" s="72" t="s">
        <v>239</v>
      </c>
      <c r="I3" s="72">
        <v>1</v>
      </c>
      <c r="J3" s="72">
        <v>1</v>
      </c>
      <c r="K3" s="72">
        <v>0</v>
      </c>
      <c r="L3" s="72">
        <v>0</v>
      </c>
      <c r="M3" s="72">
        <v>0</v>
      </c>
      <c r="N3" s="72">
        <v>0</v>
      </c>
      <c r="O3" s="72">
        <v>1</v>
      </c>
      <c r="P3" s="72">
        <v>3000</v>
      </c>
      <c r="Q3" s="72" t="s">
        <v>170</v>
      </c>
      <c r="R3" s="72" t="s">
        <v>171</v>
      </c>
    </row>
    <row r="4" spans="1:18" x14ac:dyDescent="0.15">
      <c r="A4" s="72">
        <v>15027</v>
      </c>
      <c r="B4" s="72">
        <v>1</v>
      </c>
      <c r="C4" s="221" t="str">
        <f t="shared" si="0"/>
        <v>15027_1</v>
      </c>
      <c r="D4" s="34" t="str">
        <f ca="1">VLOOKUP($C4,OFFSET([2]stages!$A$1,0,0,COUNTA([2]stages!$A:$A),MATCH(D$1,[2]stages!$2:$2,0)-MATCH($C$1,[2]stages!$2:$2,0)+1),MATCH(D$1,[2]stages!$2:$2,0)-MATCH($C$1,[2]stages!$2:$2,0)+1,FALSE)</f>
        <v>everyone</v>
      </c>
      <c r="E4" s="72">
        <v>3</v>
      </c>
      <c r="F4" s="72" t="s">
        <v>241</v>
      </c>
      <c r="G4" s="72">
        <v>342</v>
      </c>
      <c r="H4" s="72">
        <v>1</v>
      </c>
      <c r="I4" s="72">
        <v>1</v>
      </c>
      <c r="J4" s="72">
        <v>1</v>
      </c>
      <c r="K4" s="72">
        <v>0</v>
      </c>
      <c r="L4" s="72">
        <v>0</v>
      </c>
      <c r="M4" s="72">
        <v>0</v>
      </c>
      <c r="N4" s="72">
        <v>0</v>
      </c>
      <c r="O4" s="72">
        <v>1</v>
      </c>
      <c r="P4" s="72">
        <v>500</v>
      </c>
      <c r="Q4" s="72" t="s">
        <v>170</v>
      </c>
      <c r="R4" s="72" t="s">
        <v>171</v>
      </c>
    </row>
    <row r="5" spans="1:18" x14ac:dyDescent="0.15">
      <c r="A5" s="72">
        <v>15027</v>
      </c>
      <c r="B5" s="72">
        <v>1</v>
      </c>
      <c r="C5" s="221" t="str">
        <f t="shared" si="0"/>
        <v>15027_1</v>
      </c>
      <c r="D5" s="34" t="str">
        <f ca="1">VLOOKUP($C5,OFFSET([2]stages!$A$1,0,0,COUNTA([2]stages!$A:$A),MATCH(D$1,[2]stages!$2:$2,0)-MATCH($C$1,[2]stages!$2:$2,0)+1),MATCH(D$1,[2]stages!$2:$2,0)-MATCH($C$1,[2]stages!$2:$2,0)+1,FALSE)</f>
        <v>everyone</v>
      </c>
      <c r="E5" s="72">
        <v>4</v>
      </c>
      <c r="F5" s="72" t="s">
        <v>241</v>
      </c>
      <c r="G5" s="72">
        <v>346</v>
      </c>
      <c r="H5" s="72">
        <v>1</v>
      </c>
      <c r="I5" s="72">
        <v>1</v>
      </c>
      <c r="J5" s="72">
        <v>1</v>
      </c>
      <c r="K5" s="72">
        <v>0</v>
      </c>
      <c r="L5" s="72">
        <v>0</v>
      </c>
      <c r="M5" s="72">
        <v>0</v>
      </c>
      <c r="N5" s="72">
        <v>0</v>
      </c>
      <c r="O5" s="72">
        <v>1</v>
      </c>
      <c r="P5" s="72">
        <v>500</v>
      </c>
      <c r="Q5" s="72" t="s">
        <v>170</v>
      </c>
      <c r="R5" s="72" t="s">
        <v>171</v>
      </c>
    </row>
    <row r="6" spans="1:18" x14ac:dyDescent="0.15">
      <c r="A6" s="72">
        <v>15027</v>
      </c>
      <c r="B6" s="72">
        <v>1</v>
      </c>
      <c r="C6" s="221" t="str">
        <f t="shared" si="0"/>
        <v>15027_1</v>
      </c>
      <c r="D6" s="34" t="str">
        <f ca="1">VLOOKUP($C6,OFFSET([2]stages!$A$1,0,0,COUNTA([2]stages!$A:$A),MATCH(D$1,[2]stages!$2:$2,0)-MATCH($C$1,[2]stages!$2:$2,0)+1),MATCH(D$1,[2]stages!$2:$2,0)-MATCH($C$1,[2]stages!$2:$2,0)+1,FALSE)</f>
        <v>everyone</v>
      </c>
      <c r="E6" s="72">
        <v>5</v>
      </c>
      <c r="F6" s="72" t="s">
        <v>241</v>
      </c>
      <c r="G6" s="72">
        <v>14</v>
      </c>
      <c r="H6" s="72">
        <v>1</v>
      </c>
      <c r="I6" s="72">
        <v>1</v>
      </c>
      <c r="J6" s="72">
        <v>1</v>
      </c>
      <c r="K6" s="72">
        <v>0</v>
      </c>
      <c r="L6" s="72">
        <v>0</v>
      </c>
      <c r="M6" s="72">
        <v>0</v>
      </c>
      <c r="N6" s="72">
        <v>0</v>
      </c>
      <c r="O6" s="72">
        <v>1</v>
      </c>
      <c r="P6" s="72">
        <v>111</v>
      </c>
      <c r="Q6" s="72" t="s">
        <v>170</v>
      </c>
      <c r="R6" s="72" t="s">
        <v>171</v>
      </c>
    </row>
    <row r="7" spans="1:18" x14ac:dyDescent="0.15">
      <c r="A7" s="72">
        <v>15027</v>
      </c>
      <c r="B7" s="72">
        <v>1</v>
      </c>
      <c r="C7" s="221" t="str">
        <f t="shared" si="0"/>
        <v>15027_1</v>
      </c>
      <c r="D7" s="34" t="str">
        <f ca="1">VLOOKUP($C7,OFFSET([2]stages!$A$1,0,0,COUNTA([2]stages!$A:$A),MATCH(D$1,[2]stages!$2:$2,0)-MATCH($C$1,[2]stages!$2:$2,0)+1),MATCH(D$1,[2]stages!$2:$2,0)-MATCH($C$1,[2]stages!$2:$2,0)+1,FALSE)</f>
        <v>everyone</v>
      </c>
      <c r="E7" s="72">
        <v>6</v>
      </c>
      <c r="F7" s="72" t="s">
        <v>241</v>
      </c>
      <c r="G7" s="72">
        <v>18</v>
      </c>
      <c r="H7" s="72">
        <v>1</v>
      </c>
      <c r="I7" s="72">
        <v>1</v>
      </c>
      <c r="J7" s="72">
        <v>1</v>
      </c>
      <c r="K7" s="72">
        <v>0</v>
      </c>
      <c r="L7" s="72">
        <v>0</v>
      </c>
      <c r="M7" s="72">
        <v>0</v>
      </c>
      <c r="N7" s="72">
        <v>0</v>
      </c>
      <c r="O7" s="72">
        <v>1</v>
      </c>
      <c r="P7" s="72">
        <v>111</v>
      </c>
      <c r="Q7" s="72" t="s">
        <v>170</v>
      </c>
      <c r="R7" s="72" t="s">
        <v>171</v>
      </c>
    </row>
    <row r="8" spans="1:18" x14ac:dyDescent="0.15">
      <c r="A8" s="72">
        <v>15027</v>
      </c>
      <c r="B8" s="72">
        <v>1</v>
      </c>
      <c r="C8" s="221" t="str">
        <f t="shared" si="0"/>
        <v>15027_1</v>
      </c>
      <c r="D8" s="34" t="str">
        <f ca="1">VLOOKUP($C8,OFFSET([2]stages!$A$1,0,0,COUNTA([2]stages!$A:$A),MATCH(D$1,[2]stages!$2:$2,0)-MATCH($C$1,[2]stages!$2:$2,0)+1),MATCH(D$1,[2]stages!$2:$2,0)-MATCH($C$1,[2]stages!$2:$2,0)+1,FALSE)</f>
        <v>everyone</v>
      </c>
      <c r="E8" s="72">
        <v>7</v>
      </c>
      <c r="F8" s="72" t="s">
        <v>241</v>
      </c>
      <c r="G8" s="72">
        <v>62</v>
      </c>
      <c r="H8" s="72">
        <v>1</v>
      </c>
      <c r="I8" s="72">
        <v>1</v>
      </c>
      <c r="J8" s="72">
        <v>1</v>
      </c>
      <c r="K8" s="72">
        <v>0</v>
      </c>
      <c r="L8" s="72">
        <v>0</v>
      </c>
      <c r="M8" s="72">
        <v>0</v>
      </c>
      <c r="N8" s="72">
        <v>0</v>
      </c>
      <c r="O8" s="72">
        <v>1</v>
      </c>
      <c r="P8" s="72">
        <v>111</v>
      </c>
      <c r="Q8" s="72" t="s">
        <v>170</v>
      </c>
      <c r="R8" s="72" t="s">
        <v>171</v>
      </c>
    </row>
    <row r="9" spans="1:18" x14ac:dyDescent="0.15">
      <c r="A9" s="72">
        <v>15027</v>
      </c>
      <c r="B9" s="72">
        <v>1</v>
      </c>
      <c r="C9" s="221" t="str">
        <f t="shared" si="0"/>
        <v>15027_1</v>
      </c>
      <c r="D9" s="34" t="str">
        <f ca="1">VLOOKUP($C9,OFFSET([2]stages!$A$1,0,0,COUNTA([2]stages!$A:$A),MATCH(D$1,[2]stages!$2:$2,0)-MATCH($C$1,[2]stages!$2:$2,0)+1),MATCH(D$1,[2]stages!$2:$2,0)-MATCH($C$1,[2]stages!$2:$2,0)+1,FALSE)</f>
        <v>everyone</v>
      </c>
      <c r="E9" s="72">
        <v>8</v>
      </c>
      <c r="F9" s="72" t="s">
        <v>241</v>
      </c>
      <c r="G9" s="72">
        <v>64</v>
      </c>
      <c r="H9" s="72">
        <v>1</v>
      </c>
      <c r="I9" s="72">
        <v>1</v>
      </c>
      <c r="J9" s="72">
        <v>1</v>
      </c>
      <c r="K9" s="72">
        <v>0</v>
      </c>
      <c r="L9" s="72">
        <v>0</v>
      </c>
      <c r="M9" s="72">
        <v>0</v>
      </c>
      <c r="N9" s="72">
        <v>0</v>
      </c>
      <c r="O9" s="72">
        <v>1</v>
      </c>
      <c r="P9" s="72">
        <v>111</v>
      </c>
      <c r="Q9" s="72" t="s">
        <v>170</v>
      </c>
      <c r="R9" s="72" t="s">
        <v>171</v>
      </c>
    </row>
    <row r="10" spans="1:18" x14ac:dyDescent="0.15">
      <c r="A10" s="72">
        <v>15027</v>
      </c>
      <c r="B10" s="72">
        <v>1</v>
      </c>
      <c r="C10" s="221" t="str">
        <f t="shared" si="0"/>
        <v>15027_1</v>
      </c>
      <c r="D10" s="34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72">
        <v>9</v>
      </c>
      <c r="F10" s="72" t="s">
        <v>241</v>
      </c>
      <c r="G10" s="72">
        <v>374</v>
      </c>
      <c r="H10" s="72">
        <v>1</v>
      </c>
      <c r="I10" s="72">
        <v>1</v>
      </c>
      <c r="J10" s="72">
        <v>1</v>
      </c>
      <c r="K10" s="72">
        <v>0</v>
      </c>
      <c r="L10" s="72">
        <v>0</v>
      </c>
      <c r="M10" s="72">
        <v>0</v>
      </c>
      <c r="N10" s="72">
        <v>0</v>
      </c>
      <c r="O10" s="72">
        <v>1</v>
      </c>
      <c r="P10" s="72">
        <v>111</v>
      </c>
      <c r="Q10" s="72" t="s">
        <v>170</v>
      </c>
      <c r="R10" s="72" t="s">
        <v>171</v>
      </c>
    </row>
    <row r="11" spans="1:18" x14ac:dyDescent="0.15">
      <c r="A11" s="72">
        <v>15027</v>
      </c>
      <c r="B11" s="72">
        <v>1</v>
      </c>
      <c r="C11" s="221" t="str">
        <f t="shared" si="0"/>
        <v>15027_1</v>
      </c>
      <c r="D11" s="34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72">
        <v>10</v>
      </c>
      <c r="F11" s="72" t="s">
        <v>241</v>
      </c>
      <c r="G11" s="72">
        <v>412</v>
      </c>
      <c r="H11" s="72">
        <v>1</v>
      </c>
      <c r="I11" s="72">
        <v>1</v>
      </c>
      <c r="J11" s="72">
        <v>1</v>
      </c>
      <c r="K11" s="72">
        <v>0</v>
      </c>
      <c r="L11" s="72">
        <v>0</v>
      </c>
      <c r="M11" s="72">
        <v>0</v>
      </c>
      <c r="N11" s="72">
        <v>0</v>
      </c>
      <c r="O11" s="72">
        <v>1</v>
      </c>
      <c r="P11" s="72">
        <v>111</v>
      </c>
      <c r="Q11" s="72" t="s">
        <v>170</v>
      </c>
      <c r="R11" s="72" t="s">
        <v>171</v>
      </c>
    </row>
    <row r="12" spans="1:18" x14ac:dyDescent="0.15">
      <c r="A12" s="72">
        <v>15027</v>
      </c>
      <c r="B12" s="72">
        <v>1</v>
      </c>
      <c r="C12" s="221" t="str">
        <f t="shared" si="0"/>
        <v>15027_1</v>
      </c>
      <c r="D12" s="34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72">
        <v>11</v>
      </c>
      <c r="F12" s="72" t="s">
        <v>241</v>
      </c>
      <c r="G12" s="72">
        <v>54</v>
      </c>
      <c r="H12" s="72">
        <v>1</v>
      </c>
      <c r="I12" s="72">
        <v>1</v>
      </c>
      <c r="J12" s="72">
        <v>1</v>
      </c>
      <c r="K12" s="72">
        <v>0</v>
      </c>
      <c r="L12" s="72">
        <v>0</v>
      </c>
      <c r="M12" s="72">
        <v>0</v>
      </c>
      <c r="N12" s="72">
        <v>0</v>
      </c>
      <c r="O12" s="72">
        <v>1</v>
      </c>
      <c r="P12" s="72">
        <v>111</v>
      </c>
      <c r="Q12" s="72" t="s">
        <v>170</v>
      </c>
      <c r="R12" s="72" t="s">
        <v>171</v>
      </c>
    </row>
    <row r="13" spans="1:18" x14ac:dyDescent="0.15">
      <c r="A13" s="72">
        <v>15027</v>
      </c>
      <c r="B13" s="72">
        <v>1</v>
      </c>
      <c r="C13" s="221" t="str">
        <f t="shared" si="0"/>
        <v>15027_1</v>
      </c>
      <c r="D13" s="34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72">
        <v>12</v>
      </c>
      <c r="F13" s="72" t="s">
        <v>241</v>
      </c>
      <c r="G13" s="72">
        <v>56</v>
      </c>
      <c r="H13" s="72">
        <v>1</v>
      </c>
      <c r="I13" s="72">
        <v>1</v>
      </c>
      <c r="J13" s="72">
        <v>1</v>
      </c>
      <c r="K13" s="72">
        <v>0</v>
      </c>
      <c r="L13" s="72">
        <v>0</v>
      </c>
      <c r="M13" s="72">
        <v>0</v>
      </c>
      <c r="N13" s="72">
        <v>0</v>
      </c>
      <c r="O13" s="72">
        <v>1</v>
      </c>
      <c r="P13" s="72">
        <v>111</v>
      </c>
      <c r="Q13" s="72" t="s">
        <v>170</v>
      </c>
      <c r="R13" s="72" t="s">
        <v>171</v>
      </c>
    </row>
    <row r="14" spans="1:18" x14ac:dyDescent="0.15">
      <c r="A14" s="72">
        <v>15027</v>
      </c>
      <c r="B14" s="72">
        <v>1</v>
      </c>
      <c r="C14" s="221" t="str">
        <f t="shared" si="0"/>
        <v>15027_1</v>
      </c>
      <c r="D14" s="34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72">
        <v>13</v>
      </c>
      <c r="F14" s="72" t="s">
        <v>241</v>
      </c>
      <c r="G14" s="72">
        <v>366</v>
      </c>
      <c r="H14" s="72">
        <v>1</v>
      </c>
      <c r="I14" s="72">
        <v>1</v>
      </c>
      <c r="J14" s="72">
        <v>1</v>
      </c>
      <c r="K14" s="72">
        <v>0</v>
      </c>
      <c r="L14" s="72">
        <v>0</v>
      </c>
      <c r="M14" s="72">
        <v>0</v>
      </c>
      <c r="N14" s="72">
        <v>0</v>
      </c>
      <c r="O14" s="72">
        <v>1</v>
      </c>
      <c r="P14" s="72">
        <v>111</v>
      </c>
      <c r="Q14" s="72" t="s">
        <v>170</v>
      </c>
      <c r="R14" s="72" t="s">
        <v>171</v>
      </c>
    </row>
    <row r="15" spans="1:18" x14ac:dyDescent="0.15">
      <c r="A15" s="72">
        <v>15027</v>
      </c>
      <c r="B15" s="72">
        <v>1</v>
      </c>
      <c r="C15" s="221" t="str">
        <f t="shared" si="0"/>
        <v>15027_1</v>
      </c>
      <c r="D15" s="34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72">
        <v>14</v>
      </c>
      <c r="F15" s="72" t="s">
        <v>241</v>
      </c>
      <c r="G15" s="72">
        <v>352</v>
      </c>
      <c r="H15" s="72">
        <v>1</v>
      </c>
      <c r="I15" s="72">
        <v>1</v>
      </c>
      <c r="J15" s="72">
        <v>1</v>
      </c>
      <c r="K15" s="72">
        <v>0</v>
      </c>
      <c r="L15" s="72">
        <v>0</v>
      </c>
      <c r="M15" s="72">
        <v>0</v>
      </c>
      <c r="N15" s="72">
        <v>0</v>
      </c>
      <c r="O15" s="72">
        <v>1</v>
      </c>
      <c r="P15" s="72">
        <v>1500</v>
      </c>
      <c r="Q15" s="72" t="s">
        <v>170</v>
      </c>
      <c r="R15" s="72" t="s">
        <v>171</v>
      </c>
    </row>
    <row r="16" spans="1:18" x14ac:dyDescent="0.15">
      <c r="A16" s="72">
        <v>15027</v>
      </c>
      <c r="B16" s="72">
        <v>1</v>
      </c>
      <c r="C16" s="221" t="str">
        <f t="shared" si="0"/>
        <v>15027_1</v>
      </c>
      <c r="D16" s="34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72">
        <v>15</v>
      </c>
      <c r="F16" s="72" t="s">
        <v>241</v>
      </c>
      <c r="G16" s="72">
        <v>354</v>
      </c>
      <c r="H16" s="72">
        <v>1</v>
      </c>
      <c r="I16" s="72">
        <v>1</v>
      </c>
      <c r="J16" s="72">
        <v>1</v>
      </c>
      <c r="K16" s="72">
        <v>0</v>
      </c>
      <c r="L16" s="72">
        <v>0</v>
      </c>
      <c r="M16" s="72">
        <v>0</v>
      </c>
      <c r="N16" s="72">
        <v>0</v>
      </c>
      <c r="O16" s="72">
        <v>1</v>
      </c>
      <c r="P16" s="72">
        <v>1500</v>
      </c>
      <c r="Q16" s="72" t="s">
        <v>170</v>
      </c>
      <c r="R16" s="72" t="s">
        <v>171</v>
      </c>
    </row>
    <row r="17" spans="1:18" x14ac:dyDescent="0.15">
      <c r="A17" s="72">
        <v>15027</v>
      </c>
      <c r="B17" s="72">
        <v>2</v>
      </c>
      <c r="C17" s="221" t="str">
        <f t="shared" si="0"/>
        <v>15027_2</v>
      </c>
      <c r="D17" s="34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72">
        <v>16</v>
      </c>
      <c r="F17" s="72" t="s">
        <v>169</v>
      </c>
      <c r="G17" s="72">
        <v>3200</v>
      </c>
      <c r="H17" s="72" t="s">
        <v>239</v>
      </c>
      <c r="I17" s="72">
        <v>1</v>
      </c>
      <c r="J17" s="72">
        <v>1</v>
      </c>
      <c r="K17" s="72">
        <v>0</v>
      </c>
      <c r="L17" s="72">
        <v>0</v>
      </c>
      <c r="M17" s="72">
        <v>0</v>
      </c>
      <c r="N17" s="72">
        <v>0</v>
      </c>
      <c r="O17" s="72">
        <v>1</v>
      </c>
      <c r="P17" s="72">
        <v>2000</v>
      </c>
      <c r="Q17" s="72" t="s">
        <v>170</v>
      </c>
      <c r="R17" s="72" t="s">
        <v>171</v>
      </c>
    </row>
    <row r="18" spans="1:18" x14ac:dyDescent="0.15">
      <c r="A18" s="72">
        <v>15027</v>
      </c>
      <c r="B18" s="72">
        <v>2</v>
      </c>
      <c r="C18" s="221" t="str">
        <f t="shared" si="0"/>
        <v>15027_2</v>
      </c>
      <c r="D18" s="34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72">
        <v>17</v>
      </c>
      <c r="F18" s="72" t="s">
        <v>240</v>
      </c>
      <c r="G18" s="72">
        <v>25</v>
      </c>
      <c r="H18" s="72" t="s">
        <v>239</v>
      </c>
      <c r="I18" s="72">
        <v>1</v>
      </c>
      <c r="J18" s="72">
        <v>1</v>
      </c>
      <c r="K18" s="72">
        <v>0</v>
      </c>
      <c r="L18" s="72">
        <v>0</v>
      </c>
      <c r="M18" s="72">
        <v>0</v>
      </c>
      <c r="N18" s="72">
        <v>0</v>
      </c>
      <c r="O18" s="72">
        <v>1</v>
      </c>
      <c r="P18" s="72">
        <v>3000</v>
      </c>
      <c r="Q18" s="72" t="s">
        <v>170</v>
      </c>
      <c r="R18" s="72" t="s">
        <v>171</v>
      </c>
    </row>
    <row r="19" spans="1:18" x14ac:dyDescent="0.15">
      <c r="A19" s="72">
        <v>15027</v>
      </c>
      <c r="B19" s="72">
        <v>2</v>
      </c>
      <c r="C19" s="221" t="str">
        <f t="shared" si="0"/>
        <v>15027_2</v>
      </c>
      <c r="D19" s="34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72">
        <v>18</v>
      </c>
      <c r="F19" s="72" t="s">
        <v>241</v>
      </c>
      <c r="G19" s="72">
        <v>342</v>
      </c>
      <c r="H19" s="72">
        <v>1</v>
      </c>
      <c r="I19" s="72">
        <v>1</v>
      </c>
      <c r="J19" s="72">
        <v>1</v>
      </c>
      <c r="K19" s="72">
        <v>0</v>
      </c>
      <c r="L19" s="72">
        <v>0</v>
      </c>
      <c r="M19" s="72">
        <v>0</v>
      </c>
      <c r="N19" s="72">
        <v>0</v>
      </c>
      <c r="O19" s="72">
        <v>1</v>
      </c>
      <c r="P19" s="72">
        <v>500</v>
      </c>
      <c r="Q19" s="72" t="s">
        <v>170</v>
      </c>
      <c r="R19" s="72" t="s">
        <v>171</v>
      </c>
    </row>
    <row r="20" spans="1:18" x14ac:dyDescent="0.15">
      <c r="A20" s="72">
        <v>15027</v>
      </c>
      <c r="B20" s="72">
        <v>2</v>
      </c>
      <c r="C20" s="221" t="str">
        <f t="shared" si="0"/>
        <v>15027_2</v>
      </c>
      <c r="D20" s="34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72">
        <v>19</v>
      </c>
      <c r="F20" s="72" t="s">
        <v>241</v>
      </c>
      <c r="G20" s="72">
        <v>346</v>
      </c>
      <c r="H20" s="72">
        <v>1</v>
      </c>
      <c r="I20" s="72">
        <v>1</v>
      </c>
      <c r="J20" s="72">
        <v>1</v>
      </c>
      <c r="K20" s="72">
        <v>0</v>
      </c>
      <c r="L20" s="72">
        <v>0</v>
      </c>
      <c r="M20" s="72">
        <v>0</v>
      </c>
      <c r="N20" s="72">
        <v>0</v>
      </c>
      <c r="O20" s="72">
        <v>1</v>
      </c>
      <c r="P20" s="72">
        <v>500</v>
      </c>
      <c r="Q20" s="72" t="s">
        <v>170</v>
      </c>
      <c r="R20" s="72" t="s">
        <v>171</v>
      </c>
    </row>
    <row r="21" spans="1:18" x14ac:dyDescent="0.15">
      <c r="A21" s="72">
        <v>15027</v>
      </c>
      <c r="B21" s="72">
        <v>2</v>
      </c>
      <c r="C21" s="221" t="str">
        <f t="shared" si="0"/>
        <v>15027_2</v>
      </c>
      <c r="D21" s="34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72">
        <v>20</v>
      </c>
      <c r="F21" s="72" t="s">
        <v>241</v>
      </c>
      <c r="G21" s="72">
        <v>6</v>
      </c>
      <c r="H21" s="72">
        <v>1</v>
      </c>
      <c r="I21" s="72">
        <v>1</v>
      </c>
      <c r="J21" s="72">
        <v>1</v>
      </c>
      <c r="K21" s="72">
        <v>0</v>
      </c>
      <c r="L21" s="72">
        <v>0</v>
      </c>
      <c r="M21" s="72">
        <v>0</v>
      </c>
      <c r="N21" s="72">
        <v>0</v>
      </c>
      <c r="O21" s="72">
        <v>1</v>
      </c>
      <c r="P21" s="72">
        <v>125</v>
      </c>
      <c r="Q21" s="72" t="s">
        <v>170</v>
      </c>
      <c r="R21" s="72" t="s">
        <v>171</v>
      </c>
    </row>
    <row r="22" spans="1:18" x14ac:dyDescent="0.15">
      <c r="A22" s="72">
        <v>15027</v>
      </c>
      <c r="B22" s="72">
        <v>2</v>
      </c>
      <c r="C22" s="221" t="str">
        <f t="shared" si="0"/>
        <v>15027_2</v>
      </c>
      <c r="D22" s="34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72">
        <v>21</v>
      </c>
      <c r="F22" s="72" t="s">
        <v>241</v>
      </c>
      <c r="G22" s="72">
        <v>8</v>
      </c>
      <c r="H22" s="72">
        <v>1</v>
      </c>
      <c r="I22" s="72">
        <v>1</v>
      </c>
      <c r="J22" s="72">
        <v>1</v>
      </c>
      <c r="K22" s="72">
        <v>0</v>
      </c>
      <c r="L22" s="72">
        <v>0</v>
      </c>
      <c r="M22" s="72">
        <v>0</v>
      </c>
      <c r="N22" s="72">
        <v>0</v>
      </c>
      <c r="O22" s="72">
        <v>1</v>
      </c>
      <c r="P22" s="72">
        <v>125</v>
      </c>
      <c r="Q22" s="72" t="s">
        <v>170</v>
      </c>
      <c r="R22" s="72" t="s">
        <v>171</v>
      </c>
    </row>
    <row r="23" spans="1:18" x14ac:dyDescent="0.15">
      <c r="A23" s="72">
        <v>15027</v>
      </c>
      <c r="B23" s="72">
        <v>2</v>
      </c>
      <c r="C23" s="221" t="str">
        <f t="shared" si="0"/>
        <v>15027_2</v>
      </c>
      <c r="D23" s="34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72">
        <v>22</v>
      </c>
      <c r="F23" s="72" t="s">
        <v>241</v>
      </c>
      <c r="G23" s="72">
        <v>18</v>
      </c>
      <c r="H23" s="72">
        <v>1</v>
      </c>
      <c r="I23" s="72">
        <v>1</v>
      </c>
      <c r="J23" s="72">
        <v>1</v>
      </c>
      <c r="K23" s="72">
        <v>0</v>
      </c>
      <c r="L23" s="72">
        <v>0</v>
      </c>
      <c r="M23" s="72">
        <v>0</v>
      </c>
      <c r="N23" s="72">
        <v>0</v>
      </c>
      <c r="O23" s="72">
        <v>1</v>
      </c>
      <c r="P23" s="72">
        <v>125</v>
      </c>
      <c r="Q23" s="72" t="s">
        <v>170</v>
      </c>
      <c r="R23" s="72" t="s">
        <v>171</v>
      </c>
    </row>
    <row r="24" spans="1:18" x14ac:dyDescent="0.15">
      <c r="A24" s="72">
        <v>15027</v>
      </c>
      <c r="B24" s="72">
        <v>2</v>
      </c>
      <c r="C24" s="221" t="str">
        <f t="shared" si="0"/>
        <v>15027_2</v>
      </c>
      <c r="D24" s="34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72">
        <v>23</v>
      </c>
      <c r="F24" s="72" t="s">
        <v>241</v>
      </c>
      <c r="G24" s="72">
        <v>20</v>
      </c>
      <c r="H24" s="72">
        <v>1</v>
      </c>
      <c r="I24" s="72">
        <v>1</v>
      </c>
      <c r="J24" s="72">
        <v>1</v>
      </c>
      <c r="K24" s="72">
        <v>0</v>
      </c>
      <c r="L24" s="72">
        <v>0</v>
      </c>
      <c r="M24" s="72">
        <v>0</v>
      </c>
      <c r="N24" s="72">
        <v>0</v>
      </c>
      <c r="O24" s="72">
        <v>1</v>
      </c>
      <c r="P24" s="72">
        <v>125</v>
      </c>
      <c r="Q24" s="72" t="s">
        <v>170</v>
      </c>
      <c r="R24" s="72" t="s">
        <v>171</v>
      </c>
    </row>
    <row r="25" spans="1:18" x14ac:dyDescent="0.15">
      <c r="A25" s="72">
        <v>15027</v>
      </c>
      <c r="B25" s="72">
        <v>2</v>
      </c>
      <c r="C25" s="221" t="str">
        <f t="shared" si="0"/>
        <v>15027_2</v>
      </c>
      <c r="D25" s="34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72">
        <v>24</v>
      </c>
      <c r="F25" s="72" t="s">
        <v>241</v>
      </c>
      <c r="G25" s="72">
        <v>30</v>
      </c>
      <c r="H25" s="72">
        <v>1</v>
      </c>
      <c r="I25" s="72">
        <v>1</v>
      </c>
      <c r="J25" s="72">
        <v>1</v>
      </c>
      <c r="K25" s="72">
        <v>0</v>
      </c>
      <c r="L25" s="72">
        <v>0</v>
      </c>
      <c r="M25" s="72">
        <v>0</v>
      </c>
      <c r="N25" s="72">
        <v>0</v>
      </c>
      <c r="O25" s="72">
        <v>1</v>
      </c>
      <c r="P25" s="72">
        <v>125</v>
      </c>
      <c r="Q25" s="72" t="s">
        <v>170</v>
      </c>
      <c r="R25" s="72" t="s">
        <v>171</v>
      </c>
    </row>
    <row r="26" spans="1:18" x14ac:dyDescent="0.15">
      <c r="A26" s="72">
        <v>15027</v>
      </c>
      <c r="B26" s="72">
        <v>2</v>
      </c>
      <c r="C26" s="221" t="str">
        <f t="shared" si="0"/>
        <v>15027_2</v>
      </c>
      <c r="D26" s="34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72">
        <v>25</v>
      </c>
      <c r="F26" s="72" t="s">
        <v>241</v>
      </c>
      <c r="G26" s="72">
        <v>32</v>
      </c>
      <c r="H26" s="72">
        <v>1</v>
      </c>
      <c r="I26" s="72">
        <v>1</v>
      </c>
      <c r="J26" s="72">
        <v>1</v>
      </c>
      <c r="K26" s="72">
        <v>0</v>
      </c>
      <c r="L26" s="72">
        <v>0</v>
      </c>
      <c r="M26" s="72">
        <v>0</v>
      </c>
      <c r="N26" s="72">
        <v>0</v>
      </c>
      <c r="O26" s="72">
        <v>1</v>
      </c>
      <c r="P26" s="72">
        <v>125</v>
      </c>
      <c r="Q26" s="72" t="s">
        <v>170</v>
      </c>
      <c r="R26" s="72" t="s">
        <v>171</v>
      </c>
    </row>
    <row r="27" spans="1:18" x14ac:dyDescent="0.15">
      <c r="A27" s="72">
        <v>15027</v>
      </c>
      <c r="B27" s="72">
        <v>2</v>
      </c>
      <c r="C27" s="221" t="str">
        <f t="shared" si="0"/>
        <v>15027_2</v>
      </c>
      <c r="D27" s="34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72">
        <v>26</v>
      </c>
      <c r="F27" s="72" t="s">
        <v>241</v>
      </c>
      <c r="G27" s="72">
        <v>46</v>
      </c>
      <c r="H27" s="72">
        <v>1</v>
      </c>
      <c r="I27" s="72">
        <v>1</v>
      </c>
      <c r="J27" s="72">
        <v>1</v>
      </c>
      <c r="K27" s="72">
        <v>0</v>
      </c>
      <c r="L27" s="72">
        <v>0</v>
      </c>
      <c r="M27" s="72">
        <v>0</v>
      </c>
      <c r="N27" s="72">
        <v>0</v>
      </c>
      <c r="O27" s="72">
        <v>1</v>
      </c>
      <c r="P27" s="72">
        <v>125</v>
      </c>
      <c r="Q27" s="72" t="s">
        <v>170</v>
      </c>
      <c r="R27" s="72" t="s">
        <v>171</v>
      </c>
    </row>
    <row r="28" spans="1:18" x14ac:dyDescent="0.15">
      <c r="A28" s="72">
        <v>15027</v>
      </c>
      <c r="B28" s="72">
        <v>2</v>
      </c>
      <c r="C28" s="221" t="str">
        <f t="shared" si="0"/>
        <v>15027_2</v>
      </c>
      <c r="D28" s="34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72">
        <v>27</v>
      </c>
      <c r="F28" s="72" t="s">
        <v>241</v>
      </c>
      <c r="G28" s="72">
        <v>48</v>
      </c>
      <c r="H28" s="72">
        <v>1</v>
      </c>
      <c r="I28" s="72">
        <v>1</v>
      </c>
      <c r="J28" s="72">
        <v>1</v>
      </c>
      <c r="K28" s="72">
        <v>0</v>
      </c>
      <c r="L28" s="72">
        <v>0</v>
      </c>
      <c r="M28" s="72">
        <v>0</v>
      </c>
      <c r="N28" s="72">
        <v>0</v>
      </c>
      <c r="O28" s="72">
        <v>1</v>
      </c>
      <c r="P28" s="72">
        <v>125</v>
      </c>
      <c r="Q28" s="72" t="s">
        <v>170</v>
      </c>
      <c r="R28" s="72" t="s">
        <v>171</v>
      </c>
    </row>
    <row r="29" spans="1:18" x14ac:dyDescent="0.15">
      <c r="A29" s="72">
        <v>15027</v>
      </c>
      <c r="B29" s="72">
        <v>2</v>
      </c>
      <c r="C29" s="221" t="str">
        <f t="shared" si="0"/>
        <v>15027_2</v>
      </c>
      <c r="D29" s="34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72">
        <v>28</v>
      </c>
      <c r="F29" s="72" t="s">
        <v>241</v>
      </c>
      <c r="G29" s="72">
        <v>352</v>
      </c>
      <c r="H29" s="72">
        <v>1</v>
      </c>
      <c r="I29" s="72">
        <v>1</v>
      </c>
      <c r="J29" s="72">
        <v>1</v>
      </c>
      <c r="K29" s="72">
        <v>0</v>
      </c>
      <c r="L29" s="72">
        <v>0</v>
      </c>
      <c r="M29" s="72">
        <v>0</v>
      </c>
      <c r="N29" s="72">
        <v>0</v>
      </c>
      <c r="O29" s="72">
        <v>1</v>
      </c>
      <c r="P29" s="72">
        <v>1500</v>
      </c>
      <c r="Q29" s="72" t="s">
        <v>170</v>
      </c>
      <c r="R29" s="72" t="s">
        <v>171</v>
      </c>
    </row>
    <row r="30" spans="1:18" x14ac:dyDescent="0.15">
      <c r="A30" s="72">
        <v>15027</v>
      </c>
      <c r="B30" s="72">
        <v>2</v>
      </c>
      <c r="C30" s="221" t="str">
        <f t="shared" si="0"/>
        <v>15027_2</v>
      </c>
      <c r="D30" s="34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72">
        <v>29</v>
      </c>
      <c r="F30" s="72" t="s">
        <v>241</v>
      </c>
      <c r="G30" s="72">
        <v>354</v>
      </c>
      <c r="H30" s="72">
        <v>1</v>
      </c>
      <c r="I30" s="72">
        <v>1</v>
      </c>
      <c r="J30" s="72">
        <v>1</v>
      </c>
      <c r="K30" s="72">
        <v>0</v>
      </c>
      <c r="L30" s="72">
        <v>0</v>
      </c>
      <c r="M30" s="72">
        <v>0</v>
      </c>
      <c r="N30" s="72">
        <v>0</v>
      </c>
      <c r="O30" s="72">
        <v>1</v>
      </c>
      <c r="P30" s="72">
        <v>1500</v>
      </c>
      <c r="Q30" s="72" t="s">
        <v>170</v>
      </c>
      <c r="R30" s="72" t="s">
        <v>171</v>
      </c>
    </row>
    <row r="31" spans="1:18" x14ac:dyDescent="0.15">
      <c r="A31" s="72">
        <v>15027</v>
      </c>
      <c r="B31" s="72">
        <v>3</v>
      </c>
      <c r="C31" s="221" t="str">
        <f t="shared" si="0"/>
        <v>15027_3</v>
      </c>
      <c r="D31" s="34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72">
        <v>30</v>
      </c>
      <c r="F31" s="72" t="s">
        <v>318</v>
      </c>
      <c r="G31" s="72">
        <v>3500</v>
      </c>
      <c r="H31" s="72" t="s">
        <v>89</v>
      </c>
      <c r="I31" s="72">
        <v>1</v>
      </c>
      <c r="J31" s="72">
        <v>1</v>
      </c>
      <c r="K31" s="72">
        <v>0</v>
      </c>
      <c r="L31" s="72">
        <v>0</v>
      </c>
      <c r="M31" s="72">
        <v>0</v>
      </c>
      <c r="N31" s="72">
        <v>0</v>
      </c>
      <c r="O31" s="72">
        <v>1</v>
      </c>
      <c r="P31" s="72">
        <v>2000</v>
      </c>
      <c r="Q31" s="72" t="s">
        <v>170</v>
      </c>
      <c r="R31" s="72" t="s">
        <v>171</v>
      </c>
    </row>
    <row r="32" spans="1:18" x14ac:dyDescent="0.15">
      <c r="A32" s="72">
        <v>15027</v>
      </c>
      <c r="B32" s="72">
        <v>3</v>
      </c>
      <c r="C32" s="221" t="str">
        <f t="shared" si="0"/>
        <v>15027_3</v>
      </c>
      <c r="D32" s="34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72">
        <v>31</v>
      </c>
      <c r="F32" s="72" t="s">
        <v>319</v>
      </c>
      <c r="G32" s="72">
        <v>25</v>
      </c>
      <c r="H32" s="72" t="s">
        <v>89</v>
      </c>
      <c r="I32" s="72">
        <v>1</v>
      </c>
      <c r="J32" s="72">
        <v>1</v>
      </c>
      <c r="K32" s="72">
        <v>0</v>
      </c>
      <c r="L32" s="72">
        <v>0</v>
      </c>
      <c r="M32" s="72">
        <v>0</v>
      </c>
      <c r="N32" s="72">
        <v>0</v>
      </c>
      <c r="O32" s="72">
        <v>1</v>
      </c>
      <c r="P32" s="72">
        <v>3000</v>
      </c>
      <c r="Q32" s="72" t="s">
        <v>170</v>
      </c>
      <c r="R32" s="72" t="s">
        <v>171</v>
      </c>
    </row>
    <row r="33" spans="1:18" x14ac:dyDescent="0.15">
      <c r="A33" s="72">
        <v>15027</v>
      </c>
      <c r="B33" s="72">
        <v>3</v>
      </c>
      <c r="C33" s="221" t="str">
        <f t="shared" si="0"/>
        <v>15027_3</v>
      </c>
      <c r="D33" s="34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72">
        <v>32</v>
      </c>
      <c r="F33" s="72" t="s">
        <v>241</v>
      </c>
      <c r="G33" s="72">
        <v>342</v>
      </c>
      <c r="H33" s="72">
        <v>1</v>
      </c>
      <c r="I33" s="72">
        <v>1</v>
      </c>
      <c r="J33" s="72">
        <v>1</v>
      </c>
      <c r="K33" s="72">
        <v>0</v>
      </c>
      <c r="L33" s="72">
        <v>0</v>
      </c>
      <c r="M33" s="72">
        <v>0</v>
      </c>
      <c r="N33" s="72">
        <v>0</v>
      </c>
      <c r="O33" s="72">
        <v>1</v>
      </c>
      <c r="P33" s="72">
        <v>500</v>
      </c>
      <c r="Q33" s="72" t="s">
        <v>170</v>
      </c>
      <c r="R33" s="72" t="s">
        <v>171</v>
      </c>
    </row>
    <row r="34" spans="1:18" x14ac:dyDescent="0.15">
      <c r="A34" s="72">
        <v>15027</v>
      </c>
      <c r="B34" s="72">
        <v>3</v>
      </c>
      <c r="C34" s="221" t="str">
        <f t="shared" si="0"/>
        <v>15027_3</v>
      </c>
      <c r="D34" s="34" t="str">
        <f ca="1">VLOOKUP($C34,OFFSET([2]stages!$A$1,0,0,COUNTA([2]stages!$A:$A),MATCH(D$1,[2]stages!$2:$2,0)-MATCH($C$1,[2]stages!$2:$2,0)+1),MATCH(D$1,[2]stages!$2:$2,0)-MATCH($C$1,[2]stages!$2:$2,0)+1,FALSE)</f>
        <v>everyone</v>
      </c>
      <c r="E34" s="72">
        <v>33</v>
      </c>
      <c r="F34" s="72" t="s">
        <v>241</v>
      </c>
      <c r="G34" s="72">
        <v>346</v>
      </c>
      <c r="H34" s="72">
        <v>1</v>
      </c>
      <c r="I34" s="72">
        <v>1</v>
      </c>
      <c r="J34" s="72">
        <v>1</v>
      </c>
      <c r="K34" s="72">
        <v>0</v>
      </c>
      <c r="L34" s="72">
        <v>0</v>
      </c>
      <c r="M34" s="72">
        <v>0</v>
      </c>
      <c r="N34" s="72">
        <v>0</v>
      </c>
      <c r="O34" s="72">
        <v>1</v>
      </c>
      <c r="P34" s="72">
        <v>500</v>
      </c>
      <c r="Q34" s="72" t="s">
        <v>170</v>
      </c>
      <c r="R34" s="72" t="s">
        <v>171</v>
      </c>
    </row>
    <row r="35" spans="1:18" x14ac:dyDescent="0.15">
      <c r="A35" s="72">
        <v>15027</v>
      </c>
      <c r="B35" s="72">
        <v>3</v>
      </c>
      <c r="C35" s="221" t="str">
        <f t="shared" si="0"/>
        <v>15027_3</v>
      </c>
      <c r="D35" s="34" t="str">
        <f ca="1">VLOOKUP($C35,OFFSET([2]stages!$A$1,0,0,COUNTA([2]stages!$A:$A),MATCH(D$1,[2]stages!$2:$2,0)-MATCH($C$1,[2]stages!$2:$2,0)+1),MATCH(D$1,[2]stages!$2:$2,0)-MATCH($C$1,[2]stages!$2:$2,0)+1,FALSE)</f>
        <v>everyone</v>
      </c>
      <c r="E35" s="72">
        <v>34</v>
      </c>
      <c r="F35" s="72" t="s">
        <v>241</v>
      </c>
      <c r="G35" s="72">
        <v>73</v>
      </c>
      <c r="H35" s="72">
        <v>1</v>
      </c>
      <c r="I35" s="72">
        <v>1</v>
      </c>
      <c r="J35" s="72">
        <v>1</v>
      </c>
      <c r="K35" s="72">
        <v>0</v>
      </c>
      <c r="L35" s="72">
        <v>0</v>
      </c>
      <c r="M35" s="72">
        <v>0</v>
      </c>
      <c r="N35" s="72">
        <v>0</v>
      </c>
      <c r="O35" s="72">
        <v>1</v>
      </c>
      <c r="P35" s="72">
        <v>125</v>
      </c>
      <c r="Q35" s="72" t="s">
        <v>170</v>
      </c>
      <c r="R35" s="72" t="s">
        <v>171</v>
      </c>
    </row>
    <row r="36" spans="1:18" x14ac:dyDescent="0.15">
      <c r="A36" s="72">
        <v>15027</v>
      </c>
      <c r="B36" s="72">
        <v>3</v>
      </c>
      <c r="C36" s="221" t="str">
        <f t="shared" si="0"/>
        <v>15027_3</v>
      </c>
      <c r="D36" s="34" t="str">
        <f ca="1">VLOOKUP($C36,OFFSET([2]stages!$A$1,0,0,COUNTA([2]stages!$A:$A),MATCH(D$1,[2]stages!$2:$2,0)-MATCH($C$1,[2]stages!$2:$2,0)+1),MATCH(D$1,[2]stages!$2:$2,0)-MATCH($C$1,[2]stages!$2:$2,0)+1,FALSE)</f>
        <v>everyone</v>
      </c>
      <c r="E36" s="72">
        <v>35</v>
      </c>
      <c r="F36" s="72" t="s">
        <v>241</v>
      </c>
      <c r="G36" s="72">
        <v>76</v>
      </c>
      <c r="H36" s="72">
        <v>1</v>
      </c>
      <c r="I36" s="72">
        <v>1</v>
      </c>
      <c r="J36" s="72">
        <v>1</v>
      </c>
      <c r="K36" s="72">
        <v>0</v>
      </c>
      <c r="L36" s="72">
        <v>0</v>
      </c>
      <c r="M36" s="72">
        <v>0</v>
      </c>
      <c r="N36" s="72">
        <v>0</v>
      </c>
      <c r="O36" s="72">
        <v>1</v>
      </c>
      <c r="P36" s="72">
        <v>125</v>
      </c>
      <c r="Q36" s="72" t="s">
        <v>170</v>
      </c>
      <c r="R36" s="72" t="s">
        <v>171</v>
      </c>
    </row>
    <row r="37" spans="1:18" x14ac:dyDescent="0.15">
      <c r="A37" s="72">
        <v>15027</v>
      </c>
      <c r="B37" s="72">
        <v>3</v>
      </c>
      <c r="C37" s="221" t="str">
        <f t="shared" si="0"/>
        <v>15027_3</v>
      </c>
      <c r="D37" s="34" t="str">
        <f ca="1">VLOOKUP($C37,OFFSET([2]stages!$A$1,0,0,COUNTA([2]stages!$A:$A),MATCH(D$1,[2]stages!$2:$2,0)-MATCH($C$1,[2]stages!$2:$2,0)+1),MATCH(D$1,[2]stages!$2:$2,0)-MATCH($C$1,[2]stages!$2:$2,0)+1,FALSE)</f>
        <v>everyone</v>
      </c>
      <c r="E37" s="72">
        <v>36</v>
      </c>
      <c r="F37" s="72" t="s">
        <v>241</v>
      </c>
      <c r="G37" s="72">
        <v>38</v>
      </c>
      <c r="H37" s="72">
        <v>1</v>
      </c>
      <c r="I37" s="72">
        <v>1</v>
      </c>
      <c r="J37" s="72">
        <v>1</v>
      </c>
      <c r="K37" s="72">
        <v>0</v>
      </c>
      <c r="L37" s="72">
        <v>0</v>
      </c>
      <c r="M37" s="72">
        <v>0</v>
      </c>
      <c r="N37" s="72">
        <v>0</v>
      </c>
      <c r="O37" s="72">
        <v>1</v>
      </c>
      <c r="P37" s="72">
        <v>125</v>
      </c>
      <c r="Q37" s="72" t="s">
        <v>170</v>
      </c>
      <c r="R37" s="72" t="s">
        <v>171</v>
      </c>
    </row>
    <row r="38" spans="1:18" x14ac:dyDescent="0.15">
      <c r="A38" s="72">
        <v>15027</v>
      </c>
      <c r="B38" s="72">
        <v>3</v>
      </c>
      <c r="C38" s="221" t="str">
        <f t="shared" si="0"/>
        <v>15027_3</v>
      </c>
      <c r="D38" s="34" t="str">
        <f ca="1">VLOOKUP($C38,OFFSET([2]stages!$A$1,0,0,COUNTA([2]stages!$A:$A),MATCH(D$1,[2]stages!$2:$2,0)-MATCH($C$1,[2]stages!$2:$2,0)+1),MATCH(D$1,[2]stages!$2:$2,0)-MATCH($C$1,[2]stages!$2:$2,0)+1,FALSE)</f>
        <v>everyone</v>
      </c>
      <c r="E38" s="72">
        <v>37</v>
      </c>
      <c r="F38" s="72" t="s">
        <v>241</v>
      </c>
      <c r="G38" s="72">
        <v>40</v>
      </c>
      <c r="H38" s="72">
        <v>1</v>
      </c>
      <c r="I38" s="72">
        <v>1</v>
      </c>
      <c r="J38" s="72">
        <v>1</v>
      </c>
      <c r="K38" s="72">
        <v>0</v>
      </c>
      <c r="L38" s="72">
        <v>0</v>
      </c>
      <c r="M38" s="72">
        <v>0</v>
      </c>
      <c r="N38" s="72">
        <v>0</v>
      </c>
      <c r="O38" s="72">
        <v>1</v>
      </c>
      <c r="P38" s="72">
        <v>125</v>
      </c>
      <c r="Q38" s="72" t="s">
        <v>170</v>
      </c>
      <c r="R38" s="72" t="s">
        <v>171</v>
      </c>
    </row>
    <row r="39" spans="1:18" x14ac:dyDescent="0.15">
      <c r="A39" s="72">
        <v>15027</v>
      </c>
      <c r="B39" s="72">
        <v>3</v>
      </c>
      <c r="C39" s="221" t="str">
        <f t="shared" si="0"/>
        <v>15027_3</v>
      </c>
      <c r="D39" s="34" t="str">
        <f ca="1">VLOOKUP($C39,OFFSET([2]stages!$A$1,0,0,COUNTA([2]stages!$A:$A),MATCH(D$1,[2]stages!$2:$2,0)-MATCH($C$1,[2]stages!$2:$2,0)+1),MATCH(D$1,[2]stages!$2:$2,0)-MATCH($C$1,[2]stages!$2:$2,0)+1,FALSE)</f>
        <v>everyone</v>
      </c>
      <c r="E39" s="72">
        <v>38</v>
      </c>
      <c r="F39" s="72" t="s">
        <v>241</v>
      </c>
      <c r="G39" s="221">
        <v>412</v>
      </c>
      <c r="H39" s="72">
        <v>1</v>
      </c>
      <c r="I39" s="72">
        <v>1</v>
      </c>
      <c r="J39" s="72">
        <v>1</v>
      </c>
      <c r="K39" s="72">
        <v>0</v>
      </c>
      <c r="L39" s="72">
        <v>0</v>
      </c>
      <c r="M39" s="72">
        <v>0</v>
      </c>
      <c r="N39" s="72">
        <v>0</v>
      </c>
      <c r="O39" s="72">
        <v>1</v>
      </c>
      <c r="P39" s="72">
        <v>125</v>
      </c>
      <c r="Q39" s="72" t="s">
        <v>170</v>
      </c>
      <c r="R39" s="72" t="s">
        <v>171</v>
      </c>
    </row>
    <row r="40" spans="1:18" x14ac:dyDescent="0.15">
      <c r="A40" s="72">
        <v>15027</v>
      </c>
      <c r="B40" s="72">
        <v>3</v>
      </c>
      <c r="C40" s="221" t="str">
        <f t="shared" si="0"/>
        <v>15027_3</v>
      </c>
      <c r="D40" s="34" t="str">
        <f ca="1">VLOOKUP($C40,OFFSET([2]stages!$A$1,0,0,COUNTA([2]stages!$A:$A),MATCH(D$1,[2]stages!$2:$2,0)-MATCH($C$1,[2]stages!$2:$2,0)+1),MATCH(D$1,[2]stages!$2:$2,0)-MATCH($C$1,[2]stages!$2:$2,0)+1,FALSE)</f>
        <v>everyone</v>
      </c>
      <c r="E40" s="72">
        <v>39</v>
      </c>
      <c r="F40" s="72" t="s">
        <v>241</v>
      </c>
      <c r="G40" s="221">
        <v>374</v>
      </c>
      <c r="H40" s="72">
        <v>1</v>
      </c>
      <c r="I40" s="72">
        <v>1</v>
      </c>
      <c r="J40" s="72">
        <v>1</v>
      </c>
      <c r="K40" s="72">
        <v>0</v>
      </c>
      <c r="L40" s="72">
        <v>0</v>
      </c>
      <c r="M40" s="72">
        <v>0</v>
      </c>
      <c r="N40" s="72">
        <v>0</v>
      </c>
      <c r="O40" s="72">
        <v>1</v>
      </c>
      <c r="P40" s="72">
        <v>125</v>
      </c>
      <c r="Q40" s="72" t="s">
        <v>170</v>
      </c>
      <c r="R40" s="72" t="s">
        <v>171</v>
      </c>
    </row>
    <row r="41" spans="1:18" x14ac:dyDescent="0.15">
      <c r="A41" s="72">
        <v>15027</v>
      </c>
      <c r="B41" s="72">
        <v>3</v>
      </c>
      <c r="C41" s="221" t="str">
        <f t="shared" ref="C41:C46" si="1">A41&amp; "_"&amp;B41</f>
        <v>15027_3</v>
      </c>
      <c r="D41" s="34" t="str">
        <f ca="1">VLOOKUP($C41,OFFSET([2]stages!$A$1,0,0,COUNTA([2]stages!$A:$A),MATCH(D$1,[2]stages!$2:$2,0)-MATCH($C$1,[2]stages!$2:$2,0)+1),MATCH(D$1,[2]stages!$2:$2,0)-MATCH($C$1,[2]stages!$2:$2,0)+1,FALSE)</f>
        <v>everyone</v>
      </c>
      <c r="E41" s="72">
        <v>40</v>
      </c>
      <c r="F41" s="72" t="s">
        <v>241</v>
      </c>
      <c r="G41" s="221">
        <v>54</v>
      </c>
      <c r="H41" s="72">
        <v>1</v>
      </c>
      <c r="I41" s="72">
        <v>1</v>
      </c>
      <c r="J41" s="72">
        <v>1</v>
      </c>
      <c r="K41" s="72">
        <v>0</v>
      </c>
      <c r="L41" s="72">
        <v>0</v>
      </c>
      <c r="M41" s="72">
        <v>0</v>
      </c>
      <c r="N41" s="72">
        <v>0</v>
      </c>
      <c r="O41" s="72">
        <v>1</v>
      </c>
      <c r="P41" s="72">
        <v>125</v>
      </c>
      <c r="Q41" s="72" t="s">
        <v>170</v>
      </c>
      <c r="R41" s="72" t="s">
        <v>171</v>
      </c>
    </row>
    <row r="42" spans="1:18" x14ac:dyDescent="0.15">
      <c r="A42" s="72">
        <v>15027</v>
      </c>
      <c r="B42" s="72">
        <v>3</v>
      </c>
      <c r="C42" s="221" t="str">
        <f t="shared" si="1"/>
        <v>15027_3</v>
      </c>
      <c r="D42" s="34" t="str">
        <f ca="1">VLOOKUP($C42,OFFSET([2]stages!$A$1,0,0,COUNTA([2]stages!$A:$A),MATCH(D$1,[2]stages!$2:$2,0)-MATCH($C$1,[2]stages!$2:$2,0)+1),MATCH(D$1,[2]stages!$2:$2,0)-MATCH($C$1,[2]stages!$2:$2,0)+1,FALSE)</f>
        <v>everyone</v>
      </c>
      <c r="E42" s="72">
        <v>41</v>
      </c>
      <c r="F42" s="72" t="s">
        <v>241</v>
      </c>
      <c r="G42" s="221">
        <v>56</v>
      </c>
      <c r="H42" s="72">
        <v>1</v>
      </c>
      <c r="I42" s="72">
        <v>1</v>
      </c>
      <c r="J42" s="72">
        <v>1</v>
      </c>
      <c r="K42" s="72">
        <v>0</v>
      </c>
      <c r="L42" s="72">
        <v>0</v>
      </c>
      <c r="M42" s="72">
        <v>0</v>
      </c>
      <c r="N42" s="72">
        <v>0</v>
      </c>
      <c r="O42" s="72">
        <v>1</v>
      </c>
      <c r="P42" s="72">
        <v>125</v>
      </c>
      <c r="Q42" s="72" t="s">
        <v>170</v>
      </c>
      <c r="R42" s="72" t="s">
        <v>171</v>
      </c>
    </row>
    <row r="43" spans="1:18" x14ac:dyDescent="0.15">
      <c r="A43" s="72">
        <v>15027</v>
      </c>
      <c r="B43" s="72">
        <v>3</v>
      </c>
      <c r="C43" s="221" t="str">
        <f t="shared" si="1"/>
        <v>15027_3</v>
      </c>
      <c r="D43" s="34" t="str">
        <f ca="1">VLOOKUP($C43,OFFSET([2]stages!$A$1,0,0,COUNTA([2]stages!$A:$A),MATCH(D$1,[2]stages!$2:$2,0)-MATCH($C$1,[2]stages!$2:$2,0)+1),MATCH(D$1,[2]stages!$2:$2,0)-MATCH($C$1,[2]stages!$2:$2,0)+1,FALSE)</f>
        <v>everyone</v>
      </c>
      <c r="E43" s="72">
        <v>42</v>
      </c>
      <c r="F43" s="72" t="s">
        <v>241</v>
      </c>
      <c r="G43" s="221">
        <v>352</v>
      </c>
      <c r="H43" s="72">
        <v>1</v>
      </c>
      <c r="I43" s="72">
        <v>1</v>
      </c>
      <c r="J43" s="72">
        <v>1</v>
      </c>
      <c r="K43" s="72">
        <v>0</v>
      </c>
      <c r="L43" s="72">
        <v>0</v>
      </c>
      <c r="M43" s="72">
        <v>0</v>
      </c>
      <c r="N43" s="72">
        <v>0</v>
      </c>
      <c r="O43" s="72">
        <v>1</v>
      </c>
      <c r="P43" s="221">
        <v>1500</v>
      </c>
      <c r="Q43" s="72" t="s">
        <v>170</v>
      </c>
      <c r="R43" s="72" t="s">
        <v>171</v>
      </c>
    </row>
    <row r="44" spans="1:18" x14ac:dyDescent="0.15">
      <c r="A44" s="72">
        <v>15027</v>
      </c>
      <c r="B44" s="72">
        <v>3</v>
      </c>
      <c r="C44" s="221" t="str">
        <f t="shared" si="1"/>
        <v>15027_3</v>
      </c>
      <c r="D44" s="34" t="str">
        <f ca="1">VLOOKUP($C44,OFFSET([2]stages!$A$1,0,0,COUNTA([2]stages!$A:$A),MATCH(D$1,[2]stages!$2:$2,0)-MATCH($C$1,[2]stages!$2:$2,0)+1),MATCH(D$1,[2]stages!$2:$2,0)-MATCH($C$1,[2]stages!$2:$2,0)+1,FALSE)</f>
        <v>everyone</v>
      </c>
      <c r="E44" s="72">
        <v>43</v>
      </c>
      <c r="F44" s="72" t="s">
        <v>241</v>
      </c>
      <c r="G44" s="221">
        <v>354</v>
      </c>
      <c r="H44" s="72">
        <v>1</v>
      </c>
      <c r="I44" s="72">
        <v>1</v>
      </c>
      <c r="J44" s="72">
        <v>1</v>
      </c>
      <c r="K44" s="72">
        <v>0</v>
      </c>
      <c r="L44" s="72">
        <v>0</v>
      </c>
      <c r="M44" s="72">
        <v>0</v>
      </c>
      <c r="N44" s="72">
        <v>0</v>
      </c>
      <c r="O44" s="72">
        <v>1</v>
      </c>
      <c r="P44" s="221">
        <v>1500</v>
      </c>
      <c r="Q44" s="72" t="s">
        <v>170</v>
      </c>
      <c r="R44" s="72" t="s">
        <v>171</v>
      </c>
    </row>
    <row r="45" spans="1:18" x14ac:dyDescent="0.15">
      <c r="A45" s="72">
        <v>15027</v>
      </c>
      <c r="B45" s="72">
        <v>4</v>
      </c>
      <c r="C45" s="221" t="str">
        <f t="shared" si="1"/>
        <v>15027_4</v>
      </c>
      <c r="D45" s="34" t="str">
        <f ca="1">VLOOKUP($C45,OFFSET([2]stages!$A$1,0,0,COUNTA([2]stages!$A:$A),MATCH(D$1,[2]stages!$2:$2,0)-MATCH($C$1,[2]stages!$2:$2,0)+1),MATCH(D$1,[2]stages!$2:$2,0)-MATCH($C$1,[2]stages!$2:$2,0)+1,FALSE)</f>
        <v>singleonly</v>
      </c>
      <c r="E45" s="72">
        <v>44</v>
      </c>
      <c r="F45" s="72" t="s">
        <v>241</v>
      </c>
      <c r="G45" s="221">
        <v>343</v>
      </c>
      <c r="H45" s="72">
        <v>1</v>
      </c>
      <c r="I45" s="72">
        <v>1</v>
      </c>
      <c r="J45" s="72">
        <v>1</v>
      </c>
      <c r="K45" s="72">
        <v>0</v>
      </c>
      <c r="L45" s="72">
        <v>0</v>
      </c>
      <c r="M45" s="72">
        <v>0</v>
      </c>
      <c r="N45" s="72">
        <v>0</v>
      </c>
      <c r="O45" s="72">
        <v>1</v>
      </c>
      <c r="P45" s="221">
        <v>5000</v>
      </c>
      <c r="Q45" s="72" t="s">
        <v>170</v>
      </c>
      <c r="R45" s="72" t="s">
        <v>171</v>
      </c>
    </row>
    <row r="46" spans="1:18" x14ac:dyDescent="0.15">
      <c r="A46" s="72">
        <v>15027</v>
      </c>
      <c r="B46" s="72">
        <v>4</v>
      </c>
      <c r="C46" s="221" t="str">
        <f t="shared" si="1"/>
        <v>15027_4</v>
      </c>
      <c r="D46" s="34" t="str">
        <f ca="1">VLOOKUP($C46,OFFSET([2]stages!$A$1,0,0,COUNTA([2]stages!$A:$A),MATCH(D$1,[2]stages!$2:$2,0)-MATCH($C$1,[2]stages!$2:$2,0)+1),MATCH(D$1,[2]stages!$2:$2,0)-MATCH($C$1,[2]stages!$2:$2,0)+1,FALSE)</f>
        <v>singleonly</v>
      </c>
      <c r="E46" s="72">
        <v>45</v>
      </c>
      <c r="F46" s="72" t="s">
        <v>241</v>
      </c>
      <c r="G46" s="221">
        <v>347</v>
      </c>
      <c r="H46" s="72">
        <v>1</v>
      </c>
      <c r="I46" s="72">
        <v>1</v>
      </c>
      <c r="J46" s="72">
        <v>1</v>
      </c>
      <c r="K46" s="72">
        <v>0</v>
      </c>
      <c r="L46" s="72">
        <v>0</v>
      </c>
      <c r="M46" s="72">
        <v>0</v>
      </c>
      <c r="N46" s="72">
        <v>0</v>
      </c>
      <c r="O46" s="72">
        <v>1</v>
      </c>
      <c r="P46" s="221">
        <v>5000</v>
      </c>
      <c r="Q46" s="72" t="s">
        <v>170</v>
      </c>
      <c r="R46" s="72" t="s">
        <v>171</v>
      </c>
    </row>
  </sheetData>
  <phoneticPr fontId="6"/>
  <dataValidations count="1">
    <dataValidation type="list" allowBlank="1" showInputMessage="1" showErrorMessage="1" sqref="F2:F46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8"/>
  <sheetViews>
    <sheetView showGridLines="0" workbookViewId="0">
      <pane ySplit="1" topLeftCell="A2" activePane="bottomLeft" state="frozen"/>
      <selection pane="bottomLeft" activeCell="B4" sqref="B4"/>
    </sheetView>
  </sheetViews>
  <sheetFormatPr baseColWidth="12" defaultColWidth="13" defaultRowHeight="15" outlineLevelCol="1" x14ac:dyDescent="0.15"/>
  <cols>
    <col min="1" max="1" width="13" style="79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7" t="s">
        <v>188</v>
      </c>
      <c r="B1" s="63" t="s">
        <v>189</v>
      </c>
      <c r="C1" s="68" t="s">
        <v>190</v>
      </c>
      <c r="D1" s="68" t="s">
        <v>33</v>
      </c>
      <c r="E1" s="63" t="s">
        <v>191</v>
      </c>
      <c r="F1" s="68" t="s">
        <v>192</v>
      </c>
      <c r="G1" s="68" t="s">
        <v>33</v>
      </c>
      <c r="H1" s="63" t="s">
        <v>193</v>
      </c>
      <c r="I1" s="82" t="s">
        <v>195</v>
      </c>
      <c r="J1" s="70" t="s">
        <v>127</v>
      </c>
      <c r="K1" s="69" t="s">
        <v>187</v>
      </c>
      <c r="L1" s="83" t="s">
        <v>186</v>
      </c>
      <c r="M1" s="71" t="s">
        <v>196</v>
      </c>
    </row>
    <row r="2" spans="1:13" x14ac:dyDescent="0.15">
      <c r="A2" s="72" t="s">
        <v>223</v>
      </c>
      <c r="B2" s="73">
        <f>floors!$C$2</f>
        <v>15027</v>
      </c>
      <c r="C2" s="74">
        <f ca="1">VLOOKUP($B2,OFFSET([2]quests!$A$1,0,0,COUNTA([2]quests!$A:$A),MATCH(B$1,[2]quests!$1:$1,0)-MATCH($B$1,[2]quests!$1:$1,0)+1),MATCH(B$1,[2]quests!$1:$1,0)-MATCH($B$1,[2]quests!$1:$1,0)+1,FALSE)</f>
        <v>15027</v>
      </c>
      <c r="D2" s="74" t="str">
        <f ca="1">VLOOKUP($B2,OFFSET([2]quests!$A$1,0,0,COUNTA([2]quests!$A:$A),MATCH(C$1,[2]quests!$1:$1,0)-MATCH($B$1,[2]quests!$1:$1,0)+1),MATCH(C$1,[2]quests!$1:$1,0)-MATCH($B$1,[2]quests!$1:$1,0)+1,FALSE)</f>
        <v>27. 雷雨の登山道</v>
      </c>
      <c r="E2" s="75">
        <v>1</v>
      </c>
      <c r="F2" s="74">
        <f ca="1">VLOOKUP($B2&amp;"_"&amp;$E2,OFFSET([2]stages!$A$1,0,0,COUNTA([2]stages!$A:$A),MATCH(E$1,[2]stages!$2:$2,0)-MATCH("temp_stage",[2]stages!$2:$2,0)+1),MATCH(E$1,[2]stages!$2:$2,0)-MATCH("temp_stage",[2]stages!$2:$2,0)+1,FALSE)</f>
        <v>1</v>
      </c>
      <c r="G2" s="74" t="str">
        <f ca="1">VLOOKUP($B2&amp;"_"&amp;$F2,OFFSET([2]stages!$A$1,0,0,COUNTA([2]stages!$A:$A),MATCH(F$1,[2]stages!$2:$2,0)-MATCH("temp_stage",[2]stages!$2:$2,0)+1),MATCH(F$1,[2]stages!$2:$2,0)-MATCH("temp_stage",[2]stages!$2:$2,0)+1,FALSE)</f>
        <v>27-1. 登山道入口</v>
      </c>
      <c r="H2" s="75">
        <v>1</v>
      </c>
      <c r="I2">
        <v>32</v>
      </c>
      <c r="J2" s="75" t="s">
        <v>224</v>
      </c>
      <c r="K2" s="151" t="s">
        <v>227</v>
      </c>
      <c r="L2" s="152" t="s">
        <v>228</v>
      </c>
      <c r="M2" s="50" t="s">
        <v>225</v>
      </c>
    </row>
    <row r="3" spans="1:13" x14ac:dyDescent="0.15">
      <c r="A3" s="72" t="s">
        <v>223</v>
      </c>
      <c r="B3" s="73">
        <f>floors!$C$2</f>
        <v>15027</v>
      </c>
      <c r="C3" s="74">
        <f ca="1">VLOOKUP($B3,OFFSET([2]quests!$A$1,0,0,COUNTA([2]quests!$A:$A),MATCH(B$1,[2]quests!$1:$1,0)-MATCH($B$1,[2]quests!$1:$1,0)+1),MATCH(B$1,[2]quests!$1:$1,0)-MATCH($B$1,[2]quests!$1:$1,0)+1,FALSE)</f>
        <v>15027</v>
      </c>
      <c r="D3" s="74" t="str">
        <f ca="1">VLOOKUP($B3,OFFSET([2]quests!$A$1,0,0,COUNTA([2]quests!$A:$A),MATCH(C$1,[2]quests!$1:$1,0)-MATCH($B$1,[2]quests!$1:$1,0)+1),MATCH(C$1,[2]quests!$1:$1,0)-MATCH($B$1,[2]quests!$1:$1,0)+1,FALSE)</f>
        <v>27. 雷雨の登山道</v>
      </c>
      <c r="E3" s="75">
        <v>1</v>
      </c>
      <c r="F3" s="74">
        <f ca="1">VLOOKUP($B3&amp;"_"&amp;$E3,OFFSET([2]stages!$A$1,0,0,COUNTA([2]stages!$A:$A),MATCH(E$1,[2]stages!$2:$2,0)-MATCH("temp_stage",[2]stages!$2:$2,0)+1),MATCH(E$1,[2]stages!$2:$2,0)-MATCH("temp_stage",[2]stages!$2:$2,0)+1,FALSE)</f>
        <v>1</v>
      </c>
      <c r="G3" s="74" t="str">
        <f ca="1">VLOOKUP($B3&amp;"_"&amp;$F3,OFFSET([2]stages!$A$1,0,0,COUNTA([2]stages!$A:$A),MATCH(F$1,[2]stages!$2:$2,0)-MATCH("temp_stage",[2]stages!$2:$2,0)+1),MATCH(F$1,[2]stages!$2:$2,0)-MATCH("temp_stage",[2]stages!$2:$2,0)+1,FALSE)</f>
        <v>27-1. 登山道入口</v>
      </c>
      <c r="H3" s="75">
        <v>2</v>
      </c>
      <c r="I3">
        <v>33</v>
      </c>
      <c r="J3" s="75" t="s">
        <v>224</v>
      </c>
      <c r="K3" s="151" t="s">
        <v>229</v>
      </c>
      <c r="L3" s="152" t="s">
        <v>230</v>
      </c>
      <c r="M3" s="50" t="s">
        <v>225</v>
      </c>
    </row>
    <row r="4" spans="1:13" x14ac:dyDescent="0.15">
      <c r="A4" s="72" t="s">
        <v>223</v>
      </c>
      <c r="B4" s="73">
        <f>floors!$C$2</f>
        <v>15027</v>
      </c>
      <c r="C4" s="74">
        <f ca="1">VLOOKUP($B4,OFFSET([2]quests!$A$1,0,0,COUNTA([2]quests!$A:$A),MATCH(B$1,[2]quests!$1:$1,0)-MATCH($B$1,[2]quests!$1:$1,0)+1),MATCH(B$1,[2]quests!$1:$1,0)-MATCH($B$1,[2]quests!$1:$1,0)+1,FALSE)</f>
        <v>15027</v>
      </c>
      <c r="D4" s="74" t="str">
        <f ca="1">VLOOKUP($B4,OFFSET([2]quests!$A$1,0,0,COUNTA([2]quests!$A:$A),MATCH(C$1,[2]quests!$1:$1,0)-MATCH($B$1,[2]quests!$1:$1,0)+1),MATCH(C$1,[2]quests!$1:$1,0)-MATCH($B$1,[2]quests!$1:$1,0)+1,FALSE)</f>
        <v>27. 雷雨の登山道</v>
      </c>
      <c r="E4" s="75">
        <v>1</v>
      </c>
      <c r="F4" s="74">
        <f ca="1">VLOOKUP($B4&amp;"_"&amp;$E4,OFFSET([2]stages!$A$1,0,0,COUNTA([2]stages!$A:$A),MATCH(E$1,[2]stages!$2:$2,0)-MATCH("temp_stage",[2]stages!$2:$2,0)+1),MATCH(E$1,[2]stages!$2:$2,0)-MATCH("temp_stage",[2]stages!$2:$2,0)+1,FALSE)</f>
        <v>1</v>
      </c>
      <c r="G4" s="74" t="str">
        <f ca="1">VLOOKUP($B4&amp;"_"&amp;$F4,OFFSET([2]stages!$A$1,0,0,COUNTA([2]stages!$A:$A),MATCH(F$1,[2]stages!$2:$2,0)-MATCH("temp_stage",[2]stages!$2:$2,0)+1),MATCH(F$1,[2]stages!$2:$2,0)-MATCH("temp_stage",[2]stages!$2:$2,0)+1,FALSE)</f>
        <v>27-1. 登山道入口</v>
      </c>
      <c r="H4" s="75">
        <v>3</v>
      </c>
      <c r="I4">
        <v>34</v>
      </c>
      <c r="J4" s="75" t="s">
        <v>224</v>
      </c>
      <c r="K4" s="151" t="s">
        <v>231</v>
      </c>
      <c r="L4" s="152" t="s">
        <v>232</v>
      </c>
      <c r="M4" s="50" t="s">
        <v>226</v>
      </c>
    </row>
    <row r="5" spans="1:13" x14ac:dyDescent="0.15">
      <c r="A5" s="72" t="s">
        <v>223</v>
      </c>
      <c r="B5" s="73">
        <f>floors!$C$2</f>
        <v>15027</v>
      </c>
      <c r="C5" s="74">
        <f ca="1">VLOOKUP($B5,OFFSET([2]quests!$A$1,0,0,COUNTA([2]quests!$A:$A),MATCH(B$1,[2]quests!$1:$1,0)-MATCH($B$1,[2]quests!$1:$1,0)+1),MATCH(B$1,[2]quests!$1:$1,0)-MATCH($B$1,[2]quests!$1:$1,0)+1,FALSE)</f>
        <v>15027</v>
      </c>
      <c r="D5" s="74" t="str">
        <f ca="1">VLOOKUP($B5,OFFSET([2]quests!$A$1,0,0,COUNTA([2]quests!$A:$A),MATCH(C$1,[2]quests!$1:$1,0)-MATCH($B$1,[2]quests!$1:$1,0)+1),MATCH(C$1,[2]quests!$1:$1,0)-MATCH($B$1,[2]quests!$1:$1,0)+1,FALSE)</f>
        <v>27. 雷雨の登山道</v>
      </c>
      <c r="E5" s="75">
        <v>1</v>
      </c>
      <c r="F5" s="74">
        <f ca="1">VLOOKUP($B5&amp;"_"&amp;$E5,OFFSET([2]stages!$A$1,0,0,COUNTA([2]stages!$A:$A),MATCH(E$1,[2]stages!$2:$2,0)-MATCH("temp_stage",[2]stages!$2:$2,0)+1),MATCH(E$1,[2]stages!$2:$2,0)-MATCH("temp_stage",[2]stages!$2:$2,0)+1,FALSE)</f>
        <v>1</v>
      </c>
      <c r="G5" s="74" t="str">
        <f ca="1">VLOOKUP($B5&amp;"_"&amp;$F5,OFFSET([2]stages!$A$1,0,0,COUNTA([2]stages!$A:$A),MATCH(F$1,[2]stages!$2:$2,0)-MATCH("temp_stage",[2]stages!$2:$2,0)+1),MATCH(F$1,[2]stages!$2:$2,0)-MATCH("temp_stage",[2]stages!$2:$2,0)+1,FALSE)</f>
        <v>27-1. 登山道入口</v>
      </c>
      <c r="H5" s="75">
        <v>4</v>
      </c>
      <c r="I5">
        <v>35</v>
      </c>
      <c r="J5" s="75" t="s">
        <v>224</v>
      </c>
      <c r="K5" s="151" t="s">
        <v>233</v>
      </c>
      <c r="L5" s="152" t="s">
        <v>234</v>
      </c>
      <c r="M5" s="50" t="s">
        <v>225</v>
      </c>
    </row>
    <row r="6" spans="1:13" x14ac:dyDescent="0.15">
      <c r="A6" s="72" t="s">
        <v>223</v>
      </c>
      <c r="B6" s="73">
        <f>floors!$C$2</f>
        <v>15027</v>
      </c>
      <c r="C6" s="74">
        <f ca="1">VLOOKUP($B6,OFFSET([2]quests!$A$1,0,0,COUNTA([2]quests!$A:$A),MATCH(B$1,[2]quests!$1:$1,0)-MATCH($B$1,[2]quests!$1:$1,0)+1),MATCH(B$1,[2]quests!$1:$1,0)-MATCH($B$1,[2]quests!$1:$1,0)+1,FALSE)</f>
        <v>15027</v>
      </c>
      <c r="D6" s="74" t="str">
        <f ca="1">VLOOKUP($B6,OFFSET([2]quests!$A$1,0,0,COUNTA([2]quests!$A:$A),MATCH(C$1,[2]quests!$1:$1,0)-MATCH($B$1,[2]quests!$1:$1,0)+1),MATCH(C$1,[2]quests!$1:$1,0)-MATCH($B$1,[2]quests!$1:$1,0)+1,FALSE)</f>
        <v>27. 雷雨の登山道</v>
      </c>
      <c r="E6" s="75">
        <v>2</v>
      </c>
      <c r="F6" s="74">
        <f ca="1">VLOOKUP($B6&amp;"_"&amp;$E6,OFFSET([2]stages!$A$1,0,0,COUNTA([2]stages!$A:$A),MATCH(E$1,[2]stages!$2:$2,0)-MATCH("temp_stage",[2]stages!$2:$2,0)+1),MATCH(E$1,[2]stages!$2:$2,0)-MATCH("temp_stage",[2]stages!$2:$2,0)+1,FALSE)</f>
        <v>2</v>
      </c>
      <c r="G6" s="74" t="str">
        <f ca="1">VLOOKUP($B6&amp;"_"&amp;$F6,OFFSET([2]stages!$A$1,0,0,COUNTA([2]stages!$A:$A),MATCH(F$1,[2]stages!$2:$2,0)-MATCH("temp_stage",[2]stages!$2:$2,0)+1),MATCH(F$1,[2]stages!$2:$2,0)-MATCH("temp_stage",[2]stages!$2:$2,0)+1,FALSE)</f>
        <v>27-2. 霊峰の守護者</v>
      </c>
      <c r="H6" s="75">
        <v>1</v>
      </c>
      <c r="I6">
        <v>36</v>
      </c>
      <c r="J6" s="75" t="s">
        <v>224</v>
      </c>
      <c r="K6" s="151" t="s">
        <v>235</v>
      </c>
      <c r="L6" s="152" t="s">
        <v>236</v>
      </c>
      <c r="M6" s="50" t="s">
        <v>225</v>
      </c>
    </row>
    <row r="7" spans="1:13" x14ac:dyDescent="0.15">
      <c r="A7" s="72" t="s">
        <v>223</v>
      </c>
      <c r="B7" s="73">
        <f>floors!$C$2</f>
        <v>15027</v>
      </c>
      <c r="C7" s="74">
        <f ca="1">VLOOKUP($B7,OFFSET([2]quests!$A$1,0,0,COUNTA([2]quests!$A:$A),MATCH(B$1,[2]quests!$1:$1,0)-MATCH($B$1,[2]quests!$1:$1,0)+1),MATCH(B$1,[2]quests!$1:$1,0)-MATCH($B$1,[2]quests!$1:$1,0)+1,FALSE)</f>
        <v>15027</v>
      </c>
      <c r="D7" s="74" t="str">
        <f ca="1">VLOOKUP($B7,OFFSET([2]quests!$A$1,0,0,COUNTA([2]quests!$A:$A),MATCH(C$1,[2]quests!$1:$1,0)-MATCH($B$1,[2]quests!$1:$1,0)+1),MATCH(C$1,[2]quests!$1:$1,0)-MATCH($B$1,[2]quests!$1:$1,0)+1,FALSE)</f>
        <v>27. 雷雨の登山道</v>
      </c>
      <c r="E7" s="75">
        <v>2</v>
      </c>
      <c r="F7" s="74">
        <f ca="1">VLOOKUP($B7&amp;"_"&amp;$E7,OFFSET([2]stages!$A$1,0,0,COUNTA([2]stages!$A:$A),MATCH(E$1,[2]stages!$2:$2,0)-MATCH("temp_stage",[2]stages!$2:$2,0)+1),MATCH(E$1,[2]stages!$2:$2,0)-MATCH("temp_stage",[2]stages!$2:$2,0)+1,FALSE)</f>
        <v>2</v>
      </c>
      <c r="G7" s="74" t="str">
        <f ca="1">VLOOKUP($B7&amp;"_"&amp;$F7,OFFSET([2]stages!$A$1,0,0,COUNTA([2]stages!$A:$A),MATCH(F$1,[2]stages!$2:$2,0)-MATCH("temp_stage",[2]stages!$2:$2,0)+1),MATCH(F$1,[2]stages!$2:$2,0)-MATCH("temp_stage",[2]stages!$2:$2,0)+1,FALSE)</f>
        <v>27-2. 霊峰の守護者</v>
      </c>
      <c r="H7" s="75">
        <v>2</v>
      </c>
      <c r="I7">
        <v>37</v>
      </c>
      <c r="J7" s="75" t="s">
        <v>224</v>
      </c>
      <c r="K7" s="151" t="s">
        <v>237</v>
      </c>
      <c r="L7" s="152" t="s">
        <v>238</v>
      </c>
      <c r="M7" s="50" t="s">
        <v>225</v>
      </c>
    </row>
    <row r="8" spans="1:13" x14ac:dyDescent="0.15">
      <c r="A8" s="72" t="s">
        <v>223</v>
      </c>
      <c r="B8" s="73">
        <f>floors!$C$2</f>
        <v>15027</v>
      </c>
      <c r="C8" s="74">
        <f ca="1">VLOOKUP($B8,OFFSET([2]quests!$A$1,0,0,COUNTA([2]quests!$A:$A),MATCH(B$1,[2]quests!$1:$1,0)-MATCH($B$1,[2]quests!$1:$1,0)+1),MATCH(B$1,[2]quests!$1:$1,0)-MATCH($B$1,[2]quests!$1:$1,0)+1,FALSE)</f>
        <v>15027</v>
      </c>
      <c r="D8" s="74" t="str">
        <f ca="1">VLOOKUP($B8,OFFSET([2]quests!$A$1,0,0,COUNTA([2]quests!$A:$A),MATCH(C$1,[2]quests!$1:$1,0)-MATCH($B$1,[2]quests!$1:$1,0)+1),MATCH(C$1,[2]quests!$1:$1,0)-MATCH($B$1,[2]quests!$1:$1,0)+1,FALSE)</f>
        <v>27. 雷雨の登山道</v>
      </c>
      <c r="E8" s="75">
        <v>2</v>
      </c>
      <c r="F8" s="74">
        <f ca="1">VLOOKUP($B8&amp;"_"&amp;$E8,OFFSET([2]stages!$A$1,0,0,COUNTA([2]stages!$A:$A),MATCH(E$1,[2]stages!$2:$2,0)-MATCH("temp_stage",[2]stages!$2:$2,0)+1),MATCH(E$1,[2]stages!$2:$2,0)-MATCH("temp_stage",[2]stages!$2:$2,0)+1,FALSE)</f>
        <v>2</v>
      </c>
      <c r="G8" s="74" t="str">
        <f ca="1">VLOOKUP($B8&amp;"_"&amp;$F8,OFFSET([2]stages!$A$1,0,0,COUNTA([2]stages!$A:$A),MATCH(F$1,[2]stages!$2:$2,0)-MATCH("temp_stage",[2]stages!$2:$2,0)+1),MATCH(F$1,[2]stages!$2:$2,0)-MATCH("temp_stage",[2]stages!$2:$2,0)+1,FALSE)</f>
        <v>27-2. 霊峰の守護者</v>
      </c>
      <c r="H8" s="75">
        <v>3</v>
      </c>
      <c r="I8">
        <v>32</v>
      </c>
      <c r="J8" s="75" t="s">
        <v>224</v>
      </c>
      <c r="K8" s="151" t="s">
        <v>227</v>
      </c>
      <c r="L8" s="152" t="s">
        <v>228</v>
      </c>
      <c r="M8" s="50" t="s">
        <v>225</v>
      </c>
    </row>
    <row r="9" spans="1:13" x14ac:dyDescent="0.15">
      <c r="A9" s="72" t="s">
        <v>223</v>
      </c>
      <c r="B9" s="73">
        <f>floors!$C$2</f>
        <v>15027</v>
      </c>
      <c r="C9" s="74">
        <f ca="1">VLOOKUP($B9,OFFSET([2]quests!$A$1,0,0,COUNTA([2]quests!$A:$A),MATCH(B$1,[2]quests!$1:$1,0)-MATCH($B$1,[2]quests!$1:$1,0)+1),MATCH(B$1,[2]quests!$1:$1,0)-MATCH($B$1,[2]quests!$1:$1,0)+1,FALSE)</f>
        <v>15027</v>
      </c>
      <c r="D9" s="74" t="str">
        <f ca="1">VLOOKUP($B9,OFFSET([2]quests!$A$1,0,0,COUNTA([2]quests!$A:$A),MATCH(C$1,[2]quests!$1:$1,0)-MATCH($B$1,[2]quests!$1:$1,0)+1),MATCH(C$1,[2]quests!$1:$1,0)-MATCH($B$1,[2]quests!$1:$1,0)+1,FALSE)</f>
        <v>27. 雷雨の登山道</v>
      </c>
      <c r="E9" s="75">
        <v>2</v>
      </c>
      <c r="F9" s="74">
        <f ca="1">VLOOKUP($B9&amp;"_"&amp;$E9,OFFSET([2]stages!$A$1,0,0,COUNTA([2]stages!$A:$A),MATCH(E$1,[2]stages!$2:$2,0)-MATCH("temp_stage",[2]stages!$2:$2,0)+1),MATCH(E$1,[2]stages!$2:$2,0)-MATCH("temp_stage",[2]stages!$2:$2,0)+1,FALSE)</f>
        <v>2</v>
      </c>
      <c r="G9" s="74" t="str">
        <f ca="1">VLOOKUP($B9&amp;"_"&amp;$F9,OFFSET([2]stages!$A$1,0,0,COUNTA([2]stages!$A:$A),MATCH(F$1,[2]stages!$2:$2,0)-MATCH("temp_stage",[2]stages!$2:$2,0)+1),MATCH(F$1,[2]stages!$2:$2,0)-MATCH("temp_stage",[2]stages!$2:$2,0)+1,FALSE)</f>
        <v>27-2. 霊峰の守護者</v>
      </c>
      <c r="H9" s="75">
        <v>4</v>
      </c>
      <c r="I9">
        <v>33</v>
      </c>
      <c r="J9" s="75" t="s">
        <v>224</v>
      </c>
      <c r="K9" s="151" t="s">
        <v>229</v>
      </c>
      <c r="L9" s="152" t="s">
        <v>230</v>
      </c>
      <c r="M9" s="50" t="s">
        <v>225</v>
      </c>
    </row>
    <row r="10" spans="1:13" x14ac:dyDescent="0.15">
      <c r="A10" s="72" t="s">
        <v>223</v>
      </c>
      <c r="B10" s="73">
        <f>floors!$C$2</f>
        <v>15027</v>
      </c>
      <c r="C10" s="74">
        <f ca="1">VLOOKUP($B10,OFFSET([2]quests!$A$1,0,0,COUNTA([2]quests!$A:$A),MATCH(B$1,[2]quests!$1:$1,0)-MATCH($B$1,[2]quests!$1:$1,0)+1),MATCH(B$1,[2]quests!$1:$1,0)-MATCH($B$1,[2]quests!$1:$1,0)+1,FALSE)</f>
        <v>15027</v>
      </c>
      <c r="D10" s="74" t="str">
        <f ca="1">VLOOKUP($B10,OFFSET([2]quests!$A$1,0,0,COUNTA([2]quests!$A:$A),MATCH(C$1,[2]quests!$1:$1,0)-MATCH($B$1,[2]quests!$1:$1,0)+1),MATCH(C$1,[2]quests!$1:$1,0)-MATCH($B$1,[2]quests!$1:$1,0)+1,FALSE)</f>
        <v>27. 雷雨の登山道</v>
      </c>
      <c r="E10" s="75">
        <v>3</v>
      </c>
      <c r="F10" s="74">
        <f ca="1">VLOOKUP($B10&amp;"_"&amp;$E10,OFFSET([2]stages!$A$1,0,0,COUNTA([2]stages!$A:$A),MATCH(E$1,[2]stages!$2:$2,0)-MATCH("temp_stage",[2]stages!$2:$2,0)+1),MATCH(E$1,[2]stages!$2:$2,0)-MATCH("temp_stage",[2]stages!$2:$2,0)+1,FALSE)</f>
        <v>3</v>
      </c>
      <c r="G10" s="74" t="str">
        <f ca="1">VLOOKUP($B10&amp;"_"&amp;$F10,OFFSET([2]stages!$A$1,0,0,COUNTA([2]stages!$A:$A),MATCH(F$1,[2]stages!$2:$2,0)-MATCH("temp_stage",[2]stages!$2:$2,0)+1),MATCH(F$1,[2]stages!$2:$2,0)-MATCH("temp_stage",[2]stages!$2:$2,0)+1,FALSE)</f>
        <v>27-3. 山岳の王者</v>
      </c>
      <c r="H10" s="75">
        <v>1</v>
      </c>
      <c r="I10">
        <v>34</v>
      </c>
      <c r="J10" s="75" t="s">
        <v>224</v>
      </c>
      <c r="K10" s="151" t="s">
        <v>231</v>
      </c>
      <c r="L10" s="152" t="s">
        <v>232</v>
      </c>
      <c r="M10" s="50" t="s">
        <v>225</v>
      </c>
    </row>
    <row r="11" spans="1:13" x14ac:dyDescent="0.15">
      <c r="A11" s="72" t="s">
        <v>223</v>
      </c>
      <c r="B11" s="73">
        <f>floors!$C$2</f>
        <v>15027</v>
      </c>
      <c r="C11" s="74">
        <f ca="1">VLOOKUP($B11,OFFSET([2]quests!$A$1,0,0,COUNTA([2]quests!$A:$A),MATCH(B$1,[2]quests!$1:$1,0)-MATCH($B$1,[2]quests!$1:$1,0)+1),MATCH(B$1,[2]quests!$1:$1,0)-MATCH($B$1,[2]quests!$1:$1,0)+1,FALSE)</f>
        <v>15027</v>
      </c>
      <c r="D11" s="74" t="str">
        <f ca="1">VLOOKUP($B11,OFFSET([2]quests!$A$1,0,0,COUNTA([2]quests!$A:$A),MATCH(C$1,[2]quests!$1:$1,0)-MATCH($B$1,[2]quests!$1:$1,0)+1),MATCH(C$1,[2]quests!$1:$1,0)-MATCH($B$1,[2]quests!$1:$1,0)+1,FALSE)</f>
        <v>27. 雷雨の登山道</v>
      </c>
      <c r="E11" s="75">
        <v>3</v>
      </c>
      <c r="F11" s="74">
        <f ca="1">VLOOKUP($B11&amp;"_"&amp;$E11,OFFSET([2]stages!$A$1,0,0,COUNTA([2]stages!$A:$A),MATCH(E$1,[2]stages!$2:$2,0)-MATCH("temp_stage",[2]stages!$2:$2,0)+1),MATCH(E$1,[2]stages!$2:$2,0)-MATCH("temp_stage",[2]stages!$2:$2,0)+1,FALSE)</f>
        <v>3</v>
      </c>
      <c r="G11" s="74" t="str">
        <f ca="1">VLOOKUP($B11&amp;"_"&amp;$F11,OFFSET([2]stages!$A$1,0,0,COUNTA([2]stages!$A:$A),MATCH(F$1,[2]stages!$2:$2,0)-MATCH("temp_stage",[2]stages!$2:$2,0)+1),MATCH(F$1,[2]stages!$2:$2,0)-MATCH("temp_stage",[2]stages!$2:$2,0)+1,FALSE)</f>
        <v>27-3. 山岳の王者</v>
      </c>
      <c r="H11" s="75">
        <v>2</v>
      </c>
      <c r="I11">
        <v>35</v>
      </c>
      <c r="J11" s="75" t="s">
        <v>224</v>
      </c>
      <c r="K11" s="151" t="s">
        <v>233</v>
      </c>
      <c r="L11" s="152" t="s">
        <v>234</v>
      </c>
      <c r="M11" s="50" t="s">
        <v>225</v>
      </c>
    </row>
    <row r="12" spans="1:13" x14ac:dyDescent="0.15">
      <c r="A12" s="72" t="s">
        <v>223</v>
      </c>
      <c r="B12" s="73">
        <f>floors!$C$2</f>
        <v>15027</v>
      </c>
      <c r="C12" s="74">
        <f ca="1">VLOOKUP($B12,OFFSET([2]quests!$A$1,0,0,COUNTA([2]quests!$A:$A),MATCH(B$1,[2]quests!$1:$1,0)-MATCH($B$1,[2]quests!$1:$1,0)+1),MATCH(B$1,[2]quests!$1:$1,0)-MATCH($B$1,[2]quests!$1:$1,0)+1,FALSE)</f>
        <v>15027</v>
      </c>
      <c r="D12" s="74" t="str">
        <f ca="1">VLOOKUP($B12,OFFSET([2]quests!$A$1,0,0,COUNTA([2]quests!$A:$A),MATCH(C$1,[2]quests!$1:$1,0)-MATCH($B$1,[2]quests!$1:$1,0)+1),MATCH(C$1,[2]quests!$1:$1,0)-MATCH($B$1,[2]quests!$1:$1,0)+1,FALSE)</f>
        <v>27. 雷雨の登山道</v>
      </c>
      <c r="E12" s="75">
        <v>3</v>
      </c>
      <c r="F12" s="74">
        <f ca="1">VLOOKUP($B12&amp;"_"&amp;$E12,OFFSET([2]stages!$A$1,0,0,COUNTA([2]stages!$A:$A),MATCH(E$1,[2]stages!$2:$2,0)-MATCH("temp_stage",[2]stages!$2:$2,0)+1),MATCH(E$1,[2]stages!$2:$2,0)-MATCH("temp_stage",[2]stages!$2:$2,0)+1,FALSE)</f>
        <v>3</v>
      </c>
      <c r="G12" s="74" t="str">
        <f ca="1">VLOOKUP($B12&amp;"_"&amp;$F12,OFFSET([2]stages!$A$1,0,0,COUNTA([2]stages!$A:$A),MATCH(F$1,[2]stages!$2:$2,0)-MATCH("temp_stage",[2]stages!$2:$2,0)+1),MATCH(F$1,[2]stages!$2:$2,0)-MATCH("temp_stage",[2]stages!$2:$2,0)+1,FALSE)</f>
        <v>27-3. 山岳の王者</v>
      </c>
      <c r="H12" s="75">
        <v>3</v>
      </c>
      <c r="I12">
        <v>36</v>
      </c>
      <c r="J12" s="75" t="s">
        <v>224</v>
      </c>
      <c r="K12" s="151" t="s">
        <v>235</v>
      </c>
      <c r="L12" s="152" t="s">
        <v>236</v>
      </c>
      <c r="M12" s="50" t="s">
        <v>225</v>
      </c>
    </row>
    <row r="13" spans="1:13" x14ac:dyDescent="0.15">
      <c r="A13" s="72" t="s">
        <v>223</v>
      </c>
      <c r="B13" s="73">
        <f>floors!$C$2</f>
        <v>15027</v>
      </c>
      <c r="C13" s="74">
        <f ca="1">VLOOKUP($B13,OFFSET([2]quests!$A$1,0,0,COUNTA([2]quests!$A:$A),MATCH(B$1,[2]quests!$1:$1,0)-MATCH($B$1,[2]quests!$1:$1,0)+1),MATCH(B$1,[2]quests!$1:$1,0)-MATCH($B$1,[2]quests!$1:$1,0)+1,FALSE)</f>
        <v>15027</v>
      </c>
      <c r="D13" s="74" t="str">
        <f ca="1">VLOOKUP($B13,OFFSET([2]quests!$A$1,0,0,COUNTA([2]quests!$A:$A),MATCH(C$1,[2]quests!$1:$1,0)-MATCH($B$1,[2]quests!$1:$1,0)+1),MATCH(C$1,[2]quests!$1:$1,0)-MATCH($B$1,[2]quests!$1:$1,0)+1,FALSE)</f>
        <v>27. 雷雨の登山道</v>
      </c>
      <c r="E13" s="75">
        <v>3</v>
      </c>
      <c r="F13" s="74">
        <f ca="1">VLOOKUP($B13&amp;"_"&amp;$E13,OFFSET([2]stages!$A$1,0,0,COUNTA([2]stages!$A:$A),MATCH(E$1,[2]stages!$2:$2,0)-MATCH("temp_stage",[2]stages!$2:$2,0)+1),MATCH(E$1,[2]stages!$2:$2,0)-MATCH("temp_stage",[2]stages!$2:$2,0)+1,FALSE)</f>
        <v>3</v>
      </c>
      <c r="G13" s="74" t="str">
        <f ca="1">VLOOKUP($B13&amp;"_"&amp;$F13,OFFSET([2]stages!$A$1,0,0,COUNTA([2]stages!$A:$A),MATCH(F$1,[2]stages!$2:$2,0)-MATCH("temp_stage",[2]stages!$2:$2,0)+1),MATCH(F$1,[2]stages!$2:$2,0)-MATCH("temp_stage",[2]stages!$2:$2,0)+1,FALSE)</f>
        <v>27-3. 山岳の王者</v>
      </c>
      <c r="H13" s="75">
        <v>4</v>
      </c>
      <c r="I13">
        <v>37</v>
      </c>
      <c r="J13" s="75" t="s">
        <v>224</v>
      </c>
      <c r="K13" s="151" t="s">
        <v>237</v>
      </c>
      <c r="L13" s="152" t="s">
        <v>238</v>
      </c>
      <c r="M13" s="50" t="s">
        <v>225</v>
      </c>
    </row>
    <row r="14" spans="1:13" x14ac:dyDescent="0.15">
      <c r="A14" s="72" t="s">
        <v>223</v>
      </c>
      <c r="B14" s="73">
        <f>floors!$C$2</f>
        <v>15027</v>
      </c>
      <c r="C14" s="74">
        <f ca="1">VLOOKUP($B14,OFFSET([2]quests!$A$1,0,0,COUNTA([2]quests!$A:$A),MATCH(B$1,[2]quests!$1:$1,0)-MATCH($B$1,[2]quests!$1:$1,0)+1),MATCH(B$1,[2]quests!$1:$1,0)-MATCH($B$1,[2]quests!$1:$1,0)+1,FALSE)</f>
        <v>15027</v>
      </c>
      <c r="D14" s="74" t="str">
        <f ca="1">VLOOKUP($B14,OFFSET([2]quests!$A$1,0,0,COUNTA([2]quests!$A:$A),MATCH(C$1,[2]quests!$1:$1,0)-MATCH($B$1,[2]quests!$1:$1,0)+1),MATCH(C$1,[2]quests!$1:$1,0)-MATCH($B$1,[2]quests!$1:$1,0)+1,FALSE)</f>
        <v>27. 雷雨の登山道</v>
      </c>
      <c r="E14" s="75">
        <v>4</v>
      </c>
      <c r="F14" s="74">
        <f ca="1">VLOOKUP($B14&amp;"_"&amp;$E14,OFFSET([2]stages!$A$1,0,0,COUNTA([2]stages!$A:$A),MATCH(E$1,[2]stages!$2:$2,0)-MATCH("temp_stage",[2]stages!$2:$2,0)+1),MATCH(E$1,[2]stages!$2:$2,0)-MATCH("temp_stage",[2]stages!$2:$2,0)+1,FALSE)</f>
        <v>4</v>
      </c>
      <c r="G14" s="74" t="str">
        <f ca="1">VLOOKUP($B14&amp;"_"&amp;$F14,OFFSET([2]stages!$A$1,0,0,COUNTA([2]stages!$A:$A),MATCH(F$1,[2]stages!$2:$2,0)-MATCH("temp_stage",[2]stages!$2:$2,0)+1),MATCH(F$1,[2]stages!$2:$2,0)-MATCH("temp_stage",[2]stages!$2:$2,0)+1,FALSE)</f>
        <v>27-4. 【1回のみ】ボーナスステージ</v>
      </c>
      <c r="H14" s="75">
        <v>1</v>
      </c>
      <c r="I14">
        <v>32</v>
      </c>
      <c r="J14" s="75" t="s">
        <v>224</v>
      </c>
      <c r="K14" s="151" t="s">
        <v>227</v>
      </c>
      <c r="L14" s="152" t="s">
        <v>228</v>
      </c>
      <c r="M14" s="50" t="s">
        <v>225</v>
      </c>
    </row>
    <row r="15" spans="1:13" x14ac:dyDescent="0.15">
      <c r="A15" s="72" t="s">
        <v>223</v>
      </c>
      <c r="B15" s="73">
        <f>floors!$C$2</f>
        <v>15027</v>
      </c>
      <c r="C15" s="74">
        <f ca="1">VLOOKUP($B15,OFFSET([2]quests!$A$1,0,0,COUNTA([2]quests!$A:$A),MATCH(B$1,[2]quests!$1:$1,0)-MATCH($B$1,[2]quests!$1:$1,0)+1),MATCH(B$1,[2]quests!$1:$1,0)-MATCH($B$1,[2]quests!$1:$1,0)+1,FALSE)</f>
        <v>15027</v>
      </c>
      <c r="D15" s="74" t="str">
        <f ca="1">VLOOKUP($B15,OFFSET([2]quests!$A$1,0,0,COUNTA([2]quests!$A:$A),MATCH(C$1,[2]quests!$1:$1,0)-MATCH($B$1,[2]quests!$1:$1,0)+1),MATCH(C$1,[2]quests!$1:$1,0)-MATCH($B$1,[2]quests!$1:$1,0)+1,FALSE)</f>
        <v>27. 雷雨の登山道</v>
      </c>
      <c r="E15" s="75">
        <v>4</v>
      </c>
      <c r="F15" s="74">
        <f ca="1">VLOOKUP($B15&amp;"_"&amp;$E15,OFFSET([2]stages!$A$1,0,0,COUNTA([2]stages!$A:$A),MATCH(E$1,[2]stages!$2:$2,0)-MATCH("temp_stage",[2]stages!$2:$2,0)+1),MATCH(E$1,[2]stages!$2:$2,0)-MATCH("temp_stage",[2]stages!$2:$2,0)+1,FALSE)</f>
        <v>4</v>
      </c>
      <c r="G15" s="74" t="str">
        <f ca="1">VLOOKUP($B15&amp;"_"&amp;$F15,OFFSET([2]stages!$A$1,0,0,COUNTA([2]stages!$A:$A),MATCH(F$1,[2]stages!$2:$2,0)-MATCH("temp_stage",[2]stages!$2:$2,0)+1),MATCH(F$1,[2]stages!$2:$2,0)-MATCH("temp_stage",[2]stages!$2:$2,0)+1,FALSE)</f>
        <v>27-4. 【1回のみ】ボーナスステージ</v>
      </c>
      <c r="H15" s="75">
        <v>2</v>
      </c>
      <c r="I15">
        <v>33</v>
      </c>
      <c r="J15" s="75" t="s">
        <v>198</v>
      </c>
      <c r="K15" s="151" t="s">
        <v>229</v>
      </c>
      <c r="L15" s="152" t="s">
        <v>230</v>
      </c>
      <c r="M15" s="50" t="s">
        <v>200</v>
      </c>
    </row>
    <row r="16" spans="1:13" x14ac:dyDescent="0.15">
      <c r="A16" s="72" t="s">
        <v>223</v>
      </c>
      <c r="B16" s="73">
        <f>floors!$C$2</f>
        <v>15027</v>
      </c>
      <c r="C16" s="74">
        <f ca="1">VLOOKUP($B16,OFFSET([2]quests!$A$1,0,0,COUNTA([2]quests!$A:$A),MATCH(B$1,[2]quests!$1:$1,0)-MATCH($B$1,[2]quests!$1:$1,0)+1),MATCH(B$1,[2]quests!$1:$1,0)-MATCH($B$1,[2]quests!$1:$1,0)+1,FALSE)</f>
        <v>15027</v>
      </c>
      <c r="D16" s="74" t="str">
        <f ca="1">VLOOKUP($B16,OFFSET([2]quests!$A$1,0,0,COUNTA([2]quests!$A:$A),MATCH(C$1,[2]quests!$1:$1,0)-MATCH($B$1,[2]quests!$1:$1,0)+1),MATCH(C$1,[2]quests!$1:$1,0)-MATCH($B$1,[2]quests!$1:$1,0)+1,FALSE)</f>
        <v>27. 雷雨の登山道</v>
      </c>
      <c r="E16" s="75">
        <v>4</v>
      </c>
      <c r="F16" s="74">
        <f ca="1">VLOOKUP($B16&amp;"_"&amp;$E16,OFFSET([2]stages!$A$1,0,0,COUNTA([2]stages!$A:$A),MATCH(E$1,[2]stages!$2:$2,0)-MATCH("temp_stage",[2]stages!$2:$2,0)+1),MATCH(E$1,[2]stages!$2:$2,0)-MATCH("temp_stage",[2]stages!$2:$2,0)+1,FALSE)</f>
        <v>4</v>
      </c>
      <c r="G16" s="74" t="str">
        <f ca="1">VLOOKUP($B16&amp;"_"&amp;$F16,OFFSET([2]stages!$A$1,0,0,COUNTA([2]stages!$A:$A),MATCH(F$1,[2]stages!$2:$2,0)-MATCH("temp_stage",[2]stages!$2:$2,0)+1),MATCH(F$1,[2]stages!$2:$2,0)-MATCH("temp_stage",[2]stages!$2:$2,0)+1,FALSE)</f>
        <v>27-4. 【1回のみ】ボーナスステージ</v>
      </c>
      <c r="H16" s="75">
        <v>3</v>
      </c>
      <c r="I16">
        <v>34</v>
      </c>
      <c r="J16" s="75" t="s">
        <v>198</v>
      </c>
      <c r="K16" s="151" t="s">
        <v>231</v>
      </c>
      <c r="L16" s="152" t="s">
        <v>232</v>
      </c>
      <c r="M16" s="50" t="s">
        <v>200</v>
      </c>
    </row>
    <row r="17" spans="1:13" x14ac:dyDescent="0.15">
      <c r="A17" s="72" t="s">
        <v>223</v>
      </c>
      <c r="B17" s="73">
        <f>floors!$C$2</f>
        <v>15027</v>
      </c>
      <c r="C17" s="74">
        <f ca="1">VLOOKUP($B17,OFFSET([2]quests!$A$1,0,0,COUNTA([2]quests!$A:$A),MATCH(B$1,[2]quests!$1:$1,0)-MATCH($B$1,[2]quests!$1:$1,0)+1),MATCH(B$1,[2]quests!$1:$1,0)-MATCH($B$1,[2]quests!$1:$1,0)+1,FALSE)</f>
        <v>15027</v>
      </c>
      <c r="D17" s="74" t="str">
        <f ca="1">VLOOKUP($B17,OFFSET([2]quests!$A$1,0,0,COUNTA([2]quests!$A:$A),MATCH(C$1,[2]quests!$1:$1,0)-MATCH($B$1,[2]quests!$1:$1,0)+1),MATCH(C$1,[2]quests!$1:$1,0)-MATCH($B$1,[2]quests!$1:$1,0)+1,FALSE)</f>
        <v>27. 雷雨の登山道</v>
      </c>
      <c r="E17" s="75">
        <v>4</v>
      </c>
      <c r="F17" s="74">
        <f ca="1">VLOOKUP($B17&amp;"_"&amp;$E17,OFFSET([2]stages!$A$1,0,0,COUNTA([2]stages!$A:$A),MATCH(E$1,[2]stages!$2:$2,0)-MATCH("temp_stage",[2]stages!$2:$2,0)+1),MATCH(E$1,[2]stages!$2:$2,0)-MATCH("temp_stage",[2]stages!$2:$2,0)+1,FALSE)</f>
        <v>4</v>
      </c>
      <c r="G17" s="74" t="str">
        <f ca="1">VLOOKUP($B17&amp;"_"&amp;$F17,OFFSET([2]stages!$A$1,0,0,COUNTA([2]stages!$A:$A),MATCH(F$1,[2]stages!$2:$2,0)-MATCH("temp_stage",[2]stages!$2:$2,0)+1),MATCH(F$1,[2]stages!$2:$2,0)-MATCH("temp_stage",[2]stages!$2:$2,0)+1,FALSE)</f>
        <v>27-4. 【1回のみ】ボーナスステージ</v>
      </c>
      <c r="H17" s="75">
        <v>4</v>
      </c>
      <c r="I17">
        <v>35</v>
      </c>
      <c r="J17" s="75" t="s">
        <v>198</v>
      </c>
      <c r="K17" s="151" t="s">
        <v>233</v>
      </c>
      <c r="L17" s="152" t="s">
        <v>234</v>
      </c>
      <c r="M17" s="50" t="s">
        <v>200</v>
      </c>
    </row>
    <row r="18" spans="1:13" x14ac:dyDescent="0.15">
      <c r="A18" s="72" t="s">
        <v>223</v>
      </c>
      <c r="B18" s="73">
        <f>floors!$C$2</f>
        <v>15027</v>
      </c>
      <c r="C18" s="74">
        <f ca="1">VLOOKUP($B18,OFFSET([2]quests!$A$1,0,0,COUNTA([2]quests!$A:$A),MATCH(B$1,[2]quests!$1:$1,0)-MATCH($B$1,[2]quests!$1:$1,0)+1),MATCH(B$1,[2]quests!$1:$1,0)-MATCH($B$1,[2]quests!$1:$1,0)+1,FALSE)</f>
        <v>15027</v>
      </c>
      <c r="D18" s="74" t="str">
        <f ca="1">VLOOKUP($B18,OFFSET([2]quests!$A$1,0,0,COUNTA([2]quests!$A:$A),MATCH(C$1,[2]quests!$1:$1,0)-MATCH($B$1,[2]quests!$1:$1,0)+1),MATCH(C$1,[2]quests!$1:$1,0)-MATCH($B$1,[2]quests!$1:$1,0)+1,FALSE)</f>
        <v>27. 雷雨の登山道</v>
      </c>
      <c r="E18" s="75">
        <v>4</v>
      </c>
      <c r="F18" s="74">
        <f ca="1">VLOOKUP($B18&amp;"_"&amp;$E18,OFFSET([2]stages!$A$1,0,0,COUNTA([2]stages!$A:$A),MATCH(E$1,[2]stages!$2:$2,0)-MATCH("temp_stage",[2]stages!$2:$2,0)+1),MATCH(E$1,[2]stages!$2:$2,0)-MATCH("temp_stage",[2]stages!$2:$2,0)+1,FALSE)</f>
        <v>4</v>
      </c>
      <c r="G18" s="74" t="str">
        <f ca="1">VLOOKUP($B18&amp;"_"&amp;$F18,OFFSET([2]stages!$A$1,0,0,COUNTA([2]stages!$A:$A),MATCH(F$1,[2]stages!$2:$2,0)-MATCH("temp_stage",[2]stages!$2:$2,0)+1),MATCH(F$1,[2]stages!$2:$2,0)-MATCH("temp_stage",[2]stages!$2:$2,0)+1,FALSE)</f>
        <v>27-4. 【1回のみ】ボーナスステージ</v>
      </c>
      <c r="H18" s="75">
        <v>5</v>
      </c>
      <c r="I18">
        <v>36</v>
      </c>
      <c r="J18" s="75" t="s">
        <v>198</v>
      </c>
      <c r="K18" s="151" t="s">
        <v>235</v>
      </c>
      <c r="L18" s="152" t="s">
        <v>236</v>
      </c>
      <c r="M18" s="50" t="s">
        <v>200</v>
      </c>
    </row>
  </sheetData>
  <phoneticPr fontId="6"/>
  <dataValidations count="1">
    <dataValidation type="list" allowBlank="1" showInputMessage="1" showErrorMessage="1" sqref="A2:A18">
      <formula1>"complete,failure"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8"/>
  <sheetViews>
    <sheetView showGridLines="0" workbookViewId="0">
      <pane ySplit="1" topLeftCell="A13" activePane="bottomLeft" state="frozen"/>
      <selection pane="bottomLeft" activeCell="J21" sqref="J21"/>
    </sheetView>
  </sheetViews>
  <sheetFormatPr baseColWidth="12" defaultColWidth="13" defaultRowHeight="15" outlineLevelCol="1" x14ac:dyDescent="0.15"/>
  <cols>
    <col min="1" max="1" width="13" style="7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67" t="s">
        <v>188</v>
      </c>
      <c r="B1" s="63" t="s">
        <v>151</v>
      </c>
      <c r="C1" s="68" t="s">
        <v>190</v>
      </c>
      <c r="D1" s="68" t="s">
        <v>33</v>
      </c>
      <c r="E1" s="63" t="s">
        <v>191</v>
      </c>
      <c r="F1" s="68" t="s">
        <v>18</v>
      </c>
      <c r="G1" s="68" t="s">
        <v>33</v>
      </c>
      <c r="H1" s="63" t="s">
        <v>193</v>
      </c>
      <c r="I1" s="80" t="s">
        <v>194</v>
      </c>
      <c r="J1" s="82" t="s">
        <v>195</v>
      </c>
      <c r="K1" s="70" t="s">
        <v>127</v>
      </c>
      <c r="L1" s="69" t="s">
        <v>187</v>
      </c>
      <c r="M1" s="83" t="s">
        <v>186</v>
      </c>
      <c r="N1" s="71" t="s">
        <v>196</v>
      </c>
    </row>
    <row r="2" spans="1:14" ht="56" x14ac:dyDescent="0.15">
      <c r="A2" s="72" t="s">
        <v>197</v>
      </c>
      <c r="B2" s="73">
        <f>floors!$C$2</f>
        <v>15027</v>
      </c>
      <c r="C2" s="74" t="str">
        <f ca="1">VLOOKUP($B2,OFFSET([2]quests!$A$1,0,0,COUNTA([2]quests!$A:$A),MATCH(C$1,[2]quests!$1:$1,0)-MATCH($B$1,[2]quests!$1:$1,0)+1),MATCH(C$1,[2]quests!$1:$1,0)-MATCH($B$1,[2]quests!$1:$1,0)+1,FALSE)</f>
        <v>27. 雷雨の登山道</v>
      </c>
      <c r="D2" s="74" t="str">
        <f ca="1">VLOOKUP($B2,OFFSET([2]quests!$A$1,0,0,COUNTA([2]quests!$A:$A),MATCH(D$1,[2]quests!$1:$1,0)-MATCH($B$1,[2]quests!$1:$1,0)+1),MATCH(D$1,[2]quests!$1:$1,0)-MATCH($B$1,[2]quests!$1:$1,0)+1,FALSE)</f>
        <v>黄青DL6</v>
      </c>
      <c r="E2" s="75">
        <v>1</v>
      </c>
      <c r="F2" s="74" t="str">
        <f ca="1">VLOOKUP($B2&amp;"_"&amp;$E2,OFFSET([2]stages!$A$1,0,0,COUNTA([2]stages!$A:$A),MATCH(F$1,[2]stages!$2:$2,0)-MATCH("temp_stage",[2]stages!$2:$2,0)+1),MATCH(F$1,[2]stages!$2:$2,0)-MATCH("temp_stage",[2]stages!$2:$2,0)+1,FALSE)</f>
        <v>27-1. 登山道入口</v>
      </c>
      <c r="G2" s="74" t="str">
        <f ca="1">VLOOKUP($B2&amp;"_"&amp;$E2,OFFSET([2]stages!$A$1,0,0,COUNTA([2]stages!$A:$A),MATCH(G$1,[2]stages!$2:$2,0)-MATCH("temp_stage",[2]stages!$2:$2,0)+1),MATCH(G$1,[2]stages!$2:$2,0)-MATCH("temp_stage",[2]stages!$2:$2,0)+1,FALSE)</f>
        <v>黄青DL6</v>
      </c>
      <c r="H2" s="76">
        <v>1</v>
      </c>
      <c r="I2" s="81">
        <f t="shared" ref="I2:I13" si="0">ROW()-1</f>
        <v>1</v>
      </c>
      <c r="J2" s="77" t="str">
        <f t="shared" ref="J2:J13" si="1">B2&amp;TEXT(I2,"00")</f>
        <v>1502701</v>
      </c>
      <c r="K2" s="75" t="s">
        <v>198</v>
      </c>
      <c r="L2" s="78" t="s">
        <v>199</v>
      </c>
      <c r="M2" s="222" t="s">
        <v>328</v>
      </c>
      <c r="N2" s="50" t="s">
        <v>200</v>
      </c>
    </row>
    <row r="3" spans="1:14" x14ac:dyDescent="0.15">
      <c r="A3" s="72" t="s">
        <v>197</v>
      </c>
      <c r="B3" s="73">
        <f>floors!$C$2</f>
        <v>15027</v>
      </c>
      <c r="C3" s="74" t="str">
        <f ca="1">VLOOKUP($B3,OFFSET([2]quests!$A$1,0,0,COUNTA([2]quests!$A:$A),MATCH(C$1,[2]quests!$1:$1,0)-MATCH($B$1,[2]quests!$1:$1,0)+1),MATCH(C$1,[2]quests!$1:$1,0)-MATCH($B$1,[2]quests!$1:$1,0)+1,FALSE)</f>
        <v>27. 雷雨の登山道</v>
      </c>
      <c r="D3" s="74" t="str">
        <f ca="1">VLOOKUP($B3,OFFSET([2]quests!$A$1,0,0,COUNTA([2]quests!$A:$A),MATCH(D$1,[2]quests!$1:$1,0)-MATCH($B$1,[2]quests!$1:$1,0)+1),MATCH(D$1,[2]quests!$1:$1,0)-MATCH($B$1,[2]quests!$1:$1,0)+1,FALSE)</f>
        <v>黄青DL6</v>
      </c>
      <c r="E3" s="75">
        <v>1</v>
      </c>
      <c r="F3" s="74" t="str">
        <f ca="1">VLOOKUP($B3&amp;"_"&amp;$E3,OFFSET([2]stages!$A$1,0,0,COUNTA([2]stages!$A:$A),MATCH(F$1,[2]stages!$2:$2,0)-MATCH("temp_stage",[2]stages!$2:$2,0)+1),MATCH(F$1,[2]stages!$2:$2,0)-MATCH("temp_stage",[2]stages!$2:$2,0)+1,FALSE)</f>
        <v>27-1. 登山道入口</v>
      </c>
      <c r="G3" s="74" t="str">
        <f ca="1">VLOOKUP($B3&amp;"_"&amp;$E3,OFFSET([2]stages!$A$1,0,0,COUNTA([2]stages!$A:$A),MATCH(G$1,[2]stages!$2:$2,0)-MATCH("temp_stage",[2]stages!$2:$2,0)+1),MATCH(G$1,[2]stages!$2:$2,0)-MATCH("temp_stage",[2]stages!$2:$2,0)+1,FALSE)</f>
        <v>黄青DL6</v>
      </c>
      <c r="H3" s="76">
        <v>2</v>
      </c>
      <c r="I3" s="81">
        <f t="shared" si="0"/>
        <v>2</v>
      </c>
      <c r="J3" s="77" t="str">
        <f t="shared" si="1"/>
        <v>1502702</v>
      </c>
      <c r="K3" s="75" t="s">
        <v>198</v>
      </c>
      <c r="L3" s="78" t="s">
        <v>199</v>
      </c>
      <c r="M3" s="153" t="s">
        <v>320</v>
      </c>
      <c r="N3" s="50" t="s">
        <v>200</v>
      </c>
    </row>
    <row r="4" spans="1:14" ht="56" x14ac:dyDescent="0.15">
      <c r="A4" s="72" t="s">
        <v>197</v>
      </c>
      <c r="B4" s="73">
        <f>floors!$C$2</f>
        <v>15027</v>
      </c>
      <c r="C4" s="74" t="str">
        <f ca="1">VLOOKUP($B4,OFFSET([2]quests!$A$1,0,0,COUNTA([2]quests!$A:$A),MATCH(C$1,[2]quests!$1:$1,0)-MATCH($B$1,[2]quests!$1:$1,0)+1),MATCH(C$1,[2]quests!$1:$1,0)-MATCH($B$1,[2]quests!$1:$1,0)+1,FALSE)</f>
        <v>27. 雷雨の登山道</v>
      </c>
      <c r="D4" s="74" t="str">
        <f ca="1">VLOOKUP($B4,OFFSET([2]quests!$A$1,0,0,COUNTA([2]quests!$A:$A),MATCH(D$1,[2]quests!$1:$1,0)-MATCH($B$1,[2]quests!$1:$1,0)+1),MATCH(D$1,[2]quests!$1:$1,0)-MATCH($B$1,[2]quests!$1:$1,0)+1,FALSE)</f>
        <v>黄青DL6</v>
      </c>
      <c r="E4" s="75">
        <v>1</v>
      </c>
      <c r="F4" s="74" t="str">
        <f ca="1">VLOOKUP($B4&amp;"_"&amp;$E4,OFFSET([2]stages!$A$1,0,0,COUNTA([2]stages!$A:$A),MATCH(F$1,[2]stages!$2:$2,0)-MATCH("temp_stage",[2]stages!$2:$2,0)+1),MATCH(F$1,[2]stages!$2:$2,0)-MATCH("temp_stage",[2]stages!$2:$2,0)+1,FALSE)</f>
        <v>27-1. 登山道入口</v>
      </c>
      <c r="G4" s="74" t="str">
        <f ca="1">VLOOKUP($B4&amp;"_"&amp;$E4,OFFSET([2]stages!$A$1,0,0,COUNTA([2]stages!$A:$A),MATCH(G$1,[2]stages!$2:$2,0)-MATCH("temp_stage",[2]stages!$2:$2,0)+1),MATCH(G$1,[2]stages!$2:$2,0)-MATCH("temp_stage",[2]stages!$2:$2,0)+1,FALSE)</f>
        <v>黄青DL6</v>
      </c>
      <c r="H4" s="76">
        <v>3</v>
      </c>
      <c r="I4" s="81">
        <f t="shared" si="0"/>
        <v>3</v>
      </c>
      <c r="J4" s="77" t="str">
        <f t="shared" si="1"/>
        <v>1502703</v>
      </c>
      <c r="K4" s="75" t="s">
        <v>198</v>
      </c>
      <c r="L4" s="78" t="s">
        <v>199</v>
      </c>
      <c r="M4" s="153" t="s">
        <v>326</v>
      </c>
      <c r="N4" s="50" t="s">
        <v>200</v>
      </c>
    </row>
    <row r="5" spans="1:14" ht="56" x14ac:dyDescent="0.15">
      <c r="A5" s="72" t="s">
        <v>197</v>
      </c>
      <c r="B5" s="73">
        <f>floors!$C$2</f>
        <v>15027</v>
      </c>
      <c r="C5" s="74" t="str">
        <f ca="1">VLOOKUP($B5,OFFSET([2]quests!$A$1,0,0,COUNTA([2]quests!$A:$A),MATCH(C$1,[2]quests!$1:$1,0)-MATCH($B$1,[2]quests!$1:$1,0)+1),MATCH(C$1,[2]quests!$1:$1,0)-MATCH($B$1,[2]quests!$1:$1,0)+1,FALSE)</f>
        <v>27. 雷雨の登山道</v>
      </c>
      <c r="D5" s="74" t="str">
        <f ca="1">VLOOKUP($B5,OFFSET([2]quests!$A$1,0,0,COUNTA([2]quests!$A:$A),MATCH(D$1,[2]quests!$1:$1,0)-MATCH($B$1,[2]quests!$1:$1,0)+1),MATCH(D$1,[2]quests!$1:$1,0)-MATCH($B$1,[2]quests!$1:$1,0)+1,FALSE)</f>
        <v>黄青DL6</v>
      </c>
      <c r="E5" s="75">
        <v>1</v>
      </c>
      <c r="F5" s="74" t="str">
        <f ca="1">VLOOKUP($B5&amp;"_"&amp;$E5,OFFSET([2]stages!$A$1,0,0,COUNTA([2]stages!$A:$A),MATCH(F$1,[2]stages!$2:$2,0)-MATCH("temp_stage",[2]stages!$2:$2,0)+1),MATCH(F$1,[2]stages!$2:$2,0)-MATCH("temp_stage",[2]stages!$2:$2,0)+1,FALSE)</f>
        <v>27-1. 登山道入口</v>
      </c>
      <c r="G5" s="74" t="str">
        <f ca="1">VLOOKUP($B5&amp;"_"&amp;$E5,OFFSET([2]stages!$A$1,0,0,COUNTA([2]stages!$A:$A),MATCH(G$1,[2]stages!$2:$2,0)-MATCH("temp_stage",[2]stages!$2:$2,0)+1),MATCH(G$1,[2]stages!$2:$2,0)-MATCH("temp_stage",[2]stages!$2:$2,0)+1,FALSE)</f>
        <v>黄青DL6</v>
      </c>
      <c r="H5" s="76">
        <v>4</v>
      </c>
      <c r="I5" s="81">
        <f t="shared" si="0"/>
        <v>4</v>
      </c>
      <c r="J5" s="77" t="str">
        <f t="shared" si="1"/>
        <v>1502704</v>
      </c>
      <c r="K5" s="75" t="s">
        <v>198</v>
      </c>
      <c r="L5" s="78" t="s">
        <v>199</v>
      </c>
      <c r="M5" s="153" t="s">
        <v>327</v>
      </c>
      <c r="N5" s="50" t="s">
        <v>200</v>
      </c>
    </row>
    <row r="6" spans="1:14" ht="56" x14ac:dyDescent="0.15">
      <c r="A6" s="72" t="s">
        <v>197</v>
      </c>
      <c r="B6" s="73">
        <f>floors!$C$2</f>
        <v>15027</v>
      </c>
      <c r="C6" s="74" t="str">
        <f ca="1">VLOOKUP($B6,OFFSET([2]quests!$A$1,0,0,COUNTA([2]quests!$A:$A),MATCH(C$1,[2]quests!$1:$1,0)-MATCH($B$1,[2]quests!$1:$1,0)+1),MATCH(C$1,[2]quests!$1:$1,0)-MATCH($B$1,[2]quests!$1:$1,0)+1,FALSE)</f>
        <v>27. 雷雨の登山道</v>
      </c>
      <c r="D6" s="74" t="str">
        <f ca="1">VLOOKUP($B6,OFFSET([2]quests!$A$1,0,0,COUNTA([2]quests!$A:$A),MATCH(D$1,[2]quests!$1:$1,0)-MATCH($B$1,[2]quests!$1:$1,0)+1),MATCH(D$1,[2]quests!$1:$1,0)-MATCH($B$1,[2]quests!$1:$1,0)+1,FALSE)</f>
        <v>黄青DL6</v>
      </c>
      <c r="E6" s="75">
        <v>2</v>
      </c>
      <c r="F6" s="74" t="str">
        <f ca="1">VLOOKUP($B6&amp;"_"&amp;$E6,OFFSET([2]stages!$A$1,0,0,COUNTA([2]stages!$A:$A),MATCH(F$1,[2]stages!$2:$2,0)-MATCH("temp_stage",[2]stages!$2:$2,0)+1),MATCH(F$1,[2]stages!$2:$2,0)-MATCH("temp_stage",[2]stages!$2:$2,0)+1,FALSE)</f>
        <v>27-2. 霊峰の守護者</v>
      </c>
      <c r="G6" s="74" t="str">
        <f ca="1">VLOOKUP($B6&amp;"_"&amp;$E6,OFFSET([2]stages!$A$1,0,0,COUNTA([2]stages!$A:$A),MATCH(G$1,[2]stages!$2:$2,0)-MATCH("temp_stage",[2]stages!$2:$2,0)+1),MATCH(G$1,[2]stages!$2:$2,0)-MATCH("temp_stage",[2]stages!$2:$2,0)+1,FALSE)</f>
        <v>黄青DL6</v>
      </c>
      <c r="H6" s="76">
        <v>1</v>
      </c>
      <c r="I6" s="81">
        <f t="shared" si="0"/>
        <v>5</v>
      </c>
      <c r="J6" s="77" t="str">
        <f t="shared" si="1"/>
        <v>1502705</v>
      </c>
      <c r="K6" s="75" t="s">
        <v>198</v>
      </c>
      <c r="L6" s="78" t="s">
        <v>199</v>
      </c>
      <c r="M6" s="222" t="s">
        <v>328</v>
      </c>
      <c r="N6" s="50" t="s">
        <v>200</v>
      </c>
    </row>
    <row r="7" spans="1:14" ht="56" x14ac:dyDescent="0.15">
      <c r="A7" s="72" t="s">
        <v>197</v>
      </c>
      <c r="B7" s="73">
        <f>floors!$C$2</f>
        <v>15027</v>
      </c>
      <c r="C7" s="74" t="str">
        <f ca="1">VLOOKUP($B7,OFFSET([2]quests!$A$1,0,0,COUNTA([2]quests!$A:$A),MATCH(C$1,[2]quests!$1:$1,0)-MATCH($B$1,[2]quests!$1:$1,0)+1),MATCH(C$1,[2]quests!$1:$1,0)-MATCH($B$1,[2]quests!$1:$1,0)+1,FALSE)</f>
        <v>27. 雷雨の登山道</v>
      </c>
      <c r="D7" s="74" t="str">
        <f ca="1">VLOOKUP($B7,OFFSET([2]quests!$A$1,0,0,COUNTA([2]quests!$A:$A),MATCH(D$1,[2]quests!$1:$1,0)-MATCH($B$1,[2]quests!$1:$1,0)+1),MATCH(D$1,[2]quests!$1:$1,0)-MATCH($B$1,[2]quests!$1:$1,0)+1,FALSE)</f>
        <v>黄青DL6</v>
      </c>
      <c r="E7" s="75">
        <v>2</v>
      </c>
      <c r="F7" s="74" t="str">
        <f ca="1">VLOOKUP($B7&amp;"_"&amp;$E7,OFFSET([2]stages!$A$1,0,0,COUNTA([2]stages!$A:$A),MATCH(F$1,[2]stages!$2:$2,0)-MATCH("temp_stage",[2]stages!$2:$2,0)+1),MATCH(F$1,[2]stages!$2:$2,0)-MATCH("temp_stage",[2]stages!$2:$2,0)+1,FALSE)</f>
        <v>27-2. 霊峰の守護者</v>
      </c>
      <c r="G7" s="74" t="str">
        <f ca="1">VLOOKUP($B7&amp;"_"&amp;$E7,OFFSET([2]stages!$A$1,0,0,COUNTA([2]stages!$A:$A),MATCH(G$1,[2]stages!$2:$2,0)-MATCH("temp_stage",[2]stages!$2:$2,0)+1),MATCH(G$1,[2]stages!$2:$2,0)-MATCH("temp_stage",[2]stages!$2:$2,0)+1,FALSE)</f>
        <v>黄青DL6</v>
      </c>
      <c r="H7" s="76">
        <v>2</v>
      </c>
      <c r="I7" s="81">
        <f t="shared" si="0"/>
        <v>6</v>
      </c>
      <c r="J7" s="77" t="str">
        <f t="shared" si="1"/>
        <v>1502706</v>
      </c>
      <c r="K7" s="75" t="s">
        <v>198</v>
      </c>
      <c r="L7" s="78" t="s">
        <v>199</v>
      </c>
      <c r="M7" s="222" t="s">
        <v>328</v>
      </c>
      <c r="N7" s="50" t="s">
        <v>200</v>
      </c>
    </row>
    <row r="8" spans="1:14" ht="56" x14ac:dyDescent="0.15">
      <c r="A8" s="72" t="s">
        <v>197</v>
      </c>
      <c r="B8" s="73">
        <f>floors!$C$2</f>
        <v>15027</v>
      </c>
      <c r="C8" s="74" t="str">
        <f ca="1">VLOOKUP($B8,OFFSET([2]quests!$A$1,0,0,COUNTA([2]quests!$A:$A),MATCH(C$1,[2]quests!$1:$1,0)-MATCH($B$1,[2]quests!$1:$1,0)+1),MATCH(C$1,[2]quests!$1:$1,0)-MATCH($B$1,[2]quests!$1:$1,0)+1,FALSE)</f>
        <v>27. 雷雨の登山道</v>
      </c>
      <c r="D8" s="74" t="str">
        <f ca="1">VLOOKUP($B8,OFFSET([2]quests!$A$1,0,0,COUNTA([2]quests!$A:$A),MATCH(D$1,[2]quests!$1:$1,0)-MATCH($B$1,[2]quests!$1:$1,0)+1),MATCH(D$1,[2]quests!$1:$1,0)-MATCH($B$1,[2]quests!$1:$1,0)+1,FALSE)</f>
        <v>黄青DL6</v>
      </c>
      <c r="E8" s="75">
        <v>2</v>
      </c>
      <c r="F8" s="74" t="str">
        <f ca="1">VLOOKUP($B8&amp;"_"&amp;$E8,OFFSET([2]stages!$A$1,0,0,COUNTA([2]stages!$A:$A),MATCH(F$1,[2]stages!$2:$2,0)-MATCH("temp_stage",[2]stages!$2:$2,0)+1),MATCH(F$1,[2]stages!$2:$2,0)-MATCH("temp_stage",[2]stages!$2:$2,0)+1,FALSE)</f>
        <v>27-2. 霊峰の守護者</v>
      </c>
      <c r="G8" s="74" t="str">
        <f ca="1">VLOOKUP($B8&amp;"_"&amp;$E8,OFFSET([2]stages!$A$1,0,0,COUNTA([2]stages!$A:$A),MATCH(G$1,[2]stages!$2:$2,0)-MATCH("temp_stage",[2]stages!$2:$2,0)+1),MATCH(G$1,[2]stages!$2:$2,0)-MATCH("temp_stage",[2]stages!$2:$2,0)+1,FALSE)</f>
        <v>黄青DL6</v>
      </c>
      <c r="H8" s="76">
        <v>3</v>
      </c>
      <c r="I8" s="81">
        <f t="shared" si="0"/>
        <v>7</v>
      </c>
      <c r="J8" s="77" t="str">
        <f t="shared" si="1"/>
        <v>1502707</v>
      </c>
      <c r="K8" s="75" t="s">
        <v>198</v>
      </c>
      <c r="L8" s="78" t="s">
        <v>199</v>
      </c>
      <c r="M8" s="153" t="s">
        <v>329</v>
      </c>
      <c r="N8" s="50" t="s">
        <v>200</v>
      </c>
    </row>
    <row r="9" spans="1:14" ht="56" x14ac:dyDescent="0.15">
      <c r="A9" s="72" t="s">
        <v>197</v>
      </c>
      <c r="B9" s="73">
        <f>floors!$C$2</f>
        <v>15027</v>
      </c>
      <c r="C9" s="74" t="str">
        <f ca="1">VLOOKUP($B9,OFFSET([2]quests!$A$1,0,0,COUNTA([2]quests!$A:$A),MATCH(C$1,[2]quests!$1:$1,0)-MATCH($B$1,[2]quests!$1:$1,0)+1),MATCH(C$1,[2]quests!$1:$1,0)-MATCH($B$1,[2]quests!$1:$1,0)+1,FALSE)</f>
        <v>27. 雷雨の登山道</v>
      </c>
      <c r="D9" s="74" t="str">
        <f ca="1">VLOOKUP($B9,OFFSET([2]quests!$A$1,0,0,COUNTA([2]quests!$A:$A),MATCH(D$1,[2]quests!$1:$1,0)-MATCH($B$1,[2]quests!$1:$1,0)+1),MATCH(D$1,[2]quests!$1:$1,0)-MATCH($B$1,[2]quests!$1:$1,0)+1,FALSE)</f>
        <v>黄青DL6</v>
      </c>
      <c r="E9" s="75">
        <v>2</v>
      </c>
      <c r="F9" s="74" t="str">
        <f ca="1">VLOOKUP($B9&amp;"_"&amp;$E9,OFFSET([2]stages!$A$1,0,0,COUNTA([2]stages!$A:$A),MATCH(F$1,[2]stages!$2:$2,0)-MATCH("temp_stage",[2]stages!$2:$2,0)+1),MATCH(F$1,[2]stages!$2:$2,0)-MATCH("temp_stage",[2]stages!$2:$2,0)+1,FALSE)</f>
        <v>27-2. 霊峰の守護者</v>
      </c>
      <c r="G9" s="74" t="str">
        <f ca="1">VLOOKUP($B9&amp;"_"&amp;$E9,OFFSET([2]stages!$A$1,0,0,COUNTA([2]stages!$A:$A),MATCH(G$1,[2]stages!$2:$2,0)-MATCH("temp_stage",[2]stages!$2:$2,0)+1),MATCH(G$1,[2]stages!$2:$2,0)-MATCH("temp_stage",[2]stages!$2:$2,0)+1,FALSE)</f>
        <v>黄青DL6</v>
      </c>
      <c r="H9" s="76">
        <v>4</v>
      </c>
      <c r="I9" s="81">
        <f t="shared" si="0"/>
        <v>8</v>
      </c>
      <c r="J9" s="77" t="str">
        <f t="shared" si="1"/>
        <v>1502708</v>
      </c>
      <c r="K9" s="75" t="s">
        <v>198</v>
      </c>
      <c r="L9" s="78" t="s">
        <v>199</v>
      </c>
      <c r="M9" s="153" t="s">
        <v>330</v>
      </c>
      <c r="N9" s="50" t="s">
        <v>200</v>
      </c>
    </row>
    <row r="10" spans="1:14" ht="56" x14ac:dyDescent="0.15">
      <c r="A10" s="72" t="s">
        <v>197</v>
      </c>
      <c r="B10" s="73">
        <f>floors!$C$2</f>
        <v>15027</v>
      </c>
      <c r="C10" s="74" t="str">
        <f ca="1">VLOOKUP($B10,OFFSET([2]quests!$A$1,0,0,COUNTA([2]quests!$A:$A),MATCH(C$1,[2]quests!$1:$1,0)-MATCH($B$1,[2]quests!$1:$1,0)+1),MATCH(C$1,[2]quests!$1:$1,0)-MATCH($B$1,[2]quests!$1:$1,0)+1,FALSE)</f>
        <v>27. 雷雨の登山道</v>
      </c>
      <c r="D10" s="74" t="str">
        <f ca="1">VLOOKUP($B10,OFFSET([2]quests!$A$1,0,0,COUNTA([2]quests!$A:$A),MATCH(D$1,[2]quests!$1:$1,0)-MATCH($B$1,[2]quests!$1:$1,0)+1),MATCH(D$1,[2]quests!$1:$1,0)-MATCH($B$1,[2]quests!$1:$1,0)+1,FALSE)</f>
        <v>黄青DL6</v>
      </c>
      <c r="E10" s="75">
        <v>3</v>
      </c>
      <c r="F10" s="74" t="str">
        <f ca="1">VLOOKUP($B10&amp;"_"&amp;$E10,OFFSET([2]stages!$A$1,0,0,COUNTA([2]stages!$A:$A),MATCH(F$1,[2]stages!$2:$2,0)-MATCH("temp_stage",[2]stages!$2:$2,0)+1),MATCH(F$1,[2]stages!$2:$2,0)-MATCH("temp_stage",[2]stages!$2:$2,0)+1,FALSE)</f>
        <v>27-3. 山岳の王者</v>
      </c>
      <c r="G10" s="74" t="str">
        <f ca="1">VLOOKUP($B10&amp;"_"&amp;$E10,OFFSET([2]stages!$A$1,0,0,COUNTA([2]stages!$A:$A),MATCH(G$1,[2]stages!$2:$2,0)-MATCH("temp_stage",[2]stages!$2:$2,0)+1),MATCH(G$1,[2]stages!$2:$2,0)-MATCH("temp_stage",[2]stages!$2:$2,0)+1,FALSE)</f>
        <v>黄青DL6</v>
      </c>
      <c r="H10" s="76">
        <v>1</v>
      </c>
      <c r="I10" s="81">
        <f t="shared" si="0"/>
        <v>9</v>
      </c>
      <c r="J10" s="77" t="str">
        <f t="shared" si="1"/>
        <v>1502709</v>
      </c>
      <c r="K10" s="75" t="s">
        <v>198</v>
      </c>
      <c r="L10" s="78" t="s">
        <v>199</v>
      </c>
      <c r="M10" s="222" t="s">
        <v>328</v>
      </c>
      <c r="N10" s="50" t="s">
        <v>200</v>
      </c>
    </row>
    <row r="11" spans="1:14" x14ac:dyDescent="0.15">
      <c r="A11" s="72" t="s">
        <v>197</v>
      </c>
      <c r="B11" s="73">
        <f>floors!$C$2</f>
        <v>15027</v>
      </c>
      <c r="C11" s="74" t="str">
        <f ca="1">VLOOKUP($B11,OFFSET([2]quests!$A$1,0,0,COUNTA([2]quests!$A:$A),MATCH(C$1,[2]quests!$1:$1,0)-MATCH($B$1,[2]quests!$1:$1,0)+1),MATCH(C$1,[2]quests!$1:$1,0)-MATCH($B$1,[2]quests!$1:$1,0)+1,FALSE)</f>
        <v>27. 雷雨の登山道</v>
      </c>
      <c r="D11" s="74" t="str">
        <f ca="1">VLOOKUP($B11,OFFSET([2]quests!$A$1,0,0,COUNTA([2]quests!$A:$A),MATCH(D$1,[2]quests!$1:$1,0)-MATCH($B$1,[2]quests!$1:$1,0)+1),MATCH(D$1,[2]quests!$1:$1,0)-MATCH($B$1,[2]quests!$1:$1,0)+1,FALSE)</f>
        <v>黄青DL6</v>
      </c>
      <c r="E11" s="75">
        <v>3</v>
      </c>
      <c r="F11" s="74" t="str">
        <f ca="1">VLOOKUP($B11&amp;"_"&amp;$E11,OFFSET([2]stages!$A$1,0,0,COUNTA([2]stages!$A:$A),MATCH(F$1,[2]stages!$2:$2,0)-MATCH("temp_stage",[2]stages!$2:$2,0)+1),MATCH(F$1,[2]stages!$2:$2,0)-MATCH("temp_stage",[2]stages!$2:$2,0)+1,FALSE)</f>
        <v>27-3. 山岳の王者</v>
      </c>
      <c r="G11" s="74" t="str">
        <f ca="1">VLOOKUP($B11&amp;"_"&amp;$E11,OFFSET([2]stages!$A$1,0,0,COUNTA([2]stages!$A:$A),MATCH(G$1,[2]stages!$2:$2,0)-MATCH("temp_stage",[2]stages!$2:$2,0)+1),MATCH(G$1,[2]stages!$2:$2,0)-MATCH("temp_stage",[2]stages!$2:$2,0)+1,FALSE)</f>
        <v>黄青DL6</v>
      </c>
      <c r="H11" s="76">
        <v>2</v>
      </c>
      <c r="I11" s="81">
        <f t="shared" si="0"/>
        <v>10</v>
      </c>
      <c r="J11" s="77" t="str">
        <f t="shared" si="1"/>
        <v>1502710</v>
      </c>
      <c r="K11" s="75" t="s">
        <v>198</v>
      </c>
      <c r="L11" s="78" t="s">
        <v>199</v>
      </c>
      <c r="M11" s="153" t="s">
        <v>320</v>
      </c>
      <c r="N11" s="50" t="s">
        <v>200</v>
      </c>
    </row>
    <row r="12" spans="1:14" ht="56" x14ac:dyDescent="0.15">
      <c r="A12" s="72" t="s">
        <v>197</v>
      </c>
      <c r="B12" s="73">
        <f>floors!$C$2</f>
        <v>15027</v>
      </c>
      <c r="C12" s="74" t="str">
        <f ca="1">VLOOKUP($B12,OFFSET([2]quests!$A$1,0,0,COUNTA([2]quests!$A:$A),MATCH(C$1,[2]quests!$1:$1,0)-MATCH($B$1,[2]quests!$1:$1,0)+1),MATCH(C$1,[2]quests!$1:$1,0)-MATCH($B$1,[2]quests!$1:$1,0)+1,FALSE)</f>
        <v>27. 雷雨の登山道</v>
      </c>
      <c r="D12" s="74" t="str">
        <f ca="1">VLOOKUP($B12,OFFSET([2]quests!$A$1,0,0,COUNTA([2]quests!$A:$A),MATCH(D$1,[2]quests!$1:$1,0)-MATCH($B$1,[2]quests!$1:$1,0)+1),MATCH(D$1,[2]quests!$1:$1,0)-MATCH($B$1,[2]quests!$1:$1,0)+1,FALSE)</f>
        <v>黄青DL6</v>
      </c>
      <c r="E12" s="75">
        <v>3</v>
      </c>
      <c r="F12" s="74" t="str">
        <f ca="1">VLOOKUP($B12&amp;"_"&amp;$E12,OFFSET([2]stages!$A$1,0,0,COUNTA([2]stages!$A:$A),MATCH(F$1,[2]stages!$2:$2,0)-MATCH("temp_stage",[2]stages!$2:$2,0)+1),MATCH(F$1,[2]stages!$2:$2,0)-MATCH("temp_stage",[2]stages!$2:$2,0)+1,FALSE)</f>
        <v>27-3. 山岳の王者</v>
      </c>
      <c r="G12" s="74" t="str">
        <f ca="1">VLOOKUP($B12&amp;"_"&amp;$E12,OFFSET([2]stages!$A$1,0,0,COUNTA([2]stages!$A:$A),MATCH(G$1,[2]stages!$2:$2,0)-MATCH("temp_stage",[2]stages!$2:$2,0)+1),MATCH(G$1,[2]stages!$2:$2,0)-MATCH("temp_stage",[2]stages!$2:$2,0)+1,FALSE)</f>
        <v>黄青DL6</v>
      </c>
      <c r="H12" s="76">
        <v>3</v>
      </c>
      <c r="I12" s="81">
        <f t="shared" si="0"/>
        <v>11</v>
      </c>
      <c r="J12" s="77" t="str">
        <f t="shared" si="1"/>
        <v>1502711</v>
      </c>
      <c r="K12" s="75" t="s">
        <v>198</v>
      </c>
      <c r="L12" s="78" t="s">
        <v>199</v>
      </c>
      <c r="M12" s="153" t="s">
        <v>331</v>
      </c>
      <c r="N12" s="50" t="s">
        <v>200</v>
      </c>
    </row>
    <row r="13" spans="1:14" ht="28" x14ac:dyDescent="0.15">
      <c r="A13" s="72" t="s">
        <v>197</v>
      </c>
      <c r="B13" s="73">
        <f>floors!$C$2</f>
        <v>15027</v>
      </c>
      <c r="C13" s="74" t="str">
        <f ca="1">VLOOKUP($B13,OFFSET([2]quests!$A$1,0,0,COUNTA([2]quests!$A:$A),MATCH(C$1,[2]quests!$1:$1,0)-MATCH($B$1,[2]quests!$1:$1,0)+1),MATCH(C$1,[2]quests!$1:$1,0)-MATCH($B$1,[2]quests!$1:$1,0)+1,FALSE)</f>
        <v>27. 雷雨の登山道</v>
      </c>
      <c r="D13" s="74" t="str">
        <f ca="1">VLOOKUP($B13,OFFSET([2]quests!$A$1,0,0,COUNTA([2]quests!$A:$A),MATCH(D$1,[2]quests!$1:$1,0)-MATCH($B$1,[2]quests!$1:$1,0)+1),MATCH(D$1,[2]quests!$1:$1,0)-MATCH($B$1,[2]quests!$1:$1,0)+1,FALSE)</f>
        <v>黄青DL6</v>
      </c>
      <c r="E13" s="75">
        <v>3</v>
      </c>
      <c r="F13" s="74" t="str">
        <f ca="1">VLOOKUP($B13&amp;"_"&amp;$E13,OFFSET([2]stages!$A$1,0,0,COUNTA([2]stages!$A:$A),MATCH(F$1,[2]stages!$2:$2,0)-MATCH("temp_stage",[2]stages!$2:$2,0)+1),MATCH(F$1,[2]stages!$2:$2,0)-MATCH("temp_stage",[2]stages!$2:$2,0)+1,FALSE)</f>
        <v>27-3. 山岳の王者</v>
      </c>
      <c r="G13" s="74" t="str">
        <f ca="1">VLOOKUP($B13&amp;"_"&amp;$E13,OFFSET([2]stages!$A$1,0,0,COUNTA([2]stages!$A:$A),MATCH(G$1,[2]stages!$2:$2,0)-MATCH("temp_stage",[2]stages!$2:$2,0)+1),MATCH(G$1,[2]stages!$2:$2,0)-MATCH("temp_stage",[2]stages!$2:$2,0)+1,FALSE)</f>
        <v>黄青DL6</v>
      </c>
      <c r="H13" s="76">
        <v>4</v>
      </c>
      <c r="I13" s="81">
        <f t="shared" si="0"/>
        <v>12</v>
      </c>
      <c r="J13" s="77" t="str">
        <f t="shared" si="1"/>
        <v>1502712</v>
      </c>
      <c r="K13" s="75" t="s">
        <v>198</v>
      </c>
      <c r="L13" s="78" t="s">
        <v>199</v>
      </c>
      <c r="M13" s="153" t="s">
        <v>321</v>
      </c>
      <c r="N13" s="50" t="s">
        <v>200</v>
      </c>
    </row>
    <row r="14" spans="1:14" ht="56" x14ac:dyDescent="0.15">
      <c r="A14" s="72" t="s">
        <v>197</v>
      </c>
      <c r="B14" s="73">
        <f>floors!$C$2</f>
        <v>15027</v>
      </c>
      <c r="C14" s="74" t="str">
        <f ca="1">VLOOKUP($B14,OFFSET([2]quests!$A$1,0,0,COUNTA([2]quests!$A:$A),MATCH(C$1,[2]quests!$1:$1,0)-MATCH($B$1,[2]quests!$1:$1,0)+1),MATCH(C$1,[2]quests!$1:$1,0)-MATCH($B$1,[2]quests!$1:$1,0)+1,FALSE)</f>
        <v>27. 雷雨の登山道</v>
      </c>
      <c r="D14" s="74" t="str">
        <f ca="1">VLOOKUP($B14,OFFSET([2]quests!$A$1,0,0,COUNTA([2]quests!$A:$A),MATCH(D$1,[2]quests!$1:$1,0)-MATCH($B$1,[2]quests!$1:$1,0)+1),MATCH(D$1,[2]quests!$1:$1,0)-MATCH($B$1,[2]quests!$1:$1,0)+1,FALSE)</f>
        <v>黄青DL6</v>
      </c>
      <c r="E14" s="75">
        <v>4</v>
      </c>
      <c r="F14" s="74" t="str">
        <f ca="1">VLOOKUP($B14&amp;"_"&amp;$E14,OFFSET([2]stages!$A$1,0,0,COUNTA([2]stages!$A:$A),MATCH(F$1,[2]stages!$2:$2,0)-MATCH("temp_stage",[2]stages!$2:$2,0)+1),MATCH(F$1,[2]stages!$2:$2,0)-MATCH("temp_stage",[2]stages!$2:$2,0)+1,FALSE)</f>
        <v>27-4. 【1回のみ】ボーナスステージ</v>
      </c>
      <c r="G14" s="74" t="str">
        <f ca="1">VLOOKUP($B14&amp;"_"&amp;$E14,OFFSET([2]stages!$A$1,0,0,COUNTA([2]stages!$A:$A),MATCH(G$1,[2]stages!$2:$2,0)-MATCH("temp_stage",[2]stages!$2:$2,0)+1),MATCH(G$1,[2]stages!$2:$2,0)-MATCH("temp_stage",[2]stages!$2:$2,0)+1,FALSE)</f>
        <v>黄青DL6</v>
      </c>
      <c r="H14" s="76">
        <v>1</v>
      </c>
      <c r="I14" s="81">
        <f t="shared" ref="I14:I18" si="2">ROW()-1</f>
        <v>13</v>
      </c>
      <c r="J14" s="77" t="str">
        <f t="shared" ref="J14:J18" si="3">B14&amp;TEXT(I14,"00")</f>
        <v>1502713</v>
      </c>
      <c r="K14" s="75" t="s">
        <v>198</v>
      </c>
      <c r="L14" s="78" t="s">
        <v>199</v>
      </c>
      <c r="M14" s="222" t="s">
        <v>332</v>
      </c>
      <c r="N14" s="50" t="s">
        <v>200</v>
      </c>
    </row>
    <row r="15" spans="1:14" ht="56" x14ac:dyDescent="0.15">
      <c r="A15" s="72" t="s">
        <v>197</v>
      </c>
      <c r="B15" s="73">
        <f>floors!$C$2</f>
        <v>15027</v>
      </c>
      <c r="C15" s="74" t="str">
        <f ca="1">VLOOKUP($B15,OFFSET([2]quests!$A$1,0,0,COUNTA([2]quests!$A:$A),MATCH(C$1,[2]quests!$1:$1,0)-MATCH($B$1,[2]quests!$1:$1,0)+1),MATCH(C$1,[2]quests!$1:$1,0)-MATCH($B$1,[2]quests!$1:$1,0)+1,FALSE)</f>
        <v>27. 雷雨の登山道</v>
      </c>
      <c r="D15" s="74" t="str">
        <f ca="1">VLOOKUP($B15,OFFSET([2]quests!$A$1,0,0,COUNTA([2]quests!$A:$A),MATCH(D$1,[2]quests!$1:$1,0)-MATCH($B$1,[2]quests!$1:$1,0)+1),MATCH(D$1,[2]quests!$1:$1,0)-MATCH($B$1,[2]quests!$1:$1,0)+1,FALSE)</f>
        <v>黄青DL6</v>
      </c>
      <c r="E15" s="75">
        <v>4</v>
      </c>
      <c r="F15" s="74" t="str">
        <f ca="1">VLOOKUP($B15&amp;"_"&amp;$E15,OFFSET([2]stages!$A$1,0,0,COUNTA([2]stages!$A:$A),MATCH(F$1,[2]stages!$2:$2,0)-MATCH("temp_stage",[2]stages!$2:$2,0)+1),MATCH(F$1,[2]stages!$2:$2,0)-MATCH("temp_stage",[2]stages!$2:$2,0)+1,FALSE)</f>
        <v>27-4. 【1回のみ】ボーナスステージ</v>
      </c>
      <c r="G15" s="74" t="str">
        <f ca="1">VLOOKUP($B15&amp;"_"&amp;$E15,OFFSET([2]stages!$A$1,0,0,COUNTA([2]stages!$A:$A),MATCH(G$1,[2]stages!$2:$2,0)-MATCH("temp_stage",[2]stages!$2:$2,0)+1),MATCH(G$1,[2]stages!$2:$2,0)-MATCH("temp_stage",[2]stages!$2:$2,0)+1,FALSE)</f>
        <v>黄青DL6</v>
      </c>
      <c r="H15" s="76">
        <v>2</v>
      </c>
      <c r="I15" s="81">
        <f t="shared" si="2"/>
        <v>14</v>
      </c>
      <c r="J15" s="77" t="str">
        <f t="shared" si="3"/>
        <v>1502714</v>
      </c>
      <c r="K15" s="75" t="s">
        <v>219</v>
      </c>
      <c r="L15" s="78" t="s">
        <v>199</v>
      </c>
      <c r="M15" s="222" t="s">
        <v>332</v>
      </c>
      <c r="N15" s="50" t="s">
        <v>220</v>
      </c>
    </row>
    <row r="16" spans="1:14" ht="56" x14ac:dyDescent="0.15">
      <c r="A16" s="72" t="s">
        <v>197</v>
      </c>
      <c r="B16" s="73">
        <f>floors!$C$2</f>
        <v>15027</v>
      </c>
      <c r="C16" s="74" t="str">
        <f ca="1">VLOOKUP($B16,OFFSET([2]quests!$A$1,0,0,COUNTA([2]quests!$A:$A),MATCH(C$1,[2]quests!$1:$1,0)-MATCH($B$1,[2]quests!$1:$1,0)+1),MATCH(C$1,[2]quests!$1:$1,0)-MATCH($B$1,[2]quests!$1:$1,0)+1,FALSE)</f>
        <v>27. 雷雨の登山道</v>
      </c>
      <c r="D16" s="74" t="str">
        <f ca="1">VLOOKUP($B16,OFFSET([2]quests!$A$1,0,0,COUNTA([2]quests!$A:$A),MATCH(D$1,[2]quests!$1:$1,0)-MATCH($B$1,[2]quests!$1:$1,0)+1),MATCH(D$1,[2]quests!$1:$1,0)-MATCH($B$1,[2]quests!$1:$1,0)+1,FALSE)</f>
        <v>黄青DL6</v>
      </c>
      <c r="E16" s="75">
        <v>4</v>
      </c>
      <c r="F16" s="74" t="str">
        <f ca="1">VLOOKUP($B16&amp;"_"&amp;$E16,OFFSET([2]stages!$A$1,0,0,COUNTA([2]stages!$A:$A),MATCH(F$1,[2]stages!$2:$2,0)-MATCH("temp_stage",[2]stages!$2:$2,0)+1),MATCH(F$1,[2]stages!$2:$2,0)-MATCH("temp_stage",[2]stages!$2:$2,0)+1,FALSE)</f>
        <v>27-4. 【1回のみ】ボーナスステージ</v>
      </c>
      <c r="G16" s="74" t="str">
        <f ca="1">VLOOKUP($B16&amp;"_"&amp;$E16,OFFSET([2]stages!$A$1,0,0,COUNTA([2]stages!$A:$A),MATCH(G$1,[2]stages!$2:$2,0)-MATCH("temp_stage",[2]stages!$2:$2,0)+1),MATCH(G$1,[2]stages!$2:$2,0)-MATCH("temp_stage",[2]stages!$2:$2,0)+1,FALSE)</f>
        <v>黄青DL6</v>
      </c>
      <c r="H16" s="76">
        <v>3</v>
      </c>
      <c r="I16" s="81">
        <f t="shared" si="2"/>
        <v>15</v>
      </c>
      <c r="J16" s="77" t="str">
        <f t="shared" si="3"/>
        <v>1502715</v>
      </c>
      <c r="K16" s="75" t="s">
        <v>198</v>
      </c>
      <c r="L16" s="78" t="s">
        <v>199</v>
      </c>
      <c r="M16" s="222" t="s">
        <v>332</v>
      </c>
      <c r="N16" s="50" t="s">
        <v>200</v>
      </c>
    </row>
    <row r="17" spans="1:14" ht="56" x14ac:dyDescent="0.15">
      <c r="A17" s="72" t="s">
        <v>197</v>
      </c>
      <c r="B17" s="73">
        <f>floors!$C$2</f>
        <v>15027</v>
      </c>
      <c r="C17" s="74" t="str">
        <f ca="1">VLOOKUP($B17,OFFSET([2]quests!$A$1,0,0,COUNTA([2]quests!$A:$A),MATCH(C$1,[2]quests!$1:$1,0)-MATCH($B$1,[2]quests!$1:$1,0)+1),MATCH(C$1,[2]quests!$1:$1,0)-MATCH($B$1,[2]quests!$1:$1,0)+1,FALSE)</f>
        <v>27. 雷雨の登山道</v>
      </c>
      <c r="D17" s="74" t="str">
        <f ca="1">VLOOKUP($B17,OFFSET([2]quests!$A$1,0,0,COUNTA([2]quests!$A:$A),MATCH(D$1,[2]quests!$1:$1,0)-MATCH($B$1,[2]quests!$1:$1,0)+1),MATCH(D$1,[2]quests!$1:$1,0)-MATCH($B$1,[2]quests!$1:$1,0)+1,FALSE)</f>
        <v>黄青DL6</v>
      </c>
      <c r="E17" s="75">
        <v>4</v>
      </c>
      <c r="F17" s="74" t="str">
        <f ca="1">VLOOKUP($B17&amp;"_"&amp;$E17,OFFSET([2]stages!$A$1,0,0,COUNTA([2]stages!$A:$A),MATCH(F$1,[2]stages!$2:$2,0)-MATCH("temp_stage",[2]stages!$2:$2,0)+1),MATCH(F$1,[2]stages!$2:$2,0)-MATCH("temp_stage",[2]stages!$2:$2,0)+1,FALSE)</f>
        <v>27-4. 【1回のみ】ボーナスステージ</v>
      </c>
      <c r="G17" s="74" t="str">
        <f ca="1">VLOOKUP($B17&amp;"_"&amp;$E17,OFFSET([2]stages!$A$1,0,0,COUNTA([2]stages!$A:$A),MATCH(G$1,[2]stages!$2:$2,0)-MATCH("temp_stage",[2]stages!$2:$2,0)+1),MATCH(G$1,[2]stages!$2:$2,0)-MATCH("temp_stage",[2]stages!$2:$2,0)+1,FALSE)</f>
        <v>黄青DL6</v>
      </c>
      <c r="H17" s="76">
        <v>4</v>
      </c>
      <c r="I17" s="81">
        <f t="shared" si="2"/>
        <v>16</v>
      </c>
      <c r="J17" s="77" t="str">
        <f t="shared" si="3"/>
        <v>1502716</v>
      </c>
      <c r="K17" s="75" t="s">
        <v>198</v>
      </c>
      <c r="L17" s="78" t="s">
        <v>199</v>
      </c>
      <c r="M17" s="222" t="s">
        <v>332</v>
      </c>
      <c r="N17" s="50" t="s">
        <v>200</v>
      </c>
    </row>
    <row r="18" spans="1:14" ht="56" x14ac:dyDescent="0.15">
      <c r="A18" s="72" t="s">
        <v>197</v>
      </c>
      <c r="B18" s="73">
        <f>floors!$C$2</f>
        <v>15027</v>
      </c>
      <c r="C18" s="74" t="str">
        <f ca="1">VLOOKUP($B18,OFFSET([2]quests!$A$1,0,0,COUNTA([2]quests!$A:$A),MATCH(C$1,[2]quests!$1:$1,0)-MATCH($B$1,[2]quests!$1:$1,0)+1),MATCH(C$1,[2]quests!$1:$1,0)-MATCH($B$1,[2]quests!$1:$1,0)+1,FALSE)</f>
        <v>27. 雷雨の登山道</v>
      </c>
      <c r="D18" s="74" t="str">
        <f ca="1">VLOOKUP($B18,OFFSET([2]quests!$A$1,0,0,COUNTA([2]quests!$A:$A),MATCH(D$1,[2]quests!$1:$1,0)-MATCH($B$1,[2]quests!$1:$1,0)+1),MATCH(D$1,[2]quests!$1:$1,0)-MATCH($B$1,[2]quests!$1:$1,0)+1,FALSE)</f>
        <v>黄青DL6</v>
      </c>
      <c r="E18" s="75">
        <v>4</v>
      </c>
      <c r="F18" s="74" t="str">
        <f ca="1">VLOOKUP($B18&amp;"_"&amp;$E18,OFFSET([2]stages!$A$1,0,0,COUNTA([2]stages!$A:$A),MATCH(F$1,[2]stages!$2:$2,0)-MATCH("temp_stage",[2]stages!$2:$2,0)+1),MATCH(F$1,[2]stages!$2:$2,0)-MATCH("temp_stage",[2]stages!$2:$2,0)+1,FALSE)</f>
        <v>27-4. 【1回のみ】ボーナスステージ</v>
      </c>
      <c r="G18" s="74" t="str">
        <f ca="1">VLOOKUP($B18&amp;"_"&amp;$E18,OFFSET([2]stages!$A$1,0,0,COUNTA([2]stages!$A:$A),MATCH(G$1,[2]stages!$2:$2,0)-MATCH("temp_stage",[2]stages!$2:$2,0)+1),MATCH(G$1,[2]stages!$2:$2,0)-MATCH("temp_stage",[2]stages!$2:$2,0)+1,FALSE)</f>
        <v>黄青DL6</v>
      </c>
      <c r="H18" s="76">
        <v>5</v>
      </c>
      <c r="I18" s="81">
        <f t="shared" si="2"/>
        <v>17</v>
      </c>
      <c r="J18" s="77" t="str">
        <f t="shared" si="3"/>
        <v>1502717</v>
      </c>
      <c r="K18" s="75" t="s">
        <v>221</v>
      </c>
      <c r="L18" s="78" t="s">
        <v>199</v>
      </c>
      <c r="M18" s="222" t="s">
        <v>332</v>
      </c>
      <c r="N18" s="50" t="s">
        <v>222</v>
      </c>
    </row>
  </sheetData>
  <phoneticPr fontId="6"/>
  <dataValidations count="1">
    <dataValidation type="list" allowBlank="1" showInputMessage="1" showErrorMessage="1" sqref="A2:A18">
      <formula1>"complete,failure"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2016-06-23T08:21:38Z</dcterms:modified>
</cp:coreProperties>
</file>