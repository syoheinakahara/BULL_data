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showInkAnnotation="0" codeName="ThisWorkbook" autoCompressPictures="0"/>
  <bookViews>
    <workbookView xWindow="0" yWindow="0" windowWidth="25600" windowHeight="16060" tabRatio="943" activeTab="1"/>
  </bookViews>
  <sheets>
    <sheet name="output" sheetId="103" r:id="rId1"/>
    <sheet name="gacha_309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gacha_309_base!$A$42:$B$68</definedName>
    <definedName name="_xlnm._FilterDatabase" localSheetId="4" hidden="1">gacha_bonus_tables!$B$1:$G$1</definedName>
    <definedName name="_xlnm._FilterDatabase" localSheetId="2" hidden="1">gacha_select_tables!$A$1:$S$415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66" i="82" l="1"/>
  <c r="D167" i="82"/>
  <c r="D168" i="82"/>
  <c r="D169" i="82"/>
  <c r="D170" i="82"/>
  <c r="D171" i="82"/>
  <c r="D172" i="82"/>
  <c r="D173" i="82"/>
  <c r="D417" i="82"/>
  <c r="D418" i="82"/>
  <c r="D419" i="82"/>
  <c r="D420" i="82"/>
  <c r="D421" i="82"/>
  <c r="D422" i="82"/>
  <c r="D423" i="82"/>
  <c r="D424" i="82"/>
  <c r="D425" i="82"/>
  <c r="D416" i="82"/>
  <c r="L7" i="96"/>
  <c r="L4" i="96"/>
  <c r="L6" i="96"/>
  <c r="L3" i="96"/>
  <c r="L5" i="96"/>
  <c r="L2" i="96"/>
  <c r="L8" i="96"/>
  <c r="L10" i="96"/>
  <c r="S429" i="82"/>
  <c r="R429" i="82"/>
  <c r="Q429" i="82"/>
  <c r="P429" i="82"/>
  <c r="O429" i="82"/>
  <c r="N429" i="82"/>
  <c r="H429" i="82"/>
  <c r="I429" i="82"/>
  <c r="D429" i="82"/>
  <c r="M429" i="82"/>
  <c r="L429" i="82"/>
  <c r="K429" i="82"/>
  <c r="J429" i="82"/>
  <c r="G429" i="82"/>
  <c r="C429" i="82"/>
  <c r="B429" i="82"/>
  <c r="A429" i="82"/>
  <c r="S426" i="82"/>
  <c r="R426" i="82"/>
  <c r="Q426" i="82"/>
  <c r="P426" i="82"/>
  <c r="O426" i="82"/>
  <c r="N426" i="82"/>
  <c r="H426" i="82"/>
  <c r="I426" i="82"/>
  <c r="D426" i="82"/>
  <c r="M426" i="82"/>
  <c r="L426" i="82"/>
  <c r="K426" i="82"/>
  <c r="J426" i="82"/>
  <c r="G426" i="82"/>
  <c r="C426" i="82"/>
  <c r="B426" i="82"/>
  <c r="A426" i="82"/>
  <c r="S435" i="82"/>
  <c r="R435" i="82"/>
  <c r="Q435" i="82"/>
  <c r="P435" i="82"/>
  <c r="O435" i="82"/>
  <c r="N435" i="82"/>
  <c r="H435" i="82"/>
  <c r="I435" i="82"/>
  <c r="D435" i="82"/>
  <c r="M435" i="82"/>
  <c r="L435" i="82"/>
  <c r="K435" i="82"/>
  <c r="J435" i="82"/>
  <c r="G435" i="82"/>
  <c r="C435" i="82"/>
  <c r="B435" i="82"/>
  <c r="A435" i="82"/>
  <c r="S434" i="82"/>
  <c r="R434" i="82"/>
  <c r="Q434" i="82"/>
  <c r="P434" i="82"/>
  <c r="O434" i="82"/>
  <c r="N434" i="82"/>
  <c r="H434" i="82"/>
  <c r="I434" i="82"/>
  <c r="D434" i="82"/>
  <c r="M434" i="82"/>
  <c r="L434" i="82"/>
  <c r="K434" i="82"/>
  <c r="J434" i="82"/>
  <c r="G434" i="82"/>
  <c r="C434" i="82"/>
  <c r="B434" i="82"/>
  <c r="A434" i="82"/>
  <c r="S433" i="82"/>
  <c r="R433" i="82"/>
  <c r="Q433" i="82"/>
  <c r="P433" i="82"/>
  <c r="O433" i="82"/>
  <c r="N433" i="82"/>
  <c r="H433" i="82"/>
  <c r="I433" i="82"/>
  <c r="D433" i="82"/>
  <c r="M433" i="82"/>
  <c r="L433" i="82"/>
  <c r="K433" i="82"/>
  <c r="J433" i="82"/>
  <c r="G433" i="82"/>
  <c r="C433" i="82"/>
  <c r="B433" i="82"/>
  <c r="A433" i="82"/>
  <c r="S432" i="82"/>
  <c r="R432" i="82"/>
  <c r="Q432" i="82"/>
  <c r="P432" i="82"/>
  <c r="O432" i="82"/>
  <c r="N432" i="82"/>
  <c r="H432" i="82"/>
  <c r="I432" i="82"/>
  <c r="D432" i="82"/>
  <c r="M432" i="82"/>
  <c r="L432" i="82"/>
  <c r="K432" i="82"/>
  <c r="J432" i="82"/>
  <c r="G432" i="82"/>
  <c r="C432" i="82"/>
  <c r="B432" i="82"/>
  <c r="A432" i="82"/>
  <c r="S431" i="82"/>
  <c r="R431" i="82"/>
  <c r="Q431" i="82"/>
  <c r="P431" i="82"/>
  <c r="O431" i="82"/>
  <c r="N431" i="82"/>
  <c r="H431" i="82"/>
  <c r="I431" i="82"/>
  <c r="D431" i="82"/>
  <c r="M431" i="82"/>
  <c r="L431" i="82"/>
  <c r="K431" i="82"/>
  <c r="J431" i="82"/>
  <c r="G431" i="82"/>
  <c r="C431" i="82"/>
  <c r="B431" i="82"/>
  <c r="A431" i="82"/>
  <c r="S430" i="82"/>
  <c r="R430" i="82"/>
  <c r="Q430" i="82"/>
  <c r="P430" i="82"/>
  <c r="O430" i="82"/>
  <c r="N430" i="82"/>
  <c r="H430" i="82"/>
  <c r="I430" i="82"/>
  <c r="D430" i="82"/>
  <c r="M430" i="82"/>
  <c r="L430" i="82"/>
  <c r="K430" i="82"/>
  <c r="J430" i="82"/>
  <c r="G430" i="82"/>
  <c r="C430" i="82"/>
  <c r="B430" i="82"/>
  <c r="A430" i="82"/>
  <c r="S428" i="82"/>
  <c r="R428" i="82"/>
  <c r="Q428" i="82"/>
  <c r="P428" i="82"/>
  <c r="O428" i="82"/>
  <c r="N428" i="82"/>
  <c r="H428" i="82"/>
  <c r="I428" i="82"/>
  <c r="D428" i="82"/>
  <c r="M428" i="82"/>
  <c r="L428" i="82"/>
  <c r="K428" i="82"/>
  <c r="J428" i="82"/>
  <c r="G428" i="82"/>
  <c r="C428" i="82"/>
  <c r="B428" i="82"/>
  <c r="A428" i="82"/>
  <c r="S427" i="82"/>
  <c r="R427" i="82"/>
  <c r="Q427" i="82"/>
  <c r="P427" i="82"/>
  <c r="O427" i="82"/>
  <c r="N427" i="82"/>
  <c r="H427" i="82"/>
  <c r="I427" i="82"/>
  <c r="D427" i="82"/>
  <c r="M427" i="82"/>
  <c r="L427" i="82"/>
  <c r="K427" i="82"/>
  <c r="J427" i="82"/>
  <c r="G427" i="82"/>
  <c r="C427" i="82"/>
  <c r="B427" i="82"/>
  <c r="A427" i="82"/>
  <c r="S181" i="82"/>
  <c r="R181" i="82"/>
  <c r="Q181" i="82"/>
  <c r="P181" i="82"/>
  <c r="O181" i="82"/>
  <c r="N181" i="82"/>
  <c r="H181" i="82"/>
  <c r="I181" i="82"/>
  <c r="D181" i="82"/>
  <c r="M181" i="82"/>
  <c r="L181" i="82"/>
  <c r="K181" i="82"/>
  <c r="J181" i="82"/>
  <c r="G181" i="82"/>
  <c r="C181" i="82"/>
  <c r="B181" i="82"/>
  <c r="A181" i="82"/>
  <c r="S180" i="82"/>
  <c r="R180" i="82"/>
  <c r="Q180" i="82"/>
  <c r="P180" i="82"/>
  <c r="O180" i="82"/>
  <c r="N180" i="82"/>
  <c r="H180" i="82"/>
  <c r="I180" i="82"/>
  <c r="D180" i="82"/>
  <c r="M180" i="82"/>
  <c r="L180" i="82"/>
  <c r="K180" i="82"/>
  <c r="J180" i="82"/>
  <c r="G180" i="82"/>
  <c r="C180" i="82"/>
  <c r="B180" i="82"/>
  <c r="A180" i="82"/>
  <c r="S179" i="82"/>
  <c r="R179" i="82"/>
  <c r="Q179" i="82"/>
  <c r="P179" i="82"/>
  <c r="O179" i="82"/>
  <c r="N179" i="82"/>
  <c r="H179" i="82"/>
  <c r="I179" i="82"/>
  <c r="D179" i="82"/>
  <c r="M179" i="82"/>
  <c r="L179" i="82"/>
  <c r="K179" i="82"/>
  <c r="J179" i="82"/>
  <c r="G179" i="82"/>
  <c r="C179" i="82"/>
  <c r="B179" i="82"/>
  <c r="A179" i="82"/>
  <c r="S178" i="82"/>
  <c r="R178" i="82"/>
  <c r="Q178" i="82"/>
  <c r="P178" i="82"/>
  <c r="O178" i="82"/>
  <c r="N178" i="82"/>
  <c r="H178" i="82"/>
  <c r="I178" i="82"/>
  <c r="D178" i="82"/>
  <c r="M178" i="82"/>
  <c r="L178" i="82"/>
  <c r="K178" i="82"/>
  <c r="J178" i="82"/>
  <c r="G178" i="82"/>
  <c r="C178" i="82"/>
  <c r="B178" i="82"/>
  <c r="A178" i="82"/>
  <c r="S177" i="82"/>
  <c r="R177" i="82"/>
  <c r="Q177" i="82"/>
  <c r="P177" i="82"/>
  <c r="O177" i="82"/>
  <c r="N177" i="82"/>
  <c r="H177" i="82"/>
  <c r="I177" i="82"/>
  <c r="D177" i="82"/>
  <c r="M177" i="82"/>
  <c r="L177" i="82"/>
  <c r="K177" i="82"/>
  <c r="J177" i="82"/>
  <c r="G177" i="82"/>
  <c r="C177" i="82"/>
  <c r="B177" i="82"/>
  <c r="A177" i="82"/>
  <c r="S176" i="82"/>
  <c r="R176" i="82"/>
  <c r="Q176" i="82"/>
  <c r="P176" i="82"/>
  <c r="O176" i="82"/>
  <c r="N176" i="82"/>
  <c r="H176" i="82"/>
  <c r="I176" i="82"/>
  <c r="D176" i="82"/>
  <c r="M176" i="82"/>
  <c r="L176" i="82"/>
  <c r="K176" i="82"/>
  <c r="J176" i="82"/>
  <c r="G176" i="82"/>
  <c r="C176" i="82"/>
  <c r="B176" i="82"/>
  <c r="A176" i="82"/>
  <c r="S175" i="82"/>
  <c r="R175" i="82"/>
  <c r="Q175" i="82"/>
  <c r="P175" i="82"/>
  <c r="O175" i="82"/>
  <c r="N175" i="82"/>
  <c r="H175" i="82"/>
  <c r="I175" i="82"/>
  <c r="D175" i="82"/>
  <c r="M175" i="82"/>
  <c r="L175" i="82"/>
  <c r="K175" i="82"/>
  <c r="J175" i="82"/>
  <c r="G175" i="82"/>
  <c r="C175" i="82"/>
  <c r="B175" i="82"/>
  <c r="A175" i="82"/>
  <c r="S174" i="82"/>
  <c r="R174" i="82"/>
  <c r="Q174" i="82"/>
  <c r="P174" i="82"/>
  <c r="O174" i="82"/>
  <c r="N174" i="82"/>
  <c r="H174" i="82"/>
  <c r="I174" i="82"/>
  <c r="D174" i="82"/>
  <c r="M174" i="82"/>
  <c r="L174" i="82"/>
  <c r="K174" i="82"/>
  <c r="J174" i="82"/>
  <c r="G174" i="82"/>
  <c r="C174" i="82"/>
  <c r="B174" i="82"/>
  <c r="A174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418" i="82"/>
  <c r="B419" i="82"/>
  <c r="B420" i="82"/>
  <c r="B421" i="82"/>
  <c r="B422" i="82"/>
  <c r="B423" i="82"/>
  <c r="B424" i="82"/>
  <c r="B425" i="82"/>
  <c r="B2" i="82"/>
  <c r="B3" i="104"/>
  <c r="B4" i="104"/>
  <c r="B5" i="104"/>
  <c r="B6" i="104"/>
  <c r="B7" i="104"/>
  <c r="B8" i="104"/>
  <c r="B9" i="104"/>
  <c r="B10" i="104"/>
  <c r="B11" i="104"/>
  <c r="B2" i="104"/>
  <c r="G9" i="96"/>
  <c r="H9" i="96"/>
  <c r="C9" i="96"/>
  <c r="F9" i="96"/>
  <c r="I9" i="96"/>
  <c r="J9" i="96"/>
  <c r="K9" i="96"/>
  <c r="M9" i="96"/>
  <c r="N9" i="96"/>
  <c r="O9" i="96"/>
  <c r="P9" i="96"/>
  <c r="Q9" i="96"/>
  <c r="R9" i="96"/>
  <c r="G6" i="96"/>
  <c r="H6" i="96"/>
  <c r="C6" i="96"/>
  <c r="F6" i="96"/>
  <c r="I6" i="96"/>
  <c r="J6" i="96"/>
  <c r="K6" i="96"/>
  <c r="M6" i="96"/>
  <c r="N6" i="96"/>
  <c r="O6" i="96"/>
  <c r="P6" i="96"/>
  <c r="Q6" i="96"/>
  <c r="R6" i="96"/>
  <c r="G7" i="96"/>
  <c r="H7" i="96"/>
  <c r="C7" i="96"/>
  <c r="G8" i="96"/>
  <c r="H8" i="96"/>
  <c r="C8" i="96"/>
  <c r="G10" i="96"/>
  <c r="H10" i="96"/>
  <c r="C10" i="96"/>
  <c r="G11" i="96"/>
  <c r="H11" i="96"/>
  <c r="C11" i="96"/>
  <c r="F7" i="96"/>
  <c r="I7" i="96"/>
  <c r="J7" i="96"/>
  <c r="K7" i="96"/>
  <c r="M7" i="96"/>
  <c r="N7" i="96"/>
  <c r="O7" i="96"/>
  <c r="P7" i="96"/>
  <c r="Q7" i="96"/>
  <c r="R7" i="96"/>
  <c r="F8" i="96"/>
  <c r="I8" i="96"/>
  <c r="J8" i="96"/>
  <c r="K8" i="96"/>
  <c r="M8" i="96"/>
  <c r="N8" i="96"/>
  <c r="O8" i="96"/>
  <c r="P8" i="96"/>
  <c r="Q8" i="96"/>
  <c r="R8" i="96"/>
  <c r="F10" i="96"/>
  <c r="I10" i="96"/>
  <c r="J10" i="96"/>
  <c r="K10" i="96"/>
  <c r="M10" i="96"/>
  <c r="N10" i="96"/>
  <c r="O10" i="96"/>
  <c r="P10" i="96"/>
  <c r="Q10" i="96"/>
  <c r="R10" i="96"/>
  <c r="F11" i="96"/>
  <c r="I11" i="96"/>
  <c r="J11" i="96"/>
  <c r="K11" i="96"/>
  <c r="M11" i="96"/>
  <c r="N11" i="96"/>
  <c r="O11" i="96"/>
  <c r="P11" i="96"/>
  <c r="Q11" i="96"/>
  <c r="R11" i="96"/>
  <c r="H417" i="82"/>
  <c r="I417" i="82"/>
  <c r="H418" i="82"/>
  <c r="I418" i="82"/>
  <c r="H419" i="82"/>
  <c r="I419" i="82"/>
  <c r="H420" i="82"/>
  <c r="I420" i="82"/>
  <c r="H421" i="82"/>
  <c r="I421" i="82"/>
  <c r="H422" i="82"/>
  <c r="I422" i="82"/>
  <c r="H423" i="82"/>
  <c r="I423" i="82"/>
  <c r="H424" i="82"/>
  <c r="I424" i="82"/>
  <c r="H425" i="82"/>
  <c r="I425" i="82"/>
  <c r="H416" i="82"/>
  <c r="I416" i="82"/>
  <c r="A6" i="94"/>
  <c r="H162" i="82"/>
  <c r="I162" i="82"/>
  <c r="D162" i="82"/>
  <c r="M162" i="82"/>
  <c r="A8" i="94"/>
  <c r="A11" i="94"/>
  <c r="A13" i="94"/>
  <c r="H167" i="82"/>
  <c r="I167" i="82"/>
  <c r="M167" i="82"/>
  <c r="H166" i="82"/>
  <c r="I166" i="82"/>
  <c r="M166" i="82"/>
  <c r="H168" i="82"/>
  <c r="I168" i="82"/>
  <c r="H169" i="82"/>
  <c r="I169" i="82"/>
  <c r="H170" i="82"/>
  <c r="I170" i="82"/>
  <c r="H171" i="82"/>
  <c r="I171" i="82"/>
  <c r="H172" i="82"/>
  <c r="I172" i="82"/>
  <c r="H173" i="82"/>
  <c r="I173" i="82"/>
  <c r="S173" i="82"/>
  <c r="R173" i="82"/>
  <c r="Q173" i="82"/>
  <c r="P173" i="82"/>
  <c r="O173" i="82"/>
  <c r="N173" i="82"/>
  <c r="M173" i="82"/>
  <c r="L173" i="82"/>
  <c r="K173" i="82"/>
  <c r="J173" i="82"/>
  <c r="G173" i="82"/>
  <c r="C173" i="82"/>
  <c r="A173" i="82"/>
  <c r="S172" i="82"/>
  <c r="R172" i="82"/>
  <c r="Q172" i="82"/>
  <c r="P172" i="82"/>
  <c r="O172" i="82"/>
  <c r="N172" i="82"/>
  <c r="M172" i="82"/>
  <c r="L172" i="82"/>
  <c r="K172" i="82"/>
  <c r="J172" i="82"/>
  <c r="G172" i="82"/>
  <c r="C172" i="82"/>
  <c r="A172" i="82"/>
  <c r="S171" i="82"/>
  <c r="R171" i="82"/>
  <c r="Q171" i="82"/>
  <c r="P171" i="82"/>
  <c r="O171" i="82"/>
  <c r="N171" i="82"/>
  <c r="M171" i="82"/>
  <c r="L171" i="82"/>
  <c r="K171" i="82"/>
  <c r="J171" i="82"/>
  <c r="G171" i="82"/>
  <c r="C171" i="82"/>
  <c r="A171" i="82"/>
  <c r="S170" i="82"/>
  <c r="R170" i="82"/>
  <c r="Q170" i="82"/>
  <c r="P170" i="82"/>
  <c r="O170" i="82"/>
  <c r="N170" i="82"/>
  <c r="M170" i="82"/>
  <c r="L170" i="82"/>
  <c r="K170" i="82"/>
  <c r="J170" i="82"/>
  <c r="G170" i="82"/>
  <c r="C170" i="82"/>
  <c r="A170" i="82"/>
  <c r="S169" i="82"/>
  <c r="R169" i="82"/>
  <c r="Q169" i="82"/>
  <c r="P169" i="82"/>
  <c r="O169" i="82"/>
  <c r="N169" i="82"/>
  <c r="M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M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L166" i="82"/>
  <c r="K166" i="82"/>
  <c r="J166" i="82"/>
  <c r="G166" i="82"/>
  <c r="C166" i="82"/>
  <c r="A166" i="82"/>
  <c r="A416" i="82"/>
  <c r="C416" i="82"/>
  <c r="G416" i="82"/>
  <c r="J416" i="82"/>
  <c r="K416" i="82"/>
  <c r="L416" i="82"/>
  <c r="A20" i="94"/>
  <c r="A24" i="94"/>
  <c r="M416" i="82"/>
  <c r="N416" i="82"/>
  <c r="O416" i="82"/>
  <c r="P416" i="82"/>
  <c r="Q416" i="82"/>
  <c r="R416" i="82"/>
  <c r="S416" i="82"/>
  <c r="A417" i="82"/>
  <c r="C417" i="82"/>
  <c r="G417" i="82"/>
  <c r="J417" i="82"/>
  <c r="K417" i="82"/>
  <c r="L417" i="82"/>
  <c r="A26" i="94"/>
  <c r="A29" i="94"/>
  <c r="M417" i="82"/>
  <c r="N417" i="82"/>
  <c r="O417" i="82"/>
  <c r="P417" i="82"/>
  <c r="Q417" i="82"/>
  <c r="R417" i="82"/>
  <c r="S417" i="82"/>
  <c r="A418" i="82"/>
  <c r="C418" i="82"/>
  <c r="G418" i="82"/>
  <c r="J418" i="82"/>
  <c r="K418" i="82"/>
  <c r="L418" i="82"/>
  <c r="M418" i="82"/>
  <c r="N418" i="82"/>
  <c r="O418" i="82"/>
  <c r="P418" i="82"/>
  <c r="Q418" i="82"/>
  <c r="R418" i="82"/>
  <c r="S418" i="82"/>
  <c r="A419" i="82"/>
  <c r="C419" i="82"/>
  <c r="G419" i="82"/>
  <c r="J419" i="82"/>
  <c r="K419" i="82"/>
  <c r="L419" i="82"/>
  <c r="M419" i="82"/>
  <c r="N419" i="82"/>
  <c r="O419" i="82"/>
  <c r="P419" i="82"/>
  <c r="Q419" i="82"/>
  <c r="R419" i="82"/>
  <c r="S419" i="82"/>
  <c r="A420" i="82"/>
  <c r="C420" i="82"/>
  <c r="G420" i="82"/>
  <c r="J420" i="82"/>
  <c r="K420" i="82"/>
  <c r="L420" i="82"/>
  <c r="M420" i="82"/>
  <c r="N420" i="82"/>
  <c r="O420" i="82"/>
  <c r="P420" i="82"/>
  <c r="Q420" i="82"/>
  <c r="R420" i="82"/>
  <c r="S420" i="82"/>
  <c r="A421" i="82"/>
  <c r="C421" i="82"/>
  <c r="G421" i="82"/>
  <c r="J421" i="82"/>
  <c r="K421" i="82"/>
  <c r="L421" i="82"/>
  <c r="M421" i="82"/>
  <c r="N421" i="82"/>
  <c r="O421" i="82"/>
  <c r="P421" i="82"/>
  <c r="Q421" i="82"/>
  <c r="R421" i="82"/>
  <c r="S421" i="82"/>
  <c r="A422" i="82"/>
  <c r="C422" i="82"/>
  <c r="G422" i="82"/>
  <c r="J422" i="82"/>
  <c r="K422" i="82"/>
  <c r="L422" i="82"/>
  <c r="M422" i="82"/>
  <c r="N422" i="82"/>
  <c r="O422" i="82"/>
  <c r="P422" i="82"/>
  <c r="Q422" i="82"/>
  <c r="R422" i="82"/>
  <c r="S422" i="82"/>
  <c r="A423" i="82"/>
  <c r="C423" i="82"/>
  <c r="G423" i="82"/>
  <c r="J423" i="82"/>
  <c r="K423" i="82"/>
  <c r="L423" i="82"/>
  <c r="M423" i="82"/>
  <c r="N423" i="82"/>
  <c r="O423" i="82"/>
  <c r="P423" i="82"/>
  <c r="Q423" i="82"/>
  <c r="R423" i="82"/>
  <c r="S423" i="82"/>
  <c r="A424" i="82"/>
  <c r="C424" i="82"/>
  <c r="G424" i="82"/>
  <c r="J424" i="82"/>
  <c r="K424" i="82"/>
  <c r="L424" i="82"/>
  <c r="M424" i="82"/>
  <c r="N424" i="82"/>
  <c r="O424" i="82"/>
  <c r="P424" i="82"/>
  <c r="Q424" i="82"/>
  <c r="R424" i="82"/>
  <c r="S424" i="82"/>
  <c r="A425" i="82"/>
  <c r="C425" i="82"/>
  <c r="G425" i="82"/>
  <c r="J425" i="82"/>
  <c r="K425" i="82"/>
  <c r="L425" i="82"/>
  <c r="M425" i="82"/>
  <c r="N425" i="82"/>
  <c r="O425" i="82"/>
  <c r="P425" i="82"/>
  <c r="Q425" i="82"/>
  <c r="R425" i="82"/>
  <c r="S425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3" i="82"/>
  <c r="I163" i="82"/>
  <c r="D163" i="82"/>
  <c r="H164" i="82"/>
  <c r="I164" i="82"/>
  <c r="D164" i="82"/>
  <c r="H165" i="82"/>
  <c r="I165" i="82"/>
  <c r="D165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389" i="82"/>
  <c r="I389" i="82"/>
  <c r="D389" i="82"/>
  <c r="H390" i="82"/>
  <c r="I390" i="82"/>
  <c r="D390" i="82"/>
  <c r="H391" i="82"/>
  <c r="I391" i="82"/>
  <c r="D391" i="82"/>
  <c r="H392" i="82"/>
  <c r="I392" i="82"/>
  <c r="D392" i="82"/>
  <c r="H393" i="82"/>
  <c r="I393" i="82"/>
  <c r="D393" i="82"/>
  <c r="H394" i="82"/>
  <c r="I394" i="82"/>
  <c r="D394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400" i="82"/>
  <c r="I400" i="82"/>
  <c r="D400" i="82"/>
  <c r="H401" i="82"/>
  <c r="I401" i="82"/>
  <c r="D401" i="82"/>
  <c r="H402" i="82"/>
  <c r="I402" i="82"/>
  <c r="D402" i="82"/>
  <c r="H403" i="82"/>
  <c r="I403" i="82"/>
  <c r="D403" i="82"/>
  <c r="H404" i="82"/>
  <c r="I404" i="82"/>
  <c r="D404" i="82"/>
  <c r="H405" i="82"/>
  <c r="I405" i="82"/>
  <c r="D405" i="82"/>
  <c r="H406" i="82"/>
  <c r="I406" i="82"/>
  <c r="D406" i="82"/>
  <c r="H407" i="82"/>
  <c r="I407" i="82"/>
  <c r="D407" i="82"/>
  <c r="H408" i="82"/>
  <c r="I408" i="82"/>
  <c r="D408" i="82"/>
  <c r="H409" i="82"/>
  <c r="I409" i="82"/>
  <c r="D409" i="82"/>
  <c r="H410" i="82"/>
  <c r="I410" i="82"/>
  <c r="D410" i="82"/>
  <c r="H411" i="82"/>
  <c r="I411" i="82"/>
  <c r="D411" i="82"/>
  <c r="H412" i="82"/>
  <c r="I412" i="82"/>
  <c r="D412" i="82"/>
  <c r="H413" i="82"/>
  <c r="I413" i="82"/>
  <c r="D413" i="82"/>
  <c r="H414" i="82"/>
  <c r="I414" i="82"/>
  <c r="D414" i="82"/>
  <c r="H415" i="82"/>
  <c r="I415" i="82"/>
  <c r="D415" i="82"/>
  <c r="A30" i="94"/>
  <c r="A31" i="94"/>
  <c r="A12" i="94"/>
  <c r="H5" i="105"/>
  <c r="G16" i="105"/>
  <c r="M2" i="96"/>
  <c r="M3" i="96"/>
  <c r="M4" i="96"/>
  <c r="M5" i="96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S400" i="82"/>
  <c r="S401" i="82"/>
  <c r="S402" i="82"/>
  <c r="S403" i="82"/>
  <c r="S404" i="82"/>
  <c r="S405" i="82"/>
  <c r="S406" i="82"/>
  <c r="S407" i="82"/>
  <c r="S408" i="82"/>
  <c r="S409" i="82"/>
  <c r="S410" i="82"/>
  <c r="S411" i="82"/>
  <c r="S412" i="82"/>
  <c r="S413" i="82"/>
  <c r="S414" i="82"/>
  <c r="S415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N400" i="82"/>
  <c r="N401" i="82"/>
  <c r="N402" i="82"/>
  <c r="N403" i="82"/>
  <c r="N404" i="82"/>
  <c r="N405" i="82"/>
  <c r="N406" i="82"/>
  <c r="N407" i="82"/>
  <c r="N408" i="82"/>
  <c r="N409" i="82"/>
  <c r="N410" i="82"/>
  <c r="N411" i="82"/>
  <c r="N412" i="82"/>
  <c r="N413" i="82"/>
  <c r="N414" i="82"/>
  <c r="N415" i="82"/>
  <c r="D13" i="105"/>
  <c r="B5" i="105"/>
  <c r="A13" i="105"/>
  <c r="D16" i="105"/>
  <c r="A16" i="105"/>
  <c r="R165" i="82"/>
  <c r="Q165" i="82"/>
  <c r="P165" i="82"/>
  <c r="O165" i="82"/>
  <c r="A3" i="94"/>
  <c r="A4" i="94"/>
  <c r="A5" i="94"/>
  <c r="A7" i="94"/>
  <c r="A9" i="94"/>
  <c r="A10" i="94"/>
  <c r="M165" i="82"/>
  <c r="L165" i="82"/>
  <c r="K165" i="82"/>
  <c r="J165" i="82"/>
  <c r="G165" i="82"/>
  <c r="C165" i="82"/>
  <c r="A165" i="82"/>
  <c r="R164" i="82"/>
  <c r="Q164" i="82"/>
  <c r="P164" i="82"/>
  <c r="O164" i="82"/>
  <c r="M164" i="82"/>
  <c r="L164" i="82"/>
  <c r="K164" i="82"/>
  <c r="J164" i="82"/>
  <c r="G164" i="82"/>
  <c r="C164" i="82"/>
  <c r="A164" i="82"/>
  <c r="R163" i="82"/>
  <c r="Q163" i="82"/>
  <c r="P163" i="82"/>
  <c r="O163" i="82"/>
  <c r="M163" i="82"/>
  <c r="L163" i="82"/>
  <c r="K163" i="82"/>
  <c r="J163" i="82"/>
  <c r="G163" i="82"/>
  <c r="C163" i="82"/>
  <c r="A163" i="82"/>
  <c r="R162" i="82"/>
  <c r="Q162" i="82"/>
  <c r="P162" i="82"/>
  <c r="O162" i="82"/>
  <c r="L162" i="82"/>
  <c r="K162" i="82"/>
  <c r="J162" i="82"/>
  <c r="G162" i="82"/>
  <c r="C162" i="82"/>
  <c r="A162" i="82"/>
  <c r="R161" i="82"/>
  <c r="Q161" i="82"/>
  <c r="P161" i="82"/>
  <c r="O161" i="82"/>
  <c r="M161" i="82"/>
  <c r="L161" i="82"/>
  <c r="K161" i="82"/>
  <c r="J161" i="82"/>
  <c r="G161" i="82"/>
  <c r="C161" i="82"/>
  <c r="A161" i="82"/>
  <c r="R160" i="82"/>
  <c r="Q160" i="82"/>
  <c r="P160" i="82"/>
  <c r="O160" i="82"/>
  <c r="M160" i="82"/>
  <c r="L160" i="82"/>
  <c r="K160" i="82"/>
  <c r="J160" i="82"/>
  <c r="G160" i="82"/>
  <c r="C160" i="82"/>
  <c r="A160" i="82"/>
  <c r="R159" i="82"/>
  <c r="Q159" i="82"/>
  <c r="P159" i="82"/>
  <c r="O159" i="82"/>
  <c r="M159" i="82"/>
  <c r="L159" i="82"/>
  <c r="K159" i="82"/>
  <c r="J159" i="82"/>
  <c r="G159" i="82"/>
  <c r="C159" i="82"/>
  <c r="A159" i="82"/>
  <c r="R158" i="82"/>
  <c r="Q158" i="82"/>
  <c r="P158" i="82"/>
  <c r="O158" i="82"/>
  <c r="M158" i="82"/>
  <c r="L158" i="82"/>
  <c r="K158" i="82"/>
  <c r="J158" i="82"/>
  <c r="G158" i="82"/>
  <c r="C158" i="82"/>
  <c r="A158" i="82"/>
  <c r="A405" i="82"/>
  <c r="C405" i="82"/>
  <c r="G405" i="82"/>
  <c r="J405" i="82"/>
  <c r="K405" i="82"/>
  <c r="L405" i="82"/>
  <c r="A17" i="94"/>
  <c r="A18" i="94"/>
  <c r="A19" i="94"/>
  <c r="A21" i="94"/>
  <c r="A22" i="94"/>
  <c r="A23" i="94"/>
  <c r="A25" i="94"/>
  <c r="A27" i="94"/>
  <c r="A28" i="94"/>
  <c r="M405" i="82"/>
  <c r="O405" i="82"/>
  <c r="P405" i="82"/>
  <c r="Q405" i="82"/>
  <c r="R405" i="82"/>
  <c r="A406" i="82"/>
  <c r="C406" i="82"/>
  <c r="G406" i="82"/>
  <c r="J406" i="82"/>
  <c r="K406" i="82"/>
  <c r="L406" i="82"/>
  <c r="M406" i="82"/>
  <c r="O406" i="82"/>
  <c r="P406" i="82"/>
  <c r="Q406" i="82"/>
  <c r="R406" i="82"/>
  <c r="A407" i="82"/>
  <c r="C407" i="82"/>
  <c r="G407" i="82"/>
  <c r="J407" i="82"/>
  <c r="K407" i="82"/>
  <c r="L407" i="82"/>
  <c r="M407" i="82"/>
  <c r="O407" i="82"/>
  <c r="P407" i="82"/>
  <c r="Q407" i="82"/>
  <c r="R407" i="82"/>
  <c r="A408" i="82"/>
  <c r="C408" i="82"/>
  <c r="G408" i="82"/>
  <c r="J408" i="82"/>
  <c r="K408" i="82"/>
  <c r="L408" i="82"/>
  <c r="M408" i="82"/>
  <c r="O408" i="82"/>
  <c r="P408" i="82"/>
  <c r="Q408" i="82"/>
  <c r="R408" i="82"/>
  <c r="A409" i="82"/>
  <c r="C409" i="82"/>
  <c r="G409" i="82"/>
  <c r="J409" i="82"/>
  <c r="K409" i="82"/>
  <c r="L409" i="82"/>
  <c r="M409" i="82"/>
  <c r="O409" i="82"/>
  <c r="P409" i="82"/>
  <c r="Q409" i="82"/>
  <c r="R409" i="82"/>
  <c r="A410" i="82"/>
  <c r="C410" i="82"/>
  <c r="G410" i="82"/>
  <c r="J410" i="82"/>
  <c r="K410" i="82"/>
  <c r="L410" i="82"/>
  <c r="M410" i="82"/>
  <c r="O410" i="82"/>
  <c r="P410" i="82"/>
  <c r="Q410" i="82"/>
  <c r="R410" i="82"/>
  <c r="A411" i="82"/>
  <c r="C411" i="82"/>
  <c r="G411" i="82"/>
  <c r="J411" i="82"/>
  <c r="K411" i="82"/>
  <c r="L411" i="82"/>
  <c r="M411" i="82"/>
  <c r="O411" i="82"/>
  <c r="P411" i="82"/>
  <c r="Q411" i="82"/>
  <c r="R411" i="82"/>
  <c r="A412" i="82"/>
  <c r="C412" i="82"/>
  <c r="G412" i="82"/>
  <c r="J412" i="82"/>
  <c r="K412" i="82"/>
  <c r="L412" i="82"/>
  <c r="M412" i="82"/>
  <c r="O412" i="82"/>
  <c r="P412" i="82"/>
  <c r="Q412" i="82"/>
  <c r="R412" i="82"/>
  <c r="A413" i="82"/>
  <c r="C413" i="82"/>
  <c r="G413" i="82"/>
  <c r="J413" i="82"/>
  <c r="K413" i="82"/>
  <c r="L413" i="82"/>
  <c r="M413" i="82"/>
  <c r="O413" i="82"/>
  <c r="P413" i="82"/>
  <c r="Q413" i="82"/>
  <c r="R413" i="82"/>
  <c r="A414" i="82"/>
  <c r="C414" i="82"/>
  <c r="G414" i="82"/>
  <c r="J414" i="82"/>
  <c r="K414" i="82"/>
  <c r="L414" i="82"/>
  <c r="M414" i="82"/>
  <c r="O414" i="82"/>
  <c r="P414" i="82"/>
  <c r="Q414" i="82"/>
  <c r="R414" i="82"/>
  <c r="A415" i="82"/>
  <c r="C415" i="82"/>
  <c r="G415" i="82"/>
  <c r="J415" i="82"/>
  <c r="K415" i="82"/>
  <c r="L415" i="82"/>
  <c r="M415" i="82"/>
  <c r="O415" i="82"/>
  <c r="P415" i="82"/>
  <c r="Q415" i="82"/>
  <c r="R415" i="82"/>
  <c r="H2" i="82"/>
  <c r="I2" i="82"/>
  <c r="D2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92" i="82"/>
  <c r="M393" i="82"/>
  <c r="M394" i="82"/>
  <c r="M395" i="82"/>
  <c r="M396" i="82"/>
  <c r="M397" i="82"/>
  <c r="M398" i="82"/>
  <c r="M399" i="82"/>
  <c r="M400" i="82"/>
  <c r="M401" i="82"/>
  <c r="M402" i="82"/>
  <c r="M403" i="82"/>
  <c r="M404" i="82"/>
  <c r="G5" i="96"/>
  <c r="G4" i="96"/>
  <c r="G3" i="96"/>
  <c r="G2" i="96"/>
  <c r="H4" i="96"/>
  <c r="C4" i="96"/>
  <c r="H5" i="96"/>
  <c r="C5" i="96"/>
  <c r="F4" i="96"/>
  <c r="I4" i="96"/>
  <c r="J4" i="96"/>
  <c r="K4" i="96"/>
  <c r="N4" i="96"/>
  <c r="O4" i="96"/>
  <c r="P4" i="96"/>
  <c r="Q4" i="96"/>
  <c r="R4" i="96"/>
  <c r="F5" i="96"/>
  <c r="I5" i="96"/>
  <c r="J5" i="96"/>
  <c r="K5" i="96"/>
  <c r="N5" i="96"/>
  <c r="O5" i="96"/>
  <c r="P5" i="96"/>
  <c r="Q5" i="96"/>
  <c r="R5" i="96"/>
  <c r="R404" i="82"/>
  <c r="Q404" i="82"/>
  <c r="P404" i="82"/>
  <c r="O404" i="82"/>
  <c r="L404" i="82"/>
  <c r="K404" i="82"/>
  <c r="J404" i="82"/>
  <c r="G404" i="82"/>
  <c r="C404" i="82"/>
  <c r="A404" i="82"/>
  <c r="R403" i="82"/>
  <c r="Q403" i="82"/>
  <c r="P403" i="82"/>
  <c r="O403" i="82"/>
  <c r="L403" i="82"/>
  <c r="K403" i="82"/>
  <c r="J403" i="82"/>
  <c r="G403" i="82"/>
  <c r="C403" i="82"/>
  <c r="A403" i="82"/>
  <c r="R402" i="82"/>
  <c r="Q402" i="82"/>
  <c r="P402" i="82"/>
  <c r="O402" i="82"/>
  <c r="L402" i="82"/>
  <c r="K402" i="82"/>
  <c r="J402" i="82"/>
  <c r="G402" i="82"/>
  <c r="C402" i="82"/>
  <c r="A402" i="82"/>
  <c r="R401" i="82"/>
  <c r="Q401" i="82"/>
  <c r="P401" i="82"/>
  <c r="O401" i="82"/>
  <c r="L401" i="82"/>
  <c r="K401" i="82"/>
  <c r="J401" i="82"/>
  <c r="G401" i="82"/>
  <c r="C401" i="82"/>
  <c r="A401" i="82"/>
  <c r="R400" i="82"/>
  <c r="Q400" i="82"/>
  <c r="P400" i="82"/>
  <c r="O400" i="82"/>
  <c r="L400" i="82"/>
  <c r="K400" i="82"/>
  <c r="J400" i="82"/>
  <c r="G400" i="82"/>
  <c r="C400" i="82"/>
  <c r="A400" i="82"/>
  <c r="R399" i="82"/>
  <c r="Q399" i="82"/>
  <c r="P399" i="82"/>
  <c r="O399" i="82"/>
  <c r="L399" i="82"/>
  <c r="K399" i="82"/>
  <c r="J399" i="82"/>
  <c r="G399" i="82"/>
  <c r="C399" i="82"/>
  <c r="A399" i="82"/>
  <c r="R398" i="82"/>
  <c r="Q398" i="82"/>
  <c r="P398" i="82"/>
  <c r="O398" i="82"/>
  <c r="L398" i="82"/>
  <c r="K398" i="82"/>
  <c r="J398" i="82"/>
  <c r="G398" i="82"/>
  <c r="C398" i="82"/>
  <c r="A398" i="82"/>
  <c r="R397" i="82"/>
  <c r="Q397" i="82"/>
  <c r="P397" i="82"/>
  <c r="O397" i="82"/>
  <c r="L397" i="82"/>
  <c r="K397" i="82"/>
  <c r="J397" i="82"/>
  <c r="G397" i="82"/>
  <c r="C397" i="82"/>
  <c r="A397" i="82"/>
  <c r="R396" i="82"/>
  <c r="Q396" i="82"/>
  <c r="P396" i="82"/>
  <c r="O396" i="82"/>
  <c r="L396" i="82"/>
  <c r="K396" i="82"/>
  <c r="J396" i="82"/>
  <c r="G396" i="82"/>
  <c r="C396" i="82"/>
  <c r="A396" i="82"/>
  <c r="R395" i="82"/>
  <c r="Q395" i="82"/>
  <c r="P395" i="82"/>
  <c r="O395" i="82"/>
  <c r="L395" i="82"/>
  <c r="K395" i="82"/>
  <c r="J395" i="82"/>
  <c r="G395" i="82"/>
  <c r="C395" i="82"/>
  <c r="A395" i="82"/>
  <c r="R394" i="82"/>
  <c r="Q394" i="82"/>
  <c r="P394" i="82"/>
  <c r="O394" i="82"/>
  <c r="L394" i="82"/>
  <c r="K394" i="82"/>
  <c r="J394" i="82"/>
  <c r="G394" i="82"/>
  <c r="C394" i="82"/>
  <c r="A394" i="82"/>
  <c r="R393" i="82"/>
  <c r="Q393" i="82"/>
  <c r="P393" i="82"/>
  <c r="O393" i="82"/>
  <c r="L393" i="82"/>
  <c r="K393" i="82"/>
  <c r="J393" i="82"/>
  <c r="G393" i="82"/>
  <c r="C393" i="82"/>
  <c r="A393" i="82"/>
  <c r="R392" i="82"/>
  <c r="Q392" i="82"/>
  <c r="P392" i="82"/>
  <c r="O392" i="82"/>
  <c r="L392" i="82"/>
  <c r="K392" i="82"/>
  <c r="J392" i="82"/>
  <c r="G392" i="82"/>
  <c r="C392" i="82"/>
  <c r="A392" i="82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383" i="82"/>
  <c r="Q383" i="82"/>
  <c r="P383" i="82"/>
  <c r="O383" i="82"/>
  <c r="L383" i="82"/>
  <c r="K383" i="82"/>
  <c r="J383" i="82"/>
  <c r="G383" i="82"/>
  <c r="C383" i="82"/>
  <c r="A383" i="82"/>
  <c r="R382" i="82"/>
  <c r="Q382" i="82"/>
  <c r="P382" i="82"/>
  <c r="O382" i="82"/>
  <c r="L382" i="82"/>
  <c r="K382" i="82"/>
  <c r="J382" i="82"/>
  <c r="G382" i="82"/>
  <c r="C382" i="82"/>
  <c r="A382" i="82"/>
  <c r="R381" i="82"/>
  <c r="Q381" i="82"/>
  <c r="P381" i="82"/>
  <c r="O381" i="82"/>
  <c r="L381" i="82"/>
  <c r="K381" i="82"/>
  <c r="J381" i="82"/>
  <c r="G381" i="82"/>
  <c r="C381" i="82"/>
  <c r="A381" i="82"/>
  <c r="R380" i="82"/>
  <c r="Q380" i="82"/>
  <c r="P380" i="82"/>
  <c r="O380" i="82"/>
  <c r="L380" i="82"/>
  <c r="K380" i="82"/>
  <c r="J380" i="82"/>
  <c r="G380" i="82"/>
  <c r="C380" i="82"/>
  <c r="A380" i="82"/>
  <c r="R379" i="82"/>
  <c r="Q379" i="82"/>
  <c r="P379" i="82"/>
  <c r="O379" i="82"/>
  <c r="L379" i="82"/>
  <c r="K379" i="82"/>
  <c r="J379" i="82"/>
  <c r="G379" i="82"/>
  <c r="C379" i="82"/>
  <c r="A379" i="82"/>
  <c r="R378" i="82"/>
  <c r="Q378" i="82"/>
  <c r="P378" i="82"/>
  <c r="O378" i="82"/>
  <c r="L378" i="82"/>
  <c r="K378" i="82"/>
  <c r="J378" i="82"/>
  <c r="G378" i="82"/>
  <c r="C378" i="82"/>
  <c r="A378" i="82"/>
  <c r="R377" i="82"/>
  <c r="Q377" i="82"/>
  <c r="P377" i="82"/>
  <c r="O377" i="82"/>
  <c r="L377" i="82"/>
  <c r="K377" i="82"/>
  <c r="J377" i="82"/>
  <c r="G377" i="82"/>
  <c r="C377" i="82"/>
  <c r="A377" i="82"/>
  <c r="R376" i="82"/>
  <c r="Q376" i="82"/>
  <c r="P376" i="82"/>
  <c r="O376" i="82"/>
  <c r="L376" i="82"/>
  <c r="K376" i="82"/>
  <c r="J376" i="82"/>
  <c r="G376" i="82"/>
  <c r="C376" i="82"/>
  <c r="A376" i="82"/>
  <c r="R375" i="82"/>
  <c r="Q375" i="82"/>
  <c r="P375" i="82"/>
  <c r="O375" i="82"/>
  <c r="L375" i="82"/>
  <c r="K375" i="82"/>
  <c r="J375" i="82"/>
  <c r="G375" i="82"/>
  <c r="C375" i="82"/>
  <c r="A375" i="82"/>
  <c r="R374" i="82"/>
  <c r="Q374" i="82"/>
  <c r="P374" i="82"/>
  <c r="O374" i="82"/>
  <c r="L374" i="82"/>
  <c r="K374" i="82"/>
  <c r="J374" i="82"/>
  <c r="G374" i="82"/>
  <c r="C374" i="82"/>
  <c r="A374" i="82"/>
  <c r="R373" i="82"/>
  <c r="Q373" i="82"/>
  <c r="P373" i="82"/>
  <c r="O373" i="82"/>
  <c r="L373" i="82"/>
  <c r="K373" i="82"/>
  <c r="J373" i="82"/>
  <c r="G373" i="82"/>
  <c r="C373" i="82"/>
  <c r="A373" i="82"/>
  <c r="R372" i="82"/>
  <c r="Q372" i="82"/>
  <c r="P372" i="82"/>
  <c r="O372" i="82"/>
  <c r="L372" i="82"/>
  <c r="K372" i="82"/>
  <c r="J372" i="82"/>
  <c r="G372" i="82"/>
  <c r="C372" i="82"/>
  <c r="A372" i="82"/>
  <c r="R371" i="82"/>
  <c r="Q371" i="82"/>
  <c r="P371" i="82"/>
  <c r="O371" i="82"/>
  <c r="L371" i="82"/>
  <c r="K371" i="82"/>
  <c r="J371" i="82"/>
  <c r="G371" i="82"/>
  <c r="C371" i="82"/>
  <c r="A371" i="82"/>
  <c r="R370" i="82"/>
  <c r="Q370" i="82"/>
  <c r="P370" i="82"/>
  <c r="O370" i="82"/>
  <c r="L370" i="82"/>
  <c r="K370" i="82"/>
  <c r="J370" i="82"/>
  <c r="G370" i="82"/>
  <c r="C370" i="82"/>
  <c r="A370" i="82"/>
  <c r="R369" i="82"/>
  <c r="Q369" i="82"/>
  <c r="P369" i="82"/>
  <c r="O369" i="82"/>
  <c r="L369" i="82"/>
  <c r="K369" i="82"/>
  <c r="J369" i="82"/>
  <c r="G369" i="82"/>
  <c r="C369" i="82"/>
  <c r="A369" i="82"/>
  <c r="R368" i="82"/>
  <c r="Q368" i="82"/>
  <c r="P368" i="82"/>
  <c r="O368" i="82"/>
  <c r="L368" i="82"/>
  <c r="K368" i="82"/>
  <c r="J368" i="82"/>
  <c r="G368" i="82"/>
  <c r="C368" i="82"/>
  <c r="A368" i="82"/>
  <c r="R367" i="82"/>
  <c r="Q367" i="82"/>
  <c r="P367" i="82"/>
  <c r="O367" i="82"/>
  <c r="L367" i="82"/>
  <c r="K367" i="82"/>
  <c r="J367" i="82"/>
  <c r="G367" i="82"/>
  <c r="C367" i="82"/>
  <c r="A367" i="82"/>
  <c r="R366" i="82"/>
  <c r="Q366" i="82"/>
  <c r="P366" i="82"/>
  <c r="O366" i="82"/>
  <c r="L366" i="82"/>
  <c r="K366" i="82"/>
  <c r="J366" i="82"/>
  <c r="G366" i="82"/>
  <c r="C366" i="82"/>
  <c r="A366" i="82"/>
  <c r="R365" i="82"/>
  <c r="Q365" i="82"/>
  <c r="P365" i="82"/>
  <c r="O365" i="82"/>
  <c r="L365" i="82"/>
  <c r="K365" i="82"/>
  <c r="J365" i="82"/>
  <c r="G365" i="82"/>
  <c r="C365" i="82"/>
  <c r="A365" i="82"/>
  <c r="R364" i="82"/>
  <c r="Q364" i="82"/>
  <c r="P364" i="82"/>
  <c r="O364" i="82"/>
  <c r="L364" i="82"/>
  <c r="K364" i="82"/>
  <c r="J364" i="82"/>
  <c r="G364" i="82"/>
  <c r="C364" i="82"/>
  <c r="A364" i="82"/>
  <c r="R363" i="82"/>
  <c r="Q363" i="82"/>
  <c r="P363" i="82"/>
  <c r="O363" i="82"/>
  <c r="L363" i="82"/>
  <c r="K363" i="82"/>
  <c r="J363" i="82"/>
  <c r="G363" i="82"/>
  <c r="C363" i="82"/>
  <c r="A363" i="82"/>
  <c r="R362" i="82"/>
  <c r="Q362" i="82"/>
  <c r="P362" i="82"/>
  <c r="O362" i="82"/>
  <c r="L362" i="82"/>
  <c r="K362" i="82"/>
  <c r="J362" i="82"/>
  <c r="G362" i="82"/>
  <c r="C362" i="82"/>
  <c r="A362" i="82"/>
  <c r="R361" i="82"/>
  <c r="Q361" i="82"/>
  <c r="P361" i="82"/>
  <c r="O361" i="82"/>
  <c r="L361" i="82"/>
  <c r="K361" i="82"/>
  <c r="J361" i="82"/>
  <c r="G361" i="82"/>
  <c r="C361" i="82"/>
  <c r="A361" i="82"/>
  <c r="R360" i="82"/>
  <c r="Q360" i="82"/>
  <c r="P360" i="82"/>
  <c r="O360" i="82"/>
  <c r="L360" i="82"/>
  <c r="K360" i="82"/>
  <c r="J360" i="82"/>
  <c r="G360" i="82"/>
  <c r="C360" i="82"/>
  <c r="A360" i="82"/>
  <c r="R359" i="82"/>
  <c r="Q359" i="82"/>
  <c r="P359" i="82"/>
  <c r="O359" i="82"/>
  <c r="L359" i="82"/>
  <c r="K359" i="82"/>
  <c r="J359" i="82"/>
  <c r="G359" i="82"/>
  <c r="C359" i="82"/>
  <c r="A359" i="82"/>
  <c r="R358" i="82"/>
  <c r="Q358" i="82"/>
  <c r="P358" i="82"/>
  <c r="O358" i="82"/>
  <c r="L358" i="82"/>
  <c r="K358" i="82"/>
  <c r="J358" i="82"/>
  <c r="G358" i="82"/>
  <c r="C358" i="82"/>
  <c r="A358" i="82"/>
  <c r="R357" i="82"/>
  <c r="Q357" i="82"/>
  <c r="P357" i="82"/>
  <c r="O357" i="82"/>
  <c r="L357" i="82"/>
  <c r="K357" i="82"/>
  <c r="J357" i="82"/>
  <c r="G357" i="82"/>
  <c r="C357" i="82"/>
  <c r="A357" i="82"/>
  <c r="R356" i="82"/>
  <c r="Q356" i="82"/>
  <c r="P356" i="82"/>
  <c r="O356" i="82"/>
  <c r="L356" i="82"/>
  <c r="K356" i="82"/>
  <c r="J356" i="82"/>
  <c r="G356" i="82"/>
  <c r="C356" i="82"/>
  <c r="A356" i="82"/>
  <c r="R355" i="82"/>
  <c r="Q355" i="82"/>
  <c r="P355" i="82"/>
  <c r="O355" i="82"/>
  <c r="L355" i="82"/>
  <c r="K355" i="82"/>
  <c r="J355" i="82"/>
  <c r="G355" i="82"/>
  <c r="C355" i="82"/>
  <c r="A355" i="82"/>
  <c r="R354" i="82"/>
  <c r="Q354" i="82"/>
  <c r="P354" i="82"/>
  <c r="O354" i="82"/>
  <c r="L354" i="82"/>
  <c r="K354" i="82"/>
  <c r="J354" i="82"/>
  <c r="G354" i="82"/>
  <c r="C354" i="82"/>
  <c r="A354" i="82"/>
  <c r="R353" i="82"/>
  <c r="Q353" i="82"/>
  <c r="P353" i="82"/>
  <c r="O353" i="82"/>
  <c r="L353" i="82"/>
  <c r="K353" i="82"/>
  <c r="J353" i="82"/>
  <c r="G353" i="82"/>
  <c r="C353" i="82"/>
  <c r="A353" i="82"/>
  <c r="R352" i="82"/>
  <c r="Q352" i="82"/>
  <c r="P352" i="82"/>
  <c r="O352" i="82"/>
  <c r="L352" i="82"/>
  <c r="K352" i="82"/>
  <c r="J352" i="82"/>
  <c r="G352" i="82"/>
  <c r="C352" i="82"/>
  <c r="A352" i="82"/>
  <c r="R351" i="82"/>
  <c r="Q351" i="82"/>
  <c r="P351" i="82"/>
  <c r="O351" i="82"/>
  <c r="L351" i="82"/>
  <c r="K351" i="82"/>
  <c r="J351" i="82"/>
  <c r="G351" i="82"/>
  <c r="C351" i="82"/>
  <c r="A351" i="82"/>
  <c r="R350" i="82"/>
  <c r="Q350" i="82"/>
  <c r="P350" i="82"/>
  <c r="O350" i="82"/>
  <c r="L350" i="82"/>
  <c r="K350" i="82"/>
  <c r="J350" i="82"/>
  <c r="G350" i="82"/>
  <c r="C350" i="82"/>
  <c r="A350" i="82"/>
  <c r="R349" i="82"/>
  <c r="Q349" i="82"/>
  <c r="P349" i="82"/>
  <c r="O349" i="82"/>
  <c r="L349" i="82"/>
  <c r="K349" i="82"/>
  <c r="J349" i="82"/>
  <c r="G349" i="82"/>
  <c r="C349" i="82"/>
  <c r="A349" i="82"/>
  <c r="R348" i="82"/>
  <c r="Q348" i="82"/>
  <c r="P348" i="82"/>
  <c r="O348" i="82"/>
  <c r="L348" i="82"/>
  <c r="K348" i="82"/>
  <c r="J348" i="82"/>
  <c r="G348" i="82"/>
  <c r="C348" i="82"/>
  <c r="A348" i="82"/>
  <c r="R347" i="82"/>
  <c r="Q347" i="82"/>
  <c r="P347" i="82"/>
  <c r="O347" i="82"/>
  <c r="L347" i="82"/>
  <c r="K347" i="82"/>
  <c r="J347" i="82"/>
  <c r="G347" i="82"/>
  <c r="C347" i="82"/>
  <c r="A347" i="82"/>
  <c r="R346" i="82"/>
  <c r="Q346" i="82"/>
  <c r="P346" i="82"/>
  <c r="O346" i="82"/>
  <c r="L346" i="82"/>
  <c r="K346" i="82"/>
  <c r="J346" i="82"/>
  <c r="G346" i="82"/>
  <c r="C346" i="82"/>
  <c r="A346" i="82"/>
  <c r="R345" i="82"/>
  <c r="Q345" i="82"/>
  <c r="P345" i="82"/>
  <c r="O345" i="82"/>
  <c r="L345" i="82"/>
  <c r="K345" i="82"/>
  <c r="J345" i="82"/>
  <c r="G345" i="82"/>
  <c r="C345" i="82"/>
  <c r="A345" i="82"/>
  <c r="R344" i="82"/>
  <c r="Q344" i="82"/>
  <c r="P344" i="82"/>
  <c r="O344" i="82"/>
  <c r="L344" i="82"/>
  <c r="K344" i="82"/>
  <c r="J344" i="82"/>
  <c r="G344" i="82"/>
  <c r="C344" i="82"/>
  <c r="A344" i="82"/>
  <c r="R343" i="82"/>
  <c r="Q343" i="82"/>
  <c r="P343" i="82"/>
  <c r="O343" i="82"/>
  <c r="L343" i="82"/>
  <c r="K343" i="82"/>
  <c r="J343" i="82"/>
  <c r="G343" i="82"/>
  <c r="C343" i="82"/>
  <c r="A343" i="82"/>
  <c r="R342" i="82"/>
  <c r="Q342" i="82"/>
  <c r="P342" i="82"/>
  <c r="O342" i="82"/>
  <c r="L342" i="82"/>
  <c r="K342" i="82"/>
  <c r="J342" i="82"/>
  <c r="G342" i="82"/>
  <c r="C342" i="82"/>
  <c r="A342" i="82"/>
  <c r="R341" i="82"/>
  <c r="Q341" i="82"/>
  <c r="P341" i="82"/>
  <c r="O341" i="82"/>
  <c r="L341" i="82"/>
  <c r="K341" i="82"/>
  <c r="J341" i="82"/>
  <c r="G341" i="82"/>
  <c r="C341" i="82"/>
  <c r="A341" i="82"/>
  <c r="R340" i="82"/>
  <c r="Q340" i="82"/>
  <c r="P340" i="82"/>
  <c r="O340" i="82"/>
  <c r="L340" i="82"/>
  <c r="K340" i="82"/>
  <c r="J340" i="82"/>
  <c r="G340" i="82"/>
  <c r="C340" i="82"/>
  <c r="A340" i="82"/>
  <c r="R339" i="82"/>
  <c r="Q339" i="82"/>
  <c r="P339" i="82"/>
  <c r="O339" i="82"/>
  <c r="L339" i="82"/>
  <c r="K339" i="82"/>
  <c r="J339" i="82"/>
  <c r="G339" i="82"/>
  <c r="C339" i="82"/>
  <c r="A339" i="82"/>
  <c r="R338" i="82"/>
  <c r="Q338" i="82"/>
  <c r="P338" i="82"/>
  <c r="O338" i="82"/>
  <c r="L338" i="82"/>
  <c r="K338" i="82"/>
  <c r="J338" i="82"/>
  <c r="G338" i="82"/>
  <c r="C338" i="82"/>
  <c r="A338" i="82"/>
  <c r="R337" i="82"/>
  <c r="Q337" i="82"/>
  <c r="P337" i="82"/>
  <c r="O337" i="82"/>
  <c r="L337" i="82"/>
  <c r="K337" i="82"/>
  <c r="J337" i="82"/>
  <c r="G337" i="82"/>
  <c r="C337" i="82"/>
  <c r="A337" i="82"/>
  <c r="R336" i="82"/>
  <c r="Q336" i="82"/>
  <c r="P336" i="82"/>
  <c r="O336" i="82"/>
  <c r="L336" i="82"/>
  <c r="K336" i="82"/>
  <c r="J336" i="82"/>
  <c r="G336" i="82"/>
  <c r="C336" i="82"/>
  <c r="A336" i="82"/>
  <c r="R335" i="82"/>
  <c r="Q335" i="82"/>
  <c r="P335" i="82"/>
  <c r="O335" i="82"/>
  <c r="L335" i="82"/>
  <c r="K335" i="82"/>
  <c r="J335" i="82"/>
  <c r="G335" i="82"/>
  <c r="C335" i="82"/>
  <c r="A335" i="82"/>
  <c r="R334" i="82"/>
  <c r="Q334" i="82"/>
  <c r="P334" i="82"/>
  <c r="O334" i="82"/>
  <c r="L334" i="82"/>
  <c r="K334" i="82"/>
  <c r="J334" i="82"/>
  <c r="G334" i="82"/>
  <c r="C334" i="82"/>
  <c r="A334" i="82"/>
  <c r="R333" i="82"/>
  <c r="Q333" i="82"/>
  <c r="P333" i="82"/>
  <c r="O333" i="82"/>
  <c r="L333" i="82"/>
  <c r="K333" i="82"/>
  <c r="J333" i="82"/>
  <c r="G333" i="82"/>
  <c r="C333" i="82"/>
  <c r="A333" i="82"/>
  <c r="R332" i="82"/>
  <c r="Q332" i="82"/>
  <c r="P332" i="82"/>
  <c r="O332" i="82"/>
  <c r="L332" i="82"/>
  <c r="K332" i="82"/>
  <c r="J332" i="82"/>
  <c r="G332" i="82"/>
  <c r="C332" i="82"/>
  <c r="A332" i="82"/>
  <c r="R331" i="82"/>
  <c r="Q331" i="82"/>
  <c r="P331" i="82"/>
  <c r="O331" i="82"/>
  <c r="L331" i="82"/>
  <c r="K331" i="82"/>
  <c r="J331" i="82"/>
  <c r="G331" i="82"/>
  <c r="C331" i="82"/>
  <c r="A331" i="82"/>
  <c r="R330" i="82"/>
  <c r="Q330" i="82"/>
  <c r="P330" i="82"/>
  <c r="O330" i="82"/>
  <c r="L330" i="82"/>
  <c r="K330" i="82"/>
  <c r="J330" i="82"/>
  <c r="G330" i="82"/>
  <c r="C330" i="82"/>
  <c r="A330" i="82"/>
  <c r="R329" i="82"/>
  <c r="Q329" i="82"/>
  <c r="P329" i="82"/>
  <c r="O329" i="82"/>
  <c r="L329" i="82"/>
  <c r="K329" i="82"/>
  <c r="J329" i="82"/>
  <c r="G329" i="82"/>
  <c r="C329" i="82"/>
  <c r="A329" i="82"/>
  <c r="R328" i="82"/>
  <c r="Q328" i="82"/>
  <c r="P328" i="82"/>
  <c r="O328" i="82"/>
  <c r="L328" i="82"/>
  <c r="K328" i="82"/>
  <c r="J328" i="82"/>
  <c r="G328" i="82"/>
  <c r="C328" i="82"/>
  <c r="A328" i="82"/>
  <c r="R327" i="82"/>
  <c r="Q327" i="82"/>
  <c r="P327" i="82"/>
  <c r="O327" i="82"/>
  <c r="L327" i="82"/>
  <c r="K327" i="82"/>
  <c r="J327" i="82"/>
  <c r="G327" i="82"/>
  <c r="C327" i="82"/>
  <c r="A327" i="82"/>
  <c r="R326" i="82"/>
  <c r="Q326" i="82"/>
  <c r="P326" i="82"/>
  <c r="O326" i="82"/>
  <c r="L326" i="82"/>
  <c r="K326" i="82"/>
  <c r="J326" i="82"/>
  <c r="G326" i="82"/>
  <c r="C326" i="82"/>
  <c r="A326" i="82"/>
  <c r="R325" i="82"/>
  <c r="Q325" i="82"/>
  <c r="P325" i="82"/>
  <c r="O325" i="82"/>
  <c r="L325" i="82"/>
  <c r="K325" i="82"/>
  <c r="J325" i="82"/>
  <c r="G325" i="82"/>
  <c r="C325" i="82"/>
  <c r="A325" i="82"/>
  <c r="R324" i="82"/>
  <c r="Q324" i="82"/>
  <c r="P324" i="82"/>
  <c r="O324" i="82"/>
  <c r="L324" i="82"/>
  <c r="K324" i="82"/>
  <c r="J324" i="82"/>
  <c r="G324" i="82"/>
  <c r="C324" i="82"/>
  <c r="A324" i="82"/>
  <c r="R323" i="82"/>
  <c r="Q323" i="82"/>
  <c r="P323" i="82"/>
  <c r="O323" i="82"/>
  <c r="L323" i="82"/>
  <c r="K323" i="82"/>
  <c r="J323" i="82"/>
  <c r="G323" i="82"/>
  <c r="C323" i="82"/>
  <c r="A323" i="82"/>
  <c r="R322" i="82"/>
  <c r="Q322" i="82"/>
  <c r="P322" i="82"/>
  <c r="O322" i="82"/>
  <c r="L322" i="82"/>
  <c r="K322" i="82"/>
  <c r="J322" i="82"/>
  <c r="G322" i="82"/>
  <c r="C322" i="82"/>
  <c r="A322" i="82"/>
  <c r="R321" i="82"/>
  <c r="Q321" i="82"/>
  <c r="P321" i="82"/>
  <c r="O321" i="82"/>
  <c r="L321" i="82"/>
  <c r="K321" i="82"/>
  <c r="J321" i="82"/>
  <c r="G321" i="82"/>
  <c r="C321" i="82"/>
  <c r="A321" i="82"/>
  <c r="R320" i="82"/>
  <c r="Q320" i="82"/>
  <c r="P320" i="82"/>
  <c r="O320" i="82"/>
  <c r="L320" i="82"/>
  <c r="K320" i="82"/>
  <c r="J320" i="82"/>
  <c r="G320" i="82"/>
  <c r="C320" i="82"/>
  <c r="A320" i="82"/>
  <c r="R319" i="82"/>
  <c r="Q319" i="82"/>
  <c r="P319" i="82"/>
  <c r="O319" i="82"/>
  <c r="L319" i="82"/>
  <c r="K319" i="82"/>
  <c r="J319" i="82"/>
  <c r="G319" i="82"/>
  <c r="C319" i="82"/>
  <c r="A319" i="82"/>
  <c r="R318" i="82"/>
  <c r="Q318" i="82"/>
  <c r="P318" i="82"/>
  <c r="O318" i="82"/>
  <c r="L318" i="82"/>
  <c r="K318" i="82"/>
  <c r="J318" i="82"/>
  <c r="G318" i="82"/>
  <c r="C318" i="82"/>
  <c r="A318" i="82"/>
  <c r="R317" i="82"/>
  <c r="Q317" i="82"/>
  <c r="P317" i="82"/>
  <c r="O317" i="82"/>
  <c r="L317" i="82"/>
  <c r="K317" i="82"/>
  <c r="J317" i="82"/>
  <c r="G317" i="82"/>
  <c r="C317" i="82"/>
  <c r="A317" i="82"/>
  <c r="R316" i="82"/>
  <c r="Q316" i="82"/>
  <c r="P316" i="82"/>
  <c r="O316" i="82"/>
  <c r="L316" i="82"/>
  <c r="K316" i="82"/>
  <c r="J316" i="82"/>
  <c r="G316" i="82"/>
  <c r="C316" i="82"/>
  <c r="A316" i="82"/>
  <c r="R315" i="82"/>
  <c r="Q315" i="82"/>
  <c r="P315" i="82"/>
  <c r="O315" i="82"/>
  <c r="L315" i="82"/>
  <c r="K315" i="82"/>
  <c r="J315" i="82"/>
  <c r="G315" i="82"/>
  <c r="C315" i="82"/>
  <c r="A315" i="82"/>
  <c r="R314" i="82"/>
  <c r="Q314" i="82"/>
  <c r="P314" i="82"/>
  <c r="O314" i="82"/>
  <c r="L314" i="82"/>
  <c r="K314" i="82"/>
  <c r="J314" i="82"/>
  <c r="G314" i="82"/>
  <c r="C314" i="82"/>
  <c r="A314" i="82"/>
  <c r="R313" i="82"/>
  <c r="Q313" i="82"/>
  <c r="P313" i="82"/>
  <c r="O313" i="82"/>
  <c r="L313" i="82"/>
  <c r="K313" i="82"/>
  <c r="J313" i="82"/>
  <c r="G313" i="82"/>
  <c r="C313" i="82"/>
  <c r="A313" i="82"/>
  <c r="R312" i="82"/>
  <c r="Q312" i="82"/>
  <c r="P312" i="82"/>
  <c r="O312" i="82"/>
  <c r="L312" i="82"/>
  <c r="K312" i="82"/>
  <c r="J312" i="82"/>
  <c r="G312" i="82"/>
  <c r="C312" i="82"/>
  <c r="A312" i="82"/>
  <c r="R311" i="82"/>
  <c r="Q311" i="82"/>
  <c r="P311" i="82"/>
  <c r="O311" i="82"/>
  <c r="L311" i="82"/>
  <c r="K311" i="82"/>
  <c r="J311" i="82"/>
  <c r="G311" i="82"/>
  <c r="C311" i="82"/>
  <c r="A311" i="82"/>
  <c r="R310" i="82"/>
  <c r="Q310" i="82"/>
  <c r="P310" i="82"/>
  <c r="O310" i="82"/>
  <c r="L310" i="82"/>
  <c r="K310" i="82"/>
  <c r="J310" i="82"/>
  <c r="G310" i="82"/>
  <c r="C310" i="82"/>
  <c r="A310" i="82"/>
  <c r="R309" i="82"/>
  <c r="Q309" i="82"/>
  <c r="P309" i="82"/>
  <c r="O309" i="82"/>
  <c r="L309" i="82"/>
  <c r="K309" i="82"/>
  <c r="J309" i="82"/>
  <c r="G309" i="82"/>
  <c r="C309" i="82"/>
  <c r="A309" i="82"/>
  <c r="R308" i="82"/>
  <c r="Q308" i="82"/>
  <c r="P308" i="82"/>
  <c r="O308" i="82"/>
  <c r="L308" i="82"/>
  <c r="K308" i="82"/>
  <c r="J308" i="82"/>
  <c r="G308" i="82"/>
  <c r="C308" i="82"/>
  <c r="A308" i="82"/>
  <c r="R307" i="82"/>
  <c r="Q307" i="82"/>
  <c r="P307" i="82"/>
  <c r="O307" i="82"/>
  <c r="L307" i="82"/>
  <c r="K307" i="82"/>
  <c r="J307" i="82"/>
  <c r="G307" i="82"/>
  <c r="C307" i="82"/>
  <c r="A307" i="82"/>
  <c r="R306" i="82"/>
  <c r="Q306" i="82"/>
  <c r="P306" i="82"/>
  <c r="O306" i="82"/>
  <c r="L306" i="82"/>
  <c r="K306" i="82"/>
  <c r="J306" i="82"/>
  <c r="G306" i="82"/>
  <c r="C306" i="82"/>
  <c r="A306" i="82"/>
  <c r="R305" i="82"/>
  <c r="Q305" i="82"/>
  <c r="P305" i="82"/>
  <c r="O305" i="82"/>
  <c r="L305" i="82"/>
  <c r="K305" i="82"/>
  <c r="J305" i="82"/>
  <c r="G305" i="82"/>
  <c r="C305" i="82"/>
  <c r="A305" i="82"/>
  <c r="R304" i="82"/>
  <c r="Q304" i="82"/>
  <c r="P304" i="82"/>
  <c r="O304" i="82"/>
  <c r="L304" i="82"/>
  <c r="K304" i="82"/>
  <c r="J304" i="82"/>
  <c r="G304" i="82"/>
  <c r="C304" i="82"/>
  <c r="A304" i="82"/>
  <c r="R303" i="82"/>
  <c r="Q303" i="82"/>
  <c r="P303" i="82"/>
  <c r="O303" i="82"/>
  <c r="L303" i="82"/>
  <c r="K303" i="82"/>
  <c r="J303" i="82"/>
  <c r="G303" i="82"/>
  <c r="C303" i="82"/>
  <c r="A303" i="82"/>
  <c r="R302" i="82"/>
  <c r="Q302" i="82"/>
  <c r="P302" i="82"/>
  <c r="O302" i="82"/>
  <c r="L302" i="82"/>
  <c r="K302" i="82"/>
  <c r="J302" i="82"/>
  <c r="G302" i="82"/>
  <c r="C302" i="82"/>
  <c r="A302" i="82"/>
  <c r="R301" i="82"/>
  <c r="Q301" i="82"/>
  <c r="P301" i="82"/>
  <c r="O301" i="82"/>
  <c r="L301" i="82"/>
  <c r="K301" i="82"/>
  <c r="J301" i="82"/>
  <c r="G301" i="82"/>
  <c r="C301" i="82"/>
  <c r="A301" i="82"/>
  <c r="R300" i="82"/>
  <c r="Q300" i="82"/>
  <c r="P300" i="82"/>
  <c r="O300" i="82"/>
  <c r="L300" i="82"/>
  <c r="K300" i="82"/>
  <c r="J300" i="82"/>
  <c r="G300" i="82"/>
  <c r="C300" i="82"/>
  <c r="A300" i="82"/>
  <c r="R299" i="82"/>
  <c r="Q299" i="82"/>
  <c r="P299" i="82"/>
  <c r="O299" i="82"/>
  <c r="L299" i="82"/>
  <c r="K299" i="82"/>
  <c r="J299" i="82"/>
  <c r="G299" i="82"/>
  <c r="C299" i="82"/>
  <c r="A299" i="82"/>
  <c r="R298" i="82"/>
  <c r="Q298" i="82"/>
  <c r="P298" i="82"/>
  <c r="O298" i="82"/>
  <c r="L298" i="82"/>
  <c r="K298" i="82"/>
  <c r="J298" i="82"/>
  <c r="G298" i="82"/>
  <c r="C298" i="82"/>
  <c r="A298" i="82"/>
  <c r="R297" i="82"/>
  <c r="Q297" i="82"/>
  <c r="P297" i="82"/>
  <c r="O297" i="82"/>
  <c r="L297" i="82"/>
  <c r="K297" i="82"/>
  <c r="J297" i="82"/>
  <c r="G297" i="82"/>
  <c r="C297" i="82"/>
  <c r="A297" i="82"/>
  <c r="R296" i="82"/>
  <c r="Q296" i="82"/>
  <c r="P296" i="82"/>
  <c r="O296" i="82"/>
  <c r="L296" i="82"/>
  <c r="K296" i="82"/>
  <c r="J296" i="82"/>
  <c r="G296" i="82"/>
  <c r="C296" i="82"/>
  <c r="A296" i="82"/>
  <c r="R295" i="82"/>
  <c r="Q295" i="82"/>
  <c r="P295" i="82"/>
  <c r="O295" i="82"/>
  <c r="L295" i="82"/>
  <c r="K295" i="82"/>
  <c r="J295" i="82"/>
  <c r="G295" i="82"/>
  <c r="C295" i="82"/>
  <c r="A295" i="82"/>
  <c r="R294" i="82"/>
  <c r="Q294" i="82"/>
  <c r="P294" i="82"/>
  <c r="O294" i="82"/>
  <c r="L294" i="82"/>
  <c r="K294" i="82"/>
  <c r="J294" i="82"/>
  <c r="G294" i="82"/>
  <c r="C294" i="82"/>
  <c r="A294" i="82"/>
  <c r="R293" i="82"/>
  <c r="Q293" i="82"/>
  <c r="P293" i="82"/>
  <c r="O293" i="82"/>
  <c r="L293" i="82"/>
  <c r="K293" i="82"/>
  <c r="J293" i="82"/>
  <c r="G293" i="82"/>
  <c r="C293" i="82"/>
  <c r="A293" i="82"/>
  <c r="R292" i="82"/>
  <c r="Q292" i="82"/>
  <c r="P292" i="82"/>
  <c r="O292" i="82"/>
  <c r="L292" i="82"/>
  <c r="K292" i="82"/>
  <c r="J292" i="82"/>
  <c r="G292" i="82"/>
  <c r="C292" i="82"/>
  <c r="A292" i="82"/>
  <c r="R291" i="82"/>
  <c r="Q291" i="82"/>
  <c r="P291" i="82"/>
  <c r="O291" i="82"/>
  <c r="L291" i="82"/>
  <c r="K291" i="82"/>
  <c r="J291" i="82"/>
  <c r="G291" i="82"/>
  <c r="C291" i="82"/>
  <c r="A291" i="82"/>
  <c r="R290" i="82"/>
  <c r="Q290" i="82"/>
  <c r="P290" i="82"/>
  <c r="O290" i="82"/>
  <c r="L290" i="82"/>
  <c r="K290" i="82"/>
  <c r="J290" i="82"/>
  <c r="G290" i="82"/>
  <c r="C290" i="82"/>
  <c r="A290" i="82"/>
  <c r="R289" i="82"/>
  <c r="Q289" i="82"/>
  <c r="P289" i="82"/>
  <c r="O289" i="82"/>
  <c r="L289" i="82"/>
  <c r="K289" i="82"/>
  <c r="J289" i="82"/>
  <c r="G289" i="82"/>
  <c r="C289" i="82"/>
  <c r="A289" i="82"/>
  <c r="R288" i="82"/>
  <c r="Q288" i="82"/>
  <c r="P288" i="82"/>
  <c r="O288" i="82"/>
  <c r="L288" i="82"/>
  <c r="K288" i="82"/>
  <c r="J288" i="82"/>
  <c r="G288" i="82"/>
  <c r="C288" i="82"/>
  <c r="A288" i="82"/>
  <c r="R287" i="82"/>
  <c r="Q287" i="82"/>
  <c r="P287" i="82"/>
  <c r="O287" i="82"/>
  <c r="L287" i="82"/>
  <c r="K287" i="82"/>
  <c r="J287" i="82"/>
  <c r="G287" i="82"/>
  <c r="C287" i="82"/>
  <c r="A287" i="82"/>
  <c r="R286" i="82"/>
  <c r="Q286" i="82"/>
  <c r="P286" i="82"/>
  <c r="O286" i="82"/>
  <c r="L286" i="82"/>
  <c r="K286" i="82"/>
  <c r="J286" i="82"/>
  <c r="G286" i="82"/>
  <c r="C286" i="82"/>
  <c r="A286" i="82"/>
  <c r="R285" i="82"/>
  <c r="Q285" i="82"/>
  <c r="P285" i="82"/>
  <c r="O285" i="82"/>
  <c r="L285" i="82"/>
  <c r="K285" i="82"/>
  <c r="J285" i="82"/>
  <c r="G285" i="82"/>
  <c r="C285" i="82"/>
  <c r="A285" i="82"/>
  <c r="R284" i="82"/>
  <c r="Q284" i="82"/>
  <c r="P284" i="82"/>
  <c r="O284" i="82"/>
  <c r="L284" i="82"/>
  <c r="K284" i="82"/>
  <c r="J284" i="82"/>
  <c r="G284" i="82"/>
  <c r="C284" i="82"/>
  <c r="A284" i="82"/>
  <c r="R283" i="82"/>
  <c r="Q283" i="82"/>
  <c r="P283" i="82"/>
  <c r="O283" i="82"/>
  <c r="L283" i="82"/>
  <c r="K283" i="82"/>
  <c r="J283" i="82"/>
  <c r="G283" i="82"/>
  <c r="C283" i="82"/>
  <c r="A283" i="82"/>
  <c r="R282" i="82"/>
  <c r="Q282" i="82"/>
  <c r="P282" i="82"/>
  <c r="O282" i="82"/>
  <c r="L282" i="82"/>
  <c r="K282" i="82"/>
  <c r="J282" i="82"/>
  <c r="G282" i="82"/>
  <c r="C282" i="82"/>
  <c r="A282" i="82"/>
  <c r="R281" i="82"/>
  <c r="Q281" i="82"/>
  <c r="P281" i="82"/>
  <c r="O281" i="82"/>
  <c r="L281" i="82"/>
  <c r="K281" i="82"/>
  <c r="J281" i="82"/>
  <c r="G281" i="82"/>
  <c r="C281" i="82"/>
  <c r="A281" i="82"/>
  <c r="R280" i="82"/>
  <c r="Q280" i="82"/>
  <c r="P280" i="82"/>
  <c r="O280" i="82"/>
  <c r="L280" i="82"/>
  <c r="K280" i="82"/>
  <c r="J280" i="82"/>
  <c r="G280" i="82"/>
  <c r="C280" i="82"/>
  <c r="A280" i="82"/>
  <c r="R279" i="82"/>
  <c r="Q279" i="82"/>
  <c r="P279" i="82"/>
  <c r="O279" i="82"/>
  <c r="L279" i="82"/>
  <c r="K279" i="82"/>
  <c r="J279" i="82"/>
  <c r="G279" i="82"/>
  <c r="C279" i="82"/>
  <c r="A279" i="82"/>
  <c r="R278" i="82"/>
  <c r="Q278" i="82"/>
  <c r="P278" i="82"/>
  <c r="O278" i="82"/>
  <c r="L278" i="82"/>
  <c r="K278" i="82"/>
  <c r="J278" i="82"/>
  <c r="G278" i="82"/>
  <c r="C278" i="82"/>
  <c r="A278" i="82"/>
  <c r="R277" i="82"/>
  <c r="Q277" i="82"/>
  <c r="P277" i="82"/>
  <c r="O277" i="82"/>
  <c r="L277" i="82"/>
  <c r="K277" i="82"/>
  <c r="J277" i="82"/>
  <c r="G277" i="82"/>
  <c r="C277" i="82"/>
  <c r="A277" i="82"/>
  <c r="R276" i="82"/>
  <c r="Q276" i="82"/>
  <c r="P276" i="82"/>
  <c r="O276" i="82"/>
  <c r="L276" i="82"/>
  <c r="K276" i="82"/>
  <c r="J276" i="82"/>
  <c r="G276" i="82"/>
  <c r="C276" i="82"/>
  <c r="A276" i="82"/>
  <c r="R275" i="82"/>
  <c r="Q275" i="82"/>
  <c r="P275" i="82"/>
  <c r="O275" i="82"/>
  <c r="L275" i="82"/>
  <c r="K275" i="82"/>
  <c r="J275" i="82"/>
  <c r="G275" i="82"/>
  <c r="C275" i="82"/>
  <c r="A275" i="82"/>
  <c r="R274" i="82"/>
  <c r="Q274" i="82"/>
  <c r="P274" i="82"/>
  <c r="O274" i="82"/>
  <c r="L274" i="82"/>
  <c r="K274" i="82"/>
  <c r="J274" i="82"/>
  <c r="G274" i="82"/>
  <c r="C274" i="82"/>
  <c r="A274" i="82"/>
  <c r="R273" i="82"/>
  <c r="Q273" i="82"/>
  <c r="P273" i="82"/>
  <c r="O273" i="82"/>
  <c r="L273" i="82"/>
  <c r="K273" i="82"/>
  <c r="J273" i="82"/>
  <c r="G273" i="82"/>
  <c r="C273" i="82"/>
  <c r="A273" i="82"/>
  <c r="R272" i="82"/>
  <c r="Q272" i="82"/>
  <c r="P272" i="82"/>
  <c r="O272" i="82"/>
  <c r="L272" i="82"/>
  <c r="K272" i="82"/>
  <c r="J272" i="82"/>
  <c r="G272" i="82"/>
  <c r="C272" i="82"/>
  <c r="A272" i="82"/>
  <c r="R271" i="82"/>
  <c r="Q271" i="82"/>
  <c r="P271" i="82"/>
  <c r="O271" i="82"/>
  <c r="L271" i="82"/>
  <c r="K271" i="82"/>
  <c r="J271" i="82"/>
  <c r="G271" i="82"/>
  <c r="C271" i="82"/>
  <c r="A271" i="82"/>
  <c r="R270" i="82"/>
  <c r="Q270" i="82"/>
  <c r="P270" i="82"/>
  <c r="O270" i="82"/>
  <c r="L270" i="82"/>
  <c r="K270" i="82"/>
  <c r="J270" i="82"/>
  <c r="G270" i="82"/>
  <c r="C270" i="82"/>
  <c r="A270" i="82"/>
  <c r="R269" i="82"/>
  <c r="Q269" i="82"/>
  <c r="P269" i="82"/>
  <c r="O269" i="82"/>
  <c r="L269" i="82"/>
  <c r="K269" i="82"/>
  <c r="J269" i="82"/>
  <c r="G269" i="82"/>
  <c r="C269" i="82"/>
  <c r="A269" i="82"/>
  <c r="R268" i="82"/>
  <c r="Q268" i="82"/>
  <c r="P268" i="82"/>
  <c r="O268" i="82"/>
  <c r="L268" i="82"/>
  <c r="K268" i="82"/>
  <c r="J268" i="82"/>
  <c r="G268" i="82"/>
  <c r="C268" i="82"/>
  <c r="A268" i="82"/>
  <c r="R267" i="82"/>
  <c r="Q267" i="82"/>
  <c r="P267" i="82"/>
  <c r="O267" i="82"/>
  <c r="L267" i="82"/>
  <c r="K267" i="82"/>
  <c r="J267" i="82"/>
  <c r="G267" i="82"/>
  <c r="C267" i="82"/>
  <c r="A267" i="82"/>
  <c r="R266" i="82"/>
  <c r="Q266" i="82"/>
  <c r="P266" i="82"/>
  <c r="O266" i="82"/>
  <c r="L266" i="82"/>
  <c r="K266" i="82"/>
  <c r="J266" i="82"/>
  <c r="G266" i="82"/>
  <c r="C266" i="82"/>
  <c r="A266" i="82"/>
  <c r="R265" i="82"/>
  <c r="Q265" i="82"/>
  <c r="P265" i="82"/>
  <c r="O265" i="82"/>
  <c r="L265" i="82"/>
  <c r="K265" i="82"/>
  <c r="J265" i="82"/>
  <c r="G265" i="82"/>
  <c r="C265" i="82"/>
  <c r="A265" i="82"/>
  <c r="R264" i="82"/>
  <c r="Q264" i="82"/>
  <c r="P264" i="82"/>
  <c r="O264" i="82"/>
  <c r="L264" i="82"/>
  <c r="K264" i="82"/>
  <c r="J264" i="82"/>
  <c r="G264" i="82"/>
  <c r="C264" i="82"/>
  <c r="A264" i="82"/>
  <c r="R263" i="82"/>
  <c r="Q263" i="82"/>
  <c r="P263" i="82"/>
  <c r="O263" i="82"/>
  <c r="L263" i="82"/>
  <c r="K263" i="82"/>
  <c r="J263" i="82"/>
  <c r="G263" i="82"/>
  <c r="C263" i="82"/>
  <c r="A263" i="82"/>
  <c r="R262" i="82"/>
  <c r="Q262" i="82"/>
  <c r="P262" i="82"/>
  <c r="O262" i="82"/>
  <c r="L262" i="82"/>
  <c r="K262" i="82"/>
  <c r="J262" i="82"/>
  <c r="G262" i="82"/>
  <c r="C262" i="82"/>
  <c r="A262" i="82"/>
  <c r="R261" i="82"/>
  <c r="Q261" i="82"/>
  <c r="P261" i="82"/>
  <c r="O261" i="82"/>
  <c r="L261" i="82"/>
  <c r="K261" i="82"/>
  <c r="J261" i="82"/>
  <c r="G261" i="82"/>
  <c r="C261" i="82"/>
  <c r="A261" i="82"/>
  <c r="R260" i="82"/>
  <c r="Q260" i="82"/>
  <c r="P260" i="82"/>
  <c r="O260" i="82"/>
  <c r="L260" i="82"/>
  <c r="K260" i="82"/>
  <c r="J260" i="82"/>
  <c r="G260" i="82"/>
  <c r="C260" i="82"/>
  <c r="A260" i="82"/>
  <c r="R259" i="82"/>
  <c r="Q259" i="82"/>
  <c r="P259" i="82"/>
  <c r="O259" i="82"/>
  <c r="L259" i="82"/>
  <c r="K259" i="82"/>
  <c r="J259" i="82"/>
  <c r="G259" i="82"/>
  <c r="C259" i="82"/>
  <c r="A259" i="82"/>
  <c r="R258" i="82"/>
  <c r="Q258" i="82"/>
  <c r="P258" i="82"/>
  <c r="O258" i="82"/>
  <c r="L258" i="82"/>
  <c r="K258" i="82"/>
  <c r="J258" i="82"/>
  <c r="G258" i="82"/>
  <c r="C258" i="82"/>
  <c r="A258" i="82"/>
  <c r="R257" i="82"/>
  <c r="Q257" i="82"/>
  <c r="P257" i="82"/>
  <c r="O257" i="82"/>
  <c r="L257" i="82"/>
  <c r="K257" i="82"/>
  <c r="J257" i="82"/>
  <c r="G257" i="82"/>
  <c r="C257" i="82"/>
  <c r="A257" i="82"/>
  <c r="R256" i="82"/>
  <c r="Q256" i="82"/>
  <c r="P256" i="82"/>
  <c r="O256" i="82"/>
  <c r="L256" i="82"/>
  <c r="K256" i="82"/>
  <c r="J256" i="82"/>
  <c r="G256" i="82"/>
  <c r="C256" i="82"/>
  <c r="A256" i="82"/>
  <c r="R255" i="82"/>
  <c r="Q255" i="82"/>
  <c r="P255" i="82"/>
  <c r="O255" i="82"/>
  <c r="L255" i="82"/>
  <c r="K255" i="82"/>
  <c r="J255" i="82"/>
  <c r="G255" i="82"/>
  <c r="C255" i="82"/>
  <c r="A255" i="82"/>
  <c r="R254" i="82"/>
  <c r="Q254" i="82"/>
  <c r="P254" i="82"/>
  <c r="O254" i="82"/>
  <c r="L254" i="82"/>
  <c r="K254" i="82"/>
  <c r="J254" i="82"/>
  <c r="G254" i="82"/>
  <c r="C254" i="82"/>
  <c r="A254" i="82"/>
  <c r="R253" i="82"/>
  <c r="Q253" i="82"/>
  <c r="P253" i="82"/>
  <c r="O253" i="82"/>
  <c r="L253" i="82"/>
  <c r="K253" i="82"/>
  <c r="J253" i="82"/>
  <c r="G253" i="82"/>
  <c r="C253" i="82"/>
  <c r="A253" i="82"/>
  <c r="R252" i="82"/>
  <c r="Q252" i="82"/>
  <c r="P252" i="82"/>
  <c r="O252" i="82"/>
  <c r="L252" i="82"/>
  <c r="K252" i="82"/>
  <c r="J252" i="82"/>
  <c r="G252" i="82"/>
  <c r="C252" i="82"/>
  <c r="A252" i="82"/>
  <c r="R251" i="82"/>
  <c r="Q251" i="82"/>
  <c r="P251" i="82"/>
  <c r="O251" i="82"/>
  <c r="L251" i="82"/>
  <c r="K251" i="82"/>
  <c r="J251" i="82"/>
  <c r="G251" i="82"/>
  <c r="C251" i="82"/>
  <c r="A251" i="82"/>
  <c r="R250" i="82"/>
  <c r="Q250" i="82"/>
  <c r="P250" i="82"/>
  <c r="O250" i="82"/>
  <c r="L250" i="82"/>
  <c r="K250" i="82"/>
  <c r="J250" i="82"/>
  <c r="G250" i="82"/>
  <c r="C250" i="82"/>
  <c r="A250" i="82"/>
  <c r="R249" i="82"/>
  <c r="Q249" i="82"/>
  <c r="P249" i="82"/>
  <c r="O249" i="82"/>
  <c r="L249" i="82"/>
  <c r="K249" i="82"/>
  <c r="J249" i="82"/>
  <c r="G249" i="82"/>
  <c r="C249" i="82"/>
  <c r="A249" i="82"/>
  <c r="R248" i="82"/>
  <c r="Q248" i="82"/>
  <c r="P248" i="82"/>
  <c r="O248" i="82"/>
  <c r="L248" i="82"/>
  <c r="K248" i="82"/>
  <c r="J248" i="82"/>
  <c r="G248" i="82"/>
  <c r="C248" i="82"/>
  <c r="A248" i="82"/>
  <c r="R247" i="82"/>
  <c r="Q247" i="82"/>
  <c r="P247" i="82"/>
  <c r="O247" i="82"/>
  <c r="L247" i="82"/>
  <c r="K247" i="82"/>
  <c r="J247" i="82"/>
  <c r="G247" i="82"/>
  <c r="C247" i="82"/>
  <c r="A247" i="82"/>
  <c r="R246" i="82"/>
  <c r="Q246" i="82"/>
  <c r="P246" i="82"/>
  <c r="O246" i="82"/>
  <c r="L246" i="82"/>
  <c r="K246" i="82"/>
  <c r="J246" i="82"/>
  <c r="G246" i="82"/>
  <c r="C246" i="82"/>
  <c r="A246" i="82"/>
  <c r="R245" i="82"/>
  <c r="Q245" i="82"/>
  <c r="P245" i="82"/>
  <c r="O245" i="82"/>
  <c r="L245" i="82"/>
  <c r="K245" i="82"/>
  <c r="J245" i="82"/>
  <c r="G245" i="82"/>
  <c r="C245" i="82"/>
  <c r="A245" i="82"/>
  <c r="R244" i="82"/>
  <c r="Q244" i="82"/>
  <c r="P244" i="82"/>
  <c r="O244" i="82"/>
  <c r="L244" i="82"/>
  <c r="K244" i="82"/>
  <c r="J244" i="82"/>
  <c r="G244" i="82"/>
  <c r="C244" i="82"/>
  <c r="A244" i="82"/>
  <c r="R243" i="82"/>
  <c r="Q243" i="82"/>
  <c r="P243" i="82"/>
  <c r="O243" i="82"/>
  <c r="L243" i="82"/>
  <c r="K243" i="82"/>
  <c r="J243" i="82"/>
  <c r="G243" i="82"/>
  <c r="C243" i="82"/>
  <c r="A243" i="82"/>
  <c r="R242" i="82"/>
  <c r="Q242" i="82"/>
  <c r="P242" i="82"/>
  <c r="O242" i="82"/>
  <c r="L242" i="82"/>
  <c r="K242" i="82"/>
  <c r="J242" i="82"/>
  <c r="G242" i="82"/>
  <c r="C242" i="82"/>
  <c r="A242" i="82"/>
  <c r="R241" i="82"/>
  <c r="Q241" i="82"/>
  <c r="P241" i="82"/>
  <c r="O241" i="82"/>
  <c r="L241" i="82"/>
  <c r="K241" i="82"/>
  <c r="J241" i="82"/>
  <c r="G241" i="82"/>
  <c r="C241" i="82"/>
  <c r="A241" i="82"/>
  <c r="R240" i="82"/>
  <c r="Q240" i="82"/>
  <c r="P240" i="82"/>
  <c r="O240" i="82"/>
  <c r="L240" i="82"/>
  <c r="K240" i="82"/>
  <c r="J240" i="82"/>
  <c r="G240" i="82"/>
  <c r="C240" i="82"/>
  <c r="A240" i="82"/>
  <c r="R239" i="82"/>
  <c r="Q239" i="82"/>
  <c r="P239" i="82"/>
  <c r="O239" i="82"/>
  <c r="L239" i="82"/>
  <c r="K239" i="82"/>
  <c r="J239" i="82"/>
  <c r="G239" i="82"/>
  <c r="C239" i="82"/>
  <c r="A239" i="82"/>
  <c r="R238" i="82"/>
  <c r="Q238" i="82"/>
  <c r="P238" i="82"/>
  <c r="O238" i="82"/>
  <c r="L238" i="82"/>
  <c r="K238" i="82"/>
  <c r="J238" i="82"/>
  <c r="G238" i="82"/>
  <c r="C238" i="82"/>
  <c r="A238" i="82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5" i="82"/>
  <c r="Q235" i="82"/>
  <c r="P235" i="82"/>
  <c r="O235" i="82"/>
  <c r="L235" i="82"/>
  <c r="K235" i="82"/>
  <c r="J235" i="82"/>
  <c r="G235" i="82"/>
  <c r="C235" i="82"/>
  <c r="A235" i="82"/>
  <c r="R234" i="82"/>
  <c r="Q234" i="82"/>
  <c r="P234" i="82"/>
  <c r="O234" i="82"/>
  <c r="L234" i="82"/>
  <c r="K234" i="82"/>
  <c r="J234" i="82"/>
  <c r="G234" i="82"/>
  <c r="C234" i="82"/>
  <c r="A234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10" i="82"/>
  <c r="Q210" i="82"/>
  <c r="P210" i="82"/>
  <c r="O210" i="82"/>
  <c r="L210" i="82"/>
  <c r="K210" i="82"/>
  <c r="J210" i="82"/>
  <c r="G210" i="82"/>
  <c r="C210" i="82"/>
  <c r="A210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R205" i="82"/>
  <c r="Q205" i="82"/>
  <c r="P205" i="82"/>
  <c r="O205" i="82"/>
  <c r="L205" i="82"/>
  <c r="K205" i="82"/>
  <c r="J205" i="82"/>
  <c r="G205" i="82"/>
  <c r="C205" i="82"/>
  <c r="A205" i="82"/>
  <c r="R204" i="82"/>
  <c r="Q204" i="82"/>
  <c r="P204" i="82"/>
  <c r="O204" i="82"/>
  <c r="L204" i="82"/>
  <c r="K204" i="82"/>
  <c r="J204" i="82"/>
  <c r="G204" i="82"/>
  <c r="C204" i="82"/>
  <c r="A204" i="82"/>
  <c r="R203" i="82"/>
  <c r="Q203" i="82"/>
  <c r="P203" i="82"/>
  <c r="O203" i="82"/>
  <c r="L203" i="82"/>
  <c r="K203" i="82"/>
  <c r="J203" i="82"/>
  <c r="G203" i="82"/>
  <c r="C203" i="82"/>
  <c r="A203" i="82"/>
  <c r="R202" i="82"/>
  <c r="Q202" i="82"/>
  <c r="P202" i="82"/>
  <c r="O202" i="82"/>
  <c r="L202" i="82"/>
  <c r="K202" i="82"/>
  <c r="J202" i="82"/>
  <c r="G202" i="82"/>
  <c r="C202" i="82"/>
  <c r="A202" i="82"/>
  <c r="R201" i="82"/>
  <c r="Q201" i="82"/>
  <c r="P201" i="82"/>
  <c r="O201" i="82"/>
  <c r="L201" i="82"/>
  <c r="K201" i="82"/>
  <c r="J201" i="82"/>
  <c r="G201" i="82"/>
  <c r="C201" i="82"/>
  <c r="A201" i="82"/>
  <c r="R200" i="82"/>
  <c r="Q200" i="82"/>
  <c r="P200" i="82"/>
  <c r="O200" i="82"/>
  <c r="L200" i="82"/>
  <c r="K200" i="82"/>
  <c r="J200" i="82"/>
  <c r="G200" i="82"/>
  <c r="C200" i="82"/>
  <c r="A200" i="82"/>
  <c r="R199" i="82"/>
  <c r="Q199" i="82"/>
  <c r="P199" i="82"/>
  <c r="O199" i="82"/>
  <c r="L199" i="82"/>
  <c r="K199" i="82"/>
  <c r="J199" i="82"/>
  <c r="G199" i="82"/>
  <c r="C199" i="82"/>
  <c r="A199" i="82"/>
  <c r="R198" i="82"/>
  <c r="Q198" i="82"/>
  <c r="P198" i="82"/>
  <c r="O198" i="82"/>
  <c r="L198" i="82"/>
  <c r="K198" i="82"/>
  <c r="J198" i="82"/>
  <c r="G198" i="82"/>
  <c r="C198" i="82"/>
  <c r="A198" i="82"/>
  <c r="R197" i="82"/>
  <c r="Q197" i="82"/>
  <c r="P197" i="82"/>
  <c r="O197" i="82"/>
  <c r="L197" i="82"/>
  <c r="K197" i="82"/>
  <c r="J197" i="82"/>
  <c r="G197" i="82"/>
  <c r="C197" i="82"/>
  <c r="A197" i="82"/>
  <c r="R196" i="82"/>
  <c r="Q196" i="82"/>
  <c r="P196" i="82"/>
  <c r="O196" i="82"/>
  <c r="L196" i="82"/>
  <c r="K196" i="82"/>
  <c r="J196" i="82"/>
  <c r="G196" i="82"/>
  <c r="C196" i="82"/>
  <c r="A196" i="82"/>
  <c r="R195" i="82"/>
  <c r="Q195" i="82"/>
  <c r="P195" i="82"/>
  <c r="O195" i="82"/>
  <c r="L195" i="82"/>
  <c r="K195" i="82"/>
  <c r="J195" i="82"/>
  <c r="G195" i="82"/>
  <c r="C195" i="82"/>
  <c r="A195" i="82"/>
  <c r="R194" i="82"/>
  <c r="Q194" i="82"/>
  <c r="P194" i="82"/>
  <c r="O194" i="82"/>
  <c r="L194" i="82"/>
  <c r="K194" i="82"/>
  <c r="J194" i="82"/>
  <c r="G194" i="82"/>
  <c r="C194" i="82"/>
  <c r="A194" i="82"/>
  <c r="R193" i="82"/>
  <c r="Q193" i="82"/>
  <c r="P193" i="82"/>
  <c r="O193" i="82"/>
  <c r="L193" i="82"/>
  <c r="K193" i="82"/>
  <c r="J193" i="82"/>
  <c r="G193" i="82"/>
  <c r="C193" i="82"/>
  <c r="A193" i="82"/>
  <c r="R192" i="82"/>
  <c r="Q192" i="82"/>
  <c r="P192" i="82"/>
  <c r="O192" i="82"/>
  <c r="L192" i="82"/>
  <c r="K192" i="82"/>
  <c r="J192" i="82"/>
  <c r="G192" i="82"/>
  <c r="C192" i="82"/>
  <c r="A192" i="82"/>
  <c r="R191" i="82"/>
  <c r="Q191" i="82"/>
  <c r="P191" i="82"/>
  <c r="O191" i="82"/>
  <c r="L191" i="82"/>
  <c r="K191" i="82"/>
  <c r="J191" i="82"/>
  <c r="G191" i="82"/>
  <c r="C191" i="82"/>
  <c r="A191" i="82"/>
  <c r="R190" i="82"/>
  <c r="Q190" i="82"/>
  <c r="P190" i="82"/>
  <c r="O190" i="82"/>
  <c r="L190" i="82"/>
  <c r="K190" i="82"/>
  <c r="J190" i="82"/>
  <c r="G190" i="82"/>
  <c r="C190" i="82"/>
  <c r="A190" i="82"/>
  <c r="R189" i="82"/>
  <c r="Q189" i="82"/>
  <c r="P189" i="82"/>
  <c r="O189" i="82"/>
  <c r="L189" i="82"/>
  <c r="K189" i="82"/>
  <c r="J189" i="82"/>
  <c r="G189" i="82"/>
  <c r="C189" i="82"/>
  <c r="A189" i="82"/>
  <c r="R188" i="82"/>
  <c r="Q188" i="82"/>
  <c r="P188" i="82"/>
  <c r="O188" i="82"/>
  <c r="L188" i="82"/>
  <c r="K188" i="82"/>
  <c r="J188" i="82"/>
  <c r="G188" i="82"/>
  <c r="C188" i="82"/>
  <c r="A188" i="82"/>
  <c r="R187" i="82"/>
  <c r="Q187" i="82"/>
  <c r="P187" i="82"/>
  <c r="O187" i="82"/>
  <c r="L187" i="82"/>
  <c r="K187" i="82"/>
  <c r="J187" i="82"/>
  <c r="G187" i="82"/>
  <c r="C187" i="82"/>
  <c r="A187" i="82"/>
  <c r="R186" i="82"/>
  <c r="Q186" i="82"/>
  <c r="P186" i="82"/>
  <c r="O186" i="82"/>
  <c r="L186" i="82"/>
  <c r="K186" i="82"/>
  <c r="J186" i="82"/>
  <c r="G186" i="82"/>
  <c r="C186" i="82"/>
  <c r="A186" i="82"/>
  <c r="R185" i="82"/>
  <c r="Q185" i="82"/>
  <c r="P185" i="82"/>
  <c r="O185" i="82"/>
  <c r="L185" i="82"/>
  <c r="K185" i="82"/>
  <c r="J185" i="82"/>
  <c r="G185" i="82"/>
  <c r="C185" i="82"/>
  <c r="A185" i="82"/>
  <c r="R184" i="82"/>
  <c r="Q184" i="82"/>
  <c r="P184" i="82"/>
  <c r="O184" i="82"/>
  <c r="L184" i="82"/>
  <c r="K184" i="82"/>
  <c r="J184" i="82"/>
  <c r="G184" i="82"/>
  <c r="C184" i="82"/>
  <c r="A184" i="82"/>
  <c r="R183" i="82"/>
  <c r="Q183" i="82"/>
  <c r="P183" i="82"/>
  <c r="O183" i="82"/>
  <c r="L183" i="82"/>
  <c r="K183" i="82"/>
  <c r="J183" i="82"/>
  <c r="G183" i="82"/>
  <c r="C183" i="82"/>
  <c r="A183" i="82"/>
  <c r="R182" i="82"/>
  <c r="Q182" i="82"/>
  <c r="P182" i="82"/>
  <c r="O182" i="82"/>
  <c r="L182" i="82"/>
  <c r="K182" i="82"/>
  <c r="J182" i="82"/>
  <c r="G182" i="82"/>
  <c r="C182" i="82"/>
  <c r="A182" i="82"/>
  <c r="A7" i="105"/>
  <c r="N2" i="96"/>
  <c r="O2" i="96"/>
  <c r="P2" i="96"/>
  <c r="Q2" i="96"/>
  <c r="R2" i="96"/>
  <c r="N3" i="96"/>
  <c r="O3" i="96"/>
  <c r="P3" i="96"/>
  <c r="Q3" i="96"/>
  <c r="R3" i="96"/>
  <c r="F2" i="96"/>
  <c r="H2" i="96"/>
  <c r="I2" i="96"/>
  <c r="J2" i="96"/>
  <c r="K2" i="96"/>
  <c r="F3" i="96"/>
  <c r="H3" i="96"/>
  <c r="I3" i="96"/>
  <c r="J3" i="96"/>
  <c r="K3" i="96"/>
  <c r="C2" i="96"/>
  <c r="C3" i="96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<sst xmlns="http://schemas.openxmlformats.org/spreadsheetml/2006/main" count="174" uniqueCount="102">
  <si>
    <t>character_id</t>
  </si>
  <si>
    <t>character_id</t>
    <phoneticPr fontId="12"/>
  </si>
  <si>
    <t>unit_level</t>
    <phoneticPr fontId="12"/>
  </si>
  <si>
    <t>weight</t>
    <phoneticPr fontId="12"/>
  </si>
  <si>
    <t>rare</t>
    <phoneticPr fontId="12"/>
  </si>
  <si>
    <t>name</t>
    <phoneticPr fontId="12"/>
  </si>
  <si>
    <t>drop_label</t>
    <phoneticPr fontId="12"/>
  </si>
  <si>
    <t>color</t>
    <phoneticPr fontId="12"/>
  </si>
  <si>
    <t>character_type_id</t>
    <phoneticPr fontId="12"/>
  </si>
  <si>
    <t>character_tribe_id</t>
    <phoneticPr fontId="12"/>
  </si>
  <si>
    <t>temp_gacha</t>
    <phoneticPr fontId="12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</si>
  <si>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</si>
  <si>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</si>
  <si>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</si>
  <si>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</si>
  <si>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</si>
  <si>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</si>
  <si>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</si>
  <si>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2"/>
  </si>
  <si>
    <t>pickup_flg</t>
    <phoneticPr fontId="12"/>
  </si>
  <si>
    <t>select_table_no</t>
    <phoneticPr fontId="12"/>
  </si>
  <si>
    <t>select_table_no</t>
    <phoneticPr fontId="12"/>
  </si>
  <si>
    <t>bonus_table_no</t>
    <phoneticPr fontId="12"/>
  </si>
  <si>
    <t>bonus_table_no</t>
    <phoneticPr fontId="12"/>
  </si>
  <si>
    <t>weight</t>
    <phoneticPr fontId="12"/>
  </si>
  <si>
    <t>gift_id</t>
    <phoneticPr fontId="12"/>
  </si>
  <si>
    <t>gift_id</t>
    <phoneticPr fontId="12"/>
  </si>
  <si>
    <t>gift_type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</si>
  <si>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</si>
  <si>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</si>
  <si>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</si>
  <si>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</si>
  <si>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</si>
  <si>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</si>
  <si>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gift_id</t>
    <phoneticPr fontId="12"/>
  </si>
  <si>
    <t>gift_value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</si>
  <si>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</si>
  <si>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</si>
  <si>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</si>
  <si>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</si>
  <si>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</si>
  <si>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</si>
  <si>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gift_type</t>
    <phoneticPr fontId="12"/>
  </si>
  <si>
    <t>備考</t>
    <rPh sb="0" eb="2">
      <t>ビコウ</t>
    </rPh>
    <phoneticPr fontId="12"/>
  </si>
  <si>
    <t>label</t>
    <phoneticPr fontId="12"/>
  </si>
  <si>
    <t>table_no</t>
    <phoneticPr fontId="12"/>
  </si>
  <si>
    <t>character_id</t>
    <phoneticPr fontId="12"/>
  </si>
  <si>
    <t>name</t>
    <phoneticPr fontId="12"/>
  </si>
  <si>
    <t>drop_label</t>
    <phoneticPr fontId="12"/>
  </si>
  <si>
    <t>rare</t>
    <phoneticPr fontId="12"/>
  </si>
  <si>
    <t>character_type_id</t>
    <phoneticPr fontId="12"/>
  </si>
  <si>
    <t>character_tribe_id</t>
    <phoneticPr fontId="12"/>
  </si>
  <si>
    <t>unit_level</t>
    <phoneticPr fontId="12"/>
  </si>
  <si>
    <t>weight</t>
    <phoneticPr fontId="12"/>
  </si>
  <si>
    <t>接頭語</t>
    <rPh sb="0" eb="3">
      <t>セットウゴ</t>
    </rPh>
    <phoneticPr fontId="46"/>
  </si>
  <si>
    <t>識別子</t>
    <rPh sb="0" eb="3">
      <t>シキベツシ</t>
    </rPh>
    <phoneticPr fontId="46"/>
  </si>
  <si>
    <t>形式</t>
    <rPh sb="0" eb="2">
      <t>ケイシキ</t>
    </rPh>
    <phoneticPr fontId="46"/>
  </si>
  <si>
    <t>出力ファイル名</t>
    <rPh sb="0" eb="2">
      <t>シュツリョク</t>
    </rPh>
    <rPh sb="6" eb="7">
      <t>メイ</t>
    </rPh>
    <phoneticPr fontId="46"/>
  </si>
  <si>
    <t>入力シート名</t>
    <rPh sb="0" eb="2">
      <t>ニュウリョク</t>
    </rPh>
    <rPh sb="5" eb="6">
      <t>メイ</t>
    </rPh>
    <phoneticPr fontId="46"/>
  </si>
  <si>
    <t>出力データ</t>
    <rPh sb="0" eb="2">
      <t>シュツリョク</t>
    </rPh>
    <phoneticPr fontId="46"/>
  </si>
  <si>
    <t>.tmp</t>
    <phoneticPr fontId="46"/>
  </si>
  <si>
    <t>.tmp</t>
    <phoneticPr fontId="46"/>
  </si>
  <si>
    <t>gacha_select_tables</t>
    <phoneticPr fontId="46"/>
  </si>
  <si>
    <t>gacha_settle_tables</t>
    <phoneticPr fontId="46"/>
  </si>
  <si>
    <t>gacha_bonus_tables</t>
    <phoneticPr fontId="46"/>
  </si>
  <si>
    <t>gifts_tmp_</t>
    <phoneticPr fontId="12"/>
  </si>
  <si>
    <t>gifts_i18n_</t>
    <phoneticPr fontId="12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</si>
  <si>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</si>
  <si>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</si>
  <si>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</si>
  <si>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t>出力flg</t>
    <rPh sb="0" eb="2">
      <t>シュツリョク</t>
    </rPh>
    <phoneticPr fontId="46"/>
  </si>
  <si>
    <t>old</t>
    <phoneticPr fontId="12"/>
  </si>
  <si>
    <t>PremiumW</t>
  </si>
  <si>
    <t>PremiumN</t>
  </si>
  <si>
    <t>PremiumS</t>
  </si>
  <si>
    <t>PremiumSS</t>
  </si>
  <si>
    <t>label</t>
    <phoneticPr fontId="12"/>
  </si>
  <si>
    <t>color</t>
    <phoneticPr fontId="12"/>
  </si>
  <si>
    <t>rarity</t>
    <phoneticPr fontId="12"/>
  </si>
  <si>
    <t>rarity</t>
    <phoneticPr fontId="12"/>
  </si>
  <si>
    <t>name</t>
    <phoneticPr fontId="12"/>
  </si>
  <si>
    <t>バグ設定ユニット数</t>
    <rPh sb="2" eb="9">
      <t>セッテイy</t>
    </rPh>
    <phoneticPr fontId="12"/>
  </si>
  <si>
    <t>単発ガチャ</t>
    <rPh sb="0" eb="5">
      <t>タンパt</t>
    </rPh>
    <phoneticPr fontId="12"/>
  </si>
  <si>
    <t>unit_level</t>
    <phoneticPr fontId="12"/>
  </si>
  <si>
    <t>フェス限定キャラ数</t>
    <rPh sb="3" eb="8">
      <t>ゲン</t>
    </rPh>
    <rPh sb="8" eb="9">
      <t>シュt</t>
    </rPh>
    <phoneticPr fontId="12"/>
  </si>
  <si>
    <t>１０連ガチャ</t>
    <rPh sb="2" eb="6">
      <t>レン</t>
    </rPh>
    <phoneticPr fontId="12"/>
  </si>
  <si>
    <t>確定枠</t>
    <rPh sb="0" eb="3">
      <t>カクテ</t>
    </rPh>
    <phoneticPr fontId="12"/>
  </si>
  <si>
    <t>今回のガチャID</t>
    <rPh sb="0" eb="3">
      <t>コンカ</t>
    </rPh>
    <phoneticPr fontId="12"/>
  </si>
  <si>
    <t>other</t>
    <phoneticPr fontId="12"/>
  </si>
  <si>
    <t>総ユニット数</t>
    <rPh sb="0" eb="1">
      <t>ソウ</t>
    </rPh>
    <rPh sb="5" eb="6">
      <t>ス</t>
    </rPh>
    <phoneticPr fontId="12"/>
  </si>
  <si>
    <t>総ユニット数</t>
    <rPh sb="0" eb="6">
      <t>ソウユニッt</t>
    </rPh>
    <phoneticPr fontId="12"/>
  </si>
  <si>
    <t>レベル設定ユニット数</t>
    <rPh sb="3" eb="10">
      <t>セッテイy</t>
    </rPh>
    <phoneticPr fontId="12"/>
  </si>
  <si>
    <t>new</t>
    <phoneticPr fontId="12"/>
  </si>
  <si>
    <t>new</t>
    <phoneticPr fontId="12"/>
  </si>
  <si>
    <t>new</t>
    <phoneticPr fontId="12"/>
  </si>
  <si>
    <t>new</t>
    <phoneticPr fontId="12"/>
  </si>
  <si>
    <t>new</t>
    <phoneticPr fontId="12"/>
  </si>
  <si>
    <t>new</t>
    <phoneticPr fontId="12"/>
  </si>
  <si>
    <t>skip</t>
    <phoneticPr fontId="12"/>
  </si>
  <si>
    <t>PremiumS</t>
    <phoneticPr fontId="12"/>
  </si>
  <si>
    <t>PremiumSS</t>
    <phoneticPr fontId="12"/>
  </si>
  <si>
    <t>PremiumSS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</si>
</sst>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rgb="FF000000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85">
    <xf numFmtId="0" fontId="0" fillId="0" borderId="0"/>
    <xf numFmtId="0" fontId="11" fillId="0" borderId="0"/>
    <xf numFmtId="0" fontId="15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0" fontId="23" fillId="6" borderId="2" applyNumberFormat="0" applyAlignment="0" applyProtection="0"/>
    <xf numFmtId="0" fontId="24" fillId="7" borderId="0" applyNumberFormat="0" applyBorder="0" applyAlignment="0" applyProtection="0"/>
    <xf numFmtId="0" fontId="25" fillId="8" borderId="3" applyNumberFormat="0" applyAlignment="0" applyProtection="0"/>
    <xf numFmtId="0" fontId="26" fillId="0" borderId="0" applyNumberFormat="0" applyFill="0" applyBorder="0" applyAlignment="0" applyProtection="0"/>
    <xf numFmtId="0" fontId="27" fillId="9" borderId="0" applyNumberFormat="0" applyBorder="0" applyAlignment="0" applyProtection="0"/>
    <xf numFmtId="0" fontId="28" fillId="10" borderId="4" applyNumberFormat="0" applyAlignment="0" applyProtection="0"/>
    <xf numFmtId="0" fontId="29" fillId="0" borderId="0" applyNumberFormat="0" applyFill="0" applyBorder="0" applyAlignment="0" applyProtection="0"/>
    <xf numFmtId="0" fontId="30" fillId="0" borderId="5" applyNumberFormat="0" applyFill="0" applyAlignment="0" applyProtection="0"/>
    <xf numFmtId="0" fontId="31" fillId="0" borderId="6" applyNumberFormat="0" applyFill="0" applyAlignment="0" applyProtection="0"/>
    <xf numFmtId="0" fontId="32" fillId="0" borderId="7" applyNumberFormat="0" applyFill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3" fillId="7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2" borderId="0" applyNumberFormat="0" applyBorder="0" applyAlignment="0" applyProtection="0"/>
    <xf numFmtId="0" fontId="33" fillId="6" borderId="0" applyNumberFormat="0" applyBorder="0" applyAlignment="0" applyProtection="0"/>
    <xf numFmtId="0" fontId="33" fillId="8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7" borderId="0" applyNumberFormat="0" applyBorder="0" applyAlignment="0" applyProtection="0"/>
    <xf numFmtId="0" fontId="34" fillId="15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5" borderId="0" applyNumberFormat="0" applyBorder="0" applyAlignment="0" applyProtection="0"/>
    <xf numFmtId="0" fontId="34" fillId="7" borderId="0" applyNumberFormat="0" applyBorder="0" applyAlignment="0" applyProtection="0"/>
    <xf numFmtId="0" fontId="26" fillId="0" borderId="0" applyNumberFormat="0" applyFill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1" borderId="0" applyNumberFormat="0" applyBorder="0" applyAlignment="0" applyProtection="0"/>
    <xf numFmtId="0" fontId="34" fillId="17" borderId="0" applyNumberFormat="0" applyBorder="0" applyAlignment="0" applyProtection="0"/>
    <xf numFmtId="0" fontId="34" fillId="15" borderId="0" applyNumberFormat="0" applyBorder="0" applyAlignment="0" applyProtection="0"/>
    <xf numFmtId="0" fontId="34" fillId="13" borderId="0" applyNumberFormat="0" applyBorder="0" applyAlignment="0" applyProtection="0"/>
    <xf numFmtId="0" fontId="35" fillId="18" borderId="0" applyNumberFormat="0" applyBorder="0" applyAlignment="0" applyProtection="0"/>
    <xf numFmtId="0" fontId="24" fillId="7" borderId="0" applyNumberFormat="0" applyBorder="0" applyAlignment="0" applyProtection="0"/>
    <xf numFmtId="0" fontId="36" fillId="0" borderId="8" applyNumberFormat="0" applyFill="0" applyAlignment="0" applyProtection="0"/>
    <xf numFmtId="0" fontId="37" fillId="8" borderId="9" applyNumberFormat="0" applyAlignment="0" applyProtection="0"/>
    <xf numFmtId="0" fontId="37" fillId="19" borderId="9" applyNumberFormat="0" applyAlignment="0" applyProtection="0"/>
    <xf numFmtId="0" fontId="25" fillId="7" borderId="3" applyNumberFormat="0" applyAlignment="0" applyProtection="0"/>
    <xf numFmtId="0" fontId="38" fillId="0" borderId="10" applyNumberFormat="0" applyFill="0" applyAlignment="0" applyProtection="0"/>
    <xf numFmtId="0" fontId="39" fillId="19" borderId="3" applyNumberFormat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11" applyNumberFormat="0" applyFill="0" applyAlignment="0" applyProtection="0"/>
    <xf numFmtId="38" fontId="10" fillId="0" borderId="0" applyFont="0" applyFill="0" applyBorder="0" applyAlignment="0" applyProtection="0">
      <alignment vertical="center"/>
    </xf>
    <xf numFmtId="0" fontId="42" fillId="20" borderId="0" applyNumberFormat="0" applyBorder="0" applyAlignment="0" applyProtection="0"/>
    <xf numFmtId="0" fontId="43" fillId="21" borderId="0" applyNumberFormat="0" applyBorder="0" applyAlignment="0" applyProtection="0"/>
    <xf numFmtId="0" fontId="10" fillId="0" borderId="0"/>
    <xf numFmtId="0" fontId="44" fillId="21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5" fillId="0" borderId="0"/>
    <xf numFmtId="0" fontId="47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67">
    <xf numFmtId="0" fontId="0" fillId="0" borderId="0" xfId="0"/>
    <xf numFmtId="0" fontId="17" fillId="0" borderId="0" xfId="2" applyFont="1" applyAlignment="1">
      <alignment vertical="center"/>
    </xf>
    <xf numFmtId="0" fontId="17" fillId="0" borderId="1" xfId="2" applyFont="1" applyBorder="1" applyAlignment="1">
      <alignment vertical="center"/>
    </xf>
    <xf numFmtId="0" fontId="17" fillId="3" borderId="1" xfId="2" applyFont="1" applyFill="1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17" fillId="4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horizontal="right" vertical="center"/>
    </xf>
    <xf numFmtId="0" fontId="22" fillId="5" borderId="0" xfId="2" applyFont="1" applyFill="1" applyAlignment="1">
      <alignment vertical="center"/>
    </xf>
    <xf numFmtId="0" fontId="17" fillId="3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vertical="center"/>
    </xf>
    <xf numFmtId="0" fontId="17" fillId="4" borderId="12" xfId="2" applyFont="1" applyFill="1" applyBorder="1" applyAlignment="1">
      <alignment vertical="center"/>
    </xf>
    <xf numFmtId="0" fontId="17" fillId="0" borderId="13" xfId="2" applyFont="1" applyBorder="1" applyAlignment="1">
      <alignment vertical="center"/>
    </xf>
    <xf numFmtId="0" fontId="16" fillId="4" borderId="12" xfId="0" applyFont="1" applyFill="1" applyBorder="1" applyAlignment="1">
      <alignment horizontal="right" vertical="center"/>
    </xf>
    <xf numFmtId="0" fontId="16" fillId="4" borderId="14" xfId="0" applyFont="1" applyFill="1" applyBorder="1" applyAlignment="1">
      <alignment horizontal="right" vertical="center"/>
    </xf>
    <xf numFmtId="0" fontId="17" fillId="0" borderId="15" xfId="2" applyFont="1" applyBorder="1" applyAlignment="1">
      <alignment vertical="center"/>
    </xf>
    <xf numFmtId="0" fontId="18" fillId="3" borderId="1" xfId="0" applyFont="1" applyFill="1" applyBorder="1" applyAlignment="1">
      <alignment vertical="center"/>
    </xf>
    <xf numFmtId="0" fontId="0" fillId="4" borderId="1" xfId="0" applyFill="1" applyBorder="1"/>
    <xf numFmtId="0" fontId="17" fillId="2" borderId="1" xfId="2" applyFont="1" applyFill="1" applyBorder="1" applyAlignment="1">
      <alignment horizontal="left" vertical="center"/>
    </xf>
    <xf numFmtId="0" fontId="17" fillId="3" borderId="1" xfId="2" applyFont="1" applyFill="1" applyBorder="1" applyAlignment="1">
      <alignment horizontal="left" vertical="center"/>
    </xf>
    <xf numFmtId="0" fontId="17" fillId="5" borderId="0" xfId="2" applyFont="1" applyFill="1" applyAlignment="1">
      <alignment vertical="center"/>
    </xf>
    <xf numFmtId="0" fontId="45" fillId="22" borderId="1" xfId="0" applyFont="1" applyFill="1" applyBorder="1" applyAlignment="1">
      <alignment horizontal="left" vertical="center"/>
    </xf>
    <xf numFmtId="0" fontId="17" fillId="2" borderId="1" xfId="2" applyFont="1" applyFill="1" applyBorder="1" applyAlignment="1">
      <alignment horizontal="center" vertical="center"/>
    </xf>
    <xf numFmtId="0" fontId="19" fillId="23" borderId="1" xfId="2978" applyFont="1" applyFill="1" applyBorder="1"/>
    <xf numFmtId="0" fontId="5" fillId="23" borderId="1" xfId="2978" applyFill="1" applyBorder="1"/>
    <xf numFmtId="0" fontId="5" fillId="0" borderId="0" xfId="2978"/>
    <xf numFmtId="0" fontId="5" fillId="0" borderId="1" xfId="2978" applyBorder="1"/>
    <xf numFmtId="0" fontId="5" fillId="2" borderId="1" xfId="2978" applyFill="1" applyBorder="1"/>
    <xf numFmtId="0" fontId="9" fillId="2" borderId="1" xfId="19" applyFont="1" applyFill="1" applyBorder="1"/>
    <xf numFmtId="0" fontId="10" fillId="2" borderId="1" xfId="19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4" fillId="0" borderId="1" xfId="2978" applyFont="1" applyBorder="1"/>
    <xf numFmtId="0" fontId="19" fillId="23" borderId="1" xfId="0" applyFont="1" applyFill="1" applyBorder="1"/>
    <xf numFmtId="0" fontId="3" fillId="0" borderId="1" xfId="3036" applyFont="1" applyBorder="1"/>
    <xf numFmtId="0" fontId="17" fillId="0" borderId="0" xfId="2" applyFont="1" applyBorder="1" applyAlignment="1">
      <alignment vertical="center"/>
    </xf>
    <xf numFmtId="0" fontId="45" fillId="24" borderId="1" xfId="0" applyFont="1" applyFill="1" applyBorder="1" applyAlignment="1">
      <alignment horizontal="center" vertical="center"/>
    </xf>
    <xf numFmtId="0" fontId="45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5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8" fillId="0" borderId="1" xfId="0" applyFont="1" applyFill="1" applyBorder="1" applyAlignment="1">
      <alignment vertical="center"/>
    </xf>
    <xf numFmtId="0" fontId="0" fillId="0" borderId="0" xfId="0" applyFill="1"/>
    <xf numFmtId="0" fontId="45" fillId="25" borderId="1" xfId="0" applyFont="1" applyFill="1" applyBorder="1" applyAlignment="1">
      <alignment horizontal="right" vertical="center"/>
    </xf>
    <xf numFmtId="0" fontId="45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5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2" fillId="0" borderId="1" xfId="3036" applyFont="1" applyBorder="1"/>
    <xf numFmtId="0" fontId="45" fillId="27" borderId="1" xfId="0" applyFont="1" applyFill="1" applyBorder="1" applyAlignment="1">
      <alignment vertical="center"/>
    </xf>
    <xf numFmtId="0" fontId="0" fillId="28" borderId="1" xfId="0" applyFill="1" applyBorder="1" applyAlignment="1">
      <alignment vertical="center"/>
    </xf>
    <xf numFmtId="0" fontId="0" fillId="28" borderId="12" xfId="0" applyFill="1" applyBorder="1" applyAlignment="1">
      <alignment vertical="center"/>
    </xf>
  </cellXfs>
  <cellStyles count="358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animal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PremiumSS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6</v>
          </cell>
          <cell r="J712" t="str">
            <v>PremiumSS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3</v>
          </cell>
          <cell r="J713" t="str">
            <v>PremiumN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4</v>
          </cell>
          <cell r="J714" t="str">
            <v>PremiumN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L23" sqref="L23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309</v>
      </c>
      <c r="D2" s="25" t="s">
        <v>60</v>
      </c>
      <c r="E2" s="23" t="str">
        <f ca="1">B2&amp;C2&amp;D2</f>
        <v>gacha_select_tables_309.tmp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309</v>
      </c>
      <c r="D3" s="25" t="s">
        <v>61</v>
      </c>
      <c r="E3" s="23" t="str">
        <f ca="1">B3&amp;C3&amp;D3</f>
        <v>gacha_settle_tables_309.tmp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63" t="s">
        <v>98</v>
      </c>
      <c r="B4" s="33" t="s">
        <v>69</v>
      </c>
      <c r="C4" s="25" t="str">
        <f ca="1">MID(
  CELL("filename",B3),
  FIND("New_",CELL("filename",B3))+4,
  FIND(".xlsm",CELL("filename",B3))-FIND("New_",CELL("filename",B3))-4
)</f>
        <v>309</v>
      </c>
      <c r="D4" s="25" t="s">
        <v>61</v>
      </c>
      <c r="E4" s="23" t="str">
        <f ca="1">B4&amp;C4&amp;D4</f>
        <v>gacha_bonus_tables_309.tmp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63" t="s">
        <v>98</v>
      </c>
      <c r="B5" s="25" t="s">
        <v>65</v>
      </c>
      <c r="C5" s="25" t="str">
        <f ca="1">MID(
  CELL("filename",B4),
  FIND("New_",CELL("filename",B4))+4,
  FIND(".xlsm",CELL("filename",B4))-FIND("New_",CELL("filename",B4))-4
)</f>
        <v>309</v>
      </c>
      <c r="D5" s="25" t="s">
        <v>61</v>
      </c>
      <c r="E5" s="23" t="str">
        <f ca="1">B5&amp;C5&amp;D5</f>
        <v>gifts_tmp_309.tmp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63" t="s">
        <v>98</v>
      </c>
      <c r="B6" s="25" t="s">
        <v>66</v>
      </c>
      <c r="C6" s="25" t="str">
        <f ca="1">MID(
  CELL("filename",B5),
  FIND("New_",CELL("filename",B5))+4,
  FIND(".xlsm",CELL("filename",B5))-FIND("New_",CELL("filename",B5))-4
)</f>
        <v>309</v>
      </c>
      <c r="D6" s="25" t="s">
        <v>61</v>
      </c>
      <c r="E6" s="23" t="str">
        <f ca="1">B6&amp;C6&amp;D6</f>
        <v>gifts_i18n_309.tmp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tabSelected="1" workbookViewId="0">
      <selection activeCell="B17" sqref="B17:B31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13" si="0">0&amp;C3&amp;D3&amp;E3</f>
        <v>0PremiumW4</v>
      </c>
      <c r="B3" s="65">
        <v>7258</v>
      </c>
      <c r="C3" s="52" t="s">
        <v>72</v>
      </c>
      <c r="D3">
        <v>4</v>
      </c>
    </row>
    <row r="4" spans="1:5">
      <c r="A4" s="15" t="str">
        <f t="shared" si="0"/>
        <v>0PremiumN4</v>
      </c>
      <c r="B4" s="66">
        <v>13667</v>
      </c>
      <c r="C4" s="52" t="s">
        <v>73</v>
      </c>
      <c r="D4">
        <v>4</v>
      </c>
    </row>
    <row r="5" spans="1:5">
      <c r="A5" s="15" t="str">
        <f t="shared" si="0"/>
        <v>0PremiumS4</v>
      </c>
      <c r="B5" s="66">
        <v>13667</v>
      </c>
      <c r="C5" s="52" t="s">
        <v>74</v>
      </c>
      <c r="D5">
        <v>4</v>
      </c>
    </row>
    <row r="6" spans="1:5">
      <c r="A6" s="15" t="str">
        <f t="shared" si="0"/>
        <v>0PremiumS4new</v>
      </c>
      <c r="B6" s="66">
        <v>28245</v>
      </c>
      <c r="C6" s="52" t="s">
        <v>99</v>
      </c>
      <c r="D6">
        <v>4</v>
      </c>
      <c r="E6" t="s">
        <v>92</v>
      </c>
    </row>
    <row r="7" spans="1:5">
      <c r="A7" s="15" t="str">
        <f t="shared" si="0"/>
        <v>0PremiumSS4</v>
      </c>
      <c r="B7" s="66">
        <v>1177</v>
      </c>
      <c r="C7" s="52" t="s">
        <v>75</v>
      </c>
      <c r="D7">
        <v>4</v>
      </c>
    </row>
    <row r="8" spans="1:5">
      <c r="A8" s="15" t="str">
        <f t="shared" si="0"/>
        <v>0PremiumSS4new</v>
      </c>
      <c r="B8" s="66">
        <v>4708</v>
      </c>
      <c r="C8" s="52" t="s">
        <v>100</v>
      </c>
      <c r="D8">
        <v>4</v>
      </c>
      <c r="E8" t="s">
        <v>92</v>
      </c>
    </row>
    <row r="9" spans="1:5">
      <c r="A9" s="15" t="str">
        <f t="shared" si="0"/>
        <v>0PremiumN5</v>
      </c>
      <c r="B9" s="66">
        <v>849</v>
      </c>
      <c r="C9" s="52" t="s">
        <v>73</v>
      </c>
      <c r="D9">
        <v>5</v>
      </c>
    </row>
    <row r="10" spans="1:5">
      <c r="A10" s="15" t="str">
        <f t="shared" si="0"/>
        <v>0PremiumS5</v>
      </c>
      <c r="B10" s="66">
        <v>849</v>
      </c>
      <c r="C10" s="61" t="s">
        <v>74</v>
      </c>
      <c r="D10">
        <v>5</v>
      </c>
    </row>
    <row r="11" spans="1:5">
      <c r="A11" s="15" t="str">
        <f t="shared" si="0"/>
        <v>0PremiumS5new</v>
      </c>
      <c r="B11" s="66">
        <v>1755</v>
      </c>
      <c r="C11" s="61" t="s">
        <v>99</v>
      </c>
      <c r="D11">
        <v>5</v>
      </c>
      <c r="E11" t="s">
        <v>93</v>
      </c>
    </row>
    <row r="12" spans="1:5">
      <c r="A12" s="15" t="str">
        <f t="shared" si="0"/>
        <v>0PremiumSS5</v>
      </c>
      <c r="B12" s="66">
        <v>73</v>
      </c>
      <c r="C12" s="51" t="s">
        <v>75</v>
      </c>
      <c r="D12">
        <v>5</v>
      </c>
    </row>
    <row r="13" spans="1:5">
      <c r="A13" s="15" t="str">
        <f t="shared" si="0"/>
        <v>0PremiumSS5new</v>
      </c>
      <c r="B13" s="66">
        <v>293</v>
      </c>
      <c r="C13" s="52" t="s">
        <v>100</v>
      </c>
      <c r="D13">
        <v>5</v>
      </c>
      <c r="E13" t="s">
        <v>94</v>
      </c>
    </row>
    <row r="14" spans="1:5">
      <c r="A14" s="15"/>
      <c r="B14"/>
      <c r="C14" s="52"/>
    </row>
    <row r="15" spans="1:5">
      <c r="A15" s="15"/>
      <c r="B15"/>
      <c r="C15" s="52"/>
    </row>
    <row r="16" spans="1:5">
      <c r="A16" s="54"/>
      <c r="B16"/>
      <c r="C16" s="60"/>
    </row>
    <row r="17" spans="1:9">
      <c r="A17" s="15" t="str">
        <f t="shared" ref="A17:A31" si="1">1&amp;C17&amp;D17&amp;E17</f>
        <v>1PremiumW3</v>
      </c>
      <c r="B17">
        <v>4592</v>
      </c>
      <c r="C17" s="51" t="s">
        <v>72</v>
      </c>
      <c r="D17">
        <v>3</v>
      </c>
    </row>
    <row r="18" spans="1:9">
      <c r="A18" s="15" t="str">
        <f t="shared" si="1"/>
        <v>1PremiumN3</v>
      </c>
      <c r="B18">
        <v>6888</v>
      </c>
      <c r="C18" s="51" t="s">
        <v>73</v>
      </c>
      <c r="D18">
        <v>3</v>
      </c>
    </row>
    <row r="19" spans="1:9">
      <c r="A19" s="15" t="str">
        <f t="shared" si="1"/>
        <v>1PremiumS3</v>
      </c>
      <c r="B19">
        <v>6888</v>
      </c>
      <c r="C19" s="51" t="s">
        <v>74</v>
      </c>
      <c r="D19">
        <v>3</v>
      </c>
    </row>
    <row r="20" spans="1:9">
      <c r="A20" s="15" t="str">
        <f t="shared" si="1"/>
        <v>1PremiumS3new</v>
      </c>
      <c r="B20">
        <v>15000</v>
      </c>
      <c r="C20" s="51" t="s">
        <v>99</v>
      </c>
      <c r="D20">
        <v>3</v>
      </c>
      <c r="E20" t="s">
        <v>95</v>
      </c>
    </row>
    <row r="21" spans="1:9">
      <c r="A21" s="15" t="str">
        <f t="shared" si="1"/>
        <v>1PremiumW4</v>
      </c>
      <c r="B21">
        <v>4592</v>
      </c>
      <c r="C21" s="51" t="s">
        <v>72</v>
      </c>
      <c r="D21">
        <v>4</v>
      </c>
    </row>
    <row r="22" spans="1:9">
      <c r="A22" s="15" t="str">
        <f t="shared" si="1"/>
        <v>1PremiumN4</v>
      </c>
      <c r="B22">
        <v>6043</v>
      </c>
      <c r="C22" s="51" t="s">
        <v>73</v>
      </c>
      <c r="D22">
        <v>4</v>
      </c>
      <c r="H22" s="50"/>
      <c r="I22" s="50"/>
    </row>
    <row r="23" spans="1:9">
      <c r="A23" s="15" t="str">
        <f t="shared" si="1"/>
        <v>1PremiumS4</v>
      </c>
      <c r="B23">
        <v>6043</v>
      </c>
      <c r="C23" s="51" t="s">
        <v>74</v>
      </c>
      <c r="D23">
        <v>4</v>
      </c>
    </row>
    <row r="24" spans="1:9">
      <c r="A24" s="15" t="str">
        <f t="shared" si="1"/>
        <v>1PremiumS4new</v>
      </c>
      <c r="B24">
        <v>13161</v>
      </c>
      <c r="C24" s="51" t="s">
        <v>99</v>
      </c>
      <c r="D24">
        <v>4</v>
      </c>
      <c r="E24" t="s">
        <v>92</v>
      </c>
    </row>
    <row r="25" spans="1:9">
      <c r="A25" s="15" t="str">
        <f t="shared" si="1"/>
        <v>1PremiumSS4</v>
      </c>
      <c r="B25">
        <v>782</v>
      </c>
      <c r="C25" s="52" t="s">
        <v>75</v>
      </c>
      <c r="D25">
        <v>4</v>
      </c>
    </row>
    <row r="26" spans="1:9">
      <c r="A26" s="15" t="str">
        <f t="shared" si="1"/>
        <v>1PremiumSS4new</v>
      </c>
      <c r="B26">
        <v>9387</v>
      </c>
      <c r="C26" s="52" t="s">
        <v>101</v>
      </c>
      <c r="D26">
        <v>4</v>
      </c>
      <c r="E26" t="s">
        <v>92</v>
      </c>
    </row>
    <row r="27" spans="1:9">
      <c r="A27" s="15" t="str">
        <f t="shared" si="1"/>
        <v>1PremiumN5</v>
      </c>
      <c r="B27">
        <v>844</v>
      </c>
      <c r="C27" s="52" t="s">
        <v>73</v>
      </c>
      <c r="D27">
        <v>5</v>
      </c>
    </row>
    <row r="28" spans="1:9">
      <c r="A28" s="15" t="str">
        <f t="shared" si="1"/>
        <v>1PremiumS5</v>
      </c>
      <c r="B28">
        <v>844</v>
      </c>
      <c r="C28" s="51" t="s">
        <v>74</v>
      </c>
      <c r="D28">
        <v>5</v>
      </c>
    </row>
    <row r="29" spans="1:9">
      <c r="A29" s="15" t="str">
        <f t="shared" si="1"/>
        <v>1PremiumS5new</v>
      </c>
      <c r="B29">
        <v>1839</v>
      </c>
      <c r="C29" s="51" t="s">
        <v>99</v>
      </c>
      <c r="D29">
        <v>5</v>
      </c>
      <c r="E29" t="s">
        <v>96</v>
      </c>
    </row>
    <row r="30" spans="1:9">
      <c r="A30" s="15" t="str">
        <f t="shared" si="1"/>
        <v>1PremiumSS5</v>
      </c>
      <c r="B30">
        <v>51</v>
      </c>
      <c r="C30" s="41" t="s">
        <v>75</v>
      </c>
      <c r="D30">
        <v>5</v>
      </c>
    </row>
    <row r="31" spans="1:9">
      <c r="A31" s="15" t="str">
        <f t="shared" si="1"/>
        <v>1PremiumSS5new</v>
      </c>
      <c r="B31">
        <v>613</v>
      </c>
      <c r="C31" s="41" t="s">
        <v>100</v>
      </c>
      <c r="D31">
        <v>5</v>
      </c>
      <c r="E31" t="s">
        <v>97</v>
      </c>
    </row>
    <row r="32" spans="1:9">
      <c r="A32" s="15"/>
      <c r="B32"/>
      <c r="C32" s="41"/>
    </row>
    <row r="33" spans="1:3">
      <c r="A33" s="15"/>
      <c r="B33"/>
      <c r="C33" s="41"/>
    </row>
    <row r="34" spans="1:3">
      <c r="A34" s="15"/>
      <c r="B34"/>
      <c r="C34" s="41"/>
    </row>
    <row r="35" spans="1:3">
      <c r="A35" s="54"/>
      <c r="B35"/>
      <c r="C35"/>
    </row>
    <row r="36" spans="1:3">
      <c r="A36" s="54"/>
      <c r="C36" s="60"/>
    </row>
    <row r="37" spans="1:3">
      <c r="A37" s="54"/>
      <c r="C37" s="53"/>
    </row>
    <row r="38" spans="1:3">
      <c r="A38" s="54"/>
      <c r="C38" s="53"/>
    </row>
    <row r="39" spans="1:3">
      <c r="A39" s="54"/>
      <c r="C39" s="53"/>
    </row>
    <row r="40" spans="1:3">
      <c r="A40" s="54"/>
      <c r="C40" s="60"/>
    </row>
    <row r="41" spans="1:3">
      <c r="A41" s="54"/>
      <c r="C41" s="60"/>
    </row>
    <row r="42" spans="1:3">
      <c r="A42" s="54"/>
    </row>
    <row r="43" spans="1:3">
      <c r="A43" s="54"/>
    </row>
    <row r="44" spans="1:3">
      <c r="A44" s="54"/>
    </row>
    <row r="45" spans="1:3">
      <c r="A45" s="54"/>
    </row>
    <row r="48" spans="1:3">
      <c r="A48" s="54"/>
      <c r="C48" s="53"/>
    </row>
    <row r="49" spans="1:3">
      <c r="A49" s="54"/>
      <c r="C49" s="53"/>
    </row>
    <row r="50" spans="1:3">
      <c r="A50" s="54"/>
      <c r="C50" s="53"/>
    </row>
    <row r="51" spans="1:3">
      <c r="A51" s="54"/>
      <c r="C51" s="53"/>
    </row>
    <row r="52" spans="1:3">
      <c r="A52" s="54"/>
      <c r="C52" s="53"/>
    </row>
    <row r="53" spans="1:3">
      <c r="A53" s="54"/>
      <c r="C53" s="53"/>
    </row>
    <row r="54" spans="1:3">
      <c r="A54" s="54"/>
      <c r="C54" s="53"/>
    </row>
    <row r="55" spans="1:3">
      <c r="A55" s="54"/>
    </row>
    <row r="56" spans="1:3">
      <c r="A56" s="54"/>
    </row>
    <row r="57" spans="1:3">
      <c r="A57" s="54"/>
    </row>
    <row r="60" spans="1:3">
      <c r="A60" s="54"/>
      <c r="C60" s="53"/>
    </row>
    <row r="61" spans="1:3">
      <c r="A61" s="54"/>
      <c r="C61" s="53"/>
    </row>
    <row r="62" spans="1:3">
      <c r="A62" s="54"/>
      <c r="C62" s="53"/>
    </row>
    <row r="63" spans="1:3">
      <c r="A63" s="54"/>
      <c r="C63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9" spans="1:3">
      <c r="A69" s="54"/>
      <c r="C69" s="53"/>
    </row>
    <row r="70" spans="1:3">
      <c r="A70" s="54"/>
      <c r="C70" s="53"/>
    </row>
    <row r="71" spans="1:3">
      <c r="A71" s="54"/>
      <c r="C71" s="53"/>
    </row>
    <row r="72" spans="1:3">
      <c r="A72" s="54"/>
      <c r="C72" s="53"/>
    </row>
    <row r="73" spans="1:3">
      <c r="A73" s="54"/>
      <c r="C73" s="53"/>
    </row>
    <row r="74" spans="1:3">
      <c r="A74" s="54"/>
      <c r="C74" s="53"/>
    </row>
    <row r="75" spans="1:3">
      <c r="A75" s="54"/>
      <c r="C75" s="53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435"/>
  <sheetViews>
    <sheetView showGridLines="0" zoomScale="75" zoomScaleNormal="75" zoomScalePageLayoutView="75" workbookViewId="0">
      <pane ySplit="1" topLeftCell="A409" activePane="bottomLeft" state="frozen"/>
      <selection activeCell="M24" sqref="M24"/>
      <selection pane="bottomLeft" activeCell="D426" sqref="D426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3090127</v>
      </c>
      <c r="B2" s="2" t="str">
        <f>309&amp;E2</f>
        <v>3090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VLOOKUP(D2,gacha_309_base!A:B,2,FALSE)</f>
        <v>7258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3090129</v>
      </c>
      <c r="B3" s="2" t="str">
        <f t="shared" ref="B3:B66" si="3">309&amp;E3</f>
        <v>3090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VLOOKUP(D3,gacha_309_base!A:B,2,FALSE)</f>
        <v>7258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3090131</v>
      </c>
      <c r="B4" s="2" t="str">
        <f t="shared" si="3"/>
        <v>3090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VLOOKUP(D4,gacha_309_base!A:B,2,FALSE)</f>
        <v>7258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3090133</v>
      </c>
      <c r="B5" s="2" t="str">
        <f t="shared" si="3"/>
        <v>3090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VLOOKUP(D5,gacha_309_base!A:B,2,FALSE)</f>
        <v>7258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3090135</v>
      </c>
      <c r="B6" s="2" t="str">
        <f t="shared" si="3"/>
        <v>3090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VLOOKUP(D6,gacha_309_base!A:B,2,FALSE)</f>
        <v>7258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3090137</v>
      </c>
      <c r="B7" s="2" t="str">
        <f t="shared" si="3"/>
        <v>3090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VLOOKUP(D7,gacha_309_base!A:B,2,FALSE)</f>
        <v>7258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3090139</v>
      </c>
      <c r="B8" s="2" t="str">
        <f t="shared" si="3"/>
        <v>3090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VLOOKUP(D8,gacha_309_base!A:B,2,FALSE)</f>
        <v>7258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3090141</v>
      </c>
      <c r="B9" s="2" t="str">
        <f t="shared" si="3"/>
        <v>3090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VLOOKUP(D9,gacha_309_base!A:B,2,FALSE)</f>
        <v>7258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3090143</v>
      </c>
      <c r="B10" s="2" t="str">
        <f t="shared" si="3"/>
        <v>3090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VLOOKUP(D10,gacha_309_base!A:B,2,FALSE)</f>
        <v>7258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3090145</v>
      </c>
      <c r="B11" s="2" t="str">
        <f t="shared" si="3"/>
        <v>3090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VLOOKUP(D11,gacha_309_base!A:B,2,FALSE)</f>
        <v>7258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3090147</v>
      </c>
      <c r="B12" s="2" t="str">
        <f t="shared" si="3"/>
        <v>3090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VLOOKUP(D12,gacha_309_base!A:B,2,FALSE)</f>
        <v>7258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3090149</v>
      </c>
      <c r="B13" s="2" t="str">
        <f t="shared" si="3"/>
        <v>3090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VLOOKUP(D13,gacha_309_base!A:B,2,FALSE)</f>
        <v>7258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3090151</v>
      </c>
      <c r="B14" s="2" t="str">
        <f t="shared" si="3"/>
        <v>3090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VLOOKUP(D14,gacha_309_base!A:B,2,FALSE)</f>
        <v>7258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3090153</v>
      </c>
      <c r="B15" s="2" t="str">
        <f t="shared" si="3"/>
        <v>3090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VLOOKUP(D15,gacha_309_base!A:B,2,FALSE)</f>
        <v>7258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3090155</v>
      </c>
      <c r="B16" s="2" t="str">
        <f t="shared" si="3"/>
        <v>3090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VLOOKUP(D16,gacha_309_base!A:B,2,FALSE)</f>
        <v>7258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3090157</v>
      </c>
      <c r="B17" s="2" t="str">
        <f t="shared" si="3"/>
        <v>3090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VLOOKUP(D17,gacha_309_base!A:B,2,FALSE)</f>
        <v>7258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3090159</v>
      </c>
      <c r="B18" s="2" t="str">
        <f t="shared" si="3"/>
        <v>3090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VLOOKUP(D18,gacha_309_base!A:B,2,FALSE)</f>
        <v>7258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3090161</v>
      </c>
      <c r="B19" s="2" t="str">
        <f t="shared" si="3"/>
        <v>3090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VLOOKUP(D19,gacha_309_base!A:B,2,FALSE)</f>
        <v>7258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3090163</v>
      </c>
      <c r="B20" s="2" t="str">
        <f t="shared" si="3"/>
        <v>3090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VLOOKUP(D20,gacha_309_base!A:B,2,FALSE)</f>
        <v>7258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3090165</v>
      </c>
      <c r="B21" s="2" t="str">
        <f t="shared" si="3"/>
        <v>3090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VLOOKUP(D21,gacha_309_base!A:B,2,FALSE)</f>
        <v>7258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3090167</v>
      </c>
      <c r="B22" s="2" t="str">
        <f t="shared" si="3"/>
        <v>3090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VLOOKUP(D22,gacha_309_base!A:B,2,FALSE)</f>
        <v>13667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3090168</v>
      </c>
      <c r="B23" s="2" t="str">
        <f t="shared" si="3"/>
        <v>3090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VLOOKUP(D23,gacha_309_base!A:B,2,FALSE)</f>
        <v>849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3090170</v>
      </c>
      <c r="B24" s="2" t="str">
        <f t="shared" si="3"/>
        <v>3090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VLOOKUP(D24,gacha_309_base!A:B,2,FALSE)</f>
        <v>13667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3090171</v>
      </c>
      <c r="B25" s="2" t="str">
        <f t="shared" si="3"/>
        <v>3090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VLOOKUP(D25,gacha_309_base!A:B,2,FALSE)</f>
        <v>849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3090173</v>
      </c>
      <c r="B26" s="2" t="str">
        <f t="shared" si="3"/>
        <v>3090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VLOOKUP(D26,gacha_309_base!A:B,2,FALSE)</f>
        <v>13667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3090174</v>
      </c>
      <c r="B27" s="2" t="str">
        <f t="shared" si="3"/>
        <v>3090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VLOOKUP(D27,gacha_309_base!A:B,2,FALSE)</f>
        <v>849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3090176</v>
      </c>
      <c r="B28" s="2" t="str">
        <f t="shared" si="3"/>
        <v>3090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VLOOKUP(D28,gacha_309_base!A:B,2,FALSE)</f>
        <v>13667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3090177</v>
      </c>
      <c r="B29" s="2" t="str">
        <f t="shared" si="3"/>
        <v>3090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VLOOKUP(D29,gacha_309_base!A:B,2,FALSE)</f>
        <v>849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3090179</v>
      </c>
      <c r="B30" s="2" t="str">
        <f t="shared" si="3"/>
        <v>3090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VLOOKUP(D30,gacha_309_base!A:B,2,FALSE)</f>
        <v>13667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3090180</v>
      </c>
      <c r="B31" s="2" t="str">
        <f t="shared" si="3"/>
        <v>3090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VLOOKUP(D31,gacha_309_base!A:B,2,FALSE)</f>
        <v>849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3090182</v>
      </c>
      <c r="B32" s="2" t="str">
        <f t="shared" si="3"/>
        <v>3090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VLOOKUP(D32,gacha_309_base!A:B,2,FALSE)</f>
        <v>13667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3090183</v>
      </c>
      <c r="B33" s="2" t="str">
        <f t="shared" si="3"/>
        <v>3090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VLOOKUP(D33,gacha_309_base!A:B,2,FALSE)</f>
        <v>849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3090185</v>
      </c>
      <c r="B34" s="2" t="str">
        <f t="shared" si="3"/>
        <v>3090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VLOOKUP(D34,gacha_309_base!A:B,2,FALSE)</f>
        <v>13667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3090186</v>
      </c>
      <c r="B35" s="2" t="str">
        <f t="shared" si="3"/>
        <v>3090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VLOOKUP(D35,gacha_309_base!A:B,2,FALSE)</f>
        <v>849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3090188</v>
      </c>
      <c r="B36" s="2" t="str">
        <f t="shared" si="3"/>
        <v>3090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VLOOKUP(D36,gacha_309_base!A:B,2,FALSE)</f>
        <v>13667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3090189</v>
      </c>
      <c r="B37" s="2" t="str">
        <f t="shared" si="3"/>
        <v>3090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VLOOKUP(D37,gacha_309_base!A:B,2,FALSE)</f>
        <v>849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3090191</v>
      </c>
      <c r="B38" s="2" t="str">
        <f t="shared" si="3"/>
        <v>3090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VLOOKUP(D38,gacha_309_base!A:B,2,FALSE)</f>
        <v>13667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3090192</v>
      </c>
      <c r="B39" s="2" t="str">
        <f t="shared" si="3"/>
        <v>3090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VLOOKUP(D39,gacha_309_base!A:B,2,FALSE)</f>
        <v>849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3090194</v>
      </c>
      <c r="B40" s="2" t="str">
        <f t="shared" si="3"/>
        <v>3090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VLOOKUP(D40,gacha_309_base!A:B,2,FALSE)</f>
        <v>13667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3090195</v>
      </c>
      <c r="B41" s="2" t="str">
        <f t="shared" si="3"/>
        <v>3090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VLOOKUP(D41,gacha_309_base!A:B,2,FALSE)</f>
        <v>849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3090197</v>
      </c>
      <c r="B42" s="2" t="str">
        <f t="shared" si="3"/>
        <v>3090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VLOOKUP(D42,gacha_309_base!A:B,2,FALSE)</f>
        <v>13667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3090198</v>
      </c>
      <c r="B43" s="2" t="str">
        <f t="shared" si="3"/>
        <v>3090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VLOOKUP(D43,gacha_309_base!A:B,2,FALSE)</f>
        <v>849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3090200</v>
      </c>
      <c r="B44" s="2" t="str">
        <f t="shared" si="3"/>
        <v>3090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VLOOKUP(D44,gacha_309_base!A:B,2,FALSE)</f>
        <v>13667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3090201</v>
      </c>
      <c r="B45" s="2" t="str">
        <f t="shared" si="3"/>
        <v>3090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VLOOKUP(D45,gacha_309_base!A:B,2,FALSE)</f>
        <v>849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3090203</v>
      </c>
      <c r="B46" s="2" t="str">
        <f t="shared" si="3"/>
        <v>3090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VLOOKUP(D46,gacha_309_base!A:B,2,FALSE)</f>
        <v>13667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3090204</v>
      </c>
      <c r="B47" s="2" t="str">
        <f t="shared" si="3"/>
        <v>3090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VLOOKUP(D47,gacha_309_base!A:B,2,FALSE)</f>
        <v>849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3090206</v>
      </c>
      <c r="B48" s="2" t="str">
        <f t="shared" si="3"/>
        <v>3090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VLOOKUP(D48,gacha_309_base!A:B,2,FALSE)</f>
        <v>13667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3090207</v>
      </c>
      <c r="B49" s="2" t="str">
        <f t="shared" si="3"/>
        <v>3090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VLOOKUP(D49,gacha_309_base!A:B,2,FALSE)</f>
        <v>849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3090209</v>
      </c>
      <c r="B50" s="2" t="str">
        <f t="shared" si="3"/>
        <v>3090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VLOOKUP(D50,gacha_309_base!A:B,2,FALSE)</f>
        <v>13667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3090210</v>
      </c>
      <c r="B51" s="2" t="str">
        <f t="shared" si="3"/>
        <v>3090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VLOOKUP(D51,gacha_309_base!A:B,2,FALSE)</f>
        <v>849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3090212</v>
      </c>
      <c r="B52" s="2" t="str">
        <f t="shared" si="3"/>
        <v>3090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VLOOKUP(D52,gacha_309_base!A:B,2,FALSE)</f>
        <v>13667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3090213</v>
      </c>
      <c r="B53" s="2" t="str">
        <f t="shared" si="3"/>
        <v>3090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VLOOKUP(D53,gacha_309_base!A:B,2,FALSE)</f>
        <v>849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3090215</v>
      </c>
      <c r="B54" s="2" t="str">
        <f t="shared" si="3"/>
        <v>3090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VLOOKUP(D54,gacha_309_base!A:B,2,FALSE)</f>
        <v>13667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3090216</v>
      </c>
      <c r="B55" s="2" t="str">
        <f t="shared" si="3"/>
        <v>3090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VLOOKUP(D55,gacha_309_base!A:B,2,FALSE)</f>
        <v>849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3090218</v>
      </c>
      <c r="B56" s="2" t="str">
        <f t="shared" si="3"/>
        <v>3090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VLOOKUP(D56,gacha_309_base!A:B,2,FALSE)</f>
        <v>13667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3090219</v>
      </c>
      <c r="B57" s="2" t="str">
        <f t="shared" si="3"/>
        <v>3090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VLOOKUP(D57,gacha_309_base!A:B,2,FALSE)</f>
        <v>849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3090221</v>
      </c>
      <c r="B58" s="2" t="str">
        <f t="shared" si="3"/>
        <v>3090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VLOOKUP(D58,gacha_309_base!A:B,2,FALSE)</f>
        <v>13667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3090222</v>
      </c>
      <c r="B59" s="2" t="str">
        <f t="shared" si="3"/>
        <v>3090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VLOOKUP(D59,gacha_309_base!A:B,2,FALSE)</f>
        <v>849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3090224</v>
      </c>
      <c r="B60" s="2" t="str">
        <f t="shared" si="3"/>
        <v>3090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VLOOKUP(D60,gacha_309_base!A:B,2,FALSE)</f>
        <v>13667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3090225</v>
      </c>
      <c r="B61" s="2" t="str">
        <f t="shared" si="3"/>
        <v>3090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VLOOKUP(D61,gacha_309_base!A:B,2,FALSE)</f>
        <v>849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3090227</v>
      </c>
      <c r="B62" s="2" t="str">
        <f t="shared" si="3"/>
        <v>3090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VLOOKUP(D62,gacha_309_base!A:B,2,FALSE)</f>
        <v>13667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3090228</v>
      </c>
      <c r="B63" s="2" t="str">
        <f t="shared" si="3"/>
        <v>3090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VLOOKUP(D63,gacha_309_base!A:B,2,FALSE)</f>
        <v>849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3090230</v>
      </c>
      <c r="B64" s="2" t="str">
        <f t="shared" si="3"/>
        <v>3090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VLOOKUP(D64,gacha_309_base!A:B,2,FALSE)</f>
        <v>13667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3090231</v>
      </c>
      <c r="B65" s="2" t="str">
        <f t="shared" si="3"/>
        <v>3090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VLOOKUP(D65,gacha_309_base!A:B,2,FALSE)</f>
        <v>849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3090233</v>
      </c>
      <c r="B66" s="2" t="str">
        <f t="shared" si="3"/>
        <v>3090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VLOOKUP(D66,gacha_309_base!A:B,2,FALSE)</f>
        <v>13667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3090234</v>
      </c>
      <c r="B67" s="2" t="str">
        <f t="shared" ref="B67:B130" si="7">309&amp;E67</f>
        <v>3090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VLOOKUP(D67,gacha_309_base!A:B,2,FALSE)</f>
        <v>849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3090236</v>
      </c>
      <c r="B68" s="2" t="str">
        <f t="shared" si="7"/>
        <v>3090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VLOOKUP(D68,gacha_309_base!A:B,2,FALSE)</f>
        <v>13667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3090237</v>
      </c>
      <c r="B69" s="2" t="str">
        <f t="shared" si="7"/>
        <v>3090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VLOOKUP(D69,gacha_309_base!A:B,2,FALSE)</f>
        <v>849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3090239</v>
      </c>
      <c r="B70" s="2" t="str">
        <f t="shared" si="7"/>
        <v>3090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VLOOKUP(D70,gacha_309_base!A:B,2,FALSE)</f>
        <v>13667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3090240</v>
      </c>
      <c r="B71" s="2" t="str">
        <f t="shared" si="7"/>
        <v>3090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VLOOKUP(D71,gacha_309_base!A:B,2,FALSE)</f>
        <v>849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3090242</v>
      </c>
      <c r="B72" s="2" t="str">
        <f t="shared" si="7"/>
        <v>3090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VLOOKUP(D72,gacha_309_base!A:B,2,FALSE)</f>
        <v>13667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3090243</v>
      </c>
      <c r="B73" s="2" t="str">
        <f t="shared" si="7"/>
        <v>3090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VLOOKUP(D73,gacha_309_base!A:B,2,FALSE)</f>
        <v>849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3090245</v>
      </c>
      <c r="B74" s="2" t="str">
        <f t="shared" si="7"/>
        <v>3090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VLOOKUP(D74,gacha_309_base!A:B,2,FALSE)</f>
        <v>13667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3090246</v>
      </c>
      <c r="B75" s="2" t="str">
        <f t="shared" si="7"/>
        <v>3090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VLOOKUP(D75,gacha_309_base!A:B,2,FALSE)</f>
        <v>849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3090248</v>
      </c>
      <c r="B76" s="2" t="str">
        <f t="shared" si="7"/>
        <v>3090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VLOOKUP(D76,gacha_309_base!A:B,2,FALSE)</f>
        <v>13667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3090249</v>
      </c>
      <c r="B77" s="2" t="str">
        <f t="shared" si="7"/>
        <v>3090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VLOOKUP(D77,gacha_309_base!A:B,2,FALSE)</f>
        <v>849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3090251</v>
      </c>
      <c r="B78" s="2" t="str">
        <f t="shared" si="7"/>
        <v>3090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VLOOKUP(D78,gacha_309_base!A:B,2,FALSE)</f>
        <v>13667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3090252</v>
      </c>
      <c r="B79" s="2" t="str">
        <f t="shared" si="7"/>
        <v>3090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VLOOKUP(D79,gacha_309_base!A:B,2,FALSE)</f>
        <v>849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3090254</v>
      </c>
      <c r="B80" s="2" t="str">
        <f t="shared" si="7"/>
        <v>3090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VLOOKUP(D80,gacha_309_base!A:B,2,FALSE)</f>
        <v>13667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3090255</v>
      </c>
      <c r="B81" s="2" t="str">
        <f t="shared" si="7"/>
        <v>3090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VLOOKUP(D81,gacha_309_base!A:B,2,FALSE)</f>
        <v>849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3090257</v>
      </c>
      <c r="B82" s="2" t="str">
        <f t="shared" si="7"/>
        <v>3090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VLOOKUP(D82,gacha_309_base!A:B,2,FALSE)</f>
        <v>13667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3090258</v>
      </c>
      <c r="B83" s="2" t="str">
        <f t="shared" si="7"/>
        <v>3090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VLOOKUP(D83,gacha_309_base!A:B,2,FALSE)</f>
        <v>849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3090260</v>
      </c>
      <c r="B84" s="2" t="str">
        <f t="shared" si="7"/>
        <v>3090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VLOOKUP(D84,gacha_309_base!A:B,2,FALSE)</f>
        <v>13667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3090261</v>
      </c>
      <c r="B85" s="2" t="str">
        <f t="shared" si="7"/>
        <v>3090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VLOOKUP(D85,gacha_309_base!A:B,2,FALSE)</f>
        <v>849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3090320</v>
      </c>
      <c r="B86" s="2" t="str">
        <f t="shared" si="7"/>
        <v>3090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VLOOKUP(D86,gacha_309_base!A:B,2,FALSE)</f>
        <v>1177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3090321</v>
      </c>
      <c r="B87" s="2" t="str">
        <f t="shared" si="7"/>
        <v>3090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VLOOKUP(D87,gacha_309_base!A:B,2,FALSE)</f>
        <v>73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3090322</v>
      </c>
      <c r="B88" s="2" t="str">
        <f t="shared" si="7"/>
        <v>3090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VLOOKUP(D88,gacha_309_base!A:B,2,FALSE)</f>
        <v>1177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3090323</v>
      </c>
      <c r="B89" s="2" t="str">
        <f t="shared" si="7"/>
        <v>3090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VLOOKUP(D89,gacha_309_base!A:B,2,FALSE)</f>
        <v>73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3090324</v>
      </c>
      <c r="B90" s="2" t="str">
        <f t="shared" si="7"/>
        <v>3090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VLOOKUP(D90,gacha_309_base!A:B,2,FALSE)</f>
        <v>1177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3090325</v>
      </c>
      <c r="B91" s="2" t="str">
        <f t="shared" si="7"/>
        <v>3090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VLOOKUP(D91,gacha_309_base!A:B,2,FALSE)</f>
        <v>73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3090326</v>
      </c>
      <c r="B92" s="2" t="str">
        <f t="shared" si="7"/>
        <v>3090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VLOOKUP(D92,gacha_309_base!A:B,2,FALSE)</f>
        <v>1177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3090327</v>
      </c>
      <c r="B93" s="2" t="str">
        <f t="shared" si="7"/>
        <v>3090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VLOOKUP(D93,gacha_309_base!A:B,2,FALSE)</f>
        <v>73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3090381</v>
      </c>
      <c r="B94" s="2" t="str">
        <f t="shared" si="7"/>
        <v>3090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VLOOKUP(D94,gacha_309_base!A:B,2,FALSE)</f>
        <v>13667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3090382</v>
      </c>
      <c r="B95" s="2" t="str">
        <f t="shared" si="7"/>
        <v>3090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VLOOKUP(D95,gacha_309_base!A:B,2,FALSE)</f>
        <v>849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3090383</v>
      </c>
      <c r="B96" s="2" t="str">
        <f t="shared" si="7"/>
        <v>3090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VLOOKUP(D96,gacha_309_base!A:B,2,FALSE)</f>
        <v>1177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3090384</v>
      </c>
      <c r="B97" s="2" t="str">
        <f t="shared" si="7"/>
        <v>3090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VLOOKUP(D97,gacha_309_base!A:B,2,FALSE)</f>
        <v>73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3090385</v>
      </c>
      <c r="B98" s="2" t="str">
        <f t="shared" si="7"/>
        <v>3090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VLOOKUP(D98,gacha_309_base!A:B,2,FALSE)</f>
        <v>1177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3090386</v>
      </c>
      <c r="B99" s="2" t="str">
        <f t="shared" si="7"/>
        <v>3090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VLOOKUP(D99,gacha_309_base!A:B,2,FALSE)</f>
        <v>73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3090388</v>
      </c>
      <c r="B100" s="2" t="str">
        <f t="shared" si="7"/>
        <v>3090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VLOOKUP(D100,gacha_309_base!A:B,2,FALSE)</f>
        <v>13667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3090389</v>
      </c>
      <c r="B101" s="2" t="str">
        <f t="shared" si="7"/>
        <v>3090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VLOOKUP(D101,gacha_309_base!A:B,2,FALSE)</f>
        <v>849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3090390</v>
      </c>
      <c r="B102" s="2" t="str">
        <f t="shared" si="7"/>
        <v>3090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VLOOKUP(D102,gacha_309_base!A:B,2,FALSE)</f>
        <v>1177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3090391</v>
      </c>
      <c r="B103" s="2" t="str">
        <f t="shared" si="7"/>
        <v>3090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VLOOKUP(D103,gacha_309_base!A:B,2,FALSE)</f>
        <v>73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3090393</v>
      </c>
      <c r="B104" s="2" t="str">
        <f t="shared" si="7"/>
        <v>3090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VLOOKUP(D104,gacha_309_base!A:B,2,FALSE)</f>
        <v>13667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3090394</v>
      </c>
      <c r="B105" s="2" t="str">
        <f t="shared" si="7"/>
        <v>3090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VLOOKUP(D105,gacha_309_base!A:B,2,FALSE)</f>
        <v>849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3090396</v>
      </c>
      <c r="B106" s="2" t="str">
        <f t="shared" si="7"/>
        <v>3090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VLOOKUP(D106,gacha_309_base!A:B,2,FALSE)</f>
        <v>13667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3090397</v>
      </c>
      <c r="B107" s="2" t="str">
        <f t="shared" si="7"/>
        <v>3090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VLOOKUP(D107,gacha_309_base!A:B,2,FALSE)</f>
        <v>849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3090398</v>
      </c>
      <c r="B108" s="2" t="str">
        <f t="shared" si="7"/>
        <v>3090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VLOOKUP(D108,gacha_309_base!A:B,2,FALSE)</f>
        <v>1177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3090399</v>
      </c>
      <c r="B109" s="2" t="str">
        <f t="shared" si="7"/>
        <v>3090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VLOOKUP(D109,gacha_309_base!A:B,2,FALSE)</f>
        <v>73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3090401</v>
      </c>
      <c r="B110" s="2" t="str">
        <f t="shared" si="7"/>
        <v>3090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VLOOKUP(D110,gacha_309_base!A:B,2,FALSE)</f>
        <v>13667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3090402</v>
      </c>
      <c r="B111" s="2" t="str">
        <f t="shared" si="7"/>
        <v>3090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VLOOKUP(D111,gacha_309_base!A:B,2,FALSE)</f>
        <v>849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3090403</v>
      </c>
      <c r="B112" s="2" t="str">
        <f t="shared" si="7"/>
        <v>3090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VLOOKUP(D112,gacha_309_base!A:B,2,FALSE)</f>
        <v>1177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3090404</v>
      </c>
      <c r="B113" s="2" t="str">
        <f t="shared" si="7"/>
        <v>3090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VLOOKUP(D113,gacha_309_base!A:B,2,FALSE)</f>
        <v>73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3090406</v>
      </c>
      <c r="B114" s="2" t="str">
        <f t="shared" si="7"/>
        <v>3090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VLOOKUP(D114,gacha_309_base!A:B,2,FALSE)</f>
        <v>13667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3090407</v>
      </c>
      <c r="B115" s="2" t="str">
        <f t="shared" si="7"/>
        <v>3090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VLOOKUP(D115,gacha_309_base!A:B,2,FALSE)</f>
        <v>849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3090408</v>
      </c>
      <c r="B116" s="2" t="str">
        <f t="shared" si="7"/>
        <v>3090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VLOOKUP(D116,gacha_309_base!A:B,2,FALSE)</f>
        <v>1177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3090409</v>
      </c>
      <c r="B117" s="2" t="str">
        <f t="shared" si="7"/>
        <v>3090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VLOOKUP(D117,gacha_309_base!A:B,2,FALSE)</f>
        <v>73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3090434</v>
      </c>
      <c r="B118" s="2" t="str">
        <f t="shared" si="7"/>
        <v>3090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VLOOKUP(D118,gacha_309_base!A:B,2,FALSE)</f>
        <v>1177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3090435</v>
      </c>
      <c r="B119" s="2" t="str">
        <f t="shared" si="7"/>
        <v>3090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VLOOKUP(D119,gacha_309_base!A:B,2,FALSE)</f>
        <v>73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3090437</v>
      </c>
      <c r="B120" s="2" t="str">
        <f t="shared" si="7"/>
        <v>3090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VLOOKUP(D120,gacha_309_base!A:B,2,FALSE)</f>
        <v>13667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3090438</v>
      </c>
      <c r="B121" s="2" t="str">
        <f t="shared" si="7"/>
        <v>3090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VLOOKUP(D121,gacha_309_base!A:B,2,FALSE)</f>
        <v>849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3090440</v>
      </c>
      <c r="B122" s="2" t="str">
        <f t="shared" si="7"/>
        <v>3090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VLOOKUP(D122,gacha_309_base!A:B,2,FALSE)</f>
        <v>13667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3090441</v>
      </c>
      <c r="B123" s="2" t="str">
        <f t="shared" si="7"/>
        <v>3090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VLOOKUP(D123,gacha_309_base!A:B,2,FALSE)</f>
        <v>849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3090442</v>
      </c>
      <c r="B124" s="2" t="str">
        <f t="shared" si="7"/>
        <v>3090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VLOOKUP(D124,gacha_309_base!A:B,2,FALSE)</f>
        <v>1177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3090443</v>
      </c>
      <c r="B125" s="2" t="str">
        <f t="shared" si="7"/>
        <v>3090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VLOOKUP(D125,gacha_309_base!A:B,2,FALSE)</f>
        <v>73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3090463</v>
      </c>
      <c r="B126" s="2" t="str">
        <f t="shared" si="7"/>
        <v>3090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VLOOKUP(D126,gacha_309_base!A:B,2,FALSE)</f>
        <v>13667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3090464</v>
      </c>
      <c r="B127" s="2" t="str">
        <f t="shared" si="7"/>
        <v>3090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VLOOKUP(D127,gacha_309_base!A:B,2,FALSE)</f>
        <v>849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3090465</v>
      </c>
      <c r="B128" s="2" t="str">
        <f t="shared" si="7"/>
        <v>3090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VLOOKUP(D128,gacha_309_base!A:B,2,FALSE)</f>
        <v>1177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3090466</v>
      </c>
      <c r="B129" s="2" t="str">
        <f t="shared" si="7"/>
        <v>3090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VLOOKUP(D129,gacha_309_base!A:B,2,FALSE)</f>
        <v>73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3090467</v>
      </c>
      <c r="B130" s="2" t="str">
        <f t="shared" si="7"/>
        <v>3090</v>
      </c>
      <c r="C130" s="8" t="str">
        <f t="shared" si="8"/>
        <v>0PremiumSS4</v>
      </c>
      <c r="D130" s="8" t="str">
        <f t="shared" ref="D130:D209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VLOOKUP(D130,gacha_309_base!A:B,2,FALSE)</f>
        <v>1177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3090468</v>
      </c>
      <c r="B131" s="2" t="str">
        <f t="shared" ref="B131:B202" si="11">309&amp;E131</f>
        <v>3090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VLOOKUP(D131,gacha_309_base!A:B,2,FALSE)</f>
        <v>73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3090470</v>
      </c>
      <c r="B132" s="2" t="str">
        <f t="shared" si="11"/>
        <v>3090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VLOOKUP(D132,gacha_309_base!A:B,2,FALSE)</f>
        <v>13667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3090471</v>
      </c>
      <c r="B133" s="2" t="str">
        <f t="shared" si="11"/>
        <v>3090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VLOOKUP(D133,gacha_309_base!A:B,2,FALSE)</f>
        <v>849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3090474</v>
      </c>
      <c r="B134" s="2" t="str">
        <f t="shared" si="11"/>
        <v>3090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VLOOKUP(D134,gacha_309_base!A:B,2,FALSE)</f>
        <v>1177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3090475</v>
      </c>
      <c r="B135" s="2" t="str">
        <f t="shared" si="11"/>
        <v>3090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VLOOKUP(D135,gacha_309_base!A:B,2,FALSE)</f>
        <v>73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3090477</v>
      </c>
      <c r="B136" s="2" t="str">
        <f t="shared" si="11"/>
        <v>3090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VLOOKUP(D136,gacha_309_base!A:B,2,FALSE)</f>
        <v>13667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3090478</v>
      </c>
      <c r="B137" s="2" t="str">
        <f t="shared" si="11"/>
        <v>3090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VLOOKUP(D137,gacha_309_base!A:B,2,FALSE)</f>
        <v>849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3090479</v>
      </c>
      <c r="B138" s="2" t="str">
        <f t="shared" si="11"/>
        <v>3090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VLOOKUP(D138,gacha_309_base!A:B,2,FALSE)</f>
        <v>1177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3090480</v>
      </c>
      <c r="B139" s="2" t="str">
        <f t="shared" si="11"/>
        <v>3090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VLOOKUP(D139,gacha_309_base!A:B,2,FALSE)</f>
        <v>73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3090482</v>
      </c>
      <c r="B140" s="2" t="str">
        <f t="shared" si="11"/>
        <v>3090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VLOOKUP(D140,gacha_309_base!A:B,2,FALSE)</f>
        <v>13667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3090483</v>
      </c>
      <c r="B141" s="2" t="str">
        <f t="shared" si="11"/>
        <v>3090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VLOOKUP(D141,gacha_309_base!A:B,2,FALSE)</f>
        <v>849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73" si="15">B142&amp;F142</f>
        <v>3090492</v>
      </c>
      <c r="B142" s="2" t="str">
        <f t="shared" si="11"/>
        <v>3090</v>
      </c>
      <c r="C142" s="8" t="str">
        <f t="shared" ref="C142:C173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VLOOKUP(D142,gacha_309_base!A:B,2,FALSE)</f>
        <v>1177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3090493</v>
      </c>
      <c r="B143" s="2" t="str">
        <f t="shared" si="11"/>
        <v>3090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VLOOKUP(D143,gacha_309_base!A:B,2,FALSE)</f>
        <v>73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3090494</v>
      </c>
      <c r="B144" s="2" t="str">
        <f t="shared" si="11"/>
        <v>3090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VLOOKUP(D144,gacha_309_base!A:B,2,FALSE)</f>
        <v>1177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3090495</v>
      </c>
      <c r="B145" s="2" t="str">
        <f t="shared" si="11"/>
        <v>3090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VLOOKUP(D145,gacha_309_base!A:B,2,FALSE)</f>
        <v>73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3090497</v>
      </c>
      <c r="B146" s="2" t="str">
        <f t="shared" si="11"/>
        <v>3090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VLOOKUP(D146,gacha_309_base!A:B,2,FALSE)</f>
        <v>13667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3090498</v>
      </c>
      <c r="B147" s="2" t="str">
        <f t="shared" si="11"/>
        <v>3090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VLOOKUP(D147,gacha_309_base!A:B,2,FALSE)</f>
        <v>849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3090499</v>
      </c>
      <c r="B148" s="2" t="str">
        <f t="shared" si="11"/>
        <v>3090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VLOOKUP(D148,gacha_309_base!A:B,2,FALSE)</f>
        <v>1177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3090500</v>
      </c>
      <c r="B149" s="2" t="str">
        <f t="shared" si="11"/>
        <v>3090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VLOOKUP(D149,gacha_309_base!A:B,2,FALSE)</f>
        <v>73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3090586</v>
      </c>
      <c r="B150" s="2" t="str">
        <f t="shared" si="11"/>
        <v>3090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VLOOKUP(D150,gacha_309_base!A:B,2,FALSE)</f>
        <v>1177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3090587</v>
      </c>
      <c r="B151" s="2" t="str">
        <f t="shared" si="11"/>
        <v>3090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VLOOKUP(D151,gacha_309_base!A:B,2,FALSE)</f>
        <v>73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3090589</v>
      </c>
      <c r="B152" s="2" t="str">
        <f t="shared" si="11"/>
        <v>3090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VLOOKUP(D152,gacha_309_base!A:B,2,FALSE)</f>
        <v>13667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3090590</v>
      </c>
      <c r="B153" s="2" t="str">
        <f t="shared" si="11"/>
        <v>3090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VLOOKUP(D153,gacha_309_base!A:B,2,FALSE)</f>
        <v>849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3090592</v>
      </c>
      <c r="B154" s="2" t="str">
        <f t="shared" si="11"/>
        <v>3090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VLOOKUP(D154,gacha_309_base!A:B,2,FALSE)</f>
        <v>13667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3090593</v>
      </c>
      <c r="B155" s="2" t="str">
        <f t="shared" si="11"/>
        <v>3090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VLOOKUP(D155,gacha_309_base!A:B,2,FALSE)</f>
        <v>849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3090594</v>
      </c>
      <c r="B156" s="2" t="str">
        <f t="shared" si="11"/>
        <v>3090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VLOOKUP(D156,gacha_309_base!A:B,2,FALSE)</f>
        <v>1177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3090595</v>
      </c>
      <c r="B157" s="2" t="str">
        <f t="shared" si="11"/>
        <v>3090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VLOOKUP(D157,gacha_309_base!A:B,2,FALSE)</f>
        <v>73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si="15"/>
        <v>3090597</v>
      </c>
      <c r="B158" s="2" t="str">
        <f t="shared" si="11"/>
        <v>3090</v>
      </c>
      <c r="C158" s="8" t="str">
        <f t="shared" si="16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VLOOKUP(D158,gacha_309_base!A:B,2,FALSE)</f>
        <v>13667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5"/>
        <v>3090598</v>
      </c>
      <c r="B159" s="2" t="str">
        <f t="shared" si="11"/>
        <v>3090</v>
      </c>
      <c r="C159" s="8" t="str">
        <f t="shared" si="16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VLOOKUP(D159,gacha_309_base!A:B,2,FALSE)</f>
        <v>849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5"/>
        <v>3090600</v>
      </c>
      <c r="B160" s="2" t="str">
        <f t="shared" si="11"/>
        <v>3090</v>
      </c>
      <c r="C160" s="8" t="str">
        <f t="shared" si="16"/>
        <v>0PremiumS4</v>
      </c>
      <c r="D160" s="8" t="str">
        <f t="shared" si="1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VLOOKUP(D160,gacha_309_base!A:B,2,FALSE)</f>
        <v>13667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5"/>
        <v>3090601</v>
      </c>
      <c r="B161" s="2" t="str">
        <f t="shared" si="11"/>
        <v>3090</v>
      </c>
      <c r="C161" s="8" t="str">
        <f t="shared" si="16"/>
        <v>0PremiumS5</v>
      </c>
      <c r="D161" s="8" t="str">
        <f t="shared" si="1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VLOOKUP(D161,gacha_309_base!A:B,2,FALSE)</f>
        <v>849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5"/>
        <v>3090602</v>
      </c>
      <c r="B162" s="2" t="str">
        <f t="shared" si="11"/>
        <v>3090</v>
      </c>
      <c r="C162" s="8" t="str">
        <f t="shared" si="16"/>
        <v>0PremiumSS4</v>
      </c>
      <c r="D162" s="8" t="str">
        <f t="shared" si="10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VLOOKUP(D162,gacha_309_base!A:B,2,FALSE)</f>
        <v>1177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5"/>
        <v>3090603</v>
      </c>
      <c r="B163" s="2" t="str">
        <f t="shared" si="11"/>
        <v>3090</v>
      </c>
      <c r="C163" s="8" t="str">
        <f t="shared" si="16"/>
        <v>0PremiumSS5</v>
      </c>
      <c r="D163" s="8" t="str">
        <f t="shared" si="10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VLOOKUP(D163,gacha_309_base!A:B,2,FALSE)</f>
        <v>73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5"/>
        <v>3090605</v>
      </c>
      <c r="B164" s="2" t="str">
        <f t="shared" si="11"/>
        <v>3090</v>
      </c>
      <c r="C164" s="8" t="str">
        <f t="shared" si="16"/>
        <v>0PremiumS4</v>
      </c>
      <c r="D164" s="8" t="str">
        <f t="shared" si="10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VLOOKUP(D164,gacha_309_base!A:B,2,FALSE)</f>
        <v>13667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5"/>
        <v>3090606</v>
      </c>
      <c r="B165" s="2" t="str">
        <f t="shared" si="11"/>
        <v>3090</v>
      </c>
      <c r="C165" s="8" t="str">
        <f t="shared" si="16"/>
        <v>0PremiumS5</v>
      </c>
      <c r="D165" s="8" t="str">
        <f t="shared" si="10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VLOOKUP(D165,gacha_309_base!A:B,2,FALSE)</f>
        <v>849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5"/>
        <v>3090658</v>
      </c>
      <c r="B166" s="2" t="str">
        <f t="shared" si="11"/>
        <v>3090</v>
      </c>
      <c r="C166" s="8" t="str">
        <f t="shared" si="16"/>
        <v>0PremiumSS4</v>
      </c>
      <c r="D166" s="8" t="str">
        <f t="shared" si="10"/>
        <v>0PremiumSS4</v>
      </c>
      <c r="E166" s="10">
        <v>0</v>
      </c>
      <c r="F166" s="6">
        <v>658</v>
      </c>
      <c r="G166" s="8" t="str">
        <f>VLOOKUP(F166,[1]characters!$A:$C,3,FALSE)</f>
        <v>猫又 クルミ</v>
      </c>
      <c r="H166" s="8" t="str">
        <f>VLOOKUP(F166,[1]characters!$A:$J,10,FALSE)</f>
        <v>PremiumSS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VLOOKUP(D166,gacha_309_base!A:B,2,FALSE)</f>
        <v>1177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5"/>
        <v>3090659</v>
      </c>
      <c r="B167" s="2" t="str">
        <f t="shared" si="11"/>
        <v>3090</v>
      </c>
      <c r="C167" s="8" t="str">
        <f t="shared" si="16"/>
        <v>0PremiumSS5</v>
      </c>
      <c r="D167" s="8" t="str">
        <f t="shared" si="10"/>
        <v>0PremiumSS5</v>
      </c>
      <c r="E167" s="10">
        <v>0</v>
      </c>
      <c r="F167" s="6">
        <v>659</v>
      </c>
      <c r="G167" s="8" t="str">
        <f>VLOOKUP(F167,[1]characters!$A:$C,3,FALSE)</f>
        <v>跳梁する化猫 クルミ</v>
      </c>
      <c r="H167" s="8" t="str">
        <f>VLOOKUP(F167,[1]characters!$A:$J,10,FALSE)</f>
        <v>PremiumSS</v>
      </c>
      <c r="I167" s="8">
        <f>VLOOKUP(F167,[1]characters!$A:$I,9,FALSE)</f>
        <v>5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VLOOKUP(D167,gacha_309_base!A:B,2,FALSE)</f>
        <v>73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5"/>
        <v>3090660</v>
      </c>
      <c r="B168" s="2" t="str">
        <f t="shared" si="11"/>
        <v>3090</v>
      </c>
      <c r="C168" s="8" t="str">
        <f t="shared" si="16"/>
        <v>0PremiumSS4</v>
      </c>
      <c r="D168" s="8" t="str">
        <f t="shared" si="10"/>
        <v>0PremiumSS4</v>
      </c>
      <c r="E168" s="10">
        <v>0</v>
      </c>
      <c r="F168" s="6">
        <v>660</v>
      </c>
      <c r="G168" s="8" t="str">
        <f>VLOOKUP(F168,[1]characters!$A:$C,3,FALSE)</f>
        <v>烏天狗 フウガ</v>
      </c>
      <c r="H168" s="8" t="str">
        <f>VLOOKUP(F168,[1]characters!$A:$J,10,FALSE)</f>
        <v>PremiumSS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animal</v>
      </c>
      <c r="M168" s="16">
        <f>VLOOKUP(D168,gacha_309_base!A:B,2,FALSE)</f>
        <v>1177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5"/>
        <v>3090661</v>
      </c>
      <c r="B169" s="2" t="str">
        <f t="shared" si="11"/>
        <v>3090</v>
      </c>
      <c r="C169" s="8" t="str">
        <f t="shared" si="16"/>
        <v>0PremiumSS5</v>
      </c>
      <c r="D169" s="8" t="str">
        <f t="shared" si="10"/>
        <v>0PremiumSS5</v>
      </c>
      <c r="E169" s="10">
        <v>0</v>
      </c>
      <c r="F169" s="6">
        <v>661</v>
      </c>
      <c r="G169" s="8" t="str">
        <f>VLOOKUP(F169,[1]characters!$A:$C,3,FALSE)</f>
        <v>疾風の天狗礫 フウガ</v>
      </c>
      <c r="H169" s="8" t="str">
        <f>VLOOKUP(F169,[1]characters!$A:$J,10,FALSE)</f>
        <v>PremiumSS</v>
      </c>
      <c r="I169" s="8">
        <f>VLOOKUP(F169,[1]characters!$A:$I,9,FALSE)</f>
        <v>5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VLOOKUP(D169,gacha_309_base!A:B,2,FALSE)</f>
        <v>73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15"/>
        <v>3090663</v>
      </c>
      <c r="B170" s="2" t="str">
        <f t="shared" si="11"/>
        <v>3090</v>
      </c>
      <c r="C170" s="8" t="str">
        <f t="shared" si="16"/>
        <v>0PremiumS4</v>
      </c>
      <c r="D170" s="8" t="str">
        <f t="shared" si="10"/>
        <v>0PremiumS4</v>
      </c>
      <c r="E170" s="10">
        <v>0</v>
      </c>
      <c r="F170" s="6">
        <v>663</v>
      </c>
      <c r="G170" s="8" t="str">
        <f>VLOOKUP(F170,[1]characters!$A:$C,3,FALSE)</f>
        <v>都揺らす地響き ダイダラ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hp</v>
      </c>
      <c r="L170" s="8" t="str">
        <f>VLOOKUP(F170,[1]characters!$A:$M,13,FALSE)</f>
        <v>unknown</v>
      </c>
      <c r="M170" s="16">
        <f>VLOOKUP(D170,gacha_309_base!A:B,2,FALSE)</f>
        <v>13667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15"/>
        <v>3090664</v>
      </c>
      <c r="B171" s="2" t="str">
        <f t="shared" si="11"/>
        <v>3090</v>
      </c>
      <c r="C171" s="8" t="str">
        <f t="shared" si="16"/>
        <v>0PremiumS5</v>
      </c>
      <c r="D171" s="8" t="str">
        <f t="shared" si="10"/>
        <v>0PremiumS5</v>
      </c>
      <c r="E171" s="10">
        <v>0</v>
      </c>
      <c r="F171" s="6">
        <v>664</v>
      </c>
      <c r="G171" s="8" t="str">
        <f>VLOOKUP(F171,[1]characters!$A:$C,3,FALSE)</f>
        <v>山掴み国造り ダイダラ</v>
      </c>
      <c r="H171" s="8" t="str">
        <f>VLOOKUP(F171,[1]characters!$A:$J,10,FALSE)</f>
        <v>PremiumS</v>
      </c>
      <c r="I171" s="8">
        <f>VLOOKUP(F171,[1]characters!$A:$I,9,FALSE)</f>
        <v>5</v>
      </c>
      <c r="J171" s="8" t="str">
        <f>VLOOKUP(F171,[1]characters!$A:$H,8,FALSE)</f>
        <v>blue</v>
      </c>
      <c r="K171" s="8" t="str">
        <f>VLOOKUP(F171,[1]characters!$A:$K,11,FALSE)</f>
        <v>hp</v>
      </c>
      <c r="L171" s="8" t="str">
        <f>VLOOKUP(F171,[1]characters!$A:$M,13,FALSE)</f>
        <v>unknown</v>
      </c>
      <c r="M171" s="16">
        <f>VLOOKUP(D171,gacha_309_base!A:B,2,FALSE)</f>
        <v>849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5"/>
        <v>3090666</v>
      </c>
      <c r="B172" s="2" t="str">
        <f t="shared" si="11"/>
        <v>3090</v>
      </c>
      <c r="C172" s="8" t="str">
        <f t="shared" si="16"/>
        <v>0PremiumS4</v>
      </c>
      <c r="D172" s="8" t="str">
        <f t="shared" si="10"/>
        <v>0PremiumS4</v>
      </c>
      <c r="E172" s="10">
        <v>0</v>
      </c>
      <c r="F172" s="6">
        <v>666</v>
      </c>
      <c r="G172" s="8" t="str">
        <f>VLOOKUP(F172,[1]characters!$A:$C,3,FALSE)</f>
        <v>拡散する幸福 テマリ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unknown</v>
      </c>
      <c r="M172" s="16">
        <f>VLOOKUP(D172,gacha_309_base!A:B,2,FALSE)</f>
        <v>13667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5"/>
        <v>3090667</v>
      </c>
      <c r="B173" s="2" t="str">
        <f t="shared" si="11"/>
        <v>3090</v>
      </c>
      <c r="C173" s="8" t="str">
        <f t="shared" si="16"/>
        <v>0PremiumS5</v>
      </c>
      <c r="D173" s="8" t="str">
        <f t="shared" si="10"/>
        <v>0PremiumS5</v>
      </c>
      <c r="E173" s="10">
        <v>0</v>
      </c>
      <c r="F173" s="6">
        <v>667</v>
      </c>
      <c r="G173" s="8" t="str">
        <f>VLOOKUP(F173,[1]characters!$A:$C,3,FALSE)</f>
        <v>最幸運の妖童 テマリ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unknown</v>
      </c>
      <c r="M173" s="16">
        <f>VLOOKUP(D173,gacha_309_base!A:B,2,FALSE)</f>
        <v>849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ref="A174:A181" si="17">B174&amp;F174</f>
        <v>3090669</v>
      </c>
      <c r="B174" s="2" t="str">
        <f t="shared" ref="B174:B181" si="18">309&amp;E174</f>
        <v>3090</v>
      </c>
      <c r="C174" s="8" t="str">
        <f t="shared" ref="C174:C181" si="19">E174&amp;H174&amp;I174</f>
        <v>0PremiumS4</v>
      </c>
      <c r="D174" s="8" t="str">
        <f>E174&amp;H174&amp;I174&amp;"new"</f>
        <v>0PremiumS4new</v>
      </c>
      <c r="E174" s="10">
        <v>0</v>
      </c>
      <c r="F174" s="6">
        <v>669</v>
      </c>
      <c r="G174" s="8" t="str">
        <f>VLOOKUP(F174,[1]characters!$A:$C,3,FALSE)</f>
        <v>アグニ</v>
      </c>
      <c r="H174" s="8" t="str">
        <f>VLOOKUP(F174,[1]characters!$A:$J,10,FALSE)</f>
        <v>PremiumS</v>
      </c>
      <c r="I174" s="8">
        <f>VLOOKUP(F174,[1]characters!$A:$I,9,FALSE)</f>
        <v>4</v>
      </c>
      <c r="J174" s="8" t="str">
        <f>VLOOKUP(F174,[1]characters!$A:$H,8,FALSE)</f>
        <v>red</v>
      </c>
      <c r="K174" s="8" t="str">
        <f>VLOOKUP(F174,[1]characters!$A:$K,11,FALSE)</f>
        <v>hp</v>
      </c>
      <c r="L174" s="8" t="str">
        <f>VLOOKUP(F174,[1]characters!$A:$M,13,FALSE)</f>
        <v>god</v>
      </c>
      <c r="M174" s="16">
        <f>VLOOKUP(D174,gacha_309_base!A:B,2,FALSE)</f>
        <v>28245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17"/>
        <v>3090670</v>
      </c>
      <c r="B175" s="2" t="str">
        <f t="shared" si="18"/>
        <v>3090</v>
      </c>
      <c r="C175" s="8" t="str">
        <f t="shared" si="19"/>
        <v>0PremiumS5</v>
      </c>
      <c r="D175" s="8" t="str">
        <f t="shared" ref="D175:D181" si="20">E175&amp;H175&amp;I175&amp;"new"</f>
        <v>0PremiumS5new</v>
      </c>
      <c r="E175" s="10">
        <v>0</v>
      </c>
      <c r="F175" s="6">
        <v>670</v>
      </c>
      <c r="G175" s="8" t="str">
        <f>VLOOKUP(F175,[1]characters!$A:$C,3,FALSE)</f>
        <v>アグニ</v>
      </c>
      <c r="H175" s="8" t="str">
        <f>VLOOKUP(F175,[1]characters!$A:$J,10,FALSE)</f>
        <v>PremiumS</v>
      </c>
      <c r="I175" s="8">
        <f>VLOOKUP(F175,[1]characters!$A:$I,9,FALSE)</f>
        <v>5</v>
      </c>
      <c r="J175" s="8" t="str">
        <f>VLOOKUP(F175,[1]characters!$A:$H,8,FALSE)</f>
        <v>red</v>
      </c>
      <c r="K175" s="8" t="str">
        <f>VLOOKUP(F175,[1]characters!$A:$K,11,FALSE)</f>
        <v>hp</v>
      </c>
      <c r="L175" s="8" t="str">
        <f>VLOOKUP(F175,[1]characters!$A:$M,13,FALSE)</f>
        <v>god</v>
      </c>
      <c r="M175" s="16">
        <f>VLOOKUP(D175,gacha_309_base!A:B,2,FALSE)</f>
        <v>1755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7"/>
        <v>3090672</v>
      </c>
      <c r="B176" s="2" t="str">
        <f t="shared" si="18"/>
        <v>3090</v>
      </c>
      <c r="C176" s="8" t="str">
        <f t="shared" si="19"/>
        <v>0PremiumS4</v>
      </c>
      <c r="D176" s="8" t="str">
        <f t="shared" si="20"/>
        <v>0PremiumS4new</v>
      </c>
      <c r="E176" s="10">
        <v>0</v>
      </c>
      <c r="F176" s="6">
        <v>672</v>
      </c>
      <c r="G176" s="8" t="str">
        <f>VLOOKUP(F176,[1]characters!$A:$C,3,FALSE)</f>
        <v>ハヌマーン</v>
      </c>
      <c r="H176" s="8" t="str">
        <f>VLOOKUP(F176,[1]characters!$A:$J,10,FALSE)</f>
        <v>PremiumS</v>
      </c>
      <c r="I176" s="8">
        <f>VLOOKUP(F176,[1]characters!$A:$I,9,FALSE)</f>
        <v>4</v>
      </c>
      <c r="J176" s="8" t="str">
        <f>VLOOKUP(F176,[1]characters!$A:$H,8,FALSE)</f>
        <v>green</v>
      </c>
      <c r="K176" s="8" t="str">
        <f>VLOOKUP(F176,[1]characters!$A:$K,11,FALSE)</f>
        <v>attack</v>
      </c>
      <c r="L176" s="8" t="str">
        <f>VLOOKUP(F176,[1]characters!$A:$M,13,FALSE)</f>
        <v>animal</v>
      </c>
      <c r="M176" s="16">
        <f>VLOOKUP(D176,gacha_309_base!A:B,2,FALSE)</f>
        <v>28245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7"/>
        <v>3090673</v>
      </c>
      <c r="B177" s="2" t="str">
        <f t="shared" si="18"/>
        <v>3090</v>
      </c>
      <c r="C177" s="8" t="str">
        <f t="shared" si="19"/>
        <v>0PremiumS5</v>
      </c>
      <c r="D177" s="8" t="str">
        <f t="shared" si="20"/>
        <v>0PremiumS5new</v>
      </c>
      <c r="E177" s="10">
        <v>0</v>
      </c>
      <c r="F177" s="6">
        <v>673</v>
      </c>
      <c r="G177" s="8" t="str">
        <f>VLOOKUP(F177,[1]characters!$A:$C,3,FALSE)</f>
        <v>ハヌマーン</v>
      </c>
      <c r="H177" s="8" t="str">
        <f>VLOOKUP(F177,[1]characters!$A:$J,10,FALSE)</f>
        <v>PremiumS</v>
      </c>
      <c r="I177" s="8">
        <f>VLOOKUP(F177,[1]characters!$A:$I,9,FALSE)</f>
        <v>5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animal</v>
      </c>
      <c r="M177" s="16">
        <f>VLOOKUP(D177,gacha_309_base!A:B,2,FALSE)</f>
        <v>1755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7"/>
        <v>3090674</v>
      </c>
      <c r="B178" s="2" t="str">
        <f t="shared" si="18"/>
        <v>3090</v>
      </c>
      <c r="C178" s="8" t="str">
        <f t="shared" si="19"/>
        <v>0PremiumSS4</v>
      </c>
      <c r="D178" s="8" t="str">
        <f t="shared" si="20"/>
        <v>0PremiumSS4new</v>
      </c>
      <c r="E178" s="10">
        <v>0</v>
      </c>
      <c r="F178" s="6">
        <v>674</v>
      </c>
      <c r="G178" s="8" t="str">
        <f>VLOOKUP(F178,[1]characters!$A:$C,3,FALSE)</f>
        <v>サラスヴァティ</v>
      </c>
      <c r="H178" s="8" t="str">
        <f>VLOOKUP(F178,[1]characters!$A:$J,10,FALSE)</f>
        <v>PremiumSS</v>
      </c>
      <c r="I178" s="8">
        <f>VLOOKUP(F178,[1]characters!$A:$I,9,FALSE)</f>
        <v>4</v>
      </c>
      <c r="J178" s="8" t="str">
        <f>VLOOKUP(F178,[1]characters!$A:$H,8,FALSE)</f>
        <v>blue</v>
      </c>
      <c r="K178" s="8" t="str">
        <f>VLOOKUP(F178,[1]characters!$A:$K,11,FALSE)</f>
        <v>balance</v>
      </c>
      <c r="L178" s="8" t="str">
        <f>VLOOKUP(F178,[1]characters!$A:$M,13,FALSE)</f>
        <v>animal</v>
      </c>
      <c r="M178" s="16">
        <f>VLOOKUP(D178,gacha_309_base!A:B,2,FALSE)</f>
        <v>4708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7"/>
        <v>3090675</v>
      </c>
      <c r="B179" s="2" t="str">
        <f t="shared" si="18"/>
        <v>3090</v>
      </c>
      <c r="C179" s="8" t="str">
        <f t="shared" si="19"/>
        <v>0PremiumSS5</v>
      </c>
      <c r="D179" s="8" t="str">
        <f t="shared" si="20"/>
        <v>0PremiumSS5new</v>
      </c>
      <c r="E179" s="10">
        <v>0</v>
      </c>
      <c r="F179" s="6">
        <v>675</v>
      </c>
      <c r="G179" s="8" t="str">
        <f>VLOOKUP(F179,[1]characters!$A:$C,3,FALSE)</f>
        <v>サラスヴァティ</v>
      </c>
      <c r="H179" s="8" t="str">
        <f>VLOOKUP(F179,[1]characters!$A:$J,10,FALSE)</f>
        <v>PremiumSS</v>
      </c>
      <c r="I179" s="8">
        <f>VLOOKUP(F179,[1]characters!$A:$I,9,FALSE)</f>
        <v>5</v>
      </c>
      <c r="J179" s="8" t="str">
        <f>VLOOKUP(F179,[1]characters!$A:$H,8,FALSE)</f>
        <v>blue</v>
      </c>
      <c r="K179" s="8" t="str">
        <f>VLOOKUP(F179,[1]characters!$A:$K,11,FALSE)</f>
        <v>balance</v>
      </c>
      <c r="L179" s="8" t="str">
        <f>VLOOKUP(F179,[1]characters!$A:$M,13,FALSE)</f>
        <v>god</v>
      </c>
      <c r="M179" s="16">
        <f>VLOOKUP(D179,gacha_309_base!A:B,2,FALSE)</f>
        <v>293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7"/>
        <v>3090676</v>
      </c>
      <c r="B180" s="2" t="str">
        <f t="shared" si="18"/>
        <v>3090</v>
      </c>
      <c r="C180" s="8" t="str">
        <f t="shared" si="19"/>
        <v>0PremiumSS4</v>
      </c>
      <c r="D180" s="8" t="str">
        <f t="shared" si="20"/>
        <v>0PremiumSS4new</v>
      </c>
      <c r="E180" s="10">
        <v>0</v>
      </c>
      <c r="F180" s="6">
        <v>676</v>
      </c>
      <c r="G180" s="8" t="str">
        <f>VLOOKUP(F180,[1]characters!$A:$C,3,FALSE)</f>
        <v>ヴィシュヌ</v>
      </c>
      <c r="H180" s="8" t="str">
        <f>VLOOKUP(F180,[1]characters!$A:$J,10,FALSE)</f>
        <v>PremiumSS</v>
      </c>
      <c r="I180" s="8">
        <f>VLOOKUP(F180,[1]characters!$A:$I,9,FALSE)</f>
        <v>4</v>
      </c>
      <c r="J180" s="8" t="str">
        <f>VLOOKUP(F180,[1]characters!$A:$H,8,FALSE)</f>
        <v>yellow</v>
      </c>
      <c r="K180" s="8" t="str">
        <f>VLOOKUP(F180,[1]characters!$A:$K,11,FALSE)</f>
        <v>attack</v>
      </c>
      <c r="L180" s="8" t="str">
        <f>VLOOKUP(F180,[1]characters!$A:$M,13,FALSE)</f>
        <v>god</v>
      </c>
      <c r="M180" s="16">
        <f>VLOOKUP(D180,gacha_309_base!A:B,2,FALSE)</f>
        <v>4708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7"/>
        <v>3090677</v>
      </c>
      <c r="B181" s="2" t="str">
        <f t="shared" si="18"/>
        <v>3090</v>
      </c>
      <c r="C181" s="8" t="str">
        <f t="shared" si="19"/>
        <v>0PremiumSS5</v>
      </c>
      <c r="D181" s="8" t="str">
        <f t="shared" si="20"/>
        <v>0PremiumSS5new</v>
      </c>
      <c r="E181" s="10">
        <v>0</v>
      </c>
      <c r="F181" s="6">
        <v>677</v>
      </c>
      <c r="G181" s="8" t="str">
        <f>VLOOKUP(F181,[1]characters!$A:$C,3,FALSE)</f>
        <v>ヴィシュヌ</v>
      </c>
      <c r="H181" s="8" t="str">
        <f>VLOOKUP(F181,[1]characters!$A:$J,10,FALSE)</f>
        <v>PremiumSS</v>
      </c>
      <c r="I181" s="8">
        <f>VLOOKUP(F181,[1]characters!$A:$I,9,FALSE)</f>
        <v>5</v>
      </c>
      <c r="J181" s="8" t="str">
        <f>VLOOKUP(F181,[1]characters!$A:$H,8,FALSE)</f>
        <v>yellow</v>
      </c>
      <c r="K181" s="8" t="str">
        <f>VLOOKUP(F181,[1]characters!$A:$K,11,FALSE)</f>
        <v>attack</v>
      </c>
      <c r="L181" s="8" t="str">
        <f>VLOOKUP(F181,[1]characters!$A:$M,13,FALSE)</f>
        <v>god</v>
      </c>
      <c r="M181" s="16">
        <f>VLOOKUP(D181,gacha_309_base!A:B,2,FALSE)</f>
        <v>293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>B182&amp;F182</f>
        <v>3091126</v>
      </c>
      <c r="B182" s="2" t="str">
        <f t="shared" si="11"/>
        <v>3091</v>
      </c>
      <c r="C182" s="8" t="str">
        <f t="shared" ref="C182:C245" si="21">E182&amp;H182&amp;I182</f>
        <v>1PremiumW3</v>
      </c>
      <c r="D182" s="8" t="str">
        <f t="shared" si="10"/>
        <v>1PremiumW3</v>
      </c>
      <c r="E182" s="10">
        <v>1</v>
      </c>
      <c r="F182" s="6">
        <v>126</v>
      </c>
      <c r="G182" s="8" t="str">
        <f>VLOOKUP(F182,[1]characters!$A:$C,3,FALSE)</f>
        <v>骨器使い ユノ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attack</v>
      </c>
      <c r="L182" s="8" t="str">
        <f>VLOOKUP(F182,[1]characters!$A:$M,13,FALSE)</f>
        <v>human</v>
      </c>
      <c r="M182" s="16">
        <f>VLOOKUP(D182,gacha_309_base!A:B,2,FALSE)</f>
        <v>4592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ref="A183:A246" si="22">B183&amp;F183</f>
        <v>3091127</v>
      </c>
      <c r="B183" s="2" t="str">
        <f t="shared" si="11"/>
        <v>3091</v>
      </c>
      <c r="C183" s="8" t="str">
        <f t="shared" si="21"/>
        <v>1PremiumW4</v>
      </c>
      <c r="D183" s="8" t="str">
        <f t="shared" si="10"/>
        <v>1PremiumW4</v>
      </c>
      <c r="E183" s="10">
        <v>1</v>
      </c>
      <c r="F183" s="6">
        <v>127</v>
      </c>
      <c r="G183" s="8" t="str">
        <f>VLOOKUP(F183,[1]characters!$A:$C,3,FALSE)</f>
        <v>狂喜の賢者 ユノ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attack</v>
      </c>
      <c r="L183" s="8" t="str">
        <f>VLOOKUP(F183,[1]characters!$A:$M,13,FALSE)</f>
        <v>human</v>
      </c>
      <c r="M183" s="16">
        <f>VLOOKUP(D183,gacha_309_base!A:B,2,FALSE)</f>
        <v>4592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22"/>
        <v>3091128</v>
      </c>
      <c r="B184" s="2" t="str">
        <f t="shared" si="11"/>
        <v>3091</v>
      </c>
      <c r="C184" s="8" t="str">
        <f t="shared" si="21"/>
        <v>1PremiumW3</v>
      </c>
      <c r="D184" s="8" t="str">
        <f t="shared" si="10"/>
        <v>1PremiumW3</v>
      </c>
      <c r="E184" s="10">
        <v>1</v>
      </c>
      <c r="F184" s="6">
        <v>128</v>
      </c>
      <c r="G184" s="8" t="str">
        <f>VLOOKUP(F184,[1]characters!$A:$C,3,FALSE)</f>
        <v>野生児 アマラ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attack</v>
      </c>
      <c r="L184" s="8" t="str">
        <f>VLOOKUP(F184,[1]characters!$A:$M,13,FALSE)</f>
        <v>human</v>
      </c>
      <c r="M184" s="16">
        <f>VLOOKUP(D184,gacha_309_base!A:B,2,FALSE)</f>
        <v>4592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22"/>
        <v>3091129</v>
      </c>
      <c r="B185" s="2" t="str">
        <f t="shared" si="11"/>
        <v>3091</v>
      </c>
      <c r="C185" s="8" t="str">
        <f t="shared" si="21"/>
        <v>1PremiumW4</v>
      </c>
      <c r="D185" s="8" t="str">
        <f t="shared" si="10"/>
        <v>1PremiumW4</v>
      </c>
      <c r="E185" s="10">
        <v>1</v>
      </c>
      <c r="F185" s="6">
        <v>129</v>
      </c>
      <c r="G185" s="8" t="str">
        <f>VLOOKUP(F185,[1]characters!$A:$C,3,FALSE)</f>
        <v>孤高の狼憑き アマラ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attack</v>
      </c>
      <c r="L185" s="8" t="str">
        <f>VLOOKUP(F185,[1]characters!$A:$M,13,FALSE)</f>
        <v>human</v>
      </c>
      <c r="M185" s="16">
        <f>VLOOKUP(D185,gacha_309_base!A:B,2,FALSE)</f>
        <v>4592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22"/>
        <v>3091130</v>
      </c>
      <c r="B186" s="2" t="str">
        <f t="shared" si="11"/>
        <v>3091</v>
      </c>
      <c r="C186" s="8" t="str">
        <f t="shared" si="21"/>
        <v>1PremiumW3</v>
      </c>
      <c r="D186" s="8" t="str">
        <f t="shared" si="10"/>
        <v>1PremiumW3</v>
      </c>
      <c r="E186" s="10">
        <v>1</v>
      </c>
      <c r="F186" s="6">
        <v>130</v>
      </c>
      <c r="G186" s="8" t="str">
        <f>VLOOKUP(F186,[1]characters!$A:$C,3,FALSE)</f>
        <v>狼男 ローレンス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attack</v>
      </c>
      <c r="L186" s="8" t="str">
        <f>VLOOKUP(F186,[1]characters!$A:$M,13,FALSE)</f>
        <v>animal</v>
      </c>
      <c r="M186" s="16">
        <f>VLOOKUP(D186,gacha_309_base!A:B,2,FALSE)</f>
        <v>4592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22"/>
        <v>3091131</v>
      </c>
      <c r="B187" s="2" t="str">
        <f t="shared" si="11"/>
        <v>3091</v>
      </c>
      <c r="C187" s="8" t="str">
        <f t="shared" si="21"/>
        <v>1PremiumW4</v>
      </c>
      <c r="D187" s="8" t="str">
        <f t="shared" si="10"/>
        <v>1PremiumW4</v>
      </c>
      <c r="E187" s="10">
        <v>1</v>
      </c>
      <c r="F187" s="6">
        <v>131</v>
      </c>
      <c r="G187" s="8" t="str">
        <f>VLOOKUP(F187,[1]characters!$A:$C,3,FALSE)</f>
        <v>月下の人狼 ローレンス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attack</v>
      </c>
      <c r="L187" s="8" t="str">
        <f>VLOOKUP(F187,[1]characters!$A:$M,13,FALSE)</f>
        <v>animal</v>
      </c>
      <c r="M187" s="16">
        <f>VLOOKUP(D187,gacha_309_base!A:B,2,FALSE)</f>
        <v>4592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22"/>
        <v>3091132</v>
      </c>
      <c r="B188" s="2" t="str">
        <f t="shared" si="11"/>
        <v>3091</v>
      </c>
      <c r="C188" s="8" t="str">
        <f t="shared" si="21"/>
        <v>1PremiumW3</v>
      </c>
      <c r="D188" s="8" t="str">
        <f t="shared" si="10"/>
        <v>1PremiumW3</v>
      </c>
      <c r="E188" s="10">
        <v>1</v>
      </c>
      <c r="F188" s="6">
        <v>132</v>
      </c>
      <c r="G188" s="8" t="str">
        <f>VLOOKUP(F188,[1]characters!$A:$C,3,FALSE)</f>
        <v>鳥人ハヤト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attack</v>
      </c>
      <c r="L188" s="8" t="str">
        <f>VLOOKUP(F188,[1]characters!$A:$M,13,FALSE)</f>
        <v>human</v>
      </c>
      <c r="M188" s="16">
        <f>VLOOKUP(D188,gacha_309_base!A:B,2,FALSE)</f>
        <v>4592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22"/>
        <v>3091133</v>
      </c>
      <c r="B189" s="2" t="str">
        <f t="shared" si="11"/>
        <v>3091</v>
      </c>
      <c r="C189" s="8" t="str">
        <f t="shared" si="21"/>
        <v>1PremiumW4</v>
      </c>
      <c r="D189" s="8" t="str">
        <f t="shared" si="10"/>
        <v>1PremiumW4</v>
      </c>
      <c r="E189" s="10">
        <v>1</v>
      </c>
      <c r="F189" s="6">
        <v>133</v>
      </c>
      <c r="G189" s="8" t="str">
        <f>VLOOKUP(F189,[1]characters!$A:$C,3,FALSE)</f>
        <v>迅雷の刀剣 ハヤト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attack</v>
      </c>
      <c r="L189" s="8" t="str">
        <f>VLOOKUP(F189,[1]characters!$A:$M,13,FALSE)</f>
        <v>human</v>
      </c>
      <c r="M189" s="16">
        <f>VLOOKUP(D189,gacha_309_base!A:B,2,FALSE)</f>
        <v>4592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22"/>
        <v>3091134</v>
      </c>
      <c r="B190" s="2" t="str">
        <f t="shared" si="11"/>
        <v>3091</v>
      </c>
      <c r="C190" s="8" t="str">
        <f t="shared" si="21"/>
        <v>1PremiumW3</v>
      </c>
      <c r="D190" s="8" t="str">
        <f t="shared" si="10"/>
        <v>1PremiumW3</v>
      </c>
      <c r="E190" s="10">
        <v>1</v>
      </c>
      <c r="F190" s="6">
        <v>134</v>
      </c>
      <c r="G190" s="8" t="str">
        <f>VLOOKUP(F190,[1]characters!$A:$C,3,FALSE)</f>
        <v>妖炎の夕霧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VLOOKUP(D190,gacha_309_base!A:B,2,FALSE)</f>
        <v>4592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22"/>
        <v>3091135</v>
      </c>
      <c r="B191" s="2" t="str">
        <f t="shared" si="11"/>
        <v>3091</v>
      </c>
      <c r="C191" s="8" t="str">
        <f t="shared" si="21"/>
        <v>1PremiumW4</v>
      </c>
      <c r="D191" s="8" t="str">
        <f t="shared" si="10"/>
        <v>1PremiumW4</v>
      </c>
      <c r="E191" s="10">
        <v>1</v>
      </c>
      <c r="F191" s="6">
        <v>135</v>
      </c>
      <c r="G191" s="8" t="str">
        <f>VLOOKUP(F191,[1]characters!$A:$C,3,FALSE)</f>
        <v>京の炎華夕霧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16">
        <f>VLOOKUP(D191,gacha_309_base!A:B,2,FALSE)</f>
        <v>4592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22"/>
        <v>3091136</v>
      </c>
      <c r="B192" s="2" t="str">
        <f t="shared" si="11"/>
        <v>3091</v>
      </c>
      <c r="C192" s="8" t="str">
        <f t="shared" si="21"/>
        <v>1PremiumW3</v>
      </c>
      <c r="D192" s="8" t="str">
        <f t="shared" si="10"/>
        <v>1PremiumW3</v>
      </c>
      <c r="E192" s="10">
        <v>1</v>
      </c>
      <c r="F192" s="9">
        <v>136</v>
      </c>
      <c r="G192" s="8" t="str">
        <f>VLOOKUP(F192,[1]characters!$A:$C,3,FALSE)</f>
        <v>お針子チハヤ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16">
        <f>VLOOKUP(D192,gacha_309_base!A:B,2,FALSE)</f>
        <v>4592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22"/>
        <v>3091137</v>
      </c>
      <c r="B193" s="2" t="str">
        <f t="shared" si="11"/>
        <v>3091</v>
      </c>
      <c r="C193" s="8" t="str">
        <f t="shared" si="21"/>
        <v>1PremiumW4</v>
      </c>
      <c r="D193" s="8" t="str">
        <f t="shared" si="10"/>
        <v>1PremiumW4</v>
      </c>
      <c r="E193" s="10">
        <v>1</v>
      </c>
      <c r="F193" s="9">
        <v>137</v>
      </c>
      <c r="G193" s="8" t="str">
        <f>VLOOKUP(F193,[1]characters!$A:$C,3,FALSE)</f>
        <v>清福の仕立屋 チハヤ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balance</v>
      </c>
      <c r="L193" s="8" t="str">
        <f>VLOOKUP(F193,[1]characters!$A:$M,13,FALSE)</f>
        <v>human</v>
      </c>
      <c r="M193" s="16">
        <f>VLOOKUP(D193,gacha_309_base!A:B,2,FALSE)</f>
        <v>4592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22"/>
        <v>3091138</v>
      </c>
      <c r="B194" s="2" t="str">
        <f t="shared" si="11"/>
        <v>3091</v>
      </c>
      <c r="C194" s="8" t="str">
        <f t="shared" si="21"/>
        <v>1PremiumW3</v>
      </c>
      <c r="D194" s="8" t="str">
        <f t="shared" si="10"/>
        <v>1PremiumW3</v>
      </c>
      <c r="E194" s="10">
        <v>1</v>
      </c>
      <c r="F194" s="6">
        <v>138</v>
      </c>
      <c r="G194" s="8" t="str">
        <f>VLOOKUP(F194,[1]characters!$A:$C,3,FALSE)</f>
        <v>蒼薙のトモエ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balance</v>
      </c>
      <c r="L194" s="8" t="str">
        <f>VLOOKUP(F194,[1]characters!$A:$M,13,FALSE)</f>
        <v>human</v>
      </c>
      <c r="M194" s="16">
        <f>VLOOKUP(D194,gacha_309_base!A:B,2,FALSE)</f>
        <v>4592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22"/>
        <v>3091139</v>
      </c>
      <c r="B195" s="2" t="str">
        <f t="shared" si="11"/>
        <v>3091</v>
      </c>
      <c r="C195" s="8" t="str">
        <f t="shared" si="21"/>
        <v>1PremiumW4</v>
      </c>
      <c r="D195" s="8" t="str">
        <f t="shared" si="10"/>
        <v>1PremiumW4</v>
      </c>
      <c r="E195" s="10">
        <v>1</v>
      </c>
      <c r="F195" s="6">
        <v>139</v>
      </c>
      <c r="G195" s="8" t="str">
        <f>VLOOKUP(F195,[1]characters!$A:$C,3,FALSE)</f>
        <v>蒼昇刃姫 トモエ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balance</v>
      </c>
      <c r="L195" s="8" t="str">
        <f>VLOOKUP(F195,[1]characters!$A:$M,13,FALSE)</f>
        <v>human</v>
      </c>
      <c r="M195" s="16">
        <f>VLOOKUP(D195,gacha_309_base!A:B,2,FALSE)</f>
        <v>4592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22"/>
        <v>3091140</v>
      </c>
      <c r="B196" s="2" t="str">
        <f t="shared" si="11"/>
        <v>3091</v>
      </c>
      <c r="C196" s="8" t="str">
        <f t="shared" si="21"/>
        <v>1PremiumW3</v>
      </c>
      <c r="D196" s="8" t="str">
        <f t="shared" si="10"/>
        <v>1PremiumW3</v>
      </c>
      <c r="E196" s="10">
        <v>1</v>
      </c>
      <c r="F196" s="12">
        <v>140</v>
      </c>
      <c r="G196" s="8" t="str">
        <f>VLOOKUP(F196,[1]characters!$A:$C,3,FALSE)</f>
        <v>秋祭のタマモ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balance</v>
      </c>
      <c r="L196" s="8" t="str">
        <f>VLOOKUP(F196,[1]characters!$A:$M,13,FALSE)</f>
        <v>animal</v>
      </c>
      <c r="M196" s="16">
        <f>VLOOKUP(D196,gacha_309_base!A:B,2,FALSE)</f>
        <v>4592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22"/>
        <v>3091141</v>
      </c>
      <c r="B197" s="2" t="str">
        <f t="shared" si="11"/>
        <v>3091</v>
      </c>
      <c r="C197" s="8" t="str">
        <f t="shared" si="21"/>
        <v>1PremiumW4</v>
      </c>
      <c r="D197" s="8" t="str">
        <f t="shared" si="10"/>
        <v>1PremiumW4</v>
      </c>
      <c r="E197" s="10">
        <v>1</v>
      </c>
      <c r="F197" s="13">
        <v>141</v>
      </c>
      <c r="G197" s="8" t="str">
        <f>VLOOKUP(F197,[1]characters!$A:$C,3,FALSE)</f>
        <v>妖狐演舞 タマモ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animal</v>
      </c>
      <c r="M197" s="16">
        <f>VLOOKUP(D197,gacha_309_base!A:B,2,FALSE)</f>
        <v>4592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22"/>
        <v>3091142</v>
      </c>
      <c r="B198" s="2" t="str">
        <f t="shared" si="11"/>
        <v>3091</v>
      </c>
      <c r="C198" s="8" t="str">
        <f t="shared" si="21"/>
        <v>1PremiumW3</v>
      </c>
      <c r="D198" s="8" t="str">
        <f t="shared" si="10"/>
        <v>1PremiumW3</v>
      </c>
      <c r="E198" s="10">
        <v>1</v>
      </c>
      <c r="F198" s="6">
        <v>142</v>
      </c>
      <c r="G198" s="8" t="str">
        <f>VLOOKUP(F198,[1]characters!$A:$C,3,FALSE)</f>
        <v>赤ずきん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balance</v>
      </c>
      <c r="L198" s="8" t="str">
        <f>VLOOKUP(F198,[1]characters!$A:$M,13,FALSE)</f>
        <v>human</v>
      </c>
      <c r="M198" s="16">
        <f>VLOOKUP(D198,gacha_309_base!A:B,2,FALSE)</f>
        <v>4592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s="14" customFormat="1" ht="21" customHeight="1" thickBot="1">
      <c r="A199" s="7" t="str">
        <f t="shared" si="22"/>
        <v>3091143</v>
      </c>
      <c r="B199" s="2" t="str">
        <f t="shared" si="11"/>
        <v>3091</v>
      </c>
      <c r="C199" s="8" t="str">
        <f t="shared" si="21"/>
        <v>1PremiumW4</v>
      </c>
      <c r="D199" s="8" t="str">
        <f t="shared" si="10"/>
        <v>1PremiumW4</v>
      </c>
      <c r="E199" s="10">
        <v>1</v>
      </c>
      <c r="F199" s="6">
        <v>143</v>
      </c>
      <c r="G199" s="8" t="str">
        <f>VLOOKUP(F199,[1]characters!$A:$C,3,FALSE)</f>
        <v>深紅の死神 赤ずきん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balance</v>
      </c>
      <c r="L199" s="8" t="str">
        <f>VLOOKUP(F199,[1]characters!$A:$M,13,FALSE)</f>
        <v>human</v>
      </c>
      <c r="M199" s="16">
        <f>VLOOKUP(D199,gacha_309_base!A:B,2,FALSE)</f>
        <v>4592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22"/>
        <v>3091144</v>
      </c>
      <c r="B200" s="2" t="str">
        <f t="shared" si="11"/>
        <v>3091</v>
      </c>
      <c r="C200" s="8" t="str">
        <f t="shared" si="21"/>
        <v>1PremiumW3</v>
      </c>
      <c r="D200" s="8" t="str">
        <f t="shared" si="10"/>
        <v>1PremiumW3</v>
      </c>
      <c r="E200" s="10">
        <v>1</v>
      </c>
      <c r="F200" s="12">
        <v>144</v>
      </c>
      <c r="G200" s="8" t="str">
        <f>VLOOKUP(F200,[1]characters!$A:$C,3,FALSE)</f>
        <v>かぐや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hp</v>
      </c>
      <c r="L200" s="8" t="str">
        <f>VLOOKUP(F200,[1]characters!$A:$M,13,FALSE)</f>
        <v>human</v>
      </c>
      <c r="M200" s="16">
        <f>VLOOKUP(D200,gacha_309_base!A:B,2,FALSE)</f>
        <v>4592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22"/>
        <v>3091145</v>
      </c>
      <c r="B201" s="2" t="str">
        <f t="shared" si="11"/>
        <v>3091</v>
      </c>
      <c r="C201" s="8" t="str">
        <f t="shared" si="21"/>
        <v>1PremiumW4</v>
      </c>
      <c r="D201" s="8" t="str">
        <f t="shared" si="10"/>
        <v>1PremiumW4</v>
      </c>
      <c r="E201" s="10">
        <v>1</v>
      </c>
      <c r="F201" s="6">
        <v>145</v>
      </c>
      <c r="G201" s="8" t="str">
        <f>VLOOKUP(F201,[1]characters!$A:$C,3,FALSE)</f>
        <v>魔性妖艶 かぐや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hp</v>
      </c>
      <c r="L201" s="8" t="str">
        <f>VLOOKUP(F201,[1]characters!$A:$M,13,FALSE)</f>
        <v>human</v>
      </c>
      <c r="M201" s="16">
        <f>VLOOKUP(D201,gacha_309_base!A:B,2,FALSE)</f>
        <v>4592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22"/>
        <v>3091146</v>
      </c>
      <c r="B202" s="2" t="str">
        <f t="shared" si="11"/>
        <v>3091</v>
      </c>
      <c r="C202" s="8" t="str">
        <f t="shared" si="21"/>
        <v>1PremiumW3</v>
      </c>
      <c r="D202" s="8" t="str">
        <f t="shared" si="10"/>
        <v>1PremiumW3</v>
      </c>
      <c r="E202" s="10">
        <v>1</v>
      </c>
      <c r="F202" s="6">
        <v>146</v>
      </c>
      <c r="G202" s="8" t="str">
        <f>VLOOKUP(F202,[1]characters!$A:$C,3,FALSE)</f>
        <v>マーメイド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hp</v>
      </c>
      <c r="L202" s="8" t="str">
        <f>VLOOKUP(F202,[1]characters!$A:$M,13,FALSE)</f>
        <v>human</v>
      </c>
      <c r="M202" s="16">
        <f>VLOOKUP(D202,gacha_309_base!A:B,2,FALSE)</f>
        <v>4592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22"/>
        <v>3091147</v>
      </c>
      <c r="B203" s="2" t="str">
        <f t="shared" ref="B203:B266" si="23">309&amp;E203</f>
        <v>3091</v>
      </c>
      <c r="C203" s="8" t="str">
        <f t="shared" si="21"/>
        <v>1PremiumW4</v>
      </c>
      <c r="D203" s="8" t="str">
        <f t="shared" si="10"/>
        <v>1PremiumW4</v>
      </c>
      <c r="E203" s="10">
        <v>1</v>
      </c>
      <c r="F203" s="6">
        <v>147</v>
      </c>
      <c r="G203" s="8" t="str">
        <f>VLOOKUP(F203,[1]characters!$A:$C,3,FALSE)</f>
        <v>蒼き閃光 元マーメイド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VLOOKUP(D203,gacha_309_base!A:B,2,FALSE)</f>
        <v>4592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22"/>
        <v>3091148</v>
      </c>
      <c r="B204" s="2" t="str">
        <f t="shared" si="23"/>
        <v>3091</v>
      </c>
      <c r="C204" s="8" t="str">
        <f t="shared" si="21"/>
        <v>1PremiumW3</v>
      </c>
      <c r="D204" s="8" t="str">
        <f t="shared" si="10"/>
        <v>1PremiumW3</v>
      </c>
      <c r="E204" s="10">
        <v>1</v>
      </c>
      <c r="F204" s="6">
        <v>148</v>
      </c>
      <c r="G204" s="8" t="str">
        <f>VLOOKUP(F204,[1]characters!$A:$C,3,FALSE)</f>
        <v>シンデレラ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16">
        <f>VLOOKUP(D204,gacha_309_base!A:B,2,FALSE)</f>
        <v>4592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22"/>
        <v>3091149</v>
      </c>
      <c r="B205" s="2" t="str">
        <f t="shared" si="23"/>
        <v>3091</v>
      </c>
      <c r="C205" s="8" t="str">
        <f t="shared" si="21"/>
        <v>1PremiumW4</v>
      </c>
      <c r="D205" s="8" t="str">
        <f t="shared" si="10"/>
        <v>1PremiumW4</v>
      </c>
      <c r="E205" s="10">
        <v>1</v>
      </c>
      <c r="F205" s="6">
        <v>149</v>
      </c>
      <c r="G205" s="8" t="str">
        <f>VLOOKUP(F205,[1]characters!$A:$C,3,FALSE)</f>
        <v>雷撃蹴技を極めし者 シンデレラ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balance</v>
      </c>
      <c r="L205" s="8" t="str">
        <f>VLOOKUP(F205,[1]characters!$A:$M,13,FALSE)</f>
        <v>human</v>
      </c>
      <c r="M205" s="16">
        <f>VLOOKUP(D205,gacha_309_base!A:B,2,FALSE)</f>
        <v>4592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22"/>
        <v>3091150</v>
      </c>
      <c r="B206" s="2" t="str">
        <f t="shared" si="23"/>
        <v>3091</v>
      </c>
      <c r="C206" s="8" t="str">
        <f t="shared" si="21"/>
        <v>1PremiumW3</v>
      </c>
      <c r="D206" s="8" t="str">
        <f t="shared" si="10"/>
        <v>1PremiumW3</v>
      </c>
      <c r="E206" s="10">
        <v>1</v>
      </c>
      <c r="F206" s="6">
        <v>150</v>
      </c>
      <c r="G206" s="8" t="str">
        <f>VLOOKUP(F206,[1]characters!$A:$C,3,FALSE)</f>
        <v>ポイズンマスターサキ</v>
      </c>
      <c r="H206" s="8" t="str">
        <f>VLOOKUP(F206,[1]characters!$A:$J,10,FALSE)</f>
        <v>PremiumW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technical</v>
      </c>
      <c r="L206" s="8" t="str">
        <f>VLOOKUP(F206,[1]characters!$A:$M,13,FALSE)</f>
        <v>human</v>
      </c>
      <c r="M206" s="16">
        <f>VLOOKUP(D206,gacha_309_base!A:B,2,FALSE)</f>
        <v>4592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22"/>
        <v>3091151</v>
      </c>
      <c r="B207" s="2" t="str">
        <f t="shared" si="23"/>
        <v>3091</v>
      </c>
      <c r="C207" s="8" t="str">
        <f t="shared" si="21"/>
        <v>1PremiumW4</v>
      </c>
      <c r="D207" s="8" t="str">
        <f t="shared" si="10"/>
        <v>1PremiumW4</v>
      </c>
      <c r="E207" s="10">
        <v>1</v>
      </c>
      <c r="F207" s="6">
        <v>151</v>
      </c>
      <c r="G207" s="8" t="str">
        <f>VLOOKUP(F207,[1]characters!$A:$C,3,FALSE)</f>
        <v>毒煙の処刑人サキ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technical</v>
      </c>
      <c r="L207" s="8" t="str">
        <f>VLOOKUP(F207,[1]characters!$A:$M,13,FALSE)</f>
        <v>human</v>
      </c>
      <c r="M207" s="16">
        <f>VLOOKUP(D207,gacha_309_base!A:B,2,FALSE)</f>
        <v>4592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22"/>
        <v>3091152</v>
      </c>
      <c r="B208" s="2" t="str">
        <f t="shared" si="23"/>
        <v>3091</v>
      </c>
      <c r="C208" s="8" t="str">
        <f t="shared" si="21"/>
        <v>1PremiumW3</v>
      </c>
      <c r="D208" s="8" t="str">
        <f t="shared" si="10"/>
        <v>1PremiumW3</v>
      </c>
      <c r="E208" s="10">
        <v>1</v>
      </c>
      <c r="F208" s="6">
        <v>152</v>
      </c>
      <c r="G208" s="8" t="str">
        <f>VLOOKUP(F208,[1]characters!$A:$C,3,FALSE)</f>
        <v>功夫少女ランラン</v>
      </c>
      <c r="H208" s="8" t="str">
        <f>VLOOKUP(F208,[1]characters!$A:$J,10,FALSE)</f>
        <v>PremiumW</v>
      </c>
      <c r="I208" s="8">
        <f>VLOOKUP(F208,[1]characters!$A:$I,9,FALSE)</f>
        <v>3</v>
      </c>
      <c r="J208" s="8" t="str">
        <f>VLOOKUP(F208,[1]characters!$A:$H,8,FALSE)</f>
        <v>green</v>
      </c>
      <c r="K208" s="8" t="str">
        <f>VLOOKUP(F208,[1]characters!$A:$K,11,FALSE)</f>
        <v>heal</v>
      </c>
      <c r="L208" s="8" t="str">
        <f>VLOOKUP(F208,[1]characters!$A:$M,13,FALSE)</f>
        <v>human</v>
      </c>
      <c r="M208" s="16">
        <f>VLOOKUP(D208,gacha_309_base!A:B,2,FALSE)</f>
        <v>4592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22"/>
        <v>3091153</v>
      </c>
      <c r="B209" s="2" t="str">
        <f t="shared" si="23"/>
        <v>3091</v>
      </c>
      <c r="C209" s="8" t="str">
        <f t="shared" si="21"/>
        <v>1PremiumW4</v>
      </c>
      <c r="D209" s="8" t="str">
        <f t="shared" si="10"/>
        <v>1PremiumW4</v>
      </c>
      <c r="E209" s="10">
        <v>1</v>
      </c>
      <c r="F209" s="6">
        <v>153</v>
      </c>
      <c r="G209" s="8" t="str">
        <f>VLOOKUP(F209,[1]characters!$A:$C,3,FALSE)</f>
        <v>拳聖ランラン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heal</v>
      </c>
      <c r="L209" s="8" t="str">
        <f>VLOOKUP(F209,[1]characters!$A:$M,13,FALSE)</f>
        <v>human</v>
      </c>
      <c r="M209" s="16">
        <f>VLOOKUP(D209,gacha_309_base!A:B,2,FALSE)</f>
        <v>4592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22"/>
        <v>3091154</v>
      </c>
      <c r="B210" s="2" t="str">
        <f t="shared" si="23"/>
        <v>3091</v>
      </c>
      <c r="C210" s="8" t="str">
        <f t="shared" si="21"/>
        <v>1PremiumW3</v>
      </c>
      <c r="D210" s="8" t="str">
        <f t="shared" ref="D210:D273" si="24">E210&amp;H210&amp;I210</f>
        <v>1PremiumW3</v>
      </c>
      <c r="E210" s="10">
        <v>1</v>
      </c>
      <c r="F210" s="6">
        <v>154</v>
      </c>
      <c r="G210" s="8" t="str">
        <f>VLOOKUP(F210,[1]characters!$A:$C,3,FALSE)</f>
        <v>始末屋 ハンナ</v>
      </c>
      <c r="H210" s="8" t="str">
        <f>VLOOKUP(F210,[1]characters!$A:$J,10,FALSE)</f>
        <v>PremiumW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heal</v>
      </c>
      <c r="L210" s="8" t="str">
        <f>VLOOKUP(F210,[1]characters!$A:$M,13,FALSE)</f>
        <v>human</v>
      </c>
      <c r="M210" s="16">
        <f>VLOOKUP(D210,gacha_309_base!A:B,2,FALSE)</f>
        <v>4592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22"/>
        <v>3091155</v>
      </c>
      <c r="B211" s="2" t="str">
        <f t="shared" si="23"/>
        <v>3091</v>
      </c>
      <c r="C211" s="8" t="str">
        <f t="shared" si="21"/>
        <v>1PremiumW4</v>
      </c>
      <c r="D211" s="8" t="str">
        <f t="shared" si="24"/>
        <v>1PremiumW4</v>
      </c>
      <c r="E211" s="10">
        <v>1</v>
      </c>
      <c r="F211" s="6">
        <v>155</v>
      </c>
      <c r="G211" s="8" t="str">
        <f>VLOOKUP(F211,[1]characters!$A:$C,3,FALSE)</f>
        <v>隻眼の掃除屋 ハンナ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heal</v>
      </c>
      <c r="L211" s="8" t="str">
        <f>VLOOKUP(F211,[1]characters!$A:$M,13,FALSE)</f>
        <v>human</v>
      </c>
      <c r="M211" s="16">
        <f>VLOOKUP(D211,gacha_309_base!A:B,2,FALSE)</f>
        <v>4592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22"/>
        <v>3091156</v>
      </c>
      <c r="B212" s="2" t="str">
        <f t="shared" si="23"/>
        <v>3091</v>
      </c>
      <c r="C212" s="8" t="str">
        <f t="shared" si="21"/>
        <v>1PremiumW3</v>
      </c>
      <c r="D212" s="8" t="str">
        <f t="shared" si="24"/>
        <v>1PremiumW3</v>
      </c>
      <c r="E212" s="10">
        <v>1</v>
      </c>
      <c r="F212" s="6">
        <v>156</v>
      </c>
      <c r="G212" s="8" t="str">
        <f>VLOOKUP(F212,[1]characters!$A:$C,3,FALSE)</f>
        <v>踊り子 エレナ</v>
      </c>
      <c r="H212" s="8" t="str">
        <f>VLOOKUP(F212,[1]characters!$A:$J,10,FALSE)</f>
        <v>PremiumW</v>
      </c>
      <c r="I212" s="8">
        <f>VLOOKUP(F212,[1]characters!$A:$I,9,FALSE)</f>
        <v>3</v>
      </c>
      <c r="J212" s="8" t="str">
        <f>VLOOKUP(F212,[1]characters!$A:$H,8,FALSE)</f>
        <v>yellow</v>
      </c>
      <c r="K212" s="8" t="str">
        <f>VLOOKUP(F212,[1]characters!$A:$K,11,FALSE)</f>
        <v>heal</v>
      </c>
      <c r="L212" s="8" t="str">
        <f>VLOOKUP(F212,[1]characters!$A:$M,13,FALSE)</f>
        <v>human</v>
      </c>
      <c r="M212" s="16">
        <f>VLOOKUP(D212,gacha_309_base!A:B,2,FALSE)</f>
        <v>4592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22"/>
        <v>3091157</v>
      </c>
      <c r="B213" s="2" t="str">
        <f t="shared" si="23"/>
        <v>3091</v>
      </c>
      <c r="C213" s="8" t="str">
        <f t="shared" si="21"/>
        <v>1PremiumW4</v>
      </c>
      <c r="D213" s="8" t="str">
        <f t="shared" si="24"/>
        <v>1PremiumW4</v>
      </c>
      <c r="E213" s="10">
        <v>1</v>
      </c>
      <c r="F213" s="6">
        <v>157</v>
      </c>
      <c r="G213" s="8" t="str">
        <f>VLOOKUP(F213,[1]characters!$A:$C,3,FALSE)</f>
        <v>雷光舞姫 エレナ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heal</v>
      </c>
      <c r="L213" s="8" t="str">
        <f>VLOOKUP(F213,[1]characters!$A:$M,13,FALSE)</f>
        <v>human</v>
      </c>
      <c r="M213" s="16">
        <f>VLOOKUP(D213,gacha_309_base!A:B,2,FALSE)</f>
        <v>4592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22"/>
        <v>3091158</v>
      </c>
      <c r="B214" s="2" t="str">
        <f t="shared" si="23"/>
        <v>3091</v>
      </c>
      <c r="C214" s="8" t="str">
        <f t="shared" si="21"/>
        <v>1PremiumW3</v>
      </c>
      <c r="D214" s="8" t="str">
        <f t="shared" si="24"/>
        <v>1PremiumW3</v>
      </c>
      <c r="E214" s="10">
        <v>1</v>
      </c>
      <c r="F214" s="6">
        <v>158</v>
      </c>
      <c r="G214" s="8" t="str">
        <f>VLOOKUP(F214,[1]characters!$A:$C,3,FALSE)</f>
        <v>シスター シャルロッテ</v>
      </c>
      <c r="H214" s="8" t="str">
        <f>VLOOKUP(F214,[1]characters!$A:$J,10,FALSE)</f>
        <v>PremiumW</v>
      </c>
      <c r="I214" s="8">
        <f>VLOOKUP(F214,[1]characters!$A:$I,9,FALSE)</f>
        <v>3</v>
      </c>
      <c r="J214" s="8" t="str">
        <f>VLOOKUP(F214,[1]characters!$A:$H,8,FALSE)</f>
        <v>red</v>
      </c>
      <c r="K214" s="8" t="str">
        <f>VLOOKUP(F214,[1]characters!$A:$K,11,FALSE)</f>
        <v>heal</v>
      </c>
      <c r="L214" s="8" t="str">
        <f>VLOOKUP(F214,[1]characters!$A:$M,13,FALSE)</f>
        <v>human</v>
      </c>
      <c r="M214" s="16">
        <f>VLOOKUP(D214,gacha_309_base!A:B,2,FALSE)</f>
        <v>4592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22"/>
        <v>3091159</v>
      </c>
      <c r="B215" s="2" t="str">
        <f t="shared" si="23"/>
        <v>3091</v>
      </c>
      <c r="C215" s="8" t="str">
        <f t="shared" si="21"/>
        <v>1PremiumW4</v>
      </c>
      <c r="D215" s="8" t="str">
        <f t="shared" si="24"/>
        <v>1PremiumW4</v>
      </c>
      <c r="E215" s="10">
        <v>1</v>
      </c>
      <c r="F215" s="6">
        <v>159</v>
      </c>
      <c r="G215" s="8" t="str">
        <f>VLOOKUP(F215,[1]characters!$A:$C,3,FALSE)</f>
        <v>邪を狩りし者 シャルロッテ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heal</v>
      </c>
      <c r="L215" s="8" t="str">
        <f>VLOOKUP(F215,[1]characters!$A:$M,13,FALSE)</f>
        <v>human</v>
      </c>
      <c r="M215" s="16">
        <f>VLOOKUP(D215,gacha_309_base!A:B,2,FALSE)</f>
        <v>4592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22"/>
        <v>3091160</v>
      </c>
      <c r="B216" s="2" t="str">
        <f t="shared" si="23"/>
        <v>3091</v>
      </c>
      <c r="C216" s="8" t="str">
        <f t="shared" si="21"/>
        <v>1PremiumW3</v>
      </c>
      <c r="D216" s="8" t="str">
        <f t="shared" si="24"/>
        <v>1PremiumW3</v>
      </c>
      <c r="E216" s="10">
        <v>1</v>
      </c>
      <c r="F216" s="6">
        <v>160</v>
      </c>
      <c r="G216" s="8" t="str">
        <f>VLOOKUP(F216,[1]characters!$A:$C,3,FALSE)</f>
        <v>反逆者 クリエ</v>
      </c>
      <c r="H216" s="8" t="str">
        <f>VLOOKUP(F216,[1]characters!$A:$J,10,FALSE)</f>
        <v>PremiumW</v>
      </c>
      <c r="I216" s="8">
        <f>VLOOKUP(F216,[1]characters!$A:$I,9,FALSE)</f>
        <v>3</v>
      </c>
      <c r="J216" s="8" t="str">
        <f>VLOOKUP(F216,[1]characters!$A:$H,8,FALSE)</f>
        <v>green</v>
      </c>
      <c r="K216" s="8" t="str">
        <f>VLOOKUP(F216,[1]characters!$A:$K,11,FALSE)</f>
        <v>balance</v>
      </c>
      <c r="L216" s="8" t="str">
        <f>VLOOKUP(F216,[1]characters!$A:$M,13,FALSE)</f>
        <v>human</v>
      </c>
      <c r="M216" s="16">
        <f>VLOOKUP(D216,gacha_309_base!A:B,2,FALSE)</f>
        <v>4592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22"/>
        <v>3091161</v>
      </c>
      <c r="B217" s="2" t="str">
        <f t="shared" si="23"/>
        <v>3091</v>
      </c>
      <c r="C217" s="8" t="str">
        <f t="shared" si="21"/>
        <v>1PremiumW4</v>
      </c>
      <c r="D217" s="8" t="str">
        <f t="shared" si="24"/>
        <v>1PremiumW4</v>
      </c>
      <c r="E217" s="10">
        <v>1</v>
      </c>
      <c r="F217" s="6">
        <v>161</v>
      </c>
      <c r="G217" s="8" t="str">
        <f>VLOOKUP(F217,[1]characters!$A:$C,3,FALSE)</f>
        <v>咆哮の先導者 クリエ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human</v>
      </c>
      <c r="M217" s="16">
        <f>VLOOKUP(D217,gacha_309_base!A:B,2,FALSE)</f>
        <v>4592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22"/>
        <v>3091162</v>
      </c>
      <c r="B218" s="2" t="str">
        <f t="shared" si="23"/>
        <v>3091</v>
      </c>
      <c r="C218" s="8" t="str">
        <f t="shared" si="21"/>
        <v>1PremiumW3</v>
      </c>
      <c r="D218" s="8" t="str">
        <f t="shared" si="24"/>
        <v>1PremiumW3</v>
      </c>
      <c r="E218" s="10">
        <v>1</v>
      </c>
      <c r="F218" s="6">
        <v>162</v>
      </c>
      <c r="G218" s="8" t="str">
        <f>VLOOKUP(F218,[1]characters!$A:$C,3,FALSE)</f>
        <v>狂女 クララ</v>
      </c>
      <c r="H218" s="8" t="str">
        <f>VLOOKUP(F218,[1]characters!$A:$J,10,FALSE)</f>
        <v>PremiumW</v>
      </c>
      <c r="I218" s="8">
        <f>VLOOKUP(F218,[1]characters!$A:$I,9,FALSE)</f>
        <v>3</v>
      </c>
      <c r="J218" s="8" t="str">
        <f>VLOOKUP(F218,[1]characters!$A:$H,8,FALSE)</f>
        <v>blue</v>
      </c>
      <c r="K218" s="8" t="str">
        <f>VLOOKUP(F218,[1]characters!$A:$K,11,FALSE)</f>
        <v>attack</v>
      </c>
      <c r="L218" s="8" t="str">
        <f>VLOOKUP(F218,[1]characters!$A:$M,13,FALSE)</f>
        <v>human</v>
      </c>
      <c r="M218" s="16">
        <f>VLOOKUP(D218,gacha_309_base!A:B,2,FALSE)</f>
        <v>4592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22"/>
        <v>3091163</v>
      </c>
      <c r="B219" s="2" t="str">
        <f t="shared" si="23"/>
        <v>3091</v>
      </c>
      <c r="C219" s="8" t="str">
        <f t="shared" si="21"/>
        <v>1PremiumW4</v>
      </c>
      <c r="D219" s="8" t="str">
        <f t="shared" si="24"/>
        <v>1PremiumW4</v>
      </c>
      <c r="E219" s="10">
        <v>1</v>
      </c>
      <c r="F219" s="6">
        <v>163</v>
      </c>
      <c r="G219" s="8" t="str">
        <f>VLOOKUP(F219,[1]characters!$A:$C,3,FALSE)</f>
        <v>冷酷な狂嬢 クララ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blue</v>
      </c>
      <c r="K219" s="8" t="str">
        <f>VLOOKUP(F219,[1]characters!$A:$K,11,FALSE)</f>
        <v>attack</v>
      </c>
      <c r="L219" s="8" t="str">
        <f>VLOOKUP(F219,[1]characters!$A:$M,13,FALSE)</f>
        <v>human</v>
      </c>
      <c r="M219" s="16">
        <f>VLOOKUP(D219,gacha_309_base!A:B,2,FALSE)</f>
        <v>4592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22"/>
        <v>3091164</v>
      </c>
      <c r="B220" s="2" t="str">
        <f t="shared" si="23"/>
        <v>3091</v>
      </c>
      <c r="C220" s="8" t="str">
        <f t="shared" si="21"/>
        <v>1PremiumW3</v>
      </c>
      <c r="D220" s="8" t="str">
        <f t="shared" si="24"/>
        <v>1PremiumW3</v>
      </c>
      <c r="E220" s="10">
        <v>1</v>
      </c>
      <c r="F220" s="6">
        <v>164</v>
      </c>
      <c r="G220" s="8" t="str">
        <f>VLOOKUP(F220,[1]characters!$A:$C,3,FALSE)</f>
        <v>イブとトモダチ</v>
      </c>
      <c r="H220" s="8" t="str">
        <f>VLOOKUP(F220,[1]characters!$A:$J,10,FALSE)</f>
        <v>PremiumW</v>
      </c>
      <c r="I220" s="8">
        <f>VLOOKUP(F220,[1]characters!$A:$I,9,FALSE)</f>
        <v>3</v>
      </c>
      <c r="J220" s="8" t="str">
        <f>VLOOKUP(F220,[1]characters!$A:$H,8,FALSE)</f>
        <v>yellow</v>
      </c>
      <c r="K220" s="8" t="str">
        <f>VLOOKUP(F220,[1]characters!$A:$K,11,FALSE)</f>
        <v>technical</v>
      </c>
      <c r="L220" s="8" t="str">
        <f>VLOOKUP(F220,[1]characters!$A:$M,13,FALSE)</f>
        <v>human</v>
      </c>
      <c r="M220" s="16">
        <f>VLOOKUP(D220,gacha_309_base!A:B,2,FALSE)</f>
        <v>4592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22"/>
        <v>3091165</v>
      </c>
      <c r="B221" s="2" t="str">
        <f t="shared" si="23"/>
        <v>3091</v>
      </c>
      <c r="C221" s="8" t="str">
        <f t="shared" si="21"/>
        <v>1PremiumW4</v>
      </c>
      <c r="D221" s="8" t="str">
        <f t="shared" si="24"/>
        <v>1PremiumW4</v>
      </c>
      <c r="E221" s="10">
        <v>1</v>
      </c>
      <c r="F221" s="6">
        <v>165</v>
      </c>
      <c r="G221" s="8" t="str">
        <f>VLOOKUP(F221,[1]characters!$A:$C,3,FALSE)</f>
        <v>イブとたったひとりのトモダチ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yellow</v>
      </c>
      <c r="K221" s="8" t="str">
        <f>VLOOKUP(F221,[1]characters!$A:$K,11,FALSE)</f>
        <v>technical</v>
      </c>
      <c r="L221" s="8" t="str">
        <f>VLOOKUP(F221,[1]characters!$A:$M,13,FALSE)</f>
        <v>human</v>
      </c>
      <c r="M221" s="16">
        <f>VLOOKUP(D221,gacha_309_base!A:B,2,FALSE)</f>
        <v>4592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22"/>
        <v>3091166</v>
      </c>
      <c r="B222" s="2" t="str">
        <f t="shared" si="23"/>
        <v>3091</v>
      </c>
      <c r="C222" s="8" t="str">
        <f t="shared" si="21"/>
        <v>1PremiumN3</v>
      </c>
      <c r="D222" s="8" t="str">
        <f t="shared" si="24"/>
        <v>1PremiumN3</v>
      </c>
      <c r="E222" s="10">
        <v>1</v>
      </c>
      <c r="F222" s="6">
        <v>166</v>
      </c>
      <c r="G222" s="8" t="str">
        <f>VLOOKUP(F222,[1]characters!$A:$C,3,FALSE)</f>
        <v>ベリアル</v>
      </c>
      <c r="H222" s="8" t="str">
        <f>VLOOKUP(F222,[1]characters!$A:$J,10,FALSE)</f>
        <v>PremiumN</v>
      </c>
      <c r="I222" s="8">
        <f>VLOOKUP(F222,[1]characters!$A:$I,9,FALSE)</f>
        <v>3</v>
      </c>
      <c r="J222" s="8" t="str">
        <f>VLOOKUP(F222,[1]characters!$A:$H,8,FALSE)</f>
        <v>red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16">
        <f>VLOOKUP(D222,gacha_309_base!A:B,2,FALSE)</f>
        <v>6888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22"/>
        <v>3091167</v>
      </c>
      <c r="B223" s="2" t="str">
        <f t="shared" si="23"/>
        <v>3091</v>
      </c>
      <c r="C223" s="8" t="str">
        <f t="shared" si="21"/>
        <v>1PremiumN4</v>
      </c>
      <c r="D223" s="8" t="str">
        <f t="shared" si="24"/>
        <v>1PremiumN4</v>
      </c>
      <c r="E223" s="10">
        <v>1</v>
      </c>
      <c r="F223" s="6">
        <v>167</v>
      </c>
      <c r="G223" s="8" t="str">
        <f>VLOOKUP(F223,[1]characters!$A:$C,3,FALSE)</f>
        <v>逆徒 ベリアル</v>
      </c>
      <c r="H223" s="8" t="str">
        <f>VLOOKUP(F223,[1]characters!$A:$J,10,FALSE)</f>
        <v>PremiumN</v>
      </c>
      <c r="I223" s="8">
        <f>VLOOKUP(F223,[1]characters!$A:$I,9,FALSE)</f>
        <v>4</v>
      </c>
      <c r="J223" s="8" t="str">
        <f>VLOOKUP(F223,[1]characters!$A:$H,8,FALSE)</f>
        <v>red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16">
        <f>VLOOKUP(D223,gacha_309_base!A:B,2,FALSE)</f>
        <v>6043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2"/>
        <v>3091168</v>
      </c>
      <c r="B224" s="2" t="str">
        <f t="shared" si="23"/>
        <v>3091</v>
      </c>
      <c r="C224" s="8" t="str">
        <f t="shared" si="21"/>
        <v>1PremiumN5</v>
      </c>
      <c r="D224" s="8" t="str">
        <f t="shared" si="24"/>
        <v>1PremiumN5</v>
      </c>
      <c r="E224" s="10">
        <v>1</v>
      </c>
      <c r="F224" s="6">
        <v>168</v>
      </c>
      <c r="G224" s="8" t="str">
        <f>VLOOKUP(F224,[1]characters!$A:$C,3,FALSE)</f>
        <v>猛進の大逆者 ベリアル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red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16">
        <f>VLOOKUP(D224,gacha_309_base!A:B,2,FALSE)</f>
        <v>844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2"/>
        <v>3091169</v>
      </c>
      <c r="B225" s="2" t="str">
        <f t="shared" si="23"/>
        <v>3091</v>
      </c>
      <c r="C225" s="8" t="str">
        <f t="shared" si="21"/>
        <v>1PremiumN3</v>
      </c>
      <c r="D225" s="8" t="str">
        <f t="shared" si="24"/>
        <v>1PremiumN3</v>
      </c>
      <c r="E225" s="10">
        <v>1</v>
      </c>
      <c r="F225" s="6">
        <v>169</v>
      </c>
      <c r="G225" s="8" t="str">
        <f>VLOOKUP(F225,[1]characters!$A:$C,3,FALSE)</f>
        <v>オセ</v>
      </c>
      <c r="H225" s="8" t="str">
        <f>VLOOKUP(F225,[1]characters!$A:$J,10,FALSE)</f>
        <v>PremiumN</v>
      </c>
      <c r="I225" s="8">
        <f>VLOOKUP(F225,[1]characters!$A:$I,9,FALSE)</f>
        <v>3</v>
      </c>
      <c r="J225" s="8" t="str">
        <f>VLOOKUP(F225,[1]characters!$A:$H,8,FALSE)</f>
        <v>green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16">
        <f>VLOOKUP(D225,gacha_309_base!A:B,2,FALSE)</f>
        <v>6888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22"/>
        <v>3091170</v>
      </c>
      <c r="B226" s="2" t="str">
        <f t="shared" si="23"/>
        <v>3091</v>
      </c>
      <c r="C226" s="8" t="str">
        <f t="shared" si="21"/>
        <v>1PremiumN4</v>
      </c>
      <c r="D226" s="8" t="str">
        <f t="shared" si="24"/>
        <v>1PremiumN4</v>
      </c>
      <c r="E226" s="10">
        <v>1</v>
      </c>
      <c r="F226" s="6">
        <v>170</v>
      </c>
      <c r="G226" s="8" t="str">
        <f>VLOOKUP(F226,[1]characters!$A:$C,3,FALSE)</f>
        <v>識徒 オセ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attack</v>
      </c>
      <c r="L226" s="8" t="str">
        <f>VLOOKUP(F226,[1]characters!$A:$M,13,FALSE)</f>
        <v>god</v>
      </c>
      <c r="M226" s="16">
        <f>VLOOKUP(D226,gacha_309_base!A:B,2,FALSE)</f>
        <v>6043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2"/>
        <v>3091171</v>
      </c>
      <c r="B227" s="2" t="str">
        <f t="shared" si="23"/>
        <v>3091</v>
      </c>
      <c r="C227" s="8" t="str">
        <f t="shared" si="21"/>
        <v>1PremiumN5</v>
      </c>
      <c r="D227" s="8" t="str">
        <f t="shared" si="24"/>
        <v>1PremiumN5</v>
      </c>
      <c r="E227" s="10">
        <v>1</v>
      </c>
      <c r="F227" s="6">
        <v>171</v>
      </c>
      <c r="G227" s="8" t="str">
        <f>VLOOKUP(F227,[1]characters!$A:$C,3,FALSE)</f>
        <v>精解の預知者 オセ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attack</v>
      </c>
      <c r="L227" s="8" t="str">
        <f>VLOOKUP(F227,[1]characters!$A:$M,13,FALSE)</f>
        <v>god</v>
      </c>
      <c r="M227" s="16">
        <f>VLOOKUP(D227,gacha_309_base!A:B,2,FALSE)</f>
        <v>844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2"/>
        <v>3091172</v>
      </c>
      <c r="B228" s="2" t="str">
        <f t="shared" si="23"/>
        <v>3091</v>
      </c>
      <c r="C228" s="8" t="str">
        <f t="shared" si="21"/>
        <v>1PremiumN3</v>
      </c>
      <c r="D228" s="8" t="str">
        <f t="shared" si="24"/>
        <v>1PremiumN3</v>
      </c>
      <c r="E228" s="10">
        <v>1</v>
      </c>
      <c r="F228" s="6">
        <v>172</v>
      </c>
      <c r="G228" s="8" t="str">
        <f>VLOOKUP(F228,[1]characters!$A:$C,3,FALSE)</f>
        <v>フォルネウス</v>
      </c>
      <c r="H228" s="8" t="str">
        <f>VLOOKUP(F228,[1]characters!$A:$J,10,FALSE)</f>
        <v>PremiumN</v>
      </c>
      <c r="I228" s="8">
        <f>VLOOKUP(F228,[1]characters!$A:$I,9,FALSE)</f>
        <v>3</v>
      </c>
      <c r="J228" s="8" t="str">
        <f>VLOOKUP(F228,[1]characters!$A:$H,8,FALSE)</f>
        <v>blue</v>
      </c>
      <c r="K228" s="8" t="str">
        <f>VLOOKUP(F228,[1]characters!$A:$K,11,FALSE)</f>
        <v>attack</v>
      </c>
      <c r="L228" s="8" t="str">
        <f>VLOOKUP(F228,[1]characters!$A:$M,13,FALSE)</f>
        <v>god</v>
      </c>
      <c r="M228" s="16">
        <f>VLOOKUP(D228,gacha_309_base!A:B,2,FALSE)</f>
        <v>6888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2"/>
        <v>3091173</v>
      </c>
      <c r="B229" s="2" t="str">
        <f t="shared" si="23"/>
        <v>3091</v>
      </c>
      <c r="C229" s="8" t="str">
        <f t="shared" si="21"/>
        <v>1PremiumN4</v>
      </c>
      <c r="D229" s="8" t="str">
        <f t="shared" si="24"/>
        <v>1PremiumN4</v>
      </c>
      <c r="E229" s="10">
        <v>1</v>
      </c>
      <c r="F229" s="6">
        <v>173</v>
      </c>
      <c r="G229" s="8" t="str">
        <f>VLOOKUP(F229,[1]characters!$A:$C,3,FALSE)</f>
        <v>公爵 フォルネウス</v>
      </c>
      <c r="H229" s="8" t="str">
        <f>VLOOKUP(F229,[1]characters!$A:$J,10,FALSE)</f>
        <v>PremiumN</v>
      </c>
      <c r="I229" s="8">
        <f>VLOOKUP(F229,[1]characters!$A:$I,9,FALSE)</f>
        <v>4</v>
      </c>
      <c r="J229" s="8" t="str">
        <f>VLOOKUP(F229,[1]characters!$A:$H,8,FALSE)</f>
        <v>blue</v>
      </c>
      <c r="K229" s="8" t="str">
        <f>VLOOKUP(F229,[1]characters!$A:$K,11,FALSE)</f>
        <v>attack</v>
      </c>
      <c r="L229" s="8" t="str">
        <f>VLOOKUP(F229,[1]characters!$A:$M,13,FALSE)</f>
        <v>god</v>
      </c>
      <c r="M229" s="16">
        <f>VLOOKUP(D229,gacha_309_base!A:B,2,FALSE)</f>
        <v>6043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22"/>
        <v>3091174</v>
      </c>
      <c r="B230" s="2" t="str">
        <f t="shared" si="23"/>
        <v>3091</v>
      </c>
      <c r="C230" s="8" t="str">
        <f t="shared" si="21"/>
        <v>1PremiumN5</v>
      </c>
      <c r="D230" s="8" t="str">
        <f t="shared" si="24"/>
        <v>1PremiumN5</v>
      </c>
      <c r="E230" s="10">
        <v>1</v>
      </c>
      <c r="F230" s="6">
        <v>174</v>
      </c>
      <c r="G230" s="8" t="str">
        <f>VLOOKUP(F230,[1]characters!$A:$C,3,FALSE)</f>
        <v>偽愛の大公爵 フォルネウス</v>
      </c>
      <c r="H230" s="8" t="str">
        <f>VLOOKUP(F230,[1]characters!$A:$J,10,FALSE)</f>
        <v>PremiumN</v>
      </c>
      <c r="I230" s="8">
        <f>VLOOKUP(F230,[1]characters!$A:$I,9,FALSE)</f>
        <v>5</v>
      </c>
      <c r="J230" s="8" t="str">
        <f>VLOOKUP(F230,[1]characters!$A:$H,8,FALSE)</f>
        <v>blue</v>
      </c>
      <c r="K230" s="8" t="str">
        <f>VLOOKUP(F230,[1]characters!$A:$K,11,FALSE)</f>
        <v>attack</v>
      </c>
      <c r="L230" s="8" t="str">
        <f>VLOOKUP(F230,[1]characters!$A:$M,13,FALSE)</f>
        <v>god</v>
      </c>
      <c r="M230" s="16">
        <f>VLOOKUP(D230,gacha_309_base!A:B,2,FALSE)</f>
        <v>844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22"/>
        <v>3091175</v>
      </c>
      <c r="B231" s="2" t="str">
        <f t="shared" si="23"/>
        <v>3091</v>
      </c>
      <c r="C231" s="8" t="str">
        <f t="shared" si="21"/>
        <v>1PremiumN3</v>
      </c>
      <c r="D231" s="8" t="str">
        <f t="shared" si="24"/>
        <v>1PremiumN3</v>
      </c>
      <c r="E231" s="10">
        <v>1</v>
      </c>
      <c r="F231" s="6">
        <v>175</v>
      </c>
      <c r="G231" s="8" t="str">
        <f>VLOOKUP(F231,[1]characters!$A:$C,3,FALSE)</f>
        <v>バフォメット</v>
      </c>
      <c r="H231" s="8" t="str">
        <f>VLOOKUP(F231,[1]characters!$A:$J,10,FALSE)</f>
        <v>PremiumN</v>
      </c>
      <c r="I231" s="8">
        <f>VLOOKUP(F231,[1]characters!$A:$I,9,FALSE)</f>
        <v>3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god</v>
      </c>
      <c r="M231" s="16">
        <f>VLOOKUP(D231,gacha_309_base!A:B,2,FALSE)</f>
        <v>6888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2"/>
        <v>3091176</v>
      </c>
      <c r="B232" s="2" t="str">
        <f t="shared" si="23"/>
        <v>3091</v>
      </c>
      <c r="C232" s="8" t="str">
        <f t="shared" si="21"/>
        <v>1PremiumN4</v>
      </c>
      <c r="D232" s="8" t="str">
        <f t="shared" si="24"/>
        <v>1PremiumN4</v>
      </c>
      <c r="E232" s="10">
        <v>1</v>
      </c>
      <c r="F232" s="6">
        <v>176</v>
      </c>
      <c r="G232" s="8" t="str">
        <f>VLOOKUP(F232,[1]characters!$A:$C,3,FALSE)</f>
        <v>異教徒 バフォメット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god</v>
      </c>
      <c r="M232" s="16">
        <f>VLOOKUP(D232,gacha_309_base!A:B,2,FALSE)</f>
        <v>6043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2"/>
        <v>3091177</v>
      </c>
      <c r="B233" s="2" t="str">
        <f t="shared" si="23"/>
        <v>3091</v>
      </c>
      <c r="C233" s="8" t="str">
        <f t="shared" si="21"/>
        <v>1PremiumN5</v>
      </c>
      <c r="D233" s="8" t="str">
        <f t="shared" si="24"/>
        <v>1PremiumN5</v>
      </c>
      <c r="E233" s="10">
        <v>1</v>
      </c>
      <c r="F233" s="6">
        <v>177</v>
      </c>
      <c r="G233" s="8" t="str">
        <f>VLOOKUP(F233,[1]characters!$A:$C,3,FALSE)</f>
        <v>黒魔の異端師 バフォメット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god</v>
      </c>
      <c r="M233" s="16">
        <f>VLOOKUP(D233,gacha_309_base!A:B,2,FALSE)</f>
        <v>844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2"/>
        <v>3091178</v>
      </c>
      <c r="B234" s="2" t="str">
        <f t="shared" si="23"/>
        <v>3091</v>
      </c>
      <c r="C234" s="8" t="str">
        <f t="shared" si="21"/>
        <v>1PremiumN3</v>
      </c>
      <c r="D234" s="8" t="str">
        <f t="shared" si="24"/>
        <v>1PremiumN3</v>
      </c>
      <c r="E234" s="10">
        <v>1</v>
      </c>
      <c r="F234" s="6">
        <v>178</v>
      </c>
      <c r="G234" s="8" t="str">
        <f>VLOOKUP(F234,[1]characters!$A:$C,3,FALSE)</f>
        <v>ケルベロス</v>
      </c>
      <c r="H234" s="8" t="str">
        <f>VLOOKUP(F234,[1]characters!$A:$J,10,FALSE)</f>
        <v>PremiumN</v>
      </c>
      <c r="I234" s="8">
        <f>VLOOKUP(F234,[1]characters!$A:$I,9,FALSE)</f>
        <v>3</v>
      </c>
      <c r="J234" s="8" t="str">
        <f>VLOOKUP(F234,[1]characters!$A:$H,8,FALSE)</f>
        <v>red</v>
      </c>
      <c r="K234" s="8" t="str">
        <f>VLOOKUP(F234,[1]characters!$A:$K,11,FALSE)</f>
        <v>balance</v>
      </c>
      <c r="L234" s="8" t="str">
        <f>VLOOKUP(F234,[1]characters!$A:$M,13,FALSE)</f>
        <v>animal</v>
      </c>
      <c r="M234" s="16">
        <f>VLOOKUP(D234,gacha_309_base!A:B,2,FALSE)</f>
        <v>6888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2"/>
        <v>3091179</v>
      </c>
      <c r="B235" s="2" t="str">
        <f t="shared" si="23"/>
        <v>3091</v>
      </c>
      <c r="C235" s="8" t="str">
        <f t="shared" si="21"/>
        <v>1PremiumN4</v>
      </c>
      <c r="D235" s="8" t="str">
        <f t="shared" si="24"/>
        <v>1PremiumN4</v>
      </c>
      <c r="E235" s="10">
        <v>1</v>
      </c>
      <c r="F235" s="6">
        <v>179</v>
      </c>
      <c r="G235" s="8" t="str">
        <f>VLOOKUP(F235,[1]characters!$A:$C,3,FALSE)</f>
        <v>番犬 ケルベロス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balance</v>
      </c>
      <c r="L235" s="8" t="str">
        <f>VLOOKUP(F235,[1]characters!$A:$M,13,FALSE)</f>
        <v>animal</v>
      </c>
      <c r="M235" s="16">
        <f>VLOOKUP(D235,gacha_309_base!A:B,2,FALSE)</f>
        <v>6043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2"/>
        <v>3091180</v>
      </c>
      <c r="B236" s="2" t="str">
        <f t="shared" si="23"/>
        <v>3091</v>
      </c>
      <c r="C236" s="8" t="str">
        <f t="shared" si="21"/>
        <v>1PremiumN5</v>
      </c>
      <c r="D236" s="8" t="str">
        <f t="shared" si="24"/>
        <v>1PremiumN5</v>
      </c>
      <c r="E236" s="10">
        <v>1</v>
      </c>
      <c r="F236" s="6">
        <v>180</v>
      </c>
      <c r="G236" s="8" t="str">
        <f>VLOOKUP(F236,[1]characters!$A:$C,3,FALSE)</f>
        <v>地獄の大門番 ケルベロス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red</v>
      </c>
      <c r="K236" s="8" t="str">
        <f>VLOOKUP(F236,[1]characters!$A:$K,11,FALSE)</f>
        <v>balance</v>
      </c>
      <c r="L236" s="8" t="str">
        <f>VLOOKUP(F236,[1]characters!$A:$M,13,FALSE)</f>
        <v>animal</v>
      </c>
      <c r="M236" s="16">
        <f>VLOOKUP(D236,gacha_309_base!A:B,2,FALSE)</f>
        <v>844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2"/>
        <v>3091181</v>
      </c>
      <c r="B237" s="2" t="str">
        <f t="shared" si="23"/>
        <v>3091</v>
      </c>
      <c r="C237" s="8" t="str">
        <f t="shared" si="21"/>
        <v>1PremiumN3</v>
      </c>
      <c r="D237" s="8" t="str">
        <f t="shared" si="24"/>
        <v>1PremiumN3</v>
      </c>
      <c r="E237" s="10">
        <v>1</v>
      </c>
      <c r="F237" s="6">
        <v>181</v>
      </c>
      <c r="G237" s="8" t="str">
        <f>VLOOKUP(F237,[1]characters!$A:$C,3,FALSE)</f>
        <v>ベヒモス</v>
      </c>
      <c r="H237" s="8" t="str">
        <f>VLOOKUP(F237,[1]characters!$A:$J,10,FALSE)</f>
        <v>PremiumN</v>
      </c>
      <c r="I237" s="8">
        <f>VLOOKUP(F237,[1]characters!$A:$I,9,FALSE)</f>
        <v>3</v>
      </c>
      <c r="J237" s="8" t="str">
        <f>VLOOKUP(F237,[1]characters!$A:$H,8,FALSE)</f>
        <v>green</v>
      </c>
      <c r="K237" s="8" t="str">
        <f>VLOOKUP(F237,[1]characters!$A:$K,11,FALSE)</f>
        <v>hp</v>
      </c>
      <c r="L237" s="8" t="str">
        <f>VLOOKUP(F237,[1]characters!$A:$M,13,FALSE)</f>
        <v>animal</v>
      </c>
      <c r="M237" s="16">
        <f>VLOOKUP(D237,gacha_309_base!A:B,2,FALSE)</f>
        <v>6888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2"/>
        <v>3091182</v>
      </c>
      <c r="B238" s="2" t="str">
        <f t="shared" si="23"/>
        <v>3091</v>
      </c>
      <c r="C238" s="8" t="str">
        <f t="shared" si="21"/>
        <v>1PremiumN4</v>
      </c>
      <c r="D238" s="8" t="str">
        <f t="shared" si="24"/>
        <v>1PremiumN4</v>
      </c>
      <c r="E238" s="10">
        <v>1</v>
      </c>
      <c r="F238" s="6">
        <v>182</v>
      </c>
      <c r="G238" s="8" t="str">
        <f>VLOOKUP(F238,[1]characters!$A:$C,3,FALSE)</f>
        <v>放蕩者 ベヒモス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hp</v>
      </c>
      <c r="L238" s="8" t="str">
        <f>VLOOKUP(F238,[1]characters!$A:$M,13,FALSE)</f>
        <v>animal</v>
      </c>
      <c r="M238" s="16">
        <f>VLOOKUP(D238,gacha_309_base!A:B,2,FALSE)</f>
        <v>6043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2"/>
        <v>3091183</v>
      </c>
      <c r="B239" s="2" t="str">
        <f t="shared" si="23"/>
        <v>3091</v>
      </c>
      <c r="C239" s="8" t="str">
        <f t="shared" si="21"/>
        <v>1PremiumN5</v>
      </c>
      <c r="D239" s="8" t="str">
        <f t="shared" si="24"/>
        <v>1PremiumN5</v>
      </c>
      <c r="E239" s="10">
        <v>1</v>
      </c>
      <c r="F239" s="6">
        <v>183</v>
      </c>
      <c r="G239" s="8" t="str">
        <f>VLOOKUP(F239,[1]characters!$A:$C,3,FALSE)</f>
        <v>鈍重な彷徨者 ベヒモス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green</v>
      </c>
      <c r="K239" s="8" t="str">
        <f>VLOOKUP(F239,[1]characters!$A:$K,11,FALSE)</f>
        <v>hp</v>
      </c>
      <c r="L239" s="8" t="str">
        <f>VLOOKUP(F239,[1]characters!$A:$M,13,FALSE)</f>
        <v>animal</v>
      </c>
      <c r="M239" s="16">
        <f>VLOOKUP(D239,gacha_309_base!A:B,2,FALSE)</f>
        <v>844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2"/>
        <v>3091184</v>
      </c>
      <c r="B240" s="2" t="str">
        <f t="shared" si="23"/>
        <v>3091</v>
      </c>
      <c r="C240" s="8" t="str">
        <f t="shared" si="21"/>
        <v>1PremiumN3</v>
      </c>
      <c r="D240" s="8" t="str">
        <f t="shared" si="24"/>
        <v>1PremiumN3</v>
      </c>
      <c r="E240" s="10">
        <v>1</v>
      </c>
      <c r="F240" s="6">
        <v>184</v>
      </c>
      <c r="G240" s="8" t="str">
        <f>VLOOKUP(F240,[1]characters!$A:$C,3,FALSE)</f>
        <v>クラーケン</v>
      </c>
      <c r="H240" s="8" t="str">
        <f>VLOOKUP(F240,[1]characters!$A:$J,10,FALSE)</f>
        <v>PremiumN</v>
      </c>
      <c r="I240" s="8">
        <f>VLOOKUP(F240,[1]characters!$A:$I,9,FALSE)</f>
        <v>3</v>
      </c>
      <c r="J240" s="8" t="str">
        <f>VLOOKUP(F240,[1]characters!$A:$H,8,FALSE)</f>
        <v>blue</v>
      </c>
      <c r="K240" s="8" t="str">
        <f>VLOOKUP(F240,[1]characters!$A:$K,11,FALSE)</f>
        <v>heal</v>
      </c>
      <c r="L240" s="8" t="str">
        <f>VLOOKUP(F240,[1]characters!$A:$M,13,FALSE)</f>
        <v>animal</v>
      </c>
      <c r="M240" s="16">
        <f>VLOOKUP(D240,gacha_309_base!A:B,2,FALSE)</f>
        <v>6888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2"/>
        <v>3091185</v>
      </c>
      <c r="B241" s="2" t="str">
        <f t="shared" si="23"/>
        <v>3091</v>
      </c>
      <c r="C241" s="8" t="str">
        <f t="shared" si="21"/>
        <v>1PremiumN4</v>
      </c>
      <c r="D241" s="8" t="str">
        <f t="shared" si="24"/>
        <v>1PremiumN4</v>
      </c>
      <c r="E241" s="10">
        <v>1</v>
      </c>
      <c r="F241" s="6">
        <v>185</v>
      </c>
      <c r="G241" s="8" t="str">
        <f>VLOOKUP(F241,[1]characters!$A:$C,3,FALSE)</f>
        <v>海姫 クラーケン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blue</v>
      </c>
      <c r="K241" s="8" t="str">
        <f>VLOOKUP(F241,[1]characters!$A:$K,11,FALSE)</f>
        <v>heal</v>
      </c>
      <c r="L241" s="8" t="str">
        <f>VLOOKUP(F241,[1]characters!$A:$M,13,FALSE)</f>
        <v>animal</v>
      </c>
      <c r="M241" s="16">
        <f>VLOOKUP(D241,gacha_309_base!A:B,2,FALSE)</f>
        <v>6043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2"/>
        <v>3091186</v>
      </c>
      <c r="B242" s="2" t="str">
        <f t="shared" si="23"/>
        <v>3091</v>
      </c>
      <c r="C242" s="8" t="str">
        <f t="shared" si="21"/>
        <v>1PremiumN5</v>
      </c>
      <c r="D242" s="8" t="str">
        <f t="shared" si="24"/>
        <v>1PremiumN5</v>
      </c>
      <c r="E242" s="10">
        <v>1</v>
      </c>
      <c r="F242" s="9">
        <v>186</v>
      </c>
      <c r="G242" s="8" t="str">
        <f>VLOOKUP(F242,[1]characters!$A:$C,3,FALSE)</f>
        <v>誇り高き多触姫・クラーケン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blue</v>
      </c>
      <c r="K242" s="8" t="str">
        <f>VLOOKUP(F242,[1]characters!$A:$K,11,FALSE)</f>
        <v>heal</v>
      </c>
      <c r="L242" s="8" t="str">
        <f>VLOOKUP(F242,[1]characters!$A:$M,13,FALSE)</f>
        <v>animal</v>
      </c>
      <c r="M242" s="16">
        <f>VLOOKUP(D242,gacha_309_base!A:B,2,FALSE)</f>
        <v>844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2"/>
        <v>3091187</v>
      </c>
      <c r="B243" s="2" t="str">
        <f t="shared" si="23"/>
        <v>3091</v>
      </c>
      <c r="C243" s="8" t="str">
        <f t="shared" si="21"/>
        <v>1PremiumN3</v>
      </c>
      <c r="D243" s="8" t="str">
        <f t="shared" si="24"/>
        <v>1PremiumN3</v>
      </c>
      <c r="E243" s="10">
        <v>1</v>
      </c>
      <c r="F243" s="9">
        <v>187</v>
      </c>
      <c r="G243" s="8" t="str">
        <f>VLOOKUP(F243,[1]characters!$A:$C,3,FALSE)</f>
        <v>ホルス</v>
      </c>
      <c r="H243" s="8" t="str">
        <f>VLOOKUP(F243,[1]characters!$A:$J,10,FALSE)</f>
        <v>PremiumN</v>
      </c>
      <c r="I243" s="8">
        <f>VLOOKUP(F243,[1]characters!$A:$I,9,FALSE)</f>
        <v>3</v>
      </c>
      <c r="J243" s="8" t="str">
        <f>VLOOKUP(F243,[1]characters!$A:$H,8,FALSE)</f>
        <v>yellow</v>
      </c>
      <c r="K243" s="8" t="str">
        <f>VLOOKUP(F243,[1]characters!$A:$K,11,FALSE)</f>
        <v>attack</v>
      </c>
      <c r="L243" s="8" t="str">
        <f>VLOOKUP(F243,[1]characters!$A:$M,13,FALSE)</f>
        <v>animal</v>
      </c>
      <c r="M243" s="16">
        <f>VLOOKUP(D243,gacha_309_base!A:B,2,FALSE)</f>
        <v>6888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2"/>
        <v>3091188</v>
      </c>
      <c r="B244" s="2" t="str">
        <f t="shared" si="23"/>
        <v>3091</v>
      </c>
      <c r="C244" s="8" t="str">
        <f t="shared" si="21"/>
        <v>1PremiumN4</v>
      </c>
      <c r="D244" s="8" t="str">
        <f t="shared" si="24"/>
        <v>1PremiumN4</v>
      </c>
      <c r="E244" s="10">
        <v>1</v>
      </c>
      <c r="F244" s="9">
        <v>188</v>
      </c>
      <c r="G244" s="8" t="str">
        <f>VLOOKUP(F244,[1]characters!$A:$C,3,FALSE)</f>
        <v>猛禽 ホルス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attack</v>
      </c>
      <c r="L244" s="8" t="str">
        <f>VLOOKUP(F244,[1]characters!$A:$M,13,FALSE)</f>
        <v>animal</v>
      </c>
      <c r="M244" s="16">
        <f>VLOOKUP(D244,gacha_309_base!A:B,2,FALSE)</f>
        <v>6043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2"/>
        <v>3091189</v>
      </c>
      <c r="B245" s="2" t="str">
        <f t="shared" si="23"/>
        <v>3091</v>
      </c>
      <c r="C245" s="8" t="str">
        <f t="shared" si="21"/>
        <v>1PremiumN5</v>
      </c>
      <c r="D245" s="8" t="str">
        <f t="shared" si="24"/>
        <v>1PremiumN5</v>
      </c>
      <c r="E245" s="10">
        <v>1</v>
      </c>
      <c r="F245" s="9">
        <v>189</v>
      </c>
      <c r="G245" s="8" t="str">
        <f>VLOOKUP(F245,[1]characters!$A:$C,3,FALSE)</f>
        <v>迅雷の王禽 ホルス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yellow</v>
      </c>
      <c r="K245" s="8" t="str">
        <f>VLOOKUP(F245,[1]characters!$A:$K,11,FALSE)</f>
        <v>attack</v>
      </c>
      <c r="L245" s="8" t="str">
        <f>VLOOKUP(F245,[1]characters!$A:$M,13,FALSE)</f>
        <v>animal</v>
      </c>
      <c r="M245" s="16">
        <f>VLOOKUP(D245,gacha_309_base!A:B,2,FALSE)</f>
        <v>844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s="11" customFormat="1" ht="21" customHeight="1" thickBot="1">
      <c r="A246" s="7" t="str">
        <f t="shared" si="22"/>
        <v>3091190</v>
      </c>
      <c r="B246" s="2" t="str">
        <f t="shared" si="23"/>
        <v>3091</v>
      </c>
      <c r="C246" s="8" t="str">
        <f t="shared" ref="C246:C309" si="25">E246&amp;H246&amp;I246</f>
        <v>1PremiumN3</v>
      </c>
      <c r="D246" s="8" t="str">
        <f t="shared" si="24"/>
        <v>1PremiumN3</v>
      </c>
      <c r="E246" s="10">
        <v>1</v>
      </c>
      <c r="F246" s="6">
        <v>190</v>
      </c>
      <c r="G246" s="8" t="str">
        <f>VLOOKUP(F246,[1]characters!$A:$C,3,FALSE)</f>
        <v>卑弥呼</v>
      </c>
      <c r="H246" s="8" t="str">
        <f>VLOOKUP(F246,[1]characters!$A:$J,10,FALSE)</f>
        <v>PremiumN</v>
      </c>
      <c r="I246" s="8">
        <f>VLOOKUP(F246,[1]characters!$A:$I,9,FALSE)</f>
        <v>3</v>
      </c>
      <c r="J246" s="8" t="str">
        <f>VLOOKUP(F246,[1]characters!$A:$H,8,FALSE)</f>
        <v>red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VLOOKUP(D246,gacha_309_base!A:B,2,FALSE)</f>
        <v>6888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ref="A247:A310" si="26">B247&amp;F247</f>
        <v>3091191</v>
      </c>
      <c r="B247" s="2" t="str">
        <f t="shared" si="23"/>
        <v>3091</v>
      </c>
      <c r="C247" s="8" t="str">
        <f t="shared" si="25"/>
        <v>1PremiumN4</v>
      </c>
      <c r="D247" s="8" t="str">
        <f t="shared" si="24"/>
        <v>1PremiumN4</v>
      </c>
      <c r="E247" s="10">
        <v>1</v>
      </c>
      <c r="F247" s="6">
        <v>191</v>
      </c>
      <c r="G247" s="8" t="str">
        <f>VLOOKUP(F247,[1]characters!$A:$C,3,FALSE)</f>
        <v>始祖 卑弥呼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red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VLOOKUP(D247,gacha_309_base!A:B,2,FALSE)</f>
        <v>6043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6"/>
        <v>3091192</v>
      </c>
      <c r="B248" s="2" t="str">
        <f t="shared" si="23"/>
        <v>3091</v>
      </c>
      <c r="C248" s="8" t="str">
        <f t="shared" si="25"/>
        <v>1PremiumN5</v>
      </c>
      <c r="D248" s="8" t="str">
        <f t="shared" si="24"/>
        <v>1PremiumN5</v>
      </c>
      <c r="E248" s="10">
        <v>1</v>
      </c>
      <c r="F248" s="6">
        <v>192</v>
      </c>
      <c r="G248" s="8" t="str">
        <f>VLOOKUP(F248,[1]characters!$A:$C,3,FALSE)</f>
        <v>荘厳なる始祖帝 卑弥呼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VLOOKUP(D248,gacha_309_base!A:B,2,FALSE)</f>
        <v>844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6"/>
        <v>3091193</v>
      </c>
      <c r="B249" s="2" t="str">
        <f t="shared" si="23"/>
        <v>3091</v>
      </c>
      <c r="C249" s="8" t="str">
        <f t="shared" si="25"/>
        <v>1PremiumN3</v>
      </c>
      <c r="D249" s="8" t="str">
        <f t="shared" si="24"/>
        <v>1PremiumN3</v>
      </c>
      <c r="E249" s="10">
        <v>1</v>
      </c>
      <c r="F249" s="6">
        <v>193</v>
      </c>
      <c r="G249" s="8" t="str">
        <f>VLOOKUP(F249,[1]characters!$A:$C,3,FALSE)</f>
        <v>ロビンフッド</v>
      </c>
      <c r="H249" s="8" t="str">
        <f>VLOOKUP(F249,[1]characters!$A:$J,10,FALSE)</f>
        <v>PremiumN</v>
      </c>
      <c r="I249" s="8">
        <f>VLOOKUP(F249,[1]characters!$A:$I,9,FALSE)</f>
        <v>3</v>
      </c>
      <c r="J249" s="8" t="str">
        <f>VLOOKUP(F249,[1]characters!$A:$H,8,FALSE)</f>
        <v>green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VLOOKUP(D249,gacha_309_base!A:B,2,FALSE)</f>
        <v>6888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6"/>
        <v>3091194</v>
      </c>
      <c r="B250" s="2" t="str">
        <f t="shared" si="23"/>
        <v>3091</v>
      </c>
      <c r="C250" s="8" t="str">
        <f t="shared" si="25"/>
        <v>1PremiumN4</v>
      </c>
      <c r="D250" s="8" t="str">
        <f t="shared" si="24"/>
        <v>1PremiumN4</v>
      </c>
      <c r="E250" s="10">
        <v>1</v>
      </c>
      <c r="F250" s="12">
        <v>194</v>
      </c>
      <c r="G250" s="8" t="str">
        <f>VLOOKUP(F250,[1]characters!$A:$C,3,FALSE)</f>
        <v>スナイパー ロビンフッド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balance</v>
      </c>
      <c r="L250" s="8" t="str">
        <f>VLOOKUP(F250,[1]characters!$A:$M,13,FALSE)</f>
        <v>human</v>
      </c>
      <c r="M250" s="16">
        <f>VLOOKUP(D250,gacha_309_base!A:B,2,FALSE)</f>
        <v>6043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6"/>
        <v>3091195</v>
      </c>
      <c r="B251" s="2" t="str">
        <f t="shared" si="23"/>
        <v>3091</v>
      </c>
      <c r="C251" s="8" t="str">
        <f t="shared" si="25"/>
        <v>1PremiumN5</v>
      </c>
      <c r="D251" s="8" t="str">
        <f t="shared" si="24"/>
        <v>1PremiumN5</v>
      </c>
      <c r="E251" s="10">
        <v>1</v>
      </c>
      <c r="F251" s="6">
        <v>195</v>
      </c>
      <c r="G251" s="8" t="str">
        <f>VLOOKUP(F251,[1]characters!$A:$C,3,FALSE)</f>
        <v>グランドハンター ロビンフッド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balance</v>
      </c>
      <c r="L251" s="8" t="str">
        <f>VLOOKUP(F251,[1]characters!$A:$M,13,FALSE)</f>
        <v>human</v>
      </c>
      <c r="M251" s="16">
        <f>VLOOKUP(D251,gacha_309_base!A:B,2,FALSE)</f>
        <v>844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6"/>
        <v>3091196</v>
      </c>
      <c r="B252" s="2" t="str">
        <f t="shared" si="23"/>
        <v>3091</v>
      </c>
      <c r="C252" s="8" t="str">
        <f t="shared" si="25"/>
        <v>1PremiumN3</v>
      </c>
      <c r="D252" s="8" t="str">
        <f t="shared" si="24"/>
        <v>1PremiumN3</v>
      </c>
      <c r="E252" s="10">
        <v>1</v>
      </c>
      <c r="F252" s="12">
        <v>196</v>
      </c>
      <c r="G252" s="8" t="str">
        <f>VLOOKUP(F252,[1]characters!$A:$C,3,FALSE)</f>
        <v>アキレス</v>
      </c>
      <c r="H252" s="8" t="str">
        <f>VLOOKUP(F252,[1]characters!$A:$J,10,FALSE)</f>
        <v>PremiumN</v>
      </c>
      <c r="I252" s="8">
        <f>VLOOKUP(F252,[1]characters!$A:$I,9,FALSE)</f>
        <v>3</v>
      </c>
      <c r="J252" s="8" t="str">
        <f>VLOOKUP(F252,[1]characters!$A:$H,8,FALSE)</f>
        <v>yellow</v>
      </c>
      <c r="K252" s="8" t="str">
        <f>VLOOKUP(F252,[1]characters!$A:$K,11,FALSE)</f>
        <v>balance</v>
      </c>
      <c r="L252" s="8" t="str">
        <f>VLOOKUP(F252,[1]characters!$A:$M,13,FALSE)</f>
        <v>human</v>
      </c>
      <c r="M252" s="16">
        <f>VLOOKUP(D252,gacha_309_base!A:B,2,FALSE)</f>
        <v>6888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6"/>
        <v>3091197</v>
      </c>
      <c r="B253" s="2" t="str">
        <f t="shared" si="23"/>
        <v>3091</v>
      </c>
      <c r="C253" s="8" t="str">
        <f t="shared" si="25"/>
        <v>1PremiumN4</v>
      </c>
      <c r="D253" s="8" t="str">
        <f t="shared" si="24"/>
        <v>1PremiumN4</v>
      </c>
      <c r="E253" s="10">
        <v>1</v>
      </c>
      <c r="F253" s="13">
        <v>197</v>
      </c>
      <c r="G253" s="8" t="str">
        <f>VLOOKUP(F253,[1]characters!$A:$C,3,FALSE)</f>
        <v>鉄腕 アキレス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yellow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VLOOKUP(D253,gacha_309_base!A:B,2,FALSE)</f>
        <v>6043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6"/>
        <v>3091198</v>
      </c>
      <c r="B254" s="2" t="str">
        <f t="shared" si="23"/>
        <v>3091</v>
      </c>
      <c r="C254" s="8" t="str">
        <f t="shared" si="25"/>
        <v>1PremiumN5</v>
      </c>
      <c r="D254" s="8" t="str">
        <f t="shared" si="24"/>
        <v>1PremiumN5</v>
      </c>
      <c r="E254" s="10">
        <v>1</v>
      </c>
      <c r="F254" s="6">
        <v>198</v>
      </c>
      <c r="G254" s="8" t="str">
        <f>VLOOKUP(F254,[1]characters!$A:$C,3,FALSE)</f>
        <v>砕骨の剛腕 アキレス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16">
        <f>VLOOKUP(D254,gacha_309_base!A:B,2,FALSE)</f>
        <v>844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6"/>
        <v>3091199</v>
      </c>
      <c r="B255" s="2" t="str">
        <f t="shared" si="23"/>
        <v>3091</v>
      </c>
      <c r="C255" s="8" t="str">
        <f t="shared" si="25"/>
        <v>1PremiumN3</v>
      </c>
      <c r="D255" s="8" t="str">
        <f t="shared" si="24"/>
        <v>1PremiumN3</v>
      </c>
      <c r="E255" s="10">
        <v>1</v>
      </c>
      <c r="F255" s="6">
        <v>199</v>
      </c>
      <c r="G255" s="8" t="str">
        <f>VLOOKUP(F255,[1]characters!$A:$C,3,FALSE)</f>
        <v>ジークフリート</v>
      </c>
      <c r="H255" s="8" t="str">
        <f>VLOOKUP(F255,[1]characters!$A:$J,10,FALSE)</f>
        <v>PremiumN</v>
      </c>
      <c r="I255" s="8">
        <f>VLOOKUP(F255,[1]characters!$A:$I,9,FALSE)</f>
        <v>3</v>
      </c>
      <c r="J255" s="8" t="str">
        <f>VLOOKUP(F255,[1]characters!$A:$H,8,FALSE)</f>
        <v>blue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VLOOKUP(D255,gacha_309_base!A:B,2,FALSE)</f>
        <v>6888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6"/>
        <v>3091200</v>
      </c>
      <c r="B256" s="2" t="str">
        <f t="shared" si="23"/>
        <v>3091</v>
      </c>
      <c r="C256" s="8" t="str">
        <f t="shared" si="25"/>
        <v>1PremiumN4</v>
      </c>
      <c r="D256" s="8" t="str">
        <f t="shared" si="24"/>
        <v>1PremiumN4</v>
      </c>
      <c r="E256" s="10">
        <v>1</v>
      </c>
      <c r="F256" s="6">
        <v>200</v>
      </c>
      <c r="G256" s="8" t="str">
        <f>VLOOKUP(F256,[1]characters!$A:$C,3,FALSE)</f>
        <v>大剣士 ジークフリート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blue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VLOOKUP(D256,gacha_309_base!A:B,2,FALSE)</f>
        <v>6043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6"/>
        <v>3091201</v>
      </c>
      <c r="B257" s="2" t="str">
        <f t="shared" si="23"/>
        <v>3091</v>
      </c>
      <c r="C257" s="8" t="str">
        <f t="shared" si="25"/>
        <v>1PremiumN5</v>
      </c>
      <c r="D257" s="8" t="str">
        <f t="shared" si="24"/>
        <v>1PremiumN5</v>
      </c>
      <c r="E257" s="10">
        <v>1</v>
      </c>
      <c r="F257" s="5">
        <v>201</v>
      </c>
      <c r="G257" s="8" t="str">
        <f>VLOOKUP(F257,[1]characters!$A:$C,3,FALSE)</f>
        <v>斬空の大破剣 ジークフリート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blue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16">
        <f>VLOOKUP(D257,gacha_309_base!A:B,2,FALSE)</f>
        <v>844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6"/>
        <v>3091202</v>
      </c>
      <c r="B258" s="2" t="str">
        <f t="shared" si="23"/>
        <v>3091</v>
      </c>
      <c r="C258" s="8" t="str">
        <f t="shared" si="25"/>
        <v>1PremiumN3</v>
      </c>
      <c r="D258" s="8" t="str">
        <f t="shared" si="24"/>
        <v>1PremiumN3</v>
      </c>
      <c r="E258" s="10">
        <v>1</v>
      </c>
      <c r="F258" s="5">
        <v>202</v>
      </c>
      <c r="G258" s="8" t="str">
        <f>VLOOKUP(F258,[1]characters!$A:$C,3,FALSE)</f>
        <v>プロメテウス</v>
      </c>
      <c r="H258" s="8" t="str">
        <f>VLOOKUP(F258,[1]characters!$A:$J,10,FALSE)</f>
        <v>PremiumN</v>
      </c>
      <c r="I258" s="8">
        <f>VLOOKUP(F258,[1]characters!$A:$I,9,FALSE)</f>
        <v>3</v>
      </c>
      <c r="J258" s="8" t="str">
        <f>VLOOKUP(F258,[1]characters!$A:$H,8,FALSE)</f>
        <v>red</v>
      </c>
      <c r="K258" s="8" t="str">
        <f>VLOOKUP(F258,[1]characters!$A:$K,11,FALSE)</f>
        <v>hp</v>
      </c>
      <c r="L258" s="8" t="str">
        <f>VLOOKUP(F258,[1]characters!$A:$M,13,FALSE)</f>
        <v>god</v>
      </c>
      <c r="M258" s="16">
        <f>VLOOKUP(D258,gacha_309_base!A:B,2,FALSE)</f>
        <v>6888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6"/>
        <v>3091203</v>
      </c>
      <c r="B259" s="2" t="str">
        <f t="shared" si="23"/>
        <v>3091</v>
      </c>
      <c r="C259" s="8" t="str">
        <f t="shared" si="25"/>
        <v>1PremiumN4</v>
      </c>
      <c r="D259" s="8" t="str">
        <f t="shared" si="24"/>
        <v>1PremiumN4</v>
      </c>
      <c r="E259" s="10">
        <v>1</v>
      </c>
      <c r="F259" s="5">
        <v>203</v>
      </c>
      <c r="G259" s="8" t="str">
        <f>VLOOKUP(F259,[1]characters!$A:$C,3,FALSE)</f>
        <v>焔神 プロメテウス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hp</v>
      </c>
      <c r="L259" s="8" t="str">
        <f>VLOOKUP(F259,[1]characters!$A:$M,13,FALSE)</f>
        <v>god</v>
      </c>
      <c r="M259" s="16">
        <f>VLOOKUP(D259,gacha_309_base!A:B,2,FALSE)</f>
        <v>6043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6"/>
        <v>3091204</v>
      </c>
      <c r="B260" s="2" t="str">
        <f t="shared" si="23"/>
        <v>3091</v>
      </c>
      <c r="C260" s="8" t="str">
        <f t="shared" si="25"/>
        <v>1PremiumN5</v>
      </c>
      <c r="D260" s="8" t="str">
        <f t="shared" si="24"/>
        <v>1PremiumN5</v>
      </c>
      <c r="E260" s="10">
        <v>1</v>
      </c>
      <c r="F260" s="5">
        <v>204</v>
      </c>
      <c r="G260" s="8" t="str">
        <f>VLOOKUP(F260,[1]characters!$A:$C,3,FALSE)</f>
        <v>慟哭の巨焔 プロメテウス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red</v>
      </c>
      <c r="K260" s="8" t="str">
        <f>VLOOKUP(F260,[1]characters!$A:$K,11,FALSE)</f>
        <v>hp</v>
      </c>
      <c r="L260" s="8" t="str">
        <f>VLOOKUP(F260,[1]characters!$A:$M,13,FALSE)</f>
        <v>god</v>
      </c>
      <c r="M260" s="16">
        <f>VLOOKUP(D260,gacha_309_base!A:B,2,FALSE)</f>
        <v>844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6"/>
        <v>3091205</v>
      </c>
      <c r="B261" s="2" t="str">
        <f t="shared" si="23"/>
        <v>3091</v>
      </c>
      <c r="C261" s="8" t="str">
        <f t="shared" si="25"/>
        <v>1PremiumN3</v>
      </c>
      <c r="D261" s="8" t="str">
        <f t="shared" si="24"/>
        <v>1PremiumN3</v>
      </c>
      <c r="E261" s="10">
        <v>1</v>
      </c>
      <c r="F261" s="5">
        <v>205</v>
      </c>
      <c r="G261" s="8" t="str">
        <f>VLOOKUP(F261,[1]characters!$A:$C,3,FALSE)</f>
        <v>アフロディーテ</v>
      </c>
      <c r="H261" s="8" t="str">
        <f>VLOOKUP(F261,[1]characters!$A:$J,10,FALSE)</f>
        <v>PremiumN</v>
      </c>
      <c r="I261" s="8">
        <f>VLOOKUP(F261,[1]characters!$A:$I,9,FALSE)</f>
        <v>3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god</v>
      </c>
      <c r="M261" s="16">
        <f>VLOOKUP(D261,gacha_309_base!A:B,2,FALSE)</f>
        <v>6888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6"/>
        <v>3091206</v>
      </c>
      <c r="B262" s="2" t="str">
        <f t="shared" si="23"/>
        <v>3091</v>
      </c>
      <c r="C262" s="8" t="str">
        <f t="shared" si="25"/>
        <v>1PremiumN4</v>
      </c>
      <c r="D262" s="8" t="str">
        <f t="shared" si="24"/>
        <v>1PremiumN4</v>
      </c>
      <c r="E262" s="10">
        <v>1</v>
      </c>
      <c r="F262" s="5">
        <v>206</v>
      </c>
      <c r="G262" s="8" t="str">
        <f>VLOOKUP(F262,[1]characters!$A:$C,3,FALSE)</f>
        <v>美神 アフロディーテ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green</v>
      </c>
      <c r="K262" s="8" t="str">
        <f>VLOOKUP(F262,[1]characters!$A:$K,11,FALSE)</f>
        <v>hp</v>
      </c>
      <c r="L262" s="8" t="str">
        <f>VLOOKUP(F262,[1]characters!$A:$M,13,FALSE)</f>
        <v>god</v>
      </c>
      <c r="M262" s="16">
        <f>VLOOKUP(D262,gacha_309_base!A:B,2,FALSE)</f>
        <v>6043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6"/>
        <v>3091207</v>
      </c>
      <c r="B263" s="2" t="str">
        <f t="shared" si="23"/>
        <v>3091</v>
      </c>
      <c r="C263" s="8" t="str">
        <f t="shared" si="25"/>
        <v>1PremiumN5</v>
      </c>
      <c r="D263" s="8" t="str">
        <f t="shared" si="24"/>
        <v>1PremiumN5</v>
      </c>
      <c r="E263" s="10">
        <v>1</v>
      </c>
      <c r="F263" s="5">
        <v>207</v>
      </c>
      <c r="G263" s="8" t="str">
        <f>VLOOKUP(F263,[1]characters!$A:$C,3,FALSE)</f>
        <v>豊穣の麗神・アフロディーテ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green</v>
      </c>
      <c r="K263" s="8" t="str">
        <f>VLOOKUP(F263,[1]characters!$A:$K,11,FALSE)</f>
        <v>hp</v>
      </c>
      <c r="L263" s="8" t="str">
        <f>VLOOKUP(F263,[1]characters!$A:$M,13,FALSE)</f>
        <v>god</v>
      </c>
      <c r="M263" s="16">
        <f>VLOOKUP(D263,gacha_309_base!A:B,2,FALSE)</f>
        <v>844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6"/>
        <v>3091208</v>
      </c>
      <c r="B264" s="2" t="str">
        <f t="shared" si="23"/>
        <v>3091</v>
      </c>
      <c r="C264" s="8" t="str">
        <f t="shared" si="25"/>
        <v>1PremiumN3</v>
      </c>
      <c r="D264" s="8" t="str">
        <f t="shared" si="24"/>
        <v>1PremiumN3</v>
      </c>
      <c r="E264" s="10">
        <v>1</v>
      </c>
      <c r="F264" s="5">
        <v>208</v>
      </c>
      <c r="G264" s="8" t="str">
        <f>VLOOKUP(F264,[1]characters!$A:$C,3,FALSE)</f>
        <v>テティス</v>
      </c>
      <c r="H264" s="8" t="str">
        <f>VLOOKUP(F264,[1]characters!$A:$J,10,FALSE)</f>
        <v>PremiumN</v>
      </c>
      <c r="I264" s="8">
        <f>VLOOKUP(F264,[1]characters!$A:$I,9,FALSE)</f>
        <v>3</v>
      </c>
      <c r="J264" s="8" t="str">
        <f>VLOOKUP(F264,[1]characters!$A:$H,8,FALSE)</f>
        <v>blue</v>
      </c>
      <c r="K264" s="8" t="str">
        <f>VLOOKUP(F264,[1]characters!$A:$K,11,FALSE)</f>
        <v>hp</v>
      </c>
      <c r="L264" s="8" t="str">
        <f>VLOOKUP(F264,[1]characters!$A:$M,13,FALSE)</f>
        <v>god</v>
      </c>
      <c r="M264" s="16">
        <f>VLOOKUP(D264,gacha_309_base!A:B,2,FALSE)</f>
        <v>6888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6"/>
        <v>3091209</v>
      </c>
      <c r="B265" s="2" t="str">
        <f t="shared" si="23"/>
        <v>3091</v>
      </c>
      <c r="C265" s="8" t="str">
        <f t="shared" si="25"/>
        <v>1PremiumN4</v>
      </c>
      <c r="D265" s="8" t="str">
        <f t="shared" si="24"/>
        <v>1PremiumN4</v>
      </c>
      <c r="E265" s="10">
        <v>1</v>
      </c>
      <c r="F265" s="5">
        <v>209</v>
      </c>
      <c r="G265" s="8" t="str">
        <f>VLOOKUP(F265,[1]characters!$A:$C,3,FALSE)</f>
        <v>孤神 テティス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blue</v>
      </c>
      <c r="K265" s="8" t="str">
        <f>VLOOKUP(F265,[1]characters!$A:$K,11,FALSE)</f>
        <v>hp</v>
      </c>
      <c r="L265" s="8" t="str">
        <f>VLOOKUP(F265,[1]characters!$A:$M,13,FALSE)</f>
        <v>god</v>
      </c>
      <c r="M265" s="16">
        <f>VLOOKUP(D265,gacha_309_base!A:B,2,FALSE)</f>
        <v>6043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6"/>
        <v>3091210</v>
      </c>
      <c r="B266" s="2" t="str">
        <f t="shared" si="23"/>
        <v>3091</v>
      </c>
      <c r="C266" s="8" t="str">
        <f t="shared" si="25"/>
        <v>1PremiumN5</v>
      </c>
      <c r="D266" s="8" t="str">
        <f t="shared" si="24"/>
        <v>1PremiumN5</v>
      </c>
      <c r="E266" s="10">
        <v>1</v>
      </c>
      <c r="F266" s="5">
        <v>210</v>
      </c>
      <c r="G266" s="8" t="str">
        <f>VLOOKUP(F266,[1]characters!$A:$C,3,FALSE)</f>
        <v>海底の孤高神 テティス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blue</v>
      </c>
      <c r="K266" s="8" t="str">
        <f>VLOOKUP(F266,[1]characters!$A:$K,11,FALSE)</f>
        <v>hp</v>
      </c>
      <c r="L266" s="8" t="str">
        <f>VLOOKUP(F266,[1]characters!$A:$M,13,FALSE)</f>
        <v>god</v>
      </c>
      <c r="M266" s="16">
        <f>VLOOKUP(D266,gacha_309_base!A:B,2,FALSE)</f>
        <v>844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6"/>
        <v>3091211</v>
      </c>
      <c r="B267" s="2" t="str">
        <f t="shared" ref="B267:B330" si="27">309&amp;E267</f>
        <v>3091</v>
      </c>
      <c r="C267" s="8" t="str">
        <f t="shared" si="25"/>
        <v>1PremiumN3</v>
      </c>
      <c r="D267" s="8" t="str">
        <f t="shared" si="24"/>
        <v>1PremiumN3</v>
      </c>
      <c r="E267" s="10">
        <v>1</v>
      </c>
      <c r="F267" s="5">
        <v>211</v>
      </c>
      <c r="G267" s="8" t="str">
        <f>VLOOKUP(F267,[1]characters!$A:$C,3,FALSE)</f>
        <v>アストライアー</v>
      </c>
      <c r="H267" s="8" t="str">
        <f>VLOOKUP(F267,[1]characters!$A:$J,10,FALSE)</f>
        <v>PremiumN</v>
      </c>
      <c r="I267" s="8">
        <f>VLOOKUP(F267,[1]characters!$A:$I,9,FALSE)</f>
        <v>3</v>
      </c>
      <c r="J267" s="8" t="str">
        <f>VLOOKUP(F267,[1]characters!$A:$H,8,FALSE)</f>
        <v>yellow</v>
      </c>
      <c r="K267" s="8" t="str">
        <f>VLOOKUP(F267,[1]characters!$A:$K,11,FALSE)</f>
        <v>balance</v>
      </c>
      <c r="L267" s="8" t="str">
        <f>VLOOKUP(F267,[1]characters!$A:$M,13,FALSE)</f>
        <v>god</v>
      </c>
      <c r="M267" s="16">
        <f>VLOOKUP(D267,gacha_309_base!A:B,2,FALSE)</f>
        <v>6888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6"/>
        <v>3091212</v>
      </c>
      <c r="B268" s="2" t="str">
        <f t="shared" si="27"/>
        <v>3091</v>
      </c>
      <c r="C268" s="8" t="str">
        <f t="shared" si="25"/>
        <v>1PremiumN4</v>
      </c>
      <c r="D268" s="8" t="str">
        <f t="shared" si="24"/>
        <v>1PremiumN4</v>
      </c>
      <c r="E268" s="10">
        <v>1</v>
      </c>
      <c r="F268" s="5">
        <v>212</v>
      </c>
      <c r="G268" s="8" t="str">
        <f>VLOOKUP(F268,[1]characters!$A:$C,3,FALSE)</f>
        <v>星神 アストライアー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yellow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VLOOKUP(D268,gacha_309_base!A:B,2,FALSE)</f>
        <v>6043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6"/>
        <v>3091213</v>
      </c>
      <c r="B269" s="2" t="str">
        <f t="shared" si="27"/>
        <v>3091</v>
      </c>
      <c r="C269" s="8" t="str">
        <f t="shared" si="25"/>
        <v>1PremiumN5</v>
      </c>
      <c r="D269" s="8" t="str">
        <f t="shared" si="24"/>
        <v>1PremiumN5</v>
      </c>
      <c r="E269" s="10">
        <v>1</v>
      </c>
      <c r="F269" s="5">
        <v>213</v>
      </c>
      <c r="G269" s="8" t="str">
        <f>VLOOKUP(F269,[1]characters!$A:$C,3,FALSE)</f>
        <v>満天の星降神 アストライアー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yellow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VLOOKUP(D269,gacha_309_base!A:B,2,FALSE)</f>
        <v>844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6"/>
        <v>3091214</v>
      </c>
      <c r="B270" s="2" t="str">
        <f t="shared" si="27"/>
        <v>3091</v>
      </c>
      <c r="C270" s="8" t="str">
        <f t="shared" si="25"/>
        <v>1PremiumN3</v>
      </c>
      <c r="D270" s="8" t="str">
        <f t="shared" si="24"/>
        <v>1PremiumN3</v>
      </c>
      <c r="E270" s="10">
        <v>1</v>
      </c>
      <c r="F270" s="5">
        <v>214</v>
      </c>
      <c r="G270" s="8" t="str">
        <f>VLOOKUP(F270,[1]characters!$A:$C,3,FALSE)</f>
        <v>アズラエル</v>
      </c>
      <c r="H270" s="8" t="str">
        <f>VLOOKUP(F270,[1]characters!$A:$J,10,FALSE)</f>
        <v>PremiumN</v>
      </c>
      <c r="I270" s="8">
        <f>VLOOKUP(F270,[1]characters!$A:$I,9,FALSE)</f>
        <v>3</v>
      </c>
      <c r="J270" s="8" t="str">
        <f>VLOOKUP(F270,[1]characters!$A:$H,8,FALSE)</f>
        <v>red</v>
      </c>
      <c r="K270" s="8" t="str">
        <f>VLOOKUP(F270,[1]characters!$A:$K,11,FALSE)</f>
        <v>balance</v>
      </c>
      <c r="L270" s="8" t="str">
        <f>VLOOKUP(F270,[1]characters!$A:$M,13,FALSE)</f>
        <v>god</v>
      </c>
      <c r="M270" s="16">
        <f>VLOOKUP(D270,gacha_309_base!A:B,2,FALSE)</f>
        <v>6888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6"/>
        <v>3091215</v>
      </c>
      <c r="B271" s="2" t="str">
        <f t="shared" si="27"/>
        <v>3091</v>
      </c>
      <c r="C271" s="8" t="str">
        <f t="shared" si="25"/>
        <v>1PremiumN4</v>
      </c>
      <c r="D271" s="8" t="str">
        <f t="shared" si="24"/>
        <v>1PremiumN4</v>
      </c>
      <c r="E271" s="10">
        <v>1</v>
      </c>
      <c r="F271" s="5">
        <v>215</v>
      </c>
      <c r="G271" s="8" t="str">
        <f>VLOOKUP(F271,[1]characters!$A:$C,3,FALSE)</f>
        <v>死導者 アズラエル</v>
      </c>
      <c r="H271" s="8" t="str">
        <f>VLOOKUP(F271,[1]characters!$A:$J,10,FALSE)</f>
        <v>PremiumN</v>
      </c>
      <c r="I271" s="8">
        <f>VLOOKUP(F271,[1]characters!$A:$I,9,FALSE)</f>
        <v>4</v>
      </c>
      <c r="J271" s="8" t="str">
        <f>VLOOKUP(F271,[1]characters!$A:$H,8,FALSE)</f>
        <v>red</v>
      </c>
      <c r="K271" s="8" t="str">
        <f>VLOOKUP(F271,[1]characters!$A:$K,11,FALSE)</f>
        <v>balance</v>
      </c>
      <c r="L271" s="8" t="str">
        <f>VLOOKUP(F271,[1]characters!$A:$M,13,FALSE)</f>
        <v>god</v>
      </c>
      <c r="M271" s="16">
        <f>VLOOKUP(D271,gacha_309_base!A:B,2,FALSE)</f>
        <v>6043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6"/>
        <v>3091216</v>
      </c>
      <c r="B272" s="2" t="str">
        <f t="shared" si="27"/>
        <v>3091</v>
      </c>
      <c r="C272" s="8" t="str">
        <f t="shared" si="25"/>
        <v>1PremiumN5</v>
      </c>
      <c r="D272" s="8" t="str">
        <f t="shared" si="24"/>
        <v>1PremiumN5</v>
      </c>
      <c r="E272" s="10">
        <v>1</v>
      </c>
      <c r="F272" s="5">
        <v>216</v>
      </c>
      <c r="G272" s="8" t="str">
        <f>VLOOKUP(F272,[1]characters!$A:$C,3,FALSE)</f>
        <v>百読の死導司書 アズラエル</v>
      </c>
      <c r="H272" s="8" t="str">
        <f>VLOOKUP(F272,[1]characters!$A:$J,10,FALSE)</f>
        <v>PremiumN</v>
      </c>
      <c r="I272" s="8">
        <f>VLOOKUP(F272,[1]characters!$A:$I,9,FALSE)</f>
        <v>5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16">
        <f>VLOOKUP(D272,gacha_309_base!A:B,2,FALSE)</f>
        <v>844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6"/>
        <v>3091217</v>
      </c>
      <c r="B273" s="2" t="str">
        <f t="shared" si="27"/>
        <v>3091</v>
      </c>
      <c r="C273" s="8" t="str">
        <f t="shared" si="25"/>
        <v>1PremiumN3</v>
      </c>
      <c r="D273" s="8" t="str">
        <f t="shared" si="24"/>
        <v>1PremiumN3</v>
      </c>
      <c r="E273" s="10">
        <v>1</v>
      </c>
      <c r="F273" s="5">
        <v>217</v>
      </c>
      <c r="G273" s="8" t="str">
        <f>VLOOKUP(F273,[1]characters!$A:$C,3,FALSE)</f>
        <v>ケツァクアトル</v>
      </c>
      <c r="H273" s="8" t="str">
        <f>VLOOKUP(F273,[1]characters!$A:$J,10,FALSE)</f>
        <v>PremiumN</v>
      </c>
      <c r="I273" s="8">
        <f>VLOOKUP(F273,[1]characters!$A:$I,9,FALSE)</f>
        <v>3</v>
      </c>
      <c r="J273" s="8" t="str">
        <f>VLOOKUP(F273,[1]characters!$A:$H,8,FALSE)</f>
        <v>green</v>
      </c>
      <c r="K273" s="8" t="str">
        <f>VLOOKUP(F273,[1]characters!$A:$K,11,FALSE)</f>
        <v>hp</v>
      </c>
      <c r="L273" s="8" t="str">
        <f>VLOOKUP(F273,[1]characters!$A:$M,13,FALSE)</f>
        <v>dragon</v>
      </c>
      <c r="M273" s="16">
        <f>VLOOKUP(D273,gacha_309_base!A:B,2,FALSE)</f>
        <v>6888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6"/>
        <v>3091218</v>
      </c>
      <c r="B274" s="2" t="str">
        <f t="shared" si="27"/>
        <v>3091</v>
      </c>
      <c r="C274" s="8" t="str">
        <f t="shared" si="25"/>
        <v>1PremiumN4</v>
      </c>
      <c r="D274" s="8" t="str">
        <f t="shared" ref="D274:D337" si="28">E274&amp;H274&amp;I274</f>
        <v>1PremiumN4</v>
      </c>
      <c r="E274" s="10">
        <v>1</v>
      </c>
      <c r="F274" s="5">
        <v>218</v>
      </c>
      <c r="G274" s="8" t="str">
        <f>VLOOKUP(F274,[1]characters!$A:$C,3,FALSE)</f>
        <v>聖蛇 ケツァクアトル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hp</v>
      </c>
      <c r="L274" s="8" t="str">
        <f>VLOOKUP(F274,[1]characters!$A:$M,13,FALSE)</f>
        <v>dragon</v>
      </c>
      <c r="M274" s="16">
        <f>VLOOKUP(D274,gacha_309_base!A:B,2,FALSE)</f>
        <v>6043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6"/>
        <v>3091219</v>
      </c>
      <c r="B275" s="2" t="str">
        <f t="shared" si="27"/>
        <v>3091</v>
      </c>
      <c r="C275" s="8" t="str">
        <f t="shared" si="25"/>
        <v>1PremiumN5</v>
      </c>
      <c r="D275" s="8" t="str">
        <f t="shared" si="28"/>
        <v>1PremiumN5</v>
      </c>
      <c r="E275" s="10">
        <v>1</v>
      </c>
      <c r="F275" s="5">
        <v>219</v>
      </c>
      <c r="G275" s="8" t="str">
        <f>VLOOKUP(F275,[1]characters!$A:$C,3,FALSE)</f>
        <v>覇翼の聖蛇竜 ケツァクアトル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hp</v>
      </c>
      <c r="L275" s="8" t="str">
        <f>VLOOKUP(F275,[1]characters!$A:$M,13,FALSE)</f>
        <v>dragon</v>
      </c>
      <c r="M275" s="16">
        <f>VLOOKUP(D275,gacha_309_base!A:B,2,FALSE)</f>
        <v>844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6"/>
        <v>3091220</v>
      </c>
      <c r="B276" s="2" t="str">
        <f t="shared" si="27"/>
        <v>3091</v>
      </c>
      <c r="C276" s="8" t="str">
        <f t="shared" si="25"/>
        <v>1PremiumN3</v>
      </c>
      <c r="D276" s="8" t="str">
        <f t="shared" si="28"/>
        <v>1PremiumN3</v>
      </c>
      <c r="E276" s="10">
        <v>1</v>
      </c>
      <c r="F276" s="5">
        <v>220</v>
      </c>
      <c r="G276" s="8" t="str">
        <f>VLOOKUP(F276,[1]characters!$A:$C,3,FALSE)</f>
        <v>ルキフグス</v>
      </c>
      <c r="H276" s="8" t="str">
        <f>VLOOKUP(F276,[1]characters!$A:$J,10,FALSE)</f>
        <v>PremiumN</v>
      </c>
      <c r="I276" s="8">
        <f>VLOOKUP(F276,[1]characters!$A:$I,9,FALSE)</f>
        <v>3</v>
      </c>
      <c r="J276" s="8" t="str">
        <f>VLOOKUP(F276,[1]characters!$A:$H,8,FALSE)</f>
        <v>blue</v>
      </c>
      <c r="K276" s="8" t="str">
        <f>VLOOKUP(F276,[1]characters!$A:$K,11,FALSE)</f>
        <v>balance</v>
      </c>
      <c r="L276" s="8" t="str">
        <f>VLOOKUP(F276,[1]characters!$A:$M,13,FALSE)</f>
        <v>god</v>
      </c>
      <c r="M276" s="16">
        <f>VLOOKUP(D276,gacha_309_base!A:B,2,FALSE)</f>
        <v>6888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6"/>
        <v>3091221</v>
      </c>
      <c r="B277" s="2" t="str">
        <f t="shared" si="27"/>
        <v>3091</v>
      </c>
      <c r="C277" s="8" t="str">
        <f t="shared" si="25"/>
        <v>1PremiumN4</v>
      </c>
      <c r="D277" s="8" t="str">
        <f t="shared" si="28"/>
        <v>1PremiumN4</v>
      </c>
      <c r="E277" s="10">
        <v>1</v>
      </c>
      <c r="F277" s="5">
        <v>221</v>
      </c>
      <c r="G277" s="8" t="str">
        <f>VLOOKUP(F277,[1]characters!$A:$C,3,FALSE)</f>
        <v>宰相 ルキフグス</v>
      </c>
      <c r="H277" s="8" t="str">
        <f>VLOOKUP(F277,[1]characters!$A:$J,10,FALSE)</f>
        <v>PremiumN</v>
      </c>
      <c r="I277" s="8">
        <f>VLOOKUP(F277,[1]characters!$A:$I,9,FALSE)</f>
        <v>4</v>
      </c>
      <c r="J277" s="8" t="str">
        <f>VLOOKUP(F277,[1]characters!$A:$H,8,FALSE)</f>
        <v>blue</v>
      </c>
      <c r="K277" s="8" t="str">
        <f>VLOOKUP(F277,[1]characters!$A:$K,11,FALSE)</f>
        <v>balance</v>
      </c>
      <c r="L277" s="8" t="str">
        <f>VLOOKUP(F277,[1]characters!$A:$M,13,FALSE)</f>
        <v>god</v>
      </c>
      <c r="M277" s="16">
        <f>VLOOKUP(D277,gacha_309_base!A:B,2,FALSE)</f>
        <v>6043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6"/>
        <v>3091222</v>
      </c>
      <c r="B278" s="2" t="str">
        <f t="shared" si="27"/>
        <v>3091</v>
      </c>
      <c r="C278" s="8" t="str">
        <f t="shared" si="25"/>
        <v>1PremiumN5</v>
      </c>
      <c r="D278" s="8" t="str">
        <f t="shared" si="28"/>
        <v>1PremiumN5</v>
      </c>
      <c r="E278" s="10">
        <v>1</v>
      </c>
      <c r="F278" s="5">
        <v>222</v>
      </c>
      <c r="G278" s="8" t="str">
        <f>VLOOKUP(F278,[1]characters!$A:$C,3,FALSE)</f>
        <v>避光の鉄鎖宰相 ルキフグス</v>
      </c>
      <c r="H278" s="8" t="str">
        <f>VLOOKUP(F278,[1]characters!$A:$J,10,FALSE)</f>
        <v>PremiumN</v>
      </c>
      <c r="I278" s="8">
        <f>VLOOKUP(F278,[1]characters!$A:$I,9,FALSE)</f>
        <v>5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god</v>
      </c>
      <c r="M278" s="16">
        <f>VLOOKUP(D278,gacha_309_base!A:B,2,FALSE)</f>
        <v>844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6"/>
        <v>3091223</v>
      </c>
      <c r="B279" s="2" t="str">
        <f t="shared" si="27"/>
        <v>3091</v>
      </c>
      <c r="C279" s="8" t="str">
        <f t="shared" si="25"/>
        <v>1PremiumN3</v>
      </c>
      <c r="D279" s="8" t="str">
        <f t="shared" si="28"/>
        <v>1PremiumN3</v>
      </c>
      <c r="E279" s="10">
        <v>1</v>
      </c>
      <c r="F279" s="5">
        <v>223</v>
      </c>
      <c r="G279" s="8" t="str">
        <f>VLOOKUP(F279,[1]characters!$A:$C,3,FALSE)</f>
        <v>ヘラクレス</v>
      </c>
      <c r="H279" s="8" t="str">
        <f>VLOOKUP(F279,[1]characters!$A:$J,10,FALSE)</f>
        <v>PremiumN</v>
      </c>
      <c r="I279" s="8">
        <f>VLOOKUP(F279,[1]characters!$A:$I,9,FALSE)</f>
        <v>3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human</v>
      </c>
      <c r="M279" s="16">
        <f>VLOOKUP(D279,gacha_309_base!A:B,2,FALSE)</f>
        <v>6888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6"/>
        <v>3091224</v>
      </c>
      <c r="B280" s="2" t="str">
        <f t="shared" si="27"/>
        <v>3091</v>
      </c>
      <c r="C280" s="8" t="str">
        <f t="shared" si="25"/>
        <v>1PremiumN4</v>
      </c>
      <c r="D280" s="8" t="str">
        <f t="shared" si="28"/>
        <v>1PremiumN4</v>
      </c>
      <c r="E280" s="10">
        <v>1</v>
      </c>
      <c r="F280" s="5">
        <v>224</v>
      </c>
      <c r="G280" s="8" t="str">
        <f>VLOOKUP(F280,[1]characters!$A:$C,3,FALSE)</f>
        <v>巨腕 ヘラクレス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balance</v>
      </c>
      <c r="L280" s="8" t="str">
        <f>VLOOKUP(F280,[1]characters!$A:$M,13,FALSE)</f>
        <v>human</v>
      </c>
      <c r="M280" s="16">
        <f>VLOOKUP(D280,gacha_309_base!A:B,2,FALSE)</f>
        <v>6043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6"/>
        <v>3091225</v>
      </c>
      <c r="B281" s="2" t="str">
        <f t="shared" si="27"/>
        <v>3091</v>
      </c>
      <c r="C281" s="8" t="str">
        <f t="shared" si="25"/>
        <v>1PremiumN5</v>
      </c>
      <c r="D281" s="8" t="str">
        <f t="shared" si="28"/>
        <v>1PremiumN5</v>
      </c>
      <c r="E281" s="10">
        <v>1</v>
      </c>
      <c r="F281" s="5">
        <v>225</v>
      </c>
      <c r="G281" s="8" t="str">
        <f>VLOOKUP(F281,[1]characters!$A:$C,3,FALSE)</f>
        <v>咆哮の巨獅腕 ヘラクレス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balance</v>
      </c>
      <c r="L281" s="8" t="str">
        <f>VLOOKUP(F281,[1]characters!$A:$M,13,FALSE)</f>
        <v>human</v>
      </c>
      <c r="M281" s="16">
        <f>VLOOKUP(D281,gacha_309_base!A:B,2,FALSE)</f>
        <v>844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6"/>
        <v>3091226</v>
      </c>
      <c r="B282" s="2" t="str">
        <f t="shared" si="27"/>
        <v>3091</v>
      </c>
      <c r="C282" s="8" t="str">
        <f t="shared" si="25"/>
        <v>1PremiumS3</v>
      </c>
      <c r="D282" s="8" t="str">
        <f t="shared" si="28"/>
        <v>1PremiumS3</v>
      </c>
      <c r="E282" s="10">
        <v>1</v>
      </c>
      <c r="F282" s="5">
        <v>226</v>
      </c>
      <c r="G282" s="8" t="str">
        <f>VLOOKUP(F282,[1]characters!$A:$C,3,FALSE)</f>
        <v>アレス</v>
      </c>
      <c r="H282" s="8" t="str">
        <f>VLOOKUP(F282,[1]characters!$A:$J,10,FALSE)</f>
        <v>PremiumS</v>
      </c>
      <c r="I282" s="8">
        <f>VLOOKUP(F282,[1]characters!$A:$I,9,FALSE)</f>
        <v>3</v>
      </c>
      <c r="J282" s="8" t="str">
        <f>VLOOKUP(F282,[1]characters!$A:$H,8,FALSE)</f>
        <v>red</v>
      </c>
      <c r="K282" s="8" t="str">
        <f>VLOOKUP(F282,[1]characters!$A:$K,11,FALSE)</f>
        <v>attack</v>
      </c>
      <c r="L282" s="8" t="str">
        <f>VLOOKUP(F282,[1]characters!$A:$M,13,FALSE)</f>
        <v>god</v>
      </c>
      <c r="M282" s="16">
        <f>VLOOKUP(D282,gacha_309_base!A:B,2,FALSE)</f>
        <v>6888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6"/>
        <v>3091227</v>
      </c>
      <c r="B283" s="2" t="str">
        <f t="shared" si="27"/>
        <v>3091</v>
      </c>
      <c r="C283" s="8" t="str">
        <f t="shared" si="25"/>
        <v>1PremiumS4</v>
      </c>
      <c r="D283" s="8" t="str">
        <f t="shared" si="28"/>
        <v>1PremiumS4</v>
      </c>
      <c r="E283" s="10">
        <v>1</v>
      </c>
      <c r="F283" s="5">
        <v>227</v>
      </c>
      <c r="G283" s="8" t="str">
        <f>VLOOKUP(F283,[1]characters!$A:$C,3,FALSE)</f>
        <v>滅弾 アレス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16">
        <f>VLOOKUP(D283,gacha_309_base!A:B,2,FALSE)</f>
        <v>6043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6"/>
        <v>3091228</v>
      </c>
      <c r="B284" s="2" t="str">
        <f t="shared" si="27"/>
        <v>3091</v>
      </c>
      <c r="C284" s="8" t="str">
        <f t="shared" si="25"/>
        <v>1PremiumS5</v>
      </c>
      <c r="D284" s="8" t="str">
        <f t="shared" si="28"/>
        <v>1PremiumS5</v>
      </c>
      <c r="E284" s="10">
        <v>1</v>
      </c>
      <c r="F284" s="5">
        <v>228</v>
      </c>
      <c r="G284" s="8" t="str">
        <f>VLOOKUP(F284,[1]characters!$A:$C,3,FALSE)</f>
        <v>殲滅の掃射砲 アレス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VLOOKUP(D284,gacha_309_base!A:B,2,FALSE)</f>
        <v>844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6"/>
        <v>3091229</v>
      </c>
      <c r="B285" s="2" t="str">
        <f t="shared" si="27"/>
        <v>3091</v>
      </c>
      <c r="C285" s="8" t="str">
        <f t="shared" si="25"/>
        <v>1PremiumS3</v>
      </c>
      <c r="D285" s="8" t="str">
        <f t="shared" si="28"/>
        <v>1PremiumS3</v>
      </c>
      <c r="E285" s="10">
        <v>1</v>
      </c>
      <c r="F285" s="5">
        <v>229</v>
      </c>
      <c r="G285" s="8" t="str">
        <f>VLOOKUP(F285,[1]characters!$A:$C,3,FALSE)</f>
        <v>ヨルムンガンド</v>
      </c>
      <c r="H285" s="8" t="str">
        <f>VLOOKUP(F285,[1]characters!$A:$J,10,FALSE)</f>
        <v>PremiumS</v>
      </c>
      <c r="I285" s="8">
        <f>VLOOKUP(F285,[1]characters!$A:$I,9,FALSE)</f>
        <v>3</v>
      </c>
      <c r="J285" s="8" t="str">
        <f>VLOOKUP(F285,[1]characters!$A:$H,8,FALSE)</f>
        <v>green</v>
      </c>
      <c r="K285" s="8" t="str">
        <f>VLOOKUP(F285,[1]characters!$A:$K,11,FALSE)</f>
        <v>technical</v>
      </c>
      <c r="L285" s="8" t="str">
        <f>VLOOKUP(F285,[1]characters!$A:$M,13,FALSE)</f>
        <v>dragon</v>
      </c>
      <c r="M285" s="16">
        <f>VLOOKUP(D285,gacha_309_base!A:B,2,FALSE)</f>
        <v>6888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6"/>
        <v>3091230</v>
      </c>
      <c r="B286" s="2" t="str">
        <f t="shared" si="27"/>
        <v>3091</v>
      </c>
      <c r="C286" s="8" t="str">
        <f t="shared" si="25"/>
        <v>1PremiumS4</v>
      </c>
      <c r="D286" s="8" t="str">
        <f t="shared" si="28"/>
        <v>1PremiumS4</v>
      </c>
      <c r="E286" s="10">
        <v>1</v>
      </c>
      <c r="F286" s="5">
        <v>230</v>
      </c>
      <c r="G286" s="8" t="str">
        <f>VLOOKUP(F286,[1]characters!$A:$C,3,FALSE)</f>
        <v>毒銃 ヨルムンガンド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green</v>
      </c>
      <c r="K286" s="8" t="str">
        <f>VLOOKUP(F286,[1]characters!$A:$K,11,FALSE)</f>
        <v>technical</v>
      </c>
      <c r="L286" s="8" t="str">
        <f>VLOOKUP(F286,[1]characters!$A:$M,13,FALSE)</f>
        <v>dragon</v>
      </c>
      <c r="M286" s="16">
        <f>VLOOKUP(D286,gacha_309_base!A:B,2,FALSE)</f>
        <v>6043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6"/>
        <v>3091231</v>
      </c>
      <c r="B287" s="2" t="str">
        <f t="shared" si="27"/>
        <v>3091</v>
      </c>
      <c r="C287" s="8" t="str">
        <f t="shared" si="25"/>
        <v>1PremiumS5</v>
      </c>
      <c r="D287" s="8" t="str">
        <f t="shared" si="28"/>
        <v>1PremiumS5</v>
      </c>
      <c r="E287" s="10">
        <v>1</v>
      </c>
      <c r="F287" s="5">
        <v>231</v>
      </c>
      <c r="G287" s="8" t="str">
        <f>VLOOKUP(F287,[1]characters!$A:$C,3,FALSE)</f>
        <v>必中の咬銃 ヨルムンガンド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green</v>
      </c>
      <c r="K287" s="8" t="str">
        <f>VLOOKUP(F287,[1]characters!$A:$K,11,FALSE)</f>
        <v>technical</v>
      </c>
      <c r="L287" s="8" t="str">
        <f>VLOOKUP(F287,[1]characters!$A:$M,13,FALSE)</f>
        <v>dragon</v>
      </c>
      <c r="M287" s="16">
        <f>VLOOKUP(D287,gacha_309_base!A:B,2,FALSE)</f>
        <v>844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6"/>
        <v>3091232</v>
      </c>
      <c r="B288" s="2" t="str">
        <f t="shared" si="27"/>
        <v>3091</v>
      </c>
      <c r="C288" s="8" t="str">
        <f t="shared" si="25"/>
        <v>1PremiumS3</v>
      </c>
      <c r="D288" s="8" t="str">
        <f t="shared" si="28"/>
        <v>1PremiumS3</v>
      </c>
      <c r="E288" s="10">
        <v>1</v>
      </c>
      <c r="F288" s="5">
        <v>232</v>
      </c>
      <c r="G288" s="8" t="str">
        <f>VLOOKUP(F288,[1]characters!$A:$C,3,FALSE)</f>
        <v>パーシヴァル</v>
      </c>
      <c r="H288" s="8" t="str">
        <f>VLOOKUP(F288,[1]characters!$A:$J,10,FALSE)</f>
        <v>PremiumS</v>
      </c>
      <c r="I288" s="8">
        <f>VLOOKUP(F288,[1]characters!$A:$I,9,FALSE)</f>
        <v>3</v>
      </c>
      <c r="J288" s="8" t="str">
        <f>VLOOKUP(F288,[1]characters!$A:$H,8,FALSE)</f>
        <v>blue</v>
      </c>
      <c r="K288" s="8" t="str">
        <f>VLOOKUP(F288,[1]characters!$A:$K,11,FALSE)</f>
        <v>technical</v>
      </c>
      <c r="L288" s="8" t="str">
        <f>VLOOKUP(F288,[1]characters!$A:$M,13,FALSE)</f>
        <v>human</v>
      </c>
      <c r="M288" s="16">
        <f>VLOOKUP(D288,gacha_309_base!A:B,2,FALSE)</f>
        <v>6888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6"/>
        <v>3091233</v>
      </c>
      <c r="B289" s="2" t="str">
        <f t="shared" si="27"/>
        <v>3091</v>
      </c>
      <c r="C289" s="8" t="str">
        <f t="shared" si="25"/>
        <v>1PremiumS4</v>
      </c>
      <c r="D289" s="8" t="str">
        <f t="shared" si="28"/>
        <v>1PremiumS4</v>
      </c>
      <c r="E289" s="10">
        <v>1</v>
      </c>
      <c r="F289" s="5">
        <v>233</v>
      </c>
      <c r="G289" s="8" t="str">
        <f>VLOOKUP(F289,[1]characters!$A:$C,3,FALSE)</f>
        <v>遂行 パーシヴァル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blue</v>
      </c>
      <c r="K289" s="8" t="str">
        <f>VLOOKUP(F289,[1]characters!$A:$K,11,FALSE)</f>
        <v>technical</v>
      </c>
      <c r="L289" s="8" t="str">
        <f>VLOOKUP(F289,[1]characters!$A:$M,13,FALSE)</f>
        <v>human</v>
      </c>
      <c r="M289" s="16">
        <f>VLOOKUP(D289,gacha_309_base!A:B,2,FALSE)</f>
        <v>6043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6"/>
        <v>3091234</v>
      </c>
      <c r="B290" s="2" t="str">
        <f t="shared" si="27"/>
        <v>3091</v>
      </c>
      <c r="C290" s="8" t="str">
        <f t="shared" si="25"/>
        <v>1PremiumS5</v>
      </c>
      <c r="D290" s="8" t="str">
        <f t="shared" si="28"/>
        <v>1PremiumS5</v>
      </c>
      <c r="E290" s="10">
        <v>1</v>
      </c>
      <c r="F290" s="5">
        <v>234</v>
      </c>
      <c r="G290" s="8" t="str">
        <f>VLOOKUP(F290,[1]characters!$A:$C,3,FALSE)</f>
        <v>精密なる照準 パーシヴァル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blue</v>
      </c>
      <c r="K290" s="8" t="str">
        <f>VLOOKUP(F290,[1]characters!$A:$K,11,FALSE)</f>
        <v>technical</v>
      </c>
      <c r="L290" s="8" t="str">
        <f>VLOOKUP(F290,[1]characters!$A:$M,13,FALSE)</f>
        <v>human</v>
      </c>
      <c r="M290" s="16">
        <f>VLOOKUP(D290,gacha_309_base!A:B,2,FALSE)</f>
        <v>844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6"/>
        <v>3091235</v>
      </c>
      <c r="B291" s="2" t="str">
        <f t="shared" si="27"/>
        <v>3091</v>
      </c>
      <c r="C291" s="8" t="str">
        <f t="shared" si="25"/>
        <v>1PremiumS3</v>
      </c>
      <c r="D291" s="8" t="str">
        <f t="shared" si="28"/>
        <v>1PremiumS3</v>
      </c>
      <c r="E291" s="10">
        <v>1</v>
      </c>
      <c r="F291" s="5">
        <v>235</v>
      </c>
      <c r="G291" s="8" t="str">
        <f>VLOOKUP(F291,[1]characters!$A:$C,3,FALSE)</f>
        <v>イザナミ</v>
      </c>
      <c r="H291" s="8" t="str">
        <f>VLOOKUP(F291,[1]characters!$A:$J,10,FALSE)</f>
        <v>PremiumS</v>
      </c>
      <c r="I291" s="8">
        <f>VLOOKUP(F291,[1]characters!$A:$I,9,FALSE)</f>
        <v>3</v>
      </c>
      <c r="J291" s="8" t="str">
        <f>VLOOKUP(F291,[1]characters!$A:$H,8,FALSE)</f>
        <v>yellow</v>
      </c>
      <c r="K291" s="8" t="str">
        <f>VLOOKUP(F291,[1]characters!$A:$K,11,FALSE)</f>
        <v>attack</v>
      </c>
      <c r="L291" s="8" t="str">
        <f>VLOOKUP(F291,[1]characters!$A:$M,13,FALSE)</f>
        <v>god</v>
      </c>
      <c r="M291" s="16">
        <f>VLOOKUP(D291,gacha_309_base!A:B,2,FALSE)</f>
        <v>6888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6"/>
        <v>3091236</v>
      </c>
      <c r="B292" s="2" t="str">
        <f t="shared" si="27"/>
        <v>3091</v>
      </c>
      <c r="C292" s="8" t="str">
        <f t="shared" si="25"/>
        <v>1PremiumS4</v>
      </c>
      <c r="D292" s="8" t="str">
        <f t="shared" si="28"/>
        <v>1PremiumS4</v>
      </c>
      <c r="E292" s="10">
        <v>1</v>
      </c>
      <c r="F292" s="5">
        <v>236</v>
      </c>
      <c r="G292" s="8" t="str">
        <f>VLOOKUP(F292,[1]characters!$A:$C,3,FALSE)</f>
        <v>神産 イザナミ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yellow</v>
      </c>
      <c r="K292" s="8" t="str">
        <f>VLOOKUP(F292,[1]characters!$A:$K,11,FALSE)</f>
        <v>attack</v>
      </c>
      <c r="L292" s="8" t="str">
        <f>VLOOKUP(F292,[1]characters!$A:$M,13,FALSE)</f>
        <v>god</v>
      </c>
      <c r="M292" s="16">
        <f>VLOOKUP(D292,gacha_309_base!A:B,2,FALSE)</f>
        <v>6043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6"/>
        <v>3091237</v>
      </c>
      <c r="B293" s="2" t="str">
        <f t="shared" si="27"/>
        <v>3091</v>
      </c>
      <c r="C293" s="8" t="str">
        <f t="shared" si="25"/>
        <v>1PremiumS5</v>
      </c>
      <c r="D293" s="8" t="str">
        <f t="shared" si="28"/>
        <v>1PremiumS5</v>
      </c>
      <c r="E293" s="10">
        <v>1</v>
      </c>
      <c r="F293" s="5">
        <v>237</v>
      </c>
      <c r="G293" s="8" t="str">
        <f>VLOOKUP(F293,[1]characters!$A:$C,3,FALSE)</f>
        <v>森羅万象の神母 イザナミ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yellow</v>
      </c>
      <c r="K293" s="8" t="str">
        <f>VLOOKUP(F293,[1]characters!$A:$K,11,FALSE)</f>
        <v>attack</v>
      </c>
      <c r="L293" s="8" t="str">
        <f>VLOOKUP(F293,[1]characters!$A:$M,13,FALSE)</f>
        <v>god</v>
      </c>
      <c r="M293" s="16">
        <f>VLOOKUP(D293,gacha_309_base!A:B,2,FALSE)</f>
        <v>844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6"/>
        <v>3091238</v>
      </c>
      <c r="B294" s="2" t="str">
        <f t="shared" si="27"/>
        <v>3091</v>
      </c>
      <c r="C294" s="8" t="str">
        <f t="shared" si="25"/>
        <v>1PremiumS3</v>
      </c>
      <c r="D294" s="8" t="str">
        <f t="shared" si="28"/>
        <v>1PremiumS3</v>
      </c>
      <c r="E294" s="10">
        <v>1</v>
      </c>
      <c r="F294" s="5">
        <v>238</v>
      </c>
      <c r="G294" s="8" t="str">
        <f>VLOOKUP(F294,[1]characters!$A:$C,3,FALSE)</f>
        <v>ウリエル</v>
      </c>
      <c r="H294" s="8" t="str">
        <f>VLOOKUP(F294,[1]characters!$A:$J,10,FALSE)</f>
        <v>PremiumS</v>
      </c>
      <c r="I294" s="8">
        <f>VLOOKUP(F294,[1]characters!$A:$I,9,FALSE)</f>
        <v>3</v>
      </c>
      <c r="J294" s="8" t="str">
        <f>VLOOKUP(F294,[1]characters!$A:$H,8,FALSE)</f>
        <v>red</v>
      </c>
      <c r="K294" s="8" t="str">
        <f>VLOOKUP(F294,[1]characters!$A:$K,11,FALSE)</f>
        <v>hp</v>
      </c>
      <c r="L294" s="8" t="str">
        <f>VLOOKUP(F294,[1]characters!$A:$M,13,FALSE)</f>
        <v>machine</v>
      </c>
      <c r="M294" s="16">
        <f>VLOOKUP(D294,gacha_309_base!A:B,2,FALSE)</f>
        <v>6888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6"/>
        <v>3091239</v>
      </c>
      <c r="B295" s="2" t="str">
        <f t="shared" si="27"/>
        <v>3091</v>
      </c>
      <c r="C295" s="8" t="str">
        <f t="shared" si="25"/>
        <v>1PremiumS4</v>
      </c>
      <c r="D295" s="8" t="str">
        <f t="shared" si="28"/>
        <v>1PremiumS4</v>
      </c>
      <c r="E295" s="10">
        <v>1</v>
      </c>
      <c r="F295" s="5">
        <v>239</v>
      </c>
      <c r="G295" s="8" t="str">
        <f>VLOOKUP(F295,[1]characters!$A:$C,3,FALSE)</f>
        <v>豪炎の天使 ウリエル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red</v>
      </c>
      <c r="K295" s="8" t="str">
        <f>VLOOKUP(F295,[1]characters!$A:$K,11,FALSE)</f>
        <v>hp</v>
      </c>
      <c r="L295" s="8" t="str">
        <f>VLOOKUP(F295,[1]characters!$A:$M,13,FALSE)</f>
        <v>machine</v>
      </c>
      <c r="M295" s="16">
        <f>VLOOKUP(D295,gacha_309_base!A:B,2,FALSE)</f>
        <v>6043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6"/>
        <v>3091240</v>
      </c>
      <c r="B296" s="2" t="str">
        <f t="shared" si="27"/>
        <v>3091</v>
      </c>
      <c r="C296" s="8" t="str">
        <f t="shared" si="25"/>
        <v>1PremiumS5</v>
      </c>
      <c r="D296" s="8" t="str">
        <f t="shared" si="28"/>
        <v>1PremiumS5</v>
      </c>
      <c r="E296" s="10">
        <v>1</v>
      </c>
      <c r="F296" s="5">
        <v>240</v>
      </c>
      <c r="G296" s="8" t="str">
        <f>VLOOKUP(F296,[1]characters!$A:$C,3,FALSE)</f>
        <v>轟炎の天使 ウリエル・スレイヤー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red</v>
      </c>
      <c r="K296" s="8" t="str">
        <f>VLOOKUP(F296,[1]characters!$A:$K,11,FALSE)</f>
        <v>hp</v>
      </c>
      <c r="L296" s="8" t="str">
        <f>VLOOKUP(F296,[1]characters!$A:$M,13,FALSE)</f>
        <v>machine</v>
      </c>
      <c r="M296" s="16">
        <f>VLOOKUP(D296,gacha_309_base!A:B,2,FALSE)</f>
        <v>844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6"/>
        <v>3091241</v>
      </c>
      <c r="B297" s="2" t="str">
        <f t="shared" si="27"/>
        <v>3091</v>
      </c>
      <c r="C297" s="8" t="str">
        <f t="shared" si="25"/>
        <v>1PremiumS3</v>
      </c>
      <c r="D297" s="8" t="str">
        <f t="shared" si="28"/>
        <v>1PremiumS3</v>
      </c>
      <c r="E297" s="10">
        <v>1</v>
      </c>
      <c r="F297" s="5">
        <v>241</v>
      </c>
      <c r="G297" s="8" t="str">
        <f>VLOOKUP(F297,[1]characters!$A:$C,3,FALSE)</f>
        <v>ガブリエル</v>
      </c>
      <c r="H297" s="8" t="str">
        <f>VLOOKUP(F297,[1]characters!$A:$J,10,FALSE)</f>
        <v>PremiumS</v>
      </c>
      <c r="I297" s="8">
        <f>VLOOKUP(F297,[1]characters!$A:$I,9,FALSE)</f>
        <v>3</v>
      </c>
      <c r="J297" s="8" t="str">
        <f>VLOOKUP(F297,[1]characters!$A:$H,8,FALSE)</f>
        <v>green</v>
      </c>
      <c r="K297" s="8" t="str">
        <f>VLOOKUP(F297,[1]characters!$A:$K,11,FALSE)</f>
        <v>balance</v>
      </c>
      <c r="L297" s="8" t="str">
        <f>VLOOKUP(F297,[1]characters!$A:$M,13,FALSE)</f>
        <v>machine</v>
      </c>
      <c r="M297" s="16">
        <f>VLOOKUP(D297,gacha_309_base!A:B,2,FALSE)</f>
        <v>6888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6"/>
        <v>3091242</v>
      </c>
      <c r="B298" s="2" t="str">
        <f t="shared" si="27"/>
        <v>3091</v>
      </c>
      <c r="C298" s="8" t="str">
        <f t="shared" si="25"/>
        <v>1PremiumS4</v>
      </c>
      <c r="D298" s="8" t="str">
        <f t="shared" si="28"/>
        <v>1PremiumS4</v>
      </c>
      <c r="E298" s="10">
        <v>1</v>
      </c>
      <c r="F298" s="5">
        <v>242</v>
      </c>
      <c r="G298" s="8" t="str">
        <f>VLOOKUP(F298,[1]characters!$A:$C,3,FALSE)</f>
        <v>百花の天使 ガブリエル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balance</v>
      </c>
      <c r="L298" s="8" t="str">
        <f>VLOOKUP(F298,[1]characters!$A:$M,13,FALSE)</f>
        <v>machine</v>
      </c>
      <c r="M298" s="16">
        <f>VLOOKUP(D298,gacha_309_base!A:B,2,FALSE)</f>
        <v>6043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26"/>
        <v>3091243</v>
      </c>
      <c r="B299" s="2" t="str">
        <f t="shared" si="27"/>
        <v>3091</v>
      </c>
      <c r="C299" s="8" t="str">
        <f t="shared" si="25"/>
        <v>1PremiumS5</v>
      </c>
      <c r="D299" s="8" t="str">
        <f t="shared" si="28"/>
        <v>1PremiumS5</v>
      </c>
      <c r="E299" s="10">
        <v>1</v>
      </c>
      <c r="F299" s="5">
        <v>243</v>
      </c>
      <c r="G299" s="8" t="str">
        <f>VLOOKUP(F299,[1]characters!$A:$C,3,FALSE)</f>
        <v>万花の天使 ガブリエル・ブルーム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balance</v>
      </c>
      <c r="L299" s="8" t="str">
        <f>VLOOKUP(F299,[1]characters!$A:$M,13,FALSE)</f>
        <v>machine</v>
      </c>
      <c r="M299" s="16">
        <f>VLOOKUP(D299,gacha_309_base!A:B,2,FALSE)</f>
        <v>844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6"/>
        <v>3091244</v>
      </c>
      <c r="B300" s="2" t="str">
        <f t="shared" si="27"/>
        <v>3091</v>
      </c>
      <c r="C300" s="8" t="str">
        <f t="shared" si="25"/>
        <v>1PremiumS3</v>
      </c>
      <c r="D300" s="8" t="str">
        <f t="shared" si="28"/>
        <v>1PremiumS3</v>
      </c>
      <c r="E300" s="10">
        <v>1</v>
      </c>
      <c r="F300" s="5">
        <v>244</v>
      </c>
      <c r="G300" s="8" t="str">
        <f>VLOOKUP(F300,[1]characters!$A:$C,3,FALSE)</f>
        <v>ラファエル</v>
      </c>
      <c r="H300" s="8" t="str">
        <f>VLOOKUP(F300,[1]characters!$A:$J,10,FALSE)</f>
        <v>PremiumS</v>
      </c>
      <c r="I300" s="8">
        <f>VLOOKUP(F300,[1]characters!$A:$I,9,FALSE)</f>
        <v>3</v>
      </c>
      <c r="J300" s="8" t="str">
        <f>VLOOKUP(F300,[1]characters!$A:$H,8,FALSE)</f>
        <v>blue</v>
      </c>
      <c r="K300" s="8" t="str">
        <f>VLOOKUP(F300,[1]characters!$A:$K,11,FALSE)</f>
        <v>balance</v>
      </c>
      <c r="L300" s="8" t="str">
        <f>VLOOKUP(F300,[1]characters!$A:$M,13,FALSE)</f>
        <v>machine</v>
      </c>
      <c r="M300" s="16">
        <f>VLOOKUP(D300,gacha_309_base!A:B,2,FALSE)</f>
        <v>6888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6"/>
        <v>3091245</v>
      </c>
      <c r="B301" s="2" t="str">
        <f t="shared" si="27"/>
        <v>3091</v>
      </c>
      <c r="C301" s="8" t="str">
        <f t="shared" si="25"/>
        <v>1PremiumS4</v>
      </c>
      <c r="D301" s="8" t="str">
        <f t="shared" si="28"/>
        <v>1PremiumS4</v>
      </c>
      <c r="E301" s="10">
        <v>1</v>
      </c>
      <c r="F301" s="5">
        <v>245</v>
      </c>
      <c r="G301" s="8" t="str">
        <f>VLOOKUP(F301,[1]characters!$A:$C,3,FALSE)</f>
        <v>鎮癒の天使 ラファエル</v>
      </c>
      <c r="H301" s="8" t="str">
        <f>VLOOKUP(F301,[1]characters!$A:$J,10,FALSE)</f>
        <v>PremiumS</v>
      </c>
      <c r="I301" s="8">
        <f>VLOOKUP(F301,[1]characters!$A:$I,9,FALSE)</f>
        <v>4</v>
      </c>
      <c r="J301" s="8" t="str">
        <f>VLOOKUP(F301,[1]characters!$A:$H,8,FALSE)</f>
        <v>blue</v>
      </c>
      <c r="K301" s="8" t="str">
        <f>VLOOKUP(F301,[1]characters!$A:$K,11,FALSE)</f>
        <v>balance</v>
      </c>
      <c r="L301" s="8" t="str">
        <f>VLOOKUP(F301,[1]characters!$A:$M,13,FALSE)</f>
        <v>machine</v>
      </c>
      <c r="M301" s="16">
        <f>VLOOKUP(D301,gacha_309_base!A:B,2,FALSE)</f>
        <v>6043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6"/>
        <v>3091246</v>
      </c>
      <c r="B302" s="2" t="str">
        <f t="shared" si="27"/>
        <v>3091</v>
      </c>
      <c r="C302" s="8" t="str">
        <f t="shared" si="25"/>
        <v>1PremiumS5</v>
      </c>
      <c r="D302" s="8" t="str">
        <f t="shared" si="28"/>
        <v>1PremiumS5</v>
      </c>
      <c r="E302" s="10">
        <v>1</v>
      </c>
      <c r="F302" s="5">
        <v>246</v>
      </c>
      <c r="G302" s="8" t="str">
        <f>VLOOKUP(F302,[1]characters!$A:$C,3,FALSE)</f>
        <v>真癒の天使 ラファエル・メディカ</v>
      </c>
      <c r="H302" s="8" t="str">
        <f>VLOOKUP(F302,[1]characters!$A:$J,10,FALSE)</f>
        <v>PremiumS</v>
      </c>
      <c r="I302" s="8">
        <f>VLOOKUP(F302,[1]characters!$A:$I,9,FALSE)</f>
        <v>5</v>
      </c>
      <c r="J302" s="8" t="str">
        <f>VLOOKUP(F302,[1]characters!$A:$H,8,FALSE)</f>
        <v>blue</v>
      </c>
      <c r="K302" s="8" t="str">
        <f>VLOOKUP(F302,[1]characters!$A:$K,11,FALSE)</f>
        <v>balance</v>
      </c>
      <c r="L302" s="8" t="str">
        <f>VLOOKUP(F302,[1]characters!$A:$M,13,FALSE)</f>
        <v>machine</v>
      </c>
      <c r="M302" s="16">
        <f>VLOOKUP(D302,gacha_309_base!A:B,2,FALSE)</f>
        <v>844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26"/>
        <v>3091247</v>
      </c>
      <c r="B303" s="2" t="str">
        <f t="shared" si="27"/>
        <v>3091</v>
      </c>
      <c r="C303" s="8" t="str">
        <f t="shared" si="25"/>
        <v>1PremiumS3</v>
      </c>
      <c r="D303" s="8" t="str">
        <f t="shared" si="28"/>
        <v>1PremiumS3</v>
      </c>
      <c r="E303" s="10">
        <v>1</v>
      </c>
      <c r="F303" s="5">
        <v>247</v>
      </c>
      <c r="G303" s="8" t="str">
        <f>VLOOKUP(F303,[1]characters!$A:$C,3,FALSE)</f>
        <v>ミカエル</v>
      </c>
      <c r="H303" s="8" t="str">
        <f>VLOOKUP(F303,[1]characters!$A:$J,10,FALSE)</f>
        <v>PremiumS</v>
      </c>
      <c r="I303" s="8">
        <f>VLOOKUP(F303,[1]characters!$A:$I,9,FALSE)</f>
        <v>3</v>
      </c>
      <c r="J303" s="8" t="str">
        <f>VLOOKUP(F303,[1]characters!$A:$H,8,FALSE)</f>
        <v>yellow</v>
      </c>
      <c r="K303" s="8" t="str">
        <f>VLOOKUP(F303,[1]characters!$A:$K,11,FALSE)</f>
        <v>attack</v>
      </c>
      <c r="L303" s="8" t="str">
        <f>VLOOKUP(F303,[1]characters!$A:$M,13,FALSE)</f>
        <v>machine</v>
      </c>
      <c r="M303" s="16">
        <f>VLOOKUP(D303,gacha_309_base!A:B,2,FALSE)</f>
        <v>6888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6"/>
        <v>3091248</v>
      </c>
      <c r="B304" s="2" t="str">
        <f t="shared" si="27"/>
        <v>3091</v>
      </c>
      <c r="C304" s="8" t="str">
        <f t="shared" si="25"/>
        <v>1PremiumS4</v>
      </c>
      <c r="D304" s="8" t="str">
        <f t="shared" si="28"/>
        <v>1PremiumS4</v>
      </c>
      <c r="E304" s="10">
        <v>1</v>
      </c>
      <c r="F304" s="5">
        <v>248</v>
      </c>
      <c r="G304" s="8" t="str">
        <f>VLOOKUP(F304,[1]characters!$A:$C,3,FALSE)</f>
        <v>彩電の天使 ミカエル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attack</v>
      </c>
      <c r="L304" s="8" t="str">
        <f>VLOOKUP(F304,[1]characters!$A:$M,13,FALSE)</f>
        <v>machine</v>
      </c>
      <c r="M304" s="16">
        <f>VLOOKUP(D304,gacha_309_base!A:B,2,FALSE)</f>
        <v>6043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6"/>
        <v>3091249</v>
      </c>
      <c r="B305" s="2" t="str">
        <f t="shared" si="27"/>
        <v>3091</v>
      </c>
      <c r="C305" s="8" t="str">
        <f t="shared" si="25"/>
        <v>1PremiumS5</v>
      </c>
      <c r="D305" s="8" t="str">
        <f t="shared" si="28"/>
        <v>1PremiumS5</v>
      </c>
      <c r="E305" s="10">
        <v>1</v>
      </c>
      <c r="F305" s="6">
        <v>249</v>
      </c>
      <c r="G305" s="8" t="str">
        <f>VLOOKUP(F305,[1]characters!$A:$C,3,FALSE)</f>
        <v>雷電の天使 ミカエル・ゲイナー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attack</v>
      </c>
      <c r="L305" s="8" t="str">
        <f>VLOOKUP(F305,[1]characters!$A:$M,13,FALSE)</f>
        <v>machine</v>
      </c>
      <c r="M305" s="16">
        <f>VLOOKUP(D305,gacha_309_base!A:B,2,FALSE)</f>
        <v>844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6"/>
        <v>3091250</v>
      </c>
      <c r="B306" s="2" t="str">
        <f t="shared" si="27"/>
        <v>3091</v>
      </c>
      <c r="C306" s="8" t="str">
        <f t="shared" si="25"/>
        <v>1PremiumS3</v>
      </c>
      <c r="D306" s="8" t="str">
        <f t="shared" si="28"/>
        <v>1PremiumS3</v>
      </c>
      <c r="E306" s="10">
        <v>1</v>
      </c>
      <c r="F306" s="6">
        <v>250</v>
      </c>
      <c r="G306" s="8" t="str">
        <f>VLOOKUP(F306,[1]characters!$A:$C,3,FALSE)</f>
        <v>マンモン</v>
      </c>
      <c r="H306" s="8" t="str">
        <f>VLOOKUP(F306,[1]characters!$A:$J,10,FALSE)</f>
        <v>PremiumS</v>
      </c>
      <c r="I306" s="8">
        <f>VLOOKUP(F306,[1]characters!$A:$I,9,FALSE)</f>
        <v>3</v>
      </c>
      <c r="J306" s="8" t="str">
        <f>VLOOKUP(F306,[1]characters!$A:$H,8,FALSE)</f>
        <v>red</v>
      </c>
      <c r="K306" s="8" t="str">
        <f>VLOOKUP(F306,[1]characters!$A:$K,11,FALSE)</f>
        <v>balance</v>
      </c>
      <c r="L306" s="8" t="str">
        <f>VLOOKUP(F306,[1]characters!$A:$M,13,FALSE)</f>
        <v>god</v>
      </c>
      <c r="M306" s="16">
        <f>VLOOKUP(D306,gacha_309_base!A:B,2,FALSE)</f>
        <v>6888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6"/>
        <v>3091251</v>
      </c>
      <c r="B307" s="2" t="str">
        <f t="shared" si="27"/>
        <v>3091</v>
      </c>
      <c r="C307" s="8" t="str">
        <f t="shared" si="25"/>
        <v>1PremiumS4</v>
      </c>
      <c r="D307" s="8" t="str">
        <f t="shared" si="28"/>
        <v>1PremiumS4</v>
      </c>
      <c r="E307" s="10">
        <v>1</v>
      </c>
      <c r="F307" s="6">
        <v>251</v>
      </c>
      <c r="G307" s="8" t="str">
        <f>VLOOKUP(F307,[1]characters!$A:$C,3,FALSE)</f>
        <v>強欲 マンモン</v>
      </c>
      <c r="H307" s="8" t="str">
        <f>VLOOKUP(F307,[1]characters!$A:$J,10,FALSE)</f>
        <v>PremiumS</v>
      </c>
      <c r="I307" s="8">
        <f>VLOOKUP(F307,[1]characters!$A:$I,9,FALSE)</f>
        <v>4</v>
      </c>
      <c r="J307" s="8" t="str">
        <f>VLOOKUP(F307,[1]characters!$A:$H,8,FALSE)</f>
        <v>red</v>
      </c>
      <c r="K307" s="8" t="str">
        <f>VLOOKUP(F307,[1]characters!$A:$K,11,FALSE)</f>
        <v>balance</v>
      </c>
      <c r="L307" s="8" t="str">
        <f>VLOOKUP(F307,[1]characters!$A:$M,13,FALSE)</f>
        <v>god</v>
      </c>
      <c r="M307" s="16">
        <f>VLOOKUP(D307,gacha_309_base!A:B,2,FALSE)</f>
        <v>6043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6"/>
        <v>3091252</v>
      </c>
      <c r="B308" s="2" t="str">
        <f t="shared" si="27"/>
        <v>3091</v>
      </c>
      <c r="C308" s="8" t="str">
        <f t="shared" si="25"/>
        <v>1PremiumS5</v>
      </c>
      <c r="D308" s="8" t="str">
        <f t="shared" si="28"/>
        <v>1PremiumS5</v>
      </c>
      <c r="E308" s="10">
        <v>1</v>
      </c>
      <c r="F308" s="6">
        <v>252</v>
      </c>
      <c r="G308" s="8" t="str">
        <f>VLOOKUP(F308,[1]characters!$A:$C,3,FALSE)</f>
        <v>強欲の沸騰 マンモン</v>
      </c>
      <c r="H308" s="8" t="str">
        <f>VLOOKUP(F308,[1]characters!$A:$J,10,FALSE)</f>
        <v>PremiumS</v>
      </c>
      <c r="I308" s="8">
        <f>VLOOKUP(F308,[1]characters!$A:$I,9,FALSE)</f>
        <v>5</v>
      </c>
      <c r="J308" s="8" t="str">
        <f>VLOOKUP(F308,[1]characters!$A:$H,8,FALSE)</f>
        <v>red</v>
      </c>
      <c r="K308" s="8" t="str">
        <f>VLOOKUP(F308,[1]characters!$A:$K,11,FALSE)</f>
        <v>balance</v>
      </c>
      <c r="L308" s="8" t="str">
        <f>VLOOKUP(F308,[1]characters!$A:$M,13,FALSE)</f>
        <v>god</v>
      </c>
      <c r="M308" s="16">
        <f>VLOOKUP(D308,gacha_309_base!A:B,2,FALSE)</f>
        <v>844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6"/>
        <v>3091253</v>
      </c>
      <c r="B309" s="2" t="str">
        <f t="shared" si="27"/>
        <v>3091</v>
      </c>
      <c r="C309" s="8" t="str">
        <f t="shared" si="25"/>
        <v>1PremiumS3</v>
      </c>
      <c r="D309" s="8" t="str">
        <f t="shared" si="28"/>
        <v>1PremiumS3</v>
      </c>
      <c r="E309" s="10">
        <v>1</v>
      </c>
      <c r="F309" s="6">
        <v>253</v>
      </c>
      <c r="G309" s="8" t="str">
        <f>VLOOKUP(F309,[1]characters!$A:$C,3,FALSE)</f>
        <v>ベルフェゴール</v>
      </c>
      <c r="H309" s="8" t="str">
        <f>VLOOKUP(F309,[1]characters!$A:$J,10,FALSE)</f>
        <v>PremiumS</v>
      </c>
      <c r="I309" s="8">
        <f>VLOOKUP(F309,[1]characters!$A:$I,9,FALSE)</f>
        <v>3</v>
      </c>
      <c r="J309" s="8" t="str">
        <f>VLOOKUP(F309,[1]characters!$A:$H,8,FALSE)</f>
        <v>green</v>
      </c>
      <c r="K309" s="8" t="str">
        <f>VLOOKUP(F309,[1]characters!$A:$K,11,FALSE)</f>
        <v>technical</v>
      </c>
      <c r="L309" s="8" t="str">
        <f>VLOOKUP(F309,[1]characters!$A:$M,13,FALSE)</f>
        <v>god</v>
      </c>
      <c r="M309" s="16">
        <f>VLOOKUP(D309,gacha_309_base!A:B,2,FALSE)</f>
        <v>6888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6"/>
        <v>3091254</v>
      </c>
      <c r="B310" s="2" t="str">
        <f t="shared" si="27"/>
        <v>3091</v>
      </c>
      <c r="C310" s="8" t="str">
        <f t="shared" ref="C310:C373" si="29">E310&amp;H310&amp;I310</f>
        <v>1PremiumS4</v>
      </c>
      <c r="D310" s="8" t="str">
        <f t="shared" si="28"/>
        <v>1PremiumS4</v>
      </c>
      <c r="E310" s="10">
        <v>1</v>
      </c>
      <c r="F310" s="6">
        <v>254</v>
      </c>
      <c r="G310" s="8" t="str">
        <f>VLOOKUP(F310,[1]characters!$A:$C,3,FALSE)</f>
        <v>怠惰 ベルフェゴール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green</v>
      </c>
      <c r="K310" s="8" t="str">
        <f>VLOOKUP(F310,[1]characters!$A:$K,11,FALSE)</f>
        <v>technical</v>
      </c>
      <c r="L310" s="8" t="str">
        <f>VLOOKUP(F310,[1]characters!$A:$M,13,FALSE)</f>
        <v>god</v>
      </c>
      <c r="M310" s="16">
        <f>VLOOKUP(D310,gacha_309_base!A:B,2,FALSE)</f>
        <v>6043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ref="A311:A374" si="30">B311&amp;F311</f>
        <v>3091255</v>
      </c>
      <c r="B311" s="2" t="str">
        <f t="shared" si="27"/>
        <v>3091</v>
      </c>
      <c r="C311" s="8" t="str">
        <f t="shared" si="29"/>
        <v>1PremiumS5</v>
      </c>
      <c r="D311" s="8" t="str">
        <f t="shared" si="28"/>
        <v>1PremiumS5</v>
      </c>
      <c r="E311" s="10">
        <v>1</v>
      </c>
      <c r="F311" s="6">
        <v>255</v>
      </c>
      <c r="G311" s="8" t="str">
        <f>VLOOKUP(F311,[1]characters!$A:$C,3,FALSE)</f>
        <v>怠惰の頂点 ベルフェゴール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green</v>
      </c>
      <c r="K311" s="8" t="str">
        <f>VLOOKUP(F311,[1]characters!$A:$K,11,FALSE)</f>
        <v>technical</v>
      </c>
      <c r="L311" s="8" t="str">
        <f>VLOOKUP(F311,[1]characters!$A:$M,13,FALSE)</f>
        <v>god</v>
      </c>
      <c r="M311" s="16">
        <f>VLOOKUP(D311,gacha_309_base!A:B,2,FALSE)</f>
        <v>844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30"/>
        <v>3091256</v>
      </c>
      <c r="B312" s="2" t="str">
        <f t="shared" si="27"/>
        <v>3091</v>
      </c>
      <c r="C312" s="8" t="str">
        <f t="shared" si="29"/>
        <v>1PremiumS3</v>
      </c>
      <c r="D312" s="8" t="str">
        <f t="shared" si="28"/>
        <v>1PremiumS3</v>
      </c>
      <c r="E312" s="10">
        <v>1</v>
      </c>
      <c r="F312" s="6">
        <v>256</v>
      </c>
      <c r="G312" s="8" t="str">
        <f>VLOOKUP(F312,[1]characters!$A:$C,3,FALSE)</f>
        <v>アスモデウス</v>
      </c>
      <c r="H312" s="8" t="str">
        <f>VLOOKUP(F312,[1]characters!$A:$J,10,FALSE)</f>
        <v>PremiumS</v>
      </c>
      <c r="I312" s="8">
        <f>VLOOKUP(F312,[1]characters!$A:$I,9,FALSE)</f>
        <v>3</v>
      </c>
      <c r="J312" s="8" t="str">
        <f>VLOOKUP(F312,[1]characters!$A:$H,8,FALSE)</f>
        <v>blue</v>
      </c>
      <c r="K312" s="8" t="str">
        <f>VLOOKUP(F312,[1]characters!$A:$K,11,FALSE)</f>
        <v>attack</v>
      </c>
      <c r="L312" s="8" t="str">
        <f>VLOOKUP(F312,[1]characters!$A:$M,13,FALSE)</f>
        <v>god</v>
      </c>
      <c r="M312" s="16">
        <f>VLOOKUP(D312,gacha_309_base!A:B,2,FALSE)</f>
        <v>6888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30"/>
        <v>3091257</v>
      </c>
      <c r="B313" s="2" t="str">
        <f t="shared" si="27"/>
        <v>3091</v>
      </c>
      <c r="C313" s="8" t="str">
        <f t="shared" si="29"/>
        <v>1PremiumS4</v>
      </c>
      <c r="D313" s="8" t="str">
        <f t="shared" si="28"/>
        <v>1PremiumS4</v>
      </c>
      <c r="E313" s="10">
        <v>1</v>
      </c>
      <c r="F313" s="6">
        <v>257</v>
      </c>
      <c r="G313" s="8" t="str">
        <f>VLOOKUP(F313,[1]characters!$A:$C,3,FALSE)</f>
        <v>色欲 アスモデウス</v>
      </c>
      <c r="H313" s="8" t="str">
        <f>VLOOKUP(F313,[1]characters!$A:$J,10,FALSE)</f>
        <v>PremiumS</v>
      </c>
      <c r="I313" s="8">
        <f>VLOOKUP(F313,[1]characters!$A:$I,9,FALSE)</f>
        <v>4</v>
      </c>
      <c r="J313" s="8" t="str">
        <f>VLOOKUP(F313,[1]characters!$A:$H,8,FALSE)</f>
        <v>blue</v>
      </c>
      <c r="K313" s="8" t="str">
        <f>VLOOKUP(F313,[1]characters!$A:$K,11,FALSE)</f>
        <v>attack</v>
      </c>
      <c r="L313" s="8" t="str">
        <f>VLOOKUP(F313,[1]characters!$A:$M,13,FALSE)</f>
        <v>god</v>
      </c>
      <c r="M313" s="16">
        <f>VLOOKUP(D313,gacha_309_base!A:B,2,FALSE)</f>
        <v>6043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30"/>
        <v>3091258</v>
      </c>
      <c r="B314" s="2" t="str">
        <f t="shared" si="27"/>
        <v>3091</v>
      </c>
      <c r="C314" s="8" t="str">
        <f t="shared" si="29"/>
        <v>1PremiumS5</v>
      </c>
      <c r="D314" s="8" t="str">
        <f t="shared" si="28"/>
        <v>1PremiumS5</v>
      </c>
      <c r="E314" s="10">
        <v>1</v>
      </c>
      <c r="F314" s="6">
        <v>258</v>
      </c>
      <c r="G314" s="8" t="str">
        <f>VLOOKUP(F314,[1]characters!$A:$C,3,FALSE)</f>
        <v>色欲の源流 アスモデウス</v>
      </c>
      <c r="H314" s="8" t="str">
        <f>VLOOKUP(F314,[1]characters!$A:$J,10,FALSE)</f>
        <v>PremiumS</v>
      </c>
      <c r="I314" s="8">
        <f>VLOOKUP(F314,[1]characters!$A:$I,9,FALSE)</f>
        <v>5</v>
      </c>
      <c r="J314" s="8" t="str">
        <f>VLOOKUP(F314,[1]characters!$A:$H,8,FALSE)</f>
        <v>blue</v>
      </c>
      <c r="K314" s="8" t="str">
        <f>VLOOKUP(F314,[1]characters!$A:$K,11,FALSE)</f>
        <v>attack</v>
      </c>
      <c r="L314" s="8" t="str">
        <f>VLOOKUP(F314,[1]characters!$A:$M,13,FALSE)</f>
        <v>god</v>
      </c>
      <c r="M314" s="16">
        <f>VLOOKUP(D314,gacha_309_base!A:B,2,FALSE)</f>
        <v>844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30"/>
        <v>3091259</v>
      </c>
      <c r="B315" s="2" t="str">
        <f t="shared" si="27"/>
        <v>3091</v>
      </c>
      <c r="C315" s="8" t="str">
        <f t="shared" si="29"/>
        <v>1PremiumS3</v>
      </c>
      <c r="D315" s="8" t="str">
        <f t="shared" si="28"/>
        <v>1PremiumS3</v>
      </c>
      <c r="E315" s="10">
        <v>1</v>
      </c>
      <c r="F315" s="6">
        <v>259</v>
      </c>
      <c r="G315" s="8" t="str">
        <f>VLOOKUP(F315,[1]characters!$A:$C,3,FALSE)</f>
        <v>ウロボロス</v>
      </c>
      <c r="H315" s="8" t="str">
        <f>VLOOKUP(F315,[1]characters!$A:$J,10,FALSE)</f>
        <v>PremiumS</v>
      </c>
      <c r="I315" s="8">
        <f>VLOOKUP(F315,[1]characters!$A:$I,9,FALSE)</f>
        <v>3</v>
      </c>
      <c r="J315" s="8" t="str">
        <f>VLOOKUP(F315,[1]characters!$A:$H,8,FALSE)</f>
        <v>yellow</v>
      </c>
      <c r="K315" s="8" t="str">
        <f>VLOOKUP(F315,[1]characters!$A:$K,11,FALSE)</f>
        <v>balance</v>
      </c>
      <c r="L315" s="8" t="str">
        <f>VLOOKUP(F315,[1]characters!$A:$M,13,FALSE)</f>
        <v>dragon</v>
      </c>
      <c r="M315" s="16">
        <f>VLOOKUP(D315,gacha_309_base!A:B,2,FALSE)</f>
        <v>6888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30"/>
        <v>3091260</v>
      </c>
      <c r="B316" s="2" t="str">
        <f t="shared" si="27"/>
        <v>3091</v>
      </c>
      <c r="C316" s="8" t="str">
        <f t="shared" si="29"/>
        <v>1PremiumS4</v>
      </c>
      <c r="D316" s="8" t="str">
        <f t="shared" si="28"/>
        <v>1PremiumS4</v>
      </c>
      <c r="E316" s="10">
        <v>1</v>
      </c>
      <c r="F316" s="9">
        <v>260</v>
      </c>
      <c r="G316" s="8" t="str">
        <f>VLOOKUP(F316,[1]characters!$A:$C,3,FALSE)</f>
        <v>輪廻 ウロボロス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yellow</v>
      </c>
      <c r="K316" s="8" t="str">
        <f>VLOOKUP(F316,[1]characters!$A:$K,11,FALSE)</f>
        <v>balance</v>
      </c>
      <c r="L316" s="8" t="str">
        <f>VLOOKUP(F316,[1]characters!$A:$M,13,FALSE)</f>
        <v>dragon</v>
      </c>
      <c r="M316" s="16">
        <f>VLOOKUP(D316,gacha_309_base!A:B,2,FALSE)</f>
        <v>6043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30"/>
        <v>3091261</v>
      </c>
      <c r="B317" s="2" t="str">
        <f t="shared" si="27"/>
        <v>3091</v>
      </c>
      <c r="C317" s="8" t="str">
        <f t="shared" si="29"/>
        <v>1PremiumS5</v>
      </c>
      <c r="D317" s="8" t="str">
        <f t="shared" si="28"/>
        <v>1PremiumS5</v>
      </c>
      <c r="E317" s="10">
        <v>1</v>
      </c>
      <c r="F317" s="9">
        <v>261</v>
      </c>
      <c r="G317" s="8" t="str">
        <f>VLOOKUP(F317,[1]characters!$A:$C,3,FALSE)</f>
        <v>輪廻の蛇龍 ウロボロス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yellow</v>
      </c>
      <c r="K317" s="8" t="str">
        <f>VLOOKUP(F317,[1]characters!$A:$K,11,FALSE)</f>
        <v>balance</v>
      </c>
      <c r="L317" s="8" t="str">
        <f>VLOOKUP(F317,[1]characters!$A:$M,13,FALSE)</f>
        <v>dragon</v>
      </c>
      <c r="M317" s="16">
        <f>VLOOKUP(D317,gacha_309_base!A:B,2,FALSE)</f>
        <v>844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30"/>
        <v>3091320</v>
      </c>
      <c r="B318" s="2" t="str">
        <f t="shared" si="27"/>
        <v>3091</v>
      </c>
      <c r="C318" s="8" t="str">
        <f t="shared" si="29"/>
        <v>1PremiumSS4</v>
      </c>
      <c r="D318" s="8" t="str">
        <f t="shared" si="28"/>
        <v>1PremiumSS4</v>
      </c>
      <c r="E318" s="10">
        <v>1</v>
      </c>
      <c r="F318" s="6">
        <v>320</v>
      </c>
      <c r="G318" s="8" t="str">
        <f>VLOOKUP(F318,[1]characters!$A:$C,3,FALSE)</f>
        <v>烈志士 近藤勇</v>
      </c>
      <c r="H318" s="8" t="str">
        <f>VLOOKUP(F318,[1]characters!$A:$J,10,FALSE)</f>
        <v>PremiumSS</v>
      </c>
      <c r="I318" s="8">
        <f>VLOOKUP(F318,[1]characters!$A:$I,9,FALSE)</f>
        <v>4</v>
      </c>
      <c r="J318" s="8" t="str">
        <f>VLOOKUP(F318,[1]characters!$A:$H,8,FALSE)</f>
        <v>red</v>
      </c>
      <c r="K318" s="8" t="str">
        <f>VLOOKUP(F318,[1]characters!$A:$K,11,FALSE)</f>
        <v>hp</v>
      </c>
      <c r="L318" s="8" t="str">
        <f>VLOOKUP(F318,[1]characters!$A:$M,13,FALSE)</f>
        <v>human</v>
      </c>
      <c r="M318" s="16">
        <f>VLOOKUP(D318,gacha_309_base!A:B,2,FALSE)</f>
        <v>782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30"/>
        <v>3091321</v>
      </c>
      <c r="B319" s="2" t="str">
        <f t="shared" si="27"/>
        <v>3091</v>
      </c>
      <c r="C319" s="8" t="str">
        <f t="shared" si="29"/>
        <v>1PremiumSS5</v>
      </c>
      <c r="D319" s="8" t="str">
        <f t="shared" si="28"/>
        <v>1PremiumSS5</v>
      </c>
      <c r="E319" s="10">
        <v>1</v>
      </c>
      <c r="F319" s="6">
        <v>321</v>
      </c>
      <c r="G319" s="8" t="str">
        <f>VLOOKUP(F319,[1]characters!$A:$C,3,FALSE)</f>
        <v>巌鉄の烈志士 近藤勇</v>
      </c>
      <c r="H319" s="8" t="str">
        <f>VLOOKUP(F319,[1]characters!$A:$J,10,FALSE)</f>
        <v>PremiumSS</v>
      </c>
      <c r="I319" s="8">
        <f>VLOOKUP(F319,[1]characters!$A:$I,9,FALSE)</f>
        <v>5</v>
      </c>
      <c r="J319" s="8" t="str">
        <f>VLOOKUP(F319,[1]characters!$A:$H,8,FALSE)</f>
        <v>red</v>
      </c>
      <c r="K319" s="8" t="str">
        <f>VLOOKUP(F319,[1]characters!$A:$K,11,FALSE)</f>
        <v>hp</v>
      </c>
      <c r="L319" s="8" t="str">
        <f>VLOOKUP(F319,[1]characters!$A:$M,13,FALSE)</f>
        <v>human</v>
      </c>
      <c r="M319" s="16">
        <f>VLOOKUP(D319,gacha_309_base!A:B,2,FALSE)</f>
        <v>51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30"/>
        <v>3091322</v>
      </c>
      <c r="B320" s="2" t="str">
        <f t="shared" si="27"/>
        <v>3091</v>
      </c>
      <c r="C320" s="8" t="str">
        <f t="shared" si="29"/>
        <v>1PremiumSS4</v>
      </c>
      <c r="D320" s="8" t="str">
        <f t="shared" si="28"/>
        <v>1PremiumSS4</v>
      </c>
      <c r="E320" s="10">
        <v>1</v>
      </c>
      <c r="F320" s="6">
        <v>322</v>
      </c>
      <c r="G320" s="8" t="str">
        <f>VLOOKUP(F320,[1]characters!$A:$C,3,FALSE)</f>
        <v>愛志士 土方歳三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green</v>
      </c>
      <c r="K320" s="8" t="str">
        <f>VLOOKUP(F320,[1]characters!$A:$K,11,FALSE)</f>
        <v>attack</v>
      </c>
      <c r="L320" s="8" t="str">
        <f>VLOOKUP(F320,[1]characters!$A:$M,13,FALSE)</f>
        <v>human</v>
      </c>
      <c r="M320" s="16">
        <f>VLOOKUP(D320,gacha_309_base!A:B,2,FALSE)</f>
        <v>782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30"/>
        <v>3091323</v>
      </c>
      <c r="B321" s="2" t="str">
        <f t="shared" si="27"/>
        <v>3091</v>
      </c>
      <c r="C321" s="8" t="str">
        <f t="shared" si="29"/>
        <v>1PremiumSS5</v>
      </c>
      <c r="D321" s="8" t="str">
        <f t="shared" si="28"/>
        <v>1PremiumSS5</v>
      </c>
      <c r="E321" s="10">
        <v>1</v>
      </c>
      <c r="F321" s="6">
        <v>323</v>
      </c>
      <c r="G321" s="8" t="str">
        <f>VLOOKUP(F321,[1]characters!$A:$C,3,FALSE)</f>
        <v>流麗の愛志士 土方歳三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green</v>
      </c>
      <c r="K321" s="8" t="str">
        <f>VLOOKUP(F321,[1]characters!$A:$K,11,FALSE)</f>
        <v>attack</v>
      </c>
      <c r="L321" s="8" t="str">
        <f>VLOOKUP(F321,[1]characters!$A:$M,13,FALSE)</f>
        <v>human</v>
      </c>
      <c r="M321" s="16">
        <f>VLOOKUP(D321,gacha_309_base!A:B,2,FALSE)</f>
        <v>51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30"/>
        <v>3091324</v>
      </c>
      <c r="B322" s="2" t="str">
        <f t="shared" si="27"/>
        <v>3091</v>
      </c>
      <c r="C322" s="8" t="str">
        <f t="shared" si="29"/>
        <v>1PremiumSS4</v>
      </c>
      <c r="D322" s="8" t="str">
        <f t="shared" si="28"/>
        <v>1PremiumSS4</v>
      </c>
      <c r="E322" s="10">
        <v>1</v>
      </c>
      <c r="F322" s="6">
        <v>324</v>
      </c>
      <c r="G322" s="8" t="str">
        <f>VLOOKUP(F322,[1]characters!$A:$C,3,FALSE)</f>
        <v>凛志士 沖田総司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blue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VLOOKUP(D322,gacha_309_base!A:B,2,FALSE)</f>
        <v>782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s="14" customFormat="1" ht="21" customHeight="1" thickBot="1">
      <c r="A323" s="7" t="str">
        <f t="shared" si="30"/>
        <v>3091325</v>
      </c>
      <c r="B323" s="2" t="str">
        <f t="shared" si="27"/>
        <v>3091</v>
      </c>
      <c r="C323" s="8" t="str">
        <f t="shared" si="29"/>
        <v>1PremiumSS5</v>
      </c>
      <c r="D323" s="8" t="str">
        <f t="shared" si="28"/>
        <v>1PremiumSS5</v>
      </c>
      <c r="E323" s="10">
        <v>1</v>
      </c>
      <c r="F323" s="6">
        <v>325</v>
      </c>
      <c r="G323" s="8" t="str">
        <f>VLOOKUP(F323,[1]characters!$A:$C,3,FALSE)</f>
        <v>天賦の凛志士 沖田総司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blue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16">
        <f>VLOOKUP(D323,gacha_309_base!A:B,2,FALSE)</f>
        <v>51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30"/>
        <v>3091326</v>
      </c>
      <c r="B324" s="2" t="str">
        <f t="shared" si="27"/>
        <v>3091</v>
      </c>
      <c r="C324" s="8" t="str">
        <f t="shared" si="29"/>
        <v>1PremiumSS4</v>
      </c>
      <c r="D324" s="8" t="str">
        <f t="shared" si="28"/>
        <v>1PremiumSS4</v>
      </c>
      <c r="E324" s="10">
        <v>1</v>
      </c>
      <c r="F324" s="6">
        <v>326</v>
      </c>
      <c r="G324" s="8" t="str">
        <f>VLOOKUP(F324,[1]characters!$A:$C,3,FALSE)</f>
        <v>妖志士 斎藤一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yellow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16">
        <f>VLOOKUP(D324,gacha_309_base!A:B,2,FALSE)</f>
        <v>782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30"/>
        <v>3091327</v>
      </c>
      <c r="B325" s="2" t="str">
        <f t="shared" si="27"/>
        <v>3091</v>
      </c>
      <c r="C325" s="8" t="str">
        <f t="shared" si="29"/>
        <v>1PremiumSS5</v>
      </c>
      <c r="D325" s="8" t="str">
        <f t="shared" si="28"/>
        <v>1PremiumSS5</v>
      </c>
      <c r="E325" s="10">
        <v>1</v>
      </c>
      <c r="F325" s="6">
        <v>327</v>
      </c>
      <c r="G325" s="8" t="str">
        <f>VLOOKUP(F325,[1]characters!$A:$C,3,FALSE)</f>
        <v>千殺の妖志士 斎藤一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yellow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16">
        <f>VLOOKUP(D325,gacha_309_base!A:B,2,FALSE)</f>
        <v>51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30"/>
        <v>3091380</v>
      </c>
      <c r="B326" s="2" t="str">
        <f t="shared" si="27"/>
        <v>3091</v>
      </c>
      <c r="C326" s="8" t="str">
        <f t="shared" si="29"/>
        <v>1PremiumS3</v>
      </c>
      <c r="D326" s="8" t="str">
        <f t="shared" si="28"/>
        <v>1PremiumS3</v>
      </c>
      <c r="E326" s="10">
        <v>1</v>
      </c>
      <c r="F326" s="6">
        <v>380</v>
      </c>
      <c r="G326" s="8" t="str">
        <f>VLOOKUP(F326,[1]characters!$A:$C,3,FALSE)</f>
        <v>バハムート</v>
      </c>
      <c r="H326" s="8" t="str">
        <f>VLOOKUP(F326,[1]characters!$A:$J,10,FALSE)</f>
        <v>PremiumS</v>
      </c>
      <c r="I326" s="8">
        <f>VLOOKUP(F326,[1]characters!$A:$I,9,FALSE)</f>
        <v>3</v>
      </c>
      <c r="J326" s="8" t="str">
        <f>VLOOKUP(F326,[1]characters!$A:$H,8,FALSE)</f>
        <v>red</v>
      </c>
      <c r="K326" s="8" t="str">
        <f>VLOOKUP(F326,[1]characters!$A:$K,11,FALSE)</f>
        <v>technical</v>
      </c>
      <c r="L326" s="8" t="str">
        <f>VLOOKUP(F326,[1]characters!$A:$M,13,FALSE)</f>
        <v>dragon</v>
      </c>
      <c r="M326" s="16">
        <f>VLOOKUP(D326,gacha_309_base!A:B,2,FALSE)</f>
        <v>6888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30"/>
        <v>3091381</v>
      </c>
      <c r="B327" s="2" t="str">
        <f t="shared" si="27"/>
        <v>3091</v>
      </c>
      <c r="C327" s="8" t="str">
        <f t="shared" si="29"/>
        <v>1PremiumS4</v>
      </c>
      <c r="D327" s="8" t="str">
        <f t="shared" si="28"/>
        <v>1PremiumS4</v>
      </c>
      <c r="E327" s="10">
        <v>1</v>
      </c>
      <c r="F327" s="6">
        <v>381</v>
      </c>
      <c r="G327" s="8" t="str">
        <f>VLOOKUP(F327,[1]characters!$A:$C,3,FALSE)</f>
        <v>肉食の恋火 バハムート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red</v>
      </c>
      <c r="K327" s="8" t="str">
        <f>VLOOKUP(F327,[1]characters!$A:$K,11,FALSE)</f>
        <v>technical</v>
      </c>
      <c r="L327" s="8" t="str">
        <f>VLOOKUP(F327,[1]characters!$A:$M,13,FALSE)</f>
        <v>dragon</v>
      </c>
      <c r="M327" s="16">
        <f>VLOOKUP(D327,gacha_309_base!A:B,2,FALSE)</f>
        <v>6043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30"/>
        <v>3091382</v>
      </c>
      <c r="B328" s="2" t="str">
        <f t="shared" si="27"/>
        <v>3091</v>
      </c>
      <c r="C328" s="8" t="str">
        <f t="shared" si="29"/>
        <v>1PremiumS5</v>
      </c>
      <c r="D328" s="8" t="str">
        <f t="shared" si="28"/>
        <v>1PremiumS5</v>
      </c>
      <c r="E328" s="10">
        <v>1</v>
      </c>
      <c r="F328" s="6">
        <v>382</v>
      </c>
      <c r="G328" s="8" t="str">
        <f>VLOOKUP(F328,[1]characters!$A:$C,3,FALSE)</f>
        <v>激情の愛炎 バハムート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red</v>
      </c>
      <c r="K328" s="8" t="str">
        <f>VLOOKUP(F328,[1]characters!$A:$K,11,FALSE)</f>
        <v>technical</v>
      </c>
      <c r="L328" s="8" t="str">
        <f>VLOOKUP(F328,[1]characters!$A:$M,13,FALSE)</f>
        <v>dragon</v>
      </c>
      <c r="M328" s="16">
        <f>VLOOKUP(D328,gacha_309_base!A:B,2,FALSE)</f>
        <v>844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30"/>
        <v>3091383</v>
      </c>
      <c r="B329" s="2" t="str">
        <f t="shared" si="27"/>
        <v>3091</v>
      </c>
      <c r="C329" s="8" t="str">
        <f t="shared" si="29"/>
        <v>1PremiumSS4</v>
      </c>
      <c r="D329" s="8" t="str">
        <f t="shared" si="28"/>
        <v>1PremiumSS4</v>
      </c>
      <c r="E329" s="10">
        <v>1</v>
      </c>
      <c r="F329" s="6">
        <v>383</v>
      </c>
      <c r="G329" s="8" t="str">
        <f>VLOOKUP(F329,[1]characters!$A:$C,3,FALSE)</f>
        <v>酒宴の蟒蛇 ヤマタノオロチ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green</v>
      </c>
      <c r="K329" s="8" t="str">
        <f>VLOOKUP(F329,[1]characters!$A:$K,11,FALSE)</f>
        <v>hp</v>
      </c>
      <c r="L329" s="8" t="str">
        <f>VLOOKUP(F329,[1]characters!$A:$M,13,FALSE)</f>
        <v>dragon</v>
      </c>
      <c r="M329" s="16">
        <f>VLOOKUP(D329,gacha_309_base!A:B,2,FALSE)</f>
        <v>782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30"/>
        <v>3091384</v>
      </c>
      <c r="B330" s="2" t="str">
        <f t="shared" si="27"/>
        <v>3091</v>
      </c>
      <c r="C330" s="8" t="str">
        <f t="shared" si="29"/>
        <v>1PremiumSS5</v>
      </c>
      <c r="D330" s="8" t="str">
        <f t="shared" si="28"/>
        <v>1PremiumSS5</v>
      </c>
      <c r="E330" s="10">
        <v>1</v>
      </c>
      <c r="F330" s="6">
        <v>384</v>
      </c>
      <c r="G330" s="8" t="str">
        <f>VLOOKUP(F330,[1]characters!$A:$C,3,FALSE)</f>
        <v>破国の呑龍 ヤマタノオロチ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green</v>
      </c>
      <c r="K330" s="8" t="str">
        <f>VLOOKUP(F330,[1]characters!$A:$K,11,FALSE)</f>
        <v>hp</v>
      </c>
      <c r="L330" s="8" t="str">
        <f>VLOOKUP(F330,[1]characters!$A:$M,13,FALSE)</f>
        <v>dragon</v>
      </c>
      <c r="M330" s="16">
        <f>VLOOKUP(D330,gacha_309_base!A:B,2,FALSE)</f>
        <v>51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30"/>
        <v>3091385</v>
      </c>
      <c r="B331" s="2" t="str">
        <f t="shared" ref="B331:B394" si="31">309&amp;E331</f>
        <v>3091</v>
      </c>
      <c r="C331" s="8" t="str">
        <f t="shared" si="29"/>
        <v>1PremiumSS4</v>
      </c>
      <c r="D331" s="8" t="str">
        <f t="shared" si="28"/>
        <v>1PremiumSS4</v>
      </c>
      <c r="E331" s="10">
        <v>1</v>
      </c>
      <c r="F331" s="6">
        <v>385</v>
      </c>
      <c r="G331" s="8" t="str">
        <f>VLOOKUP(F331,[1]characters!$A:$C,3,FALSE)</f>
        <v>波烈の出奔 リヴァイアサン</v>
      </c>
      <c r="H331" s="8" t="str">
        <f>VLOOKUP(F331,[1]characters!$A:$J,10,FALSE)</f>
        <v>PremiumSS</v>
      </c>
      <c r="I331" s="8">
        <f>VLOOKUP(F331,[1]characters!$A:$I,9,FALSE)</f>
        <v>4</v>
      </c>
      <c r="J331" s="8" t="str">
        <f>VLOOKUP(F331,[1]characters!$A:$H,8,FALSE)</f>
        <v>blue</v>
      </c>
      <c r="K331" s="8" t="str">
        <f>VLOOKUP(F331,[1]characters!$A:$K,11,FALSE)</f>
        <v>balance</v>
      </c>
      <c r="L331" s="8" t="str">
        <f>VLOOKUP(F331,[1]characters!$A:$M,13,FALSE)</f>
        <v>dragon</v>
      </c>
      <c r="M331" s="16">
        <f>VLOOKUP(D331,gacha_309_base!A:B,2,FALSE)</f>
        <v>782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30"/>
        <v>3091386</v>
      </c>
      <c r="B332" s="2" t="str">
        <f t="shared" si="31"/>
        <v>3091</v>
      </c>
      <c r="C332" s="8" t="str">
        <f t="shared" si="29"/>
        <v>1PremiumSS5</v>
      </c>
      <c r="D332" s="8" t="str">
        <f t="shared" si="28"/>
        <v>1PremiumSS5</v>
      </c>
      <c r="E332" s="10">
        <v>1</v>
      </c>
      <c r="F332" s="6">
        <v>386</v>
      </c>
      <c r="G332" s="8" t="str">
        <f>VLOOKUP(F332,[1]characters!$A:$C,3,FALSE)</f>
        <v>氾乱の海龍 リヴァイアサン</v>
      </c>
      <c r="H332" s="8" t="str">
        <f>VLOOKUP(F332,[1]characters!$A:$J,10,FALSE)</f>
        <v>PremiumSS</v>
      </c>
      <c r="I332" s="8">
        <f>VLOOKUP(F332,[1]characters!$A:$I,9,FALSE)</f>
        <v>5</v>
      </c>
      <c r="J332" s="8" t="str">
        <f>VLOOKUP(F332,[1]characters!$A:$H,8,FALSE)</f>
        <v>blue</v>
      </c>
      <c r="K332" s="8" t="str">
        <f>VLOOKUP(F332,[1]characters!$A:$K,11,FALSE)</f>
        <v>balance</v>
      </c>
      <c r="L332" s="8" t="str">
        <f>VLOOKUP(F332,[1]characters!$A:$M,13,FALSE)</f>
        <v>dragon</v>
      </c>
      <c r="M332" s="16">
        <f>VLOOKUP(D332,gacha_309_base!A:B,2,FALSE)</f>
        <v>51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30"/>
        <v>3091387</v>
      </c>
      <c r="B333" s="2" t="str">
        <f t="shared" si="31"/>
        <v>3091</v>
      </c>
      <c r="C333" s="8" t="str">
        <f t="shared" si="29"/>
        <v>1PremiumS3</v>
      </c>
      <c r="D333" s="8" t="str">
        <f t="shared" si="28"/>
        <v>1PremiumS3</v>
      </c>
      <c r="E333" s="10">
        <v>1</v>
      </c>
      <c r="F333" s="6">
        <v>387</v>
      </c>
      <c r="G333" s="8" t="str">
        <f>VLOOKUP(F333,[1]characters!$A:$C,3,FALSE)</f>
        <v>スフィンクス</v>
      </c>
      <c r="H333" s="8" t="str">
        <f>VLOOKUP(F333,[1]characters!$A:$J,10,FALSE)</f>
        <v>PremiumS</v>
      </c>
      <c r="I333" s="8">
        <f>VLOOKUP(F333,[1]characters!$A:$I,9,FALSE)</f>
        <v>3</v>
      </c>
      <c r="J333" s="8" t="str">
        <f>VLOOKUP(F333,[1]characters!$A:$H,8,FALSE)</f>
        <v>yellow</v>
      </c>
      <c r="K333" s="8" t="str">
        <f>VLOOKUP(F333,[1]characters!$A:$K,11,FALSE)</f>
        <v>heal</v>
      </c>
      <c r="L333" s="8" t="str">
        <f>VLOOKUP(F333,[1]characters!$A:$M,13,FALSE)</f>
        <v>animal</v>
      </c>
      <c r="M333" s="16">
        <f>VLOOKUP(D333,gacha_309_base!A:B,2,FALSE)</f>
        <v>6888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30"/>
        <v>3091388</v>
      </c>
      <c r="B334" s="2" t="str">
        <f t="shared" si="31"/>
        <v>3091</v>
      </c>
      <c r="C334" s="8" t="str">
        <f t="shared" si="29"/>
        <v>1PremiumS4</v>
      </c>
      <c r="D334" s="8" t="str">
        <f t="shared" si="28"/>
        <v>1PremiumS4</v>
      </c>
      <c r="E334" s="10">
        <v>1</v>
      </c>
      <c r="F334" s="6">
        <v>388</v>
      </c>
      <c r="G334" s="8" t="str">
        <f>VLOOKUP(F334,[1]characters!$A:$C,3,FALSE)</f>
        <v>神円の恋姫 スフィンクス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heal</v>
      </c>
      <c r="L334" s="8" t="str">
        <f>VLOOKUP(F334,[1]characters!$A:$M,13,FALSE)</f>
        <v>animal</v>
      </c>
      <c r="M334" s="16">
        <f>VLOOKUP(D334,gacha_309_base!A:B,2,FALSE)</f>
        <v>6043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30"/>
        <v>3091389</v>
      </c>
      <c r="B335" s="2" t="str">
        <f t="shared" si="31"/>
        <v>3091</v>
      </c>
      <c r="C335" s="8" t="str">
        <f t="shared" si="29"/>
        <v>1PremiumS5</v>
      </c>
      <c r="D335" s="8" t="str">
        <f t="shared" si="28"/>
        <v>1PremiumS5</v>
      </c>
      <c r="E335" s="10">
        <v>1</v>
      </c>
      <c r="F335" s="6">
        <v>389</v>
      </c>
      <c r="G335" s="8" t="str">
        <f>VLOOKUP(F335,[1]characters!$A:$C,3,FALSE)</f>
        <v>操神の愛姫 スフィンクス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heal</v>
      </c>
      <c r="L335" s="8" t="str">
        <f>VLOOKUP(F335,[1]characters!$A:$M,13,FALSE)</f>
        <v>animal</v>
      </c>
      <c r="M335" s="16">
        <f>VLOOKUP(D335,gacha_309_base!A:B,2,FALSE)</f>
        <v>844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30"/>
        <v>3091390</v>
      </c>
      <c r="B336" s="2" t="str">
        <f t="shared" si="31"/>
        <v>3091</v>
      </c>
      <c r="C336" s="8" t="str">
        <f t="shared" si="29"/>
        <v>1PremiumSS4</v>
      </c>
      <c r="D336" s="8" t="str">
        <f t="shared" si="28"/>
        <v>1PremiumSS4</v>
      </c>
      <c r="E336" s="10">
        <v>1</v>
      </c>
      <c r="F336" s="6">
        <v>390</v>
      </c>
      <c r="G336" s="8" t="str">
        <f>VLOOKUP(F336,[1]characters!$A:$C,3,FALSE)</f>
        <v>華環の旅客 親指姫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heal</v>
      </c>
      <c r="L336" s="8" t="str">
        <f>VLOOKUP(F336,[1]characters!$A:$M,13,FALSE)</f>
        <v>human</v>
      </c>
      <c r="M336" s="16">
        <f>VLOOKUP(D336,gacha_309_base!A:B,2,FALSE)</f>
        <v>782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30"/>
        <v>3091391</v>
      </c>
      <c r="B337" s="2" t="str">
        <f t="shared" si="31"/>
        <v>3091</v>
      </c>
      <c r="C337" s="8" t="str">
        <f t="shared" si="29"/>
        <v>1PremiumSS5</v>
      </c>
      <c r="D337" s="8" t="str">
        <f t="shared" si="28"/>
        <v>1PremiumSS5</v>
      </c>
      <c r="E337" s="10">
        <v>1</v>
      </c>
      <c r="F337" s="6">
        <v>391</v>
      </c>
      <c r="G337" s="8" t="str">
        <f>VLOOKUP(F337,[1]characters!$A:$C,3,FALSE)</f>
        <v>燕翼の旅人 親指姫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heal</v>
      </c>
      <c r="L337" s="8" t="str">
        <f>VLOOKUP(F337,[1]characters!$A:$M,13,FALSE)</f>
        <v>human</v>
      </c>
      <c r="M337" s="16">
        <f>VLOOKUP(D337,gacha_309_base!A:B,2,FALSE)</f>
        <v>51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30"/>
        <v>3091392</v>
      </c>
      <c r="B338" s="2" t="str">
        <f t="shared" si="31"/>
        <v>3091</v>
      </c>
      <c r="C338" s="8" t="str">
        <f t="shared" si="29"/>
        <v>1PremiumS3</v>
      </c>
      <c r="D338" s="8" t="str">
        <f t="shared" ref="D338:D401" si="32">E338&amp;H338&amp;I338</f>
        <v>1PremiumS3</v>
      </c>
      <c r="E338" s="10">
        <v>1</v>
      </c>
      <c r="F338" s="6">
        <v>392</v>
      </c>
      <c r="G338" s="8" t="str">
        <f>VLOOKUP(F338,[1]characters!$A:$C,3,FALSE)</f>
        <v>ピーターパン</v>
      </c>
      <c r="H338" s="8" t="str">
        <f>VLOOKUP(F338,[1]characters!$A:$J,10,FALSE)</f>
        <v>PremiumS</v>
      </c>
      <c r="I338" s="8">
        <f>VLOOKUP(F338,[1]characters!$A:$I,9,FALSE)</f>
        <v>3</v>
      </c>
      <c r="J338" s="8" t="str">
        <f>VLOOKUP(F338,[1]characters!$A:$H,8,FALSE)</f>
        <v>green</v>
      </c>
      <c r="K338" s="8" t="str">
        <f>VLOOKUP(F338,[1]characters!$A:$K,11,FALSE)</f>
        <v>attack</v>
      </c>
      <c r="L338" s="8" t="str">
        <f>VLOOKUP(F338,[1]characters!$A:$M,13,FALSE)</f>
        <v>human</v>
      </c>
      <c r="M338" s="16">
        <f>VLOOKUP(D338,gacha_309_base!A:B,2,FALSE)</f>
        <v>6888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30"/>
        <v>3091393</v>
      </c>
      <c r="B339" s="2" t="str">
        <f t="shared" si="31"/>
        <v>3091</v>
      </c>
      <c r="C339" s="8" t="str">
        <f t="shared" si="29"/>
        <v>1PremiumS4</v>
      </c>
      <c r="D339" s="8" t="str">
        <f t="shared" si="32"/>
        <v>1PremiumS4</v>
      </c>
      <c r="E339" s="10">
        <v>1</v>
      </c>
      <c r="F339" s="6">
        <v>393</v>
      </c>
      <c r="G339" s="8" t="str">
        <f>VLOOKUP(F339,[1]characters!$A:$C,3,FALSE)</f>
        <v>影縫い ピーターパン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green</v>
      </c>
      <c r="K339" s="8" t="str">
        <f>VLOOKUP(F339,[1]characters!$A:$K,11,FALSE)</f>
        <v>attack</v>
      </c>
      <c r="L339" s="8" t="str">
        <f>VLOOKUP(F339,[1]characters!$A:$M,13,FALSE)</f>
        <v>human</v>
      </c>
      <c r="M339" s="16">
        <f>VLOOKUP(D339,gacha_309_base!A:B,2,FALSE)</f>
        <v>6043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30"/>
        <v>3091394</v>
      </c>
      <c r="B340" s="2" t="str">
        <f t="shared" si="31"/>
        <v>3091</v>
      </c>
      <c r="C340" s="8" t="str">
        <f t="shared" si="29"/>
        <v>1PremiumS5</v>
      </c>
      <c r="D340" s="8" t="str">
        <f t="shared" si="32"/>
        <v>1PremiumS5</v>
      </c>
      <c r="E340" s="10">
        <v>1</v>
      </c>
      <c r="F340" s="6">
        <v>394</v>
      </c>
      <c r="G340" s="8" t="str">
        <f>VLOOKUP(F340,[1]characters!$A:$C,3,FALSE)</f>
        <v>影求の悪童 ピーターパン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green</v>
      </c>
      <c r="K340" s="8" t="str">
        <f>VLOOKUP(F340,[1]characters!$A:$K,11,FALSE)</f>
        <v>attack</v>
      </c>
      <c r="L340" s="8" t="str">
        <f>VLOOKUP(F340,[1]characters!$A:$M,13,FALSE)</f>
        <v>human</v>
      </c>
      <c r="M340" s="16">
        <f>VLOOKUP(D340,gacha_309_base!A:B,2,FALSE)</f>
        <v>844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30"/>
        <v>3091395</v>
      </c>
      <c r="B341" s="2" t="str">
        <f t="shared" si="31"/>
        <v>3091</v>
      </c>
      <c r="C341" s="8" t="str">
        <f t="shared" si="29"/>
        <v>1PremiumS3</v>
      </c>
      <c r="D341" s="8" t="str">
        <f t="shared" si="32"/>
        <v>1PremiumS3</v>
      </c>
      <c r="E341" s="10">
        <v>1</v>
      </c>
      <c r="F341" s="6">
        <v>395</v>
      </c>
      <c r="G341" s="8" t="str">
        <f>VLOOKUP(F341,[1]characters!$A:$C,3,FALSE)</f>
        <v>乙姫</v>
      </c>
      <c r="H341" s="8" t="str">
        <f>VLOOKUP(F341,[1]characters!$A:$J,10,FALSE)</f>
        <v>PremiumS</v>
      </c>
      <c r="I341" s="8">
        <f>VLOOKUP(F341,[1]characters!$A:$I,9,FALSE)</f>
        <v>3</v>
      </c>
      <c r="J341" s="8" t="str">
        <f>VLOOKUP(F341,[1]characters!$A:$H,8,FALSE)</f>
        <v>blue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VLOOKUP(D341,gacha_309_base!A:B,2,FALSE)</f>
        <v>6888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30"/>
        <v>3091396</v>
      </c>
      <c r="B342" s="2" t="str">
        <f t="shared" si="31"/>
        <v>3091</v>
      </c>
      <c r="C342" s="8" t="str">
        <f t="shared" si="29"/>
        <v>1PremiumS4</v>
      </c>
      <c r="D342" s="8" t="str">
        <f t="shared" si="32"/>
        <v>1PremiumS4</v>
      </c>
      <c r="E342" s="10">
        <v>1</v>
      </c>
      <c r="F342" s="6">
        <v>396</v>
      </c>
      <c r="G342" s="8" t="str">
        <f>VLOOKUP(F342,[1]characters!$A:$C,3,FALSE)</f>
        <v>竜宮の水雷 乙姫</v>
      </c>
      <c r="H342" s="8" t="str">
        <f>VLOOKUP(F342,[1]characters!$A:$J,10,FALSE)</f>
        <v>PremiumS</v>
      </c>
      <c r="I342" s="8">
        <f>VLOOKUP(F342,[1]characters!$A:$I,9,FALSE)</f>
        <v>4</v>
      </c>
      <c r="J342" s="8" t="str">
        <f>VLOOKUP(F342,[1]characters!$A:$H,8,FALSE)</f>
        <v>blue</v>
      </c>
      <c r="K342" s="8" t="str">
        <f>VLOOKUP(F342,[1]characters!$A:$K,11,FALSE)</f>
        <v>hp</v>
      </c>
      <c r="L342" s="8" t="str">
        <f>VLOOKUP(F342,[1]characters!$A:$M,13,FALSE)</f>
        <v>human</v>
      </c>
      <c r="M342" s="16">
        <f>VLOOKUP(D342,gacha_309_base!A:B,2,FALSE)</f>
        <v>6043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30"/>
        <v>3091397</v>
      </c>
      <c r="B343" s="2" t="str">
        <f t="shared" si="31"/>
        <v>3091</v>
      </c>
      <c r="C343" s="8" t="str">
        <f t="shared" si="29"/>
        <v>1PremiumS5</v>
      </c>
      <c r="D343" s="8" t="str">
        <f t="shared" si="32"/>
        <v>1PremiumS5</v>
      </c>
      <c r="E343" s="10">
        <v>1</v>
      </c>
      <c r="F343" s="6">
        <v>397</v>
      </c>
      <c r="G343" s="8" t="str">
        <f>VLOOKUP(F343,[1]characters!$A:$C,3,FALSE)</f>
        <v>禁断の追箱 乙姫</v>
      </c>
      <c r="H343" s="8" t="str">
        <f>VLOOKUP(F343,[1]characters!$A:$J,10,FALSE)</f>
        <v>PremiumS</v>
      </c>
      <c r="I343" s="8">
        <f>VLOOKUP(F343,[1]characters!$A:$I,9,FALSE)</f>
        <v>5</v>
      </c>
      <c r="J343" s="8" t="str">
        <f>VLOOKUP(F343,[1]characters!$A:$H,8,FALSE)</f>
        <v>blue</v>
      </c>
      <c r="K343" s="8" t="str">
        <f>VLOOKUP(F343,[1]characters!$A:$K,11,FALSE)</f>
        <v>hp</v>
      </c>
      <c r="L343" s="8" t="str">
        <f>VLOOKUP(F343,[1]characters!$A:$M,13,FALSE)</f>
        <v>human</v>
      </c>
      <c r="M343" s="16">
        <f>VLOOKUP(D343,gacha_309_base!A:B,2,FALSE)</f>
        <v>844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30"/>
        <v>3091398</v>
      </c>
      <c r="B344" s="2" t="str">
        <f t="shared" si="31"/>
        <v>3091</v>
      </c>
      <c r="C344" s="8" t="str">
        <f t="shared" si="29"/>
        <v>1PremiumSS4</v>
      </c>
      <c r="D344" s="8" t="str">
        <f t="shared" si="32"/>
        <v>1PremiumSS4</v>
      </c>
      <c r="E344" s="10">
        <v>1</v>
      </c>
      <c r="F344" s="6">
        <v>398</v>
      </c>
      <c r="G344" s="8" t="str">
        <f>VLOOKUP(F344,[1]characters!$A:$C,3,FALSE)</f>
        <v>ヘンゼル＆グレーテル</v>
      </c>
      <c r="H344" s="8" t="str">
        <f>VLOOKUP(F344,[1]characters!$A:$J,10,FALSE)</f>
        <v>PremiumSS</v>
      </c>
      <c r="I344" s="8">
        <f>VLOOKUP(F344,[1]characters!$A:$I,9,FALSE)</f>
        <v>4</v>
      </c>
      <c r="J344" s="8" t="str">
        <f>VLOOKUP(F344,[1]characters!$A:$H,8,FALSE)</f>
        <v>yellow</v>
      </c>
      <c r="K344" s="8" t="str">
        <f>VLOOKUP(F344,[1]characters!$A:$K,11,FALSE)</f>
        <v>balance</v>
      </c>
      <c r="L344" s="8" t="str">
        <f>VLOOKUP(F344,[1]characters!$A:$M,13,FALSE)</f>
        <v>human</v>
      </c>
      <c r="M344" s="16">
        <f>VLOOKUP(D344,gacha_309_base!A:B,2,FALSE)</f>
        <v>782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30"/>
        <v>3091399</v>
      </c>
      <c r="B345" s="2" t="str">
        <f t="shared" si="31"/>
        <v>3091</v>
      </c>
      <c r="C345" s="8" t="str">
        <f t="shared" si="29"/>
        <v>1PremiumSS5</v>
      </c>
      <c r="D345" s="8" t="str">
        <f t="shared" si="32"/>
        <v>1PremiumSS5</v>
      </c>
      <c r="E345" s="10">
        <v>1</v>
      </c>
      <c r="F345" s="6">
        <v>399</v>
      </c>
      <c r="G345" s="8" t="str">
        <f>VLOOKUP(F345,[1]characters!$A:$C,3,FALSE)</f>
        <v>信愛の兄妹 ヘンゼル＆グレーテル</v>
      </c>
      <c r="H345" s="8" t="str">
        <f>VLOOKUP(F345,[1]characters!$A:$J,10,FALSE)</f>
        <v>PremiumSS</v>
      </c>
      <c r="I345" s="8">
        <f>VLOOKUP(F345,[1]characters!$A:$I,9,FALSE)</f>
        <v>5</v>
      </c>
      <c r="J345" s="8" t="str">
        <f>VLOOKUP(F345,[1]characters!$A:$H,8,FALSE)</f>
        <v>yellow</v>
      </c>
      <c r="K345" s="8" t="str">
        <f>VLOOKUP(F345,[1]characters!$A:$K,11,FALSE)</f>
        <v>balance</v>
      </c>
      <c r="L345" s="8" t="str">
        <f>VLOOKUP(F345,[1]characters!$A:$M,13,FALSE)</f>
        <v>human</v>
      </c>
      <c r="M345" s="16">
        <f>VLOOKUP(D345,gacha_309_base!A:B,2,FALSE)</f>
        <v>51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30"/>
        <v>3091400</v>
      </c>
      <c r="B346" s="2" t="str">
        <f t="shared" si="31"/>
        <v>3091</v>
      </c>
      <c r="C346" s="8" t="str">
        <f t="shared" si="29"/>
        <v>1PremiumS3</v>
      </c>
      <c r="D346" s="8" t="str">
        <f t="shared" si="32"/>
        <v>1PremiumS3</v>
      </c>
      <c r="E346" s="10">
        <v>1</v>
      </c>
      <c r="F346" s="6">
        <v>400</v>
      </c>
      <c r="G346" s="8" t="str">
        <f>VLOOKUP(F346,[1]characters!$A:$C,3,FALSE)</f>
        <v>フェンリル</v>
      </c>
      <c r="H346" s="8" t="str">
        <f>VLOOKUP(F346,[1]characters!$A:$J,10,FALSE)</f>
        <v>PremiumS</v>
      </c>
      <c r="I346" s="8">
        <f>VLOOKUP(F346,[1]characters!$A:$I,9,FALSE)</f>
        <v>3</v>
      </c>
      <c r="J346" s="8" t="str">
        <f>VLOOKUP(F346,[1]characters!$A:$H,8,FALSE)</f>
        <v>red</v>
      </c>
      <c r="K346" s="8" t="str">
        <f>VLOOKUP(F346,[1]characters!$A:$K,11,FALSE)</f>
        <v>attack</v>
      </c>
      <c r="L346" s="8" t="str">
        <f>VLOOKUP(F346,[1]characters!$A:$M,13,FALSE)</f>
        <v>animal</v>
      </c>
      <c r="M346" s="16">
        <f>VLOOKUP(D346,gacha_309_base!A:B,2,FALSE)</f>
        <v>6888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30"/>
        <v>3091401</v>
      </c>
      <c r="B347" s="2" t="str">
        <f t="shared" si="31"/>
        <v>3091</v>
      </c>
      <c r="C347" s="8" t="str">
        <f t="shared" si="29"/>
        <v>1PremiumS4</v>
      </c>
      <c r="D347" s="8" t="str">
        <f t="shared" si="32"/>
        <v>1PremiumS4</v>
      </c>
      <c r="E347" s="10">
        <v>1</v>
      </c>
      <c r="F347" s="6">
        <v>401</v>
      </c>
      <c r="G347" s="8" t="str">
        <f>VLOOKUP(F347,[1]characters!$A:$C,3,FALSE)</f>
        <v>紅銀の孤狼 フェンリル</v>
      </c>
      <c r="H347" s="8" t="str">
        <f>VLOOKUP(F347,[1]characters!$A:$J,10,FALSE)</f>
        <v>PremiumS</v>
      </c>
      <c r="I347" s="8">
        <f>VLOOKUP(F347,[1]characters!$A:$I,9,FALSE)</f>
        <v>4</v>
      </c>
      <c r="J347" s="8" t="str">
        <f>VLOOKUP(F347,[1]characters!$A:$H,8,FALSE)</f>
        <v>red</v>
      </c>
      <c r="K347" s="8" t="str">
        <f>VLOOKUP(F347,[1]characters!$A:$K,11,FALSE)</f>
        <v>attack</v>
      </c>
      <c r="L347" s="8" t="str">
        <f>VLOOKUP(F347,[1]characters!$A:$M,13,FALSE)</f>
        <v>animal</v>
      </c>
      <c r="M347" s="16">
        <f>VLOOKUP(D347,gacha_309_base!A:B,2,FALSE)</f>
        <v>6043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30"/>
        <v>3091402</v>
      </c>
      <c r="B348" s="2" t="str">
        <f t="shared" si="31"/>
        <v>3091</v>
      </c>
      <c r="C348" s="8" t="str">
        <f t="shared" si="29"/>
        <v>1PremiumS5</v>
      </c>
      <c r="D348" s="8" t="str">
        <f t="shared" si="32"/>
        <v>1PremiumS5</v>
      </c>
      <c r="E348" s="10">
        <v>1</v>
      </c>
      <c r="F348" s="6">
        <v>402</v>
      </c>
      <c r="G348" s="8" t="str">
        <f>VLOOKUP(F348,[1]characters!$A:$C,3,FALSE)</f>
        <v>天災の神狼 フェンリル</v>
      </c>
      <c r="H348" s="8" t="str">
        <f>VLOOKUP(F348,[1]characters!$A:$J,10,FALSE)</f>
        <v>PremiumS</v>
      </c>
      <c r="I348" s="8">
        <f>VLOOKUP(F348,[1]characters!$A:$I,9,FALSE)</f>
        <v>5</v>
      </c>
      <c r="J348" s="8" t="str">
        <f>VLOOKUP(F348,[1]characters!$A:$H,8,FALSE)</f>
        <v>red</v>
      </c>
      <c r="K348" s="8" t="str">
        <f>VLOOKUP(F348,[1]characters!$A:$K,11,FALSE)</f>
        <v>attack</v>
      </c>
      <c r="L348" s="8" t="str">
        <f>VLOOKUP(F348,[1]characters!$A:$M,13,FALSE)</f>
        <v>animal</v>
      </c>
      <c r="M348" s="16">
        <f>VLOOKUP(D348,gacha_309_base!A:B,2,FALSE)</f>
        <v>844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30"/>
        <v>3091403</v>
      </c>
      <c r="B349" s="2" t="str">
        <f t="shared" si="31"/>
        <v>3091</v>
      </c>
      <c r="C349" s="8" t="str">
        <f t="shared" si="29"/>
        <v>1PremiumSS4</v>
      </c>
      <c r="D349" s="8" t="str">
        <f t="shared" si="32"/>
        <v>1PremiumSS4</v>
      </c>
      <c r="E349" s="10">
        <v>1</v>
      </c>
      <c r="F349" s="6">
        <v>403</v>
      </c>
      <c r="G349" s="8" t="str">
        <f>VLOOKUP(F349,[1]characters!$A:$C,3,FALSE)</f>
        <v>静撃の翠眼 八咫烏</v>
      </c>
      <c r="H349" s="8" t="str">
        <f>VLOOKUP(F349,[1]characters!$A:$J,10,FALSE)</f>
        <v>PremiumSS</v>
      </c>
      <c r="I349" s="8">
        <f>VLOOKUP(F349,[1]characters!$A:$I,9,FALSE)</f>
        <v>4</v>
      </c>
      <c r="J349" s="8" t="str">
        <f>VLOOKUP(F349,[1]characters!$A:$H,8,FALSE)</f>
        <v>green</v>
      </c>
      <c r="K349" s="8" t="str">
        <f>VLOOKUP(F349,[1]characters!$A:$K,11,FALSE)</f>
        <v>balance</v>
      </c>
      <c r="L349" s="8" t="str">
        <f>VLOOKUP(F349,[1]characters!$A:$M,13,FALSE)</f>
        <v>animal</v>
      </c>
      <c r="M349" s="16">
        <f>VLOOKUP(D349,gacha_309_base!A:B,2,FALSE)</f>
        <v>782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30"/>
        <v>3091404</v>
      </c>
      <c r="B350" s="2" t="str">
        <f t="shared" si="31"/>
        <v>3091</v>
      </c>
      <c r="C350" s="8" t="str">
        <f t="shared" si="29"/>
        <v>1PremiumSS5</v>
      </c>
      <c r="D350" s="8" t="str">
        <f t="shared" si="32"/>
        <v>1PremiumSS5</v>
      </c>
      <c r="E350" s="10">
        <v>1</v>
      </c>
      <c r="F350" s="6">
        <v>404</v>
      </c>
      <c r="G350" s="8" t="str">
        <f>VLOOKUP(F350,[1]characters!$A:$C,3,FALSE)</f>
        <v>空襲の神眼 八咫烏</v>
      </c>
      <c r="H350" s="8" t="str">
        <f>VLOOKUP(F350,[1]characters!$A:$J,10,FALSE)</f>
        <v>PremiumSS</v>
      </c>
      <c r="I350" s="8">
        <f>VLOOKUP(F350,[1]characters!$A:$I,9,FALSE)</f>
        <v>5</v>
      </c>
      <c r="J350" s="8" t="str">
        <f>VLOOKUP(F350,[1]characters!$A:$H,8,FALSE)</f>
        <v>green</v>
      </c>
      <c r="K350" s="8" t="str">
        <f>VLOOKUP(F350,[1]characters!$A:$K,11,FALSE)</f>
        <v>balance</v>
      </c>
      <c r="L350" s="8" t="str">
        <f>VLOOKUP(F350,[1]characters!$A:$M,13,FALSE)</f>
        <v>animal</v>
      </c>
      <c r="M350" s="16">
        <f>VLOOKUP(D350,gacha_309_base!A:B,2,FALSE)</f>
        <v>51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30"/>
        <v>3091405</v>
      </c>
      <c r="B351" s="2" t="str">
        <f t="shared" si="31"/>
        <v>3091</v>
      </c>
      <c r="C351" s="8" t="str">
        <f t="shared" si="29"/>
        <v>1PremiumS3</v>
      </c>
      <c r="D351" s="8" t="str">
        <f t="shared" si="32"/>
        <v>1PremiumS3</v>
      </c>
      <c r="E351" s="10">
        <v>1</v>
      </c>
      <c r="F351" s="6">
        <v>405</v>
      </c>
      <c r="G351" s="8" t="str">
        <f>VLOOKUP(F351,[1]characters!$A:$C,3,FALSE)</f>
        <v>エキドナ</v>
      </c>
      <c r="H351" s="8" t="str">
        <f>VLOOKUP(F351,[1]characters!$A:$J,10,FALSE)</f>
        <v>PremiumS</v>
      </c>
      <c r="I351" s="8">
        <f>VLOOKUP(F351,[1]characters!$A:$I,9,FALSE)</f>
        <v>3</v>
      </c>
      <c r="J351" s="8" t="str">
        <f>VLOOKUP(F351,[1]characters!$A:$H,8,FALSE)</f>
        <v>blue</v>
      </c>
      <c r="K351" s="8" t="str">
        <f>VLOOKUP(F351,[1]characters!$A:$K,11,FALSE)</f>
        <v>technical</v>
      </c>
      <c r="L351" s="8" t="str">
        <f>VLOOKUP(F351,[1]characters!$A:$M,13,FALSE)</f>
        <v>animal</v>
      </c>
      <c r="M351" s="16">
        <f>VLOOKUP(D351,gacha_309_base!A:B,2,FALSE)</f>
        <v>6888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30"/>
        <v>3091406</v>
      </c>
      <c r="B352" s="2" t="str">
        <f t="shared" si="31"/>
        <v>3091</v>
      </c>
      <c r="C352" s="8" t="str">
        <f t="shared" si="29"/>
        <v>1PremiumS4</v>
      </c>
      <c r="D352" s="8" t="str">
        <f t="shared" si="32"/>
        <v>1PremiumS4</v>
      </c>
      <c r="E352" s="10">
        <v>1</v>
      </c>
      <c r="F352" s="6">
        <v>406</v>
      </c>
      <c r="G352" s="8" t="str">
        <f>VLOOKUP(F352,[1]characters!$A:$C,3,FALSE)</f>
        <v>美笑の蒼蛇 エキドナ</v>
      </c>
      <c r="H352" s="8" t="str">
        <f>VLOOKUP(F352,[1]characters!$A:$J,10,FALSE)</f>
        <v>PremiumS</v>
      </c>
      <c r="I352" s="8">
        <f>VLOOKUP(F352,[1]characters!$A:$I,9,FALSE)</f>
        <v>4</v>
      </c>
      <c r="J352" s="8" t="str">
        <f>VLOOKUP(F352,[1]characters!$A:$H,8,FALSE)</f>
        <v>blue</v>
      </c>
      <c r="K352" s="8" t="str">
        <f>VLOOKUP(F352,[1]characters!$A:$K,11,FALSE)</f>
        <v>technical</v>
      </c>
      <c r="L352" s="8" t="str">
        <f>VLOOKUP(F352,[1]characters!$A:$M,13,FALSE)</f>
        <v>animal</v>
      </c>
      <c r="M352" s="16">
        <f>VLOOKUP(D352,gacha_309_base!A:B,2,FALSE)</f>
        <v>6043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30"/>
        <v>3091407</v>
      </c>
      <c r="B353" s="2" t="str">
        <f t="shared" si="31"/>
        <v>3091</v>
      </c>
      <c r="C353" s="8" t="str">
        <f t="shared" si="29"/>
        <v>1PremiumS5</v>
      </c>
      <c r="D353" s="8" t="str">
        <f t="shared" si="32"/>
        <v>1PremiumS5</v>
      </c>
      <c r="E353" s="10">
        <v>1</v>
      </c>
      <c r="F353" s="6">
        <v>407</v>
      </c>
      <c r="G353" s="8" t="str">
        <f>VLOOKUP(F353,[1]characters!$A:$C,3,FALSE)</f>
        <v>蠱惑の飛刀 エキドナ</v>
      </c>
      <c r="H353" s="8" t="str">
        <f>VLOOKUP(F353,[1]characters!$A:$J,10,FALSE)</f>
        <v>PremiumS</v>
      </c>
      <c r="I353" s="8">
        <f>VLOOKUP(F353,[1]characters!$A:$I,9,FALSE)</f>
        <v>5</v>
      </c>
      <c r="J353" s="8" t="str">
        <f>VLOOKUP(F353,[1]characters!$A:$H,8,FALSE)</f>
        <v>blue</v>
      </c>
      <c r="K353" s="8" t="str">
        <f>VLOOKUP(F353,[1]characters!$A:$K,11,FALSE)</f>
        <v>technical</v>
      </c>
      <c r="L353" s="8" t="str">
        <f>VLOOKUP(F353,[1]characters!$A:$M,13,FALSE)</f>
        <v>animal</v>
      </c>
      <c r="M353" s="16">
        <f>VLOOKUP(D353,gacha_309_base!A:B,2,FALSE)</f>
        <v>844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30"/>
        <v>3091408</v>
      </c>
      <c r="B354" s="2" t="str">
        <f t="shared" si="31"/>
        <v>3091</v>
      </c>
      <c r="C354" s="8" t="str">
        <f t="shared" si="29"/>
        <v>1PremiumSS4</v>
      </c>
      <c r="D354" s="8" t="str">
        <f t="shared" si="32"/>
        <v>1PremiumSS4</v>
      </c>
      <c r="E354" s="10">
        <v>1</v>
      </c>
      <c r="F354" s="6">
        <v>408</v>
      </c>
      <c r="G354" s="8" t="str">
        <f>VLOOKUP(F354,[1]characters!$A:$C,3,FALSE)</f>
        <v>皇魔 アスタロト</v>
      </c>
      <c r="H354" s="8" t="str">
        <f>VLOOKUP(F354,[1]characters!$A:$J,10,FALSE)</f>
        <v>PremiumSS</v>
      </c>
      <c r="I354" s="8">
        <f>VLOOKUP(F354,[1]characters!$A:$I,9,FALSE)</f>
        <v>4</v>
      </c>
      <c r="J354" s="8" t="str">
        <f>VLOOKUP(F354,[1]characters!$A:$H,8,FALSE)</f>
        <v>yellow</v>
      </c>
      <c r="K354" s="8" t="str">
        <f>VLOOKUP(F354,[1]characters!$A:$K,11,FALSE)</f>
        <v>attack</v>
      </c>
      <c r="L354" s="8" t="str">
        <f>VLOOKUP(F354,[1]characters!$A:$M,13,FALSE)</f>
        <v>god</v>
      </c>
      <c r="M354" s="16">
        <f>VLOOKUP(D354,gacha_309_base!A:B,2,FALSE)</f>
        <v>782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30"/>
        <v>3091409</v>
      </c>
      <c r="B355" s="2" t="str">
        <f t="shared" si="31"/>
        <v>3091</v>
      </c>
      <c r="C355" s="8" t="str">
        <f t="shared" si="29"/>
        <v>1PremiumSS5</v>
      </c>
      <c r="D355" s="8" t="str">
        <f t="shared" si="32"/>
        <v>1PremiumSS5</v>
      </c>
      <c r="E355" s="10">
        <v>1</v>
      </c>
      <c r="F355" s="6">
        <v>409</v>
      </c>
      <c r="G355" s="8" t="str">
        <f>VLOOKUP(F355,[1]characters!$A:$C,3,FALSE)</f>
        <v>天眼の皇貴魔 アスタロト</v>
      </c>
      <c r="H355" s="8" t="str">
        <f>VLOOKUP(F355,[1]characters!$A:$J,10,FALSE)</f>
        <v>PremiumSS</v>
      </c>
      <c r="I355" s="8">
        <f>VLOOKUP(F355,[1]characters!$A:$I,9,FALSE)</f>
        <v>5</v>
      </c>
      <c r="J355" s="8" t="str">
        <f>VLOOKUP(F355,[1]characters!$A:$H,8,FALSE)</f>
        <v>yellow</v>
      </c>
      <c r="K355" s="8" t="str">
        <f>VLOOKUP(F355,[1]characters!$A:$K,11,FALSE)</f>
        <v>attack</v>
      </c>
      <c r="L355" s="8" t="str">
        <f>VLOOKUP(F355,[1]characters!$A:$M,13,FALSE)</f>
        <v>god</v>
      </c>
      <c r="M355" s="16">
        <f>VLOOKUP(D355,gacha_309_base!A:B,2,FALSE)</f>
        <v>51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30"/>
        <v>3091434</v>
      </c>
      <c r="B356" s="2" t="str">
        <f t="shared" si="31"/>
        <v>3091</v>
      </c>
      <c r="C356" s="8" t="str">
        <f t="shared" si="29"/>
        <v>1PremiumSS4</v>
      </c>
      <c r="D356" s="8" t="str">
        <f t="shared" si="32"/>
        <v>1PremiumSS4</v>
      </c>
      <c r="E356" s="10">
        <v>1</v>
      </c>
      <c r="F356" s="6">
        <v>434</v>
      </c>
      <c r="G356" s="8" t="str">
        <f>VLOOKUP(F356,[1]characters!$A:$C,3,FALSE)</f>
        <v>D.R.T.H.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red</v>
      </c>
      <c r="K356" s="8" t="str">
        <f>VLOOKUP(F356,[1]characters!$A:$K,11,FALSE)</f>
        <v>balance</v>
      </c>
      <c r="L356" s="8" t="str">
        <f>VLOOKUP(F356,[1]characters!$A:$M,13,FALSE)</f>
        <v>human</v>
      </c>
      <c r="M356" s="16">
        <f>VLOOKUP(D356,gacha_309_base!A:B,2,FALSE)</f>
        <v>782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30"/>
        <v>3091435</v>
      </c>
      <c r="B357" s="2" t="str">
        <f t="shared" si="31"/>
        <v>3091</v>
      </c>
      <c r="C357" s="8" t="str">
        <f t="shared" si="29"/>
        <v>1PremiumSS5</v>
      </c>
      <c r="D357" s="8" t="str">
        <f t="shared" si="32"/>
        <v>1PremiumSS5</v>
      </c>
      <c r="E357" s="10">
        <v>1</v>
      </c>
      <c r="F357" s="6">
        <v>435</v>
      </c>
      <c r="G357" s="8" t="str">
        <f>VLOOKUP(F357,[1]characters!$A:$C,3,FALSE)</f>
        <v>曝弾の密偵 D.R.T.H.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red</v>
      </c>
      <c r="K357" s="8" t="str">
        <f>VLOOKUP(F357,[1]characters!$A:$K,11,FALSE)</f>
        <v>balance</v>
      </c>
      <c r="L357" s="8" t="str">
        <f>VLOOKUP(F357,[1]characters!$A:$M,13,FALSE)</f>
        <v>human</v>
      </c>
      <c r="M357" s="16">
        <f>VLOOKUP(D357,gacha_309_base!A:B,2,FALSE)</f>
        <v>51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30"/>
        <v>3091436</v>
      </c>
      <c r="B358" s="2" t="str">
        <f t="shared" si="31"/>
        <v>3091</v>
      </c>
      <c r="C358" s="8" t="str">
        <f t="shared" si="29"/>
        <v>1PremiumS3</v>
      </c>
      <c r="D358" s="8" t="str">
        <f t="shared" si="32"/>
        <v>1PremiumS3</v>
      </c>
      <c r="E358" s="10">
        <v>1</v>
      </c>
      <c r="F358" s="6">
        <v>436</v>
      </c>
      <c r="G358" s="8" t="str">
        <f>VLOOKUP(F358,[1]characters!$A:$C,3,FALSE)</f>
        <v>カカシ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green</v>
      </c>
      <c r="K358" s="8" t="str">
        <f>VLOOKUP(F358,[1]characters!$A:$K,11,FALSE)</f>
        <v>technical</v>
      </c>
      <c r="L358" s="8" t="str">
        <f>VLOOKUP(F358,[1]characters!$A:$M,13,FALSE)</f>
        <v>human</v>
      </c>
      <c r="M358" s="16">
        <f>VLOOKUP(D358,gacha_309_base!A:B,2,FALSE)</f>
        <v>6888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30"/>
        <v>3091437</v>
      </c>
      <c r="B359" s="2" t="str">
        <f t="shared" si="31"/>
        <v>3091</v>
      </c>
      <c r="C359" s="8" t="str">
        <f t="shared" si="29"/>
        <v>1PremiumS4</v>
      </c>
      <c r="D359" s="8" t="str">
        <f t="shared" si="32"/>
        <v>1PremiumS4</v>
      </c>
      <c r="E359" s="10">
        <v>1</v>
      </c>
      <c r="F359" s="6">
        <v>437</v>
      </c>
      <c r="G359" s="8" t="str">
        <f>VLOOKUP(F359,[1]characters!$A:$C,3,FALSE)</f>
        <v>忘却者 カカシ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green</v>
      </c>
      <c r="K359" s="8" t="str">
        <f>VLOOKUP(F359,[1]characters!$A:$K,11,FALSE)</f>
        <v>technical</v>
      </c>
      <c r="L359" s="8" t="str">
        <f>VLOOKUP(F359,[1]characters!$A:$M,13,FALSE)</f>
        <v>human</v>
      </c>
      <c r="M359" s="16">
        <f>VLOOKUP(D359,gacha_309_base!A:B,2,FALSE)</f>
        <v>6043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30"/>
        <v>3091438</v>
      </c>
      <c r="B360" s="2" t="str">
        <f t="shared" si="31"/>
        <v>3091</v>
      </c>
      <c r="C360" s="8" t="str">
        <f t="shared" si="29"/>
        <v>1PremiumS5</v>
      </c>
      <c r="D360" s="8" t="str">
        <f t="shared" si="32"/>
        <v>1PremiumS5</v>
      </c>
      <c r="E360" s="10">
        <v>1</v>
      </c>
      <c r="F360" s="6">
        <v>438</v>
      </c>
      <c r="G360" s="8" t="str">
        <f>VLOOKUP(F360,[1]characters!$A:$C,3,FALSE)</f>
        <v>記憶の奪還 カカシ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green</v>
      </c>
      <c r="K360" s="8" t="str">
        <f>VLOOKUP(F360,[1]characters!$A:$K,11,FALSE)</f>
        <v>technical</v>
      </c>
      <c r="L360" s="8" t="str">
        <f>VLOOKUP(F360,[1]characters!$A:$M,13,FALSE)</f>
        <v>human</v>
      </c>
      <c r="M360" s="16">
        <f>VLOOKUP(D360,gacha_309_base!A:B,2,FALSE)</f>
        <v>844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0"/>
        <v>3091439</v>
      </c>
      <c r="B361" s="2" t="str">
        <f t="shared" si="31"/>
        <v>3091</v>
      </c>
      <c r="C361" s="8" t="str">
        <f t="shared" si="29"/>
        <v>1PremiumS3</v>
      </c>
      <c r="D361" s="8" t="str">
        <f t="shared" si="32"/>
        <v>1PremiumS3</v>
      </c>
      <c r="E361" s="10">
        <v>1</v>
      </c>
      <c r="F361" s="6">
        <v>439</v>
      </c>
      <c r="G361" s="8" t="str">
        <f>VLOOKUP(F361,[1]characters!$A:$C,3,FALSE)</f>
        <v>ブリキロガー</v>
      </c>
      <c r="H361" s="8" t="str">
        <f>VLOOKUP(F361,[1]characters!$A:$J,10,FALSE)</f>
        <v>PremiumS</v>
      </c>
      <c r="I361" s="8">
        <f>VLOOKUP(F361,[1]characters!$A:$I,9,FALSE)</f>
        <v>3</v>
      </c>
      <c r="J361" s="8" t="str">
        <f>VLOOKUP(F361,[1]characters!$A:$H,8,FALSE)</f>
        <v>blue</v>
      </c>
      <c r="K361" s="8" t="str">
        <f>VLOOKUP(F361,[1]characters!$A:$K,11,FALSE)</f>
        <v>attack</v>
      </c>
      <c r="L361" s="8" t="str">
        <f>VLOOKUP(F361,[1]characters!$A:$M,13,FALSE)</f>
        <v>machine</v>
      </c>
      <c r="M361" s="16">
        <f>VLOOKUP(D361,gacha_309_base!A:B,2,FALSE)</f>
        <v>6888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30"/>
        <v>3091440</v>
      </c>
      <c r="B362" s="2" t="str">
        <f t="shared" si="31"/>
        <v>3091</v>
      </c>
      <c r="C362" s="8" t="str">
        <f t="shared" si="29"/>
        <v>1PremiumS4</v>
      </c>
      <c r="D362" s="8" t="str">
        <f t="shared" si="32"/>
        <v>1PremiumS4</v>
      </c>
      <c r="E362" s="10">
        <v>1</v>
      </c>
      <c r="F362" s="6">
        <v>440</v>
      </c>
      <c r="G362" s="8" t="str">
        <f>VLOOKUP(F362,[1]characters!$A:$C,3,FALSE)</f>
        <v>改良型 ブリキロガー</v>
      </c>
      <c r="H362" s="8" t="str">
        <f>VLOOKUP(F362,[1]characters!$A:$J,10,FALSE)</f>
        <v>PremiumS</v>
      </c>
      <c r="I362" s="8">
        <f>VLOOKUP(F362,[1]characters!$A:$I,9,FALSE)</f>
        <v>4</v>
      </c>
      <c r="J362" s="8" t="str">
        <f>VLOOKUP(F362,[1]characters!$A:$H,8,FALSE)</f>
        <v>blue</v>
      </c>
      <c r="K362" s="8" t="str">
        <f>VLOOKUP(F362,[1]characters!$A:$K,11,FALSE)</f>
        <v>attack</v>
      </c>
      <c r="L362" s="8" t="str">
        <f>VLOOKUP(F362,[1]characters!$A:$M,13,FALSE)</f>
        <v>machine</v>
      </c>
      <c r="M362" s="16">
        <f>VLOOKUP(D362,gacha_309_base!A:B,2,FALSE)</f>
        <v>6043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30"/>
        <v>3091441</v>
      </c>
      <c r="B363" s="2" t="str">
        <f t="shared" si="31"/>
        <v>3091</v>
      </c>
      <c r="C363" s="8" t="str">
        <f t="shared" si="29"/>
        <v>1PremiumS5</v>
      </c>
      <c r="D363" s="8" t="str">
        <f t="shared" si="32"/>
        <v>1PremiumS5</v>
      </c>
      <c r="E363" s="10">
        <v>1</v>
      </c>
      <c r="F363" s="6">
        <v>441</v>
      </c>
      <c r="G363" s="8" t="str">
        <f>VLOOKUP(F363,[1]characters!$A:$C,3,FALSE)</f>
        <v>求心の錻装 ブリキロガー</v>
      </c>
      <c r="H363" s="8" t="str">
        <f>VLOOKUP(F363,[1]characters!$A:$J,10,FALSE)</f>
        <v>PremiumS</v>
      </c>
      <c r="I363" s="8">
        <f>VLOOKUP(F363,[1]characters!$A:$I,9,FALSE)</f>
        <v>5</v>
      </c>
      <c r="J363" s="8" t="str">
        <f>VLOOKUP(F363,[1]characters!$A:$H,8,FALSE)</f>
        <v>blue</v>
      </c>
      <c r="K363" s="8" t="str">
        <f>VLOOKUP(F363,[1]characters!$A:$K,11,FALSE)</f>
        <v>attack</v>
      </c>
      <c r="L363" s="8" t="str">
        <f>VLOOKUP(F363,[1]characters!$A:$M,13,FALSE)</f>
        <v>machine</v>
      </c>
      <c r="M363" s="16">
        <f>VLOOKUP(D363,gacha_309_base!A:B,2,FALSE)</f>
        <v>844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0"/>
        <v>3091442</v>
      </c>
      <c r="B364" s="2" t="str">
        <f t="shared" si="31"/>
        <v>3091</v>
      </c>
      <c r="C364" s="8" t="str">
        <f t="shared" si="29"/>
        <v>1PremiumSS4</v>
      </c>
      <c r="D364" s="8" t="str">
        <f t="shared" si="32"/>
        <v>1PremiumSS4</v>
      </c>
      <c r="E364" s="10">
        <v>1</v>
      </c>
      <c r="F364" s="6">
        <v>442</v>
      </c>
      <c r="G364" s="8" t="str">
        <f>VLOOKUP(F364,[1]characters!$A:$C,3,FALSE)</f>
        <v>ブレイブリー・ライオン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yellow</v>
      </c>
      <c r="K364" s="8" t="str">
        <f>VLOOKUP(F364,[1]characters!$A:$K,11,FALSE)</f>
        <v>hp</v>
      </c>
      <c r="L364" s="8" t="str">
        <f>VLOOKUP(F364,[1]characters!$A:$M,13,FALSE)</f>
        <v>animal</v>
      </c>
      <c r="M364" s="16">
        <f>VLOOKUP(D364,gacha_309_base!A:B,2,FALSE)</f>
        <v>782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0"/>
        <v>3091443</v>
      </c>
      <c r="B365" s="2" t="str">
        <f t="shared" si="31"/>
        <v>3091</v>
      </c>
      <c r="C365" s="8" t="str">
        <f t="shared" si="29"/>
        <v>1PremiumSS5</v>
      </c>
      <c r="D365" s="8" t="str">
        <f t="shared" si="32"/>
        <v>1PremiumSS5</v>
      </c>
      <c r="E365" s="10">
        <v>1</v>
      </c>
      <c r="F365" s="6">
        <v>443</v>
      </c>
      <c r="G365" s="8" t="str">
        <f>VLOOKUP(F365,[1]characters!$A:$C,3,FALSE)</f>
        <v>勇機結集 ブレイブリー・ライオン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yellow</v>
      </c>
      <c r="K365" s="8" t="str">
        <f>VLOOKUP(F365,[1]characters!$A:$K,11,FALSE)</f>
        <v>hp</v>
      </c>
      <c r="L365" s="8" t="str">
        <f>VLOOKUP(F365,[1]characters!$A:$M,13,FALSE)</f>
        <v>animal</v>
      </c>
      <c r="M365" s="16">
        <f>VLOOKUP(D365,gacha_309_base!A:B,2,FALSE)</f>
        <v>51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0"/>
        <v>3091462</v>
      </c>
      <c r="B366" s="2" t="str">
        <f t="shared" si="31"/>
        <v>3091</v>
      </c>
      <c r="C366" s="8" t="str">
        <f t="shared" si="29"/>
        <v>1PremiumS3</v>
      </c>
      <c r="D366" s="8" t="str">
        <f t="shared" si="32"/>
        <v>1PremiumS3</v>
      </c>
      <c r="E366" s="10">
        <v>1</v>
      </c>
      <c r="F366" s="9">
        <v>462</v>
      </c>
      <c r="G366" s="8" t="str">
        <f>VLOOKUP(F366,[1]characters!$A:$C,3,FALSE)</f>
        <v>ガウェイン</v>
      </c>
      <c r="H366" s="8" t="str">
        <f>VLOOKUP(F366,[1]characters!$A:$J,10,FALSE)</f>
        <v>PremiumS</v>
      </c>
      <c r="I366" s="8">
        <f>VLOOKUP(F366,[1]characters!$A:$I,9,FALSE)</f>
        <v>3</v>
      </c>
      <c r="J366" s="8" t="str">
        <f>VLOOKUP(F366,[1]characters!$A:$H,8,FALSE)</f>
        <v>red</v>
      </c>
      <c r="K366" s="8" t="str">
        <f>VLOOKUP(F366,[1]characters!$A:$K,11,FALSE)</f>
        <v>hp</v>
      </c>
      <c r="L366" s="8" t="str">
        <f>VLOOKUP(F366,[1]characters!$A:$M,13,FALSE)</f>
        <v>human</v>
      </c>
      <c r="M366" s="16">
        <f>VLOOKUP(D366,gacha_309_base!A:B,2,FALSE)</f>
        <v>6888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0"/>
        <v>3091463</v>
      </c>
      <c r="B367" s="2" t="str">
        <f t="shared" si="31"/>
        <v>3091</v>
      </c>
      <c r="C367" s="8" t="str">
        <f t="shared" si="29"/>
        <v>1PremiumS4</v>
      </c>
      <c r="D367" s="8" t="str">
        <f t="shared" si="32"/>
        <v>1PremiumS4</v>
      </c>
      <c r="E367" s="10">
        <v>1</v>
      </c>
      <c r="F367" s="9">
        <v>463</v>
      </c>
      <c r="G367" s="8" t="str">
        <f>VLOOKUP(F367,[1]characters!$A:$C,3,FALSE)</f>
        <v>燻銀 ガウェイン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red</v>
      </c>
      <c r="K367" s="8" t="str">
        <f>VLOOKUP(F367,[1]characters!$A:$K,11,FALSE)</f>
        <v>hp</v>
      </c>
      <c r="L367" s="8" t="str">
        <f>VLOOKUP(F367,[1]characters!$A:$M,13,FALSE)</f>
        <v>human</v>
      </c>
      <c r="M367" s="16">
        <f>VLOOKUP(D367,gacha_309_base!A:B,2,FALSE)</f>
        <v>6043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0"/>
        <v>3091464</v>
      </c>
      <c r="B368" s="2" t="str">
        <f t="shared" si="31"/>
        <v>3091</v>
      </c>
      <c r="C368" s="8" t="str">
        <f t="shared" si="29"/>
        <v>1PremiumS5</v>
      </c>
      <c r="D368" s="8" t="str">
        <f t="shared" si="32"/>
        <v>1PremiumS5</v>
      </c>
      <c r="E368" s="10">
        <v>1</v>
      </c>
      <c r="F368" s="9">
        <v>464</v>
      </c>
      <c r="G368" s="8" t="str">
        <f>VLOOKUP(F368,[1]characters!$A:$C,3,FALSE)</f>
        <v>円熟の弾導 ガウェイン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red</v>
      </c>
      <c r="K368" s="8" t="str">
        <f>VLOOKUP(F368,[1]characters!$A:$K,11,FALSE)</f>
        <v>hp</v>
      </c>
      <c r="L368" s="8" t="str">
        <f>VLOOKUP(F368,[1]characters!$A:$M,13,FALSE)</f>
        <v>human</v>
      </c>
      <c r="M368" s="16">
        <f>VLOOKUP(D368,gacha_309_base!A:B,2,FALSE)</f>
        <v>844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0"/>
        <v>3091465</v>
      </c>
      <c r="B369" s="2" t="str">
        <f t="shared" si="31"/>
        <v>3091</v>
      </c>
      <c r="C369" s="8" t="str">
        <f t="shared" si="29"/>
        <v>1PremiumSS4</v>
      </c>
      <c r="D369" s="8" t="str">
        <f t="shared" si="32"/>
        <v>1PremiumSS4</v>
      </c>
      <c r="E369" s="10">
        <v>1</v>
      </c>
      <c r="F369" s="9">
        <v>465</v>
      </c>
      <c r="G369" s="8" t="str">
        <f>VLOOKUP(F369,[1]characters!$A:$C,3,FALSE)</f>
        <v>真撃 ランスロット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green</v>
      </c>
      <c r="K369" s="8" t="str">
        <f>VLOOKUP(F369,[1]characters!$A:$K,11,FALSE)</f>
        <v>balance</v>
      </c>
      <c r="L369" s="8" t="str">
        <f>VLOOKUP(F369,[1]characters!$A:$M,13,FALSE)</f>
        <v>human</v>
      </c>
      <c r="M369" s="16">
        <f>VLOOKUP(D369,gacha_309_base!A:B,2,FALSE)</f>
        <v>782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s="11" customFormat="1" ht="21" customHeight="1" thickBot="1">
      <c r="A370" s="7" t="str">
        <f t="shared" si="30"/>
        <v>3091466</v>
      </c>
      <c r="B370" s="2" t="str">
        <f t="shared" si="31"/>
        <v>3091</v>
      </c>
      <c r="C370" s="8" t="str">
        <f t="shared" si="29"/>
        <v>1PremiumSS5</v>
      </c>
      <c r="D370" s="8" t="str">
        <f t="shared" si="32"/>
        <v>1PremiumSS5</v>
      </c>
      <c r="E370" s="10">
        <v>1</v>
      </c>
      <c r="F370" s="6">
        <v>466</v>
      </c>
      <c r="G370" s="8" t="str">
        <f>VLOOKUP(F370,[1]characters!$A:$C,3,FALSE)</f>
        <v>真断の勇覇 ランスロット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green</v>
      </c>
      <c r="K370" s="8" t="str">
        <f>VLOOKUP(F370,[1]characters!$A:$K,11,FALSE)</f>
        <v>balance</v>
      </c>
      <c r="L370" s="8" t="str">
        <f>VLOOKUP(F370,[1]characters!$A:$M,13,FALSE)</f>
        <v>human</v>
      </c>
      <c r="M370" s="16">
        <f>VLOOKUP(D370,gacha_309_base!A:B,2,FALSE)</f>
        <v>51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0"/>
        <v>3091467</v>
      </c>
      <c r="B371" s="2" t="str">
        <f t="shared" si="31"/>
        <v>3091</v>
      </c>
      <c r="C371" s="8" t="str">
        <f t="shared" si="29"/>
        <v>1PremiumSS4</v>
      </c>
      <c r="D371" s="8" t="str">
        <f t="shared" si="32"/>
        <v>1PremiumSS4</v>
      </c>
      <c r="E371" s="10">
        <v>1</v>
      </c>
      <c r="F371" s="6">
        <v>467</v>
      </c>
      <c r="G371" s="8" t="str">
        <f>VLOOKUP(F371,[1]characters!$A:$C,3,FALSE)</f>
        <v>報復 モルドレッド</v>
      </c>
      <c r="H371" s="8" t="str">
        <f>VLOOKUP(F371,[1]characters!$A:$J,10,FALSE)</f>
        <v>PremiumSS</v>
      </c>
      <c r="I371" s="8">
        <f>VLOOKUP(F371,[1]characters!$A:$I,9,FALSE)</f>
        <v>4</v>
      </c>
      <c r="J371" s="8" t="str">
        <f>VLOOKUP(F371,[1]characters!$A:$H,8,FALSE)</f>
        <v>blue</v>
      </c>
      <c r="K371" s="8" t="str">
        <f>VLOOKUP(F371,[1]characters!$A:$K,11,FALSE)</f>
        <v>technical</v>
      </c>
      <c r="L371" s="8" t="str">
        <f>VLOOKUP(F371,[1]characters!$A:$M,13,FALSE)</f>
        <v>human</v>
      </c>
      <c r="M371" s="16">
        <f>VLOOKUP(D371,gacha_309_base!A:B,2,FALSE)</f>
        <v>782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0"/>
        <v>3091468</v>
      </c>
      <c r="B372" s="2" t="str">
        <f t="shared" si="31"/>
        <v>3091</v>
      </c>
      <c r="C372" s="8" t="str">
        <f t="shared" si="29"/>
        <v>1PremiumSS5</v>
      </c>
      <c r="D372" s="8" t="str">
        <f t="shared" si="32"/>
        <v>1PremiumSS5</v>
      </c>
      <c r="E372" s="10">
        <v>1</v>
      </c>
      <c r="F372" s="6">
        <v>468</v>
      </c>
      <c r="G372" s="8" t="str">
        <f>VLOOKUP(F372,[1]characters!$A:$C,3,FALSE)</f>
        <v>憎愛の尖鋒 モルドレッド</v>
      </c>
      <c r="H372" s="8" t="str">
        <f>VLOOKUP(F372,[1]characters!$A:$J,10,FALSE)</f>
        <v>PremiumSS</v>
      </c>
      <c r="I372" s="8">
        <f>VLOOKUP(F372,[1]characters!$A:$I,9,FALSE)</f>
        <v>5</v>
      </c>
      <c r="J372" s="8" t="str">
        <f>VLOOKUP(F372,[1]characters!$A:$H,8,FALSE)</f>
        <v>blue</v>
      </c>
      <c r="K372" s="8" t="str">
        <f>VLOOKUP(F372,[1]characters!$A:$K,11,FALSE)</f>
        <v>technical</v>
      </c>
      <c r="L372" s="8" t="str">
        <f>VLOOKUP(F372,[1]characters!$A:$M,13,FALSE)</f>
        <v>human</v>
      </c>
      <c r="M372" s="16">
        <f>VLOOKUP(D372,gacha_309_base!A:B,2,FALSE)</f>
        <v>51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0"/>
        <v>3091469</v>
      </c>
      <c r="B373" s="2" t="str">
        <f t="shared" si="31"/>
        <v>3091</v>
      </c>
      <c r="C373" s="8" t="str">
        <f t="shared" si="29"/>
        <v>1PremiumS3</v>
      </c>
      <c r="D373" s="8" t="str">
        <f t="shared" si="32"/>
        <v>1PremiumS3</v>
      </c>
      <c r="E373" s="10">
        <v>1</v>
      </c>
      <c r="F373" s="6">
        <v>469</v>
      </c>
      <c r="G373" s="8" t="str">
        <f>VLOOKUP(F373,[1]characters!$A:$C,3,FALSE)</f>
        <v>トリスタン</v>
      </c>
      <c r="H373" s="8" t="str">
        <f>VLOOKUP(F373,[1]characters!$A:$J,10,FALSE)</f>
        <v>PremiumS</v>
      </c>
      <c r="I373" s="8">
        <f>VLOOKUP(F373,[1]characters!$A:$I,9,FALSE)</f>
        <v>3</v>
      </c>
      <c r="J373" s="8" t="str">
        <f>VLOOKUP(F373,[1]characters!$A:$H,8,FALSE)</f>
        <v>yellow</v>
      </c>
      <c r="K373" s="8" t="str">
        <f>VLOOKUP(F373,[1]characters!$A:$K,11,FALSE)</f>
        <v>attack</v>
      </c>
      <c r="L373" s="8" t="str">
        <f>VLOOKUP(F373,[1]characters!$A:$M,13,FALSE)</f>
        <v>human</v>
      </c>
      <c r="M373" s="16">
        <f>VLOOKUP(D373,gacha_309_base!A:B,2,FALSE)</f>
        <v>6888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0"/>
        <v>3091470</v>
      </c>
      <c r="B374" s="2" t="str">
        <f t="shared" si="31"/>
        <v>3091</v>
      </c>
      <c r="C374" s="8" t="str">
        <f t="shared" ref="C374:C404" si="33">E374&amp;H374&amp;I374</f>
        <v>1PremiumS4</v>
      </c>
      <c r="D374" s="8" t="str">
        <f t="shared" si="32"/>
        <v>1PremiumS4</v>
      </c>
      <c r="E374" s="10">
        <v>1</v>
      </c>
      <c r="F374" s="6">
        <v>470</v>
      </c>
      <c r="G374" s="8" t="str">
        <f>VLOOKUP(F374,[1]characters!$A:$C,3,FALSE)</f>
        <v>純心 トリスタン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yellow</v>
      </c>
      <c r="K374" s="8" t="str">
        <f>VLOOKUP(F374,[1]characters!$A:$K,11,FALSE)</f>
        <v>attack</v>
      </c>
      <c r="L374" s="8" t="str">
        <f>VLOOKUP(F374,[1]characters!$A:$M,13,FALSE)</f>
        <v>human</v>
      </c>
      <c r="M374" s="16">
        <f>VLOOKUP(D374,gacha_309_base!A:B,2,FALSE)</f>
        <v>6043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ref="A375:A404" si="34">B375&amp;F375</f>
        <v>3091471</v>
      </c>
      <c r="B375" s="2" t="str">
        <f t="shared" si="31"/>
        <v>3091</v>
      </c>
      <c r="C375" s="8" t="str">
        <f t="shared" si="33"/>
        <v>1PremiumS5</v>
      </c>
      <c r="D375" s="8" t="str">
        <f t="shared" si="32"/>
        <v>1PremiumS5</v>
      </c>
      <c r="E375" s="10">
        <v>1</v>
      </c>
      <c r="F375" s="6">
        <v>471</v>
      </c>
      <c r="G375" s="8" t="str">
        <f>VLOOKUP(F375,[1]characters!$A:$C,3,FALSE)</f>
        <v>不可避の爆激 トリスタン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yellow</v>
      </c>
      <c r="K375" s="8" t="str">
        <f>VLOOKUP(F375,[1]characters!$A:$K,11,FALSE)</f>
        <v>attack</v>
      </c>
      <c r="L375" s="8" t="str">
        <f>VLOOKUP(F375,[1]characters!$A:$M,13,FALSE)</f>
        <v>human</v>
      </c>
      <c r="M375" s="16">
        <f>VLOOKUP(D375,gacha_309_base!A:B,2,FALSE)</f>
        <v>844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4"/>
        <v>3091474</v>
      </c>
      <c r="B376" s="2" t="str">
        <f t="shared" si="31"/>
        <v>3091</v>
      </c>
      <c r="C376" s="8" t="str">
        <f t="shared" si="33"/>
        <v>1PremiumSS4</v>
      </c>
      <c r="D376" s="8" t="str">
        <f t="shared" si="32"/>
        <v>1PremiumSS4</v>
      </c>
      <c r="E376" s="10">
        <v>1</v>
      </c>
      <c r="F376" s="6">
        <v>474</v>
      </c>
      <c r="G376" s="8" t="str">
        <f>VLOOKUP(F376,[1]characters!$A:$C,3,FALSE)</f>
        <v>キング・ドライグ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red</v>
      </c>
      <c r="K376" s="8" t="str">
        <f>VLOOKUP(F376,[1]characters!$A:$K,11,FALSE)</f>
        <v>attack</v>
      </c>
      <c r="L376" s="8" t="str">
        <f>VLOOKUP(F376,[1]characters!$A:$M,13,FALSE)</f>
        <v>dragon</v>
      </c>
      <c r="M376" s="16">
        <f>VLOOKUP(D376,gacha_309_base!A:B,2,FALSE)</f>
        <v>782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4"/>
        <v>3091475</v>
      </c>
      <c r="B377" s="2" t="str">
        <f t="shared" si="31"/>
        <v>3091</v>
      </c>
      <c r="C377" s="8" t="str">
        <f t="shared" si="33"/>
        <v>1PremiumSS5</v>
      </c>
      <c r="D377" s="8" t="str">
        <f t="shared" si="32"/>
        <v>1PremiumSS5</v>
      </c>
      <c r="E377" s="10">
        <v>1</v>
      </c>
      <c r="F377" s="6">
        <v>475</v>
      </c>
      <c r="G377" s="8" t="str">
        <f>VLOOKUP(F377,[1]characters!$A:$C,3,FALSE)</f>
        <v>緋王 キング・ドライグ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red</v>
      </c>
      <c r="K377" s="8" t="str">
        <f>VLOOKUP(F377,[1]characters!$A:$K,11,FALSE)</f>
        <v>attack</v>
      </c>
      <c r="L377" s="8" t="str">
        <f>VLOOKUP(F377,[1]characters!$A:$M,13,FALSE)</f>
        <v>dragon</v>
      </c>
      <c r="M377" s="16">
        <f>VLOOKUP(D377,gacha_309_base!A:B,2,FALSE)</f>
        <v>51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4"/>
        <v>3091476</v>
      </c>
      <c r="B378" s="2" t="str">
        <f t="shared" si="31"/>
        <v>3091</v>
      </c>
      <c r="C378" s="8" t="str">
        <f t="shared" si="33"/>
        <v>1PremiumS3</v>
      </c>
      <c r="D378" s="8" t="str">
        <f t="shared" si="32"/>
        <v>1PremiumS3</v>
      </c>
      <c r="E378" s="10">
        <v>1</v>
      </c>
      <c r="F378" s="6">
        <v>476</v>
      </c>
      <c r="G378" s="8" t="str">
        <f>VLOOKUP(F378,[1]characters!$A:$C,3,FALSE)</f>
        <v>ファータ</v>
      </c>
      <c r="H378" s="8" t="str">
        <f>VLOOKUP(F378,[1]characters!$A:$J,10,FALSE)</f>
        <v>PremiumS</v>
      </c>
      <c r="I378" s="8">
        <f>VLOOKUP(F378,[1]characters!$A:$I,9,FALSE)</f>
        <v>3</v>
      </c>
      <c r="J378" s="8" t="str">
        <f>VLOOKUP(F378,[1]characters!$A:$H,8,FALSE)</f>
        <v>green</v>
      </c>
      <c r="K378" s="8" t="str">
        <f>VLOOKUP(F378,[1]characters!$A:$K,11,FALSE)</f>
        <v>heal</v>
      </c>
      <c r="L378" s="8" t="str">
        <f>VLOOKUP(F378,[1]characters!$A:$M,13,FALSE)</f>
        <v>unknown</v>
      </c>
      <c r="M378" s="16">
        <f>VLOOKUP(D378,gacha_309_base!A:B,2,FALSE)</f>
        <v>6888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4"/>
        <v>3091477</v>
      </c>
      <c r="B379" s="2" t="str">
        <f t="shared" si="31"/>
        <v>3091</v>
      </c>
      <c r="C379" s="8" t="str">
        <f t="shared" si="33"/>
        <v>1PremiumS4</v>
      </c>
      <c r="D379" s="8" t="str">
        <f t="shared" si="32"/>
        <v>1PremiumS4</v>
      </c>
      <c r="E379" s="10">
        <v>1</v>
      </c>
      <c r="F379" s="6">
        <v>477</v>
      </c>
      <c r="G379" s="8" t="str">
        <f>VLOOKUP(F379,[1]characters!$A:$C,3,FALSE)</f>
        <v>愛羽妖精 ファータ</v>
      </c>
      <c r="H379" s="8" t="str">
        <f>VLOOKUP(F379,[1]characters!$A:$J,10,FALSE)</f>
        <v>PremiumS</v>
      </c>
      <c r="I379" s="8">
        <f>VLOOKUP(F379,[1]characters!$A:$I,9,FALSE)</f>
        <v>4</v>
      </c>
      <c r="J379" s="8" t="str">
        <f>VLOOKUP(F379,[1]characters!$A:$H,8,FALSE)</f>
        <v>green</v>
      </c>
      <c r="K379" s="8" t="str">
        <f>VLOOKUP(F379,[1]characters!$A:$K,11,FALSE)</f>
        <v>heal</v>
      </c>
      <c r="L379" s="8" t="str">
        <f>VLOOKUP(F379,[1]characters!$A:$M,13,FALSE)</f>
        <v>unknown</v>
      </c>
      <c r="M379" s="16">
        <f>VLOOKUP(D379,gacha_309_base!A:B,2,FALSE)</f>
        <v>6043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4"/>
        <v>3091478</v>
      </c>
      <c r="B380" s="2" t="str">
        <f t="shared" si="31"/>
        <v>3091</v>
      </c>
      <c r="C380" s="8" t="str">
        <f t="shared" si="33"/>
        <v>1PremiumS5</v>
      </c>
      <c r="D380" s="8" t="str">
        <f t="shared" si="32"/>
        <v>1PremiumS5</v>
      </c>
      <c r="E380" s="10">
        <v>1</v>
      </c>
      <c r="F380" s="6">
        <v>478</v>
      </c>
      <c r="G380" s="8" t="str">
        <f>VLOOKUP(F380,[1]characters!$A:$C,3,FALSE)</f>
        <v>時計仕掛けの愛羽妖精 ファータ</v>
      </c>
      <c r="H380" s="8" t="str">
        <f>VLOOKUP(F380,[1]characters!$A:$J,10,FALSE)</f>
        <v>PremiumS</v>
      </c>
      <c r="I380" s="8">
        <f>VLOOKUP(F380,[1]characters!$A:$I,9,FALSE)</f>
        <v>5</v>
      </c>
      <c r="J380" s="8" t="str">
        <f>VLOOKUP(F380,[1]characters!$A:$H,8,FALSE)</f>
        <v>green</v>
      </c>
      <c r="K380" s="8" t="str">
        <f>VLOOKUP(F380,[1]characters!$A:$K,11,FALSE)</f>
        <v>heal</v>
      </c>
      <c r="L380" s="8" t="str">
        <f>VLOOKUP(F380,[1]characters!$A:$M,13,FALSE)</f>
        <v>unknown</v>
      </c>
      <c r="M380" s="16">
        <f>VLOOKUP(D380,gacha_309_base!A:B,2,FALSE)</f>
        <v>844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4"/>
        <v>3091479</v>
      </c>
      <c r="B381" s="2" t="str">
        <f t="shared" si="31"/>
        <v>3091</v>
      </c>
      <c r="C381" s="8" t="str">
        <f t="shared" si="33"/>
        <v>1PremiumSS4</v>
      </c>
      <c r="D381" s="8" t="str">
        <f t="shared" si="32"/>
        <v>1PremiumSS4</v>
      </c>
      <c r="E381" s="10">
        <v>1</v>
      </c>
      <c r="F381" s="6">
        <v>479</v>
      </c>
      <c r="G381" s="8" t="str">
        <f>VLOOKUP(F381,[1]characters!$A:$C,3,FALSE)</f>
        <v>フール</v>
      </c>
      <c r="H381" s="8" t="str">
        <f>VLOOKUP(F381,[1]characters!$A:$J,10,FALSE)</f>
        <v>PremiumSS</v>
      </c>
      <c r="I381" s="8">
        <f>VLOOKUP(F381,[1]characters!$A:$I,9,FALSE)</f>
        <v>4</v>
      </c>
      <c r="J381" s="8" t="str">
        <f>VLOOKUP(F381,[1]characters!$A:$H,8,FALSE)</f>
        <v>blue</v>
      </c>
      <c r="K381" s="8" t="str">
        <f>VLOOKUP(F381,[1]characters!$A:$K,11,FALSE)</f>
        <v>technical</v>
      </c>
      <c r="L381" s="8" t="str">
        <f>VLOOKUP(F381,[1]characters!$A:$M,13,FALSE)</f>
        <v>god</v>
      </c>
      <c r="M381" s="16">
        <f>VLOOKUP(D381,gacha_309_base!A:B,2,FALSE)</f>
        <v>782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4"/>
        <v>3091480</v>
      </c>
      <c r="B382" s="2" t="str">
        <f t="shared" si="31"/>
        <v>3091</v>
      </c>
      <c r="C382" s="8" t="str">
        <f t="shared" si="33"/>
        <v>1PremiumSS5</v>
      </c>
      <c r="D382" s="8" t="str">
        <f t="shared" si="32"/>
        <v>1PremiumSS5</v>
      </c>
      <c r="E382" s="10">
        <v>1</v>
      </c>
      <c r="F382" s="6">
        <v>480</v>
      </c>
      <c r="G382" s="8" t="str">
        <f>VLOOKUP(F382,[1]characters!$A:$C,3,FALSE)</f>
        <v>夢幻の愚者フール</v>
      </c>
      <c r="H382" s="8" t="str">
        <f>VLOOKUP(F382,[1]characters!$A:$J,10,FALSE)</f>
        <v>PremiumSS</v>
      </c>
      <c r="I382" s="8">
        <f>VLOOKUP(F382,[1]characters!$A:$I,9,FALSE)</f>
        <v>5</v>
      </c>
      <c r="J382" s="8" t="str">
        <f>VLOOKUP(F382,[1]characters!$A:$H,8,FALSE)</f>
        <v>blue</v>
      </c>
      <c r="K382" s="8" t="str">
        <f>VLOOKUP(F382,[1]characters!$A:$K,11,FALSE)</f>
        <v>technical</v>
      </c>
      <c r="L382" s="8" t="str">
        <f>VLOOKUP(F382,[1]characters!$A:$M,13,FALSE)</f>
        <v>god</v>
      </c>
      <c r="M382" s="16">
        <f>VLOOKUP(D382,gacha_309_base!A:B,2,FALSE)</f>
        <v>51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4"/>
        <v>3091481</v>
      </c>
      <c r="B383" s="2" t="str">
        <f t="shared" si="31"/>
        <v>3091</v>
      </c>
      <c r="C383" s="8" t="str">
        <f t="shared" si="33"/>
        <v>1PremiumS3</v>
      </c>
      <c r="D383" s="8" t="str">
        <f t="shared" si="32"/>
        <v>1PremiumS3</v>
      </c>
      <c r="E383" s="10">
        <v>1</v>
      </c>
      <c r="F383" s="6">
        <v>481</v>
      </c>
      <c r="G383" s="8" t="str">
        <f>VLOOKUP(F383,[1]characters!$A:$C,3,FALSE)</f>
        <v>沢庵宗彭</v>
      </c>
      <c r="H383" s="8" t="str">
        <f>VLOOKUP(F383,[1]characters!$A:$J,10,FALSE)</f>
        <v>PremiumS</v>
      </c>
      <c r="I383" s="8">
        <f>VLOOKUP(F383,[1]characters!$A:$I,9,FALSE)</f>
        <v>3</v>
      </c>
      <c r="J383" s="8" t="str">
        <f>VLOOKUP(F383,[1]characters!$A:$H,8,FALSE)</f>
        <v>yellow</v>
      </c>
      <c r="K383" s="8" t="str">
        <f>VLOOKUP(F383,[1]characters!$A:$K,11,FALSE)</f>
        <v>hp</v>
      </c>
      <c r="L383" s="8" t="str">
        <f>VLOOKUP(F383,[1]characters!$A:$M,13,FALSE)</f>
        <v>human</v>
      </c>
      <c r="M383" s="16">
        <f>VLOOKUP(D383,gacha_309_base!A:B,2,FALSE)</f>
        <v>6888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4"/>
        <v>3091482</v>
      </c>
      <c r="B384" s="2" t="str">
        <f t="shared" si="31"/>
        <v>3091</v>
      </c>
      <c r="C384" s="8" t="str">
        <f t="shared" si="33"/>
        <v>1PremiumS4</v>
      </c>
      <c r="D384" s="8" t="str">
        <f t="shared" si="32"/>
        <v>1PremiumS4</v>
      </c>
      <c r="E384" s="10">
        <v>1</v>
      </c>
      <c r="F384" s="6">
        <v>482</v>
      </c>
      <c r="G384" s="8" t="str">
        <f>VLOOKUP(F384,[1]characters!$A:$C,3,FALSE)</f>
        <v>魁僧 沢庵宗彭</v>
      </c>
      <c r="H384" s="8" t="str">
        <f>VLOOKUP(F384,[1]characters!$A:$J,10,FALSE)</f>
        <v>PremiumS</v>
      </c>
      <c r="I384" s="8">
        <f>VLOOKUP(F384,[1]characters!$A:$I,9,FALSE)</f>
        <v>4</v>
      </c>
      <c r="J384" s="8" t="str">
        <f>VLOOKUP(F384,[1]characters!$A:$H,8,FALSE)</f>
        <v>yellow</v>
      </c>
      <c r="K384" s="8" t="str">
        <f>VLOOKUP(F384,[1]characters!$A:$K,11,FALSE)</f>
        <v>hp</v>
      </c>
      <c r="L384" s="8" t="str">
        <f>VLOOKUP(F384,[1]characters!$A:$M,13,FALSE)</f>
        <v>human</v>
      </c>
      <c r="M384" s="16">
        <f>VLOOKUP(D384,gacha_309_base!A:B,2,FALSE)</f>
        <v>6043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4"/>
        <v>3091483</v>
      </c>
      <c r="B385" s="2" t="str">
        <f t="shared" si="31"/>
        <v>3091</v>
      </c>
      <c r="C385" s="8" t="str">
        <f t="shared" si="33"/>
        <v>1PremiumS5</v>
      </c>
      <c r="D385" s="8" t="str">
        <f t="shared" si="32"/>
        <v>1PremiumS5</v>
      </c>
      <c r="E385" s="10">
        <v>1</v>
      </c>
      <c r="F385" s="6">
        <v>483</v>
      </c>
      <c r="G385" s="8" t="str">
        <f>VLOOKUP(F385,[1]characters!$A:$C,3,FALSE)</f>
        <v xml:space="preserve">命経死遂 沢庵宗彭 </v>
      </c>
      <c r="H385" s="8" t="str">
        <f>VLOOKUP(F385,[1]characters!$A:$J,10,FALSE)</f>
        <v>PremiumS</v>
      </c>
      <c r="I385" s="8">
        <f>VLOOKUP(F385,[1]characters!$A:$I,9,FALSE)</f>
        <v>5</v>
      </c>
      <c r="J385" s="8" t="str">
        <f>VLOOKUP(F385,[1]characters!$A:$H,8,FALSE)</f>
        <v>yellow</v>
      </c>
      <c r="K385" s="8" t="str">
        <f>VLOOKUP(F385,[1]characters!$A:$K,11,FALSE)</f>
        <v>hp</v>
      </c>
      <c r="L385" s="8" t="str">
        <f>VLOOKUP(F385,[1]characters!$A:$M,13,FALSE)</f>
        <v>human</v>
      </c>
      <c r="M385" s="16">
        <f>VLOOKUP(D385,gacha_309_base!A:B,2,FALSE)</f>
        <v>844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4"/>
        <v>3091492</v>
      </c>
      <c r="B386" s="2" t="str">
        <f t="shared" si="31"/>
        <v>3091</v>
      </c>
      <c r="C386" s="8" t="str">
        <f t="shared" si="33"/>
        <v>1PremiumSS4</v>
      </c>
      <c r="D386" s="8" t="str">
        <f t="shared" si="32"/>
        <v>1PremiumSS4</v>
      </c>
      <c r="E386" s="10">
        <v>1</v>
      </c>
      <c r="F386" s="6">
        <v>492</v>
      </c>
      <c r="G386" s="8" t="str">
        <f>VLOOKUP(F386,[1]characters!$A:$C,3,FALSE)</f>
        <v>ブートレグ・ペロー</v>
      </c>
      <c r="H386" s="8" t="str">
        <f>VLOOKUP(F386,[1]characters!$A:$J,10,FALSE)</f>
        <v>PremiumSS</v>
      </c>
      <c r="I386" s="8">
        <f>VLOOKUP(F386,[1]characters!$A:$I,9,FALSE)</f>
        <v>4</v>
      </c>
      <c r="J386" s="8" t="str">
        <f>VLOOKUP(F386,[1]characters!$A:$H,8,FALSE)</f>
        <v>red</v>
      </c>
      <c r="K386" s="8" t="str">
        <f>VLOOKUP(F386,[1]characters!$A:$K,11,FALSE)</f>
        <v>hp</v>
      </c>
      <c r="L386" s="8" t="str">
        <f>VLOOKUP(F386,[1]characters!$A:$M,13,FALSE)</f>
        <v>animal</v>
      </c>
      <c r="M386" s="16">
        <f>VLOOKUP(D386,gacha_309_base!A:B,2,FALSE)</f>
        <v>782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4"/>
        <v>3091493</v>
      </c>
      <c r="B387" s="2" t="str">
        <f t="shared" si="31"/>
        <v>3091</v>
      </c>
      <c r="C387" s="8" t="str">
        <f t="shared" si="33"/>
        <v>1PremiumSS5</v>
      </c>
      <c r="D387" s="8" t="str">
        <f t="shared" si="32"/>
        <v>1PremiumSS5</v>
      </c>
      <c r="E387" s="10">
        <v>1</v>
      </c>
      <c r="F387" s="6">
        <v>493</v>
      </c>
      <c r="G387" s="8" t="str">
        <f>VLOOKUP(F387,[1]characters!$A:$C,3,FALSE)</f>
        <v>跋扈の機脚 ブートレグ・ペロー</v>
      </c>
      <c r="H387" s="8" t="str">
        <f>VLOOKUP(F387,[1]characters!$A:$J,10,FALSE)</f>
        <v>PremiumSS</v>
      </c>
      <c r="I387" s="8">
        <f>VLOOKUP(F387,[1]characters!$A:$I,9,FALSE)</f>
        <v>5</v>
      </c>
      <c r="J387" s="8" t="str">
        <f>VLOOKUP(F387,[1]characters!$A:$H,8,FALSE)</f>
        <v>red</v>
      </c>
      <c r="K387" s="8" t="str">
        <f>VLOOKUP(F387,[1]characters!$A:$K,11,FALSE)</f>
        <v>hp</v>
      </c>
      <c r="L387" s="8" t="str">
        <f>VLOOKUP(F387,[1]characters!$A:$M,13,FALSE)</f>
        <v>animal</v>
      </c>
      <c r="M387" s="16">
        <f>VLOOKUP(D387,gacha_309_base!A:B,2,FALSE)</f>
        <v>51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4"/>
        <v>3091494</v>
      </c>
      <c r="B388" s="2" t="str">
        <f t="shared" si="31"/>
        <v>3091</v>
      </c>
      <c r="C388" s="8" t="str">
        <f t="shared" si="33"/>
        <v>1PremiumSS4</v>
      </c>
      <c r="D388" s="8" t="str">
        <f t="shared" si="32"/>
        <v>1PremiumSS4</v>
      </c>
      <c r="E388" s="10">
        <v>1</v>
      </c>
      <c r="F388" s="6">
        <v>494</v>
      </c>
      <c r="G388" s="8" t="str">
        <f>VLOOKUP(F388,[1]characters!$A:$C,3,FALSE)</f>
        <v>ハーメルン</v>
      </c>
      <c r="H388" s="8" t="str">
        <f>VLOOKUP(F388,[1]characters!$A:$J,10,FALSE)</f>
        <v>PremiumSS</v>
      </c>
      <c r="I388" s="8">
        <f>VLOOKUP(F388,[1]characters!$A:$I,9,FALSE)</f>
        <v>4</v>
      </c>
      <c r="J388" s="8" t="str">
        <f>VLOOKUP(F388,[1]characters!$A:$H,8,FALSE)</f>
        <v>green</v>
      </c>
      <c r="K388" s="8" t="str">
        <f>VLOOKUP(F388,[1]characters!$A:$K,11,FALSE)</f>
        <v>technical</v>
      </c>
      <c r="L388" s="8" t="str">
        <f>VLOOKUP(F388,[1]characters!$A:$M,13,FALSE)</f>
        <v>human</v>
      </c>
      <c r="M388" s="16">
        <f>VLOOKUP(D388,gacha_309_base!A:B,2,FALSE)</f>
        <v>782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34"/>
        <v>3091495</v>
      </c>
      <c r="B389" s="2" t="str">
        <f t="shared" si="31"/>
        <v>3091</v>
      </c>
      <c r="C389" s="8" t="str">
        <f t="shared" si="33"/>
        <v>1PremiumSS5</v>
      </c>
      <c r="D389" s="8" t="str">
        <f t="shared" si="32"/>
        <v>1PremiumSS5</v>
      </c>
      <c r="E389" s="10">
        <v>1</v>
      </c>
      <c r="F389" s="6">
        <v>495</v>
      </c>
      <c r="G389" s="8" t="str">
        <f>VLOOKUP(F389,[1]characters!$A:$C,3,FALSE)</f>
        <v>鼠災呼ぶ笛音 ハーメルン</v>
      </c>
      <c r="H389" s="8" t="str">
        <f>VLOOKUP(F389,[1]characters!$A:$J,10,FALSE)</f>
        <v>PremiumSS</v>
      </c>
      <c r="I389" s="8">
        <f>VLOOKUP(F389,[1]characters!$A:$I,9,FALSE)</f>
        <v>5</v>
      </c>
      <c r="J389" s="8" t="str">
        <f>VLOOKUP(F389,[1]characters!$A:$H,8,FALSE)</f>
        <v>green</v>
      </c>
      <c r="K389" s="8" t="str">
        <f>VLOOKUP(F389,[1]characters!$A:$K,11,FALSE)</f>
        <v>technical</v>
      </c>
      <c r="L389" s="8" t="str">
        <f>VLOOKUP(F389,[1]characters!$A:$M,13,FALSE)</f>
        <v>human</v>
      </c>
      <c r="M389" s="16">
        <f>VLOOKUP(D389,gacha_309_base!A:B,2,FALSE)</f>
        <v>51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4"/>
        <v>3091496</v>
      </c>
      <c r="B390" s="2" t="str">
        <f t="shared" si="31"/>
        <v>3091</v>
      </c>
      <c r="C390" s="8" t="str">
        <f t="shared" si="33"/>
        <v>1PremiumS3</v>
      </c>
      <c r="D390" s="8" t="str">
        <f t="shared" si="32"/>
        <v>1PremiumS3</v>
      </c>
      <c r="E390" s="10">
        <v>1</v>
      </c>
      <c r="F390" s="6">
        <v>496</v>
      </c>
      <c r="G390" s="8" t="str">
        <f>VLOOKUP(F390,[1]characters!$A:$C,3,FALSE)</f>
        <v>エスタブ</v>
      </c>
      <c r="H390" s="8" t="str">
        <f>VLOOKUP(F390,[1]characters!$A:$J,10,FALSE)</f>
        <v>PremiumS</v>
      </c>
      <c r="I390" s="8">
        <f>VLOOKUP(F390,[1]characters!$A:$I,9,FALSE)</f>
        <v>3</v>
      </c>
      <c r="J390" s="8" t="str">
        <f>VLOOKUP(F390,[1]characters!$A:$H,8,FALSE)</f>
        <v>blue</v>
      </c>
      <c r="K390" s="8" t="str">
        <f>VLOOKUP(F390,[1]characters!$A:$K,11,FALSE)</f>
        <v>attack</v>
      </c>
      <c r="L390" s="8" t="str">
        <f>VLOOKUP(F390,[1]characters!$A:$M,13,FALSE)</f>
        <v>human</v>
      </c>
      <c r="M390" s="16">
        <f>VLOOKUP(D390,gacha_309_base!A:B,2,FALSE)</f>
        <v>6888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4"/>
        <v>3091497</v>
      </c>
      <c r="B391" s="2" t="str">
        <f t="shared" si="31"/>
        <v>3091</v>
      </c>
      <c r="C391" s="8" t="str">
        <f t="shared" si="33"/>
        <v>1PremiumS4</v>
      </c>
      <c r="D391" s="8" t="str">
        <f t="shared" si="32"/>
        <v>1PremiumS4</v>
      </c>
      <c r="E391" s="10">
        <v>1</v>
      </c>
      <c r="F391" s="6">
        <v>497</v>
      </c>
      <c r="G391" s="8" t="str">
        <f>VLOOKUP(F391,[1]characters!$A:$C,3,FALSE)</f>
        <v>偏愛の野獣 エスタブ</v>
      </c>
      <c r="H391" s="8" t="str">
        <f>VLOOKUP(F391,[1]characters!$A:$J,10,FALSE)</f>
        <v>PremiumS</v>
      </c>
      <c r="I391" s="8">
        <f>VLOOKUP(F391,[1]characters!$A:$I,9,FALSE)</f>
        <v>4</v>
      </c>
      <c r="J391" s="8" t="str">
        <f>VLOOKUP(F391,[1]characters!$A:$H,8,FALSE)</f>
        <v>blue</v>
      </c>
      <c r="K391" s="8" t="str">
        <f>VLOOKUP(F391,[1]characters!$A:$K,11,FALSE)</f>
        <v>attack</v>
      </c>
      <c r="L391" s="8" t="str">
        <f>VLOOKUP(F391,[1]characters!$A:$M,13,FALSE)</f>
        <v>human</v>
      </c>
      <c r="M391" s="16">
        <f>VLOOKUP(D391,gacha_309_base!A:B,2,FALSE)</f>
        <v>6043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4"/>
        <v>3091498</v>
      </c>
      <c r="B392" s="2" t="str">
        <f t="shared" si="31"/>
        <v>3091</v>
      </c>
      <c r="C392" s="8" t="str">
        <f t="shared" si="33"/>
        <v>1PremiumS5</v>
      </c>
      <c r="D392" s="8" t="str">
        <f t="shared" si="32"/>
        <v>1PremiumS5</v>
      </c>
      <c r="E392" s="10">
        <v>1</v>
      </c>
      <c r="F392" s="6">
        <v>498</v>
      </c>
      <c r="G392" s="8" t="str">
        <f>VLOOKUP(F392,[1]characters!$A:$C,3,FALSE)</f>
        <v>自愛の高魔 エスタブ</v>
      </c>
      <c r="H392" s="8" t="str">
        <f>VLOOKUP(F392,[1]characters!$A:$J,10,FALSE)</f>
        <v>PremiumS</v>
      </c>
      <c r="I392" s="8">
        <f>VLOOKUP(F392,[1]characters!$A:$I,9,FALSE)</f>
        <v>5</v>
      </c>
      <c r="J392" s="8" t="str">
        <f>VLOOKUP(F392,[1]characters!$A:$H,8,FALSE)</f>
        <v>blue</v>
      </c>
      <c r="K392" s="8" t="str">
        <f>VLOOKUP(F392,[1]characters!$A:$K,11,FALSE)</f>
        <v>attack</v>
      </c>
      <c r="L392" s="8" t="str">
        <f>VLOOKUP(F392,[1]characters!$A:$M,13,FALSE)</f>
        <v>human</v>
      </c>
      <c r="M392" s="16">
        <f>VLOOKUP(D392,gacha_309_base!A:B,2,FALSE)</f>
        <v>844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4"/>
        <v>3091499</v>
      </c>
      <c r="B393" s="2" t="str">
        <f t="shared" si="31"/>
        <v>3091</v>
      </c>
      <c r="C393" s="8" t="str">
        <f t="shared" si="33"/>
        <v>1PremiumSS4</v>
      </c>
      <c r="D393" s="8" t="str">
        <f t="shared" si="32"/>
        <v>1PremiumSS4</v>
      </c>
      <c r="E393" s="10">
        <v>1</v>
      </c>
      <c r="F393" s="6">
        <v>499</v>
      </c>
      <c r="G393" s="8" t="str">
        <f>VLOOKUP(F393,[1]characters!$A:$C,3,FALSE)</f>
        <v>ラプンツェル</v>
      </c>
      <c r="H393" s="8" t="str">
        <f>VLOOKUP(F393,[1]characters!$A:$J,10,FALSE)</f>
        <v>PremiumSS</v>
      </c>
      <c r="I393" s="8">
        <f>VLOOKUP(F393,[1]characters!$A:$I,9,FALSE)</f>
        <v>4</v>
      </c>
      <c r="J393" s="8" t="str">
        <f>VLOOKUP(F393,[1]characters!$A:$H,8,FALSE)</f>
        <v>yellow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VLOOKUP(D393,gacha_309_base!A:B,2,FALSE)</f>
        <v>782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4"/>
        <v>3091500</v>
      </c>
      <c r="B394" s="2" t="str">
        <f t="shared" si="31"/>
        <v>3091</v>
      </c>
      <c r="C394" s="8" t="str">
        <f t="shared" si="33"/>
        <v>1PremiumSS5</v>
      </c>
      <c r="D394" s="8" t="str">
        <f t="shared" si="32"/>
        <v>1PremiumSS5</v>
      </c>
      <c r="E394" s="10">
        <v>1</v>
      </c>
      <c r="F394" s="6">
        <v>500</v>
      </c>
      <c r="G394" s="8" t="str">
        <f>VLOOKUP(F394,[1]characters!$A:$C,3,FALSE)</f>
        <v>脈動の禁髪 ラプンツェル</v>
      </c>
      <c r="H394" s="8" t="str">
        <f>VLOOKUP(F394,[1]characters!$A:$J,10,FALSE)</f>
        <v>PremiumSS</v>
      </c>
      <c r="I394" s="8">
        <f>VLOOKUP(F394,[1]characters!$A:$I,9,FALSE)</f>
        <v>5</v>
      </c>
      <c r="J394" s="8" t="str">
        <f>VLOOKUP(F394,[1]characters!$A:$H,8,FALSE)</f>
        <v>yellow</v>
      </c>
      <c r="K394" s="8" t="str">
        <f>VLOOKUP(F394,[1]characters!$A:$K,11,FALSE)</f>
        <v>balance</v>
      </c>
      <c r="L394" s="8" t="str">
        <f>VLOOKUP(F394,[1]characters!$A:$M,13,FALSE)</f>
        <v>human</v>
      </c>
      <c r="M394" s="16">
        <f>VLOOKUP(D394,gacha_309_base!A:B,2,FALSE)</f>
        <v>51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4"/>
        <v>3091586</v>
      </c>
      <c r="B395" s="2" t="str">
        <f t="shared" ref="B395:B435" si="35">309&amp;E395</f>
        <v>3091</v>
      </c>
      <c r="C395" s="8" t="str">
        <f t="shared" si="33"/>
        <v>1PremiumSS4</v>
      </c>
      <c r="D395" s="8" t="str">
        <f t="shared" si="32"/>
        <v>1PremiumSS4</v>
      </c>
      <c r="E395" s="10">
        <v>1</v>
      </c>
      <c r="F395" s="6">
        <v>586</v>
      </c>
      <c r="G395" s="8" t="str">
        <f>VLOOKUP(F395,[1]characters!$A:$C,3,FALSE)</f>
        <v>ユミル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red</v>
      </c>
      <c r="K395" s="8" t="str">
        <f>VLOOKUP(F395,[1]characters!$A:$K,11,FALSE)</f>
        <v>hp</v>
      </c>
      <c r="L395" s="8" t="str">
        <f>VLOOKUP(F395,[1]characters!$A:$M,13,FALSE)</f>
        <v>machine</v>
      </c>
      <c r="M395" s="16">
        <f>VLOOKUP(D395,gacha_309_base!A:B,2,FALSE)</f>
        <v>782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4"/>
        <v>3091587</v>
      </c>
      <c r="B396" s="2" t="str">
        <f t="shared" si="35"/>
        <v>3091</v>
      </c>
      <c r="C396" s="8" t="str">
        <f t="shared" si="33"/>
        <v>1PremiumSS5</v>
      </c>
      <c r="D396" s="8" t="str">
        <f t="shared" si="32"/>
        <v>1PremiumSS5</v>
      </c>
      <c r="E396" s="10">
        <v>1</v>
      </c>
      <c r="F396" s="6">
        <v>587</v>
      </c>
      <c r="G396" s="8" t="str">
        <f>VLOOKUP(F396,[1]characters!$A:$C,3,FALSE)</f>
        <v>原初の煉鋼巨刃 ユミル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red</v>
      </c>
      <c r="K396" s="8" t="str">
        <f>VLOOKUP(F396,[1]characters!$A:$K,11,FALSE)</f>
        <v>hp</v>
      </c>
      <c r="L396" s="8" t="str">
        <f>VLOOKUP(F396,[1]characters!$A:$M,13,FALSE)</f>
        <v>machine</v>
      </c>
      <c r="M396" s="16">
        <f>VLOOKUP(D396,gacha_309_base!A:B,2,FALSE)</f>
        <v>51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si="34"/>
        <v>3091588</v>
      </c>
      <c r="B397" s="2" t="str">
        <f t="shared" si="35"/>
        <v>3091</v>
      </c>
      <c r="C397" s="8" t="str">
        <f t="shared" si="33"/>
        <v>1PremiumS3</v>
      </c>
      <c r="D397" s="8" t="str">
        <f t="shared" si="32"/>
        <v>1PremiumS3</v>
      </c>
      <c r="E397" s="10">
        <v>1</v>
      </c>
      <c r="F397" s="6">
        <v>588</v>
      </c>
      <c r="G397" s="8" t="str">
        <f>VLOOKUP(F397,[1]characters!$A:$C,3,FALSE)</f>
        <v>ニーベルゲン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green</v>
      </c>
      <c r="K397" s="8" t="str">
        <f>VLOOKUP(F397,[1]characters!$A:$K,11,FALSE)</f>
        <v>balance</v>
      </c>
      <c r="L397" s="8" t="str">
        <f>VLOOKUP(F397,[1]characters!$A:$M,13,FALSE)</f>
        <v>unknown</v>
      </c>
      <c r="M397" s="16">
        <f>VLOOKUP(D397,gacha_309_base!A:B,2,FALSE)</f>
        <v>6888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4"/>
        <v>3091589</v>
      </c>
      <c r="B398" s="2" t="str">
        <f t="shared" si="35"/>
        <v>3091</v>
      </c>
      <c r="C398" s="8" t="str">
        <f t="shared" si="33"/>
        <v>1PremiumS4</v>
      </c>
      <c r="D398" s="8" t="str">
        <f t="shared" si="32"/>
        <v>1PremiumS4</v>
      </c>
      <c r="E398" s="10">
        <v>1</v>
      </c>
      <c r="F398" s="6">
        <v>589</v>
      </c>
      <c r="G398" s="8" t="str">
        <f>VLOOKUP(F398,[1]characters!$A:$C,3,FALSE)</f>
        <v>不幸の円環 ニーベルゲン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green</v>
      </c>
      <c r="K398" s="8" t="str">
        <f>VLOOKUP(F398,[1]characters!$A:$K,11,FALSE)</f>
        <v>balance</v>
      </c>
      <c r="L398" s="8" t="str">
        <f>VLOOKUP(F398,[1]characters!$A:$M,13,FALSE)</f>
        <v>unknown</v>
      </c>
      <c r="M398" s="16">
        <f>VLOOKUP(D398,gacha_309_base!A:B,2,FALSE)</f>
        <v>6043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4"/>
        <v>3091590</v>
      </c>
      <c r="B399" s="2" t="str">
        <f t="shared" si="35"/>
        <v>3091</v>
      </c>
      <c r="C399" s="8" t="str">
        <f t="shared" si="33"/>
        <v>1PremiumS5</v>
      </c>
      <c r="D399" s="8" t="str">
        <f t="shared" si="32"/>
        <v>1PremiumS5</v>
      </c>
      <c r="E399" s="10">
        <v>1</v>
      </c>
      <c r="F399" s="6">
        <v>590</v>
      </c>
      <c r="G399" s="8" t="str">
        <f>VLOOKUP(F399,[1]characters!$A:$C,3,FALSE)</f>
        <v>永遠を廻る呪い ニーベルゲン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green</v>
      </c>
      <c r="K399" s="8" t="str">
        <f>VLOOKUP(F399,[1]characters!$A:$K,11,FALSE)</f>
        <v>balance</v>
      </c>
      <c r="L399" s="8" t="str">
        <f>VLOOKUP(F399,[1]characters!$A:$M,13,FALSE)</f>
        <v>unknown</v>
      </c>
      <c r="M399" s="16">
        <f>VLOOKUP(D399,gacha_309_base!A:B,2,FALSE)</f>
        <v>844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 t="shared" si="34"/>
        <v>3091591</v>
      </c>
      <c r="B400" s="2" t="str">
        <f t="shared" si="35"/>
        <v>3091</v>
      </c>
      <c r="C400" s="8" t="str">
        <f t="shared" si="33"/>
        <v>1PremiumS3</v>
      </c>
      <c r="D400" s="8" t="str">
        <f t="shared" si="32"/>
        <v>1PremiumS3</v>
      </c>
      <c r="E400" s="10">
        <v>1</v>
      </c>
      <c r="F400" s="6">
        <v>591</v>
      </c>
      <c r="G400" s="8" t="str">
        <f>VLOOKUP(F400,[1]characters!$A:$C,3,FALSE)</f>
        <v>ファフニール</v>
      </c>
      <c r="H400" s="8" t="str">
        <f>VLOOKUP(F400,[1]characters!$A:$J,10,FALSE)</f>
        <v>PremiumS</v>
      </c>
      <c r="I400" s="8">
        <f>VLOOKUP(F400,[1]characters!$A:$I,9,FALSE)</f>
        <v>3</v>
      </c>
      <c r="J400" s="8" t="str">
        <f>VLOOKUP(F400,[1]characters!$A:$H,8,FALSE)</f>
        <v>blue</v>
      </c>
      <c r="K400" s="8" t="str">
        <f>VLOOKUP(F400,[1]characters!$A:$K,11,FALSE)</f>
        <v>technical</v>
      </c>
      <c r="L400" s="8" t="str">
        <f>VLOOKUP(F400,[1]characters!$A:$M,13,FALSE)</f>
        <v>dragon</v>
      </c>
      <c r="M400" s="16">
        <f>VLOOKUP(D400,gacha_309_base!A:B,2,FALSE)</f>
        <v>6888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si="34"/>
        <v>3091592</v>
      </c>
      <c r="B401" s="2" t="str">
        <f t="shared" si="35"/>
        <v>3091</v>
      </c>
      <c r="C401" s="8" t="str">
        <f t="shared" si="33"/>
        <v>1PremiumS4</v>
      </c>
      <c r="D401" s="8" t="str">
        <f t="shared" si="32"/>
        <v>1PremiumS4</v>
      </c>
      <c r="E401" s="10">
        <v>1</v>
      </c>
      <c r="F401" s="6">
        <v>592</v>
      </c>
      <c r="G401" s="8" t="str">
        <f>VLOOKUP(F401,[1]characters!$A:$C,3,FALSE)</f>
        <v>財宝への執着 ファフニール</v>
      </c>
      <c r="H401" s="8" t="str">
        <f>VLOOKUP(F401,[1]characters!$A:$J,10,FALSE)</f>
        <v>PremiumS</v>
      </c>
      <c r="I401" s="8">
        <f>VLOOKUP(F401,[1]characters!$A:$I,9,FALSE)</f>
        <v>4</v>
      </c>
      <c r="J401" s="8" t="str">
        <f>VLOOKUP(F401,[1]characters!$A:$H,8,FALSE)</f>
        <v>blue</v>
      </c>
      <c r="K401" s="8" t="str">
        <f>VLOOKUP(F401,[1]characters!$A:$K,11,FALSE)</f>
        <v>technical</v>
      </c>
      <c r="L401" s="8" t="str">
        <f>VLOOKUP(F401,[1]characters!$A:$M,13,FALSE)</f>
        <v>dragon</v>
      </c>
      <c r="M401" s="16">
        <f>VLOOKUP(D401,gacha_309_base!A:B,2,FALSE)</f>
        <v>6043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customHeight="1">
      <c r="A402" s="7" t="str">
        <f t="shared" si="34"/>
        <v>3091593</v>
      </c>
      <c r="B402" s="2" t="str">
        <f t="shared" si="35"/>
        <v>3091</v>
      </c>
      <c r="C402" s="8" t="str">
        <f t="shared" si="33"/>
        <v>1PremiumS5</v>
      </c>
      <c r="D402" s="8" t="str">
        <f t="shared" ref="D402:D415" si="36">E402&amp;H402&amp;I402</f>
        <v>1PremiumS5</v>
      </c>
      <c r="E402" s="10">
        <v>1</v>
      </c>
      <c r="F402" s="6">
        <v>593</v>
      </c>
      <c r="G402" s="8" t="str">
        <f>VLOOKUP(F402,[1]characters!$A:$C,3,FALSE)</f>
        <v>妄執する邪毒龍 ファフニール</v>
      </c>
      <c r="H402" s="8" t="str">
        <f>VLOOKUP(F402,[1]characters!$A:$J,10,FALSE)</f>
        <v>PremiumS</v>
      </c>
      <c r="I402" s="8">
        <f>VLOOKUP(F402,[1]characters!$A:$I,9,FALSE)</f>
        <v>5</v>
      </c>
      <c r="J402" s="8" t="str">
        <f>VLOOKUP(F402,[1]characters!$A:$H,8,FALSE)</f>
        <v>blue</v>
      </c>
      <c r="K402" s="8" t="str">
        <f>VLOOKUP(F402,[1]characters!$A:$K,11,FALSE)</f>
        <v>technical</v>
      </c>
      <c r="L402" s="8" t="str">
        <f>VLOOKUP(F402,[1]characters!$A:$M,13,FALSE)</f>
        <v>dragon</v>
      </c>
      <c r="M402" s="16">
        <f>VLOOKUP(D402,gacha_309_base!A:B,2,FALSE)</f>
        <v>844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34"/>
        <v>3091594</v>
      </c>
      <c r="B403" s="2" t="str">
        <f t="shared" si="35"/>
        <v>3091</v>
      </c>
      <c r="C403" s="8" t="str">
        <f t="shared" si="33"/>
        <v>1PremiumSS4</v>
      </c>
      <c r="D403" s="8" t="str">
        <f t="shared" si="36"/>
        <v>1PremiumSS4</v>
      </c>
      <c r="E403" s="10">
        <v>1</v>
      </c>
      <c r="F403" s="6">
        <v>594</v>
      </c>
      <c r="G403" s="8" t="str">
        <f>VLOOKUP(F403,[1]characters!$A:$C,3,FALSE)</f>
        <v>アルフヘイム</v>
      </c>
      <c r="H403" s="8" t="str">
        <f>VLOOKUP(F403,[1]characters!$A:$J,10,FALSE)</f>
        <v>PremiumSS</v>
      </c>
      <c r="I403" s="8">
        <f>VLOOKUP(F403,[1]characters!$A:$I,9,FALSE)</f>
        <v>4</v>
      </c>
      <c r="J403" s="8" t="str">
        <f>VLOOKUP(F403,[1]characters!$A:$H,8,FALSE)</f>
        <v>yellow</v>
      </c>
      <c r="K403" s="8" t="str">
        <f>VLOOKUP(F403,[1]characters!$A:$K,11,FALSE)</f>
        <v>attack</v>
      </c>
      <c r="L403" s="8" t="str">
        <f>VLOOKUP(F403,[1]characters!$A:$M,13,FALSE)</f>
        <v>dragon</v>
      </c>
      <c r="M403" s="16">
        <f>VLOOKUP(D403,gacha_309_base!A:B,2,FALSE)</f>
        <v>782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customHeight="1">
      <c r="A404" s="7" t="str">
        <f t="shared" si="34"/>
        <v>3091595</v>
      </c>
      <c r="B404" s="2" t="str">
        <f t="shared" si="35"/>
        <v>3091</v>
      </c>
      <c r="C404" s="8" t="str">
        <f t="shared" si="33"/>
        <v>1PremiumSS5</v>
      </c>
      <c r="D404" s="8" t="str">
        <f t="shared" si="36"/>
        <v>1PremiumSS5</v>
      </c>
      <c r="E404" s="10">
        <v>1</v>
      </c>
      <c r="F404" s="6">
        <v>595</v>
      </c>
      <c r="G404" s="8" t="str">
        <f>VLOOKUP(F404,[1]characters!$A:$C,3,FALSE)</f>
        <v>光華なる神域 アルフヘイム</v>
      </c>
      <c r="H404" s="8" t="str">
        <f>VLOOKUP(F404,[1]characters!$A:$J,10,FALSE)</f>
        <v>PremiumSS</v>
      </c>
      <c r="I404" s="8">
        <f>VLOOKUP(F404,[1]characters!$A:$I,9,FALSE)</f>
        <v>5</v>
      </c>
      <c r="J404" s="8" t="str">
        <f>VLOOKUP(F404,[1]characters!$A:$H,8,FALSE)</f>
        <v>yellow</v>
      </c>
      <c r="K404" s="8" t="str">
        <f>VLOOKUP(F404,[1]characters!$A:$K,11,FALSE)</f>
        <v>attack</v>
      </c>
      <c r="L404" s="8" t="str">
        <f>VLOOKUP(F404,[1]characters!$A:$M,13,FALSE)</f>
        <v>dragon</v>
      </c>
      <c r="M404" s="16">
        <f>VLOOKUP(D404,gacha_309_base!A:B,2,FALSE)</f>
        <v>51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customHeight="1">
      <c r="A405" s="7" t="str">
        <f t="shared" ref="A405:A415" si="37">B405&amp;F405</f>
        <v>3091596</v>
      </c>
      <c r="B405" s="2" t="str">
        <f t="shared" si="35"/>
        <v>3091</v>
      </c>
      <c r="C405" s="8" t="str">
        <f t="shared" ref="C405:C415" si="38">E405&amp;H405&amp;I405</f>
        <v>1PremiumS3</v>
      </c>
      <c r="D405" s="8" t="str">
        <f t="shared" si="36"/>
        <v>1PremiumS3</v>
      </c>
      <c r="E405" s="10">
        <v>1</v>
      </c>
      <c r="F405" s="6">
        <v>596</v>
      </c>
      <c r="G405" s="8" t="str">
        <f>VLOOKUP(F405,[1]characters!$A:$C,3,FALSE)</f>
        <v>ムスペルヘイム</v>
      </c>
      <c r="H405" s="8" t="str">
        <f>VLOOKUP(F405,[1]characters!$A:$J,10,FALSE)</f>
        <v>PremiumS</v>
      </c>
      <c r="I405" s="8">
        <f>VLOOKUP(F405,[1]characters!$A:$I,9,FALSE)</f>
        <v>3</v>
      </c>
      <c r="J405" s="8" t="str">
        <f>VLOOKUP(F405,[1]characters!$A:$H,8,FALSE)</f>
        <v>red</v>
      </c>
      <c r="K405" s="8" t="str">
        <f>VLOOKUP(F405,[1]characters!$A:$K,11,FALSE)</f>
        <v>balance</v>
      </c>
      <c r="L405" s="8" t="str">
        <f>VLOOKUP(F405,[1]characters!$A:$M,13,FALSE)</f>
        <v>human</v>
      </c>
      <c r="M405" s="16">
        <f>VLOOKUP(D405,gacha_309_base!A:B,2,FALSE)</f>
        <v>6888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customHeight="1">
      <c r="A406" s="7" t="str">
        <f t="shared" si="37"/>
        <v>3091597</v>
      </c>
      <c r="B406" s="2" t="str">
        <f t="shared" si="35"/>
        <v>3091</v>
      </c>
      <c r="C406" s="8" t="str">
        <f t="shared" si="38"/>
        <v>1PremiumS4</v>
      </c>
      <c r="D406" s="8" t="str">
        <f t="shared" si="36"/>
        <v>1PremiumS4</v>
      </c>
      <c r="E406" s="10">
        <v>1</v>
      </c>
      <c r="F406" s="6">
        <v>597</v>
      </c>
      <c r="G406" s="8" t="str">
        <f>VLOOKUP(F406,[1]characters!$A:$C,3,FALSE)</f>
        <v>灼熱の魂 ムスペルヘイム</v>
      </c>
      <c r="H406" s="8" t="str">
        <f>VLOOKUP(F406,[1]characters!$A:$J,10,FALSE)</f>
        <v>PremiumS</v>
      </c>
      <c r="I406" s="8">
        <f>VLOOKUP(F406,[1]characters!$A:$I,9,FALSE)</f>
        <v>4</v>
      </c>
      <c r="J406" s="8" t="str">
        <f>VLOOKUP(F406,[1]characters!$A:$H,8,FALSE)</f>
        <v>red</v>
      </c>
      <c r="K406" s="8" t="str">
        <f>VLOOKUP(F406,[1]characters!$A:$K,11,FALSE)</f>
        <v>balance</v>
      </c>
      <c r="L406" s="8" t="str">
        <f>VLOOKUP(F406,[1]characters!$A:$M,13,FALSE)</f>
        <v>human</v>
      </c>
      <c r="M406" s="16">
        <f>VLOOKUP(D406,gacha_309_base!A:B,2,FALSE)</f>
        <v>6043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customHeight="1">
      <c r="A407" s="7" t="str">
        <f t="shared" si="37"/>
        <v>3091598</v>
      </c>
      <c r="B407" s="2" t="str">
        <f t="shared" si="35"/>
        <v>3091</v>
      </c>
      <c r="C407" s="8" t="str">
        <f t="shared" si="38"/>
        <v>1PremiumS5</v>
      </c>
      <c r="D407" s="8" t="str">
        <f t="shared" si="36"/>
        <v>1PremiumS5</v>
      </c>
      <c r="E407" s="10">
        <v>1</v>
      </c>
      <c r="F407" s="6">
        <v>598</v>
      </c>
      <c r="G407" s="8" t="str">
        <f>VLOOKUP(F407,[1]characters!$A:$C,3,FALSE)</f>
        <v>焼燃の情熱 ムスペルヘイム</v>
      </c>
      <c r="H407" s="8" t="str">
        <f>VLOOKUP(F407,[1]characters!$A:$J,10,FALSE)</f>
        <v>PremiumS</v>
      </c>
      <c r="I407" s="8">
        <f>VLOOKUP(F407,[1]characters!$A:$I,9,FALSE)</f>
        <v>5</v>
      </c>
      <c r="J407" s="8" t="str">
        <f>VLOOKUP(F407,[1]characters!$A:$H,8,FALSE)</f>
        <v>red</v>
      </c>
      <c r="K407" s="8" t="str">
        <f>VLOOKUP(F407,[1]characters!$A:$K,11,FALSE)</f>
        <v>balance</v>
      </c>
      <c r="L407" s="8" t="str">
        <f>VLOOKUP(F407,[1]characters!$A:$M,13,FALSE)</f>
        <v>human</v>
      </c>
      <c r="M407" s="16">
        <f>VLOOKUP(D407,gacha_309_base!A:B,2,FALSE)</f>
        <v>844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customHeight="1">
      <c r="A408" s="7" t="str">
        <f t="shared" si="37"/>
        <v>3091599</v>
      </c>
      <c r="B408" s="2" t="str">
        <f t="shared" si="35"/>
        <v>3091</v>
      </c>
      <c r="C408" s="8" t="str">
        <f t="shared" si="38"/>
        <v>1PremiumS3</v>
      </c>
      <c r="D408" s="8" t="str">
        <f t="shared" si="36"/>
        <v>1PremiumS3</v>
      </c>
      <c r="E408" s="10">
        <v>1</v>
      </c>
      <c r="F408" s="6">
        <v>599</v>
      </c>
      <c r="G408" s="8" t="str">
        <f>VLOOKUP(F408,[1]characters!$A:$C,3,FALSE)</f>
        <v>ニーズヘッグ</v>
      </c>
      <c r="H408" s="8" t="str">
        <f>VLOOKUP(F408,[1]characters!$A:$J,10,FALSE)</f>
        <v>PremiumS</v>
      </c>
      <c r="I408" s="8">
        <f>VLOOKUP(F408,[1]characters!$A:$I,9,FALSE)</f>
        <v>3</v>
      </c>
      <c r="J408" s="8" t="str">
        <f>VLOOKUP(F408,[1]characters!$A:$H,8,FALSE)</f>
        <v>green</v>
      </c>
      <c r="K408" s="8" t="str">
        <f>VLOOKUP(F408,[1]characters!$A:$K,11,FALSE)</f>
        <v>attack</v>
      </c>
      <c r="L408" s="8" t="str">
        <f>VLOOKUP(F408,[1]characters!$A:$M,13,FALSE)</f>
        <v>dragon</v>
      </c>
      <c r="M408" s="16">
        <f>VLOOKUP(D408,gacha_309_base!A:B,2,FALSE)</f>
        <v>6888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customHeight="1">
      <c r="A409" s="7" t="str">
        <f t="shared" si="37"/>
        <v>3091600</v>
      </c>
      <c r="B409" s="2" t="str">
        <f t="shared" si="35"/>
        <v>3091</v>
      </c>
      <c r="C409" s="8" t="str">
        <f t="shared" si="38"/>
        <v>1PremiumS4</v>
      </c>
      <c r="D409" s="8" t="str">
        <f t="shared" si="36"/>
        <v>1PremiumS4</v>
      </c>
      <c r="E409" s="10">
        <v>1</v>
      </c>
      <c r="F409" s="6">
        <v>600</v>
      </c>
      <c r="G409" s="8" t="str">
        <f>VLOOKUP(F409,[1]characters!$A:$C,3,FALSE)</f>
        <v>界下に潜む蛇 ニーズヘッグ</v>
      </c>
      <c r="H409" s="8" t="str">
        <f>VLOOKUP(F409,[1]characters!$A:$J,10,FALSE)</f>
        <v>PremiumS</v>
      </c>
      <c r="I409" s="8">
        <f>VLOOKUP(F409,[1]characters!$A:$I,9,FALSE)</f>
        <v>4</v>
      </c>
      <c r="J409" s="8" t="str">
        <f>VLOOKUP(F409,[1]characters!$A:$H,8,FALSE)</f>
        <v>green</v>
      </c>
      <c r="K409" s="8" t="str">
        <f>VLOOKUP(F409,[1]characters!$A:$K,11,FALSE)</f>
        <v>attack</v>
      </c>
      <c r="L409" s="8" t="str">
        <f>VLOOKUP(F409,[1]characters!$A:$M,13,FALSE)</f>
        <v>dragon</v>
      </c>
      <c r="M409" s="16">
        <f>VLOOKUP(D409,gacha_309_base!A:B,2,FALSE)</f>
        <v>6043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customHeight="1">
      <c r="A410" s="7" t="str">
        <f t="shared" si="37"/>
        <v>3091601</v>
      </c>
      <c r="B410" s="2" t="str">
        <f t="shared" si="35"/>
        <v>3091</v>
      </c>
      <c r="C410" s="8" t="str">
        <f t="shared" si="38"/>
        <v>1PremiumS5</v>
      </c>
      <c r="D410" s="8" t="str">
        <f t="shared" si="36"/>
        <v>1PremiumS5</v>
      </c>
      <c r="E410" s="10">
        <v>1</v>
      </c>
      <c r="F410" s="6">
        <v>601</v>
      </c>
      <c r="G410" s="8" t="str">
        <f>VLOOKUP(F410,[1]characters!$A:$C,3,FALSE)</f>
        <v>界根蝕む悪食 ニーズヘッグ</v>
      </c>
      <c r="H410" s="8" t="str">
        <f>VLOOKUP(F410,[1]characters!$A:$J,10,FALSE)</f>
        <v>PremiumS</v>
      </c>
      <c r="I410" s="8">
        <f>VLOOKUP(F410,[1]characters!$A:$I,9,FALSE)</f>
        <v>5</v>
      </c>
      <c r="J410" s="8" t="str">
        <f>VLOOKUP(F410,[1]characters!$A:$H,8,FALSE)</f>
        <v>green</v>
      </c>
      <c r="K410" s="8" t="str">
        <f>VLOOKUP(F410,[1]characters!$A:$K,11,FALSE)</f>
        <v>attack</v>
      </c>
      <c r="L410" s="8" t="str">
        <f>VLOOKUP(F410,[1]characters!$A:$M,13,FALSE)</f>
        <v>dragon</v>
      </c>
      <c r="M410" s="16">
        <f>VLOOKUP(D410,gacha_309_base!A:B,2,FALSE)</f>
        <v>844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customHeight="1">
      <c r="A411" s="7" t="str">
        <f t="shared" si="37"/>
        <v>3091602</v>
      </c>
      <c r="B411" s="2" t="str">
        <f t="shared" si="35"/>
        <v>3091</v>
      </c>
      <c r="C411" s="8" t="str">
        <f t="shared" si="38"/>
        <v>1PremiumSS4</v>
      </c>
      <c r="D411" s="8" t="str">
        <f t="shared" si="36"/>
        <v>1PremiumSS4</v>
      </c>
      <c r="E411" s="10">
        <v>1</v>
      </c>
      <c r="F411" s="6">
        <v>602</v>
      </c>
      <c r="G411" s="8" t="str">
        <f>VLOOKUP(F411,[1]characters!$A:$C,3,FALSE)</f>
        <v>フレイヤ</v>
      </c>
      <c r="H411" s="8" t="str">
        <f>VLOOKUP(F411,[1]characters!$A:$J,10,FALSE)</f>
        <v>PremiumSS</v>
      </c>
      <c r="I411" s="8">
        <f>VLOOKUP(F411,[1]characters!$A:$I,9,FALSE)</f>
        <v>4</v>
      </c>
      <c r="J411" s="8" t="str">
        <f>VLOOKUP(F411,[1]characters!$A:$H,8,FALSE)</f>
        <v>blue</v>
      </c>
      <c r="K411" s="8" t="str">
        <f>VLOOKUP(F411,[1]characters!$A:$K,11,FALSE)</f>
        <v>heal</v>
      </c>
      <c r="L411" s="8" t="str">
        <f>VLOOKUP(F411,[1]characters!$A:$M,13,FALSE)</f>
        <v>animal</v>
      </c>
      <c r="M411" s="16">
        <f>VLOOKUP(D411,gacha_309_base!A:B,2,FALSE)</f>
        <v>782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ht="21" customHeight="1">
      <c r="A412" s="7" t="str">
        <f t="shared" si="37"/>
        <v>3091603</v>
      </c>
      <c r="B412" s="2" t="str">
        <f t="shared" si="35"/>
        <v>3091</v>
      </c>
      <c r="C412" s="8" t="str">
        <f t="shared" si="38"/>
        <v>1PremiumSS5</v>
      </c>
      <c r="D412" s="8" t="str">
        <f t="shared" si="36"/>
        <v>1PremiumSS5</v>
      </c>
      <c r="E412" s="10">
        <v>1</v>
      </c>
      <c r="F412" s="6">
        <v>603</v>
      </c>
      <c r="G412" s="8" t="str">
        <f>VLOOKUP(F412,[1]characters!$A:$C,3,FALSE)</f>
        <v>掌愛の豊穣女神 フレイヤ</v>
      </c>
      <c r="H412" s="8" t="str">
        <f>VLOOKUP(F412,[1]characters!$A:$J,10,FALSE)</f>
        <v>PremiumSS</v>
      </c>
      <c r="I412" s="8">
        <f>VLOOKUP(F412,[1]characters!$A:$I,9,FALSE)</f>
        <v>5</v>
      </c>
      <c r="J412" s="8" t="str">
        <f>VLOOKUP(F412,[1]characters!$A:$H,8,FALSE)</f>
        <v>blue</v>
      </c>
      <c r="K412" s="8" t="str">
        <f>VLOOKUP(F412,[1]characters!$A:$K,11,FALSE)</f>
        <v>heal</v>
      </c>
      <c r="L412" s="8" t="str">
        <f>VLOOKUP(F412,[1]characters!$A:$M,13,FALSE)</f>
        <v>animal</v>
      </c>
      <c r="M412" s="16">
        <f>VLOOKUP(D412,gacha_309_base!A:B,2,FALSE)</f>
        <v>51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customHeight="1">
      <c r="A413" s="7" t="str">
        <f t="shared" si="37"/>
        <v>3091604</v>
      </c>
      <c r="B413" s="2" t="str">
        <f t="shared" si="35"/>
        <v>3091</v>
      </c>
      <c r="C413" s="8" t="str">
        <f t="shared" si="38"/>
        <v>1PremiumS3</v>
      </c>
      <c r="D413" s="8" t="str">
        <f t="shared" si="36"/>
        <v>1PremiumS3</v>
      </c>
      <c r="E413" s="10">
        <v>1</v>
      </c>
      <c r="F413" s="6">
        <v>604</v>
      </c>
      <c r="G413" s="8" t="str">
        <f>VLOOKUP(F413,[1]characters!$A:$C,3,FALSE)</f>
        <v>バルドル</v>
      </c>
      <c r="H413" s="8" t="str">
        <f>VLOOKUP(F413,[1]characters!$A:$J,10,FALSE)</f>
        <v>PremiumS</v>
      </c>
      <c r="I413" s="8">
        <f>VLOOKUP(F413,[1]characters!$A:$I,9,FALSE)</f>
        <v>3</v>
      </c>
      <c r="J413" s="8" t="str">
        <f>VLOOKUP(F413,[1]characters!$A:$H,8,FALSE)</f>
        <v>yellow</v>
      </c>
      <c r="K413" s="8" t="str">
        <f>VLOOKUP(F413,[1]characters!$A:$K,11,FALSE)</f>
        <v>heal</v>
      </c>
      <c r="L413" s="8" t="str">
        <f>VLOOKUP(F413,[1]characters!$A:$M,13,FALSE)</f>
        <v>god</v>
      </c>
      <c r="M413" s="16">
        <f>VLOOKUP(D413,gacha_309_base!A:B,2,FALSE)</f>
        <v>6888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customHeight="1">
      <c r="A414" s="7" t="str">
        <f t="shared" si="37"/>
        <v>3091605</v>
      </c>
      <c r="B414" s="2" t="str">
        <f t="shared" si="35"/>
        <v>3091</v>
      </c>
      <c r="C414" s="8" t="str">
        <f t="shared" si="38"/>
        <v>1PremiumS4</v>
      </c>
      <c r="D414" s="8" t="str">
        <f t="shared" si="36"/>
        <v>1PremiumS4</v>
      </c>
      <c r="E414" s="10">
        <v>1</v>
      </c>
      <c r="F414" s="6">
        <v>605</v>
      </c>
      <c r="G414" s="8" t="str">
        <f>VLOOKUP(F414,[1]characters!$A:$C,3,FALSE)</f>
        <v>祝福される光耀 バルドル</v>
      </c>
      <c r="H414" s="8" t="str">
        <f>VLOOKUP(F414,[1]characters!$A:$J,10,FALSE)</f>
        <v>PremiumS</v>
      </c>
      <c r="I414" s="8">
        <f>VLOOKUP(F414,[1]characters!$A:$I,9,FALSE)</f>
        <v>4</v>
      </c>
      <c r="J414" s="8" t="str">
        <f>VLOOKUP(F414,[1]characters!$A:$H,8,FALSE)</f>
        <v>yellow</v>
      </c>
      <c r="K414" s="8" t="str">
        <f>VLOOKUP(F414,[1]characters!$A:$K,11,FALSE)</f>
        <v>heal</v>
      </c>
      <c r="L414" s="8" t="str">
        <f>VLOOKUP(F414,[1]characters!$A:$M,13,FALSE)</f>
        <v>god</v>
      </c>
      <c r="M414" s="16">
        <f>VLOOKUP(D414,gacha_309_base!A:B,2,FALSE)</f>
        <v>6043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customHeight="1">
      <c r="A415" s="7" t="str">
        <f t="shared" si="37"/>
        <v>3091606</v>
      </c>
      <c r="B415" s="2" t="str">
        <f t="shared" si="35"/>
        <v>3091</v>
      </c>
      <c r="C415" s="8" t="str">
        <f t="shared" si="38"/>
        <v>1PremiumS5</v>
      </c>
      <c r="D415" s="8" t="str">
        <f t="shared" si="36"/>
        <v>1PremiumS5</v>
      </c>
      <c r="E415" s="10">
        <v>1</v>
      </c>
      <c r="F415" s="6">
        <v>606</v>
      </c>
      <c r="G415" s="8" t="str">
        <f>VLOOKUP(F415,[1]characters!$A:$C,3,FALSE)</f>
        <v>冀望の光芒 バルドル</v>
      </c>
      <c r="H415" s="8" t="str">
        <f>VLOOKUP(F415,[1]characters!$A:$J,10,FALSE)</f>
        <v>PremiumS</v>
      </c>
      <c r="I415" s="8">
        <f>VLOOKUP(F415,[1]characters!$A:$I,9,FALSE)</f>
        <v>5</v>
      </c>
      <c r="J415" s="8" t="str">
        <f>VLOOKUP(F415,[1]characters!$A:$H,8,FALSE)</f>
        <v>yellow</v>
      </c>
      <c r="K415" s="8" t="str">
        <f>VLOOKUP(F415,[1]characters!$A:$K,11,FALSE)</f>
        <v>heal</v>
      </c>
      <c r="L415" s="8" t="str">
        <f>VLOOKUP(F415,[1]characters!$A:$M,13,FALSE)</f>
        <v>god</v>
      </c>
      <c r="M415" s="16">
        <f>VLOOKUP(D415,gacha_309_base!A:B,2,FALSE)</f>
        <v>844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customHeight="1">
      <c r="A416" s="7" t="str">
        <f t="shared" ref="A416:A435" si="39">B416&amp;F416</f>
        <v>3091658</v>
      </c>
      <c r="B416" s="2" t="str">
        <f t="shared" si="35"/>
        <v>3091</v>
      </c>
      <c r="C416" s="8" t="str">
        <f t="shared" ref="C416:C435" si="40">E416&amp;H416&amp;I416</f>
        <v>1PremiumSS4</v>
      </c>
      <c r="D416" s="8" t="str">
        <f>E416&amp;H416&amp;I416</f>
        <v>1PremiumSS4</v>
      </c>
      <c r="E416" s="10">
        <v>1</v>
      </c>
      <c r="F416" s="6">
        <v>658</v>
      </c>
      <c r="G416" s="8" t="str">
        <f>VLOOKUP(F416,[1]characters!$A:$C,3,FALSE)</f>
        <v>猫又 クルミ</v>
      </c>
      <c r="H416" s="8" t="str">
        <f>VLOOKUP(F416,[1]characters!$A:$J,10,FALSE)</f>
        <v>PremiumSS</v>
      </c>
      <c r="I416" s="8">
        <f>VLOOKUP(F416,[1]characters!$A:$I,9,FALSE)</f>
        <v>4</v>
      </c>
      <c r="J416" s="8" t="str">
        <f>VLOOKUP(F416,[1]characters!$A:$H,8,FALSE)</f>
        <v>red</v>
      </c>
      <c r="K416" s="8" t="str">
        <f>VLOOKUP(F416,[1]characters!$A:$K,11,FALSE)</f>
        <v>attack</v>
      </c>
      <c r="L416" s="8" t="str">
        <f>VLOOKUP(F416,[1]characters!$A:$M,13,FALSE)</f>
        <v>animal</v>
      </c>
      <c r="M416" s="16">
        <f>VLOOKUP(D416,gacha_309_base!A:B,2,FALSE)</f>
        <v>782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ht="21" customHeight="1">
      <c r="A417" s="7" t="str">
        <f t="shared" si="39"/>
        <v>3091659</v>
      </c>
      <c r="B417" s="2" t="str">
        <f t="shared" si="35"/>
        <v>3091</v>
      </c>
      <c r="C417" s="8" t="str">
        <f t="shared" si="40"/>
        <v>1PremiumSS5</v>
      </c>
      <c r="D417" s="8" t="str">
        <f t="shared" ref="D417:D425" si="41">E417&amp;H417&amp;I417</f>
        <v>1PremiumSS5</v>
      </c>
      <c r="E417" s="10">
        <v>1</v>
      </c>
      <c r="F417" s="6">
        <v>659</v>
      </c>
      <c r="G417" s="8" t="str">
        <f>VLOOKUP(F417,[1]characters!$A:$C,3,FALSE)</f>
        <v>跳梁する化猫 クルミ</v>
      </c>
      <c r="H417" s="8" t="str">
        <f>VLOOKUP(F417,[1]characters!$A:$J,10,FALSE)</f>
        <v>PremiumSS</v>
      </c>
      <c r="I417" s="8">
        <f>VLOOKUP(F417,[1]characters!$A:$I,9,FALSE)</f>
        <v>5</v>
      </c>
      <c r="J417" s="8" t="str">
        <f>VLOOKUP(F417,[1]characters!$A:$H,8,FALSE)</f>
        <v>red</v>
      </c>
      <c r="K417" s="8" t="str">
        <f>VLOOKUP(F417,[1]characters!$A:$K,11,FALSE)</f>
        <v>attack</v>
      </c>
      <c r="L417" s="8" t="str">
        <f>VLOOKUP(F417,[1]characters!$A:$M,13,FALSE)</f>
        <v>animal</v>
      </c>
      <c r="M417" s="16">
        <f>VLOOKUP(D417,gacha_309_base!A:B,2,FALSE)</f>
        <v>51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  <row r="418" spans="1:19" ht="21" customHeight="1">
      <c r="A418" s="7" t="str">
        <f t="shared" si="39"/>
        <v>3091660</v>
      </c>
      <c r="B418" s="2" t="str">
        <f t="shared" si="35"/>
        <v>3091</v>
      </c>
      <c r="C418" s="8" t="str">
        <f t="shared" si="40"/>
        <v>1PremiumSS4</v>
      </c>
      <c r="D418" s="8" t="str">
        <f t="shared" si="41"/>
        <v>1PremiumSS4</v>
      </c>
      <c r="E418" s="10">
        <v>1</v>
      </c>
      <c r="F418" s="6">
        <v>660</v>
      </c>
      <c r="G418" s="8" t="str">
        <f>VLOOKUP(F418,[1]characters!$A:$C,3,FALSE)</f>
        <v>烏天狗 フウガ</v>
      </c>
      <c r="H418" s="8" t="str">
        <f>VLOOKUP(F418,[1]characters!$A:$J,10,FALSE)</f>
        <v>PremiumSS</v>
      </c>
      <c r="I418" s="8">
        <f>VLOOKUP(F418,[1]characters!$A:$I,9,FALSE)</f>
        <v>4</v>
      </c>
      <c r="J418" s="8" t="str">
        <f>VLOOKUP(F418,[1]characters!$A:$H,8,FALSE)</f>
        <v>green</v>
      </c>
      <c r="K418" s="8" t="str">
        <f>VLOOKUP(F418,[1]characters!$A:$K,11,FALSE)</f>
        <v>balance</v>
      </c>
      <c r="L418" s="8" t="str">
        <f>VLOOKUP(F418,[1]characters!$A:$M,13,FALSE)</f>
        <v>animal</v>
      </c>
      <c r="M418" s="16">
        <f>VLOOKUP(D418,gacha_309_base!A:B,2,FALSE)</f>
        <v>782</v>
      </c>
      <c r="N418" s="38">
        <f>IFERROR(VLOOKUP($F418,bug_conf_sheet!$A:$H,3,FALSE),VLOOKUP("other",bug_conf_sheet!$A:$H,3,FALSE))</f>
        <v>1</v>
      </c>
      <c r="O418" s="38">
        <f>IFERROR(VLOOKUP($F418,bug_conf_sheet!$A:$H,4,FALSE),VLOOKUP("other",bug_conf_sheet!$A:$H,4,FALSE))</f>
        <v>0</v>
      </c>
      <c r="P418" s="38">
        <f>IFERROR(VLOOKUP($F418,bug_conf_sheet!$A:$H,5,FALSE),VLOOKUP("other",bug_conf_sheet!$A:$H,5,FALSE))</f>
        <v>0</v>
      </c>
      <c r="Q418" s="38">
        <f>IFERROR(VLOOKUP($F418,bug_conf_sheet!$A:$H,6,FALSE),VLOOKUP("other",bug_conf_sheet!$A:$H,6,FALSE))</f>
        <v>0</v>
      </c>
      <c r="R418" s="38">
        <f>IFERROR(VLOOKUP($F418,bug_conf_sheet!$A:$H,7,FALSE),VLOOKUP("other",bug_conf_sheet!$A:$H,7,FALSE))</f>
        <v>0</v>
      </c>
      <c r="S418" s="38">
        <f>IFERROR(VLOOKUP($F418,bug_conf_sheet!$A:$H,8,FALSE),VLOOKUP("other",bug_conf_sheet!$A:$H,8,FALSE))</f>
        <v>1</v>
      </c>
    </row>
    <row r="419" spans="1:19" ht="21" customHeight="1">
      <c r="A419" s="7" t="str">
        <f t="shared" si="39"/>
        <v>3091661</v>
      </c>
      <c r="B419" s="2" t="str">
        <f t="shared" si="35"/>
        <v>3091</v>
      </c>
      <c r="C419" s="8" t="str">
        <f t="shared" si="40"/>
        <v>1PremiumSS5</v>
      </c>
      <c r="D419" s="8" t="str">
        <f t="shared" si="41"/>
        <v>1PremiumSS5</v>
      </c>
      <c r="E419" s="10">
        <v>1</v>
      </c>
      <c r="F419" s="6">
        <v>661</v>
      </c>
      <c r="G419" s="8" t="str">
        <f>VLOOKUP(F419,[1]characters!$A:$C,3,FALSE)</f>
        <v>疾風の天狗礫 フウガ</v>
      </c>
      <c r="H419" s="8" t="str">
        <f>VLOOKUP(F419,[1]characters!$A:$J,10,FALSE)</f>
        <v>PremiumSS</v>
      </c>
      <c r="I419" s="8">
        <f>VLOOKUP(F419,[1]characters!$A:$I,9,FALSE)</f>
        <v>5</v>
      </c>
      <c r="J419" s="8" t="str">
        <f>VLOOKUP(F419,[1]characters!$A:$H,8,FALSE)</f>
        <v>green</v>
      </c>
      <c r="K419" s="8" t="str">
        <f>VLOOKUP(F419,[1]characters!$A:$K,11,FALSE)</f>
        <v>balance</v>
      </c>
      <c r="L419" s="8" t="str">
        <f>VLOOKUP(F419,[1]characters!$A:$M,13,FALSE)</f>
        <v>animal</v>
      </c>
      <c r="M419" s="16">
        <f>VLOOKUP(D419,gacha_309_base!A:B,2,FALSE)</f>
        <v>51</v>
      </c>
      <c r="N419" s="38">
        <f>IFERROR(VLOOKUP($F419,bug_conf_sheet!$A:$H,3,FALSE),VLOOKUP("other",bug_conf_sheet!$A:$H,3,FALSE))</f>
        <v>1</v>
      </c>
      <c r="O419" s="38">
        <f>IFERROR(VLOOKUP($F419,bug_conf_sheet!$A:$H,4,FALSE),VLOOKUP("other",bug_conf_sheet!$A:$H,4,FALSE))</f>
        <v>0</v>
      </c>
      <c r="P419" s="38">
        <f>IFERROR(VLOOKUP($F419,bug_conf_sheet!$A:$H,5,FALSE),VLOOKUP("other",bug_conf_sheet!$A:$H,5,FALSE))</f>
        <v>0</v>
      </c>
      <c r="Q419" s="38">
        <f>IFERROR(VLOOKUP($F419,bug_conf_sheet!$A:$H,6,FALSE),VLOOKUP("other",bug_conf_sheet!$A:$H,6,FALSE))</f>
        <v>0</v>
      </c>
      <c r="R419" s="38">
        <f>IFERROR(VLOOKUP($F419,bug_conf_sheet!$A:$H,7,FALSE),VLOOKUP("other",bug_conf_sheet!$A:$H,7,FALSE))</f>
        <v>0</v>
      </c>
      <c r="S419" s="38">
        <f>IFERROR(VLOOKUP($F419,bug_conf_sheet!$A:$H,8,FALSE),VLOOKUP("other",bug_conf_sheet!$A:$H,8,FALSE))</f>
        <v>1</v>
      </c>
    </row>
    <row r="420" spans="1:19" ht="21" customHeight="1">
      <c r="A420" s="7" t="str">
        <f t="shared" si="39"/>
        <v>3091662</v>
      </c>
      <c r="B420" s="2" t="str">
        <f t="shared" si="35"/>
        <v>3091</v>
      </c>
      <c r="C420" s="8" t="str">
        <f t="shared" si="40"/>
        <v>1PremiumS3</v>
      </c>
      <c r="D420" s="8" t="str">
        <f t="shared" si="41"/>
        <v>1PremiumS3</v>
      </c>
      <c r="E420" s="10">
        <v>1</v>
      </c>
      <c r="F420" s="6">
        <v>662</v>
      </c>
      <c r="G420" s="8" t="str">
        <f>VLOOKUP(F420,[1]characters!$A:$C,3,FALSE)</f>
        <v>ダイダラ</v>
      </c>
      <c r="H420" s="8" t="str">
        <f>VLOOKUP(F420,[1]characters!$A:$J,10,FALSE)</f>
        <v>PremiumS</v>
      </c>
      <c r="I420" s="8">
        <f>VLOOKUP(F420,[1]characters!$A:$I,9,FALSE)</f>
        <v>3</v>
      </c>
      <c r="J420" s="8" t="str">
        <f>VLOOKUP(F420,[1]characters!$A:$H,8,FALSE)</f>
        <v>blue</v>
      </c>
      <c r="K420" s="8" t="str">
        <f>VLOOKUP(F420,[1]characters!$A:$K,11,FALSE)</f>
        <v>hp</v>
      </c>
      <c r="L420" s="8" t="str">
        <f>VLOOKUP(F420,[1]characters!$A:$M,13,FALSE)</f>
        <v>unknown</v>
      </c>
      <c r="M420" s="16">
        <f>VLOOKUP(D420,gacha_309_base!A:B,2,FALSE)</f>
        <v>6888</v>
      </c>
      <c r="N420" s="38">
        <f>IFERROR(VLOOKUP($F420,bug_conf_sheet!$A:$H,3,FALSE),VLOOKUP("other",bug_conf_sheet!$A:$H,3,FALSE))</f>
        <v>1</v>
      </c>
      <c r="O420" s="38">
        <f>IFERROR(VLOOKUP($F420,bug_conf_sheet!$A:$H,4,FALSE),VLOOKUP("other",bug_conf_sheet!$A:$H,4,FALSE))</f>
        <v>0</v>
      </c>
      <c r="P420" s="38">
        <f>IFERROR(VLOOKUP($F420,bug_conf_sheet!$A:$H,5,FALSE),VLOOKUP("other",bug_conf_sheet!$A:$H,5,FALSE))</f>
        <v>0</v>
      </c>
      <c r="Q420" s="38">
        <f>IFERROR(VLOOKUP($F420,bug_conf_sheet!$A:$H,6,FALSE),VLOOKUP("other",bug_conf_sheet!$A:$H,6,FALSE))</f>
        <v>0</v>
      </c>
      <c r="R420" s="38">
        <f>IFERROR(VLOOKUP($F420,bug_conf_sheet!$A:$H,7,FALSE),VLOOKUP("other",bug_conf_sheet!$A:$H,7,FALSE))</f>
        <v>0</v>
      </c>
      <c r="S420" s="38">
        <f>IFERROR(VLOOKUP($F420,bug_conf_sheet!$A:$H,8,FALSE),VLOOKUP("other",bug_conf_sheet!$A:$H,8,FALSE))</f>
        <v>1</v>
      </c>
    </row>
    <row r="421" spans="1:19" ht="21" customHeight="1">
      <c r="A421" s="7" t="str">
        <f t="shared" si="39"/>
        <v>3091663</v>
      </c>
      <c r="B421" s="2" t="str">
        <f t="shared" si="35"/>
        <v>3091</v>
      </c>
      <c r="C421" s="8" t="str">
        <f t="shared" si="40"/>
        <v>1PremiumS4</v>
      </c>
      <c r="D421" s="8" t="str">
        <f t="shared" si="41"/>
        <v>1PremiumS4</v>
      </c>
      <c r="E421" s="10">
        <v>1</v>
      </c>
      <c r="F421" s="6">
        <v>663</v>
      </c>
      <c r="G421" s="8" t="str">
        <f>VLOOKUP(F421,[1]characters!$A:$C,3,FALSE)</f>
        <v>都揺らす地響き ダイダラ</v>
      </c>
      <c r="H421" s="8" t="str">
        <f>VLOOKUP(F421,[1]characters!$A:$J,10,FALSE)</f>
        <v>PremiumS</v>
      </c>
      <c r="I421" s="8">
        <f>VLOOKUP(F421,[1]characters!$A:$I,9,FALSE)</f>
        <v>4</v>
      </c>
      <c r="J421" s="8" t="str">
        <f>VLOOKUP(F421,[1]characters!$A:$H,8,FALSE)</f>
        <v>blue</v>
      </c>
      <c r="K421" s="8" t="str">
        <f>VLOOKUP(F421,[1]characters!$A:$K,11,FALSE)</f>
        <v>hp</v>
      </c>
      <c r="L421" s="8" t="str">
        <f>VLOOKUP(F421,[1]characters!$A:$M,13,FALSE)</f>
        <v>unknown</v>
      </c>
      <c r="M421" s="16">
        <f>VLOOKUP(D421,gacha_309_base!A:B,2,FALSE)</f>
        <v>6043</v>
      </c>
      <c r="N421" s="38">
        <f>IFERROR(VLOOKUP($F421,bug_conf_sheet!$A:$H,3,FALSE),VLOOKUP("other",bug_conf_sheet!$A:$H,3,FALSE))</f>
        <v>1</v>
      </c>
      <c r="O421" s="38">
        <f>IFERROR(VLOOKUP($F421,bug_conf_sheet!$A:$H,4,FALSE),VLOOKUP("other",bug_conf_sheet!$A:$H,4,FALSE))</f>
        <v>0</v>
      </c>
      <c r="P421" s="38">
        <f>IFERROR(VLOOKUP($F421,bug_conf_sheet!$A:$H,5,FALSE),VLOOKUP("other",bug_conf_sheet!$A:$H,5,FALSE))</f>
        <v>0</v>
      </c>
      <c r="Q421" s="38">
        <f>IFERROR(VLOOKUP($F421,bug_conf_sheet!$A:$H,6,FALSE),VLOOKUP("other",bug_conf_sheet!$A:$H,6,FALSE))</f>
        <v>0</v>
      </c>
      <c r="R421" s="38">
        <f>IFERROR(VLOOKUP($F421,bug_conf_sheet!$A:$H,7,FALSE),VLOOKUP("other",bug_conf_sheet!$A:$H,7,FALSE))</f>
        <v>0</v>
      </c>
      <c r="S421" s="38">
        <f>IFERROR(VLOOKUP($F421,bug_conf_sheet!$A:$H,8,FALSE),VLOOKUP("other",bug_conf_sheet!$A:$H,8,FALSE))</f>
        <v>1</v>
      </c>
    </row>
    <row r="422" spans="1:19" ht="21" customHeight="1">
      <c r="A422" s="7" t="str">
        <f t="shared" si="39"/>
        <v>3091664</v>
      </c>
      <c r="B422" s="2" t="str">
        <f t="shared" si="35"/>
        <v>3091</v>
      </c>
      <c r="C422" s="8" t="str">
        <f t="shared" si="40"/>
        <v>1PremiumS5</v>
      </c>
      <c r="D422" s="8" t="str">
        <f t="shared" si="41"/>
        <v>1PremiumS5</v>
      </c>
      <c r="E422" s="10">
        <v>1</v>
      </c>
      <c r="F422" s="6">
        <v>664</v>
      </c>
      <c r="G422" s="8" t="str">
        <f>VLOOKUP(F422,[1]characters!$A:$C,3,FALSE)</f>
        <v>山掴み国造り ダイダラ</v>
      </c>
      <c r="H422" s="8" t="str">
        <f>VLOOKUP(F422,[1]characters!$A:$J,10,FALSE)</f>
        <v>PremiumS</v>
      </c>
      <c r="I422" s="8">
        <f>VLOOKUP(F422,[1]characters!$A:$I,9,FALSE)</f>
        <v>5</v>
      </c>
      <c r="J422" s="8" t="str">
        <f>VLOOKUP(F422,[1]characters!$A:$H,8,FALSE)</f>
        <v>blue</v>
      </c>
      <c r="K422" s="8" t="str">
        <f>VLOOKUP(F422,[1]characters!$A:$K,11,FALSE)</f>
        <v>hp</v>
      </c>
      <c r="L422" s="8" t="str">
        <f>VLOOKUP(F422,[1]characters!$A:$M,13,FALSE)</f>
        <v>unknown</v>
      </c>
      <c r="M422" s="16">
        <f>VLOOKUP(D422,gacha_309_base!A:B,2,FALSE)</f>
        <v>844</v>
      </c>
      <c r="N422" s="38">
        <f>IFERROR(VLOOKUP($F422,bug_conf_sheet!$A:$H,3,FALSE),VLOOKUP("other",bug_conf_sheet!$A:$H,3,FALSE))</f>
        <v>1</v>
      </c>
      <c r="O422" s="38">
        <f>IFERROR(VLOOKUP($F422,bug_conf_sheet!$A:$H,4,FALSE),VLOOKUP("other",bug_conf_sheet!$A:$H,4,FALSE))</f>
        <v>0</v>
      </c>
      <c r="P422" s="38">
        <f>IFERROR(VLOOKUP($F422,bug_conf_sheet!$A:$H,5,FALSE),VLOOKUP("other",bug_conf_sheet!$A:$H,5,FALSE))</f>
        <v>0</v>
      </c>
      <c r="Q422" s="38">
        <f>IFERROR(VLOOKUP($F422,bug_conf_sheet!$A:$H,6,FALSE),VLOOKUP("other",bug_conf_sheet!$A:$H,6,FALSE))</f>
        <v>0</v>
      </c>
      <c r="R422" s="38">
        <f>IFERROR(VLOOKUP($F422,bug_conf_sheet!$A:$H,7,FALSE),VLOOKUP("other",bug_conf_sheet!$A:$H,7,FALSE))</f>
        <v>0</v>
      </c>
      <c r="S422" s="38">
        <f>IFERROR(VLOOKUP($F422,bug_conf_sheet!$A:$H,8,FALSE),VLOOKUP("other",bug_conf_sheet!$A:$H,8,FALSE))</f>
        <v>1</v>
      </c>
    </row>
    <row r="423" spans="1:19" ht="21" customHeight="1">
      <c r="A423" s="7" t="str">
        <f t="shared" si="39"/>
        <v>3091665</v>
      </c>
      <c r="B423" s="2" t="str">
        <f t="shared" si="35"/>
        <v>3091</v>
      </c>
      <c r="C423" s="8" t="str">
        <f t="shared" si="40"/>
        <v>1PremiumS3</v>
      </c>
      <c r="D423" s="8" t="str">
        <f t="shared" si="41"/>
        <v>1PremiumS3</v>
      </c>
      <c r="E423" s="10">
        <v>1</v>
      </c>
      <c r="F423" s="6">
        <v>665</v>
      </c>
      <c r="G423" s="8" t="str">
        <f>VLOOKUP(F423,[1]characters!$A:$C,3,FALSE)</f>
        <v>座敷童子 テマリ</v>
      </c>
      <c r="H423" s="8" t="str">
        <f>VLOOKUP(F423,[1]characters!$A:$J,10,FALSE)</f>
        <v>PremiumS</v>
      </c>
      <c r="I423" s="8">
        <f>VLOOKUP(F423,[1]characters!$A:$I,9,FALSE)</f>
        <v>3</v>
      </c>
      <c r="J423" s="8" t="str">
        <f>VLOOKUP(F423,[1]characters!$A:$H,8,FALSE)</f>
        <v>yellow</v>
      </c>
      <c r="K423" s="8" t="str">
        <f>VLOOKUP(F423,[1]characters!$A:$K,11,FALSE)</f>
        <v>balance</v>
      </c>
      <c r="L423" s="8" t="str">
        <f>VLOOKUP(F423,[1]characters!$A:$M,13,FALSE)</f>
        <v>unknown</v>
      </c>
      <c r="M423" s="16">
        <f>VLOOKUP(D423,gacha_309_base!A:B,2,FALSE)</f>
        <v>6888</v>
      </c>
      <c r="N423" s="38">
        <f>IFERROR(VLOOKUP($F423,bug_conf_sheet!$A:$H,3,FALSE),VLOOKUP("other",bug_conf_sheet!$A:$H,3,FALSE))</f>
        <v>1</v>
      </c>
      <c r="O423" s="38">
        <f>IFERROR(VLOOKUP($F423,bug_conf_sheet!$A:$H,4,FALSE),VLOOKUP("other",bug_conf_sheet!$A:$H,4,FALSE))</f>
        <v>0</v>
      </c>
      <c r="P423" s="38">
        <f>IFERROR(VLOOKUP($F423,bug_conf_sheet!$A:$H,5,FALSE),VLOOKUP("other",bug_conf_sheet!$A:$H,5,FALSE))</f>
        <v>0</v>
      </c>
      <c r="Q423" s="38">
        <f>IFERROR(VLOOKUP($F423,bug_conf_sheet!$A:$H,6,FALSE),VLOOKUP("other",bug_conf_sheet!$A:$H,6,FALSE))</f>
        <v>0</v>
      </c>
      <c r="R423" s="38">
        <f>IFERROR(VLOOKUP($F423,bug_conf_sheet!$A:$H,7,FALSE),VLOOKUP("other",bug_conf_sheet!$A:$H,7,FALSE))</f>
        <v>0</v>
      </c>
      <c r="S423" s="38">
        <f>IFERROR(VLOOKUP($F423,bug_conf_sheet!$A:$H,8,FALSE),VLOOKUP("other",bug_conf_sheet!$A:$H,8,FALSE))</f>
        <v>1</v>
      </c>
    </row>
    <row r="424" spans="1:19" ht="21" customHeight="1">
      <c r="A424" s="7" t="str">
        <f t="shared" si="39"/>
        <v>3091666</v>
      </c>
      <c r="B424" s="2" t="str">
        <f t="shared" si="35"/>
        <v>3091</v>
      </c>
      <c r="C424" s="8" t="str">
        <f t="shared" si="40"/>
        <v>1PremiumS4</v>
      </c>
      <c r="D424" s="8" t="str">
        <f t="shared" si="41"/>
        <v>1PremiumS4</v>
      </c>
      <c r="E424" s="10">
        <v>1</v>
      </c>
      <c r="F424" s="6">
        <v>666</v>
      </c>
      <c r="G424" s="8" t="str">
        <f>VLOOKUP(F424,[1]characters!$A:$C,3,FALSE)</f>
        <v>拡散する幸福 テマリ</v>
      </c>
      <c r="H424" s="8" t="str">
        <f>VLOOKUP(F424,[1]characters!$A:$J,10,FALSE)</f>
        <v>PremiumS</v>
      </c>
      <c r="I424" s="8">
        <f>VLOOKUP(F424,[1]characters!$A:$I,9,FALSE)</f>
        <v>4</v>
      </c>
      <c r="J424" s="8" t="str">
        <f>VLOOKUP(F424,[1]characters!$A:$H,8,FALSE)</f>
        <v>yellow</v>
      </c>
      <c r="K424" s="8" t="str">
        <f>VLOOKUP(F424,[1]characters!$A:$K,11,FALSE)</f>
        <v>balance</v>
      </c>
      <c r="L424" s="8" t="str">
        <f>VLOOKUP(F424,[1]characters!$A:$M,13,FALSE)</f>
        <v>unknown</v>
      </c>
      <c r="M424" s="16">
        <f>VLOOKUP(D424,gacha_309_base!A:B,2,FALSE)</f>
        <v>6043</v>
      </c>
      <c r="N424" s="38">
        <f>IFERROR(VLOOKUP($F424,bug_conf_sheet!$A:$H,3,FALSE),VLOOKUP("other",bug_conf_sheet!$A:$H,3,FALSE))</f>
        <v>1</v>
      </c>
      <c r="O424" s="38">
        <f>IFERROR(VLOOKUP($F424,bug_conf_sheet!$A:$H,4,FALSE),VLOOKUP("other",bug_conf_sheet!$A:$H,4,FALSE))</f>
        <v>0</v>
      </c>
      <c r="P424" s="38">
        <f>IFERROR(VLOOKUP($F424,bug_conf_sheet!$A:$H,5,FALSE),VLOOKUP("other",bug_conf_sheet!$A:$H,5,FALSE))</f>
        <v>0</v>
      </c>
      <c r="Q424" s="38">
        <f>IFERROR(VLOOKUP($F424,bug_conf_sheet!$A:$H,6,FALSE),VLOOKUP("other",bug_conf_sheet!$A:$H,6,FALSE))</f>
        <v>0</v>
      </c>
      <c r="R424" s="38">
        <f>IFERROR(VLOOKUP($F424,bug_conf_sheet!$A:$H,7,FALSE),VLOOKUP("other",bug_conf_sheet!$A:$H,7,FALSE))</f>
        <v>0</v>
      </c>
      <c r="S424" s="38">
        <f>IFERROR(VLOOKUP($F424,bug_conf_sheet!$A:$H,8,FALSE),VLOOKUP("other",bug_conf_sheet!$A:$H,8,FALSE))</f>
        <v>1</v>
      </c>
    </row>
    <row r="425" spans="1:19" ht="21" customHeight="1">
      <c r="A425" s="7" t="str">
        <f t="shared" si="39"/>
        <v>3091667</v>
      </c>
      <c r="B425" s="2" t="str">
        <f t="shared" si="35"/>
        <v>3091</v>
      </c>
      <c r="C425" s="8" t="str">
        <f t="shared" si="40"/>
        <v>1PremiumS5</v>
      </c>
      <c r="D425" s="8" t="str">
        <f t="shared" si="41"/>
        <v>1PremiumS5</v>
      </c>
      <c r="E425" s="10">
        <v>1</v>
      </c>
      <c r="F425" s="6">
        <v>667</v>
      </c>
      <c r="G425" s="8" t="str">
        <f>VLOOKUP(F425,[1]characters!$A:$C,3,FALSE)</f>
        <v>最幸運の妖童 テマリ</v>
      </c>
      <c r="H425" s="8" t="str">
        <f>VLOOKUP(F425,[1]characters!$A:$J,10,FALSE)</f>
        <v>PremiumS</v>
      </c>
      <c r="I425" s="8">
        <f>VLOOKUP(F425,[1]characters!$A:$I,9,FALSE)</f>
        <v>5</v>
      </c>
      <c r="J425" s="8" t="str">
        <f>VLOOKUP(F425,[1]characters!$A:$H,8,FALSE)</f>
        <v>yellow</v>
      </c>
      <c r="K425" s="8" t="str">
        <f>VLOOKUP(F425,[1]characters!$A:$K,11,FALSE)</f>
        <v>balance</v>
      </c>
      <c r="L425" s="8" t="str">
        <f>VLOOKUP(F425,[1]characters!$A:$M,13,FALSE)</f>
        <v>unknown</v>
      </c>
      <c r="M425" s="16">
        <f>VLOOKUP(D425,gacha_309_base!A:B,2,FALSE)</f>
        <v>844</v>
      </c>
      <c r="N425" s="38">
        <f>IFERROR(VLOOKUP($F425,bug_conf_sheet!$A:$H,3,FALSE),VLOOKUP("other",bug_conf_sheet!$A:$H,3,FALSE))</f>
        <v>1</v>
      </c>
      <c r="O425" s="38">
        <f>IFERROR(VLOOKUP($F425,bug_conf_sheet!$A:$H,4,FALSE),VLOOKUP("other",bug_conf_sheet!$A:$H,4,FALSE))</f>
        <v>0</v>
      </c>
      <c r="P425" s="38">
        <f>IFERROR(VLOOKUP($F425,bug_conf_sheet!$A:$H,5,FALSE),VLOOKUP("other",bug_conf_sheet!$A:$H,5,FALSE))</f>
        <v>0</v>
      </c>
      <c r="Q425" s="38">
        <f>IFERROR(VLOOKUP($F425,bug_conf_sheet!$A:$H,6,FALSE),VLOOKUP("other",bug_conf_sheet!$A:$H,6,FALSE))</f>
        <v>0</v>
      </c>
      <c r="R425" s="38">
        <f>IFERROR(VLOOKUP($F425,bug_conf_sheet!$A:$H,7,FALSE),VLOOKUP("other",bug_conf_sheet!$A:$H,7,FALSE))</f>
        <v>0</v>
      </c>
      <c r="S425" s="38">
        <f>IFERROR(VLOOKUP($F425,bug_conf_sheet!$A:$H,8,FALSE),VLOOKUP("other",bug_conf_sheet!$A:$H,8,FALSE))</f>
        <v>1</v>
      </c>
    </row>
    <row r="426" spans="1:19" ht="21" customHeight="1">
      <c r="A426" s="7" t="str">
        <f t="shared" ref="A426" si="42">B426&amp;F426</f>
        <v>3091668</v>
      </c>
      <c r="B426" s="2" t="str">
        <f t="shared" ref="B426" si="43">309&amp;E426</f>
        <v>3091</v>
      </c>
      <c r="C426" s="8" t="str">
        <f t="shared" ref="C426" si="44">E426&amp;H426&amp;I426</f>
        <v>1PremiumS3</v>
      </c>
      <c r="D426" s="8" t="str">
        <f>E426&amp;H426&amp;I426&amp;"new"</f>
        <v>1PremiumS3new</v>
      </c>
      <c r="E426" s="10">
        <v>1</v>
      </c>
      <c r="F426" s="6">
        <v>668</v>
      </c>
      <c r="G426" s="8" t="str">
        <f>VLOOKUP(F426,[1]characters!$A:$C,3,FALSE)</f>
        <v>アグニ</v>
      </c>
      <c r="H426" s="8" t="str">
        <f>VLOOKUP(F426,[1]characters!$A:$J,10,FALSE)</f>
        <v>PremiumS</v>
      </c>
      <c r="I426" s="8">
        <f>VLOOKUP(F426,[1]characters!$A:$I,9,FALSE)</f>
        <v>3</v>
      </c>
      <c r="J426" s="8" t="str">
        <f>VLOOKUP(F426,[1]characters!$A:$H,8,FALSE)</f>
        <v>red</v>
      </c>
      <c r="K426" s="8" t="str">
        <f>VLOOKUP(F426,[1]characters!$A:$K,11,FALSE)</f>
        <v>hp</v>
      </c>
      <c r="L426" s="8" t="str">
        <f>VLOOKUP(F426,[1]characters!$A:$M,13,FALSE)</f>
        <v>god</v>
      </c>
      <c r="M426" s="16">
        <f>VLOOKUP(D426,gacha_309_base!A:B,2,FALSE)</f>
        <v>15000</v>
      </c>
      <c r="N426" s="38">
        <f>IFERROR(VLOOKUP($F426,bug_conf_sheet!$A:$H,3,FALSE),VLOOKUP("other",bug_conf_sheet!$A:$H,3,FALSE))</f>
        <v>1</v>
      </c>
      <c r="O426" s="38">
        <f>IFERROR(VLOOKUP($F426,bug_conf_sheet!$A:$H,4,FALSE),VLOOKUP("other",bug_conf_sheet!$A:$H,4,FALSE))</f>
        <v>0</v>
      </c>
      <c r="P426" s="38">
        <f>IFERROR(VLOOKUP($F426,bug_conf_sheet!$A:$H,5,FALSE),VLOOKUP("other",bug_conf_sheet!$A:$H,5,FALSE))</f>
        <v>0</v>
      </c>
      <c r="Q426" s="38">
        <f>IFERROR(VLOOKUP($F426,bug_conf_sheet!$A:$H,6,FALSE),VLOOKUP("other",bug_conf_sheet!$A:$H,6,FALSE))</f>
        <v>0</v>
      </c>
      <c r="R426" s="38">
        <f>IFERROR(VLOOKUP($F426,bug_conf_sheet!$A:$H,7,FALSE),VLOOKUP("other",bug_conf_sheet!$A:$H,7,FALSE))</f>
        <v>0</v>
      </c>
      <c r="S426" s="38">
        <f>IFERROR(VLOOKUP($F426,bug_conf_sheet!$A:$H,8,FALSE),VLOOKUP("other",bug_conf_sheet!$A:$H,8,FALSE))</f>
        <v>1</v>
      </c>
    </row>
    <row r="427" spans="1:19" ht="21" customHeight="1">
      <c r="A427" s="7" t="str">
        <f t="shared" si="39"/>
        <v>3091669</v>
      </c>
      <c r="B427" s="2" t="str">
        <f t="shared" si="35"/>
        <v>3091</v>
      </c>
      <c r="C427" s="8" t="str">
        <f t="shared" si="40"/>
        <v>1PremiumS4</v>
      </c>
      <c r="D427" s="8" t="str">
        <f>E427&amp;H427&amp;I427&amp;"new"</f>
        <v>1PremiumS4new</v>
      </c>
      <c r="E427" s="10">
        <v>1</v>
      </c>
      <c r="F427" s="6">
        <v>669</v>
      </c>
      <c r="G427" s="8" t="str">
        <f>VLOOKUP(F427,[1]characters!$A:$C,3,FALSE)</f>
        <v>アグニ</v>
      </c>
      <c r="H427" s="8" t="str">
        <f>VLOOKUP(F427,[1]characters!$A:$J,10,FALSE)</f>
        <v>PremiumS</v>
      </c>
      <c r="I427" s="8">
        <f>VLOOKUP(F427,[1]characters!$A:$I,9,FALSE)</f>
        <v>4</v>
      </c>
      <c r="J427" s="8" t="str">
        <f>VLOOKUP(F427,[1]characters!$A:$H,8,FALSE)</f>
        <v>red</v>
      </c>
      <c r="K427" s="8" t="str">
        <f>VLOOKUP(F427,[1]characters!$A:$K,11,FALSE)</f>
        <v>hp</v>
      </c>
      <c r="L427" s="8" t="str">
        <f>VLOOKUP(F427,[1]characters!$A:$M,13,FALSE)</f>
        <v>god</v>
      </c>
      <c r="M427" s="16">
        <f>VLOOKUP(D427,gacha_309_base!A:B,2,FALSE)</f>
        <v>13161</v>
      </c>
      <c r="N427" s="38">
        <f>IFERROR(VLOOKUP($F427,bug_conf_sheet!$A:$H,3,FALSE),VLOOKUP("other",bug_conf_sheet!$A:$H,3,FALSE))</f>
        <v>1</v>
      </c>
      <c r="O427" s="38">
        <f>IFERROR(VLOOKUP($F427,bug_conf_sheet!$A:$H,4,FALSE),VLOOKUP("other",bug_conf_sheet!$A:$H,4,FALSE))</f>
        <v>0</v>
      </c>
      <c r="P427" s="38">
        <f>IFERROR(VLOOKUP($F427,bug_conf_sheet!$A:$H,5,FALSE),VLOOKUP("other",bug_conf_sheet!$A:$H,5,FALSE))</f>
        <v>0</v>
      </c>
      <c r="Q427" s="38">
        <f>IFERROR(VLOOKUP($F427,bug_conf_sheet!$A:$H,6,FALSE),VLOOKUP("other",bug_conf_sheet!$A:$H,6,FALSE))</f>
        <v>0</v>
      </c>
      <c r="R427" s="38">
        <f>IFERROR(VLOOKUP($F427,bug_conf_sheet!$A:$H,7,FALSE),VLOOKUP("other",bug_conf_sheet!$A:$H,7,FALSE))</f>
        <v>0</v>
      </c>
      <c r="S427" s="38">
        <f>IFERROR(VLOOKUP($F427,bug_conf_sheet!$A:$H,8,FALSE),VLOOKUP("other",bug_conf_sheet!$A:$H,8,FALSE))</f>
        <v>1</v>
      </c>
    </row>
    <row r="428" spans="1:19" ht="21" customHeight="1">
      <c r="A428" s="7" t="str">
        <f t="shared" si="39"/>
        <v>3091670</v>
      </c>
      <c r="B428" s="2" t="str">
        <f t="shared" si="35"/>
        <v>3091</v>
      </c>
      <c r="C428" s="8" t="str">
        <f t="shared" si="40"/>
        <v>1PremiumS5</v>
      </c>
      <c r="D428" s="8" t="str">
        <f t="shared" ref="D428:D435" si="45">E428&amp;H428&amp;I428&amp;"new"</f>
        <v>1PremiumS5new</v>
      </c>
      <c r="E428" s="10">
        <v>1</v>
      </c>
      <c r="F428" s="6">
        <v>670</v>
      </c>
      <c r="G428" s="8" t="str">
        <f>VLOOKUP(F428,[1]characters!$A:$C,3,FALSE)</f>
        <v>アグニ</v>
      </c>
      <c r="H428" s="8" t="str">
        <f>VLOOKUP(F428,[1]characters!$A:$J,10,FALSE)</f>
        <v>PremiumS</v>
      </c>
      <c r="I428" s="8">
        <f>VLOOKUP(F428,[1]characters!$A:$I,9,FALSE)</f>
        <v>5</v>
      </c>
      <c r="J428" s="8" t="str">
        <f>VLOOKUP(F428,[1]characters!$A:$H,8,FALSE)</f>
        <v>red</v>
      </c>
      <c r="K428" s="8" t="str">
        <f>VLOOKUP(F428,[1]characters!$A:$K,11,FALSE)</f>
        <v>hp</v>
      </c>
      <c r="L428" s="8" t="str">
        <f>VLOOKUP(F428,[1]characters!$A:$M,13,FALSE)</f>
        <v>god</v>
      </c>
      <c r="M428" s="16">
        <f>VLOOKUP(D428,gacha_309_base!A:B,2,FALSE)</f>
        <v>1839</v>
      </c>
      <c r="N428" s="38">
        <f>IFERROR(VLOOKUP($F428,bug_conf_sheet!$A:$H,3,FALSE),VLOOKUP("other",bug_conf_sheet!$A:$H,3,FALSE))</f>
        <v>1</v>
      </c>
      <c r="O428" s="38">
        <f>IFERROR(VLOOKUP($F428,bug_conf_sheet!$A:$H,4,FALSE),VLOOKUP("other",bug_conf_sheet!$A:$H,4,FALSE))</f>
        <v>0</v>
      </c>
      <c r="P428" s="38">
        <f>IFERROR(VLOOKUP($F428,bug_conf_sheet!$A:$H,5,FALSE),VLOOKUP("other",bug_conf_sheet!$A:$H,5,FALSE))</f>
        <v>0</v>
      </c>
      <c r="Q428" s="38">
        <f>IFERROR(VLOOKUP($F428,bug_conf_sheet!$A:$H,6,FALSE),VLOOKUP("other",bug_conf_sheet!$A:$H,6,FALSE))</f>
        <v>0</v>
      </c>
      <c r="R428" s="38">
        <f>IFERROR(VLOOKUP($F428,bug_conf_sheet!$A:$H,7,FALSE),VLOOKUP("other",bug_conf_sheet!$A:$H,7,FALSE))</f>
        <v>0</v>
      </c>
      <c r="S428" s="38">
        <f>IFERROR(VLOOKUP($F428,bug_conf_sheet!$A:$H,8,FALSE),VLOOKUP("other",bug_conf_sheet!$A:$H,8,FALSE))</f>
        <v>1</v>
      </c>
    </row>
    <row r="429" spans="1:19" ht="21" customHeight="1">
      <c r="A429" s="7" t="str">
        <f t="shared" ref="A429" si="46">B429&amp;F429</f>
        <v>3091671</v>
      </c>
      <c r="B429" s="2" t="str">
        <f t="shared" ref="B429" si="47">309&amp;E429</f>
        <v>3091</v>
      </c>
      <c r="C429" s="8" t="str">
        <f t="shared" ref="C429" si="48">E429&amp;H429&amp;I429</f>
        <v>1PremiumS3</v>
      </c>
      <c r="D429" s="8" t="str">
        <f t="shared" ref="D429" si="49">E429&amp;H429&amp;I429&amp;"new"</f>
        <v>1PremiumS3new</v>
      </c>
      <c r="E429" s="10">
        <v>1</v>
      </c>
      <c r="F429" s="6">
        <v>671</v>
      </c>
      <c r="G429" s="8" t="str">
        <f>VLOOKUP(F429,[1]characters!$A:$C,3,FALSE)</f>
        <v>ハヌマーン</v>
      </c>
      <c r="H429" s="8" t="str">
        <f>VLOOKUP(F429,[1]characters!$A:$J,10,FALSE)</f>
        <v>PremiumS</v>
      </c>
      <c r="I429" s="8">
        <f>VLOOKUP(F429,[1]characters!$A:$I,9,FALSE)</f>
        <v>3</v>
      </c>
      <c r="J429" s="8" t="str">
        <f>VLOOKUP(F429,[1]characters!$A:$H,8,FALSE)</f>
        <v>green</v>
      </c>
      <c r="K429" s="8" t="str">
        <f>VLOOKUP(F429,[1]characters!$A:$K,11,FALSE)</f>
        <v>attack</v>
      </c>
      <c r="L429" s="8" t="str">
        <f>VLOOKUP(F429,[1]characters!$A:$M,13,FALSE)</f>
        <v>animal</v>
      </c>
      <c r="M429" s="16">
        <f>VLOOKUP(D429,gacha_309_base!A:B,2,FALSE)</f>
        <v>15000</v>
      </c>
      <c r="N429" s="38">
        <f>IFERROR(VLOOKUP($F429,bug_conf_sheet!$A:$H,3,FALSE),VLOOKUP("other",bug_conf_sheet!$A:$H,3,FALSE))</f>
        <v>1</v>
      </c>
      <c r="O429" s="38">
        <f>IFERROR(VLOOKUP($F429,bug_conf_sheet!$A:$H,4,FALSE),VLOOKUP("other",bug_conf_sheet!$A:$H,4,FALSE))</f>
        <v>0</v>
      </c>
      <c r="P429" s="38">
        <f>IFERROR(VLOOKUP($F429,bug_conf_sheet!$A:$H,5,FALSE),VLOOKUP("other",bug_conf_sheet!$A:$H,5,FALSE))</f>
        <v>0</v>
      </c>
      <c r="Q429" s="38">
        <f>IFERROR(VLOOKUP($F429,bug_conf_sheet!$A:$H,6,FALSE),VLOOKUP("other",bug_conf_sheet!$A:$H,6,FALSE))</f>
        <v>0</v>
      </c>
      <c r="R429" s="38">
        <f>IFERROR(VLOOKUP($F429,bug_conf_sheet!$A:$H,7,FALSE),VLOOKUP("other",bug_conf_sheet!$A:$H,7,FALSE))</f>
        <v>0</v>
      </c>
      <c r="S429" s="38">
        <f>IFERROR(VLOOKUP($F429,bug_conf_sheet!$A:$H,8,FALSE),VLOOKUP("other",bug_conf_sheet!$A:$H,8,FALSE))</f>
        <v>1</v>
      </c>
    </row>
    <row r="430" spans="1:19" ht="21" customHeight="1">
      <c r="A430" s="7" t="str">
        <f t="shared" si="39"/>
        <v>3091672</v>
      </c>
      <c r="B430" s="2" t="str">
        <f t="shared" si="35"/>
        <v>3091</v>
      </c>
      <c r="C430" s="8" t="str">
        <f t="shared" si="40"/>
        <v>1PremiumS4</v>
      </c>
      <c r="D430" s="8" t="str">
        <f t="shared" si="45"/>
        <v>1PremiumS4new</v>
      </c>
      <c r="E430" s="10">
        <v>1</v>
      </c>
      <c r="F430" s="6">
        <v>672</v>
      </c>
      <c r="G430" s="8" t="str">
        <f>VLOOKUP(F430,[1]characters!$A:$C,3,FALSE)</f>
        <v>ハヌマーン</v>
      </c>
      <c r="H430" s="8" t="str">
        <f>VLOOKUP(F430,[1]characters!$A:$J,10,FALSE)</f>
        <v>PremiumS</v>
      </c>
      <c r="I430" s="8">
        <f>VLOOKUP(F430,[1]characters!$A:$I,9,FALSE)</f>
        <v>4</v>
      </c>
      <c r="J430" s="8" t="str">
        <f>VLOOKUP(F430,[1]characters!$A:$H,8,FALSE)</f>
        <v>green</v>
      </c>
      <c r="K430" s="8" t="str">
        <f>VLOOKUP(F430,[1]characters!$A:$K,11,FALSE)</f>
        <v>attack</v>
      </c>
      <c r="L430" s="8" t="str">
        <f>VLOOKUP(F430,[1]characters!$A:$M,13,FALSE)</f>
        <v>animal</v>
      </c>
      <c r="M430" s="16">
        <f>VLOOKUP(D430,gacha_309_base!A:B,2,FALSE)</f>
        <v>13161</v>
      </c>
      <c r="N430" s="38">
        <f>IFERROR(VLOOKUP($F430,bug_conf_sheet!$A:$H,3,FALSE),VLOOKUP("other",bug_conf_sheet!$A:$H,3,FALSE))</f>
        <v>1</v>
      </c>
      <c r="O430" s="38">
        <f>IFERROR(VLOOKUP($F430,bug_conf_sheet!$A:$H,4,FALSE),VLOOKUP("other",bug_conf_sheet!$A:$H,4,FALSE))</f>
        <v>0</v>
      </c>
      <c r="P430" s="38">
        <f>IFERROR(VLOOKUP($F430,bug_conf_sheet!$A:$H,5,FALSE),VLOOKUP("other",bug_conf_sheet!$A:$H,5,FALSE))</f>
        <v>0</v>
      </c>
      <c r="Q430" s="38">
        <f>IFERROR(VLOOKUP($F430,bug_conf_sheet!$A:$H,6,FALSE),VLOOKUP("other",bug_conf_sheet!$A:$H,6,FALSE))</f>
        <v>0</v>
      </c>
      <c r="R430" s="38">
        <f>IFERROR(VLOOKUP($F430,bug_conf_sheet!$A:$H,7,FALSE),VLOOKUP("other",bug_conf_sheet!$A:$H,7,FALSE))</f>
        <v>0</v>
      </c>
      <c r="S430" s="38">
        <f>IFERROR(VLOOKUP($F430,bug_conf_sheet!$A:$H,8,FALSE),VLOOKUP("other",bug_conf_sheet!$A:$H,8,FALSE))</f>
        <v>1</v>
      </c>
    </row>
    <row r="431" spans="1:19" ht="21" customHeight="1">
      <c r="A431" s="7" t="str">
        <f t="shared" si="39"/>
        <v>3091673</v>
      </c>
      <c r="B431" s="2" t="str">
        <f t="shared" si="35"/>
        <v>3091</v>
      </c>
      <c r="C431" s="8" t="str">
        <f t="shared" si="40"/>
        <v>1PremiumS5</v>
      </c>
      <c r="D431" s="8" t="str">
        <f t="shared" si="45"/>
        <v>1PremiumS5new</v>
      </c>
      <c r="E431" s="10">
        <v>1</v>
      </c>
      <c r="F431" s="6">
        <v>673</v>
      </c>
      <c r="G431" s="8" t="str">
        <f>VLOOKUP(F431,[1]characters!$A:$C,3,FALSE)</f>
        <v>ハヌマーン</v>
      </c>
      <c r="H431" s="8" t="str">
        <f>VLOOKUP(F431,[1]characters!$A:$J,10,FALSE)</f>
        <v>PremiumS</v>
      </c>
      <c r="I431" s="8">
        <f>VLOOKUP(F431,[1]characters!$A:$I,9,FALSE)</f>
        <v>5</v>
      </c>
      <c r="J431" s="8" t="str">
        <f>VLOOKUP(F431,[1]characters!$A:$H,8,FALSE)</f>
        <v>green</v>
      </c>
      <c r="K431" s="8" t="str">
        <f>VLOOKUP(F431,[1]characters!$A:$K,11,FALSE)</f>
        <v>attack</v>
      </c>
      <c r="L431" s="8" t="str">
        <f>VLOOKUP(F431,[1]characters!$A:$M,13,FALSE)</f>
        <v>animal</v>
      </c>
      <c r="M431" s="16">
        <f>VLOOKUP(D431,gacha_309_base!A:B,2,FALSE)</f>
        <v>1839</v>
      </c>
      <c r="N431" s="38">
        <f>IFERROR(VLOOKUP($F431,bug_conf_sheet!$A:$H,3,FALSE),VLOOKUP("other",bug_conf_sheet!$A:$H,3,FALSE))</f>
        <v>1</v>
      </c>
      <c r="O431" s="38">
        <f>IFERROR(VLOOKUP($F431,bug_conf_sheet!$A:$H,4,FALSE),VLOOKUP("other",bug_conf_sheet!$A:$H,4,FALSE))</f>
        <v>0</v>
      </c>
      <c r="P431" s="38">
        <f>IFERROR(VLOOKUP($F431,bug_conf_sheet!$A:$H,5,FALSE),VLOOKUP("other",bug_conf_sheet!$A:$H,5,FALSE))</f>
        <v>0</v>
      </c>
      <c r="Q431" s="38">
        <f>IFERROR(VLOOKUP($F431,bug_conf_sheet!$A:$H,6,FALSE),VLOOKUP("other",bug_conf_sheet!$A:$H,6,FALSE))</f>
        <v>0</v>
      </c>
      <c r="R431" s="38">
        <f>IFERROR(VLOOKUP($F431,bug_conf_sheet!$A:$H,7,FALSE),VLOOKUP("other",bug_conf_sheet!$A:$H,7,FALSE))</f>
        <v>0</v>
      </c>
      <c r="S431" s="38">
        <f>IFERROR(VLOOKUP($F431,bug_conf_sheet!$A:$H,8,FALSE),VLOOKUP("other",bug_conf_sheet!$A:$H,8,FALSE))</f>
        <v>1</v>
      </c>
    </row>
    <row r="432" spans="1:19" ht="21" customHeight="1">
      <c r="A432" s="7" t="str">
        <f t="shared" si="39"/>
        <v>3091674</v>
      </c>
      <c r="B432" s="2" t="str">
        <f t="shared" si="35"/>
        <v>3091</v>
      </c>
      <c r="C432" s="8" t="str">
        <f t="shared" si="40"/>
        <v>1PremiumSS4</v>
      </c>
      <c r="D432" s="8" t="str">
        <f t="shared" si="45"/>
        <v>1PremiumSS4new</v>
      </c>
      <c r="E432" s="10">
        <v>1</v>
      </c>
      <c r="F432" s="6">
        <v>674</v>
      </c>
      <c r="G432" s="8" t="str">
        <f>VLOOKUP(F432,[1]characters!$A:$C,3,FALSE)</f>
        <v>サラスヴァティ</v>
      </c>
      <c r="H432" s="8" t="str">
        <f>VLOOKUP(F432,[1]characters!$A:$J,10,FALSE)</f>
        <v>PremiumSS</v>
      </c>
      <c r="I432" s="8">
        <f>VLOOKUP(F432,[1]characters!$A:$I,9,FALSE)</f>
        <v>4</v>
      </c>
      <c r="J432" s="8" t="str">
        <f>VLOOKUP(F432,[1]characters!$A:$H,8,FALSE)</f>
        <v>blue</v>
      </c>
      <c r="K432" s="8" t="str">
        <f>VLOOKUP(F432,[1]characters!$A:$K,11,FALSE)</f>
        <v>balance</v>
      </c>
      <c r="L432" s="8" t="str">
        <f>VLOOKUP(F432,[1]characters!$A:$M,13,FALSE)</f>
        <v>animal</v>
      </c>
      <c r="M432" s="16">
        <f>VLOOKUP(D432,gacha_309_base!A:B,2,FALSE)</f>
        <v>9387</v>
      </c>
      <c r="N432" s="38">
        <f>IFERROR(VLOOKUP($F432,bug_conf_sheet!$A:$H,3,FALSE),VLOOKUP("other",bug_conf_sheet!$A:$H,3,FALSE))</f>
        <v>1</v>
      </c>
      <c r="O432" s="38">
        <f>IFERROR(VLOOKUP($F432,bug_conf_sheet!$A:$H,4,FALSE),VLOOKUP("other",bug_conf_sheet!$A:$H,4,FALSE))</f>
        <v>0</v>
      </c>
      <c r="P432" s="38">
        <f>IFERROR(VLOOKUP($F432,bug_conf_sheet!$A:$H,5,FALSE),VLOOKUP("other",bug_conf_sheet!$A:$H,5,FALSE))</f>
        <v>0</v>
      </c>
      <c r="Q432" s="38">
        <f>IFERROR(VLOOKUP($F432,bug_conf_sheet!$A:$H,6,FALSE),VLOOKUP("other",bug_conf_sheet!$A:$H,6,FALSE))</f>
        <v>0</v>
      </c>
      <c r="R432" s="38">
        <f>IFERROR(VLOOKUP($F432,bug_conf_sheet!$A:$H,7,FALSE),VLOOKUP("other",bug_conf_sheet!$A:$H,7,FALSE))</f>
        <v>0</v>
      </c>
      <c r="S432" s="38">
        <f>IFERROR(VLOOKUP($F432,bug_conf_sheet!$A:$H,8,FALSE),VLOOKUP("other",bug_conf_sheet!$A:$H,8,FALSE))</f>
        <v>1</v>
      </c>
    </row>
    <row r="433" spans="1:19" ht="21" customHeight="1">
      <c r="A433" s="7" t="str">
        <f t="shared" si="39"/>
        <v>3091675</v>
      </c>
      <c r="B433" s="2" t="str">
        <f t="shared" si="35"/>
        <v>3091</v>
      </c>
      <c r="C433" s="8" t="str">
        <f t="shared" si="40"/>
        <v>1PremiumSS5</v>
      </c>
      <c r="D433" s="8" t="str">
        <f t="shared" si="45"/>
        <v>1PremiumSS5new</v>
      </c>
      <c r="E433" s="10">
        <v>1</v>
      </c>
      <c r="F433" s="6">
        <v>675</v>
      </c>
      <c r="G433" s="8" t="str">
        <f>VLOOKUP(F433,[1]characters!$A:$C,3,FALSE)</f>
        <v>サラスヴァティ</v>
      </c>
      <c r="H433" s="8" t="str">
        <f>VLOOKUP(F433,[1]characters!$A:$J,10,FALSE)</f>
        <v>PremiumSS</v>
      </c>
      <c r="I433" s="8">
        <f>VLOOKUP(F433,[1]characters!$A:$I,9,FALSE)</f>
        <v>5</v>
      </c>
      <c r="J433" s="8" t="str">
        <f>VLOOKUP(F433,[1]characters!$A:$H,8,FALSE)</f>
        <v>blue</v>
      </c>
      <c r="K433" s="8" t="str">
        <f>VLOOKUP(F433,[1]characters!$A:$K,11,FALSE)</f>
        <v>balance</v>
      </c>
      <c r="L433" s="8" t="str">
        <f>VLOOKUP(F433,[1]characters!$A:$M,13,FALSE)</f>
        <v>god</v>
      </c>
      <c r="M433" s="16">
        <f>VLOOKUP(D433,gacha_309_base!A:B,2,FALSE)</f>
        <v>613</v>
      </c>
      <c r="N433" s="38">
        <f>IFERROR(VLOOKUP($F433,bug_conf_sheet!$A:$H,3,FALSE),VLOOKUP("other",bug_conf_sheet!$A:$H,3,FALSE))</f>
        <v>1</v>
      </c>
      <c r="O433" s="38">
        <f>IFERROR(VLOOKUP($F433,bug_conf_sheet!$A:$H,4,FALSE),VLOOKUP("other",bug_conf_sheet!$A:$H,4,FALSE))</f>
        <v>0</v>
      </c>
      <c r="P433" s="38">
        <f>IFERROR(VLOOKUP($F433,bug_conf_sheet!$A:$H,5,FALSE),VLOOKUP("other",bug_conf_sheet!$A:$H,5,FALSE))</f>
        <v>0</v>
      </c>
      <c r="Q433" s="38">
        <f>IFERROR(VLOOKUP($F433,bug_conf_sheet!$A:$H,6,FALSE),VLOOKUP("other",bug_conf_sheet!$A:$H,6,FALSE))</f>
        <v>0</v>
      </c>
      <c r="R433" s="38">
        <f>IFERROR(VLOOKUP($F433,bug_conf_sheet!$A:$H,7,FALSE),VLOOKUP("other",bug_conf_sheet!$A:$H,7,FALSE))</f>
        <v>0</v>
      </c>
      <c r="S433" s="38">
        <f>IFERROR(VLOOKUP($F433,bug_conf_sheet!$A:$H,8,FALSE),VLOOKUP("other",bug_conf_sheet!$A:$H,8,FALSE))</f>
        <v>1</v>
      </c>
    </row>
    <row r="434" spans="1:19" ht="21" customHeight="1">
      <c r="A434" s="7" t="str">
        <f t="shared" si="39"/>
        <v>3091676</v>
      </c>
      <c r="B434" s="2" t="str">
        <f t="shared" si="35"/>
        <v>3091</v>
      </c>
      <c r="C434" s="8" t="str">
        <f t="shared" si="40"/>
        <v>1PremiumSS4</v>
      </c>
      <c r="D434" s="8" t="str">
        <f t="shared" si="45"/>
        <v>1PremiumSS4new</v>
      </c>
      <c r="E434" s="10">
        <v>1</v>
      </c>
      <c r="F434" s="6">
        <v>676</v>
      </c>
      <c r="G434" s="8" t="str">
        <f>VLOOKUP(F434,[1]characters!$A:$C,3,FALSE)</f>
        <v>ヴィシュヌ</v>
      </c>
      <c r="H434" s="8" t="str">
        <f>VLOOKUP(F434,[1]characters!$A:$J,10,FALSE)</f>
        <v>PremiumSS</v>
      </c>
      <c r="I434" s="8">
        <f>VLOOKUP(F434,[1]characters!$A:$I,9,FALSE)</f>
        <v>4</v>
      </c>
      <c r="J434" s="8" t="str">
        <f>VLOOKUP(F434,[1]characters!$A:$H,8,FALSE)</f>
        <v>yellow</v>
      </c>
      <c r="K434" s="8" t="str">
        <f>VLOOKUP(F434,[1]characters!$A:$K,11,FALSE)</f>
        <v>attack</v>
      </c>
      <c r="L434" s="8" t="str">
        <f>VLOOKUP(F434,[1]characters!$A:$M,13,FALSE)</f>
        <v>god</v>
      </c>
      <c r="M434" s="16">
        <f>VLOOKUP(D434,gacha_309_base!A:B,2,FALSE)</f>
        <v>9387</v>
      </c>
      <c r="N434" s="38">
        <f>IFERROR(VLOOKUP($F434,bug_conf_sheet!$A:$H,3,FALSE),VLOOKUP("other",bug_conf_sheet!$A:$H,3,FALSE))</f>
        <v>1</v>
      </c>
      <c r="O434" s="38">
        <f>IFERROR(VLOOKUP($F434,bug_conf_sheet!$A:$H,4,FALSE),VLOOKUP("other",bug_conf_sheet!$A:$H,4,FALSE))</f>
        <v>0</v>
      </c>
      <c r="P434" s="38">
        <f>IFERROR(VLOOKUP($F434,bug_conf_sheet!$A:$H,5,FALSE),VLOOKUP("other",bug_conf_sheet!$A:$H,5,FALSE))</f>
        <v>0</v>
      </c>
      <c r="Q434" s="38">
        <f>IFERROR(VLOOKUP($F434,bug_conf_sheet!$A:$H,6,FALSE),VLOOKUP("other",bug_conf_sheet!$A:$H,6,FALSE))</f>
        <v>0</v>
      </c>
      <c r="R434" s="38">
        <f>IFERROR(VLOOKUP($F434,bug_conf_sheet!$A:$H,7,FALSE),VLOOKUP("other",bug_conf_sheet!$A:$H,7,FALSE))</f>
        <v>0</v>
      </c>
      <c r="S434" s="38">
        <f>IFERROR(VLOOKUP($F434,bug_conf_sheet!$A:$H,8,FALSE),VLOOKUP("other",bug_conf_sheet!$A:$H,8,FALSE))</f>
        <v>1</v>
      </c>
    </row>
    <row r="435" spans="1:19" ht="21" customHeight="1">
      <c r="A435" s="7" t="str">
        <f t="shared" si="39"/>
        <v>3091677</v>
      </c>
      <c r="B435" s="2" t="str">
        <f t="shared" si="35"/>
        <v>3091</v>
      </c>
      <c r="C435" s="8" t="str">
        <f t="shared" si="40"/>
        <v>1PremiumSS5</v>
      </c>
      <c r="D435" s="8" t="str">
        <f t="shared" si="45"/>
        <v>1PremiumSS5new</v>
      </c>
      <c r="E435" s="10">
        <v>1</v>
      </c>
      <c r="F435" s="6">
        <v>677</v>
      </c>
      <c r="G435" s="8" t="str">
        <f>VLOOKUP(F435,[1]characters!$A:$C,3,FALSE)</f>
        <v>ヴィシュヌ</v>
      </c>
      <c r="H435" s="8" t="str">
        <f>VLOOKUP(F435,[1]characters!$A:$J,10,FALSE)</f>
        <v>PremiumSS</v>
      </c>
      <c r="I435" s="8">
        <f>VLOOKUP(F435,[1]characters!$A:$I,9,FALSE)</f>
        <v>5</v>
      </c>
      <c r="J435" s="8" t="str">
        <f>VLOOKUP(F435,[1]characters!$A:$H,8,FALSE)</f>
        <v>yellow</v>
      </c>
      <c r="K435" s="8" t="str">
        <f>VLOOKUP(F435,[1]characters!$A:$K,11,FALSE)</f>
        <v>attack</v>
      </c>
      <c r="L435" s="8" t="str">
        <f>VLOOKUP(F435,[1]characters!$A:$M,13,FALSE)</f>
        <v>god</v>
      </c>
      <c r="M435" s="16">
        <f>VLOOKUP(D435,gacha_309_base!A:B,2,FALSE)</f>
        <v>613</v>
      </c>
      <c r="N435" s="38">
        <f>IFERROR(VLOOKUP($F435,bug_conf_sheet!$A:$H,3,FALSE),VLOOKUP("other",bug_conf_sheet!$A:$H,3,FALSE))</f>
        <v>1</v>
      </c>
      <c r="O435" s="38">
        <f>IFERROR(VLOOKUP($F435,bug_conf_sheet!$A:$H,4,FALSE),VLOOKUP("other",bug_conf_sheet!$A:$H,4,FALSE))</f>
        <v>0</v>
      </c>
      <c r="P435" s="38">
        <f>IFERROR(VLOOKUP($F435,bug_conf_sheet!$A:$H,5,FALSE),VLOOKUP("other",bug_conf_sheet!$A:$H,5,FALSE))</f>
        <v>0</v>
      </c>
      <c r="Q435" s="38">
        <f>IFERROR(VLOOKUP($F435,bug_conf_sheet!$A:$H,6,FALSE),VLOOKUP("other",bug_conf_sheet!$A:$H,6,FALSE))</f>
        <v>0</v>
      </c>
      <c r="R435" s="38">
        <f>IFERROR(VLOOKUP($F435,bug_conf_sheet!$A:$H,7,FALSE),VLOOKUP("other",bug_conf_sheet!$A:$H,7,FALSE))</f>
        <v>0</v>
      </c>
      <c r="S435" s="38">
        <f>IFERROR(VLOOKUP($F435,bug_conf_sheet!$A:$H,8,FALSE),VLOOKUP("other",bug_conf_sheet!$A:$H,8,FALSE))</f>
        <v>1</v>
      </c>
    </row>
  </sheetData>
  <autoFilter ref="A1:S415"/>
  <sortState ref="A2:S189">
    <sortCondition ref="B2:B189"/>
    <sortCondition ref="F2:F189"/>
  </sortState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L7" sqref="L7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3093</v>
      </c>
      <c r="C2" s="8" t="str">
        <f t="shared" ref="C2:C3" si="0">D2&amp;G2&amp;H2</f>
        <v>PremiumS3</v>
      </c>
      <c r="E2" s="6">
        <v>668</v>
      </c>
      <c r="F2" s="8" t="str">
        <f>VLOOKUP(E2,[1]characters!$A:$C,3,FALSE)</f>
        <v>アグニ</v>
      </c>
      <c r="G2" s="8" t="str">
        <f>VLOOKUP(E2,[1]characters!$A:$J,10,FALSE)</f>
        <v>PremiumS</v>
      </c>
      <c r="H2" s="8">
        <f>VLOOKUP(E2,[1]characters!$A:$I,9,FALSE)</f>
        <v>3</v>
      </c>
      <c r="I2" s="8" t="str">
        <f>VLOOKUP(E2,[1]characters!$A:$H,8,FALSE)</f>
        <v>red</v>
      </c>
      <c r="J2" s="8" t="str">
        <f>VLOOKUP(E2,[1]characters!$A:$K,11,FALSE)</f>
        <v>hp</v>
      </c>
      <c r="K2" s="8" t="str">
        <f>VLOOKUP(E2,[1]characters!$A:$M,13,FALSE)</f>
        <v>god</v>
      </c>
      <c r="L2" s="36">
        <f>45*76</f>
        <v>3420</v>
      </c>
      <c r="M2" s="38">
        <f>IFERROR(VLOOKUP($E2,bug_conf_sheet!$A:$H,3,FALSE),VLOOKUP("other",bug_conf_sheet!$A:$H,3,FALSE))</f>
        <v>1</v>
      </c>
      <c r="N2" s="38">
        <f>IFERROR(VLOOKUP($E2,bug_conf_sheet!$A:$H,4,FALSE),VLOOKUP("other",bug_conf_sheet!$A:$H,4,FALSE))</f>
        <v>0</v>
      </c>
      <c r="O2" s="38">
        <f>IFERROR(VLOOKUP($E2,bug_conf_sheet!$A:$H,5,FALSE),VLOOKUP("other",bug_conf_sheet!$A:$H,5,FALSE))</f>
        <v>0</v>
      </c>
      <c r="P2" s="38">
        <f>IFERROR(VLOOKUP($E2,bug_conf_sheet!$A:$H,6,FALSE),VLOOKUP("other",bug_conf_sheet!$A:$H,6,FALSE))</f>
        <v>0</v>
      </c>
      <c r="Q2" s="38">
        <f>IFERROR(VLOOKUP($E2,bug_conf_sheet!$A:$H,7,FALSE),VLOOKUP("other",bug_conf_sheet!$A:$H,7,FALSE))</f>
        <v>0</v>
      </c>
      <c r="R2" s="38">
        <f>IFERROR(VLOOKUP($E2,bug_conf_sheet!$A:$H,8,FALSE),VLOOKUP("other",bug_conf_sheet!$A:$H,8,FALSE))</f>
        <v>1</v>
      </c>
    </row>
    <row r="3" spans="1:18" ht="21" customHeight="1">
      <c r="B3" s="2">
        <v>3093</v>
      </c>
      <c r="C3" s="8" t="str">
        <f t="shared" si="0"/>
        <v>PremiumS4</v>
      </c>
      <c r="E3" s="6">
        <v>669</v>
      </c>
      <c r="F3" s="8" t="str">
        <f>VLOOKUP(E3,[1]characters!$A:$C,3,FALSE)</f>
        <v>アグニ</v>
      </c>
      <c r="G3" s="8" t="str">
        <f>VLOOKUP(E3,[1]characters!$A:$J,10,FALSE)</f>
        <v>PremiumS</v>
      </c>
      <c r="H3" s="8">
        <f>VLOOKUP(E3,[1]characters!$A:$I,9,FALSE)</f>
        <v>4</v>
      </c>
      <c r="I3" s="8" t="str">
        <f>VLOOKUP(E3,[1]characters!$A:$H,8,FALSE)</f>
        <v>red</v>
      </c>
      <c r="J3" s="8" t="str">
        <f>VLOOKUP(E3,[1]characters!$A:$K,11,FALSE)</f>
        <v>hp</v>
      </c>
      <c r="K3" s="8" t="str">
        <f>VLOOKUP(E3,[1]characters!$A:$M,13,FALSE)</f>
        <v>god</v>
      </c>
      <c r="L3" s="36">
        <f>45*19</f>
        <v>855</v>
      </c>
      <c r="M3" s="38">
        <f>IFERROR(VLOOKUP($E3,bug_conf_sheet!$A:$H,3,FALSE),VLOOKUP("other",bug_conf_sheet!$A:$H,3,FALSE))</f>
        <v>1</v>
      </c>
      <c r="N3" s="38">
        <f>IFERROR(VLOOKUP($E3,bug_conf_sheet!$A:$H,4,FALSE),VLOOKUP("other",bug_conf_sheet!$A:$H,4,FALSE))</f>
        <v>0</v>
      </c>
      <c r="O3" s="38">
        <f>IFERROR(VLOOKUP($E3,bug_conf_sheet!$A:$H,5,FALSE),VLOOKUP("other",bug_conf_sheet!$A:$H,5,FALSE))</f>
        <v>0</v>
      </c>
      <c r="P3" s="38">
        <f>IFERROR(VLOOKUP($E3,bug_conf_sheet!$A:$H,6,FALSE),VLOOKUP("other",bug_conf_sheet!$A:$H,6,FALSE))</f>
        <v>0</v>
      </c>
      <c r="Q3" s="38">
        <f>IFERROR(VLOOKUP($E3,bug_conf_sheet!$A:$H,7,FALSE),VLOOKUP("other",bug_conf_sheet!$A:$H,7,FALSE))</f>
        <v>0</v>
      </c>
      <c r="R3" s="38">
        <f>IFERROR(VLOOKUP($E3,bug_conf_sheet!$A:$H,8,FALSE),VLOOKUP("other",bug_conf_sheet!$A:$H,8,FALSE))</f>
        <v>1</v>
      </c>
    </row>
    <row r="4" spans="1:18" ht="21" customHeight="1">
      <c r="B4" s="2">
        <v>3093</v>
      </c>
      <c r="C4" s="8" t="str">
        <f t="shared" ref="C4:C5" si="1">D4&amp;G4&amp;H4</f>
        <v>PremiumS5</v>
      </c>
      <c r="E4" s="6">
        <v>670</v>
      </c>
      <c r="F4" s="8" t="str">
        <f>VLOOKUP(E4,[1]characters!$A:$C,3,FALSE)</f>
        <v>アグニ</v>
      </c>
      <c r="G4" s="8" t="str">
        <f>VLOOKUP(E4,[1]characters!$A:$J,10,FALSE)</f>
        <v>PremiumS</v>
      </c>
      <c r="H4" s="8">
        <f>VLOOKUP(E4,[1]characters!$A:$I,9,FALSE)</f>
        <v>5</v>
      </c>
      <c r="I4" s="8" t="str">
        <f>VLOOKUP(E4,[1]characters!$A:$H,8,FALSE)</f>
        <v>red</v>
      </c>
      <c r="J4" s="8" t="str">
        <f>VLOOKUP(E4,[1]characters!$A:$K,11,FALSE)</f>
        <v>hp</v>
      </c>
      <c r="K4" s="8" t="str">
        <f>VLOOKUP(E4,[1]characters!$A:$M,13,FALSE)</f>
        <v>god</v>
      </c>
      <c r="L4" s="36">
        <f>45*5</f>
        <v>225</v>
      </c>
      <c r="M4" s="38">
        <f>IFERROR(VLOOKUP($E4,bug_conf_sheet!$A:$H,3,FALSE),VLOOKUP("other",bug_conf_sheet!$A:$H,3,FALSE))</f>
        <v>1</v>
      </c>
      <c r="N4" s="38">
        <f>IFERROR(VLOOKUP($E4,bug_conf_sheet!$A:$H,4,FALSE),VLOOKUP("other",bug_conf_sheet!$A:$H,4,FALSE))</f>
        <v>0</v>
      </c>
      <c r="O4" s="38">
        <f>IFERROR(VLOOKUP($E4,bug_conf_sheet!$A:$H,5,FALSE),VLOOKUP("other",bug_conf_sheet!$A:$H,5,FALSE))</f>
        <v>0</v>
      </c>
      <c r="P4" s="38">
        <f>IFERROR(VLOOKUP($E4,bug_conf_sheet!$A:$H,6,FALSE),VLOOKUP("other",bug_conf_sheet!$A:$H,6,FALSE))</f>
        <v>0</v>
      </c>
      <c r="Q4" s="38">
        <f>IFERROR(VLOOKUP($E4,bug_conf_sheet!$A:$H,7,FALSE),VLOOKUP("other",bug_conf_sheet!$A:$H,7,FALSE))</f>
        <v>0</v>
      </c>
      <c r="R4" s="38">
        <f>IFERROR(VLOOKUP($E4,bug_conf_sheet!$A:$H,8,FALSE),VLOOKUP("other",bug_conf_sheet!$A:$H,8,FALSE))</f>
        <v>1</v>
      </c>
    </row>
    <row r="5" spans="1:18" ht="21" customHeight="1">
      <c r="B5" s="2">
        <v>3093</v>
      </c>
      <c r="C5" s="8" t="str">
        <f t="shared" si="1"/>
        <v>PremiumS3</v>
      </c>
      <c r="E5" s="6">
        <v>671</v>
      </c>
      <c r="F5" s="8" t="str">
        <f>VLOOKUP(E5,[1]characters!$A:$C,3,FALSE)</f>
        <v>ハヌマーン</v>
      </c>
      <c r="G5" s="8" t="str">
        <f>VLOOKUP(E5,[1]characters!$A:$J,10,FALSE)</f>
        <v>PremiumS</v>
      </c>
      <c r="H5" s="8">
        <f>VLOOKUP(E5,[1]characters!$A:$I,9,FALSE)</f>
        <v>3</v>
      </c>
      <c r="I5" s="8" t="str">
        <f>VLOOKUP(E5,[1]characters!$A:$H,8,FALSE)</f>
        <v>green</v>
      </c>
      <c r="J5" s="8" t="str">
        <f>VLOOKUP(E5,[1]characters!$A:$K,11,FALSE)</f>
        <v>attack</v>
      </c>
      <c r="K5" s="8" t="str">
        <f>VLOOKUP(E5,[1]characters!$A:$M,13,FALSE)</f>
        <v>animal</v>
      </c>
      <c r="L5" s="36">
        <f>45*76</f>
        <v>3420</v>
      </c>
      <c r="M5" s="38">
        <f>IFERROR(VLOOKUP($E5,bug_conf_sheet!$A:$H,3,FALSE),VLOOKUP("other",bug_conf_sheet!$A:$H,3,FALSE))</f>
        <v>1</v>
      </c>
      <c r="N5" s="38">
        <f>IFERROR(VLOOKUP($E5,bug_conf_sheet!$A:$H,4,FALSE),VLOOKUP("other",bug_conf_sheet!$A:$H,4,FALSE))</f>
        <v>0</v>
      </c>
      <c r="O5" s="38">
        <f>IFERROR(VLOOKUP($E5,bug_conf_sheet!$A:$H,5,FALSE),VLOOKUP("other",bug_conf_sheet!$A:$H,5,FALSE))</f>
        <v>0</v>
      </c>
      <c r="P5" s="38">
        <f>IFERROR(VLOOKUP($E5,bug_conf_sheet!$A:$H,6,FALSE),VLOOKUP("other",bug_conf_sheet!$A:$H,6,FALSE))</f>
        <v>0</v>
      </c>
      <c r="Q5" s="38">
        <f>IFERROR(VLOOKUP($E5,bug_conf_sheet!$A:$H,7,FALSE),VLOOKUP("other",bug_conf_sheet!$A:$H,7,FALSE))</f>
        <v>0</v>
      </c>
      <c r="R5" s="38">
        <f>IFERROR(VLOOKUP($E5,bug_conf_sheet!$A:$H,8,FALSE),VLOOKUP("other",bug_conf_sheet!$A:$H,8,FALSE))</f>
        <v>1</v>
      </c>
    </row>
    <row r="6" spans="1:18" ht="21" customHeight="1">
      <c r="B6" s="2">
        <v>3093</v>
      </c>
      <c r="C6" s="8" t="str">
        <f t="shared" ref="C6:C11" si="2">D6&amp;G6&amp;H6</f>
        <v>PremiumS4</v>
      </c>
      <c r="E6" s="6">
        <v>672</v>
      </c>
      <c r="F6" s="8" t="str">
        <f>VLOOKUP(E6,[1]characters!$A:$C,3,FALSE)</f>
        <v>ハヌマーン</v>
      </c>
      <c r="G6" s="8" t="str">
        <f>VLOOKUP(E6,[1]characters!$A:$J,10,FALSE)</f>
        <v>PremiumS</v>
      </c>
      <c r="H6" s="8">
        <f>VLOOKUP(E6,[1]characters!$A:$I,9,FALSE)</f>
        <v>4</v>
      </c>
      <c r="I6" s="8" t="str">
        <f>VLOOKUP(E6,[1]characters!$A:$H,8,FALSE)</f>
        <v>green</v>
      </c>
      <c r="J6" s="8" t="str">
        <f>VLOOKUP(E6,[1]characters!$A:$K,11,FALSE)</f>
        <v>attack</v>
      </c>
      <c r="K6" s="8" t="str">
        <f>VLOOKUP(E6,[1]characters!$A:$M,13,FALSE)</f>
        <v>animal</v>
      </c>
      <c r="L6" s="36">
        <f>45*19</f>
        <v>855</v>
      </c>
      <c r="M6" s="38">
        <f>IFERROR(VLOOKUP($E6,bug_conf_sheet!$A:$H,3,FALSE),VLOOKUP("other",bug_conf_sheet!$A:$H,3,FALSE))</f>
        <v>1</v>
      </c>
      <c r="N6" s="38">
        <f>IFERROR(VLOOKUP($E6,bug_conf_sheet!$A:$H,4,FALSE),VLOOKUP("other",bug_conf_sheet!$A:$H,4,FALSE))</f>
        <v>0</v>
      </c>
      <c r="O6" s="38">
        <f>IFERROR(VLOOKUP($E6,bug_conf_sheet!$A:$H,5,FALSE),VLOOKUP("other",bug_conf_sheet!$A:$H,5,FALSE))</f>
        <v>0</v>
      </c>
      <c r="P6" s="38">
        <f>IFERROR(VLOOKUP($E6,bug_conf_sheet!$A:$H,6,FALSE),VLOOKUP("other",bug_conf_sheet!$A:$H,6,FALSE))</f>
        <v>0</v>
      </c>
      <c r="Q6" s="38">
        <f>IFERROR(VLOOKUP($E6,bug_conf_sheet!$A:$H,7,FALSE),VLOOKUP("other",bug_conf_sheet!$A:$H,7,FALSE))</f>
        <v>0</v>
      </c>
      <c r="R6" s="38">
        <f>IFERROR(VLOOKUP($E6,bug_conf_sheet!$A:$H,8,FALSE),VLOOKUP("other",bug_conf_sheet!$A:$H,8,FALSE))</f>
        <v>1</v>
      </c>
    </row>
    <row r="7" spans="1:18" ht="21" customHeight="1">
      <c r="B7" s="2">
        <v>3093</v>
      </c>
      <c r="C7" s="8" t="str">
        <f t="shared" si="2"/>
        <v>PremiumS5</v>
      </c>
      <c r="E7" s="6">
        <v>673</v>
      </c>
      <c r="F7" s="8" t="str">
        <f>VLOOKUP(E7,[1]characters!$A:$C,3,FALSE)</f>
        <v>ハヌマーン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green</v>
      </c>
      <c r="J7" s="8" t="str">
        <f>VLOOKUP(E7,[1]characters!$A:$K,11,FALSE)</f>
        <v>attack</v>
      </c>
      <c r="K7" s="8" t="str">
        <f>VLOOKUP(E7,[1]characters!$A:$M,13,FALSE)</f>
        <v>animal</v>
      </c>
      <c r="L7" s="36">
        <f>45*5</f>
        <v>225</v>
      </c>
      <c r="M7" s="38">
        <f>IFERROR(VLOOKUP($E7,bug_conf_sheet!$A:$H,3,FALSE),VLOOKUP("other",bug_conf_sheet!$A:$H,3,FALSE))</f>
        <v>1</v>
      </c>
      <c r="N7" s="38">
        <f>IFERROR(VLOOKUP($E7,bug_conf_sheet!$A:$H,4,FALSE),VLOOKUP("other",bug_conf_sheet!$A:$H,4,FALSE))</f>
        <v>0</v>
      </c>
      <c r="O7" s="38">
        <f>IFERROR(VLOOKUP($E7,bug_conf_sheet!$A:$H,5,FALSE),VLOOKUP("other",bug_conf_sheet!$A:$H,5,FALSE))</f>
        <v>0</v>
      </c>
      <c r="P7" s="38">
        <f>IFERROR(VLOOKUP($E7,bug_conf_sheet!$A:$H,6,FALSE),VLOOKUP("other",bug_conf_sheet!$A:$H,6,FALSE))</f>
        <v>0</v>
      </c>
      <c r="Q7" s="38">
        <f>IFERROR(VLOOKUP($E7,bug_conf_sheet!$A:$H,7,FALSE),VLOOKUP("other",bug_conf_sheet!$A:$H,7,FALSE))</f>
        <v>0</v>
      </c>
      <c r="R7" s="38">
        <f>IFERROR(VLOOKUP($E7,bug_conf_sheet!$A:$H,8,FALSE),VLOOKUP("other",bug_conf_sheet!$A:$H,8,FALSE))</f>
        <v>1</v>
      </c>
    </row>
    <row r="8" spans="1:18" ht="21" customHeight="1">
      <c r="B8" s="2">
        <v>3093</v>
      </c>
      <c r="C8" s="8" t="str">
        <f t="shared" si="2"/>
        <v>PremiumSS4</v>
      </c>
      <c r="E8" s="6">
        <v>674</v>
      </c>
      <c r="F8" s="8" t="str">
        <f>VLOOKUP(E8,[1]characters!$A:$C,3,FALSE)</f>
        <v>サラスヴァティ</v>
      </c>
      <c r="G8" s="8" t="str">
        <f>VLOOKUP(E8,[1]characters!$A:$J,10,FALSE)</f>
        <v>PremiumSS</v>
      </c>
      <c r="H8" s="8">
        <f>VLOOKUP(E8,[1]characters!$A:$I,9,FALSE)</f>
        <v>4</v>
      </c>
      <c r="I8" s="8" t="str">
        <f>VLOOKUP(E8,[1]characters!$A:$H,8,FALSE)</f>
        <v>blue</v>
      </c>
      <c r="J8" s="8" t="str">
        <f>VLOOKUP(E8,[1]characters!$A:$K,11,FALSE)</f>
        <v>balance</v>
      </c>
      <c r="K8" s="8" t="str">
        <f>VLOOKUP(E8,[1]characters!$A:$M,13,FALSE)</f>
        <v>animal</v>
      </c>
      <c r="L8" s="36">
        <f>5*95</f>
        <v>475</v>
      </c>
      <c r="M8" s="38">
        <f>IFERROR(VLOOKUP($E8,bug_conf_sheet!$A:$H,3,FALSE),VLOOKUP("other",bug_conf_sheet!$A:$H,3,FALSE))</f>
        <v>1</v>
      </c>
      <c r="N8" s="38">
        <f>IFERROR(VLOOKUP($E8,bug_conf_sheet!$A:$H,4,FALSE),VLOOKUP("other",bug_conf_sheet!$A:$H,4,FALSE))</f>
        <v>0</v>
      </c>
      <c r="O8" s="38">
        <f>IFERROR(VLOOKUP($E8,bug_conf_sheet!$A:$H,5,FALSE),VLOOKUP("other",bug_conf_sheet!$A:$H,5,FALSE))</f>
        <v>0</v>
      </c>
      <c r="P8" s="38">
        <f>IFERROR(VLOOKUP($E8,bug_conf_sheet!$A:$H,6,FALSE),VLOOKUP("other",bug_conf_sheet!$A:$H,6,FALSE))</f>
        <v>0</v>
      </c>
      <c r="Q8" s="38">
        <f>IFERROR(VLOOKUP($E8,bug_conf_sheet!$A:$H,7,FALSE),VLOOKUP("other",bug_conf_sheet!$A:$H,7,FALSE))</f>
        <v>0</v>
      </c>
      <c r="R8" s="38">
        <f>IFERROR(VLOOKUP($E8,bug_conf_sheet!$A:$H,8,FALSE),VLOOKUP("other",bug_conf_sheet!$A:$H,8,FALSE))</f>
        <v>1</v>
      </c>
    </row>
    <row r="9" spans="1:18" ht="21" customHeight="1">
      <c r="B9" s="2">
        <v>3093</v>
      </c>
      <c r="C9" s="8" t="str">
        <f t="shared" si="2"/>
        <v>PremiumSS5</v>
      </c>
      <c r="E9" s="6">
        <v>675</v>
      </c>
      <c r="F9" s="8" t="str">
        <f>VLOOKUP(E9,[1]characters!$A:$C,3,FALSE)</f>
        <v>サラスヴァティ</v>
      </c>
      <c r="G9" s="8" t="str">
        <f>VLOOKUP(E9,[1]characters!$A:$J,10,FALSE)</f>
        <v>PremiumSS</v>
      </c>
      <c r="H9" s="8">
        <f>VLOOKUP(E9,[1]characters!$A:$I,9,FALSE)</f>
        <v>5</v>
      </c>
      <c r="I9" s="8" t="str">
        <f>VLOOKUP(E9,[1]characters!$A:$H,8,FALSE)</f>
        <v>blue</v>
      </c>
      <c r="J9" s="8" t="str">
        <f>VLOOKUP(E9,[1]characters!$A:$K,11,FALSE)</f>
        <v>balance</v>
      </c>
      <c r="K9" s="8" t="str">
        <f>VLOOKUP(E9,[1]characters!$A:$M,13,FALSE)</f>
        <v>god</v>
      </c>
      <c r="L9" s="36">
        <v>25</v>
      </c>
      <c r="M9" s="38">
        <f>IFERROR(VLOOKUP($E9,bug_conf_sheet!$A:$H,3,FALSE),VLOOKUP("other",bug_conf_sheet!$A:$H,3,FALSE))</f>
        <v>1</v>
      </c>
      <c r="N9" s="38">
        <f>IFERROR(VLOOKUP($E9,bug_conf_sheet!$A:$H,4,FALSE),VLOOKUP("other",bug_conf_sheet!$A:$H,4,FALSE))</f>
        <v>0</v>
      </c>
      <c r="O9" s="38">
        <f>IFERROR(VLOOKUP($E9,bug_conf_sheet!$A:$H,5,FALSE),VLOOKUP("other",bug_conf_sheet!$A:$H,5,FALSE))</f>
        <v>0</v>
      </c>
      <c r="P9" s="38">
        <f>IFERROR(VLOOKUP($E9,bug_conf_sheet!$A:$H,6,FALSE),VLOOKUP("other",bug_conf_sheet!$A:$H,6,FALSE))</f>
        <v>0</v>
      </c>
      <c r="Q9" s="38">
        <f>IFERROR(VLOOKUP($E9,bug_conf_sheet!$A:$H,7,FALSE),VLOOKUP("other",bug_conf_sheet!$A:$H,7,FALSE))</f>
        <v>0</v>
      </c>
      <c r="R9" s="38">
        <f>IFERROR(VLOOKUP($E9,bug_conf_sheet!$A:$H,8,FALSE),VLOOKUP("other",bug_conf_sheet!$A:$H,8,FALSE))</f>
        <v>1</v>
      </c>
    </row>
    <row r="10" spans="1:18" ht="21" customHeight="1">
      <c r="B10" s="2">
        <v>3093</v>
      </c>
      <c r="C10" s="8" t="str">
        <f t="shared" si="2"/>
        <v>PremiumSS4</v>
      </c>
      <c r="E10" s="6">
        <v>676</v>
      </c>
      <c r="F10" s="8" t="str">
        <f>VLOOKUP(E10,[1]characters!$A:$C,3,FALSE)</f>
        <v>ヴィシュヌ</v>
      </c>
      <c r="G10" s="8" t="str">
        <f>VLOOKUP(E10,[1]characters!$A:$J,10,FALSE)</f>
        <v>PremiumSS</v>
      </c>
      <c r="H10" s="8">
        <f>VLOOKUP(E10,[1]characters!$A:$I,9,FALSE)</f>
        <v>4</v>
      </c>
      <c r="I10" s="8" t="str">
        <f>VLOOKUP(E10,[1]characters!$A:$H,8,FALSE)</f>
        <v>yellow</v>
      </c>
      <c r="J10" s="8" t="str">
        <f>VLOOKUP(E10,[1]characters!$A:$K,11,FALSE)</f>
        <v>attack</v>
      </c>
      <c r="K10" s="8" t="str">
        <f>VLOOKUP(E10,[1]characters!$A:$M,13,FALSE)</f>
        <v>god</v>
      </c>
      <c r="L10" s="36">
        <f>5*95</f>
        <v>475</v>
      </c>
      <c r="M10" s="38">
        <f>IFERROR(VLOOKUP($E10,bug_conf_sheet!$A:$H,3,FALSE),VLOOKUP("other",bug_conf_sheet!$A:$H,3,FALSE))</f>
        <v>1</v>
      </c>
      <c r="N10" s="38">
        <f>IFERROR(VLOOKUP($E10,bug_conf_sheet!$A:$H,4,FALSE),VLOOKUP("other",bug_conf_sheet!$A:$H,4,FALSE))</f>
        <v>0</v>
      </c>
      <c r="O10" s="38">
        <f>IFERROR(VLOOKUP($E10,bug_conf_sheet!$A:$H,5,FALSE),VLOOKUP("other",bug_conf_sheet!$A:$H,5,FALSE))</f>
        <v>0</v>
      </c>
      <c r="P10" s="38">
        <f>IFERROR(VLOOKUP($E10,bug_conf_sheet!$A:$H,6,FALSE),VLOOKUP("other",bug_conf_sheet!$A:$H,6,FALSE))</f>
        <v>0</v>
      </c>
      <c r="Q10" s="38">
        <f>IFERROR(VLOOKUP($E10,bug_conf_sheet!$A:$H,7,FALSE),VLOOKUP("other",bug_conf_sheet!$A:$H,7,FALSE))</f>
        <v>0</v>
      </c>
      <c r="R10" s="38">
        <f>IFERROR(VLOOKUP($E10,bug_conf_sheet!$A:$H,8,FALSE),VLOOKUP("other",bug_conf_sheet!$A:$H,8,FALSE))</f>
        <v>1</v>
      </c>
    </row>
    <row r="11" spans="1:18" ht="21" customHeight="1">
      <c r="B11" s="2">
        <v>3093</v>
      </c>
      <c r="C11" s="8" t="str">
        <f t="shared" si="2"/>
        <v>PremiumSS5</v>
      </c>
      <c r="E11" s="6">
        <v>677</v>
      </c>
      <c r="F11" s="8" t="str">
        <f>VLOOKUP(E11,[1]characters!$A:$C,3,FALSE)</f>
        <v>ヴィシュヌ</v>
      </c>
      <c r="G11" s="8" t="str">
        <f>VLOOKUP(E11,[1]characters!$A:$J,10,FALSE)</f>
        <v>PremiumSS</v>
      </c>
      <c r="H11" s="8">
        <f>VLOOKUP(E11,[1]characters!$A:$I,9,FALSE)</f>
        <v>5</v>
      </c>
      <c r="I11" s="8" t="str">
        <f>VLOOKUP(E11,[1]characters!$A:$H,8,FALSE)</f>
        <v>yellow</v>
      </c>
      <c r="J11" s="8" t="str">
        <f>VLOOKUP(E11,[1]characters!$A:$K,11,FALSE)</f>
        <v>attack</v>
      </c>
      <c r="K11" s="8" t="str">
        <f>VLOOKUP(E11,[1]characters!$A:$M,13,FALSE)</f>
        <v>god</v>
      </c>
      <c r="L11" s="36">
        <v>25</v>
      </c>
      <c r="M11" s="38">
        <f>IFERROR(VLOOKUP($E11,bug_conf_sheet!$A:$H,3,FALSE),VLOOKUP("other",bug_conf_sheet!$A:$H,3,FALSE))</f>
        <v>1</v>
      </c>
      <c r="N11" s="38">
        <f>IFERROR(VLOOKUP($E11,bug_conf_sheet!$A:$H,4,FALSE),VLOOKUP("other",bug_conf_sheet!$A:$H,4,FALSE))</f>
        <v>0</v>
      </c>
      <c r="O11" s="38">
        <f>IFERROR(VLOOKUP($E11,bug_conf_sheet!$A:$H,5,FALSE),VLOOKUP("other",bug_conf_sheet!$A:$H,5,FALSE))</f>
        <v>0</v>
      </c>
      <c r="P11" s="38">
        <f>IFERROR(VLOOKUP($E11,bug_conf_sheet!$A:$H,6,FALSE),VLOOKUP("other",bug_conf_sheet!$A:$H,6,FALSE))</f>
        <v>0</v>
      </c>
      <c r="Q11" s="38">
        <f>IFERROR(VLOOKUP($E11,bug_conf_sheet!$A:$H,7,FALSE),VLOOKUP("other",bug_conf_sheet!$A:$H,7,FALSE))</f>
        <v>0</v>
      </c>
      <c r="R11" s="38">
        <f>IFERROR(VLOOKUP($E11,bug_conf_sheet!$A:$H,8,FALSE),VLOOKUP("other",bug_conf_sheet!$A:$H,8,FALSE))</f>
        <v>1</v>
      </c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C30" sqref="C3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64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64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64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64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64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64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64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64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64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64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309</v>
      </c>
    </row>
    <row r="5" spans="1:8">
      <c r="A5" s="42" t="s">
        <v>82</v>
      </c>
      <c r="B5" s="43" t="str">
        <f>$A$3 &amp; "1"</f>
        <v>3091</v>
      </c>
      <c r="C5" s="62"/>
      <c r="D5" s="42" t="s">
        <v>85</v>
      </c>
      <c r="E5" s="43" t="str">
        <f>$A$3 &amp; "0"</f>
        <v>3090</v>
      </c>
      <c r="F5" s="62"/>
      <c r="G5" s="42" t="s">
        <v>86</v>
      </c>
      <c r="H5" s="43" t="str">
        <f>$A$3 &amp; "3"</f>
        <v>3093</v>
      </c>
    </row>
    <row r="6" spans="1:8">
      <c r="A6" s="44" t="s">
        <v>84</v>
      </c>
      <c r="B6" s="45"/>
      <c r="C6" s="62"/>
      <c r="D6" s="44" t="s">
        <v>84</v>
      </c>
      <c r="E6" s="45"/>
      <c r="F6" s="62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C7" s="62"/>
      <c r="D7" s="47">
        <f>COUNTIFS(gacha_select_tables!$H:$H,"PremiumSSS",gacha_select_tables!$B:$B,E5)</f>
        <v>0</v>
      </c>
      <c r="E7" s="45"/>
      <c r="F7" s="62"/>
      <c r="G7" s="47">
        <f>COUNTIF(gacha_settle_tables!G:G,"PremiumSSS")</f>
        <v>0</v>
      </c>
      <c r="H7" s="45"/>
    </row>
    <row r="8" spans="1:8">
      <c r="A8" s="44"/>
      <c r="B8" s="45"/>
      <c r="C8" s="62"/>
      <c r="D8" s="44"/>
      <c r="E8" s="45"/>
      <c r="F8" s="62"/>
      <c r="G8" s="44"/>
      <c r="H8" s="45"/>
    </row>
    <row r="9" spans="1:8">
      <c r="A9" s="44" t="s">
        <v>81</v>
      </c>
      <c r="B9" s="45"/>
      <c r="C9" s="62"/>
      <c r="D9" s="44" t="s">
        <v>81</v>
      </c>
      <c r="E9" s="45"/>
      <c r="F9" s="62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C10" s="62"/>
      <c r="D10" s="47">
        <f>COUNTIFS(gacha_select_tables!$S:$S,"&gt;1", gacha_select_tables!$B:$B,E5)</f>
        <v>0</v>
      </c>
      <c r="E10" s="45"/>
      <c r="F10" s="62"/>
      <c r="G10" s="47">
        <f>COUNTIF(gacha_settle_tables!$R:$R,"&gt;1")</f>
        <v>0</v>
      </c>
      <c r="H10" s="45"/>
    </row>
    <row r="11" spans="1:8">
      <c r="A11" s="44"/>
      <c r="B11" s="45"/>
      <c r="C11" s="62"/>
      <c r="D11" s="44"/>
      <c r="E11" s="45"/>
      <c r="F11" s="62"/>
      <c r="G11" s="44"/>
      <c r="H11" s="45"/>
    </row>
    <row r="12" spans="1:8">
      <c r="A12" s="44" t="s">
        <v>91</v>
      </c>
      <c r="B12" s="45"/>
      <c r="C12" s="62"/>
      <c r="D12" s="44" t="s">
        <v>91</v>
      </c>
      <c r="E12" s="45"/>
      <c r="F12" s="62"/>
      <c r="G12" s="44" t="s">
        <v>91</v>
      </c>
      <c r="H12" s="45"/>
    </row>
    <row r="13" spans="1:8">
      <c r="A13" s="47">
        <f>COUNTIFS(gacha_select_tables!$N:$N,"&gt;1",gacha_select_tables!$B:$B,B5)</f>
        <v>0</v>
      </c>
      <c r="B13" s="45"/>
      <c r="C13" s="62"/>
      <c r="D13" s="47">
        <f>COUNTIFS(gacha_select_tables!$N:$N,"&gt;1", gacha_select_tables!$B:$B,E5)</f>
        <v>0</v>
      </c>
      <c r="E13" s="45"/>
      <c r="F13" s="62"/>
      <c r="G13" s="47">
        <f>COUNTIF(gacha_settle_tables!$M:$M,"&gt;1")</f>
        <v>0</v>
      </c>
      <c r="H13" s="45"/>
    </row>
    <row r="14" spans="1:8">
      <c r="A14" s="44"/>
      <c r="B14" s="45"/>
      <c r="C14" s="62"/>
      <c r="D14" s="44"/>
      <c r="E14" s="45"/>
      <c r="F14" s="62"/>
      <c r="G14" s="44"/>
      <c r="H14" s="45"/>
    </row>
    <row r="15" spans="1:8">
      <c r="A15" s="44" t="s">
        <v>89</v>
      </c>
      <c r="B15" s="45"/>
      <c r="C15" s="62"/>
      <c r="D15" s="44" t="s">
        <v>90</v>
      </c>
      <c r="E15" s="45"/>
      <c r="F15" s="62"/>
      <c r="G15" s="44" t="s">
        <v>90</v>
      </c>
      <c r="H15" s="45"/>
    </row>
    <row r="16" spans="1:8">
      <c r="A16" s="48">
        <f>COUNTIF(gacha_select_tables!$B:$B,B5)</f>
        <v>254</v>
      </c>
      <c r="B16" s="46"/>
      <c r="C16" s="62"/>
      <c r="D16" s="48">
        <f>COUNTIF(gacha_select_tables!$B:$B,E5)</f>
        <v>180</v>
      </c>
      <c r="E16" s="46"/>
      <c r="F16" s="62"/>
      <c r="G16" s="48">
        <f>COUNTIF(gacha_settle_tables!B:B,H5)</f>
        <v>10</v>
      </c>
      <c r="H16" s="46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gacha_309_base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takigawa Mio</cp:lastModifiedBy>
  <dcterms:created xsi:type="dcterms:W3CDTF">2015-04-01T12:34:09Z</dcterms:created>
  <dcterms:modified xsi:type="dcterms:W3CDTF">2016-03-14T08:10:51Z</dcterms:modified>
</cp:coreProperties>
</file>