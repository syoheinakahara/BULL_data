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28800" windowHeight="143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7" i="9" l="1"/>
  <c r="O27" i="9"/>
  <c r="N27" i="9"/>
  <c r="M27" i="9"/>
  <c r="L27" i="9"/>
  <c r="K27" i="9"/>
  <c r="J27" i="9"/>
  <c r="I27" i="9"/>
  <c r="H27" i="9"/>
  <c r="G27" i="9"/>
  <c r="E27" i="9"/>
  <c r="D27" i="9"/>
  <c r="A27" i="9"/>
  <c r="Q21" i="9"/>
  <c r="O21" i="9"/>
  <c r="N21" i="9"/>
  <c r="M21" i="9"/>
  <c r="L21" i="9"/>
  <c r="K21" i="9"/>
  <c r="J21" i="9"/>
  <c r="I21" i="9"/>
  <c r="H21" i="9"/>
  <c r="G21" i="9"/>
  <c r="E21" i="9"/>
  <c r="D21" i="9"/>
  <c r="A21" i="9"/>
  <c r="J49" i="11"/>
  <c r="J48" i="11"/>
  <c r="AA51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AA50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N2" i="22"/>
  <c r="G2" i="22"/>
  <c r="F2" i="22"/>
  <c r="D2" i="22"/>
  <c r="C2" i="22"/>
  <c r="A2" i="22"/>
  <c r="B8" i="21"/>
  <c r="F8" i="21"/>
  <c r="G8" i="21"/>
  <c r="I8" i="21"/>
  <c r="J8" i="21"/>
  <c r="B9" i="21"/>
  <c r="F9" i="21"/>
  <c r="G9" i="21"/>
  <c r="I9" i="21"/>
  <c r="J9" i="21"/>
  <c r="B10" i="21"/>
  <c r="F10" i="21"/>
  <c r="G10" i="21"/>
  <c r="I10" i="21"/>
  <c r="J10" i="21"/>
  <c r="B11" i="21"/>
  <c r="F11" i="21"/>
  <c r="G11" i="21"/>
  <c r="I11" i="21"/>
  <c r="J11" i="21"/>
  <c r="B12" i="21"/>
  <c r="F12" i="21"/>
  <c r="G12" i="21"/>
  <c r="I12" i="21"/>
  <c r="J12" i="21"/>
  <c r="B13" i="21"/>
  <c r="F13" i="21"/>
  <c r="G13" i="21"/>
  <c r="I13" i="21"/>
  <c r="J13" i="21"/>
  <c r="D13" i="21"/>
  <c r="C13" i="21"/>
  <c r="D12" i="21"/>
  <c r="C12" i="21"/>
  <c r="D11" i="21"/>
  <c r="C11" i="21"/>
  <c r="D10" i="21"/>
  <c r="C10" i="21"/>
  <c r="D9" i="21"/>
  <c r="C9" i="21"/>
  <c r="D8" i="21"/>
  <c r="C8" i="21"/>
  <c r="B7" i="21"/>
  <c r="B6" i="21"/>
  <c r="B5" i="21"/>
  <c r="B4" i="21"/>
  <c r="B3" i="21"/>
  <c r="B2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H44" i="9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O17" i="9"/>
  <c r="N17" i="9"/>
  <c r="M17" i="9"/>
  <c r="L17" i="9"/>
  <c r="K17" i="9"/>
  <c r="J17" i="9"/>
  <c r="I17" i="9"/>
  <c r="H17" i="9"/>
  <c r="O16" i="9"/>
  <c r="N16" i="9"/>
  <c r="M16" i="9"/>
  <c r="L16" i="9"/>
  <c r="K16" i="9"/>
  <c r="J16" i="9"/>
  <c r="I16" i="9"/>
  <c r="H16" i="9"/>
  <c r="O15" i="9"/>
  <c r="N15" i="9"/>
  <c r="M15" i="9"/>
  <c r="L15" i="9"/>
  <c r="K15" i="9"/>
  <c r="J15" i="9"/>
  <c r="I15" i="9"/>
  <c r="H15" i="9"/>
  <c r="O14" i="9"/>
  <c r="N14" i="9"/>
  <c r="M14" i="9"/>
  <c r="L14" i="9"/>
  <c r="K14" i="9"/>
  <c r="J14" i="9"/>
  <c r="I14" i="9"/>
  <c r="H14" i="9"/>
  <c r="O13" i="9"/>
  <c r="N13" i="9"/>
  <c r="M13" i="9"/>
  <c r="L13" i="9"/>
  <c r="K13" i="9"/>
  <c r="J13" i="9"/>
  <c r="I13" i="9"/>
  <c r="H13" i="9"/>
  <c r="O12" i="9"/>
  <c r="N12" i="9"/>
  <c r="M12" i="9"/>
  <c r="L12" i="9"/>
  <c r="K12" i="9"/>
  <c r="J12" i="9"/>
  <c r="I12" i="9"/>
  <c r="H12" i="9"/>
  <c r="O11" i="9"/>
  <c r="N11" i="9"/>
  <c r="M11" i="9"/>
  <c r="L11" i="9"/>
  <c r="K11" i="9"/>
  <c r="J11" i="9"/>
  <c r="I11" i="9"/>
  <c r="H11" i="9"/>
  <c r="O10" i="9"/>
  <c r="N10" i="9"/>
  <c r="M10" i="9"/>
  <c r="L10" i="9"/>
  <c r="K10" i="9"/>
  <c r="J10" i="9"/>
  <c r="I10" i="9"/>
  <c r="H10" i="9"/>
  <c r="O9" i="9"/>
  <c r="N9" i="9"/>
  <c r="M9" i="9"/>
  <c r="L9" i="9"/>
  <c r="K9" i="9"/>
  <c r="J9" i="9"/>
  <c r="I9" i="9"/>
  <c r="H9" i="9"/>
  <c r="O8" i="9"/>
  <c r="N8" i="9"/>
  <c r="M8" i="9"/>
  <c r="L8" i="9"/>
  <c r="K8" i="9"/>
  <c r="J8" i="9"/>
  <c r="I8" i="9"/>
  <c r="H8" i="9"/>
  <c r="O7" i="9"/>
  <c r="N7" i="9"/>
  <c r="M7" i="9"/>
  <c r="L7" i="9"/>
  <c r="K7" i="9"/>
  <c r="J7" i="9"/>
  <c r="I7" i="9"/>
  <c r="H7" i="9"/>
  <c r="O6" i="9"/>
  <c r="N6" i="9"/>
  <c r="M6" i="9"/>
  <c r="L6" i="9"/>
  <c r="K6" i="9"/>
  <c r="J6" i="9"/>
  <c r="I6" i="9"/>
  <c r="H6" i="9"/>
  <c r="O5" i="9"/>
  <c r="N5" i="9"/>
  <c r="M5" i="9"/>
  <c r="L5" i="9"/>
  <c r="K5" i="9"/>
  <c r="J5" i="9"/>
  <c r="I5" i="9"/>
  <c r="H5" i="9"/>
  <c r="O4" i="9"/>
  <c r="N4" i="9"/>
  <c r="M4" i="9"/>
  <c r="L4" i="9"/>
  <c r="K4" i="9"/>
  <c r="J4" i="9"/>
  <c r="I4" i="9"/>
  <c r="H4" i="9"/>
  <c r="O3" i="9"/>
  <c r="N3" i="9"/>
  <c r="M3" i="9"/>
  <c r="L3" i="9"/>
  <c r="K3" i="9"/>
  <c r="J3" i="9"/>
  <c r="I3" i="9"/>
  <c r="H3" i="9"/>
  <c r="O2" i="9"/>
  <c r="N2" i="9"/>
  <c r="M2" i="9"/>
  <c r="L2" i="9"/>
  <c r="K2" i="9"/>
  <c r="J2" i="9"/>
  <c r="I2" i="9"/>
  <c r="H2" i="9"/>
  <c r="O51" i="9"/>
  <c r="N51" i="9"/>
  <c r="M51" i="9"/>
  <c r="L51" i="9"/>
  <c r="K51" i="9"/>
  <c r="J51" i="9"/>
  <c r="I51" i="9"/>
  <c r="H51" i="9"/>
  <c r="G51" i="9"/>
  <c r="O50" i="9"/>
  <c r="N50" i="9"/>
  <c r="M50" i="9"/>
  <c r="L50" i="9"/>
  <c r="K50" i="9"/>
  <c r="J50" i="9"/>
  <c r="I50" i="9"/>
  <c r="H50" i="9"/>
  <c r="G50" i="9"/>
  <c r="O49" i="9"/>
  <c r="N49" i="9"/>
  <c r="M49" i="9"/>
  <c r="L49" i="9"/>
  <c r="K49" i="9"/>
  <c r="J49" i="9"/>
  <c r="I49" i="9"/>
  <c r="H49" i="9"/>
  <c r="G49" i="9"/>
  <c r="O48" i="9"/>
  <c r="N48" i="9"/>
  <c r="M48" i="9"/>
  <c r="L48" i="9"/>
  <c r="K48" i="9"/>
  <c r="J48" i="9"/>
  <c r="I48" i="9"/>
  <c r="H48" i="9"/>
  <c r="G48" i="9"/>
  <c r="O47" i="9"/>
  <c r="N47" i="9"/>
  <c r="M47" i="9"/>
  <c r="L47" i="9"/>
  <c r="K47" i="9"/>
  <c r="J47" i="9"/>
  <c r="I47" i="9"/>
  <c r="H47" i="9"/>
  <c r="G47" i="9"/>
  <c r="O46" i="9"/>
  <c r="N46" i="9"/>
  <c r="M46" i="9"/>
  <c r="L46" i="9"/>
  <c r="K46" i="9"/>
  <c r="J46" i="9"/>
  <c r="I46" i="9"/>
  <c r="H46" i="9"/>
  <c r="G46" i="9"/>
  <c r="O45" i="9"/>
  <c r="N45" i="9"/>
  <c r="M45" i="9"/>
  <c r="L45" i="9"/>
  <c r="K45" i="9"/>
  <c r="J45" i="9"/>
  <c r="I45" i="9"/>
  <c r="H45" i="9"/>
  <c r="G45" i="9"/>
  <c r="O44" i="9"/>
  <c r="N44" i="9"/>
  <c r="M44" i="9"/>
  <c r="L44" i="9"/>
  <c r="K44" i="9"/>
  <c r="J44" i="9"/>
  <c r="I44" i="9"/>
  <c r="G44" i="9"/>
  <c r="O43" i="9"/>
  <c r="N43" i="9"/>
  <c r="M43" i="9"/>
  <c r="L43" i="9"/>
  <c r="K43" i="9"/>
  <c r="J43" i="9"/>
  <c r="I43" i="9"/>
  <c r="H43" i="9"/>
  <c r="G43" i="9"/>
  <c r="O42" i="9"/>
  <c r="N42" i="9"/>
  <c r="M42" i="9"/>
  <c r="L42" i="9"/>
  <c r="K42" i="9"/>
  <c r="J42" i="9"/>
  <c r="I42" i="9"/>
  <c r="H42" i="9"/>
  <c r="G42" i="9"/>
  <c r="O41" i="9"/>
  <c r="N41" i="9"/>
  <c r="M41" i="9"/>
  <c r="L41" i="9"/>
  <c r="K41" i="9"/>
  <c r="J41" i="9"/>
  <c r="I41" i="9"/>
  <c r="H41" i="9"/>
  <c r="G41" i="9"/>
  <c r="O40" i="9"/>
  <c r="N40" i="9"/>
  <c r="M40" i="9"/>
  <c r="L40" i="9"/>
  <c r="K40" i="9"/>
  <c r="J40" i="9"/>
  <c r="I40" i="9"/>
  <c r="H40" i="9"/>
  <c r="G40" i="9"/>
  <c r="O39" i="9"/>
  <c r="N39" i="9"/>
  <c r="M39" i="9"/>
  <c r="L39" i="9"/>
  <c r="K39" i="9"/>
  <c r="J39" i="9"/>
  <c r="I39" i="9"/>
  <c r="H39" i="9"/>
  <c r="G39" i="9"/>
  <c r="O38" i="9"/>
  <c r="N38" i="9"/>
  <c r="M38" i="9"/>
  <c r="L38" i="9"/>
  <c r="K38" i="9"/>
  <c r="J38" i="9"/>
  <c r="I38" i="9"/>
  <c r="H38" i="9"/>
  <c r="G38" i="9"/>
  <c r="O37" i="9"/>
  <c r="N37" i="9"/>
  <c r="M37" i="9"/>
  <c r="L37" i="9"/>
  <c r="K37" i="9"/>
  <c r="J37" i="9"/>
  <c r="I37" i="9"/>
  <c r="H37" i="9"/>
  <c r="G37" i="9"/>
  <c r="O36" i="9"/>
  <c r="N36" i="9"/>
  <c r="M36" i="9"/>
  <c r="L36" i="9"/>
  <c r="K36" i="9"/>
  <c r="J36" i="9"/>
  <c r="I36" i="9"/>
  <c r="H36" i="9"/>
  <c r="G36" i="9"/>
  <c r="O35" i="9"/>
  <c r="N35" i="9"/>
  <c r="M35" i="9"/>
  <c r="L35" i="9"/>
  <c r="K35" i="9"/>
  <c r="J35" i="9"/>
  <c r="I35" i="9"/>
  <c r="H35" i="9"/>
  <c r="G35" i="9"/>
  <c r="O34" i="9"/>
  <c r="N34" i="9"/>
  <c r="M34" i="9"/>
  <c r="L34" i="9"/>
  <c r="K34" i="9"/>
  <c r="J34" i="9"/>
  <c r="I34" i="9"/>
  <c r="H34" i="9"/>
  <c r="G34" i="9"/>
  <c r="O33" i="9"/>
  <c r="N33" i="9"/>
  <c r="M33" i="9"/>
  <c r="L33" i="9"/>
  <c r="K33" i="9"/>
  <c r="J33" i="9"/>
  <c r="I33" i="9"/>
  <c r="H33" i="9"/>
  <c r="G33" i="9"/>
  <c r="O32" i="9"/>
  <c r="N32" i="9"/>
  <c r="M32" i="9"/>
  <c r="L32" i="9"/>
  <c r="K32" i="9"/>
  <c r="J32" i="9"/>
  <c r="I32" i="9"/>
  <c r="H32" i="9"/>
  <c r="G32" i="9"/>
  <c r="O31" i="9"/>
  <c r="N31" i="9"/>
  <c r="M31" i="9"/>
  <c r="L31" i="9"/>
  <c r="K31" i="9"/>
  <c r="J31" i="9"/>
  <c r="I31" i="9"/>
  <c r="H31" i="9"/>
  <c r="G31" i="9"/>
  <c r="O30" i="9"/>
  <c r="N30" i="9"/>
  <c r="M30" i="9"/>
  <c r="L30" i="9"/>
  <c r="K30" i="9"/>
  <c r="J30" i="9"/>
  <c r="I30" i="9"/>
  <c r="H30" i="9"/>
  <c r="G30" i="9"/>
  <c r="O29" i="9"/>
  <c r="N29" i="9"/>
  <c r="M29" i="9"/>
  <c r="L29" i="9"/>
  <c r="K29" i="9"/>
  <c r="J29" i="9"/>
  <c r="I29" i="9"/>
  <c r="H29" i="9"/>
  <c r="G29" i="9"/>
  <c r="O28" i="9"/>
  <c r="N28" i="9"/>
  <c r="M28" i="9"/>
  <c r="L28" i="9"/>
  <c r="K28" i="9"/>
  <c r="J28" i="9"/>
  <c r="I28" i="9"/>
  <c r="H28" i="9"/>
  <c r="G28" i="9"/>
  <c r="O26" i="9"/>
  <c r="N26" i="9"/>
  <c r="M26" i="9"/>
  <c r="L26" i="9"/>
  <c r="K26" i="9"/>
  <c r="J26" i="9"/>
  <c r="I26" i="9"/>
  <c r="H26" i="9"/>
  <c r="G26" i="9"/>
  <c r="O25" i="9"/>
  <c r="N25" i="9"/>
  <c r="M25" i="9"/>
  <c r="L25" i="9"/>
  <c r="K25" i="9"/>
  <c r="J25" i="9"/>
  <c r="I25" i="9"/>
  <c r="H25" i="9"/>
  <c r="G25" i="9"/>
  <c r="O24" i="9"/>
  <c r="N24" i="9"/>
  <c r="M24" i="9"/>
  <c r="L24" i="9"/>
  <c r="K24" i="9"/>
  <c r="J24" i="9"/>
  <c r="I24" i="9"/>
  <c r="H24" i="9"/>
  <c r="G24" i="9"/>
  <c r="O23" i="9"/>
  <c r="N23" i="9"/>
  <c r="M23" i="9"/>
  <c r="L23" i="9"/>
  <c r="K23" i="9"/>
  <c r="J23" i="9"/>
  <c r="I23" i="9"/>
  <c r="H23" i="9"/>
  <c r="G23" i="9"/>
  <c r="O22" i="9"/>
  <c r="N22" i="9"/>
  <c r="M22" i="9"/>
  <c r="L22" i="9"/>
  <c r="K22" i="9"/>
  <c r="J22" i="9"/>
  <c r="I22" i="9"/>
  <c r="H22" i="9"/>
  <c r="G22" i="9"/>
  <c r="O20" i="9"/>
  <c r="N20" i="9"/>
  <c r="M20" i="9"/>
  <c r="L20" i="9"/>
  <c r="K20" i="9"/>
  <c r="J20" i="9"/>
  <c r="I20" i="9"/>
  <c r="H20" i="9"/>
  <c r="G20" i="9"/>
  <c r="O19" i="9"/>
  <c r="N19" i="9"/>
  <c r="M19" i="9"/>
  <c r="L19" i="9"/>
  <c r="K19" i="9"/>
  <c r="J19" i="9"/>
  <c r="I19" i="9"/>
  <c r="H19" i="9"/>
  <c r="G19" i="9"/>
  <c r="O18" i="9"/>
  <c r="N18" i="9"/>
  <c r="M18" i="9"/>
  <c r="L18" i="9"/>
  <c r="K18" i="9"/>
  <c r="J18" i="9"/>
  <c r="I18" i="9"/>
  <c r="H18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6" i="9"/>
  <c r="D26" i="9"/>
  <c r="E25" i="9"/>
  <c r="D25" i="9"/>
  <c r="E24" i="9"/>
  <c r="D24" i="9"/>
  <c r="E23" i="9"/>
  <c r="D23" i="9"/>
  <c r="E22" i="9"/>
  <c r="D22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AA2" i="10"/>
  <c r="AA49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AA48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AA47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AA46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AA45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AA44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AA43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AA42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AA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AA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AA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A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AA37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AA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AA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AA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A33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AA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AA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AA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AA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AA28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AA27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AA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AA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AA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AA23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AA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AA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AA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AA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AA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A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AA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AA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AA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AA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AA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AA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AA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A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AA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AA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AA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AA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AA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A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Q51" i="9"/>
  <c r="A51" i="9"/>
  <c r="Q50" i="9"/>
  <c r="A50" i="9"/>
  <c r="Q49" i="9"/>
  <c r="A49" i="9"/>
  <c r="Q48" i="9"/>
  <c r="A48" i="9"/>
  <c r="Q47" i="9"/>
  <c r="A47" i="9"/>
  <c r="Q46" i="9"/>
  <c r="A46" i="9"/>
  <c r="Q45" i="9"/>
  <c r="A45" i="9"/>
  <c r="Q44" i="9"/>
  <c r="A44" i="9"/>
  <c r="Q43" i="9"/>
  <c r="A43" i="9"/>
  <c r="Q42" i="9"/>
  <c r="A42" i="9"/>
  <c r="Q41" i="9"/>
  <c r="A41" i="9"/>
  <c r="Q40" i="9"/>
  <c r="A40" i="9"/>
  <c r="Q39" i="9"/>
  <c r="A39" i="9"/>
  <c r="Q38" i="9"/>
  <c r="A38" i="9"/>
  <c r="Q37" i="9"/>
  <c r="A37" i="9"/>
  <c r="Q36" i="9"/>
  <c r="A36" i="9"/>
  <c r="Q35" i="9"/>
  <c r="A35" i="9"/>
  <c r="Q34" i="9"/>
  <c r="A34" i="9"/>
  <c r="Q33" i="9"/>
  <c r="A33" i="9"/>
  <c r="Q32" i="9"/>
  <c r="A32" i="9"/>
  <c r="Q31" i="9"/>
  <c r="A31" i="9"/>
  <c r="Q30" i="9"/>
  <c r="A30" i="9"/>
  <c r="Q29" i="9"/>
  <c r="A29" i="9"/>
  <c r="Q28" i="9"/>
  <c r="A28" i="9"/>
  <c r="Q26" i="9"/>
  <c r="A26" i="9"/>
  <c r="Q25" i="9"/>
  <c r="A25" i="9"/>
  <c r="Q24" i="9"/>
  <c r="A24" i="9"/>
  <c r="Q23" i="9"/>
  <c r="A23" i="9"/>
  <c r="Q22" i="9"/>
  <c r="A22" i="9"/>
  <c r="Q20" i="9"/>
  <c r="A20" i="9"/>
  <c r="Q19" i="9"/>
  <c r="A19" i="9"/>
  <c r="Q18" i="9"/>
  <c r="A18" i="9"/>
  <c r="Q17" i="9"/>
  <c r="A17" i="9"/>
  <c r="Q16" i="9"/>
  <c r="A16" i="9"/>
  <c r="Q15" i="9"/>
  <c r="A15" i="9"/>
  <c r="Q14" i="9"/>
  <c r="A14" i="9"/>
  <c r="Q13" i="9"/>
  <c r="A13" i="9"/>
  <c r="Q12" i="9"/>
  <c r="A12" i="9"/>
  <c r="Q11" i="9"/>
  <c r="A11" i="9"/>
  <c r="Q10" i="9"/>
  <c r="A10" i="9"/>
  <c r="Q9" i="9"/>
  <c r="A9" i="9"/>
  <c r="Q8" i="9"/>
  <c r="A8" i="9"/>
  <c r="Q7" i="9"/>
  <c r="A7" i="9"/>
  <c r="Q6" i="9"/>
  <c r="A6" i="9"/>
  <c r="Q5" i="9"/>
  <c r="A5" i="9"/>
  <c r="Q4" i="9"/>
  <c r="A4" i="9"/>
  <c r="Q3" i="9"/>
  <c r="A3" i="9"/>
  <c r="Q2" i="9"/>
  <c r="A2" i="9"/>
  <c r="W9" i="7"/>
  <c r="R9" i="7"/>
  <c r="Q9" i="7"/>
  <c r="P9" i="7"/>
  <c r="O9" i="7"/>
  <c r="N9" i="7"/>
  <c r="H9" i="7"/>
  <c r="J9" i="7"/>
  <c r="I9" i="7"/>
  <c r="D9" i="7"/>
  <c r="F9" i="7"/>
  <c r="E9" i="7"/>
  <c r="A9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W2" i="7"/>
  <c r="R2" i="7"/>
  <c r="Q2" i="7"/>
  <c r="P2" i="7"/>
  <c r="O2" i="7"/>
  <c r="N2" i="7"/>
  <c r="H2" i="7"/>
  <c r="J2" i="7"/>
  <c r="I2" i="7"/>
  <c r="D2" i="7"/>
  <c r="F2" i="7"/>
  <c r="E2" i="7"/>
  <c r="A2" i="7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H2" i="1"/>
  <c r="J2" i="1"/>
  <c r="I2" i="1"/>
  <c r="D2" i="1"/>
  <c r="F2" i="1"/>
  <c r="E2" i="1"/>
  <c r="A2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C13" i="16"/>
  <c r="E13" i="16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E12" i="16"/>
  <c r="C10" i="16"/>
  <c r="C11" i="16"/>
  <c r="E11" i="16"/>
  <c r="B2" i="19"/>
  <c r="G2" i="19"/>
  <c r="F2" i="19"/>
  <c r="D2" i="19"/>
  <c r="C2" i="19"/>
  <c r="E10" i="16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<sst xmlns="http://schemas.openxmlformats.org/spreadsheetml/2006/main" count="1257" uniqueCount="426">
  <si>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</si>
  <si>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</si>
  <si>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</si>
  <si>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</si>
  <si>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</si>
  <si>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</si>
  <si>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</si>
  <si>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</si>
  <si>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</si>
  <si>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</si>
  <si>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</si>
  <si>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</si>
  <si>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</si>
  <si>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</si>
  <si>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</si>
  <si>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</si>
  <si>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</si>
  <si>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</si>
  <si>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</si>
  <si>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</si>
  <si>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</si>
  <si>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</si>
  <si>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</si>
  <si>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</si>
  <si>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</si>
  <si>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</si>
  <si>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</si>
  <si>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</si>
  <si>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</si>
  <si>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</si>
  <si>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</si>
  <si>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</si>
  <si>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</si>
  <si>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</si>
  <si>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</si>
  <si>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</si>
  <si>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</si>
  <si>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</si>
  <si>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</si>
  <si>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</si>
  <si>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</si>
  <si>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</si>
  <si>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</si>
  <si>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</si>
  <si>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</si>
  <si>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</si>
  <si>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</si>
  <si>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</si>
  <si>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</si>
  <si>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</si>
  <si>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</si>
  <si>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</si>
  <si>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</si>
  <si>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</si>
  <si>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</si>
  <si>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</si>
  <si>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</si>
  <si>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</si>
  <si>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</si>
  <si>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</si>
  <si>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</si>
  <si>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</si>
  <si>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</si>
  <si>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</si>
  <si>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</si>
  <si>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</si>
  <si>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</si>
  <si>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</si>
  <si>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</si>
  <si>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</si>
  <si>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</si>
  <si>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</si>
  <si>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</si>
  <si>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</si>
  <si>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</si>
  <si>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</si>
  <si>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</si>
  <si>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</si>
  <si>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</si>
  <si>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</si>
  <si>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</si>
  <si>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</si>
  <si>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</si>
  <si>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</si>
  <si>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</si>
  <si>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</si>
  <si>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</si>
  <si>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</si>
  <si>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</si>
  <si>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</si>
  <si>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</si>
  <si>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</si>
  <si>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</si>
  <si>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</si>
  <si>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</si>
  <si>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</si>
  <si>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</si>
  <si>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</si>
  <si>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</si>
  <si>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</si>
  <si>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</si>
  <si>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</si>
  <si>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</si>
  <si>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</si>
  <si>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</si>
  <si>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</si>
  <si>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</si>
  <si>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</si>
  <si>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</si>
  <si>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</si>
  <si>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</si>
  <si>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</si>
  <si>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</si>
  <si>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</si>
  <si>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</si>
  <si>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</si>
  <si>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</si>
  <si>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</si>
  <si>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</si>
  <si>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</si>
  <si>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</si>
  <si>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</si>
  <si>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</si>
  <si>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</si>
  <si>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</si>
  <si>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</si>
  <si>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</si>
  <si>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</si>
  <si>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</si>
  <si>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</si>
  <si>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</si>
  <si>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</si>
  <si>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</si>
  <si>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</si>
  <si>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</si>
  <si>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</si>
  <si>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</si>
  <si>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</si>
  <si>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</si>
  <si>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</si>
  <si>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</si>
  <si>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</si>
  <si>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</si>
  <si>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</si>
  <si>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</si>
  <si>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</si>
  <si>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</si>
  <si>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</si>
  <si>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</si>
  <si>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</si>
  <si>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</si>
  <si>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</si>
  <si>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</si>
  <si>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</si>
  <si>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</si>
  <si>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</si>
  <si>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</si>
  <si>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</si>
  <si>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</si>
  <si>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</si>
  <si>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</si>
  <si>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</si>
  <si>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</si>
  <si>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</si>
  <si>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</si>
  <si>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</si>
  <si>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</si>
  <si>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</si>
  <si>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</si>
  <si>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</si>
  <si>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</si>
  <si>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</si>
  <si>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</si>
  <si>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</si>
  <si>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</si>
  <si>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</si>
  <si>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</si>
  <si>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</si>
  <si>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</si>
  <si>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</si>
  <si>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</si>
  <si>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</si>
  <si>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</si>
  <si>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</si>
  <si>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</si>
  <si>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</si>
  <si>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</si>
  <si>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</si>
  <si>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</si>
  <si>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</si>
  <si>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</si>
  <si>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</si>
  <si>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</si>
  <si>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</si>
  <si>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</si>
  <si>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</si>
  <si>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</si>
  <si>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</si>
  <si>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</si>
  <si>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</si>
  <si>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</si>
  <si>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</si>
  <si>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</si>
  <si>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</si>
  <si>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</si>
  <si>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</si>
  <si>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</si>
  <si>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</si>
  <si>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</si>
  <si>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</si>
  <si>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</si>
  <si>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</si>
  <si>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</si>
  <si>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</si>
  <si>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</si>
  <si>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</si>
  <si>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</si>
  <si>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</si>
  <si>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</si>
  <si>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</si>
  <si>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</si>
  <si>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</si>
  <si>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</si>
  <si>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</si>
  <si>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</si>
  <si>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</si>
  <si>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</si>
  <si>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</si>
  <si>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</si>
  <si>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</si>
  <si>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</si>
  <si>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</si>
  <si>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</si>
  <si>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</si>
  <si>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</si>
  <si>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</si>
  <si>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</si>
  <si>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</si>
  <si>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</si>
  <si>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</si>
  <si>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</si>
  <si>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</si>
  <si>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</si>
  <si>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</si>
  <si>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</si>
  <si>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</si>
  <si>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</si>
  <si>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</si>
  <si>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</si>
  <si>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</si>
  <si>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</si>
  <si>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null</t>
    <phoneticPr fontId="5"/>
  </si>
  <si>
    <t>ストール</t>
  </si>
  <si>
    <t>ファイアフォックス</t>
  </si>
  <si>
    <t>ガイル</t>
  </si>
  <si>
    <t>フェルニゲシュ</t>
  </si>
  <si>
    <t>フェルニゲシュ2</t>
  </si>
  <si>
    <t>ヒュドラ</t>
  </si>
  <si>
    <t>ヒュドラ2</t>
  </si>
  <si>
    <t>フェンリル</t>
  </si>
  <si>
    <t>フギンムニン</t>
  </si>
  <si>
    <t>フギンムニン2</t>
  </si>
  <si>
    <t>フギンムニン3</t>
  </si>
  <si>
    <t>[effect:rush, count:2, val:0.5]</t>
    <phoneticPr fontId="5"/>
  </si>
  <si>
    <t>ja</t>
    <phoneticPr fontId="5"/>
  </si>
  <si>
    <t>ダブルホーン</t>
    <phoneticPr fontId="5"/>
  </si>
  <si>
    <t>ストール</t>
    <phoneticPr fontId="5"/>
  </si>
  <si>
    <t>[effect:critical, val:1.2]</t>
    <phoneticPr fontId="5"/>
  </si>
  <si>
    <t>シングルホーン</t>
    <phoneticPr fontId="5"/>
  </si>
  <si>
    <t>クリティカル！</t>
    <phoneticPr fontId="5"/>
  </si>
  <si>
    <t>[effect:damage_anti_tribe, target:unit_all, tribe:animal, val1:1.1, val2:0.1]</t>
    <phoneticPr fontId="5"/>
  </si>
  <si>
    <t>アンチアニマルプラグイン</t>
    <phoneticPr fontId="5"/>
  </si>
  <si>
    <t>ファイアフォックス</t>
    <phoneticPr fontId="5"/>
  </si>
  <si>
    <t xml:space="preserve">[effect:damage_anti_tribe, target:unit_all, tribe:machine, val1:1.1, val2:0.2]    </t>
    <phoneticPr fontId="5"/>
  </si>
  <si>
    <t>ja</t>
    <phoneticPr fontId="5"/>
  </si>
  <si>
    <t>逆にお前を消す方法</t>
    <rPh sb="0" eb="1">
      <t>ギャク</t>
    </rPh>
    <rPh sb="3" eb="4">
      <t>マエ</t>
    </rPh>
    <rPh sb="5" eb="6">
      <t>ケ</t>
    </rPh>
    <rPh sb="7" eb="9">
      <t>ホウホウ</t>
    </rPh>
    <phoneticPr fontId="5"/>
  </si>
  <si>
    <t>ガイル</t>
    <phoneticPr fontId="5"/>
  </si>
  <si>
    <t xml:space="preserve">[effect:degrade_unit, target:unit_all, turn:3, status:heal, val:0.3, animation:degrade_unit_all_heal]    </t>
    <phoneticPr fontId="5"/>
  </si>
  <si>
    <t>ヒールジャミング</t>
    <phoneticPr fontId="5"/>
  </si>
  <si>
    <t>フェルニゲシュ</t>
    <phoneticPr fontId="5"/>
  </si>
  <si>
    <t xml:space="preserve">[effect:change_panel_ratio, turn:4, block_type:heal, val:0.0, animation:block_incidence04]    </t>
    <phoneticPr fontId="5"/>
  </si>
  <si>
    <t>アンチハート</t>
    <phoneticPr fontId="5"/>
  </si>
  <si>
    <t>4ターンハートパネルが出現しない</t>
    <rPh sb="11" eb="13">
      <t>シュツゲン</t>
    </rPh>
    <phoneticPr fontId="5"/>
  </si>
  <si>
    <t>[effect:dark, target:unit_all, turn:1, animation:enemy_dark],[effect:rush, count:1, val:1]</t>
    <phoneticPr fontId="5"/>
  </si>
  <si>
    <t>黒煙ブラスト</t>
    <rPh sb="0" eb="2">
      <t>コクエン</t>
    </rPh>
    <phoneticPr fontId="5"/>
  </si>
  <si>
    <t>[effect:critical, val:1.5]</t>
    <phoneticPr fontId="5"/>
  </si>
  <si>
    <t>金轟サンダーボルト</t>
    <rPh sb="0" eb="1">
      <t>キン</t>
    </rPh>
    <rPh sb="1" eb="2">
      <t>トドロ</t>
    </rPh>
    <phoneticPr fontId="5"/>
  </si>
  <si>
    <t>クリティカル！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</si>
  <si>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</si>
  <si>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マグネコート</t>
    <phoneticPr fontId="5"/>
  </si>
  <si>
    <t>状態異常無効</t>
    <rPh sb="0" eb="6">
      <t>ジョウタイイジョウムコウ</t>
    </rPh>
    <phoneticPr fontId="5"/>
  </si>
  <si>
    <t>フェルニゲシュ2</t>
    <phoneticPr fontId="5"/>
  </si>
  <si>
    <t>[effect:heal, target:enemy_all, val:0.2, animation:enemy_heal],[effect:rush, count:1, val:1]</t>
    <phoneticPr fontId="5"/>
  </si>
  <si>
    <t>電力吸収</t>
    <rPh sb="0" eb="4">
      <t>デンリョクキュウシュウ</t>
    </rPh>
    <phoneticPr fontId="5"/>
  </si>
  <si>
    <t>[effect:change_block, new_block:time_bomb, target:block_yellow, count:6, val:0.2, animation:change_block],[effect:rush, count:1, val:0.7]</t>
    <phoneticPr fontId="5"/>
  </si>
  <si>
    <t>雷鳴ドラゴンエッグ</t>
    <rPh sb="0" eb="2">
      <t>ライメイ</t>
    </rPh>
    <phoneticPr fontId="5"/>
  </si>
  <si>
    <t>[effect:change_block, new_block:time_bomb, target:block_blue, count:6, val:0.2, animation:change_block],[effect:rush, count:1, val:0.7]</t>
    <phoneticPr fontId="5"/>
  </si>
  <si>
    <t>流氷ドラゴンエッグ</t>
    <rPh sb="0" eb="2">
      <t>リュウヒョウ</t>
    </rPh>
    <phoneticPr fontId="5"/>
  </si>
  <si>
    <t>青パネルを時限式パネルに変換</t>
    <rPh sb="0" eb="1">
      <t>アオ</t>
    </rPh>
    <rPh sb="5" eb="8">
      <t>jigeンンsiki</t>
    </rPh>
    <rPh sb="12" eb="14">
      <t>ヘンカン</t>
    </rPh>
    <phoneticPr fontId="5"/>
  </si>
  <si>
    <t>[effect:change_block, new_block:time_bomb, target:block_red, count:6, val:0.2, animation:change_block],[effect:rush, count:1, val:0.7]</t>
    <phoneticPr fontId="5"/>
  </si>
  <si>
    <t>爆炎ドラゴンエッグ</t>
    <rPh sb="0" eb="2">
      <t>bakueンン</t>
    </rPh>
    <phoneticPr fontId="5"/>
  </si>
  <si>
    <t>赤パネルを時限式パネルに変換</t>
    <rPh sb="0" eb="1">
      <t>アカ</t>
    </rPh>
    <rPh sb="5" eb="8">
      <t>jigeンンsiki</t>
    </rPh>
    <rPh sb="12" eb="14">
      <t>ヘンカン</t>
    </rPh>
    <phoneticPr fontId="5"/>
  </si>
  <si>
    <t>[effect:change_block, new_block:time_bomb, target:block_green, count:6, val:0.2, animation:change_block],[effect:rush, count:1, val:0.7]</t>
    <phoneticPr fontId="5"/>
  </si>
  <si>
    <t>深緑ドラゴンエッグ</t>
    <rPh sb="0" eb="2">
      <t>siンryoku</t>
    </rPh>
    <phoneticPr fontId="5"/>
  </si>
  <si>
    <t>緑パネルを時限式パネルに変換</t>
    <rPh sb="0" eb="1">
      <t>ミドリ</t>
    </rPh>
    <rPh sb="5" eb="8">
      <t>jigeンンsiki</t>
    </rPh>
    <rPh sb="12" eb="14">
      <t>ヘンカン</t>
    </rPh>
    <phoneticPr fontId="5"/>
  </si>
  <si>
    <t xml:space="preserve">[effect:virus, turn:5, rate:1, val:0.1, animation:enemy_virus]    </t>
    <phoneticPr fontId="5"/>
  </si>
  <si>
    <t>延焼ウィルス</t>
    <rPh sb="0" eb="2">
      <t>eンsyou</t>
    </rPh>
    <phoneticPr fontId="5"/>
  </si>
  <si>
    <t>ヒュドラ</t>
    <phoneticPr fontId="5"/>
  </si>
  <si>
    <t xml:space="preserve">[effect:damage_anti_tribe, target:unit_all, tribe:machine, val1:1.2, val2:0.2]    </t>
    <phoneticPr fontId="5"/>
  </si>
  <si>
    <t>溶鉱フレア</t>
    <rPh sb="0" eb="2">
      <t>ヨウコウロ</t>
    </rPh>
    <phoneticPr fontId="5"/>
  </si>
  <si>
    <t>ヒートチャージ</t>
    <phoneticPr fontId="5"/>
  </si>
  <si>
    <t>次のターンに大ダメージ</t>
    <rPh sb="0" eb="1">
      <t>ツギ</t>
    </rPh>
    <rPh sb="6" eb="7">
      <t>ダイ</t>
    </rPh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</si>
  <si>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</si>
  <si>
    <t>メタリックコート</t>
    <phoneticPr fontId="5"/>
  </si>
  <si>
    <t>状態異常無効</t>
    <rPh sb="0" eb="4">
      <t>ジョウタイイジョウ</t>
    </rPh>
    <rPh sb="4" eb="6">
      <t>ムコウ</t>
    </rPh>
    <phoneticPr fontId="5"/>
  </si>
  <si>
    <t>ヒュドラ2</t>
    <phoneticPr fontId="5"/>
  </si>
  <si>
    <t>ホーミングミサイル</t>
    <phoneticPr fontId="5"/>
  </si>
  <si>
    <t>[effect:rush, count:1, val:0.8]</t>
    <phoneticPr fontId="5"/>
  </si>
  <si>
    <t>燃料圧縮</t>
    <rPh sb="0" eb="4">
      <t>ネンリョウアッシュク</t>
    </rPh>
    <phoneticPr fontId="5"/>
  </si>
  <si>
    <t>[effect:rush, count:1, val:0.7],[effect:freq_turn, target:enemy_all, turn:-1, val:1, animation:enemy_freq_turn],[effect:enhance_enemy, target:enemy_all, turn:-1, status:attack, val:1.5, calc:mul, animation:enemy_enhance_attack]</t>
    <phoneticPr fontId="5"/>
  </si>
  <si>
    <t>イグニッション</t>
    <phoneticPr fontId="5"/>
  </si>
  <si>
    <t>ヒートチャージEX</t>
    <phoneticPr fontId="5"/>
  </si>
  <si>
    <t xml:space="preserve">[effect:enhance_enemy, target:myself, turn:3, status:defense, val:3000, calc:add, animation:enemy_enhance_defense]    </t>
    <phoneticPr fontId="5"/>
  </si>
  <si>
    <t>深炎の巨壁</t>
    <rPh sb="0" eb="1">
      <t>フカ</t>
    </rPh>
    <rPh sb="1" eb="2">
      <t>ホノオ</t>
    </rPh>
    <rPh sb="3" eb="5">
      <t>kyoheki</t>
    </rPh>
    <phoneticPr fontId="5"/>
  </si>
  <si>
    <t>フェンリル</t>
    <phoneticPr fontId="5"/>
  </si>
  <si>
    <t>[effect:dis_panel, target:block_blue, turn:3, animation:enemy_dis_blue],[effect:rush, count:1, val:1]</t>
    <phoneticPr fontId="5"/>
  </si>
  <si>
    <t>大狼の一睨【蒼】</t>
    <rPh sb="0" eb="1">
      <t>tairou</t>
    </rPh>
    <rPh sb="1" eb="2">
      <t>オオカミ</t>
    </rPh>
    <rPh sb="3" eb="4">
      <t>イチゲイ</t>
    </rPh>
    <rPh sb="4" eb="5">
      <t>ニラ</t>
    </rPh>
    <rPh sb="6" eb="7">
      <t>アオ</t>
    </rPh>
    <phoneticPr fontId="5"/>
  </si>
  <si>
    <t>[effect:dis_panel, target:block_red, turn:3, animation:enemy_dis_red],[effect:rush, count:1, val:1]</t>
    <phoneticPr fontId="5"/>
  </si>
  <si>
    <t>大狼の一睨【紅】</t>
    <rPh sb="0" eb="1">
      <t>tairou</t>
    </rPh>
    <rPh sb="1" eb="2">
      <t>オオカミ</t>
    </rPh>
    <rPh sb="3" eb="4">
      <t>イチゲイ</t>
    </rPh>
    <rPh sb="4" eb="5">
      <t>ニラ</t>
    </rPh>
    <rPh sb="6" eb="7">
      <t>クレナイ</t>
    </rPh>
    <phoneticPr fontId="5"/>
  </si>
  <si>
    <t>[effect:dis_panel, target:block_green, turn:3, animation:enemy_dis_green],[effect:rush, count:1, val:1]</t>
    <phoneticPr fontId="5"/>
  </si>
  <si>
    <t>大狼の一睨【翠】</t>
    <rPh sb="0" eb="1">
      <t>tairou</t>
    </rPh>
    <rPh sb="1" eb="2">
      <t>オオカミ</t>
    </rPh>
    <rPh sb="3" eb="4">
      <t>イチゲイ</t>
    </rPh>
    <rPh sb="4" eb="5">
      <t>ニラ</t>
    </rPh>
    <rPh sb="6" eb="7">
      <t>ヒスイ</t>
    </rPh>
    <phoneticPr fontId="5"/>
  </si>
  <si>
    <t>[effect:rush, count:4, val:0.4]</t>
    <phoneticPr fontId="5"/>
  </si>
  <si>
    <t>火炎連撃</t>
    <rPh sb="0" eb="2">
      <t>カエン</t>
    </rPh>
    <rPh sb="2" eb="3">
      <t>レンゾク</t>
    </rPh>
    <rPh sb="3" eb="4">
      <t>レンゲキ</t>
    </rPh>
    <phoneticPr fontId="5"/>
  </si>
  <si>
    <t xml:space="preserve">[effect:damage_anti_color, target:unit_all, color:green, val1:0.8, val2:0.2]    </t>
    <phoneticPr fontId="5"/>
  </si>
  <si>
    <t>焼き尽くすッ！</t>
    <rPh sb="0" eb="1">
      <t>ヤ</t>
    </rPh>
    <rPh sb="2" eb="3">
      <t>ツ</t>
    </rPh>
    <phoneticPr fontId="5"/>
  </si>
  <si>
    <t>緑属性に大ダメージ！</t>
    <rPh sb="0" eb="3">
      <t>ミドリゾクセイ</t>
    </rPh>
    <rPh sb="4" eb="5">
      <t>ダイ</t>
    </rPh>
    <phoneticPr fontId="5"/>
  </si>
  <si>
    <t>敵襲である！警戒すべし！</t>
    <rPh sb="0" eb="2">
      <t>テキシュウ</t>
    </rPh>
    <rPh sb="6" eb="8">
      <t>ケイカイ</t>
    </rPh>
    <phoneticPr fontId="5"/>
  </si>
  <si>
    <t>フギンムニン</t>
    <phoneticPr fontId="5"/>
  </si>
  <si>
    <t>[effect:rush, count:2, val:0.7]</t>
    <phoneticPr fontId="5"/>
  </si>
  <si>
    <t>ダブルレイヴン</t>
    <phoneticPr fontId="5"/>
  </si>
  <si>
    <t>[effect:hungup, target:unit_machine, turn:4, rate:1, animation:hungup01],[effect:rush, count:1, val:1]</t>
    <phoneticPr fontId="5"/>
  </si>
  <si>
    <t>不届き者は排除すべし！</t>
    <rPh sb="0" eb="2">
      <t>フトド</t>
    </rPh>
    <rPh sb="3" eb="4">
      <t>モノ</t>
    </rPh>
    <rPh sb="5" eb="7">
      <t>ハイジョ</t>
    </rPh>
    <phoneticPr fontId="5"/>
  </si>
  <si>
    <t>セキュリティ再構築せよ！</t>
    <rPh sb="6" eb="9">
      <t>サイコウチク</t>
    </rPh>
    <phoneticPr fontId="5"/>
  </si>
  <si>
    <t>フギンムニン2</t>
    <phoneticPr fontId="5"/>
  </si>
  <si>
    <t xml:space="preserve">[effect:damage_anti_tribe, target:unit_all, tribe:animal, val1:1.3, val2:0.2]    </t>
    <phoneticPr fontId="5"/>
  </si>
  <si>
    <t>無法者はデリートせよ！</t>
    <rPh sb="0" eb="2">
      <t>ムホウ</t>
    </rPh>
    <rPh sb="2" eb="3">
      <t>モノ</t>
    </rPh>
    <phoneticPr fontId="5"/>
  </si>
  <si>
    <t>[effect:dis_panel, target:block_blue, turn:2, animation:enemy_dis_blue],[effect:rush, count:1, val:1]</t>
    <phoneticPr fontId="5"/>
  </si>
  <si>
    <t>危険因子はフリーズすべし！</t>
    <rPh sb="0" eb="4">
      <t>キケンインシ</t>
    </rPh>
    <phoneticPr fontId="5"/>
  </si>
  <si>
    <t>混沌たる戦場を刮目せよ！</t>
    <rPh sb="0" eb="2">
      <t>コントン</t>
    </rPh>
    <rPh sb="4" eb="6">
      <t>センジョウ</t>
    </rPh>
    <rPh sb="7" eb="9">
      <t>カツモク</t>
    </rPh>
    <phoneticPr fontId="5"/>
  </si>
  <si>
    <t>キャッシュクリアすべし！</t>
    <phoneticPr fontId="5"/>
  </si>
  <si>
    <t>[effect:freq_turn, target:enemy_all, turn:-1, val:1, animation:enemy_freq_turn]</t>
  </si>
  <si>
    <t>マズイぞ…さっさと帰るべし！</t>
    <rPh sb="9" eb="10">
      <t>カエ</t>
    </rPh>
    <phoneticPr fontId="5"/>
  </si>
  <si>
    <t>[effect:rush, count:5, val:0.3]</t>
    <phoneticPr fontId="5"/>
  </si>
  <si>
    <t>シャドーレイヴンズ</t>
    <phoneticPr fontId="5"/>
  </si>
  <si>
    <t>ワクチン発射すべし！</t>
    <rPh sb="4" eb="6">
      <t>hassya</t>
    </rPh>
    <phoneticPr fontId="5"/>
  </si>
  <si>
    <t>[effect:change_block, new_block:block_red, target:block_heart, count:0, val:0, animation:change_block],[effect:rush, count:1, val:1]</t>
    <phoneticPr fontId="5"/>
  </si>
  <si>
    <t>CPUオーバーヒート！</t>
    <phoneticPr fontId="5"/>
  </si>
  <si>
    <t>ハートパネルを赤パネルに変換</t>
    <rPh sb="7" eb="8">
      <t>アカ</t>
    </rPh>
    <rPh sb="12" eb="14">
      <t>ヘンカン</t>
    </rPh>
    <phoneticPr fontId="5"/>
  </si>
  <si>
    <t>レイヴンズトリック</t>
    <phoneticPr fontId="5"/>
  </si>
  <si>
    <t>ランダムで威力が変わる攻撃！</t>
    <rPh sb="5" eb="7">
      <t>イリョク</t>
    </rPh>
    <rPh sb="8" eb="9">
      <t>カ</t>
    </rPh>
    <rPh sb="11" eb="13">
      <t>コウゲキ</t>
    </rPh>
    <phoneticPr fontId="5"/>
  </si>
  <si>
    <t>[effect:freq_turn, target:myself, turn:-1, val:1, animation:enemy_freq_turn],[effect:rush, count:1, val:0.5]</t>
    <phoneticPr fontId="5"/>
  </si>
  <si>
    <t>攻撃開始！</t>
    <rPh sb="0" eb="4">
      <t>コウゲキカイシ</t>
    </rPh>
    <phoneticPr fontId="5"/>
  </si>
  <si>
    <t>フギンムニン4</t>
  </si>
  <si>
    <t>バックドア構築中…</t>
    <rPh sb="5" eb="8">
      <t>コウチクチュウ</t>
    </rPh>
    <phoneticPr fontId="5"/>
  </si>
  <si>
    <t>フギンムニン7</t>
  </si>
  <si>
    <t>ウィルス検査中である！</t>
    <rPh sb="4" eb="7">
      <t>ケンサチュウ</t>
    </rPh>
    <phoneticPr fontId="5"/>
  </si>
  <si>
    <t>フギンムニン8</t>
  </si>
  <si>
    <t>[effect:break_attack_fix, val:800, lowest_val:800, count:-1, block:block_green, target:unit_all]</t>
    <phoneticPr fontId="5"/>
  </si>
  <si>
    <t>データ破壊すべし！</t>
    <rPh sb="3" eb="5">
      <t>ハカイ</t>
    </rPh>
    <phoneticPr fontId="5"/>
  </si>
  <si>
    <t>フギンムニン9</t>
  </si>
  <si>
    <t>null</t>
  </si>
  <si>
    <t>加藤</t>
    <rPh sb="0" eb="2">
      <t>カト</t>
    </rPh>
    <phoneticPr fontId="5"/>
  </si>
  <si>
    <t>old</t>
    <phoneticPr fontId="5"/>
  </si>
  <si>
    <t>2回連続攻撃</t>
    <rPh sb="1" eb="2">
      <t>カ</t>
    </rPh>
    <rPh sb="2" eb="6">
      <t>レンゾクコウゲキ</t>
    </rPh>
    <phoneticPr fontId="5"/>
  </si>
  <si>
    <t>種族アニマルに大ダメージ</t>
    <rPh sb="0" eb="2">
      <t>シュゾク</t>
    </rPh>
    <rPh sb="7" eb="8">
      <t>ダイ</t>
    </rPh>
    <phoneticPr fontId="5"/>
  </si>
  <si>
    <t>種族マシンに大ダメージ</t>
    <rPh sb="0" eb="2">
      <t>シュゾク</t>
    </rPh>
    <rPh sb="6" eb="7">
      <t>ダイ</t>
    </rPh>
    <phoneticPr fontId="5"/>
  </si>
  <si>
    <t>3ターン回復力30％DOWN</t>
    <rPh sb="4" eb="7">
      <t>カイフクリョク</t>
    </rPh>
    <phoneticPr fontId="5"/>
  </si>
  <si>
    <t>1ターン暗闇</t>
    <rPh sb="4" eb="6">
      <t>クラヤｍ</t>
    </rPh>
    <phoneticPr fontId="5"/>
  </si>
  <si>
    <t>黄パネルを時限式パネルに変換</t>
    <rPh sb="0" eb="1">
      <t>キイロ</t>
    </rPh>
    <rPh sb="5" eb="8">
      <t>jigeンンsiki</t>
    </rPh>
    <rPh sb="12" eb="14">
      <t>ヘンカン</t>
    </rPh>
    <phoneticPr fontId="5"/>
  </si>
  <si>
    <t>5ターンウィルス</t>
    <phoneticPr fontId="5"/>
  </si>
  <si>
    <t>敵全体の攻撃力UP＆攻撃頻度UP</t>
    <rPh sb="0" eb="3">
      <t>テｋ</t>
    </rPh>
    <rPh sb="4" eb="6">
      <t>コウゲキ</t>
    </rPh>
    <rPh sb="6" eb="7">
      <t>リョク</t>
    </rPh>
    <rPh sb="10" eb="14">
      <t>コウゲｋ</t>
    </rPh>
    <phoneticPr fontId="5"/>
  </si>
  <si>
    <t>自身の防御力特大UP</t>
    <rPh sb="0" eb="2">
      <t>ジシｎ</t>
    </rPh>
    <rPh sb="3" eb="6">
      <t>カイマクボウギョリョク</t>
    </rPh>
    <rPh sb="6" eb="8">
      <t>トクダイ</t>
    </rPh>
    <phoneticPr fontId="5"/>
  </si>
  <si>
    <t>4回連続攻撃</t>
    <rPh sb="1" eb="2">
      <t>カ</t>
    </rPh>
    <rPh sb="2" eb="6">
      <t>レンゾクコウゲキ</t>
    </rPh>
    <phoneticPr fontId="5"/>
  </si>
  <si>
    <t>4ターン種族マシンにスキルバインド</t>
    <rPh sb="4" eb="6">
      <t>シュゾク</t>
    </rPh>
    <phoneticPr fontId="5"/>
  </si>
  <si>
    <t>2ターン青パネル無効</t>
    <rPh sb="4" eb="5">
      <t>アオ</t>
    </rPh>
    <rPh sb="8" eb="10">
      <t>ムコ</t>
    </rPh>
    <phoneticPr fontId="5"/>
  </si>
  <si>
    <t>HP40％以下で大量パネル変換＆
3ターン防御力特大UP</t>
    <rPh sb="5" eb="7">
      <t>イカ</t>
    </rPh>
    <rPh sb="8" eb="10">
      <t>タイリョウ</t>
    </rPh>
    <rPh sb="13" eb="15">
      <t>ヘンカン</t>
    </rPh>
    <rPh sb="21" eb="24">
      <t>ボウギョリョク</t>
    </rPh>
    <rPh sb="24" eb="26">
      <t>トクダイ</t>
    </rPh>
    <phoneticPr fontId="5"/>
  </si>
  <si>
    <t>攻撃頻度UP＆次のターン5回連続攻撃</t>
    <rPh sb="0" eb="4">
      <t>コウゲｋ</t>
    </rPh>
    <rPh sb="7" eb="8">
      <t>ツギ</t>
    </rPh>
    <rPh sb="13" eb="14">
      <t>カ</t>
    </rPh>
    <rPh sb="14" eb="18">
      <t>レンゾクコウゲキ</t>
    </rPh>
    <phoneticPr fontId="5"/>
  </si>
  <si>
    <t>5回連続攻撃＆次のターンパネル変換</t>
    <rPh sb="1" eb="2">
      <t>カ</t>
    </rPh>
    <rPh sb="2" eb="6">
      <t>レンゾクコウゲキ</t>
    </rPh>
    <rPh sb="7" eb="8">
      <t>ツギ</t>
    </rPh>
    <rPh sb="15" eb="17">
      <t>ヘンカン</t>
    </rPh>
    <phoneticPr fontId="5"/>
  </si>
  <si>
    <t>時限パネル大量発生&amp;青パネル無効</t>
    <rPh sb="0" eb="2">
      <t>jigeンン</t>
    </rPh>
    <rPh sb="5" eb="9">
      <t>タイリョウハッセイ</t>
    </rPh>
    <rPh sb="10" eb="11">
      <t>アオ</t>
    </rPh>
    <rPh sb="14" eb="16">
      <t>ムコ</t>
    </rPh>
    <phoneticPr fontId="5"/>
  </si>
  <si>
    <t>3ターン青パネル無効</t>
    <rPh sb="4" eb="5">
      <t>アオ</t>
    </rPh>
    <rPh sb="8" eb="10">
      <t>ムコ</t>
    </rPh>
    <phoneticPr fontId="5"/>
  </si>
  <si>
    <t>3ターン赤パネル無効</t>
    <rPh sb="4" eb="5">
      <t>アカ</t>
    </rPh>
    <rPh sb="8" eb="10">
      <t>ムコ</t>
    </rPh>
    <phoneticPr fontId="5"/>
  </si>
  <si>
    <t>3ターン緑パネル無効</t>
    <rPh sb="4" eb="5">
      <t>ミドリ</t>
    </rPh>
    <rPh sb="8" eb="10">
      <t>ムコ</t>
    </rPh>
    <phoneticPr fontId="5"/>
  </si>
  <si>
    <t>攻撃頻度UP</t>
    <rPh sb="0" eb="4">
      <t>コウゲｋ</t>
    </rPh>
    <phoneticPr fontId="5"/>
  </si>
  <si>
    <t>3ターン後に攻撃頻度UP</t>
    <rPh sb="4" eb="5">
      <t>ゴ</t>
    </rPh>
    <rPh sb="6" eb="10">
      <t>コウゲｋ</t>
    </rPh>
    <phoneticPr fontId="5"/>
  </si>
  <si>
    <t>緑パネルドロップ率DOWN＆
次のターン緑パネル吸収攻撃</t>
    <rPh sb="20" eb="21">
      <t>ミドリ</t>
    </rPh>
    <rPh sb="24" eb="26">
      <t>キュウシュ</t>
    </rPh>
    <rPh sb="26" eb="28">
      <t>コウゲキ</t>
    </rPh>
    <phoneticPr fontId="5"/>
  </si>
  <si>
    <t>緑パネル吸収攻撃</t>
    <rPh sb="0" eb="1">
      <t>ミドリ</t>
    </rPh>
    <rPh sb="4" eb="6">
      <t>キュウシュ</t>
    </rPh>
    <rPh sb="6" eb="8">
      <t>ハカイコウゲキ</t>
    </rPh>
    <phoneticPr fontId="5"/>
  </si>
  <si>
    <t>[effect:enemy_message, val1:1.2, val2:2.2],[effect:enhance_enemy, target:myself, turn:3, status:defense, val:6000, calc:add, animation:enemy_enhance_defense],[effect:change_block,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t>
    <phoneticPr fontId="5"/>
  </si>
  <si>
    <t>[effect:enemy_message, val1:1.2, val2:2.2],[effect:degrade_fever, val:1000, animation:fevergauge_down],[effect:remove_enhancement,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</si>
  <si>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 xml:space="preserve">[effect:enemy_message, val1:1.2, val2:2.2],[effect:rush, count:1, val:0.8],[effect:change_panel_ratio, turn:2, block_type:green, val:0, animation:block_incidence04]    </t>
    <phoneticPr fontId="5"/>
  </si>
  <si>
    <t>次のターンに敵全体の攻撃力UP＆攻撃頻度UP</t>
    <rPh sb="0" eb="1">
      <t>ツギ</t>
    </rPh>
    <rPh sb="6" eb="7">
      <t>teki</t>
    </rPh>
    <rPh sb="7" eb="9">
      <t>ゼンタイ</t>
    </rPh>
    <rPh sb="10" eb="13">
      <t>コウゲキ</t>
    </rPh>
    <rPh sb="16" eb="20">
      <t>コウゲｋ</t>
    </rPh>
    <phoneticPr fontId="5"/>
  </si>
  <si>
    <t>[effect:fix_speed, target:enemy_blue, turn:1],[effect:fix_speed, target:enemy_red, turn:2],[effect:fix_speed, target:enemy_green, turn:3]</t>
    <phoneticPr fontId="5"/>
  </si>
  <si>
    <t>フィーバーゲージ100％DOWN＆
状態異常無効＆
すべてのプラス効果を解除</t>
    <rPh sb="18" eb="24">
      <t>ジョウタイイジョウムコウ</t>
    </rPh>
    <rPh sb="33" eb="35">
      <t>コウｋ</t>
    </rPh>
    <rPh sb="36" eb="38">
      <t>カ</t>
    </rPh>
    <phoneticPr fontId="5"/>
  </si>
  <si>
    <t>[effect:rush, count:3, val:0.3]</t>
    <phoneticPr fontId="5"/>
  </si>
  <si>
    <t>[effect:rush, count:3, val:0.4]</t>
    <phoneticPr fontId="5"/>
  </si>
  <si>
    <t>[effect:rush, count:3, val:0.45]</t>
    <phoneticPr fontId="5"/>
  </si>
  <si>
    <t>[effect:rush, count:3, val:0.5]</t>
    <phoneticPr fontId="5"/>
  </si>
  <si>
    <t>link</t>
  </si>
  <si>
    <t>unit</t>
  </si>
  <si>
    <t>ja</t>
    <phoneticPr fontId="5"/>
  </si>
  <si>
    <t>3ターン以内に敵の数を減らしましょう</t>
    <rPh sb="4" eb="6">
      <t>イナイ</t>
    </rPh>
    <rPh sb="7" eb="8">
      <t>テキ</t>
    </rPh>
    <rPh sb="9" eb="10">
      <t>カズ</t>
    </rPh>
    <rPh sb="11" eb="12">
      <t>ヘ</t>
    </rPh>
    <phoneticPr fontId="5"/>
  </si>
  <si>
    <t>NULL</t>
    <phoneticPr fontId="5"/>
  </si>
  <si>
    <t>ストールはHPが残り少なくなると
クリティカル攻撃をしてきます</t>
    <rPh sb="8" eb="9">
      <t>ノコ</t>
    </rPh>
    <rPh sb="10" eb="11">
      <t>スク</t>
    </rPh>
    <rPh sb="23" eb="25">
      <t>コウゲキ</t>
    </rPh>
    <phoneticPr fontId="5"/>
  </si>
  <si>
    <t>攻撃ターン数の早い敵から倒すと
攻略が楽になります</t>
    <rPh sb="0" eb="2">
      <t>コウゲキ</t>
    </rPh>
    <rPh sb="5" eb="6">
      <t>スウ</t>
    </rPh>
    <rPh sb="7" eb="8">
      <t>ハヤ</t>
    </rPh>
    <rPh sb="9" eb="10">
      <t>teki</t>
    </rPh>
    <rPh sb="12" eb="13">
      <t>タオ</t>
    </rPh>
    <rPh sb="16" eb="18">
      <t>コウリャク</t>
    </rPh>
    <rPh sb="19" eb="20">
      <t>ラク</t>
    </rPh>
    <phoneticPr fontId="5"/>
  </si>
  <si>
    <t>ロックされてしまったパネルは
パネル破壊や変換スキルで消しましょう</t>
    <rPh sb="18" eb="20">
      <t>ハカイコウゲキ</t>
    </rPh>
    <rPh sb="21" eb="23">
      <t>ヘンカン</t>
    </rPh>
    <rPh sb="27" eb="28">
      <t>ケ</t>
    </rPh>
    <phoneticPr fontId="5"/>
  </si>
  <si>
    <t>2ゲージ目のHPが少なくなると
パネルを大量に変換するスキルを行います
フィーバーを溜めておきましょう</t>
    <rPh sb="4" eb="5">
      <t>メ</t>
    </rPh>
    <rPh sb="9" eb="10">
      <t>スク</t>
    </rPh>
    <rPh sb="20" eb="22">
      <t>タイリョウ</t>
    </rPh>
    <rPh sb="23" eb="25">
      <t>ヘンカン</t>
    </rPh>
    <rPh sb="31" eb="32">
      <t>オコナ</t>
    </rPh>
    <rPh sb="42" eb="43">
      <t>タ</t>
    </rPh>
    <rPh sb="44" eb="45">
      <t>tamete</t>
    </rPh>
    <phoneticPr fontId="5"/>
  </si>
  <si>
    <t>ja</t>
    <phoneticPr fontId="5"/>
  </si>
  <si>
    <t>3ゲージ目の連続攻撃は
防御力UPスキルで乗り切りましょう</t>
    <rPh sb="4" eb="5">
      <t>メ</t>
    </rPh>
    <rPh sb="6" eb="10">
      <t>レンゾクコウゲキ</t>
    </rPh>
    <rPh sb="12" eb="15">
      <t>ボウギョリョク</t>
    </rPh>
    <rPh sb="21" eb="22">
      <t>ノ</t>
    </rPh>
    <rPh sb="23" eb="24">
      <t>キ</t>
    </rPh>
    <phoneticPr fontId="5"/>
  </si>
  <si>
    <t>NULL</t>
    <phoneticPr fontId="5"/>
  </si>
  <si>
    <t>unit</t>
    <phoneticPr fontId="7"/>
  </si>
  <si>
    <t>ヒートブレス</t>
    <phoneticPr fontId="5"/>
  </si>
  <si>
    <t>[effect:critical, val:1.5]</t>
    <phoneticPr fontId="5"/>
  </si>
  <si>
    <t>[effect:critical, val:1.5]</t>
    <phoneticPr fontId="5"/>
  </si>
  <si>
    <t>[effect:critical, val:1.6]</t>
    <phoneticPr fontId="5"/>
  </si>
  <si>
    <t>[effect:rush, count:1, val:0.2]</t>
    <phoneticPr fontId="5"/>
  </si>
  <si>
    <t>[effect:rush, count:1, val:0.5]</t>
    <phoneticPr fontId="5"/>
  </si>
  <si>
    <t>[effect:force_change_block, new_block:time_bomb, target:block_all, ignore01:block_positive, ignore02:block_negative, count:12, val:0.3],[effect:dis_panel, target:block_blue, turn:3, animation:enemy_dis_blue],[effect:rush, count:1, val:1]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</si>
</sst>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_);[Red]\(0\)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.8"/>
      <color rgb="FF000000"/>
      <name val="Arial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29" fillId="0" borderId="7" xfId="0" applyFont="1" applyFill="1" applyBorder="1" applyAlignment="1">
      <alignment vertical="center"/>
    </xf>
    <xf numFmtId="177" fontId="4" fillId="0" borderId="3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0" fontId="52" fillId="0" borderId="7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52" fillId="13" borderId="7" xfId="0" applyFont="1" applyFill="1" applyBorder="1" applyAlignment="1">
      <alignment vertical="center"/>
    </xf>
    <xf numFmtId="176" fontId="8" fillId="13" borderId="4" xfId="0" applyNumberFormat="1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12" xfId="0" applyFont="1" applyFill="1" applyBorder="1"/>
    <xf numFmtId="0" fontId="0" fillId="0" borderId="23" xfId="0" applyBorder="1"/>
    <xf numFmtId="0" fontId="0" fillId="0" borderId="24" xfId="0" applyBorder="1"/>
    <xf numFmtId="0" fontId="0" fillId="0" borderId="7" xfId="0" applyFill="1" applyBorder="1"/>
    <xf numFmtId="0" fontId="0" fillId="0" borderId="25" xfId="0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27" fillId="0" borderId="25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Fill="1" applyBorder="1" applyAlignment="1">
      <alignment vertical="center"/>
    </xf>
    <xf numFmtId="0" fontId="27" fillId="0" borderId="7" xfId="0" applyFont="1" applyFill="1" applyBorder="1" applyAlignment="1">
      <alignment vertical="top"/>
    </xf>
    <xf numFmtId="0" fontId="28" fillId="0" borderId="7" xfId="0" applyFont="1" applyFill="1" applyBorder="1" applyAlignment="1">
      <alignment vertical="top"/>
    </xf>
    <xf numFmtId="0" fontId="29" fillId="3" borderId="12" xfId="0" applyFont="1" applyFill="1" applyBorder="1" applyAlignment="1">
      <alignment vertical="top"/>
    </xf>
    <xf numFmtId="0" fontId="30" fillId="0" borderId="7" xfId="0" applyFont="1" applyFill="1" applyBorder="1" applyAlignment="1">
      <alignment vertical="top"/>
    </xf>
    <xf numFmtId="0" fontId="29" fillId="0" borderId="12" xfId="0" applyFont="1" applyFill="1" applyBorder="1" applyAlignment="1">
      <alignment vertical="top"/>
    </xf>
    <xf numFmtId="0" fontId="30" fillId="30" borderId="7" xfId="0" applyFont="1" applyFill="1" applyBorder="1" applyAlignment="1">
      <alignment vertical="top"/>
    </xf>
    <xf numFmtId="0" fontId="30" fillId="14" borderId="7" xfId="0" applyFont="1" applyFill="1" applyBorder="1" applyAlignment="1">
      <alignment vertical="top"/>
    </xf>
    <xf numFmtId="0" fontId="31" fillId="0" borderId="7" xfId="0" applyFont="1" applyFill="1" applyBorder="1" applyAlignment="1">
      <alignment vertical="top"/>
    </xf>
    <xf numFmtId="38" fontId="16" fillId="0" borderId="7" xfId="628" applyFont="1" applyFill="1" applyBorder="1" applyAlignment="1">
      <alignment vertical="top" wrapText="1"/>
    </xf>
    <xf numFmtId="0" fontId="0" fillId="0" borderId="7" xfId="0" applyBorder="1" applyAlignment="1">
      <alignment vertical="top"/>
    </xf>
    <xf numFmtId="0" fontId="0" fillId="0" borderId="29" xfId="0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event_advent_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40009_1-1</v>
          </cell>
        </row>
        <row r="3">
          <cell r="A3" t="str">
            <v>40009_1-2</v>
          </cell>
        </row>
        <row r="4">
          <cell r="A4" t="str">
            <v>40009_1-3</v>
          </cell>
        </row>
        <row r="5">
          <cell r="A5" t="str">
            <v>40009_1-4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40009001</v>
          </cell>
        </row>
        <row r="3">
          <cell r="B3">
            <v>40009001</v>
          </cell>
        </row>
        <row r="4">
          <cell r="B4">
            <v>40009001</v>
          </cell>
        </row>
        <row r="5">
          <cell r="B5">
            <v>40009001</v>
          </cell>
        </row>
        <row r="6">
          <cell r="B6">
            <v>40009002</v>
          </cell>
        </row>
        <row r="7">
          <cell r="B7">
            <v>40009002</v>
          </cell>
        </row>
        <row r="8">
          <cell r="B8">
            <v>40009003</v>
          </cell>
        </row>
        <row r="9">
          <cell r="B9">
            <v>40009003</v>
          </cell>
        </row>
        <row r="10">
          <cell r="B10">
            <v>40009004</v>
          </cell>
        </row>
        <row r="11">
          <cell r="B11">
            <v>40009004</v>
          </cell>
        </row>
        <row r="12">
          <cell r="B12">
            <v>40009004</v>
          </cell>
        </row>
        <row r="13">
          <cell r="B13">
            <v>40009004</v>
          </cell>
        </row>
        <row r="14">
          <cell r="B14">
            <v>40009005</v>
          </cell>
        </row>
        <row r="15">
          <cell r="B15">
            <v>40009005</v>
          </cell>
        </row>
        <row r="16">
          <cell r="B16">
            <v>40009005</v>
          </cell>
        </row>
        <row r="17">
          <cell r="B17">
            <v>40009005</v>
          </cell>
        </row>
        <row r="18">
          <cell r="B18">
            <v>40009005</v>
          </cell>
        </row>
        <row r="19">
          <cell r="B19">
            <v>40009005</v>
          </cell>
        </row>
        <row r="20">
          <cell r="B20">
            <v>40009006</v>
          </cell>
        </row>
        <row r="21">
          <cell r="B21">
            <v>40009006</v>
          </cell>
        </row>
        <row r="22">
          <cell r="B22">
            <v>40009006</v>
          </cell>
        </row>
        <row r="23">
          <cell r="B23">
            <v>40009007</v>
          </cell>
        </row>
        <row r="24">
          <cell r="B24">
            <v>40009007</v>
          </cell>
        </row>
        <row r="25">
          <cell r="B25">
            <v>40009007</v>
          </cell>
        </row>
        <row r="26">
          <cell r="B26">
            <v>40009007</v>
          </cell>
        </row>
        <row r="27">
          <cell r="B27">
            <v>40009007</v>
          </cell>
        </row>
        <row r="28">
          <cell r="B28">
            <v>40009008</v>
          </cell>
        </row>
        <row r="29">
          <cell r="B29">
            <v>40009008</v>
          </cell>
        </row>
        <row r="30">
          <cell r="B30">
            <v>40009008</v>
          </cell>
        </row>
        <row r="31">
          <cell r="B31">
            <v>40009008</v>
          </cell>
        </row>
        <row r="32">
          <cell r="B32">
            <v>40009008</v>
          </cell>
        </row>
        <row r="33">
          <cell r="B33">
            <v>40009008</v>
          </cell>
        </row>
        <row r="34">
          <cell r="B34">
            <v>40009009</v>
          </cell>
        </row>
        <row r="35">
          <cell r="B35">
            <v>40009009</v>
          </cell>
        </row>
        <row r="36">
          <cell r="B36">
            <v>40009009</v>
          </cell>
        </row>
        <row r="37">
          <cell r="B37">
            <v>40009009</v>
          </cell>
        </row>
        <row r="38">
          <cell r="B38">
            <v>40009009</v>
          </cell>
        </row>
        <row r="39">
          <cell r="B39">
            <v>40009010</v>
          </cell>
        </row>
        <row r="40">
          <cell r="B40">
            <v>40009010</v>
          </cell>
        </row>
        <row r="41">
          <cell r="B41">
            <v>40009010</v>
          </cell>
        </row>
        <row r="42">
          <cell r="B42">
            <v>40009010</v>
          </cell>
        </row>
        <row r="43">
          <cell r="B43">
            <v>40009011</v>
          </cell>
        </row>
        <row r="44">
          <cell r="B44">
            <v>40009011</v>
          </cell>
        </row>
        <row r="45">
          <cell r="B45">
            <v>40009011</v>
          </cell>
        </row>
        <row r="46">
          <cell r="B46">
            <v>40009011</v>
          </cell>
        </row>
        <row r="47">
          <cell r="B47">
            <v>40009011</v>
          </cell>
        </row>
        <row r="48">
          <cell r="B48">
            <v>40009011</v>
          </cell>
        </row>
        <row r="49">
          <cell r="B49">
            <v>40009011</v>
          </cell>
        </row>
        <row r="50">
          <cell r="B50">
            <v>40009011</v>
          </cell>
        </row>
        <row r="51">
          <cell r="B51">
            <v>40009011</v>
          </cell>
        </row>
      </sheetData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130</v>
      </c>
      <c r="B1" s="51" t="s">
        <v>100</v>
      </c>
      <c r="C1" s="51" t="s">
        <v>101</v>
      </c>
      <c r="D1" s="51" t="s">
        <v>102</v>
      </c>
      <c r="E1" s="51" t="s">
        <v>103</v>
      </c>
      <c r="F1" s="51" t="s">
        <v>104</v>
      </c>
      <c r="G1" s="51" t="s">
        <v>105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372</v>
      </c>
      <c r="B2" s="53" t="s">
        <v>106</v>
      </c>
      <c r="C2" s="58">
        <v>41009</v>
      </c>
      <c r="D2" s="53" t="s">
        <v>107</v>
      </c>
      <c r="E2" s="52" t="str">
        <f>B2&amp;C2&amp;D2</f>
        <v>floors_41009.tmp</v>
      </c>
      <c r="F2" s="53" t="s">
        <v>108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372</v>
      </c>
      <c r="B3" s="53" t="s">
        <v>109</v>
      </c>
      <c r="C3" s="58">
        <f>C$2</f>
        <v>41009</v>
      </c>
      <c r="D3" s="53" t="s">
        <v>107</v>
      </c>
      <c r="E3" s="52" t="str">
        <f>B3&amp;C3&amp;D3</f>
        <v>enemy_habitats_41009.tmp</v>
      </c>
      <c r="F3" s="53" t="s">
        <v>110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178</v>
      </c>
    </row>
    <row r="4" spans="1:30" x14ac:dyDescent="0.15">
      <c r="A4" s="57" t="s">
        <v>372</v>
      </c>
      <c r="B4" s="53" t="s">
        <v>111</v>
      </c>
      <c r="C4" s="58">
        <f t="shared" ref="C4:C13" si="0">C$2</f>
        <v>41009</v>
      </c>
      <c r="D4" s="53" t="s">
        <v>107</v>
      </c>
      <c r="E4" s="52" t="str">
        <f>B4&amp;C4&amp;D4</f>
        <v>enemy_habitat_S_41009.tmp</v>
      </c>
      <c r="F4" s="53" t="s">
        <v>112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372</v>
      </c>
      <c r="B5" s="53" t="s">
        <v>113</v>
      </c>
      <c r="C5" s="58">
        <f t="shared" si="0"/>
        <v>41009</v>
      </c>
      <c r="D5" s="53" t="s">
        <v>107</v>
      </c>
      <c r="E5" s="52" t="str">
        <f>B5&amp;C5&amp;D5</f>
        <v>enemy_skill_sets_41009.tmp</v>
      </c>
      <c r="F5" s="53" t="s">
        <v>114</v>
      </c>
      <c r="G5" s="55" t="s">
        <v>22</v>
      </c>
      <c r="H5" s="55" t="s">
        <v>99</v>
      </c>
      <c r="I5" s="55" t="s">
        <v>94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372</v>
      </c>
      <c r="B6" s="53" t="s">
        <v>115</v>
      </c>
      <c r="C6" s="58">
        <f t="shared" si="0"/>
        <v>41009</v>
      </c>
      <c r="D6" s="53" t="s">
        <v>116</v>
      </c>
      <c r="E6" s="52" t="str">
        <f t="shared" ref="E6:E10" si="1">B6&amp;C6&amp;D6</f>
        <v>enemy_skills_tmp_41009.tmp</v>
      </c>
      <c r="F6" s="53" t="s">
        <v>90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372</v>
      </c>
      <c r="B7" s="53" t="s">
        <v>117</v>
      </c>
      <c r="C7" s="58">
        <f t="shared" si="0"/>
        <v>41009</v>
      </c>
      <c r="D7" s="53" t="s">
        <v>107</v>
      </c>
      <c r="E7" s="52" t="str">
        <f>B7&amp;C7&amp;D7</f>
        <v>enemy_skills_i18n_41009.tmp</v>
      </c>
      <c r="F7" s="53" t="s">
        <v>118</v>
      </c>
      <c r="G7" s="54" t="s">
        <v>79</v>
      </c>
      <c r="H7" s="54" t="s">
        <v>91</v>
      </c>
      <c r="I7" s="54" t="s">
        <v>92</v>
      </c>
      <c r="J7" s="54" t="s">
        <v>93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372</v>
      </c>
      <c r="B8" s="53" t="s">
        <v>119</v>
      </c>
      <c r="C8" s="58">
        <f t="shared" si="0"/>
        <v>41009</v>
      </c>
      <c r="D8" s="53" t="s">
        <v>120</v>
      </c>
      <c r="E8" s="52" t="str">
        <f t="shared" si="1"/>
        <v>enemy_skill_triggers_41009.tmp</v>
      </c>
      <c r="F8" s="53" t="s">
        <v>121</v>
      </c>
      <c r="G8" s="54" t="s">
        <v>94</v>
      </c>
      <c r="H8" s="54" t="s">
        <v>95</v>
      </c>
      <c r="I8" s="54" t="s">
        <v>96</v>
      </c>
      <c r="J8" s="54" t="s">
        <v>97</v>
      </c>
      <c r="K8" s="54" t="s">
        <v>122</v>
      </c>
      <c r="L8" s="54" t="s">
        <v>98</v>
      </c>
      <c r="M8" s="54" t="s">
        <v>123</v>
      </c>
      <c r="N8" s="54" t="s">
        <v>124</v>
      </c>
      <c r="O8" s="54" t="s">
        <v>125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372</v>
      </c>
      <c r="B9" s="63" t="s">
        <v>177</v>
      </c>
      <c r="C9" s="58">
        <f t="shared" si="0"/>
        <v>41009</v>
      </c>
      <c r="D9" s="63" t="s">
        <v>171</v>
      </c>
      <c r="E9" s="64" t="str">
        <f t="shared" si="1"/>
        <v>stage_bug_bonuses_41009.tmp</v>
      </c>
      <c r="F9" s="63" t="s">
        <v>172</v>
      </c>
      <c r="G9" s="60" t="s">
        <v>150</v>
      </c>
      <c r="H9" s="60" t="s">
        <v>173</v>
      </c>
      <c r="I9" s="60" t="s">
        <v>174</v>
      </c>
      <c r="J9" s="62" t="s">
        <v>175</v>
      </c>
      <c r="K9" s="60" t="s">
        <v>176</v>
      </c>
      <c r="L9" s="60" t="s">
        <v>156</v>
      </c>
      <c r="M9" s="60" t="s">
        <v>157</v>
      </c>
      <c r="N9" s="60" t="s">
        <v>158</v>
      </c>
      <c r="O9" s="60" t="s">
        <v>159</v>
      </c>
      <c r="P9" s="60" t="s">
        <v>160</v>
      </c>
      <c r="Q9" s="60" t="s">
        <v>161</v>
      </c>
      <c r="R9" s="60" t="s">
        <v>162</v>
      </c>
      <c r="S9" s="60" t="s">
        <v>163</v>
      </c>
      <c r="T9" s="60" t="s">
        <v>164</v>
      </c>
      <c r="U9" s="60" t="s">
        <v>165</v>
      </c>
      <c r="V9" s="60" t="s">
        <v>166</v>
      </c>
      <c r="W9" s="60" t="s">
        <v>167</v>
      </c>
      <c r="X9" s="53"/>
      <c r="Y9" s="53"/>
      <c r="Z9" s="53"/>
      <c r="AA9" s="53"/>
      <c r="AB9" s="53"/>
      <c r="AC9" s="53"/>
      <c r="AD9" s="53"/>
    </row>
    <row r="10" spans="1:30" s="71" customFormat="1" x14ac:dyDescent="0.15">
      <c r="A10" s="57" t="s">
        <v>372</v>
      </c>
      <c r="B10" s="63" t="s">
        <v>200</v>
      </c>
      <c r="C10" s="58">
        <f>C$2</f>
        <v>41009</v>
      </c>
      <c r="D10" s="63" t="s">
        <v>180</v>
      </c>
      <c r="E10" s="64" t="str">
        <f t="shared" si="1"/>
        <v>stage_hints_data_c_41009.tmp</v>
      </c>
      <c r="F10" s="63" t="s">
        <v>208</v>
      </c>
      <c r="G10" s="69" t="s">
        <v>181</v>
      </c>
      <c r="H10" s="69" t="s">
        <v>173</v>
      </c>
      <c r="I10" s="70" t="s">
        <v>182</v>
      </c>
      <c r="J10" s="62" t="s">
        <v>183</v>
      </c>
      <c r="K10" s="62" t="s">
        <v>184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1" customFormat="1" x14ac:dyDescent="0.15">
      <c r="A11" s="57" t="s">
        <v>372</v>
      </c>
      <c r="B11" s="63" t="s">
        <v>201</v>
      </c>
      <c r="C11" s="58">
        <f t="shared" si="0"/>
        <v>41009</v>
      </c>
      <c r="D11" s="63" t="s">
        <v>171</v>
      </c>
      <c r="E11" s="64" t="str">
        <f t="shared" ref="E11:E13" si="2">B11&amp;C11&amp;D11</f>
        <v>stage_hints_data_f_41009.tmp</v>
      </c>
      <c r="F11" s="63" t="s">
        <v>210</v>
      </c>
      <c r="G11" s="69" t="s">
        <v>181</v>
      </c>
      <c r="H11" s="69" t="s">
        <v>173</v>
      </c>
      <c r="I11" s="70" t="s">
        <v>182</v>
      </c>
      <c r="J11" s="62" t="s">
        <v>183</v>
      </c>
      <c r="K11" s="62" t="s">
        <v>184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1" customFormat="1" x14ac:dyDescent="0.15">
      <c r="A12" s="57" t="s">
        <v>372</v>
      </c>
      <c r="B12" s="63" t="s">
        <v>202</v>
      </c>
      <c r="C12" s="58">
        <f t="shared" si="0"/>
        <v>41009</v>
      </c>
      <c r="D12" s="63" t="s">
        <v>171</v>
      </c>
      <c r="E12" s="64" t="str">
        <f t="shared" si="2"/>
        <v>stage_hints_i18n_41009.tmp</v>
      </c>
      <c r="F12" s="63" t="s">
        <v>211</v>
      </c>
      <c r="G12" s="70" t="s">
        <v>203</v>
      </c>
      <c r="H12" s="89" t="s">
        <v>204</v>
      </c>
      <c r="I12" s="69" t="s">
        <v>205</v>
      </c>
      <c r="J12" s="97" t="s">
        <v>206</v>
      </c>
      <c r="K12" s="62" t="s">
        <v>207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1" customFormat="1" x14ac:dyDescent="0.15">
      <c r="A13" s="57" t="s">
        <v>372</v>
      </c>
      <c r="B13" s="63" t="s">
        <v>250</v>
      </c>
      <c r="C13" s="58">
        <f t="shared" si="0"/>
        <v>41009</v>
      </c>
      <c r="D13" s="63" t="s">
        <v>231</v>
      </c>
      <c r="E13" s="64" t="str">
        <f t="shared" si="2"/>
        <v>stage_bonuses_41009.tmp</v>
      </c>
      <c r="F13" s="63" t="s">
        <v>230</v>
      </c>
      <c r="G13" s="69" t="s">
        <v>232</v>
      </c>
      <c r="H13" s="69" t="s">
        <v>233</v>
      </c>
      <c r="I13" s="69" t="s">
        <v>234</v>
      </c>
      <c r="J13" s="69" t="s">
        <v>235</v>
      </c>
      <c r="K13" s="69" t="s">
        <v>236</v>
      </c>
      <c r="L13" s="69" t="s">
        <v>237</v>
      </c>
      <c r="M13" s="69" t="s">
        <v>238</v>
      </c>
      <c r="N13" s="69" t="s">
        <v>239</v>
      </c>
      <c r="O13" s="69" t="s">
        <v>240</v>
      </c>
      <c r="P13" s="69" t="s">
        <v>241</v>
      </c>
      <c r="Q13" s="69" t="s">
        <v>242</v>
      </c>
      <c r="R13" s="69" t="s">
        <v>243</v>
      </c>
      <c r="S13" s="69" t="s">
        <v>244</v>
      </c>
      <c r="T13" s="69" t="s">
        <v>245</v>
      </c>
      <c r="U13" s="69" t="s">
        <v>246</v>
      </c>
      <c r="V13" s="69" t="s">
        <v>247</v>
      </c>
      <c r="W13" s="69" t="s">
        <v>248</v>
      </c>
      <c r="X13" s="69" t="s">
        <v>249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A10" sqref="A10:XFD1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0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41009_1-1</v>
      </c>
      <c r="B2" s="15" t="str">
        <f>IF(COUNTIF(enemy_habitats!$H:$H,A2),"OK","NG")</f>
        <v>OK</v>
      </c>
      <c r="C2" s="98">
        <v>41009</v>
      </c>
      <c r="D2" s="10" t="str">
        <f ca="1">VLOOKUP($C2,OFFSET([2]quests!$A$1,0,0,COUNTA([2]quests!$A:$A),MATCH(D$1,[2]quests!$1:$1,0)-MATCH($C$1,[2]quests!$1:$1,0)+1),MATCH(D$1,[2]quests!$1:$1,0)-MATCH($C$1,[2]quests!$1:$1,0)+1,FALSE)</f>
        <v>フギンとムニン襲来！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降臨1</v>
      </c>
      <c r="F2" s="19">
        <v>1</v>
      </c>
      <c r="G2" s="20" t="str">
        <f>C2&amp;"_"&amp;F2</f>
        <v>41009_1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【超絶級】フギンとムニン襲来</v>
      </c>
      <c r="I2" s="19">
        <v>1</v>
      </c>
      <c r="J2" s="11">
        <v>60</v>
      </c>
      <c r="K2" s="11">
        <v>60</v>
      </c>
    </row>
    <row r="3" spans="1:11" ht="21" customHeight="1" x14ac:dyDescent="0.15">
      <c r="A3" s="15" t="str">
        <f t="shared" ref="A3:A5" si="0">G3&amp;"-"&amp;I3</f>
        <v>41009_1-2</v>
      </c>
      <c r="B3" s="15" t="str">
        <f>IF(COUNTIF(enemy_habitats!$H:$H,A3),"OK","NG")</f>
        <v>OK</v>
      </c>
      <c r="C3" s="98">
        <v>41009</v>
      </c>
      <c r="D3" s="10" t="str">
        <f ca="1">VLOOKUP($C3,OFFSET([2]quests!$A$1,0,0,COUNTA([2]quests!$A:$A),MATCH(D$1,[2]quests!$1:$1,0)-MATCH($C$1,[2]quests!$1:$1,0)+1),MATCH(D$1,[2]quests!$1:$1,0)-MATCH($C$1,[2]quests!$1:$1,0)+1,FALSE)</f>
        <v>フギンとムニン襲来！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降臨1</v>
      </c>
      <c r="F3" s="19">
        <v>1</v>
      </c>
      <c r="G3" s="20" t="str">
        <f t="shared" ref="G3:G5" si="1">C3&amp;"_"&amp;F3</f>
        <v>41009_1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【超絶級】フギンとムニン襲来</v>
      </c>
      <c r="I3" s="19">
        <v>2</v>
      </c>
      <c r="J3" s="34">
        <v>40</v>
      </c>
      <c r="K3" s="34">
        <v>40</v>
      </c>
    </row>
    <row r="4" spans="1:11" ht="21" customHeight="1" x14ac:dyDescent="0.15">
      <c r="A4" s="15" t="str">
        <f t="shared" si="0"/>
        <v>41009_1-3</v>
      </c>
      <c r="B4" s="15" t="str">
        <f>IF(COUNTIF(enemy_habitats!$H:$H,A4),"OK","NG")</f>
        <v>OK</v>
      </c>
      <c r="C4" s="98">
        <v>41009</v>
      </c>
      <c r="D4" s="10" t="str">
        <f ca="1">VLOOKUP($C4,OFFSET([2]quests!$A$1,0,0,COUNTA([2]quests!$A:$A),MATCH(D$1,[2]quests!$1:$1,0)-MATCH($C$1,[2]quests!$1:$1,0)+1),MATCH(D$1,[2]quests!$1:$1,0)-MATCH($C$1,[2]quests!$1:$1,0)+1,FALSE)</f>
        <v>フギンとムニン襲来！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降臨1</v>
      </c>
      <c r="F4" s="19">
        <v>1</v>
      </c>
      <c r="G4" s="20" t="str">
        <f t="shared" si="1"/>
        <v>41009_1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【超絶級】フギンとムニン襲来</v>
      </c>
      <c r="I4" s="19">
        <v>3</v>
      </c>
      <c r="J4" s="11">
        <v>60</v>
      </c>
      <c r="K4" s="11">
        <v>60</v>
      </c>
    </row>
    <row r="5" spans="1:11" ht="21" customHeight="1" x14ac:dyDescent="0.15">
      <c r="A5" s="15" t="str">
        <f t="shared" si="0"/>
        <v>41009_1-4</v>
      </c>
      <c r="B5" s="15" t="str">
        <f>IF(COUNTIF(enemy_habitats!$H:$H,A5),"OK","NG")</f>
        <v>OK</v>
      </c>
      <c r="C5" s="98">
        <v>41009</v>
      </c>
      <c r="D5" s="10" t="str">
        <f ca="1">VLOOKUP($C5,OFFSET([2]quests!$A$1,0,0,COUNTA([2]quests!$A:$A),MATCH(D$1,[2]quests!$1:$1,0)-MATCH($C$1,[2]quests!$1:$1,0)+1),MATCH(D$1,[2]quests!$1:$1,0)-MATCH($C$1,[2]quests!$1:$1,0)+1,FALSE)</f>
        <v>フギンとムニン襲来！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降臨1</v>
      </c>
      <c r="F5" s="19">
        <v>1</v>
      </c>
      <c r="G5" s="20" t="str">
        <f t="shared" si="1"/>
        <v>41009_1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【超絶級】フギンとムニン襲来</v>
      </c>
      <c r="I5" s="19">
        <v>4</v>
      </c>
      <c r="J5" s="11">
        <v>60</v>
      </c>
      <c r="K5" s="11">
        <v>60</v>
      </c>
    </row>
    <row r="6" spans="1:11" ht="21" customHeight="1" x14ac:dyDescent="0.15">
      <c r="A6" s="15" t="str">
        <f>G6&amp;"-"&amp;I6</f>
        <v>41009_2-1</v>
      </c>
      <c r="B6" s="15" t="str">
        <f>IF(COUNTIF(enemy_habitats!$H:$H,A6),"OK","NG")</f>
        <v>OK</v>
      </c>
      <c r="C6" s="98">
        <v>41009</v>
      </c>
      <c r="D6" s="10" t="str">
        <f ca="1">VLOOKUP($C6,OFFSET([2]quests!$A$1,0,0,COUNTA([2]quests!$A:$A),MATCH(D$1,[2]quests!$1:$1,0)-MATCH($C$1,[2]quests!$1:$1,0)+1),MATCH(D$1,[2]quests!$1:$1,0)-MATCH($C$1,[2]quests!$1:$1,0)+1,FALSE)</f>
        <v>フギンとムニン襲来！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降臨1</v>
      </c>
      <c r="F6" s="19">
        <v>2</v>
      </c>
      <c r="G6" s="20" t="str">
        <f>C6&amp;"_"&amp;F6</f>
        <v>41009_2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【ウィザード級】フギンとムニン襲来</v>
      </c>
      <c r="I6" s="19">
        <v>1</v>
      </c>
      <c r="J6" s="11">
        <v>60</v>
      </c>
      <c r="K6" s="11">
        <v>60</v>
      </c>
    </row>
    <row r="7" spans="1:11" ht="21" customHeight="1" x14ac:dyDescent="0.15">
      <c r="A7" s="15" t="str">
        <f t="shared" ref="A7:A9" si="2">G7&amp;"-"&amp;I7</f>
        <v>41009_2-2</v>
      </c>
      <c r="B7" s="15" t="str">
        <f>IF(COUNTIF(enemy_habitats!$H:$H,A7),"OK","NG")</f>
        <v>OK</v>
      </c>
      <c r="C7" s="98">
        <v>41009</v>
      </c>
      <c r="D7" s="10" t="str">
        <f ca="1">VLOOKUP($C7,OFFSET([2]quests!$A$1,0,0,COUNTA([2]quests!$A:$A),MATCH(D$1,[2]quests!$1:$1,0)-MATCH($C$1,[2]quests!$1:$1,0)+1),MATCH(D$1,[2]quests!$1:$1,0)-MATCH($C$1,[2]quests!$1:$1,0)+1,FALSE)</f>
        <v>フギンとムニン襲来！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降臨1</v>
      </c>
      <c r="F7" s="19">
        <v>2</v>
      </c>
      <c r="G7" s="20" t="str">
        <f t="shared" ref="G7:G9" si="3">C7&amp;"_"&amp;F7</f>
        <v>41009_2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【ウィザード級】フギンとムニン襲来</v>
      </c>
      <c r="I7" s="19">
        <v>2</v>
      </c>
      <c r="J7" s="34">
        <v>40</v>
      </c>
      <c r="K7" s="34">
        <v>40</v>
      </c>
    </row>
    <row r="8" spans="1:11" ht="21" customHeight="1" x14ac:dyDescent="0.15">
      <c r="A8" s="15" t="str">
        <f t="shared" si="2"/>
        <v>41009_2-3</v>
      </c>
      <c r="B8" s="15" t="str">
        <f>IF(COUNTIF(enemy_habitats!$H:$H,A8),"OK","NG")</f>
        <v>OK</v>
      </c>
      <c r="C8" s="98">
        <v>41009</v>
      </c>
      <c r="D8" s="10" t="str">
        <f ca="1">VLOOKUP($C8,OFFSET([2]quests!$A$1,0,0,COUNTA([2]quests!$A:$A),MATCH(D$1,[2]quests!$1:$1,0)-MATCH($C$1,[2]quests!$1:$1,0)+1),MATCH(D$1,[2]quests!$1:$1,0)-MATCH($C$1,[2]quests!$1:$1,0)+1,FALSE)</f>
        <v>フギンとムニン襲来！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降臨1</v>
      </c>
      <c r="F8" s="19">
        <v>2</v>
      </c>
      <c r="G8" s="20" t="str">
        <f t="shared" si="3"/>
        <v>41009_2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【ウィザード級】フギンとムニン襲来</v>
      </c>
      <c r="I8" s="19">
        <v>3</v>
      </c>
      <c r="J8" s="11">
        <v>60</v>
      </c>
      <c r="K8" s="11">
        <v>60</v>
      </c>
    </row>
    <row r="9" spans="1:11" ht="21" customHeight="1" x14ac:dyDescent="0.15">
      <c r="A9" s="15" t="str">
        <f t="shared" si="2"/>
        <v>41009_2-4</v>
      </c>
      <c r="B9" s="15" t="str">
        <f>IF(COUNTIF(enemy_habitats!$H:$H,A9),"OK","NG")</f>
        <v>OK</v>
      </c>
      <c r="C9" s="98">
        <v>41009</v>
      </c>
      <c r="D9" s="10" t="str">
        <f ca="1">VLOOKUP($C9,OFFSET([2]quests!$A$1,0,0,COUNTA([2]quests!$A:$A),MATCH(D$1,[2]quests!$1:$1,0)-MATCH($C$1,[2]quests!$1:$1,0)+1),MATCH(D$1,[2]quests!$1:$1,0)-MATCH($C$1,[2]quests!$1:$1,0)+1,FALSE)</f>
        <v>フギンとムニン襲来！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降臨1</v>
      </c>
      <c r="F9" s="19">
        <v>2</v>
      </c>
      <c r="G9" s="20" t="str">
        <f t="shared" si="3"/>
        <v>41009_2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【ウィザード級】フギンとムニン襲来</v>
      </c>
      <c r="I9" s="19">
        <v>4</v>
      </c>
      <c r="J9" s="11">
        <v>60</v>
      </c>
      <c r="K9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5"/>
  <sheetViews>
    <sheetView showGridLines="0" zoomScale="75" zoomScaleNormal="75" zoomScalePageLayoutView="75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L26" sqref="L2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22" t="s">
        <v>50</v>
      </c>
      <c r="U1" s="22" t="s">
        <v>52</v>
      </c>
      <c r="V1" s="25" t="s">
        <v>31</v>
      </c>
      <c r="W1" s="24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9" t="s">
        <v>9</v>
      </c>
      <c r="AC1" s="30" t="s">
        <v>16</v>
      </c>
      <c r="AD1" s="30" t="s">
        <v>17</v>
      </c>
      <c r="AE1" s="30" t="s">
        <v>27</v>
      </c>
      <c r="AF1" s="29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32" t="s">
        <v>179</v>
      </c>
    </row>
    <row r="2" spans="1:40" ht="21" customHeight="1" x14ac:dyDescent="0.15">
      <c r="A2" s="15" t="str">
        <f t="shared" ref="A2:A15" si="0">B2&amp;"_"&amp;C2&amp;"-"&amp;G2&amp;"/"&amp;L2&amp;"&lt;lv"&amp;R2&amp;"&gt;s"&amp;AA2</f>
        <v>41009_1-1/65&lt;lv58&gt;s2</v>
      </c>
      <c r="B2" s="99">
        <v>41009</v>
      </c>
      <c r="C2" s="100">
        <v>1</v>
      </c>
      <c r="D2" s="14" t="str">
        <f t="shared" ref="D2:D15" si="1">B2&amp;"_"&amp;C2</f>
        <v>41009_1</v>
      </c>
      <c r="E2" s="4" t="str">
        <f ca="1">VLOOKUP($B2,OFFSET([2]quests!$A$1,0,0,COUNTA([2]quests!$A:$A),MATCH(E$1,[2]quests!$1:$1,0)-MATCH($B$1,[2]quests!$1:$1,0)+1),MATCH(E$1,[2]quests!$1:$1,0)-MATCH($B$1,[2]quests!$1:$1,0)+1,FALSE)</f>
        <v>フギンとムニン襲来！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【超絶級】フギンとムニン襲来</v>
      </c>
      <c r="G2" s="100">
        <v>1</v>
      </c>
      <c r="H2" s="14" t="str">
        <f t="shared" ref="H2:H15" si="2">B2&amp;"_"&amp;C2&amp;"-"&amp;G2</f>
        <v>41009_1-1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4" t="s">
        <v>53</v>
      </c>
      <c r="L2" s="101">
        <v>65</v>
      </c>
      <c r="M2" s="16" t="str">
        <f ca="1">VLOOKUP($L2,OFFSET([4]enemies!$A$1,0,0,COUNTA([4]enemies!$A:$A),MATCH(M$1,[4]enemies!$1:$1,0)-MATCH($L$1,[4]enemies!$1:$1,0)+1),MATCH(M$1,[4]enemies!$1:$1,0)-MATCH($L$1,[4]enemies!$1:$1,0)+1,FALSE)</f>
        <v>ファイアフォックス</v>
      </c>
      <c r="N2" s="16" t="str">
        <f ca="1">VLOOKUP($L2,OFFSET([4]enemies!$A$1,0,0,COUNTA([4]enemies!$A:$A),MATCH(N$1,[4]enemies!$1:$1,0)-MATCH($L$1,[4]enemies!$1:$1,0)+1),MATCH(N$1,[4]enemies!$1:$1,0)-MATCH($L$1,[4]enemies!$1:$1,0)+1,FALSE)</f>
        <v>red</v>
      </c>
      <c r="O2" s="16" t="str">
        <f ca="1">VLOOKUP($L2,OFFSET([5]characters!$A$1,0,0,COUNTA([5]characters!$A:$A),MATCH(O$1,[5]characters!$1:$1,0)-MATCH($L$1,[5]characters!$1:$1,0)+1),MATCH(O$1,[5]characters!$1:$1,0)-MATCH($L$1,[5]characters!$1:$1,0)+1,FALSE)</f>
        <v>Drop1S</v>
      </c>
      <c r="P2" s="16" t="str">
        <f ca="1">VLOOKUP($L2,OFFSET([4]enemies!$A$1,0,0,COUNTA([4]enemies!$A:$A),MATCH(P$1,[4]enemies!$1:$1,0)-MATCH($L$1,[4]enemies!$1:$1,0)+1),MATCH(P$1,[4]enemies!$1:$1,0)-MATCH($L$1,[4]enemies!$1:$1,0)+1,FALSE)</f>
        <v>animal</v>
      </c>
      <c r="Q2" s="16">
        <f ca="1">VLOOKUP($L2,OFFSET([4]enemies!$A$1,0,0,COUNTA([4]enemies!$A:$A),MATCH(Q$1,[4]enemies!$1:$1,0)-MATCH($L$1,[4]enemies!$1:$1,0)+1),MATCH(Q$1,[4]enemies!$1:$1,0)-MATCH($L$1,[4]enemies!$1:$1,0)+1,FALSE)</f>
        <v>15</v>
      </c>
      <c r="R2" s="5">
        <v>58</v>
      </c>
      <c r="S2" s="21">
        <v>1</v>
      </c>
      <c r="T2" s="21">
        <v>1.4</v>
      </c>
      <c r="U2" s="5">
        <v>0</v>
      </c>
      <c r="V2" s="4" t="e">
        <f ca="1">VLOOKUP($W2,OFFSET([3]enemy_skill_sets!$B$1,0,0,COUNTA([3]enemy_skill_sets!$B:$B),MATCH(M$1,[3]enemy_skill_sets!$1:$1,0)-MATCH($W$1,[3]enemy_skill_sets!$1:$1,0)+2),MATCH(M$1,[3]enemy_skill_sets!$1:$1,0)-MATCH($W$1,[3]enemy_skill_sets!$1:$1,0)+2,FALSE)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2" s="4">
        <v>41009002</v>
      </c>
      <c r="X2" s="6">
        <v>1</v>
      </c>
      <c r="Y2" s="6">
        <v>100</v>
      </c>
      <c r="Z2" s="6">
        <v>0</v>
      </c>
      <c r="AA2" s="16">
        <v>2</v>
      </c>
      <c r="AB2" s="102">
        <f t="shared" ref="AB2:AB14" si="3">L2</f>
        <v>65</v>
      </c>
      <c r="AC2" s="4" t="str">
        <f ca="1">VLOOKUP($AB2,OFFSET([5]characters!$A$1,0,0,COUNTA([5]characters!$A:$A),MATCH(AC$1,[5]characters!$1:$1,0)-MATCH("character_id",[5]characters!$1:$1,0)+1),MATCH(AC$1,[5]characters!$1:$1,0)-MATCH("character_id",[5]characters!$1:$1,0)+1,FALSE)</f>
        <v>ファイアフォックス</v>
      </c>
      <c r="AD2" s="4">
        <f ca="1">VLOOKUP($AB2,OFFSET([5]characters!$A$1,0,0,COUNTA([5]characters!$A:$A),MATCH(AD$1,[5]characters!$1:$1,0)-MATCH("character_id",[5]characters!$1:$1,0)+1),MATCH(AD$1,[5]characters!$1:$1,0)-MATCH("character_id",[5]characters!$1:$1,0)+1,FALSE)</f>
        <v>2</v>
      </c>
      <c r="AE2" s="4" t="str">
        <f ca="1">VLOOKUP($AB2,OFFSET([5]characters!$A$1,0,0,COUNTA([5]characters!$A:$A),MATCH(AE$1,[5]characters!$1:$1,0)-MATCH("character_id",[5]characters!$1:$1,0)+1),MATCH(AE$1,[5]characters!$1:$1,0)-MATCH("character_id",[5]characters!$1:$1,0)+1,FALSE)</f>
        <v>Drop1S</v>
      </c>
      <c r="AF2" s="103">
        <v>1</v>
      </c>
      <c r="AG2" s="102">
        <f t="shared" ref="AG2:AG15" ca="1" si="4">AD2</f>
        <v>2</v>
      </c>
      <c r="AH2" s="7">
        <v>15</v>
      </c>
      <c r="AI2" s="103">
        <v>0</v>
      </c>
      <c r="AJ2" s="103">
        <v>0</v>
      </c>
      <c r="AK2" s="103">
        <v>0</v>
      </c>
      <c r="AL2" s="103">
        <v>0</v>
      </c>
      <c r="AM2" s="103">
        <v>1</v>
      </c>
      <c r="AN2" s="65">
        <v>1</v>
      </c>
    </row>
    <row r="3" spans="1:40" ht="21" customHeight="1" x14ac:dyDescent="0.15">
      <c r="A3" s="15" t="str">
        <f t="shared" si="0"/>
        <v>41009_1-1/69&lt;lv55&gt;s3</v>
      </c>
      <c r="B3" s="99">
        <v>41009</v>
      </c>
      <c r="C3" s="100">
        <v>1</v>
      </c>
      <c r="D3" s="14" t="str">
        <f t="shared" si="1"/>
        <v>41009_1</v>
      </c>
      <c r="E3" s="4" t="str">
        <f ca="1">VLOOKUP($B3,OFFSET([2]quests!$A$1,0,0,COUNTA([2]quests!$A:$A),MATCH(E$1,[2]quests!$1:$1,0)-MATCH($B$1,[2]quests!$1:$1,0)+1),MATCH(E$1,[2]quests!$1:$1,0)-MATCH($B$1,[2]quests!$1:$1,0)+1,FALSE)</f>
        <v>フギンとムニン襲来！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【超絶級】フギンとムニン襲来</v>
      </c>
      <c r="G3" s="100">
        <v>1</v>
      </c>
      <c r="H3" s="14" t="str">
        <f t="shared" si="2"/>
        <v>41009_1-1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4" t="s">
        <v>53</v>
      </c>
      <c r="L3" s="101">
        <v>69</v>
      </c>
      <c r="M3" s="16" t="str">
        <f ca="1">VLOOKUP($L3,OFFSET([4]enemies!$A$1,0,0,COUNTA([4]enemies!$A:$A),MATCH(M$1,[4]enemies!$1:$1,0)-MATCH($L$1,[4]enemies!$1:$1,0)+1),MATCH(M$1,[4]enemies!$1:$1,0)-MATCH($L$1,[4]enemies!$1:$1,0)+1,FALSE)</f>
        <v>思想家 ストール</v>
      </c>
      <c r="N3" s="16" t="str">
        <f ca="1">VLOOKUP($L3,OFFSET([4]enemies!$A$1,0,0,COUNTA([4]enemies!$A:$A),MATCH(N$1,[4]enemies!$1:$1,0)-MATCH($L$1,[4]enemies!$1:$1,0)+1),MATCH(N$1,[4]enemies!$1:$1,0)-MATCH($L$1,[4]enemies!$1:$1,0)+1,FALSE)</f>
        <v>green</v>
      </c>
      <c r="O3" s="16" t="str">
        <f ca="1">VLOOKUP($L3,OFFSET([5]characters!$A$1,0,0,COUNTA([5]characters!$A:$A),MATCH(O$1,[5]characters!$1:$1,0)-MATCH($L$1,[5]characters!$1:$1,0)+1),MATCH(O$1,[5]characters!$1:$1,0)-MATCH($L$1,[5]characters!$1:$1,0)+1,FALSE)</f>
        <v>Drop1S</v>
      </c>
      <c r="P3" s="16" t="str">
        <f ca="1">VLOOKUP($L3,OFFSET([4]enemies!$A$1,0,0,COUNTA([4]enemies!$A:$A),MATCH(P$1,[4]enemies!$1:$1,0)-MATCH($L$1,[4]enemies!$1:$1,0)+1),MATCH(P$1,[4]enemies!$1:$1,0)-MATCH($L$1,[4]enemies!$1:$1,0)+1,FALSE)</f>
        <v>animal</v>
      </c>
      <c r="Q3" s="16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55</v>
      </c>
      <c r="S3" s="21">
        <v>0.7</v>
      </c>
      <c r="T3" s="21">
        <v>0.9</v>
      </c>
      <c r="U3" s="5">
        <v>0</v>
      </c>
      <c r="V3" s="4" t="e">
        <f ca="1">VLOOKUP($W3,OFFSET([3]enemy_skill_sets!$B$1,0,0,COUNTA([3]enemy_skill_sets!$B:$B),MATCH(M$1,[3]enemy_skill_sets!$1:$1,0)-MATCH($W$1,[3]enemy_skill_sets!$1:$1,0)+2),MATCH(M$1,[3]enemy_skill_sets!$1:$1,0)-MATCH($W$1,[3]enemy_skill_sets!$1:$1,0)+2,FALSE)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3" s="104">
        <v>41009001</v>
      </c>
      <c r="X3" s="6">
        <v>1</v>
      </c>
      <c r="Y3" s="6">
        <v>100</v>
      </c>
      <c r="Z3" s="6">
        <v>1</v>
      </c>
      <c r="AA3" s="16">
        <v>3</v>
      </c>
      <c r="AB3" s="102">
        <f t="shared" si="3"/>
        <v>69</v>
      </c>
      <c r="AC3" s="4" t="str">
        <f ca="1">VLOOKUP($AB3,OFFSET([5]characters!$A$1,0,0,COUNTA([5]characters!$A:$A),MATCH(AC$1,[5]characters!$1:$1,0)-MATCH("character_id",[5]characters!$1:$1,0)+1),MATCH(AC$1,[5]characters!$1:$1,0)-MATCH("character_id",[5]characters!$1:$1,0)+1,FALSE)</f>
        <v>思想家 ストール</v>
      </c>
      <c r="AD3" s="4">
        <f ca="1">VLOOKUP($AB3,OFFSET([5]characters!$A$1,0,0,COUNTA([5]characters!$A:$A),MATCH(AD$1,[5]characters!$1:$1,0)-MATCH("character_id",[5]characters!$1:$1,0)+1),MATCH(AD$1,[5]characters!$1:$1,0)-MATCH("character_id",[5]characters!$1:$1,0)+1,FALSE)</f>
        <v>3</v>
      </c>
      <c r="AE3" s="4" t="str">
        <f ca="1">VLOOKUP($AB3,OFFSET([5]characters!$A$1,0,0,COUNTA([5]characters!$A:$A),MATCH(AE$1,[5]characters!$1:$1,0)-MATCH("character_id",[5]characters!$1:$1,0)+1),MATCH(AE$1,[5]characters!$1:$1,0)-MATCH("character_id",[5]characters!$1:$1,0)+1,FALSE)</f>
        <v>Drop1S</v>
      </c>
      <c r="AF3" s="103">
        <v>1</v>
      </c>
      <c r="AG3" s="102">
        <f t="shared" ca="1" si="4"/>
        <v>3</v>
      </c>
      <c r="AH3" s="7">
        <v>15</v>
      </c>
      <c r="AI3" s="103">
        <v>0</v>
      </c>
      <c r="AJ3" s="103">
        <v>0</v>
      </c>
      <c r="AK3" s="103">
        <v>0</v>
      </c>
      <c r="AL3" s="103">
        <v>0</v>
      </c>
      <c r="AM3" s="103">
        <v>1</v>
      </c>
      <c r="AN3" s="65">
        <v>1</v>
      </c>
    </row>
    <row r="4" spans="1:40" ht="21" customHeight="1" x14ac:dyDescent="0.15">
      <c r="A4" s="15" t="str">
        <f t="shared" si="0"/>
        <v>41009_1-1/37&lt;lv58&gt;s1</v>
      </c>
      <c r="B4" s="99">
        <v>41009</v>
      </c>
      <c r="C4" s="100">
        <v>1</v>
      </c>
      <c r="D4" s="14" t="str">
        <f t="shared" si="1"/>
        <v>41009_1</v>
      </c>
      <c r="E4" s="4" t="str">
        <f ca="1">VLOOKUP($B4,OFFSET([2]quests!$A$1,0,0,COUNTA([2]quests!$A:$A),MATCH(E$1,[2]quests!$1:$1,0)-MATCH($B$1,[2]quests!$1:$1,0)+1),MATCH(E$1,[2]quests!$1:$1,0)-MATCH($B$1,[2]quests!$1:$1,0)+1,FALSE)</f>
        <v>フギンとムニン襲来！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【超絶級】フギンとムニン襲来</v>
      </c>
      <c r="G4" s="100">
        <v>1</v>
      </c>
      <c r="H4" s="14" t="str">
        <f t="shared" si="2"/>
        <v>41009_1-1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4" t="s">
        <v>53</v>
      </c>
      <c r="L4" s="101">
        <v>37</v>
      </c>
      <c r="M4" s="16" t="str">
        <f ca="1">VLOOKUP($L4,OFFSET([4]enemies!$A$1,0,0,COUNTA([4]enemies!$A:$A),MATCH(M$1,[4]enemies!$1:$1,0)-MATCH($L$1,[4]enemies!$1:$1,0)+1),MATCH(M$1,[4]enemies!$1:$1,0)-MATCH($L$1,[4]enemies!$1:$1,0)+1,FALSE)</f>
        <v>ガイル</v>
      </c>
      <c r="N4" s="16" t="str">
        <f ca="1">VLOOKUP($L4,OFFSET([4]enemies!$A$1,0,0,COUNTA([4]enemies!$A:$A),MATCH(N$1,[4]enemies!$1:$1,0)-MATCH($L$1,[4]enemies!$1:$1,0)+1),MATCH(N$1,[4]enemies!$1:$1,0)-MATCH($L$1,[4]enemies!$1:$1,0)+1,FALSE)</f>
        <v>blue</v>
      </c>
      <c r="O4" s="16" t="str">
        <f ca="1">VLOOKUP($L4,OFFSET([5]characters!$A$1,0,0,COUNTA([5]characters!$A:$A),MATCH(O$1,[5]characters!$1:$1,0)-MATCH($L$1,[5]characters!$1:$1,0)+1),MATCH(O$1,[5]characters!$1:$1,0)-MATCH($L$1,[5]characters!$1:$1,0)+1,FALSE)</f>
        <v>Drop1S</v>
      </c>
      <c r="P4" s="16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6">
        <f ca="1">VLOOKUP($L4,OFFSET([4]enemies!$A$1,0,0,COUNTA([4]enemies!$A:$A),MATCH(Q$1,[4]enemies!$1:$1,0)-MATCH($L$1,[4]enemies!$1:$1,0)+1),MATCH(Q$1,[4]enemies!$1:$1,0)-MATCH($L$1,[4]enemies!$1:$1,0)+1,FALSE)</f>
        <v>15</v>
      </c>
      <c r="R4" s="5">
        <v>58</v>
      </c>
      <c r="S4" s="21">
        <v>1</v>
      </c>
      <c r="T4" s="21">
        <v>1.8</v>
      </c>
      <c r="U4" s="5">
        <v>0</v>
      </c>
      <c r="V4" s="4" t="e">
        <f ca="1">VLOOKUP($W4,OFFSET([3]enemy_skill_sets!$B$1,0,0,COUNTA([3]enemy_skill_sets!$B:$B),MATCH(M$1,[3]enemy_skill_sets!$1:$1,0)-MATCH($W$1,[3]enemy_skill_sets!$1:$1,0)+2),MATCH(M$1,[3]enemy_skill_sets!$1:$1,0)-MATCH($W$1,[3]enemy_skill_sets!$1:$1,0)+2,FALSE)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4" s="104">
        <v>41009003</v>
      </c>
      <c r="X4" s="6">
        <v>1</v>
      </c>
      <c r="Y4" s="6">
        <v>100</v>
      </c>
      <c r="Z4" s="6">
        <v>0</v>
      </c>
      <c r="AA4" s="16">
        <v>1</v>
      </c>
      <c r="AB4" s="102">
        <f t="shared" si="3"/>
        <v>37</v>
      </c>
      <c r="AC4" s="4" t="str">
        <f ca="1">VLOOKUP($AB4,OFFSET([5]characters!$A$1,0,0,COUNTA([5]characters!$A:$A),MATCH(AC$1,[5]characters!$1:$1,0)-MATCH("character_id",[5]characters!$1:$1,0)+1),MATCH(AC$1,[5]characters!$1:$1,0)-MATCH("character_id",[5]characters!$1:$1,0)+1,FALSE)</f>
        <v>ガイル</v>
      </c>
      <c r="AD4" s="4">
        <f ca="1">VLOOKUP($AB4,OFFSET([5]characters!$A$1,0,0,COUNTA([5]characters!$A:$A),MATCH(AD$1,[5]characters!$1:$1,0)-MATCH("character_id",[5]characters!$1:$1,0)+1),MATCH(AD$1,[5]characters!$1:$1,0)-MATCH("character_id",[5]characters!$1:$1,0)+1,FALSE)</f>
        <v>2</v>
      </c>
      <c r="AE4" s="4" t="str">
        <f ca="1">VLOOKUP($AB4,OFFSET([5]characters!$A$1,0,0,COUNTA([5]characters!$A:$A),MATCH(AE$1,[5]characters!$1:$1,0)-MATCH("character_id",[5]characters!$1:$1,0)+1),MATCH(AE$1,[5]characters!$1:$1,0)-MATCH("character_id",[5]characters!$1:$1,0)+1,FALSE)</f>
        <v>Drop1S</v>
      </c>
      <c r="AF4" s="103">
        <v>1</v>
      </c>
      <c r="AG4" s="102">
        <f t="shared" ca="1" si="4"/>
        <v>2</v>
      </c>
      <c r="AH4" s="7">
        <v>15</v>
      </c>
      <c r="AI4" s="103">
        <v>0</v>
      </c>
      <c r="AJ4" s="103">
        <v>0</v>
      </c>
      <c r="AK4" s="103">
        <v>0</v>
      </c>
      <c r="AL4" s="103">
        <v>0</v>
      </c>
      <c r="AM4" s="103">
        <v>1</v>
      </c>
      <c r="AN4" s="65">
        <v>1</v>
      </c>
    </row>
    <row r="5" spans="1:40" ht="21" customHeight="1" x14ac:dyDescent="0.15">
      <c r="A5" s="15" t="str">
        <f t="shared" si="0"/>
        <v>41009_1-2/284&lt;lv60&gt;s1</v>
      </c>
      <c r="B5" s="99">
        <v>41009</v>
      </c>
      <c r="C5" s="100">
        <v>1</v>
      </c>
      <c r="D5" s="14" t="str">
        <f t="shared" si="1"/>
        <v>41009_1</v>
      </c>
      <c r="E5" s="4" t="str">
        <f ca="1">VLOOKUP($B5,OFFSET([2]quests!$A$1,0,0,COUNTA([2]quests!$A:$A),MATCH(E$1,[2]quests!$1:$1,0)-MATCH($B$1,[2]quests!$1:$1,0)+1),MATCH(E$1,[2]quests!$1:$1,0)-MATCH($B$1,[2]quests!$1:$1,0)+1,FALSE)</f>
        <v>フギンとムニン襲来！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【超絶級】フギンとムニン襲来</v>
      </c>
      <c r="G5" s="100">
        <v>2</v>
      </c>
      <c r="H5" s="14" t="str">
        <f t="shared" si="2"/>
        <v>41009_1-2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4">
        <v>1</v>
      </c>
      <c r="L5" s="101">
        <v>284</v>
      </c>
      <c r="M5" s="16" t="str">
        <f ca="1">VLOOKUP($L5,OFFSET([4]enemies!$A$1,0,0,COUNTA([4]enemies!$A:$A),MATCH(M$1,[4]enemies!$1:$1,0)-MATCH($L$1,[4]enemies!$1:$1,0)+1),MATCH(M$1,[4]enemies!$1:$1,0)-MATCH($L$1,[4]enemies!$1:$1,0)+1,FALSE)</f>
        <v>フェルニゲシュ</v>
      </c>
      <c r="N5" s="16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6" t="str">
        <f ca="1">VLOOKUP($L5,OFFSET([5]characters!$A$1,0,0,COUNTA([5]characters!$A:$A),MATCH(O$1,[5]characters!$1:$1,0)-MATCH($L$1,[5]characters!$1:$1,0)+1),MATCH(O$1,[5]characters!$1:$1,0)-MATCH($L$1,[5]characters!$1:$1,0)+1,FALSE)</f>
        <v>Drop2W</v>
      </c>
      <c r="P5" s="16" t="str">
        <f ca="1">VLOOKUP($L5,OFFSET([4]enemies!$A$1,0,0,COUNTA([4]enemies!$A:$A),MATCH(P$1,[4]enemies!$1:$1,0)-MATCH($L$1,[4]enemies!$1:$1,0)+1),MATCH(P$1,[4]enemies!$1:$1,0)-MATCH($L$1,[4]enemies!$1:$1,0)+1,FALSE)</f>
        <v>dragon</v>
      </c>
      <c r="Q5" s="16">
        <f ca="1">VLOOKUP($L5,OFFSET([4]enemies!$A$1,0,0,COUNTA([4]enemies!$A:$A),MATCH(Q$1,[4]enemies!$1:$1,0)-MATCH($L$1,[4]enemies!$1:$1,0)+1),MATCH(Q$1,[4]enemies!$1:$1,0)-MATCH($L$1,[4]enemies!$1:$1,0)+1,FALSE)</f>
        <v>20</v>
      </c>
      <c r="R5" s="5">
        <v>60</v>
      </c>
      <c r="S5" s="21">
        <v>1.2</v>
      </c>
      <c r="T5" s="21">
        <v>1</v>
      </c>
      <c r="U5" s="5">
        <v>0</v>
      </c>
      <c r="V5" s="4" t="e">
        <f ca="1">VLOOKUP($W5,OFFSET([3]enemy_skill_sets!$B$1,0,0,COUNTA([3]enemy_skill_sets!$B:$B),MATCH(M$1,[3]enemy_skill_sets!$1:$1,0)-MATCH($W$1,[3]enemy_skill_sets!$1:$1,0)+2),MATCH(M$1,[3]enemy_skill_sets!$1:$1,0)-MATCH($W$1,[3]enemy_skill_sets!$1:$1,0)+2,FALSE)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5" s="104">
        <v>41009004</v>
      </c>
      <c r="X5" s="6">
        <v>1</v>
      </c>
      <c r="Y5" s="6">
        <v>100</v>
      </c>
      <c r="Z5" s="6">
        <v>0</v>
      </c>
      <c r="AA5" s="16">
        <v>1</v>
      </c>
      <c r="AB5" s="102">
        <f t="shared" si="3"/>
        <v>284</v>
      </c>
      <c r="AC5" s="4" t="str">
        <f ca="1">VLOOKUP($AB5,OFFSET([5]characters!$A$1,0,0,COUNTA([5]characters!$A:$A),MATCH(AC$1,[5]characters!$1:$1,0)-MATCH("character_id",[5]characters!$1:$1,0)+1),MATCH(AC$1,[5]characters!$1:$1,0)-MATCH("character_id",[5]characters!$1:$1,0)+1,FALSE)</f>
        <v>フェルニゲシュ</v>
      </c>
      <c r="AD5" s="4">
        <f ca="1">VLOOKUP($AB5,OFFSET([5]characters!$A$1,0,0,COUNTA([5]characters!$A:$A),MATCH(AD$1,[5]characters!$1:$1,0)-MATCH("character_id",[5]characters!$1:$1,0)+1),MATCH(AD$1,[5]characters!$1:$1,0)-MATCH("character_id",[5]characters!$1:$1,0)+1,FALSE)</f>
        <v>3</v>
      </c>
      <c r="AE5" s="4" t="str">
        <f ca="1">VLOOKUP($AB5,OFFSET([5]characters!$A$1,0,0,COUNTA([5]characters!$A:$A),MATCH(AE$1,[5]characters!$1:$1,0)-MATCH("character_id",[5]characters!$1:$1,0)+1),MATCH(AE$1,[5]characters!$1:$1,0)-MATCH("character_id",[5]characters!$1:$1,0)+1,FALSE)</f>
        <v>Drop2W</v>
      </c>
      <c r="AF5" s="103">
        <v>1</v>
      </c>
      <c r="AG5" s="102">
        <f t="shared" ca="1" si="4"/>
        <v>3</v>
      </c>
      <c r="AH5" s="7">
        <v>0</v>
      </c>
      <c r="AI5" s="103">
        <v>0</v>
      </c>
      <c r="AJ5" s="103">
        <v>0</v>
      </c>
      <c r="AK5" s="103">
        <v>0</v>
      </c>
      <c r="AL5" s="103">
        <v>0</v>
      </c>
      <c r="AM5" s="103">
        <v>1</v>
      </c>
      <c r="AN5" s="65">
        <v>1</v>
      </c>
    </row>
    <row r="6" spans="1:40" ht="21" customHeight="1" x14ac:dyDescent="0.15">
      <c r="A6" s="15" t="str">
        <f t="shared" si="0"/>
        <v>41009_1-2/286&lt;lv60&gt;s2</v>
      </c>
      <c r="B6" s="99">
        <v>41009</v>
      </c>
      <c r="C6" s="100">
        <v>1</v>
      </c>
      <c r="D6" s="14" t="str">
        <f t="shared" si="1"/>
        <v>41009_1</v>
      </c>
      <c r="E6" s="4" t="str">
        <f ca="1">VLOOKUP($B6,OFFSET([2]quests!$A$1,0,0,COUNTA([2]quests!$A:$A),MATCH(E$1,[2]quests!$1:$1,0)-MATCH($B$1,[2]quests!$1:$1,0)+1),MATCH(E$1,[2]quests!$1:$1,0)-MATCH($B$1,[2]quests!$1:$1,0)+1,FALSE)</f>
        <v>フギンとムニン襲来！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【超絶級】フギンとムニン襲来</v>
      </c>
      <c r="G6" s="100">
        <v>2</v>
      </c>
      <c r="H6" s="14" t="str">
        <f t="shared" si="2"/>
        <v>41009_1-2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4">
        <v>2</v>
      </c>
      <c r="L6" s="101">
        <v>286</v>
      </c>
      <c r="M6" s="16" t="str">
        <f ca="1">VLOOKUP($L6,OFFSET([4]enemies!$A$1,0,0,COUNTA([4]enemies!$A:$A),MATCH(M$1,[4]enemies!$1:$1,0)-MATCH($L$1,[4]enemies!$1:$1,0)+1),MATCH(M$1,[4]enemies!$1:$1,0)-MATCH($L$1,[4]enemies!$1:$1,0)+1,FALSE)</f>
        <v>ヒュドラ</v>
      </c>
      <c r="N6" s="16" t="str">
        <f ca="1">VLOOKUP($L6,OFFSET([4]enemies!$A$1,0,0,COUNTA([4]enemies!$A:$A),MATCH(N$1,[4]enemies!$1:$1,0)-MATCH($L$1,[4]enemies!$1:$1,0)+1),MATCH(N$1,[4]enemies!$1:$1,0)-MATCH($L$1,[4]enemies!$1:$1,0)+1,FALSE)</f>
        <v>red</v>
      </c>
      <c r="O6" s="16" t="str">
        <f ca="1">VLOOKUP($L6,OFFSET([5]characters!$A$1,0,0,COUNTA([5]characters!$A:$A),MATCH(O$1,[5]characters!$1:$1,0)-MATCH($L$1,[5]characters!$1:$1,0)+1),MATCH(O$1,[5]characters!$1:$1,0)-MATCH($L$1,[5]characters!$1:$1,0)+1,FALSE)</f>
        <v>Drop2W</v>
      </c>
      <c r="P6" s="16" t="str">
        <f ca="1">VLOOKUP($L6,OFFSET([4]enemies!$A$1,0,0,COUNTA([4]enemies!$A:$A),MATCH(P$1,[4]enemies!$1:$1,0)-MATCH($L$1,[4]enemies!$1:$1,0)+1),MATCH(P$1,[4]enemies!$1:$1,0)-MATCH($L$1,[4]enemies!$1:$1,0)+1,FALSE)</f>
        <v>dragon</v>
      </c>
      <c r="Q6" s="16">
        <f ca="1">VLOOKUP($L6,OFFSET([4]enemies!$A$1,0,0,COUNTA([4]enemies!$A:$A),MATCH(Q$1,[4]enemies!$1:$1,0)-MATCH($L$1,[4]enemies!$1:$1,0)+1),MATCH(Q$1,[4]enemies!$1:$1,0)-MATCH($L$1,[4]enemies!$1:$1,0)+1,FALSE)</f>
        <v>20</v>
      </c>
      <c r="R6" s="5">
        <v>60</v>
      </c>
      <c r="S6" s="21">
        <v>1.2</v>
      </c>
      <c r="T6" s="21">
        <v>0.8</v>
      </c>
      <c r="U6" s="5">
        <v>0</v>
      </c>
      <c r="V6" s="4" t="e">
        <f ca="1">VLOOKUP($W6,OFFSET([3]enemy_skill_sets!$B$1,0,0,COUNTA([3]enemy_skill_sets!$B:$B),MATCH(M$1,[3]enemy_skill_sets!$1:$1,0)-MATCH($W$1,[3]enemy_skill_sets!$1:$1,0)+2),MATCH(M$1,[3]enemy_skill_sets!$1:$1,0)-MATCH($W$1,[3]enemy_skill_sets!$1:$1,0)+2,FALSE)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6" s="104">
        <v>41009006</v>
      </c>
      <c r="X6" s="6">
        <v>1</v>
      </c>
      <c r="Y6" s="6">
        <v>100</v>
      </c>
      <c r="Z6" s="6">
        <v>0</v>
      </c>
      <c r="AA6" s="16">
        <v>2</v>
      </c>
      <c r="AB6" s="102">
        <f t="shared" si="3"/>
        <v>286</v>
      </c>
      <c r="AC6" s="4" t="str">
        <f ca="1">VLOOKUP($AB6,OFFSET([5]characters!$A$1,0,0,COUNTA([5]characters!$A:$A),MATCH(AC$1,[5]characters!$1:$1,0)-MATCH("character_id",[5]characters!$1:$1,0)+1),MATCH(AC$1,[5]characters!$1:$1,0)-MATCH("character_id",[5]characters!$1:$1,0)+1,FALSE)</f>
        <v>ヒュドラ</v>
      </c>
      <c r="AD6" s="4">
        <f ca="1">VLOOKUP($AB6,OFFSET([5]characters!$A$1,0,0,COUNTA([5]characters!$A:$A),MATCH(AD$1,[5]characters!$1:$1,0)-MATCH("character_id",[5]characters!$1:$1,0)+1),MATCH(AD$1,[5]characters!$1:$1,0)-MATCH("character_id",[5]characters!$1:$1,0)+1,FALSE)</f>
        <v>3</v>
      </c>
      <c r="AE6" s="4" t="str">
        <f ca="1">VLOOKUP($AB6,OFFSET([5]characters!$A$1,0,0,COUNTA([5]characters!$A:$A),MATCH(AE$1,[5]characters!$1:$1,0)-MATCH("character_id",[5]characters!$1:$1,0)+1),MATCH(AE$1,[5]characters!$1:$1,0)-MATCH("character_id",[5]characters!$1:$1,0)+1,FALSE)</f>
        <v>Drop2W</v>
      </c>
      <c r="AF6" s="103">
        <v>1</v>
      </c>
      <c r="AG6" s="102">
        <f t="shared" ca="1" si="4"/>
        <v>3</v>
      </c>
      <c r="AH6" s="7">
        <v>0</v>
      </c>
      <c r="AI6" s="103">
        <v>0</v>
      </c>
      <c r="AJ6" s="103">
        <v>0</v>
      </c>
      <c r="AK6" s="103">
        <v>0</v>
      </c>
      <c r="AL6" s="103">
        <v>0</v>
      </c>
      <c r="AM6" s="103">
        <v>1</v>
      </c>
      <c r="AN6" s="65">
        <v>1</v>
      </c>
    </row>
    <row r="7" spans="1:40" ht="21" customHeight="1" x14ac:dyDescent="0.15">
      <c r="A7" s="15" t="str">
        <f t="shared" si="0"/>
        <v>41009_1-3/402&lt;lv60&gt;s1</v>
      </c>
      <c r="B7" s="99">
        <v>41009</v>
      </c>
      <c r="C7" s="100">
        <v>1</v>
      </c>
      <c r="D7" s="14" t="str">
        <f t="shared" si="1"/>
        <v>41009_1</v>
      </c>
      <c r="E7" s="4" t="str">
        <f ca="1">VLOOKUP($B7,OFFSET([2]quests!$A$1,0,0,COUNTA([2]quests!$A:$A),MATCH(E$1,[2]quests!$1:$1,0)-MATCH($B$1,[2]quests!$1:$1,0)+1),MATCH(E$1,[2]quests!$1:$1,0)-MATCH($B$1,[2]quests!$1:$1,0)+1,FALSE)</f>
        <v>フギンとムニン襲来！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【超絶級】フギンとムニン襲来</v>
      </c>
      <c r="G7" s="100">
        <v>3</v>
      </c>
      <c r="H7" s="14" t="str">
        <f t="shared" si="2"/>
        <v>41009_1-3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4" t="s">
        <v>53</v>
      </c>
      <c r="L7" s="101">
        <v>402</v>
      </c>
      <c r="M7" s="16" t="str">
        <f ca="1">VLOOKUP($L7,OFFSET([4]enemies!$A$1,0,0,COUNTA([4]enemies!$A:$A),MATCH(M$1,[4]enemies!$1:$1,0)-MATCH($L$1,[4]enemies!$1:$1,0)+1),MATCH(M$1,[4]enemies!$1:$1,0)-MATCH($L$1,[4]enemies!$1:$1,0)+1,FALSE)</f>
        <v>天災の神狼 フェンリル</v>
      </c>
      <c r="N7" s="16" t="str">
        <f ca="1">VLOOKUP($L7,OFFSET([4]enemies!$A$1,0,0,COUNTA([4]enemies!$A:$A),MATCH(N$1,[4]enemies!$1:$1,0)-MATCH($L$1,[4]enemies!$1:$1,0)+1),MATCH(N$1,[4]enemies!$1:$1,0)-MATCH($L$1,[4]enemies!$1:$1,0)+1,FALSE)</f>
        <v>red</v>
      </c>
      <c r="O7" s="16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6" t="str">
        <f ca="1">VLOOKUP($L7,OFFSET([4]enemies!$A$1,0,0,COUNTA([4]enemies!$A:$A),MATCH(P$1,[4]enemies!$1:$1,0)-MATCH($L$1,[4]enemies!$1:$1,0)+1),MATCH(P$1,[4]enemies!$1:$1,0)-MATCH($L$1,[4]enemies!$1:$1,0)+1,FALSE)</f>
        <v>animal</v>
      </c>
      <c r="Q7" s="16">
        <f ca="1">VLOOKUP($L7,OFFSET([4]enemies!$A$1,0,0,COUNTA([4]enemies!$A:$A),MATCH(Q$1,[4]enemies!$1:$1,0)-MATCH($L$1,[4]enemies!$1:$1,0)+1),MATCH(Q$1,[4]enemies!$1:$1,0)-MATCH($L$1,[4]enemies!$1:$1,0)+1,FALSE)</f>
        <v>60</v>
      </c>
      <c r="R7" s="5">
        <v>60</v>
      </c>
      <c r="S7" s="21">
        <v>2</v>
      </c>
      <c r="T7" s="21">
        <v>0.7</v>
      </c>
      <c r="U7" s="5">
        <v>0</v>
      </c>
      <c r="V7" s="4" t="e">
        <f ca="1">VLOOKUP($W7,OFFSET([3]enemy_skill_sets!$B$1,0,0,COUNTA([3]enemy_skill_sets!$B:$B),MATCH(M$1,[3]enemy_skill_sets!$1:$1,0)-MATCH($W$1,[3]enemy_skill_sets!$1:$1,0)+2),MATCH(M$1,[3]enemy_skill_sets!$1:$1,0)-MATCH($W$1,[3]enemy_skill_sets!$1:$1,0)+2,FALSE)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7" s="104">
        <v>41009008</v>
      </c>
      <c r="X7" s="6">
        <v>1</v>
      </c>
      <c r="Y7" s="6">
        <v>100</v>
      </c>
      <c r="Z7" s="6">
        <v>0</v>
      </c>
      <c r="AA7" s="16">
        <v>1</v>
      </c>
      <c r="AB7" s="102">
        <f t="shared" si="3"/>
        <v>402</v>
      </c>
      <c r="AC7" s="4" t="str">
        <f ca="1">VLOOKUP($AB7,OFFSET([5]characters!$A$1,0,0,COUNTA([5]characters!$A:$A),MATCH(AC$1,[5]characters!$1:$1,0)-MATCH("character_id",[5]characters!$1:$1,0)+1),MATCH(AC$1,[5]characters!$1:$1,0)-MATCH("character_id",[5]characters!$1:$1,0)+1,FALSE)</f>
        <v>天災の神狼 フェンリル</v>
      </c>
      <c r="AD7" s="4">
        <f ca="1">VLOOKUP($AB7,OFFSET([5]characters!$A$1,0,0,COUNTA([5]characters!$A:$A),MATCH(AD$1,[5]characters!$1:$1,0)-MATCH("character_id",[5]characters!$1:$1,0)+1),MATCH(AD$1,[5]characters!$1:$1,0)-MATCH("character_id",[5]characters!$1:$1,0)+1,FALSE)</f>
        <v>5</v>
      </c>
      <c r="AE7" s="4" t="str">
        <f ca="1">VLOOKUP($AB7,OFFSET([5]characters!$A$1,0,0,COUNTA([5]characters!$A:$A),MATCH(AE$1,[5]characters!$1:$1,0)-MATCH("character_id",[5]characters!$1:$1,0)+1),MATCH(AE$1,[5]characters!$1:$1,0)-MATCH("character_id",[5]characters!$1:$1,0)+1,FALSE)</f>
        <v>PremiumS</v>
      </c>
      <c r="AF7" s="103">
        <v>1</v>
      </c>
      <c r="AG7" s="102">
        <f t="shared" ca="1" si="4"/>
        <v>5</v>
      </c>
      <c r="AH7" s="7">
        <v>0</v>
      </c>
      <c r="AI7" s="103">
        <v>0</v>
      </c>
      <c r="AJ7" s="103">
        <v>0</v>
      </c>
      <c r="AK7" s="103">
        <v>0</v>
      </c>
      <c r="AL7" s="103">
        <v>0</v>
      </c>
      <c r="AM7" s="103">
        <v>1</v>
      </c>
      <c r="AN7" s="65">
        <v>1</v>
      </c>
    </row>
    <row r="8" spans="1:40" ht="21" customHeight="1" x14ac:dyDescent="0.15">
      <c r="A8" s="15" t="str">
        <f t="shared" si="0"/>
        <v>41009_1-4/581&lt;lv60&gt;s2</v>
      </c>
      <c r="B8" s="99">
        <v>41009</v>
      </c>
      <c r="C8" s="100">
        <v>1</v>
      </c>
      <c r="D8" s="14" t="str">
        <f t="shared" si="1"/>
        <v>41009_1</v>
      </c>
      <c r="E8" s="4" t="str">
        <f ca="1">VLOOKUP($B8,OFFSET([2]quests!$A$1,0,0,COUNTA([2]quests!$A:$A),MATCH(E$1,[2]quests!$1:$1,0)-MATCH($B$1,[2]quests!$1:$1,0)+1),MATCH(E$1,[2]quests!$1:$1,0)-MATCH($B$1,[2]quests!$1:$1,0)+1,FALSE)</f>
        <v>フギンとムニン襲来！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【超絶級】フギンとムニン襲来</v>
      </c>
      <c r="G8" s="100">
        <v>4</v>
      </c>
      <c r="H8" s="14" t="str">
        <f t="shared" si="2"/>
        <v>41009_1-4</v>
      </c>
      <c r="I8" s="4" t="e">
        <f ca="1">VLOOKUP($H8,OFFSET([3]floors!$A$1,0,0,COUNTA([3]floors!$A:$A),MATCH(I$1,[3]floors!$1:$1,0)-MATCH($H$1,[3]floors!$1:$1,0)+1),MATCH(I$1,[3]floors!$1:$1,0)-MATCH($H$1,[3]floors!$1:$1,0)+1,FALSE)</f>
        <v>#VALUE!</v>
      </c>
      <c r="J8" s="4" t="e">
        <f ca="1">VLOOKUP($H8,OFFSET([3]floors!$A$1,0,0,COUNTA([3]floors!$A:$A),MATCH(J$1,[3]floors!$1:$1,0)-MATCH($H$1,[3]floors!$1:$1,0)+1),MATCH(J$1,[3]floors!$1:$1,0)-MATCH($H$1,[3]floors!$1:$1,0)+1,FALSE)</f>
        <v>#VALUE!</v>
      </c>
      <c r="K8" s="34">
        <v>3</v>
      </c>
      <c r="L8" s="101">
        <v>581</v>
      </c>
      <c r="M8" s="16" t="str">
        <f ca="1">VLOOKUP($L8,OFFSET([4]enemies!$A$1,0,0,COUNTA([4]enemies!$A:$A),MATCH(M$1,[4]enemies!$1:$1,0)-MATCH($L$1,[4]enemies!$1:$1,0)+1),MATCH(M$1,[4]enemies!$1:$1,0)-MATCH($L$1,[4]enemies!$1:$1,0)+1,FALSE)</f>
        <v>フギンとムニン</v>
      </c>
      <c r="N8" s="16" t="str">
        <f ca="1">VLOOKUP($L8,OFFSET([4]enemies!$A$1,0,0,COUNTA([4]enemies!$A:$A),MATCH(N$1,[4]enemies!$1:$1,0)-MATCH($L$1,[4]enemies!$1:$1,0)+1),MATCH(N$1,[4]enemies!$1:$1,0)-MATCH($L$1,[4]enemies!$1:$1,0)+1,FALSE)</f>
        <v>blue</v>
      </c>
      <c r="O8" s="16" t="str">
        <f ca="1">VLOOKUP($L8,OFFSET([5]characters!$A$1,0,0,COUNTA([5]characters!$A:$A),MATCH(O$1,[5]characters!$1:$1,0)-MATCH($L$1,[5]characters!$1:$1,0)+1),MATCH(O$1,[5]characters!$1:$1,0)-MATCH($L$1,[5]characters!$1:$1,0)+1,FALSE)</f>
        <v>DropWizS</v>
      </c>
      <c r="P8" s="16" t="str">
        <f ca="1">VLOOKUP($L8,OFFSET([4]enemies!$A$1,0,0,COUNTA([4]enemies!$A:$A),MATCH(P$1,[4]enemies!$1:$1,0)-MATCH($L$1,[4]enemies!$1:$1,0)+1),MATCH(P$1,[4]enemies!$1:$1,0)-MATCH($L$1,[4]enemies!$1:$1,0)+1,FALSE)</f>
        <v>machine</v>
      </c>
      <c r="Q8" s="16">
        <f ca="1">VLOOKUP($L8,OFFSET([4]enemies!$A$1,0,0,COUNTA([4]enemies!$A:$A),MATCH(Q$1,[4]enemies!$1:$1,0)-MATCH($L$1,[4]enemies!$1:$1,0)+1),MATCH(Q$1,[4]enemies!$1:$1,0)-MATCH($L$1,[4]enemies!$1:$1,0)+1,FALSE)</f>
        <v>30</v>
      </c>
      <c r="R8" s="5">
        <v>60</v>
      </c>
      <c r="S8" s="21">
        <v>3</v>
      </c>
      <c r="T8" s="21">
        <v>1.2</v>
      </c>
      <c r="U8" s="5">
        <v>0</v>
      </c>
      <c r="V8" s="4" t="e">
        <f ca="1">VLOOKUP($W8,OFFSET([3]enemy_skill_sets!$B$1,0,0,COUNTA([3]enemy_skill_sets!$B:$B),MATCH(M$1,[3]enemy_skill_sets!$1:$1,0)-MATCH($W$1,[3]enemy_skill_sets!$1:$1,0)+2),MATCH(M$1,[3]enemy_skill_sets!$1:$1,0)-MATCH($W$1,[3]enemy_skill_sets!$1:$1,0)+2,FALSE)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8" s="104">
        <v>41009009</v>
      </c>
      <c r="X8" s="6">
        <v>1</v>
      </c>
      <c r="Y8" s="6">
        <v>100</v>
      </c>
      <c r="Z8" s="6">
        <v>0</v>
      </c>
      <c r="AA8" s="16">
        <v>2</v>
      </c>
      <c r="AB8" s="102">
        <f t="shared" si="3"/>
        <v>581</v>
      </c>
      <c r="AC8" s="4" t="str">
        <f ca="1">VLOOKUP($AB8,OFFSET([5]characters!$A$1,0,0,COUNTA([5]characters!$A:$A),MATCH(AC$1,[5]characters!$1:$1,0)-MATCH("character_id",[5]characters!$1:$1,0)+1),MATCH(AC$1,[5]characters!$1:$1,0)-MATCH("character_id",[5]characters!$1:$1,0)+1,FALSE)</f>
        <v>フギンとムニン</v>
      </c>
      <c r="AD8" s="4">
        <f ca="1">VLOOKUP($AB8,OFFSET([5]characters!$A$1,0,0,COUNTA([5]characters!$A:$A),MATCH(AD$1,[5]characters!$1:$1,0)-MATCH("character_id",[5]characters!$1:$1,0)+1),MATCH(AD$1,[5]characters!$1:$1,0)-MATCH("character_id",[5]characters!$1:$1,0)+1,FALSE)</f>
        <v>4</v>
      </c>
      <c r="AE8" s="4" t="str">
        <f ca="1">VLOOKUP($AB8,OFFSET([5]characters!$A$1,0,0,COUNTA([5]characters!$A:$A),MATCH(AE$1,[5]characters!$1:$1,0)-MATCH("character_id",[5]characters!$1:$1,0)+1),MATCH(AE$1,[5]characters!$1:$1,0)-MATCH("character_id",[5]characters!$1:$1,0)+1,FALSE)</f>
        <v>DropWizS</v>
      </c>
      <c r="AF8" s="103">
        <v>1</v>
      </c>
      <c r="AG8" s="102">
        <f t="shared" ca="1" si="4"/>
        <v>4</v>
      </c>
      <c r="AH8" s="7">
        <v>15</v>
      </c>
      <c r="AI8" s="103">
        <v>0</v>
      </c>
      <c r="AJ8" s="103">
        <v>0</v>
      </c>
      <c r="AK8" s="103">
        <v>0</v>
      </c>
      <c r="AL8" s="103">
        <v>0</v>
      </c>
      <c r="AM8" s="103">
        <v>1</v>
      </c>
      <c r="AN8" s="65">
        <v>1</v>
      </c>
    </row>
    <row r="9" spans="1:40" ht="21" customHeight="1" x14ac:dyDescent="0.15">
      <c r="A9" s="15" t="str">
        <f t="shared" si="0"/>
        <v>41009_2-1/65&lt;lv58&gt;s2</v>
      </c>
      <c r="B9" s="99">
        <v>41009</v>
      </c>
      <c r="C9" s="100">
        <v>2</v>
      </c>
      <c r="D9" s="14" t="str">
        <f t="shared" si="1"/>
        <v>41009_2</v>
      </c>
      <c r="E9" s="4" t="str">
        <f ca="1">VLOOKUP($B9,OFFSET([2]quests!$A$1,0,0,COUNTA([2]quests!$A:$A),MATCH(E$1,[2]quests!$1:$1,0)-MATCH($B$1,[2]quests!$1:$1,0)+1),MATCH(E$1,[2]quests!$1:$1,0)-MATCH($B$1,[2]quests!$1:$1,0)+1,FALSE)</f>
        <v>フギンとムニン襲来！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【ウィザード級】フギンとムニン襲来</v>
      </c>
      <c r="G9" s="100">
        <v>1</v>
      </c>
      <c r="H9" s="14" t="str">
        <f t="shared" si="2"/>
        <v>41009_2-1</v>
      </c>
      <c r="I9" s="4" t="e">
        <f ca="1">VLOOKUP($H9,OFFSET([3]floors!$A$1,0,0,COUNTA([3]floors!$A:$A),MATCH(I$1,[3]floors!$1:$1,0)-MATCH($H$1,[3]floors!$1:$1,0)+1),MATCH(I$1,[3]floors!$1:$1,0)-MATCH($H$1,[3]floors!$1:$1,0)+1,FALSE)</f>
        <v>#VALUE!</v>
      </c>
      <c r="J9" s="4" t="e">
        <f ca="1">VLOOKUP($H9,OFFSET([3]floors!$A$1,0,0,COUNTA([3]floors!$A:$A),MATCH(J$1,[3]floors!$1:$1,0)-MATCH($H$1,[3]floors!$1:$1,0)+1),MATCH(J$1,[3]floors!$1:$1,0)-MATCH($H$1,[3]floors!$1:$1,0)+1,FALSE)</f>
        <v>#VALUE!</v>
      </c>
      <c r="K9" s="34" t="s">
        <v>251</v>
      </c>
      <c r="L9" s="101">
        <v>65</v>
      </c>
      <c r="M9" s="16" t="str">
        <f ca="1">VLOOKUP($L9,OFFSET([4]enemies!$A$1,0,0,COUNTA([4]enemies!$A:$A),MATCH(M$1,[4]enemies!$1:$1,0)-MATCH($L$1,[4]enemies!$1:$1,0)+1),MATCH(M$1,[4]enemies!$1:$1,0)-MATCH($L$1,[4]enemies!$1:$1,0)+1,FALSE)</f>
        <v>ファイアフォックス</v>
      </c>
      <c r="N9" s="16" t="str">
        <f ca="1">VLOOKUP($L9,OFFSET([4]enemies!$A$1,0,0,COUNTA([4]enemies!$A:$A),MATCH(N$1,[4]enemies!$1:$1,0)-MATCH($L$1,[4]enemies!$1:$1,0)+1),MATCH(N$1,[4]enemies!$1:$1,0)-MATCH($L$1,[4]enemies!$1:$1,0)+1,FALSE)</f>
        <v>red</v>
      </c>
      <c r="O9" s="16" t="str">
        <f ca="1">VLOOKUP($L9,OFFSET([5]characters!$A$1,0,0,COUNTA([5]characters!$A:$A),MATCH(O$1,[5]characters!$1:$1,0)-MATCH($L$1,[5]characters!$1:$1,0)+1),MATCH(O$1,[5]characters!$1:$1,0)-MATCH($L$1,[5]characters!$1:$1,0)+1,FALSE)</f>
        <v>Drop1S</v>
      </c>
      <c r="P9" s="16" t="str">
        <f ca="1">VLOOKUP($L9,OFFSET([4]enemies!$A$1,0,0,COUNTA([4]enemies!$A:$A),MATCH(P$1,[4]enemies!$1:$1,0)-MATCH($L$1,[4]enemies!$1:$1,0)+1),MATCH(P$1,[4]enemies!$1:$1,0)-MATCH($L$1,[4]enemies!$1:$1,0)+1,FALSE)</f>
        <v>animal</v>
      </c>
      <c r="Q9" s="16">
        <f ca="1">VLOOKUP($L9,OFFSET([4]enemies!$A$1,0,0,COUNTA([4]enemies!$A:$A),MATCH(Q$1,[4]enemies!$1:$1,0)-MATCH($L$1,[4]enemies!$1:$1,0)+1),MATCH(Q$1,[4]enemies!$1:$1,0)-MATCH($L$1,[4]enemies!$1:$1,0)+1,FALSE)</f>
        <v>15</v>
      </c>
      <c r="R9" s="5">
        <v>58</v>
      </c>
      <c r="S9" s="112">
        <v>1.2</v>
      </c>
      <c r="T9" s="112">
        <v>1.6</v>
      </c>
      <c r="U9" s="5">
        <v>0</v>
      </c>
      <c r="V9" s="4" t="e">
        <f ca="1">VLOOKUP($W9,OFFSET([3]enemy_skill_sets!$B$1,0,0,COUNTA([3]enemy_skill_sets!$B:$B),MATCH(M$1,[3]enemy_skill_sets!$1:$1,0)-MATCH($W$1,[3]enemy_skill_sets!$1:$1,0)+2),MATCH(M$1,[3]enemy_skill_sets!$1:$1,0)-MATCH($W$1,[3]enemy_skill_sets!$1:$1,0)+2,FALSE)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9" s="4">
        <v>41009002</v>
      </c>
      <c r="X9" s="6">
        <v>1</v>
      </c>
      <c r="Y9" s="6">
        <v>100</v>
      </c>
      <c r="Z9" s="6">
        <v>0</v>
      </c>
      <c r="AA9" s="16">
        <v>2</v>
      </c>
      <c r="AB9" s="102">
        <f t="shared" si="3"/>
        <v>65</v>
      </c>
      <c r="AC9" s="4" t="str">
        <f ca="1">VLOOKUP($AB9,OFFSET([5]characters!$A$1,0,0,COUNTA([5]characters!$A:$A),MATCH(AC$1,[5]characters!$1:$1,0)-MATCH("character_id",[5]characters!$1:$1,0)+1),MATCH(AC$1,[5]characters!$1:$1,0)-MATCH("character_id",[5]characters!$1:$1,0)+1,FALSE)</f>
        <v>ファイアフォックス</v>
      </c>
      <c r="AD9" s="4">
        <f ca="1">VLOOKUP($AB9,OFFSET([5]characters!$A$1,0,0,COUNTA([5]characters!$A:$A),MATCH(AD$1,[5]characters!$1:$1,0)-MATCH("character_id",[5]characters!$1:$1,0)+1),MATCH(AD$1,[5]characters!$1:$1,0)-MATCH("character_id",[5]characters!$1:$1,0)+1,FALSE)</f>
        <v>2</v>
      </c>
      <c r="AE9" s="4" t="str">
        <f ca="1">VLOOKUP($AB9,OFFSET([5]characters!$A$1,0,0,COUNTA([5]characters!$A:$A),MATCH(AE$1,[5]characters!$1:$1,0)-MATCH("character_id",[5]characters!$1:$1,0)+1),MATCH(AE$1,[5]characters!$1:$1,0)-MATCH("character_id",[5]characters!$1:$1,0)+1,FALSE)</f>
        <v>Drop1S</v>
      </c>
      <c r="AF9" s="103">
        <v>1</v>
      </c>
      <c r="AG9" s="102">
        <f t="shared" ca="1" si="4"/>
        <v>2</v>
      </c>
      <c r="AH9" s="7">
        <v>15</v>
      </c>
      <c r="AI9" s="103">
        <v>0</v>
      </c>
      <c r="AJ9" s="103">
        <v>0</v>
      </c>
      <c r="AK9" s="103">
        <v>0</v>
      </c>
      <c r="AL9" s="103">
        <v>0</v>
      </c>
      <c r="AM9" s="103">
        <v>1</v>
      </c>
      <c r="AN9" s="65">
        <v>1</v>
      </c>
    </row>
    <row r="10" spans="1:40" ht="21" customHeight="1" x14ac:dyDescent="0.15">
      <c r="A10" s="15" t="str">
        <f t="shared" si="0"/>
        <v>41009_2-1/69&lt;lv55&gt;s3</v>
      </c>
      <c r="B10" s="99">
        <v>41009</v>
      </c>
      <c r="C10" s="100">
        <v>2</v>
      </c>
      <c r="D10" s="14" t="str">
        <f t="shared" si="1"/>
        <v>41009_2</v>
      </c>
      <c r="E10" s="4" t="str">
        <f ca="1">VLOOKUP($B10,OFFSET([2]quests!$A$1,0,0,COUNTA([2]quests!$A:$A),MATCH(E$1,[2]quests!$1:$1,0)-MATCH($B$1,[2]quests!$1:$1,0)+1),MATCH(E$1,[2]quests!$1:$1,0)-MATCH($B$1,[2]quests!$1:$1,0)+1,FALSE)</f>
        <v>フギンとムニン襲来！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【ウィザード級】フギンとムニン襲来</v>
      </c>
      <c r="G10" s="100">
        <v>1</v>
      </c>
      <c r="H10" s="14" t="str">
        <f t="shared" si="2"/>
        <v>41009_2-1</v>
      </c>
      <c r="I10" s="4" t="e">
        <f ca="1">VLOOKUP($H10,OFFSET([3]floors!$A$1,0,0,COUNTA([3]floors!$A:$A),MATCH(I$1,[3]floors!$1:$1,0)-MATCH($H$1,[3]floors!$1:$1,0)+1),MATCH(I$1,[3]floors!$1:$1,0)-MATCH($H$1,[3]floors!$1:$1,0)+1,FALSE)</f>
        <v>#VALUE!</v>
      </c>
      <c r="J10" s="4" t="e">
        <f ca="1">VLOOKUP($H10,OFFSET([3]floors!$A$1,0,0,COUNTA([3]floors!$A:$A),MATCH(J$1,[3]floors!$1:$1,0)-MATCH($H$1,[3]floors!$1:$1,0)+1),MATCH(J$1,[3]floors!$1:$1,0)-MATCH($H$1,[3]floors!$1:$1,0)+1,FALSE)</f>
        <v>#VALUE!</v>
      </c>
      <c r="K10" s="34" t="s">
        <v>251</v>
      </c>
      <c r="L10" s="101">
        <v>69</v>
      </c>
      <c r="M10" s="16" t="str">
        <f ca="1">VLOOKUP($L10,OFFSET([4]enemies!$A$1,0,0,COUNTA([4]enemies!$A:$A),MATCH(M$1,[4]enemies!$1:$1,0)-MATCH($L$1,[4]enemies!$1:$1,0)+1),MATCH(M$1,[4]enemies!$1:$1,0)-MATCH($L$1,[4]enemies!$1:$1,0)+1,FALSE)</f>
        <v>思想家 ストール</v>
      </c>
      <c r="N10" s="16" t="str">
        <f ca="1">VLOOKUP($L10,OFFSET([4]enemies!$A$1,0,0,COUNTA([4]enemies!$A:$A),MATCH(N$1,[4]enemies!$1:$1,0)-MATCH($L$1,[4]enemies!$1:$1,0)+1),MATCH(N$1,[4]enemies!$1:$1,0)-MATCH($L$1,[4]enemies!$1:$1,0)+1,FALSE)</f>
        <v>green</v>
      </c>
      <c r="O10" s="16" t="str">
        <f ca="1">VLOOKUP($L10,OFFSET([5]characters!$A$1,0,0,COUNTA([5]characters!$A:$A),MATCH(O$1,[5]characters!$1:$1,0)-MATCH($L$1,[5]characters!$1:$1,0)+1),MATCH(O$1,[5]characters!$1:$1,0)-MATCH($L$1,[5]characters!$1:$1,0)+1,FALSE)</f>
        <v>Drop1S</v>
      </c>
      <c r="P10" s="16" t="str">
        <f ca="1">VLOOKUP($L10,OFFSET([4]enemies!$A$1,0,0,COUNTA([4]enemies!$A:$A),MATCH(P$1,[4]enemies!$1:$1,0)-MATCH($L$1,[4]enemies!$1:$1,0)+1),MATCH(P$1,[4]enemies!$1:$1,0)-MATCH($L$1,[4]enemies!$1:$1,0)+1,FALSE)</f>
        <v>animal</v>
      </c>
      <c r="Q10" s="16">
        <f ca="1">VLOOKUP($L10,OFFSET([4]enemies!$A$1,0,0,COUNTA([4]enemies!$A:$A),MATCH(Q$1,[4]enemies!$1:$1,0)-MATCH($L$1,[4]enemies!$1:$1,0)+1),MATCH(Q$1,[4]enemies!$1:$1,0)-MATCH($L$1,[4]enemies!$1:$1,0)+1,FALSE)</f>
        <v>20</v>
      </c>
      <c r="R10" s="5">
        <v>55</v>
      </c>
      <c r="S10" s="112">
        <v>0.9</v>
      </c>
      <c r="T10" s="112">
        <v>1.2</v>
      </c>
      <c r="U10" s="5">
        <v>0</v>
      </c>
      <c r="V10" s="4" t="e">
        <f ca="1">VLOOKUP($W10,OFFSET([3]enemy_skill_sets!$B$1,0,0,COUNTA([3]enemy_skill_sets!$B:$B),MATCH(M$1,[3]enemy_skill_sets!$1:$1,0)-MATCH($W$1,[3]enemy_skill_sets!$1:$1,0)+2),MATCH(M$1,[3]enemy_skill_sets!$1:$1,0)-MATCH($W$1,[3]enemy_skill_sets!$1:$1,0)+2,FALSE)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0" s="104">
        <v>41009001</v>
      </c>
      <c r="X10" s="6">
        <v>1</v>
      </c>
      <c r="Y10" s="6">
        <v>100</v>
      </c>
      <c r="Z10" s="6">
        <v>1</v>
      </c>
      <c r="AA10" s="16">
        <v>3</v>
      </c>
      <c r="AB10" s="102">
        <f t="shared" si="3"/>
        <v>69</v>
      </c>
      <c r="AC10" s="4" t="str">
        <f ca="1">VLOOKUP($AB10,OFFSET([5]characters!$A$1,0,0,COUNTA([5]characters!$A:$A),MATCH(AC$1,[5]characters!$1:$1,0)-MATCH("character_id",[5]characters!$1:$1,0)+1),MATCH(AC$1,[5]characters!$1:$1,0)-MATCH("character_id",[5]characters!$1:$1,0)+1,FALSE)</f>
        <v>思想家 ストール</v>
      </c>
      <c r="AD10" s="4">
        <f ca="1">VLOOKUP($AB10,OFFSET([5]characters!$A$1,0,0,COUNTA([5]characters!$A:$A),MATCH(AD$1,[5]characters!$1:$1,0)-MATCH("character_id",[5]characters!$1:$1,0)+1),MATCH(AD$1,[5]characters!$1:$1,0)-MATCH("character_id",[5]characters!$1:$1,0)+1,FALSE)</f>
        <v>3</v>
      </c>
      <c r="AE10" s="4" t="str">
        <f ca="1">VLOOKUP($AB10,OFFSET([5]characters!$A$1,0,0,COUNTA([5]characters!$A:$A),MATCH(AE$1,[5]characters!$1:$1,0)-MATCH("character_id",[5]characters!$1:$1,0)+1),MATCH(AE$1,[5]characters!$1:$1,0)-MATCH("character_id",[5]characters!$1:$1,0)+1,FALSE)</f>
        <v>Drop1S</v>
      </c>
      <c r="AF10" s="103">
        <v>1</v>
      </c>
      <c r="AG10" s="102">
        <f t="shared" ca="1" si="4"/>
        <v>3</v>
      </c>
      <c r="AH10" s="7">
        <v>15</v>
      </c>
      <c r="AI10" s="103">
        <v>0</v>
      </c>
      <c r="AJ10" s="103">
        <v>0</v>
      </c>
      <c r="AK10" s="103">
        <v>0</v>
      </c>
      <c r="AL10" s="103">
        <v>0</v>
      </c>
      <c r="AM10" s="103">
        <v>1</v>
      </c>
      <c r="AN10" s="65">
        <v>1</v>
      </c>
    </row>
    <row r="11" spans="1:40" ht="21" customHeight="1" x14ac:dyDescent="0.15">
      <c r="A11" s="15" t="str">
        <f t="shared" si="0"/>
        <v>41009_2-1/37&lt;lv58&gt;s1</v>
      </c>
      <c r="B11" s="99">
        <v>41009</v>
      </c>
      <c r="C11" s="100">
        <v>2</v>
      </c>
      <c r="D11" s="14" t="str">
        <f t="shared" si="1"/>
        <v>41009_2</v>
      </c>
      <c r="E11" s="4" t="str">
        <f ca="1">VLOOKUP($B11,OFFSET([2]quests!$A$1,0,0,COUNTA([2]quests!$A:$A),MATCH(E$1,[2]quests!$1:$1,0)-MATCH($B$1,[2]quests!$1:$1,0)+1),MATCH(E$1,[2]quests!$1:$1,0)-MATCH($B$1,[2]quests!$1:$1,0)+1,FALSE)</f>
        <v>フギンとムニン襲来！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【ウィザード級】フギンとムニン襲来</v>
      </c>
      <c r="G11" s="100">
        <v>1</v>
      </c>
      <c r="H11" s="14" t="str">
        <f t="shared" si="2"/>
        <v>41009_2-1</v>
      </c>
      <c r="I11" s="4" t="e">
        <f ca="1">VLOOKUP($H11,OFFSET([3]floors!$A$1,0,0,COUNTA([3]floors!$A:$A),MATCH(I$1,[3]floors!$1:$1,0)-MATCH($H$1,[3]floors!$1:$1,0)+1),MATCH(I$1,[3]floors!$1:$1,0)-MATCH($H$1,[3]floors!$1:$1,0)+1,FALSE)</f>
        <v>#VALUE!</v>
      </c>
      <c r="J11" s="4" t="e">
        <f ca="1">VLOOKUP($H11,OFFSET([3]floors!$A$1,0,0,COUNTA([3]floors!$A:$A),MATCH(J$1,[3]floors!$1:$1,0)-MATCH($H$1,[3]floors!$1:$1,0)+1),MATCH(J$1,[3]floors!$1:$1,0)-MATCH($H$1,[3]floors!$1:$1,0)+1,FALSE)</f>
        <v>#VALUE!</v>
      </c>
      <c r="K11" s="34" t="s">
        <v>53</v>
      </c>
      <c r="L11" s="101">
        <v>37</v>
      </c>
      <c r="M11" s="16" t="str">
        <f ca="1">VLOOKUP($L11,OFFSET([4]enemies!$A$1,0,0,COUNTA([4]enemies!$A:$A),MATCH(M$1,[4]enemies!$1:$1,0)-MATCH($L$1,[4]enemies!$1:$1,0)+1),MATCH(M$1,[4]enemies!$1:$1,0)-MATCH($L$1,[4]enemies!$1:$1,0)+1,FALSE)</f>
        <v>ガイル</v>
      </c>
      <c r="N11" s="16" t="str">
        <f ca="1">VLOOKUP($L11,OFFSET([4]enemies!$A$1,0,0,COUNTA([4]enemies!$A:$A),MATCH(N$1,[4]enemies!$1:$1,0)-MATCH($L$1,[4]enemies!$1:$1,0)+1),MATCH(N$1,[4]enemies!$1:$1,0)-MATCH($L$1,[4]enemies!$1:$1,0)+1,FALSE)</f>
        <v>blue</v>
      </c>
      <c r="O11" s="16" t="str">
        <f ca="1">VLOOKUP($L11,OFFSET([5]characters!$A$1,0,0,COUNTA([5]characters!$A:$A),MATCH(O$1,[5]characters!$1:$1,0)-MATCH($L$1,[5]characters!$1:$1,0)+1),MATCH(O$1,[5]characters!$1:$1,0)-MATCH($L$1,[5]characters!$1:$1,0)+1,FALSE)</f>
        <v>Drop1S</v>
      </c>
      <c r="P11" s="16" t="str">
        <f ca="1">VLOOKUP($L11,OFFSET([4]enemies!$A$1,0,0,COUNTA([4]enemies!$A:$A),MATCH(P$1,[4]enemies!$1:$1,0)-MATCH($L$1,[4]enemies!$1:$1,0)+1),MATCH(P$1,[4]enemies!$1:$1,0)-MATCH($L$1,[4]enemies!$1:$1,0)+1,FALSE)</f>
        <v>animal</v>
      </c>
      <c r="Q11" s="16">
        <f ca="1">VLOOKUP($L11,OFFSET([4]enemies!$A$1,0,0,COUNTA([4]enemies!$A:$A),MATCH(Q$1,[4]enemies!$1:$1,0)-MATCH($L$1,[4]enemies!$1:$1,0)+1),MATCH(Q$1,[4]enemies!$1:$1,0)-MATCH($L$1,[4]enemies!$1:$1,0)+1,FALSE)</f>
        <v>15</v>
      </c>
      <c r="R11" s="5">
        <v>58</v>
      </c>
      <c r="S11" s="112">
        <v>1.2</v>
      </c>
      <c r="T11" s="112">
        <v>2.1</v>
      </c>
      <c r="U11" s="5">
        <v>0</v>
      </c>
      <c r="V11" s="4" t="e">
        <f ca="1">VLOOKUP($W11,OFFSET([3]enemy_skill_sets!$B$1,0,0,COUNTA([3]enemy_skill_sets!$B:$B),MATCH(M$1,[3]enemy_skill_sets!$1:$1,0)-MATCH($W$1,[3]enemy_skill_sets!$1:$1,0)+2),MATCH(M$1,[3]enemy_skill_sets!$1:$1,0)-MATCH($W$1,[3]enemy_skill_sets!$1:$1,0)+2,FALSE)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1" s="104">
        <v>41009003</v>
      </c>
      <c r="X11" s="6">
        <v>1</v>
      </c>
      <c r="Y11" s="6">
        <v>100</v>
      </c>
      <c r="Z11" s="6">
        <v>0</v>
      </c>
      <c r="AA11" s="16">
        <v>1</v>
      </c>
      <c r="AB11" s="102">
        <f t="shared" si="3"/>
        <v>37</v>
      </c>
      <c r="AC11" s="4" t="str">
        <f ca="1">VLOOKUP($AB11,OFFSET([5]characters!$A$1,0,0,COUNTA([5]characters!$A:$A),MATCH(AC$1,[5]characters!$1:$1,0)-MATCH("character_id",[5]characters!$1:$1,0)+1),MATCH(AC$1,[5]characters!$1:$1,0)-MATCH("character_id",[5]characters!$1:$1,0)+1,FALSE)</f>
        <v>ガイル</v>
      </c>
      <c r="AD11" s="4">
        <f ca="1">VLOOKUP($AB11,OFFSET([5]characters!$A$1,0,0,COUNTA([5]characters!$A:$A),MATCH(AD$1,[5]characters!$1:$1,0)-MATCH("character_id",[5]characters!$1:$1,0)+1),MATCH(AD$1,[5]characters!$1:$1,0)-MATCH("character_id",[5]characters!$1:$1,0)+1,FALSE)</f>
        <v>2</v>
      </c>
      <c r="AE11" s="4" t="str">
        <f ca="1">VLOOKUP($AB11,OFFSET([5]characters!$A$1,0,0,COUNTA([5]characters!$A:$A),MATCH(AE$1,[5]characters!$1:$1,0)-MATCH("character_id",[5]characters!$1:$1,0)+1),MATCH(AE$1,[5]characters!$1:$1,0)-MATCH("character_id",[5]characters!$1:$1,0)+1,FALSE)</f>
        <v>Drop1S</v>
      </c>
      <c r="AF11" s="103">
        <v>1</v>
      </c>
      <c r="AG11" s="102">
        <f t="shared" ca="1" si="4"/>
        <v>2</v>
      </c>
      <c r="AH11" s="7">
        <v>15</v>
      </c>
      <c r="AI11" s="103">
        <v>0</v>
      </c>
      <c r="AJ11" s="103">
        <v>0</v>
      </c>
      <c r="AK11" s="103">
        <v>0</v>
      </c>
      <c r="AL11" s="103">
        <v>0</v>
      </c>
      <c r="AM11" s="103">
        <v>1</v>
      </c>
      <c r="AN11" s="65">
        <v>1</v>
      </c>
    </row>
    <row r="12" spans="1:40" ht="21" customHeight="1" x14ac:dyDescent="0.15">
      <c r="A12" s="15" t="str">
        <f t="shared" si="0"/>
        <v>41009_2-2/284&lt;lv60&gt;s1</v>
      </c>
      <c r="B12" s="99">
        <v>41009</v>
      </c>
      <c r="C12" s="100">
        <v>2</v>
      </c>
      <c r="D12" s="14" t="str">
        <f t="shared" si="1"/>
        <v>41009_2</v>
      </c>
      <c r="E12" s="4" t="str">
        <f ca="1">VLOOKUP($B12,OFFSET([2]quests!$A$1,0,0,COUNTA([2]quests!$A:$A),MATCH(E$1,[2]quests!$1:$1,0)-MATCH($B$1,[2]quests!$1:$1,0)+1),MATCH(E$1,[2]quests!$1:$1,0)-MATCH($B$1,[2]quests!$1:$1,0)+1,FALSE)</f>
        <v>フギンとムニン襲来！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【ウィザード級】フギンとムニン襲来</v>
      </c>
      <c r="G12" s="100">
        <v>2</v>
      </c>
      <c r="H12" s="14" t="str">
        <f t="shared" si="2"/>
        <v>41009_2-2</v>
      </c>
      <c r="I12" s="4" t="e">
        <f ca="1">VLOOKUP($H12,OFFSET([3]floors!$A$1,0,0,COUNTA([3]floors!$A:$A),MATCH(I$1,[3]floors!$1:$1,0)-MATCH($H$1,[3]floors!$1:$1,0)+1),MATCH(I$1,[3]floors!$1:$1,0)-MATCH($H$1,[3]floors!$1:$1,0)+1,FALSE)</f>
        <v>#VALUE!</v>
      </c>
      <c r="J12" s="4" t="e">
        <f ca="1">VLOOKUP($H12,OFFSET([3]floors!$A$1,0,0,COUNTA([3]floors!$A:$A),MATCH(J$1,[3]floors!$1:$1,0)-MATCH($H$1,[3]floors!$1:$1,0)+1),MATCH(J$1,[3]floors!$1:$1,0)-MATCH($H$1,[3]floors!$1:$1,0)+1,FALSE)</f>
        <v>#VALUE!</v>
      </c>
      <c r="K12" s="34">
        <v>4</v>
      </c>
      <c r="L12" s="101">
        <v>284</v>
      </c>
      <c r="M12" s="16" t="str">
        <f ca="1">VLOOKUP($L12,OFFSET([4]enemies!$A$1,0,0,COUNTA([4]enemies!$A:$A),MATCH(M$1,[4]enemies!$1:$1,0)-MATCH($L$1,[4]enemies!$1:$1,0)+1),MATCH(M$1,[4]enemies!$1:$1,0)-MATCH($L$1,[4]enemies!$1:$1,0)+1,FALSE)</f>
        <v>フェルニゲシュ</v>
      </c>
      <c r="N12" s="16" t="str">
        <f ca="1">VLOOKUP($L12,OFFSET([4]enemies!$A$1,0,0,COUNTA([4]enemies!$A:$A),MATCH(N$1,[4]enemies!$1:$1,0)-MATCH($L$1,[4]enemies!$1:$1,0)+1),MATCH(N$1,[4]enemies!$1:$1,0)-MATCH($L$1,[4]enemies!$1:$1,0)+1,FALSE)</f>
        <v>yellow</v>
      </c>
      <c r="O12" s="16" t="str">
        <f ca="1">VLOOKUP($L12,OFFSET([5]characters!$A$1,0,0,COUNTA([5]characters!$A:$A),MATCH(O$1,[5]characters!$1:$1,0)-MATCH($L$1,[5]characters!$1:$1,0)+1),MATCH(O$1,[5]characters!$1:$1,0)-MATCH($L$1,[5]characters!$1:$1,0)+1,FALSE)</f>
        <v>Drop2W</v>
      </c>
      <c r="P12" s="16" t="str">
        <f ca="1">VLOOKUP($L12,OFFSET([4]enemies!$A$1,0,0,COUNTA([4]enemies!$A:$A),MATCH(P$1,[4]enemies!$1:$1,0)-MATCH($L$1,[4]enemies!$1:$1,0)+1),MATCH(P$1,[4]enemies!$1:$1,0)-MATCH($L$1,[4]enemies!$1:$1,0)+1,FALSE)</f>
        <v>dragon</v>
      </c>
      <c r="Q12" s="16">
        <f ca="1">VLOOKUP($L12,OFFSET([4]enemies!$A$1,0,0,COUNTA([4]enemies!$A:$A),MATCH(Q$1,[4]enemies!$1:$1,0)-MATCH($L$1,[4]enemies!$1:$1,0)+1),MATCH(Q$1,[4]enemies!$1:$1,0)-MATCH($L$1,[4]enemies!$1:$1,0)+1,FALSE)</f>
        <v>20</v>
      </c>
      <c r="R12" s="5">
        <v>60</v>
      </c>
      <c r="S12" s="112">
        <v>1.4</v>
      </c>
      <c r="T12" s="112">
        <v>1.1000000000000001</v>
      </c>
      <c r="U12" s="5">
        <v>0</v>
      </c>
      <c r="V12" s="4" t="e">
        <f ca="1">VLOOKUP($W12,OFFSET([3]enemy_skill_sets!$B$1,0,0,COUNTA([3]enemy_skill_sets!$B:$B),MATCH(M$1,[3]enemy_skill_sets!$1:$1,0)-MATCH($W$1,[3]enemy_skill_sets!$1:$1,0)+2),MATCH(M$1,[3]enemy_skill_sets!$1:$1,0)-MATCH($W$1,[3]enemy_skill_sets!$1:$1,0)+2,FALSE)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2" s="104">
        <v>41009004</v>
      </c>
      <c r="X12" s="6">
        <v>1</v>
      </c>
      <c r="Y12" s="6">
        <v>100</v>
      </c>
      <c r="Z12" s="6">
        <v>0</v>
      </c>
      <c r="AA12" s="16">
        <v>1</v>
      </c>
      <c r="AB12" s="102">
        <f t="shared" si="3"/>
        <v>284</v>
      </c>
      <c r="AC12" s="4" t="str">
        <f ca="1">VLOOKUP($AB12,OFFSET([5]characters!$A$1,0,0,COUNTA([5]characters!$A:$A),MATCH(AC$1,[5]characters!$1:$1,0)-MATCH("character_id",[5]characters!$1:$1,0)+1),MATCH(AC$1,[5]characters!$1:$1,0)-MATCH("character_id",[5]characters!$1:$1,0)+1,FALSE)</f>
        <v>フェルニゲシュ</v>
      </c>
      <c r="AD12" s="4">
        <f ca="1">VLOOKUP($AB12,OFFSET([5]characters!$A$1,0,0,COUNTA([5]characters!$A:$A),MATCH(AD$1,[5]characters!$1:$1,0)-MATCH("character_id",[5]characters!$1:$1,0)+1),MATCH(AD$1,[5]characters!$1:$1,0)-MATCH("character_id",[5]characters!$1:$1,0)+1,FALSE)</f>
        <v>3</v>
      </c>
      <c r="AE12" s="4" t="str">
        <f ca="1">VLOOKUP($AB12,OFFSET([5]characters!$A$1,0,0,COUNTA([5]characters!$A:$A),MATCH(AE$1,[5]characters!$1:$1,0)-MATCH("character_id",[5]characters!$1:$1,0)+1),MATCH(AE$1,[5]characters!$1:$1,0)-MATCH("character_id",[5]characters!$1:$1,0)+1,FALSE)</f>
        <v>Drop2W</v>
      </c>
      <c r="AF12" s="103">
        <v>1</v>
      </c>
      <c r="AG12" s="102">
        <f t="shared" ca="1" si="4"/>
        <v>3</v>
      </c>
      <c r="AH12" s="7">
        <v>0</v>
      </c>
      <c r="AI12" s="103">
        <v>0</v>
      </c>
      <c r="AJ12" s="103">
        <v>0</v>
      </c>
      <c r="AK12" s="103">
        <v>0</v>
      </c>
      <c r="AL12" s="103">
        <v>0</v>
      </c>
      <c r="AM12" s="103">
        <v>1</v>
      </c>
      <c r="AN12" s="65">
        <v>1</v>
      </c>
    </row>
    <row r="13" spans="1:40" ht="21" customHeight="1" x14ac:dyDescent="0.15">
      <c r="A13" s="15" t="str">
        <f t="shared" si="0"/>
        <v>41009_2-2/286&lt;lv60&gt;s2</v>
      </c>
      <c r="B13" s="99">
        <v>41009</v>
      </c>
      <c r="C13" s="100">
        <v>2</v>
      </c>
      <c r="D13" s="14" t="str">
        <f t="shared" si="1"/>
        <v>41009_2</v>
      </c>
      <c r="E13" s="4" t="str">
        <f ca="1">VLOOKUP($B13,OFFSET([2]quests!$A$1,0,0,COUNTA([2]quests!$A:$A),MATCH(E$1,[2]quests!$1:$1,0)-MATCH($B$1,[2]quests!$1:$1,0)+1),MATCH(E$1,[2]quests!$1:$1,0)-MATCH($B$1,[2]quests!$1:$1,0)+1,FALSE)</f>
        <v>フギンとムニン襲来！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【ウィザード級】フギンとムニン襲来</v>
      </c>
      <c r="G13" s="100">
        <v>2</v>
      </c>
      <c r="H13" s="14" t="str">
        <f t="shared" si="2"/>
        <v>41009_2-2</v>
      </c>
      <c r="I13" s="4" t="e">
        <f ca="1">VLOOKUP($H13,OFFSET([3]floors!$A$1,0,0,COUNTA([3]floors!$A:$A),MATCH(I$1,[3]floors!$1:$1,0)-MATCH($H$1,[3]floors!$1:$1,0)+1),MATCH(I$1,[3]floors!$1:$1,0)-MATCH($H$1,[3]floors!$1:$1,0)+1,FALSE)</f>
        <v>#VALUE!</v>
      </c>
      <c r="J13" s="4" t="e">
        <f ca="1">VLOOKUP($H13,OFFSET([3]floors!$A$1,0,0,COUNTA([3]floors!$A:$A),MATCH(J$1,[3]floors!$1:$1,0)-MATCH($H$1,[3]floors!$1:$1,0)+1),MATCH(J$1,[3]floors!$1:$1,0)-MATCH($H$1,[3]floors!$1:$1,0)+1,FALSE)</f>
        <v>#VALUE!</v>
      </c>
      <c r="K13" s="34">
        <v>5</v>
      </c>
      <c r="L13" s="101">
        <v>286</v>
      </c>
      <c r="M13" s="16" t="str">
        <f ca="1">VLOOKUP($L13,OFFSET([4]enemies!$A$1,0,0,COUNTA([4]enemies!$A:$A),MATCH(M$1,[4]enemies!$1:$1,0)-MATCH($L$1,[4]enemies!$1:$1,0)+1),MATCH(M$1,[4]enemies!$1:$1,0)-MATCH($L$1,[4]enemies!$1:$1,0)+1,FALSE)</f>
        <v>ヒュドラ</v>
      </c>
      <c r="N13" s="16" t="str">
        <f ca="1">VLOOKUP($L13,OFFSET([4]enemies!$A$1,0,0,COUNTA([4]enemies!$A:$A),MATCH(N$1,[4]enemies!$1:$1,0)-MATCH($L$1,[4]enemies!$1:$1,0)+1),MATCH(N$1,[4]enemies!$1:$1,0)-MATCH($L$1,[4]enemies!$1:$1,0)+1,FALSE)</f>
        <v>red</v>
      </c>
      <c r="O13" s="16" t="str">
        <f ca="1">VLOOKUP($L13,OFFSET([5]characters!$A$1,0,0,COUNTA([5]characters!$A:$A),MATCH(O$1,[5]characters!$1:$1,0)-MATCH($L$1,[5]characters!$1:$1,0)+1),MATCH(O$1,[5]characters!$1:$1,0)-MATCH($L$1,[5]characters!$1:$1,0)+1,FALSE)</f>
        <v>Drop2W</v>
      </c>
      <c r="P13" s="16" t="str">
        <f ca="1">VLOOKUP($L13,OFFSET([4]enemies!$A$1,0,0,COUNTA([4]enemies!$A:$A),MATCH(P$1,[4]enemies!$1:$1,0)-MATCH($L$1,[4]enemies!$1:$1,0)+1),MATCH(P$1,[4]enemies!$1:$1,0)-MATCH($L$1,[4]enemies!$1:$1,0)+1,FALSE)</f>
        <v>dragon</v>
      </c>
      <c r="Q13" s="16">
        <f ca="1">VLOOKUP($L13,OFFSET([4]enemies!$A$1,0,0,COUNTA([4]enemies!$A:$A),MATCH(Q$1,[4]enemies!$1:$1,0)-MATCH($L$1,[4]enemies!$1:$1,0)+1),MATCH(Q$1,[4]enemies!$1:$1,0)-MATCH($L$1,[4]enemies!$1:$1,0)+1,FALSE)</f>
        <v>20</v>
      </c>
      <c r="R13" s="5">
        <v>60</v>
      </c>
      <c r="S13" s="112">
        <v>1.2</v>
      </c>
      <c r="T13" s="112">
        <v>0.9</v>
      </c>
      <c r="U13" s="5">
        <v>0</v>
      </c>
      <c r="V13" s="4" t="e">
        <f ca="1">VLOOKUP($W13,OFFSET([3]enemy_skill_sets!$B$1,0,0,COUNTA([3]enemy_skill_sets!$B:$B),MATCH(M$1,[3]enemy_skill_sets!$1:$1,0)-MATCH($W$1,[3]enemy_skill_sets!$1:$1,0)+2),MATCH(M$1,[3]enemy_skill_sets!$1:$1,0)-MATCH($W$1,[3]enemy_skill_sets!$1:$1,0)+2,FALSE)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3" s="104">
        <v>41009006</v>
      </c>
      <c r="X13" s="6">
        <v>1</v>
      </c>
      <c r="Y13" s="6">
        <v>100</v>
      </c>
      <c r="Z13" s="6">
        <v>0</v>
      </c>
      <c r="AA13" s="16">
        <v>2</v>
      </c>
      <c r="AB13" s="102">
        <f t="shared" si="3"/>
        <v>286</v>
      </c>
      <c r="AC13" s="4" t="str">
        <f ca="1">VLOOKUP($AB13,OFFSET([5]characters!$A$1,0,0,COUNTA([5]characters!$A:$A),MATCH(AC$1,[5]characters!$1:$1,0)-MATCH("character_id",[5]characters!$1:$1,0)+1),MATCH(AC$1,[5]characters!$1:$1,0)-MATCH("character_id",[5]characters!$1:$1,0)+1,FALSE)</f>
        <v>ヒュドラ</v>
      </c>
      <c r="AD13" s="4">
        <f ca="1">VLOOKUP($AB13,OFFSET([5]characters!$A$1,0,0,COUNTA([5]characters!$A:$A),MATCH(AD$1,[5]characters!$1:$1,0)-MATCH("character_id",[5]characters!$1:$1,0)+1),MATCH(AD$1,[5]characters!$1:$1,0)-MATCH("character_id",[5]characters!$1:$1,0)+1,FALSE)</f>
        <v>3</v>
      </c>
      <c r="AE13" s="4" t="str">
        <f ca="1">VLOOKUP($AB13,OFFSET([5]characters!$A$1,0,0,COUNTA([5]characters!$A:$A),MATCH(AE$1,[5]characters!$1:$1,0)-MATCH("character_id",[5]characters!$1:$1,0)+1),MATCH(AE$1,[5]characters!$1:$1,0)-MATCH("character_id",[5]characters!$1:$1,0)+1,FALSE)</f>
        <v>Drop2W</v>
      </c>
      <c r="AF13" s="103">
        <v>1</v>
      </c>
      <c r="AG13" s="102">
        <f t="shared" ca="1" si="4"/>
        <v>3</v>
      </c>
      <c r="AH13" s="7">
        <v>0</v>
      </c>
      <c r="AI13" s="103">
        <v>0</v>
      </c>
      <c r="AJ13" s="103">
        <v>0</v>
      </c>
      <c r="AK13" s="103">
        <v>0</v>
      </c>
      <c r="AL13" s="103">
        <v>0</v>
      </c>
      <c r="AM13" s="103">
        <v>1</v>
      </c>
      <c r="AN13" s="65">
        <v>1</v>
      </c>
    </row>
    <row r="14" spans="1:40" ht="21" customHeight="1" x14ac:dyDescent="0.15">
      <c r="A14" s="15" t="str">
        <f t="shared" si="0"/>
        <v>41009_2-3/402&lt;lv60&gt;s1</v>
      </c>
      <c r="B14" s="99">
        <v>41009</v>
      </c>
      <c r="C14" s="100">
        <v>2</v>
      </c>
      <c r="D14" s="14" t="str">
        <f t="shared" si="1"/>
        <v>41009_2</v>
      </c>
      <c r="E14" s="4" t="str">
        <f ca="1">VLOOKUP($B14,OFFSET([2]quests!$A$1,0,0,COUNTA([2]quests!$A:$A),MATCH(E$1,[2]quests!$1:$1,0)-MATCH($B$1,[2]quests!$1:$1,0)+1),MATCH(E$1,[2]quests!$1:$1,0)-MATCH($B$1,[2]quests!$1:$1,0)+1,FALSE)</f>
        <v>フギンとムニン襲来！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【ウィザード級】フギンとムニン襲来</v>
      </c>
      <c r="G14" s="100">
        <v>3</v>
      </c>
      <c r="H14" s="14" t="str">
        <f t="shared" si="2"/>
        <v>41009_2-3</v>
      </c>
      <c r="I14" s="4" t="e">
        <f ca="1">VLOOKUP($H14,OFFSET([3]floors!$A$1,0,0,COUNTA([3]floors!$A:$A),MATCH(I$1,[3]floors!$1:$1,0)-MATCH($H$1,[3]floors!$1:$1,0)+1),MATCH(I$1,[3]floors!$1:$1,0)-MATCH($H$1,[3]floors!$1:$1,0)+1,FALSE)</f>
        <v>#VALUE!</v>
      </c>
      <c r="J14" s="4" t="e">
        <f ca="1">VLOOKUP($H14,OFFSET([3]floors!$A$1,0,0,COUNTA([3]floors!$A:$A),MATCH(J$1,[3]floors!$1:$1,0)-MATCH($H$1,[3]floors!$1:$1,0)+1),MATCH(J$1,[3]floors!$1:$1,0)-MATCH($H$1,[3]floors!$1:$1,0)+1,FALSE)</f>
        <v>#VALUE!</v>
      </c>
      <c r="K14" s="34" t="s">
        <v>53</v>
      </c>
      <c r="L14" s="101">
        <v>402</v>
      </c>
      <c r="M14" s="16" t="str">
        <f ca="1">VLOOKUP($L14,OFFSET([4]enemies!$A$1,0,0,COUNTA([4]enemies!$A:$A),MATCH(M$1,[4]enemies!$1:$1,0)-MATCH($L$1,[4]enemies!$1:$1,0)+1),MATCH(M$1,[4]enemies!$1:$1,0)-MATCH($L$1,[4]enemies!$1:$1,0)+1,FALSE)</f>
        <v>天災の神狼 フェンリル</v>
      </c>
      <c r="N14" s="16" t="str">
        <f ca="1">VLOOKUP($L14,OFFSET([4]enemies!$A$1,0,0,COUNTA([4]enemies!$A:$A),MATCH(N$1,[4]enemies!$1:$1,0)-MATCH($L$1,[4]enemies!$1:$1,0)+1),MATCH(N$1,[4]enemies!$1:$1,0)-MATCH($L$1,[4]enemies!$1:$1,0)+1,FALSE)</f>
        <v>red</v>
      </c>
      <c r="O14" s="16" t="str">
        <f ca="1">VLOOKUP($L14,OFFSET([5]characters!$A$1,0,0,COUNTA([5]characters!$A:$A),MATCH(O$1,[5]characters!$1:$1,0)-MATCH($L$1,[5]characters!$1:$1,0)+1),MATCH(O$1,[5]characters!$1:$1,0)-MATCH($L$1,[5]characters!$1:$1,0)+1,FALSE)</f>
        <v>PremiumS</v>
      </c>
      <c r="P14" s="16" t="str">
        <f ca="1">VLOOKUP($L14,OFFSET([4]enemies!$A$1,0,0,COUNTA([4]enemies!$A:$A),MATCH(P$1,[4]enemies!$1:$1,0)-MATCH($L$1,[4]enemies!$1:$1,0)+1),MATCH(P$1,[4]enemies!$1:$1,0)-MATCH($L$1,[4]enemies!$1:$1,0)+1,FALSE)</f>
        <v>animal</v>
      </c>
      <c r="Q14" s="16">
        <f ca="1">VLOOKUP($L14,OFFSET([4]enemies!$A$1,0,0,COUNTA([4]enemies!$A:$A),MATCH(Q$1,[4]enemies!$1:$1,0)-MATCH($L$1,[4]enemies!$1:$1,0)+1),MATCH(Q$1,[4]enemies!$1:$1,0)-MATCH($L$1,[4]enemies!$1:$1,0)+1,FALSE)</f>
        <v>60</v>
      </c>
      <c r="R14" s="5">
        <v>60</v>
      </c>
      <c r="S14" s="112">
        <v>2.2000000000000002</v>
      </c>
      <c r="T14" s="112">
        <v>0.8</v>
      </c>
      <c r="U14" s="5">
        <v>0</v>
      </c>
      <c r="V14" s="4" t="e">
        <f ca="1">VLOOKUP($W14,OFFSET([3]enemy_skill_sets!$B$1,0,0,COUNTA([3]enemy_skill_sets!$B:$B),MATCH(M$1,[3]enemy_skill_sets!$1:$1,0)-MATCH($W$1,[3]enemy_skill_sets!$1:$1,0)+2),MATCH(M$1,[3]enemy_skill_sets!$1:$1,0)-MATCH($W$1,[3]enemy_skill_sets!$1:$1,0)+2,FALSE)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4" s="104">
        <v>41009008</v>
      </c>
      <c r="X14" s="6">
        <v>1</v>
      </c>
      <c r="Y14" s="6">
        <v>100</v>
      </c>
      <c r="Z14" s="6">
        <v>0</v>
      </c>
      <c r="AA14" s="16">
        <v>1</v>
      </c>
      <c r="AB14" s="102">
        <f t="shared" si="3"/>
        <v>402</v>
      </c>
      <c r="AC14" s="4" t="str">
        <f ca="1">VLOOKUP($AB14,OFFSET([5]characters!$A$1,0,0,COUNTA([5]characters!$A:$A),MATCH(AC$1,[5]characters!$1:$1,0)-MATCH("character_id",[5]characters!$1:$1,0)+1),MATCH(AC$1,[5]characters!$1:$1,0)-MATCH("character_id",[5]characters!$1:$1,0)+1,FALSE)</f>
        <v>天災の神狼 フェンリル</v>
      </c>
      <c r="AD14" s="4">
        <f ca="1">VLOOKUP($AB14,OFFSET([5]characters!$A$1,0,0,COUNTA([5]characters!$A:$A),MATCH(AD$1,[5]characters!$1:$1,0)-MATCH("character_id",[5]characters!$1:$1,0)+1),MATCH(AD$1,[5]characters!$1:$1,0)-MATCH("character_id",[5]characters!$1:$1,0)+1,FALSE)</f>
        <v>5</v>
      </c>
      <c r="AE14" s="4" t="str">
        <f ca="1">VLOOKUP($AB14,OFFSET([5]characters!$A$1,0,0,COUNTA([5]characters!$A:$A),MATCH(AE$1,[5]characters!$1:$1,0)-MATCH("character_id",[5]characters!$1:$1,0)+1),MATCH(AE$1,[5]characters!$1:$1,0)-MATCH("character_id",[5]characters!$1:$1,0)+1,FALSE)</f>
        <v>PremiumS</v>
      </c>
      <c r="AF14" s="103">
        <v>1</v>
      </c>
      <c r="AG14" s="102">
        <f t="shared" ca="1" si="4"/>
        <v>5</v>
      </c>
      <c r="AH14" s="7">
        <v>0</v>
      </c>
      <c r="AI14" s="103">
        <v>0</v>
      </c>
      <c r="AJ14" s="103">
        <v>0</v>
      </c>
      <c r="AK14" s="103">
        <v>0</v>
      </c>
      <c r="AL14" s="103">
        <v>0</v>
      </c>
      <c r="AM14" s="103">
        <v>1</v>
      </c>
      <c r="AN14" s="65">
        <v>1</v>
      </c>
    </row>
    <row r="15" spans="1:40" ht="21" customHeight="1" x14ac:dyDescent="0.15">
      <c r="A15" s="15" t="str">
        <f t="shared" si="0"/>
        <v>41009_2-4/582&lt;lv60&gt;s2</v>
      </c>
      <c r="B15" s="99">
        <v>41009</v>
      </c>
      <c r="C15" s="100">
        <v>2</v>
      </c>
      <c r="D15" s="14" t="str">
        <f t="shared" si="1"/>
        <v>41009_2</v>
      </c>
      <c r="E15" s="4" t="str">
        <f ca="1">VLOOKUP($B15,OFFSET([2]quests!$A$1,0,0,COUNTA([2]quests!$A:$A),MATCH(E$1,[2]quests!$1:$1,0)-MATCH($B$1,[2]quests!$1:$1,0)+1),MATCH(E$1,[2]quests!$1:$1,0)-MATCH($B$1,[2]quests!$1:$1,0)+1,FALSE)</f>
        <v>フギンとムニン襲来！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【ウィザード級】フギンとムニン襲来</v>
      </c>
      <c r="G15" s="100">
        <v>4</v>
      </c>
      <c r="H15" s="14" t="str">
        <f t="shared" si="2"/>
        <v>41009_2-4</v>
      </c>
      <c r="I15" s="4" t="e">
        <f ca="1">VLOOKUP($H15,OFFSET([3]floors!$A$1,0,0,COUNTA([3]floors!$A:$A),MATCH(I$1,[3]floors!$1:$1,0)-MATCH($H$1,[3]floors!$1:$1,0)+1),MATCH(I$1,[3]floors!$1:$1,0)-MATCH($H$1,[3]floors!$1:$1,0)+1,FALSE)</f>
        <v>#VALUE!</v>
      </c>
      <c r="J15" s="4" t="e">
        <f ca="1">VLOOKUP($H15,OFFSET([3]floors!$A$1,0,0,COUNTA([3]floors!$A:$A),MATCH(J$1,[3]floors!$1:$1,0)-MATCH($H$1,[3]floors!$1:$1,0)+1),MATCH(J$1,[3]floors!$1:$1,0)-MATCH($H$1,[3]floors!$1:$1,0)+1,FALSE)</f>
        <v>#VALUE!</v>
      </c>
      <c r="K15" s="34">
        <v>6</v>
      </c>
      <c r="L15" s="101">
        <v>582</v>
      </c>
      <c r="M15" s="16" t="str">
        <f ca="1">VLOOKUP($L15,OFFSET([4]enemies!$A$1,0,0,COUNTA([4]enemies!$A:$A),MATCH(M$1,[4]enemies!$1:$1,0)-MATCH($L$1,[4]enemies!$1:$1,0)+1),MATCH(M$1,[4]enemies!$1:$1,0)-MATCH($L$1,[4]enemies!$1:$1,0)+1,FALSE)</f>
        <v>空を駆る双鴉 フギンとムニン</v>
      </c>
      <c r="N15" s="16" t="str">
        <f ca="1">VLOOKUP($L15,OFFSET([4]enemies!$A$1,0,0,COUNTA([4]enemies!$A:$A),MATCH(N$1,[4]enemies!$1:$1,0)-MATCH($L$1,[4]enemies!$1:$1,0)+1),MATCH(N$1,[4]enemies!$1:$1,0)-MATCH($L$1,[4]enemies!$1:$1,0)+1,FALSE)</f>
        <v>blue</v>
      </c>
      <c r="O15" s="16" t="str">
        <f ca="1">VLOOKUP($L15,OFFSET([5]characters!$A$1,0,0,COUNTA([5]characters!$A:$A),MATCH(O$1,[5]characters!$1:$1,0)-MATCH($L$1,[5]characters!$1:$1,0)+1),MATCH(O$1,[5]characters!$1:$1,0)-MATCH($L$1,[5]characters!$1:$1,0)+1,FALSE)</f>
        <v>DropWizS</v>
      </c>
      <c r="P15" s="16" t="str">
        <f ca="1">VLOOKUP($L15,OFFSET([4]enemies!$A$1,0,0,COUNTA([4]enemies!$A:$A),MATCH(P$1,[4]enemies!$1:$1,0)-MATCH($L$1,[4]enemies!$1:$1,0)+1),MATCH(P$1,[4]enemies!$1:$1,0)-MATCH($L$1,[4]enemies!$1:$1,0)+1,FALSE)</f>
        <v>machine</v>
      </c>
      <c r="Q15" s="16">
        <f ca="1">VLOOKUP($L15,OFFSET([4]enemies!$A$1,0,0,COUNTA([4]enemies!$A:$A),MATCH(Q$1,[4]enemies!$1:$1,0)-MATCH($L$1,[4]enemies!$1:$1,0)+1),MATCH(Q$1,[4]enemies!$1:$1,0)-MATCH($L$1,[4]enemies!$1:$1,0)+1,FALSE)</f>
        <v>60</v>
      </c>
      <c r="R15" s="5">
        <v>60</v>
      </c>
      <c r="S15" s="112">
        <v>3.2</v>
      </c>
      <c r="T15" s="112">
        <v>1.3</v>
      </c>
      <c r="U15" s="5">
        <v>0</v>
      </c>
      <c r="V15" s="4" t="e">
        <f ca="1">VLOOKUP($W15,OFFSET([3]enemy_skill_sets!$B$1,0,0,COUNTA([3]enemy_skill_sets!$B:$B),MATCH(M$1,[3]enemy_skill_sets!$1:$1,0)-MATCH($W$1,[3]enemy_skill_sets!$1:$1,0)+2),MATCH(M$1,[3]enemy_skill_sets!$1:$1,0)-MATCH($W$1,[3]enemy_skill_sets!$1:$1,0)+2,FALSE)</f>
        <v>#VALUE!</v>
      </c>
      <c r="W15" s="104">
        <v>41009009</v>
      </c>
      <c r="X15" s="6">
        <v>1</v>
      </c>
      <c r="Y15" s="6">
        <v>100</v>
      </c>
      <c r="Z15" s="6">
        <v>1</v>
      </c>
      <c r="AA15" s="16">
        <v>2</v>
      </c>
      <c r="AB15" s="102">
        <v>581</v>
      </c>
      <c r="AC15" s="4" t="str">
        <f ca="1">VLOOKUP($AB15,OFFSET([5]characters!$A$1,0,0,COUNTA([5]characters!$A:$A),MATCH(AC$1,[5]characters!$1:$1,0)-MATCH("character_id",[5]characters!$1:$1,0)+1),MATCH(AC$1,[5]characters!$1:$1,0)-MATCH("character_id",[5]characters!$1:$1,0)+1,FALSE)</f>
        <v>フギンとムニン</v>
      </c>
      <c r="AD15" s="4">
        <f ca="1">VLOOKUP($AB15,OFFSET([5]characters!$A$1,0,0,COUNTA([5]characters!$A:$A),MATCH(AD$1,[5]characters!$1:$1,0)-MATCH("character_id",[5]characters!$1:$1,0)+1),MATCH(AD$1,[5]characters!$1:$1,0)-MATCH("character_id",[5]characters!$1:$1,0)+1,FALSE)</f>
        <v>4</v>
      </c>
      <c r="AE15" s="4" t="str">
        <f ca="1">VLOOKUP($AB15,OFFSET([5]characters!$A$1,0,0,COUNTA([5]characters!$A:$A),MATCH(AE$1,[5]characters!$1:$1,0)-MATCH("character_id",[5]characters!$1:$1,0)+1),MATCH(AE$1,[5]characters!$1:$1,0)-MATCH("character_id",[5]characters!$1:$1,0)+1,FALSE)</f>
        <v>DropWizS</v>
      </c>
      <c r="AF15" s="103">
        <v>1</v>
      </c>
      <c r="AG15" s="102">
        <f t="shared" ca="1" si="4"/>
        <v>4</v>
      </c>
      <c r="AH15" s="7">
        <v>30</v>
      </c>
      <c r="AI15" s="103">
        <v>0</v>
      </c>
      <c r="AJ15" s="103">
        <v>0</v>
      </c>
      <c r="AK15" s="103">
        <v>0</v>
      </c>
      <c r="AL15" s="103">
        <v>0</v>
      </c>
      <c r="AM15" s="103">
        <v>1</v>
      </c>
      <c r="AN15" s="65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9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6" sqref="U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22" t="s">
        <v>50</v>
      </c>
      <c r="V1" s="22" t="s">
        <v>52</v>
      </c>
      <c r="W1" s="24" t="s">
        <v>129</v>
      </c>
      <c r="X1" s="25" t="s">
        <v>128</v>
      </c>
      <c r="Y1" s="24" t="s">
        <v>8</v>
      </c>
    </row>
    <row r="2" spans="1:25" ht="21" customHeight="1" x14ac:dyDescent="0.15">
      <c r="A2" s="15" t="str">
        <f t="shared" ref="A2:A9" si="0">B2&amp;"_"&amp;C2&amp;"-"&amp;G2&amp;"/"&amp;M2&amp;"&lt;lv"&amp;S2&amp;"&gt;sq"&amp;K2&amp;"st"&amp;L2</f>
        <v>41009_1-2/284&lt;lv60&gt;sq1st2</v>
      </c>
      <c r="B2" s="99">
        <v>41009</v>
      </c>
      <c r="C2" s="100">
        <v>1</v>
      </c>
      <c r="D2" s="14" t="str">
        <f t="shared" ref="D2:D9" si="1">B2&amp;"_"&amp;C2</f>
        <v>41009_1</v>
      </c>
      <c r="E2" s="4" t="str">
        <f ca="1">VLOOKUP($B2,OFFSET([2]quests!$A$1,0,0,COUNTA([2]quests!$A:$A),MATCH(E$1,[2]quests!$1:$1,0)-MATCH($B$1,[2]quests!$1:$1,0)+1),MATCH(E$1,[2]quests!$1:$1,0)-MATCH($B$1,[2]quests!$1:$1,0)+1,FALSE)</f>
        <v>フギンとムニン襲来！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【超絶級】フギンとムニン襲来</v>
      </c>
      <c r="G2" s="100">
        <v>2</v>
      </c>
      <c r="H2" s="14" t="str">
        <f t="shared" ref="H2:H9" si="2">B2&amp;"_"&amp;C2&amp;"-"&amp;G2</f>
        <v>41009_1-2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4">
        <v>1</v>
      </c>
      <c r="L2" s="34">
        <v>2</v>
      </c>
      <c r="M2" s="101">
        <v>284</v>
      </c>
      <c r="N2" s="16" t="str">
        <f ca="1">VLOOKUP($M2,OFFSET([4]enemies!$A$1,0,0,COUNTA([4]enemies!$A:$A),MATCH(N$1,[4]enemies!$1:$1,0)-MATCH($M$1,[4]enemies!$1:$1,0)+1),MATCH(N$1,[4]enemies!$1:$1,0)-MATCH($M$1,[4]enemies!$1:$1,0)+1,FALSE)</f>
        <v>フェルニゲシュ</v>
      </c>
      <c r="O2" s="16" t="str">
        <f ca="1">VLOOKUP($M2,OFFSET([4]enemies!$A$1,0,0,COUNTA([4]enemies!$A:$A),MATCH(O$1,[4]enemies!$1:$1,0)-MATCH($M$1,[4]enemies!$1:$1,0)+1),MATCH(O$1,[4]enemies!$1:$1,0)-MATCH($M$1,[4]enemies!$1:$1,0)+1,FALSE)</f>
        <v>yellow</v>
      </c>
      <c r="P2" s="16" t="str">
        <f ca="1">VLOOKUP($M2,OFFSET([5]characters!$A$1,0,0,COUNTA([5]characters!$A:$A),MATCH(P$1,[5]characters!$1:$1,0)-MATCH($M$1,[5]characters!$1:$1,0)+1),MATCH(P$1,[5]characters!$1:$1,0)-MATCH($M$1,[5]characters!$1:$1,0)+1,FALSE)</f>
        <v>Drop2W</v>
      </c>
      <c r="Q2" s="16" t="str">
        <f ca="1">VLOOKUP($M2,OFFSET([4]enemies!$A$1,0,0,COUNTA([4]enemies!$A:$A),MATCH(Q$1,[4]enemies!$1:$1,0)-MATCH($M$1,[4]enemies!$1:$1,0)+1),MATCH(Q$1,[4]enemies!$1:$1,0)-MATCH($M$1,[4]enemies!$1:$1,0)+1,FALSE)</f>
        <v>dragon</v>
      </c>
      <c r="R2" s="16">
        <f ca="1">VLOOKUP($M2,OFFSET([4]enemies!$A$1,0,0,COUNTA([4]enemies!$A:$A),MATCH(R$1,[4]enemies!$1:$1,0)-MATCH($M$1,[4]enemies!$1:$1,0)+1),MATCH(R$1,[4]enemies!$1:$1,0)-MATCH($M$1,[4]enemies!$1:$1,0)+1,FALSE)</f>
        <v>20</v>
      </c>
      <c r="S2" s="5">
        <v>60</v>
      </c>
      <c r="T2" s="21">
        <v>1.2</v>
      </c>
      <c r="U2" s="21">
        <v>1</v>
      </c>
      <c r="V2" s="5">
        <v>0</v>
      </c>
      <c r="W2" s="4" t="e">
        <f ca="1">VLOOKUP($X2,OFFSET([6]enemy_skill_sets!$B$1,0,0,COUNTA([6]enemy_skill_sets!$B:$B),MATCH(N$1,[6]enemy_skill_sets!$1:$1,0)-MATCH($X$1,[6]enemy_skill_sets!$1:$1,0)+2),MATCH(N$1,[6]enemy_skill_sets!$1:$1,0)-MATCH($X$1,[6]enemy_skill_sets!$1:$1,0)+2,FALSE)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2" s="4">
        <v>41009005</v>
      </c>
      <c r="Y2" s="66">
        <v>1</v>
      </c>
    </row>
    <row r="3" spans="1:25" ht="21" customHeight="1" x14ac:dyDescent="0.15">
      <c r="A3" s="15" t="str">
        <f t="shared" si="0"/>
        <v>41009_1-2/286&lt;lv60&gt;sq2st2</v>
      </c>
      <c r="B3" s="99">
        <v>41009</v>
      </c>
      <c r="C3" s="100">
        <v>1</v>
      </c>
      <c r="D3" s="14" t="str">
        <f t="shared" si="1"/>
        <v>41009_1</v>
      </c>
      <c r="E3" s="4" t="str">
        <f ca="1">VLOOKUP($B3,OFFSET([2]quests!$A$1,0,0,COUNTA([2]quests!$A:$A),MATCH(E$1,[2]quests!$1:$1,0)-MATCH($B$1,[2]quests!$1:$1,0)+1),MATCH(E$1,[2]quests!$1:$1,0)-MATCH($B$1,[2]quests!$1:$1,0)+1,FALSE)</f>
        <v>フギンとムニン襲来！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【超絶級】フギンとムニン襲来</v>
      </c>
      <c r="G3" s="100">
        <v>2</v>
      </c>
      <c r="H3" s="14" t="str">
        <f t="shared" si="2"/>
        <v>41009_1-2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4">
        <v>2</v>
      </c>
      <c r="L3" s="34">
        <v>2</v>
      </c>
      <c r="M3" s="101">
        <v>286</v>
      </c>
      <c r="N3" s="16" t="str">
        <f ca="1">VLOOKUP($M3,OFFSET([4]enemies!$A$1,0,0,COUNTA([4]enemies!$A:$A),MATCH(N$1,[4]enemies!$1:$1,0)-MATCH($M$1,[4]enemies!$1:$1,0)+1),MATCH(N$1,[4]enemies!$1:$1,0)-MATCH($M$1,[4]enemies!$1:$1,0)+1,FALSE)</f>
        <v>ヒュドラ</v>
      </c>
      <c r="O3" s="16" t="str">
        <f ca="1">VLOOKUP($M3,OFFSET([4]enemies!$A$1,0,0,COUNTA([4]enemies!$A:$A),MATCH(O$1,[4]enemies!$1:$1,0)-MATCH($M$1,[4]enemies!$1:$1,0)+1),MATCH(O$1,[4]enemies!$1:$1,0)-MATCH($M$1,[4]enemies!$1:$1,0)+1,FALSE)</f>
        <v>red</v>
      </c>
      <c r="P3" s="16" t="str">
        <f ca="1">VLOOKUP($M3,OFFSET([5]characters!$A$1,0,0,COUNTA([5]characters!$A:$A),MATCH(P$1,[5]characters!$1:$1,0)-MATCH($M$1,[5]characters!$1:$1,0)+1),MATCH(P$1,[5]characters!$1:$1,0)-MATCH($M$1,[5]characters!$1:$1,0)+1,FALSE)</f>
        <v>Drop2W</v>
      </c>
      <c r="Q3" s="16" t="str">
        <f ca="1">VLOOKUP($M3,OFFSET([4]enemies!$A$1,0,0,COUNTA([4]enemies!$A:$A),MATCH(Q$1,[4]enemies!$1:$1,0)-MATCH($M$1,[4]enemies!$1:$1,0)+1),MATCH(Q$1,[4]enemies!$1:$1,0)-MATCH($M$1,[4]enemies!$1:$1,0)+1,FALSE)</f>
        <v>dragon</v>
      </c>
      <c r="R3" s="16">
        <f ca="1">VLOOKUP($M3,OFFSET([4]enemies!$A$1,0,0,COUNTA([4]enemies!$A:$A),MATCH(R$1,[4]enemies!$1:$1,0)-MATCH($M$1,[4]enemies!$1:$1,0)+1),MATCH(R$1,[4]enemies!$1:$1,0)-MATCH($M$1,[4]enemies!$1:$1,0)+1,FALSE)</f>
        <v>20</v>
      </c>
      <c r="S3" s="5">
        <v>60</v>
      </c>
      <c r="T3" s="21">
        <v>1.2</v>
      </c>
      <c r="U3" s="21">
        <v>0.8</v>
      </c>
      <c r="V3" s="5">
        <v>0</v>
      </c>
      <c r="W3" s="4" t="e">
        <f ca="1">VLOOKUP($X3,OFFSET([6]enemy_skill_sets!$B$1,0,0,COUNTA([6]enemy_skill_sets!$B:$B),MATCH(N$1,[6]enemy_skill_sets!$1:$1,0)-MATCH($X$1,[6]enemy_skill_sets!$1:$1,0)+2),MATCH(N$1,[6]enemy_skill_sets!$1:$1,0)-MATCH($X$1,[6]enemy_skill_sets!$1:$1,0)+2,FALSE)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3" s="4">
        <v>41009007</v>
      </c>
      <c r="Y3" s="66">
        <v>2</v>
      </c>
    </row>
    <row r="4" spans="1:25" ht="21" customHeight="1" x14ac:dyDescent="0.15">
      <c r="A4" s="15" t="str">
        <f t="shared" si="0"/>
        <v>41009_1-4/582&lt;lv60&gt;sq3st2</v>
      </c>
      <c r="B4" s="99">
        <v>41009</v>
      </c>
      <c r="C4" s="100">
        <v>1</v>
      </c>
      <c r="D4" s="14" t="str">
        <f t="shared" si="1"/>
        <v>41009_1</v>
      </c>
      <c r="E4" s="4" t="str">
        <f ca="1">VLOOKUP($B4,OFFSET([2]quests!$A$1,0,0,COUNTA([2]quests!$A:$A),MATCH(E$1,[2]quests!$1:$1,0)-MATCH($B$1,[2]quests!$1:$1,0)+1),MATCH(E$1,[2]quests!$1:$1,0)-MATCH($B$1,[2]quests!$1:$1,0)+1,FALSE)</f>
        <v>フギンとムニン襲来！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【超絶級】フギンとムニン襲来</v>
      </c>
      <c r="G4" s="100">
        <v>4</v>
      </c>
      <c r="H4" s="14" t="str">
        <f t="shared" si="2"/>
        <v>41009_1-4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4">
        <v>3</v>
      </c>
      <c r="L4" s="34">
        <v>2</v>
      </c>
      <c r="M4" s="101">
        <v>582</v>
      </c>
      <c r="N4" s="16" t="str">
        <f ca="1">VLOOKUP($M4,OFFSET([4]enemies!$A$1,0,0,COUNTA([4]enemies!$A:$A),MATCH(N$1,[4]enemies!$1:$1,0)-MATCH($M$1,[4]enemies!$1:$1,0)+1),MATCH(N$1,[4]enemies!$1:$1,0)-MATCH($M$1,[4]enemies!$1:$1,0)+1,FALSE)</f>
        <v>空を駆る双鴉 フギンとムニン</v>
      </c>
      <c r="O4" s="16" t="str">
        <f ca="1">VLOOKUP($M4,OFFSET([4]enemies!$A$1,0,0,COUNTA([4]enemies!$A:$A),MATCH(O$1,[4]enemies!$1:$1,0)-MATCH($M$1,[4]enemies!$1:$1,0)+1),MATCH(O$1,[4]enemies!$1:$1,0)-MATCH($M$1,[4]enemies!$1:$1,0)+1,FALSE)</f>
        <v>blue</v>
      </c>
      <c r="P4" s="16" t="str">
        <f ca="1">VLOOKUP($M4,OFFSET([5]characters!$A$1,0,0,COUNTA([5]characters!$A:$A),MATCH(P$1,[5]characters!$1:$1,0)-MATCH($M$1,[5]characters!$1:$1,0)+1),MATCH(P$1,[5]characters!$1:$1,0)-MATCH($M$1,[5]characters!$1:$1,0)+1,FALSE)</f>
        <v>DropWizS</v>
      </c>
      <c r="Q4" s="16" t="str">
        <f ca="1">VLOOKUP($M4,OFFSET([4]enemies!$A$1,0,0,COUNTA([4]enemies!$A:$A),MATCH(Q$1,[4]enemies!$1:$1,0)-MATCH($M$1,[4]enemies!$1:$1,0)+1),MATCH(Q$1,[4]enemies!$1:$1,0)-MATCH($M$1,[4]enemies!$1:$1,0)+1,FALSE)</f>
        <v>machine</v>
      </c>
      <c r="R4" s="16">
        <f ca="1">VLOOKUP($M4,OFFSET([4]enemies!$A$1,0,0,COUNTA([4]enemies!$A:$A),MATCH(R$1,[4]enemies!$1:$1,0)-MATCH($M$1,[4]enemies!$1:$1,0)+1),MATCH(R$1,[4]enemies!$1:$1,0)-MATCH($M$1,[4]enemies!$1:$1,0)+1,FALSE)</f>
        <v>60</v>
      </c>
      <c r="S4" s="5">
        <v>60</v>
      </c>
      <c r="T4" s="21">
        <v>3</v>
      </c>
      <c r="U4" s="21">
        <v>1</v>
      </c>
      <c r="V4" s="5">
        <v>0</v>
      </c>
      <c r="W4" s="4" t="e">
        <f ca="1">VLOOKUP($X4,OFFSET([6]enemy_skill_sets!$B$1,0,0,COUNTA([6]enemy_skill_sets!$B:$B),MATCH(N$1,[6]enemy_skill_sets!$1:$1,0)-MATCH($X$1,[6]enemy_skill_sets!$1:$1,0)+2),MATCH(N$1,[6]enemy_skill_sets!$1:$1,0)-MATCH($X$1,[6]enemy_skill_sets!$1:$1,0)+2,FALSE)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4" s="4">
        <v>41009010</v>
      </c>
      <c r="Y4" s="66">
        <v>2</v>
      </c>
    </row>
    <row r="5" spans="1:25" ht="21" customHeight="1" x14ac:dyDescent="0.15">
      <c r="A5" s="15" t="str">
        <f t="shared" si="0"/>
        <v>41009_1-4/582&lt;lv60&gt;sq3st3</v>
      </c>
      <c r="B5" s="99">
        <v>41009</v>
      </c>
      <c r="C5" s="100">
        <v>1</v>
      </c>
      <c r="D5" s="14" t="str">
        <f t="shared" si="1"/>
        <v>41009_1</v>
      </c>
      <c r="E5" s="4" t="str">
        <f ca="1">VLOOKUP($B5,OFFSET([2]quests!$A$1,0,0,COUNTA([2]quests!$A:$A),MATCH(E$1,[2]quests!$1:$1,0)-MATCH($B$1,[2]quests!$1:$1,0)+1),MATCH(E$1,[2]quests!$1:$1,0)-MATCH($B$1,[2]quests!$1:$1,0)+1,FALSE)</f>
        <v>フギンとムニン襲来！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【超絶級】フギンとムニン襲来</v>
      </c>
      <c r="G5" s="100">
        <v>4</v>
      </c>
      <c r="H5" s="14" t="str">
        <f t="shared" si="2"/>
        <v>41009_1-4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4">
        <v>3</v>
      </c>
      <c r="L5" s="34">
        <v>3</v>
      </c>
      <c r="M5" s="101">
        <v>582</v>
      </c>
      <c r="N5" s="16" t="str">
        <f ca="1">VLOOKUP($M5,OFFSET([4]enemies!$A$1,0,0,COUNTA([4]enemies!$A:$A),MATCH(N$1,[4]enemies!$1:$1,0)-MATCH($M$1,[4]enemies!$1:$1,0)+1),MATCH(N$1,[4]enemies!$1:$1,0)-MATCH($M$1,[4]enemies!$1:$1,0)+1,FALSE)</f>
        <v>空を駆る双鴉 フギンとムニン</v>
      </c>
      <c r="O5" s="16" t="str">
        <f ca="1">VLOOKUP($M5,OFFSET([4]enemies!$A$1,0,0,COUNTA([4]enemies!$A:$A),MATCH(O$1,[4]enemies!$1:$1,0)-MATCH($M$1,[4]enemies!$1:$1,0)+1),MATCH(O$1,[4]enemies!$1:$1,0)-MATCH($M$1,[4]enemies!$1:$1,0)+1,FALSE)</f>
        <v>blue</v>
      </c>
      <c r="P5" s="16" t="str">
        <f ca="1">VLOOKUP($M5,OFFSET([5]characters!$A$1,0,0,COUNTA([5]characters!$A:$A),MATCH(P$1,[5]characters!$1:$1,0)-MATCH($M$1,[5]characters!$1:$1,0)+1),MATCH(P$1,[5]characters!$1:$1,0)-MATCH($M$1,[5]characters!$1:$1,0)+1,FALSE)</f>
        <v>DropWizS</v>
      </c>
      <c r="Q5" s="16" t="str">
        <f ca="1">VLOOKUP($M5,OFFSET([4]enemies!$A$1,0,0,COUNTA([4]enemies!$A:$A),MATCH(Q$1,[4]enemies!$1:$1,0)-MATCH($M$1,[4]enemies!$1:$1,0)+1),MATCH(Q$1,[4]enemies!$1:$1,0)-MATCH($M$1,[4]enemies!$1:$1,0)+1,FALSE)</f>
        <v>machine</v>
      </c>
      <c r="R5" s="16">
        <f ca="1">VLOOKUP($M5,OFFSET([4]enemies!$A$1,0,0,COUNTA([4]enemies!$A:$A),MATCH(R$1,[4]enemies!$1:$1,0)-MATCH($M$1,[4]enemies!$1:$1,0)+1),MATCH(R$1,[4]enemies!$1:$1,0)-MATCH($M$1,[4]enemies!$1:$1,0)+1,FALSE)</f>
        <v>60</v>
      </c>
      <c r="S5" s="5">
        <v>60</v>
      </c>
      <c r="T5" s="21">
        <v>3</v>
      </c>
      <c r="U5" s="21">
        <v>1</v>
      </c>
      <c r="V5" s="5">
        <v>0</v>
      </c>
      <c r="W5" s="4" t="e">
        <f ca="1">VLOOKUP($X5,OFFSET([6]enemy_skill_sets!$B$1,0,0,COUNTA([6]enemy_skill_sets!$B:$B),MATCH(N$1,[6]enemy_skill_sets!$1:$1,0)-MATCH($X$1,[6]enemy_skill_sets!$1:$1,0)+2),MATCH(N$1,[6]enemy_skill_sets!$1:$1,0)-MATCH($X$1,[6]enemy_skill_sets!$1:$1,0)+2,FALSE)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5" s="4">
        <v>41009011</v>
      </c>
      <c r="Y5" s="66">
        <v>2</v>
      </c>
    </row>
    <row r="6" spans="1:25" ht="21" customHeight="1" x14ac:dyDescent="0.15">
      <c r="A6" s="15" t="str">
        <f t="shared" si="0"/>
        <v>41009_2-2/284&lt;lv60&gt;sq4st2</v>
      </c>
      <c r="B6" s="99">
        <v>41009</v>
      </c>
      <c r="C6" s="100">
        <v>2</v>
      </c>
      <c r="D6" s="14" t="str">
        <f t="shared" si="1"/>
        <v>41009_2</v>
      </c>
      <c r="E6" s="4" t="str">
        <f ca="1">VLOOKUP($B6,OFFSET([2]quests!$A$1,0,0,COUNTA([2]quests!$A:$A),MATCH(E$1,[2]quests!$1:$1,0)-MATCH($B$1,[2]quests!$1:$1,0)+1),MATCH(E$1,[2]quests!$1:$1,0)-MATCH($B$1,[2]quests!$1:$1,0)+1,FALSE)</f>
        <v>フギンとムニン襲来！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【ウィザード級】フギンとムニン襲来</v>
      </c>
      <c r="G6" s="100">
        <v>2</v>
      </c>
      <c r="H6" s="14" t="str">
        <f t="shared" si="2"/>
        <v>41009_2-2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4">
        <v>4</v>
      </c>
      <c r="L6" s="34">
        <v>2</v>
      </c>
      <c r="M6" s="101">
        <v>284</v>
      </c>
      <c r="N6" s="16" t="str">
        <f ca="1">VLOOKUP($M6,OFFSET([4]enemies!$A$1,0,0,COUNTA([4]enemies!$A:$A),MATCH(N$1,[4]enemies!$1:$1,0)-MATCH($M$1,[4]enemies!$1:$1,0)+1),MATCH(N$1,[4]enemies!$1:$1,0)-MATCH($M$1,[4]enemies!$1:$1,0)+1,FALSE)</f>
        <v>フェルニゲシュ</v>
      </c>
      <c r="O6" s="16" t="str">
        <f ca="1">VLOOKUP($M6,OFFSET([4]enemies!$A$1,0,0,COUNTA([4]enemies!$A:$A),MATCH(O$1,[4]enemies!$1:$1,0)-MATCH($M$1,[4]enemies!$1:$1,0)+1),MATCH(O$1,[4]enemies!$1:$1,0)-MATCH($M$1,[4]enemies!$1:$1,0)+1,FALSE)</f>
        <v>yellow</v>
      </c>
      <c r="P6" s="16" t="str">
        <f ca="1">VLOOKUP($M6,OFFSET([5]characters!$A$1,0,0,COUNTA([5]characters!$A:$A),MATCH(P$1,[5]characters!$1:$1,0)-MATCH($M$1,[5]characters!$1:$1,0)+1),MATCH(P$1,[5]characters!$1:$1,0)-MATCH($M$1,[5]characters!$1:$1,0)+1,FALSE)</f>
        <v>Drop2W</v>
      </c>
      <c r="Q6" s="16" t="str">
        <f ca="1">VLOOKUP($M6,OFFSET([4]enemies!$A$1,0,0,COUNTA([4]enemies!$A:$A),MATCH(Q$1,[4]enemies!$1:$1,0)-MATCH($M$1,[4]enemies!$1:$1,0)+1),MATCH(Q$1,[4]enemies!$1:$1,0)-MATCH($M$1,[4]enemies!$1:$1,0)+1,FALSE)</f>
        <v>dragon</v>
      </c>
      <c r="R6" s="16">
        <f ca="1">VLOOKUP($M6,OFFSET([4]enemies!$A$1,0,0,COUNTA([4]enemies!$A:$A),MATCH(R$1,[4]enemies!$1:$1,0)-MATCH($M$1,[4]enemies!$1:$1,0)+1),MATCH(R$1,[4]enemies!$1:$1,0)-MATCH($M$1,[4]enemies!$1:$1,0)+1,FALSE)</f>
        <v>20</v>
      </c>
      <c r="S6" s="5">
        <v>60</v>
      </c>
      <c r="T6" s="112">
        <v>1.4</v>
      </c>
      <c r="U6" s="112">
        <v>1.1000000000000001</v>
      </c>
      <c r="V6" s="5">
        <v>0</v>
      </c>
      <c r="W6" s="4" t="e">
        <f ca="1">VLOOKUP($X6,OFFSET([6]enemy_skill_sets!$B$1,0,0,COUNTA([6]enemy_skill_sets!$B:$B),MATCH(N$1,[6]enemy_skill_sets!$1:$1,0)-MATCH($X$1,[6]enemy_skill_sets!$1:$1,0)+2),MATCH(N$1,[6]enemy_skill_sets!$1:$1,0)-MATCH($X$1,[6]enemy_skill_sets!$1:$1,0)+2,FALSE)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6" s="4">
        <v>41009005</v>
      </c>
      <c r="Y6" s="66">
        <v>1</v>
      </c>
    </row>
    <row r="7" spans="1:25" ht="21" customHeight="1" x14ac:dyDescent="0.15">
      <c r="A7" s="15" t="str">
        <f t="shared" si="0"/>
        <v>41009_2-2/286&lt;lv60&gt;sq5st2</v>
      </c>
      <c r="B7" s="99">
        <v>41009</v>
      </c>
      <c r="C7" s="100">
        <v>2</v>
      </c>
      <c r="D7" s="14" t="str">
        <f t="shared" si="1"/>
        <v>41009_2</v>
      </c>
      <c r="E7" s="4" t="str">
        <f ca="1">VLOOKUP($B7,OFFSET([2]quests!$A$1,0,0,COUNTA([2]quests!$A:$A),MATCH(E$1,[2]quests!$1:$1,0)-MATCH($B$1,[2]quests!$1:$1,0)+1),MATCH(E$1,[2]quests!$1:$1,0)-MATCH($B$1,[2]quests!$1:$1,0)+1,FALSE)</f>
        <v>フギンとムニン襲来！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【ウィザード級】フギンとムニン襲来</v>
      </c>
      <c r="G7" s="100">
        <v>2</v>
      </c>
      <c r="H7" s="14" t="str">
        <f t="shared" si="2"/>
        <v>41009_2-2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4">
        <v>5</v>
      </c>
      <c r="L7" s="34">
        <v>2</v>
      </c>
      <c r="M7" s="101">
        <v>286</v>
      </c>
      <c r="N7" s="16" t="str">
        <f ca="1">VLOOKUP($M7,OFFSET([4]enemies!$A$1,0,0,COUNTA([4]enemies!$A:$A),MATCH(N$1,[4]enemies!$1:$1,0)-MATCH($M$1,[4]enemies!$1:$1,0)+1),MATCH(N$1,[4]enemies!$1:$1,0)-MATCH($M$1,[4]enemies!$1:$1,0)+1,FALSE)</f>
        <v>ヒュドラ</v>
      </c>
      <c r="O7" s="16" t="str">
        <f ca="1">VLOOKUP($M7,OFFSET([4]enemies!$A$1,0,0,COUNTA([4]enemies!$A:$A),MATCH(O$1,[4]enemies!$1:$1,0)-MATCH($M$1,[4]enemies!$1:$1,0)+1),MATCH(O$1,[4]enemies!$1:$1,0)-MATCH($M$1,[4]enemies!$1:$1,0)+1,FALSE)</f>
        <v>red</v>
      </c>
      <c r="P7" s="16" t="str">
        <f ca="1">VLOOKUP($M7,OFFSET([5]characters!$A$1,0,0,COUNTA([5]characters!$A:$A),MATCH(P$1,[5]characters!$1:$1,0)-MATCH($M$1,[5]characters!$1:$1,0)+1),MATCH(P$1,[5]characters!$1:$1,0)-MATCH($M$1,[5]characters!$1:$1,0)+1,FALSE)</f>
        <v>Drop2W</v>
      </c>
      <c r="Q7" s="16" t="str">
        <f ca="1">VLOOKUP($M7,OFFSET([4]enemies!$A$1,0,0,COUNTA([4]enemies!$A:$A),MATCH(Q$1,[4]enemies!$1:$1,0)-MATCH($M$1,[4]enemies!$1:$1,0)+1),MATCH(Q$1,[4]enemies!$1:$1,0)-MATCH($M$1,[4]enemies!$1:$1,0)+1,FALSE)</f>
        <v>dragon</v>
      </c>
      <c r="R7" s="16">
        <f ca="1">VLOOKUP($M7,OFFSET([4]enemies!$A$1,0,0,COUNTA([4]enemies!$A:$A),MATCH(R$1,[4]enemies!$1:$1,0)-MATCH($M$1,[4]enemies!$1:$1,0)+1),MATCH(R$1,[4]enemies!$1:$1,0)-MATCH($M$1,[4]enemies!$1:$1,0)+1,FALSE)</f>
        <v>20</v>
      </c>
      <c r="S7" s="5">
        <v>60</v>
      </c>
      <c r="T7" s="112">
        <v>1.4</v>
      </c>
      <c r="U7" s="112">
        <v>0.9</v>
      </c>
      <c r="V7" s="5">
        <v>0</v>
      </c>
      <c r="W7" s="4" t="e">
        <f ca="1">VLOOKUP($X7,OFFSET([6]enemy_skill_sets!$B$1,0,0,COUNTA([6]enemy_skill_sets!$B:$B),MATCH(N$1,[6]enemy_skill_sets!$1:$1,0)-MATCH($X$1,[6]enemy_skill_sets!$1:$1,0)+2),MATCH(N$1,[6]enemy_skill_sets!$1:$1,0)-MATCH($X$1,[6]enemy_skill_sets!$1:$1,0)+2,FALSE)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7" s="4">
        <v>41009007</v>
      </c>
      <c r="Y7" s="66">
        <v>2</v>
      </c>
    </row>
    <row r="8" spans="1:25" ht="21" customHeight="1" x14ac:dyDescent="0.15">
      <c r="A8" s="15" t="str">
        <f t="shared" si="0"/>
        <v>41009_2-4/828&lt;lv60&gt;sq6st2</v>
      </c>
      <c r="B8" s="99">
        <v>41009</v>
      </c>
      <c r="C8" s="100">
        <v>2</v>
      </c>
      <c r="D8" s="14" t="str">
        <f t="shared" si="1"/>
        <v>41009_2</v>
      </c>
      <c r="E8" s="4" t="str">
        <f ca="1">VLOOKUP($B8,OFFSET([2]quests!$A$1,0,0,COUNTA([2]quests!$A:$A),MATCH(E$1,[2]quests!$1:$1,0)-MATCH($B$1,[2]quests!$1:$1,0)+1),MATCH(E$1,[2]quests!$1:$1,0)-MATCH($B$1,[2]quests!$1:$1,0)+1,FALSE)</f>
        <v>フギンとムニン襲来！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【ウィザード級】フギンとムニン襲来</v>
      </c>
      <c r="G8" s="100">
        <v>4</v>
      </c>
      <c r="H8" s="14" t="str">
        <f t="shared" si="2"/>
        <v>41009_2-4</v>
      </c>
      <c r="I8" s="4" t="e">
        <f ca="1">VLOOKUP($H8,OFFSET([3]floors!$A$1,0,0,COUNTA([3]floors!$A:$A),MATCH(I$1,[3]floors!$1:$1,0)-MATCH($H$1,[3]floors!$1:$1,0)+1),MATCH(I$1,[3]floors!$1:$1,0)-MATCH($H$1,[3]floors!$1:$1,0)+1,FALSE)</f>
        <v>#VALUE!</v>
      </c>
      <c r="J8" s="4" t="e">
        <f ca="1">VLOOKUP($H8,OFFSET([3]floors!$A$1,0,0,COUNTA([3]floors!$A:$A),MATCH(J$1,[3]floors!$1:$1,0)-MATCH($H$1,[3]floors!$1:$1,0)+1),MATCH(J$1,[3]floors!$1:$1,0)-MATCH($H$1,[3]floors!$1:$1,0)+1,FALSE)</f>
        <v>#VALUE!</v>
      </c>
      <c r="K8" s="34">
        <v>6</v>
      </c>
      <c r="L8" s="34">
        <v>2</v>
      </c>
      <c r="M8" s="101">
        <v>828</v>
      </c>
      <c r="N8" s="16" t="str">
        <f ca="1">VLOOKUP($M8,OFFSET([4]enemies!$A$1,0,0,COUNTA([4]enemies!$A:$A),MATCH(N$1,[4]enemies!$1:$1,0)-MATCH($M$1,[4]enemies!$1:$1,0)+1),MATCH(N$1,[4]enemies!$1:$1,0)-MATCH($M$1,[4]enemies!$1:$1,0)+1,FALSE)</f>
        <v>双究の覇翼 フギンとムニン</v>
      </c>
      <c r="O8" s="16" t="str">
        <f ca="1">VLOOKUP($M8,OFFSET([4]enemies!$A$1,0,0,COUNTA([4]enemies!$A:$A),MATCH(O$1,[4]enemies!$1:$1,0)-MATCH($M$1,[4]enemies!$1:$1,0)+1),MATCH(O$1,[4]enemies!$1:$1,0)-MATCH($M$1,[4]enemies!$1:$1,0)+1,FALSE)</f>
        <v>blue</v>
      </c>
      <c r="P8" s="16" t="str">
        <f ca="1">VLOOKUP($M8,OFFSET([5]characters!$A$1,0,0,COUNTA([5]characters!$A:$A),MATCH(P$1,[5]characters!$1:$1,0)-MATCH($M$1,[5]characters!$1:$1,0)+1),MATCH(P$1,[5]characters!$1:$1,0)-MATCH($M$1,[5]characters!$1:$1,0)+1,FALSE)</f>
        <v>DropWizS</v>
      </c>
      <c r="Q8" s="16" t="str">
        <f ca="1">VLOOKUP($M8,OFFSET([4]enemies!$A$1,0,0,COUNTA([4]enemies!$A:$A),MATCH(Q$1,[4]enemies!$1:$1,0)-MATCH($M$1,[4]enemies!$1:$1,0)+1),MATCH(Q$1,[4]enemies!$1:$1,0)-MATCH($M$1,[4]enemies!$1:$1,0)+1,FALSE)</f>
        <v>machine</v>
      </c>
      <c r="R8" s="16">
        <f ca="1">VLOOKUP($M8,OFFSET([4]enemies!$A$1,0,0,COUNTA([4]enemies!$A:$A),MATCH(R$1,[4]enemies!$1:$1,0)-MATCH($M$1,[4]enemies!$1:$1,0)+1),MATCH(R$1,[4]enemies!$1:$1,0)-MATCH($M$1,[4]enemies!$1:$1,0)+1,FALSE)</f>
        <v>60</v>
      </c>
      <c r="S8" s="5">
        <v>60</v>
      </c>
      <c r="T8" s="112">
        <v>3.2</v>
      </c>
      <c r="U8" s="112">
        <v>1.3</v>
      </c>
      <c r="V8" s="5">
        <v>0</v>
      </c>
      <c r="W8" s="4" t="e">
        <f ca="1">VLOOKUP($X8,OFFSET([6]enemy_skill_sets!$B$1,0,0,COUNTA([6]enemy_skill_sets!$B:$B),MATCH(N$1,[6]enemy_skill_sets!$1:$1,0)-MATCH($X$1,[6]enemy_skill_sets!$1:$1,0)+2),MATCH(N$1,[6]enemy_skill_sets!$1:$1,0)-MATCH($X$1,[6]enemy_skill_sets!$1:$1,0)+2,FALSE)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8" s="4">
        <v>41009010</v>
      </c>
      <c r="Y8" s="66">
        <v>2</v>
      </c>
    </row>
    <row r="9" spans="1:25" ht="21" customHeight="1" x14ac:dyDescent="0.15">
      <c r="A9" s="15" t="str">
        <f t="shared" si="0"/>
        <v>41009_2-4/828&lt;lv60&gt;sq6st3</v>
      </c>
      <c r="B9" s="99">
        <v>41009</v>
      </c>
      <c r="C9" s="100">
        <v>2</v>
      </c>
      <c r="D9" s="14" t="str">
        <f t="shared" si="1"/>
        <v>41009_2</v>
      </c>
      <c r="E9" s="4" t="str">
        <f ca="1">VLOOKUP($B9,OFFSET([2]quests!$A$1,0,0,COUNTA([2]quests!$A:$A),MATCH(E$1,[2]quests!$1:$1,0)-MATCH($B$1,[2]quests!$1:$1,0)+1),MATCH(E$1,[2]quests!$1:$1,0)-MATCH($B$1,[2]quests!$1:$1,0)+1,FALSE)</f>
        <v>フギンとムニン襲来！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【ウィザード級】フギンとムニン襲来</v>
      </c>
      <c r="G9" s="100">
        <v>4</v>
      </c>
      <c r="H9" s="14" t="str">
        <f t="shared" si="2"/>
        <v>41009_2-4</v>
      </c>
      <c r="I9" s="4" t="e">
        <f ca="1">VLOOKUP($H9,OFFSET([3]floors!$A$1,0,0,COUNTA([3]floors!$A:$A),MATCH(I$1,[3]floors!$1:$1,0)-MATCH($H$1,[3]floors!$1:$1,0)+1),MATCH(I$1,[3]floors!$1:$1,0)-MATCH($H$1,[3]floors!$1:$1,0)+1,FALSE)</f>
        <v>#VALUE!</v>
      </c>
      <c r="J9" s="4" t="e">
        <f ca="1">VLOOKUP($H9,OFFSET([3]floors!$A$1,0,0,COUNTA([3]floors!$A:$A),MATCH(J$1,[3]floors!$1:$1,0)-MATCH($H$1,[3]floors!$1:$1,0)+1),MATCH(J$1,[3]floors!$1:$1,0)-MATCH($H$1,[3]floors!$1:$1,0)+1,FALSE)</f>
        <v>#VALUE!</v>
      </c>
      <c r="K9" s="34">
        <v>6</v>
      </c>
      <c r="L9" s="34">
        <v>3</v>
      </c>
      <c r="M9" s="101">
        <v>828</v>
      </c>
      <c r="N9" s="16" t="str">
        <f ca="1">VLOOKUP($M9,OFFSET([4]enemies!$A$1,0,0,COUNTA([4]enemies!$A:$A),MATCH(N$1,[4]enemies!$1:$1,0)-MATCH($M$1,[4]enemies!$1:$1,0)+1),MATCH(N$1,[4]enemies!$1:$1,0)-MATCH($M$1,[4]enemies!$1:$1,0)+1,FALSE)</f>
        <v>双究の覇翼 フギンとムニン</v>
      </c>
      <c r="O9" s="16" t="str">
        <f ca="1">VLOOKUP($M9,OFFSET([4]enemies!$A$1,0,0,COUNTA([4]enemies!$A:$A),MATCH(O$1,[4]enemies!$1:$1,0)-MATCH($M$1,[4]enemies!$1:$1,0)+1),MATCH(O$1,[4]enemies!$1:$1,0)-MATCH($M$1,[4]enemies!$1:$1,0)+1,FALSE)</f>
        <v>blue</v>
      </c>
      <c r="P9" s="16" t="str">
        <f ca="1">VLOOKUP($M9,OFFSET([5]characters!$A$1,0,0,COUNTA([5]characters!$A:$A),MATCH(P$1,[5]characters!$1:$1,0)-MATCH($M$1,[5]characters!$1:$1,0)+1),MATCH(P$1,[5]characters!$1:$1,0)-MATCH($M$1,[5]characters!$1:$1,0)+1,FALSE)</f>
        <v>DropWizS</v>
      </c>
      <c r="Q9" s="16" t="str">
        <f ca="1">VLOOKUP($M9,OFFSET([4]enemies!$A$1,0,0,COUNTA([4]enemies!$A:$A),MATCH(Q$1,[4]enemies!$1:$1,0)-MATCH($M$1,[4]enemies!$1:$1,0)+1),MATCH(Q$1,[4]enemies!$1:$1,0)-MATCH($M$1,[4]enemies!$1:$1,0)+1,FALSE)</f>
        <v>machine</v>
      </c>
      <c r="R9" s="16">
        <f ca="1">VLOOKUP($M9,OFFSET([4]enemies!$A$1,0,0,COUNTA([4]enemies!$A:$A),MATCH(R$1,[4]enemies!$1:$1,0)-MATCH($M$1,[4]enemies!$1:$1,0)+1),MATCH(R$1,[4]enemies!$1:$1,0)-MATCH($M$1,[4]enemies!$1:$1,0)+1,FALSE)</f>
        <v>60</v>
      </c>
      <c r="S9" s="5">
        <v>60</v>
      </c>
      <c r="T9" s="112">
        <v>4</v>
      </c>
      <c r="U9" s="112">
        <v>1.3</v>
      </c>
      <c r="V9" s="5">
        <v>0</v>
      </c>
      <c r="W9" s="4" t="e">
        <f ca="1">VLOOKUP($X9,OFFSET([6]enemy_skill_sets!$B$1,0,0,COUNTA([6]enemy_skill_sets!$B:$B),MATCH(N$1,[6]enemy_skill_sets!$1:$1,0)-MATCH($X$1,[6]enemy_skill_sets!$1:$1,0)+2),MATCH(N$1,[6]enemy_skill_sets!$1:$1,0)-MATCH($X$1,[6]enemy_skill_sets!$1:$1,0)+2,FALSE)</f>
        <v>#VALUE!</v>
      </c>
      <c r="X9" s="4">
        <v>41009011</v>
      </c>
      <c r="Y9" s="66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"/>
  <sheetViews>
    <sheetView showGridLines="0" workbookViewId="0">
      <pane xSplit="5" ySplit="1" topLeftCell="F18" activePane="bottomRight" state="frozen"/>
      <selection pane="topRight"/>
      <selection pane="bottomLeft"/>
      <selection pane="bottomRight" activeCell="H27" sqref="H27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:A51" si="0">B2&amp;"_"&amp;C2</f>
        <v>41009001_41009049</v>
      </c>
      <c r="B2" s="43">
        <v>41009001</v>
      </c>
      <c r="C2" s="43">
        <v>41009049</v>
      </c>
      <c r="D2" s="42" t="str">
        <f ca="1">VLOOKUP($C2,OFFSET(enemy_skills!$A$1,0,0,COUNTA(enemy_skills!$A:$A),MATCH(D$1,[3]enemy_skills!$1:$1,0)-MATCH("enemy_skill_id",[3]enemy_skills!$1:$1,0)+1),MATCH(D$1,[3]enemy_skills!$1:$1,0)-MATCH("enemy_skill_id",[3]enemy_skills!$1:$1,0)+1,FALSE)</f>
        <v>バックドア構築中…</v>
      </c>
      <c r="E2" s="42" t="str">
        <f ca="1">VLOOKUP($C2,OFFSET(enemy_skills!$A$1,0,0,COUNTA(enemy_skills!$A:$A),MATCH(E$1,[3]enemy_skills!$1:$1,0)-MATCH("enemy_skill_id",[3]enemy_skills!$1:$1,0)+1),MATCH(E$1,[3]enemy_skills!$1:$1,0)-MATCH("enemy_skill_id",[3]enemy_skills!$1:$1,0)+1,FALSE)</f>
        <v>3ターン後に攻撃頻度UP</v>
      </c>
      <c r="F2" s="43">
        <v>41009005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 t="s">
        <v>371</v>
      </c>
      <c r="Q2" s="105">
        <f ca="1">TODAY()</f>
        <v>42829</v>
      </c>
      <c r="R2" s="106" t="s">
        <v>252</v>
      </c>
    </row>
    <row r="3" spans="1:18" ht="21" customHeight="1" x14ac:dyDescent="0.15">
      <c r="A3" s="35" t="str">
        <f t="shared" si="0"/>
        <v>41009001_41009001</v>
      </c>
      <c r="B3" s="43">
        <v>41009001</v>
      </c>
      <c r="C3" s="43">
        <v>41009001</v>
      </c>
      <c r="D3" s="42" t="str">
        <f ca="1">VLOOKUP($C3,OFFSET(enemy_skills!$A$1,0,0,COUNTA(enemy_skills!$A:$A),MATCH(D$1,[3]enemy_skills!$1:$1,0)-MATCH("enemy_skill_id",[3]enemy_skills!$1:$1,0)+1),MATCH(D$1,[3]enemy_skills!$1:$1,0)-MATCH("enemy_skill_id",[3]enemy_skills!$1:$1,0)+1,FALSE)</f>
        <v>ダブルホーン</v>
      </c>
      <c r="E3" s="42" t="str">
        <f ca="1">VLOOKUP($C3,OFFSET(enemy_skills!$A$1,0,0,COUNTA(enemy_skills!$A:$A),MATCH(E$1,[3]enemy_skills!$1:$1,0)-MATCH("enemy_skill_id",[3]enemy_skills!$1:$1,0)+1),MATCH(E$1,[3]enemy_skills!$1:$1,0)-MATCH("enemy_skill_id",[3]enemy_skills!$1:$1,0)+1,FALSE)</f>
        <v>2回連続攻撃</v>
      </c>
      <c r="F3" s="43">
        <v>41009001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 t="s">
        <v>371</v>
      </c>
      <c r="Q3" s="105">
        <f ca="1">TODAY()</f>
        <v>42829</v>
      </c>
      <c r="R3" s="106" t="s">
        <v>252</v>
      </c>
    </row>
    <row r="4" spans="1:18" ht="21" customHeight="1" x14ac:dyDescent="0.15">
      <c r="A4" s="35" t="str">
        <f t="shared" si="0"/>
        <v>41009001_41009046</v>
      </c>
      <c r="B4" s="43">
        <v>41009001</v>
      </c>
      <c r="C4" s="43">
        <v>41009046</v>
      </c>
      <c r="D4" s="42" t="str">
        <f ca="1">VLOOKUP($C4,OFFSET(enemy_skills!$A$1,0,0,COUNTA(enemy_skills!$A:$A),MATCH(D$1,[3]enemy_skills!$1:$1,0)-MATCH("enemy_skill_id",[3]enemy_skills!$1:$1,0)+1),MATCH(D$1,[3]enemy_skills!$1:$1,0)-MATCH("enemy_skill_id",[3]enemy_skills!$1:$1,0)+1,FALSE)</f>
        <v>攻撃開始！</v>
      </c>
      <c r="E4" s="42" t="str">
        <f ca="1">VLOOKUP($C4,OFFSET(enemy_skills!$A$1,0,0,COUNTA(enemy_skills!$A:$A),MATCH(E$1,[3]enemy_skills!$1:$1,0)-MATCH("enemy_skill_id",[3]enemy_skills!$1:$1,0)+1),MATCH(E$1,[3]enemy_skills!$1:$1,0)-MATCH("enemy_skill_id",[3]enemy_skills!$1:$1,0)+1,FALSE)</f>
        <v>攻撃頻度UP</v>
      </c>
      <c r="F4" s="43">
        <v>41009046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 t="s">
        <v>371</v>
      </c>
      <c r="Q4" s="105">
        <f t="shared" ref="Q4:Q51" ca="1" si="1">TODAY()</f>
        <v>42829</v>
      </c>
      <c r="R4" s="107" t="s">
        <v>252</v>
      </c>
    </row>
    <row r="5" spans="1:18" ht="21" customHeight="1" x14ac:dyDescent="0.15">
      <c r="A5" s="35" t="str">
        <f t="shared" si="0"/>
        <v>41009001_41009002</v>
      </c>
      <c r="B5" s="43">
        <v>41009001</v>
      </c>
      <c r="C5" s="43">
        <v>41009002</v>
      </c>
      <c r="D5" s="42" t="str">
        <f ca="1">VLOOKUP($C5,OFFSET(enemy_skills!$A$1,0,0,COUNTA(enemy_skills!$A:$A),MATCH(D$1,[3]enemy_skills!$1:$1,0)-MATCH("enemy_skill_id",[3]enemy_skills!$1:$1,0)+1),MATCH(D$1,[3]enemy_skills!$1:$1,0)-MATCH("enemy_skill_id",[3]enemy_skills!$1:$1,0)+1,FALSE)</f>
        <v>シングルホーン</v>
      </c>
      <c r="E5" s="42" t="str">
        <f ca="1">VLOOKUP($C5,OFFSET(enemy_skills!$A$1,0,0,COUNTA(enemy_skills!$A:$A),MATCH(E$1,[3]enemy_skills!$1:$1,0)-MATCH("enemy_skill_id",[3]enemy_skills!$1:$1,0)+1),MATCH(E$1,[3]enemy_skills!$1:$1,0)-MATCH("enemy_skill_id",[3]enemy_skills!$1:$1,0)+1,FALSE)</f>
        <v>クリティカル！</v>
      </c>
      <c r="F5" s="43">
        <v>41009002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 t="s">
        <v>371</v>
      </c>
      <c r="Q5" s="105">
        <f t="shared" ca="1" si="1"/>
        <v>42829</v>
      </c>
      <c r="R5" s="107" t="s">
        <v>252</v>
      </c>
    </row>
    <row r="6" spans="1:18" ht="21" customHeight="1" x14ac:dyDescent="0.15">
      <c r="A6" s="35" t="str">
        <f t="shared" si="0"/>
        <v>41009002_41009003</v>
      </c>
      <c r="B6" s="43">
        <v>41009002</v>
      </c>
      <c r="C6" s="43">
        <v>41009003</v>
      </c>
      <c r="D6" s="42" t="str">
        <f ca="1">VLOOKUP($C6,OFFSET(enemy_skills!$A$1,0,0,COUNTA(enemy_skills!$A:$A),MATCH(D$1,[3]enemy_skills!$1:$1,0)-MATCH("enemy_skill_id",[3]enemy_skills!$1:$1,0)+1),MATCH(D$1,[3]enemy_skills!$1:$1,0)-MATCH("enemy_skill_id",[3]enemy_skills!$1:$1,0)+1,FALSE)</f>
        <v>アンチアニマルプラグイン</v>
      </c>
      <c r="E6" s="42" t="str">
        <f ca="1">VLOOKUP($C6,OFFSET(enemy_skills!$A$1,0,0,COUNTA(enemy_skills!$A:$A),MATCH(E$1,[3]enemy_skills!$1:$1,0)-MATCH("enemy_skill_id",[3]enemy_skills!$1:$1,0)+1),MATCH(E$1,[3]enemy_skills!$1:$1,0)-MATCH("enemy_skill_id",[3]enemy_skills!$1:$1,0)+1,FALSE)</f>
        <v>種族アニマルに大ダメージ</v>
      </c>
      <c r="F6" s="43">
        <v>41009003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 t="s">
        <v>371</v>
      </c>
      <c r="Q6" s="105">
        <f t="shared" ca="1" si="1"/>
        <v>42829</v>
      </c>
      <c r="R6" s="107" t="s">
        <v>253</v>
      </c>
    </row>
    <row r="7" spans="1:18" ht="21" customHeight="1" x14ac:dyDescent="0.15">
      <c r="A7" s="35" t="str">
        <f t="shared" si="0"/>
        <v>41009003_41009004</v>
      </c>
      <c r="B7" s="43">
        <v>41009003</v>
      </c>
      <c r="C7" s="43">
        <v>41009004</v>
      </c>
      <c r="D7" s="42" t="str">
        <f ca="1">VLOOKUP($C7,OFFSET(enemy_skills!$A$1,0,0,COUNTA(enemy_skills!$A:$A),MATCH(D$1,[3]enemy_skills!$1:$1,0)-MATCH("enemy_skill_id",[3]enemy_skills!$1:$1,0)+1),MATCH(D$1,[3]enemy_skills!$1:$1,0)-MATCH("enemy_skill_id",[3]enemy_skills!$1:$1,0)+1,FALSE)</f>
        <v>逆にお前を消す方法</v>
      </c>
      <c r="E7" s="42" t="str">
        <f ca="1">VLOOKUP($C7,OFFSET(enemy_skills!$A$1,0,0,COUNTA(enemy_skills!$A:$A),MATCH(E$1,[3]enemy_skills!$1:$1,0)-MATCH("enemy_skill_id",[3]enemy_skills!$1:$1,0)+1),MATCH(E$1,[3]enemy_skills!$1:$1,0)-MATCH("enemy_skill_id",[3]enemy_skills!$1:$1,0)+1,FALSE)</f>
        <v>種族マシンに大ダメージ</v>
      </c>
      <c r="F7" s="43">
        <v>41009004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 t="s">
        <v>371</v>
      </c>
      <c r="Q7" s="105">
        <f t="shared" ca="1" si="1"/>
        <v>42829</v>
      </c>
      <c r="R7" s="107" t="s">
        <v>254</v>
      </c>
    </row>
    <row r="8" spans="1:18" ht="21" customHeight="1" x14ac:dyDescent="0.15">
      <c r="A8" s="35" t="str">
        <f t="shared" si="0"/>
        <v>41009004_41009005</v>
      </c>
      <c r="B8" s="43">
        <v>41009004</v>
      </c>
      <c r="C8" s="43">
        <v>41009005</v>
      </c>
      <c r="D8" s="42" t="str">
        <f ca="1">VLOOKUP($C8,OFFSET(enemy_skills!$A$1,0,0,COUNTA(enemy_skills!$A:$A),MATCH(D$1,[3]enemy_skills!$1:$1,0)-MATCH("enemy_skill_id",[3]enemy_skills!$1:$1,0)+1),MATCH(D$1,[3]enemy_skills!$1:$1,0)-MATCH("enemy_skill_id",[3]enemy_skills!$1:$1,0)+1,FALSE)</f>
        <v>ヒールジャミング</v>
      </c>
      <c r="E8" s="42" t="str">
        <f ca="1">VLOOKUP($C8,OFFSET(enemy_skills!$A$1,0,0,COUNTA(enemy_skills!$A:$A),MATCH(E$1,[3]enemy_skills!$1:$1,0)-MATCH("enemy_skill_id",[3]enemy_skills!$1:$1,0)+1),MATCH(E$1,[3]enemy_skills!$1:$1,0)-MATCH("enemy_skill_id",[3]enemy_skills!$1:$1,0)+1,FALSE)</f>
        <v>3ターン回復力30％DOWN</v>
      </c>
      <c r="F8" s="43">
        <v>41009005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 t="s">
        <v>371</v>
      </c>
      <c r="Q8" s="105">
        <f t="shared" ca="1" si="1"/>
        <v>42829</v>
      </c>
      <c r="R8" s="107" t="s">
        <v>255</v>
      </c>
    </row>
    <row r="9" spans="1:18" ht="21" customHeight="1" x14ac:dyDescent="0.15">
      <c r="A9" s="35" t="str">
        <f t="shared" si="0"/>
        <v>41009004_41009006</v>
      </c>
      <c r="B9" s="43">
        <v>41009004</v>
      </c>
      <c r="C9" s="43">
        <v>41009006</v>
      </c>
      <c r="D9" s="42" t="str">
        <f ca="1">VLOOKUP($C9,OFFSET(enemy_skills!$A$1,0,0,COUNTA(enemy_skills!$A:$A),MATCH(D$1,[3]enemy_skills!$1:$1,0)-MATCH("enemy_skill_id",[3]enemy_skills!$1:$1,0)+1),MATCH(D$1,[3]enemy_skills!$1:$1,0)-MATCH("enemy_skill_id",[3]enemy_skills!$1:$1,0)+1,FALSE)</f>
        <v>アンチハート</v>
      </c>
      <c r="E9" s="42" t="str">
        <f ca="1">VLOOKUP($C9,OFFSET(enemy_skills!$A$1,0,0,COUNTA(enemy_skills!$A:$A),MATCH(E$1,[3]enemy_skills!$1:$1,0)-MATCH("enemy_skill_id",[3]enemy_skills!$1:$1,0)+1),MATCH(E$1,[3]enemy_skills!$1:$1,0)-MATCH("enemy_skill_id",[3]enemy_skills!$1:$1,0)+1,FALSE)</f>
        <v>4ターンハートパネルが出現しない</v>
      </c>
      <c r="F9" s="43">
        <v>41009006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 t="s">
        <v>371</v>
      </c>
      <c r="Q9" s="105">
        <f t="shared" ca="1" si="1"/>
        <v>42829</v>
      </c>
      <c r="R9" s="107" t="s">
        <v>255</v>
      </c>
    </row>
    <row r="10" spans="1:18" ht="21" customHeight="1" x14ac:dyDescent="0.15">
      <c r="A10" s="35" t="str">
        <f t="shared" si="0"/>
        <v>41009004_41009007</v>
      </c>
      <c r="B10" s="43">
        <v>41009004</v>
      </c>
      <c r="C10" s="43">
        <v>41009007</v>
      </c>
      <c r="D10" s="42" t="str">
        <f ca="1">VLOOKUP($C10,OFFSET(enemy_skills!$A$1,0,0,COUNTA(enemy_skills!$A:$A),MATCH(D$1,[3]enemy_skills!$1:$1,0)-MATCH("enemy_skill_id",[3]enemy_skills!$1:$1,0)+1),MATCH(D$1,[3]enemy_skills!$1:$1,0)-MATCH("enemy_skill_id",[3]enemy_skills!$1:$1,0)+1,FALSE)</f>
        <v>黒煙ブラスト</v>
      </c>
      <c r="E10" s="42" t="str">
        <f ca="1">VLOOKUP($C10,OFFSET(enemy_skills!$A$1,0,0,COUNTA(enemy_skills!$A:$A),MATCH(E$1,[3]enemy_skills!$1:$1,0)-MATCH("enemy_skill_id",[3]enemy_skills!$1:$1,0)+1),MATCH(E$1,[3]enemy_skills!$1:$1,0)-MATCH("enemy_skill_id",[3]enemy_skills!$1:$1,0)+1,FALSE)</f>
        <v>1ターン暗闇</v>
      </c>
      <c r="F10" s="43">
        <v>41009007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4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 t="s">
        <v>371</v>
      </c>
      <c r="Q10" s="105">
        <f t="shared" ca="1" si="1"/>
        <v>42829</v>
      </c>
      <c r="R10" s="107" t="s">
        <v>255</v>
      </c>
    </row>
    <row r="11" spans="1:18" ht="21" customHeight="1" x14ac:dyDescent="0.15">
      <c r="A11" s="35" t="str">
        <f t="shared" si="0"/>
        <v>41009004_41009008</v>
      </c>
      <c r="B11" s="43">
        <v>41009004</v>
      </c>
      <c r="C11" s="43">
        <v>41009008</v>
      </c>
      <c r="D11" s="42" t="str">
        <f ca="1">VLOOKUP($C11,OFFSET(enemy_skills!$A$1,0,0,COUNTA(enemy_skills!$A:$A),MATCH(D$1,[3]enemy_skills!$1:$1,0)-MATCH("enemy_skill_id",[3]enemy_skills!$1:$1,0)+1),MATCH(D$1,[3]enemy_skills!$1:$1,0)-MATCH("enemy_skill_id",[3]enemy_skills!$1:$1,0)+1,FALSE)</f>
        <v>金轟サンダーボルト</v>
      </c>
      <c r="E11" s="42" t="str">
        <f ca="1">VLOOKUP($C11,OFFSET(enemy_skills!$A$1,0,0,COUNTA(enemy_skills!$A:$A),MATCH(E$1,[3]enemy_skills!$1:$1,0)-MATCH("enemy_skill_id",[3]enemy_skills!$1:$1,0)+1),MATCH(E$1,[3]enemy_skills!$1:$1,0)-MATCH("enemy_skill_id",[3]enemy_skills!$1:$1,0)+1,FALSE)</f>
        <v>クリティカル！</v>
      </c>
      <c r="F11" s="43">
        <v>41009008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3" t="s">
        <v>371</v>
      </c>
      <c r="Q11" s="105">
        <f t="shared" ca="1" si="1"/>
        <v>42829</v>
      </c>
      <c r="R11" s="107" t="s">
        <v>255</v>
      </c>
    </row>
    <row r="12" spans="1:18" ht="21" customHeight="1" x14ac:dyDescent="0.15">
      <c r="A12" s="35" t="str">
        <f t="shared" si="0"/>
        <v>41009005_41009009</v>
      </c>
      <c r="B12" s="43">
        <v>41009005</v>
      </c>
      <c r="C12" s="43">
        <v>41009009</v>
      </c>
      <c r="D12" s="42" t="str">
        <f ca="1">VLOOKUP($C12,OFFSET(enemy_skills!$A$1,0,0,COUNTA(enemy_skills!$A:$A),MATCH(D$1,[3]enemy_skills!$1:$1,0)-MATCH("enemy_skill_id",[3]enemy_skills!$1:$1,0)+1),MATCH(D$1,[3]enemy_skills!$1:$1,0)-MATCH("enemy_skill_id",[3]enemy_skills!$1:$1,0)+1,FALSE)</f>
        <v>マグネコート</v>
      </c>
      <c r="E12" s="42" t="str">
        <f ca="1">VLOOKUP($C12,OFFSET(enemy_skills!$A$1,0,0,COUNTA(enemy_skills!$A:$A),MATCH(E$1,[3]enemy_skills!$1:$1,0)-MATCH("enemy_skill_id",[3]enemy_skills!$1:$1,0)+1),MATCH(E$1,[3]enemy_skills!$1:$1,0)-MATCH("enemy_skill_id",[3]enemy_skills!$1:$1,0)+1,FALSE)</f>
        <v>状態異常無効</v>
      </c>
      <c r="F12" s="43">
        <v>41009009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4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 t="s">
        <v>371</v>
      </c>
      <c r="Q12" s="105">
        <f t="shared" ca="1" si="1"/>
        <v>42829</v>
      </c>
      <c r="R12" s="107" t="s">
        <v>256</v>
      </c>
    </row>
    <row r="13" spans="1:18" ht="21" customHeight="1" x14ac:dyDescent="0.15">
      <c r="A13" s="35" t="str">
        <f t="shared" si="0"/>
        <v>41009005_41009010</v>
      </c>
      <c r="B13" s="43">
        <v>41009005</v>
      </c>
      <c r="C13" s="43">
        <v>41009010</v>
      </c>
      <c r="D13" s="42" t="str">
        <f ca="1">VLOOKUP($C13,OFFSET(enemy_skills!$A$1,0,0,COUNTA(enemy_skills!$A:$A),MATCH(D$1,[3]enemy_skills!$1:$1,0)-MATCH("enemy_skill_id",[3]enemy_skills!$1:$1,0)+1),MATCH(D$1,[3]enemy_skills!$1:$1,0)-MATCH("enemy_skill_id",[3]enemy_skills!$1:$1,0)+1,FALSE)</f>
        <v>電力吸収</v>
      </c>
      <c r="E13" s="42" t="str">
        <f ca="1">VLOOKUP($C13,OFFSET(enemy_skills!$A$1,0,0,COUNTA(enemy_skills!$A:$A),MATCH(E$1,[3]enemy_skills!$1:$1,0)-MATCH("enemy_skill_id",[3]enemy_skills!$1:$1,0)+1),MATCH(E$1,[3]enemy_skills!$1:$1,0)-MATCH("enemy_skill_id",[3]enemy_skills!$1:$1,0)+1,FALSE)</f>
        <v>回復</v>
      </c>
      <c r="F13" s="43">
        <v>41009010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3" t="s">
        <v>371</v>
      </c>
      <c r="Q13" s="105">
        <f t="shared" ca="1" si="1"/>
        <v>42829</v>
      </c>
      <c r="R13" s="107" t="s">
        <v>256</v>
      </c>
    </row>
    <row r="14" spans="1:18" ht="21" customHeight="1" x14ac:dyDescent="0.15">
      <c r="A14" s="35" t="str">
        <f t="shared" si="0"/>
        <v>41009005_41009011</v>
      </c>
      <c r="B14" s="43">
        <v>41009005</v>
      </c>
      <c r="C14" s="43">
        <v>41009011</v>
      </c>
      <c r="D14" s="42" t="str">
        <f ca="1">VLOOKUP($C14,OFFSET(enemy_skills!$A$1,0,0,COUNTA(enemy_skills!$A:$A),MATCH(D$1,[3]enemy_skills!$1:$1,0)-MATCH("enemy_skill_id",[3]enemy_skills!$1:$1,0)+1),MATCH(D$1,[3]enemy_skills!$1:$1,0)-MATCH("enemy_skill_id",[3]enemy_skills!$1:$1,0)+1,FALSE)</f>
        <v>雷鳴ドラゴンエッグ</v>
      </c>
      <c r="E14" s="42" t="str">
        <f ca="1">VLOOKUP($C14,OFFSET(enemy_skills!$A$1,0,0,COUNTA(enemy_skills!$A:$A),MATCH(E$1,[3]enemy_skills!$1:$1,0)-MATCH("enemy_skill_id",[3]enemy_skills!$1:$1,0)+1),MATCH(E$1,[3]enemy_skills!$1:$1,0)-MATCH("enemy_skill_id",[3]enemy_skills!$1:$1,0)+1,FALSE)</f>
        <v>黄パネルを時限式パネルに変換</v>
      </c>
      <c r="F14" s="43">
        <v>41009011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 t="s">
        <v>371</v>
      </c>
      <c r="Q14" s="105">
        <f t="shared" ca="1" si="1"/>
        <v>42829</v>
      </c>
      <c r="R14" s="107" t="s">
        <v>256</v>
      </c>
    </row>
    <row r="15" spans="1:18" ht="21" customHeight="1" x14ac:dyDescent="0.15">
      <c r="A15" s="35" t="str">
        <f t="shared" si="0"/>
        <v>41009005_41009012</v>
      </c>
      <c r="B15" s="43">
        <v>41009005</v>
      </c>
      <c r="C15" s="43">
        <v>41009012</v>
      </c>
      <c r="D15" s="42" t="str">
        <f ca="1">VLOOKUP($C15,OFFSET(enemy_skills!$A$1,0,0,COUNTA(enemy_skills!$A:$A),MATCH(D$1,[3]enemy_skills!$1:$1,0)-MATCH("enemy_skill_id",[3]enemy_skills!$1:$1,0)+1),MATCH(D$1,[3]enemy_skills!$1:$1,0)-MATCH("enemy_skill_id",[3]enemy_skills!$1:$1,0)+1,FALSE)</f>
        <v>流氷ドラゴンエッグ</v>
      </c>
      <c r="E15" s="42" t="str">
        <f ca="1">VLOOKUP($C15,OFFSET(enemy_skills!$A$1,0,0,COUNTA(enemy_skills!$A:$A),MATCH(E$1,[3]enemy_skills!$1:$1,0)-MATCH("enemy_skill_id",[3]enemy_skills!$1:$1,0)+1),MATCH(E$1,[3]enemy_skills!$1:$1,0)-MATCH("enemy_skill_id",[3]enemy_skills!$1:$1,0)+1,FALSE)</f>
        <v>青パネルを時限式パネルに変換</v>
      </c>
      <c r="F15" s="43">
        <v>41009012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 t="s">
        <v>371</v>
      </c>
      <c r="Q15" s="105">
        <f t="shared" ca="1" si="1"/>
        <v>42829</v>
      </c>
      <c r="R15" s="107" t="s">
        <v>256</v>
      </c>
    </row>
    <row r="16" spans="1:18" ht="21" customHeight="1" x14ac:dyDescent="0.15">
      <c r="A16" s="35" t="str">
        <f t="shared" si="0"/>
        <v>41009005_41009013</v>
      </c>
      <c r="B16" s="43">
        <v>41009005</v>
      </c>
      <c r="C16" s="43">
        <v>41009013</v>
      </c>
      <c r="D16" s="42" t="str">
        <f ca="1">VLOOKUP($C16,OFFSET(enemy_skills!$A$1,0,0,COUNTA(enemy_skills!$A:$A),MATCH(D$1,[3]enemy_skills!$1:$1,0)-MATCH("enemy_skill_id",[3]enemy_skills!$1:$1,0)+1),MATCH(D$1,[3]enemy_skills!$1:$1,0)-MATCH("enemy_skill_id",[3]enemy_skills!$1:$1,0)+1,FALSE)</f>
        <v>爆炎ドラゴンエッグ</v>
      </c>
      <c r="E16" s="42" t="str">
        <f ca="1">VLOOKUP($C16,OFFSET(enemy_skills!$A$1,0,0,COUNTA(enemy_skills!$A:$A),MATCH(E$1,[3]enemy_skills!$1:$1,0)-MATCH("enemy_skill_id",[3]enemy_skills!$1:$1,0)+1),MATCH(E$1,[3]enemy_skills!$1:$1,0)-MATCH("enemy_skill_id",[3]enemy_skills!$1:$1,0)+1,FALSE)</f>
        <v>赤パネルを時限式パネルに変換</v>
      </c>
      <c r="F16" s="43">
        <v>41009013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 t="s">
        <v>371</v>
      </c>
      <c r="Q16" s="105">
        <f t="shared" ca="1" si="1"/>
        <v>42829</v>
      </c>
      <c r="R16" s="107" t="s">
        <v>256</v>
      </c>
    </row>
    <row r="17" spans="1:18" ht="21" customHeight="1" x14ac:dyDescent="0.15">
      <c r="A17" s="35" t="str">
        <f t="shared" si="0"/>
        <v>41009005_41009014</v>
      </c>
      <c r="B17" s="43">
        <v>41009005</v>
      </c>
      <c r="C17" s="43">
        <v>41009014</v>
      </c>
      <c r="D17" s="42" t="str">
        <f ca="1">VLOOKUP($C17,OFFSET(enemy_skills!$A$1,0,0,COUNTA(enemy_skills!$A:$A),MATCH(D$1,[3]enemy_skills!$1:$1,0)-MATCH("enemy_skill_id",[3]enemy_skills!$1:$1,0)+1),MATCH(D$1,[3]enemy_skills!$1:$1,0)-MATCH("enemy_skill_id",[3]enemy_skills!$1:$1,0)+1,FALSE)</f>
        <v>深緑ドラゴンエッグ</v>
      </c>
      <c r="E17" s="42" t="str">
        <f ca="1">VLOOKUP($C17,OFFSET(enemy_skills!$A$1,0,0,COUNTA(enemy_skills!$A:$A),MATCH(E$1,[3]enemy_skills!$1:$1,0)-MATCH("enemy_skill_id",[3]enemy_skills!$1:$1,0)+1),MATCH(E$1,[3]enemy_skills!$1:$1,0)-MATCH("enemy_skill_id",[3]enemy_skills!$1:$1,0)+1,FALSE)</f>
        <v>緑パネルを時限式パネルに変換</v>
      </c>
      <c r="F17" s="43">
        <v>41009014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 t="s">
        <v>371</v>
      </c>
      <c r="Q17" s="105">
        <f t="shared" ca="1" si="1"/>
        <v>42829</v>
      </c>
      <c r="R17" s="107" t="s">
        <v>256</v>
      </c>
    </row>
    <row r="18" spans="1:18" ht="21" customHeight="1" x14ac:dyDescent="0.15">
      <c r="A18" s="35" t="str">
        <f t="shared" si="0"/>
        <v>41009006_41009015</v>
      </c>
      <c r="B18" s="43">
        <v>41009006</v>
      </c>
      <c r="C18" s="43">
        <v>41009015</v>
      </c>
      <c r="D18" s="42" t="str">
        <f ca="1">VLOOKUP($C18,OFFSET(enemy_skills!$A$1,0,0,COUNTA(enemy_skills!$A:$A),MATCH(D$1,[3]enemy_skills!$1:$1,0)-MATCH("enemy_skill_id",[3]enemy_skills!$1:$1,0)+1),MATCH(D$1,[3]enemy_skills!$1:$1,0)-MATCH("enemy_skill_id",[3]enemy_skills!$1:$1,0)+1,FALSE)</f>
        <v>延焼ウィルス</v>
      </c>
      <c r="E18" s="42" t="str">
        <f ca="1">VLOOKUP($C18,OFFSET(enemy_skills!$A$1,0,0,COUNTA(enemy_skills!$A:$A),MATCH(E$1,[3]enemy_skills!$1:$1,0)-MATCH("enemy_skill_id",[3]enemy_skills!$1:$1,0)+1),MATCH(E$1,[3]enemy_skills!$1:$1,0)-MATCH("enemy_skill_id",[3]enemy_skills!$1:$1,0)+1,FALSE)</f>
        <v>5ターンウィルス</v>
      </c>
      <c r="F18" s="43">
        <v>41009015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4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 t="s">
        <v>371</v>
      </c>
      <c r="Q18" s="105">
        <f t="shared" ca="1" si="1"/>
        <v>42829</v>
      </c>
      <c r="R18" s="107" t="s">
        <v>257</v>
      </c>
    </row>
    <row r="19" spans="1:18" ht="21" customHeight="1" x14ac:dyDescent="0.15">
      <c r="A19" s="35" t="str">
        <f t="shared" si="0"/>
        <v>41009006_41009016</v>
      </c>
      <c r="B19" s="43">
        <v>41009006</v>
      </c>
      <c r="C19" s="43">
        <v>41009016</v>
      </c>
      <c r="D19" s="42" t="str">
        <f ca="1">VLOOKUP($C19,OFFSET(enemy_skills!$A$1,0,0,COUNTA(enemy_skills!$A:$A),MATCH(D$1,[3]enemy_skills!$1:$1,0)-MATCH("enemy_skill_id",[3]enemy_skills!$1:$1,0)+1),MATCH(D$1,[3]enemy_skills!$1:$1,0)-MATCH("enemy_skill_id",[3]enemy_skills!$1:$1,0)+1,FALSE)</f>
        <v>溶鉱フレア</v>
      </c>
      <c r="E19" s="42" t="str">
        <f ca="1">VLOOKUP($C19,OFFSET(enemy_skills!$A$1,0,0,COUNTA(enemy_skills!$A:$A),MATCH(E$1,[3]enemy_skills!$1:$1,0)-MATCH("enemy_skill_id",[3]enemy_skills!$1:$1,0)+1),MATCH(E$1,[3]enemy_skills!$1:$1,0)-MATCH("enemy_skill_id",[3]enemy_skills!$1:$1,0)+1,FALSE)</f>
        <v>種族マシンに大ダメージ</v>
      </c>
      <c r="F19" s="43">
        <v>41009016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31</v>
      </c>
      <c r="L19" s="44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4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 t="s">
        <v>371</v>
      </c>
      <c r="Q19" s="105">
        <f t="shared" ca="1" si="1"/>
        <v>42829</v>
      </c>
      <c r="R19" s="107" t="s">
        <v>257</v>
      </c>
    </row>
    <row r="20" spans="1:18" ht="21" customHeight="1" x14ac:dyDescent="0.15">
      <c r="A20" s="35" t="str">
        <f t="shared" si="0"/>
        <v>41009006_41009017</v>
      </c>
      <c r="B20" s="43">
        <v>41009006</v>
      </c>
      <c r="C20" s="43">
        <v>41009017</v>
      </c>
      <c r="D20" s="42" t="str">
        <f ca="1">VLOOKUP($C20,OFFSET(enemy_skills!$A$1,0,0,COUNTA(enemy_skills!$A:$A),MATCH(D$1,[3]enemy_skills!$1:$1,0)-MATCH("enemy_skill_id",[3]enemy_skills!$1:$1,0)+1),MATCH(D$1,[3]enemy_skills!$1:$1,0)-MATCH("enemy_skill_id",[3]enemy_skills!$1:$1,0)+1,FALSE)</f>
        <v>ヒートチャージ</v>
      </c>
      <c r="E20" s="42" t="str">
        <f ca="1">VLOOKUP($C20,OFFSET(enemy_skills!$A$1,0,0,COUNTA(enemy_skills!$A:$A),MATCH(E$1,[3]enemy_skills!$1:$1,0)-MATCH("enemy_skill_id",[3]enemy_skills!$1:$1,0)+1),MATCH(E$1,[3]enemy_skills!$1:$1,0)-MATCH("enemy_skill_id",[3]enemy_skills!$1:$1,0)+1,FALSE)</f>
        <v>次のターンに大ダメージ</v>
      </c>
      <c r="F20" s="43">
        <v>41009017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 t="s">
        <v>371</v>
      </c>
      <c r="Q20" s="105">
        <f t="shared" ca="1" si="1"/>
        <v>42829</v>
      </c>
      <c r="R20" s="107" t="s">
        <v>257</v>
      </c>
    </row>
    <row r="21" spans="1:18" ht="21" customHeight="1" x14ac:dyDescent="0.15">
      <c r="A21" s="35" t="str">
        <f t="shared" ref="A21" si="2">B21&amp;"_"&amp;C21</f>
        <v>41009006_41009052</v>
      </c>
      <c r="B21" s="43">
        <v>41009006</v>
      </c>
      <c r="C21" s="43">
        <v>41009052</v>
      </c>
      <c r="D21" s="42" t="str">
        <f ca="1">VLOOKUP($C21,OFFSET(enemy_skills!$A$1,0,0,COUNTA(enemy_skills!$A:$A),MATCH(D$1,[3]enemy_skills!$1:$1,0)-MATCH("enemy_skill_id",[3]enemy_skills!$1:$1,0)+1),MATCH(D$1,[3]enemy_skills!$1:$1,0)-MATCH("enemy_skill_id",[3]enemy_skills!$1:$1,0)+1,FALSE)</f>
        <v>ヒートブレス</v>
      </c>
      <c r="E21" s="42" t="str">
        <f ca="1">VLOOKUP($C21,OFFSET(enemy_skills!$A$1,0,0,COUNTA(enemy_skills!$A:$A),MATCH(E$1,[3]enemy_skills!$1:$1,0)-MATCH("enemy_skill_id",[3]enemy_skills!$1:$1,0)+1),MATCH(E$1,[3]enemy_skills!$1:$1,0)-MATCH("enemy_skill_id",[3]enemy_skills!$1:$1,0)+1,FALSE)</f>
        <v>クリティカル！</v>
      </c>
      <c r="F21" s="43">
        <v>41009052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 t="s">
        <v>371</v>
      </c>
      <c r="Q21" s="105">
        <f t="shared" ca="1" si="1"/>
        <v>42829</v>
      </c>
      <c r="R21" s="107" t="s">
        <v>257</v>
      </c>
    </row>
    <row r="22" spans="1:18" ht="21" customHeight="1" x14ac:dyDescent="0.15">
      <c r="A22" s="35" t="str">
        <f t="shared" si="0"/>
        <v>41009007_41009018</v>
      </c>
      <c r="B22" s="43">
        <v>41009007</v>
      </c>
      <c r="C22" s="43">
        <v>41009018</v>
      </c>
      <c r="D22" s="42" t="str">
        <f ca="1">VLOOKUP($C22,OFFSET(enemy_skills!$A$1,0,0,COUNTA(enemy_skills!$A:$A),MATCH(D$1,[3]enemy_skills!$1:$1,0)-MATCH("enemy_skill_id",[3]enemy_skills!$1:$1,0)+1),MATCH(D$1,[3]enemy_skills!$1:$1,0)-MATCH("enemy_skill_id",[3]enemy_skills!$1:$1,0)+1,FALSE)</f>
        <v>メタリックコート</v>
      </c>
      <c r="E22" s="42" t="str">
        <f ca="1">VLOOKUP($C22,OFFSET(enemy_skills!$A$1,0,0,COUNTA(enemy_skills!$A:$A),MATCH(E$1,[3]enemy_skills!$1:$1,0)-MATCH("enemy_skill_id",[3]enemy_skills!$1:$1,0)+1),MATCH(E$1,[3]enemy_skills!$1:$1,0)-MATCH("enemy_skill_id",[3]enemy_skills!$1:$1,0)+1,FALSE)</f>
        <v>状態異常無効</v>
      </c>
      <c r="F22" s="43">
        <v>41009018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4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 t="s">
        <v>371</v>
      </c>
      <c r="Q22" s="105">
        <f t="shared" ca="1" si="1"/>
        <v>42829</v>
      </c>
      <c r="R22" s="107" t="s">
        <v>258</v>
      </c>
    </row>
    <row r="23" spans="1:18" ht="21" customHeight="1" x14ac:dyDescent="0.15">
      <c r="A23" s="35" t="str">
        <f t="shared" si="0"/>
        <v>41009007_41009019</v>
      </c>
      <c r="B23" s="43">
        <v>41009007</v>
      </c>
      <c r="C23" s="43">
        <v>41009019</v>
      </c>
      <c r="D23" s="42" t="str">
        <f ca="1">VLOOKUP($C23,OFFSET(enemy_skills!$A$1,0,0,COUNTA(enemy_skills!$A:$A),MATCH(D$1,[3]enemy_skills!$1:$1,0)-MATCH("enemy_skill_id",[3]enemy_skills!$1:$1,0)+1),MATCH(D$1,[3]enemy_skills!$1:$1,0)-MATCH("enemy_skill_id",[3]enemy_skills!$1:$1,0)+1,FALSE)</f>
        <v>ホーミングミサイル</v>
      </c>
      <c r="E23" s="42" t="str">
        <f ca="1">VLOOKUP($C23,OFFSET(enemy_skills!$A$1,0,0,COUNTA(enemy_skills!$A:$A),MATCH(E$1,[3]enemy_skills!$1:$1,0)-MATCH("enemy_skill_id",[3]enemy_skills!$1:$1,0)+1),MATCH(E$1,[3]enemy_skills!$1:$1,0)-MATCH("enemy_skill_id",[3]enemy_skills!$1:$1,0)+1,FALSE)</f>
        <v>クリティカル！</v>
      </c>
      <c r="F23" s="43">
        <v>41009019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3" t="s">
        <v>371</v>
      </c>
      <c r="Q23" s="105">
        <f t="shared" ca="1" si="1"/>
        <v>42829</v>
      </c>
      <c r="R23" s="107" t="s">
        <v>258</v>
      </c>
    </row>
    <row r="24" spans="1:18" ht="21" customHeight="1" x14ac:dyDescent="0.15">
      <c r="A24" s="35" t="str">
        <f t="shared" si="0"/>
        <v>41009007_41009020</v>
      </c>
      <c r="B24" s="43">
        <v>41009007</v>
      </c>
      <c r="C24" s="43">
        <v>41009020</v>
      </c>
      <c r="D24" s="42" t="str">
        <f ca="1">VLOOKUP($C24,OFFSET(enemy_skills!$A$1,0,0,COUNTA(enemy_skills!$A:$A),MATCH(D$1,[3]enemy_skills!$1:$1,0)-MATCH("enemy_skill_id",[3]enemy_skills!$1:$1,0)+1),MATCH(D$1,[3]enemy_skills!$1:$1,0)-MATCH("enemy_skill_id",[3]enemy_skills!$1:$1,0)+1,FALSE)</f>
        <v>燃料圧縮</v>
      </c>
      <c r="E24" s="42" t="str">
        <f ca="1">VLOOKUP($C24,OFFSET(enemy_skills!$A$1,0,0,COUNTA(enemy_skills!$A:$A),MATCH(E$1,[3]enemy_skills!$1:$1,0)-MATCH("enemy_skill_id",[3]enemy_skills!$1:$1,0)+1),MATCH(E$1,[3]enemy_skills!$1:$1,0)-MATCH("enemy_skill_id",[3]enemy_skills!$1:$1,0)+1,FALSE)</f>
        <v>次のターンに敵全体の攻撃力UP＆攻撃頻度UP</v>
      </c>
      <c r="F24" s="43">
        <v>41009020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 t="s">
        <v>371</v>
      </c>
      <c r="Q24" s="105">
        <f t="shared" ca="1" si="1"/>
        <v>42829</v>
      </c>
      <c r="R24" s="107" t="s">
        <v>258</v>
      </c>
    </row>
    <row r="25" spans="1:18" ht="21" customHeight="1" x14ac:dyDescent="0.15">
      <c r="A25" s="35" t="str">
        <f t="shared" si="0"/>
        <v>41009007_41009021</v>
      </c>
      <c r="B25" s="43">
        <v>41009007</v>
      </c>
      <c r="C25" s="43">
        <v>41009021</v>
      </c>
      <c r="D25" s="42" t="str">
        <f ca="1">VLOOKUP($C25,OFFSET(enemy_skills!$A$1,0,0,COUNTA(enemy_skills!$A:$A),MATCH(D$1,[3]enemy_skills!$1:$1,0)-MATCH("enemy_skill_id",[3]enemy_skills!$1:$1,0)+1),MATCH(D$1,[3]enemy_skills!$1:$1,0)-MATCH("enemy_skill_id",[3]enemy_skills!$1:$1,0)+1,FALSE)</f>
        <v>イグニッション</v>
      </c>
      <c r="E25" s="42" t="str">
        <f ca="1">VLOOKUP($C25,OFFSET(enemy_skills!$A$1,0,0,COUNTA(enemy_skills!$A:$A),MATCH(E$1,[3]enemy_skills!$1:$1,0)-MATCH("enemy_skill_id",[3]enemy_skills!$1:$1,0)+1),MATCH(E$1,[3]enemy_skills!$1:$1,0)-MATCH("enemy_skill_id",[3]enemy_skills!$1:$1,0)+1,FALSE)</f>
        <v>敵全体の攻撃力UP＆攻撃頻度UP</v>
      </c>
      <c r="F25" s="43">
        <v>41009021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 t="s">
        <v>371</v>
      </c>
      <c r="Q25" s="105">
        <f t="shared" ca="1" si="1"/>
        <v>42829</v>
      </c>
      <c r="R25" s="107" t="s">
        <v>258</v>
      </c>
    </row>
    <row r="26" spans="1:18" ht="21" customHeight="1" x14ac:dyDescent="0.15">
      <c r="A26" s="35" t="str">
        <f t="shared" si="0"/>
        <v>41009007_41009022</v>
      </c>
      <c r="B26" s="43">
        <v>41009007</v>
      </c>
      <c r="C26" s="43">
        <v>41009022</v>
      </c>
      <c r="D26" s="42" t="str">
        <f ca="1">VLOOKUP($C26,OFFSET(enemy_skills!$A$1,0,0,COUNTA(enemy_skills!$A:$A),MATCH(D$1,[3]enemy_skills!$1:$1,0)-MATCH("enemy_skill_id",[3]enemy_skills!$1:$1,0)+1),MATCH(D$1,[3]enemy_skills!$1:$1,0)-MATCH("enemy_skill_id",[3]enemy_skills!$1:$1,0)+1,FALSE)</f>
        <v>ヒートチャージEX</v>
      </c>
      <c r="E26" s="42" t="str">
        <f ca="1">VLOOKUP($C26,OFFSET(enemy_skills!$A$1,0,0,COUNTA(enemy_skills!$A:$A),MATCH(E$1,[3]enemy_skills!$1:$1,0)-MATCH("enemy_skill_id",[3]enemy_skills!$1:$1,0)+1),MATCH(E$1,[3]enemy_skills!$1:$1,0)-MATCH("enemy_skill_id",[3]enemy_skills!$1:$1,0)+1,FALSE)</f>
        <v>次のターンに大ダメージ</v>
      </c>
      <c r="F26" s="43">
        <v>41009022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 t="s">
        <v>371</v>
      </c>
      <c r="Q26" s="105">
        <f t="shared" ca="1" si="1"/>
        <v>42829</v>
      </c>
      <c r="R26" s="107" t="s">
        <v>258</v>
      </c>
    </row>
    <row r="27" spans="1:18" ht="21" customHeight="1" x14ac:dyDescent="0.15">
      <c r="A27" s="35" t="str">
        <f t="shared" ref="A27" si="3">B27&amp;"_"&amp;C27</f>
        <v>41009007_41009053</v>
      </c>
      <c r="B27" s="43">
        <v>41009007</v>
      </c>
      <c r="C27" s="43">
        <v>41009053</v>
      </c>
      <c r="D27" s="42" t="str">
        <f ca="1">VLOOKUP($C27,OFFSET(enemy_skills!$A$1,0,0,COUNTA(enemy_skills!$A:$A),MATCH(D$1,[3]enemy_skills!$1:$1,0)-MATCH("enemy_skill_id",[3]enemy_skills!$1:$1,0)+1),MATCH(D$1,[3]enemy_skills!$1:$1,0)-MATCH("enemy_skill_id",[3]enemy_skills!$1:$1,0)+1,FALSE)</f>
        <v>ヒートブレス</v>
      </c>
      <c r="E27" s="42" t="str">
        <f ca="1">VLOOKUP($C27,OFFSET(enemy_skills!$A$1,0,0,COUNTA(enemy_skills!$A:$A),MATCH(E$1,[3]enemy_skills!$1:$1,0)-MATCH("enemy_skill_id",[3]enemy_skills!$1:$1,0)+1),MATCH(E$1,[3]enemy_skills!$1:$1,0)-MATCH("enemy_skill_id",[3]enemy_skills!$1:$1,0)+1,FALSE)</f>
        <v>クリティカル！</v>
      </c>
      <c r="F27" s="43">
        <v>41009053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 t="s">
        <v>371</v>
      </c>
      <c r="Q27" s="105">
        <f t="shared" ca="1" si="1"/>
        <v>42829</v>
      </c>
      <c r="R27" s="107" t="s">
        <v>258</v>
      </c>
    </row>
    <row r="28" spans="1:18" ht="21" customHeight="1" x14ac:dyDescent="0.15">
      <c r="A28" s="35" t="str">
        <f t="shared" si="0"/>
        <v>41009008_41009023</v>
      </c>
      <c r="B28" s="43">
        <v>41009008</v>
      </c>
      <c r="C28" s="43">
        <v>41009023</v>
      </c>
      <c r="D28" s="42" t="str">
        <f ca="1">VLOOKUP($C28,OFFSET(enemy_skills!$A$1,0,0,COUNTA(enemy_skills!$A:$A),MATCH(D$1,[3]enemy_skills!$1:$1,0)-MATCH("enemy_skill_id",[3]enemy_skills!$1:$1,0)+1),MATCH(D$1,[3]enemy_skills!$1:$1,0)-MATCH("enemy_skill_id",[3]enemy_skills!$1:$1,0)+1,FALSE)</f>
        <v>深炎の巨壁</v>
      </c>
      <c r="E28" s="42" t="str">
        <f ca="1">VLOOKUP($C28,OFFSET(enemy_skills!$A$1,0,0,COUNTA(enemy_skills!$A:$A),MATCH(E$1,[3]enemy_skills!$1:$1,0)-MATCH("enemy_skill_id",[3]enemy_skills!$1:$1,0)+1),MATCH(E$1,[3]enemy_skills!$1:$1,0)-MATCH("enemy_skill_id",[3]enemy_skills!$1:$1,0)+1,FALSE)</f>
        <v>自身の防御力特大UP</v>
      </c>
      <c r="F28" s="43">
        <v>41009023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 t="s">
        <v>371</v>
      </c>
      <c r="Q28" s="105">
        <f t="shared" ca="1" si="1"/>
        <v>42829</v>
      </c>
      <c r="R28" s="107" t="s">
        <v>259</v>
      </c>
    </row>
    <row r="29" spans="1:18" ht="21" customHeight="1" x14ac:dyDescent="0.15">
      <c r="A29" s="35" t="str">
        <f t="shared" si="0"/>
        <v>41009008_41009024</v>
      </c>
      <c r="B29" s="43">
        <v>41009008</v>
      </c>
      <c r="C29" s="43">
        <v>41009024</v>
      </c>
      <c r="D29" s="42" t="str">
        <f ca="1">VLOOKUP($C29,OFFSET(enemy_skills!$A$1,0,0,COUNTA(enemy_skills!$A:$A),MATCH(D$1,[3]enemy_skills!$1:$1,0)-MATCH("enemy_skill_id",[3]enemy_skills!$1:$1,0)+1),MATCH(D$1,[3]enemy_skills!$1:$1,0)-MATCH("enemy_skill_id",[3]enemy_skills!$1:$1,0)+1,FALSE)</f>
        <v>大狼の一睨【蒼】</v>
      </c>
      <c r="E29" s="42" t="str">
        <f ca="1">VLOOKUP($C29,OFFSET(enemy_skills!$A$1,0,0,COUNTA(enemy_skills!$A:$A),MATCH(E$1,[3]enemy_skills!$1:$1,0)-MATCH("enemy_skill_id",[3]enemy_skills!$1:$1,0)+1),MATCH(E$1,[3]enemy_skills!$1:$1,0)-MATCH("enemy_skill_id",[3]enemy_skills!$1:$1,0)+1,FALSE)</f>
        <v>3ターン青パネル無効</v>
      </c>
      <c r="F29" s="43">
        <v>41009024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 t="s">
        <v>371</v>
      </c>
      <c r="Q29" s="105">
        <f t="shared" ca="1" si="1"/>
        <v>42829</v>
      </c>
      <c r="R29" s="107" t="s">
        <v>259</v>
      </c>
    </row>
    <row r="30" spans="1:18" ht="21" customHeight="1" x14ac:dyDescent="0.15">
      <c r="A30" s="35" t="str">
        <f t="shared" si="0"/>
        <v>41009008_41009025</v>
      </c>
      <c r="B30" s="43">
        <v>41009008</v>
      </c>
      <c r="C30" s="43">
        <v>41009025</v>
      </c>
      <c r="D30" s="42" t="str">
        <f ca="1">VLOOKUP($C30,OFFSET(enemy_skills!$A$1,0,0,COUNTA(enemy_skills!$A:$A),MATCH(D$1,[3]enemy_skills!$1:$1,0)-MATCH("enemy_skill_id",[3]enemy_skills!$1:$1,0)+1),MATCH(D$1,[3]enemy_skills!$1:$1,0)-MATCH("enemy_skill_id",[3]enemy_skills!$1:$1,0)+1,FALSE)</f>
        <v>大狼の一睨【紅】</v>
      </c>
      <c r="E30" s="42" t="str">
        <f ca="1">VLOOKUP($C30,OFFSET(enemy_skills!$A$1,0,0,COUNTA(enemy_skills!$A:$A),MATCH(E$1,[3]enemy_skills!$1:$1,0)-MATCH("enemy_skill_id",[3]enemy_skills!$1:$1,0)+1),MATCH(E$1,[3]enemy_skills!$1:$1,0)-MATCH("enemy_skill_id",[3]enemy_skills!$1:$1,0)+1,FALSE)</f>
        <v>3ターン赤パネル無効</v>
      </c>
      <c r="F30" s="43">
        <v>41009025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 t="s">
        <v>371</v>
      </c>
      <c r="Q30" s="105">
        <f t="shared" ca="1" si="1"/>
        <v>42829</v>
      </c>
      <c r="R30" s="107" t="s">
        <v>259</v>
      </c>
    </row>
    <row r="31" spans="1:18" ht="21" customHeight="1" x14ac:dyDescent="0.15">
      <c r="A31" s="35" t="str">
        <f t="shared" si="0"/>
        <v>41009008_41009026</v>
      </c>
      <c r="B31" s="43">
        <v>41009008</v>
      </c>
      <c r="C31" s="43">
        <v>41009026</v>
      </c>
      <c r="D31" s="42" t="str">
        <f ca="1">VLOOKUP($C31,OFFSET(enemy_skills!$A$1,0,0,COUNTA(enemy_skills!$A:$A),MATCH(D$1,[3]enemy_skills!$1:$1,0)-MATCH("enemy_skill_id",[3]enemy_skills!$1:$1,0)+1),MATCH(D$1,[3]enemy_skills!$1:$1,0)-MATCH("enemy_skill_id",[3]enemy_skills!$1:$1,0)+1,FALSE)</f>
        <v>大狼の一睨【翠】</v>
      </c>
      <c r="E31" s="42" t="str">
        <f ca="1">VLOOKUP($C31,OFFSET(enemy_skills!$A$1,0,0,COUNTA(enemy_skills!$A:$A),MATCH(E$1,[3]enemy_skills!$1:$1,0)-MATCH("enemy_skill_id",[3]enemy_skills!$1:$1,0)+1),MATCH(E$1,[3]enemy_skills!$1:$1,0)-MATCH("enemy_skill_id",[3]enemy_skills!$1:$1,0)+1,FALSE)</f>
        <v>3ターン緑パネル無効</v>
      </c>
      <c r="F31" s="43">
        <v>41009026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 t="s">
        <v>371</v>
      </c>
      <c r="Q31" s="105">
        <f t="shared" ca="1" si="1"/>
        <v>42829</v>
      </c>
      <c r="R31" s="107" t="s">
        <v>259</v>
      </c>
    </row>
    <row r="32" spans="1:18" ht="21" customHeight="1" x14ac:dyDescent="0.15">
      <c r="A32" s="35" t="str">
        <f t="shared" si="0"/>
        <v>41009008_41009027</v>
      </c>
      <c r="B32" s="43">
        <v>41009008</v>
      </c>
      <c r="C32" s="43">
        <v>41009027</v>
      </c>
      <c r="D32" s="42" t="str">
        <f ca="1">VLOOKUP($C32,OFFSET(enemy_skills!$A$1,0,0,COUNTA(enemy_skills!$A:$A),MATCH(D$1,[3]enemy_skills!$1:$1,0)-MATCH("enemy_skill_id",[3]enemy_skills!$1:$1,0)+1),MATCH(D$1,[3]enemy_skills!$1:$1,0)-MATCH("enemy_skill_id",[3]enemy_skills!$1:$1,0)+1,FALSE)</f>
        <v>火炎連撃</v>
      </c>
      <c r="E32" s="42" t="str">
        <f ca="1">VLOOKUP($C32,OFFSET(enemy_skills!$A$1,0,0,COUNTA(enemy_skills!$A:$A),MATCH(E$1,[3]enemy_skills!$1:$1,0)-MATCH("enemy_skill_id",[3]enemy_skills!$1:$1,0)+1),MATCH(E$1,[3]enemy_skills!$1:$1,0)-MATCH("enemy_skill_id",[3]enemy_skills!$1:$1,0)+1,FALSE)</f>
        <v>4回連続攻撃</v>
      </c>
      <c r="F32" s="43">
        <v>41009027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 t="s">
        <v>371</v>
      </c>
      <c r="Q32" s="105">
        <f t="shared" ca="1" si="1"/>
        <v>42829</v>
      </c>
      <c r="R32" s="107" t="s">
        <v>259</v>
      </c>
    </row>
    <row r="33" spans="1:18" ht="21" customHeight="1" x14ac:dyDescent="0.15">
      <c r="A33" s="35" t="str">
        <f t="shared" si="0"/>
        <v>41009008_41009028</v>
      </c>
      <c r="B33" s="43">
        <v>41009008</v>
      </c>
      <c r="C33" s="43">
        <v>41009028</v>
      </c>
      <c r="D33" s="42" t="str">
        <f ca="1">VLOOKUP($C33,OFFSET(enemy_skills!$A$1,0,0,COUNTA(enemy_skills!$A:$A),MATCH(D$1,[3]enemy_skills!$1:$1,0)-MATCH("enemy_skill_id",[3]enemy_skills!$1:$1,0)+1),MATCH(D$1,[3]enemy_skills!$1:$1,0)-MATCH("enemy_skill_id",[3]enemy_skills!$1:$1,0)+1,FALSE)</f>
        <v>焼き尽くすッ！</v>
      </c>
      <c r="E33" s="42" t="str">
        <f ca="1">VLOOKUP($C33,OFFSET(enemy_skills!$A$1,0,0,COUNTA(enemy_skills!$A:$A),MATCH(E$1,[3]enemy_skills!$1:$1,0)-MATCH("enemy_skill_id",[3]enemy_skills!$1:$1,0)+1),MATCH(E$1,[3]enemy_skills!$1:$1,0)-MATCH("enemy_skill_id",[3]enemy_skills!$1:$1,0)+1,FALSE)</f>
        <v>緑属性に大ダメージ！</v>
      </c>
      <c r="F33" s="43">
        <v>41009028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44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3" t="s">
        <v>371</v>
      </c>
      <c r="Q33" s="105">
        <f t="shared" ca="1" si="1"/>
        <v>42829</v>
      </c>
      <c r="R33" s="107" t="s">
        <v>259</v>
      </c>
    </row>
    <row r="34" spans="1:18" ht="21" customHeight="1" x14ac:dyDescent="0.15">
      <c r="A34" s="35" t="str">
        <f t="shared" si="0"/>
        <v>41009009_41009029</v>
      </c>
      <c r="B34" s="43">
        <v>41009009</v>
      </c>
      <c r="C34" s="43">
        <v>41009029</v>
      </c>
      <c r="D34" s="42" t="str">
        <f ca="1">VLOOKUP($C34,OFFSET(enemy_skills!$A$1,0,0,COUNTA(enemy_skills!$A:$A),MATCH(D$1,[3]enemy_skills!$1:$1,0)-MATCH("enemy_skill_id",[3]enemy_skills!$1:$1,0)+1),MATCH(D$1,[3]enemy_skills!$1:$1,0)-MATCH("enemy_skill_id",[3]enemy_skills!$1:$1,0)+1,FALSE)</f>
        <v>敵襲である！警戒すべし！</v>
      </c>
      <c r="E34" s="42" t="str">
        <f ca="1">VLOOKUP($C34,OFFSET(enemy_skills!$A$1,0,0,COUNTA(enemy_skills!$A:$A),MATCH(E$1,[3]enemy_skills!$1:$1,0)-MATCH("enemy_skill_id",[3]enemy_skills!$1:$1,0)+1),MATCH(E$1,[3]enemy_skills!$1:$1,0)-MATCH("enemy_skill_id",[3]enemy_skills!$1:$1,0)+1,FALSE)</f>
        <v>状態異常無効</v>
      </c>
      <c r="F34" s="43">
        <v>41009029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4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 t="s">
        <v>371</v>
      </c>
      <c r="Q34" s="105">
        <f t="shared" ca="1" si="1"/>
        <v>42829</v>
      </c>
      <c r="R34" s="107" t="s">
        <v>260</v>
      </c>
    </row>
    <row r="35" spans="1:18" ht="21" customHeight="1" x14ac:dyDescent="0.15">
      <c r="A35" s="35" t="str">
        <f t="shared" si="0"/>
        <v>41009009_41009050</v>
      </c>
      <c r="B35" s="43">
        <v>41009009</v>
      </c>
      <c r="C35" s="43">
        <v>41009050</v>
      </c>
      <c r="D35" s="42" t="str">
        <f ca="1">VLOOKUP($C35,OFFSET(enemy_skills!$A$1,0,0,COUNTA(enemy_skills!$A:$A),MATCH(D$1,[3]enemy_skills!$1:$1,0)-MATCH("enemy_skill_id",[3]enemy_skills!$1:$1,0)+1),MATCH(D$1,[3]enemy_skills!$1:$1,0)-MATCH("enemy_skill_id",[3]enemy_skills!$1:$1,0)+1,FALSE)</f>
        <v>ウィルス検査中である！</v>
      </c>
      <c r="E35" s="42" t="str">
        <f ca="1">VLOOKUP($C35,OFFSET(enemy_skills!$A$1,0,0,COUNTA(enemy_skills!$A:$A),MATCH(E$1,[3]enemy_skills!$1:$1,0)-MATCH("enemy_skill_id",[3]enemy_skills!$1:$1,0)+1),MATCH(E$1,[3]enemy_skills!$1:$1,0)-MATCH("enemy_skill_id",[3]enemy_skills!$1:$1,0)+1,FALSE)</f>
        <v>緑パネルドロップ率DOWN＆_x000D_次のターン緑パネル吸収攻撃</v>
      </c>
      <c r="F35" s="43">
        <v>41009024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4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 t="s">
        <v>371</v>
      </c>
      <c r="Q35" s="105">
        <f t="shared" ca="1" si="1"/>
        <v>42829</v>
      </c>
      <c r="R35" s="107" t="s">
        <v>260</v>
      </c>
    </row>
    <row r="36" spans="1:18" ht="21" customHeight="1" x14ac:dyDescent="0.15">
      <c r="A36" s="35" t="str">
        <f t="shared" si="0"/>
        <v>41009009_41009051</v>
      </c>
      <c r="B36" s="43">
        <v>41009009</v>
      </c>
      <c r="C36" s="43">
        <v>41009051</v>
      </c>
      <c r="D36" s="42" t="str">
        <f ca="1">VLOOKUP($C36,OFFSET(enemy_skills!$A$1,0,0,COUNTA(enemy_skills!$A:$A),MATCH(D$1,[3]enemy_skills!$1:$1,0)-MATCH("enemy_skill_id",[3]enemy_skills!$1:$1,0)+1),MATCH(D$1,[3]enemy_skills!$1:$1,0)-MATCH("enemy_skill_id",[3]enemy_skills!$1:$1,0)+1,FALSE)</f>
        <v>データ破壊すべし！</v>
      </c>
      <c r="E36" s="42" t="str">
        <f ca="1">VLOOKUP($C36,OFFSET(enemy_skills!$A$1,0,0,COUNTA(enemy_skills!$A:$A),MATCH(E$1,[3]enemy_skills!$1:$1,0)-MATCH("enemy_skill_id",[3]enemy_skills!$1:$1,0)+1),MATCH(E$1,[3]enemy_skills!$1:$1,0)-MATCH("enemy_skill_id",[3]enemy_skills!$1:$1,0)+1,FALSE)</f>
        <v>緑パネル吸収攻撃</v>
      </c>
      <c r="F36" s="43">
        <v>41009025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4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 t="s">
        <v>371</v>
      </c>
      <c r="Q36" s="105">
        <f t="shared" ca="1" si="1"/>
        <v>42829</v>
      </c>
      <c r="R36" s="107" t="s">
        <v>260</v>
      </c>
    </row>
    <row r="37" spans="1:18" ht="21" customHeight="1" x14ac:dyDescent="0.15">
      <c r="A37" s="35" t="str">
        <f t="shared" si="0"/>
        <v>41009009_41009030</v>
      </c>
      <c r="B37" s="43">
        <v>41009009</v>
      </c>
      <c r="C37" s="43">
        <v>41009030</v>
      </c>
      <c r="D37" s="42" t="str">
        <f ca="1">VLOOKUP($C37,OFFSET(enemy_skills!$A$1,0,0,COUNTA(enemy_skills!$A:$A),MATCH(D$1,[3]enemy_skills!$1:$1,0)-MATCH("enemy_skill_id",[3]enemy_skills!$1:$1,0)+1),MATCH(D$1,[3]enemy_skills!$1:$1,0)-MATCH("enemy_skill_id",[3]enemy_skills!$1:$1,0)+1,FALSE)</f>
        <v>ダブルレイヴン</v>
      </c>
      <c r="E37" s="42" t="str">
        <f ca="1">VLOOKUP($C37,OFFSET(enemy_skills!$A$1,0,0,COUNTA(enemy_skills!$A:$A),MATCH(E$1,[3]enemy_skills!$1:$1,0)-MATCH("enemy_skill_id",[3]enemy_skills!$1:$1,0)+1),MATCH(E$1,[3]enemy_skills!$1:$1,0)-MATCH("enemy_skill_id",[3]enemy_skills!$1:$1,0)+1,FALSE)</f>
        <v>2回連続攻撃</v>
      </c>
      <c r="F37" s="43">
        <v>41009030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4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 t="s">
        <v>371</v>
      </c>
      <c r="Q37" s="105">
        <f t="shared" ca="1" si="1"/>
        <v>42829</v>
      </c>
      <c r="R37" s="107" t="s">
        <v>260</v>
      </c>
    </row>
    <row r="38" spans="1:18" ht="21" customHeight="1" x14ac:dyDescent="0.15">
      <c r="A38" s="35" t="str">
        <f t="shared" si="0"/>
        <v>41009009_41009031</v>
      </c>
      <c r="B38" s="43">
        <v>41009009</v>
      </c>
      <c r="C38" s="43">
        <v>41009031</v>
      </c>
      <c r="D38" s="42" t="str">
        <f ca="1">VLOOKUP($C38,OFFSET(enemy_skills!$A$1,0,0,COUNTA(enemy_skills!$A:$A),MATCH(D$1,[3]enemy_skills!$1:$1,0)-MATCH("enemy_skill_id",[3]enemy_skills!$1:$1,0)+1),MATCH(D$1,[3]enemy_skills!$1:$1,0)-MATCH("enemy_skill_id",[3]enemy_skills!$1:$1,0)+1,FALSE)</f>
        <v>不届き者は排除すべし！</v>
      </c>
      <c r="E38" s="42" t="str">
        <f ca="1">VLOOKUP($C38,OFFSET(enemy_skills!$A$1,0,0,COUNTA(enemy_skills!$A:$A),MATCH(E$1,[3]enemy_skills!$1:$1,0)-MATCH("enemy_skill_id",[3]enemy_skills!$1:$1,0)+1),MATCH(E$1,[3]enemy_skills!$1:$1,0)-MATCH("enemy_skill_id",[3]enemy_skills!$1:$1,0)+1,FALSE)</f>
        <v>4ターン種族マシンにスキルバインド</v>
      </c>
      <c r="F38" s="43">
        <v>41009031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 t="s">
        <v>371</v>
      </c>
      <c r="Q38" s="105">
        <f t="shared" ca="1" si="1"/>
        <v>42829</v>
      </c>
      <c r="R38" s="107" t="s">
        <v>260</v>
      </c>
    </row>
    <row r="39" spans="1:18" ht="21" customHeight="1" x14ac:dyDescent="0.15">
      <c r="A39" s="35" t="str">
        <f t="shared" si="0"/>
        <v>41009010_41009033</v>
      </c>
      <c r="B39" s="43">
        <v>41009010</v>
      </c>
      <c r="C39" s="43">
        <v>41009033</v>
      </c>
      <c r="D39" s="42" t="str">
        <f ca="1">VLOOKUP($C39,OFFSET(enemy_skills!$A$1,0,0,COUNTA(enemy_skills!$A:$A),MATCH(D$1,[3]enemy_skills!$1:$1,0)-MATCH("enemy_skill_id",[3]enemy_skills!$1:$1,0)+1),MATCH(D$1,[3]enemy_skills!$1:$1,0)-MATCH("enemy_skill_id",[3]enemy_skills!$1:$1,0)+1,FALSE)</f>
        <v>セキュリティ再構築せよ！</v>
      </c>
      <c r="E39" s="42" t="str">
        <f ca="1">VLOOKUP($C39,OFFSET(enemy_skills!$A$1,0,0,COUNTA(enemy_skills!$A:$A),MATCH(E$1,[3]enemy_skills!$1:$1,0)-MATCH("enemy_skill_id",[3]enemy_skills!$1:$1,0)+1),MATCH(E$1,[3]enemy_skills!$1:$1,0)-MATCH("enemy_skill_id",[3]enemy_skills!$1:$1,0)+1,FALSE)</f>
        <v>状態異常無効</v>
      </c>
      <c r="F39" s="43">
        <v>41009033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4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3" t="s">
        <v>371</v>
      </c>
      <c r="Q39" s="105">
        <f t="shared" ca="1" si="1"/>
        <v>42829</v>
      </c>
      <c r="R39" s="107" t="s">
        <v>261</v>
      </c>
    </row>
    <row r="40" spans="1:18" ht="21" customHeight="1" x14ac:dyDescent="0.15">
      <c r="A40" s="35" t="str">
        <f t="shared" si="0"/>
        <v>41009010_41009034</v>
      </c>
      <c r="B40" s="43">
        <v>41009010</v>
      </c>
      <c r="C40" s="43">
        <v>41009034</v>
      </c>
      <c r="D40" s="42" t="str">
        <f ca="1">VLOOKUP($C40,OFFSET(enemy_skills!$A$1,0,0,COUNTA(enemy_skills!$A:$A),MATCH(D$1,[3]enemy_skills!$1:$1,0)-MATCH("enemy_skill_id",[3]enemy_skills!$1:$1,0)+1),MATCH(D$1,[3]enemy_skills!$1:$1,0)-MATCH("enemy_skill_id",[3]enemy_skills!$1:$1,0)+1,FALSE)</f>
        <v>無法者はデリートせよ！</v>
      </c>
      <c r="E40" s="42" t="str">
        <f ca="1">VLOOKUP($C40,OFFSET(enemy_skills!$A$1,0,0,COUNTA(enemy_skills!$A:$A),MATCH(E$1,[3]enemy_skills!$1:$1,0)-MATCH("enemy_skill_id",[3]enemy_skills!$1:$1,0)+1),MATCH(E$1,[3]enemy_skills!$1:$1,0)-MATCH("enemy_skill_id",[3]enemy_skills!$1:$1,0)+1,FALSE)</f>
        <v>種族アニマルに大ダメージ</v>
      </c>
      <c r="F40" s="43">
        <v>41009034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0" s="43" t="s">
        <v>371</v>
      </c>
      <c r="Q40" s="105">
        <f t="shared" ca="1" si="1"/>
        <v>42829</v>
      </c>
      <c r="R40" s="107" t="s">
        <v>261</v>
      </c>
    </row>
    <row r="41" spans="1:18" ht="21" customHeight="1" x14ac:dyDescent="0.15">
      <c r="A41" s="35" t="str">
        <f t="shared" si="0"/>
        <v>41009010_41009035</v>
      </c>
      <c r="B41" s="43">
        <v>41009010</v>
      </c>
      <c r="C41" s="43">
        <v>41009035</v>
      </c>
      <c r="D41" s="42" t="str">
        <f ca="1">VLOOKUP($C41,OFFSET(enemy_skills!$A$1,0,0,COUNTA(enemy_skills!$A:$A),MATCH(D$1,[3]enemy_skills!$1:$1,0)-MATCH("enemy_skill_id",[3]enemy_skills!$1:$1,0)+1),MATCH(D$1,[3]enemy_skills!$1:$1,0)-MATCH("enemy_skill_id",[3]enemy_skills!$1:$1,0)+1,FALSE)</f>
        <v>危険因子はフリーズすべし！</v>
      </c>
      <c r="E41" s="42" t="str">
        <f ca="1">VLOOKUP($C41,OFFSET(enemy_skills!$A$1,0,0,COUNTA(enemy_skills!$A:$A),MATCH(E$1,[3]enemy_skills!$1:$1,0)-MATCH("enemy_skill_id",[3]enemy_skills!$1:$1,0)+1),MATCH(E$1,[3]enemy_skills!$1:$1,0)-MATCH("enemy_skill_id",[3]enemy_skills!$1:$1,0)+1,FALSE)</f>
        <v>2ターン青パネル無効</v>
      </c>
      <c r="F41" s="43">
        <v>41009035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41" s="4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41" s="43" t="s">
        <v>371</v>
      </c>
      <c r="Q41" s="105">
        <f t="shared" ca="1" si="1"/>
        <v>42829</v>
      </c>
      <c r="R41" s="107" t="s">
        <v>261</v>
      </c>
    </row>
    <row r="42" spans="1:18" ht="21" customHeight="1" x14ac:dyDescent="0.15">
      <c r="A42" s="35" t="str">
        <f t="shared" si="0"/>
        <v>41009010_41009036</v>
      </c>
      <c r="B42" s="43">
        <v>41009010</v>
      </c>
      <c r="C42" s="43">
        <v>41009036</v>
      </c>
      <c r="D42" s="42" t="str">
        <f ca="1">VLOOKUP($C42,OFFSET(enemy_skills!$A$1,0,0,COUNTA(enemy_skills!$A:$A),MATCH(D$1,[3]enemy_skills!$1:$1,0)-MATCH("enemy_skill_id",[3]enemy_skills!$1:$1,0)+1),MATCH(D$1,[3]enemy_skills!$1:$1,0)-MATCH("enemy_skill_id",[3]enemy_skills!$1:$1,0)+1,FALSE)</f>
        <v>混沌たる戦場を刮目せよ！</v>
      </c>
      <c r="E42" s="42" t="str">
        <f ca="1">VLOOKUP($C42,OFFSET(enemy_skills!$A$1,0,0,COUNTA(enemy_skills!$A:$A),MATCH(E$1,[3]enemy_skills!$1:$1,0)-MATCH("enemy_skill_id",[3]enemy_skills!$1:$1,0)+1),MATCH(E$1,[3]enemy_skills!$1:$1,0)-MATCH("enemy_skill_id",[3]enemy_skills!$1:$1,0)+1,FALSE)</f>
        <v>HP40％以下で大量パネル変換＆_x000D_3ターン防御力特大UP</v>
      </c>
      <c r="F42" s="43">
        <v>41009036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4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3" t="s">
        <v>371</v>
      </c>
      <c r="Q42" s="105">
        <f t="shared" ca="1" si="1"/>
        <v>42829</v>
      </c>
      <c r="R42" s="107" t="s">
        <v>261</v>
      </c>
    </row>
    <row r="43" spans="1:18" ht="21" customHeight="1" x14ac:dyDescent="0.15">
      <c r="A43" s="35" t="str">
        <f t="shared" si="0"/>
        <v>41009011_41009037</v>
      </c>
      <c r="B43" s="43">
        <v>41009011</v>
      </c>
      <c r="C43" s="43">
        <v>41009037</v>
      </c>
      <c r="D43" s="42" t="str">
        <f ca="1">VLOOKUP($C43,OFFSET(enemy_skills!$A$1,0,0,COUNTA(enemy_skills!$A:$A),MATCH(D$1,[3]enemy_skills!$1:$1,0)-MATCH("enemy_skill_id",[3]enemy_skills!$1:$1,0)+1),MATCH(D$1,[3]enemy_skills!$1:$1,0)-MATCH("enemy_skill_id",[3]enemy_skills!$1:$1,0)+1,FALSE)</f>
        <v>キャッシュクリアすべし！</v>
      </c>
      <c r="E43" s="42" t="str">
        <f ca="1">VLOOKUP($C43,OFFSET(enemy_skills!$A$1,0,0,COUNTA(enemy_skills!$A:$A),MATCH(E$1,[3]enemy_skills!$1:$1,0)-MATCH("enemy_skill_id",[3]enemy_skills!$1:$1,0)+1),MATCH(E$1,[3]enemy_skills!$1:$1,0)-MATCH("enemy_skill_id",[3]enemy_skills!$1:$1,0)+1,FALSE)</f>
        <v>フィーバーゲージ100％DOWN＆_x000D_状態異常無効＆_x000D_すべてのプラス効果を解除</v>
      </c>
      <c r="F43" s="43">
        <v>41009037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4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 t="s">
        <v>371</v>
      </c>
      <c r="Q43" s="105">
        <f t="shared" ca="1" si="1"/>
        <v>42829</v>
      </c>
      <c r="R43" s="107" t="s">
        <v>262</v>
      </c>
    </row>
    <row r="44" spans="1:18" ht="21" customHeight="1" x14ac:dyDescent="0.15">
      <c r="A44" s="35" t="str">
        <f t="shared" si="0"/>
        <v>41009011_41009038</v>
      </c>
      <c r="B44" s="43">
        <v>41009011</v>
      </c>
      <c r="C44" s="43">
        <v>41009038</v>
      </c>
      <c r="D44" s="42" t="str">
        <f ca="1">VLOOKUP($C44,OFFSET(enemy_skills!$A$1,0,0,COUNTA(enemy_skills!$A:$A),MATCH(D$1,[3]enemy_skills!$1:$1,0)-MATCH("enemy_skill_id",[3]enemy_skills!$1:$1,0)+1),MATCH(D$1,[3]enemy_skills!$1:$1,0)-MATCH("enemy_skill_id",[3]enemy_skills!$1:$1,0)+1,FALSE)</f>
        <v>マズイぞ…さっさと帰るべし！</v>
      </c>
      <c r="E44" s="42" t="str">
        <f ca="1">VLOOKUP($C44,OFFSET(enemy_skills!$A$1,0,0,COUNTA(enemy_skills!$A:$A),MATCH(E$1,[3]enemy_skills!$1:$1,0)-MATCH("enemy_skill_id",[3]enemy_skills!$1:$1,0)+1),MATCH(E$1,[3]enemy_skills!$1:$1,0)-MATCH("enemy_skill_id",[3]enemy_skills!$1:$1,0)+1,FALSE)</f>
        <v>攻撃頻度UP＆次のターン5回連続攻撃</v>
      </c>
      <c r="F44" s="43">
        <v>41009038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 t="s">
        <v>371</v>
      </c>
      <c r="Q44" s="105">
        <f t="shared" ca="1" si="1"/>
        <v>42829</v>
      </c>
      <c r="R44" s="107" t="s">
        <v>262</v>
      </c>
    </row>
    <row r="45" spans="1:18" ht="21" customHeight="1" x14ac:dyDescent="0.15">
      <c r="A45" s="35" t="str">
        <f t="shared" si="0"/>
        <v>41009011_41009039</v>
      </c>
      <c r="B45" s="43">
        <v>41009011</v>
      </c>
      <c r="C45" s="43">
        <v>41009039</v>
      </c>
      <c r="D45" s="42" t="str">
        <f ca="1">VLOOKUP($C45,OFFSET(enemy_skills!$A$1,0,0,COUNTA(enemy_skills!$A:$A),MATCH(D$1,[3]enemy_skills!$1:$1,0)-MATCH("enemy_skill_id",[3]enemy_skills!$1:$1,0)+1),MATCH(D$1,[3]enemy_skills!$1:$1,0)-MATCH("enemy_skill_id",[3]enemy_skills!$1:$1,0)+1,FALSE)</f>
        <v>シャドーレイヴンズ</v>
      </c>
      <c r="E45" s="42" t="str">
        <f ca="1">VLOOKUP($C45,OFFSET(enemy_skills!$A$1,0,0,COUNTA(enemy_skills!$A:$A),MATCH(E$1,[3]enemy_skills!$1:$1,0)-MATCH("enemy_skill_id",[3]enemy_skills!$1:$1,0)+1),MATCH(E$1,[3]enemy_skills!$1:$1,0)-MATCH("enemy_skill_id",[3]enemy_skills!$1:$1,0)+1,FALSE)</f>
        <v>5回連続攻撃＆次のターンパネル変換</v>
      </c>
      <c r="F45" s="43">
        <v>41009039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 t="s">
        <v>371</v>
      </c>
      <c r="Q45" s="105">
        <f t="shared" ca="1" si="1"/>
        <v>42829</v>
      </c>
      <c r="R45" s="107" t="s">
        <v>262</v>
      </c>
    </row>
    <row r="46" spans="1:18" ht="21" customHeight="1" x14ac:dyDescent="0.15">
      <c r="A46" s="35" t="str">
        <f t="shared" si="0"/>
        <v>41009011_41009040</v>
      </c>
      <c r="B46" s="43">
        <v>41009011</v>
      </c>
      <c r="C46" s="43">
        <v>41009040</v>
      </c>
      <c r="D46" s="42" t="str">
        <f ca="1">VLOOKUP($C46,OFFSET(enemy_skills!$A$1,0,0,COUNTA(enemy_skills!$A:$A),MATCH(D$1,[3]enemy_skills!$1:$1,0)-MATCH("enemy_skill_id",[3]enemy_skills!$1:$1,0)+1),MATCH(D$1,[3]enemy_skills!$1:$1,0)-MATCH("enemy_skill_id",[3]enemy_skills!$1:$1,0)+1,FALSE)</f>
        <v>ワクチン発射すべし！</v>
      </c>
      <c r="E46" s="42" t="str">
        <f ca="1">VLOOKUP($C46,OFFSET(enemy_skills!$A$1,0,0,COUNTA(enemy_skills!$A:$A),MATCH(E$1,[3]enemy_skills!$1:$1,0)-MATCH("enemy_skill_id",[3]enemy_skills!$1:$1,0)+1),MATCH(E$1,[3]enemy_skills!$1:$1,0)-MATCH("enemy_skill_id",[3]enemy_skills!$1:$1,0)+1,FALSE)</f>
        <v>時限パネル大量発生&amp;青パネル無効</v>
      </c>
      <c r="F46" s="43">
        <v>41009040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 t="s">
        <v>371</v>
      </c>
      <c r="Q46" s="105">
        <f t="shared" ca="1" si="1"/>
        <v>42829</v>
      </c>
      <c r="R46" s="107" t="s">
        <v>262</v>
      </c>
    </row>
    <row r="47" spans="1:18" ht="21" customHeight="1" x14ac:dyDescent="0.15">
      <c r="A47" s="35" t="str">
        <f t="shared" si="0"/>
        <v>41009011_41009041</v>
      </c>
      <c r="B47" s="43">
        <v>41009011</v>
      </c>
      <c r="C47" s="43">
        <v>41009041</v>
      </c>
      <c r="D47" s="42" t="str">
        <f ca="1">VLOOKUP($C47,OFFSET(enemy_skills!$A$1,0,0,COUNTA(enemy_skills!$A:$A),MATCH(D$1,[3]enemy_skills!$1:$1,0)-MATCH("enemy_skill_id",[3]enemy_skills!$1:$1,0)+1),MATCH(D$1,[3]enemy_skills!$1:$1,0)-MATCH("enemy_skill_id",[3]enemy_skills!$1:$1,0)+1,FALSE)</f>
        <v>CPUオーバーヒート！</v>
      </c>
      <c r="E47" s="42" t="str">
        <f ca="1">VLOOKUP($C47,OFFSET(enemy_skills!$A$1,0,0,COUNTA(enemy_skills!$A:$A),MATCH(E$1,[3]enemy_skills!$1:$1,0)-MATCH("enemy_skill_id",[3]enemy_skills!$1:$1,0)+1),MATCH(E$1,[3]enemy_skills!$1:$1,0)-MATCH("enemy_skill_id",[3]enemy_skills!$1:$1,0)+1,FALSE)</f>
        <v>ハートパネルを赤パネルに変換</v>
      </c>
      <c r="F47" s="43">
        <v>41009041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 t="s">
        <v>371</v>
      </c>
      <c r="Q47" s="105">
        <f t="shared" ca="1" si="1"/>
        <v>42829</v>
      </c>
      <c r="R47" s="107" t="s">
        <v>262</v>
      </c>
    </row>
    <row r="48" spans="1:18" ht="21" customHeight="1" x14ac:dyDescent="0.15">
      <c r="A48" s="35" t="str">
        <f t="shared" si="0"/>
        <v>41009011_41009042</v>
      </c>
      <c r="B48" s="43">
        <v>41009011</v>
      </c>
      <c r="C48" s="43">
        <v>41009042</v>
      </c>
      <c r="D48" s="42" t="str">
        <f ca="1">VLOOKUP($C48,OFFSET(enemy_skills!$A$1,0,0,COUNTA(enemy_skills!$A:$A),MATCH(D$1,[3]enemy_skills!$1:$1,0)-MATCH("enemy_skill_id",[3]enemy_skills!$1:$1,0)+1),MATCH(D$1,[3]enemy_skills!$1:$1,0)-MATCH("enemy_skill_id",[3]enemy_skills!$1:$1,0)+1,FALSE)</f>
        <v>レイヴンズトリック</v>
      </c>
      <c r="E48" s="42" t="str">
        <f ca="1">VLOOKUP($C48,OFFSET(enemy_skills!$A$1,0,0,COUNTA(enemy_skills!$A:$A),MATCH(E$1,[3]enemy_skills!$1:$1,0)-MATCH("enemy_skill_id",[3]enemy_skills!$1:$1,0)+1),MATCH(E$1,[3]enemy_skills!$1:$1,0)-MATCH("enemy_skill_id",[3]enemy_skills!$1:$1,0)+1,FALSE)</f>
        <v>ランダムで威力が変わる攻撃！</v>
      </c>
      <c r="F48" s="43">
        <v>41009042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8" s="44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8" s="43" t="s">
        <v>371</v>
      </c>
      <c r="Q48" s="105">
        <f t="shared" ca="1" si="1"/>
        <v>42829</v>
      </c>
      <c r="R48" s="107" t="s">
        <v>262</v>
      </c>
    </row>
    <row r="49" spans="1:18" ht="21" customHeight="1" x14ac:dyDescent="0.15">
      <c r="A49" s="35" t="str">
        <f t="shared" si="0"/>
        <v>41009011_41009043</v>
      </c>
      <c r="B49" s="43">
        <v>41009011</v>
      </c>
      <c r="C49" s="43">
        <v>41009043</v>
      </c>
      <c r="D49" s="42" t="str">
        <f ca="1">VLOOKUP($C49,OFFSET(enemy_skills!$A$1,0,0,COUNTA(enemy_skills!$A:$A),MATCH(D$1,[3]enemy_skills!$1:$1,0)-MATCH("enemy_skill_id",[3]enemy_skills!$1:$1,0)+1),MATCH(D$1,[3]enemy_skills!$1:$1,0)-MATCH("enemy_skill_id",[3]enemy_skills!$1:$1,0)+1,FALSE)</f>
        <v>レイヴンズトリック</v>
      </c>
      <c r="E49" s="42" t="str">
        <f ca="1">VLOOKUP($C49,OFFSET(enemy_skills!$A$1,0,0,COUNTA(enemy_skills!$A:$A),MATCH(E$1,[3]enemy_skills!$1:$1,0)-MATCH("enemy_skill_id",[3]enemy_skills!$1:$1,0)+1),MATCH(E$1,[3]enemy_skills!$1:$1,0)-MATCH("enemy_skill_id",[3]enemy_skills!$1:$1,0)+1,FALSE)</f>
        <v>ランダムで威力が変わる攻撃！</v>
      </c>
      <c r="F49" s="43">
        <v>41009043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9" s="44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9" s="43" t="s">
        <v>371</v>
      </c>
      <c r="Q49" s="105">
        <f t="shared" ca="1" si="1"/>
        <v>42829</v>
      </c>
      <c r="R49" s="107" t="s">
        <v>262</v>
      </c>
    </row>
    <row r="50" spans="1:18" ht="21" customHeight="1" x14ac:dyDescent="0.15">
      <c r="A50" s="35" t="str">
        <f t="shared" si="0"/>
        <v>41009011_41009044</v>
      </c>
      <c r="B50" s="43">
        <v>41009011</v>
      </c>
      <c r="C50" s="43">
        <v>41009044</v>
      </c>
      <c r="D50" s="42" t="str">
        <f ca="1">VLOOKUP($C50,OFFSET(enemy_skills!$A$1,0,0,COUNTA(enemy_skills!$A:$A),MATCH(D$1,[3]enemy_skills!$1:$1,0)-MATCH("enemy_skill_id",[3]enemy_skills!$1:$1,0)+1),MATCH(D$1,[3]enemy_skills!$1:$1,0)-MATCH("enemy_skill_id",[3]enemy_skills!$1:$1,0)+1,FALSE)</f>
        <v>レイヴンズトリック</v>
      </c>
      <c r="E50" s="42" t="str">
        <f ca="1">VLOOKUP($C50,OFFSET(enemy_skills!$A$1,0,0,COUNTA(enemy_skills!$A:$A),MATCH(E$1,[3]enemy_skills!$1:$1,0)-MATCH("enemy_skill_id",[3]enemy_skills!$1:$1,0)+1),MATCH(E$1,[3]enemy_skills!$1:$1,0)-MATCH("enemy_skill_id",[3]enemy_skills!$1:$1,0)+1,FALSE)</f>
        <v>ランダムで威力が変わる攻撃！</v>
      </c>
      <c r="F50" s="43">
        <v>41009044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4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3" t="s">
        <v>371</v>
      </c>
      <c r="Q50" s="105">
        <f t="shared" ca="1" si="1"/>
        <v>42829</v>
      </c>
      <c r="R50" s="107" t="s">
        <v>262</v>
      </c>
    </row>
    <row r="51" spans="1:18" ht="21" customHeight="1" x14ac:dyDescent="0.15">
      <c r="A51" s="35" t="str">
        <f t="shared" si="0"/>
        <v>41009011_41009045</v>
      </c>
      <c r="B51" s="43">
        <v>41009011</v>
      </c>
      <c r="C51" s="43">
        <v>41009045</v>
      </c>
      <c r="D51" s="42" t="str">
        <f ca="1">VLOOKUP($C51,OFFSET(enemy_skills!$A$1,0,0,COUNTA(enemy_skills!$A:$A),MATCH(D$1,[3]enemy_skills!$1:$1,0)-MATCH("enemy_skill_id",[3]enemy_skills!$1:$1,0)+1),MATCH(D$1,[3]enemy_skills!$1:$1,0)-MATCH("enemy_skill_id",[3]enemy_skills!$1:$1,0)+1,FALSE)</f>
        <v>レイヴンズトリック</v>
      </c>
      <c r="E51" s="42" t="str">
        <f ca="1">VLOOKUP($C51,OFFSET(enemy_skills!$A$1,0,0,COUNTA(enemy_skills!$A:$A),MATCH(E$1,[3]enemy_skills!$1:$1,0)-MATCH("enemy_skill_id",[3]enemy_skills!$1:$1,0)+1),MATCH(E$1,[3]enemy_skills!$1:$1,0)-MATCH("enemy_skill_id",[3]enemy_skills!$1:$1,0)+1,FALSE)</f>
        <v>ランダムで威力が変わる攻撃！</v>
      </c>
      <c r="F51" s="43">
        <v>41009045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 t="s">
        <v>371</v>
      </c>
      <c r="Q51" s="105">
        <f t="shared" ca="1" si="1"/>
        <v>42829</v>
      </c>
      <c r="R51" s="107" t="s">
        <v>262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1"/>
  <sheetViews>
    <sheetView showGridLines="0" tabSelected="1" zoomScale="75" zoomScaleNormal="75" zoomScalePageLayoutView="75" workbookViewId="0">
      <pane ySplit="1" topLeftCell="A4" activePane="bottomLeft" state="frozenSplit"/>
      <selection pane="bottomLeft" activeCell="F22" sqref="F22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79</v>
      </c>
      <c r="B1" s="36" t="s">
        <v>80</v>
      </c>
      <c r="C1" s="36" t="s">
        <v>81</v>
      </c>
      <c r="D1" s="36" t="s">
        <v>126</v>
      </c>
      <c r="E1" s="36" t="s">
        <v>82</v>
      </c>
      <c r="F1" s="36" t="s">
        <v>83</v>
      </c>
      <c r="G1" s="37" t="s">
        <v>132</v>
      </c>
      <c r="H1" s="37" t="s">
        <v>138</v>
      </c>
      <c r="I1" s="37" t="s">
        <v>140</v>
      </c>
      <c r="J1" s="37" t="s">
        <v>139</v>
      </c>
      <c r="K1" s="37" t="s">
        <v>141</v>
      </c>
      <c r="L1" s="37" t="s">
        <v>133</v>
      </c>
      <c r="M1" s="37" t="s">
        <v>131</v>
      </c>
      <c r="N1" s="37" t="s">
        <v>134</v>
      </c>
      <c r="O1" s="37" t="s">
        <v>142</v>
      </c>
      <c r="P1" s="37" t="s">
        <v>143</v>
      </c>
      <c r="Q1" s="37" t="s">
        <v>144</v>
      </c>
      <c r="R1" s="37" t="s">
        <v>145</v>
      </c>
      <c r="S1" s="37" t="s">
        <v>135</v>
      </c>
      <c r="T1" s="37" t="s">
        <v>136</v>
      </c>
      <c r="U1" s="37" t="s">
        <v>146</v>
      </c>
      <c r="V1" s="37" t="s">
        <v>147</v>
      </c>
      <c r="W1" s="37" t="s">
        <v>148</v>
      </c>
      <c r="X1" s="37" t="s">
        <v>149</v>
      </c>
      <c r="Y1" s="37" t="s">
        <v>137</v>
      </c>
      <c r="Z1" s="37" t="s">
        <v>76</v>
      </c>
      <c r="AA1" s="37" t="s">
        <v>77</v>
      </c>
      <c r="AB1" s="37" t="s">
        <v>78</v>
      </c>
    </row>
    <row r="2" spans="1:28" ht="22" customHeight="1" x14ac:dyDescent="0.15">
      <c r="A2" s="43">
        <v>41009001</v>
      </c>
      <c r="B2" s="43" t="s">
        <v>263</v>
      </c>
      <c r="C2" s="46">
        <v>3</v>
      </c>
      <c r="D2" s="46" t="s">
        <v>264</v>
      </c>
      <c r="E2" s="47" t="s">
        <v>265</v>
      </c>
      <c r="F2" s="47" t="s">
        <v>373</v>
      </c>
      <c r="G2" s="59" t="str">
        <f>IFERROR(LEFT(B2,FIND("],",B2)),B2)</f>
        <v>[effect:rush, count:2, val:0.5]</v>
      </c>
      <c r="H2" s="59">
        <f>FIND("effect:",G2)+7</f>
        <v>9</v>
      </c>
      <c r="I2" s="59">
        <f>IFERROR(FIND(",",G2),LEN(G2))</f>
        <v>13</v>
      </c>
      <c r="J2" s="59" t="e">
        <f>FIND("target:",G2)+7</f>
        <v>#VALUE!</v>
      </c>
      <c r="K2" s="59">
        <f>FIND(",",G2,I2+1)</f>
        <v>22</v>
      </c>
      <c r="L2" s="59" t="str">
        <f>IFERROR(VLOOKUP(MID(G2,J2,K2-J2),[7]skilldef!$C:$D,2,FALSE),"-") &amp; " / " &amp; IFERROR(VLOOKUP(MID(G2,H2,I2-H2),[7]skilldef!$A:$B,2,FALSE),"-")</f>
        <v>- / 連続攻撃</v>
      </c>
      <c r="M2" s="59" t="str">
        <f>IFERROR(RIGHT(B2,LEN(B2)-FIND("],",B2)-1),"none")</f>
        <v>none</v>
      </c>
      <c r="N2" s="44" t="str">
        <f>IFERROR(LEFT(M2,FIND("],",M2)+S12),M2)</f>
        <v>none</v>
      </c>
      <c r="O2" s="59" t="e">
        <f>FIND("effect:",N2)+7</f>
        <v>#VALUE!</v>
      </c>
      <c r="P2" s="59">
        <f>IFERROR(FIND(",",N2),LEN(N2))</f>
        <v>4</v>
      </c>
      <c r="Q2" s="59" t="e">
        <f>FIND("target:",N2)+7</f>
        <v>#VALUE!</v>
      </c>
      <c r="R2" s="59" t="e">
        <f>FIND(",",N2,P2+1)</f>
        <v>#VALUE!</v>
      </c>
      <c r="S2" s="59" t="str">
        <f>IFERROR(VLOOKUP(MID(N2,Q2,R2-Q2),[7]skilldef!$C:$D,2,FALSE),"-") &amp; " / " &amp; IFERROR(VLOOKUP(MID(N2,O2,P2-O2),[7]skilldef!$A:$B,2,FALSE),"-")</f>
        <v>- / -</v>
      </c>
      <c r="T2" s="44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IFERROR(VLOOKUP(MID(T2,W2,X2-W2),[7]skilldef!$C:$D,2,FALSE),"-") &amp; " / " &amp; IFERROR(VLOOKUP(MID(T2,U2,V2-U2),[7]skilldef!$A:$B,2,FALSE),"-")</f>
        <v>- / -</v>
      </c>
      <c r="Z2" s="46" t="s">
        <v>371</v>
      </c>
      <c r="AA2" s="48">
        <f ca="1">TODAY()</f>
        <v>42829</v>
      </c>
      <c r="AB2" s="47" t="s">
        <v>266</v>
      </c>
    </row>
    <row r="3" spans="1:28" ht="22" customHeight="1" x14ac:dyDescent="0.15">
      <c r="A3" s="43">
        <v>41009002</v>
      </c>
      <c r="B3" s="43" t="s">
        <v>267</v>
      </c>
      <c r="C3" s="46">
        <v>3</v>
      </c>
      <c r="D3" s="46" t="s">
        <v>264</v>
      </c>
      <c r="E3" s="47" t="s">
        <v>268</v>
      </c>
      <c r="F3" s="47" t="s">
        <v>269</v>
      </c>
      <c r="G3" s="59" t="str">
        <f t="shared" ref="G3:G49" si="0">IFERROR(LEFT(B3,FIND("],",B3)),B3)</f>
        <v>[effect:critical, val:1.2]</v>
      </c>
      <c r="H3" s="59">
        <f t="shared" ref="H3:H49" si="1">FIND("effect:",G3)+7</f>
        <v>9</v>
      </c>
      <c r="I3" s="59">
        <f t="shared" ref="I3:I49" si="2">IFERROR(FIND(",",G3),LEN(G3))</f>
        <v>17</v>
      </c>
      <c r="J3" s="59" t="e">
        <f t="shared" ref="J3:J49" si="3">FIND("target:",G3)+7</f>
        <v>#VALUE!</v>
      </c>
      <c r="K3" s="59" t="e">
        <f t="shared" ref="K3:K49" si="4">FIND(",",G3,I3+1)</f>
        <v>#VALUE!</v>
      </c>
      <c r="L3" s="59" t="str">
        <f>IFERROR(VLOOKUP(MID(G3,J3,K3-J3),[7]skilldef!$C:$D,2,FALSE),"-") &amp; " / " &amp; IFERROR(VLOOKUP(MID(G3,H3,I3-H3),[7]skilldef!$A:$B,2,FALSE),"-")</f>
        <v>- / 大攻撃</v>
      </c>
      <c r="M3" s="59" t="str">
        <f t="shared" ref="M3:M49" si="5">IFERROR(RIGHT(B3,LEN(B3)-FIND("],",B3)-1),"none")</f>
        <v>none</v>
      </c>
      <c r="N3" s="44" t="str">
        <f t="shared" ref="N3:N20" si="6">IFERROR(LEFT(M3,FIND("],",M3)+S13),M3)</f>
        <v>none</v>
      </c>
      <c r="O3" s="59" t="e">
        <f t="shared" ref="O3:O49" si="7">FIND("effect:",N3)+7</f>
        <v>#VALUE!</v>
      </c>
      <c r="P3" s="59">
        <f t="shared" ref="P3:P49" si="8">IFERROR(FIND(",",N3),LEN(N3))</f>
        <v>4</v>
      </c>
      <c r="Q3" s="59" t="e">
        <f t="shared" ref="Q3:Q49" si="9">FIND("target:",N3)+7</f>
        <v>#VALUE!</v>
      </c>
      <c r="R3" s="59" t="e">
        <f t="shared" ref="R3:R49" si="10">FIND(",",N3,P3+1)</f>
        <v>#VALUE!</v>
      </c>
      <c r="S3" s="59" t="str">
        <f>IFERROR(VLOOKUP(MID(N3,Q3,R3-Q3),[7]skilldef!$C:$D,2,FALSE),"-") &amp; " / " &amp; IFERROR(VLOOKUP(MID(N3,O3,P3-O3),[7]skilldef!$A:$B,2,FALSE),"-")</f>
        <v>- / -</v>
      </c>
      <c r="T3" s="44" t="str">
        <f t="shared" ref="T3:T49" si="11">IFERROR(RIGHT(M3,LEN(M3)-FIND("],",M3)-1),"none")</f>
        <v>none</v>
      </c>
      <c r="U3" s="59" t="e">
        <f t="shared" ref="U3:U49" si="12">FIND("effect:",T3)+7</f>
        <v>#VALUE!</v>
      </c>
      <c r="V3" s="59">
        <f t="shared" ref="V3:V49" si="13">IFERROR(FIND(",",T3),LEN(T3))</f>
        <v>4</v>
      </c>
      <c r="W3" s="59" t="e">
        <f t="shared" ref="W3:W49" si="14">FIND("target:",T3)+7</f>
        <v>#VALUE!</v>
      </c>
      <c r="X3" s="59" t="e">
        <f t="shared" ref="X3:X49" si="15">FIND(",",T3,V3+1)</f>
        <v>#VALUE!</v>
      </c>
      <c r="Y3" s="59" t="str">
        <f>IFERROR(VLOOKUP(MID(T3,W3,X3-W3),[7]skilldef!$C:$D,2,FALSE),"-") &amp; " / " &amp; IFERROR(VLOOKUP(MID(T3,U3,V3-U3),[7]skilldef!$A:$B,2,FALSE),"-")</f>
        <v>- / -</v>
      </c>
      <c r="Z3" s="46" t="s">
        <v>371</v>
      </c>
      <c r="AA3" s="48">
        <f t="shared" ref="AA3:AA51" ca="1" si="16">TODAY()</f>
        <v>42829</v>
      </c>
      <c r="AB3" s="47" t="s">
        <v>266</v>
      </c>
    </row>
    <row r="4" spans="1:28" ht="22" customHeight="1" x14ac:dyDescent="0.15">
      <c r="A4" s="43">
        <v>41009003</v>
      </c>
      <c r="B4" s="43" t="s">
        <v>270</v>
      </c>
      <c r="C4" s="46">
        <v>3</v>
      </c>
      <c r="D4" s="46" t="s">
        <v>264</v>
      </c>
      <c r="E4" s="47" t="s">
        <v>271</v>
      </c>
      <c r="F4" s="47" t="s">
        <v>374</v>
      </c>
      <c r="G4" s="59" t="str">
        <f t="shared" si="0"/>
        <v>[effect:damage_anti_tribe, target:unit_all, tribe:animal, val1:1.1, val2:0.1]</v>
      </c>
      <c r="H4" s="59">
        <f t="shared" si="1"/>
        <v>9</v>
      </c>
      <c r="I4" s="59">
        <f t="shared" si="2"/>
        <v>26</v>
      </c>
      <c r="J4" s="59">
        <f t="shared" si="3"/>
        <v>35</v>
      </c>
      <c r="K4" s="59">
        <f t="shared" si="4"/>
        <v>43</v>
      </c>
      <c r="L4" s="59" t="str">
        <f>IFERROR(VLOOKUP(MID(G4,J4,K4-J4),[7]skilldef!$C:$D,2,FALSE),"-") &amp; " / " &amp; IFERROR(VLOOKUP(MID(G4,H4,I4-H4),[7]skilldef!$A:$B,2,FALSE),"-")</f>
        <v>味方全体に / 種族キラー</v>
      </c>
      <c r="M4" s="59" t="str">
        <f t="shared" si="5"/>
        <v>none</v>
      </c>
      <c r="N4" s="44" t="str">
        <f t="shared" si="6"/>
        <v>none</v>
      </c>
      <c r="O4" s="59" t="e">
        <f t="shared" si="7"/>
        <v>#VALUE!</v>
      </c>
      <c r="P4" s="59">
        <f t="shared" si="8"/>
        <v>4</v>
      </c>
      <c r="Q4" s="59" t="e">
        <f t="shared" si="9"/>
        <v>#VALUE!</v>
      </c>
      <c r="R4" s="59" t="e">
        <f t="shared" si="10"/>
        <v>#VALUE!</v>
      </c>
      <c r="S4" s="59" t="str">
        <f>IFERROR(VLOOKUP(MID(N4,Q4,R4-Q4),[7]skilldef!$C:$D,2,FALSE),"-") &amp; " / " &amp; IFERROR(VLOOKUP(MID(N4,O4,P4-O4),[7]skilldef!$A:$B,2,FALSE),"-")</f>
        <v>- / -</v>
      </c>
      <c r="T4" s="44" t="str">
        <f t="shared" si="11"/>
        <v>none</v>
      </c>
      <c r="U4" s="59" t="e">
        <f t="shared" si="12"/>
        <v>#VALUE!</v>
      </c>
      <c r="V4" s="59">
        <f t="shared" si="13"/>
        <v>4</v>
      </c>
      <c r="W4" s="59" t="e">
        <f t="shared" si="14"/>
        <v>#VALUE!</v>
      </c>
      <c r="X4" s="59" t="e">
        <f t="shared" si="15"/>
        <v>#VALUE!</v>
      </c>
      <c r="Y4" s="59" t="str">
        <f>IFERROR(VLOOKUP(MID(T4,W4,X4-W4),[7]skilldef!$C:$D,2,FALSE),"-") &amp; " / " &amp; IFERROR(VLOOKUP(MID(T4,U4,V4-U4),[7]skilldef!$A:$B,2,FALSE),"-")</f>
        <v>- / -</v>
      </c>
      <c r="Z4" s="46" t="s">
        <v>371</v>
      </c>
      <c r="AA4" s="48">
        <f t="shared" ca="1" si="16"/>
        <v>42829</v>
      </c>
      <c r="AB4" s="47" t="s">
        <v>272</v>
      </c>
    </row>
    <row r="5" spans="1:28" ht="22" customHeight="1" x14ac:dyDescent="0.15">
      <c r="A5" s="43">
        <v>41009004</v>
      </c>
      <c r="B5" s="43" t="s">
        <v>273</v>
      </c>
      <c r="C5" s="46">
        <v>3</v>
      </c>
      <c r="D5" s="46" t="s">
        <v>274</v>
      </c>
      <c r="E5" s="47" t="s">
        <v>275</v>
      </c>
      <c r="F5" s="47" t="s">
        <v>375</v>
      </c>
      <c r="G5" s="59" t="str">
        <f t="shared" si="0"/>
        <v xml:space="preserve">[effect:damage_anti_tribe, target:unit_all, tribe:machine, val1:1.1, val2:0.2]    </v>
      </c>
      <c r="H5" s="59">
        <f t="shared" si="1"/>
        <v>9</v>
      </c>
      <c r="I5" s="59">
        <f t="shared" si="2"/>
        <v>26</v>
      </c>
      <c r="J5" s="59">
        <f t="shared" si="3"/>
        <v>35</v>
      </c>
      <c r="K5" s="59">
        <f t="shared" si="4"/>
        <v>43</v>
      </c>
      <c r="L5" s="59" t="str">
        <f>IFERROR(VLOOKUP(MID(G5,J5,K5-J5),[7]skilldef!$C:$D,2,FALSE),"-") &amp; " / " &amp; IFERROR(VLOOKUP(MID(G5,H5,I5-H5),[7]skilldef!$A:$B,2,FALSE),"-")</f>
        <v>味方全体に / 種族キラー</v>
      </c>
      <c r="M5" s="59" t="str">
        <f t="shared" si="5"/>
        <v>none</v>
      </c>
      <c r="N5" s="44" t="str">
        <f t="shared" si="6"/>
        <v>none</v>
      </c>
      <c r="O5" s="59" t="e">
        <f t="shared" si="7"/>
        <v>#VALUE!</v>
      </c>
      <c r="P5" s="59">
        <f t="shared" si="8"/>
        <v>4</v>
      </c>
      <c r="Q5" s="59" t="e">
        <f t="shared" si="9"/>
        <v>#VALUE!</v>
      </c>
      <c r="R5" s="59" t="e">
        <f t="shared" si="10"/>
        <v>#VALUE!</v>
      </c>
      <c r="S5" s="59" t="str">
        <f>IFERROR(VLOOKUP(MID(N5,Q5,R5-Q5),[7]skilldef!$C:$D,2,FALSE),"-") &amp; " / " &amp; IFERROR(VLOOKUP(MID(N5,O5,P5-O5),[7]skilldef!$A:$B,2,FALSE),"-")</f>
        <v>- / -</v>
      </c>
      <c r="T5" s="44" t="str">
        <f t="shared" si="11"/>
        <v>none</v>
      </c>
      <c r="U5" s="59" t="e">
        <f t="shared" si="12"/>
        <v>#VALUE!</v>
      </c>
      <c r="V5" s="59">
        <f t="shared" si="13"/>
        <v>4</v>
      </c>
      <c r="W5" s="59" t="e">
        <f t="shared" si="14"/>
        <v>#VALUE!</v>
      </c>
      <c r="X5" s="59" t="e">
        <f t="shared" si="15"/>
        <v>#VALUE!</v>
      </c>
      <c r="Y5" s="59" t="str">
        <f>IFERROR(VLOOKUP(MID(T5,W5,X5-W5),[7]skilldef!$C:$D,2,FALSE),"-") &amp; " / " &amp; IFERROR(VLOOKUP(MID(T5,U5,V5-U5),[7]skilldef!$A:$B,2,FALSE),"-")</f>
        <v>- / -</v>
      </c>
      <c r="Z5" s="46" t="s">
        <v>371</v>
      </c>
      <c r="AA5" s="48">
        <f t="shared" ca="1" si="16"/>
        <v>42829</v>
      </c>
      <c r="AB5" s="47" t="s">
        <v>276</v>
      </c>
    </row>
    <row r="6" spans="1:28" ht="22" customHeight="1" x14ac:dyDescent="0.15">
      <c r="A6" s="43">
        <v>41009005</v>
      </c>
      <c r="B6" s="43" t="s">
        <v>277</v>
      </c>
      <c r="C6" s="46">
        <v>3</v>
      </c>
      <c r="D6" s="46" t="s">
        <v>274</v>
      </c>
      <c r="E6" s="47" t="s">
        <v>278</v>
      </c>
      <c r="F6" s="47" t="s">
        <v>376</v>
      </c>
      <c r="G6" s="59" t="str">
        <f t="shared" si="0"/>
        <v xml:space="preserve">[effect:degrade_unit, target:unit_all, turn:3, status:heal, val:0.3, animation:degrade_unit_all_heal]    </v>
      </c>
      <c r="H6" s="59">
        <f t="shared" si="1"/>
        <v>9</v>
      </c>
      <c r="I6" s="59">
        <f t="shared" si="2"/>
        <v>21</v>
      </c>
      <c r="J6" s="59">
        <f t="shared" si="3"/>
        <v>30</v>
      </c>
      <c r="K6" s="59">
        <f t="shared" si="4"/>
        <v>38</v>
      </c>
      <c r="L6" s="59" t="str">
        <f>IFERROR(VLOOKUP(MID(G6,J6,K6-J6),[7]skilldef!$C:$D,2,FALSE),"-") &amp; " / " &amp; IFERROR(VLOOKUP(MID(G6,H6,I6-H6),[7]skilldef!$A:$B,2,FALSE),"-")</f>
        <v>味方全体に / ステータスDOWN</v>
      </c>
      <c r="M6" s="59" t="str">
        <f t="shared" si="5"/>
        <v>none</v>
      </c>
      <c r="N6" s="44" t="str">
        <f t="shared" si="6"/>
        <v>none</v>
      </c>
      <c r="O6" s="59" t="e">
        <f t="shared" si="7"/>
        <v>#VALUE!</v>
      </c>
      <c r="P6" s="59">
        <f t="shared" si="8"/>
        <v>4</v>
      </c>
      <c r="Q6" s="59" t="e">
        <f t="shared" si="9"/>
        <v>#VALUE!</v>
      </c>
      <c r="R6" s="59" t="e">
        <f t="shared" si="10"/>
        <v>#VALUE!</v>
      </c>
      <c r="S6" s="59" t="str">
        <f>IFERROR(VLOOKUP(MID(N6,Q6,R6-Q6),[7]skilldef!$C:$D,2,FALSE),"-") &amp; " / " &amp; IFERROR(VLOOKUP(MID(N6,O6,P6-O6),[7]skilldef!$A:$B,2,FALSE),"-")</f>
        <v>- / -</v>
      </c>
      <c r="T6" s="44" t="str">
        <f t="shared" si="11"/>
        <v>none</v>
      </c>
      <c r="U6" s="59" t="e">
        <f t="shared" si="12"/>
        <v>#VALUE!</v>
      </c>
      <c r="V6" s="59">
        <f t="shared" si="13"/>
        <v>4</v>
      </c>
      <c r="W6" s="59" t="e">
        <f t="shared" si="14"/>
        <v>#VALUE!</v>
      </c>
      <c r="X6" s="59" t="e">
        <f t="shared" si="15"/>
        <v>#VALUE!</v>
      </c>
      <c r="Y6" s="59" t="str">
        <f>IFERROR(VLOOKUP(MID(T6,W6,X6-W6),[7]skilldef!$C:$D,2,FALSE),"-") &amp; " / " &amp; IFERROR(VLOOKUP(MID(T6,U6,V6-U6),[7]skilldef!$A:$B,2,FALSE),"-")</f>
        <v>- / -</v>
      </c>
      <c r="Z6" s="46" t="s">
        <v>371</v>
      </c>
      <c r="AA6" s="48">
        <f t="shared" ca="1" si="16"/>
        <v>42829</v>
      </c>
      <c r="AB6" s="47" t="s">
        <v>279</v>
      </c>
    </row>
    <row r="7" spans="1:28" ht="22" customHeight="1" x14ac:dyDescent="0.15">
      <c r="A7" s="43">
        <v>41009006</v>
      </c>
      <c r="B7" s="43" t="s">
        <v>280</v>
      </c>
      <c r="C7" s="46">
        <v>3</v>
      </c>
      <c r="D7" s="46" t="s">
        <v>274</v>
      </c>
      <c r="E7" s="47" t="s">
        <v>281</v>
      </c>
      <c r="F7" s="47" t="s">
        <v>282</v>
      </c>
      <c r="G7" s="59" t="str">
        <f t="shared" si="0"/>
        <v xml:space="preserve">[effect:change_panel_ratio, turn:4, block_type:heal, val:0.0, animation:block_incidence04]    </v>
      </c>
      <c r="H7" s="59">
        <f t="shared" si="1"/>
        <v>9</v>
      </c>
      <c r="I7" s="59">
        <f t="shared" si="2"/>
        <v>27</v>
      </c>
      <c r="J7" s="59" t="e">
        <f t="shared" si="3"/>
        <v>#VALUE!</v>
      </c>
      <c r="K7" s="59">
        <f t="shared" si="4"/>
        <v>35</v>
      </c>
      <c r="L7" s="59" t="str">
        <f>IFERROR(VLOOKUP(MID(G7,J7,K7-J7),[7]skilldef!$C:$D,2,FALSE),"-") &amp; " / " &amp; IFERROR(VLOOKUP(MID(G7,H7,I7-H7),[7]skilldef!$A:$B,2,FALSE),"-")</f>
        <v>- / -</v>
      </c>
      <c r="M7" s="59" t="str">
        <f t="shared" si="5"/>
        <v>none</v>
      </c>
      <c r="N7" s="44" t="str">
        <f t="shared" si="6"/>
        <v>none</v>
      </c>
      <c r="O7" s="59" t="e">
        <f t="shared" si="7"/>
        <v>#VALUE!</v>
      </c>
      <c r="P7" s="59">
        <f t="shared" si="8"/>
        <v>4</v>
      </c>
      <c r="Q7" s="59" t="e">
        <f t="shared" si="9"/>
        <v>#VALUE!</v>
      </c>
      <c r="R7" s="59" t="e">
        <f t="shared" si="10"/>
        <v>#VALUE!</v>
      </c>
      <c r="S7" s="59" t="str">
        <f>IFERROR(VLOOKUP(MID(N7,Q7,R7-Q7),[7]skilldef!$C:$D,2,FALSE),"-") &amp; " / " &amp; IFERROR(VLOOKUP(MID(N7,O7,P7-O7),[7]skilldef!$A:$B,2,FALSE),"-")</f>
        <v>- / -</v>
      </c>
      <c r="T7" s="44" t="str">
        <f t="shared" si="11"/>
        <v>none</v>
      </c>
      <c r="U7" s="59" t="e">
        <f t="shared" si="12"/>
        <v>#VALUE!</v>
      </c>
      <c r="V7" s="59">
        <f t="shared" si="13"/>
        <v>4</v>
      </c>
      <c r="W7" s="59" t="e">
        <f t="shared" si="14"/>
        <v>#VALUE!</v>
      </c>
      <c r="X7" s="59" t="e">
        <f t="shared" si="15"/>
        <v>#VALUE!</v>
      </c>
      <c r="Y7" s="59" t="str">
        <f>IFERROR(VLOOKUP(MID(T7,W7,X7-W7),[7]skilldef!$C:$D,2,FALSE),"-") &amp; " / " &amp; IFERROR(VLOOKUP(MID(T7,U7,V7-U7),[7]skilldef!$A:$B,2,FALSE),"-")</f>
        <v>- / -</v>
      </c>
      <c r="Z7" s="46" t="s">
        <v>371</v>
      </c>
      <c r="AA7" s="48">
        <f t="shared" ca="1" si="16"/>
        <v>42829</v>
      </c>
      <c r="AB7" s="47" t="s">
        <v>279</v>
      </c>
    </row>
    <row r="8" spans="1:28" ht="22" customHeight="1" x14ac:dyDescent="0.15">
      <c r="A8" s="43">
        <v>41009007</v>
      </c>
      <c r="B8" s="43" t="s">
        <v>283</v>
      </c>
      <c r="C8" s="46">
        <v>3</v>
      </c>
      <c r="D8" s="46" t="s">
        <v>274</v>
      </c>
      <c r="E8" s="47" t="s">
        <v>284</v>
      </c>
      <c r="F8" s="47" t="s">
        <v>377</v>
      </c>
      <c r="G8" s="59" t="str">
        <f t="shared" si="0"/>
        <v>[effect:dark, target:unit_all, turn:1, animation:enemy_dark]</v>
      </c>
      <c r="H8" s="59">
        <f t="shared" si="1"/>
        <v>9</v>
      </c>
      <c r="I8" s="59">
        <f t="shared" si="2"/>
        <v>13</v>
      </c>
      <c r="J8" s="59">
        <f t="shared" si="3"/>
        <v>22</v>
      </c>
      <c r="K8" s="59">
        <f t="shared" si="4"/>
        <v>30</v>
      </c>
      <c r="L8" s="59" t="str">
        <f>IFERROR(VLOOKUP(MID(G8,J8,K8-J8),[7]skilldef!$C:$D,2,FALSE),"-") &amp; " / " &amp; IFERROR(VLOOKUP(MID(G8,H8,I8-H8),[7]skilldef!$A:$B,2,FALSE),"-")</f>
        <v>味方全体に / 暗黒</v>
      </c>
      <c r="M8" s="59" t="str">
        <f t="shared" si="5"/>
        <v>[effect:rush, count:1, val:1]</v>
      </c>
      <c r="N8" s="44" t="str">
        <f t="shared" si="6"/>
        <v>[effect:rush, count:1, val:1]</v>
      </c>
      <c r="O8" s="59">
        <f t="shared" si="7"/>
        <v>9</v>
      </c>
      <c r="P8" s="59">
        <f t="shared" si="8"/>
        <v>13</v>
      </c>
      <c r="Q8" s="59" t="e">
        <f t="shared" si="9"/>
        <v>#VALUE!</v>
      </c>
      <c r="R8" s="59">
        <f t="shared" si="10"/>
        <v>22</v>
      </c>
      <c r="S8" s="59" t="str">
        <f>IFERROR(VLOOKUP(MID(N8,Q8,R8-Q8),[7]skilldef!$C:$D,2,FALSE),"-") &amp; " / " &amp; IFERROR(VLOOKUP(MID(N8,O8,P8-O8),[7]skilldef!$A:$B,2,FALSE),"-")</f>
        <v>- / 連続攻撃</v>
      </c>
      <c r="T8" s="44" t="str">
        <f t="shared" si="11"/>
        <v>none</v>
      </c>
      <c r="U8" s="59" t="e">
        <f t="shared" si="12"/>
        <v>#VALUE!</v>
      </c>
      <c r="V8" s="59">
        <f t="shared" si="13"/>
        <v>4</v>
      </c>
      <c r="W8" s="59" t="e">
        <f t="shared" si="14"/>
        <v>#VALUE!</v>
      </c>
      <c r="X8" s="59" t="e">
        <f t="shared" si="15"/>
        <v>#VALUE!</v>
      </c>
      <c r="Y8" s="59" t="str">
        <f>IFERROR(VLOOKUP(MID(T8,W8,X8-W8),[7]skilldef!$C:$D,2,FALSE),"-") &amp; " / " &amp; IFERROR(VLOOKUP(MID(T8,U8,V8-U8),[7]skilldef!$A:$B,2,FALSE),"-")</f>
        <v>- / -</v>
      </c>
      <c r="Z8" s="46" t="s">
        <v>371</v>
      </c>
      <c r="AA8" s="48">
        <f t="shared" ca="1" si="16"/>
        <v>42829</v>
      </c>
      <c r="AB8" s="47" t="s">
        <v>279</v>
      </c>
    </row>
    <row r="9" spans="1:28" ht="22" customHeight="1" x14ac:dyDescent="0.15">
      <c r="A9" s="43">
        <v>41009008</v>
      </c>
      <c r="B9" s="43" t="s">
        <v>285</v>
      </c>
      <c r="C9" s="46">
        <v>3</v>
      </c>
      <c r="D9" s="46" t="s">
        <v>274</v>
      </c>
      <c r="E9" s="47" t="s">
        <v>286</v>
      </c>
      <c r="F9" s="47" t="s">
        <v>287</v>
      </c>
      <c r="G9" s="59" t="str">
        <f t="shared" si="0"/>
        <v>[effect:critical, val:1.5]</v>
      </c>
      <c r="H9" s="59">
        <f t="shared" si="1"/>
        <v>9</v>
      </c>
      <c r="I9" s="59">
        <f t="shared" si="2"/>
        <v>17</v>
      </c>
      <c r="J9" s="59" t="e">
        <f t="shared" si="3"/>
        <v>#VALUE!</v>
      </c>
      <c r="K9" s="59" t="e">
        <f t="shared" si="4"/>
        <v>#VALUE!</v>
      </c>
      <c r="L9" s="59" t="str">
        <f>IFERROR(VLOOKUP(MID(G9,J9,K9-J9),[7]skilldef!$C:$D,2,FALSE),"-") &amp; " / " &amp; IFERROR(VLOOKUP(MID(G9,H9,I9-H9),[7]skilldef!$A:$B,2,FALSE),"-")</f>
        <v>- / 大攻撃</v>
      </c>
      <c r="M9" s="59" t="str">
        <f t="shared" si="5"/>
        <v>none</v>
      </c>
      <c r="N9" s="44" t="str">
        <f t="shared" si="6"/>
        <v>none</v>
      </c>
      <c r="O9" s="59" t="e">
        <f t="shared" si="7"/>
        <v>#VALUE!</v>
      </c>
      <c r="P9" s="59">
        <f t="shared" si="8"/>
        <v>4</v>
      </c>
      <c r="Q9" s="59" t="e">
        <f t="shared" si="9"/>
        <v>#VALUE!</v>
      </c>
      <c r="R9" s="59" t="e">
        <f t="shared" si="10"/>
        <v>#VALUE!</v>
      </c>
      <c r="S9" s="59" t="str">
        <f>IFERROR(VLOOKUP(MID(N9,Q9,R9-Q9),[7]skilldef!$C:$D,2,FALSE),"-") &amp; " / " &amp; IFERROR(VLOOKUP(MID(N9,O9,P9-O9),[7]skilldef!$A:$B,2,FALSE),"-")</f>
        <v>- / -</v>
      </c>
      <c r="T9" s="44" t="str">
        <f t="shared" si="11"/>
        <v>none</v>
      </c>
      <c r="U9" s="59" t="e">
        <f t="shared" si="12"/>
        <v>#VALUE!</v>
      </c>
      <c r="V9" s="59">
        <f t="shared" si="13"/>
        <v>4</v>
      </c>
      <c r="W9" s="59" t="e">
        <f t="shared" si="14"/>
        <v>#VALUE!</v>
      </c>
      <c r="X9" s="59" t="e">
        <f t="shared" si="15"/>
        <v>#VALUE!</v>
      </c>
      <c r="Y9" s="59" t="str">
        <f>IFERROR(VLOOKUP(MID(T9,W9,X9-W9),[7]skilldef!$C:$D,2,FALSE),"-") &amp; " / " &amp; IFERROR(VLOOKUP(MID(T9,U9,V9-U9),[7]skilldef!$A:$B,2,FALSE),"-")</f>
        <v>- / -</v>
      </c>
      <c r="Z9" s="46" t="s">
        <v>371</v>
      </c>
      <c r="AA9" s="48">
        <f t="shared" ca="1" si="16"/>
        <v>42829</v>
      </c>
      <c r="AB9" s="47" t="s">
        <v>279</v>
      </c>
    </row>
    <row r="10" spans="1:28" ht="22" customHeight="1" x14ac:dyDescent="0.15">
      <c r="A10" s="43">
        <v>41009009</v>
      </c>
      <c r="B10" s="108" t="s">
        <v>288</v>
      </c>
      <c r="C10" s="46">
        <v>3</v>
      </c>
      <c r="D10" s="46" t="s">
        <v>274</v>
      </c>
      <c r="E10" s="47" t="s">
        <v>289</v>
      </c>
      <c r="F10" s="47" t="s">
        <v>290</v>
      </c>
      <c r="G10" s="59" t="str">
        <f t="shared" si="0"/>
        <v>[effect:tolerance, target:myself, turn:-1, tolerance_effect:hungup, count:-1]</v>
      </c>
      <c r="H10" s="59">
        <f t="shared" si="1"/>
        <v>9</v>
      </c>
      <c r="I10" s="59">
        <f t="shared" si="2"/>
        <v>18</v>
      </c>
      <c r="J10" s="59">
        <f t="shared" si="3"/>
        <v>27</v>
      </c>
      <c r="K10" s="59">
        <f t="shared" si="4"/>
        <v>33</v>
      </c>
      <c r="L10" s="59" t="str">
        <f>IFERROR(VLOOKUP(MID(G10,J10,K10-J10),[7]skilldef!$C:$D,2,FALSE),"-") &amp; " / " &amp; IFERROR(VLOOKUP(MID(G10,H10,I10-H10),[7]skilldef!$A:$B,2,FALSE),"-")</f>
        <v>自分自身に / 状態異常耐性</v>
      </c>
      <c r="M10" s="59" t="str">
        <f t="shared" si="5"/>
        <v>[effect:tolerance, target:myself, turn:-1, tolerance_effect:virus, count:-1],[effect:tolerance, target:myself, turn:-1, tolerance_effect:sleep, count:-1, animation:enemy_tolerance]</v>
      </c>
      <c r="N10" s="44" t="str">
        <f t="shared" si="6"/>
        <v>[effect:tolerance, target:myself, turn:-1, tolerance_effect:virus, count:-1],[effect:tolerance, target:myself, turn:-1, tolerance_effect:sleep, count:-1, animation:enemy_tolerance]</v>
      </c>
      <c r="O10" s="59">
        <f t="shared" si="7"/>
        <v>9</v>
      </c>
      <c r="P10" s="59">
        <f t="shared" si="8"/>
        <v>18</v>
      </c>
      <c r="Q10" s="59">
        <f t="shared" si="9"/>
        <v>27</v>
      </c>
      <c r="R10" s="59">
        <f t="shared" si="10"/>
        <v>33</v>
      </c>
      <c r="S10" s="59" t="str">
        <f>IFERROR(VLOOKUP(MID(N10,Q10,R10-Q10),[7]skilldef!$C:$D,2,FALSE),"-") &amp; " / " &amp; IFERROR(VLOOKUP(MID(N10,O10,P10-O10),[7]skilldef!$A:$B,2,FALSE),"-")</f>
        <v>自分自身に / 状態異常耐性</v>
      </c>
      <c r="T10" s="44" t="str">
        <f t="shared" si="11"/>
        <v>[effect:tolerance, target:myself, turn:-1, tolerance_effect:sleep, count:-1, animation:enemy_tolerance]</v>
      </c>
      <c r="U10" s="59">
        <f t="shared" si="12"/>
        <v>9</v>
      </c>
      <c r="V10" s="59">
        <f t="shared" si="13"/>
        <v>18</v>
      </c>
      <c r="W10" s="59">
        <f t="shared" si="14"/>
        <v>27</v>
      </c>
      <c r="X10" s="59">
        <f t="shared" si="15"/>
        <v>33</v>
      </c>
      <c r="Y10" s="59" t="str">
        <f>IFERROR(VLOOKUP(MID(T10,W10,X10-W10),[7]skilldef!$C:$D,2,FALSE),"-") &amp; " / " &amp; IFERROR(VLOOKUP(MID(T10,U10,V10-U10),[7]skilldef!$A:$B,2,FALSE),"-")</f>
        <v>自分自身に / 状態異常耐性</v>
      </c>
      <c r="Z10" s="46" t="s">
        <v>371</v>
      </c>
      <c r="AA10" s="48">
        <f t="shared" ca="1" si="16"/>
        <v>42829</v>
      </c>
      <c r="AB10" s="47" t="s">
        <v>291</v>
      </c>
    </row>
    <row r="11" spans="1:28" ht="22" customHeight="1" x14ac:dyDescent="0.15">
      <c r="A11" s="43">
        <v>41009010</v>
      </c>
      <c r="B11" s="43" t="s">
        <v>292</v>
      </c>
      <c r="C11" s="46">
        <v>3</v>
      </c>
      <c r="D11" s="46" t="s">
        <v>127</v>
      </c>
      <c r="E11" s="47" t="s">
        <v>293</v>
      </c>
      <c r="F11" s="47" t="s">
        <v>84</v>
      </c>
      <c r="G11" s="59" t="str">
        <f t="shared" si="0"/>
        <v>[effect:heal, target:enemy_all, val:0.2, animation:enemy_heal]</v>
      </c>
      <c r="H11" s="59">
        <f t="shared" si="1"/>
        <v>9</v>
      </c>
      <c r="I11" s="59">
        <f t="shared" si="2"/>
        <v>13</v>
      </c>
      <c r="J11" s="59">
        <f t="shared" si="3"/>
        <v>22</v>
      </c>
      <c r="K11" s="59">
        <f t="shared" si="4"/>
        <v>31</v>
      </c>
      <c r="L11" s="59" t="str">
        <f>IFERROR(VLOOKUP(MID(G11,J11,K11-J11),[7]skilldef!$C:$D,2,FALSE),"-") &amp; " / " &amp; IFERROR(VLOOKUP(MID(G11,H11,I11-H11),[7]skilldef!$A:$B,2,FALSE),"-")</f>
        <v>敵全体に / 回復</v>
      </c>
      <c r="M11" s="59" t="str">
        <f t="shared" si="5"/>
        <v>[effect:rush, count:1, val:1]</v>
      </c>
      <c r="N11" s="44" t="str">
        <f t="shared" si="6"/>
        <v>[effect:rush, count:1, val:1]</v>
      </c>
      <c r="O11" s="59">
        <f t="shared" si="7"/>
        <v>9</v>
      </c>
      <c r="P11" s="59">
        <f t="shared" si="8"/>
        <v>13</v>
      </c>
      <c r="Q11" s="59" t="e">
        <f t="shared" si="9"/>
        <v>#VALUE!</v>
      </c>
      <c r="R11" s="59">
        <f t="shared" si="10"/>
        <v>22</v>
      </c>
      <c r="S11" s="59" t="str">
        <f>IFERROR(VLOOKUP(MID(N11,Q11,R11-Q11),[7]skilldef!$C:$D,2,FALSE),"-") &amp; " / " &amp; IFERROR(VLOOKUP(MID(N11,O11,P11-O11),[7]skilldef!$A:$B,2,FALSE),"-")</f>
        <v>- / 連続攻撃</v>
      </c>
      <c r="T11" s="44" t="str">
        <f t="shared" si="11"/>
        <v>none</v>
      </c>
      <c r="U11" s="59" t="e">
        <f t="shared" si="12"/>
        <v>#VALUE!</v>
      </c>
      <c r="V11" s="59">
        <f t="shared" si="13"/>
        <v>4</v>
      </c>
      <c r="W11" s="59" t="e">
        <f t="shared" si="14"/>
        <v>#VALUE!</v>
      </c>
      <c r="X11" s="59" t="e">
        <f t="shared" si="15"/>
        <v>#VALUE!</v>
      </c>
      <c r="Y11" s="59" t="str">
        <f>IFERROR(VLOOKUP(MID(T11,W11,X11-W11),[7]skilldef!$C:$D,2,FALSE),"-") &amp; " / " &amp; IFERROR(VLOOKUP(MID(T11,U11,V11-U11),[7]skilldef!$A:$B,2,FALSE),"-")</f>
        <v>- / -</v>
      </c>
      <c r="Z11" s="46" t="s">
        <v>371</v>
      </c>
      <c r="AA11" s="48">
        <f t="shared" ca="1" si="16"/>
        <v>42829</v>
      </c>
      <c r="AB11" s="47" t="s">
        <v>291</v>
      </c>
    </row>
    <row r="12" spans="1:28" ht="22" customHeight="1" x14ac:dyDescent="0.15">
      <c r="A12" s="43">
        <v>41009011</v>
      </c>
      <c r="B12" s="43" t="s">
        <v>294</v>
      </c>
      <c r="C12" s="46">
        <v>3</v>
      </c>
      <c r="D12" s="46" t="s">
        <v>274</v>
      </c>
      <c r="E12" s="47" t="s">
        <v>295</v>
      </c>
      <c r="F12" s="47" t="s">
        <v>378</v>
      </c>
      <c r="G12" s="59" t="str">
        <f t="shared" si="0"/>
        <v>[effect:change_block, new_block:time_bomb, target:block_yellow, count:6, val:0.2, animation:change_block]</v>
      </c>
      <c r="H12" s="59">
        <f t="shared" si="1"/>
        <v>9</v>
      </c>
      <c r="I12" s="59">
        <f t="shared" si="2"/>
        <v>21</v>
      </c>
      <c r="J12" s="59">
        <f t="shared" si="3"/>
        <v>51</v>
      </c>
      <c r="K12" s="59">
        <f t="shared" si="4"/>
        <v>42</v>
      </c>
      <c r="L12" s="59" t="str">
        <f>IFERROR(VLOOKUP(MID(G12,J12,K12-J12),[7]skilldef!$C:$D,2,FALSE),"-") &amp; " / " &amp; IFERROR(VLOOKUP(MID(G12,H12,I12-H12),[7]skilldef!$A:$B,2,FALSE),"-")</f>
        <v>- / ブロック変換</v>
      </c>
      <c r="M12" s="59" t="str">
        <f t="shared" si="5"/>
        <v>[effect:rush, count:1, val:0.7]</v>
      </c>
      <c r="N12" s="44" t="str">
        <f t="shared" si="6"/>
        <v>[effect:rush, count:1, val:0.7]</v>
      </c>
      <c r="O12" s="59">
        <f t="shared" si="7"/>
        <v>9</v>
      </c>
      <c r="P12" s="59">
        <f t="shared" si="8"/>
        <v>13</v>
      </c>
      <c r="Q12" s="59" t="e">
        <f t="shared" si="9"/>
        <v>#VALUE!</v>
      </c>
      <c r="R12" s="59">
        <f t="shared" si="10"/>
        <v>22</v>
      </c>
      <c r="S12" s="59" t="str">
        <f>IFERROR(VLOOKUP(MID(N12,Q12,R12-Q12),[7]skilldef!$C:$D,2,FALSE),"-") &amp; " / " &amp; IFERROR(VLOOKUP(MID(N12,O12,P12-O12),[7]skilldef!$A:$B,2,FALSE),"-")</f>
        <v>- / 連続攻撃</v>
      </c>
      <c r="T12" s="44" t="str">
        <f t="shared" si="11"/>
        <v>none</v>
      </c>
      <c r="U12" s="59" t="e">
        <f t="shared" si="12"/>
        <v>#VALUE!</v>
      </c>
      <c r="V12" s="59">
        <f t="shared" si="13"/>
        <v>4</v>
      </c>
      <c r="W12" s="59" t="e">
        <f t="shared" si="14"/>
        <v>#VALUE!</v>
      </c>
      <c r="X12" s="59" t="e">
        <f t="shared" si="15"/>
        <v>#VALUE!</v>
      </c>
      <c r="Y12" s="59" t="str">
        <f>IFERROR(VLOOKUP(MID(T12,W12,X12-W12),[7]skilldef!$C:$D,2,FALSE),"-") &amp; " / " &amp; IFERROR(VLOOKUP(MID(T12,U12,V12-U12),[7]skilldef!$A:$B,2,FALSE),"-")</f>
        <v>- / -</v>
      </c>
      <c r="Z12" s="46" t="s">
        <v>371</v>
      </c>
      <c r="AA12" s="48">
        <f t="shared" ca="1" si="16"/>
        <v>42829</v>
      </c>
      <c r="AB12" s="47" t="s">
        <v>291</v>
      </c>
    </row>
    <row r="13" spans="1:28" ht="22" customHeight="1" x14ac:dyDescent="0.15">
      <c r="A13" s="43">
        <v>41009012</v>
      </c>
      <c r="B13" s="43" t="s">
        <v>296</v>
      </c>
      <c r="C13" s="46">
        <v>3</v>
      </c>
      <c r="D13" s="46" t="s">
        <v>274</v>
      </c>
      <c r="E13" s="47" t="s">
        <v>297</v>
      </c>
      <c r="F13" s="47" t="s">
        <v>298</v>
      </c>
      <c r="G13" s="59" t="str">
        <f t="shared" si="0"/>
        <v>[effect:change_block, new_block:time_bomb, target:block_blue, count:6, val:0.2, animation:change_block]</v>
      </c>
      <c r="H13" s="59">
        <f t="shared" si="1"/>
        <v>9</v>
      </c>
      <c r="I13" s="59">
        <f t="shared" si="2"/>
        <v>21</v>
      </c>
      <c r="J13" s="59">
        <f t="shared" si="3"/>
        <v>51</v>
      </c>
      <c r="K13" s="59">
        <f t="shared" si="4"/>
        <v>42</v>
      </c>
      <c r="L13" s="59" t="str">
        <f>IFERROR(VLOOKUP(MID(G13,J13,K13-J13),[7]skilldef!$C:$D,2,FALSE),"-") &amp; " / " &amp; IFERROR(VLOOKUP(MID(G13,H13,I13-H13),[7]skilldef!$A:$B,2,FALSE),"-")</f>
        <v>- / ブロック変換</v>
      </c>
      <c r="M13" s="59" t="str">
        <f t="shared" si="5"/>
        <v>[effect:rush, count:1, val:0.7]</v>
      </c>
      <c r="N13" s="44" t="str">
        <f t="shared" si="6"/>
        <v>[effect:rush, count:1, val:0.7]</v>
      </c>
      <c r="O13" s="59">
        <f t="shared" si="7"/>
        <v>9</v>
      </c>
      <c r="P13" s="59">
        <f t="shared" si="8"/>
        <v>13</v>
      </c>
      <c r="Q13" s="59" t="e">
        <f t="shared" si="9"/>
        <v>#VALUE!</v>
      </c>
      <c r="R13" s="59">
        <f t="shared" si="10"/>
        <v>22</v>
      </c>
      <c r="S13" s="59" t="str">
        <f>IFERROR(VLOOKUP(MID(N13,Q13,R13-Q13),[7]skilldef!$C:$D,2,FALSE),"-") &amp; " / " &amp; IFERROR(VLOOKUP(MID(N13,O13,P13-O13),[7]skilldef!$A:$B,2,FALSE),"-")</f>
        <v>- / 連続攻撃</v>
      </c>
      <c r="T13" s="44" t="str">
        <f t="shared" si="11"/>
        <v>none</v>
      </c>
      <c r="U13" s="59" t="e">
        <f t="shared" si="12"/>
        <v>#VALUE!</v>
      </c>
      <c r="V13" s="59">
        <f t="shared" si="13"/>
        <v>4</v>
      </c>
      <c r="W13" s="59" t="e">
        <f t="shared" si="14"/>
        <v>#VALUE!</v>
      </c>
      <c r="X13" s="59" t="e">
        <f t="shared" si="15"/>
        <v>#VALUE!</v>
      </c>
      <c r="Y13" s="59" t="str">
        <f>IFERROR(VLOOKUP(MID(T13,W13,X13-W13),[7]skilldef!$C:$D,2,FALSE),"-") &amp; " / " &amp; IFERROR(VLOOKUP(MID(T13,U13,V13-U13),[7]skilldef!$A:$B,2,FALSE),"-")</f>
        <v>- / -</v>
      </c>
      <c r="Z13" s="46" t="s">
        <v>371</v>
      </c>
      <c r="AA13" s="48">
        <f t="shared" ca="1" si="16"/>
        <v>42829</v>
      </c>
      <c r="AB13" s="47" t="s">
        <v>291</v>
      </c>
    </row>
    <row r="14" spans="1:28" ht="22" customHeight="1" x14ac:dyDescent="0.15">
      <c r="A14" s="43">
        <v>41009013</v>
      </c>
      <c r="B14" s="43" t="s">
        <v>299</v>
      </c>
      <c r="C14" s="46">
        <v>3</v>
      </c>
      <c r="D14" s="46" t="s">
        <v>274</v>
      </c>
      <c r="E14" s="47" t="s">
        <v>300</v>
      </c>
      <c r="F14" s="47" t="s">
        <v>301</v>
      </c>
      <c r="G14" s="59" t="str">
        <f t="shared" si="0"/>
        <v>[effect:change_block, new_block:time_bomb, target:block_red, count:6, val:0.2, animation:change_block]</v>
      </c>
      <c r="H14" s="59">
        <f t="shared" si="1"/>
        <v>9</v>
      </c>
      <c r="I14" s="59">
        <f t="shared" si="2"/>
        <v>21</v>
      </c>
      <c r="J14" s="59">
        <f t="shared" si="3"/>
        <v>51</v>
      </c>
      <c r="K14" s="59">
        <f t="shared" si="4"/>
        <v>42</v>
      </c>
      <c r="L14" s="59" t="str">
        <f>IFERROR(VLOOKUP(MID(G14,J14,K14-J14),[7]skilldef!$C:$D,2,FALSE),"-") &amp; " / " &amp; IFERROR(VLOOKUP(MID(G14,H14,I14-H14),[7]skilldef!$A:$B,2,FALSE),"-")</f>
        <v>- / ブロック変換</v>
      </c>
      <c r="M14" s="59" t="str">
        <f t="shared" si="5"/>
        <v>[effect:rush, count:1, val:0.7]</v>
      </c>
      <c r="N14" s="44" t="str">
        <f t="shared" si="6"/>
        <v>[effect:rush, count:1, val:0.7]</v>
      </c>
      <c r="O14" s="59">
        <f t="shared" si="7"/>
        <v>9</v>
      </c>
      <c r="P14" s="59">
        <f t="shared" si="8"/>
        <v>13</v>
      </c>
      <c r="Q14" s="59" t="e">
        <f t="shared" si="9"/>
        <v>#VALUE!</v>
      </c>
      <c r="R14" s="59">
        <f t="shared" si="10"/>
        <v>22</v>
      </c>
      <c r="S14" s="59" t="str">
        <f>IFERROR(VLOOKUP(MID(N14,Q14,R14-Q14),[7]skilldef!$C:$D,2,FALSE),"-") &amp; " / " &amp; IFERROR(VLOOKUP(MID(N14,O14,P14-O14),[7]skilldef!$A:$B,2,FALSE),"-")</f>
        <v>- / 連続攻撃</v>
      </c>
      <c r="T14" s="44" t="str">
        <f t="shared" si="11"/>
        <v>none</v>
      </c>
      <c r="U14" s="59" t="e">
        <f t="shared" si="12"/>
        <v>#VALUE!</v>
      </c>
      <c r="V14" s="59">
        <f t="shared" si="13"/>
        <v>4</v>
      </c>
      <c r="W14" s="59" t="e">
        <f t="shared" si="14"/>
        <v>#VALUE!</v>
      </c>
      <c r="X14" s="59" t="e">
        <f t="shared" si="15"/>
        <v>#VALUE!</v>
      </c>
      <c r="Y14" s="59" t="str">
        <f>IFERROR(VLOOKUP(MID(T14,W14,X14-W14),[7]skilldef!$C:$D,2,FALSE),"-") &amp; " / " &amp; IFERROR(VLOOKUP(MID(T14,U14,V14-U14),[7]skilldef!$A:$B,2,FALSE),"-")</f>
        <v>- / -</v>
      </c>
      <c r="Z14" s="46" t="s">
        <v>371</v>
      </c>
      <c r="AA14" s="48">
        <f t="shared" ca="1" si="16"/>
        <v>42829</v>
      </c>
      <c r="AB14" s="47" t="s">
        <v>291</v>
      </c>
    </row>
    <row r="15" spans="1:28" ht="22" customHeight="1" x14ac:dyDescent="0.15">
      <c r="A15" s="43">
        <v>41009014</v>
      </c>
      <c r="B15" s="43" t="s">
        <v>302</v>
      </c>
      <c r="C15" s="46">
        <v>3</v>
      </c>
      <c r="D15" s="46" t="s">
        <v>274</v>
      </c>
      <c r="E15" s="47" t="s">
        <v>303</v>
      </c>
      <c r="F15" s="47" t="s">
        <v>304</v>
      </c>
      <c r="G15" s="59" t="str">
        <f t="shared" si="0"/>
        <v>[effect:change_block, new_block:time_bomb, target:block_green, count:6, val:0.2, animation:change_block]</v>
      </c>
      <c r="H15" s="59">
        <f t="shared" si="1"/>
        <v>9</v>
      </c>
      <c r="I15" s="59">
        <f t="shared" si="2"/>
        <v>21</v>
      </c>
      <c r="J15" s="59">
        <f t="shared" si="3"/>
        <v>51</v>
      </c>
      <c r="K15" s="59">
        <f t="shared" si="4"/>
        <v>42</v>
      </c>
      <c r="L15" s="59" t="str">
        <f>IFERROR(VLOOKUP(MID(G15,J15,K15-J15),[7]skilldef!$C:$D,2,FALSE),"-") &amp; " / " &amp; IFERROR(VLOOKUP(MID(G15,H15,I15-H15),[7]skilldef!$A:$B,2,FALSE),"-")</f>
        <v>- / ブロック変換</v>
      </c>
      <c r="M15" s="59" t="str">
        <f t="shared" si="5"/>
        <v>[effect:rush, count:1, val:0.7]</v>
      </c>
      <c r="N15" s="44" t="str">
        <f t="shared" si="6"/>
        <v>[effect:rush, count:1, val:0.7]</v>
      </c>
      <c r="O15" s="59">
        <f t="shared" si="7"/>
        <v>9</v>
      </c>
      <c r="P15" s="59">
        <f t="shared" si="8"/>
        <v>13</v>
      </c>
      <c r="Q15" s="59" t="e">
        <f t="shared" si="9"/>
        <v>#VALUE!</v>
      </c>
      <c r="R15" s="59">
        <f t="shared" si="10"/>
        <v>22</v>
      </c>
      <c r="S15" s="59" t="str">
        <f>IFERROR(VLOOKUP(MID(N15,Q15,R15-Q15),[7]skilldef!$C:$D,2,FALSE),"-") &amp; " / " &amp; IFERROR(VLOOKUP(MID(N15,O15,P15-O15),[7]skilldef!$A:$B,2,FALSE),"-")</f>
        <v>- / 連続攻撃</v>
      </c>
      <c r="T15" s="44" t="str">
        <f t="shared" si="11"/>
        <v>none</v>
      </c>
      <c r="U15" s="59" t="e">
        <f t="shared" si="12"/>
        <v>#VALUE!</v>
      </c>
      <c r="V15" s="59">
        <f t="shared" si="13"/>
        <v>4</v>
      </c>
      <c r="W15" s="59" t="e">
        <f t="shared" si="14"/>
        <v>#VALUE!</v>
      </c>
      <c r="X15" s="59" t="e">
        <f t="shared" si="15"/>
        <v>#VALUE!</v>
      </c>
      <c r="Y15" s="59" t="str">
        <f>IFERROR(VLOOKUP(MID(T15,W15,X15-W15),[7]skilldef!$C:$D,2,FALSE),"-") &amp; " / " &amp; IFERROR(VLOOKUP(MID(T15,U15,V15-U15),[7]skilldef!$A:$B,2,FALSE),"-")</f>
        <v>- / -</v>
      </c>
      <c r="Z15" s="46" t="s">
        <v>371</v>
      </c>
      <c r="AA15" s="48">
        <f t="shared" ca="1" si="16"/>
        <v>42829</v>
      </c>
      <c r="AB15" s="47" t="s">
        <v>291</v>
      </c>
    </row>
    <row r="16" spans="1:28" ht="22" customHeight="1" x14ac:dyDescent="0.15">
      <c r="A16" s="43">
        <v>41009015</v>
      </c>
      <c r="B16" s="43" t="s">
        <v>305</v>
      </c>
      <c r="C16" s="46">
        <v>3</v>
      </c>
      <c r="D16" s="46" t="s">
        <v>274</v>
      </c>
      <c r="E16" s="47" t="s">
        <v>306</v>
      </c>
      <c r="F16" s="47" t="s">
        <v>379</v>
      </c>
      <c r="G16" s="59" t="str">
        <f t="shared" si="0"/>
        <v xml:space="preserve">[effect:virus, turn:5, rate:1, val:0.1, animation:enemy_virus]    </v>
      </c>
      <c r="H16" s="59">
        <f t="shared" si="1"/>
        <v>9</v>
      </c>
      <c r="I16" s="59">
        <f t="shared" si="2"/>
        <v>14</v>
      </c>
      <c r="J16" s="59" t="e">
        <f t="shared" si="3"/>
        <v>#VALUE!</v>
      </c>
      <c r="K16" s="59">
        <f t="shared" si="4"/>
        <v>22</v>
      </c>
      <c r="L16" s="59" t="str">
        <f>IFERROR(VLOOKUP(MID(G16,J16,K16-J16),[7]skilldef!$C:$D,2,FALSE),"-") &amp; " / " &amp; IFERROR(VLOOKUP(MID(G16,H16,I16-H16),[7]skilldef!$A:$B,2,FALSE),"-")</f>
        <v>- / ウィルス</v>
      </c>
      <c r="M16" s="59" t="str">
        <f t="shared" si="5"/>
        <v>none</v>
      </c>
      <c r="N16" s="44" t="str">
        <f t="shared" si="6"/>
        <v>none</v>
      </c>
      <c r="O16" s="59" t="e">
        <f t="shared" si="7"/>
        <v>#VALUE!</v>
      </c>
      <c r="P16" s="59">
        <f t="shared" si="8"/>
        <v>4</v>
      </c>
      <c r="Q16" s="59" t="e">
        <f t="shared" si="9"/>
        <v>#VALUE!</v>
      </c>
      <c r="R16" s="59" t="e">
        <f t="shared" si="10"/>
        <v>#VALUE!</v>
      </c>
      <c r="S16" s="59" t="str">
        <f>IFERROR(VLOOKUP(MID(N16,Q16,R16-Q16),[7]skilldef!$C:$D,2,FALSE),"-") &amp; " / " &amp; IFERROR(VLOOKUP(MID(N16,O16,P16-O16),[7]skilldef!$A:$B,2,FALSE),"-")</f>
        <v>- / -</v>
      </c>
      <c r="T16" s="44" t="str">
        <f t="shared" si="11"/>
        <v>none</v>
      </c>
      <c r="U16" s="59" t="e">
        <f t="shared" si="12"/>
        <v>#VALUE!</v>
      </c>
      <c r="V16" s="59">
        <f t="shared" si="13"/>
        <v>4</v>
      </c>
      <c r="W16" s="59" t="e">
        <f t="shared" si="14"/>
        <v>#VALUE!</v>
      </c>
      <c r="X16" s="59" t="e">
        <f t="shared" si="15"/>
        <v>#VALUE!</v>
      </c>
      <c r="Y16" s="59" t="str">
        <f>IFERROR(VLOOKUP(MID(T16,W16,X16-W16),[7]skilldef!$C:$D,2,FALSE),"-") &amp; " / " &amp; IFERROR(VLOOKUP(MID(T16,U16,V16-U16),[7]skilldef!$A:$B,2,FALSE),"-")</f>
        <v>- / -</v>
      </c>
      <c r="Z16" s="46" t="s">
        <v>371</v>
      </c>
      <c r="AA16" s="48">
        <f t="shared" ca="1" si="16"/>
        <v>42829</v>
      </c>
      <c r="AB16" s="47" t="s">
        <v>307</v>
      </c>
    </row>
    <row r="17" spans="1:28" ht="22" customHeight="1" x14ac:dyDescent="0.15">
      <c r="A17" s="43">
        <v>41009016</v>
      </c>
      <c r="B17" s="43" t="s">
        <v>308</v>
      </c>
      <c r="C17" s="46">
        <v>3</v>
      </c>
      <c r="D17" s="46" t="s">
        <v>274</v>
      </c>
      <c r="E17" s="47" t="s">
        <v>309</v>
      </c>
      <c r="F17" s="47" t="s">
        <v>375</v>
      </c>
      <c r="G17" s="59" t="str">
        <f t="shared" si="0"/>
        <v xml:space="preserve">[effect:damage_anti_tribe, target:unit_all, tribe:machine, val1:1.2, val2:0.2]    </v>
      </c>
      <c r="H17" s="59">
        <f t="shared" si="1"/>
        <v>9</v>
      </c>
      <c r="I17" s="59">
        <f t="shared" si="2"/>
        <v>26</v>
      </c>
      <c r="J17" s="59">
        <f t="shared" si="3"/>
        <v>35</v>
      </c>
      <c r="K17" s="59">
        <f t="shared" si="4"/>
        <v>43</v>
      </c>
      <c r="L17" s="59" t="str">
        <f>IFERROR(VLOOKUP(MID(G17,J17,K17-J17),[7]skilldef!$C:$D,2,FALSE),"-") &amp; " / " &amp; IFERROR(VLOOKUP(MID(G17,H17,I17-H17),[7]skilldef!$A:$B,2,FALSE),"-")</f>
        <v>味方全体に / 種族キラー</v>
      </c>
      <c r="M17" s="59" t="str">
        <f t="shared" si="5"/>
        <v>none</v>
      </c>
      <c r="N17" s="44" t="str">
        <f t="shared" si="6"/>
        <v>none</v>
      </c>
      <c r="O17" s="59" t="e">
        <f t="shared" si="7"/>
        <v>#VALUE!</v>
      </c>
      <c r="P17" s="59">
        <f t="shared" si="8"/>
        <v>4</v>
      </c>
      <c r="Q17" s="59" t="e">
        <f t="shared" si="9"/>
        <v>#VALUE!</v>
      </c>
      <c r="R17" s="59" t="e">
        <f t="shared" si="10"/>
        <v>#VALUE!</v>
      </c>
      <c r="S17" s="59" t="str">
        <f>IFERROR(VLOOKUP(MID(N17,Q17,R17-Q17),[7]skilldef!$C:$D,2,FALSE),"-") &amp; " / " &amp; IFERROR(VLOOKUP(MID(N17,O17,P17-O17),[7]skilldef!$A:$B,2,FALSE),"-")</f>
        <v>- / -</v>
      </c>
      <c r="T17" s="44" t="str">
        <f t="shared" si="11"/>
        <v>none</v>
      </c>
      <c r="U17" s="59" t="e">
        <f t="shared" si="12"/>
        <v>#VALUE!</v>
      </c>
      <c r="V17" s="59">
        <f t="shared" si="13"/>
        <v>4</v>
      </c>
      <c r="W17" s="59" t="e">
        <f t="shared" si="14"/>
        <v>#VALUE!</v>
      </c>
      <c r="X17" s="59" t="e">
        <f t="shared" si="15"/>
        <v>#VALUE!</v>
      </c>
      <c r="Y17" s="59" t="str">
        <f>IFERROR(VLOOKUP(MID(T17,W17,X17-W17),[7]skilldef!$C:$D,2,FALSE),"-") &amp; " / " &amp; IFERROR(VLOOKUP(MID(T17,U17,V17-U17),[7]skilldef!$A:$B,2,FALSE),"-")</f>
        <v>- / -</v>
      </c>
      <c r="Z17" s="46" t="s">
        <v>371</v>
      </c>
      <c r="AA17" s="48">
        <f t="shared" ca="1" si="16"/>
        <v>42829</v>
      </c>
      <c r="AB17" s="47" t="s">
        <v>307</v>
      </c>
    </row>
    <row r="18" spans="1:28" ht="22" customHeight="1" x14ac:dyDescent="0.15">
      <c r="A18" s="43">
        <v>41009017</v>
      </c>
      <c r="B18" s="110" t="s">
        <v>424</v>
      </c>
      <c r="C18" s="46">
        <v>3</v>
      </c>
      <c r="D18" s="46" t="s">
        <v>274</v>
      </c>
      <c r="E18" s="47" t="s">
        <v>310</v>
      </c>
      <c r="F18" s="47" t="s">
        <v>311</v>
      </c>
      <c r="G18" s="59" t="str">
        <f t="shared" si="0"/>
        <v>[effect:rush, count:1, val:0.5]</v>
      </c>
      <c r="H18" s="59">
        <f t="shared" si="1"/>
        <v>9</v>
      </c>
      <c r="I18" s="59">
        <f t="shared" si="2"/>
        <v>13</v>
      </c>
      <c r="J18" s="59" t="e">
        <f t="shared" si="3"/>
        <v>#VALUE!</v>
      </c>
      <c r="K18" s="59">
        <f t="shared" si="4"/>
        <v>22</v>
      </c>
      <c r="L18" s="59" t="str">
        <f>IFERROR(VLOOKUP(MID(G18,J18,K18-J18),[7]skilldef!$C:$D,2,FALSE),"-") &amp; " / " &amp; IFERROR(VLOOKUP(MID(G18,H18,I18-H18),[7]skilldef!$A:$B,2,FALSE),"-")</f>
        <v>- / 連続攻撃</v>
      </c>
      <c r="M18" s="59" t="str">
        <f t="shared" si="5"/>
        <v>none</v>
      </c>
      <c r="N18" s="44" t="str">
        <f t="shared" si="6"/>
        <v>none</v>
      </c>
      <c r="O18" s="59" t="e">
        <f t="shared" si="7"/>
        <v>#VALUE!</v>
      </c>
      <c r="P18" s="59">
        <f t="shared" si="8"/>
        <v>4</v>
      </c>
      <c r="Q18" s="59" t="e">
        <f t="shared" si="9"/>
        <v>#VALUE!</v>
      </c>
      <c r="R18" s="59" t="e">
        <f t="shared" si="10"/>
        <v>#VALUE!</v>
      </c>
      <c r="S18" s="59" t="str">
        <f>IFERROR(VLOOKUP(MID(N18,Q18,R18-Q18),[7]skilldef!$C:$D,2,FALSE),"-") &amp; " / " &amp; IFERROR(VLOOKUP(MID(N18,O18,P18-O18),[7]skilldef!$A:$B,2,FALSE),"-")</f>
        <v>- / -</v>
      </c>
      <c r="T18" s="44" t="str">
        <f t="shared" si="11"/>
        <v>none</v>
      </c>
      <c r="U18" s="59" t="e">
        <f t="shared" si="12"/>
        <v>#VALUE!</v>
      </c>
      <c r="V18" s="59">
        <f t="shared" si="13"/>
        <v>4</v>
      </c>
      <c r="W18" s="59" t="e">
        <f t="shared" si="14"/>
        <v>#VALUE!</v>
      </c>
      <c r="X18" s="59" t="e">
        <f t="shared" si="15"/>
        <v>#VALUE!</v>
      </c>
      <c r="Y18" s="59" t="str">
        <f>IFERROR(VLOOKUP(MID(T18,W18,X18-W18),[7]skilldef!$C:$D,2,FALSE),"-") &amp; " / " &amp; IFERROR(VLOOKUP(MID(T18,U18,V18-U18),[7]skilldef!$A:$B,2,FALSE),"-")</f>
        <v>- / -</v>
      </c>
      <c r="Z18" s="46" t="s">
        <v>371</v>
      </c>
      <c r="AA18" s="48">
        <f t="shared" ca="1" si="16"/>
        <v>42829</v>
      </c>
      <c r="AB18" s="47" t="s">
        <v>307</v>
      </c>
    </row>
    <row r="19" spans="1:28" ht="22" customHeight="1" x14ac:dyDescent="0.15">
      <c r="A19" s="43">
        <v>41009018</v>
      </c>
      <c r="B19" s="108" t="s">
        <v>312</v>
      </c>
      <c r="C19" s="46">
        <v>3</v>
      </c>
      <c r="D19" s="46" t="s">
        <v>274</v>
      </c>
      <c r="E19" s="47" t="s">
        <v>313</v>
      </c>
      <c r="F19" s="47" t="s">
        <v>314</v>
      </c>
      <c r="G19" s="59" t="str">
        <f t="shared" si="0"/>
        <v>[effect:tolerance, target:myself, turn:-1, tolerance_effect:hungup, count:-1]</v>
      </c>
      <c r="H19" s="59">
        <f t="shared" si="1"/>
        <v>9</v>
      </c>
      <c r="I19" s="59">
        <f t="shared" si="2"/>
        <v>18</v>
      </c>
      <c r="J19" s="59">
        <f t="shared" si="3"/>
        <v>27</v>
      </c>
      <c r="K19" s="59">
        <f t="shared" si="4"/>
        <v>33</v>
      </c>
      <c r="L19" s="59" t="str">
        <f>IFERROR(VLOOKUP(MID(G19,J19,K19-J19),[7]skilldef!$C:$D,2,FALSE),"-") &amp; " / " &amp; IFERROR(VLOOKUP(MID(G19,H19,I19-H19),[7]skilldef!$A:$B,2,FALSE),"-")</f>
        <v>自分自身に / 状態異常耐性</v>
      </c>
      <c r="M19" s="59" t="str">
        <f t="shared" si="5"/>
        <v>[effect:tolerance, target:myself, turn:-1, tolerance_effect:virus, count:-1],[effect:tolerance, target:myself, turn:-1, tolerance_effect:sleep, count:-1, animation:enemy_tolerance]</v>
      </c>
      <c r="N19" s="44" t="str">
        <f t="shared" si="6"/>
        <v>[effect:tolerance, target:myself, turn:-1, tolerance_effect:virus, count:-1],[effect:tolerance, target:myself, turn:-1, tolerance_effect:sleep, count:-1, animation:enemy_tolerance]</v>
      </c>
      <c r="O19" s="59">
        <f t="shared" si="7"/>
        <v>9</v>
      </c>
      <c r="P19" s="59">
        <f t="shared" si="8"/>
        <v>18</v>
      </c>
      <c r="Q19" s="59">
        <f t="shared" si="9"/>
        <v>27</v>
      </c>
      <c r="R19" s="59">
        <f t="shared" si="10"/>
        <v>33</v>
      </c>
      <c r="S19" s="59" t="str">
        <f>IFERROR(VLOOKUP(MID(N19,Q19,R19-Q19),[7]skilldef!$C:$D,2,FALSE),"-") &amp; " / " &amp; IFERROR(VLOOKUP(MID(N19,O19,P19-O19),[7]skilldef!$A:$B,2,FALSE),"-")</f>
        <v>自分自身に / 状態異常耐性</v>
      </c>
      <c r="T19" s="44" t="str">
        <f t="shared" si="11"/>
        <v>[effect:tolerance, target:myself, turn:-1, tolerance_effect:sleep, count:-1, animation:enemy_tolerance]</v>
      </c>
      <c r="U19" s="59">
        <f t="shared" si="12"/>
        <v>9</v>
      </c>
      <c r="V19" s="59">
        <f t="shared" si="13"/>
        <v>18</v>
      </c>
      <c r="W19" s="59">
        <f t="shared" si="14"/>
        <v>27</v>
      </c>
      <c r="X19" s="59">
        <f t="shared" si="15"/>
        <v>33</v>
      </c>
      <c r="Y19" s="59" t="str">
        <f>IFERROR(VLOOKUP(MID(T19,W19,X19-W19),[7]skilldef!$C:$D,2,FALSE),"-") &amp; " / " &amp; IFERROR(VLOOKUP(MID(T19,U19,V19-U19),[7]skilldef!$A:$B,2,FALSE),"-")</f>
        <v>自分自身に / 状態異常耐性</v>
      </c>
      <c r="Z19" s="46" t="s">
        <v>371</v>
      </c>
      <c r="AA19" s="48">
        <f t="shared" ca="1" si="16"/>
        <v>42829</v>
      </c>
      <c r="AB19" s="47" t="s">
        <v>315</v>
      </c>
    </row>
    <row r="20" spans="1:28" ht="22" customHeight="1" x14ac:dyDescent="0.15">
      <c r="A20" s="43">
        <v>41009019</v>
      </c>
      <c r="B20" s="43" t="s">
        <v>420</v>
      </c>
      <c r="C20" s="46">
        <v>3</v>
      </c>
      <c r="D20" s="46" t="s">
        <v>274</v>
      </c>
      <c r="E20" s="47" t="s">
        <v>316</v>
      </c>
      <c r="F20" s="47" t="s">
        <v>287</v>
      </c>
      <c r="G20" s="59" t="str">
        <f t="shared" si="0"/>
        <v>[effect:critical, val:1.5]</v>
      </c>
      <c r="H20" s="59">
        <f t="shared" si="1"/>
        <v>9</v>
      </c>
      <c r="I20" s="59">
        <f t="shared" si="2"/>
        <v>17</v>
      </c>
      <c r="J20" s="59" t="e">
        <f t="shared" si="3"/>
        <v>#VALUE!</v>
      </c>
      <c r="K20" s="59" t="e">
        <f t="shared" si="4"/>
        <v>#VALUE!</v>
      </c>
      <c r="L20" s="59" t="str">
        <f>IFERROR(VLOOKUP(MID(G20,J20,K20-J20),[7]skilldef!$C:$D,2,FALSE),"-") &amp; " / " &amp; IFERROR(VLOOKUP(MID(G20,H20,I20-H20),[7]skilldef!$A:$B,2,FALSE),"-")</f>
        <v>- / 大攻撃</v>
      </c>
      <c r="M20" s="59" t="str">
        <f t="shared" si="5"/>
        <v>none</v>
      </c>
      <c r="N20" s="44" t="str">
        <f t="shared" si="6"/>
        <v>none</v>
      </c>
      <c r="O20" s="59" t="e">
        <f t="shared" si="7"/>
        <v>#VALUE!</v>
      </c>
      <c r="P20" s="59">
        <f t="shared" si="8"/>
        <v>4</v>
      </c>
      <c r="Q20" s="59" t="e">
        <f t="shared" si="9"/>
        <v>#VALUE!</v>
      </c>
      <c r="R20" s="59" t="e">
        <f t="shared" si="10"/>
        <v>#VALUE!</v>
      </c>
      <c r="S20" s="59" t="str">
        <f>IFERROR(VLOOKUP(MID(N20,Q20,R20-Q20),[7]skilldef!$C:$D,2,FALSE),"-") &amp; " / " &amp; IFERROR(VLOOKUP(MID(N20,O20,P20-O20),[7]skilldef!$A:$B,2,FALSE),"-")</f>
        <v>- / -</v>
      </c>
      <c r="T20" s="44" t="str">
        <f t="shared" si="11"/>
        <v>none</v>
      </c>
      <c r="U20" s="59" t="e">
        <f t="shared" si="12"/>
        <v>#VALUE!</v>
      </c>
      <c r="V20" s="59">
        <f t="shared" si="13"/>
        <v>4</v>
      </c>
      <c r="W20" s="59" t="e">
        <f t="shared" si="14"/>
        <v>#VALUE!</v>
      </c>
      <c r="X20" s="59" t="e">
        <f t="shared" si="15"/>
        <v>#VALUE!</v>
      </c>
      <c r="Y20" s="59" t="str">
        <f>IFERROR(VLOOKUP(MID(T20,W20,X20-W20),[7]skilldef!$C:$D,2,FALSE),"-") &amp; " / " &amp; IFERROR(VLOOKUP(MID(T20,U20,V20-U20),[7]skilldef!$A:$B,2,FALSE),"-")</f>
        <v>- / -</v>
      </c>
      <c r="Z20" s="46" t="s">
        <v>371</v>
      </c>
      <c r="AA20" s="48">
        <f t="shared" ca="1" si="16"/>
        <v>42829</v>
      </c>
      <c r="AB20" s="47" t="s">
        <v>315</v>
      </c>
    </row>
    <row r="21" spans="1:28" ht="22" customHeight="1" x14ac:dyDescent="0.15">
      <c r="A21" s="43">
        <v>41009020</v>
      </c>
      <c r="B21" s="43" t="s">
        <v>317</v>
      </c>
      <c r="C21" s="46">
        <v>3</v>
      </c>
      <c r="D21" s="46" t="s">
        <v>274</v>
      </c>
      <c r="E21" s="47" t="s">
        <v>318</v>
      </c>
      <c r="F21" s="113" t="s">
        <v>399</v>
      </c>
      <c r="G21" s="59" t="str">
        <f t="shared" si="0"/>
        <v>[effect:rush, count:1, val:0.8]</v>
      </c>
      <c r="H21" s="59">
        <f t="shared" si="1"/>
        <v>9</v>
      </c>
      <c r="I21" s="59">
        <f t="shared" si="2"/>
        <v>13</v>
      </c>
      <c r="J21" s="59" t="e">
        <f t="shared" si="3"/>
        <v>#VALUE!</v>
      </c>
      <c r="K21" s="59">
        <f t="shared" si="4"/>
        <v>22</v>
      </c>
      <c r="L21" s="59" t="str">
        <f>IFERROR(VLOOKUP(MID(G21,J21,K21-J21),[7]skilldef!$C:$D,2,FALSE),"-") &amp; " / " &amp; IFERROR(VLOOKUP(MID(G21,H21,I21-H21),[7]skilldef!$A:$B,2,FALSE),"-")</f>
        <v>- / 連続攻撃</v>
      </c>
      <c r="M21" s="59" t="str">
        <f t="shared" si="5"/>
        <v>none</v>
      </c>
      <c r="N21" s="44" t="str">
        <f>IFERROR(LEFT(M21,FIND("],",M21)+#REF!),M21)</f>
        <v>none</v>
      </c>
      <c r="O21" s="59" t="e">
        <f t="shared" si="7"/>
        <v>#VALUE!</v>
      </c>
      <c r="P21" s="59">
        <f t="shared" si="8"/>
        <v>4</v>
      </c>
      <c r="Q21" s="59" t="e">
        <f t="shared" si="9"/>
        <v>#VALUE!</v>
      </c>
      <c r="R21" s="59" t="e">
        <f t="shared" si="10"/>
        <v>#VALUE!</v>
      </c>
      <c r="S21" s="59" t="str">
        <f>IFERROR(VLOOKUP(MID(N21,Q21,R21-Q21),[7]skilldef!$C:$D,2,FALSE),"-") &amp; " / " &amp; IFERROR(VLOOKUP(MID(N21,O21,P21-O21),[7]skilldef!$A:$B,2,FALSE),"-")</f>
        <v>- / -</v>
      </c>
      <c r="T21" s="44" t="str">
        <f t="shared" si="11"/>
        <v>none</v>
      </c>
      <c r="U21" s="59" t="e">
        <f t="shared" si="12"/>
        <v>#VALUE!</v>
      </c>
      <c r="V21" s="59">
        <f t="shared" si="13"/>
        <v>4</v>
      </c>
      <c r="W21" s="59" t="e">
        <f t="shared" si="14"/>
        <v>#VALUE!</v>
      </c>
      <c r="X21" s="59" t="e">
        <f t="shared" si="15"/>
        <v>#VALUE!</v>
      </c>
      <c r="Y21" s="59" t="str">
        <f>IFERROR(VLOOKUP(MID(T21,W21,X21-W21),[7]skilldef!$C:$D,2,FALSE),"-") &amp; " / " &amp; IFERROR(VLOOKUP(MID(T21,U21,V21-U21),[7]skilldef!$A:$B,2,FALSE),"-")</f>
        <v>- / -</v>
      </c>
      <c r="Z21" s="46" t="s">
        <v>371</v>
      </c>
      <c r="AA21" s="48">
        <f t="shared" ca="1" si="16"/>
        <v>42829</v>
      </c>
      <c r="AB21" s="47" t="s">
        <v>315</v>
      </c>
    </row>
    <row r="22" spans="1:28" ht="22" customHeight="1" x14ac:dyDescent="0.15">
      <c r="A22" s="43">
        <v>41009021</v>
      </c>
      <c r="B22" s="43" t="s">
        <v>319</v>
      </c>
      <c r="C22" s="46">
        <v>3</v>
      </c>
      <c r="D22" s="46" t="s">
        <v>274</v>
      </c>
      <c r="E22" s="47" t="s">
        <v>320</v>
      </c>
      <c r="F22" s="47" t="s">
        <v>380</v>
      </c>
      <c r="G22" s="59" t="str">
        <f t="shared" si="0"/>
        <v>[effect:rush, count:1, val:0.7]</v>
      </c>
      <c r="H22" s="59">
        <f t="shared" si="1"/>
        <v>9</v>
      </c>
      <c r="I22" s="59">
        <f t="shared" si="2"/>
        <v>13</v>
      </c>
      <c r="J22" s="59" t="e">
        <f t="shared" si="3"/>
        <v>#VALUE!</v>
      </c>
      <c r="K22" s="59">
        <f t="shared" si="4"/>
        <v>22</v>
      </c>
      <c r="L22" s="59" t="str">
        <f>IFERROR(VLOOKUP(MID(G22,J22,K22-J22),[7]skilldef!$C:$D,2,FALSE),"-") &amp; " / " &amp; IFERROR(VLOOKUP(MID(G22,H22,I22-H22),[7]skilldef!$A:$B,2,FALSE),"-")</f>
        <v>- / 連続攻撃</v>
      </c>
      <c r="M22" s="59" t="str">
        <f t="shared" si="5"/>
        <v>[effect:freq_turn, target:enemy_all, turn:-1, val:1, animation:enemy_freq_turn],[effect:enhance_enemy, target:enemy_all, turn:-1, status:attack, val:1.5, calc:mul, animation:enemy_enhance_attack]</v>
      </c>
      <c r="N22" s="44" t="str">
        <f t="shared" ref="N22:N23" si="17">IFERROR(LEFT(M22,FIND("],",M22)+S31),M22)</f>
        <v>[effect:freq_turn, target:enemy_all, turn:-1, val:1, animation:enemy_freq_turn],[effect:enhance_enemy, target:enemy_all, turn:-1, status:attack, val:1.5, calc:mul, animation:enemy_enhance_attack]</v>
      </c>
      <c r="O22" s="59">
        <f t="shared" si="7"/>
        <v>9</v>
      </c>
      <c r="P22" s="59">
        <f t="shared" si="8"/>
        <v>18</v>
      </c>
      <c r="Q22" s="59">
        <f t="shared" si="9"/>
        <v>27</v>
      </c>
      <c r="R22" s="59">
        <f t="shared" si="10"/>
        <v>36</v>
      </c>
      <c r="S22" s="59" t="str">
        <f>IFERROR(VLOOKUP(MID(N22,Q22,R22-Q22),[7]skilldef!$C:$D,2,FALSE),"-") &amp; " / " &amp; IFERROR(VLOOKUP(MID(N22,O22,P22-O22),[7]skilldef!$A:$B,2,FALSE),"-")</f>
        <v>敵全体に / 攻撃頻度がUP</v>
      </c>
      <c r="T22" s="44" t="str">
        <f t="shared" si="11"/>
        <v>[effect:enhance_enemy, target:enemy_all, turn:-1, status:attack, val:1.5, calc:mul, animation:enemy_enhance_attack]</v>
      </c>
      <c r="U22" s="59">
        <f t="shared" si="12"/>
        <v>9</v>
      </c>
      <c r="V22" s="59">
        <f t="shared" si="13"/>
        <v>22</v>
      </c>
      <c r="W22" s="59">
        <f t="shared" si="14"/>
        <v>31</v>
      </c>
      <c r="X22" s="59">
        <f t="shared" si="15"/>
        <v>40</v>
      </c>
      <c r="Y22" s="59" t="str">
        <f>IFERROR(VLOOKUP(MID(T22,W22,X22-W22),[7]skilldef!$C:$D,2,FALSE),"-") &amp; " / " &amp; IFERROR(VLOOKUP(MID(T22,U22,V22-U22),[7]skilldef!$A:$B,2,FALSE),"-")</f>
        <v>敵全体に / ステータス強化</v>
      </c>
      <c r="Z22" s="46" t="s">
        <v>371</v>
      </c>
      <c r="AA22" s="48">
        <f t="shared" ca="1" si="16"/>
        <v>42829</v>
      </c>
      <c r="AB22" s="47" t="s">
        <v>315</v>
      </c>
    </row>
    <row r="23" spans="1:28" ht="22" customHeight="1" x14ac:dyDescent="0.15">
      <c r="A23" s="43">
        <v>41009022</v>
      </c>
      <c r="B23" s="110" t="s">
        <v>423</v>
      </c>
      <c r="C23" s="46">
        <v>3</v>
      </c>
      <c r="D23" s="46" t="s">
        <v>127</v>
      </c>
      <c r="E23" s="47" t="s">
        <v>321</v>
      </c>
      <c r="F23" s="47" t="s">
        <v>311</v>
      </c>
      <c r="G23" s="59" t="str">
        <f t="shared" si="0"/>
        <v>[effect:rush, count:1, val:0.2]</v>
      </c>
      <c r="H23" s="59">
        <f t="shared" si="1"/>
        <v>9</v>
      </c>
      <c r="I23" s="59">
        <f t="shared" si="2"/>
        <v>13</v>
      </c>
      <c r="J23" s="59" t="e">
        <f t="shared" si="3"/>
        <v>#VALUE!</v>
      </c>
      <c r="K23" s="59">
        <f t="shared" si="4"/>
        <v>22</v>
      </c>
      <c r="L23" s="59" t="str">
        <f>IFERROR(VLOOKUP(MID(G23,J23,K23-J23),[7]skilldef!$C:$D,2,FALSE),"-") &amp; " / " &amp; IFERROR(VLOOKUP(MID(G23,H23,I23-H23),[7]skilldef!$A:$B,2,FALSE),"-")</f>
        <v>- / 連続攻撃</v>
      </c>
      <c r="M23" s="59" t="str">
        <f t="shared" si="5"/>
        <v>none</v>
      </c>
      <c r="N23" s="44" t="str">
        <f t="shared" si="17"/>
        <v>none</v>
      </c>
      <c r="O23" s="59" t="e">
        <f t="shared" si="7"/>
        <v>#VALUE!</v>
      </c>
      <c r="P23" s="59">
        <f t="shared" si="8"/>
        <v>4</v>
      </c>
      <c r="Q23" s="59" t="e">
        <f t="shared" si="9"/>
        <v>#VALUE!</v>
      </c>
      <c r="R23" s="59" t="e">
        <f t="shared" si="10"/>
        <v>#VALUE!</v>
      </c>
      <c r="S23" s="59" t="str">
        <f>IFERROR(VLOOKUP(MID(N23,Q23,R23-Q23),[7]skilldef!$C:$D,2,FALSE),"-") &amp; " / " &amp; IFERROR(VLOOKUP(MID(N23,O23,P23-O23),[7]skilldef!$A:$B,2,FALSE),"-")</f>
        <v>- / -</v>
      </c>
      <c r="T23" s="44" t="str">
        <f t="shared" si="11"/>
        <v>none</v>
      </c>
      <c r="U23" s="59" t="e">
        <f t="shared" si="12"/>
        <v>#VALUE!</v>
      </c>
      <c r="V23" s="59">
        <f t="shared" si="13"/>
        <v>4</v>
      </c>
      <c r="W23" s="59" t="e">
        <f t="shared" si="14"/>
        <v>#VALUE!</v>
      </c>
      <c r="X23" s="59" t="e">
        <f t="shared" si="15"/>
        <v>#VALUE!</v>
      </c>
      <c r="Y23" s="59" t="str">
        <f>IFERROR(VLOOKUP(MID(T23,W23,X23-W23),[7]skilldef!$C:$D,2,FALSE),"-") &amp; " / " &amp; IFERROR(VLOOKUP(MID(T23,U23,V23-U23),[7]skilldef!$A:$B,2,FALSE),"-")</f>
        <v>- / -</v>
      </c>
      <c r="Z23" s="46" t="s">
        <v>371</v>
      </c>
      <c r="AA23" s="48">
        <f t="shared" ca="1" si="16"/>
        <v>42829</v>
      </c>
      <c r="AB23" s="47" t="s">
        <v>315</v>
      </c>
    </row>
    <row r="24" spans="1:28" ht="22" customHeight="1" x14ac:dyDescent="0.15">
      <c r="A24" s="43">
        <v>41009023</v>
      </c>
      <c r="B24" s="43" t="s">
        <v>322</v>
      </c>
      <c r="C24" s="46">
        <v>3</v>
      </c>
      <c r="D24" s="46" t="s">
        <v>274</v>
      </c>
      <c r="E24" s="47" t="s">
        <v>323</v>
      </c>
      <c r="F24" s="47" t="s">
        <v>381</v>
      </c>
      <c r="G24" s="59" t="str">
        <f t="shared" si="0"/>
        <v xml:space="preserve">[effect:enhance_enemy, target:myself, turn:3, status:defense, val:3000, calc:add, animation:enemy_enhance_defense]    </v>
      </c>
      <c r="H24" s="59">
        <f t="shared" si="1"/>
        <v>9</v>
      </c>
      <c r="I24" s="59">
        <f t="shared" si="2"/>
        <v>22</v>
      </c>
      <c r="J24" s="59">
        <f t="shared" si="3"/>
        <v>31</v>
      </c>
      <c r="K24" s="59">
        <f t="shared" si="4"/>
        <v>37</v>
      </c>
      <c r="L24" s="59" t="str">
        <f>IFERROR(VLOOKUP(MID(G24,J24,K24-J24),[7]skilldef!$C:$D,2,FALSE),"-") &amp; " / " &amp; IFERROR(VLOOKUP(MID(G24,H24,I24-H24),[7]skilldef!$A:$B,2,FALSE),"-")</f>
        <v>自分自身に / ステータス強化</v>
      </c>
      <c r="M24" s="59" t="str">
        <f t="shared" si="5"/>
        <v>none</v>
      </c>
      <c r="N24" s="44" t="str">
        <f>IFERROR(LEFT(M24,FIND("],",M24)+#REF!),M24)</f>
        <v>none</v>
      </c>
      <c r="O24" s="59" t="e">
        <f t="shared" si="7"/>
        <v>#VALUE!</v>
      </c>
      <c r="P24" s="59">
        <f t="shared" si="8"/>
        <v>4</v>
      </c>
      <c r="Q24" s="59" t="e">
        <f t="shared" si="9"/>
        <v>#VALUE!</v>
      </c>
      <c r="R24" s="59" t="e">
        <f t="shared" si="10"/>
        <v>#VALUE!</v>
      </c>
      <c r="S24" s="59" t="str">
        <f>IFERROR(VLOOKUP(MID(N24,Q24,R24-Q24),[7]skilldef!$C:$D,2,FALSE),"-") &amp; " / " &amp; IFERROR(VLOOKUP(MID(N24,O24,P24-O24),[7]skilldef!$A:$B,2,FALSE),"-")</f>
        <v>- / -</v>
      </c>
      <c r="T24" s="44" t="str">
        <f t="shared" si="11"/>
        <v>none</v>
      </c>
      <c r="U24" s="59" t="e">
        <f t="shared" si="12"/>
        <v>#VALUE!</v>
      </c>
      <c r="V24" s="59">
        <f t="shared" si="13"/>
        <v>4</v>
      </c>
      <c r="W24" s="59" t="e">
        <f t="shared" si="14"/>
        <v>#VALUE!</v>
      </c>
      <c r="X24" s="59" t="e">
        <f t="shared" si="15"/>
        <v>#VALUE!</v>
      </c>
      <c r="Y24" s="59" t="str">
        <f>IFERROR(VLOOKUP(MID(T24,W24,X24-W24),[7]skilldef!$C:$D,2,FALSE),"-") &amp; " / " &amp; IFERROR(VLOOKUP(MID(T24,U24,V24-U24),[7]skilldef!$A:$B,2,FALSE),"-")</f>
        <v>- / -</v>
      </c>
      <c r="Z24" s="46" t="s">
        <v>371</v>
      </c>
      <c r="AA24" s="48">
        <f t="shared" ca="1" si="16"/>
        <v>42829</v>
      </c>
      <c r="AB24" s="47" t="s">
        <v>324</v>
      </c>
    </row>
    <row r="25" spans="1:28" ht="22" customHeight="1" x14ac:dyDescent="0.15">
      <c r="A25" s="43">
        <v>41009024</v>
      </c>
      <c r="B25" s="43" t="s">
        <v>325</v>
      </c>
      <c r="C25" s="46">
        <v>3</v>
      </c>
      <c r="D25" s="46" t="s">
        <v>274</v>
      </c>
      <c r="E25" s="47" t="s">
        <v>326</v>
      </c>
      <c r="F25" s="47" t="s">
        <v>389</v>
      </c>
      <c r="G25" s="59" t="str">
        <f t="shared" si="0"/>
        <v>[effect:dis_panel, target:block_blue, turn:3, animation:enemy_dis_blue]</v>
      </c>
      <c r="H25" s="59">
        <f t="shared" si="1"/>
        <v>9</v>
      </c>
      <c r="I25" s="59">
        <f t="shared" si="2"/>
        <v>18</v>
      </c>
      <c r="J25" s="59">
        <f t="shared" si="3"/>
        <v>27</v>
      </c>
      <c r="K25" s="59">
        <f t="shared" si="4"/>
        <v>37</v>
      </c>
      <c r="L25" s="59" t="str">
        <f>IFERROR(VLOOKUP(MID(G25,J25,K25-J25),[7]skilldef!$C:$D,2,FALSE),"-") &amp; " / " &amp; IFERROR(VLOOKUP(MID(G25,H25,I25-H25),[7]skilldef!$A:$B,2,FALSE),"-")</f>
        <v>青パネルを / ディスパネル</v>
      </c>
      <c r="M25" s="59" t="str">
        <f t="shared" si="5"/>
        <v>[effect:rush, count:1, val:1]</v>
      </c>
      <c r="N25" s="44" t="str">
        <f t="shared" ref="N25:N30" si="18">IFERROR(LEFT(M25,FIND("],",M25)+S33),M25)</f>
        <v>[effect:rush, count:1, val:1]</v>
      </c>
      <c r="O25" s="59">
        <f t="shared" si="7"/>
        <v>9</v>
      </c>
      <c r="P25" s="59">
        <f t="shared" si="8"/>
        <v>13</v>
      </c>
      <c r="Q25" s="59" t="e">
        <f t="shared" si="9"/>
        <v>#VALUE!</v>
      </c>
      <c r="R25" s="59">
        <f t="shared" si="10"/>
        <v>22</v>
      </c>
      <c r="S25" s="59" t="str">
        <f>IFERROR(VLOOKUP(MID(N25,Q25,R25-Q25),[7]skilldef!$C:$D,2,FALSE),"-") &amp; " / " &amp; IFERROR(VLOOKUP(MID(N25,O25,P25-O25),[7]skilldef!$A:$B,2,FALSE),"-")</f>
        <v>- / 連続攻撃</v>
      </c>
      <c r="T25" s="44" t="str">
        <f t="shared" si="11"/>
        <v>none</v>
      </c>
      <c r="U25" s="59" t="e">
        <f t="shared" si="12"/>
        <v>#VALUE!</v>
      </c>
      <c r="V25" s="59">
        <f t="shared" si="13"/>
        <v>4</v>
      </c>
      <c r="W25" s="59" t="e">
        <f t="shared" si="14"/>
        <v>#VALUE!</v>
      </c>
      <c r="X25" s="59" t="e">
        <f t="shared" si="15"/>
        <v>#VALUE!</v>
      </c>
      <c r="Y25" s="59" t="str">
        <f>IFERROR(VLOOKUP(MID(T25,W25,X25-W25),[7]skilldef!$C:$D,2,FALSE),"-") &amp; " / " &amp; IFERROR(VLOOKUP(MID(T25,U25,V25-U25),[7]skilldef!$A:$B,2,FALSE),"-")</f>
        <v>- / -</v>
      </c>
      <c r="Z25" s="46" t="s">
        <v>371</v>
      </c>
      <c r="AA25" s="48">
        <f t="shared" ca="1" si="16"/>
        <v>42829</v>
      </c>
      <c r="AB25" s="47" t="s">
        <v>324</v>
      </c>
    </row>
    <row r="26" spans="1:28" ht="22" customHeight="1" x14ac:dyDescent="0.15">
      <c r="A26" s="43">
        <v>41009025</v>
      </c>
      <c r="B26" s="43" t="s">
        <v>327</v>
      </c>
      <c r="C26" s="46">
        <v>3</v>
      </c>
      <c r="D26" s="46" t="s">
        <v>274</v>
      </c>
      <c r="E26" s="47" t="s">
        <v>328</v>
      </c>
      <c r="F26" s="47" t="s">
        <v>390</v>
      </c>
      <c r="G26" s="59" t="str">
        <f t="shared" si="0"/>
        <v>[effect:dis_panel, target:block_red, turn:3, animation:enemy_dis_red]</v>
      </c>
      <c r="H26" s="59">
        <f t="shared" si="1"/>
        <v>9</v>
      </c>
      <c r="I26" s="59">
        <f t="shared" si="2"/>
        <v>18</v>
      </c>
      <c r="J26" s="59">
        <f t="shared" si="3"/>
        <v>27</v>
      </c>
      <c r="K26" s="59">
        <f t="shared" si="4"/>
        <v>36</v>
      </c>
      <c r="L26" s="59" t="str">
        <f>IFERROR(VLOOKUP(MID(G26,J26,K26-J26),[7]skilldef!$C:$D,2,FALSE),"-") &amp; " / " &amp; IFERROR(VLOOKUP(MID(G26,H26,I26-H26),[7]skilldef!$A:$B,2,FALSE),"-")</f>
        <v>赤パネルを / ディスパネル</v>
      </c>
      <c r="M26" s="59" t="str">
        <f t="shared" si="5"/>
        <v>[effect:rush, count:1, val:1]</v>
      </c>
      <c r="N26" s="44" t="str">
        <f t="shared" si="18"/>
        <v>[effect:rush, count:1, val:1]</v>
      </c>
      <c r="O26" s="59">
        <f t="shared" si="7"/>
        <v>9</v>
      </c>
      <c r="P26" s="59">
        <f t="shared" si="8"/>
        <v>13</v>
      </c>
      <c r="Q26" s="59" t="e">
        <f t="shared" si="9"/>
        <v>#VALUE!</v>
      </c>
      <c r="R26" s="59">
        <f t="shared" si="10"/>
        <v>22</v>
      </c>
      <c r="S26" s="59" t="str">
        <f>IFERROR(VLOOKUP(MID(N26,Q26,R26-Q26),[7]skilldef!$C:$D,2,FALSE),"-") &amp; " / " &amp; IFERROR(VLOOKUP(MID(N26,O26,P26-O26),[7]skilldef!$A:$B,2,FALSE),"-")</f>
        <v>- / 連続攻撃</v>
      </c>
      <c r="T26" s="44" t="str">
        <f t="shared" si="11"/>
        <v>none</v>
      </c>
      <c r="U26" s="59" t="e">
        <f t="shared" si="12"/>
        <v>#VALUE!</v>
      </c>
      <c r="V26" s="59">
        <f t="shared" si="13"/>
        <v>4</v>
      </c>
      <c r="W26" s="59" t="e">
        <f t="shared" si="14"/>
        <v>#VALUE!</v>
      </c>
      <c r="X26" s="59" t="e">
        <f t="shared" si="15"/>
        <v>#VALUE!</v>
      </c>
      <c r="Y26" s="59" t="str">
        <f>IFERROR(VLOOKUP(MID(T26,W26,X26-W26),[7]skilldef!$C:$D,2,FALSE),"-") &amp; " / " &amp; IFERROR(VLOOKUP(MID(T26,U26,V26-U26),[7]skilldef!$A:$B,2,FALSE),"-")</f>
        <v>- / -</v>
      </c>
      <c r="Z26" s="46" t="s">
        <v>371</v>
      </c>
      <c r="AA26" s="48">
        <f t="shared" ca="1" si="16"/>
        <v>42829</v>
      </c>
      <c r="AB26" s="47" t="s">
        <v>324</v>
      </c>
    </row>
    <row r="27" spans="1:28" ht="22" customHeight="1" x14ac:dyDescent="0.15">
      <c r="A27" s="43">
        <v>41009026</v>
      </c>
      <c r="B27" s="43" t="s">
        <v>329</v>
      </c>
      <c r="C27" s="46">
        <v>3</v>
      </c>
      <c r="D27" s="46" t="s">
        <v>274</v>
      </c>
      <c r="E27" s="47" t="s">
        <v>330</v>
      </c>
      <c r="F27" s="47" t="s">
        <v>391</v>
      </c>
      <c r="G27" s="59" t="str">
        <f t="shared" si="0"/>
        <v>[effect:dis_panel, target:block_green, turn:3, animation:enemy_dis_green]</v>
      </c>
      <c r="H27" s="59">
        <f t="shared" si="1"/>
        <v>9</v>
      </c>
      <c r="I27" s="59">
        <f t="shared" si="2"/>
        <v>18</v>
      </c>
      <c r="J27" s="59">
        <f t="shared" si="3"/>
        <v>27</v>
      </c>
      <c r="K27" s="59">
        <f t="shared" si="4"/>
        <v>38</v>
      </c>
      <c r="L27" s="59" t="str">
        <f>IFERROR(VLOOKUP(MID(G27,J27,K27-J27),[7]skilldef!$C:$D,2,FALSE),"-") &amp; " / " &amp; IFERROR(VLOOKUP(MID(G27,H27,I27-H27),[7]skilldef!$A:$B,2,FALSE),"-")</f>
        <v>緑パネルを / ディスパネル</v>
      </c>
      <c r="M27" s="59" t="str">
        <f t="shared" si="5"/>
        <v>[effect:rush, count:1, val:1]</v>
      </c>
      <c r="N27" s="44" t="str">
        <f t="shared" si="18"/>
        <v>[effect:rush, count:1, val:1]</v>
      </c>
      <c r="O27" s="59">
        <f t="shared" si="7"/>
        <v>9</v>
      </c>
      <c r="P27" s="59">
        <f t="shared" si="8"/>
        <v>13</v>
      </c>
      <c r="Q27" s="59" t="e">
        <f t="shared" si="9"/>
        <v>#VALUE!</v>
      </c>
      <c r="R27" s="59">
        <f t="shared" si="10"/>
        <v>22</v>
      </c>
      <c r="S27" s="59" t="str">
        <f>IFERROR(VLOOKUP(MID(N27,Q27,R27-Q27),[7]skilldef!$C:$D,2,FALSE),"-") &amp; " / " &amp; IFERROR(VLOOKUP(MID(N27,O27,P27-O27),[7]skilldef!$A:$B,2,FALSE),"-")</f>
        <v>- / 連続攻撃</v>
      </c>
      <c r="T27" s="44" t="str">
        <f t="shared" si="11"/>
        <v>none</v>
      </c>
      <c r="U27" s="59" t="e">
        <f t="shared" si="12"/>
        <v>#VALUE!</v>
      </c>
      <c r="V27" s="59">
        <f t="shared" si="13"/>
        <v>4</v>
      </c>
      <c r="W27" s="59" t="e">
        <f t="shared" si="14"/>
        <v>#VALUE!</v>
      </c>
      <c r="X27" s="59" t="e">
        <f t="shared" si="15"/>
        <v>#VALUE!</v>
      </c>
      <c r="Y27" s="59" t="str">
        <f>IFERROR(VLOOKUP(MID(T27,W27,X27-W27),[7]skilldef!$C:$D,2,FALSE),"-") &amp; " / " &amp; IFERROR(VLOOKUP(MID(T27,U27,V27-U27),[7]skilldef!$A:$B,2,FALSE),"-")</f>
        <v>- / -</v>
      </c>
      <c r="Z27" s="46" t="s">
        <v>371</v>
      </c>
      <c r="AA27" s="48">
        <f t="shared" ca="1" si="16"/>
        <v>42829</v>
      </c>
      <c r="AB27" s="47" t="s">
        <v>324</v>
      </c>
    </row>
    <row r="28" spans="1:28" ht="22" customHeight="1" x14ac:dyDescent="0.15">
      <c r="A28" s="43">
        <v>41009027</v>
      </c>
      <c r="B28" s="43" t="s">
        <v>331</v>
      </c>
      <c r="C28" s="46">
        <v>3</v>
      </c>
      <c r="D28" s="46" t="s">
        <v>274</v>
      </c>
      <c r="E28" s="47" t="s">
        <v>332</v>
      </c>
      <c r="F28" s="47" t="s">
        <v>382</v>
      </c>
      <c r="G28" s="59" t="str">
        <f t="shared" si="0"/>
        <v>[effect:rush, count:4, val:0.4]</v>
      </c>
      <c r="H28" s="59">
        <f t="shared" si="1"/>
        <v>9</v>
      </c>
      <c r="I28" s="59">
        <f t="shared" si="2"/>
        <v>13</v>
      </c>
      <c r="J28" s="59" t="e">
        <f t="shared" si="3"/>
        <v>#VALUE!</v>
      </c>
      <c r="K28" s="59">
        <f t="shared" si="4"/>
        <v>22</v>
      </c>
      <c r="L28" s="59" t="str">
        <f>IFERROR(VLOOKUP(MID(G28,J28,K28-J28),[7]skilldef!$C:$D,2,FALSE),"-") &amp; " / " &amp; IFERROR(VLOOKUP(MID(G28,H28,I28-H28),[7]skilldef!$A:$B,2,FALSE),"-")</f>
        <v>- / 連続攻撃</v>
      </c>
      <c r="M28" s="59" t="str">
        <f t="shared" si="5"/>
        <v>none</v>
      </c>
      <c r="N28" s="44" t="str">
        <f t="shared" si="18"/>
        <v>none</v>
      </c>
      <c r="O28" s="59" t="e">
        <f t="shared" si="7"/>
        <v>#VALUE!</v>
      </c>
      <c r="P28" s="59">
        <f t="shared" si="8"/>
        <v>4</v>
      </c>
      <c r="Q28" s="59" t="e">
        <f t="shared" si="9"/>
        <v>#VALUE!</v>
      </c>
      <c r="R28" s="59" t="e">
        <f t="shared" si="10"/>
        <v>#VALUE!</v>
      </c>
      <c r="S28" s="59" t="str">
        <f>IFERROR(VLOOKUP(MID(N28,Q28,R28-Q28),[7]skilldef!$C:$D,2,FALSE),"-") &amp; " / " &amp; IFERROR(VLOOKUP(MID(N28,O28,P28-O28),[7]skilldef!$A:$B,2,FALSE),"-")</f>
        <v>- / -</v>
      </c>
      <c r="T28" s="44" t="str">
        <f t="shared" si="11"/>
        <v>none</v>
      </c>
      <c r="U28" s="59" t="e">
        <f t="shared" si="12"/>
        <v>#VALUE!</v>
      </c>
      <c r="V28" s="59">
        <f t="shared" si="13"/>
        <v>4</v>
      </c>
      <c r="W28" s="59" t="e">
        <f t="shared" si="14"/>
        <v>#VALUE!</v>
      </c>
      <c r="X28" s="59" t="e">
        <f t="shared" si="15"/>
        <v>#VALUE!</v>
      </c>
      <c r="Y28" s="59" t="str">
        <f>IFERROR(VLOOKUP(MID(T28,W28,X28-W28),[7]skilldef!$C:$D,2,FALSE),"-") &amp; " / " &amp; IFERROR(VLOOKUP(MID(T28,U28,V28-U28),[7]skilldef!$A:$B,2,FALSE),"-")</f>
        <v>- / -</v>
      </c>
      <c r="Z28" s="46" t="s">
        <v>371</v>
      </c>
      <c r="AA28" s="48">
        <f t="shared" ca="1" si="16"/>
        <v>42829</v>
      </c>
      <c r="AB28" s="47" t="s">
        <v>324</v>
      </c>
    </row>
    <row r="29" spans="1:28" ht="22" customHeight="1" x14ac:dyDescent="0.15">
      <c r="A29" s="43">
        <v>41009028</v>
      </c>
      <c r="B29" s="43" t="s">
        <v>333</v>
      </c>
      <c r="C29" s="46">
        <v>3</v>
      </c>
      <c r="D29" s="46" t="s">
        <v>127</v>
      </c>
      <c r="E29" s="47" t="s">
        <v>334</v>
      </c>
      <c r="F29" s="47" t="s">
        <v>335</v>
      </c>
      <c r="G29" s="59" t="str">
        <f t="shared" si="0"/>
        <v xml:space="preserve">[effect:damage_anti_color, target:unit_all, color:green, val1:0.8, val2:0.2]    </v>
      </c>
      <c r="H29" s="59">
        <f t="shared" si="1"/>
        <v>9</v>
      </c>
      <c r="I29" s="59">
        <f t="shared" si="2"/>
        <v>26</v>
      </c>
      <c r="J29" s="59">
        <f t="shared" si="3"/>
        <v>35</v>
      </c>
      <c r="K29" s="59">
        <f t="shared" si="4"/>
        <v>43</v>
      </c>
      <c r="L29" s="59" t="str">
        <f>IFERROR(VLOOKUP(MID(G29,J29,K29-J29),[7]skilldef!$C:$D,2,FALSE),"-") &amp; " / " &amp; IFERROR(VLOOKUP(MID(G29,H29,I29-H29),[7]skilldef!$A:$B,2,FALSE),"-")</f>
        <v>味方全体に / 属性キラー</v>
      </c>
      <c r="M29" s="59" t="str">
        <f t="shared" si="5"/>
        <v>none</v>
      </c>
      <c r="N29" s="44" t="str">
        <f t="shared" si="18"/>
        <v>none</v>
      </c>
      <c r="O29" s="59" t="e">
        <f t="shared" si="7"/>
        <v>#VALUE!</v>
      </c>
      <c r="P29" s="59">
        <f t="shared" si="8"/>
        <v>4</v>
      </c>
      <c r="Q29" s="59" t="e">
        <f t="shared" si="9"/>
        <v>#VALUE!</v>
      </c>
      <c r="R29" s="59" t="e">
        <f t="shared" si="10"/>
        <v>#VALUE!</v>
      </c>
      <c r="S29" s="59" t="str">
        <f>IFERROR(VLOOKUP(MID(N29,Q29,R29-Q29),[7]skilldef!$C:$D,2,FALSE),"-") &amp; " / " &amp; IFERROR(VLOOKUP(MID(N29,O29,P29-O29),[7]skilldef!$A:$B,2,FALSE),"-")</f>
        <v>- / -</v>
      </c>
      <c r="T29" s="44" t="str">
        <f t="shared" si="11"/>
        <v>none</v>
      </c>
      <c r="U29" s="59" t="e">
        <f t="shared" si="12"/>
        <v>#VALUE!</v>
      </c>
      <c r="V29" s="59">
        <f t="shared" si="13"/>
        <v>4</v>
      </c>
      <c r="W29" s="59" t="e">
        <f t="shared" si="14"/>
        <v>#VALUE!</v>
      </c>
      <c r="X29" s="59" t="e">
        <f t="shared" si="15"/>
        <v>#VALUE!</v>
      </c>
      <c r="Y29" s="59" t="str">
        <f>IFERROR(VLOOKUP(MID(T29,W29,X29-W29),[7]skilldef!$C:$D,2,FALSE),"-") &amp; " / " &amp; IFERROR(VLOOKUP(MID(T29,U29,V29-U29),[7]skilldef!$A:$B,2,FALSE),"-")</f>
        <v>- / -</v>
      </c>
      <c r="Z29" s="46" t="s">
        <v>371</v>
      </c>
      <c r="AA29" s="48">
        <f t="shared" ca="1" si="16"/>
        <v>42829</v>
      </c>
      <c r="AB29" s="47" t="s">
        <v>324</v>
      </c>
    </row>
    <row r="30" spans="1:28" ht="22" customHeight="1" x14ac:dyDescent="0.15">
      <c r="A30" s="43">
        <v>41009029</v>
      </c>
      <c r="B30" s="108" t="s">
        <v>288</v>
      </c>
      <c r="C30" s="46">
        <v>3</v>
      </c>
      <c r="D30" s="46" t="s">
        <v>274</v>
      </c>
      <c r="E30" s="47" t="s">
        <v>336</v>
      </c>
      <c r="F30" s="47" t="s">
        <v>290</v>
      </c>
      <c r="G30" s="59" t="str">
        <f t="shared" si="0"/>
        <v>[effect:tolerance, target:myself, turn:-1, tolerance_effect:hungup, count:-1]</v>
      </c>
      <c r="H30" s="59">
        <f t="shared" si="1"/>
        <v>9</v>
      </c>
      <c r="I30" s="59">
        <f t="shared" si="2"/>
        <v>18</v>
      </c>
      <c r="J30" s="59">
        <f t="shared" si="3"/>
        <v>27</v>
      </c>
      <c r="K30" s="59">
        <f t="shared" si="4"/>
        <v>33</v>
      </c>
      <c r="L30" s="59" t="str">
        <f>IFERROR(VLOOKUP(MID(G30,J30,K30-J30),[7]skilldef!$C:$D,2,FALSE),"-") &amp; " / " &amp; IFERROR(VLOOKUP(MID(G30,H30,I30-H30),[7]skilldef!$A:$B,2,FALSE),"-")</f>
        <v>自分自身に / 状態異常耐性</v>
      </c>
      <c r="M30" s="59" t="str">
        <f t="shared" si="5"/>
        <v>[effect:tolerance, target:myself, turn:-1, tolerance_effect:virus, count:-1],[effect:tolerance, target:myself, turn:-1, tolerance_effect:sleep, count:-1, animation:enemy_tolerance]</v>
      </c>
      <c r="N30" s="44" t="str">
        <f t="shared" si="18"/>
        <v>[effect:tolerance, target:myself, turn:-1, tolerance_effect:virus, count:-1],[effect:tolerance, target:myself, turn:-1, tolerance_effect:sleep, count:-1, animation:enemy_tolerance]</v>
      </c>
      <c r="O30" s="59">
        <f t="shared" si="7"/>
        <v>9</v>
      </c>
      <c r="P30" s="59">
        <f t="shared" si="8"/>
        <v>18</v>
      </c>
      <c r="Q30" s="59">
        <f t="shared" si="9"/>
        <v>27</v>
      </c>
      <c r="R30" s="59">
        <f t="shared" si="10"/>
        <v>33</v>
      </c>
      <c r="S30" s="59" t="str">
        <f>IFERROR(VLOOKUP(MID(N30,Q30,R30-Q30),[7]skilldef!$C:$D,2,FALSE),"-") &amp; " / " &amp; IFERROR(VLOOKUP(MID(N30,O30,P30-O30),[7]skilldef!$A:$B,2,FALSE),"-")</f>
        <v>自分自身に / 状態異常耐性</v>
      </c>
      <c r="T30" s="44" t="str">
        <f t="shared" si="11"/>
        <v>[effect:tolerance, target:myself, turn:-1, tolerance_effect:sleep, count:-1, animation:enemy_tolerance]</v>
      </c>
      <c r="U30" s="59">
        <f t="shared" si="12"/>
        <v>9</v>
      </c>
      <c r="V30" s="59">
        <f t="shared" si="13"/>
        <v>18</v>
      </c>
      <c r="W30" s="59">
        <f t="shared" si="14"/>
        <v>27</v>
      </c>
      <c r="X30" s="59">
        <f t="shared" si="15"/>
        <v>33</v>
      </c>
      <c r="Y30" s="59" t="str">
        <f>IFERROR(VLOOKUP(MID(T30,W30,X30-W30),[7]skilldef!$C:$D,2,FALSE),"-") &amp; " / " &amp; IFERROR(VLOOKUP(MID(T30,U30,V30-U30),[7]skilldef!$A:$B,2,FALSE),"-")</f>
        <v>自分自身に / 状態異常耐性</v>
      </c>
      <c r="Z30" s="46" t="s">
        <v>371</v>
      </c>
      <c r="AA30" s="48">
        <f t="shared" ca="1" si="16"/>
        <v>42829</v>
      </c>
      <c r="AB30" s="47" t="s">
        <v>337</v>
      </c>
    </row>
    <row r="31" spans="1:28" ht="22" customHeight="1" x14ac:dyDescent="0.15">
      <c r="A31" s="43">
        <v>41009030</v>
      </c>
      <c r="B31" s="109" t="s">
        <v>338</v>
      </c>
      <c r="C31" s="46">
        <v>3</v>
      </c>
      <c r="D31" s="46" t="s">
        <v>274</v>
      </c>
      <c r="E31" s="47" t="s">
        <v>339</v>
      </c>
      <c r="F31" s="47" t="s">
        <v>373</v>
      </c>
      <c r="G31" s="59" t="e">
        <f>IFERROR(LEFT(#REF!,FIND("],",#REF!)),#REF!)</f>
        <v>#REF!</v>
      </c>
      <c r="H31" s="59" t="e">
        <f t="shared" si="1"/>
        <v>#REF!</v>
      </c>
      <c r="I31" s="59" t="e">
        <f t="shared" si="2"/>
        <v>#REF!</v>
      </c>
      <c r="J31" s="59" t="e">
        <f t="shared" si="3"/>
        <v>#REF!</v>
      </c>
      <c r="K31" s="59" t="e">
        <f t="shared" si="4"/>
        <v>#REF!</v>
      </c>
      <c r="L31" s="59" t="str">
        <f>IFERROR(VLOOKUP(MID(G31,J31,K31-J31),[7]skilldef!$C:$D,2,FALSE),"-") &amp; " / " &amp; IFERROR(VLOOKUP(MID(G31,H31,I31-H31),[7]skilldef!$A:$B,2,FALSE),"-")</f>
        <v>- / -</v>
      </c>
      <c r="M31" s="59" t="str">
        <f>IFERROR(RIGHT(#REF!,LEN(#REF!)-FIND("],",#REF!)-1),"none")</f>
        <v>none</v>
      </c>
      <c r="N31" s="44" t="str">
        <f>IFERROR(LEFT(M31,FIND("],",M31)+S40),M31)</f>
        <v>none</v>
      </c>
      <c r="O31" s="59" t="e">
        <f t="shared" si="7"/>
        <v>#VALUE!</v>
      </c>
      <c r="P31" s="59">
        <f t="shared" si="8"/>
        <v>4</v>
      </c>
      <c r="Q31" s="59" t="e">
        <f t="shared" si="9"/>
        <v>#VALUE!</v>
      </c>
      <c r="R31" s="59" t="e">
        <f t="shared" si="10"/>
        <v>#VALUE!</v>
      </c>
      <c r="S31" s="59" t="str">
        <f>IFERROR(VLOOKUP(MID(N31,Q31,R31-Q31),[7]skilldef!$C:$D,2,FALSE),"-") &amp; " / " &amp; IFERROR(VLOOKUP(MID(N31,O31,P31-O31),[7]skilldef!$A:$B,2,FALSE),"-")</f>
        <v>- / -</v>
      </c>
      <c r="T31" s="44" t="str">
        <f t="shared" si="11"/>
        <v>none</v>
      </c>
      <c r="U31" s="59" t="e">
        <f t="shared" si="12"/>
        <v>#VALUE!</v>
      </c>
      <c r="V31" s="59">
        <f t="shared" si="13"/>
        <v>4</v>
      </c>
      <c r="W31" s="59" t="e">
        <f t="shared" si="14"/>
        <v>#VALUE!</v>
      </c>
      <c r="X31" s="59" t="e">
        <f t="shared" si="15"/>
        <v>#VALUE!</v>
      </c>
      <c r="Y31" s="59" t="str">
        <f>IFERROR(VLOOKUP(MID(T31,W31,X31-W31),[7]skilldef!$C:$D,2,FALSE),"-") &amp; " / " &amp; IFERROR(VLOOKUP(MID(T31,U31,V31-U31),[7]skilldef!$A:$B,2,FALSE),"-")</f>
        <v>- / -</v>
      </c>
      <c r="Z31" s="46" t="s">
        <v>371</v>
      </c>
      <c r="AA31" s="48">
        <f t="shared" ca="1" si="16"/>
        <v>42829</v>
      </c>
      <c r="AB31" s="47" t="s">
        <v>337</v>
      </c>
    </row>
    <row r="32" spans="1:28" ht="22" customHeight="1" x14ac:dyDescent="0.15">
      <c r="A32" s="43">
        <v>41009031</v>
      </c>
      <c r="B32" s="45" t="s">
        <v>340</v>
      </c>
      <c r="C32" s="46">
        <v>3</v>
      </c>
      <c r="D32" s="46" t="s">
        <v>274</v>
      </c>
      <c r="E32" s="47" t="s">
        <v>341</v>
      </c>
      <c r="F32" s="47" t="s">
        <v>383</v>
      </c>
      <c r="G32" s="59" t="str">
        <f>IFERROR(LEFT(B31,FIND("],",B31)),B31)</f>
        <v>[effect:rush, count:2, val:0.7]</v>
      </c>
      <c r="H32" s="59">
        <f t="shared" si="1"/>
        <v>9</v>
      </c>
      <c r="I32" s="59">
        <f t="shared" si="2"/>
        <v>13</v>
      </c>
      <c r="J32" s="59" t="e">
        <f t="shared" si="3"/>
        <v>#VALUE!</v>
      </c>
      <c r="K32" s="59">
        <f t="shared" si="4"/>
        <v>22</v>
      </c>
      <c r="L32" s="59" t="str">
        <f>IFERROR(VLOOKUP(MID(G32,J32,K32-J32),[7]skilldef!$C:$D,2,FALSE),"-") &amp; " / " &amp; IFERROR(VLOOKUP(MID(G32,H32,I32-H32),[7]skilldef!$A:$B,2,FALSE),"-")</f>
        <v>- / 連続攻撃</v>
      </c>
      <c r="M32" s="59" t="str">
        <f>IFERROR(RIGHT(B31,LEN(B31)-FIND("],",B31)-1),"none")</f>
        <v>none</v>
      </c>
      <c r="N32" s="44" t="str">
        <f>IFERROR(LEFT(M32,FIND("],",M32)+S41),M32)</f>
        <v>none</v>
      </c>
      <c r="O32" s="59" t="e">
        <f t="shared" si="7"/>
        <v>#VALUE!</v>
      </c>
      <c r="P32" s="59">
        <f t="shared" si="8"/>
        <v>4</v>
      </c>
      <c r="Q32" s="59" t="e">
        <f t="shared" si="9"/>
        <v>#VALUE!</v>
      </c>
      <c r="R32" s="59" t="e">
        <f t="shared" si="10"/>
        <v>#VALUE!</v>
      </c>
      <c r="S32" s="59" t="str">
        <f>IFERROR(VLOOKUP(MID(N32,Q32,R32-Q32),[7]skilldef!$C:$D,2,FALSE),"-") &amp; " / " &amp; IFERROR(VLOOKUP(MID(N32,O32,P32-O32),[7]skilldef!$A:$B,2,FALSE),"-")</f>
        <v>- / -</v>
      </c>
      <c r="T32" s="44" t="str">
        <f t="shared" si="11"/>
        <v>none</v>
      </c>
      <c r="U32" s="59" t="e">
        <f t="shared" si="12"/>
        <v>#VALUE!</v>
      </c>
      <c r="V32" s="59">
        <f t="shared" si="13"/>
        <v>4</v>
      </c>
      <c r="W32" s="59" t="e">
        <f t="shared" si="14"/>
        <v>#VALUE!</v>
      </c>
      <c r="X32" s="59" t="e">
        <f t="shared" si="15"/>
        <v>#VALUE!</v>
      </c>
      <c r="Y32" s="59" t="str">
        <f>IFERROR(VLOOKUP(MID(T32,W32,X32-W32),[7]skilldef!$C:$D,2,FALSE),"-") &amp; " / " &amp; IFERROR(VLOOKUP(MID(T32,U32,V32-U32),[7]skilldef!$A:$B,2,FALSE),"-")</f>
        <v>- / -</v>
      </c>
      <c r="Z32" s="46" t="s">
        <v>371</v>
      </c>
      <c r="AA32" s="48">
        <f t="shared" ca="1" si="16"/>
        <v>42829</v>
      </c>
      <c r="AB32" s="47" t="s">
        <v>337</v>
      </c>
    </row>
    <row r="33" spans="1:28" ht="22" customHeight="1" x14ac:dyDescent="0.15">
      <c r="A33" s="43">
        <v>41009033</v>
      </c>
      <c r="B33" s="108" t="s">
        <v>288</v>
      </c>
      <c r="C33" s="46">
        <v>3</v>
      </c>
      <c r="D33" s="46" t="s">
        <v>274</v>
      </c>
      <c r="E33" s="47" t="s">
        <v>342</v>
      </c>
      <c r="F33" s="47" t="s">
        <v>290</v>
      </c>
      <c r="G33" s="59" t="str">
        <f t="shared" si="0"/>
        <v>[effect:tolerance, target:myself, turn:-1, tolerance_effect:hungup, count:-1]</v>
      </c>
      <c r="H33" s="59">
        <f t="shared" si="1"/>
        <v>9</v>
      </c>
      <c r="I33" s="59">
        <f t="shared" si="2"/>
        <v>18</v>
      </c>
      <c r="J33" s="59">
        <f t="shared" si="3"/>
        <v>27</v>
      </c>
      <c r="K33" s="59">
        <f t="shared" si="4"/>
        <v>33</v>
      </c>
      <c r="L33" s="59" t="str">
        <f>IFERROR(VLOOKUP(MID(G33,J33,K33-J33),[7]skilldef!$C:$D,2,FALSE),"-") &amp; " / " &amp; IFERROR(VLOOKUP(MID(G33,H33,I33-H33),[7]skilldef!$A:$B,2,FALSE),"-")</f>
        <v>自分自身に / 状態異常耐性</v>
      </c>
      <c r="M33" s="59" t="str">
        <f t="shared" si="5"/>
        <v>[effect:tolerance, target:myself, turn:-1, tolerance_effect:virus, count:-1],[effect:tolerance, target:myself, turn:-1, tolerance_effect:sleep, count:-1, animation:enemy_tolerance]</v>
      </c>
      <c r="N33" s="44" t="str">
        <f t="shared" ref="N33:N49" si="19">IFERROR(LEFT(M33,FIND("],",M33)+S43),M33)</f>
        <v>[effect:tolerance, target:myself, turn:-1, tolerance_effect:virus, count:-1],[effect:tolerance, target:myself, turn:-1, tolerance_effect:sleep, count:-1, animation:enemy_tolerance]</v>
      </c>
      <c r="O33" s="59">
        <f t="shared" si="7"/>
        <v>9</v>
      </c>
      <c r="P33" s="59">
        <f t="shared" si="8"/>
        <v>18</v>
      </c>
      <c r="Q33" s="59">
        <f t="shared" si="9"/>
        <v>27</v>
      </c>
      <c r="R33" s="59">
        <f t="shared" si="10"/>
        <v>33</v>
      </c>
      <c r="S33" s="59" t="str">
        <f>IFERROR(VLOOKUP(MID(N33,Q33,R33-Q33),[7]skilldef!$C:$D,2,FALSE),"-") &amp; " / " &amp; IFERROR(VLOOKUP(MID(N33,O33,P33-O33),[7]skilldef!$A:$B,2,FALSE),"-")</f>
        <v>自分自身に / 状態異常耐性</v>
      </c>
      <c r="T33" s="44" t="str">
        <f t="shared" si="11"/>
        <v>[effect:tolerance, target:myself, turn:-1, tolerance_effect:sleep, count:-1, animation:enemy_tolerance]</v>
      </c>
      <c r="U33" s="59">
        <f t="shared" si="12"/>
        <v>9</v>
      </c>
      <c r="V33" s="59">
        <f t="shared" si="13"/>
        <v>18</v>
      </c>
      <c r="W33" s="59">
        <f t="shared" si="14"/>
        <v>27</v>
      </c>
      <c r="X33" s="59">
        <f t="shared" si="15"/>
        <v>33</v>
      </c>
      <c r="Y33" s="59" t="str">
        <f>IFERROR(VLOOKUP(MID(T33,W33,X33-W33),[7]skilldef!$C:$D,2,FALSE),"-") &amp; " / " &amp; IFERROR(VLOOKUP(MID(T33,U33,V33-U33),[7]skilldef!$A:$B,2,FALSE),"-")</f>
        <v>自分自身に / 状態異常耐性</v>
      </c>
      <c r="Z33" s="46" t="s">
        <v>371</v>
      </c>
      <c r="AA33" s="48">
        <f t="shared" ca="1" si="16"/>
        <v>42829</v>
      </c>
      <c r="AB33" s="47" t="s">
        <v>343</v>
      </c>
    </row>
    <row r="34" spans="1:28" ht="22" customHeight="1" x14ac:dyDescent="0.15">
      <c r="A34" s="43">
        <v>41009034</v>
      </c>
      <c r="B34" s="43" t="s">
        <v>344</v>
      </c>
      <c r="C34" s="46">
        <v>3</v>
      </c>
      <c r="D34" s="46" t="s">
        <v>274</v>
      </c>
      <c r="E34" s="47" t="s">
        <v>345</v>
      </c>
      <c r="F34" s="47" t="s">
        <v>374</v>
      </c>
      <c r="G34" s="59" t="str">
        <f t="shared" si="0"/>
        <v xml:space="preserve">[effect:damage_anti_tribe, target:unit_all, tribe:animal, val1:1.3, val2:0.2]    </v>
      </c>
      <c r="H34" s="59">
        <f t="shared" si="1"/>
        <v>9</v>
      </c>
      <c r="I34" s="59">
        <f t="shared" si="2"/>
        <v>26</v>
      </c>
      <c r="J34" s="59">
        <f t="shared" si="3"/>
        <v>35</v>
      </c>
      <c r="K34" s="59">
        <f t="shared" si="4"/>
        <v>43</v>
      </c>
      <c r="L34" s="59" t="str">
        <f>IFERROR(VLOOKUP(MID(G34,J34,K34-J34),[7]skilldef!$C:$D,2,FALSE),"-") &amp; " / " &amp; IFERROR(VLOOKUP(MID(G34,H34,I34-H34),[7]skilldef!$A:$B,2,FALSE),"-")</f>
        <v>味方全体に / 種族キラー</v>
      </c>
      <c r="M34" s="59" t="str">
        <f t="shared" si="5"/>
        <v>none</v>
      </c>
      <c r="N34" s="44" t="str">
        <f t="shared" si="19"/>
        <v>none</v>
      </c>
      <c r="O34" s="59" t="e">
        <f t="shared" si="7"/>
        <v>#VALUE!</v>
      </c>
      <c r="P34" s="59">
        <f t="shared" si="8"/>
        <v>4</v>
      </c>
      <c r="Q34" s="59" t="e">
        <f t="shared" si="9"/>
        <v>#VALUE!</v>
      </c>
      <c r="R34" s="59" t="e">
        <f t="shared" si="10"/>
        <v>#VALUE!</v>
      </c>
      <c r="S34" s="59" t="str">
        <f>IFERROR(VLOOKUP(MID(N34,Q34,R34-Q34),[7]skilldef!$C:$D,2,FALSE),"-") &amp; " / " &amp; IFERROR(VLOOKUP(MID(N34,O34,P34-O34),[7]skilldef!$A:$B,2,FALSE),"-")</f>
        <v>- / -</v>
      </c>
      <c r="T34" s="44" t="str">
        <f t="shared" si="11"/>
        <v>none</v>
      </c>
      <c r="U34" s="59" t="e">
        <f t="shared" si="12"/>
        <v>#VALUE!</v>
      </c>
      <c r="V34" s="59">
        <f t="shared" si="13"/>
        <v>4</v>
      </c>
      <c r="W34" s="59" t="e">
        <f t="shared" si="14"/>
        <v>#VALUE!</v>
      </c>
      <c r="X34" s="59" t="e">
        <f t="shared" si="15"/>
        <v>#VALUE!</v>
      </c>
      <c r="Y34" s="59" t="str">
        <f>IFERROR(VLOOKUP(MID(T34,W34,X34-W34),[7]skilldef!$C:$D,2,FALSE),"-") &amp; " / " &amp; IFERROR(VLOOKUP(MID(T34,U34,V34-U34),[7]skilldef!$A:$B,2,FALSE),"-")</f>
        <v>- / -</v>
      </c>
      <c r="Z34" s="46" t="s">
        <v>371</v>
      </c>
      <c r="AA34" s="48">
        <f t="shared" ca="1" si="16"/>
        <v>42829</v>
      </c>
      <c r="AB34" s="47" t="s">
        <v>343</v>
      </c>
    </row>
    <row r="35" spans="1:28" ht="22" customHeight="1" x14ac:dyDescent="0.15">
      <c r="A35" s="43">
        <v>41009035</v>
      </c>
      <c r="B35" s="43" t="s">
        <v>346</v>
      </c>
      <c r="C35" s="46">
        <v>3</v>
      </c>
      <c r="D35" s="46" t="s">
        <v>274</v>
      </c>
      <c r="E35" s="47" t="s">
        <v>347</v>
      </c>
      <c r="F35" s="47" t="s">
        <v>384</v>
      </c>
      <c r="G35" s="59" t="str">
        <f t="shared" si="0"/>
        <v>[effect:dis_panel, target:block_blue, turn:2, animation:enemy_dis_blue]</v>
      </c>
      <c r="H35" s="59">
        <f t="shared" si="1"/>
        <v>9</v>
      </c>
      <c r="I35" s="59">
        <f t="shared" si="2"/>
        <v>18</v>
      </c>
      <c r="J35" s="59">
        <f t="shared" si="3"/>
        <v>27</v>
      </c>
      <c r="K35" s="59">
        <f t="shared" si="4"/>
        <v>37</v>
      </c>
      <c r="L35" s="59" t="str">
        <f>IFERROR(VLOOKUP(MID(G35,J35,K35-J35),[7]skilldef!$C:$D,2,FALSE),"-") &amp; " / " &amp; IFERROR(VLOOKUP(MID(G35,H35,I35-H35),[7]skilldef!$A:$B,2,FALSE),"-")</f>
        <v>青パネルを / ディスパネル</v>
      </c>
      <c r="M35" s="59" t="str">
        <f t="shared" si="5"/>
        <v>[effect:rush, count:1, val:1]</v>
      </c>
      <c r="N35" s="44" t="str">
        <f t="shared" si="19"/>
        <v>[effect:rush, count:1, val:1]</v>
      </c>
      <c r="O35" s="59">
        <f t="shared" si="7"/>
        <v>9</v>
      </c>
      <c r="P35" s="59">
        <f t="shared" si="8"/>
        <v>13</v>
      </c>
      <c r="Q35" s="59" t="e">
        <f t="shared" si="9"/>
        <v>#VALUE!</v>
      </c>
      <c r="R35" s="59">
        <f t="shared" si="10"/>
        <v>22</v>
      </c>
      <c r="S35" s="59" t="str">
        <f>IFERROR(VLOOKUP(MID(N35,Q35,R35-Q35),[7]skilldef!$C:$D,2,FALSE),"-") &amp; " / " &amp; IFERROR(VLOOKUP(MID(N35,O35,P35-O35),[7]skilldef!$A:$B,2,FALSE),"-")</f>
        <v>- / 連続攻撃</v>
      </c>
      <c r="T35" s="44" t="str">
        <f t="shared" si="11"/>
        <v>none</v>
      </c>
      <c r="U35" s="59" t="e">
        <f t="shared" si="12"/>
        <v>#VALUE!</v>
      </c>
      <c r="V35" s="59">
        <f t="shared" si="13"/>
        <v>4</v>
      </c>
      <c r="W35" s="59" t="e">
        <f t="shared" si="14"/>
        <v>#VALUE!</v>
      </c>
      <c r="X35" s="59" t="e">
        <f t="shared" si="15"/>
        <v>#VALUE!</v>
      </c>
      <c r="Y35" s="59" t="str">
        <f>IFERROR(VLOOKUP(MID(T35,W35,X35-W35),[7]skilldef!$C:$D,2,FALSE),"-") &amp; " / " &amp; IFERROR(VLOOKUP(MID(T35,U35,V35-U35),[7]skilldef!$A:$B,2,FALSE),"-")</f>
        <v>- / -</v>
      </c>
      <c r="Z35" s="46" t="s">
        <v>371</v>
      </c>
      <c r="AA35" s="48">
        <f t="shared" ca="1" si="16"/>
        <v>42829</v>
      </c>
      <c r="AB35" s="47" t="s">
        <v>343</v>
      </c>
    </row>
    <row r="36" spans="1:28" ht="22" customHeight="1" x14ac:dyDescent="0.15">
      <c r="A36" s="43">
        <v>41009036</v>
      </c>
      <c r="B36" s="110" t="s">
        <v>396</v>
      </c>
      <c r="C36" s="46">
        <v>3</v>
      </c>
      <c r="D36" s="46" t="s">
        <v>274</v>
      </c>
      <c r="E36" s="47" t="s">
        <v>348</v>
      </c>
      <c r="F36" s="47" t="s">
        <v>385</v>
      </c>
      <c r="G36" s="59" t="str">
        <f t="shared" si="0"/>
        <v>[effect:enemy_message, val1:1.2, val2:2.2]</v>
      </c>
      <c r="H36" s="59">
        <f t="shared" si="1"/>
        <v>9</v>
      </c>
      <c r="I36" s="59">
        <f t="shared" si="2"/>
        <v>22</v>
      </c>
      <c r="J36" s="59" t="e">
        <f t="shared" si="3"/>
        <v>#VALUE!</v>
      </c>
      <c r="K36" s="59">
        <f t="shared" si="4"/>
        <v>32</v>
      </c>
      <c r="L36" s="59" t="str">
        <f>IFERROR(VLOOKUP(MID(G36,J36,K36-J36),[7]skilldef!$C:$D,2,FALSE),"-") &amp; " / " &amp; IFERROR(VLOOKUP(MID(G36,H36,I36-H36),[7]skilldef!$A:$B,2,FALSE),"-")</f>
        <v>- / -</v>
      </c>
      <c r="M36" s="59" t="str">
        <f t="shared" si="5"/>
        <v>[effect:enhance_enemy, target:myself, turn:3, status:defense, val:6000, calc:add, animation:enemy_enhance_defense],[effect:change_block,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v>
      </c>
      <c r="N36" s="44" t="str">
        <f t="shared" si="19"/>
        <v>[effect:enhance_enemy, target:myself, turn:3, status:defense, val:6000, calc:add, animation:enemy_enhance_defense],[effect:change_block,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v>
      </c>
      <c r="O36" s="59">
        <f t="shared" si="7"/>
        <v>9</v>
      </c>
      <c r="P36" s="59">
        <f t="shared" si="8"/>
        <v>22</v>
      </c>
      <c r="Q36" s="59">
        <f t="shared" si="9"/>
        <v>31</v>
      </c>
      <c r="R36" s="59">
        <f t="shared" si="10"/>
        <v>37</v>
      </c>
      <c r="S36" s="59" t="str">
        <f>IFERROR(VLOOKUP(MID(N36,Q36,R36-Q36),[7]skilldef!$C:$D,2,FALSE),"-") &amp; " / " &amp; IFERROR(VLOOKUP(MID(N36,O36,P36-O36),[7]skilldef!$A:$B,2,FALSE),"-")</f>
        <v>自分自身に / ステータス強化</v>
      </c>
      <c r="T36" s="44" t="str">
        <f t="shared" si="11"/>
        <v>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v>
      </c>
      <c r="U36" s="59">
        <f t="shared" si="12"/>
        <v>9</v>
      </c>
      <c r="V36" s="59">
        <f t="shared" si="13"/>
        <v>21</v>
      </c>
      <c r="W36" s="59">
        <f t="shared" si="14"/>
        <v>48</v>
      </c>
      <c r="X36" s="59">
        <f t="shared" si="15"/>
        <v>39</v>
      </c>
      <c r="Y36" s="59" t="str">
        <f>IFERROR(VLOOKUP(MID(T36,W36,X36-W36),[7]skilldef!$C:$D,2,FALSE),"-") &amp; " / " &amp; IFERROR(VLOOKUP(MID(T36,U36,V36-U36),[7]skilldef!$A:$B,2,FALSE),"-")</f>
        <v>- / ブロック変換</v>
      </c>
      <c r="Z36" s="46" t="s">
        <v>371</v>
      </c>
      <c r="AA36" s="48">
        <f t="shared" ca="1" si="16"/>
        <v>42829</v>
      </c>
      <c r="AB36" s="47" t="s">
        <v>343</v>
      </c>
    </row>
    <row r="37" spans="1:28" ht="22" customHeight="1" x14ac:dyDescent="0.15">
      <c r="A37" s="43">
        <v>41009037</v>
      </c>
      <c r="B37" s="111" t="s">
        <v>397</v>
      </c>
      <c r="C37" s="46">
        <v>3</v>
      </c>
      <c r="D37" s="46" t="s">
        <v>127</v>
      </c>
      <c r="E37" s="47" t="s">
        <v>349</v>
      </c>
      <c r="F37" s="47" t="s">
        <v>401</v>
      </c>
      <c r="G37" s="59" t="str">
        <f t="shared" si="0"/>
        <v>[effect:enemy_message, val1:1.2, val2:2.2]</v>
      </c>
      <c r="H37" s="59">
        <f t="shared" si="1"/>
        <v>9</v>
      </c>
      <c r="I37" s="59">
        <f t="shared" si="2"/>
        <v>22</v>
      </c>
      <c r="J37" s="59" t="e">
        <f t="shared" si="3"/>
        <v>#VALUE!</v>
      </c>
      <c r="K37" s="59">
        <f t="shared" si="4"/>
        <v>32</v>
      </c>
      <c r="L37" s="59" t="str">
        <f>IFERROR(VLOOKUP(MID(G37,J37,K37-J37),[7]skilldef!$C:$D,2,FALSE),"-") &amp; " / " &amp; IFERROR(VLOOKUP(MID(G37,H37,I37-H37),[7]skilldef!$A:$B,2,FALSE),"-")</f>
        <v>- / -</v>
      </c>
      <c r="M37" s="59" t="str">
        <f t="shared" si="5"/>
        <v>[effect:degrade_fever, val:1000, animation:fevergauge_down],[effect:remove_enhancement,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37" s="44" t="str">
        <f>IFERROR(LEFT(M37,FIND("],",M37)+#REF!),M37)</f>
        <v>[effect:degrade_fever, val:1000, animation:fevergauge_down],[effect:remove_enhancement,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37" s="59">
        <f t="shared" si="7"/>
        <v>9</v>
      </c>
      <c r="P37" s="59">
        <f t="shared" si="8"/>
        <v>22</v>
      </c>
      <c r="Q37" s="59">
        <f t="shared" si="9"/>
        <v>96</v>
      </c>
      <c r="R37" s="59">
        <f t="shared" si="10"/>
        <v>32</v>
      </c>
      <c r="S37" s="59" t="str">
        <f>IFERROR(VLOOKUP(MID(N37,Q37,R37-Q37),[7]skilldef!$C:$D,2,FALSE),"-") &amp; " / " &amp; IFERROR(VLOOKUP(MID(N37,O37,P37-O37),[7]skilldef!$A:$B,2,FALSE),"-")</f>
        <v>- / フィーバーゲージ減少</v>
      </c>
      <c r="T37" s="44" t="str">
        <f t="shared" si="11"/>
        <v>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U37" s="59">
        <f t="shared" si="12"/>
        <v>9</v>
      </c>
      <c r="V37" s="59">
        <f t="shared" si="13"/>
        <v>27</v>
      </c>
      <c r="W37" s="59">
        <f t="shared" si="14"/>
        <v>36</v>
      </c>
      <c r="X37" s="59">
        <f t="shared" si="15"/>
        <v>44</v>
      </c>
      <c r="Y37" s="59" t="str">
        <f>IFERROR(VLOOKUP(MID(T37,W37,X37-W37),[7]skilldef!$C:$D,2,FALSE),"-") &amp; " / " &amp; IFERROR(VLOOKUP(MID(T37,U37,V37-U37),[7]skilldef!$A:$B,2,FALSE),"-")</f>
        <v>味方全体に / -</v>
      </c>
      <c r="Z37" s="46" t="s">
        <v>371</v>
      </c>
      <c r="AA37" s="48">
        <f t="shared" ca="1" si="16"/>
        <v>42829</v>
      </c>
      <c r="AB37" s="47" t="s">
        <v>262</v>
      </c>
    </row>
    <row r="38" spans="1:28" ht="22" customHeight="1" x14ac:dyDescent="0.15">
      <c r="A38" s="43">
        <v>41009038</v>
      </c>
      <c r="B38" s="43" t="s">
        <v>350</v>
      </c>
      <c r="C38" s="46">
        <v>3</v>
      </c>
      <c r="D38" s="46" t="s">
        <v>274</v>
      </c>
      <c r="E38" s="47" t="s">
        <v>351</v>
      </c>
      <c r="F38" s="47" t="s">
        <v>386</v>
      </c>
      <c r="G38" s="59" t="str">
        <f t="shared" si="0"/>
        <v>[effect:freq_turn, target:enemy_all, turn:-1, val:1, animation:enemy_freq_turn]</v>
      </c>
      <c r="H38" s="59">
        <f t="shared" si="1"/>
        <v>9</v>
      </c>
      <c r="I38" s="59">
        <f t="shared" si="2"/>
        <v>18</v>
      </c>
      <c r="J38" s="59">
        <f t="shared" si="3"/>
        <v>27</v>
      </c>
      <c r="K38" s="59">
        <f t="shared" si="4"/>
        <v>36</v>
      </c>
      <c r="L38" s="59" t="str">
        <f>IFERROR(VLOOKUP(MID(G38,J38,K38-J38),[7]skilldef!$C:$D,2,FALSE),"-") &amp; " / " &amp; IFERROR(VLOOKUP(MID(G38,H38,I38-H38),[7]skilldef!$A:$B,2,FALSE),"-")</f>
        <v>敵全体に / 攻撃頻度がUP</v>
      </c>
      <c r="M38" s="59" t="str">
        <f t="shared" si="5"/>
        <v>none</v>
      </c>
      <c r="N38" s="44" t="str">
        <f>IFERROR(LEFT(M38,FIND("],",M38)+#REF!),M38)</f>
        <v>none</v>
      </c>
      <c r="O38" s="59" t="e">
        <f t="shared" si="7"/>
        <v>#VALUE!</v>
      </c>
      <c r="P38" s="59">
        <f t="shared" si="8"/>
        <v>4</v>
      </c>
      <c r="Q38" s="59" t="e">
        <f t="shared" si="9"/>
        <v>#VALUE!</v>
      </c>
      <c r="R38" s="59" t="e">
        <f t="shared" si="10"/>
        <v>#VALUE!</v>
      </c>
      <c r="S38" s="59" t="str">
        <f>IFERROR(VLOOKUP(MID(N38,Q38,R38-Q38),[7]skilldef!$C:$D,2,FALSE),"-") &amp; " / " &amp; IFERROR(VLOOKUP(MID(N38,O38,P38-O38),[7]skilldef!$A:$B,2,FALSE),"-")</f>
        <v>- / -</v>
      </c>
      <c r="T38" s="44" t="str">
        <f t="shared" si="11"/>
        <v>none</v>
      </c>
      <c r="U38" s="59" t="e">
        <f t="shared" si="12"/>
        <v>#VALUE!</v>
      </c>
      <c r="V38" s="59">
        <f t="shared" si="13"/>
        <v>4</v>
      </c>
      <c r="W38" s="59" t="e">
        <f t="shared" si="14"/>
        <v>#VALUE!</v>
      </c>
      <c r="X38" s="59" t="e">
        <f t="shared" si="15"/>
        <v>#VALUE!</v>
      </c>
      <c r="Y38" s="59" t="str">
        <f>IFERROR(VLOOKUP(MID(T38,W38,X38-W38),[7]skilldef!$C:$D,2,FALSE),"-") &amp; " / " &amp; IFERROR(VLOOKUP(MID(T38,U38,V38-U38),[7]skilldef!$A:$B,2,FALSE),"-")</f>
        <v>- / -</v>
      </c>
      <c r="Z38" s="46" t="s">
        <v>371</v>
      </c>
      <c r="AA38" s="48">
        <f t="shared" ca="1" si="16"/>
        <v>42829</v>
      </c>
      <c r="AB38" s="47" t="s">
        <v>262</v>
      </c>
    </row>
    <row r="39" spans="1:28" ht="22" customHeight="1" x14ac:dyDescent="0.15">
      <c r="A39" s="43">
        <v>41009039</v>
      </c>
      <c r="B39" s="109" t="s">
        <v>352</v>
      </c>
      <c r="C39" s="46">
        <v>3</v>
      </c>
      <c r="D39" s="46" t="s">
        <v>274</v>
      </c>
      <c r="E39" s="47" t="s">
        <v>353</v>
      </c>
      <c r="F39" s="47" t="s">
        <v>387</v>
      </c>
      <c r="G39" s="59" t="str">
        <f t="shared" si="0"/>
        <v>[effect:rush, count:5, val:0.3]</v>
      </c>
      <c r="H39" s="59">
        <f t="shared" si="1"/>
        <v>9</v>
      </c>
      <c r="I39" s="59">
        <f t="shared" si="2"/>
        <v>13</v>
      </c>
      <c r="J39" s="59" t="e">
        <f t="shared" si="3"/>
        <v>#VALUE!</v>
      </c>
      <c r="K39" s="59">
        <f t="shared" si="4"/>
        <v>22</v>
      </c>
      <c r="L39" s="59" t="str">
        <f>IFERROR(VLOOKUP(MID(G39,J39,K39-J39),[7]skilldef!$C:$D,2,FALSE),"-") &amp; " / " &amp; IFERROR(VLOOKUP(MID(G39,H39,I39-H39),[7]skilldef!$A:$B,2,FALSE),"-")</f>
        <v>- / 連続攻撃</v>
      </c>
      <c r="M39" s="59" t="str">
        <f t="shared" si="5"/>
        <v>none</v>
      </c>
      <c r="N39" s="44" t="str">
        <f t="shared" ref="N39:N46" si="20">IFERROR(LEFT(M39,FIND("],",M39)+S47),M39)</f>
        <v>none</v>
      </c>
      <c r="O39" s="59" t="e">
        <f t="shared" si="7"/>
        <v>#VALUE!</v>
      </c>
      <c r="P39" s="59">
        <f t="shared" si="8"/>
        <v>4</v>
      </c>
      <c r="Q39" s="59" t="e">
        <f t="shared" si="9"/>
        <v>#VALUE!</v>
      </c>
      <c r="R39" s="59" t="e">
        <f t="shared" si="10"/>
        <v>#VALUE!</v>
      </c>
      <c r="S39" s="59" t="str">
        <f>IFERROR(VLOOKUP(MID(N39,Q39,R39-Q39),[7]skilldef!$C:$D,2,FALSE),"-") &amp; " / " &amp; IFERROR(VLOOKUP(MID(N39,O39,P39-O39),[7]skilldef!$A:$B,2,FALSE),"-")</f>
        <v>- / -</v>
      </c>
      <c r="T39" s="44" t="str">
        <f t="shared" si="11"/>
        <v>none</v>
      </c>
      <c r="U39" s="59" t="e">
        <f t="shared" si="12"/>
        <v>#VALUE!</v>
      </c>
      <c r="V39" s="59">
        <f t="shared" si="13"/>
        <v>4</v>
      </c>
      <c r="W39" s="59" t="e">
        <f t="shared" si="14"/>
        <v>#VALUE!</v>
      </c>
      <c r="X39" s="59" t="e">
        <f t="shared" si="15"/>
        <v>#VALUE!</v>
      </c>
      <c r="Y39" s="59" t="str">
        <f>IFERROR(VLOOKUP(MID(T39,W39,X39-W39),[7]skilldef!$C:$D,2,FALSE),"-") &amp; " / " &amp; IFERROR(VLOOKUP(MID(T39,U39,V39-U39),[7]skilldef!$A:$B,2,FALSE),"-")</f>
        <v>- / -</v>
      </c>
      <c r="Z39" s="46" t="s">
        <v>371</v>
      </c>
      <c r="AA39" s="48">
        <f t="shared" ca="1" si="16"/>
        <v>42829</v>
      </c>
      <c r="AB39" s="47" t="s">
        <v>262</v>
      </c>
    </row>
    <row r="40" spans="1:28" ht="22" customHeight="1" x14ac:dyDescent="0.15">
      <c r="A40" s="43">
        <v>41009040</v>
      </c>
      <c r="B40" s="110" t="s">
        <v>425</v>
      </c>
      <c r="C40" s="46">
        <v>3</v>
      </c>
      <c r="D40" s="46" t="s">
        <v>274</v>
      </c>
      <c r="E40" s="47" t="s">
        <v>354</v>
      </c>
      <c r="F40" s="47" t="s">
        <v>388</v>
      </c>
      <c r="G40" s="59" t="str">
        <f t="shared" si="0"/>
        <v>[effect:force_change_block, new_block:time_bomb, target:block_all, ignore01:block_positive, ignore02:block_negative, count:12, val:0.3]</v>
      </c>
      <c r="H40" s="59">
        <f t="shared" si="1"/>
        <v>9</v>
      </c>
      <c r="I40" s="59">
        <f t="shared" si="2"/>
        <v>27</v>
      </c>
      <c r="J40" s="59">
        <f t="shared" si="3"/>
        <v>57</v>
      </c>
      <c r="K40" s="59">
        <f t="shared" si="4"/>
        <v>48</v>
      </c>
      <c r="L40" s="59" t="str">
        <f>IFERROR(VLOOKUP(MID(G40,J40,K40-J40),[7]skilldef!$C:$D,2,FALSE),"-") &amp; " / " &amp; IFERROR(VLOOKUP(MID(G40,H40,I40-H40),[7]skilldef!$A:$B,2,FALSE),"-")</f>
        <v>- / -</v>
      </c>
      <c r="M40" s="59" t="str">
        <f t="shared" si="5"/>
        <v>[effect:dis_panel, target:block_blue, turn:3, animation:enemy_dis_blue],[effect:rush, count:1, val:1]</v>
      </c>
      <c r="N40" s="44" t="str">
        <f t="shared" si="20"/>
        <v>[effect:dis_panel, target:block_blue, turn:3, animation:enemy_dis_blue],[effect:rush, count:1, val:1]</v>
      </c>
      <c r="O40" s="59">
        <f t="shared" si="7"/>
        <v>9</v>
      </c>
      <c r="P40" s="59">
        <f t="shared" si="8"/>
        <v>18</v>
      </c>
      <c r="Q40" s="59">
        <f t="shared" si="9"/>
        <v>27</v>
      </c>
      <c r="R40" s="59">
        <f t="shared" si="10"/>
        <v>37</v>
      </c>
      <c r="S40" s="59" t="str">
        <f>IFERROR(VLOOKUP(MID(N40,Q40,R40-Q40),[7]skilldef!$C:$D,2,FALSE),"-") &amp; " / " &amp; IFERROR(VLOOKUP(MID(N40,O40,P40-O40),[7]skilldef!$A:$B,2,FALSE),"-")</f>
        <v>青パネルを / ディスパネル</v>
      </c>
      <c r="T40" s="44" t="str">
        <f t="shared" si="11"/>
        <v>[effect:rush, count:1, val:1]</v>
      </c>
      <c r="U40" s="59">
        <f t="shared" si="12"/>
        <v>9</v>
      </c>
      <c r="V40" s="59">
        <f t="shared" si="13"/>
        <v>13</v>
      </c>
      <c r="W40" s="59" t="e">
        <f t="shared" si="14"/>
        <v>#VALUE!</v>
      </c>
      <c r="X40" s="59">
        <f t="shared" si="15"/>
        <v>22</v>
      </c>
      <c r="Y40" s="59" t="str">
        <f>IFERROR(VLOOKUP(MID(T40,W40,X40-W40),[7]skilldef!$C:$D,2,FALSE),"-") &amp; " / " &amp; IFERROR(VLOOKUP(MID(T40,U40,V40-U40),[7]skilldef!$A:$B,2,FALSE),"-")</f>
        <v>- / 連続攻撃</v>
      </c>
      <c r="Z40" s="46" t="s">
        <v>371</v>
      </c>
      <c r="AA40" s="48">
        <f t="shared" ca="1" si="16"/>
        <v>42829</v>
      </c>
      <c r="AB40" s="47" t="s">
        <v>262</v>
      </c>
    </row>
    <row r="41" spans="1:28" ht="22" customHeight="1" x14ac:dyDescent="0.15">
      <c r="A41" s="43">
        <v>41009041</v>
      </c>
      <c r="B41" s="43" t="s">
        <v>355</v>
      </c>
      <c r="C41" s="46">
        <v>3</v>
      </c>
      <c r="D41" s="46" t="s">
        <v>274</v>
      </c>
      <c r="E41" s="47" t="s">
        <v>356</v>
      </c>
      <c r="F41" s="47" t="s">
        <v>357</v>
      </c>
      <c r="G41" s="59" t="str">
        <f t="shared" si="0"/>
        <v>[effect:change_block, new_block:block_red, target:block_heart, count:0, val:0, animation:change_block]</v>
      </c>
      <c r="H41" s="59">
        <f t="shared" si="1"/>
        <v>9</v>
      </c>
      <c r="I41" s="59">
        <f t="shared" si="2"/>
        <v>21</v>
      </c>
      <c r="J41" s="59">
        <f t="shared" si="3"/>
        <v>51</v>
      </c>
      <c r="K41" s="59">
        <f t="shared" si="4"/>
        <v>42</v>
      </c>
      <c r="L41" s="59" t="str">
        <f>IFERROR(VLOOKUP(MID(G41,J41,K41-J41),[7]skilldef!$C:$D,2,FALSE),"-") &amp; " / " &amp; IFERROR(VLOOKUP(MID(G41,H41,I41-H41),[7]skilldef!$A:$B,2,FALSE),"-")</f>
        <v>- / ブロック変換</v>
      </c>
      <c r="M41" s="59" t="str">
        <f t="shared" si="5"/>
        <v>[effect:rush, count:1, val:1]</v>
      </c>
      <c r="N41" s="44" t="str">
        <f t="shared" si="20"/>
        <v>[effect:rush, count:1, val:1]</v>
      </c>
      <c r="O41" s="59">
        <f t="shared" si="7"/>
        <v>9</v>
      </c>
      <c r="P41" s="59">
        <f t="shared" si="8"/>
        <v>13</v>
      </c>
      <c r="Q41" s="59" t="e">
        <f t="shared" si="9"/>
        <v>#VALUE!</v>
      </c>
      <c r="R41" s="59">
        <f t="shared" si="10"/>
        <v>22</v>
      </c>
      <c r="S41" s="59" t="str">
        <f>IFERROR(VLOOKUP(MID(N41,Q41,R41-Q41),[7]skilldef!$C:$D,2,FALSE),"-") &amp; " / " &amp; IFERROR(VLOOKUP(MID(N41,O41,P41-O41),[7]skilldef!$A:$B,2,FALSE),"-")</f>
        <v>- / 連続攻撃</v>
      </c>
      <c r="T41" s="44" t="str">
        <f t="shared" si="11"/>
        <v>none</v>
      </c>
      <c r="U41" s="59" t="e">
        <f t="shared" si="12"/>
        <v>#VALUE!</v>
      </c>
      <c r="V41" s="59">
        <f t="shared" si="13"/>
        <v>4</v>
      </c>
      <c r="W41" s="59" t="e">
        <f t="shared" si="14"/>
        <v>#VALUE!</v>
      </c>
      <c r="X41" s="59" t="e">
        <f t="shared" si="15"/>
        <v>#VALUE!</v>
      </c>
      <c r="Y41" s="59" t="str">
        <f>IFERROR(VLOOKUP(MID(T41,W41,X41-W41),[7]skilldef!$C:$D,2,FALSE),"-") &amp; " / " &amp; IFERROR(VLOOKUP(MID(T41,U41,V41-U41),[7]skilldef!$A:$B,2,FALSE),"-")</f>
        <v>- / -</v>
      </c>
      <c r="Z41" s="46" t="s">
        <v>371</v>
      </c>
      <c r="AA41" s="48">
        <f t="shared" ca="1" si="16"/>
        <v>42829</v>
      </c>
      <c r="AB41" s="47" t="s">
        <v>262</v>
      </c>
    </row>
    <row r="42" spans="1:28" ht="22" customHeight="1" x14ac:dyDescent="0.15">
      <c r="A42" s="43">
        <v>41009042</v>
      </c>
      <c r="B42" s="109" t="s">
        <v>402</v>
      </c>
      <c r="C42" s="46">
        <v>3</v>
      </c>
      <c r="D42" s="46" t="s">
        <v>274</v>
      </c>
      <c r="E42" s="47" t="s">
        <v>358</v>
      </c>
      <c r="F42" s="47" t="s">
        <v>359</v>
      </c>
      <c r="G42" s="59" t="str">
        <f t="shared" si="0"/>
        <v>[effect:rush, count:3, val:0.3]</v>
      </c>
      <c r="H42" s="59">
        <f t="shared" si="1"/>
        <v>9</v>
      </c>
      <c r="I42" s="59">
        <f t="shared" si="2"/>
        <v>13</v>
      </c>
      <c r="J42" s="59" t="e">
        <f t="shared" si="3"/>
        <v>#VALUE!</v>
      </c>
      <c r="K42" s="59">
        <f t="shared" si="4"/>
        <v>22</v>
      </c>
      <c r="L42" s="59" t="str">
        <f>IFERROR(VLOOKUP(MID(G42,J42,K42-J42),[7]skilldef!$C:$D,2,FALSE),"-") &amp; " / " &amp; IFERROR(VLOOKUP(MID(G42,H42,I42-H42),[7]skilldef!$A:$B,2,FALSE),"-")</f>
        <v>- / 連続攻撃</v>
      </c>
      <c r="M42" s="59" t="str">
        <f t="shared" si="5"/>
        <v>none</v>
      </c>
      <c r="N42" s="44" t="str">
        <f t="shared" si="20"/>
        <v>none</v>
      </c>
      <c r="O42" s="59" t="e">
        <f t="shared" si="7"/>
        <v>#VALUE!</v>
      </c>
      <c r="P42" s="59">
        <f t="shared" si="8"/>
        <v>4</v>
      </c>
      <c r="Q42" s="59" t="e">
        <f t="shared" si="9"/>
        <v>#VALUE!</v>
      </c>
      <c r="R42" s="59" t="e">
        <f t="shared" si="10"/>
        <v>#VALUE!</v>
      </c>
      <c r="S42" s="59" t="str">
        <f>IFERROR(VLOOKUP(MID(N42,Q42,R42-Q42),[7]skilldef!$C:$D,2,FALSE),"-") &amp; " / " &amp; IFERROR(VLOOKUP(MID(N42,O42,P42-O42),[7]skilldef!$A:$B,2,FALSE),"-")</f>
        <v>- / -</v>
      </c>
      <c r="T42" s="44" t="str">
        <f t="shared" si="11"/>
        <v>none</v>
      </c>
      <c r="U42" s="59" t="e">
        <f t="shared" si="12"/>
        <v>#VALUE!</v>
      </c>
      <c r="V42" s="59">
        <f t="shared" si="13"/>
        <v>4</v>
      </c>
      <c r="W42" s="59" t="e">
        <f t="shared" si="14"/>
        <v>#VALUE!</v>
      </c>
      <c r="X42" s="59" t="e">
        <f t="shared" si="15"/>
        <v>#VALUE!</v>
      </c>
      <c r="Y42" s="59" t="str">
        <f>IFERROR(VLOOKUP(MID(T42,W42,X42-W42),[7]skilldef!$C:$D,2,FALSE),"-") &amp; " / " &amp; IFERROR(VLOOKUP(MID(T42,U42,V42-U42),[7]skilldef!$A:$B,2,FALSE),"-")</f>
        <v>- / -</v>
      </c>
      <c r="Z42" s="46" t="s">
        <v>371</v>
      </c>
      <c r="AA42" s="48">
        <f t="shared" ca="1" si="16"/>
        <v>42829</v>
      </c>
      <c r="AB42" s="47" t="s">
        <v>262</v>
      </c>
    </row>
    <row r="43" spans="1:28" ht="22" customHeight="1" x14ac:dyDescent="0.15">
      <c r="A43" s="43">
        <v>41009043</v>
      </c>
      <c r="B43" s="109" t="s">
        <v>403</v>
      </c>
      <c r="C43" s="46">
        <v>3</v>
      </c>
      <c r="D43" s="46" t="s">
        <v>274</v>
      </c>
      <c r="E43" s="47" t="s">
        <v>358</v>
      </c>
      <c r="F43" s="47" t="s">
        <v>359</v>
      </c>
      <c r="G43" s="59" t="str">
        <f t="shared" si="0"/>
        <v>[effect:rush, count:3, val:0.4]</v>
      </c>
      <c r="H43" s="59">
        <f t="shared" si="1"/>
        <v>9</v>
      </c>
      <c r="I43" s="59">
        <f t="shared" si="2"/>
        <v>13</v>
      </c>
      <c r="J43" s="59" t="e">
        <f t="shared" si="3"/>
        <v>#VALUE!</v>
      </c>
      <c r="K43" s="59">
        <f t="shared" si="4"/>
        <v>22</v>
      </c>
      <c r="L43" s="59" t="str">
        <f>IFERROR(VLOOKUP(MID(G43,J43,K43-J43),[7]skilldef!$C:$D,2,FALSE),"-") &amp; " / " &amp; IFERROR(VLOOKUP(MID(G43,H43,I43-H43),[7]skilldef!$A:$B,2,FALSE),"-")</f>
        <v>- / 連続攻撃</v>
      </c>
      <c r="M43" s="59" t="str">
        <f t="shared" si="5"/>
        <v>none</v>
      </c>
      <c r="N43" s="44" t="str">
        <f t="shared" si="20"/>
        <v>none</v>
      </c>
      <c r="O43" s="59" t="e">
        <f t="shared" si="7"/>
        <v>#VALUE!</v>
      </c>
      <c r="P43" s="59">
        <f t="shared" si="8"/>
        <v>4</v>
      </c>
      <c r="Q43" s="59" t="e">
        <f t="shared" si="9"/>
        <v>#VALUE!</v>
      </c>
      <c r="R43" s="59" t="e">
        <f t="shared" si="10"/>
        <v>#VALUE!</v>
      </c>
      <c r="S43" s="59" t="str">
        <f>IFERROR(VLOOKUP(MID(N43,Q43,R43-Q43),[7]skilldef!$C:$D,2,FALSE),"-") &amp; " / " &amp; IFERROR(VLOOKUP(MID(N43,O43,P43-O43),[7]skilldef!$A:$B,2,FALSE),"-")</f>
        <v>- / -</v>
      </c>
      <c r="T43" s="44" t="str">
        <f t="shared" si="11"/>
        <v>none</v>
      </c>
      <c r="U43" s="59" t="e">
        <f t="shared" si="12"/>
        <v>#VALUE!</v>
      </c>
      <c r="V43" s="59">
        <f t="shared" si="13"/>
        <v>4</v>
      </c>
      <c r="W43" s="59" t="e">
        <f t="shared" si="14"/>
        <v>#VALUE!</v>
      </c>
      <c r="X43" s="59" t="e">
        <f t="shared" si="15"/>
        <v>#VALUE!</v>
      </c>
      <c r="Y43" s="59" t="str">
        <f>IFERROR(VLOOKUP(MID(T43,W43,X43-W43),[7]skilldef!$C:$D,2,FALSE),"-") &amp; " / " &amp; IFERROR(VLOOKUP(MID(T43,U43,V43-U43),[7]skilldef!$A:$B,2,FALSE),"-")</f>
        <v>- / -</v>
      </c>
      <c r="Z43" s="46" t="s">
        <v>371</v>
      </c>
      <c r="AA43" s="48">
        <f t="shared" ca="1" si="16"/>
        <v>42829</v>
      </c>
      <c r="AB43" s="47" t="s">
        <v>262</v>
      </c>
    </row>
    <row r="44" spans="1:28" ht="22" customHeight="1" x14ac:dyDescent="0.15">
      <c r="A44" s="43">
        <v>41009044</v>
      </c>
      <c r="B44" s="109" t="s">
        <v>404</v>
      </c>
      <c r="C44" s="46">
        <v>3</v>
      </c>
      <c r="D44" s="46" t="s">
        <v>274</v>
      </c>
      <c r="E44" s="47" t="s">
        <v>358</v>
      </c>
      <c r="F44" s="47" t="s">
        <v>359</v>
      </c>
      <c r="G44" s="59" t="str">
        <f t="shared" si="0"/>
        <v>[effect:rush, count:3, val:0.45]</v>
      </c>
      <c r="H44" s="59">
        <f t="shared" si="1"/>
        <v>9</v>
      </c>
      <c r="I44" s="59">
        <f t="shared" si="2"/>
        <v>13</v>
      </c>
      <c r="J44" s="59" t="e">
        <f t="shared" si="3"/>
        <v>#VALUE!</v>
      </c>
      <c r="K44" s="59">
        <f t="shared" si="4"/>
        <v>22</v>
      </c>
      <c r="L44" s="59" t="str">
        <f>IFERROR(VLOOKUP(MID(G44,J44,K44-J44),[7]skilldef!$C:$D,2,FALSE),"-") &amp; " / " &amp; IFERROR(VLOOKUP(MID(G44,H44,I44-H44),[7]skilldef!$A:$B,2,FALSE),"-")</f>
        <v>- / 連続攻撃</v>
      </c>
      <c r="M44" s="59" t="str">
        <f t="shared" si="5"/>
        <v>none</v>
      </c>
      <c r="N44" s="44" t="str">
        <f t="shared" si="20"/>
        <v>none</v>
      </c>
      <c r="O44" s="59" t="e">
        <f t="shared" si="7"/>
        <v>#VALUE!</v>
      </c>
      <c r="P44" s="59">
        <f t="shared" si="8"/>
        <v>4</v>
      </c>
      <c r="Q44" s="59" t="e">
        <f t="shared" si="9"/>
        <v>#VALUE!</v>
      </c>
      <c r="R44" s="59" t="e">
        <f t="shared" si="10"/>
        <v>#VALUE!</v>
      </c>
      <c r="S44" s="59" t="str">
        <f>IFERROR(VLOOKUP(MID(N44,Q44,R44-Q44),[7]skilldef!$C:$D,2,FALSE),"-") &amp; " / " &amp; IFERROR(VLOOKUP(MID(N44,O44,P44-O44),[7]skilldef!$A:$B,2,FALSE),"-")</f>
        <v>- / -</v>
      </c>
      <c r="T44" s="44" t="str">
        <f t="shared" si="11"/>
        <v>none</v>
      </c>
      <c r="U44" s="59" t="e">
        <f t="shared" si="12"/>
        <v>#VALUE!</v>
      </c>
      <c r="V44" s="59">
        <f t="shared" si="13"/>
        <v>4</v>
      </c>
      <c r="W44" s="59" t="e">
        <f t="shared" si="14"/>
        <v>#VALUE!</v>
      </c>
      <c r="X44" s="59" t="e">
        <f t="shared" si="15"/>
        <v>#VALUE!</v>
      </c>
      <c r="Y44" s="59" t="str">
        <f>IFERROR(VLOOKUP(MID(T44,W44,X44-W44),[7]skilldef!$C:$D,2,FALSE),"-") &amp; " / " &amp; IFERROR(VLOOKUP(MID(T44,U44,V44-U44),[7]skilldef!$A:$B,2,FALSE),"-")</f>
        <v>- / -</v>
      </c>
      <c r="Z44" s="46" t="s">
        <v>371</v>
      </c>
      <c r="AA44" s="48">
        <f t="shared" ca="1" si="16"/>
        <v>42829</v>
      </c>
      <c r="AB44" s="47" t="s">
        <v>262</v>
      </c>
    </row>
    <row r="45" spans="1:28" ht="22" customHeight="1" x14ac:dyDescent="0.15">
      <c r="A45" s="43">
        <v>41009045</v>
      </c>
      <c r="B45" s="109" t="s">
        <v>405</v>
      </c>
      <c r="C45" s="46">
        <v>3</v>
      </c>
      <c r="D45" s="46" t="s">
        <v>274</v>
      </c>
      <c r="E45" s="47" t="s">
        <v>358</v>
      </c>
      <c r="F45" s="47" t="s">
        <v>359</v>
      </c>
      <c r="G45" s="59" t="str">
        <f t="shared" si="0"/>
        <v>[effect:rush, count:3, val:0.5]</v>
      </c>
      <c r="H45" s="59">
        <f t="shared" si="1"/>
        <v>9</v>
      </c>
      <c r="I45" s="59">
        <f t="shared" si="2"/>
        <v>13</v>
      </c>
      <c r="J45" s="59" t="e">
        <f t="shared" si="3"/>
        <v>#VALUE!</v>
      </c>
      <c r="K45" s="59">
        <f t="shared" si="4"/>
        <v>22</v>
      </c>
      <c r="L45" s="59" t="str">
        <f>IFERROR(VLOOKUP(MID(G45,J45,K45-J45),[7]skilldef!$C:$D,2,FALSE),"-") &amp; " / " &amp; IFERROR(VLOOKUP(MID(G45,H45,I45-H45),[7]skilldef!$A:$B,2,FALSE),"-")</f>
        <v>- / 連続攻撃</v>
      </c>
      <c r="M45" s="59" t="str">
        <f t="shared" si="5"/>
        <v>none</v>
      </c>
      <c r="N45" s="44" t="str">
        <f t="shared" si="20"/>
        <v>none</v>
      </c>
      <c r="O45" s="59" t="e">
        <f t="shared" si="7"/>
        <v>#VALUE!</v>
      </c>
      <c r="P45" s="59">
        <f t="shared" si="8"/>
        <v>4</v>
      </c>
      <c r="Q45" s="59" t="e">
        <f t="shared" si="9"/>
        <v>#VALUE!</v>
      </c>
      <c r="R45" s="59" t="e">
        <f t="shared" si="10"/>
        <v>#VALUE!</v>
      </c>
      <c r="S45" s="59" t="str">
        <f>IFERROR(VLOOKUP(MID(N45,Q45,R45-Q45),[7]skilldef!$C:$D,2,FALSE),"-") &amp; " / " &amp; IFERROR(VLOOKUP(MID(N45,O45,P45-O45),[7]skilldef!$A:$B,2,FALSE),"-")</f>
        <v>- / -</v>
      </c>
      <c r="T45" s="44" t="str">
        <f t="shared" si="11"/>
        <v>none</v>
      </c>
      <c r="U45" s="59" t="e">
        <f t="shared" si="12"/>
        <v>#VALUE!</v>
      </c>
      <c r="V45" s="59">
        <f t="shared" si="13"/>
        <v>4</v>
      </c>
      <c r="W45" s="59" t="e">
        <f t="shared" si="14"/>
        <v>#VALUE!</v>
      </c>
      <c r="X45" s="59" t="e">
        <f t="shared" si="15"/>
        <v>#VALUE!</v>
      </c>
      <c r="Y45" s="59" t="str">
        <f>IFERROR(VLOOKUP(MID(T45,W45,X45-W45),[7]skilldef!$C:$D,2,FALSE),"-") &amp; " / " &amp; IFERROR(VLOOKUP(MID(T45,U45,V45-U45),[7]skilldef!$A:$B,2,FALSE),"-")</f>
        <v>- / -</v>
      </c>
      <c r="Z45" s="46" t="s">
        <v>371</v>
      </c>
      <c r="AA45" s="48">
        <f t="shared" ca="1" si="16"/>
        <v>42829</v>
      </c>
      <c r="AB45" s="47" t="s">
        <v>262</v>
      </c>
    </row>
    <row r="46" spans="1:28" ht="22" customHeight="1" x14ac:dyDescent="0.15">
      <c r="A46" s="43">
        <v>41009046</v>
      </c>
      <c r="B46" s="43" t="s">
        <v>360</v>
      </c>
      <c r="C46" s="46">
        <v>3</v>
      </c>
      <c r="D46" s="46" t="s">
        <v>274</v>
      </c>
      <c r="E46" s="47" t="s">
        <v>361</v>
      </c>
      <c r="F46" s="47" t="s">
        <v>392</v>
      </c>
      <c r="G46" s="59" t="str">
        <f t="shared" si="0"/>
        <v>[effect:freq_turn, target:myself, turn:-1, val:1, animation:enemy_freq_turn]</v>
      </c>
      <c r="H46" s="59">
        <f t="shared" si="1"/>
        <v>9</v>
      </c>
      <c r="I46" s="59">
        <f t="shared" si="2"/>
        <v>18</v>
      </c>
      <c r="J46" s="59">
        <f t="shared" si="3"/>
        <v>27</v>
      </c>
      <c r="K46" s="59">
        <f t="shared" si="4"/>
        <v>33</v>
      </c>
      <c r="L46" s="59" t="str">
        <f>IFERROR(VLOOKUP(MID(G46,J46,K46-J46),[7]skilldef!$C:$D,2,FALSE),"-") &amp; " / " &amp; IFERROR(VLOOKUP(MID(G46,H46,I46-H46),[7]skilldef!$A:$B,2,FALSE),"-")</f>
        <v>自分自身に / 攻撃頻度がUP</v>
      </c>
      <c r="M46" s="59" t="str">
        <f t="shared" si="5"/>
        <v>[effect:rush, count:1, val:0.5]</v>
      </c>
      <c r="N46" s="44" t="str">
        <f t="shared" si="20"/>
        <v>[effect:rush, count:1, val:0.5]</v>
      </c>
      <c r="O46" s="59">
        <f t="shared" si="7"/>
        <v>9</v>
      </c>
      <c r="P46" s="59">
        <f t="shared" si="8"/>
        <v>13</v>
      </c>
      <c r="Q46" s="59" t="e">
        <f t="shared" si="9"/>
        <v>#VALUE!</v>
      </c>
      <c r="R46" s="59">
        <f t="shared" si="10"/>
        <v>22</v>
      </c>
      <c r="S46" s="59" t="str">
        <f>IFERROR(VLOOKUP(MID(N46,Q46,R46-Q46),[7]skilldef!$C:$D,2,FALSE),"-") &amp; " / " &amp; IFERROR(VLOOKUP(MID(N46,O46,P46-O46),[7]skilldef!$A:$B,2,FALSE),"-")</f>
        <v>- / 連続攻撃</v>
      </c>
      <c r="T46" s="44" t="str">
        <f t="shared" si="11"/>
        <v>none</v>
      </c>
      <c r="U46" s="59" t="e">
        <f t="shared" si="12"/>
        <v>#VALUE!</v>
      </c>
      <c r="V46" s="59">
        <f t="shared" si="13"/>
        <v>4</v>
      </c>
      <c r="W46" s="59" t="e">
        <f t="shared" si="14"/>
        <v>#VALUE!</v>
      </c>
      <c r="X46" s="59" t="e">
        <f t="shared" si="15"/>
        <v>#VALUE!</v>
      </c>
      <c r="Y46" s="59" t="str">
        <f>IFERROR(VLOOKUP(MID(T46,W46,X46-W46),[7]skilldef!$C:$D,2,FALSE),"-") &amp; " / " &amp; IFERROR(VLOOKUP(MID(T46,U46,V46-U46),[7]skilldef!$A:$B,2,FALSE),"-")</f>
        <v>- / -</v>
      </c>
      <c r="Z46" s="46" t="s">
        <v>371</v>
      </c>
      <c r="AA46" s="48">
        <f t="shared" ca="1" si="16"/>
        <v>42829</v>
      </c>
      <c r="AB46" s="47" t="s">
        <v>362</v>
      </c>
    </row>
    <row r="47" spans="1:28" ht="22" customHeight="1" x14ac:dyDescent="0.15">
      <c r="A47" s="43">
        <v>41009049</v>
      </c>
      <c r="B47" s="43" t="s">
        <v>400</v>
      </c>
      <c r="C47" s="46">
        <v>3</v>
      </c>
      <c r="D47" s="46" t="s">
        <v>274</v>
      </c>
      <c r="E47" s="47" t="s">
        <v>363</v>
      </c>
      <c r="F47" s="47" t="s">
        <v>393</v>
      </c>
      <c r="G47" s="59" t="str">
        <f t="shared" si="0"/>
        <v>[effect:fix_speed, target:enemy_blue, turn:1]</v>
      </c>
      <c r="H47" s="59">
        <f t="shared" si="1"/>
        <v>9</v>
      </c>
      <c r="I47" s="59">
        <f t="shared" si="2"/>
        <v>18</v>
      </c>
      <c r="J47" s="59">
        <f t="shared" si="3"/>
        <v>27</v>
      </c>
      <c r="K47" s="59">
        <f t="shared" si="4"/>
        <v>37</v>
      </c>
      <c r="L47" s="59" t="str">
        <f>IFERROR(VLOOKUP(MID(G47,J47,K47-J47),[7]skilldef!$C:$D,2,FALSE),"-") &amp; " / " &amp; IFERROR(VLOOKUP(MID(G47,H47,I47-H47),[7]skilldef!$A:$B,2,FALSE),"-")</f>
        <v>青の敵に / 行動値設定</v>
      </c>
      <c r="M47" s="59" t="str">
        <f t="shared" si="5"/>
        <v>[effect:fix_speed, target:enemy_red, turn:2],[effect:fix_speed, target:enemy_green, turn:3]</v>
      </c>
      <c r="N47" s="44" t="str">
        <f t="shared" si="19"/>
        <v>[effect:fix_speed, target:enemy_red, turn:2]</v>
      </c>
      <c r="O47" s="59">
        <f t="shared" si="7"/>
        <v>9</v>
      </c>
      <c r="P47" s="59">
        <f t="shared" si="8"/>
        <v>18</v>
      </c>
      <c r="Q47" s="59">
        <f t="shared" si="9"/>
        <v>27</v>
      </c>
      <c r="R47" s="59">
        <f t="shared" si="10"/>
        <v>36</v>
      </c>
      <c r="S47" s="59" t="str">
        <f>IFERROR(VLOOKUP(MID(N47,Q47,R47-Q47),[7]skilldef!$C:$D,2,FALSE),"-") &amp; " / " &amp; IFERROR(VLOOKUP(MID(N47,O47,P47-O47),[7]skilldef!$A:$B,2,FALSE),"-")</f>
        <v>赤の敵に / 行動値設定</v>
      </c>
      <c r="T47" s="44" t="str">
        <f t="shared" si="11"/>
        <v>[effect:fix_speed, target:enemy_green, turn:3]</v>
      </c>
      <c r="U47" s="59">
        <f t="shared" si="12"/>
        <v>9</v>
      </c>
      <c r="V47" s="59">
        <f t="shared" si="13"/>
        <v>18</v>
      </c>
      <c r="W47" s="59">
        <f t="shared" si="14"/>
        <v>27</v>
      </c>
      <c r="X47" s="59">
        <f t="shared" si="15"/>
        <v>38</v>
      </c>
      <c r="Y47" s="59" t="str">
        <f>IFERROR(VLOOKUP(MID(T47,W47,X47-W47),[7]skilldef!$C:$D,2,FALSE),"-") &amp; " / " &amp; IFERROR(VLOOKUP(MID(T47,U47,V47-U47),[7]skilldef!$A:$B,2,FALSE),"-")</f>
        <v>緑の敵に / 行動値設定</v>
      </c>
      <c r="Z47" s="46" t="s">
        <v>371</v>
      </c>
      <c r="AA47" s="48">
        <f t="shared" ca="1" si="16"/>
        <v>42829</v>
      </c>
      <c r="AB47" s="47" t="s">
        <v>364</v>
      </c>
    </row>
    <row r="48" spans="1:28" ht="22" customHeight="1" x14ac:dyDescent="0.15">
      <c r="A48" s="43">
        <v>41009050</v>
      </c>
      <c r="B48" s="109" t="s">
        <v>398</v>
      </c>
      <c r="C48" s="46">
        <v>3</v>
      </c>
      <c r="D48" s="46" t="s">
        <v>274</v>
      </c>
      <c r="E48" s="47" t="s">
        <v>365</v>
      </c>
      <c r="F48" s="47" t="s">
        <v>394</v>
      </c>
      <c r="G48" s="59" t="str">
        <f t="shared" si="0"/>
        <v>[effect:enemy_message, val1:1.2, val2:2.2]</v>
      </c>
      <c r="H48" s="59">
        <f t="shared" si="1"/>
        <v>9</v>
      </c>
      <c r="I48" s="59">
        <f t="shared" si="2"/>
        <v>22</v>
      </c>
      <c r="J48" s="59" t="e">
        <f t="shared" si="3"/>
        <v>#VALUE!</v>
      </c>
      <c r="K48" s="59">
        <f t="shared" si="4"/>
        <v>32</v>
      </c>
      <c r="L48" s="59" t="str">
        <f>IFERROR(VLOOKUP(MID(G48,J48,K48-J48),[7]skilldef!$C:$D,2,FALSE),"-") &amp; " / " &amp; IFERROR(VLOOKUP(MID(G48,H48,I48-H48),[7]skilldef!$A:$B,2,FALSE),"-")</f>
        <v>- / -</v>
      </c>
      <c r="M48" s="59" t="str">
        <f t="shared" si="5"/>
        <v xml:space="preserve">[effect:rush, count:1, val:0.8],[effect:change_panel_ratio, turn:2, block_type:green, val:0, animation:block_incidence04]    </v>
      </c>
      <c r="N48" s="44" t="str">
        <f t="shared" si="19"/>
        <v>[effect:rush, count:1, val:0.8]</v>
      </c>
      <c r="O48" s="59">
        <f t="shared" si="7"/>
        <v>9</v>
      </c>
      <c r="P48" s="59">
        <f t="shared" si="8"/>
        <v>13</v>
      </c>
      <c r="Q48" s="59" t="e">
        <f t="shared" si="9"/>
        <v>#VALUE!</v>
      </c>
      <c r="R48" s="59">
        <f t="shared" si="10"/>
        <v>22</v>
      </c>
      <c r="S48" s="59" t="str">
        <f>IFERROR(VLOOKUP(MID(N48,Q48,R48-Q48),[7]skilldef!$C:$D,2,FALSE),"-") &amp; " / " &amp; IFERROR(VLOOKUP(MID(N48,O48,P48-O48),[7]skilldef!$A:$B,2,FALSE),"-")</f>
        <v>- / 連続攻撃</v>
      </c>
      <c r="T48" s="44" t="str">
        <f t="shared" si="11"/>
        <v xml:space="preserve">[effect:change_panel_ratio, turn:2, block_type:green, val:0, animation:block_incidence04]    </v>
      </c>
      <c r="U48" s="59">
        <f t="shared" si="12"/>
        <v>9</v>
      </c>
      <c r="V48" s="59">
        <f t="shared" si="13"/>
        <v>27</v>
      </c>
      <c r="W48" s="59" t="e">
        <f t="shared" si="14"/>
        <v>#VALUE!</v>
      </c>
      <c r="X48" s="59">
        <f t="shared" si="15"/>
        <v>35</v>
      </c>
      <c r="Y48" s="59" t="str">
        <f>IFERROR(VLOOKUP(MID(T48,W48,X48-W48),[7]skilldef!$C:$D,2,FALSE),"-") &amp; " / " &amp; IFERROR(VLOOKUP(MID(T48,U48,V48-U48),[7]skilldef!$A:$B,2,FALSE),"-")</f>
        <v>- / -</v>
      </c>
      <c r="Z48" s="46" t="s">
        <v>371</v>
      </c>
      <c r="AA48" s="48">
        <f t="shared" ca="1" si="16"/>
        <v>42829</v>
      </c>
      <c r="AB48" s="47" t="s">
        <v>366</v>
      </c>
    </row>
    <row r="49" spans="1:28" ht="22" customHeight="1" x14ac:dyDescent="0.15">
      <c r="A49" s="43">
        <v>41009051</v>
      </c>
      <c r="B49" s="43" t="s">
        <v>367</v>
      </c>
      <c r="C49" s="46">
        <v>3</v>
      </c>
      <c r="D49" s="46" t="s">
        <v>274</v>
      </c>
      <c r="E49" s="47" t="s">
        <v>368</v>
      </c>
      <c r="F49" s="47" t="s">
        <v>395</v>
      </c>
      <c r="G49" s="59" t="str">
        <f t="shared" si="0"/>
        <v>[effect:break_attack_fix, val:800, lowest_val:800, count:-1, block:block_green, target:unit_all]</v>
      </c>
      <c r="H49" s="59">
        <f t="shared" si="1"/>
        <v>9</v>
      </c>
      <c r="I49" s="59">
        <f t="shared" si="2"/>
        <v>25</v>
      </c>
      <c r="J49" s="59">
        <f t="shared" si="3"/>
        <v>88</v>
      </c>
      <c r="K49" s="59">
        <f t="shared" si="4"/>
        <v>34</v>
      </c>
      <c r="L49" s="59" t="str">
        <f>IFERROR(VLOOKUP(MID(G49,J49,K49-J49),[7]skilldef!$C:$D,2,FALSE),"-") &amp; " / " &amp; IFERROR(VLOOKUP(MID(G49,H49,I49-H49),[7]skilldef!$A:$B,2,FALSE),"-")</f>
        <v>- / -</v>
      </c>
      <c r="M49" s="59" t="str">
        <f t="shared" si="5"/>
        <v>none</v>
      </c>
      <c r="N49" s="44" t="str">
        <f t="shared" si="19"/>
        <v>none</v>
      </c>
      <c r="O49" s="59" t="e">
        <f t="shared" si="7"/>
        <v>#VALUE!</v>
      </c>
      <c r="P49" s="59">
        <f t="shared" si="8"/>
        <v>4</v>
      </c>
      <c r="Q49" s="59" t="e">
        <f t="shared" si="9"/>
        <v>#VALUE!</v>
      </c>
      <c r="R49" s="59" t="e">
        <f t="shared" si="10"/>
        <v>#VALUE!</v>
      </c>
      <c r="S49" s="59" t="str">
        <f>IFERROR(VLOOKUP(MID(N49,Q49,R49-Q49),[7]skilldef!$C:$D,2,FALSE),"-") &amp; " / " &amp; IFERROR(VLOOKUP(MID(N49,O49,P49-O49),[7]skilldef!$A:$B,2,FALSE),"-")</f>
        <v>- / -</v>
      </c>
      <c r="T49" s="44" t="str">
        <f t="shared" si="11"/>
        <v>none</v>
      </c>
      <c r="U49" s="59" t="e">
        <f t="shared" si="12"/>
        <v>#VALUE!</v>
      </c>
      <c r="V49" s="59">
        <f t="shared" si="13"/>
        <v>4</v>
      </c>
      <c r="W49" s="59" t="e">
        <f t="shared" si="14"/>
        <v>#VALUE!</v>
      </c>
      <c r="X49" s="59" t="e">
        <f t="shared" si="15"/>
        <v>#VALUE!</v>
      </c>
      <c r="Y49" s="59" t="str">
        <f>IFERROR(VLOOKUP(MID(T49,W49,X49-W49),[7]skilldef!$C:$D,2,FALSE),"-") &amp; " / " &amp; IFERROR(VLOOKUP(MID(T49,U49,V49-U49),[7]skilldef!$A:$B,2,FALSE),"-")</f>
        <v>- / -</v>
      </c>
      <c r="Z49" s="46" t="s">
        <v>371</v>
      </c>
      <c r="AA49" s="48">
        <f t="shared" ca="1" si="16"/>
        <v>42829</v>
      </c>
      <c r="AB49" s="47" t="s">
        <v>369</v>
      </c>
    </row>
    <row r="50" spans="1:28" ht="22" customHeight="1" x14ac:dyDescent="0.15">
      <c r="A50" s="43">
        <v>41009052</v>
      </c>
      <c r="B50" s="43" t="s">
        <v>421</v>
      </c>
      <c r="C50" s="46">
        <v>3</v>
      </c>
      <c r="D50" s="46" t="s">
        <v>274</v>
      </c>
      <c r="E50" s="47" t="s">
        <v>419</v>
      </c>
      <c r="F50" s="47" t="s">
        <v>287</v>
      </c>
      <c r="G50" s="59" t="str">
        <f t="shared" ref="G50:G51" si="21">IFERROR(LEFT(B50,FIND("],",B50)),B50)</f>
        <v>[effect:critical, val:1.5]</v>
      </c>
      <c r="H50" s="59">
        <f t="shared" ref="H50:H51" si="22">FIND("effect:",G50)+7</f>
        <v>9</v>
      </c>
      <c r="I50" s="59">
        <f t="shared" ref="I50:I51" si="23">IFERROR(FIND(",",G50),LEN(G50))</f>
        <v>17</v>
      </c>
      <c r="J50" s="59" t="e">
        <f t="shared" ref="J50:J51" si="24">FIND("target:",G50)+7</f>
        <v>#VALUE!</v>
      </c>
      <c r="K50" s="59" t="e">
        <f t="shared" ref="K50:K51" si="25">FIND(",",G50,I50+1)</f>
        <v>#VALUE!</v>
      </c>
      <c r="L50" s="59" t="str">
        <f>IFERROR(VLOOKUP(MID(G50,J50,K50-J50),[7]skilldef!$C:$D,2,FALSE),"-") &amp; " / " &amp; IFERROR(VLOOKUP(MID(G50,H50,I50-H50),[7]skilldef!$A:$B,2,FALSE),"-")</f>
        <v>- / 大攻撃</v>
      </c>
      <c r="M50" s="59" t="str">
        <f t="shared" ref="M50:M51" si="26">IFERROR(RIGHT(B50,LEN(B50)-FIND("],",B50)-1),"none")</f>
        <v>none</v>
      </c>
      <c r="N50" s="44" t="str">
        <f t="shared" ref="N50:N51" si="27">IFERROR(LEFT(M50,FIND("],",M50)+S60),M50)</f>
        <v>none</v>
      </c>
      <c r="O50" s="59" t="e">
        <f t="shared" ref="O50:O51" si="28">FIND("effect:",N50)+7</f>
        <v>#VALUE!</v>
      </c>
      <c r="P50" s="59">
        <f t="shared" ref="P50:P51" si="29">IFERROR(FIND(",",N50),LEN(N50))</f>
        <v>4</v>
      </c>
      <c r="Q50" s="59" t="e">
        <f t="shared" ref="Q50:Q51" si="30">FIND("target:",N50)+7</f>
        <v>#VALUE!</v>
      </c>
      <c r="R50" s="59" t="e">
        <f t="shared" ref="R50:R51" si="31">FIND(",",N50,P50+1)</f>
        <v>#VALUE!</v>
      </c>
      <c r="S50" s="59" t="str">
        <f>IFERROR(VLOOKUP(MID(N50,Q50,R50-Q50),[7]skilldef!$C:$D,2,FALSE),"-") &amp; " / " &amp; IFERROR(VLOOKUP(MID(N50,O50,P50-O50),[7]skilldef!$A:$B,2,FALSE),"-")</f>
        <v>- / -</v>
      </c>
      <c r="T50" s="44" t="str">
        <f t="shared" ref="T50:T51" si="32">IFERROR(RIGHT(M50,LEN(M50)-FIND("],",M50)-1),"none")</f>
        <v>none</v>
      </c>
      <c r="U50" s="59" t="e">
        <f t="shared" ref="U50:U51" si="33">FIND("effect:",T50)+7</f>
        <v>#VALUE!</v>
      </c>
      <c r="V50" s="59">
        <f t="shared" ref="V50:V51" si="34">IFERROR(FIND(",",T50),LEN(T50))</f>
        <v>4</v>
      </c>
      <c r="W50" s="59" t="e">
        <f t="shared" ref="W50:W51" si="35">FIND("target:",T50)+7</f>
        <v>#VALUE!</v>
      </c>
      <c r="X50" s="59" t="e">
        <f t="shared" ref="X50:X51" si="36">FIND(",",T50,V50+1)</f>
        <v>#VALUE!</v>
      </c>
      <c r="Y50" s="59" t="str">
        <f>IFERROR(VLOOKUP(MID(T50,W50,X50-W50),[7]skilldef!$C:$D,2,FALSE),"-") &amp; " / " &amp; IFERROR(VLOOKUP(MID(T50,U50,V50-U50),[7]skilldef!$A:$B,2,FALSE),"-")</f>
        <v>- / -</v>
      </c>
      <c r="Z50" s="46" t="s">
        <v>371</v>
      </c>
      <c r="AA50" s="48">
        <f t="shared" ca="1" si="16"/>
        <v>42829</v>
      </c>
      <c r="AB50" s="47" t="s">
        <v>369</v>
      </c>
    </row>
    <row r="51" spans="1:28" ht="22" customHeight="1" x14ac:dyDescent="0.15">
      <c r="A51" s="43">
        <v>41009053</v>
      </c>
      <c r="B51" s="43" t="s">
        <v>422</v>
      </c>
      <c r="C51" s="46">
        <v>3</v>
      </c>
      <c r="D51" s="46" t="s">
        <v>274</v>
      </c>
      <c r="E51" s="47" t="s">
        <v>419</v>
      </c>
      <c r="F51" s="47" t="s">
        <v>287</v>
      </c>
      <c r="G51" s="59" t="str">
        <f t="shared" si="21"/>
        <v>[effect:critical, val:1.6]</v>
      </c>
      <c r="H51" s="59">
        <f t="shared" si="22"/>
        <v>9</v>
      </c>
      <c r="I51" s="59">
        <f t="shared" si="23"/>
        <v>17</v>
      </c>
      <c r="J51" s="59" t="e">
        <f t="shared" si="24"/>
        <v>#VALUE!</v>
      </c>
      <c r="K51" s="59" t="e">
        <f t="shared" si="25"/>
        <v>#VALUE!</v>
      </c>
      <c r="L51" s="59" t="str">
        <f>IFERROR(VLOOKUP(MID(G51,J51,K51-J51),[7]skilldef!$C:$D,2,FALSE),"-") &amp; " / " &amp; IFERROR(VLOOKUP(MID(G51,H51,I51-H51),[7]skilldef!$A:$B,2,FALSE),"-")</f>
        <v>- / 大攻撃</v>
      </c>
      <c r="M51" s="59" t="str">
        <f t="shared" si="26"/>
        <v>none</v>
      </c>
      <c r="N51" s="44" t="str">
        <f t="shared" si="27"/>
        <v>none</v>
      </c>
      <c r="O51" s="59" t="e">
        <f t="shared" si="28"/>
        <v>#VALUE!</v>
      </c>
      <c r="P51" s="59">
        <f t="shared" si="29"/>
        <v>4</v>
      </c>
      <c r="Q51" s="59" t="e">
        <f t="shared" si="30"/>
        <v>#VALUE!</v>
      </c>
      <c r="R51" s="59" t="e">
        <f t="shared" si="31"/>
        <v>#VALUE!</v>
      </c>
      <c r="S51" s="59" t="str">
        <f>IFERROR(VLOOKUP(MID(N51,Q51,R51-Q51),[7]skilldef!$C:$D,2,FALSE),"-") &amp; " / " &amp; IFERROR(VLOOKUP(MID(N51,O51,P51-O51),[7]skilldef!$A:$B,2,FALSE),"-")</f>
        <v>- / -</v>
      </c>
      <c r="T51" s="44" t="str">
        <f t="shared" si="32"/>
        <v>none</v>
      </c>
      <c r="U51" s="59" t="e">
        <f t="shared" si="33"/>
        <v>#VALUE!</v>
      </c>
      <c r="V51" s="59">
        <f t="shared" si="34"/>
        <v>4</v>
      </c>
      <c r="W51" s="59" t="e">
        <f t="shared" si="35"/>
        <v>#VALUE!</v>
      </c>
      <c r="X51" s="59" t="e">
        <f t="shared" si="36"/>
        <v>#VALUE!</v>
      </c>
      <c r="Y51" s="59" t="str">
        <f>IFERROR(VLOOKUP(MID(T51,W51,X51-W51),[7]skilldef!$C:$D,2,FALSE),"-") &amp; " / " &amp; IFERROR(VLOOKUP(MID(T51,U51,V51-U51),[7]skilldef!$A:$B,2,FALSE),"-")</f>
        <v>- / -</v>
      </c>
      <c r="Z51" s="46" t="s">
        <v>371</v>
      </c>
      <c r="AA51" s="48">
        <f t="shared" ca="1" si="16"/>
        <v>42829</v>
      </c>
      <c r="AB51" s="47" t="s">
        <v>369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9"/>
  <sheetViews>
    <sheetView showGridLines="0" zoomScale="90" zoomScaleNormal="75" zoomScalePageLayoutView="75" workbookViewId="0">
      <pane ySplit="1" topLeftCell="A26" activePane="bottomLeft" state="frozenSplit"/>
      <selection pane="bottomLeft" activeCell="P41" sqref="P41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85</v>
      </c>
      <c r="B1" s="38" t="s">
        <v>86</v>
      </c>
      <c r="C1" s="38" t="s">
        <v>87</v>
      </c>
      <c r="D1" s="38" t="s">
        <v>88</v>
      </c>
      <c r="E1" s="38" t="s">
        <v>70</v>
      </c>
      <c r="F1" s="49" t="s">
        <v>71</v>
      </c>
      <c r="G1" s="49" t="s">
        <v>72</v>
      </c>
      <c r="H1" s="38" t="s">
        <v>73</v>
      </c>
      <c r="I1" s="38" t="s">
        <v>74</v>
      </c>
      <c r="J1" s="38" t="s">
        <v>75</v>
      </c>
      <c r="K1" s="50" t="s">
        <v>89</v>
      </c>
    </row>
    <row r="2" spans="1:11" ht="21" customHeight="1" x14ac:dyDescent="0.15">
      <c r="A2" s="43">
        <v>41009001</v>
      </c>
      <c r="B2" s="44">
        <v>0</v>
      </c>
      <c r="C2" s="44" t="s">
        <v>53</v>
      </c>
      <c r="D2" s="44">
        <v>100</v>
      </c>
      <c r="E2" s="44" t="s">
        <v>53</v>
      </c>
      <c r="F2" s="44" t="s">
        <v>53</v>
      </c>
      <c r="G2" s="44">
        <v>3</v>
      </c>
      <c r="H2" s="44" t="s">
        <v>53</v>
      </c>
      <c r="I2" s="44" t="s">
        <v>53</v>
      </c>
      <c r="J2" s="44">
        <f t="shared" ref="J2:J47" si="0">D2</f>
        <v>100</v>
      </c>
    </row>
    <row r="3" spans="1:11" ht="21" customHeight="1" x14ac:dyDescent="0.15">
      <c r="A3" s="43">
        <v>41009002</v>
      </c>
      <c r="B3" s="44">
        <v>0</v>
      </c>
      <c r="C3" s="44">
        <v>1</v>
      </c>
      <c r="D3" s="44">
        <v>100</v>
      </c>
      <c r="E3" s="44">
        <v>40</v>
      </c>
      <c r="F3" s="44" t="s">
        <v>53</v>
      </c>
      <c r="G3" s="44">
        <v>2</v>
      </c>
      <c r="H3" s="44" t="s">
        <v>53</v>
      </c>
      <c r="I3" s="44" t="s">
        <v>53</v>
      </c>
      <c r="J3" s="44">
        <f t="shared" si="0"/>
        <v>100</v>
      </c>
    </row>
    <row r="4" spans="1:11" ht="21" customHeight="1" x14ac:dyDescent="0.15">
      <c r="A4" s="43">
        <v>41009003</v>
      </c>
      <c r="B4" s="44">
        <v>0</v>
      </c>
      <c r="C4" s="44" t="s">
        <v>53</v>
      </c>
      <c r="D4" s="44">
        <v>100</v>
      </c>
      <c r="E4" s="44" t="s">
        <v>53</v>
      </c>
      <c r="F4" s="44" t="s">
        <v>53</v>
      </c>
      <c r="G4" s="44" t="s">
        <v>53</v>
      </c>
      <c r="H4" s="44" t="s">
        <v>53</v>
      </c>
      <c r="I4" s="44" t="s">
        <v>53</v>
      </c>
      <c r="J4" s="44">
        <f t="shared" si="0"/>
        <v>100</v>
      </c>
    </row>
    <row r="5" spans="1:11" ht="21" customHeight="1" x14ac:dyDescent="0.15">
      <c r="A5" s="43">
        <v>41009004</v>
      </c>
      <c r="B5" s="44">
        <v>0</v>
      </c>
      <c r="C5" s="44" t="s">
        <v>53</v>
      </c>
      <c r="D5" s="44">
        <v>100</v>
      </c>
      <c r="E5" s="44" t="s">
        <v>53</v>
      </c>
      <c r="F5" s="44" t="s">
        <v>53</v>
      </c>
      <c r="G5" s="44" t="s">
        <v>53</v>
      </c>
      <c r="H5" s="44" t="s">
        <v>53</v>
      </c>
      <c r="I5" s="44" t="s">
        <v>53</v>
      </c>
      <c r="J5" s="44">
        <f t="shared" si="0"/>
        <v>100</v>
      </c>
    </row>
    <row r="6" spans="1:11" ht="21" customHeight="1" x14ac:dyDescent="0.15">
      <c r="A6" s="43">
        <v>41009005</v>
      </c>
      <c r="B6" s="44">
        <v>1</v>
      </c>
      <c r="C6" s="44" t="s">
        <v>53</v>
      </c>
      <c r="D6" s="44">
        <v>100</v>
      </c>
      <c r="E6" s="44" t="s">
        <v>53</v>
      </c>
      <c r="F6" s="44" t="s">
        <v>53</v>
      </c>
      <c r="G6" s="44">
        <v>1</v>
      </c>
      <c r="H6" s="44" t="s">
        <v>53</v>
      </c>
      <c r="I6" s="44" t="s">
        <v>53</v>
      </c>
      <c r="J6" s="44">
        <f t="shared" si="0"/>
        <v>100</v>
      </c>
    </row>
    <row r="7" spans="1:11" ht="21" customHeight="1" x14ac:dyDescent="0.15">
      <c r="A7" s="43">
        <v>41009006</v>
      </c>
      <c r="B7" s="44">
        <v>0</v>
      </c>
      <c r="C7" s="44">
        <v>1</v>
      </c>
      <c r="D7" s="44">
        <v>100</v>
      </c>
      <c r="E7" s="44">
        <v>80</v>
      </c>
      <c r="F7" s="44" t="s">
        <v>53</v>
      </c>
      <c r="G7" s="44">
        <v>1</v>
      </c>
      <c r="H7" s="44" t="s">
        <v>53</v>
      </c>
      <c r="I7" s="44" t="s">
        <v>53</v>
      </c>
      <c r="J7" s="44">
        <f t="shared" si="0"/>
        <v>100</v>
      </c>
    </row>
    <row r="8" spans="1:11" ht="21" customHeight="1" x14ac:dyDescent="0.15">
      <c r="A8" s="43">
        <v>41009007</v>
      </c>
      <c r="B8" s="44">
        <v>0</v>
      </c>
      <c r="C8" s="44">
        <v>2</v>
      </c>
      <c r="D8" s="44">
        <v>100</v>
      </c>
      <c r="E8" s="44" t="s">
        <v>53</v>
      </c>
      <c r="F8" s="44" t="s">
        <v>53</v>
      </c>
      <c r="G8" s="44" t="s">
        <v>53</v>
      </c>
      <c r="H8" s="44">
        <v>3</v>
      </c>
      <c r="I8" s="44" t="s">
        <v>53</v>
      </c>
      <c r="J8" s="44">
        <f t="shared" si="0"/>
        <v>100</v>
      </c>
    </row>
    <row r="9" spans="1:11" ht="21" customHeight="1" x14ac:dyDescent="0.15">
      <c r="A9" s="43">
        <v>41009008</v>
      </c>
      <c r="B9" s="44">
        <v>0</v>
      </c>
      <c r="C9" s="44" t="s">
        <v>53</v>
      </c>
      <c r="D9" s="44">
        <v>40</v>
      </c>
      <c r="E9" s="44" t="s">
        <v>53</v>
      </c>
      <c r="F9" s="44" t="s">
        <v>53</v>
      </c>
      <c r="G9" s="44" t="s">
        <v>53</v>
      </c>
      <c r="H9" s="44" t="s">
        <v>53</v>
      </c>
      <c r="I9" s="44" t="s">
        <v>53</v>
      </c>
      <c r="J9" s="44">
        <f t="shared" si="0"/>
        <v>40</v>
      </c>
    </row>
    <row r="10" spans="1:11" ht="21" customHeight="1" x14ac:dyDescent="0.15">
      <c r="A10" s="43">
        <v>41009009</v>
      </c>
      <c r="B10" s="44">
        <v>1</v>
      </c>
      <c r="C10" s="44" t="s">
        <v>53</v>
      </c>
      <c r="D10" s="44">
        <v>100</v>
      </c>
      <c r="E10" s="44" t="s">
        <v>53</v>
      </c>
      <c r="F10" s="44" t="s">
        <v>53</v>
      </c>
      <c r="G10" s="44">
        <v>1</v>
      </c>
      <c r="H10" s="44" t="s">
        <v>53</v>
      </c>
      <c r="I10" s="44" t="s">
        <v>53</v>
      </c>
      <c r="J10" s="44">
        <f t="shared" si="0"/>
        <v>100</v>
      </c>
    </row>
    <row r="11" spans="1:11" ht="21" customHeight="1" x14ac:dyDescent="0.15">
      <c r="A11" s="43">
        <v>41009010</v>
      </c>
      <c r="B11" s="44">
        <v>0</v>
      </c>
      <c r="C11" s="44" t="s">
        <v>53</v>
      </c>
      <c r="D11" s="44">
        <v>40</v>
      </c>
      <c r="E11" s="44" t="s">
        <v>53</v>
      </c>
      <c r="F11" s="44" t="s">
        <v>53</v>
      </c>
      <c r="G11" s="44">
        <v>5</v>
      </c>
      <c r="H11" s="44" t="s">
        <v>53</v>
      </c>
      <c r="I11" s="44" t="s">
        <v>53</v>
      </c>
      <c r="J11" s="44">
        <f t="shared" si="0"/>
        <v>40</v>
      </c>
    </row>
    <row r="12" spans="1:11" ht="21" customHeight="1" x14ac:dyDescent="0.15">
      <c r="A12" s="43">
        <v>41009011</v>
      </c>
      <c r="B12" s="44">
        <v>0</v>
      </c>
      <c r="C12" s="44">
        <v>4</v>
      </c>
      <c r="D12" s="44">
        <v>100</v>
      </c>
      <c r="E12" s="44">
        <v>50</v>
      </c>
      <c r="F12" s="44" t="s">
        <v>53</v>
      </c>
      <c r="G12" s="44">
        <v>1</v>
      </c>
      <c r="H12" s="44" t="s">
        <v>53</v>
      </c>
      <c r="I12" s="44" t="s">
        <v>53</v>
      </c>
      <c r="J12" s="44">
        <f t="shared" si="0"/>
        <v>100</v>
      </c>
    </row>
    <row r="13" spans="1:11" ht="21" customHeight="1" x14ac:dyDescent="0.15">
      <c r="A13" s="43">
        <v>41009012</v>
      </c>
      <c r="B13" s="44">
        <v>0</v>
      </c>
      <c r="C13" s="44">
        <v>3</v>
      </c>
      <c r="D13" s="44">
        <v>100</v>
      </c>
      <c r="E13" s="44">
        <v>50</v>
      </c>
      <c r="F13" s="44" t="s">
        <v>53</v>
      </c>
      <c r="G13" s="44">
        <v>1</v>
      </c>
      <c r="H13" s="44" t="s">
        <v>53</v>
      </c>
      <c r="I13" s="44" t="s">
        <v>53</v>
      </c>
      <c r="J13" s="44">
        <f t="shared" si="0"/>
        <v>100</v>
      </c>
    </row>
    <row r="14" spans="1:11" ht="21" customHeight="1" x14ac:dyDescent="0.15">
      <c r="A14" s="43">
        <v>41009013</v>
      </c>
      <c r="B14" s="44">
        <v>0</v>
      </c>
      <c r="C14" s="44">
        <v>2</v>
      </c>
      <c r="D14" s="44">
        <v>100</v>
      </c>
      <c r="E14" s="44">
        <v>50</v>
      </c>
      <c r="F14" s="44" t="s">
        <v>53</v>
      </c>
      <c r="G14" s="44">
        <v>1</v>
      </c>
      <c r="H14" s="44" t="s">
        <v>53</v>
      </c>
      <c r="I14" s="44" t="s">
        <v>53</v>
      </c>
      <c r="J14" s="44">
        <f t="shared" si="0"/>
        <v>100</v>
      </c>
    </row>
    <row r="15" spans="1:11" ht="21" customHeight="1" x14ac:dyDescent="0.15">
      <c r="A15" s="43">
        <v>41009014</v>
      </c>
      <c r="B15" s="44">
        <v>0</v>
      </c>
      <c r="C15" s="44">
        <v>1</v>
      </c>
      <c r="D15" s="44">
        <v>100</v>
      </c>
      <c r="E15" s="44">
        <v>50</v>
      </c>
      <c r="F15" s="44" t="s">
        <v>53</v>
      </c>
      <c r="G15" s="44">
        <v>1</v>
      </c>
      <c r="H15" s="44" t="s">
        <v>53</v>
      </c>
      <c r="I15" s="44" t="s">
        <v>53</v>
      </c>
      <c r="J15" s="44">
        <f t="shared" si="0"/>
        <v>100</v>
      </c>
    </row>
    <row r="16" spans="1:11" ht="21" customHeight="1" x14ac:dyDescent="0.15">
      <c r="A16" s="43">
        <v>41009015</v>
      </c>
      <c r="B16" s="44">
        <v>1</v>
      </c>
      <c r="C16" s="44" t="s">
        <v>53</v>
      </c>
      <c r="D16" s="44">
        <v>100</v>
      </c>
      <c r="E16" s="44" t="s">
        <v>53</v>
      </c>
      <c r="F16" s="44" t="s">
        <v>53</v>
      </c>
      <c r="G16" s="44">
        <v>1</v>
      </c>
      <c r="H16" s="44" t="s">
        <v>53</v>
      </c>
      <c r="I16" s="44" t="s">
        <v>53</v>
      </c>
      <c r="J16" s="44">
        <f t="shared" si="0"/>
        <v>100</v>
      </c>
    </row>
    <row r="17" spans="1:10" ht="21" customHeight="1" x14ac:dyDescent="0.15">
      <c r="A17" s="43">
        <v>41009016</v>
      </c>
      <c r="B17" s="44">
        <v>0</v>
      </c>
      <c r="C17" s="44">
        <v>2</v>
      </c>
      <c r="D17" s="44">
        <v>100</v>
      </c>
      <c r="E17" s="44" t="s">
        <v>53</v>
      </c>
      <c r="F17" s="44">
        <v>31</v>
      </c>
      <c r="G17" s="44" t="s">
        <v>53</v>
      </c>
      <c r="H17" s="44">
        <v>2</v>
      </c>
      <c r="I17" s="44" t="s">
        <v>53</v>
      </c>
      <c r="J17" s="44">
        <f t="shared" si="0"/>
        <v>100</v>
      </c>
    </row>
    <row r="18" spans="1:10" ht="21" customHeight="1" x14ac:dyDescent="0.15">
      <c r="A18" s="43">
        <v>41009017</v>
      </c>
      <c r="B18" s="44">
        <v>0</v>
      </c>
      <c r="C18" s="44">
        <v>4</v>
      </c>
      <c r="D18" s="44">
        <v>100</v>
      </c>
      <c r="E18" s="44">
        <v>30</v>
      </c>
      <c r="F18" s="44" t="s">
        <v>370</v>
      </c>
      <c r="G18" s="44">
        <v>1</v>
      </c>
      <c r="H18" s="44" t="s">
        <v>53</v>
      </c>
      <c r="I18" s="44" t="s">
        <v>53</v>
      </c>
      <c r="J18" s="44">
        <f t="shared" si="0"/>
        <v>100</v>
      </c>
    </row>
    <row r="19" spans="1:10" ht="21" customHeight="1" x14ac:dyDescent="0.15">
      <c r="A19" s="43">
        <v>41009018</v>
      </c>
      <c r="B19" s="44">
        <v>1</v>
      </c>
      <c r="C19" s="44" t="s">
        <v>53</v>
      </c>
      <c r="D19" s="44">
        <v>100</v>
      </c>
      <c r="E19" s="44" t="s">
        <v>53</v>
      </c>
      <c r="F19" s="44" t="s">
        <v>53</v>
      </c>
      <c r="G19" s="44">
        <v>1</v>
      </c>
      <c r="H19" s="44" t="s">
        <v>53</v>
      </c>
      <c r="I19" s="44" t="s">
        <v>53</v>
      </c>
      <c r="J19" s="44">
        <f t="shared" si="0"/>
        <v>100</v>
      </c>
    </row>
    <row r="20" spans="1:10" ht="21" customHeight="1" x14ac:dyDescent="0.15">
      <c r="A20" s="43">
        <v>41009019</v>
      </c>
      <c r="B20" s="44">
        <v>0</v>
      </c>
      <c r="C20" s="44" t="s">
        <v>53</v>
      </c>
      <c r="D20" s="44">
        <v>40</v>
      </c>
      <c r="E20" s="44" t="s">
        <v>53</v>
      </c>
      <c r="F20" s="44" t="s">
        <v>53</v>
      </c>
      <c r="G20" s="44">
        <v>2</v>
      </c>
      <c r="H20" s="44" t="s">
        <v>53</v>
      </c>
      <c r="I20" s="44" t="s">
        <v>53</v>
      </c>
      <c r="J20" s="44">
        <f t="shared" si="0"/>
        <v>40</v>
      </c>
    </row>
    <row r="21" spans="1:10" ht="21" customHeight="1" x14ac:dyDescent="0.15">
      <c r="A21" s="43">
        <v>41009020</v>
      </c>
      <c r="B21" s="44">
        <v>0</v>
      </c>
      <c r="C21" s="44">
        <v>4</v>
      </c>
      <c r="D21" s="44">
        <v>100</v>
      </c>
      <c r="E21" s="44">
        <v>50</v>
      </c>
      <c r="F21" s="44" t="s">
        <v>53</v>
      </c>
      <c r="G21" s="44">
        <v>1</v>
      </c>
      <c r="H21" s="44" t="s">
        <v>53</v>
      </c>
      <c r="I21" s="44" t="s">
        <v>53</v>
      </c>
      <c r="J21" s="44">
        <f t="shared" si="0"/>
        <v>100</v>
      </c>
    </row>
    <row r="22" spans="1:10" ht="21" customHeight="1" x14ac:dyDescent="0.15">
      <c r="A22" s="43">
        <v>41009021</v>
      </c>
      <c r="B22" s="44">
        <v>0</v>
      </c>
      <c r="C22" s="44">
        <v>3</v>
      </c>
      <c r="D22" s="44">
        <v>100</v>
      </c>
      <c r="E22" s="44">
        <v>50</v>
      </c>
      <c r="F22" s="44" t="s">
        <v>53</v>
      </c>
      <c r="G22" s="44">
        <v>1</v>
      </c>
      <c r="H22" s="44" t="s">
        <v>53</v>
      </c>
      <c r="I22" s="44" t="s">
        <v>53</v>
      </c>
      <c r="J22" s="44">
        <f t="shared" si="0"/>
        <v>100</v>
      </c>
    </row>
    <row r="23" spans="1:10" ht="21" customHeight="1" x14ac:dyDescent="0.15">
      <c r="A23" s="43">
        <v>41009022</v>
      </c>
      <c r="B23" s="44">
        <v>0</v>
      </c>
      <c r="C23" s="44">
        <v>2</v>
      </c>
      <c r="D23" s="44">
        <v>100</v>
      </c>
      <c r="E23" s="44">
        <v>30</v>
      </c>
      <c r="F23" s="44" t="s">
        <v>53</v>
      </c>
      <c r="G23" s="44">
        <v>1</v>
      </c>
      <c r="H23" s="44" t="s">
        <v>53</v>
      </c>
      <c r="I23" s="44" t="s">
        <v>53</v>
      </c>
      <c r="J23" s="44">
        <f t="shared" si="0"/>
        <v>100</v>
      </c>
    </row>
    <row r="24" spans="1:10" ht="21" customHeight="1" x14ac:dyDescent="0.15">
      <c r="A24" s="43">
        <v>41009023</v>
      </c>
      <c r="B24" s="44">
        <v>1</v>
      </c>
      <c r="C24" s="44" t="s">
        <v>53</v>
      </c>
      <c r="D24" s="44">
        <v>100</v>
      </c>
      <c r="E24" s="44" t="s">
        <v>53</v>
      </c>
      <c r="F24" s="44" t="s">
        <v>53</v>
      </c>
      <c r="G24" s="44">
        <v>1</v>
      </c>
      <c r="H24" s="44" t="s">
        <v>53</v>
      </c>
      <c r="I24" s="44" t="s">
        <v>53</v>
      </c>
      <c r="J24" s="44">
        <f t="shared" si="0"/>
        <v>100</v>
      </c>
    </row>
    <row r="25" spans="1:10" ht="21" customHeight="1" x14ac:dyDescent="0.15">
      <c r="A25" s="43">
        <v>41009024</v>
      </c>
      <c r="B25" s="44">
        <v>0</v>
      </c>
      <c r="C25" s="44">
        <v>4</v>
      </c>
      <c r="D25" s="44">
        <v>100</v>
      </c>
      <c r="E25" s="44">
        <v>70</v>
      </c>
      <c r="F25" s="44" t="s">
        <v>53</v>
      </c>
      <c r="G25" s="44">
        <v>1</v>
      </c>
      <c r="H25" s="44">
        <v>1</v>
      </c>
      <c r="I25" s="44" t="s">
        <v>53</v>
      </c>
      <c r="J25" s="44">
        <f t="shared" si="0"/>
        <v>100</v>
      </c>
    </row>
    <row r="26" spans="1:10" ht="21" customHeight="1" x14ac:dyDescent="0.15">
      <c r="A26" s="43">
        <v>41009025</v>
      </c>
      <c r="B26" s="44">
        <v>0</v>
      </c>
      <c r="C26" s="44">
        <v>3</v>
      </c>
      <c r="D26" s="44">
        <v>100</v>
      </c>
      <c r="E26" s="44">
        <v>70</v>
      </c>
      <c r="F26" s="44" t="s">
        <v>53</v>
      </c>
      <c r="G26" s="44">
        <v>1</v>
      </c>
      <c r="H26" s="44">
        <v>1</v>
      </c>
      <c r="I26" s="44" t="s">
        <v>53</v>
      </c>
      <c r="J26" s="44">
        <f t="shared" si="0"/>
        <v>100</v>
      </c>
    </row>
    <row r="27" spans="1:10" ht="21" customHeight="1" x14ac:dyDescent="0.15">
      <c r="A27" s="43">
        <v>41009026</v>
      </c>
      <c r="B27" s="44">
        <v>0</v>
      </c>
      <c r="C27" s="44">
        <v>2</v>
      </c>
      <c r="D27" s="44">
        <v>100</v>
      </c>
      <c r="E27" s="44">
        <v>70</v>
      </c>
      <c r="F27" s="44" t="s">
        <v>53</v>
      </c>
      <c r="G27" s="44">
        <v>1</v>
      </c>
      <c r="H27" s="44">
        <v>1</v>
      </c>
      <c r="I27" s="44" t="s">
        <v>53</v>
      </c>
      <c r="J27" s="44">
        <f t="shared" si="0"/>
        <v>100</v>
      </c>
    </row>
    <row r="28" spans="1:10" ht="21" customHeight="1" x14ac:dyDescent="0.15">
      <c r="A28" s="43">
        <v>41009027</v>
      </c>
      <c r="B28" s="44">
        <v>0</v>
      </c>
      <c r="C28" s="44" t="s">
        <v>53</v>
      </c>
      <c r="D28" s="44">
        <v>100</v>
      </c>
      <c r="E28" s="44" t="s">
        <v>53</v>
      </c>
      <c r="F28" s="44" t="s">
        <v>53</v>
      </c>
      <c r="G28" s="44" t="s">
        <v>53</v>
      </c>
      <c r="H28" s="44">
        <v>2</v>
      </c>
      <c r="I28" s="44" t="s">
        <v>53</v>
      </c>
      <c r="J28" s="44">
        <f t="shared" si="0"/>
        <v>100</v>
      </c>
    </row>
    <row r="29" spans="1:10" ht="21" customHeight="1" x14ac:dyDescent="0.15">
      <c r="A29" s="43">
        <v>41009028</v>
      </c>
      <c r="B29" s="44">
        <v>0</v>
      </c>
      <c r="C29" s="44">
        <v>1</v>
      </c>
      <c r="D29" s="44">
        <v>100</v>
      </c>
      <c r="E29" s="44" t="s">
        <v>53</v>
      </c>
      <c r="F29" s="44" t="s">
        <v>53</v>
      </c>
      <c r="G29" s="44">
        <v>2</v>
      </c>
      <c r="H29" s="44">
        <v>3</v>
      </c>
      <c r="I29" s="44" t="s">
        <v>53</v>
      </c>
      <c r="J29" s="44">
        <f t="shared" si="0"/>
        <v>100</v>
      </c>
    </row>
    <row r="30" spans="1:10" ht="21" customHeight="1" x14ac:dyDescent="0.15">
      <c r="A30" s="43">
        <v>41009029</v>
      </c>
      <c r="B30" s="44">
        <v>1</v>
      </c>
      <c r="C30" s="44" t="s">
        <v>53</v>
      </c>
      <c r="D30" s="44">
        <v>100</v>
      </c>
      <c r="E30" s="44" t="s">
        <v>53</v>
      </c>
      <c r="F30" s="44" t="s">
        <v>53</v>
      </c>
      <c r="G30" s="44">
        <v>1</v>
      </c>
      <c r="H30" s="44" t="s">
        <v>53</v>
      </c>
      <c r="I30" s="44" t="s">
        <v>53</v>
      </c>
      <c r="J30" s="44">
        <f t="shared" si="0"/>
        <v>100</v>
      </c>
    </row>
    <row r="31" spans="1:10" ht="21" customHeight="1" x14ac:dyDescent="0.15">
      <c r="A31" s="43">
        <v>41009030</v>
      </c>
      <c r="B31" s="44">
        <v>0</v>
      </c>
      <c r="C31" s="44" t="s">
        <v>53</v>
      </c>
      <c r="D31" s="44">
        <v>100</v>
      </c>
      <c r="E31" s="44" t="s">
        <v>53</v>
      </c>
      <c r="F31" s="44" t="s">
        <v>53</v>
      </c>
      <c r="G31" s="44" t="s">
        <v>53</v>
      </c>
      <c r="H31" s="44">
        <v>2</v>
      </c>
      <c r="I31" s="44" t="s">
        <v>53</v>
      </c>
      <c r="J31" s="44">
        <f t="shared" si="0"/>
        <v>100</v>
      </c>
    </row>
    <row r="32" spans="1:10" ht="21" customHeight="1" x14ac:dyDescent="0.15">
      <c r="A32" s="43">
        <v>41009031</v>
      </c>
      <c r="B32" s="44">
        <v>0</v>
      </c>
      <c r="C32" s="44">
        <v>2</v>
      </c>
      <c r="D32" s="44">
        <v>100</v>
      </c>
      <c r="E32" s="44">
        <v>60</v>
      </c>
      <c r="F32" s="44" t="s">
        <v>53</v>
      </c>
      <c r="G32" s="44">
        <v>1</v>
      </c>
      <c r="H32" s="44" t="s">
        <v>53</v>
      </c>
      <c r="I32" s="44" t="s">
        <v>53</v>
      </c>
      <c r="J32" s="44">
        <f t="shared" si="0"/>
        <v>100</v>
      </c>
    </row>
    <row r="33" spans="1:10" ht="21" customHeight="1" x14ac:dyDescent="0.15">
      <c r="A33" s="43">
        <v>41009032</v>
      </c>
      <c r="B33" s="44">
        <v>0</v>
      </c>
      <c r="C33" s="44">
        <v>1</v>
      </c>
      <c r="D33" s="44">
        <v>100</v>
      </c>
      <c r="E33" s="44">
        <v>40</v>
      </c>
      <c r="F33" s="44" t="s">
        <v>53</v>
      </c>
      <c r="G33" s="44">
        <v>1</v>
      </c>
      <c r="H33" s="44" t="s">
        <v>53</v>
      </c>
      <c r="I33" s="44" t="s">
        <v>53</v>
      </c>
      <c r="J33" s="44">
        <f t="shared" si="0"/>
        <v>100</v>
      </c>
    </row>
    <row r="34" spans="1:10" ht="21" customHeight="1" x14ac:dyDescent="0.15">
      <c r="A34" s="43">
        <v>41009033</v>
      </c>
      <c r="B34" s="44">
        <v>1</v>
      </c>
      <c r="C34" s="44" t="s">
        <v>53</v>
      </c>
      <c r="D34" s="44">
        <v>100</v>
      </c>
      <c r="E34" s="44" t="s">
        <v>53</v>
      </c>
      <c r="F34" s="44" t="s">
        <v>53</v>
      </c>
      <c r="G34" s="44">
        <v>1</v>
      </c>
      <c r="H34" s="44" t="s">
        <v>53</v>
      </c>
      <c r="I34" s="44" t="s">
        <v>53</v>
      </c>
      <c r="J34" s="44">
        <f t="shared" si="0"/>
        <v>100</v>
      </c>
    </row>
    <row r="35" spans="1:10" ht="21" customHeight="1" x14ac:dyDescent="0.15">
      <c r="A35" s="43">
        <v>41009034</v>
      </c>
      <c r="B35" s="44">
        <v>0</v>
      </c>
      <c r="C35" s="44" t="s">
        <v>53</v>
      </c>
      <c r="D35" s="44">
        <v>75</v>
      </c>
      <c r="E35" s="44" t="s">
        <v>53</v>
      </c>
      <c r="F35" s="44" t="s">
        <v>53</v>
      </c>
      <c r="G35" s="44">
        <v>5</v>
      </c>
      <c r="H35" s="44" t="s">
        <v>53</v>
      </c>
      <c r="I35" s="44" t="s">
        <v>53</v>
      </c>
      <c r="J35" s="44">
        <f t="shared" si="0"/>
        <v>75</v>
      </c>
    </row>
    <row r="36" spans="1:10" ht="21" customHeight="1" x14ac:dyDescent="0.15">
      <c r="A36" s="43">
        <v>41009035</v>
      </c>
      <c r="B36" s="44">
        <v>0</v>
      </c>
      <c r="C36" s="44">
        <v>1</v>
      </c>
      <c r="D36" s="44">
        <v>45</v>
      </c>
      <c r="E36" s="44" t="s">
        <v>53</v>
      </c>
      <c r="F36" s="44" t="s">
        <v>53</v>
      </c>
      <c r="G36" s="44" t="s">
        <v>53</v>
      </c>
      <c r="H36" s="44" t="s">
        <v>53</v>
      </c>
      <c r="I36" s="44" t="s">
        <v>53</v>
      </c>
      <c r="J36" s="44">
        <f t="shared" si="0"/>
        <v>45</v>
      </c>
    </row>
    <row r="37" spans="1:10" ht="21" customHeight="1" x14ac:dyDescent="0.15">
      <c r="A37" s="43">
        <v>41009036</v>
      </c>
      <c r="B37" s="44">
        <v>0</v>
      </c>
      <c r="C37" s="44">
        <v>3</v>
      </c>
      <c r="D37" s="44">
        <v>100</v>
      </c>
      <c r="E37" s="44">
        <v>40</v>
      </c>
      <c r="F37" s="44" t="s">
        <v>53</v>
      </c>
      <c r="G37" s="44">
        <v>1</v>
      </c>
      <c r="H37" s="44" t="s">
        <v>53</v>
      </c>
      <c r="I37" s="44" t="s">
        <v>53</v>
      </c>
      <c r="J37" s="44">
        <f t="shared" si="0"/>
        <v>100</v>
      </c>
    </row>
    <row r="38" spans="1:10" ht="21" customHeight="1" x14ac:dyDescent="0.15">
      <c r="A38" s="43">
        <v>41009037</v>
      </c>
      <c r="B38" s="44">
        <v>1</v>
      </c>
      <c r="C38" s="44" t="s">
        <v>53</v>
      </c>
      <c r="D38" s="44">
        <v>100</v>
      </c>
      <c r="E38" s="44" t="s">
        <v>53</v>
      </c>
      <c r="F38" s="44" t="s">
        <v>53</v>
      </c>
      <c r="G38" s="44">
        <v>1</v>
      </c>
      <c r="H38" s="44" t="s">
        <v>53</v>
      </c>
      <c r="I38" s="44" t="s">
        <v>53</v>
      </c>
      <c r="J38" s="44">
        <f t="shared" si="0"/>
        <v>100</v>
      </c>
    </row>
    <row r="39" spans="1:10" ht="21" customHeight="1" x14ac:dyDescent="0.15">
      <c r="A39" s="43">
        <v>41009038</v>
      </c>
      <c r="B39" s="44">
        <v>0</v>
      </c>
      <c r="C39" s="44">
        <v>40</v>
      </c>
      <c r="D39" s="44">
        <v>100</v>
      </c>
      <c r="E39" s="44" t="s">
        <v>53</v>
      </c>
      <c r="F39" s="44" t="s">
        <v>53</v>
      </c>
      <c r="G39" s="44">
        <v>1</v>
      </c>
      <c r="H39" s="44" t="s">
        <v>53</v>
      </c>
      <c r="I39" s="44" t="s">
        <v>53</v>
      </c>
      <c r="J39" s="44">
        <f t="shared" si="0"/>
        <v>100</v>
      </c>
    </row>
    <row r="40" spans="1:10" ht="21" customHeight="1" x14ac:dyDescent="0.15">
      <c r="A40" s="43">
        <v>41009039</v>
      </c>
      <c r="B40" s="44">
        <v>0</v>
      </c>
      <c r="C40" s="44">
        <v>30</v>
      </c>
      <c r="D40" s="44">
        <v>100</v>
      </c>
      <c r="E40" s="44" t="s">
        <v>53</v>
      </c>
      <c r="F40" s="44" t="s">
        <v>53</v>
      </c>
      <c r="G40" s="44">
        <v>1</v>
      </c>
      <c r="H40" s="44" t="s">
        <v>53</v>
      </c>
      <c r="I40" s="44" t="s">
        <v>53</v>
      </c>
      <c r="J40" s="44">
        <f t="shared" si="0"/>
        <v>100</v>
      </c>
    </row>
    <row r="41" spans="1:10" ht="21" customHeight="1" x14ac:dyDescent="0.15">
      <c r="A41" s="43">
        <v>41009040</v>
      </c>
      <c r="B41" s="44">
        <v>0</v>
      </c>
      <c r="C41" s="44">
        <v>20</v>
      </c>
      <c r="D41" s="44">
        <v>100</v>
      </c>
      <c r="E41" s="44" t="s">
        <v>53</v>
      </c>
      <c r="F41" s="44" t="s">
        <v>53</v>
      </c>
      <c r="G41" s="44">
        <v>1</v>
      </c>
      <c r="H41" s="44" t="s">
        <v>53</v>
      </c>
      <c r="I41" s="44" t="s">
        <v>53</v>
      </c>
      <c r="J41" s="44">
        <f t="shared" si="0"/>
        <v>100</v>
      </c>
    </row>
    <row r="42" spans="1:10" ht="21" customHeight="1" x14ac:dyDescent="0.15">
      <c r="A42" s="43">
        <v>41009041</v>
      </c>
      <c r="B42" s="44">
        <v>0</v>
      </c>
      <c r="C42" s="44">
        <v>10</v>
      </c>
      <c r="D42" s="44">
        <v>100</v>
      </c>
      <c r="E42" s="44" t="s">
        <v>53</v>
      </c>
      <c r="F42" s="44" t="s">
        <v>53</v>
      </c>
      <c r="G42" s="44">
        <v>1</v>
      </c>
      <c r="H42" s="44" t="s">
        <v>53</v>
      </c>
      <c r="I42" s="44" t="s">
        <v>53</v>
      </c>
      <c r="J42" s="44">
        <f t="shared" si="0"/>
        <v>100</v>
      </c>
    </row>
    <row r="43" spans="1:10" ht="21" customHeight="1" x14ac:dyDescent="0.15">
      <c r="A43" s="43">
        <v>41009042</v>
      </c>
      <c r="B43" s="44">
        <v>0</v>
      </c>
      <c r="C43" s="44">
        <v>4</v>
      </c>
      <c r="D43" s="44">
        <v>25</v>
      </c>
      <c r="E43" s="44">
        <v>60</v>
      </c>
      <c r="F43" s="44" t="s">
        <v>53</v>
      </c>
      <c r="G43" s="44" t="s">
        <v>53</v>
      </c>
      <c r="H43" s="44" t="s">
        <v>53</v>
      </c>
      <c r="I43" s="44" t="s">
        <v>53</v>
      </c>
      <c r="J43" s="44">
        <f t="shared" si="0"/>
        <v>25</v>
      </c>
    </row>
    <row r="44" spans="1:10" ht="21" customHeight="1" x14ac:dyDescent="0.15">
      <c r="A44" s="43">
        <v>41009043</v>
      </c>
      <c r="B44" s="44">
        <v>0</v>
      </c>
      <c r="C44" s="44">
        <v>3</v>
      </c>
      <c r="D44" s="44">
        <v>33</v>
      </c>
      <c r="E44" s="44">
        <v>60</v>
      </c>
      <c r="F44" s="44" t="s">
        <v>53</v>
      </c>
      <c r="G44" s="44" t="s">
        <v>53</v>
      </c>
      <c r="H44" s="44" t="s">
        <v>53</v>
      </c>
      <c r="I44" s="44" t="s">
        <v>53</v>
      </c>
      <c r="J44" s="44">
        <f t="shared" si="0"/>
        <v>33</v>
      </c>
    </row>
    <row r="45" spans="1:10" ht="21" customHeight="1" x14ac:dyDescent="0.15">
      <c r="A45" s="43">
        <v>41009044</v>
      </c>
      <c r="B45" s="44">
        <v>0</v>
      </c>
      <c r="C45" s="44">
        <v>2</v>
      </c>
      <c r="D45" s="44">
        <v>50</v>
      </c>
      <c r="E45" s="44">
        <v>60</v>
      </c>
      <c r="F45" s="44" t="s">
        <v>53</v>
      </c>
      <c r="G45" s="44" t="s">
        <v>53</v>
      </c>
      <c r="H45" s="44" t="s">
        <v>53</v>
      </c>
      <c r="I45" s="44" t="s">
        <v>53</v>
      </c>
      <c r="J45" s="44">
        <f t="shared" si="0"/>
        <v>50</v>
      </c>
    </row>
    <row r="46" spans="1:10" ht="21" customHeight="1" x14ac:dyDescent="0.15">
      <c r="A46" s="43">
        <v>41009045</v>
      </c>
      <c r="B46" s="44">
        <v>0</v>
      </c>
      <c r="C46" s="44">
        <v>1</v>
      </c>
      <c r="D46" s="44">
        <v>100</v>
      </c>
      <c r="E46" s="44">
        <v>60</v>
      </c>
      <c r="F46" s="44" t="s">
        <v>53</v>
      </c>
      <c r="G46" s="44" t="s">
        <v>53</v>
      </c>
      <c r="H46" s="44" t="s">
        <v>53</v>
      </c>
      <c r="I46" s="44" t="s">
        <v>53</v>
      </c>
      <c r="J46" s="44">
        <f t="shared" si="0"/>
        <v>100</v>
      </c>
    </row>
    <row r="47" spans="1:10" ht="21" customHeight="1" x14ac:dyDescent="0.15">
      <c r="A47" s="43">
        <v>41009046</v>
      </c>
      <c r="B47" s="44">
        <v>0</v>
      </c>
      <c r="C47" s="44">
        <v>2</v>
      </c>
      <c r="D47" s="44">
        <v>100</v>
      </c>
      <c r="E47" s="44" t="s">
        <v>53</v>
      </c>
      <c r="F47" s="44" t="s">
        <v>53</v>
      </c>
      <c r="G47" s="44">
        <v>1</v>
      </c>
      <c r="H47" s="44">
        <v>1</v>
      </c>
      <c r="I47" s="44" t="s">
        <v>53</v>
      </c>
      <c r="J47" s="44">
        <f t="shared" si="0"/>
        <v>100</v>
      </c>
    </row>
    <row r="48" spans="1:10" ht="21" customHeight="1" x14ac:dyDescent="0.15">
      <c r="A48" s="43">
        <v>41009052</v>
      </c>
      <c r="B48" s="44">
        <v>0</v>
      </c>
      <c r="C48" s="44">
        <v>3</v>
      </c>
      <c r="D48" s="44">
        <v>100</v>
      </c>
      <c r="E48" s="44">
        <v>30</v>
      </c>
      <c r="F48" s="44" t="s">
        <v>370</v>
      </c>
      <c r="G48" s="44">
        <v>1</v>
      </c>
      <c r="H48" s="44" t="s">
        <v>53</v>
      </c>
      <c r="I48" s="44" t="s">
        <v>53</v>
      </c>
      <c r="J48" s="44">
        <f t="shared" ref="J48:J49" si="1">D48</f>
        <v>100</v>
      </c>
    </row>
    <row r="49" spans="1:10" ht="21" customHeight="1" x14ac:dyDescent="0.15">
      <c r="A49" s="43">
        <v>41009053</v>
      </c>
      <c r="B49" s="44">
        <v>0</v>
      </c>
      <c r="C49" s="44">
        <v>1</v>
      </c>
      <c r="D49" s="44">
        <v>100</v>
      </c>
      <c r="E49" s="44">
        <v>30</v>
      </c>
      <c r="F49" s="44" t="s">
        <v>370</v>
      </c>
      <c r="G49" s="44">
        <v>1</v>
      </c>
      <c r="H49" s="44" t="s">
        <v>53</v>
      </c>
      <c r="I49" s="44" t="s">
        <v>53</v>
      </c>
      <c r="J49" s="44">
        <f t="shared" si="1"/>
        <v>100</v>
      </c>
    </row>
  </sheetData>
  <autoFilter ref="A1:G1"/>
  <phoneticPr fontId="5"/>
  <conditionalFormatting sqref="K1 K50:K1048576">
    <cfRule type="duplicateValues" dxfId="3" priority="6"/>
  </conditionalFormatting>
  <conditionalFormatting sqref="K2:K46">
    <cfRule type="duplicateValues" dxfId="2" priority="3"/>
  </conditionalFormatting>
  <conditionalFormatting sqref="K47">
    <cfRule type="duplicateValues" dxfId="1" priority="2"/>
  </conditionalFormatting>
  <conditionalFormatting sqref="K48:K4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O18" sqref="O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150</v>
      </c>
      <c r="B1" s="60" t="s">
        <v>151</v>
      </c>
      <c r="C1" s="61" t="s">
        <v>152</v>
      </c>
      <c r="D1" s="68" t="s">
        <v>153</v>
      </c>
      <c r="E1" s="62" t="s">
        <v>154</v>
      </c>
      <c r="F1" s="60" t="s">
        <v>155</v>
      </c>
      <c r="G1" s="60" t="s">
        <v>156</v>
      </c>
      <c r="H1" s="60" t="s">
        <v>157</v>
      </c>
      <c r="I1" s="60" t="s">
        <v>158</v>
      </c>
      <c r="J1" s="60" t="s">
        <v>159</v>
      </c>
      <c r="K1" s="60" t="s">
        <v>160</v>
      </c>
      <c r="L1" s="60" t="s">
        <v>161</v>
      </c>
      <c r="M1" s="60" t="s">
        <v>162</v>
      </c>
      <c r="N1" s="60" t="s">
        <v>163</v>
      </c>
      <c r="O1" s="60" t="s">
        <v>164</v>
      </c>
      <c r="P1" s="60" t="s">
        <v>165</v>
      </c>
      <c r="Q1" s="60" t="s">
        <v>166</v>
      </c>
      <c r="R1" s="60" t="s">
        <v>167</v>
      </c>
    </row>
    <row r="2" spans="1:18" x14ac:dyDescent="0.15">
      <c r="A2" s="53">
        <f>floors!$C$2</f>
        <v>41009</v>
      </c>
      <c r="B2" s="114">
        <v>1</v>
      </c>
      <c r="C2" s="115" t="str">
        <f>A2&amp; "_"&amp;B2</f>
        <v>41009_1</v>
      </c>
      <c r="D2" s="1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14">
        <v>1</v>
      </c>
      <c r="F2" s="114" t="s">
        <v>168</v>
      </c>
      <c r="G2" s="117">
        <v>40000</v>
      </c>
      <c r="H2" s="114" t="s">
        <v>370</v>
      </c>
      <c r="I2" s="114">
        <v>1</v>
      </c>
      <c r="J2" s="114">
        <v>1</v>
      </c>
      <c r="K2" s="114">
        <v>0</v>
      </c>
      <c r="L2" s="114">
        <v>0</v>
      </c>
      <c r="M2" s="114">
        <v>0</v>
      </c>
      <c r="N2" s="114">
        <v>0</v>
      </c>
      <c r="O2" s="114">
        <v>1</v>
      </c>
      <c r="P2" s="114">
        <v>150</v>
      </c>
      <c r="Q2" s="114" t="s">
        <v>169</v>
      </c>
      <c r="R2" s="118" t="s">
        <v>170</v>
      </c>
    </row>
    <row r="3" spans="1:18" x14ac:dyDescent="0.15">
      <c r="A3" s="53">
        <f>floors!$C$2</f>
        <v>41009</v>
      </c>
      <c r="B3" s="53">
        <v>1</v>
      </c>
      <c r="C3" s="67" t="str">
        <f t="shared" ref="C3:C11" si="0">A3&amp; "_"&amp;B3</f>
        <v>41009_1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3">
        <v>2</v>
      </c>
      <c r="F3" s="53" t="s">
        <v>406</v>
      </c>
      <c r="G3" s="77">
        <v>30</v>
      </c>
      <c r="H3" s="53" t="s">
        <v>370</v>
      </c>
      <c r="I3" s="53">
        <v>1</v>
      </c>
      <c r="J3" s="53">
        <v>1</v>
      </c>
      <c r="K3" s="53">
        <v>0</v>
      </c>
      <c r="L3" s="53">
        <v>0</v>
      </c>
      <c r="M3" s="53">
        <v>0</v>
      </c>
      <c r="N3" s="53">
        <v>0</v>
      </c>
      <c r="O3" s="53">
        <v>1</v>
      </c>
      <c r="P3" s="53">
        <v>150</v>
      </c>
      <c r="Q3" s="53" t="s">
        <v>169</v>
      </c>
      <c r="R3" s="119" t="s">
        <v>170</v>
      </c>
    </row>
    <row r="4" spans="1:18" x14ac:dyDescent="0.15">
      <c r="A4" s="53">
        <f>floors!$C$2</f>
        <v>41009</v>
      </c>
      <c r="B4" s="53">
        <v>1</v>
      </c>
      <c r="C4" s="67" t="str">
        <f t="shared" si="0"/>
        <v>41009_1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3">
        <v>3</v>
      </c>
      <c r="F4" s="53" t="s">
        <v>407</v>
      </c>
      <c r="G4" s="77">
        <v>341</v>
      </c>
      <c r="H4" s="53">
        <v>1</v>
      </c>
      <c r="I4" s="53">
        <v>1</v>
      </c>
      <c r="J4" s="53">
        <v>1</v>
      </c>
      <c r="K4" s="53">
        <v>0</v>
      </c>
      <c r="L4" s="53">
        <v>0</v>
      </c>
      <c r="M4" s="53">
        <v>0</v>
      </c>
      <c r="N4" s="53">
        <v>0</v>
      </c>
      <c r="O4" s="53">
        <v>1</v>
      </c>
      <c r="P4" s="53">
        <v>28</v>
      </c>
      <c r="Q4" s="53" t="s">
        <v>169</v>
      </c>
      <c r="R4" s="119" t="s">
        <v>170</v>
      </c>
    </row>
    <row r="5" spans="1:18" x14ac:dyDescent="0.15">
      <c r="A5" s="53">
        <f>floors!$C$2</f>
        <v>41009</v>
      </c>
      <c r="B5" s="53">
        <v>1</v>
      </c>
      <c r="C5" s="67" t="str">
        <f t="shared" si="0"/>
        <v>41009_1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3">
        <v>4</v>
      </c>
      <c r="F5" s="53" t="s">
        <v>407</v>
      </c>
      <c r="G5" s="77">
        <v>342</v>
      </c>
      <c r="H5" s="53">
        <v>1</v>
      </c>
      <c r="I5" s="53">
        <v>1</v>
      </c>
      <c r="J5" s="53">
        <v>1</v>
      </c>
      <c r="K5" s="53">
        <v>0</v>
      </c>
      <c r="L5" s="53">
        <v>0</v>
      </c>
      <c r="M5" s="53">
        <v>0</v>
      </c>
      <c r="N5" s="53">
        <v>0</v>
      </c>
      <c r="O5" s="53">
        <v>1</v>
      </c>
      <c r="P5" s="53">
        <v>112</v>
      </c>
      <c r="Q5" s="53" t="s">
        <v>169</v>
      </c>
      <c r="R5" s="119" t="s">
        <v>170</v>
      </c>
    </row>
    <row r="6" spans="1:18" x14ac:dyDescent="0.15">
      <c r="A6" s="53">
        <f>floors!$C$2</f>
        <v>41009</v>
      </c>
      <c r="B6" s="53">
        <v>1</v>
      </c>
      <c r="C6" s="67" t="str">
        <f t="shared" si="0"/>
        <v>41009_1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3">
        <v>5</v>
      </c>
      <c r="F6" s="53" t="s">
        <v>407</v>
      </c>
      <c r="G6" s="77">
        <v>121</v>
      </c>
      <c r="H6" s="53">
        <v>1</v>
      </c>
      <c r="I6" s="53">
        <v>1</v>
      </c>
      <c r="J6" s="53">
        <v>1</v>
      </c>
      <c r="K6" s="53">
        <v>0</v>
      </c>
      <c r="L6" s="53">
        <v>0</v>
      </c>
      <c r="M6" s="53">
        <v>0</v>
      </c>
      <c r="N6" s="53">
        <v>0</v>
      </c>
      <c r="O6" s="53">
        <v>1</v>
      </c>
      <c r="P6" s="120">
        <v>100</v>
      </c>
      <c r="Q6" s="53" t="s">
        <v>169</v>
      </c>
      <c r="R6" s="119" t="s">
        <v>170</v>
      </c>
    </row>
    <row r="7" spans="1:18" x14ac:dyDescent="0.15">
      <c r="A7" s="53">
        <f>floors!$C$2</f>
        <v>41009</v>
      </c>
      <c r="B7" s="53">
        <v>1</v>
      </c>
      <c r="C7" s="67" t="str">
        <f t="shared" si="0"/>
        <v>41009_1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3">
        <v>6</v>
      </c>
      <c r="F7" s="53" t="s">
        <v>407</v>
      </c>
      <c r="G7" s="77">
        <v>122</v>
      </c>
      <c r="H7" s="53">
        <v>1</v>
      </c>
      <c r="I7" s="53">
        <v>1</v>
      </c>
      <c r="J7" s="53">
        <v>1</v>
      </c>
      <c r="K7" s="53">
        <v>0</v>
      </c>
      <c r="L7" s="53">
        <v>0</v>
      </c>
      <c r="M7" s="53">
        <v>0</v>
      </c>
      <c r="N7" s="53">
        <v>0</v>
      </c>
      <c r="O7" s="53">
        <v>1</v>
      </c>
      <c r="P7" s="120">
        <v>100</v>
      </c>
      <c r="Q7" s="53" t="s">
        <v>169</v>
      </c>
      <c r="R7" s="119" t="s">
        <v>170</v>
      </c>
    </row>
    <row r="8" spans="1:18" x14ac:dyDescent="0.15">
      <c r="A8" s="53">
        <f>floors!$C$2</f>
        <v>41009</v>
      </c>
      <c r="B8" s="53">
        <v>1</v>
      </c>
      <c r="C8" s="67" t="str">
        <f t="shared" si="0"/>
        <v>41009_1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3">
        <v>7</v>
      </c>
      <c r="F8" s="53" t="s">
        <v>407</v>
      </c>
      <c r="G8" s="77">
        <v>123</v>
      </c>
      <c r="H8" s="53">
        <v>1</v>
      </c>
      <c r="I8" s="53">
        <v>1</v>
      </c>
      <c r="J8" s="53">
        <v>1</v>
      </c>
      <c r="K8" s="53">
        <v>0</v>
      </c>
      <c r="L8" s="53">
        <v>0</v>
      </c>
      <c r="M8" s="53">
        <v>0</v>
      </c>
      <c r="N8" s="53">
        <v>0</v>
      </c>
      <c r="O8" s="53">
        <v>1</v>
      </c>
      <c r="P8" s="120">
        <v>100</v>
      </c>
      <c r="Q8" s="53" t="s">
        <v>169</v>
      </c>
      <c r="R8" s="119" t="s">
        <v>170</v>
      </c>
    </row>
    <row r="9" spans="1:18" x14ac:dyDescent="0.15">
      <c r="A9" s="53">
        <f>floors!$C$2</f>
        <v>41009</v>
      </c>
      <c r="B9" s="53">
        <v>1</v>
      </c>
      <c r="C9" s="67" t="str">
        <f t="shared" si="0"/>
        <v>41009_1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3">
        <v>8</v>
      </c>
      <c r="F9" s="53" t="s">
        <v>407</v>
      </c>
      <c r="G9" s="77">
        <v>125</v>
      </c>
      <c r="H9" s="53">
        <v>1</v>
      </c>
      <c r="I9" s="53">
        <v>1</v>
      </c>
      <c r="J9" s="53">
        <v>1</v>
      </c>
      <c r="K9" s="53">
        <v>0</v>
      </c>
      <c r="L9" s="53">
        <v>0</v>
      </c>
      <c r="M9" s="53">
        <v>0</v>
      </c>
      <c r="N9" s="53">
        <v>0</v>
      </c>
      <c r="O9" s="53">
        <v>1</v>
      </c>
      <c r="P9" s="120">
        <v>10</v>
      </c>
      <c r="Q9" s="53" t="s">
        <v>169</v>
      </c>
      <c r="R9" s="119" t="s">
        <v>170</v>
      </c>
    </row>
    <row r="10" spans="1:18" x14ac:dyDescent="0.15">
      <c r="A10" s="53">
        <f>floors!$C$2</f>
        <v>41009</v>
      </c>
      <c r="B10" s="53">
        <v>1</v>
      </c>
      <c r="C10" s="67" t="str">
        <f t="shared" si="0"/>
        <v>41009_1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3">
        <v>9</v>
      </c>
      <c r="F10" s="53" t="s">
        <v>407</v>
      </c>
      <c r="G10" s="77">
        <v>581</v>
      </c>
      <c r="H10" s="53">
        <v>1</v>
      </c>
      <c r="I10" s="53">
        <v>1</v>
      </c>
      <c r="J10" s="53">
        <v>1</v>
      </c>
      <c r="K10" s="53">
        <v>0</v>
      </c>
      <c r="L10" s="53">
        <v>0</v>
      </c>
      <c r="M10" s="53">
        <v>0</v>
      </c>
      <c r="N10" s="53">
        <v>0</v>
      </c>
      <c r="O10" s="53">
        <v>1</v>
      </c>
      <c r="P10" s="120">
        <v>100</v>
      </c>
      <c r="Q10" s="53" t="s">
        <v>169</v>
      </c>
      <c r="R10" s="119" t="s">
        <v>170</v>
      </c>
    </row>
    <row r="11" spans="1:18" ht="16" thickBot="1" x14ac:dyDescent="0.2">
      <c r="A11" s="121">
        <f>floors!$C$2</f>
        <v>41009</v>
      </c>
      <c r="B11" s="121">
        <v>1</v>
      </c>
      <c r="C11" s="122" t="str">
        <f t="shared" si="0"/>
        <v>41009_1</v>
      </c>
      <c r="D11" s="12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1">
        <v>10</v>
      </c>
      <c r="F11" s="121" t="s">
        <v>407</v>
      </c>
      <c r="G11" s="124">
        <v>352</v>
      </c>
      <c r="H11" s="121">
        <v>1</v>
      </c>
      <c r="I11" s="121">
        <v>1</v>
      </c>
      <c r="J11" s="121">
        <v>1</v>
      </c>
      <c r="K11" s="121">
        <v>0</v>
      </c>
      <c r="L11" s="121">
        <v>0</v>
      </c>
      <c r="M11" s="121">
        <v>0</v>
      </c>
      <c r="N11" s="121">
        <v>0</v>
      </c>
      <c r="O11" s="121">
        <v>1</v>
      </c>
      <c r="P11" s="121">
        <v>150</v>
      </c>
      <c r="Q11" s="121" t="s">
        <v>169</v>
      </c>
      <c r="R11" s="125" t="s">
        <v>170</v>
      </c>
    </row>
    <row r="12" spans="1:18" x14ac:dyDescent="0.15">
      <c r="A12" s="139">
        <f>floors!$C$2</f>
        <v>41009</v>
      </c>
      <c r="B12" s="114">
        <v>2</v>
      </c>
      <c r="C12" s="115" t="str">
        <f t="shared" ref="C12:C18" si="1">A12&amp; "_"&amp;B12</f>
        <v>41009_2</v>
      </c>
      <c r="D12" s="1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4">
        <v>1</v>
      </c>
      <c r="F12" s="114" t="s">
        <v>407</v>
      </c>
      <c r="G12" s="117">
        <v>342</v>
      </c>
      <c r="H12" s="114">
        <v>1</v>
      </c>
      <c r="I12" s="114">
        <v>1</v>
      </c>
      <c r="J12" s="114">
        <v>1</v>
      </c>
      <c r="K12" s="114">
        <v>0</v>
      </c>
      <c r="L12" s="114">
        <v>0</v>
      </c>
      <c r="M12" s="114">
        <v>0</v>
      </c>
      <c r="N12" s="114">
        <v>0</v>
      </c>
      <c r="O12" s="114">
        <v>1</v>
      </c>
      <c r="P12" s="114">
        <v>50</v>
      </c>
      <c r="Q12" s="114" t="s">
        <v>169</v>
      </c>
      <c r="R12" s="118" t="s">
        <v>170</v>
      </c>
    </row>
    <row r="13" spans="1:18" x14ac:dyDescent="0.15">
      <c r="A13" s="126">
        <f>floors!$C$2</f>
        <v>41009</v>
      </c>
      <c r="B13" s="53">
        <v>2</v>
      </c>
      <c r="C13" s="67" t="str">
        <f t="shared" si="1"/>
        <v>41009_2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3">
        <v>2</v>
      </c>
      <c r="F13" s="53" t="s">
        <v>407</v>
      </c>
      <c r="G13" s="77">
        <v>607</v>
      </c>
      <c r="H13" s="53">
        <v>1</v>
      </c>
      <c r="I13" s="53">
        <v>1</v>
      </c>
      <c r="J13" s="53">
        <v>1</v>
      </c>
      <c r="K13" s="53">
        <v>0</v>
      </c>
      <c r="L13" s="53">
        <v>0</v>
      </c>
      <c r="M13" s="53">
        <v>0</v>
      </c>
      <c r="N13" s="53">
        <v>0</v>
      </c>
      <c r="O13" s="53">
        <v>1</v>
      </c>
      <c r="P13" s="53">
        <v>100</v>
      </c>
      <c r="Q13" s="53" t="s">
        <v>169</v>
      </c>
      <c r="R13" s="119" t="s">
        <v>170</v>
      </c>
    </row>
    <row r="14" spans="1:18" x14ac:dyDescent="0.15">
      <c r="A14" s="126">
        <f>floors!$C$2</f>
        <v>41009</v>
      </c>
      <c r="B14" s="53">
        <v>2</v>
      </c>
      <c r="C14" s="67" t="str">
        <f t="shared" si="1"/>
        <v>41009_2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3">
        <v>3</v>
      </c>
      <c r="F14" s="53" t="s">
        <v>407</v>
      </c>
      <c r="G14" s="77">
        <v>608</v>
      </c>
      <c r="H14" s="53">
        <v>1</v>
      </c>
      <c r="I14" s="53">
        <v>1</v>
      </c>
      <c r="J14" s="53">
        <v>1</v>
      </c>
      <c r="K14" s="53">
        <v>0</v>
      </c>
      <c r="L14" s="53">
        <v>0</v>
      </c>
      <c r="M14" s="53">
        <v>0</v>
      </c>
      <c r="N14" s="53">
        <v>0</v>
      </c>
      <c r="O14" s="53">
        <v>1</v>
      </c>
      <c r="P14" s="53">
        <v>100</v>
      </c>
      <c r="Q14" s="53" t="s">
        <v>169</v>
      </c>
      <c r="R14" s="119" t="s">
        <v>170</v>
      </c>
    </row>
    <row r="15" spans="1:18" x14ac:dyDescent="0.15">
      <c r="A15" s="126">
        <f>floors!$C$2</f>
        <v>41009</v>
      </c>
      <c r="B15" s="53">
        <v>2</v>
      </c>
      <c r="C15" s="67" t="str">
        <f t="shared" si="1"/>
        <v>41009_2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3">
        <v>4</v>
      </c>
      <c r="F15" s="53" t="s">
        <v>407</v>
      </c>
      <c r="G15" s="77">
        <v>609</v>
      </c>
      <c r="H15" s="53">
        <v>1</v>
      </c>
      <c r="I15" s="53">
        <v>1</v>
      </c>
      <c r="J15" s="53">
        <v>1</v>
      </c>
      <c r="K15" s="53">
        <v>0</v>
      </c>
      <c r="L15" s="53">
        <v>0</v>
      </c>
      <c r="M15" s="53">
        <v>0</v>
      </c>
      <c r="N15" s="53">
        <v>0</v>
      </c>
      <c r="O15" s="53">
        <v>1</v>
      </c>
      <c r="P15" s="53">
        <v>100</v>
      </c>
      <c r="Q15" s="53" t="s">
        <v>169</v>
      </c>
      <c r="R15" s="119" t="s">
        <v>170</v>
      </c>
    </row>
    <row r="16" spans="1:18" x14ac:dyDescent="0.15">
      <c r="A16" s="126">
        <f>floors!$C$2</f>
        <v>41009</v>
      </c>
      <c r="B16" s="53">
        <v>2</v>
      </c>
      <c r="C16" s="67" t="str">
        <f t="shared" si="1"/>
        <v>41009_2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3">
        <v>5</v>
      </c>
      <c r="F16" s="53" t="s">
        <v>407</v>
      </c>
      <c r="G16" s="77">
        <v>125</v>
      </c>
      <c r="H16" s="53">
        <v>1</v>
      </c>
      <c r="I16" s="53">
        <v>1</v>
      </c>
      <c r="J16" s="53">
        <v>1</v>
      </c>
      <c r="K16" s="53">
        <v>0</v>
      </c>
      <c r="L16" s="53">
        <v>0</v>
      </c>
      <c r="M16" s="53">
        <v>0</v>
      </c>
      <c r="N16" s="53">
        <v>0</v>
      </c>
      <c r="O16" s="53">
        <v>1</v>
      </c>
      <c r="P16" s="53">
        <v>30</v>
      </c>
      <c r="Q16" s="53" t="s">
        <v>169</v>
      </c>
      <c r="R16" s="119" t="s">
        <v>170</v>
      </c>
    </row>
    <row r="17" spans="1:18" x14ac:dyDescent="0.15">
      <c r="A17" s="126">
        <f>floors!$C$2</f>
        <v>41009</v>
      </c>
      <c r="B17" s="53">
        <v>2</v>
      </c>
      <c r="C17" s="67" t="str">
        <f t="shared" si="1"/>
        <v>41009_2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3">
        <v>6</v>
      </c>
      <c r="F17" s="53" t="s">
        <v>407</v>
      </c>
      <c r="G17" s="77">
        <v>581</v>
      </c>
      <c r="H17" s="53">
        <v>1</v>
      </c>
      <c r="I17" s="53">
        <v>1</v>
      </c>
      <c r="J17" s="53">
        <v>1</v>
      </c>
      <c r="K17" s="53">
        <v>0</v>
      </c>
      <c r="L17" s="53">
        <v>0</v>
      </c>
      <c r="M17" s="53">
        <v>0</v>
      </c>
      <c r="N17" s="53">
        <v>0</v>
      </c>
      <c r="O17" s="53">
        <v>1</v>
      </c>
      <c r="P17" s="53">
        <v>500</v>
      </c>
      <c r="Q17" s="53" t="s">
        <v>169</v>
      </c>
      <c r="R17" s="119" t="s">
        <v>170</v>
      </c>
    </row>
    <row r="18" spans="1:18" ht="16" thickBot="1" x14ac:dyDescent="0.2">
      <c r="A18" s="127">
        <f>floors!$C$2</f>
        <v>41009</v>
      </c>
      <c r="B18" s="121">
        <v>2</v>
      </c>
      <c r="C18" s="122" t="str">
        <f t="shared" si="1"/>
        <v>41009_2</v>
      </c>
      <c r="D18" s="123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21">
        <v>7</v>
      </c>
      <c r="F18" s="121" t="s">
        <v>407</v>
      </c>
      <c r="G18" s="124">
        <v>352</v>
      </c>
      <c r="H18" s="121">
        <v>1</v>
      </c>
      <c r="I18" s="121">
        <v>1</v>
      </c>
      <c r="J18" s="121">
        <v>1</v>
      </c>
      <c r="K18" s="121">
        <v>0</v>
      </c>
      <c r="L18" s="121">
        <v>0</v>
      </c>
      <c r="M18" s="121">
        <v>0</v>
      </c>
      <c r="N18" s="121">
        <v>0</v>
      </c>
      <c r="O18" s="121">
        <v>1</v>
      </c>
      <c r="P18" s="121">
        <v>120</v>
      </c>
      <c r="Q18" s="121" t="s">
        <v>169</v>
      </c>
      <c r="R18" s="125" t="s">
        <v>170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59"/>
  <sheetViews>
    <sheetView showGridLines="0" workbookViewId="0">
      <pane ySplit="1" topLeftCell="A45" activePane="bottomLeft" state="frozen"/>
      <selection pane="bottomLeft" activeCell="A60" sqref="A60:XFD93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5" t="s">
        <v>194</v>
      </c>
      <c r="J1" s="75" t="s">
        <v>126</v>
      </c>
      <c r="K1" s="74" t="s">
        <v>186</v>
      </c>
      <c r="L1" s="86" t="s">
        <v>185</v>
      </c>
      <c r="M1" s="76" t="s">
        <v>195</v>
      </c>
    </row>
    <row r="2" spans="1:13" x14ac:dyDescent="0.15">
      <c r="A2" s="77" t="s">
        <v>199</v>
      </c>
      <c r="B2" s="78">
        <f>floors!$C$2</f>
        <v>41009</v>
      </c>
      <c r="C2" s="79" t="str">
        <f ca="1">VLOOKUP($B2,OFFSET([2]quests!$A$1,0,0,COUNTA([2]quests!$A:$A),MATCH(C$1,[2]quests!$1:$1,0)-MATCH($B$1,[2]quests!$1:$1,0)+1),MATCH(C$1,[2]quests!$1:$1,0)-MATCH($B$1,[2]quests!$1:$1,0)+1,FALSE)</f>
        <v>フギンとムニン襲来！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降臨1</v>
      </c>
      <c r="E2" s="82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1">
        <v>0</v>
      </c>
      <c r="I2">
        <v>1</v>
      </c>
      <c r="J2" s="80" t="s">
        <v>197</v>
      </c>
      <c r="K2" s="87" t="str">
        <f>VLOOKUP(I2,[8]stage_hints!$A:$C,3,FALSE)</f>
        <v>長くつなげて大ダメージ</v>
      </c>
      <c r="L2" s="88" t="str">
        <f>VLOOKUP(I2,[8]stage_hints!$A:$D,4,FALSE)</f>
        <v>パネルを長くつなげるほど_x000D_大ダメージを与えることができます</v>
      </c>
      <c r="M2" s="53" t="s">
        <v>209</v>
      </c>
    </row>
    <row r="3" spans="1:13" x14ac:dyDescent="0.15">
      <c r="A3" s="77" t="s">
        <v>199</v>
      </c>
      <c r="B3" s="78">
        <f>floors!$C$2</f>
        <v>41009</v>
      </c>
      <c r="C3" s="79" t="str">
        <f ca="1">VLOOKUP($B3,OFFSET([2]quests!$A$1,0,0,COUNTA([2]quests!$A:$A),MATCH(C$1,[2]quests!$1:$1,0)-MATCH($B$1,[2]quests!$1:$1,0)+1),MATCH(C$1,[2]quests!$1:$1,0)-MATCH($B$1,[2]quests!$1:$1,0)+1,FALSE)</f>
        <v>フギンとムニン襲来！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降臨1</v>
      </c>
      <c r="E3" s="82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1">
        <v>0</v>
      </c>
      <c r="I3">
        <v>2</v>
      </c>
      <c r="J3" s="80" t="s">
        <v>197</v>
      </c>
      <c r="K3" s="87" t="str">
        <f>VLOOKUP(I3,[8]stage_hints!$A:$C,3,FALSE)</f>
        <v>属性の相性</v>
      </c>
      <c r="L3" s="88" t="str">
        <f>VLOOKUP(I3,[8]stage_hints!$A:$D,4,FALSE)</f>
        <v>赤＞青　青＞黄　黄＞緑　緑＞赤_x000D_敵属性に最適なパーティがオススメです</v>
      </c>
      <c r="M3" s="53" t="s">
        <v>209</v>
      </c>
    </row>
    <row r="4" spans="1:13" x14ac:dyDescent="0.15">
      <c r="A4" s="77" t="s">
        <v>199</v>
      </c>
      <c r="B4" s="78">
        <f>floors!$C$2</f>
        <v>41009</v>
      </c>
      <c r="C4" s="79" t="str">
        <f ca="1">VLOOKUP($B4,OFFSET([2]quests!$A$1,0,0,COUNTA([2]quests!$A:$A),MATCH(C$1,[2]quests!$1:$1,0)-MATCH($B$1,[2]quests!$1:$1,0)+1),MATCH(C$1,[2]quests!$1:$1,0)-MATCH($B$1,[2]quests!$1:$1,0)+1,FALSE)</f>
        <v>フギンとムニン襲来！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降臨1</v>
      </c>
      <c r="E4" s="82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1">
        <v>0</v>
      </c>
      <c r="I4">
        <v>3</v>
      </c>
      <c r="J4" s="80" t="s">
        <v>197</v>
      </c>
      <c r="K4" s="87" t="str">
        <f>VLOOKUP(I4,[8]stage_hints!$A:$C,3,FALSE)</f>
        <v>ターゲット</v>
      </c>
      <c r="L4" s="88" t="str">
        <f>VLOOKUP(I4,[8]stage_hints!$A:$D,4,FALSE)</f>
        <v>敵ユニットをタップすると_x000D_その敵を狙い撃ちできます</v>
      </c>
      <c r="M4" s="53" t="s">
        <v>209</v>
      </c>
    </row>
    <row r="5" spans="1:13" x14ac:dyDescent="0.15">
      <c r="A5" s="77" t="s">
        <v>199</v>
      </c>
      <c r="B5" s="78">
        <f>floors!$C$2</f>
        <v>41009</v>
      </c>
      <c r="C5" s="79" t="str">
        <f ca="1">VLOOKUP($B5,OFFSET([2]quests!$A$1,0,0,COUNTA([2]quests!$A:$A),MATCH(C$1,[2]quests!$1:$1,0)-MATCH($B$1,[2]quests!$1:$1,0)+1),MATCH(C$1,[2]quests!$1:$1,0)-MATCH($B$1,[2]quests!$1:$1,0)+1,FALSE)</f>
        <v>フギンとムニン襲来！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降臨1</v>
      </c>
      <c r="E5" s="82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1">
        <v>0</v>
      </c>
      <c r="I5">
        <v>5</v>
      </c>
      <c r="J5" s="80" t="s">
        <v>197</v>
      </c>
      <c r="K5" s="87" t="str">
        <f>VLOOKUP(I5,[8]stage_hints!$A:$C,3,FALSE)</f>
        <v>ユニット強化でレベルアップ</v>
      </c>
      <c r="L5" s="88" t="str">
        <f>VLOOKUP(I5,[8]stage_hints!$A:$D,4,FALSE)</f>
        <v>「ユニット強化」でレベルアップすると_x000D_勝てない敵にも勝てるようになります</v>
      </c>
      <c r="M5" s="53" t="s">
        <v>209</v>
      </c>
    </row>
    <row r="6" spans="1:13" x14ac:dyDescent="0.15">
      <c r="A6" s="77" t="s">
        <v>199</v>
      </c>
      <c r="B6" s="78">
        <f>floors!$C$2</f>
        <v>41009</v>
      </c>
      <c r="C6" s="79" t="str">
        <f ca="1">VLOOKUP($B6,OFFSET([2]quests!$A$1,0,0,COUNTA([2]quests!$A:$A),MATCH(C$1,[2]quests!$1:$1,0)-MATCH($B$1,[2]quests!$1:$1,0)+1),MATCH(C$1,[2]quests!$1:$1,0)-MATCH($B$1,[2]quests!$1:$1,0)+1,FALSE)</f>
        <v>フギンとムニン襲来！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降臨1</v>
      </c>
      <c r="E6" s="82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1">
        <v>0</v>
      </c>
      <c r="I6">
        <v>6</v>
      </c>
      <c r="J6" s="80" t="s">
        <v>197</v>
      </c>
      <c r="K6" s="87" t="str">
        <f>VLOOKUP(I6,[8]stage_hints!$A:$C,3,FALSE)</f>
        <v>ユニット強化の属性ボーナス</v>
      </c>
      <c r="L6" s="88" t="str">
        <f>VLOOKUP(I6,[8]stage_hints!$A:$D,4,FALSE)</f>
        <v>同属性ユニットを強化素材にすると_x000D_経験値が多くもらえます</v>
      </c>
      <c r="M6" s="53" t="s">
        <v>209</v>
      </c>
    </row>
    <row r="7" spans="1:13" x14ac:dyDescent="0.15">
      <c r="A7" s="77" t="s">
        <v>199</v>
      </c>
      <c r="B7" s="78">
        <f>floors!$C$2</f>
        <v>41009</v>
      </c>
      <c r="C7" s="79" t="str">
        <f ca="1">VLOOKUP($B7,OFFSET([2]quests!$A$1,0,0,COUNTA([2]quests!$A:$A),MATCH(C$1,[2]quests!$1:$1,0)-MATCH($B$1,[2]quests!$1:$1,0)+1),MATCH(C$1,[2]quests!$1:$1,0)-MATCH($B$1,[2]quests!$1:$1,0)+1,FALSE)</f>
        <v>フギンとムニン襲来！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降臨1</v>
      </c>
      <c r="E7" s="82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1">
        <v>0</v>
      </c>
      <c r="I7">
        <v>7</v>
      </c>
      <c r="J7" s="80" t="s">
        <v>197</v>
      </c>
      <c r="K7" s="87" t="str">
        <f>VLOOKUP(I7,[8]stage_hints!$A:$C,3,FALSE)</f>
        <v>メタルダックで経験値を獲得</v>
      </c>
      <c r="L7" s="88" t="str">
        <f>VLOOKUP(I7,[8]stage_hints!$A:$D,4,FALSE)</f>
        <v>「メタルなアヒル」を強化素材にすると_x000D_大量の経験値がもらえます</v>
      </c>
      <c r="M7" s="53" t="s">
        <v>209</v>
      </c>
    </row>
    <row r="8" spans="1:13" x14ac:dyDescent="0.15">
      <c r="A8" s="77" t="s">
        <v>199</v>
      </c>
      <c r="B8" s="78">
        <f>floors!$C$2</f>
        <v>41009</v>
      </c>
      <c r="C8" s="79" t="str">
        <f ca="1">VLOOKUP($B8,OFFSET([2]quests!$A$1,0,0,COUNTA([2]quests!$A:$A),MATCH(C$1,[2]quests!$1:$1,0)-MATCH($B$1,[2]quests!$1:$1,0)+1),MATCH(C$1,[2]quests!$1:$1,0)-MATCH($B$1,[2]quests!$1:$1,0)+1,FALSE)</f>
        <v>フギンとムニン襲来！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降臨1</v>
      </c>
      <c r="E8" s="82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1">
        <v>0</v>
      </c>
      <c r="I8">
        <v>8</v>
      </c>
      <c r="J8" s="80" t="s">
        <v>197</v>
      </c>
      <c r="K8" s="87" t="str">
        <f>VLOOKUP(I8,[8]stage_hints!$A:$C,3,FALSE)</f>
        <v>ゲリラクエストは要チェック</v>
      </c>
      <c r="L8" s="88" t="str">
        <f>VLOOKUP(I8,[8]stage_hints!$A:$D,4,FALSE)</f>
        <v>時間限定の「アヒル捕獲作戦」では_x000D_経験値素材ユニットが多く手に入ります</v>
      </c>
      <c r="M8" s="53" t="s">
        <v>209</v>
      </c>
    </row>
    <row r="9" spans="1:13" x14ac:dyDescent="0.15">
      <c r="A9" s="77" t="s">
        <v>199</v>
      </c>
      <c r="B9" s="78">
        <f>floors!$C$2</f>
        <v>41009</v>
      </c>
      <c r="C9" s="79" t="str">
        <f ca="1">VLOOKUP($B9,OFFSET([2]quests!$A$1,0,0,COUNTA([2]quests!$A:$A),MATCH(C$1,[2]quests!$1:$1,0)-MATCH($B$1,[2]quests!$1:$1,0)+1),MATCH(C$1,[2]quests!$1:$1,0)-MATCH($B$1,[2]quests!$1:$1,0)+1,FALSE)</f>
        <v>フギンとムニン襲来！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降臨1</v>
      </c>
      <c r="E9" s="82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1">
        <v>0</v>
      </c>
      <c r="I9">
        <v>9</v>
      </c>
      <c r="J9" s="80" t="s">
        <v>197</v>
      </c>
      <c r="K9" s="87" t="str">
        <f>VLOOKUP(I9,[8]stage_hints!$A:$C,3,FALSE)</f>
        <v>ゴールドダックでビットを獲得</v>
      </c>
      <c r="L9" s="88" t="str">
        <f>VLOOKUP(I9,[8]stage_hints!$A:$D,4,FALSE)</f>
        <v>「ゴールドなアヒル」を売却すると_x000D_大量のビットがもらえます</v>
      </c>
      <c r="M9" s="53" t="s">
        <v>209</v>
      </c>
    </row>
    <row r="10" spans="1:13" x14ac:dyDescent="0.15">
      <c r="A10" s="77" t="s">
        <v>199</v>
      </c>
      <c r="B10" s="78">
        <f>floors!$C$2</f>
        <v>41009</v>
      </c>
      <c r="C10" s="79" t="str">
        <f ca="1">VLOOKUP($B10,OFFSET([2]quests!$A$1,0,0,COUNTA([2]quests!$A:$A),MATCH(C$1,[2]quests!$1:$1,0)-MATCH($B$1,[2]quests!$1:$1,0)+1),MATCH(C$1,[2]quests!$1:$1,0)-MATCH($B$1,[2]quests!$1:$1,0)+1,FALSE)</f>
        <v>フギンとムニン襲来！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2">
        <v>1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1">
        <v>0</v>
      </c>
      <c r="I10">
        <v>10</v>
      </c>
      <c r="J10" s="80" t="s">
        <v>197</v>
      </c>
      <c r="K10" s="87" t="str">
        <f>VLOOKUP(I10,[8]stage_hints!$A:$C,3,FALSE)</f>
        <v>土日に大量のビットを獲得</v>
      </c>
      <c r="L10" s="88" t="str">
        <f>VLOOKUP(I10,[8]stage_hints!$A:$D,4,FALSE)</f>
        <v>土日限定の「ゴールドカジノ」では_x000D_売却素材ユニットが多く手に入ります</v>
      </c>
      <c r="M10" s="53" t="s">
        <v>209</v>
      </c>
    </row>
    <row r="11" spans="1:13" x14ac:dyDescent="0.15">
      <c r="A11" s="77" t="s">
        <v>199</v>
      </c>
      <c r="B11" s="78">
        <f>floors!$C$2</f>
        <v>41009</v>
      </c>
      <c r="C11" s="79" t="str">
        <f ca="1">VLOOKUP($B11,OFFSET([2]quests!$A$1,0,0,COUNTA([2]quests!$A:$A),MATCH(C$1,[2]quests!$1:$1,0)-MATCH($B$1,[2]quests!$1:$1,0)+1),MATCH(C$1,[2]quests!$1:$1,0)-MATCH($B$1,[2]quests!$1:$1,0)+1,FALSE)</f>
        <v>フギンとムニン襲来！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2">
        <v>1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1">
        <v>0</v>
      </c>
      <c r="I11">
        <v>11</v>
      </c>
      <c r="J11" s="80" t="s">
        <v>197</v>
      </c>
      <c r="K11" s="87" t="str">
        <f>VLOOKUP(I11,[8]stage_hints!$A:$C,3,FALSE)</f>
        <v>ゲリラクエストは要チェック</v>
      </c>
      <c r="L11" s="88" t="str">
        <f>VLOOKUP(I11,[8]stage_hints!$A:$D,4,FALSE)</f>
        <v>時間限定の「アヒル捕獲作戦」では_x000D_経験値素材ユニットが多く手に入ります</v>
      </c>
      <c r="M11" s="53" t="s">
        <v>209</v>
      </c>
    </row>
    <row r="12" spans="1:13" x14ac:dyDescent="0.15">
      <c r="A12" s="77" t="s">
        <v>199</v>
      </c>
      <c r="B12" s="78">
        <f>floors!$C$2</f>
        <v>41009</v>
      </c>
      <c r="C12" s="79" t="str">
        <f ca="1">VLOOKUP($B12,OFFSET([2]quests!$A$1,0,0,COUNTA([2]quests!$A:$A),MATCH(C$1,[2]quests!$1:$1,0)-MATCH($B$1,[2]quests!$1:$1,0)+1),MATCH(C$1,[2]quests!$1:$1,0)-MATCH($B$1,[2]quests!$1:$1,0)+1,FALSE)</f>
        <v>フギンとムニン襲来！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2">
        <v>1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1">
        <v>0</v>
      </c>
      <c r="I12">
        <v>12</v>
      </c>
      <c r="J12" s="80" t="s">
        <v>197</v>
      </c>
      <c r="K12" s="87" t="str">
        <f>VLOOKUP(I12,[8]stage_hints!$A:$C,3,FALSE)</f>
        <v>ユニットのお気に入り登録</v>
      </c>
      <c r="L12" s="88" t="str">
        <f>VLOOKUP(I12,[8]stage_hints!$A:$D,4,FALSE)</f>
        <v>大事なユニットを誤って消さないように_x000D_フォルダから「お気に入り登録」しましょう</v>
      </c>
      <c r="M12" s="53" t="s">
        <v>209</v>
      </c>
    </row>
    <row r="13" spans="1:13" x14ac:dyDescent="0.15">
      <c r="A13" s="77" t="s">
        <v>199</v>
      </c>
      <c r="B13" s="78">
        <f>floors!$C$2</f>
        <v>41009</v>
      </c>
      <c r="C13" s="79" t="str">
        <f ca="1">VLOOKUP($B13,OFFSET([2]quests!$A$1,0,0,COUNTA([2]quests!$A:$A),MATCH(C$1,[2]quests!$1:$1,0)-MATCH($B$1,[2]quests!$1:$1,0)+1),MATCH(C$1,[2]quests!$1:$1,0)-MATCH($B$1,[2]quests!$1:$1,0)+1,FALSE)</f>
        <v>フギンとムニン襲来！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2">
        <v>1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1">
        <v>0</v>
      </c>
      <c r="I13">
        <v>13</v>
      </c>
      <c r="J13" s="80" t="s">
        <v>197</v>
      </c>
      <c r="K13" s="87" t="str">
        <f>VLOOKUP(I13,[8]stage_hints!$A:$C,3,FALSE)</f>
        <v>ユニットの覚醒</v>
      </c>
      <c r="L13" s="88" t="str">
        <f>VLOOKUP(I13,[8]stage_hints!$A:$D,4,FALSE)</f>
        <v>ユニットを覚醒させると_x000D_比べものにならない強さが手に入ります</v>
      </c>
      <c r="M13" s="53" t="s">
        <v>209</v>
      </c>
    </row>
    <row r="14" spans="1:13" x14ac:dyDescent="0.15">
      <c r="A14" s="77" t="s">
        <v>199</v>
      </c>
      <c r="B14" s="78">
        <f>floors!$C$2</f>
        <v>41009</v>
      </c>
      <c r="C14" s="79" t="str">
        <f ca="1">VLOOKUP($B14,OFFSET([2]quests!$A$1,0,0,COUNTA([2]quests!$A:$A),MATCH(C$1,[2]quests!$1:$1,0)-MATCH($B$1,[2]quests!$1:$1,0)+1),MATCH(C$1,[2]quests!$1:$1,0)-MATCH($B$1,[2]quests!$1:$1,0)+1,FALSE)</f>
        <v>フギンとムニン襲来！</v>
      </c>
      <c r="D14" s="79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2">
        <v>1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1">
        <v>0</v>
      </c>
      <c r="I14">
        <v>14</v>
      </c>
      <c r="J14" s="80" t="s">
        <v>197</v>
      </c>
      <c r="K14" s="87" t="str">
        <f>VLOOKUP(I14,[8]stage_hints!$A:$C,3,FALSE)</f>
        <v>覚醒するにはレベルを最大に</v>
      </c>
      <c r="L14" s="88" t="str">
        <f>VLOOKUP(I14,[8]stage_hints!$A:$D,4,FALSE)</f>
        <v>覚醒するにはユニットのレベルを_x000D_最大まで上げる必要があります</v>
      </c>
      <c r="M14" s="53" t="s">
        <v>209</v>
      </c>
    </row>
    <row r="15" spans="1:13" x14ac:dyDescent="0.15">
      <c r="A15" s="77" t="s">
        <v>199</v>
      </c>
      <c r="B15" s="78">
        <f>floors!$C$2</f>
        <v>41009</v>
      </c>
      <c r="C15" s="79" t="str">
        <f ca="1">VLOOKUP($B15,OFFSET([2]quests!$A$1,0,0,COUNTA([2]quests!$A:$A),MATCH(C$1,[2]quests!$1:$1,0)-MATCH($B$1,[2]quests!$1:$1,0)+1),MATCH(C$1,[2]quests!$1:$1,0)-MATCH($B$1,[2]quests!$1:$1,0)+1,FALSE)</f>
        <v>フギンとムニン襲来！</v>
      </c>
      <c r="D15" s="79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2">
        <v>1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1">
        <v>0</v>
      </c>
      <c r="I15">
        <v>15</v>
      </c>
      <c r="J15" s="80" t="s">
        <v>197</v>
      </c>
      <c r="K15" s="87" t="str">
        <f>VLOOKUP(I15,[8]stage_hints!$A:$C,3,FALSE)</f>
        <v>覚醒素材を獲得</v>
      </c>
      <c r="L15" s="88" t="str">
        <f>VLOOKUP(I15,[8]stage_hints!$A:$D,4,FALSE)</f>
        <v>「曜日クエスト」では_x000D_ユニットの覚醒に必要な素材が手に入ります</v>
      </c>
      <c r="M15" s="53" t="s">
        <v>209</v>
      </c>
    </row>
    <row r="16" spans="1:13" x14ac:dyDescent="0.15">
      <c r="A16" s="77" t="s">
        <v>199</v>
      </c>
      <c r="B16" s="78">
        <f>floors!$C$2</f>
        <v>41009</v>
      </c>
      <c r="C16" s="79" t="str">
        <f ca="1">VLOOKUP($B16,OFFSET([2]quests!$A$1,0,0,COUNTA([2]quests!$A:$A),MATCH(C$1,[2]quests!$1:$1,0)-MATCH($B$1,[2]quests!$1:$1,0)+1),MATCH(C$1,[2]quests!$1:$1,0)-MATCH($B$1,[2]quests!$1:$1,0)+1,FALSE)</f>
        <v>フギンとムニン襲来！</v>
      </c>
      <c r="D16" s="79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2">
        <v>1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1">
        <v>0</v>
      </c>
      <c r="I16">
        <v>16</v>
      </c>
      <c r="J16" s="80" t="s">
        <v>197</v>
      </c>
      <c r="K16" s="87" t="str">
        <f>VLOOKUP(I16,[8]stage_hints!$A:$C,3,FALSE)</f>
        <v>マルチプレイのメリット（その1）</v>
      </c>
      <c r="L16" s="88" t="str">
        <f>VLOOKUP(I16,[8]stage_hints!$A:$D,4,FALSE)</f>
        <v>他のプレイヤーとマルチプレイで遊ぶと_x000D_ポリゴンがもらえます（100人まで）</v>
      </c>
      <c r="M16" s="53" t="s">
        <v>209</v>
      </c>
    </row>
    <row r="17" spans="1:13" x14ac:dyDescent="0.15">
      <c r="A17" s="77" t="s">
        <v>199</v>
      </c>
      <c r="B17" s="78">
        <f>floors!$C$2</f>
        <v>41009</v>
      </c>
      <c r="C17" s="79" t="str">
        <f ca="1">VLOOKUP($B17,OFFSET([2]quests!$A$1,0,0,COUNTA([2]quests!$A:$A),MATCH(C$1,[2]quests!$1:$1,0)-MATCH($B$1,[2]quests!$1:$1,0)+1),MATCH(C$1,[2]quests!$1:$1,0)-MATCH($B$1,[2]quests!$1:$1,0)+1,FALSE)</f>
        <v>フギンとムニン襲来！</v>
      </c>
      <c r="D17" s="79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2">
        <v>1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1">
        <v>0</v>
      </c>
      <c r="I17">
        <v>17</v>
      </c>
      <c r="J17" s="80" t="s">
        <v>197</v>
      </c>
      <c r="K17" s="87" t="str">
        <f>VLOOKUP(I17,[8]stage_hints!$A:$C,3,FALSE)</f>
        <v>リンクガチャ</v>
      </c>
      <c r="L17" s="88" t="str">
        <f>VLOOKUP(I17,[8]stage_hints!$A:$D,4,FALSE)</f>
        <v>無料のリンクガチャを回して_x000D_経験値素材や売却素材を獲得しましょう</v>
      </c>
      <c r="M17" s="53" t="s">
        <v>209</v>
      </c>
    </row>
    <row r="18" spans="1:13" x14ac:dyDescent="0.15">
      <c r="A18" s="77" t="s">
        <v>199</v>
      </c>
      <c r="B18" s="78">
        <f>floors!$C$2</f>
        <v>41009</v>
      </c>
      <c r="C18" s="79" t="str">
        <f ca="1">VLOOKUP($B18,OFFSET([2]quests!$A$1,0,0,COUNTA([2]quests!$A:$A),MATCH(C$1,[2]quests!$1:$1,0)-MATCH($B$1,[2]quests!$1:$1,0)+1),MATCH(C$1,[2]quests!$1:$1,0)-MATCH($B$1,[2]quests!$1:$1,0)+1,FALSE)</f>
        <v>フギンとムニン襲来！</v>
      </c>
      <c r="D18" s="79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2">
        <v>1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1">
        <v>0</v>
      </c>
      <c r="I18">
        <v>18</v>
      </c>
      <c r="J18" s="80" t="s">
        <v>197</v>
      </c>
      <c r="K18" s="87" t="str">
        <f>VLOOKUP(I18,[8]stage_hints!$A:$C,3,FALSE)</f>
        <v>マルチプレイのメリット（その2）</v>
      </c>
      <c r="L18" s="88" t="str">
        <f>VLOOKUP(I18,[8]stage_hints!$A:$D,4,FALSE)</f>
        <v>マルチプレイならリンクが2倍もらえます_x000D_リンクガチャをたくさん回しましょう</v>
      </c>
      <c r="M18" s="53" t="s">
        <v>209</v>
      </c>
    </row>
    <row r="19" spans="1:13" x14ac:dyDescent="0.15">
      <c r="A19" s="77" t="s">
        <v>199</v>
      </c>
      <c r="B19" s="78">
        <f>floors!$C$2</f>
        <v>41009</v>
      </c>
      <c r="C19" s="79" t="str">
        <f ca="1">VLOOKUP($B19,OFFSET([2]quests!$A$1,0,0,COUNTA([2]quests!$A:$A),MATCH(C$1,[2]quests!$1:$1,0)-MATCH($B$1,[2]quests!$1:$1,0)+1),MATCH(C$1,[2]quests!$1:$1,0)-MATCH($B$1,[2]quests!$1:$1,0)+1,FALSE)</f>
        <v>フギンとムニン襲来！</v>
      </c>
      <c r="D19" s="79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2">
        <v>1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1">
        <v>0</v>
      </c>
      <c r="I19">
        <v>19</v>
      </c>
      <c r="J19" s="80" t="s">
        <v>197</v>
      </c>
      <c r="K19" s="87" t="str">
        <f>VLOOKUP(I19,[8]stage_hints!$A:$C,3,FALSE)</f>
        <v>ソロ専用タワーオブザクイーン</v>
      </c>
      <c r="L19" s="88" t="str">
        <f>VLOOKUP(I19,[8]stage_hints!$A:$D,4,FALSE)</f>
        <v>ソロ専用の「タワーオブザクイーン」は_x000D_期間限定で定期的に開催されます_x000D_ここでしか獲得できない報酬もあるようです</v>
      </c>
      <c r="M19" s="53" t="s">
        <v>209</v>
      </c>
    </row>
    <row r="20" spans="1:13" x14ac:dyDescent="0.15">
      <c r="A20" s="77" t="s">
        <v>199</v>
      </c>
      <c r="B20" s="78">
        <f>floors!$C$2</f>
        <v>41009</v>
      </c>
      <c r="C20" s="79" t="str">
        <f ca="1">VLOOKUP($B20,OFFSET([2]quests!$A$1,0,0,COUNTA([2]quests!$A:$A),MATCH(C$1,[2]quests!$1:$1,0)-MATCH($B$1,[2]quests!$1:$1,0)+1),MATCH(C$1,[2]quests!$1:$1,0)-MATCH($B$1,[2]quests!$1:$1,0)+1,FALSE)</f>
        <v>フギンとムニン襲来！</v>
      </c>
      <c r="D20" s="79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2">
        <v>1</v>
      </c>
      <c r="F20" s="79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0" s="79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1">
        <v>0</v>
      </c>
      <c r="I20">
        <v>20</v>
      </c>
      <c r="J20" s="80" t="s">
        <v>197</v>
      </c>
      <c r="K20" s="87" t="str">
        <f>VLOOKUP(I20,[8]stage_hints!$A:$C,3,FALSE)</f>
        <v>マルチプレイのメリット（その3）</v>
      </c>
      <c r="L20" s="88" t="str">
        <f>VLOOKUP(I20,[8]stage_hints!$A:$D,4,FALSE)</f>
        <v>マルチプレイへの参加はエナジー消費ゼロ_x000D_いつでも好きなだけ遊ぶことができます</v>
      </c>
      <c r="M20" s="53" t="s">
        <v>209</v>
      </c>
    </row>
    <row r="21" spans="1:13" x14ac:dyDescent="0.15">
      <c r="A21" s="77" t="s">
        <v>199</v>
      </c>
      <c r="B21" s="78">
        <f>floors!$C$2</f>
        <v>41009</v>
      </c>
      <c r="C21" s="79" t="str">
        <f ca="1">VLOOKUP($B21,OFFSET([2]quests!$A$1,0,0,COUNTA([2]quests!$A:$A),MATCH(C$1,[2]quests!$1:$1,0)-MATCH($B$1,[2]quests!$1:$1,0)+1),MATCH(C$1,[2]quests!$1:$1,0)-MATCH($B$1,[2]quests!$1:$1,0)+1,FALSE)</f>
        <v>フギンとムニン襲来！</v>
      </c>
      <c r="D21" s="79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2">
        <v>1</v>
      </c>
      <c r="F21" s="79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1" s="79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1">
        <v>0</v>
      </c>
      <c r="I21">
        <v>21</v>
      </c>
      <c r="J21" s="80" t="s">
        <v>197</v>
      </c>
      <c r="K21" s="87" t="str">
        <f>VLOOKUP(I21,[8]stage_hints!$A:$C,3,FALSE)</f>
        <v>スキルを有効に</v>
      </c>
      <c r="L21" s="88" t="str">
        <f>VLOOKUP(I21,[8]stage_hints!$A:$D,4,FALSE)</f>
        <v>ターン経過でユニットのスキルが使えます_x000D_強力スキルでバトルを有利に進めましょう</v>
      </c>
      <c r="M21" s="53" t="s">
        <v>209</v>
      </c>
    </row>
    <row r="22" spans="1:13" x14ac:dyDescent="0.15">
      <c r="A22" s="77" t="s">
        <v>199</v>
      </c>
      <c r="B22" s="78">
        <f>floors!$C$2</f>
        <v>41009</v>
      </c>
      <c r="C22" s="79" t="str">
        <f ca="1">VLOOKUP($B22,OFFSET([2]quests!$A$1,0,0,COUNTA([2]quests!$A:$A),MATCH(C$1,[2]quests!$1:$1,0)-MATCH($B$1,[2]quests!$1:$1,0)+1),MATCH(C$1,[2]quests!$1:$1,0)-MATCH($B$1,[2]quests!$1:$1,0)+1,FALSE)</f>
        <v>フギンとムニン襲来！</v>
      </c>
      <c r="D22" s="79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2">
        <v>1</v>
      </c>
      <c r="F22" s="79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2" s="79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1">
        <v>0</v>
      </c>
      <c r="I22">
        <v>22</v>
      </c>
      <c r="J22" s="80" t="s">
        <v>197</v>
      </c>
      <c r="K22" s="87" t="str">
        <f>VLOOKUP(I22,[8]stage_hints!$A:$C,3,FALSE)</f>
        <v>フィーバーで一発逆転（その1）</v>
      </c>
      <c r="L22" s="88" t="str">
        <f>VLOOKUP(I22,[8]stage_hints!$A:$D,4,FALSE)</f>
        <v>フィーバーは攻撃と回復を兼ね備えます_x000D_ピンチからの一発逆転を狙いましょう</v>
      </c>
      <c r="M22" s="53" t="s">
        <v>209</v>
      </c>
    </row>
    <row r="23" spans="1:13" x14ac:dyDescent="0.15">
      <c r="A23" s="77" t="s">
        <v>199</v>
      </c>
      <c r="B23" s="78">
        <f>floors!$C$2</f>
        <v>41009</v>
      </c>
      <c r="C23" s="79" t="str">
        <f ca="1">VLOOKUP($B23,OFFSET([2]quests!$A$1,0,0,COUNTA([2]quests!$A:$A),MATCH(C$1,[2]quests!$1:$1,0)-MATCH($B$1,[2]quests!$1:$1,0)+1),MATCH(C$1,[2]quests!$1:$1,0)-MATCH($B$1,[2]quests!$1:$1,0)+1,FALSE)</f>
        <v>フギンとムニン襲来！</v>
      </c>
      <c r="D23" s="79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2">
        <v>1</v>
      </c>
      <c r="F23" s="79" t="str">
        <f ca="1">VLOOKUP($B23&amp;"_"&amp;$E23,OFFSET([2]stages!$A$1,0,0,COUNTA([2]stages!$A:$A),MATCH(F$1,[2]stages!$2:$2,0)-MATCH("temp_stage",[2]stages!$2:$2,0)+1),MATCH(F$1,[2]stages!$2:$2,0)-MATCH("temp_stage",[2]stages!$2:$2,0)+1,FALSE)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3" s="79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1">
        <v>0</v>
      </c>
      <c r="I23">
        <v>23</v>
      </c>
      <c r="J23" s="80" t="s">
        <v>197</v>
      </c>
      <c r="K23" s="87" t="str">
        <f>VLOOKUP(I23,[8]stage_hints!$A:$C,3,FALSE)</f>
        <v>フィーバーで一発逆転（その2）</v>
      </c>
      <c r="L23" s="88" t="str">
        <f>VLOOKUP(I23,[8]stage_hints!$A:$D,4,FALSE)</f>
        <v>フィーバー中は虹色のボムパネルを狙って_x000D_画面上のパネルを一気に破壊しましょう</v>
      </c>
      <c r="M23" s="53" t="s">
        <v>209</v>
      </c>
    </row>
    <row r="24" spans="1:13" x14ac:dyDescent="0.15">
      <c r="A24" s="77" t="s">
        <v>199</v>
      </c>
      <c r="B24" s="78">
        <f>floors!$C$2</f>
        <v>41009</v>
      </c>
      <c r="C24" s="79" t="str">
        <f ca="1">VLOOKUP($B24,OFFSET([2]quests!$A$1,0,0,COUNTA([2]quests!$A:$A),MATCH(C$1,[2]quests!$1:$1,0)-MATCH($B$1,[2]quests!$1:$1,0)+1),MATCH(C$1,[2]quests!$1:$1,0)-MATCH($B$1,[2]quests!$1:$1,0)+1,FALSE)</f>
        <v>フギンとムニン襲来！</v>
      </c>
      <c r="D24" s="79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2">
        <v>1</v>
      </c>
      <c r="F24" s="79" t="str">
        <f ca="1">VLOOKUP($B24&amp;"_"&amp;$E24,OFFSET([2]stages!$A$1,0,0,COUNTA([2]stages!$A:$A),MATCH(F$1,[2]stages!$2:$2,0)-MATCH("temp_stage",[2]stages!$2:$2,0)+1),MATCH(F$1,[2]stages!$2:$2,0)-MATCH("temp_stage",[2]stages!$2:$2,0)+1,FALSE)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4" s="79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1">
        <v>0</v>
      </c>
      <c r="I24">
        <v>24</v>
      </c>
      <c r="J24" s="80" t="s">
        <v>197</v>
      </c>
      <c r="K24" s="87" t="str">
        <f>VLOOKUP(I24,[8]stage_hints!$A:$C,3,FALSE)</f>
        <v>果実を使って限界突破</v>
      </c>
      <c r="L24" s="88" t="str">
        <f>VLOOKUP(I24,[8]stage_hints!$A:$D,4,FALSE)</f>
        <v>攻めの果実 癒しの果実_x000D_生命の果実をユニット強化に使うと_x000D_ステータスが限界突破します（計99個迄）</v>
      </c>
      <c r="M24" s="53" t="s">
        <v>209</v>
      </c>
    </row>
    <row r="25" spans="1:13" x14ac:dyDescent="0.15">
      <c r="A25" s="77" t="s">
        <v>199</v>
      </c>
      <c r="B25" s="78">
        <f>floors!$C$2</f>
        <v>41009</v>
      </c>
      <c r="C25" s="79" t="str">
        <f ca="1">VLOOKUP($B25,OFFSET([2]quests!$A$1,0,0,COUNTA([2]quests!$A:$A),MATCH(C$1,[2]quests!$1:$1,0)-MATCH($B$1,[2]quests!$1:$1,0)+1),MATCH(C$1,[2]quests!$1:$1,0)-MATCH($B$1,[2]quests!$1:$1,0)+1,FALSE)</f>
        <v>フギンとムニン襲来！</v>
      </c>
      <c r="D25" s="79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2">
        <v>1</v>
      </c>
      <c r="F25" s="79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5" s="79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1">
        <v>0</v>
      </c>
      <c r="I25">
        <v>25</v>
      </c>
      <c r="J25" s="80" t="s">
        <v>197</v>
      </c>
      <c r="K25" s="87" t="str">
        <f>VLOOKUP(I25,[8]stage_hints!$A:$C,3,FALSE)</f>
        <v>スキルレベルアップ</v>
      </c>
      <c r="L25" s="88" t="str">
        <f>VLOOKUP(I25,[8]stage_hints!$A:$D,4,FALSE)</f>
        <v>「秘術の果実」を強化に使うと_x000D_スキルレベルを上げることができます</v>
      </c>
      <c r="M25" s="53" t="s">
        <v>209</v>
      </c>
    </row>
    <row r="26" spans="1:13" x14ac:dyDescent="0.15">
      <c r="A26" s="77" t="s">
        <v>199</v>
      </c>
      <c r="B26" s="78">
        <f>floors!$C$2</f>
        <v>41009</v>
      </c>
      <c r="C26" s="79" t="str">
        <f ca="1">VLOOKUP($B26,OFFSET([2]quests!$A$1,0,0,COUNTA([2]quests!$A:$A),MATCH(C$1,[2]quests!$1:$1,0)-MATCH($B$1,[2]quests!$1:$1,0)+1),MATCH(C$1,[2]quests!$1:$1,0)-MATCH($B$1,[2]quests!$1:$1,0)+1,FALSE)</f>
        <v>フギンとムニン襲来！</v>
      </c>
      <c r="D26" s="79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2">
        <v>1</v>
      </c>
      <c r="F26" s="79" t="str">
        <f ca="1">VLOOKUP($B26&amp;"_"&amp;$E26,OFFSET([2]stages!$A$1,0,0,COUNTA([2]stages!$A:$A),MATCH(F$1,[2]stages!$2:$2,0)-MATCH("temp_stage",[2]stages!$2:$2,0)+1),MATCH(F$1,[2]stages!$2:$2,0)-MATCH("temp_stage",[2]stages!$2:$2,0)+1,FALSE)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6" s="79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1">
        <v>0</v>
      </c>
      <c r="I26">
        <v>26</v>
      </c>
      <c r="J26" s="80" t="s">
        <v>197</v>
      </c>
      <c r="K26" s="87" t="str">
        <f>VLOOKUP(I26,[8]stage_hints!$A:$C,3,FALSE)</f>
        <v>スキルレベルの効果</v>
      </c>
      <c r="L26" s="88" t="str">
        <f>VLOOKUP(I26,[8]stage_hints!$A:$D,4,FALSE)</f>
        <v>スキルレベルが上がると_x000D_短いターンでスキルを使うことができます</v>
      </c>
      <c r="M26" s="53" t="s">
        <v>209</v>
      </c>
    </row>
    <row r="27" spans="1:13" x14ac:dyDescent="0.15">
      <c r="A27" s="77" t="s">
        <v>199</v>
      </c>
      <c r="B27" s="78">
        <f>floors!$C$2</f>
        <v>41009</v>
      </c>
      <c r="C27" s="79" t="str">
        <f ca="1">VLOOKUP($B27,OFFSET([2]quests!$A$1,0,0,COUNTA([2]quests!$A:$A),MATCH(C$1,[2]quests!$1:$1,0)-MATCH($B$1,[2]quests!$1:$1,0)+1),MATCH(C$1,[2]quests!$1:$1,0)-MATCH($B$1,[2]quests!$1:$1,0)+1,FALSE)</f>
        <v>フギンとムニン襲来！</v>
      </c>
      <c r="D27" s="79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2">
        <v>1</v>
      </c>
      <c r="F27" s="79" t="str">
        <f ca="1">VLOOKUP($B27&amp;"_"&amp;$E27,OFFSET([2]stages!$A$1,0,0,COUNTA([2]stages!$A:$A),MATCH(F$1,[2]stages!$2:$2,0)-MATCH("temp_stage",[2]stages!$2:$2,0)+1),MATCH(F$1,[2]stages!$2:$2,0)-MATCH("temp_stage",[2]stages!$2:$2,0)+1,FALSE)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7" s="79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1">
        <v>0</v>
      </c>
      <c r="I27">
        <v>39</v>
      </c>
      <c r="J27" s="80" t="s">
        <v>197</v>
      </c>
      <c r="K27" s="87" t="str">
        <f>VLOOKUP(I27,[8]stage_hints!$A:$C,3,FALSE)</f>
        <v>システム適合者を確認</v>
      </c>
      <c r="L27" s="88" t="str">
        <f>VLOOKUP(I27,[8]stage_hints!$A:$D,4,FALSE)</f>
        <v>ALICEが 「アナタ」を呼んでいます</v>
      </c>
      <c r="M27" s="53" t="s">
        <v>209</v>
      </c>
    </row>
    <row r="28" spans="1:13" x14ac:dyDescent="0.15">
      <c r="A28" s="77" t="s">
        <v>199</v>
      </c>
      <c r="B28" s="78">
        <f>floors!$C$2</f>
        <v>41009</v>
      </c>
      <c r="C28" s="79" t="str">
        <f ca="1">VLOOKUP($B28,OFFSET([2]quests!$A$1,0,0,COUNTA([2]quests!$A:$A),MATCH(C$1,[2]quests!$1:$1,0)-MATCH($B$1,[2]quests!$1:$1,0)+1),MATCH(C$1,[2]quests!$1:$1,0)-MATCH($B$1,[2]quests!$1:$1,0)+1,FALSE)</f>
        <v>フギンとムニン襲来！</v>
      </c>
      <c r="D28" s="79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2">
        <v>2</v>
      </c>
      <c r="F28" s="79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28" s="79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1">
        <v>0</v>
      </c>
      <c r="I28">
        <v>3</v>
      </c>
      <c r="J28" s="80" t="s">
        <v>197</v>
      </c>
      <c r="K28" s="87" t="str">
        <f>VLOOKUP(I28,[8]stage_hints!$A:$C,3,FALSE)</f>
        <v>ターゲット</v>
      </c>
      <c r="L28" s="88" t="str">
        <f>VLOOKUP(I28,[8]stage_hints!$A:$D,4,FALSE)</f>
        <v>敵ユニットをタップすると_x000D_その敵を狙い撃ちできます</v>
      </c>
      <c r="M28" s="53" t="s">
        <v>209</v>
      </c>
    </row>
    <row r="29" spans="1:13" x14ac:dyDescent="0.15">
      <c r="A29" s="77" t="s">
        <v>199</v>
      </c>
      <c r="B29" s="78">
        <f>floors!$C$2</f>
        <v>41009</v>
      </c>
      <c r="C29" s="79" t="str">
        <f ca="1">VLOOKUP($B29,OFFSET([2]quests!$A$1,0,0,COUNTA([2]quests!$A:$A),MATCH(C$1,[2]quests!$1:$1,0)-MATCH($B$1,[2]quests!$1:$1,0)+1),MATCH(C$1,[2]quests!$1:$1,0)-MATCH($B$1,[2]quests!$1:$1,0)+1,FALSE)</f>
        <v>フギンとムニン襲来！</v>
      </c>
      <c r="D29" s="79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2">
        <v>2</v>
      </c>
      <c r="F29" s="79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29" s="79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1">
        <v>0</v>
      </c>
      <c r="I29">
        <v>6</v>
      </c>
      <c r="J29" s="80" t="s">
        <v>197</v>
      </c>
      <c r="K29" s="87" t="str">
        <f>VLOOKUP(I29,[8]stage_hints!$A:$C,3,FALSE)</f>
        <v>ユニット強化の属性ボーナス</v>
      </c>
      <c r="L29" s="88" t="str">
        <f>VLOOKUP(I29,[8]stage_hints!$A:$D,4,FALSE)</f>
        <v>同属性ユニットを強化素材にすると_x000D_経験値が多くもらえます</v>
      </c>
      <c r="M29" s="53" t="s">
        <v>209</v>
      </c>
    </row>
    <row r="30" spans="1:13" x14ac:dyDescent="0.15">
      <c r="A30" s="77" t="s">
        <v>199</v>
      </c>
      <c r="B30" s="78">
        <f>floors!$C$2</f>
        <v>41009</v>
      </c>
      <c r="C30" s="79" t="str">
        <f ca="1">VLOOKUP($B30,OFFSET([2]quests!$A$1,0,0,COUNTA([2]quests!$A:$A),MATCH(C$1,[2]quests!$1:$1,0)-MATCH($B$1,[2]quests!$1:$1,0)+1),MATCH(C$1,[2]quests!$1:$1,0)-MATCH($B$1,[2]quests!$1:$1,0)+1,FALSE)</f>
        <v>フギンとムニン襲来！</v>
      </c>
      <c r="D30" s="79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2">
        <v>2</v>
      </c>
      <c r="F30" s="79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0" s="79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1">
        <v>0</v>
      </c>
      <c r="I30">
        <v>7</v>
      </c>
      <c r="J30" s="80" t="s">
        <v>197</v>
      </c>
      <c r="K30" s="87" t="str">
        <f>VLOOKUP(I30,[8]stage_hints!$A:$C,3,FALSE)</f>
        <v>メタルダックで経験値を獲得</v>
      </c>
      <c r="L30" s="88" t="str">
        <f>VLOOKUP(I30,[8]stage_hints!$A:$D,4,FALSE)</f>
        <v>「メタルなアヒル」を強化素材にすると_x000D_大量の経験値がもらえます</v>
      </c>
      <c r="M30" s="53" t="s">
        <v>209</v>
      </c>
    </row>
    <row r="31" spans="1:13" x14ac:dyDescent="0.15">
      <c r="A31" s="77" t="s">
        <v>199</v>
      </c>
      <c r="B31" s="78">
        <f>floors!$C$2</f>
        <v>41009</v>
      </c>
      <c r="C31" s="79" t="str">
        <f ca="1">VLOOKUP($B31,OFFSET([2]quests!$A$1,0,0,COUNTA([2]quests!$A:$A),MATCH(C$1,[2]quests!$1:$1,0)-MATCH($B$1,[2]quests!$1:$1,0)+1),MATCH(C$1,[2]quests!$1:$1,0)-MATCH($B$1,[2]quests!$1:$1,0)+1,FALSE)</f>
        <v>フギンとムニン襲来！</v>
      </c>
      <c r="D31" s="79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2">
        <v>2</v>
      </c>
      <c r="F31" s="79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1" s="79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1">
        <v>0</v>
      </c>
      <c r="I31">
        <v>8</v>
      </c>
      <c r="J31" s="80" t="s">
        <v>197</v>
      </c>
      <c r="K31" s="87" t="str">
        <f>VLOOKUP(I31,[8]stage_hints!$A:$C,3,FALSE)</f>
        <v>ゲリラクエストは要チェック</v>
      </c>
      <c r="L31" s="88" t="str">
        <f>VLOOKUP(I31,[8]stage_hints!$A:$D,4,FALSE)</f>
        <v>時間限定の「アヒル捕獲作戦」では_x000D_経験値素材ユニットが多く手に入ります</v>
      </c>
      <c r="M31" s="53" t="s">
        <v>209</v>
      </c>
    </row>
    <row r="32" spans="1:13" x14ac:dyDescent="0.15">
      <c r="A32" s="77" t="s">
        <v>199</v>
      </c>
      <c r="B32" s="78">
        <f>floors!$C$2</f>
        <v>41009</v>
      </c>
      <c r="C32" s="79" t="str">
        <f ca="1">VLOOKUP($B32,OFFSET([2]quests!$A$1,0,0,COUNTA([2]quests!$A:$A),MATCH(C$1,[2]quests!$1:$1,0)-MATCH($B$1,[2]quests!$1:$1,0)+1),MATCH(C$1,[2]quests!$1:$1,0)-MATCH($B$1,[2]quests!$1:$1,0)+1,FALSE)</f>
        <v>フギンとムニン襲来！</v>
      </c>
      <c r="D32" s="79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2">
        <v>2</v>
      </c>
      <c r="F32" s="79" t="str">
        <f ca="1">VLOOKUP($B32&amp;"_"&amp;$E32,OFFSET([2]stages!$A$1,0,0,COUNTA([2]stages!$A:$A),MATCH(F$1,[2]stages!$2:$2,0)-MATCH("temp_stage",[2]stages!$2:$2,0)+1),MATCH(F$1,[2]stages!$2:$2,0)-MATCH("temp_stage",[2]stages!$2:$2,0)+1,FALSE)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2" s="79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1">
        <v>0</v>
      </c>
      <c r="I32">
        <v>9</v>
      </c>
      <c r="J32" s="80" t="s">
        <v>197</v>
      </c>
      <c r="K32" s="87" t="str">
        <f>VLOOKUP(I32,[8]stage_hints!$A:$C,3,FALSE)</f>
        <v>ゴールドダックでビットを獲得</v>
      </c>
      <c r="L32" s="88" t="str">
        <f>VLOOKUP(I32,[8]stage_hints!$A:$D,4,FALSE)</f>
        <v>「ゴールドなアヒル」を売却すると_x000D_大量のビットがもらえます</v>
      </c>
      <c r="M32" s="53" t="s">
        <v>209</v>
      </c>
    </row>
    <row r="33" spans="1:13" x14ac:dyDescent="0.15">
      <c r="A33" s="77" t="s">
        <v>199</v>
      </c>
      <c r="B33" s="78">
        <f>floors!$C$2</f>
        <v>41009</v>
      </c>
      <c r="C33" s="79" t="str">
        <f ca="1">VLOOKUP($B33,OFFSET([2]quests!$A$1,0,0,COUNTA([2]quests!$A:$A),MATCH(C$1,[2]quests!$1:$1,0)-MATCH($B$1,[2]quests!$1:$1,0)+1),MATCH(C$1,[2]quests!$1:$1,0)-MATCH($B$1,[2]quests!$1:$1,0)+1,FALSE)</f>
        <v>フギンとムニン襲来！</v>
      </c>
      <c r="D33" s="79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2">
        <v>2</v>
      </c>
      <c r="F33" s="79" t="str">
        <f ca="1">VLOOKUP($B33&amp;"_"&amp;$E33,OFFSET([2]stages!$A$1,0,0,COUNTA([2]stages!$A:$A),MATCH(F$1,[2]stages!$2:$2,0)-MATCH("temp_stage",[2]stages!$2:$2,0)+1),MATCH(F$1,[2]stages!$2:$2,0)-MATCH("temp_stage",[2]stages!$2:$2,0)+1,FALSE)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3" s="79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1">
        <v>0</v>
      </c>
      <c r="I33">
        <v>10</v>
      </c>
      <c r="J33" s="80" t="s">
        <v>197</v>
      </c>
      <c r="K33" s="87" t="str">
        <f>VLOOKUP(I33,[8]stage_hints!$A:$C,3,FALSE)</f>
        <v>土日に大量のビットを獲得</v>
      </c>
      <c r="L33" s="88" t="str">
        <f>VLOOKUP(I33,[8]stage_hints!$A:$D,4,FALSE)</f>
        <v>土日限定の「ゴールドカジノ」では_x000D_売却素材ユニットが多く手に入ります</v>
      </c>
      <c r="M33" s="53" t="s">
        <v>209</v>
      </c>
    </row>
    <row r="34" spans="1:13" x14ac:dyDescent="0.15">
      <c r="A34" s="77" t="s">
        <v>199</v>
      </c>
      <c r="B34" s="78">
        <f>floors!$C$2</f>
        <v>41009</v>
      </c>
      <c r="C34" s="79" t="str">
        <f ca="1">VLOOKUP($B34,OFFSET([2]quests!$A$1,0,0,COUNTA([2]quests!$A:$A),MATCH(C$1,[2]quests!$1:$1,0)-MATCH($B$1,[2]quests!$1:$1,0)+1),MATCH(C$1,[2]quests!$1:$1,0)-MATCH($B$1,[2]quests!$1:$1,0)+1,FALSE)</f>
        <v>フギンとムニン襲来！</v>
      </c>
      <c r="D34" s="79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2">
        <v>2</v>
      </c>
      <c r="F34" s="79" t="str">
        <f ca="1">VLOOKUP($B34&amp;"_"&amp;$E34,OFFSET([2]stages!$A$1,0,0,COUNTA([2]stages!$A:$A),MATCH(F$1,[2]stages!$2:$2,0)-MATCH("temp_stage",[2]stages!$2:$2,0)+1),MATCH(F$1,[2]stages!$2:$2,0)-MATCH("temp_stage",[2]stages!$2:$2,0)+1,FALSE)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4" s="79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1">
        <v>0</v>
      </c>
      <c r="I34">
        <v>11</v>
      </c>
      <c r="J34" s="80" t="s">
        <v>197</v>
      </c>
      <c r="K34" s="87" t="str">
        <f>VLOOKUP(I34,[8]stage_hints!$A:$C,3,FALSE)</f>
        <v>ゲリラクエストは要チェック</v>
      </c>
      <c r="L34" s="88" t="str">
        <f>VLOOKUP(I34,[8]stage_hints!$A:$D,4,FALSE)</f>
        <v>時間限定の「アヒル捕獲作戦」では_x000D_経験値素材ユニットが多く手に入ります</v>
      </c>
      <c r="M34" s="53" t="s">
        <v>209</v>
      </c>
    </row>
    <row r="35" spans="1:13" x14ac:dyDescent="0.15">
      <c r="A35" s="77" t="s">
        <v>199</v>
      </c>
      <c r="B35" s="78">
        <f>floors!$C$2</f>
        <v>41009</v>
      </c>
      <c r="C35" s="79" t="str">
        <f ca="1">VLOOKUP($B35,OFFSET([2]quests!$A$1,0,0,COUNTA([2]quests!$A:$A),MATCH(C$1,[2]quests!$1:$1,0)-MATCH($B$1,[2]quests!$1:$1,0)+1),MATCH(C$1,[2]quests!$1:$1,0)-MATCH($B$1,[2]quests!$1:$1,0)+1,FALSE)</f>
        <v>フギンとムニン襲来！</v>
      </c>
      <c r="D35" s="79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2">
        <v>2</v>
      </c>
      <c r="F35" s="79" t="str">
        <f ca="1">VLOOKUP($B35&amp;"_"&amp;$E35,OFFSET([2]stages!$A$1,0,0,COUNTA([2]stages!$A:$A),MATCH(F$1,[2]stages!$2:$2,0)-MATCH("temp_stage",[2]stages!$2:$2,0)+1),MATCH(F$1,[2]stages!$2:$2,0)-MATCH("temp_stage",[2]stages!$2:$2,0)+1,FALSE)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5" s="79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1">
        <v>0</v>
      </c>
      <c r="I35">
        <v>12</v>
      </c>
      <c r="J35" s="80" t="s">
        <v>197</v>
      </c>
      <c r="K35" s="87" t="str">
        <f>VLOOKUP(I35,[8]stage_hints!$A:$C,3,FALSE)</f>
        <v>ユニットのお気に入り登録</v>
      </c>
      <c r="L35" s="88" t="str">
        <f>VLOOKUP(I35,[8]stage_hints!$A:$D,4,FALSE)</f>
        <v>大事なユニットを誤って消さないように_x000D_フォルダから「お気に入り登録」しましょう</v>
      </c>
      <c r="M35" s="53" t="s">
        <v>209</v>
      </c>
    </row>
    <row r="36" spans="1:13" x14ac:dyDescent="0.15">
      <c r="A36" s="77" t="s">
        <v>199</v>
      </c>
      <c r="B36" s="78">
        <f>floors!$C$2</f>
        <v>41009</v>
      </c>
      <c r="C36" s="79" t="str">
        <f ca="1">VLOOKUP($B36,OFFSET([2]quests!$A$1,0,0,COUNTA([2]quests!$A:$A),MATCH(C$1,[2]quests!$1:$1,0)-MATCH($B$1,[2]quests!$1:$1,0)+1),MATCH(C$1,[2]quests!$1:$1,0)-MATCH($B$1,[2]quests!$1:$1,0)+1,FALSE)</f>
        <v>フギンとムニン襲来！</v>
      </c>
      <c r="D36" s="79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2">
        <v>2</v>
      </c>
      <c r="F36" s="79" t="str">
        <f ca="1">VLOOKUP($B36&amp;"_"&amp;$E36,OFFSET([2]stages!$A$1,0,0,COUNTA([2]stages!$A:$A),MATCH(F$1,[2]stages!$2:$2,0)-MATCH("temp_stage",[2]stages!$2:$2,0)+1),MATCH(F$1,[2]stages!$2:$2,0)-MATCH("temp_stage",[2]stages!$2:$2,0)+1,FALSE)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6" s="79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1">
        <v>0</v>
      </c>
      <c r="I36">
        <v>13</v>
      </c>
      <c r="J36" s="80" t="s">
        <v>197</v>
      </c>
      <c r="K36" s="87" t="str">
        <f>VLOOKUP(I36,[8]stage_hints!$A:$C,3,FALSE)</f>
        <v>ユニットの覚醒</v>
      </c>
      <c r="L36" s="88" t="str">
        <f>VLOOKUP(I36,[8]stage_hints!$A:$D,4,FALSE)</f>
        <v>ユニットを覚醒させると_x000D_比べものにならない強さが手に入ります</v>
      </c>
      <c r="M36" s="53" t="s">
        <v>209</v>
      </c>
    </row>
    <row r="37" spans="1:13" x14ac:dyDescent="0.15">
      <c r="A37" s="77" t="s">
        <v>199</v>
      </c>
      <c r="B37" s="78">
        <f>floors!$C$2</f>
        <v>41009</v>
      </c>
      <c r="C37" s="79" t="str">
        <f ca="1">VLOOKUP($B37,OFFSET([2]quests!$A$1,0,0,COUNTA([2]quests!$A:$A),MATCH(C$1,[2]quests!$1:$1,0)-MATCH($B$1,[2]quests!$1:$1,0)+1),MATCH(C$1,[2]quests!$1:$1,0)-MATCH($B$1,[2]quests!$1:$1,0)+1,FALSE)</f>
        <v>フギンとムニン襲来！</v>
      </c>
      <c r="D37" s="79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2">
        <v>2</v>
      </c>
      <c r="F37" s="79" t="str">
        <f ca="1">VLOOKUP($B37&amp;"_"&amp;$E37,OFFSET([2]stages!$A$1,0,0,COUNTA([2]stages!$A:$A),MATCH(F$1,[2]stages!$2:$2,0)-MATCH("temp_stage",[2]stages!$2:$2,0)+1),MATCH(F$1,[2]stages!$2:$2,0)-MATCH("temp_stage",[2]stages!$2:$2,0)+1,FALSE)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7" s="79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1">
        <v>0</v>
      </c>
      <c r="I37">
        <v>14</v>
      </c>
      <c r="J37" s="80" t="s">
        <v>197</v>
      </c>
      <c r="K37" s="87" t="str">
        <f>VLOOKUP(I37,[8]stage_hints!$A:$C,3,FALSE)</f>
        <v>覚醒するにはレベルを最大に</v>
      </c>
      <c r="L37" s="88" t="str">
        <f>VLOOKUP(I37,[8]stage_hints!$A:$D,4,FALSE)</f>
        <v>覚醒するにはユニットのレベルを_x000D_最大まで上げる必要があります</v>
      </c>
      <c r="M37" s="53" t="s">
        <v>209</v>
      </c>
    </row>
    <row r="38" spans="1:13" x14ac:dyDescent="0.15">
      <c r="A38" s="77" t="s">
        <v>199</v>
      </c>
      <c r="B38" s="78">
        <f>floors!$C$2</f>
        <v>41009</v>
      </c>
      <c r="C38" s="79" t="str">
        <f ca="1">VLOOKUP($B38,OFFSET([2]quests!$A$1,0,0,COUNTA([2]quests!$A:$A),MATCH(C$1,[2]quests!$1:$1,0)-MATCH($B$1,[2]quests!$1:$1,0)+1),MATCH(C$1,[2]quests!$1:$1,0)-MATCH($B$1,[2]quests!$1:$1,0)+1,FALSE)</f>
        <v>フギンとムニン襲来！</v>
      </c>
      <c r="D38" s="79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2">
        <v>2</v>
      </c>
      <c r="F38" s="79" t="str">
        <f ca="1">VLOOKUP($B38&amp;"_"&amp;$E38,OFFSET([2]stages!$A$1,0,0,COUNTA([2]stages!$A:$A),MATCH(F$1,[2]stages!$2:$2,0)-MATCH("temp_stage",[2]stages!$2:$2,0)+1),MATCH(F$1,[2]stages!$2:$2,0)-MATCH("temp_stage",[2]stages!$2:$2,0)+1,FALSE)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8" s="79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1">
        <v>0</v>
      </c>
      <c r="I38">
        <v>15</v>
      </c>
      <c r="J38" s="80" t="s">
        <v>197</v>
      </c>
      <c r="K38" s="87" t="str">
        <f>VLOOKUP(I38,[8]stage_hints!$A:$C,3,FALSE)</f>
        <v>覚醒素材を獲得</v>
      </c>
      <c r="L38" s="88" t="str">
        <f>VLOOKUP(I38,[8]stage_hints!$A:$D,4,FALSE)</f>
        <v>「曜日クエスト」では_x000D_ユニットの覚醒に必要な素材が手に入ります</v>
      </c>
      <c r="M38" s="53" t="s">
        <v>209</v>
      </c>
    </row>
    <row r="39" spans="1:13" x14ac:dyDescent="0.15">
      <c r="A39" s="77" t="s">
        <v>199</v>
      </c>
      <c r="B39" s="78">
        <f>floors!$C$2</f>
        <v>41009</v>
      </c>
      <c r="C39" s="79" t="str">
        <f ca="1">VLOOKUP($B39,OFFSET([2]quests!$A$1,0,0,COUNTA([2]quests!$A:$A),MATCH(C$1,[2]quests!$1:$1,0)-MATCH($B$1,[2]quests!$1:$1,0)+1),MATCH(C$1,[2]quests!$1:$1,0)-MATCH($B$1,[2]quests!$1:$1,0)+1,FALSE)</f>
        <v>フギンとムニン襲来！</v>
      </c>
      <c r="D39" s="79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2">
        <v>2</v>
      </c>
      <c r="F39" s="79" t="str">
        <f ca="1">VLOOKUP($B39&amp;"_"&amp;$E39,OFFSET([2]stages!$A$1,0,0,COUNTA([2]stages!$A:$A),MATCH(F$1,[2]stages!$2:$2,0)-MATCH("temp_stage",[2]stages!$2:$2,0)+1),MATCH(F$1,[2]stages!$2:$2,0)-MATCH("temp_stage",[2]stages!$2:$2,0)+1,FALSE)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39" s="79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1">
        <v>0</v>
      </c>
      <c r="I39">
        <v>16</v>
      </c>
      <c r="J39" s="80" t="s">
        <v>197</v>
      </c>
      <c r="K39" s="87" t="str">
        <f>VLOOKUP(I39,[8]stage_hints!$A:$C,3,FALSE)</f>
        <v>マルチプレイのメリット（その1）</v>
      </c>
      <c r="L39" s="88" t="str">
        <f>VLOOKUP(I39,[8]stage_hints!$A:$D,4,FALSE)</f>
        <v>他のプレイヤーとマルチプレイで遊ぶと_x000D_ポリゴンがもらえます（100人まで）</v>
      </c>
      <c r="M39" s="53" t="s">
        <v>209</v>
      </c>
    </row>
    <row r="40" spans="1:13" x14ac:dyDescent="0.15">
      <c r="A40" s="77" t="s">
        <v>199</v>
      </c>
      <c r="B40" s="78">
        <f>floors!$C$2</f>
        <v>41009</v>
      </c>
      <c r="C40" s="79" t="str">
        <f ca="1">VLOOKUP($B40,OFFSET([2]quests!$A$1,0,0,COUNTA([2]quests!$A:$A),MATCH(C$1,[2]quests!$1:$1,0)-MATCH($B$1,[2]quests!$1:$1,0)+1),MATCH(C$1,[2]quests!$1:$1,0)-MATCH($B$1,[2]quests!$1:$1,0)+1,FALSE)</f>
        <v>フギンとムニン襲来！</v>
      </c>
      <c r="D40" s="79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2">
        <v>2</v>
      </c>
      <c r="F40" s="79" t="str">
        <f ca="1">VLOOKUP($B40&amp;"_"&amp;$E40,OFFSET([2]stages!$A$1,0,0,COUNTA([2]stages!$A:$A),MATCH(F$1,[2]stages!$2:$2,0)-MATCH("temp_stage",[2]stages!$2:$2,0)+1),MATCH(F$1,[2]stages!$2:$2,0)-MATCH("temp_stage",[2]stages!$2:$2,0)+1,FALSE)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0" s="79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1">
        <v>0</v>
      </c>
      <c r="I40">
        <v>17</v>
      </c>
      <c r="J40" s="80" t="s">
        <v>197</v>
      </c>
      <c r="K40" s="87" t="str">
        <f>VLOOKUP(I40,[8]stage_hints!$A:$C,3,FALSE)</f>
        <v>リンクガチャ</v>
      </c>
      <c r="L40" s="88" t="str">
        <f>VLOOKUP(I40,[8]stage_hints!$A:$D,4,FALSE)</f>
        <v>無料のリンクガチャを回して_x000D_経験値素材や売却素材を獲得しましょう</v>
      </c>
      <c r="M40" s="53" t="s">
        <v>209</v>
      </c>
    </row>
    <row r="41" spans="1:13" x14ac:dyDescent="0.15">
      <c r="A41" s="77" t="s">
        <v>199</v>
      </c>
      <c r="B41" s="78">
        <f>floors!$C$2</f>
        <v>41009</v>
      </c>
      <c r="C41" s="79" t="str">
        <f ca="1">VLOOKUP($B41,OFFSET([2]quests!$A$1,0,0,COUNTA([2]quests!$A:$A),MATCH(C$1,[2]quests!$1:$1,0)-MATCH($B$1,[2]quests!$1:$1,0)+1),MATCH(C$1,[2]quests!$1:$1,0)-MATCH($B$1,[2]quests!$1:$1,0)+1,FALSE)</f>
        <v>フギンとムニン襲来！</v>
      </c>
      <c r="D41" s="79" t="str">
        <f ca="1">VLOOKUP($B41,OFFSET([2]quests!$A$1,0,0,COUNTA([2]quests!$A:$A),MATCH(D$1,[2]quests!$1:$1,0)-MATCH($B$1,[2]quests!$1:$1,0)+1),MATCH(D$1,[2]quests!$1:$1,0)-MATCH($B$1,[2]quests!$1:$1,0)+1,FALSE)</f>
        <v>降臨1</v>
      </c>
      <c r="E41" s="82">
        <v>2</v>
      </c>
      <c r="F41" s="79" t="str">
        <f ca="1">VLOOKUP($B41&amp;"_"&amp;$E41,OFFSET([2]stages!$A$1,0,0,COUNTA([2]stages!$A:$A),MATCH(F$1,[2]stages!$2:$2,0)-MATCH("temp_stage",[2]stages!$2:$2,0)+1),MATCH(F$1,[2]stages!$2:$2,0)-MATCH("temp_stage",[2]stages!$2:$2,0)+1,FALSE)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1" s="79" t="str">
        <f ca="1">VLOOKUP($B41&amp;"_"&amp;$E41,OFFSET([2]stages!$A$1,0,0,COUNTA([2]stages!$A:$A),MATCH(G$1,[2]stages!$2:$2,0)-MATCH("temp_stage",[2]stages!$2:$2,0)+1),MATCH(G$1,[2]stages!$2:$2,0)-MATCH("temp_stage",[2]stages!$2:$2,0)+1,FALSE)</f>
        <v>降臨1</v>
      </c>
      <c r="H41" s="81">
        <v>0</v>
      </c>
      <c r="I41">
        <v>18</v>
      </c>
      <c r="J41" s="80" t="s">
        <v>197</v>
      </c>
      <c r="K41" s="87" t="str">
        <f>VLOOKUP(I41,[8]stage_hints!$A:$C,3,FALSE)</f>
        <v>マルチプレイのメリット（その2）</v>
      </c>
      <c r="L41" s="88" t="str">
        <f>VLOOKUP(I41,[8]stage_hints!$A:$D,4,FALSE)</f>
        <v>マルチプレイならリンクが2倍もらえます_x000D_リンクガチャをたくさん回しましょう</v>
      </c>
      <c r="M41" s="53" t="s">
        <v>209</v>
      </c>
    </row>
    <row r="42" spans="1:13" x14ac:dyDescent="0.15">
      <c r="A42" s="77" t="s">
        <v>199</v>
      </c>
      <c r="B42" s="78">
        <f>floors!$C$2</f>
        <v>41009</v>
      </c>
      <c r="C42" s="79" t="str">
        <f ca="1">VLOOKUP($B42,OFFSET([2]quests!$A$1,0,0,COUNTA([2]quests!$A:$A),MATCH(C$1,[2]quests!$1:$1,0)-MATCH($B$1,[2]quests!$1:$1,0)+1),MATCH(C$1,[2]quests!$1:$1,0)-MATCH($B$1,[2]quests!$1:$1,0)+1,FALSE)</f>
        <v>フギンとムニン襲来！</v>
      </c>
      <c r="D42" s="79" t="str">
        <f ca="1">VLOOKUP($B42,OFFSET([2]quests!$A$1,0,0,COUNTA([2]quests!$A:$A),MATCH(D$1,[2]quests!$1:$1,0)-MATCH($B$1,[2]quests!$1:$1,0)+1),MATCH(D$1,[2]quests!$1:$1,0)-MATCH($B$1,[2]quests!$1:$1,0)+1,FALSE)</f>
        <v>降臨1</v>
      </c>
      <c r="E42" s="82">
        <v>2</v>
      </c>
      <c r="F42" s="79" t="str">
        <f ca="1">VLOOKUP($B42&amp;"_"&amp;$E42,OFFSET([2]stages!$A$1,0,0,COUNTA([2]stages!$A:$A),MATCH(F$1,[2]stages!$2:$2,0)-MATCH("temp_stage",[2]stages!$2:$2,0)+1),MATCH(F$1,[2]stages!$2:$2,0)-MATCH("temp_stage",[2]stages!$2:$2,0)+1,FALSE)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2" s="79" t="str">
        <f ca="1">VLOOKUP($B42&amp;"_"&amp;$E42,OFFSET([2]stages!$A$1,0,0,COUNTA([2]stages!$A:$A),MATCH(G$1,[2]stages!$2:$2,0)-MATCH("temp_stage",[2]stages!$2:$2,0)+1),MATCH(G$1,[2]stages!$2:$2,0)-MATCH("temp_stage",[2]stages!$2:$2,0)+1,FALSE)</f>
        <v>降臨1</v>
      </c>
      <c r="H42" s="81">
        <v>0</v>
      </c>
      <c r="I42">
        <v>19</v>
      </c>
      <c r="J42" s="80" t="s">
        <v>197</v>
      </c>
      <c r="K42" s="87" t="str">
        <f>VLOOKUP(I42,[8]stage_hints!$A:$C,3,FALSE)</f>
        <v>ソロ専用タワーオブザクイーン</v>
      </c>
      <c r="L42" s="88" t="str">
        <f>VLOOKUP(I42,[8]stage_hints!$A:$D,4,FALSE)</f>
        <v>ソロ専用の「タワーオブザクイーン」は_x000D_期間限定で定期的に開催されます_x000D_ここでしか獲得できない報酬もあるようです</v>
      </c>
      <c r="M42" s="53" t="s">
        <v>209</v>
      </c>
    </row>
    <row r="43" spans="1:13" x14ac:dyDescent="0.15">
      <c r="A43" s="77" t="s">
        <v>199</v>
      </c>
      <c r="B43" s="78">
        <f>floors!$C$2</f>
        <v>41009</v>
      </c>
      <c r="C43" s="79" t="str">
        <f ca="1">VLOOKUP($B43,OFFSET([2]quests!$A$1,0,0,COUNTA([2]quests!$A:$A),MATCH(C$1,[2]quests!$1:$1,0)-MATCH($B$1,[2]quests!$1:$1,0)+1),MATCH(C$1,[2]quests!$1:$1,0)-MATCH($B$1,[2]quests!$1:$1,0)+1,FALSE)</f>
        <v>フギンとムニン襲来！</v>
      </c>
      <c r="D43" s="79" t="str">
        <f ca="1">VLOOKUP($B43,OFFSET([2]quests!$A$1,0,0,COUNTA([2]quests!$A:$A),MATCH(D$1,[2]quests!$1:$1,0)-MATCH($B$1,[2]quests!$1:$1,0)+1),MATCH(D$1,[2]quests!$1:$1,0)-MATCH($B$1,[2]quests!$1:$1,0)+1,FALSE)</f>
        <v>降臨1</v>
      </c>
      <c r="E43" s="82">
        <v>2</v>
      </c>
      <c r="F43" s="79" t="str">
        <f ca="1">VLOOKUP($B43&amp;"_"&amp;$E43,OFFSET([2]stages!$A$1,0,0,COUNTA([2]stages!$A:$A),MATCH(F$1,[2]stages!$2:$2,0)-MATCH("temp_stage",[2]stages!$2:$2,0)+1),MATCH(F$1,[2]stages!$2:$2,0)-MATCH("temp_stage",[2]stages!$2:$2,0)+1,FALSE)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3" s="79" t="str">
        <f ca="1">VLOOKUP($B43&amp;"_"&amp;$E43,OFFSET([2]stages!$A$1,0,0,COUNTA([2]stages!$A:$A),MATCH(G$1,[2]stages!$2:$2,0)-MATCH("temp_stage",[2]stages!$2:$2,0)+1),MATCH(G$1,[2]stages!$2:$2,0)-MATCH("temp_stage",[2]stages!$2:$2,0)+1,FALSE)</f>
        <v>降臨1</v>
      </c>
      <c r="H43" s="81">
        <v>0</v>
      </c>
      <c r="I43">
        <v>20</v>
      </c>
      <c r="J43" s="80" t="s">
        <v>197</v>
      </c>
      <c r="K43" s="87" t="str">
        <f>VLOOKUP(I43,[8]stage_hints!$A:$C,3,FALSE)</f>
        <v>マルチプレイのメリット（その3）</v>
      </c>
      <c r="L43" s="88" t="str">
        <f>VLOOKUP(I43,[8]stage_hints!$A:$D,4,FALSE)</f>
        <v>マルチプレイへの参加はエナジー消費ゼロ_x000D_いつでも好きなだけ遊ぶことができます</v>
      </c>
      <c r="M43" s="53" t="s">
        <v>209</v>
      </c>
    </row>
    <row r="44" spans="1:13" x14ac:dyDescent="0.15">
      <c r="A44" s="77" t="s">
        <v>199</v>
      </c>
      <c r="B44" s="78">
        <f>floors!$C$2</f>
        <v>41009</v>
      </c>
      <c r="C44" s="79" t="str">
        <f ca="1">VLOOKUP($B44,OFFSET([2]quests!$A$1,0,0,COUNTA([2]quests!$A:$A),MATCH(C$1,[2]quests!$1:$1,0)-MATCH($B$1,[2]quests!$1:$1,0)+1),MATCH(C$1,[2]quests!$1:$1,0)-MATCH($B$1,[2]quests!$1:$1,0)+1,FALSE)</f>
        <v>フギンとムニン襲来！</v>
      </c>
      <c r="D44" s="79" t="str">
        <f ca="1">VLOOKUP($B44,OFFSET([2]quests!$A$1,0,0,COUNTA([2]quests!$A:$A),MATCH(D$1,[2]quests!$1:$1,0)-MATCH($B$1,[2]quests!$1:$1,0)+1),MATCH(D$1,[2]quests!$1:$1,0)-MATCH($B$1,[2]quests!$1:$1,0)+1,FALSE)</f>
        <v>降臨1</v>
      </c>
      <c r="E44" s="82">
        <v>2</v>
      </c>
      <c r="F44" s="79" t="str">
        <f ca="1">VLOOKUP($B44&amp;"_"&amp;$E44,OFFSET([2]stages!$A$1,0,0,COUNTA([2]stages!$A:$A),MATCH(F$1,[2]stages!$2:$2,0)-MATCH("temp_stage",[2]stages!$2:$2,0)+1),MATCH(F$1,[2]stages!$2:$2,0)-MATCH("temp_stage",[2]stages!$2:$2,0)+1,FALSE)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4" s="79" t="str">
        <f ca="1">VLOOKUP($B44&amp;"_"&amp;$E44,OFFSET([2]stages!$A$1,0,0,COUNTA([2]stages!$A:$A),MATCH(G$1,[2]stages!$2:$2,0)-MATCH("temp_stage",[2]stages!$2:$2,0)+1),MATCH(G$1,[2]stages!$2:$2,0)-MATCH("temp_stage",[2]stages!$2:$2,0)+1,FALSE)</f>
        <v>降臨1</v>
      </c>
      <c r="H44" s="81">
        <v>0</v>
      </c>
      <c r="I44">
        <v>21</v>
      </c>
      <c r="J44" s="80" t="s">
        <v>197</v>
      </c>
      <c r="K44" s="87" t="str">
        <f>VLOOKUP(I44,[8]stage_hints!$A:$C,3,FALSE)</f>
        <v>スキルを有効に</v>
      </c>
      <c r="L44" s="88" t="str">
        <f>VLOOKUP(I44,[8]stage_hints!$A:$D,4,FALSE)</f>
        <v>ターン経過でユニットのスキルが使えます_x000D_強力スキルでバトルを有利に進めましょう</v>
      </c>
      <c r="M44" s="53" t="s">
        <v>209</v>
      </c>
    </row>
    <row r="45" spans="1:13" x14ac:dyDescent="0.15">
      <c r="A45" s="77" t="s">
        <v>199</v>
      </c>
      <c r="B45" s="78">
        <f>floors!$C$2</f>
        <v>41009</v>
      </c>
      <c r="C45" s="79" t="str">
        <f ca="1">VLOOKUP($B45,OFFSET([2]quests!$A$1,0,0,COUNTA([2]quests!$A:$A),MATCH(C$1,[2]quests!$1:$1,0)-MATCH($B$1,[2]quests!$1:$1,0)+1),MATCH(C$1,[2]quests!$1:$1,0)-MATCH($B$1,[2]quests!$1:$1,0)+1,FALSE)</f>
        <v>フギンとムニン襲来！</v>
      </c>
      <c r="D45" s="79" t="str">
        <f ca="1">VLOOKUP($B45,OFFSET([2]quests!$A$1,0,0,COUNTA([2]quests!$A:$A),MATCH(D$1,[2]quests!$1:$1,0)-MATCH($B$1,[2]quests!$1:$1,0)+1),MATCH(D$1,[2]quests!$1:$1,0)-MATCH($B$1,[2]quests!$1:$1,0)+1,FALSE)</f>
        <v>降臨1</v>
      </c>
      <c r="E45" s="82">
        <v>2</v>
      </c>
      <c r="F45" s="79" t="str">
        <f ca="1">VLOOKUP($B45&amp;"_"&amp;$E45,OFFSET([2]stages!$A$1,0,0,COUNTA([2]stages!$A:$A),MATCH(F$1,[2]stages!$2:$2,0)-MATCH("temp_stage",[2]stages!$2:$2,0)+1),MATCH(F$1,[2]stages!$2:$2,0)-MATCH("temp_stage",[2]stages!$2:$2,0)+1,FALSE)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5" s="79" t="str">
        <f ca="1">VLOOKUP($B45&amp;"_"&amp;$E45,OFFSET([2]stages!$A$1,0,0,COUNTA([2]stages!$A:$A),MATCH(G$1,[2]stages!$2:$2,0)-MATCH("temp_stage",[2]stages!$2:$2,0)+1),MATCH(G$1,[2]stages!$2:$2,0)-MATCH("temp_stage",[2]stages!$2:$2,0)+1,FALSE)</f>
        <v>降臨1</v>
      </c>
      <c r="H45" s="81">
        <v>0</v>
      </c>
      <c r="I45">
        <v>22</v>
      </c>
      <c r="J45" s="80" t="s">
        <v>197</v>
      </c>
      <c r="K45" s="87" t="str">
        <f>VLOOKUP(I45,[8]stage_hints!$A:$C,3,FALSE)</f>
        <v>フィーバーで一発逆転（その1）</v>
      </c>
      <c r="L45" s="88" t="str">
        <f>VLOOKUP(I45,[8]stage_hints!$A:$D,4,FALSE)</f>
        <v>フィーバーは攻撃と回復を兼ね備えます_x000D_ピンチからの一発逆転を狙いましょう</v>
      </c>
      <c r="M45" s="53" t="s">
        <v>209</v>
      </c>
    </row>
    <row r="46" spans="1:13" x14ac:dyDescent="0.15">
      <c r="A46" s="77" t="s">
        <v>199</v>
      </c>
      <c r="B46" s="78">
        <f>floors!$C$2</f>
        <v>41009</v>
      </c>
      <c r="C46" s="79" t="str">
        <f ca="1">VLOOKUP($B46,OFFSET([2]quests!$A$1,0,0,COUNTA([2]quests!$A:$A),MATCH(C$1,[2]quests!$1:$1,0)-MATCH($B$1,[2]quests!$1:$1,0)+1),MATCH(C$1,[2]quests!$1:$1,0)-MATCH($B$1,[2]quests!$1:$1,0)+1,FALSE)</f>
        <v>フギンとムニン襲来！</v>
      </c>
      <c r="D46" s="79" t="str">
        <f ca="1">VLOOKUP($B46,OFFSET([2]quests!$A$1,0,0,COUNTA([2]quests!$A:$A),MATCH(D$1,[2]quests!$1:$1,0)-MATCH($B$1,[2]quests!$1:$1,0)+1),MATCH(D$1,[2]quests!$1:$1,0)-MATCH($B$1,[2]quests!$1:$1,0)+1,FALSE)</f>
        <v>降臨1</v>
      </c>
      <c r="E46" s="82">
        <v>2</v>
      </c>
      <c r="F46" s="79" t="str">
        <f ca="1">VLOOKUP($B46&amp;"_"&amp;$E46,OFFSET([2]stages!$A$1,0,0,COUNTA([2]stages!$A:$A),MATCH(F$1,[2]stages!$2:$2,0)-MATCH("temp_stage",[2]stages!$2:$2,0)+1),MATCH(F$1,[2]stages!$2:$2,0)-MATCH("temp_stage",[2]stages!$2:$2,0)+1,FALSE)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6" s="79" t="str">
        <f ca="1">VLOOKUP($B46&amp;"_"&amp;$E46,OFFSET([2]stages!$A$1,0,0,COUNTA([2]stages!$A:$A),MATCH(G$1,[2]stages!$2:$2,0)-MATCH("temp_stage",[2]stages!$2:$2,0)+1),MATCH(G$1,[2]stages!$2:$2,0)-MATCH("temp_stage",[2]stages!$2:$2,0)+1,FALSE)</f>
        <v>降臨1</v>
      </c>
      <c r="H46" s="81">
        <v>0</v>
      </c>
      <c r="I46">
        <v>23</v>
      </c>
      <c r="J46" s="80" t="s">
        <v>197</v>
      </c>
      <c r="K46" s="87" t="str">
        <f>VLOOKUP(I46,[8]stage_hints!$A:$C,3,FALSE)</f>
        <v>フィーバーで一発逆転（その2）</v>
      </c>
      <c r="L46" s="88" t="str">
        <f>VLOOKUP(I46,[8]stage_hints!$A:$D,4,FALSE)</f>
        <v>フィーバー中は虹色のボムパネルを狙って_x000D_画面上のパネルを一気に破壊しましょう</v>
      </c>
      <c r="M46" s="53" t="s">
        <v>209</v>
      </c>
    </row>
    <row r="47" spans="1:13" x14ac:dyDescent="0.15">
      <c r="A47" s="77" t="s">
        <v>199</v>
      </c>
      <c r="B47" s="78">
        <f>floors!$C$2</f>
        <v>41009</v>
      </c>
      <c r="C47" s="79" t="str">
        <f ca="1">VLOOKUP($B47,OFFSET([2]quests!$A$1,0,0,COUNTA([2]quests!$A:$A),MATCH(C$1,[2]quests!$1:$1,0)-MATCH($B$1,[2]quests!$1:$1,0)+1),MATCH(C$1,[2]quests!$1:$1,0)-MATCH($B$1,[2]quests!$1:$1,0)+1,FALSE)</f>
        <v>フギンとムニン襲来！</v>
      </c>
      <c r="D47" s="79" t="str">
        <f ca="1">VLOOKUP($B47,OFFSET([2]quests!$A$1,0,0,COUNTA([2]quests!$A:$A),MATCH(D$1,[2]quests!$1:$1,0)-MATCH($B$1,[2]quests!$1:$1,0)+1),MATCH(D$1,[2]quests!$1:$1,0)-MATCH($B$1,[2]quests!$1:$1,0)+1,FALSE)</f>
        <v>降臨1</v>
      </c>
      <c r="E47" s="82">
        <v>2</v>
      </c>
      <c r="F47" s="79" t="str">
        <f ca="1">VLOOKUP($B47&amp;"_"&amp;$E47,OFFSET([2]stages!$A$1,0,0,COUNTA([2]stages!$A:$A),MATCH(F$1,[2]stages!$2:$2,0)-MATCH("temp_stage",[2]stages!$2:$2,0)+1),MATCH(F$1,[2]stages!$2:$2,0)-MATCH("temp_stage",[2]stages!$2:$2,0)+1,FALSE)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7" s="79" t="str">
        <f ca="1">VLOOKUP($B47&amp;"_"&amp;$E47,OFFSET([2]stages!$A$1,0,0,COUNTA([2]stages!$A:$A),MATCH(G$1,[2]stages!$2:$2,0)-MATCH("temp_stage",[2]stages!$2:$2,0)+1),MATCH(G$1,[2]stages!$2:$2,0)-MATCH("temp_stage",[2]stages!$2:$2,0)+1,FALSE)</f>
        <v>降臨1</v>
      </c>
      <c r="H47" s="81">
        <v>0</v>
      </c>
      <c r="I47">
        <v>24</v>
      </c>
      <c r="J47" s="80" t="s">
        <v>197</v>
      </c>
      <c r="K47" s="87" t="str">
        <f>VLOOKUP(I47,[8]stage_hints!$A:$C,3,FALSE)</f>
        <v>果実を使って限界突破</v>
      </c>
      <c r="L47" s="88" t="str">
        <f>VLOOKUP(I47,[8]stage_hints!$A:$D,4,FALSE)</f>
        <v>攻めの果実 癒しの果実_x000D_生命の果実をユニット強化に使うと_x000D_ステータスが限界突破します（計99個迄）</v>
      </c>
      <c r="M47" s="53" t="s">
        <v>209</v>
      </c>
    </row>
    <row r="48" spans="1:13" x14ac:dyDescent="0.15">
      <c r="A48" s="77" t="s">
        <v>199</v>
      </c>
      <c r="B48" s="78">
        <f>floors!$C$2</f>
        <v>41009</v>
      </c>
      <c r="C48" s="79" t="str">
        <f ca="1">VLOOKUP($B48,OFFSET([2]quests!$A$1,0,0,COUNTA([2]quests!$A:$A),MATCH(C$1,[2]quests!$1:$1,0)-MATCH($B$1,[2]quests!$1:$1,0)+1),MATCH(C$1,[2]quests!$1:$1,0)-MATCH($B$1,[2]quests!$1:$1,0)+1,FALSE)</f>
        <v>フギンとムニン襲来！</v>
      </c>
      <c r="D48" s="79" t="str">
        <f ca="1">VLOOKUP($B48,OFFSET([2]quests!$A$1,0,0,COUNTA([2]quests!$A:$A),MATCH(D$1,[2]quests!$1:$1,0)-MATCH($B$1,[2]quests!$1:$1,0)+1),MATCH(D$1,[2]quests!$1:$1,0)-MATCH($B$1,[2]quests!$1:$1,0)+1,FALSE)</f>
        <v>降臨1</v>
      </c>
      <c r="E48" s="82">
        <v>2</v>
      </c>
      <c r="F48" s="79" t="str">
        <f ca="1">VLOOKUP($B48&amp;"_"&amp;$E48,OFFSET([2]stages!$A$1,0,0,COUNTA([2]stages!$A:$A),MATCH(F$1,[2]stages!$2:$2,0)-MATCH("temp_stage",[2]stages!$2:$2,0)+1),MATCH(F$1,[2]stages!$2:$2,0)-MATCH("temp_stage",[2]stages!$2:$2,0)+1,FALSE)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8" s="79" t="str">
        <f ca="1">VLOOKUP($B48&amp;"_"&amp;$E48,OFFSET([2]stages!$A$1,0,0,COUNTA([2]stages!$A:$A),MATCH(G$1,[2]stages!$2:$2,0)-MATCH("temp_stage",[2]stages!$2:$2,0)+1),MATCH(G$1,[2]stages!$2:$2,0)-MATCH("temp_stage",[2]stages!$2:$2,0)+1,FALSE)</f>
        <v>降臨1</v>
      </c>
      <c r="H48" s="81">
        <v>0</v>
      </c>
      <c r="I48">
        <v>25</v>
      </c>
      <c r="J48" s="80" t="s">
        <v>197</v>
      </c>
      <c r="K48" s="87" t="str">
        <f>VLOOKUP(I48,[8]stage_hints!$A:$C,3,FALSE)</f>
        <v>スキルレベルアップ</v>
      </c>
      <c r="L48" s="88" t="str">
        <f>VLOOKUP(I48,[8]stage_hints!$A:$D,4,FALSE)</f>
        <v>「秘術の果実」を強化に使うと_x000D_スキルレベルを上げることができます</v>
      </c>
      <c r="M48" s="53" t="s">
        <v>209</v>
      </c>
    </row>
    <row r="49" spans="1:13" x14ac:dyDescent="0.15">
      <c r="A49" s="77" t="s">
        <v>199</v>
      </c>
      <c r="B49" s="78">
        <f>floors!$C$2</f>
        <v>41009</v>
      </c>
      <c r="C49" s="79" t="str">
        <f ca="1">VLOOKUP($B49,OFFSET([2]quests!$A$1,0,0,COUNTA([2]quests!$A:$A),MATCH(C$1,[2]quests!$1:$1,0)-MATCH($B$1,[2]quests!$1:$1,0)+1),MATCH(C$1,[2]quests!$1:$1,0)-MATCH($B$1,[2]quests!$1:$1,0)+1,FALSE)</f>
        <v>フギンとムニン襲来！</v>
      </c>
      <c r="D49" s="79" t="str">
        <f ca="1">VLOOKUP($B49,OFFSET([2]quests!$A$1,0,0,COUNTA([2]quests!$A:$A),MATCH(D$1,[2]quests!$1:$1,0)-MATCH($B$1,[2]quests!$1:$1,0)+1),MATCH(D$1,[2]quests!$1:$1,0)-MATCH($B$1,[2]quests!$1:$1,0)+1,FALSE)</f>
        <v>降臨1</v>
      </c>
      <c r="E49" s="82">
        <v>2</v>
      </c>
      <c r="F49" s="79" t="str">
        <f ca="1">VLOOKUP($B49&amp;"_"&amp;$E49,OFFSET([2]stages!$A$1,0,0,COUNTA([2]stages!$A:$A),MATCH(F$1,[2]stages!$2:$2,0)-MATCH("temp_stage",[2]stages!$2:$2,0)+1),MATCH(F$1,[2]stages!$2:$2,0)-MATCH("temp_stage",[2]stages!$2:$2,0)+1,FALSE)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49" s="79" t="str">
        <f ca="1">VLOOKUP($B49&amp;"_"&amp;$E49,OFFSET([2]stages!$A$1,0,0,COUNTA([2]stages!$A:$A),MATCH(G$1,[2]stages!$2:$2,0)-MATCH("temp_stage",[2]stages!$2:$2,0)+1),MATCH(G$1,[2]stages!$2:$2,0)-MATCH("temp_stage",[2]stages!$2:$2,0)+1,FALSE)</f>
        <v>降臨1</v>
      </c>
      <c r="H49" s="81">
        <v>0</v>
      </c>
      <c r="I49">
        <v>26</v>
      </c>
      <c r="J49" s="80" t="s">
        <v>197</v>
      </c>
      <c r="K49" s="87" t="str">
        <f>VLOOKUP(I49,[8]stage_hints!$A:$C,3,FALSE)</f>
        <v>スキルレベルの効果</v>
      </c>
      <c r="L49" s="88" t="str">
        <f>VLOOKUP(I49,[8]stage_hints!$A:$D,4,FALSE)</f>
        <v>スキルレベルが上がると_x000D_短いターンでスキルを使うことができます</v>
      </c>
      <c r="M49" s="53" t="s">
        <v>209</v>
      </c>
    </row>
    <row r="50" spans="1:13" x14ac:dyDescent="0.15">
      <c r="A50" s="77" t="s">
        <v>199</v>
      </c>
      <c r="B50" s="78">
        <f>floors!$C$2</f>
        <v>41009</v>
      </c>
      <c r="C50" s="79" t="str">
        <f ca="1">VLOOKUP($B50,OFFSET([2]quests!$A$1,0,0,COUNTA([2]quests!$A:$A),MATCH(C$1,[2]quests!$1:$1,0)-MATCH($B$1,[2]quests!$1:$1,0)+1),MATCH(C$1,[2]quests!$1:$1,0)-MATCH($B$1,[2]quests!$1:$1,0)+1,FALSE)</f>
        <v>フギンとムニン襲来！</v>
      </c>
      <c r="D50" s="79" t="str">
        <f ca="1">VLOOKUP($B50,OFFSET([2]quests!$A$1,0,0,COUNTA([2]quests!$A:$A),MATCH(D$1,[2]quests!$1:$1,0)-MATCH($B$1,[2]quests!$1:$1,0)+1),MATCH(D$1,[2]quests!$1:$1,0)-MATCH($B$1,[2]quests!$1:$1,0)+1,FALSE)</f>
        <v>降臨1</v>
      </c>
      <c r="E50" s="82">
        <v>2</v>
      </c>
      <c r="F50" s="79" t="str">
        <f ca="1">VLOOKUP($B50&amp;"_"&amp;$E50,OFFSET([2]stages!$A$1,0,0,COUNTA([2]stages!$A:$A),MATCH(F$1,[2]stages!$2:$2,0)-MATCH("temp_stage",[2]stages!$2:$2,0)+1),MATCH(F$1,[2]stages!$2:$2,0)-MATCH("temp_stage",[2]stages!$2:$2,0)+1,FALSE)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0" s="79" t="str">
        <f ca="1">VLOOKUP($B50&amp;"_"&amp;$E50,OFFSET([2]stages!$A$1,0,0,COUNTA([2]stages!$A:$A),MATCH(G$1,[2]stages!$2:$2,0)-MATCH("temp_stage",[2]stages!$2:$2,0)+1),MATCH(G$1,[2]stages!$2:$2,0)-MATCH("temp_stage",[2]stages!$2:$2,0)+1,FALSE)</f>
        <v>降臨1</v>
      </c>
      <c r="H50" s="81">
        <v>0</v>
      </c>
      <c r="I50">
        <v>27</v>
      </c>
      <c r="J50" s="80" t="s">
        <v>197</v>
      </c>
      <c r="K50" s="87" t="str">
        <f>VLOOKUP(I50,[8]stage_hints!$A:$C,3,FALSE)</f>
        <v>ホーム画面からデッキを編成</v>
      </c>
      <c r="L50" s="88" t="str">
        <f>VLOOKUP(I50,[8]stage_hints!$A:$D,4,FALSE)</f>
        <v>ホーム画面でユニットを長押しすると_x000D_すぐにパーティ編成に移動できます</v>
      </c>
      <c r="M50" s="53" t="s">
        <v>209</v>
      </c>
    </row>
    <row r="51" spans="1:13" x14ac:dyDescent="0.15">
      <c r="A51" s="77" t="s">
        <v>199</v>
      </c>
      <c r="B51" s="78">
        <f>floors!$C$2</f>
        <v>41009</v>
      </c>
      <c r="C51" s="79" t="str">
        <f ca="1">VLOOKUP($B51,OFFSET([2]quests!$A$1,0,0,COUNTA([2]quests!$A:$A),MATCH(C$1,[2]quests!$1:$1,0)-MATCH($B$1,[2]quests!$1:$1,0)+1),MATCH(C$1,[2]quests!$1:$1,0)-MATCH($B$1,[2]quests!$1:$1,0)+1,FALSE)</f>
        <v>フギンとムニン襲来！</v>
      </c>
      <c r="D51" s="79" t="str">
        <f ca="1">VLOOKUP($B51,OFFSET([2]quests!$A$1,0,0,COUNTA([2]quests!$A:$A),MATCH(D$1,[2]quests!$1:$1,0)-MATCH($B$1,[2]quests!$1:$1,0)+1),MATCH(D$1,[2]quests!$1:$1,0)-MATCH($B$1,[2]quests!$1:$1,0)+1,FALSE)</f>
        <v>降臨1</v>
      </c>
      <c r="E51" s="82">
        <v>2</v>
      </c>
      <c r="F51" s="79" t="str">
        <f ca="1">VLOOKUP($B51&amp;"_"&amp;$E51,OFFSET([2]stages!$A$1,0,0,COUNTA([2]stages!$A:$A),MATCH(F$1,[2]stages!$2:$2,0)-MATCH("temp_stage",[2]stages!$2:$2,0)+1),MATCH(F$1,[2]stages!$2:$2,0)-MATCH("temp_stage",[2]stages!$2:$2,0)+1,FALSE)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1" s="79" t="str">
        <f ca="1">VLOOKUP($B51&amp;"_"&amp;$E51,OFFSET([2]stages!$A$1,0,0,COUNTA([2]stages!$A:$A),MATCH(G$1,[2]stages!$2:$2,0)-MATCH("temp_stage",[2]stages!$2:$2,0)+1),MATCH(G$1,[2]stages!$2:$2,0)-MATCH("temp_stage",[2]stages!$2:$2,0)+1,FALSE)</f>
        <v>降臨1</v>
      </c>
      <c r="H51" s="81">
        <v>0</v>
      </c>
      <c r="I51">
        <v>28</v>
      </c>
      <c r="J51" s="80" t="s">
        <v>197</v>
      </c>
      <c r="K51" s="87" t="str">
        <f>VLOOKUP(I51,[8]stage_hints!$A:$C,3,FALSE)</f>
        <v>ステータス情報は長押しで</v>
      </c>
      <c r="L51" s="88" t="str">
        <f>VLOOKUP(I51,[8]stage_hints!$A:$D,4,FALSE)</f>
        <v>ユニットのアイコンを長押しすると_x000D_ステータス情報を確認することができます</v>
      </c>
      <c r="M51" s="53" t="s">
        <v>209</v>
      </c>
    </row>
    <row r="52" spans="1:13" x14ac:dyDescent="0.15">
      <c r="A52" s="77" t="s">
        <v>199</v>
      </c>
      <c r="B52" s="78">
        <f>floors!$C$2</f>
        <v>41009</v>
      </c>
      <c r="C52" s="79" t="str">
        <f ca="1">VLOOKUP($B52,OFFSET([2]quests!$A$1,0,0,COUNTA([2]quests!$A:$A),MATCH(C$1,[2]quests!$1:$1,0)-MATCH($B$1,[2]quests!$1:$1,0)+1),MATCH(C$1,[2]quests!$1:$1,0)-MATCH($B$1,[2]quests!$1:$1,0)+1,FALSE)</f>
        <v>フギンとムニン襲来！</v>
      </c>
      <c r="D52" s="79" t="str">
        <f ca="1">VLOOKUP($B52,OFFSET([2]quests!$A$1,0,0,COUNTA([2]quests!$A:$A),MATCH(D$1,[2]quests!$1:$1,0)-MATCH($B$1,[2]quests!$1:$1,0)+1),MATCH(D$1,[2]quests!$1:$1,0)-MATCH($B$1,[2]quests!$1:$1,0)+1,FALSE)</f>
        <v>降臨1</v>
      </c>
      <c r="E52" s="82">
        <v>2</v>
      </c>
      <c r="F52" s="79" t="str">
        <f ca="1">VLOOKUP($B52&amp;"_"&amp;$E52,OFFSET([2]stages!$A$1,0,0,COUNTA([2]stages!$A:$A),MATCH(F$1,[2]stages!$2:$2,0)-MATCH("temp_stage",[2]stages!$2:$2,0)+1),MATCH(F$1,[2]stages!$2:$2,0)-MATCH("temp_stage",[2]stages!$2:$2,0)+1,FALSE)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2" s="79" t="str">
        <f ca="1">VLOOKUP($B52&amp;"_"&amp;$E52,OFFSET([2]stages!$A$1,0,0,COUNTA([2]stages!$A:$A),MATCH(G$1,[2]stages!$2:$2,0)-MATCH("temp_stage",[2]stages!$2:$2,0)+1),MATCH(G$1,[2]stages!$2:$2,0)-MATCH("temp_stage",[2]stages!$2:$2,0)+1,FALSE)</f>
        <v>降臨1</v>
      </c>
      <c r="H52" s="81">
        <v>0</v>
      </c>
      <c r="I52">
        <v>29</v>
      </c>
      <c r="J52" s="80" t="s">
        <v>197</v>
      </c>
      <c r="K52" s="87" t="str">
        <f>VLOOKUP(I52,[8]stage_hints!$A:$C,3,FALSE)</f>
        <v>「バグ」のメリット</v>
      </c>
      <c r="L52" s="88" t="str">
        <f>VLOOKUP(I52,[8]stage_hints!$A:$D,4,FALSE)</f>
        <v>ユニットの「バグ」を増やすと_x000D_報酬をもらえる確率がアップします</v>
      </c>
      <c r="M52" s="53" t="s">
        <v>209</v>
      </c>
    </row>
    <row r="53" spans="1:13" x14ac:dyDescent="0.15">
      <c r="A53" s="77" t="s">
        <v>199</v>
      </c>
      <c r="B53" s="78">
        <f>floors!$C$2</f>
        <v>41009</v>
      </c>
      <c r="C53" s="79" t="str">
        <f ca="1">VLOOKUP($B53,OFFSET([2]quests!$A$1,0,0,COUNTA([2]quests!$A:$A),MATCH(C$1,[2]quests!$1:$1,0)-MATCH($B$1,[2]quests!$1:$1,0)+1),MATCH(C$1,[2]quests!$1:$1,0)-MATCH($B$1,[2]quests!$1:$1,0)+1,FALSE)</f>
        <v>フギンとムニン襲来！</v>
      </c>
      <c r="D53" s="79" t="str">
        <f ca="1">VLOOKUP($B53,OFFSET([2]quests!$A$1,0,0,COUNTA([2]quests!$A:$A),MATCH(D$1,[2]quests!$1:$1,0)-MATCH($B$1,[2]quests!$1:$1,0)+1),MATCH(D$1,[2]quests!$1:$1,0)-MATCH($B$1,[2]quests!$1:$1,0)+1,FALSE)</f>
        <v>降臨1</v>
      </c>
      <c r="E53" s="82">
        <v>2</v>
      </c>
      <c r="F53" s="79" t="str">
        <f ca="1">VLOOKUP($B53&amp;"_"&amp;$E53,OFFSET([2]stages!$A$1,0,0,COUNTA([2]stages!$A:$A),MATCH(F$1,[2]stages!$2:$2,0)-MATCH("temp_stage",[2]stages!$2:$2,0)+1),MATCH(F$1,[2]stages!$2:$2,0)-MATCH("temp_stage",[2]stages!$2:$2,0)+1,FALSE)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3" s="79" t="str">
        <f ca="1">VLOOKUP($B53&amp;"_"&amp;$E53,OFFSET([2]stages!$A$1,0,0,COUNTA([2]stages!$A:$A),MATCH(G$1,[2]stages!$2:$2,0)-MATCH("temp_stage",[2]stages!$2:$2,0)+1),MATCH(G$1,[2]stages!$2:$2,0)-MATCH("temp_stage",[2]stages!$2:$2,0)+1,FALSE)</f>
        <v>降臨1</v>
      </c>
      <c r="H53" s="81">
        <v>0</v>
      </c>
      <c r="I53">
        <v>30</v>
      </c>
      <c r="J53" s="80" t="s">
        <v>197</v>
      </c>
      <c r="K53" s="87" t="str">
        <f>VLOOKUP(I53,[8]stage_hints!$A:$C,3,FALSE)</f>
        <v>「バグ」の増やし方</v>
      </c>
      <c r="L53" s="88" t="str">
        <f>VLOOKUP(I53,[8]stage_hints!$A:$D,4,FALSE)</f>
        <v>同じユニット同士を強化で合成すると_x000D_「バグ」を増やすことができます</v>
      </c>
      <c r="M53" s="53" t="s">
        <v>209</v>
      </c>
    </row>
    <row r="54" spans="1:13" x14ac:dyDescent="0.15">
      <c r="A54" s="77" t="s">
        <v>199</v>
      </c>
      <c r="B54" s="78">
        <f>floors!$C$2</f>
        <v>41009</v>
      </c>
      <c r="C54" s="79" t="str">
        <f ca="1">VLOOKUP($B54,OFFSET([2]quests!$A$1,0,0,COUNTA([2]quests!$A:$A),MATCH(C$1,[2]quests!$1:$1,0)-MATCH($B$1,[2]quests!$1:$1,0)+1),MATCH(C$1,[2]quests!$1:$1,0)-MATCH($B$1,[2]quests!$1:$1,0)+1,FALSE)</f>
        <v>フギンとムニン襲来！</v>
      </c>
      <c r="D54" s="79" t="str">
        <f ca="1">VLOOKUP($B54,OFFSET([2]quests!$A$1,0,0,COUNTA([2]quests!$A:$A),MATCH(D$1,[2]quests!$1:$1,0)-MATCH($B$1,[2]quests!$1:$1,0)+1),MATCH(D$1,[2]quests!$1:$1,0)-MATCH($B$1,[2]quests!$1:$1,0)+1,FALSE)</f>
        <v>降臨1</v>
      </c>
      <c r="E54" s="82">
        <v>2</v>
      </c>
      <c r="F54" s="79" t="str">
        <f ca="1">VLOOKUP($B54&amp;"_"&amp;$E54,OFFSET([2]stages!$A$1,0,0,COUNTA([2]stages!$A:$A),MATCH(F$1,[2]stages!$2:$2,0)-MATCH("temp_stage",[2]stages!$2:$2,0)+1),MATCH(F$1,[2]stages!$2:$2,0)-MATCH("temp_stage",[2]stages!$2:$2,0)+1,FALSE)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4" s="79" t="str">
        <f ca="1">VLOOKUP($B54&amp;"_"&amp;$E54,OFFSET([2]stages!$A$1,0,0,COUNTA([2]stages!$A:$A),MATCH(G$1,[2]stages!$2:$2,0)-MATCH("temp_stage",[2]stages!$2:$2,0)+1),MATCH(G$1,[2]stages!$2:$2,0)-MATCH("temp_stage",[2]stages!$2:$2,0)+1,FALSE)</f>
        <v>降臨1</v>
      </c>
      <c r="H54" s="81">
        <v>0</v>
      </c>
      <c r="I54">
        <v>31</v>
      </c>
      <c r="J54" s="80" t="s">
        <v>197</v>
      </c>
      <c r="K54" s="87" t="str">
        <f>VLOOKUP(I54,[8]stage_hints!$A:$C,3,FALSE)</f>
        <v>イベントはお知らせでチェック</v>
      </c>
      <c r="L54" s="88" t="str">
        <f>VLOOKUP(I54,[8]stage_hints!$A:$D,4,FALSE)</f>
        <v>イベント限定ユニットを取り忘れないように_x000D_お知らせをこまめにチェックしましょう</v>
      </c>
      <c r="M54" s="53" t="s">
        <v>209</v>
      </c>
    </row>
    <row r="55" spans="1:13" x14ac:dyDescent="0.15">
      <c r="A55" s="77" t="s">
        <v>199</v>
      </c>
      <c r="B55" s="78">
        <f>floors!$C$2</f>
        <v>41009</v>
      </c>
      <c r="C55" s="79" t="str">
        <f ca="1">VLOOKUP($B55,OFFSET([2]quests!$A$1,0,0,COUNTA([2]quests!$A:$A),MATCH(C$1,[2]quests!$1:$1,0)-MATCH($B$1,[2]quests!$1:$1,0)+1),MATCH(C$1,[2]quests!$1:$1,0)-MATCH($B$1,[2]quests!$1:$1,0)+1,FALSE)</f>
        <v>フギンとムニン襲来！</v>
      </c>
      <c r="D55" s="79" t="str">
        <f ca="1">VLOOKUP($B55,OFFSET([2]quests!$A$1,0,0,COUNTA([2]quests!$A:$A),MATCH(D$1,[2]quests!$1:$1,0)-MATCH($B$1,[2]quests!$1:$1,0)+1),MATCH(D$1,[2]quests!$1:$1,0)-MATCH($B$1,[2]quests!$1:$1,0)+1,FALSE)</f>
        <v>降臨1</v>
      </c>
      <c r="E55" s="82">
        <v>2</v>
      </c>
      <c r="F55" s="79" t="str">
        <f ca="1">VLOOKUP($B55&amp;"_"&amp;$E55,OFFSET([2]stages!$A$1,0,0,COUNTA([2]stages!$A:$A),MATCH(F$1,[2]stages!$2:$2,0)-MATCH("temp_stage",[2]stages!$2:$2,0)+1),MATCH(F$1,[2]stages!$2:$2,0)-MATCH("temp_stage",[2]stages!$2:$2,0)+1,FALSE)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5" s="79" t="str">
        <f ca="1">VLOOKUP($B55&amp;"_"&amp;$E55,OFFSET([2]stages!$A$1,0,0,COUNTA([2]stages!$A:$A),MATCH(G$1,[2]stages!$2:$2,0)-MATCH("temp_stage",[2]stages!$2:$2,0)+1),MATCH(G$1,[2]stages!$2:$2,0)-MATCH("temp_stage",[2]stages!$2:$2,0)+1,FALSE)</f>
        <v>降臨1</v>
      </c>
      <c r="H55" s="81">
        <v>0</v>
      </c>
      <c r="I55">
        <v>32</v>
      </c>
      <c r="J55" s="80" t="s">
        <v>197</v>
      </c>
      <c r="K55" s="87" t="str">
        <f>VLOOKUP(I55,[8]stage_hints!$A:$C,3,FALSE)</f>
        <v>敵の連続攻撃には</v>
      </c>
      <c r="L55" s="88" t="str">
        <f>VLOOKUP(I55,[8]stage_hints!$A:$D,4,FALSE)</f>
        <v>カウンタースキルを持つユニットがいれば_x000D_ダメージ回数分の反撃ができます</v>
      </c>
      <c r="M55" s="53" t="s">
        <v>209</v>
      </c>
    </row>
    <row r="56" spans="1:13" x14ac:dyDescent="0.15">
      <c r="A56" s="77" t="s">
        <v>199</v>
      </c>
      <c r="B56" s="78">
        <f>floors!$C$2</f>
        <v>41009</v>
      </c>
      <c r="C56" s="79" t="str">
        <f ca="1">VLOOKUP($B56,OFFSET([2]quests!$A$1,0,0,COUNTA([2]quests!$A:$A),MATCH(C$1,[2]quests!$1:$1,0)-MATCH($B$1,[2]quests!$1:$1,0)+1),MATCH(C$1,[2]quests!$1:$1,0)-MATCH($B$1,[2]quests!$1:$1,0)+1,FALSE)</f>
        <v>フギンとムニン襲来！</v>
      </c>
      <c r="D56" s="79" t="str">
        <f ca="1">VLOOKUP($B56,OFFSET([2]quests!$A$1,0,0,COUNTA([2]quests!$A:$A),MATCH(D$1,[2]quests!$1:$1,0)-MATCH($B$1,[2]quests!$1:$1,0)+1),MATCH(D$1,[2]quests!$1:$1,0)-MATCH($B$1,[2]quests!$1:$1,0)+1,FALSE)</f>
        <v>降臨1</v>
      </c>
      <c r="E56" s="82">
        <v>2</v>
      </c>
      <c r="F56" s="79" t="str">
        <f ca="1">VLOOKUP($B56&amp;"_"&amp;$E56,OFFSET([2]stages!$A$1,0,0,COUNTA([2]stages!$A:$A),MATCH(F$1,[2]stages!$2:$2,0)-MATCH("temp_stage",[2]stages!$2:$2,0)+1),MATCH(F$1,[2]stages!$2:$2,0)-MATCH("temp_stage",[2]stages!$2:$2,0)+1,FALSE)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6" s="79" t="str">
        <f ca="1">VLOOKUP($B56&amp;"_"&amp;$E56,OFFSET([2]stages!$A$1,0,0,COUNTA([2]stages!$A:$A),MATCH(G$1,[2]stages!$2:$2,0)-MATCH("temp_stage",[2]stages!$2:$2,0)+1),MATCH(G$1,[2]stages!$2:$2,0)-MATCH("temp_stage",[2]stages!$2:$2,0)+1,FALSE)</f>
        <v>降臨1</v>
      </c>
      <c r="H56" s="81">
        <v>0</v>
      </c>
      <c r="I56">
        <v>33</v>
      </c>
      <c r="J56" s="80" t="s">
        <v>197</v>
      </c>
      <c r="K56" s="87" t="str">
        <f>VLOOKUP(I56,[8]stage_hints!$A:$C,3,FALSE)</f>
        <v>敵のカウンター攻撃には</v>
      </c>
      <c r="L56" s="88" t="str">
        <f>VLOOKUP(I56,[8]stage_hints!$A:$D,4,FALSE)</f>
        <v>カウンターブレイクスキルを持っていれば_x000D_敵のカウンターを解除して攻撃ができます</v>
      </c>
      <c r="M56" s="53" t="s">
        <v>209</v>
      </c>
    </row>
    <row r="57" spans="1:13" x14ac:dyDescent="0.15">
      <c r="A57" s="77" t="s">
        <v>199</v>
      </c>
      <c r="B57" s="78">
        <f>floors!$C$2</f>
        <v>41009</v>
      </c>
      <c r="C57" s="79" t="str">
        <f ca="1">VLOOKUP($B57,OFFSET([2]quests!$A$1,0,0,COUNTA([2]quests!$A:$A),MATCH(C$1,[2]quests!$1:$1,0)-MATCH($B$1,[2]quests!$1:$1,0)+1),MATCH(C$1,[2]quests!$1:$1,0)-MATCH($B$1,[2]quests!$1:$1,0)+1,FALSE)</f>
        <v>フギンとムニン襲来！</v>
      </c>
      <c r="D57" s="79" t="str">
        <f ca="1">VLOOKUP($B57,OFFSET([2]quests!$A$1,0,0,COUNTA([2]quests!$A:$A),MATCH(D$1,[2]quests!$1:$1,0)-MATCH($B$1,[2]quests!$1:$1,0)+1),MATCH(D$1,[2]quests!$1:$1,0)-MATCH($B$1,[2]quests!$1:$1,0)+1,FALSE)</f>
        <v>降臨1</v>
      </c>
      <c r="E57" s="82">
        <v>2</v>
      </c>
      <c r="F57" s="79" t="str">
        <f ca="1">VLOOKUP($B57&amp;"_"&amp;$E57,OFFSET([2]stages!$A$1,0,0,COUNTA([2]stages!$A:$A),MATCH(F$1,[2]stages!$2:$2,0)-MATCH("temp_stage",[2]stages!$2:$2,0)+1),MATCH(F$1,[2]stages!$2:$2,0)-MATCH("temp_stage",[2]stages!$2:$2,0)+1,FALSE)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7" s="79" t="str">
        <f ca="1">VLOOKUP($B57&amp;"_"&amp;$E57,OFFSET([2]stages!$A$1,0,0,COUNTA([2]stages!$A:$A),MATCH(G$1,[2]stages!$2:$2,0)-MATCH("temp_stage",[2]stages!$2:$2,0)+1),MATCH(G$1,[2]stages!$2:$2,0)-MATCH("temp_stage",[2]stages!$2:$2,0)+1,FALSE)</f>
        <v>降臨1</v>
      </c>
      <c r="H57" s="81">
        <v>0</v>
      </c>
      <c r="I57">
        <v>34</v>
      </c>
      <c r="J57" s="80" t="s">
        <v>197</v>
      </c>
      <c r="K57" s="87" t="str">
        <f>VLOOKUP(I57,[8]stage_hints!$A:$C,3,FALSE)</f>
        <v>ステータスをスキルで下げられたら</v>
      </c>
      <c r="L57" s="88" t="str">
        <f>VLOOKUP(I57,[8]stage_hints!$A:$D,4,FALSE)</f>
        <v>ステータスダウンのスキルを受けたら_x000D_ステータスアップスキルで上書きしましょう</v>
      </c>
      <c r="M57" s="53" t="s">
        <v>209</v>
      </c>
    </row>
    <row r="58" spans="1:13" x14ac:dyDescent="0.15">
      <c r="A58" s="77" t="s">
        <v>199</v>
      </c>
      <c r="B58" s="78">
        <f>floors!$C$2</f>
        <v>41009</v>
      </c>
      <c r="C58" s="79" t="str">
        <f ca="1">VLOOKUP($B58,OFFSET([2]quests!$A$1,0,0,COUNTA([2]quests!$A:$A),MATCH(C$1,[2]quests!$1:$1,0)-MATCH($B$1,[2]quests!$1:$1,0)+1),MATCH(C$1,[2]quests!$1:$1,0)-MATCH($B$1,[2]quests!$1:$1,0)+1,FALSE)</f>
        <v>フギンとムニン襲来！</v>
      </c>
      <c r="D58" s="79" t="str">
        <f ca="1">VLOOKUP($B58,OFFSET([2]quests!$A$1,0,0,COUNTA([2]quests!$A:$A),MATCH(D$1,[2]quests!$1:$1,0)-MATCH($B$1,[2]quests!$1:$1,0)+1),MATCH(D$1,[2]quests!$1:$1,0)-MATCH($B$1,[2]quests!$1:$1,0)+1,FALSE)</f>
        <v>降臨1</v>
      </c>
      <c r="E58" s="82">
        <v>2</v>
      </c>
      <c r="F58" s="79" t="str">
        <f ca="1">VLOOKUP($B58&amp;"_"&amp;$E58,OFFSET([2]stages!$A$1,0,0,COUNTA([2]stages!$A:$A),MATCH(F$1,[2]stages!$2:$2,0)-MATCH("temp_stage",[2]stages!$2:$2,0)+1),MATCH(F$1,[2]stages!$2:$2,0)-MATCH("temp_stage",[2]stages!$2:$2,0)+1,FALSE)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8" s="79" t="str">
        <f ca="1">VLOOKUP($B58&amp;"_"&amp;$E58,OFFSET([2]stages!$A$1,0,0,COUNTA([2]stages!$A:$A),MATCH(G$1,[2]stages!$2:$2,0)-MATCH("temp_stage",[2]stages!$2:$2,0)+1),MATCH(G$1,[2]stages!$2:$2,0)-MATCH("temp_stage",[2]stages!$2:$2,0)+1,FALSE)</f>
        <v>降臨1</v>
      </c>
      <c r="H58" s="81">
        <v>0</v>
      </c>
      <c r="I58">
        <v>35</v>
      </c>
      <c r="J58" s="80" t="s">
        <v>197</v>
      </c>
      <c r="K58" s="87" t="str">
        <f>VLOOKUP(I58,[8]stage_hints!$A:$C,3,FALSE)</f>
        <v>敵のステータスがスキルで上がったら</v>
      </c>
      <c r="L58" s="88" t="str">
        <f>VLOOKUP(I58,[8]stage_hints!$A:$D,4,FALSE)</f>
        <v>敵のステータスがスキルでアップしたときは_x000D_ステータスダウンスキルで上書きしましょう</v>
      </c>
      <c r="M58" s="53" t="s">
        <v>209</v>
      </c>
    </row>
    <row r="59" spans="1:13" x14ac:dyDescent="0.15">
      <c r="A59" s="77" t="s">
        <v>199</v>
      </c>
      <c r="B59" s="78">
        <f>floors!$C$2</f>
        <v>41009</v>
      </c>
      <c r="C59" s="79" t="str">
        <f ca="1">VLOOKUP($B59,OFFSET([2]quests!$A$1,0,0,COUNTA([2]quests!$A:$A),MATCH(C$1,[2]quests!$1:$1,0)-MATCH($B$1,[2]quests!$1:$1,0)+1),MATCH(C$1,[2]quests!$1:$1,0)-MATCH($B$1,[2]quests!$1:$1,0)+1,FALSE)</f>
        <v>フギンとムニン襲来！</v>
      </c>
      <c r="D59" s="79" t="str">
        <f ca="1">VLOOKUP($B59,OFFSET([2]quests!$A$1,0,0,COUNTA([2]quests!$A:$A),MATCH(D$1,[2]quests!$1:$1,0)-MATCH($B$1,[2]quests!$1:$1,0)+1),MATCH(D$1,[2]quests!$1:$1,0)-MATCH($B$1,[2]quests!$1:$1,0)+1,FALSE)</f>
        <v>降臨1</v>
      </c>
      <c r="E59" s="82">
        <v>2</v>
      </c>
      <c r="F59" s="79" t="str">
        <f ca="1">VLOOKUP($B59&amp;"_"&amp;$E59,OFFSET([2]stages!$A$1,0,0,COUNTA([2]stages!$A:$A),MATCH(F$1,[2]stages!$2:$2,0)-MATCH("temp_stage",[2]stages!$2:$2,0)+1),MATCH(F$1,[2]stages!$2:$2,0)-MATCH("temp_stage",[2]stages!$2:$2,0)+1,FALSE)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59" s="79" t="str">
        <f ca="1">VLOOKUP($B59&amp;"_"&amp;$E59,OFFSET([2]stages!$A$1,0,0,COUNTA([2]stages!$A:$A),MATCH(G$1,[2]stages!$2:$2,0)-MATCH("temp_stage",[2]stages!$2:$2,0)+1),MATCH(G$1,[2]stages!$2:$2,0)-MATCH("temp_stage",[2]stages!$2:$2,0)+1,FALSE)</f>
        <v>降臨1</v>
      </c>
      <c r="H59" s="81">
        <v>0</v>
      </c>
      <c r="I59">
        <v>39</v>
      </c>
      <c r="J59" s="80" t="s">
        <v>197</v>
      </c>
      <c r="K59" s="87" t="str">
        <f>VLOOKUP(I59,[8]stage_hints!$A:$C,3,FALSE)</f>
        <v>システム適合者を確認</v>
      </c>
      <c r="L59" s="88" t="str">
        <f>VLOOKUP(I59,[8]stage_hints!$A:$D,4,FALSE)</f>
        <v>ALICEが 「アナタ」を呼んでいます</v>
      </c>
      <c r="M59" s="53" t="s">
        <v>209</v>
      </c>
    </row>
  </sheetData>
  <phoneticPr fontId="5"/>
  <dataValidations count="1">
    <dataValidation type="list" allowBlank="1" showInputMessage="1" showErrorMessage="1" sqref="A2:A5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14" activePane="bottomLeft" state="frozen"/>
      <selection pane="bottomLeft" activeCell="A19" sqref="A14:XFD19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4" t="s">
        <v>193</v>
      </c>
      <c r="J1" s="85" t="s">
        <v>194</v>
      </c>
      <c r="K1" s="75" t="s">
        <v>126</v>
      </c>
      <c r="L1" s="74" t="s">
        <v>186</v>
      </c>
      <c r="M1" s="86" t="s">
        <v>185</v>
      </c>
      <c r="N1" s="76" t="s">
        <v>195</v>
      </c>
    </row>
    <row r="2" spans="1:14" ht="43" customHeight="1" x14ac:dyDescent="0.15">
      <c r="A2" s="129" t="s">
        <v>196</v>
      </c>
      <c r="B2" s="130">
        <f>floors!$C$2</f>
        <v>41009</v>
      </c>
      <c r="C2" s="131" t="str">
        <f ca="1">VLOOKUP($B2,OFFSET([2]quests!$A$1,0,0,COUNTA([2]quests!$A:$A),MATCH(C$1,[2]quests!$1:$1,0)-MATCH($B$1,[2]quests!$1:$1,0)+1),MATCH(C$1,[2]quests!$1:$1,0)-MATCH($B$1,[2]quests!$1:$1,0)+1,FALSE)</f>
        <v>フギンとムニン襲来！</v>
      </c>
      <c r="D2" s="131" t="str">
        <f ca="1">VLOOKUP($B2,OFFSET([2]quests!$A$1,0,0,COUNTA([2]quests!$A:$A),MATCH(D$1,[2]quests!$1:$1,0)-MATCH($B$1,[2]quests!$1:$1,0)+1),MATCH(D$1,[2]quests!$1:$1,0)-MATCH($B$1,[2]quests!$1:$1,0)+1,FALSE)</f>
        <v>降臨1</v>
      </c>
      <c r="E2" s="132">
        <v>1</v>
      </c>
      <c r="F2" s="13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2" s="13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133">
        <v>1</v>
      </c>
      <c r="I2" s="134">
        <f>ROW()-1</f>
        <v>1</v>
      </c>
      <c r="J2" s="135" t="str">
        <f>B2&amp;TEXT(I2,"00")</f>
        <v>4100901</v>
      </c>
      <c r="K2" s="132" t="s">
        <v>408</v>
      </c>
      <c r="L2" s="136" t="s">
        <v>198</v>
      </c>
      <c r="M2" s="137" t="s">
        <v>409</v>
      </c>
      <c r="N2" s="138" t="s">
        <v>410</v>
      </c>
    </row>
    <row r="3" spans="1:14" ht="43" customHeight="1" x14ac:dyDescent="0.15">
      <c r="A3" s="129" t="s">
        <v>196</v>
      </c>
      <c r="B3" s="130">
        <f>floors!$C$2</f>
        <v>41009</v>
      </c>
      <c r="C3" s="131" t="str">
        <f ca="1">VLOOKUP($B3,OFFSET([2]quests!$A$1,0,0,COUNTA([2]quests!$A:$A),MATCH(C$1,[2]quests!$1:$1,0)-MATCH($B$1,[2]quests!$1:$1,0)+1),MATCH(C$1,[2]quests!$1:$1,0)-MATCH($B$1,[2]quests!$1:$1,0)+1,FALSE)</f>
        <v>フギンとムニン襲来！</v>
      </c>
      <c r="D3" s="131" t="str">
        <f ca="1">VLOOKUP($B3,OFFSET([2]quests!$A$1,0,0,COUNTA([2]quests!$A:$A),MATCH(D$1,[2]quests!$1:$1,0)-MATCH($B$1,[2]quests!$1:$1,0)+1),MATCH(D$1,[2]quests!$1:$1,0)-MATCH($B$1,[2]quests!$1:$1,0)+1,FALSE)</f>
        <v>降臨1</v>
      </c>
      <c r="E3" s="132">
        <v>1</v>
      </c>
      <c r="F3" s="13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3" s="13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133">
        <v>1</v>
      </c>
      <c r="I3" s="134">
        <f>ROW()-1</f>
        <v>2</v>
      </c>
      <c r="J3" s="135" t="str">
        <f>B3&amp;TEXT(I3,"00")</f>
        <v>4100902</v>
      </c>
      <c r="K3" s="132" t="s">
        <v>408</v>
      </c>
      <c r="L3" s="136" t="s">
        <v>198</v>
      </c>
      <c r="M3" s="137" t="s">
        <v>411</v>
      </c>
      <c r="N3" s="138" t="s">
        <v>410</v>
      </c>
    </row>
    <row r="4" spans="1:14" ht="43" customHeight="1" x14ac:dyDescent="0.15">
      <c r="A4" s="129" t="s">
        <v>196</v>
      </c>
      <c r="B4" s="130">
        <f>floors!$C$2</f>
        <v>41009</v>
      </c>
      <c r="C4" s="131" t="str">
        <f ca="1">VLOOKUP($B4,OFFSET([2]quests!$A$1,0,0,COUNTA([2]quests!$A:$A),MATCH(C$1,[2]quests!$1:$1,0)-MATCH($B$1,[2]quests!$1:$1,0)+1),MATCH(C$1,[2]quests!$1:$1,0)-MATCH($B$1,[2]quests!$1:$1,0)+1,FALSE)</f>
        <v>フギンとムニン襲来！</v>
      </c>
      <c r="D4" s="131" t="str">
        <f ca="1">VLOOKUP($B4,OFFSET([2]quests!$A$1,0,0,COUNTA([2]quests!$A:$A),MATCH(D$1,[2]quests!$1:$1,0)-MATCH($B$1,[2]quests!$1:$1,0)+1),MATCH(D$1,[2]quests!$1:$1,0)-MATCH($B$1,[2]quests!$1:$1,0)+1,FALSE)</f>
        <v>降臨1</v>
      </c>
      <c r="E4" s="132">
        <v>1</v>
      </c>
      <c r="F4" s="13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4" s="13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133">
        <v>2</v>
      </c>
      <c r="I4" s="134">
        <f t="shared" ref="I4:I7" si="0">ROW()-1</f>
        <v>3</v>
      </c>
      <c r="J4" s="135" t="str">
        <f t="shared" ref="J4:J7" si="1">B4&amp;TEXT(I4,"00")</f>
        <v>4100903</v>
      </c>
      <c r="K4" s="132" t="s">
        <v>408</v>
      </c>
      <c r="L4" s="136" t="s">
        <v>198</v>
      </c>
      <c r="M4" s="137" t="s">
        <v>412</v>
      </c>
      <c r="N4" s="138" t="s">
        <v>410</v>
      </c>
    </row>
    <row r="5" spans="1:14" ht="43" customHeight="1" x14ac:dyDescent="0.15">
      <c r="A5" s="129" t="s">
        <v>196</v>
      </c>
      <c r="B5" s="130">
        <f>floors!$C$2</f>
        <v>41009</v>
      </c>
      <c r="C5" s="131" t="str">
        <f ca="1">VLOOKUP($B5,OFFSET([2]quests!$A$1,0,0,COUNTA([2]quests!$A:$A),MATCH(C$1,[2]quests!$1:$1,0)-MATCH($B$1,[2]quests!$1:$1,0)+1),MATCH(C$1,[2]quests!$1:$1,0)-MATCH($B$1,[2]quests!$1:$1,0)+1,FALSE)</f>
        <v>フギンとムニン襲来！</v>
      </c>
      <c r="D5" s="131" t="str">
        <f ca="1">VLOOKUP($B5,OFFSET([2]quests!$A$1,0,0,COUNTA([2]quests!$A:$A),MATCH(D$1,[2]quests!$1:$1,0)-MATCH($B$1,[2]quests!$1:$1,0)+1),MATCH(D$1,[2]quests!$1:$1,0)-MATCH($B$1,[2]quests!$1:$1,0)+1,FALSE)</f>
        <v>降臨1</v>
      </c>
      <c r="E5" s="132">
        <v>1</v>
      </c>
      <c r="F5" s="13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5" s="13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133">
        <v>3</v>
      </c>
      <c r="I5" s="134">
        <f t="shared" si="0"/>
        <v>4</v>
      </c>
      <c r="J5" s="135" t="str">
        <f t="shared" si="1"/>
        <v>4100904</v>
      </c>
      <c r="K5" s="132" t="s">
        <v>408</v>
      </c>
      <c r="L5" s="136" t="s">
        <v>198</v>
      </c>
      <c r="M5" s="137" t="s">
        <v>413</v>
      </c>
      <c r="N5" s="138" t="s">
        <v>410</v>
      </c>
    </row>
    <row r="6" spans="1:14" ht="43" customHeight="1" x14ac:dyDescent="0.15">
      <c r="A6" s="129" t="s">
        <v>196</v>
      </c>
      <c r="B6" s="130">
        <f>floors!$C$2</f>
        <v>41009</v>
      </c>
      <c r="C6" s="131" t="str">
        <f ca="1">VLOOKUP($B6,OFFSET([2]quests!$A$1,0,0,COUNTA([2]quests!$A:$A),MATCH(C$1,[2]quests!$1:$1,0)-MATCH($B$1,[2]quests!$1:$1,0)+1),MATCH(C$1,[2]quests!$1:$1,0)-MATCH($B$1,[2]quests!$1:$1,0)+1,FALSE)</f>
        <v>フギンとムニン襲来！</v>
      </c>
      <c r="D6" s="131" t="str">
        <f ca="1">VLOOKUP($B6,OFFSET([2]quests!$A$1,0,0,COUNTA([2]quests!$A:$A),MATCH(D$1,[2]quests!$1:$1,0)-MATCH($B$1,[2]quests!$1:$1,0)+1),MATCH(D$1,[2]quests!$1:$1,0)-MATCH($B$1,[2]quests!$1:$1,0)+1,FALSE)</f>
        <v>降臨1</v>
      </c>
      <c r="E6" s="132">
        <v>1</v>
      </c>
      <c r="F6" s="13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6" s="13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133">
        <v>4</v>
      </c>
      <c r="I6" s="134">
        <f t="shared" si="0"/>
        <v>5</v>
      </c>
      <c r="J6" s="135" t="str">
        <f t="shared" si="1"/>
        <v>4100905</v>
      </c>
      <c r="K6" s="132" t="s">
        <v>408</v>
      </c>
      <c r="L6" s="136" t="s">
        <v>198</v>
      </c>
      <c r="M6" s="137" t="s">
        <v>414</v>
      </c>
      <c r="N6" s="138" t="s">
        <v>410</v>
      </c>
    </row>
    <row r="7" spans="1:14" ht="43" customHeight="1" x14ac:dyDescent="0.15">
      <c r="A7" s="129" t="s">
        <v>196</v>
      </c>
      <c r="B7" s="130">
        <f>floors!$C$2</f>
        <v>41009</v>
      </c>
      <c r="C7" s="131" t="str">
        <f ca="1">VLOOKUP($B7,OFFSET([2]quests!$A$1,0,0,COUNTA([2]quests!$A:$A),MATCH(C$1,[2]quests!$1:$1,0)-MATCH($B$1,[2]quests!$1:$1,0)+1),MATCH(C$1,[2]quests!$1:$1,0)-MATCH($B$1,[2]quests!$1:$1,0)+1,FALSE)</f>
        <v>フギンとムニン襲来！</v>
      </c>
      <c r="D7" s="131" t="str">
        <f ca="1">VLOOKUP($B7,OFFSET([2]quests!$A$1,0,0,COUNTA([2]quests!$A:$A),MATCH(D$1,[2]quests!$1:$1,0)-MATCH($B$1,[2]quests!$1:$1,0)+1),MATCH(D$1,[2]quests!$1:$1,0)-MATCH($B$1,[2]quests!$1:$1,0)+1,FALSE)</f>
        <v>降臨1</v>
      </c>
      <c r="E7" s="132">
        <v>1</v>
      </c>
      <c r="F7" s="13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【超絶級】フギンとムニン襲来</v>
      </c>
      <c r="G7" s="13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133">
        <v>4</v>
      </c>
      <c r="I7" s="134">
        <f t="shared" si="0"/>
        <v>6</v>
      </c>
      <c r="J7" s="135" t="str">
        <f t="shared" si="1"/>
        <v>4100906</v>
      </c>
      <c r="K7" s="132" t="s">
        <v>415</v>
      </c>
      <c r="L7" s="136" t="s">
        <v>198</v>
      </c>
      <c r="M7" s="137" t="s">
        <v>416</v>
      </c>
      <c r="N7" s="138" t="s">
        <v>417</v>
      </c>
    </row>
    <row r="8" spans="1:14" ht="43" customHeight="1" x14ac:dyDescent="0.15">
      <c r="A8" s="129" t="s">
        <v>196</v>
      </c>
      <c r="B8" s="130">
        <f>floors!$C$2</f>
        <v>41009</v>
      </c>
      <c r="C8" s="131" t="str">
        <f ca="1">VLOOKUP($B8,OFFSET([2]quests!$A$1,0,0,COUNTA([2]quests!$A:$A),MATCH(C$1,[2]quests!$1:$1,0)-MATCH($B$1,[2]quests!$1:$1,0)+1),MATCH(C$1,[2]quests!$1:$1,0)-MATCH($B$1,[2]quests!$1:$1,0)+1,FALSE)</f>
        <v>フギンとムニン襲来！</v>
      </c>
      <c r="D8" s="131" t="str">
        <f ca="1">VLOOKUP($B8,OFFSET([2]quests!$A$1,0,0,COUNTA([2]quests!$A:$A),MATCH(D$1,[2]quests!$1:$1,0)-MATCH($B$1,[2]quests!$1:$1,0)+1),MATCH(D$1,[2]quests!$1:$1,0)-MATCH($B$1,[2]quests!$1:$1,0)+1,FALSE)</f>
        <v>降臨1</v>
      </c>
      <c r="E8" s="132">
        <v>2</v>
      </c>
      <c r="F8" s="13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8" s="13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133">
        <v>1</v>
      </c>
      <c r="I8" s="134">
        <f>ROW()-1</f>
        <v>7</v>
      </c>
      <c r="J8" s="135" t="str">
        <f>B8&amp;TEXT(I8,"00")</f>
        <v>4100907</v>
      </c>
      <c r="K8" s="132" t="s">
        <v>408</v>
      </c>
      <c r="L8" s="136" t="s">
        <v>198</v>
      </c>
      <c r="M8" s="137" t="s">
        <v>409</v>
      </c>
      <c r="N8" s="138" t="s">
        <v>410</v>
      </c>
    </row>
    <row r="9" spans="1:14" ht="43" customHeight="1" x14ac:dyDescent="0.15">
      <c r="A9" s="129" t="s">
        <v>196</v>
      </c>
      <c r="B9" s="130">
        <f>floors!$C$2</f>
        <v>41009</v>
      </c>
      <c r="C9" s="131" t="str">
        <f ca="1">VLOOKUP($B9,OFFSET([2]quests!$A$1,0,0,COUNTA([2]quests!$A:$A),MATCH(C$1,[2]quests!$1:$1,0)-MATCH($B$1,[2]quests!$1:$1,0)+1),MATCH(C$1,[2]quests!$1:$1,0)-MATCH($B$1,[2]quests!$1:$1,0)+1,FALSE)</f>
        <v>フギンとムニン襲来！</v>
      </c>
      <c r="D9" s="131" t="str">
        <f ca="1">VLOOKUP($B9,OFFSET([2]quests!$A$1,0,0,COUNTA([2]quests!$A:$A),MATCH(D$1,[2]quests!$1:$1,0)-MATCH($B$1,[2]quests!$1:$1,0)+1),MATCH(D$1,[2]quests!$1:$1,0)-MATCH($B$1,[2]quests!$1:$1,0)+1,FALSE)</f>
        <v>降臨1</v>
      </c>
      <c r="E9" s="132">
        <v>2</v>
      </c>
      <c r="F9" s="13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9" s="13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133">
        <v>1</v>
      </c>
      <c r="I9" s="134">
        <f>ROW()-1</f>
        <v>8</v>
      </c>
      <c r="J9" s="135" t="str">
        <f>B9&amp;TEXT(I9,"00")</f>
        <v>4100908</v>
      </c>
      <c r="K9" s="132" t="s">
        <v>408</v>
      </c>
      <c r="L9" s="136" t="s">
        <v>198</v>
      </c>
      <c r="M9" s="137" t="s">
        <v>411</v>
      </c>
      <c r="N9" s="138" t="s">
        <v>410</v>
      </c>
    </row>
    <row r="10" spans="1:14" ht="43" customHeight="1" x14ac:dyDescent="0.15">
      <c r="A10" s="129" t="s">
        <v>196</v>
      </c>
      <c r="B10" s="130">
        <f>floors!$C$2</f>
        <v>41009</v>
      </c>
      <c r="C10" s="131" t="str">
        <f ca="1">VLOOKUP($B10,OFFSET([2]quests!$A$1,0,0,COUNTA([2]quests!$A:$A),MATCH(C$1,[2]quests!$1:$1,0)-MATCH($B$1,[2]quests!$1:$1,0)+1),MATCH(C$1,[2]quests!$1:$1,0)-MATCH($B$1,[2]quests!$1:$1,0)+1,FALSE)</f>
        <v>フギンとムニン襲来！</v>
      </c>
      <c r="D10" s="13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132">
        <v>2</v>
      </c>
      <c r="F10" s="13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10" s="13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133">
        <v>2</v>
      </c>
      <c r="I10" s="134">
        <f t="shared" ref="I10:I13" si="2">ROW()-1</f>
        <v>9</v>
      </c>
      <c r="J10" s="135" t="str">
        <f t="shared" ref="J10:J13" si="3">B10&amp;TEXT(I10,"00")</f>
        <v>4100909</v>
      </c>
      <c r="K10" s="132" t="s">
        <v>408</v>
      </c>
      <c r="L10" s="136" t="s">
        <v>198</v>
      </c>
      <c r="M10" s="137" t="s">
        <v>412</v>
      </c>
      <c r="N10" s="138" t="s">
        <v>410</v>
      </c>
    </row>
    <row r="11" spans="1:14" ht="43" customHeight="1" x14ac:dyDescent="0.15">
      <c r="A11" s="129" t="s">
        <v>196</v>
      </c>
      <c r="B11" s="130">
        <f>floors!$C$2</f>
        <v>41009</v>
      </c>
      <c r="C11" s="131" t="str">
        <f ca="1">VLOOKUP($B11,OFFSET([2]quests!$A$1,0,0,COUNTA([2]quests!$A:$A),MATCH(C$1,[2]quests!$1:$1,0)-MATCH($B$1,[2]quests!$1:$1,0)+1),MATCH(C$1,[2]quests!$1:$1,0)-MATCH($B$1,[2]quests!$1:$1,0)+1,FALSE)</f>
        <v>フギンとムニン襲来！</v>
      </c>
      <c r="D11" s="13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132">
        <v>2</v>
      </c>
      <c r="F11" s="13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11" s="13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133">
        <v>3</v>
      </c>
      <c r="I11" s="134">
        <f t="shared" si="2"/>
        <v>10</v>
      </c>
      <c r="J11" s="135" t="str">
        <f t="shared" si="3"/>
        <v>4100910</v>
      </c>
      <c r="K11" s="132" t="s">
        <v>408</v>
      </c>
      <c r="L11" s="136" t="s">
        <v>198</v>
      </c>
      <c r="M11" s="137" t="s">
        <v>413</v>
      </c>
      <c r="N11" s="138" t="s">
        <v>410</v>
      </c>
    </row>
    <row r="12" spans="1:14" ht="43" customHeight="1" x14ac:dyDescent="0.15">
      <c r="A12" s="129" t="s">
        <v>196</v>
      </c>
      <c r="B12" s="130">
        <f>floors!$C$2</f>
        <v>41009</v>
      </c>
      <c r="C12" s="131" t="str">
        <f ca="1">VLOOKUP($B12,OFFSET([2]quests!$A$1,0,0,COUNTA([2]quests!$A:$A),MATCH(C$1,[2]quests!$1:$1,0)-MATCH($B$1,[2]quests!$1:$1,0)+1),MATCH(C$1,[2]quests!$1:$1,0)-MATCH($B$1,[2]quests!$1:$1,0)+1,FALSE)</f>
        <v>フギンとムニン襲来！</v>
      </c>
      <c r="D12" s="13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132">
        <v>2</v>
      </c>
      <c r="F12" s="13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12" s="13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133">
        <v>4</v>
      </c>
      <c r="I12" s="134">
        <f t="shared" si="2"/>
        <v>11</v>
      </c>
      <c r="J12" s="135" t="str">
        <f t="shared" si="3"/>
        <v>4100911</v>
      </c>
      <c r="K12" s="132" t="s">
        <v>408</v>
      </c>
      <c r="L12" s="136" t="s">
        <v>198</v>
      </c>
      <c r="M12" s="137" t="s">
        <v>414</v>
      </c>
      <c r="N12" s="138" t="s">
        <v>410</v>
      </c>
    </row>
    <row r="13" spans="1:14" ht="43" customHeight="1" x14ac:dyDescent="0.15">
      <c r="A13" s="129" t="s">
        <v>196</v>
      </c>
      <c r="B13" s="130">
        <f>floors!$C$2</f>
        <v>41009</v>
      </c>
      <c r="C13" s="131" t="str">
        <f ca="1">VLOOKUP($B13,OFFSET([2]quests!$A$1,0,0,COUNTA([2]quests!$A:$A),MATCH(C$1,[2]quests!$1:$1,0)-MATCH($B$1,[2]quests!$1:$1,0)+1),MATCH(C$1,[2]quests!$1:$1,0)-MATCH($B$1,[2]quests!$1:$1,0)+1,FALSE)</f>
        <v>フギンとムニン襲来！</v>
      </c>
      <c r="D13" s="13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132">
        <v>2</v>
      </c>
      <c r="F13" s="13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13" s="13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133">
        <v>4</v>
      </c>
      <c r="I13" s="134">
        <f t="shared" si="2"/>
        <v>12</v>
      </c>
      <c r="J13" s="135" t="str">
        <f t="shared" si="3"/>
        <v>4100912</v>
      </c>
      <c r="K13" s="132" t="s">
        <v>415</v>
      </c>
      <c r="L13" s="136" t="s">
        <v>198</v>
      </c>
      <c r="M13" s="137" t="s">
        <v>416</v>
      </c>
      <c r="N13" s="138" t="s">
        <v>417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212</v>
      </c>
      <c r="B1" s="91" t="s">
        <v>213</v>
      </c>
      <c r="C1" s="73" t="s">
        <v>214</v>
      </c>
      <c r="D1" s="73" t="s">
        <v>33</v>
      </c>
      <c r="E1" s="91" t="s">
        <v>215</v>
      </c>
      <c r="F1" s="73" t="s">
        <v>216</v>
      </c>
      <c r="G1" s="73" t="s">
        <v>33</v>
      </c>
      <c r="H1" s="91" t="s">
        <v>217</v>
      </c>
      <c r="I1" s="91" t="s">
        <v>218</v>
      </c>
      <c r="J1" s="91" t="s">
        <v>219</v>
      </c>
      <c r="K1" s="69" t="s">
        <v>220</v>
      </c>
      <c r="L1" s="69" t="s">
        <v>221</v>
      </c>
      <c r="M1" s="69" t="s">
        <v>156</v>
      </c>
      <c r="N1" s="73" t="s">
        <v>16</v>
      </c>
      <c r="O1" s="69" t="s">
        <v>222</v>
      </c>
      <c r="P1" s="69" t="s">
        <v>57</v>
      </c>
      <c r="Q1" s="69" t="s">
        <v>223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224</v>
      </c>
      <c r="X1" s="69" t="s">
        <v>225</v>
      </c>
    </row>
    <row r="2" spans="1:24" x14ac:dyDescent="0.15">
      <c r="A2" s="92" t="str">
        <f>B2&amp;"_"&amp;E2&amp;"_"&amp;H2&amp;"_"&amp;I2&amp;"_"&amp;J2</f>
        <v>41009_2_everyone_no_continue_1</v>
      </c>
      <c r="B2" s="78">
        <v>41009</v>
      </c>
      <c r="C2" s="79" t="str">
        <f ca="1">VLOOKUP($B2,OFFSET([2]quests!$A$1,0,0,COUNTA([2]quests!$A:$A),MATCH(C$1,[2]quests!$1:$1,0)-MATCH($B$1,[2]quests!$1:$1,0)+1),MATCH(C$1,[2]quests!$1:$1,0)-MATCH($B$1,[2]quests!$1:$1,0)+1,FALSE)</f>
        <v>フギンとムニン襲来！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降臨1</v>
      </c>
      <c r="E2" s="80">
        <v>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【ウィザード級】フギンとムニン襲来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1" t="s">
        <v>226</v>
      </c>
      <c r="I2" s="80" t="s">
        <v>229</v>
      </c>
      <c r="J2" s="80">
        <v>1</v>
      </c>
      <c r="K2" s="80">
        <v>100</v>
      </c>
      <c r="L2" s="128" t="s">
        <v>418</v>
      </c>
      <c r="M2" s="77">
        <v>581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>フギンとムニン</v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4" t="s">
        <v>227</v>
      </c>
      <c r="X2" s="95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2017-04-04T08:27:59Z</dcterms:modified>
</cp:coreProperties>
</file>