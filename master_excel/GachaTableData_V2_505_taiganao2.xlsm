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5"/>
  </bookViews>
  <sheets>
    <sheet name="確率の考え方" sheetId="110" r:id="rId1"/>
    <sheet name="Sheet1" sheetId="107" r:id="rId2"/>
    <sheet name="output" sheetId="103" r:id="rId3"/>
    <sheet name="input_505010" sheetId="157" r:id="rId4"/>
    <sheet name="tables_505010" sheetId="158" r:id="rId5"/>
    <sheet name="input_505100" sheetId="153" r:id="rId6"/>
    <sheet name="tables_505100" sheetId="154" r:id="rId7"/>
    <sheet name="tables_settle_505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tables_505010!$A$1:$V$294</definedName>
    <definedName name="_xlnm._FilterDatabase" localSheetId="6" hidden="1">tables_505100!$A$1:$V$294</definedName>
    <definedName name="_xlnm._FilterDatabase" localSheetId="7" hidden="1">tables_settle_505105!$A$1:$V$3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3" i="158" l="1"/>
  <c r="D343" i="158"/>
  <c r="J343" i="158"/>
  <c r="E343" i="158"/>
  <c r="F343" i="158"/>
  <c r="C343" i="158"/>
  <c r="H343" i="158"/>
  <c r="K343" i="158"/>
  <c r="L343" i="158"/>
  <c r="M343" i="158"/>
  <c r="N343" i="158"/>
  <c r="A2" i="157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O343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I341" i="154"/>
  <c r="D341" i="154"/>
  <c r="J341" i="154"/>
  <c r="E341" i="154"/>
  <c r="F341" i="154"/>
  <c r="C341" i="154"/>
  <c r="H341" i="154"/>
  <c r="K341" i="154"/>
  <c r="L341" i="154"/>
  <c r="M341" i="154"/>
  <c r="N341" i="154"/>
  <c r="A2" i="153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7" i="154"/>
  <c r="D347" i="154"/>
  <c r="J347" i="154"/>
  <c r="E347" i="154"/>
  <c r="F347" i="154"/>
  <c r="C34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41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I2" i="159"/>
  <c r="J2" i="159"/>
  <c r="D2" i="159"/>
  <c r="E2" i="159"/>
  <c r="F2" i="159"/>
  <c r="C2" i="159"/>
  <c r="I3" i="159"/>
  <c r="J3" i="159"/>
  <c r="D3" i="159"/>
  <c r="E3" i="159"/>
  <c r="F3" i="159"/>
  <c r="C3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<sst xmlns="http://schemas.openxmlformats.org/spreadsheetml/2006/main" count="535" uniqueCount="256">
  <si>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</si>
  <si>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</si>
  <si>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</si>
  <si>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</si>
  <si>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</si>
  <si>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</si>
  <si>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</si>
  <si>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</si>
  <si>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</si>
  <si>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</si>
  <si>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</si>
  <si>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</si>
  <si>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</si>
  <si>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</si>
  <si>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</si>
  <si>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</si>
  <si>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</si>
  <si>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</si>
  <si>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</si>
  <si>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</si>
  <si>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</si>
  <si>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</si>
  <si>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</si>
  <si>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</si>
  <si>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</si>
  <si>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</si>
  <si>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</si>
  <si>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</si>
  <si>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</si>
  <si>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</si>
  <si>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</si>
  <si>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</si>
  <si>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</si>
  <si>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</si>
  <si>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</si>
  <si>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</si>
  <si>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</si>
  <si>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</si>
  <si>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</si>
  <si>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</si>
  <si>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</si>
  <si>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</si>
  <si>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</si>
  <si>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</si>
  <si>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</si>
  <si>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</si>
  <si>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</si>
  <si>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</si>
  <si>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</si>
  <si>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</si>
  <si>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</si>
  <si>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</si>
  <si>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</si>
  <si>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</si>
  <si>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</si>
  <si>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</si>
  <si>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</si>
  <si>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</si>
  <si>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</si>
  <si>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</si>
  <si>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</si>
  <si>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</si>
  <si>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</si>
  <si>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</si>
  <si>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</si>
  <si>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</si>
  <si>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</si>
  <si>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</si>
  <si>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</si>
  <si>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</si>
  <si>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</si>
  <si>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</si>
  <si>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</si>
  <si>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</si>
  <si>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</si>
  <si>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</si>
  <si>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</si>
  <si>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</si>
  <si>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</si>
  <si>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</si>
  <si>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</si>
  <si>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</si>
  <si>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</si>
  <si>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</si>
  <si>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</si>
  <si>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</si>
  <si>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</si>
  <si>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</si>
  <si>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</si>
  <si>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</si>
  <si>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</si>
  <si>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</si>
  <si>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</si>
  <si>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</si>
  <si>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</si>
  <si>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</si>
  <si>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</si>
  <si>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</si>
  <si>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</si>
  <si>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</si>
  <si>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</si>
  <si>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</si>
  <si>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</si>
  <si>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</si>
  <si>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</si>
  <si>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</si>
  <si>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</si>
  <si>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</si>
  <si>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</si>
  <si>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</si>
  <si>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</si>
  <si>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</si>
  <si>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</si>
  <si>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</si>
  <si>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</si>
  <si>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</si>
  <si>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</si>
  <si>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</si>
  <si>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</si>
  <si>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</si>
  <si>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</si>
  <si>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</si>
  <si>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</si>
  <si>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</si>
  <si>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</si>
  <si>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</si>
  <si>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</si>
  <si>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</si>
  <si>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</si>
  <si>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</si>
  <si>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</si>
  <si>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</si>
  <si>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</si>
  <si>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</si>
  <si>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</si>
  <si>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</si>
  <si>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</si>
  <si>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</si>
  <si>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</si>
  <si>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</si>
  <si>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</si>
  <si>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</si>
  <si>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</si>
  <si>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</si>
  <si>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</si>
  <si>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</si>
  <si>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</si>
  <si>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</si>
  <si>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</si>
  <si>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</si>
  <si>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</si>
  <si>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</si>
  <si>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</si>
  <si>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</si>
  <si>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</si>
  <si>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</si>
  <si>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</si>
  <si>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</si>
  <si>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</si>
  <si>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</si>
  <si>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</si>
  <si>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</si>
  <si>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</si>
  <si>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</si>
  <si>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</si>
  <si>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</si>
  <si>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</si>
  <si>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</si>
  <si>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</si>
  <si>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</si>
  <si>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</si>
  <si>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</si>
  <si>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</si>
  <si>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</si>
  <si>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</si>
  <si>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</si>
  <si>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</si>
  <si>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</si>
  <si>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</si>
  <si>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</si>
  <si>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</si>
  <si>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</si>
  <si>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</si>
  <si>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</si>
  <si>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</si>
  <si>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</si>
  <si>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</si>
  <si>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</si>
  <si>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</si>
  <si>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</si>
  <si>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</si>
  <si>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</si>
  <si>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</si>
  <si>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</si>
  <si>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</si>
  <si>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</si>
  <si>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</si>
  <si>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</si>
  <si>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</si>
  <si>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</si>
  <si>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</si>
  <si>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</si>
  <si>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</si>
  <si>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</si>
  <si>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</si>
  <si>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</si>
  <si>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</si>
  <si>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</si>
  <si>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</si>
  <si>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</si>
  <si>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</si>
  <si>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</si>
  <si>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</si>
  <si>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</si>
  <si>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</si>
  <si>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</si>
  <si>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</si>
  <si>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</si>
  <si>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</si>
  <si>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</si>
  <si>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</si>
  <si>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</si>
  <si>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</si>
  <si>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</si>
  <si>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</si>
  <si>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</si>
  <si>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</si>
  <si>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</si>
  <si>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</si>
  <si>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</si>
  <si>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</si>
  <si>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</si>
  <si>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</si>
  <si>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</si>
  <si>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</si>
  <si>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</si>
  <si>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</si>
  <si>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</si>
  <si>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</si>
  <si>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</si>
  <si>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</si>
  <si>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</si>
  <si>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</si>
  <si>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</si>
  <si>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</si>
  <si>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</si>
  <si>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</si>
  <si>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</si>
  <si>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</si>
  <si>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</si>
  <si>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</si>
  <si>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</si>
  <si>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</si>
  <si>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tables_505100</t>
    <phoneticPr fontId="22"/>
  </si>
  <si>
    <t>tables_505010</t>
    <phoneticPr fontId="22"/>
  </si>
  <si>
    <t>tables_settle_505105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</si>
</sst>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0" fontId="27" fillId="0" borderId="0" xfId="2" applyFont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プラネタリウムR5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technical</v>
          </cell>
          <cell r="L1341" t="str">
            <v>テクニカルタイプ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プラネタリウムR6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technical</v>
          </cell>
          <cell r="L1342" t="str">
            <v>テクニカルタイプ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505100</v>
      </c>
      <c r="D2" s="19" t="s">
        <v>45</v>
      </c>
      <c r="E2" s="17" t="str">
        <f t="shared" ref="E2" si="1">B2&amp;C2&amp;D2</f>
        <v>gacha_select_tables_505100.tmp</v>
      </c>
      <c r="F2" s="100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505010</v>
      </c>
      <c r="D3" s="19" t="s">
        <v>45</v>
      </c>
      <c r="E3" s="17" t="str">
        <f t="shared" ref="E3:E10" si="3">B3&amp;C3&amp;D3</f>
        <v>gacha_select_tables_505010.tmp</v>
      </c>
      <c r="F3" s="100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5" t="s">
        <v>248</v>
      </c>
      <c r="C4" s="96" t="str">
        <f t="shared" si="2"/>
        <v>505105</v>
      </c>
      <c r="D4" s="19" t="s">
        <v>249</v>
      </c>
      <c r="E4" s="17" t="str">
        <f t="shared" si="3"/>
        <v>gacha_settle_tables_505105.tmp</v>
      </c>
      <c r="F4" s="100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34" sqref="E34:E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8009</v>
      </c>
      <c r="M3" s="37" t="str">
        <f>VLOOKUP(L3,[1]characters!$A:$C,3,FALSE)</f>
        <v>西王娘娘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VLOOKUP(L3,tables_505010!B:C,2,FALSE)</f>
        <v>PremiumSS5R5only</v>
      </c>
      <c r="R3" s="62">
        <f t="shared" ref="R3:R20" si="1">N3*A$36</f>
        <v>1240800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8031</v>
      </c>
      <c r="M4" s="37" t="str">
        <f>VLOOKUP(L4,[1]characters!$A:$C,3,FALSE)</f>
        <v>閻羅王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VLOOKUP(L4,tables_505010!B:C,2,FALSE)</f>
        <v>PremiumSS5R5only</v>
      </c>
      <c r="R4" s="62">
        <f t="shared" si="1"/>
        <v>1240800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1.5151515151515154E-4</v>
      </c>
      <c r="F5">
        <f>(COUNTIF(tables_505010!C:C,input_505010!A28)+COUNTIF(tables_505010!C:C,input_505010!A29))</f>
        <v>68</v>
      </c>
      <c r="H5" s="84">
        <v>0.04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1.0106382978723403E-2</v>
      </c>
      <c r="F6">
        <f>(COUNTIF(tables_505010!C:C,input_505010!A25)+COUNTIF(tables_505010!C:C,input_505010!A18)+COUNTIF(tables_505010!C:C,input_505010!A20)+COUNTIF(tables_505010!C:C,input_505010!A22))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0.04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0.19531914893617025</v>
      </c>
      <c r="C17" s="85">
        <f t="shared" ref="C17:C31" si="2">SUMIF(Q:Q,A17,N:N)</f>
        <v>0</v>
      </c>
      <c r="D17" s="74">
        <f t="shared" ref="D17:D32" si="3">B17-C17</f>
        <v>0.19531914893617025</v>
      </c>
      <c r="E17">
        <f>COUNTIF(tables_505010!C:C,input_505010!A17)-COUNTIF(Q:Q,A17)</f>
        <v>20</v>
      </c>
      <c r="F17" s="43">
        <f>IFERROR(B17/E17,0)</f>
        <v>9.7659574468085125E-3</v>
      </c>
      <c r="G17">
        <f t="shared" ref="G17:G31" si="4">A$36*B17</f>
        <v>12117600.000000002</v>
      </c>
      <c r="H17">
        <f t="shared" ref="H17:H31" si="5">IFERROR(ROUND(G17/E17,5),0)</f>
        <v>605880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E$6*E18-B17+E34+0.02-G49</f>
        <v>4.0841392646189439E-2</v>
      </c>
      <c r="C18" s="85">
        <f t="shared" si="2"/>
        <v>0</v>
      </c>
      <c r="D18" s="74">
        <f t="shared" si="3"/>
        <v>4.0841392646189439E-2</v>
      </c>
      <c r="E18">
        <f>COUNTIF(tables_505010!C:C,input_505010!A18)-COUNTIF(Q:Q,A18)</f>
        <v>20</v>
      </c>
      <c r="F18" s="43">
        <f>IFERROR(B18/E18,0)</f>
        <v>2.0420696323094718E-3</v>
      </c>
      <c r="G18">
        <f t="shared" si="4"/>
        <v>2533799.9997695927</v>
      </c>
      <c r="H18">
        <f t="shared" si="5"/>
        <v>126689.99999</v>
      </c>
      <c r="I18">
        <f t="shared" si="6"/>
        <v>0.99998999999661464</v>
      </c>
      <c r="J18">
        <f t="shared" si="7"/>
        <v>1.0000100001033865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0.23648936170212764</v>
      </c>
      <c r="C19" s="85">
        <f t="shared" si="2"/>
        <v>0</v>
      </c>
      <c r="D19" s="74">
        <f t="shared" si="3"/>
        <v>0.23648936170212764</v>
      </c>
      <c r="E19">
        <f>COUNTIF(tables_505010!C:C,input_505010!A19)-COUNTIF(Q:Q,A19)</f>
        <v>52</v>
      </c>
      <c r="F19" s="43">
        <f t="shared" ref="F19:F31" si="8">IFERROR(B19/E19,0)</f>
        <v>4.5478723404255312E-3</v>
      </c>
      <c r="G19">
        <f t="shared" si="4"/>
        <v>14671799.999999998</v>
      </c>
      <c r="H19">
        <f t="shared" si="5"/>
        <v>282150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0.21648936170212765</v>
      </c>
      <c r="C20" s="85">
        <f t="shared" si="2"/>
        <v>0</v>
      </c>
      <c r="D20" s="74">
        <f t="shared" si="3"/>
        <v>0.21648936170212765</v>
      </c>
      <c r="E20">
        <f>COUNTIF(tables_505010!C:C,input_505010!A20)-COUNTIF(Q:Q,A20)</f>
        <v>52</v>
      </c>
      <c r="F20" s="43">
        <f t="shared" si="8"/>
        <v>4.1632569558101469E-3</v>
      </c>
      <c r="G20">
        <f t="shared" si="4"/>
        <v>13431000</v>
      </c>
      <c r="H20">
        <f t="shared" si="5"/>
        <v>258288.46153999999</v>
      </c>
      <c r="I20">
        <f t="shared" si="6"/>
        <v>0.46153999998932704</v>
      </c>
      <c r="J20">
        <f t="shared" si="7"/>
        <v>2.1666594445186216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3.8520309477756288E-2</v>
      </c>
      <c r="C21" s="85">
        <f t="shared" si="2"/>
        <v>0</v>
      </c>
      <c r="D21" s="74">
        <f t="shared" si="3"/>
        <v>3.8520309477756288E-2</v>
      </c>
      <c r="E21">
        <f>COUNTIF(tables_505010!C:C,input_505010!A21)-COUNTIF(Q:Q,A21)</f>
        <v>52</v>
      </c>
      <c r="F21" s="43">
        <f t="shared" si="8"/>
        <v>7.40775182264544E-4</v>
      </c>
      <c r="G21">
        <f t="shared" si="4"/>
        <v>2389800</v>
      </c>
      <c r="H21">
        <f t="shared" si="5"/>
        <v>45957.692309999999</v>
      </c>
      <c r="I21">
        <f t="shared" si="6"/>
        <v>0.69230999999854248</v>
      </c>
      <c r="J21">
        <f t="shared" si="7"/>
        <v>1.4444396296487199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0.1676595744680851</v>
      </c>
      <c r="C22" s="85">
        <f t="shared" si="2"/>
        <v>0</v>
      </c>
      <c r="D22" s="74">
        <f t="shared" si="3"/>
        <v>0.1676595744680851</v>
      </c>
      <c r="E22">
        <f>COUNTIF(tables_505010!C:C,input_505010!A22)-COUNTIF(Q:Q,A22)</f>
        <v>18</v>
      </c>
      <c r="F22" s="43">
        <f t="shared" si="8"/>
        <v>9.3144208037825062E-3</v>
      </c>
      <c r="G22">
        <f t="shared" si="4"/>
        <v>10401600</v>
      </c>
      <c r="H22">
        <f t="shared" si="5"/>
        <v>577866.66666999995</v>
      </c>
      <c r="I22">
        <f t="shared" si="6"/>
        <v>0.66666999994777143</v>
      </c>
      <c r="J22">
        <f t="shared" si="7"/>
        <v>1.499992500155013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1.4255319148936166E-2</v>
      </c>
      <c r="C23" s="85">
        <f t="shared" si="2"/>
        <v>0</v>
      </c>
      <c r="D23" s="74">
        <f t="shared" si="3"/>
        <v>1.4255319148936166E-2</v>
      </c>
      <c r="E23">
        <f>COUNTIF(tables_505010!C:C,input_505010!A23)-COUNTIF(Q:Q,A23)</f>
        <v>24</v>
      </c>
      <c r="F23" s="43">
        <f t="shared" si="8"/>
        <v>5.9397163120567355E-4</v>
      </c>
      <c r="G23">
        <f t="shared" si="4"/>
        <v>884399.99999999977</v>
      </c>
      <c r="H23">
        <f t="shared" si="5"/>
        <v>36850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1.8191489361702125E-2</v>
      </c>
      <c r="C24" s="85">
        <f t="shared" si="2"/>
        <v>0</v>
      </c>
      <c r="D24" s="74">
        <f t="shared" si="3"/>
        <v>1.8191489361702125E-2</v>
      </c>
      <c r="E24">
        <f>COUNTIF(tables_505010!C:C,input_505010!A24)-COUNTIF(Q:Q,A24)</f>
        <v>4</v>
      </c>
      <c r="F24" s="43">
        <f t="shared" si="8"/>
        <v>4.5478723404255312E-3</v>
      </c>
      <c r="G24">
        <f t="shared" si="4"/>
        <v>1128599.9999999998</v>
      </c>
      <c r="H24">
        <f t="shared" si="5"/>
        <v>282150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1.8191489361702125E-2</v>
      </c>
      <c r="C25" s="85">
        <f t="shared" si="2"/>
        <v>0</v>
      </c>
      <c r="D25" s="74">
        <f t="shared" si="3"/>
        <v>1.8191489361702125E-2</v>
      </c>
      <c r="E25">
        <f>COUNTIF(tables_505010!C:C,input_505010!A25)-COUNTIF(Q:Q,A25)</f>
        <v>4</v>
      </c>
      <c r="F25" s="43">
        <f t="shared" si="8"/>
        <v>4.5478723404255312E-3</v>
      </c>
      <c r="G25">
        <f t="shared" si="4"/>
        <v>1128599.9999999998</v>
      </c>
      <c r="H25">
        <f t="shared" si="5"/>
        <v>282150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4.0425531914893616E-3</v>
      </c>
      <c r="C26" s="85">
        <f t="shared" si="2"/>
        <v>0</v>
      </c>
      <c r="D26" s="74">
        <f t="shared" si="3"/>
        <v>4.0425531914893616E-3</v>
      </c>
      <c r="E26">
        <f>COUNTIF(tables_505010!C:C,input_505010!A26)-COUNTIF(Q:Q,A26)</f>
        <v>4</v>
      </c>
      <c r="F26" s="43">
        <f t="shared" si="8"/>
        <v>1.0106382978723404E-3</v>
      </c>
      <c r="G26">
        <f t="shared" si="4"/>
        <v>250800</v>
      </c>
      <c r="H26">
        <f t="shared" si="5"/>
        <v>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6.8181818183502847E-3</v>
      </c>
      <c r="C27" s="85">
        <f t="shared" si="2"/>
        <v>0</v>
      </c>
      <c r="D27" s="74">
        <f t="shared" si="3"/>
        <v>6.8181818183502847E-3</v>
      </c>
      <c r="E27">
        <f>COUNTIF(tables_505010!C:C,input_505010!A27)-COUNTIF(Q:Q,A27)</f>
        <v>28</v>
      </c>
      <c r="F27" s="43">
        <f>IFERROR(B27/E27,0)</f>
        <v>2.4350649351251018E-4</v>
      </c>
      <c r="G27">
        <f t="shared" si="4"/>
        <v>423000.00001045165</v>
      </c>
      <c r="H27">
        <f t="shared" si="5"/>
        <v>15107.14286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4.2424242424242431E-4</v>
      </c>
      <c r="C28" s="85">
        <f t="shared" si="2"/>
        <v>0</v>
      </c>
      <c r="D28" s="74">
        <f t="shared" si="3"/>
        <v>4.2424242424242431E-4</v>
      </c>
      <c r="E28">
        <f>COUNTIF(tables_505010!C:C,input_505010!A28)-COUNTIF(Q:Q,A28)</f>
        <v>28</v>
      </c>
      <c r="F28" s="43">
        <f t="shared" si="8"/>
        <v>1.5151515151515155E-5</v>
      </c>
      <c r="G28">
        <f t="shared" si="4"/>
        <v>26320.000000000004</v>
      </c>
      <c r="H28">
        <f t="shared" si="5"/>
        <v>940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E$5*E29-0.003</f>
        <v>2.7575757575757582E-3</v>
      </c>
      <c r="C29" s="85">
        <f t="shared" si="2"/>
        <v>0.04</v>
      </c>
      <c r="D29" s="74">
        <f t="shared" si="3"/>
        <v>-3.7242424242424244E-2</v>
      </c>
      <c r="E29">
        <f>COUNTIF(tables_505010!C:C,input_505010!A29)-COUNTIF(Q:Q,A29)</f>
        <v>38</v>
      </c>
      <c r="F29" s="43">
        <f t="shared" si="8"/>
        <v>7.2567783094098896E-5</v>
      </c>
      <c r="G29">
        <f t="shared" si="4"/>
        <v>171080.00000000003</v>
      </c>
      <c r="H29">
        <f t="shared" si="5"/>
        <v>4502.1052600000003</v>
      </c>
      <c r="I29">
        <f t="shared" si="6"/>
        <v>0.10526000000027125</v>
      </c>
      <c r="J29">
        <f t="shared" si="7"/>
        <v>9.5002850085257755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COUNTIF(tables_505010!C:C,input_505010!A30)-COUNTIF(Q:Q,A30)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COUNTIF(tables_505010!C:C,input_505010!A31)-COUNTIF(Q:Q,A31)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0.95999999999645458</v>
      </c>
      <c r="C32" s="41">
        <f>SUM(C19:C31)</f>
        <v>0.04</v>
      </c>
      <c r="D32" s="42">
        <f t="shared" si="3"/>
        <v>0.91999999999645454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-3.2152058793144533E-13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SUMIF(tables_505010!C:C,input_505010!A40,tables_505010!O:O)</f>
        <v>14671800</v>
      </c>
      <c r="C40" s="54">
        <f t="shared" ref="C40:C46" ca="1" si="9">B40/B$47</f>
        <v>0.47417225562819726</v>
      </c>
      <c r="E40">
        <v>3</v>
      </c>
      <c r="F40">
        <f ca="1">SUMIF(tables_505010!J:J,input_505010!E40,tables_505010!O:O)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SUMIF(tables_505010!C:C,input_505010!A41,tables_505010!O:O)</f>
        <v>13431000.000080004</v>
      </c>
      <c r="C41" s="54">
        <f t="shared" ca="1" si="9"/>
        <v>0.43407131813276173</v>
      </c>
      <c r="E41">
        <v>4</v>
      </c>
      <c r="F41">
        <f ca="1">SUMIF(tables_505010!J:J,input_505010!E41,tables_505010!O:O)</f>
        <v>27918000.000019949</v>
      </c>
      <c r="G41">
        <f ca="1">F41/A36</f>
        <v>0.45000000000032153</v>
      </c>
    </row>
    <row r="42" spans="1:7" x14ac:dyDescent="0.15">
      <c r="A42" s="33" t="s">
        <v>106</v>
      </c>
      <c r="B42">
        <f ca="1">SUMIF(tables_505010!C:C,input_505010!A42,tables_505010!O:O)</f>
        <v>423000.00008000014</v>
      </c>
      <c r="C42" s="54">
        <f t="shared" ca="1" si="9"/>
        <v>1.367077414963817E-2</v>
      </c>
      <c r="E42">
        <v>5</v>
      </c>
      <c r="F42">
        <f ca="1">SUMIF(tables_505010!J:J,input_505010!E42,tables_505010!O:O)</f>
        <v>6204000.0000000028</v>
      </c>
      <c r="G42">
        <f ca="1">F42/A36</f>
        <v>0.10000000000000005</v>
      </c>
    </row>
    <row r="43" spans="1:7" x14ac:dyDescent="0.15">
      <c r="A43" s="33" t="s">
        <v>109</v>
      </c>
      <c r="B43">
        <f>SUMIF(tables_505010!C:C,input_505010!A43,tables_505010!O:O)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SUMIF(tables_505010!C:C,input_505010!A44,tables_505010!O:O)</f>
        <v>2389800.00012</v>
      </c>
      <c r="C44" s="54">
        <f t="shared" ca="1" si="9"/>
        <v>7.7235026142475127E-2</v>
      </c>
      <c r="E44" t="s">
        <v>54</v>
      </c>
      <c r="F44" s="55"/>
    </row>
    <row r="45" spans="1:7" x14ac:dyDescent="0.15">
      <c r="A45" s="33" t="s">
        <v>107</v>
      </c>
      <c r="B45">
        <f ca="1">SUMIF(tables_505010!C:C,input_505010!A45,tables_505010!O:O)</f>
        <v>26320</v>
      </c>
      <c r="C45" s="54">
        <f t="shared" ca="1" si="9"/>
        <v>8.5062594692772203E-4</v>
      </c>
      <c r="E45" t="s">
        <v>204</v>
      </c>
      <c r="F45" s="55">
        <f ca="1">SUMIF(tables_505010!I:I,input_505010!E45,tables_505010!P:P)</f>
        <v>0.23972437137000657</v>
      </c>
    </row>
    <row r="46" spans="1:7" x14ac:dyDescent="0.15">
      <c r="A46" s="33" t="s">
        <v>108</v>
      </c>
      <c r="B46">
        <f>SUMIF(tables_505010!C:C,input_505010!A46,tables_505010!O:O)</f>
        <v>0</v>
      </c>
      <c r="C46" s="54">
        <f t="shared" ca="1" si="9"/>
        <v>0</v>
      </c>
      <c r="E46" t="s">
        <v>205</v>
      </c>
      <c r="F46" s="55">
        <f ca="1">SUMIF(tables_505010!I:I,input_505010!E46,tables_505010!P:P)</f>
        <v>0.19100152507166629</v>
      </c>
    </row>
    <row r="47" spans="1:7" x14ac:dyDescent="0.15">
      <c r="A47" s="39" t="s">
        <v>59</v>
      </c>
      <c r="B47">
        <f ca="1">SUM(B40:B46)</f>
        <v>30941920.000280004</v>
      </c>
      <c r="C47" s="55">
        <f ca="1">SUM(C40:C46)</f>
        <v>1</v>
      </c>
      <c r="E47" t="s">
        <v>206</v>
      </c>
      <c r="F47" s="55">
        <f ca="1">SUMIF(tables_505010!I:I,input_505010!E47,tables_505010!P:P)</f>
        <v>0.51927410355898773</v>
      </c>
    </row>
    <row r="48" spans="1:7" x14ac:dyDescent="0.15">
      <c r="E48" t="s">
        <v>207</v>
      </c>
      <c r="F48" s="55">
        <f ca="1">SUMIF(tables_505010!I:I,input_505010!E48,tables_505010!P:P)</f>
        <v>4.9492025518036893E-2</v>
      </c>
      <c r="G48" s="55">
        <f ca="1">0.05-F48-F49</f>
        <v>6.6088801098374006E-13</v>
      </c>
    </row>
    <row r="49" spans="5:7" x14ac:dyDescent="0.15">
      <c r="E49" t="s">
        <v>250</v>
      </c>
      <c r="F49" s="55">
        <f ca="1">SUMIF(tables_505010!I:I,input_505010!E49,tables_505010!P:P)</f>
        <v>5.0797448130222161E-4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06" activePane="bottomLeft" state="frozen"/>
      <selection activeCell="H276" sqref="H276"/>
      <selection pane="bottomLeft" activeCell="B346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input_505010!A$2</f>
        <v>505010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IFERROR(VLOOKUP(B2,input_505010!L:R,7,FALSE),VLOOKUP(tables_505010!C2,input_505010!A:H,8,FALSE))</f>
        <v>605880</v>
      </c>
      <c r="P2" s="46">
        <f t="shared" ref="P2:P65" ca="1" si="1">O2/SUM(O:O)</f>
        <v>9.7659574468053588E-3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input_505010!A$2</f>
        <v>505010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IFERROR(VLOOKUP(B3,input_505010!L:R,7,FALSE),VLOOKUP(tables_505010!C3,input_505010!A:H,8,FALSE))</f>
        <v>126689.99999</v>
      </c>
      <c r="P3" s="46">
        <f t="shared" ca="1" si="1"/>
        <v>2.0420696323333186E-3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input_505010!A$2</f>
        <v>505010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IFERROR(VLOOKUP(B4,input_505010!L:R,7,FALSE),VLOOKUP(tables_505010!C4,input_505010!A:H,8,FALSE))</f>
        <v>605880</v>
      </c>
      <c r="P4" s="46">
        <f t="shared" ca="1" si="1"/>
        <v>9.7659574468053588E-3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input_505010!A$2</f>
        <v>505010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IFERROR(VLOOKUP(B5,input_505010!L:R,7,FALSE),VLOOKUP(tables_505010!C5,input_505010!A:H,8,FALSE))</f>
        <v>126689.99999</v>
      </c>
      <c r="P5" s="46">
        <f t="shared" ca="1" si="1"/>
        <v>2.0420696323333186E-3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input_505010!A$2</f>
        <v>505010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IFERROR(VLOOKUP(B6,input_505010!L:R,7,FALSE),VLOOKUP(tables_505010!C6,input_505010!A:H,8,FALSE))</f>
        <v>605880</v>
      </c>
      <c r="P6" s="46">
        <f t="shared" ca="1" si="1"/>
        <v>9.7659574468053588E-3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input_505010!A$2</f>
        <v>505010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IFERROR(VLOOKUP(B7,input_505010!L:R,7,FALSE),VLOOKUP(tables_505010!C7,input_505010!A:H,8,FALSE))</f>
        <v>126689.99999</v>
      </c>
      <c r="P7" s="46">
        <f t="shared" ca="1" si="1"/>
        <v>2.0420696323333186E-3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input_505010!A$2</f>
        <v>505010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IFERROR(VLOOKUP(B8,input_505010!L:R,7,FALSE),VLOOKUP(tables_505010!C8,input_505010!A:H,8,FALSE))</f>
        <v>605880</v>
      </c>
      <c r="P8" s="46">
        <f t="shared" ca="1" si="1"/>
        <v>9.7659574468053588E-3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input_505010!A$2</f>
        <v>505010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IFERROR(VLOOKUP(B9,input_505010!L:R,7,FALSE),VLOOKUP(tables_505010!C9,input_505010!A:H,8,FALSE))</f>
        <v>126689.99999</v>
      </c>
      <c r="P9" s="46">
        <f t="shared" ca="1" si="1"/>
        <v>2.0420696323333186E-3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input_505010!A$2</f>
        <v>505010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IFERROR(VLOOKUP(B10,input_505010!L:R,7,FALSE),VLOOKUP(tables_505010!C10,input_505010!A:H,8,FALSE))</f>
        <v>605880</v>
      </c>
      <c r="P10" s="46">
        <f t="shared" ca="1" si="1"/>
        <v>9.7659574468053588E-3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input_505010!A$2</f>
        <v>505010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IFERROR(VLOOKUP(B11,input_505010!L:R,7,FALSE),VLOOKUP(tables_505010!C11,input_505010!A:H,8,FALSE))</f>
        <v>126689.99999</v>
      </c>
      <c r="P11" s="46">
        <f t="shared" ca="1" si="1"/>
        <v>2.0420696323333186E-3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input_505010!A$2</f>
        <v>505010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IFERROR(VLOOKUP(B12,input_505010!L:R,7,FALSE),VLOOKUP(tables_505010!C12,input_505010!A:H,8,FALSE))</f>
        <v>605880</v>
      </c>
      <c r="P12" s="46">
        <f t="shared" ca="1" si="1"/>
        <v>9.7659574468053588E-3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input_505010!A$2</f>
        <v>505010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IFERROR(VLOOKUP(B13,input_505010!L:R,7,FALSE),VLOOKUP(tables_505010!C13,input_505010!A:H,8,FALSE))</f>
        <v>126689.99999</v>
      </c>
      <c r="P13" s="46">
        <f t="shared" ca="1" si="1"/>
        <v>2.0420696323333186E-3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input_505010!A$2</f>
        <v>505010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IFERROR(VLOOKUP(B14,input_505010!L:R,7,FALSE),VLOOKUP(tables_505010!C14,input_505010!A:H,8,FALSE))</f>
        <v>605880</v>
      </c>
      <c r="P14" s="46">
        <f t="shared" ca="1" si="1"/>
        <v>9.7659574468053588E-3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input_505010!A$2</f>
        <v>505010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IFERROR(VLOOKUP(B15,input_505010!L:R,7,FALSE),VLOOKUP(tables_505010!C15,input_505010!A:H,8,FALSE))</f>
        <v>126689.99999</v>
      </c>
      <c r="P15" s="46">
        <f t="shared" ca="1" si="1"/>
        <v>2.0420696323333186E-3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input_505010!A$2</f>
        <v>505010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IFERROR(VLOOKUP(B16,input_505010!L:R,7,FALSE),VLOOKUP(tables_505010!C16,input_505010!A:H,8,FALSE))</f>
        <v>605880</v>
      </c>
      <c r="P16" s="46">
        <f t="shared" ca="1" si="1"/>
        <v>9.7659574468053588E-3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input_505010!A$2</f>
        <v>505010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IFERROR(VLOOKUP(B17,input_505010!L:R,7,FALSE),VLOOKUP(tables_505010!C17,input_505010!A:H,8,FALSE))</f>
        <v>126689.99999</v>
      </c>
      <c r="P17" s="46">
        <f t="shared" ca="1" si="1"/>
        <v>2.0420696323333186E-3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input_505010!A$2</f>
        <v>505010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IFERROR(VLOOKUP(B18,input_505010!L:R,7,FALSE),VLOOKUP(tables_505010!C18,input_505010!A:H,8,FALSE))</f>
        <v>605880</v>
      </c>
      <c r="P18" s="46">
        <f t="shared" ca="1" si="1"/>
        <v>9.7659574468053588E-3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input_505010!A$2</f>
        <v>505010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IFERROR(VLOOKUP(B19,input_505010!L:R,7,FALSE),VLOOKUP(tables_505010!C19,input_505010!A:H,8,FALSE))</f>
        <v>126689.99999</v>
      </c>
      <c r="P19" s="46">
        <f t="shared" ca="1" si="1"/>
        <v>2.0420696323333186E-3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input_505010!A$2</f>
        <v>505010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IFERROR(VLOOKUP(B20,input_505010!L:R,7,FALSE),VLOOKUP(tables_505010!C20,input_505010!A:H,8,FALSE))</f>
        <v>605880</v>
      </c>
      <c r="P20" s="46">
        <f t="shared" ca="1" si="1"/>
        <v>9.7659574468053588E-3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input_505010!A$2</f>
        <v>505010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IFERROR(VLOOKUP(B21,input_505010!L:R,7,FALSE),VLOOKUP(tables_505010!C21,input_505010!A:H,8,FALSE))</f>
        <v>126689.99999</v>
      </c>
      <c r="P21" s="46">
        <f t="shared" ca="1" si="1"/>
        <v>2.0420696323333186E-3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input_505010!A$2</f>
        <v>505010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IFERROR(VLOOKUP(B22,input_505010!L:R,7,FALSE),VLOOKUP(tables_505010!C22,input_505010!A:H,8,FALSE))</f>
        <v>605880</v>
      </c>
      <c r="P22" s="46">
        <f t="shared" ca="1" si="1"/>
        <v>9.7659574468053588E-3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input_505010!A$2</f>
        <v>505010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IFERROR(VLOOKUP(B23,input_505010!L:R,7,FALSE),VLOOKUP(tables_505010!C23,input_505010!A:H,8,FALSE))</f>
        <v>126689.99999</v>
      </c>
      <c r="P23" s="46">
        <f t="shared" ca="1" si="1"/>
        <v>2.0420696323333186E-3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input_505010!A$2</f>
        <v>505010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IFERROR(VLOOKUP(B24,input_505010!L:R,7,FALSE),VLOOKUP(tables_505010!C24,input_505010!A:H,8,FALSE))</f>
        <v>605880</v>
      </c>
      <c r="P24" s="46">
        <f t="shared" ca="1" si="1"/>
        <v>9.7659574468053588E-3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input_505010!A$2</f>
        <v>505010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IFERROR(VLOOKUP(B25,input_505010!L:R,7,FALSE),VLOOKUP(tables_505010!C25,input_505010!A:H,8,FALSE))</f>
        <v>126689.99999</v>
      </c>
      <c r="P25" s="46">
        <f t="shared" ca="1" si="1"/>
        <v>2.0420696323333186E-3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input_505010!A$2</f>
        <v>505010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IFERROR(VLOOKUP(B26,input_505010!L:R,7,FALSE),VLOOKUP(tables_505010!C26,input_505010!A:H,8,FALSE))</f>
        <v>605880</v>
      </c>
      <c r="P26" s="46">
        <f t="shared" ca="1" si="1"/>
        <v>9.7659574468053588E-3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input_505010!A$2</f>
        <v>505010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IFERROR(VLOOKUP(B27,input_505010!L:R,7,FALSE),VLOOKUP(tables_505010!C27,input_505010!A:H,8,FALSE))</f>
        <v>126689.99999</v>
      </c>
      <c r="P27" s="46">
        <f t="shared" ca="1" si="1"/>
        <v>2.0420696323333186E-3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input_505010!A$2</f>
        <v>505010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IFERROR(VLOOKUP(B28,input_505010!L:R,7,FALSE),VLOOKUP(tables_505010!C28,input_505010!A:H,8,FALSE))</f>
        <v>605880</v>
      </c>
      <c r="P28" s="46">
        <f t="shared" ca="1" si="1"/>
        <v>9.7659574468053588E-3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input_505010!A$2</f>
        <v>505010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IFERROR(VLOOKUP(B29,input_505010!L:R,7,FALSE),VLOOKUP(tables_505010!C29,input_505010!A:H,8,FALSE))</f>
        <v>126689.99999</v>
      </c>
      <c r="P29" s="46">
        <f t="shared" ca="1" si="1"/>
        <v>2.0420696323333186E-3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input_505010!A$2</f>
        <v>505010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IFERROR(VLOOKUP(B30,input_505010!L:R,7,FALSE),VLOOKUP(tables_505010!C30,input_505010!A:H,8,FALSE))</f>
        <v>605880</v>
      </c>
      <c r="P30" s="46">
        <f t="shared" ca="1" si="1"/>
        <v>9.7659574468053588E-3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input_505010!A$2</f>
        <v>505010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IFERROR(VLOOKUP(B31,input_505010!L:R,7,FALSE),VLOOKUP(tables_505010!C31,input_505010!A:H,8,FALSE))</f>
        <v>126689.99999</v>
      </c>
      <c r="P31" s="46">
        <f t="shared" ca="1" si="1"/>
        <v>2.0420696323333186E-3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input_505010!A$2</f>
        <v>505010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IFERROR(VLOOKUP(B32,input_505010!L:R,7,FALSE),VLOOKUP(tables_505010!C32,input_505010!A:H,8,FALSE))</f>
        <v>605880</v>
      </c>
      <c r="P32" s="46">
        <f t="shared" ca="1" si="1"/>
        <v>9.7659574468053588E-3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input_505010!A$2</f>
        <v>505010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IFERROR(VLOOKUP(B33,input_505010!L:R,7,FALSE),VLOOKUP(tables_505010!C33,input_505010!A:H,8,FALSE))</f>
        <v>126689.99999</v>
      </c>
      <c r="P33" s="46">
        <f t="shared" ca="1" si="1"/>
        <v>2.0420696323333186E-3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input_505010!A$2</f>
        <v>505010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IFERROR(VLOOKUP(B34,input_505010!L:R,7,FALSE),VLOOKUP(tables_505010!C34,input_505010!A:H,8,FALSE))</f>
        <v>605880</v>
      </c>
      <c r="P34" s="46">
        <f t="shared" ca="1" si="1"/>
        <v>9.7659574468053588E-3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input_505010!A$2</f>
        <v>505010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IFERROR(VLOOKUP(B35,input_505010!L:R,7,FALSE),VLOOKUP(tables_505010!C35,input_505010!A:H,8,FALSE))</f>
        <v>126689.99999</v>
      </c>
      <c r="P35" s="46">
        <f t="shared" ca="1" si="1"/>
        <v>2.0420696323333186E-3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input_505010!A$2</f>
        <v>505010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IFERROR(VLOOKUP(B36,input_505010!L:R,7,FALSE),VLOOKUP(tables_505010!C36,input_505010!A:H,8,FALSE))</f>
        <v>605880</v>
      </c>
      <c r="P36" s="46">
        <f t="shared" ca="1" si="1"/>
        <v>9.7659574468053588E-3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input_505010!A$2</f>
        <v>505010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IFERROR(VLOOKUP(B37,input_505010!L:R,7,FALSE),VLOOKUP(tables_505010!C37,input_505010!A:H,8,FALSE))</f>
        <v>126689.99999</v>
      </c>
      <c r="P37" s="46">
        <f t="shared" ca="1" si="1"/>
        <v>2.0420696323333186E-3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input_505010!A$2</f>
        <v>505010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IFERROR(VLOOKUP(B38,input_505010!L:R,7,FALSE),VLOOKUP(tables_505010!C38,input_505010!A:H,8,FALSE))</f>
        <v>605880</v>
      </c>
      <c r="P38" s="46">
        <f t="shared" ca="1" si="1"/>
        <v>9.7659574468053588E-3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input_505010!A$2</f>
        <v>505010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IFERROR(VLOOKUP(B39,input_505010!L:R,7,FALSE),VLOOKUP(tables_505010!C39,input_505010!A:H,8,FALSE))</f>
        <v>126689.99999</v>
      </c>
      <c r="P39" s="46">
        <f t="shared" ca="1" si="1"/>
        <v>2.0420696323333186E-3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input_505010!A$2</f>
        <v>505010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IFERROR(VLOOKUP(B40,input_505010!L:R,7,FALSE),VLOOKUP(tables_505010!C40,input_505010!A:H,8,FALSE))</f>
        <v>605880</v>
      </c>
      <c r="P40" s="46">
        <f t="shared" ca="1" si="1"/>
        <v>9.7659574468053588E-3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input_505010!A$2</f>
        <v>505010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IFERROR(VLOOKUP(B41,input_505010!L:R,7,FALSE),VLOOKUP(tables_505010!C41,input_505010!A:H,8,FALSE))</f>
        <v>126689.99999</v>
      </c>
      <c r="P41" s="46">
        <f t="shared" ca="1" si="1"/>
        <v>2.0420696323333186E-3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input_505010!A$2</f>
        <v>505010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IFERROR(VLOOKUP(B42,input_505010!L:R,7,FALSE),VLOOKUP(tables_505010!C42,input_505010!A:H,8,FALSE))</f>
        <v>282150</v>
      </c>
      <c r="P42" s="46">
        <f t="shared" ca="1" si="1"/>
        <v>4.5478723404240636E-3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input_505010!A$2</f>
        <v>505010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IFERROR(VLOOKUP(B43,input_505010!L:R,7,FALSE),VLOOKUP(tables_505010!C43,input_505010!A:H,8,FALSE))</f>
        <v>282150</v>
      </c>
      <c r="P43" s="46">
        <f t="shared" ca="1" si="1"/>
        <v>4.5478723404240636E-3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input_505010!A$2</f>
        <v>505010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IFERROR(VLOOKUP(B44,input_505010!L:R,7,FALSE),VLOOKUP(tables_505010!C44,input_505010!A:H,8,FALSE))</f>
        <v>62700</v>
      </c>
      <c r="P44" s="46">
        <f t="shared" ca="1" si="1"/>
        <v>1.0106382978720143E-3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input_505010!A$2</f>
        <v>505010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IFERROR(VLOOKUP(B45,input_505010!L:R,7,FALSE),VLOOKUP(tables_505010!C45,input_505010!A:H,8,FALSE))</f>
        <v>282150</v>
      </c>
      <c r="P45" s="46">
        <f t="shared" ca="1" si="1"/>
        <v>4.5478723404240636E-3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input_505010!A$2</f>
        <v>505010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IFERROR(VLOOKUP(B46,input_505010!L:R,7,FALSE),VLOOKUP(tables_505010!C46,input_505010!A:H,8,FALSE))</f>
        <v>282150</v>
      </c>
      <c r="P46" s="46">
        <f t="shared" ca="1" si="1"/>
        <v>4.5478723404240636E-3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input_505010!A$2</f>
        <v>505010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IFERROR(VLOOKUP(B47,input_505010!L:R,7,FALSE),VLOOKUP(tables_505010!C47,input_505010!A:H,8,FALSE))</f>
        <v>62700</v>
      </c>
      <c r="P47" s="46">
        <f t="shared" ca="1" si="1"/>
        <v>1.0106382978720143E-3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input_505010!A$2</f>
        <v>505010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IFERROR(VLOOKUP(B48,input_505010!L:R,7,FALSE),VLOOKUP(tables_505010!C48,input_505010!A:H,8,FALSE))</f>
        <v>282150</v>
      </c>
      <c r="P48" s="46">
        <f t="shared" ca="1" si="1"/>
        <v>4.5478723404240636E-3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input_505010!A$2</f>
        <v>505010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IFERROR(VLOOKUP(B49,input_505010!L:R,7,FALSE),VLOOKUP(tables_505010!C49,input_505010!A:H,8,FALSE))</f>
        <v>282150</v>
      </c>
      <c r="P49" s="46">
        <f t="shared" ca="1" si="1"/>
        <v>4.5478723404240636E-3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input_505010!A$2</f>
        <v>505010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IFERROR(VLOOKUP(B50,input_505010!L:R,7,FALSE),VLOOKUP(tables_505010!C50,input_505010!A:H,8,FALSE))</f>
        <v>62700</v>
      </c>
      <c r="P50" s="46">
        <f t="shared" ca="1" si="1"/>
        <v>1.0106382978720143E-3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input_505010!A$2</f>
        <v>505010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IFERROR(VLOOKUP(B51,input_505010!L:R,7,FALSE),VLOOKUP(tables_505010!C51,input_505010!A:H,8,FALSE))</f>
        <v>282150</v>
      </c>
      <c r="P51" s="46">
        <f t="shared" ca="1" si="1"/>
        <v>4.5478723404240636E-3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input_505010!A$2</f>
        <v>505010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IFERROR(VLOOKUP(B52,input_505010!L:R,7,FALSE),VLOOKUP(tables_505010!C52,input_505010!A:H,8,FALSE))</f>
        <v>258288.46153999999</v>
      </c>
      <c r="P52" s="46">
        <f t="shared" ca="1" si="1"/>
        <v>4.1632569558336012E-3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input_505010!A$2</f>
        <v>505010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IFERROR(VLOOKUP(B53,input_505010!L:R,7,FALSE),VLOOKUP(tables_505010!C53,input_505010!A:H,8,FALSE))</f>
        <v>45957.692309999999</v>
      </c>
      <c r="P53" s="46">
        <f t="shared" ca="1" si="1"/>
        <v>7.4077518230150163E-4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input_505010!A$2</f>
        <v>505010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IFERROR(VLOOKUP(B54,input_505010!L:R,7,FALSE),VLOOKUP(tables_505010!C54,input_505010!A:H,8,FALSE))</f>
        <v>282150</v>
      </c>
      <c r="P54" s="46">
        <f t="shared" ca="1" si="1"/>
        <v>4.5478723404240636E-3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input_505010!A$2</f>
        <v>505010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IFERROR(VLOOKUP(B55,input_505010!L:R,7,FALSE),VLOOKUP(tables_505010!C55,input_505010!A:H,8,FALSE))</f>
        <v>258288.46153999999</v>
      </c>
      <c r="P55" s="46">
        <f t="shared" ca="1" si="1"/>
        <v>4.1632569558336012E-3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input_505010!A$2</f>
        <v>505010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IFERROR(VLOOKUP(B56,input_505010!L:R,7,FALSE),VLOOKUP(tables_505010!C56,input_505010!A:H,8,FALSE))</f>
        <v>45957.692309999999</v>
      </c>
      <c r="P56" s="46">
        <f t="shared" ca="1" si="1"/>
        <v>7.4077518230150163E-4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input_505010!A$2</f>
        <v>505010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IFERROR(VLOOKUP(B57,input_505010!L:R,7,FALSE),VLOOKUP(tables_505010!C57,input_505010!A:H,8,FALSE))</f>
        <v>282150</v>
      </c>
      <c r="P57" s="46">
        <f t="shared" ca="1" si="1"/>
        <v>4.5478723404240636E-3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input_505010!A$2</f>
        <v>505010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IFERROR(VLOOKUP(B58,input_505010!L:R,7,FALSE),VLOOKUP(tables_505010!C58,input_505010!A:H,8,FALSE))</f>
        <v>258288.46153999999</v>
      </c>
      <c r="P58" s="46">
        <f t="shared" ca="1" si="1"/>
        <v>4.1632569558336012E-3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input_505010!A$2</f>
        <v>505010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IFERROR(VLOOKUP(B59,input_505010!L:R,7,FALSE),VLOOKUP(tables_505010!C59,input_505010!A:H,8,FALSE))</f>
        <v>45957.692309999999</v>
      </c>
      <c r="P59" s="46">
        <f t="shared" ca="1" si="1"/>
        <v>7.4077518230150163E-4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input_505010!A$2</f>
        <v>505010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IFERROR(VLOOKUP(B60,input_505010!L:R,7,FALSE),VLOOKUP(tables_505010!C60,input_505010!A:H,8,FALSE))</f>
        <v>282150</v>
      </c>
      <c r="P60" s="46">
        <f t="shared" ca="1" si="1"/>
        <v>4.5478723404240636E-3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input_505010!A$2</f>
        <v>505010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IFERROR(VLOOKUP(B61,input_505010!L:R,7,FALSE),VLOOKUP(tables_505010!C61,input_505010!A:H,8,FALSE))</f>
        <v>258288.46153999999</v>
      </c>
      <c r="P61" s="46">
        <f t="shared" ca="1" si="1"/>
        <v>4.1632569558336012E-3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input_505010!A$2</f>
        <v>505010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IFERROR(VLOOKUP(B62,input_505010!L:R,7,FALSE),VLOOKUP(tables_505010!C62,input_505010!A:H,8,FALSE))</f>
        <v>45957.692309999999</v>
      </c>
      <c r="P62" s="46">
        <f t="shared" ca="1" si="1"/>
        <v>7.4077518230150163E-4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input_505010!A$2</f>
        <v>505010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IFERROR(VLOOKUP(B63,input_505010!L:R,7,FALSE),VLOOKUP(tables_505010!C63,input_505010!A:H,8,FALSE))</f>
        <v>282150</v>
      </c>
      <c r="P63" s="46">
        <f t="shared" ca="1" si="1"/>
        <v>4.5478723404240636E-3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input_505010!A$2</f>
        <v>505010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IFERROR(VLOOKUP(B64,input_505010!L:R,7,FALSE),VLOOKUP(tables_505010!C64,input_505010!A:H,8,FALSE))</f>
        <v>258288.46153999999</v>
      </c>
      <c r="P64" s="46">
        <f t="shared" ca="1" si="1"/>
        <v>4.1632569558336012E-3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input_505010!A$2</f>
        <v>505010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IFERROR(VLOOKUP(B65,input_505010!L:R,7,FALSE),VLOOKUP(tables_505010!C65,input_505010!A:H,8,FALSE))</f>
        <v>45957.692309999999</v>
      </c>
      <c r="P65" s="46">
        <f t="shared" ca="1" si="1"/>
        <v>7.4077518230150163E-4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input_505010!A$2</f>
        <v>505010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IFERROR(VLOOKUP(B66,input_505010!L:R,7,FALSE),VLOOKUP(tables_505010!C66,input_505010!A:H,8,FALSE))</f>
        <v>282150</v>
      </c>
      <c r="P66" s="46">
        <f t="shared" ref="P66:P129" ca="1" si="4">O66/SUM(O:O)</f>
        <v>4.5478723404240636E-3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input_505010!A$2</f>
        <v>505010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IFERROR(VLOOKUP(B67,input_505010!L:R,7,FALSE),VLOOKUP(tables_505010!C67,input_505010!A:H,8,FALSE))</f>
        <v>258288.46153999999</v>
      </c>
      <c r="P67" s="46">
        <f t="shared" ca="1" si="4"/>
        <v>4.1632569558336012E-3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input_505010!A$2</f>
        <v>505010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IFERROR(VLOOKUP(B68,input_505010!L:R,7,FALSE),VLOOKUP(tables_505010!C68,input_505010!A:H,8,FALSE))</f>
        <v>45957.692309999999</v>
      </c>
      <c r="P68" s="46">
        <f t="shared" ca="1" si="4"/>
        <v>7.4077518230150163E-4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input_505010!A$2</f>
        <v>505010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IFERROR(VLOOKUP(B69,input_505010!L:R,7,FALSE),VLOOKUP(tables_505010!C69,input_505010!A:H,8,FALSE))</f>
        <v>282150</v>
      </c>
      <c r="P69" s="46">
        <f t="shared" ca="1" si="4"/>
        <v>4.5478723404240636E-3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input_505010!A$2</f>
        <v>505010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IFERROR(VLOOKUP(B70,input_505010!L:R,7,FALSE),VLOOKUP(tables_505010!C70,input_505010!A:H,8,FALSE))</f>
        <v>258288.46153999999</v>
      </c>
      <c r="P70" s="46">
        <f t="shared" ca="1" si="4"/>
        <v>4.1632569558336012E-3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input_505010!A$2</f>
        <v>505010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IFERROR(VLOOKUP(B71,input_505010!L:R,7,FALSE),VLOOKUP(tables_505010!C71,input_505010!A:H,8,FALSE))</f>
        <v>45957.692309999999</v>
      </c>
      <c r="P71" s="46">
        <f t="shared" ca="1" si="4"/>
        <v>7.4077518230150163E-4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input_505010!A$2</f>
        <v>505010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IFERROR(VLOOKUP(B72,input_505010!L:R,7,FALSE),VLOOKUP(tables_505010!C72,input_505010!A:H,8,FALSE))</f>
        <v>282150</v>
      </c>
      <c r="P72" s="46">
        <f t="shared" ca="1" si="4"/>
        <v>4.5478723404240636E-3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input_505010!A$2</f>
        <v>505010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IFERROR(VLOOKUP(B73,input_505010!L:R,7,FALSE),VLOOKUP(tables_505010!C73,input_505010!A:H,8,FALSE))</f>
        <v>258288.46153999999</v>
      </c>
      <c r="P73" s="46">
        <f t="shared" ca="1" si="4"/>
        <v>4.1632569558336012E-3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input_505010!A$2</f>
        <v>505010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IFERROR(VLOOKUP(B74,input_505010!L:R,7,FALSE),VLOOKUP(tables_505010!C74,input_505010!A:H,8,FALSE))</f>
        <v>45957.692309999999</v>
      </c>
      <c r="P74" s="46">
        <f t="shared" ca="1" si="4"/>
        <v>7.4077518230150163E-4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input_505010!A$2</f>
        <v>505010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IFERROR(VLOOKUP(B75,input_505010!L:R,7,FALSE),VLOOKUP(tables_505010!C75,input_505010!A:H,8,FALSE))</f>
        <v>282150</v>
      </c>
      <c r="P75" s="46">
        <f t="shared" ca="1" si="4"/>
        <v>4.5478723404240636E-3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input_505010!A$2</f>
        <v>505010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IFERROR(VLOOKUP(B76,input_505010!L:R,7,FALSE),VLOOKUP(tables_505010!C76,input_505010!A:H,8,FALSE))</f>
        <v>258288.46153999999</v>
      </c>
      <c r="P76" s="46">
        <f t="shared" ca="1" si="4"/>
        <v>4.1632569558336012E-3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input_505010!A$2</f>
        <v>505010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IFERROR(VLOOKUP(B77,input_505010!L:R,7,FALSE),VLOOKUP(tables_505010!C77,input_505010!A:H,8,FALSE))</f>
        <v>45957.692309999999</v>
      </c>
      <c r="P77" s="46">
        <f t="shared" ca="1" si="4"/>
        <v>7.4077518230150163E-4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input_505010!A$2</f>
        <v>505010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IFERROR(VLOOKUP(B78,input_505010!L:R,7,FALSE),VLOOKUP(tables_505010!C78,input_505010!A:H,8,FALSE))</f>
        <v>282150</v>
      </c>
      <c r="P78" s="46">
        <f t="shared" ca="1" si="4"/>
        <v>4.5478723404240636E-3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input_505010!A$2</f>
        <v>505010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IFERROR(VLOOKUP(B79,input_505010!L:R,7,FALSE),VLOOKUP(tables_505010!C79,input_505010!A:H,8,FALSE))</f>
        <v>258288.46153999999</v>
      </c>
      <c r="P79" s="46">
        <f t="shared" ca="1" si="4"/>
        <v>4.1632569558336012E-3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input_505010!A$2</f>
        <v>505010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IFERROR(VLOOKUP(B80,input_505010!L:R,7,FALSE),VLOOKUP(tables_505010!C80,input_505010!A:H,8,FALSE))</f>
        <v>45957.692309999999</v>
      </c>
      <c r="P80" s="46">
        <f t="shared" ca="1" si="4"/>
        <v>7.4077518230150163E-4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input_505010!A$2</f>
        <v>505010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IFERROR(VLOOKUP(B81,input_505010!L:R,7,FALSE),VLOOKUP(tables_505010!C81,input_505010!A:H,8,FALSE))</f>
        <v>282150</v>
      </c>
      <c r="P81" s="46">
        <f t="shared" ca="1" si="4"/>
        <v>4.5478723404240636E-3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input_505010!A$2</f>
        <v>505010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IFERROR(VLOOKUP(B82,input_505010!L:R,7,FALSE),VLOOKUP(tables_505010!C82,input_505010!A:H,8,FALSE))</f>
        <v>258288.46153999999</v>
      </c>
      <c r="P82" s="46">
        <f t="shared" ca="1" si="4"/>
        <v>4.1632569558336012E-3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input_505010!A$2</f>
        <v>505010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IFERROR(VLOOKUP(B83,input_505010!L:R,7,FALSE),VLOOKUP(tables_505010!C83,input_505010!A:H,8,FALSE))</f>
        <v>45957.692309999999</v>
      </c>
      <c r="P83" s="46">
        <f t="shared" ca="1" si="4"/>
        <v>7.4077518230150163E-4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input_505010!A$2</f>
        <v>505010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IFERROR(VLOOKUP(B84,input_505010!L:R,7,FALSE),VLOOKUP(tables_505010!C84,input_505010!A:H,8,FALSE))</f>
        <v>282150</v>
      </c>
      <c r="P84" s="46">
        <f t="shared" ca="1" si="4"/>
        <v>4.5478723404240636E-3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input_505010!A$2</f>
        <v>505010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IFERROR(VLOOKUP(B85,input_505010!L:R,7,FALSE),VLOOKUP(tables_505010!C85,input_505010!A:H,8,FALSE))</f>
        <v>258288.46153999999</v>
      </c>
      <c r="P85" s="46">
        <f t="shared" ca="1" si="4"/>
        <v>4.1632569558336012E-3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input_505010!A$2</f>
        <v>505010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IFERROR(VLOOKUP(B86,input_505010!L:R,7,FALSE),VLOOKUP(tables_505010!C86,input_505010!A:H,8,FALSE))</f>
        <v>45957.692309999999</v>
      </c>
      <c r="P86" s="46">
        <f t="shared" ca="1" si="4"/>
        <v>7.4077518230150163E-4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input_505010!A$2</f>
        <v>505010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IFERROR(VLOOKUP(B87,input_505010!L:R,7,FALSE),VLOOKUP(tables_505010!C87,input_505010!A:H,8,FALSE))</f>
        <v>282150</v>
      </c>
      <c r="P87" s="46">
        <f t="shared" ca="1" si="4"/>
        <v>4.5478723404240636E-3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input_505010!A$2</f>
        <v>505010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IFERROR(VLOOKUP(B88,input_505010!L:R,7,FALSE),VLOOKUP(tables_505010!C88,input_505010!A:H,8,FALSE))</f>
        <v>258288.46153999999</v>
      </c>
      <c r="P88" s="46">
        <f t="shared" ca="1" si="4"/>
        <v>4.1632569558336012E-3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input_505010!A$2</f>
        <v>505010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IFERROR(VLOOKUP(B89,input_505010!L:R,7,FALSE),VLOOKUP(tables_505010!C89,input_505010!A:H,8,FALSE))</f>
        <v>45957.692309999999</v>
      </c>
      <c r="P89" s="46">
        <f t="shared" ca="1" si="4"/>
        <v>7.4077518230150163E-4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input_505010!A$2</f>
        <v>505010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IFERROR(VLOOKUP(B90,input_505010!L:R,7,FALSE),VLOOKUP(tables_505010!C90,input_505010!A:H,8,FALSE))</f>
        <v>282150</v>
      </c>
      <c r="P90" s="46">
        <f t="shared" ca="1" si="4"/>
        <v>4.5478723404240636E-3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input_505010!A$2</f>
        <v>505010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IFERROR(VLOOKUP(B91,input_505010!L:R,7,FALSE),VLOOKUP(tables_505010!C91,input_505010!A:H,8,FALSE))</f>
        <v>258288.46153999999</v>
      </c>
      <c r="P91" s="46">
        <f t="shared" ca="1" si="4"/>
        <v>4.1632569558336012E-3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input_505010!A$2</f>
        <v>505010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IFERROR(VLOOKUP(B92,input_505010!L:R,7,FALSE),VLOOKUP(tables_505010!C92,input_505010!A:H,8,FALSE))</f>
        <v>45957.692309999999</v>
      </c>
      <c r="P92" s="46">
        <f t="shared" ca="1" si="4"/>
        <v>7.4077518230150163E-4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input_505010!A$2</f>
        <v>505010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IFERROR(VLOOKUP(B93,input_505010!L:R,7,FALSE),VLOOKUP(tables_505010!C93,input_505010!A:H,8,FALSE))</f>
        <v>282150</v>
      </c>
      <c r="P93" s="46">
        <f t="shared" ca="1" si="4"/>
        <v>4.5478723404240636E-3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input_505010!A$2</f>
        <v>505010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IFERROR(VLOOKUP(B94,input_505010!L:R,7,FALSE),VLOOKUP(tables_505010!C94,input_505010!A:H,8,FALSE))</f>
        <v>258288.46153999999</v>
      </c>
      <c r="P94" s="46">
        <f t="shared" ca="1" si="4"/>
        <v>4.1632569558336012E-3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input_505010!A$2</f>
        <v>505010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IFERROR(VLOOKUP(B95,input_505010!L:R,7,FALSE),VLOOKUP(tables_505010!C95,input_505010!A:H,8,FALSE))</f>
        <v>45957.692309999999</v>
      </c>
      <c r="P95" s="46">
        <f t="shared" ca="1" si="4"/>
        <v>7.4077518230150163E-4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input_505010!A$2</f>
        <v>505010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IFERROR(VLOOKUP(B96,input_505010!L:R,7,FALSE),VLOOKUP(tables_505010!C96,input_505010!A:H,8,FALSE))</f>
        <v>282150</v>
      </c>
      <c r="P96" s="46">
        <f t="shared" ca="1" si="4"/>
        <v>4.5478723404240636E-3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input_505010!A$2</f>
        <v>505010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IFERROR(VLOOKUP(B97,input_505010!L:R,7,FALSE),VLOOKUP(tables_505010!C97,input_505010!A:H,8,FALSE))</f>
        <v>258288.46153999999</v>
      </c>
      <c r="P97" s="46">
        <f t="shared" ca="1" si="4"/>
        <v>4.1632569558336012E-3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input_505010!A$2</f>
        <v>505010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IFERROR(VLOOKUP(B98,input_505010!L:R,7,FALSE),VLOOKUP(tables_505010!C98,input_505010!A:H,8,FALSE))</f>
        <v>45957.692309999999</v>
      </c>
      <c r="P98" s="46">
        <f t="shared" ca="1" si="4"/>
        <v>7.4077518230150163E-4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input_505010!A$2</f>
        <v>505010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IFERROR(VLOOKUP(B99,input_505010!L:R,7,FALSE),VLOOKUP(tables_505010!C99,input_505010!A:H,8,FALSE))</f>
        <v>282150</v>
      </c>
      <c r="P99" s="46">
        <f t="shared" ca="1" si="4"/>
        <v>4.5478723404240636E-3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input_505010!A$2</f>
        <v>505010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IFERROR(VLOOKUP(B100,input_505010!L:R,7,FALSE),VLOOKUP(tables_505010!C100,input_505010!A:H,8,FALSE))</f>
        <v>258288.46153999999</v>
      </c>
      <c r="P100" s="46">
        <f t="shared" ca="1" si="4"/>
        <v>4.1632569558336012E-3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input_505010!A$2</f>
        <v>505010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IFERROR(VLOOKUP(B101,input_505010!L:R,7,FALSE),VLOOKUP(tables_505010!C101,input_505010!A:H,8,FALSE))</f>
        <v>45957.692309999999</v>
      </c>
      <c r="P101" s="46">
        <f t="shared" ca="1" si="4"/>
        <v>7.4077518230150163E-4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input_505010!A$2</f>
        <v>505010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IFERROR(VLOOKUP(B102,input_505010!L:R,7,FALSE),VLOOKUP(tables_505010!C102,input_505010!A:H,8,FALSE))</f>
        <v>282150</v>
      </c>
      <c r="P102" s="46">
        <f t="shared" ca="1" si="4"/>
        <v>4.5478723404240636E-3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input_505010!A$2</f>
        <v>505010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IFERROR(VLOOKUP(B103,input_505010!L:R,7,FALSE),VLOOKUP(tables_505010!C103,input_505010!A:H,8,FALSE))</f>
        <v>258288.46153999999</v>
      </c>
      <c r="P103" s="46">
        <f t="shared" ca="1" si="4"/>
        <v>4.1632569558336012E-3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input_505010!A$2</f>
        <v>505010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IFERROR(VLOOKUP(B104,input_505010!L:R,7,FALSE),VLOOKUP(tables_505010!C104,input_505010!A:H,8,FALSE))</f>
        <v>45957.692309999999</v>
      </c>
      <c r="P104" s="46">
        <f t="shared" ca="1" si="4"/>
        <v>7.4077518230150163E-4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input_505010!A$2</f>
        <v>505010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IFERROR(VLOOKUP(B105,input_505010!L:R,7,FALSE),VLOOKUP(tables_505010!C105,input_505010!A:H,8,FALSE))</f>
        <v>282150</v>
      </c>
      <c r="P105" s="46">
        <f t="shared" ca="1" si="4"/>
        <v>4.5478723404240636E-3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input_505010!A$2</f>
        <v>505010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IFERROR(VLOOKUP(B106,input_505010!L:R,7,FALSE),VLOOKUP(tables_505010!C106,input_505010!A:H,8,FALSE))</f>
        <v>258288.46153999999</v>
      </c>
      <c r="P106" s="46">
        <f t="shared" ca="1" si="4"/>
        <v>4.1632569558336012E-3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input_505010!A$2</f>
        <v>505010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IFERROR(VLOOKUP(B107,input_505010!L:R,7,FALSE),VLOOKUP(tables_505010!C107,input_505010!A:H,8,FALSE))</f>
        <v>45957.692309999999</v>
      </c>
      <c r="P107" s="46">
        <f t="shared" ca="1" si="4"/>
        <v>7.4077518230150163E-4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input_505010!A$2</f>
        <v>505010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IFERROR(VLOOKUP(B108,input_505010!L:R,7,FALSE),VLOOKUP(tables_505010!C108,input_505010!A:H,8,FALSE))</f>
        <v>282150</v>
      </c>
      <c r="P108" s="46">
        <f t="shared" ca="1" si="4"/>
        <v>4.5478723404240636E-3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input_505010!A$2</f>
        <v>505010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IFERROR(VLOOKUP(B109,input_505010!L:R,7,FALSE),VLOOKUP(tables_505010!C109,input_505010!A:H,8,FALSE))</f>
        <v>258288.46153999999</v>
      </c>
      <c r="P109" s="46">
        <f t="shared" ca="1" si="4"/>
        <v>4.1632569558336012E-3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input_505010!A$2</f>
        <v>505010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IFERROR(VLOOKUP(B110,input_505010!L:R,7,FALSE),VLOOKUP(tables_505010!C110,input_505010!A:H,8,FALSE))</f>
        <v>45957.692309999999</v>
      </c>
      <c r="P110" s="46">
        <f t="shared" ca="1" si="4"/>
        <v>7.4077518230150163E-4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input_505010!A$2</f>
        <v>505010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IFERROR(VLOOKUP(B111,input_505010!L:R,7,FALSE),VLOOKUP(tables_505010!C111,input_505010!A:H,8,FALSE))</f>
        <v>282150</v>
      </c>
      <c r="P111" s="46">
        <f t="shared" ca="1" si="4"/>
        <v>4.5478723404240636E-3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input_505010!A$2</f>
        <v>505010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IFERROR(VLOOKUP(B112,input_505010!L:R,7,FALSE),VLOOKUP(tables_505010!C112,input_505010!A:H,8,FALSE))</f>
        <v>282150</v>
      </c>
      <c r="P112" s="46">
        <f t="shared" ca="1" si="4"/>
        <v>4.5478723404240636E-3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input_505010!A$2</f>
        <v>505010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IFERROR(VLOOKUP(B113,input_505010!L:R,7,FALSE),VLOOKUP(tables_505010!C113,input_505010!A:H,8,FALSE))</f>
        <v>62700</v>
      </c>
      <c r="P113" s="46">
        <f t="shared" ca="1" si="4"/>
        <v>1.0106382978720143E-3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input_505010!A$2</f>
        <v>505010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IFERROR(VLOOKUP(B114,input_505010!L:R,7,FALSE),VLOOKUP(tables_505010!C114,input_505010!A:H,8,FALSE))</f>
        <v>282150</v>
      </c>
      <c r="P114" s="46">
        <f t="shared" ca="1" si="4"/>
        <v>4.5478723404240636E-3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input_505010!A$2</f>
        <v>505010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IFERROR(VLOOKUP(B115,input_505010!L:R,7,FALSE),VLOOKUP(tables_505010!C115,input_505010!A:H,8,FALSE))</f>
        <v>258288.46153999999</v>
      </c>
      <c r="P115" s="46">
        <f t="shared" ca="1" si="4"/>
        <v>4.1632569558336012E-3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input_505010!A$2</f>
        <v>505010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IFERROR(VLOOKUP(B116,input_505010!L:R,7,FALSE),VLOOKUP(tables_505010!C116,input_505010!A:H,8,FALSE))</f>
        <v>45957.692309999999</v>
      </c>
      <c r="P116" s="46">
        <f t="shared" ca="1" si="4"/>
        <v>7.4077518230150163E-4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input_505010!A$2</f>
        <v>505010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IFERROR(VLOOKUP(B117,input_505010!L:R,7,FALSE),VLOOKUP(tables_505010!C117,input_505010!A:H,8,FALSE))</f>
        <v>282150</v>
      </c>
      <c r="P117" s="46">
        <f t="shared" ca="1" si="4"/>
        <v>4.5478723404240636E-3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input_505010!A$2</f>
        <v>505010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IFERROR(VLOOKUP(B118,input_505010!L:R,7,FALSE),VLOOKUP(tables_505010!C118,input_505010!A:H,8,FALSE))</f>
        <v>258288.46153999999</v>
      </c>
      <c r="P118" s="46">
        <f t="shared" ca="1" si="4"/>
        <v>4.1632569558336012E-3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input_505010!A$2</f>
        <v>505010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IFERROR(VLOOKUP(B119,input_505010!L:R,7,FALSE),VLOOKUP(tables_505010!C119,input_505010!A:H,8,FALSE))</f>
        <v>45957.692309999999</v>
      </c>
      <c r="P119" s="46">
        <f t="shared" ca="1" si="4"/>
        <v>7.4077518230150163E-4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input_505010!A$2</f>
        <v>505010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IFERROR(VLOOKUP(B120,input_505010!L:R,7,FALSE),VLOOKUP(tables_505010!C120,input_505010!A:H,8,FALSE))</f>
        <v>282150</v>
      </c>
      <c r="P120" s="46">
        <f t="shared" ca="1" si="4"/>
        <v>4.5478723404240636E-3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input_505010!A$2</f>
        <v>505010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IFERROR(VLOOKUP(B121,input_505010!L:R,7,FALSE),VLOOKUP(tables_505010!C121,input_505010!A:H,8,FALSE))</f>
        <v>258288.46153999999</v>
      </c>
      <c r="P121" s="46">
        <f t="shared" ca="1" si="4"/>
        <v>4.1632569558336012E-3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input_505010!A$2</f>
        <v>505010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IFERROR(VLOOKUP(B122,input_505010!L:R,7,FALSE),VLOOKUP(tables_505010!C122,input_505010!A:H,8,FALSE))</f>
        <v>45957.692309999999</v>
      </c>
      <c r="P122" s="46">
        <f t="shared" ca="1" si="4"/>
        <v>7.4077518230150163E-4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input_505010!A$2</f>
        <v>505010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IFERROR(VLOOKUP(B123,input_505010!L:R,7,FALSE),VLOOKUP(tables_505010!C123,input_505010!A:H,8,FALSE))</f>
        <v>282150</v>
      </c>
      <c r="P123" s="46">
        <f t="shared" ca="1" si="4"/>
        <v>4.5478723404240636E-3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input_505010!A$2</f>
        <v>505010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IFERROR(VLOOKUP(B124,input_505010!L:R,7,FALSE),VLOOKUP(tables_505010!C124,input_505010!A:H,8,FALSE))</f>
        <v>258288.46153999999</v>
      </c>
      <c r="P124" s="46">
        <f t="shared" ca="1" si="4"/>
        <v>4.1632569558336012E-3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input_505010!A$2</f>
        <v>505010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IFERROR(VLOOKUP(B125,input_505010!L:R,7,FALSE),VLOOKUP(tables_505010!C125,input_505010!A:H,8,FALSE))</f>
        <v>45957.692309999999</v>
      </c>
      <c r="P125" s="46">
        <f t="shared" ca="1" si="4"/>
        <v>7.4077518230150163E-4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input_505010!A$2</f>
        <v>505010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IFERROR(VLOOKUP(B126,input_505010!L:R,7,FALSE),VLOOKUP(tables_505010!C126,input_505010!A:H,8,FALSE))</f>
        <v>282150</v>
      </c>
      <c r="P126" s="46">
        <f t="shared" ca="1" si="4"/>
        <v>4.5478723404240636E-3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input_505010!A$2</f>
        <v>505010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IFERROR(VLOOKUP(B127,input_505010!L:R,7,FALSE),VLOOKUP(tables_505010!C127,input_505010!A:H,8,FALSE))</f>
        <v>258288.46153999999</v>
      </c>
      <c r="P127" s="46">
        <f t="shared" ca="1" si="4"/>
        <v>4.1632569558336012E-3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input_505010!A$2</f>
        <v>505010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IFERROR(VLOOKUP(B128,input_505010!L:R,7,FALSE),VLOOKUP(tables_505010!C128,input_505010!A:H,8,FALSE))</f>
        <v>45957.692309999999</v>
      </c>
      <c r="P128" s="46">
        <f t="shared" ca="1" si="4"/>
        <v>7.4077518230150163E-4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input_505010!A$2</f>
        <v>505010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IFERROR(VLOOKUP(B129,input_505010!L:R,7,FALSE),VLOOKUP(tables_505010!C129,input_505010!A:H,8,FALSE))</f>
        <v>282150</v>
      </c>
      <c r="P129" s="46">
        <f t="shared" ca="1" si="4"/>
        <v>4.5478723404240636E-3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input_505010!A$2</f>
        <v>505010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IFERROR(VLOOKUP(B130,input_505010!L:R,7,FALSE),VLOOKUP(tables_505010!C130,input_505010!A:H,8,FALSE))</f>
        <v>258288.46153999999</v>
      </c>
      <c r="P130" s="46">
        <f t="shared" ref="P130:P193" ca="1" si="7">O130/SUM(O:O)</f>
        <v>4.1632569558336012E-3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input_505010!A$2</f>
        <v>505010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IFERROR(VLOOKUP(B131,input_505010!L:R,7,FALSE),VLOOKUP(tables_505010!C131,input_505010!A:H,8,FALSE))</f>
        <v>45957.692309999999</v>
      </c>
      <c r="P131" s="46">
        <f t="shared" ca="1" si="7"/>
        <v>7.4077518230150163E-4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input_505010!A$2</f>
        <v>505010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IFERROR(VLOOKUP(B132,input_505010!L:R,7,FALSE),VLOOKUP(tables_505010!C132,input_505010!A:H,8,FALSE))</f>
        <v>282150</v>
      </c>
      <c r="P132" s="46">
        <f t="shared" ca="1" si="7"/>
        <v>4.5478723404240636E-3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input_505010!A$2</f>
        <v>505010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IFERROR(VLOOKUP(B133,input_505010!L:R,7,FALSE),VLOOKUP(tables_505010!C133,input_505010!A:H,8,FALSE))</f>
        <v>258288.46153999999</v>
      </c>
      <c r="P133" s="46">
        <f t="shared" ca="1" si="7"/>
        <v>4.1632569558336012E-3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input_505010!A$2</f>
        <v>505010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IFERROR(VLOOKUP(B134,input_505010!L:R,7,FALSE),VLOOKUP(tables_505010!C134,input_505010!A:H,8,FALSE))</f>
        <v>45957.692309999999</v>
      </c>
      <c r="P134" s="46">
        <f t="shared" ca="1" si="7"/>
        <v>7.4077518230150163E-4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input_505010!A$2</f>
        <v>505010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IFERROR(VLOOKUP(B135,input_505010!L:R,7,FALSE),VLOOKUP(tables_505010!C135,input_505010!A:H,8,FALSE))</f>
        <v>282150</v>
      </c>
      <c r="P135" s="46">
        <f t="shared" ca="1" si="7"/>
        <v>4.5478723404240636E-3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input_505010!A$2</f>
        <v>505010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IFERROR(VLOOKUP(B136,input_505010!L:R,7,FALSE),VLOOKUP(tables_505010!C136,input_505010!A:H,8,FALSE))</f>
        <v>258288.46153999999</v>
      </c>
      <c r="P136" s="46">
        <f t="shared" ca="1" si="7"/>
        <v>4.1632569558336012E-3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input_505010!A$2</f>
        <v>505010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IFERROR(VLOOKUP(B137,input_505010!L:R,7,FALSE),VLOOKUP(tables_505010!C137,input_505010!A:H,8,FALSE))</f>
        <v>45957.692309999999</v>
      </c>
      <c r="P137" s="46">
        <f t="shared" ca="1" si="7"/>
        <v>7.4077518230150163E-4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input_505010!A$2</f>
        <v>505010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IFERROR(VLOOKUP(B138,input_505010!L:R,7,FALSE),VLOOKUP(tables_505010!C138,input_505010!A:H,8,FALSE))</f>
        <v>15107.14286</v>
      </c>
      <c r="P138" s="46">
        <f t="shared" ca="1" si="7"/>
        <v>2.4350649355246812E-4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input_505010!A$2</f>
        <v>505010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IFERROR(VLOOKUP(B139,input_505010!L:R,7,FALSE),VLOOKUP(tables_505010!C139,input_505010!A:H,8,FALSE))</f>
        <v>940</v>
      </c>
      <c r="P139" s="46">
        <f t="shared" ca="1" si="7"/>
        <v>1.515151515151026E-5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input_505010!A$2</f>
        <v>505010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IFERROR(VLOOKUP(B140,input_505010!L:R,7,FALSE),VLOOKUP(tables_505010!C140,input_505010!A:H,8,FALSE))</f>
        <v>15107.14286</v>
      </c>
      <c r="P140" s="46">
        <f t="shared" ca="1" si="7"/>
        <v>2.4350649355246812E-4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input_505010!A$2</f>
        <v>505010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IFERROR(VLOOKUP(B141,input_505010!L:R,7,FALSE),VLOOKUP(tables_505010!C141,input_505010!A:H,8,FALSE))</f>
        <v>940</v>
      </c>
      <c r="P141" s="46">
        <f t="shared" ca="1" si="7"/>
        <v>1.515151515151026E-5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input_505010!A$2</f>
        <v>505010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IFERROR(VLOOKUP(B142,input_505010!L:R,7,FALSE),VLOOKUP(tables_505010!C142,input_505010!A:H,8,FALSE))</f>
        <v>15107.14286</v>
      </c>
      <c r="P142" s="46">
        <f t="shared" ca="1" si="7"/>
        <v>2.4350649355246812E-4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input_505010!A$2</f>
        <v>505010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IFERROR(VLOOKUP(B143,input_505010!L:R,7,FALSE),VLOOKUP(tables_505010!C143,input_505010!A:H,8,FALSE))</f>
        <v>940</v>
      </c>
      <c r="P143" s="46">
        <f t="shared" ca="1" si="7"/>
        <v>1.515151515151026E-5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input_505010!A$2</f>
        <v>505010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IFERROR(VLOOKUP(B144,input_505010!L:R,7,FALSE),VLOOKUP(tables_505010!C144,input_505010!A:H,8,FALSE))</f>
        <v>15107.14286</v>
      </c>
      <c r="P144" s="46">
        <f t="shared" ca="1" si="7"/>
        <v>2.4350649355246812E-4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input_505010!A$2</f>
        <v>505010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IFERROR(VLOOKUP(B145,input_505010!L:R,7,FALSE),VLOOKUP(tables_505010!C145,input_505010!A:H,8,FALSE))</f>
        <v>940</v>
      </c>
      <c r="P145" s="46">
        <f t="shared" ca="1" si="7"/>
        <v>1.515151515151026E-5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input_505010!A$2</f>
        <v>505010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IFERROR(VLOOKUP(B146,input_505010!L:R,7,FALSE),VLOOKUP(tables_505010!C146,input_505010!A:H,8,FALSE))</f>
        <v>282150</v>
      </c>
      <c r="P146" s="46">
        <f t="shared" ca="1" si="7"/>
        <v>4.5478723404240636E-3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input_505010!A$2</f>
        <v>505010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IFERROR(VLOOKUP(B147,input_505010!L:R,7,FALSE),VLOOKUP(tables_505010!C147,input_505010!A:H,8,FALSE))</f>
        <v>258288.46153999999</v>
      </c>
      <c r="P147" s="46">
        <f t="shared" ca="1" si="7"/>
        <v>4.1632569558336012E-3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input_505010!A$2</f>
        <v>505010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IFERROR(VLOOKUP(B148,input_505010!L:R,7,FALSE),VLOOKUP(tables_505010!C148,input_505010!A:H,8,FALSE))</f>
        <v>45957.692309999999</v>
      </c>
      <c r="P148" s="46">
        <f t="shared" ca="1" si="7"/>
        <v>7.4077518230150163E-4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input_505010!A$2</f>
        <v>505010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IFERROR(VLOOKUP(B149,input_505010!L:R,7,FALSE),VLOOKUP(tables_505010!C149,input_505010!A:H,8,FALSE))</f>
        <v>15107.14286</v>
      </c>
      <c r="P149" s="46">
        <f t="shared" ca="1" si="7"/>
        <v>2.4350649355246812E-4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input_505010!A$2</f>
        <v>505010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IFERROR(VLOOKUP(B150,input_505010!L:R,7,FALSE),VLOOKUP(tables_505010!C150,input_505010!A:H,8,FALSE))</f>
        <v>940</v>
      </c>
      <c r="P150" s="46">
        <f t="shared" ca="1" si="7"/>
        <v>1.515151515151026E-5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input_505010!A$2</f>
        <v>505010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IFERROR(VLOOKUP(B151,input_505010!L:R,7,FALSE),VLOOKUP(tables_505010!C151,input_505010!A:H,8,FALSE))</f>
        <v>15107.14286</v>
      </c>
      <c r="P151" s="46">
        <f t="shared" ca="1" si="7"/>
        <v>2.4350649355246812E-4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input_505010!A$2</f>
        <v>505010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IFERROR(VLOOKUP(B152,input_505010!L:R,7,FALSE),VLOOKUP(tables_505010!C152,input_505010!A:H,8,FALSE))</f>
        <v>940</v>
      </c>
      <c r="P152" s="46">
        <f t="shared" ca="1" si="7"/>
        <v>1.515151515151026E-5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input_505010!A$2</f>
        <v>505010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IFERROR(VLOOKUP(B153,input_505010!L:R,7,FALSE),VLOOKUP(tables_505010!C153,input_505010!A:H,8,FALSE))</f>
        <v>282150</v>
      </c>
      <c r="P153" s="46">
        <f t="shared" ca="1" si="7"/>
        <v>4.5478723404240636E-3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input_505010!A$2</f>
        <v>505010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IFERROR(VLOOKUP(B154,input_505010!L:R,7,FALSE),VLOOKUP(tables_505010!C154,input_505010!A:H,8,FALSE))</f>
        <v>258288.46153999999</v>
      </c>
      <c r="P154" s="46">
        <f t="shared" ca="1" si="7"/>
        <v>4.1632569558336012E-3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input_505010!A$2</f>
        <v>505010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IFERROR(VLOOKUP(B155,input_505010!L:R,7,FALSE),VLOOKUP(tables_505010!C155,input_505010!A:H,8,FALSE))</f>
        <v>45957.692309999999</v>
      </c>
      <c r="P155" s="46">
        <f t="shared" ca="1" si="7"/>
        <v>7.4077518230150163E-4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input_505010!A$2</f>
        <v>505010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IFERROR(VLOOKUP(B156,input_505010!L:R,7,FALSE),VLOOKUP(tables_505010!C156,input_505010!A:H,8,FALSE))</f>
        <v>15107.14286</v>
      </c>
      <c r="P156" s="46">
        <f t="shared" ca="1" si="7"/>
        <v>2.4350649355246812E-4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input_505010!A$2</f>
        <v>505010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IFERROR(VLOOKUP(B157,input_505010!L:R,7,FALSE),VLOOKUP(tables_505010!C157,input_505010!A:H,8,FALSE))</f>
        <v>940</v>
      </c>
      <c r="P157" s="46">
        <f t="shared" ca="1" si="7"/>
        <v>1.515151515151026E-5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input_505010!A$2</f>
        <v>505010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IFERROR(VLOOKUP(B158,input_505010!L:R,7,FALSE),VLOOKUP(tables_505010!C158,input_505010!A:H,8,FALSE))</f>
        <v>282150</v>
      </c>
      <c r="P158" s="46">
        <f t="shared" ca="1" si="7"/>
        <v>4.5478723404240636E-3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input_505010!A$2</f>
        <v>505010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IFERROR(VLOOKUP(B159,input_505010!L:R,7,FALSE),VLOOKUP(tables_505010!C159,input_505010!A:H,8,FALSE))</f>
        <v>258288.46153999999</v>
      </c>
      <c r="P159" s="46">
        <f t="shared" ca="1" si="7"/>
        <v>4.1632569558336012E-3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input_505010!A$2</f>
        <v>505010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IFERROR(VLOOKUP(B160,input_505010!L:R,7,FALSE),VLOOKUP(tables_505010!C160,input_505010!A:H,8,FALSE))</f>
        <v>45957.692309999999</v>
      </c>
      <c r="P160" s="46">
        <f t="shared" ca="1" si="7"/>
        <v>7.4077518230150163E-4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input_505010!A$2</f>
        <v>505010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IFERROR(VLOOKUP(B161,input_505010!L:R,7,FALSE),VLOOKUP(tables_505010!C161,input_505010!A:H,8,FALSE))</f>
        <v>282150</v>
      </c>
      <c r="P161" s="46">
        <f t="shared" ca="1" si="7"/>
        <v>4.5478723404240636E-3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input_505010!A$2</f>
        <v>505010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IFERROR(VLOOKUP(B162,input_505010!L:R,7,FALSE),VLOOKUP(tables_505010!C162,input_505010!A:H,8,FALSE))</f>
        <v>258288.46153999999</v>
      </c>
      <c r="P162" s="46">
        <f t="shared" ca="1" si="7"/>
        <v>4.1632569558336012E-3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input_505010!A$2</f>
        <v>505010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IFERROR(VLOOKUP(B163,input_505010!L:R,7,FALSE),VLOOKUP(tables_505010!C163,input_505010!A:H,8,FALSE))</f>
        <v>45957.692309999999</v>
      </c>
      <c r="P163" s="46">
        <f t="shared" ca="1" si="7"/>
        <v>7.4077518230150163E-4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input_505010!A$2</f>
        <v>505010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IFERROR(VLOOKUP(B164,input_505010!L:R,7,FALSE),VLOOKUP(tables_505010!C164,input_505010!A:H,8,FALSE))</f>
        <v>15107.14286</v>
      </c>
      <c r="P164" s="46">
        <f t="shared" ca="1" si="7"/>
        <v>2.4350649355246812E-4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input_505010!A$2</f>
        <v>505010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IFERROR(VLOOKUP(B165,input_505010!L:R,7,FALSE),VLOOKUP(tables_505010!C165,input_505010!A:H,8,FALSE))</f>
        <v>940</v>
      </c>
      <c r="P165" s="46">
        <f t="shared" ca="1" si="7"/>
        <v>1.515151515151026E-5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input_505010!A$2</f>
        <v>505010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IFERROR(VLOOKUP(B166,input_505010!L:R,7,FALSE),VLOOKUP(tables_505010!C166,input_505010!A:H,8,FALSE))</f>
        <v>282150</v>
      </c>
      <c r="P166" s="46">
        <f t="shared" ca="1" si="7"/>
        <v>4.5478723404240636E-3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input_505010!A$2</f>
        <v>505010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IFERROR(VLOOKUP(B167,input_505010!L:R,7,FALSE),VLOOKUP(tables_505010!C167,input_505010!A:H,8,FALSE))</f>
        <v>258288.46153999999</v>
      </c>
      <c r="P167" s="46">
        <f t="shared" ca="1" si="7"/>
        <v>4.1632569558336012E-3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input_505010!A$2</f>
        <v>505010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IFERROR(VLOOKUP(B168,input_505010!L:R,7,FALSE),VLOOKUP(tables_505010!C168,input_505010!A:H,8,FALSE))</f>
        <v>45957.692309999999</v>
      </c>
      <c r="P168" s="46">
        <f t="shared" ca="1" si="7"/>
        <v>7.4077518230150163E-4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input_505010!A$2</f>
        <v>505010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IFERROR(VLOOKUP(B169,input_505010!L:R,7,FALSE),VLOOKUP(tables_505010!C169,input_505010!A:H,8,FALSE))</f>
        <v>15107.14286</v>
      </c>
      <c r="P169" s="46">
        <f t="shared" ca="1" si="7"/>
        <v>2.4350649355246812E-4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input_505010!A$2</f>
        <v>505010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IFERROR(VLOOKUP(B170,input_505010!L:R,7,FALSE),VLOOKUP(tables_505010!C170,input_505010!A:H,8,FALSE))</f>
        <v>940</v>
      </c>
      <c r="P170" s="46">
        <f t="shared" ca="1" si="7"/>
        <v>1.515151515151026E-5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input_505010!A$2</f>
        <v>505010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IFERROR(VLOOKUP(B171,input_505010!L:R,7,FALSE),VLOOKUP(tables_505010!C171,input_505010!A:H,8,FALSE))</f>
        <v>282150</v>
      </c>
      <c r="P171" s="46">
        <f t="shared" ca="1" si="7"/>
        <v>4.5478723404240636E-3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input_505010!A$2</f>
        <v>505010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IFERROR(VLOOKUP(B172,input_505010!L:R,7,FALSE),VLOOKUP(tables_505010!C172,input_505010!A:H,8,FALSE))</f>
        <v>258288.46153999999</v>
      </c>
      <c r="P172" s="46">
        <f t="shared" ca="1" si="7"/>
        <v>4.1632569558336012E-3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input_505010!A$2</f>
        <v>505010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IFERROR(VLOOKUP(B173,input_505010!L:R,7,FALSE),VLOOKUP(tables_505010!C173,input_505010!A:H,8,FALSE))</f>
        <v>45957.692309999999</v>
      </c>
      <c r="P173" s="46">
        <f t="shared" ca="1" si="7"/>
        <v>7.4077518230150163E-4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input_505010!A$2</f>
        <v>505010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IFERROR(VLOOKUP(B174,input_505010!L:R,7,FALSE),VLOOKUP(tables_505010!C174,input_505010!A:H,8,FALSE))</f>
        <v>15107.14286</v>
      </c>
      <c r="P174" s="46">
        <f t="shared" ca="1" si="7"/>
        <v>2.4350649355246812E-4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input_505010!A$2</f>
        <v>505010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IFERROR(VLOOKUP(B175,input_505010!L:R,7,FALSE),VLOOKUP(tables_505010!C175,input_505010!A:H,8,FALSE))</f>
        <v>940</v>
      </c>
      <c r="P175" s="46">
        <f t="shared" ca="1" si="7"/>
        <v>1.515151515151026E-5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input_505010!A$2</f>
        <v>505010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IFERROR(VLOOKUP(B176,input_505010!L:R,7,FALSE),VLOOKUP(tables_505010!C176,input_505010!A:H,8,FALSE))</f>
        <v>15107.14286</v>
      </c>
      <c r="P176" s="46">
        <f t="shared" ca="1" si="7"/>
        <v>2.4350649355246812E-4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input_505010!A$2</f>
        <v>505010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IFERROR(VLOOKUP(B177,input_505010!L:R,7,FALSE),VLOOKUP(tables_505010!C177,input_505010!A:H,8,FALSE))</f>
        <v>940</v>
      </c>
      <c r="P177" s="46">
        <f t="shared" ca="1" si="7"/>
        <v>1.515151515151026E-5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input_505010!A$2</f>
        <v>505010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IFERROR(VLOOKUP(B178,input_505010!L:R,7,FALSE),VLOOKUP(tables_505010!C178,input_505010!A:H,8,FALSE))</f>
        <v>282150</v>
      </c>
      <c r="P178" s="46">
        <f t="shared" ca="1" si="7"/>
        <v>4.5478723404240636E-3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input_505010!A$2</f>
        <v>505010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IFERROR(VLOOKUP(B179,input_505010!L:R,7,FALSE),VLOOKUP(tables_505010!C179,input_505010!A:H,8,FALSE))</f>
        <v>258288.46153999999</v>
      </c>
      <c r="P179" s="46">
        <f t="shared" ca="1" si="7"/>
        <v>4.1632569558336012E-3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input_505010!A$2</f>
        <v>505010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IFERROR(VLOOKUP(B180,input_505010!L:R,7,FALSE),VLOOKUP(tables_505010!C180,input_505010!A:H,8,FALSE))</f>
        <v>45957.692309999999</v>
      </c>
      <c r="P180" s="46">
        <f t="shared" ca="1" si="7"/>
        <v>7.4077518230150163E-4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input_505010!A$2</f>
        <v>505010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IFERROR(VLOOKUP(B181,input_505010!L:R,7,FALSE),VLOOKUP(tables_505010!C181,input_505010!A:H,8,FALSE))</f>
        <v>282150</v>
      </c>
      <c r="P181" s="46">
        <f t="shared" ca="1" si="7"/>
        <v>4.5478723404240636E-3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input_505010!A$2</f>
        <v>505010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IFERROR(VLOOKUP(B182,input_505010!L:R,7,FALSE),VLOOKUP(tables_505010!C182,input_505010!A:H,8,FALSE))</f>
        <v>258288.46153999999</v>
      </c>
      <c r="P182" s="46">
        <f t="shared" ca="1" si="7"/>
        <v>4.1632569558336012E-3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input_505010!A$2</f>
        <v>505010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IFERROR(VLOOKUP(B183,input_505010!L:R,7,FALSE),VLOOKUP(tables_505010!C183,input_505010!A:H,8,FALSE))</f>
        <v>45957.692309999999</v>
      </c>
      <c r="P183" s="46">
        <f t="shared" ca="1" si="7"/>
        <v>7.4077518230150163E-4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input_505010!A$2</f>
        <v>505010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IFERROR(VLOOKUP(B184,input_505010!L:R,7,FALSE),VLOOKUP(tables_505010!C184,input_505010!A:H,8,FALSE))</f>
        <v>15107.14286</v>
      </c>
      <c r="P184" s="46">
        <f t="shared" ca="1" si="7"/>
        <v>2.4350649355246812E-4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input_505010!A$2</f>
        <v>505010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IFERROR(VLOOKUP(B185,input_505010!L:R,7,FALSE),VLOOKUP(tables_505010!C185,input_505010!A:H,8,FALSE))</f>
        <v>940</v>
      </c>
      <c r="P185" s="46">
        <f t="shared" ca="1" si="7"/>
        <v>1.515151515151026E-5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input_505010!A$2</f>
        <v>505010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IFERROR(VLOOKUP(B186,input_505010!L:R,7,FALSE),VLOOKUP(tables_505010!C186,input_505010!A:H,8,FALSE))</f>
        <v>282150</v>
      </c>
      <c r="P186" s="46">
        <f t="shared" ca="1" si="7"/>
        <v>4.5478723404240636E-3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input_505010!A$2</f>
        <v>505010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IFERROR(VLOOKUP(B187,input_505010!L:R,7,FALSE),VLOOKUP(tables_505010!C187,input_505010!A:H,8,FALSE))</f>
        <v>258288.46153999999</v>
      </c>
      <c r="P187" s="46">
        <f t="shared" ca="1" si="7"/>
        <v>4.1632569558336012E-3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input_505010!A$2</f>
        <v>505010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IFERROR(VLOOKUP(B188,input_505010!L:R,7,FALSE),VLOOKUP(tables_505010!C188,input_505010!A:H,8,FALSE))</f>
        <v>45957.692309999999</v>
      </c>
      <c r="P188" s="46">
        <f t="shared" ca="1" si="7"/>
        <v>7.4077518230150163E-4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input_505010!A$2</f>
        <v>505010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IFERROR(VLOOKUP(B189,input_505010!L:R,7,FALSE),VLOOKUP(tables_505010!C189,input_505010!A:H,8,FALSE))</f>
        <v>15107.14286</v>
      </c>
      <c r="P189" s="46">
        <f t="shared" ca="1" si="7"/>
        <v>2.4350649355246812E-4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input_505010!A$2</f>
        <v>505010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IFERROR(VLOOKUP(B190,input_505010!L:R,7,FALSE),VLOOKUP(tables_505010!C190,input_505010!A:H,8,FALSE))</f>
        <v>940</v>
      </c>
      <c r="P190" s="46">
        <f t="shared" ca="1" si="7"/>
        <v>1.515151515151026E-5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input_505010!A$2</f>
        <v>505010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IFERROR(VLOOKUP(B191,input_505010!L:R,7,FALSE),VLOOKUP(tables_505010!C191,input_505010!A:H,8,FALSE))</f>
        <v>15107.14286</v>
      </c>
      <c r="P191" s="46">
        <f t="shared" ca="1" si="7"/>
        <v>2.4350649355246812E-4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input_505010!A$2</f>
        <v>505010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IFERROR(VLOOKUP(B192,input_505010!L:R,7,FALSE),VLOOKUP(tables_505010!C192,input_505010!A:H,8,FALSE))</f>
        <v>940</v>
      </c>
      <c r="P192" s="46">
        <f t="shared" ca="1" si="7"/>
        <v>1.515151515151026E-5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input_505010!A$2</f>
        <v>505010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IFERROR(VLOOKUP(B193,input_505010!L:R,7,FALSE),VLOOKUP(tables_505010!C193,input_505010!A:H,8,FALSE))</f>
        <v>282150</v>
      </c>
      <c r="P193" s="46">
        <f t="shared" ca="1" si="7"/>
        <v>4.5478723404240636E-3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input_505010!A$2</f>
        <v>505010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IFERROR(VLOOKUP(B194,input_505010!L:R,7,FALSE),VLOOKUP(tables_505010!C194,input_505010!A:H,8,FALSE))</f>
        <v>258288.46153999999</v>
      </c>
      <c r="P194" s="46">
        <f t="shared" ref="P194:P257" ca="1" si="10">O194/SUM(O:O)</f>
        <v>4.1632569558336012E-3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input_505010!A$2</f>
        <v>505010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IFERROR(VLOOKUP(B195,input_505010!L:R,7,FALSE),VLOOKUP(tables_505010!C195,input_505010!A:H,8,FALSE))</f>
        <v>45957.692309999999</v>
      </c>
      <c r="P195" s="46">
        <f t="shared" ca="1" si="10"/>
        <v>7.4077518230150163E-4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input_505010!A$2</f>
        <v>505010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IFERROR(VLOOKUP(B196,input_505010!L:R,7,FALSE),VLOOKUP(tables_505010!C196,input_505010!A:H,8,FALSE))</f>
        <v>15107.14286</v>
      </c>
      <c r="P196" s="46">
        <f t="shared" ca="1" si="10"/>
        <v>2.4350649355246812E-4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input_505010!A$2</f>
        <v>505010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IFERROR(VLOOKUP(B197,input_505010!L:R,7,FALSE),VLOOKUP(tables_505010!C197,input_505010!A:H,8,FALSE))</f>
        <v>940</v>
      </c>
      <c r="P197" s="46">
        <f t="shared" ca="1" si="10"/>
        <v>1.515151515151026E-5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input_505010!A$2</f>
        <v>505010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IFERROR(VLOOKUP(B198,input_505010!L:R,7,FALSE),VLOOKUP(tables_505010!C198,input_505010!A:H,8,FALSE))</f>
        <v>282150</v>
      </c>
      <c r="P198" s="46">
        <f t="shared" ca="1" si="10"/>
        <v>4.5478723404240636E-3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input_505010!A$2</f>
        <v>505010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IFERROR(VLOOKUP(B199,input_505010!L:R,7,FALSE),VLOOKUP(tables_505010!C199,input_505010!A:H,8,FALSE))</f>
        <v>258288.46153999999</v>
      </c>
      <c r="P199" s="46">
        <f t="shared" ca="1" si="10"/>
        <v>4.1632569558336012E-3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input_505010!A$2</f>
        <v>505010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IFERROR(VLOOKUP(B200,input_505010!L:R,7,FALSE),VLOOKUP(tables_505010!C200,input_505010!A:H,8,FALSE))</f>
        <v>45957.692309999999</v>
      </c>
      <c r="P200" s="46">
        <f t="shared" ca="1" si="10"/>
        <v>7.4077518230150163E-4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input_505010!A$2</f>
        <v>505010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IFERROR(VLOOKUP(B201,input_505010!L:R,7,FALSE),VLOOKUP(tables_505010!C201,input_505010!A:H,8,FALSE))</f>
        <v>15107.14286</v>
      </c>
      <c r="P201" s="46">
        <f t="shared" ca="1" si="10"/>
        <v>2.4350649355246812E-4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input_505010!A$2</f>
        <v>505010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IFERROR(VLOOKUP(B202,input_505010!L:R,7,FALSE),VLOOKUP(tables_505010!C202,input_505010!A:H,8,FALSE))</f>
        <v>940</v>
      </c>
      <c r="P202" s="46">
        <f t="shared" ca="1" si="10"/>
        <v>1.515151515151026E-5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input_505010!A$2</f>
        <v>505010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IFERROR(VLOOKUP(B203,input_505010!L:R,7,FALSE),VLOOKUP(tables_505010!C203,input_505010!A:H,8,FALSE))</f>
        <v>282150</v>
      </c>
      <c r="P203" s="46">
        <f t="shared" ca="1" si="10"/>
        <v>4.5478723404240636E-3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input_505010!A$2</f>
        <v>505010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IFERROR(VLOOKUP(B204,input_505010!L:R,7,FALSE),VLOOKUP(tables_505010!C204,input_505010!A:H,8,FALSE))</f>
        <v>258288.46153999999</v>
      </c>
      <c r="P204" s="46">
        <f t="shared" ca="1" si="10"/>
        <v>4.1632569558336012E-3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input_505010!A$2</f>
        <v>505010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IFERROR(VLOOKUP(B205,input_505010!L:R,7,FALSE),VLOOKUP(tables_505010!C205,input_505010!A:H,8,FALSE))</f>
        <v>45957.692309999999</v>
      </c>
      <c r="P205" s="46">
        <f t="shared" ca="1" si="10"/>
        <v>7.4077518230150163E-4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input_505010!A$2</f>
        <v>505010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IFERROR(VLOOKUP(B206,input_505010!L:R,7,FALSE),VLOOKUP(tables_505010!C206,input_505010!A:H,8,FALSE))</f>
        <v>15107.14286</v>
      </c>
      <c r="P206" s="46">
        <f t="shared" ca="1" si="10"/>
        <v>2.4350649355246812E-4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input_505010!A$2</f>
        <v>505010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IFERROR(VLOOKUP(B207,input_505010!L:R,7,FALSE),VLOOKUP(tables_505010!C207,input_505010!A:H,8,FALSE))</f>
        <v>940</v>
      </c>
      <c r="P207" s="46">
        <f t="shared" ca="1" si="10"/>
        <v>1.515151515151026E-5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input_505010!A$2</f>
        <v>505010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IFERROR(VLOOKUP(B208,input_505010!L:R,7,FALSE),VLOOKUP(tables_505010!C208,input_505010!A:H,8,FALSE))</f>
        <v>15107.14286</v>
      </c>
      <c r="P208" s="46">
        <f t="shared" ca="1" si="10"/>
        <v>2.4350649355246812E-4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input_505010!A$2</f>
        <v>505010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IFERROR(VLOOKUP(B209,input_505010!L:R,7,FALSE),VLOOKUP(tables_505010!C209,input_505010!A:H,8,FALSE))</f>
        <v>940</v>
      </c>
      <c r="P209" s="46">
        <f t="shared" ca="1" si="10"/>
        <v>1.515151515151026E-5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input_505010!A$2</f>
        <v>505010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IFERROR(VLOOKUP(B210,input_505010!L:R,7,FALSE),VLOOKUP(tables_505010!C210,input_505010!A:H,8,FALSE))</f>
        <v>282150</v>
      </c>
      <c r="P210" s="46">
        <f t="shared" ca="1" si="10"/>
        <v>4.5478723404240636E-3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input_505010!A$2</f>
        <v>505010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IFERROR(VLOOKUP(B211,input_505010!L:R,7,FALSE),VLOOKUP(tables_505010!C211,input_505010!A:H,8,FALSE))</f>
        <v>258288.46153999999</v>
      </c>
      <c r="P211" s="46">
        <f t="shared" ca="1" si="10"/>
        <v>4.1632569558336012E-3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input_505010!A$2</f>
        <v>505010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IFERROR(VLOOKUP(B212,input_505010!L:R,7,FALSE),VLOOKUP(tables_505010!C212,input_505010!A:H,8,FALSE))</f>
        <v>45957.692309999999</v>
      </c>
      <c r="P212" s="46">
        <f t="shared" ca="1" si="10"/>
        <v>7.4077518230150163E-4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input_505010!A$2</f>
        <v>505010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IFERROR(VLOOKUP(B213,input_505010!L:R,7,FALSE),VLOOKUP(tables_505010!C213,input_505010!A:H,8,FALSE))</f>
        <v>15107.14286</v>
      </c>
      <c r="P213" s="46">
        <f t="shared" ca="1" si="10"/>
        <v>2.4350649355246812E-4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input_505010!A$2</f>
        <v>505010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IFERROR(VLOOKUP(B214,input_505010!L:R,7,FALSE),VLOOKUP(tables_505010!C214,input_505010!A:H,8,FALSE))</f>
        <v>940</v>
      </c>
      <c r="P214" s="46">
        <f t="shared" ca="1" si="10"/>
        <v>1.515151515151026E-5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input_505010!A$2</f>
        <v>505010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IFERROR(VLOOKUP(B215,input_505010!L:R,7,FALSE),VLOOKUP(tables_505010!C215,input_505010!A:H,8,FALSE))</f>
        <v>36850</v>
      </c>
      <c r="P215" s="46">
        <f t="shared" ca="1" si="10"/>
        <v>5.9397163120548198E-4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input_505010!A$2</f>
        <v>505010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IFERROR(VLOOKUP(B216,input_505010!L:R,7,FALSE),VLOOKUP(tables_505010!C216,input_505010!A:H,8,FALSE))</f>
        <v>36850</v>
      </c>
      <c r="P216" s="46">
        <f t="shared" ca="1" si="10"/>
        <v>5.9397163120548198E-4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input_505010!A$2</f>
        <v>505010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IFERROR(VLOOKUP(B217,input_505010!L:R,7,FALSE),VLOOKUP(tables_505010!C217,input_505010!A:H,8,FALSE))</f>
        <v>36850</v>
      </c>
      <c r="P217" s="46">
        <f t="shared" ca="1" si="10"/>
        <v>5.9397163120548198E-4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input_505010!A$2</f>
        <v>505010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IFERROR(VLOOKUP(B218,input_505010!L:R,7,FALSE),VLOOKUP(tables_505010!C218,input_505010!A:H,8,FALSE))</f>
        <v>36850</v>
      </c>
      <c r="P218" s="46">
        <f t="shared" ca="1" si="10"/>
        <v>5.9397163120548198E-4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input_505010!A$2</f>
        <v>505010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IFERROR(VLOOKUP(B219,input_505010!L:R,7,FALSE),VLOOKUP(tables_505010!C219,input_505010!A:H,8,FALSE))</f>
        <v>36850</v>
      </c>
      <c r="P219" s="46">
        <f t="shared" ca="1" si="10"/>
        <v>5.9397163120548198E-4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input_505010!A$2</f>
        <v>505010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IFERROR(VLOOKUP(B220,input_505010!L:R,7,FALSE),VLOOKUP(tables_505010!C220,input_505010!A:H,8,FALSE))</f>
        <v>36850</v>
      </c>
      <c r="P220" s="46">
        <f t="shared" ca="1" si="10"/>
        <v>5.9397163120548198E-4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input_505010!A$2</f>
        <v>505010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IFERROR(VLOOKUP(B221,input_505010!L:R,7,FALSE),VLOOKUP(tables_505010!C221,input_505010!A:H,8,FALSE))</f>
        <v>15107.14286</v>
      </c>
      <c r="P221" s="46">
        <f t="shared" ca="1" si="10"/>
        <v>2.4350649355246812E-4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input_505010!A$2</f>
        <v>505010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IFERROR(VLOOKUP(B222,input_505010!L:R,7,FALSE),VLOOKUP(tables_505010!C222,input_505010!A:H,8,FALSE))</f>
        <v>940</v>
      </c>
      <c r="P222" s="46">
        <f t="shared" ca="1" si="10"/>
        <v>1.515151515151026E-5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input_505010!A$2</f>
        <v>505010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IFERROR(VLOOKUP(B223,input_505010!L:R,7,FALSE),VLOOKUP(tables_505010!C223,input_505010!A:H,8,FALSE))</f>
        <v>282150</v>
      </c>
      <c r="P223" s="46">
        <f t="shared" ca="1" si="10"/>
        <v>4.5478723404240636E-3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input_505010!A$2</f>
        <v>505010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IFERROR(VLOOKUP(B224,input_505010!L:R,7,FALSE),VLOOKUP(tables_505010!C224,input_505010!A:H,8,FALSE))</f>
        <v>258288.46153999999</v>
      </c>
      <c r="P224" s="46">
        <f t="shared" ca="1" si="10"/>
        <v>4.1632569558336012E-3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input_505010!A$2</f>
        <v>505010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IFERROR(VLOOKUP(B225,input_505010!L:R,7,FALSE),VLOOKUP(tables_505010!C225,input_505010!A:H,8,FALSE))</f>
        <v>45957.692309999999</v>
      </c>
      <c r="P225" s="46">
        <f t="shared" ca="1" si="10"/>
        <v>7.4077518230150163E-4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input_505010!A$2</f>
        <v>505010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IFERROR(VLOOKUP(B226,input_505010!L:R,7,FALSE),VLOOKUP(tables_505010!C226,input_505010!A:H,8,FALSE))</f>
        <v>282150</v>
      </c>
      <c r="P226" s="46">
        <f t="shared" ca="1" si="10"/>
        <v>4.5478723404240636E-3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input_505010!A$2</f>
        <v>505010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IFERROR(VLOOKUP(B227,input_505010!L:R,7,FALSE),VLOOKUP(tables_505010!C227,input_505010!A:H,8,FALSE))</f>
        <v>258288.46153999999</v>
      </c>
      <c r="P227" s="46">
        <f t="shared" ca="1" si="10"/>
        <v>4.1632569558336012E-3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input_505010!A$2</f>
        <v>505010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IFERROR(VLOOKUP(B228,input_505010!L:R,7,FALSE),VLOOKUP(tables_505010!C228,input_505010!A:H,8,FALSE))</f>
        <v>45957.692309999999</v>
      </c>
      <c r="P228" s="46">
        <f t="shared" ca="1" si="10"/>
        <v>7.4077518230150163E-4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input_505010!A$2</f>
        <v>505010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IFERROR(VLOOKUP(B229,input_505010!L:R,7,FALSE),VLOOKUP(tables_505010!C229,input_505010!A:H,8,FALSE))</f>
        <v>15107.14286</v>
      </c>
      <c r="P229" s="46">
        <f t="shared" ca="1" si="10"/>
        <v>2.4350649355246812E-4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input_505010!A$2</f>
        <v>505010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IFERROR(VLOOKUP(B230,input_505010!L:R,7,FALSE),VLOOKUP(tables_505010!C230,input_505010!A:H,8,FALSE))</f>
        <v>940</v>
      </c>
      <c r="P230" s="46">
        <f t="shared" ca="1" si="10"/>
        <v>1.515151515151026E-5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input_505010!A$2</f>
        <v>505010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IFERROR(VLOOKUP(B231,input_505010!L:R,7,FALSE),VLOOKUP(tables_505010!C231,input_505010!A:H,8,FALSE))</f>
        <v>282150</v>
      </c>
      <c r="P231" s="46">
        <f t="shared" ca="1" si="10"/>
        <v>4.5478723404240636E-3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input_505010!A$2</f>
        <v>505010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IFERROR(VLOOKUP(B232,input_505010!L:R,7,FALSE),VLOOKUP(tables_505010!C232,input_505010!A:H,8,FALSE))</f>
        <v>258288.46153999999</v>
      </c>
      <c r="P232" s="46">
        <f t="shared" ca="1" si="10"/>
        <v>4.1632569558336012E-3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input_505010!A$2</f>
        <v>505010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IFERROR(VLOOKUP(B233,input_505010!L:R,7,FALSE),VLOOKUP(tables_505010!C233,input_505010!A:H,8,FALSE))</f>
        <v>45957.692309999999</v>
      </c>
      <c r="P233" s="46">
        <f t="shared" ca="1" si="10"/>
        <v>7.4077518230150163E-4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input_505010!A$2</f>
        <v>505010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IFERROR(VLOOKUP(B234,input_505010!L:R,7,FALSE),VLOOKUP(tables_505010!C234,input_505010!A:H,8,FALSE))</f>
        <v>282150</v>
      </c>
      <c r="P234" s="46">
        <f t="shared" ca="1" si="10"/>
        <v>4.5478723404240636E-3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input_505010!A$2</f>
        <v>505010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IFERROR(VLOOKUP(B235,input_505010!L:R,7,FALSE),VLOOKUP(tables_505010!C235,input_505010!A:H,8,FALSE))</f>
        <v>258288.46153999999</v>
      </c>
      <c r="P235" s="46">
        <f t="shared" ca="1" si="10"/>
        <v>4.1632569558336012E-3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input_505010!A$2</f>
        <v>505010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IFERROR(VLOOKUP(B236,input_505010!L:R,7,FALSE),VLOOKUP(tables_505010!C236,input_505010!A:H,8,FALSE))</f>
        <v>45957.692309999999</v>
      </c>
      <c r="P236" s="46">
        <f t="shared" ca="1" si="10"/>
        <v>7.4077518230150163E-4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input_505010!A$2</f>
        <v>505010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IFERROR(VLOOKUP(B237,input_505010!L:R,7,FALSE),VLOOKUP(tables_505010!C237,input_505010!A:H,8,FALSE))</f>
        <v>15107.14286</v>
      </c>
      <c r="P237" s="46">
        <f t="shared" ca="1" si="10"/>
        <v>2.4350649355246812E-4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input_505010!A$2</f>
        <v>505010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IFERROR(VLOOKUP(B238,input_505010!L:R,7,FALSE),VLOOKUP(tables_505010!C238,input_505010!A:H,8,FALSE))</f>
        <v>940</v>
      </c>
      <c r="P238" s="46">
        <f t="shared" ca="1" si="10"/>
        <v>1.515151515151026E-5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input_505010!A$2</f>
        <v>505010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IFERROR(VLOOKUP(B239,input_505010!L:R,7,FALSE),VLOOKUP(tables_505010!C239,input_505010!A:H,8,FALSE))</f>
        <v>282150</v>
      </c>
      <c r="P239" s="46">
        <f t="shared" ca="1" si="10"/>
        <v>4.5478723404240636E-3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input_505010!A$2</f>
        <v>505010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IFERROR(VLOOKUP(B240,input_505010!L:R,7,FALSE),VLOOKUP(tables_505010!C240,input_505010!A:H,8,FALSE))</f>
        <v>258288.46153999999</v>
      </c>
      <c r="P240" s="46">
        <f t="shared" ca="1" si="10"/>
        <v>4.1632569558336012E-3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input_505010!A$2</f>
        <v>505010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IFERROR(VLOOKUP(B241,input_505010!L:R,7,FALSE),VLOOKUP(tables_505010!C241,input_505010!A:H,8,FALSE))</f>
        <v>45957.692309999999</v>
      </c>
      <c r="P241" s="46">
        <f t="shared" ca="1" si="10"/>
        <v>7.4077518230150163E-4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input_505010!A$2</f>
        <v>505010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IFERROR(VLOOKUP(B242,input_505010!L:R,7,FALSE),VLOOKUP(tables_505010!C242,input_505010!A:H,8,FALSE))</f>
        <v>15107.14286</v>
      </c>
      <c r="P242" s="46">
        <f t="shared" ca="1" si="10"/>
        <v>2.4350649355246812E-4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input_505010!A$2</f>
        <v>505010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IFERROR(VLOOKUP(B243,input_505010!L:R,7,FALSE),VLOOKUP(tables_505010!C243,input_505010!A:H,8,FALSE))</f>
        <v>940</v>
      </c>
      <c r="P243" s="46">
        <f t="shared" ca="1" si="10"/>
        <v>1.515151515151026E-5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input_505010!A$2</f>
        <v>505010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IFERROR(VLOOKUP(B244,input_505010!L:R,7,FALSE),VLOOKUP(tables_505010!C244,input_505010!A:H,8,FALSE))</f>
        <v>15107.14286</v>
      </c>
      <c r="P244" s="46">
        <f t="shared" ca="1" si="10"/>
        <v>2.4350649355246812E-4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input_505010!A$2</f>
        <v>505010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IFERROR(VLOOKUP(B245,input_505010!L:R,7,FALSE),VLOOKUP(tables_505010!C245,input_505010!A:H,8,FALSE))</f>
        <v>940</v>
      </c>
      <c r="P245" s="46">
        <f t="shared" ca="1" si="10"/>
        <v>1.515151515151026E-5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input_505010!A$2</f>
        <v>505010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IFERROR(VLOOKUP(B246,input_505010!L:R,7,FALSE),VLOOKUP(tables_505010!C246,input_505010!A:H,8,FALSE))</f>
        <v>282150</v>
      </c>
      <c r="P246" s="46">
        <f t="shared" ca="1" si="10"/>
        <v>4.5478723404240636E-3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input_505010!A$2</f>
        <v>505010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IFERROR(VLOOKUP(B247,input_505010!L:R,7,FALSE),VLOOKUP(tables_505010!C247,input_505010!A:H,8,FALSE))</f>
        <v>258288.46153999999</v>
      </c>
      <c r="P247" s="46">
        <f t="shared" ca="1" si="10"/>
        <v>4.1632569558336012E-3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input_505010!A$2</f>
        <v>505010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IFERROR(VLOOKUP(B248,input_505010!L:R,7,FALSE),VLOOKUP(tables_505010!C248,input_505010!A:H,8,FALSE))</f>
        <v>45957.692309999999</v>
      </c>
      <c r="P248" s="46">
        <f t="shared" ca="1" si="10"/>
        <v>7.4077518230150163E-4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input_505010!A$2</f>
        <v>505010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IFERROR(VLOOKUP(B249,input_505010!L:R,7,FALSE),VLOOKUP(tables_505010!C249,input_505010!A:H,8,FALSE))</f>
        <v>282150</v>
      </c>
      <c r="P249" s="46">
        <f t="shared" ca="1" si="10"/>
        <v>4.5478723404240636E-3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input_505010!A$2</f>
        <v>505010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IFERROR(VLOOKUP(B250,input_505010!L:R,7,FALSE),VLOOKUP(tables_505010!C250,input_505010!A:H,8,FALSE))</f>
        <v>258288.46153999999</v>
      </c>
      <c r="P250" s="46">
        <f t="shared" ca="1" si="10"/>
        <v>4.1632569558336012E-3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input_505010!A$2</f>
        <v>505010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IFERROR(VLOOKUP(B251,input_505010!L:R,7,FALSE),VLOOKUP(tables_505010!C251,input_505010!A:H,8,FALSE))</f>
        <v>45957.692309999999</v>
      </c>
      <c r="P251" s="46">
        <f t="shared" ca="1" si="10"/>
        <v>7.4077518230150163E-4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input_505010!A$2</f>
        <v>505010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IFERROR(VLOOKUP(B252,input_505010!L:R,7,FALSE),VLOOKUP(tables_505010!C252,input_505010!A:H,8,FALSE))</f>
        <v>282150</v>
      </c>
      <c r="P252" s="46">
        <f t="shared" ca="1" si="10"/>
        <v>4.5478723404240636E-3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input_505010!A$2</f>
        <v>505010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IFERROR(VLOOKUP(B253,input_505010!L:R,7,FALSE),VLOOKUP(tables_505010!C253,input_505010!A:H,8,FALSE))</f>
        <v>258288.46153999999</v>
      </c>
      <c r="P253" s="46">
        <f t="shared" ca="1" si="10"/>
        <v>4.1632569558336012E-3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input_505010!A$2</f>
        <v>505010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IFERROR(VLOOKUP(B254,input_505010!L:R,7,FALSE),VLOOKUP(tables_505010!C254,input_505010!A:H,8,FALSE))</f>
        <v>45957.692309999999</v>
      </c>
      <c r="P254" s="46">
        <f t="shared" ca="1" si="10"/>
        <v>7.4077518230150163E-4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input_505010!A$2</f>
        <v>505010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IFERROR(VLOOKUP(B255,input_505010!L:R,7,FALSE),VLOOKUP(tables_505010!C255,input_505010!A:H,8,FALSE))</f>
        <v>282150</v>
      </c>
      <c r="P255" s="46">
        <f t="shared" ca="1" si="10"/>
        <v>4.5478723404240636E-3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input_505010!A$2</f>
        <v>505010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IFERROR(VLOOKUP(B256,input_505010!L:R,7,FALSE),VLOOKUP(tables_505010!C256,input_505010!A:H,8,FALSE))</f>
        <v>258288.46153999999</v>
      </c>
      <c r="P256" s="46">
        <f t="shared" ca="1" si="10"/>
        <v>4.1632569558336012E-3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input_505010!A$2</f>
        <v>505010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IFERROR(VLOOKUP(B257,input_505010!L:R,7,FALSE),VLOOKUP(tables_505010!C257,input_505010!A:H,8,FALSE))</f>
        <v>45957.692309999999</v>
      </c>
      <c r="P257" s="46">
        <f t="shared" ca="1" si="10"/>
        <v>7.4077518230150163E-4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input_505010!A$2</f>
        <v>505010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IFERROR(VLOOKUP(B258,input_505010!L:R,7,FALSE),VLOOKUP(tables_505010!C258,input_505010!A:H,8,FALSE))</f>
        <v>15107.14286</v>
      </c>
      <c r="P258" s="46">
        <f t="shared" ref="P258:P321" ca="1" si="13">O258/SUM(O:O)</f>
        <v>2.4350649355246812E-4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input_505010!A$2</f>
        <v>505010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IFERROR(VLOOKUP(B259,input_505010!L:R,7,FALSE),VLOOKUP(tables_505010!C259,input_505010!A:H,8,FALSE))</f>
        <v>940</v>
      </c>
      <c r="P259" s="46">
        <f t="shared" ca="1" si="13"/>
        <v>1.515151515151026E-5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input_505010!A$2</f>
        <v>505010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IFERROR(VLOOKUP(B260,input_505010!L:R,7,FALSE),VLOOKUP(tables_505010!C260,input_505010!A:H,8,FALSE))</f>
        <v>15107.14286</v>
      </c>
      <c r="P260" s="46">
        <f t="shared" ca="1" si="13"/>
        <v>2.4350649355246812E-4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input_505010!A$2</f>
        <v>505010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IFERROR(VLOOKUP(B261,input_505010!L:R,7,FALSE),VLOOKUP(tables_505010!C261,input_505010!A:H,8,FALSE))</f>
        <v>940</v>
      </c>
      <c r="P261" s="46">
        <f t="shared" ca="1" si="13"/>
        <v>1.515151515151026E-5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input_505010!A$2</f>
        <v>505010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IFERROR(VLOOKUP(B262,input_505010!L:R,7,FALSE),VLOOKUP(tables_505010!C262,input_505010!A:H,8,FALSE))</f>
        <v>577866.66666999995</v>
      </c>
      <c r="P262" s="46">
        <f t="shared" ca="1" si="13"/>
        <v>9.3144208038332277E-3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input_505010!A$2</f>
        <v>505010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IFERROR(VLOOKUP(B263,input_505010!L:R,7,FALSE),VLOOKUP(tables_505010!C263,input_505010!A:H,8,FALSE))</f>
        <v>36850</v>
      </c>
      <c r="P263" s="46">
        <f t="shared" ca="1" si="13"/>
        <v>5.9397163120548198E-4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input_505010!A$2</f>
        <v>505010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IFERROR(VLOOKUP(B264,input_505010!L:R,7,FALSE),VLOOKUP(tables_505010!C264,input_505010!A:H,8,FALSE))</f>
        <v>577866.66666999995</v>
      </c>
      <c r="P264" s="46">
        <f t="shared" ca="1" si="13"/>
        <v>9.3144208038332277E-3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input_505010!A$2</f>
        <v>505010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IFERROR(VLOOKUP(B265,input_505010!L:R,7,FALSE),VLOOKUP(tables_505010!C265,input_505010!A:H,8,FALSE))</f>
        <v>36850</v>
      </c>
      <c r="P265" s="46">
        <f t="shared" ca="1" si="13"/>
        <v>5.9397163120548198E-4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input_505010!A$2</f>
        <v>505010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IFERROR(VLOOKUP(B266,input_505010!L:R,7,FALSE),VLOOKUP(tables_505010!C266,input_505010!A:H,8,FALSE))</f>
        <v>4502.1052600000003</v>
      </c>
      <c r="P266" s="46">
        <f t="shared" ca="1" si="13"/>
        <v>7.2567783043174516E-5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input_505010!A$2</f>
        <v>505010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IFERROR(VLOOKUP(B267,input_505010!L:R,7,FALSE),VLOOKUP(tables_505010!C267,input_505010!A:H,8,FALSE))</f>
        <v>4502.1052600000003</v>
      </c>
      <c r="P267" s="46">
        <f t="shared" ca="1" si="13"/>
        <v>7.2567783043174516E-5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input_505010!A$2</f>
        <v>505010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IFERROR(VLOOKUP(B268,input_505010!L:R,7,FALSE),VLOOKUP(tables_505010!C268,input_505010!A:H,8,FALSE))</f>
        <v>4502.1052600000003</v>
      </c>
      <c r="P268" s="46">
        <f t="shared" ca="1" si="13"/>
        <v>7.2567783043174516E-5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input_505010!A$2</f>
        <v>505010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IFERROR(VLOOKUP(B269,input_505010!L:R,7,FALSE),VLOOKUP(tables_505010!C269,input_505010!A:H,8,FALSE))</f>
        <v>4502.1052600000003</v>
      </c>
      <c r="P269" s="46">
        <f t="shared" ca="1" si="13"/>
        <v>7.2567783043174516E-5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input_505010!A$2</f>
        <v>505010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IFERROR(VLOOKUP(B270,input_505010!L:R,7,FALSE),VLOOKUP(tables_505010!C270,input_505010!A:H,8,FALSE))</f>
        <v>577866.66666999995</v>
      </c>
      <c r="P270" s="46">
        <f t="shared" ca="1" si="13"/>
        <v>9.3144208038332277E-3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input_505010!A$2</f>
        <v>505010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IFERROR(VLOOKUP(B271,input_505010!L:R,7,FALSE),VLOOKUP(tables_505010!C271,input_505010!A:H,8,FALSE))</f>
        <v>36850</v>
      </c>
      <c r="P271" s="46">
        <f t="shared" ca="1" si="13"/>
        <v>5.9397163120548198E-4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input_505010!A$2</f>
        <v>505010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IFERROR(VLOOKUP(B272,input_505010!L:R,7,FALSE),VLOOKUP(tables_505010!C272,input_505010!A:H,8,FALSE))</f>
        <v>577866.66666999995</v>
      </c>
      <c r="P272" s="46">
        <f t="shared" ca="1" si="13"/>
        <v>9.3144208038332277E-3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input_505010!A$2</f>
        <v>505010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IFERROR(VLOOKUP(B273,input_505010!L:R,7,FALSE),VLOOKUP(tables_505010!C273,input_505010!A:H,8,FALSE))</f>
        <v>36850</v>
      </c>
      <c r="P273" s="46">
        <f t="shared" ca="1" si="13"/>
        <v>5.9397163120548198E-4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input_505010!A$2</f>
        <v>505010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IFERROR(VLOOKUP(B274,input_505010!L:R,7,FALSE),VLOOKUP(tables_505010!C274,input_505010!A:H,8,FALSE))</f>
        <v>15107.14286</v>
      </c>
      <c r="P274" s="46">
        <f t="shared" ca="1" si="13"/>
        <v>2.4350649355246812E-4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input_505010!A$2</f>
        <v>505010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IFERROR(VLOOKUP(B275,input_505010!L:R,7,FALSE),VLOOKUP(tables_505010!C275,input_505010!A:H,8,FALSE))</f>
        <v>940</v>
      </c>
      <c r="P275" s="46">
        <f t="shared" ca="1" si="13"/>
        <v>1.515151515151026E-5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input_505010!A$2</f>
        <v>505010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IFERROR(VLOOKUP(B276,input_505010!L:R,7,FALSE),VLOOKUP(tables_505010!C276,input_505010!A:H,8,FALSE))</f>
        <v>15107.14286</v>
      </c>
      <c r="P276" s="46">
        <f t="shared" ca="1" si="13"/>
        <v>2.4350649355246812E-4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input_505010!A$2</f>
        <v>505010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IFERROR(VLOOKUP(B277,input_505010!L:R,7,FALSE),VLOOKUP(tables_505010!C277,input_505010!A:H,8,FALSE))</f>
        <v>940</v>
      </c>
      <c r="P277" s="46">
        <f t="shared" ca="1" si="13"/>
        <v>1.515151515151026E-5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input_505010!A$2</f>
        <v>505010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IFERROR(VLOOKUP(B278,input_505010!L:R,7,FALSE),VLOOKUP(tables_505010!C278,input_505010!A:H,8,FALSE))</f>
        <v>282150</v>
      </c>
      <c r="P278" s="46">
        <f t="shared" ca="1" si="13"/>
        <v>4.5478723404240636E-3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input_505010!A$2</f>
        <v>505010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IFERROR(VLOOKUP(B279,input_505010!L:R,7,FALSE),VLOOKUP(tables_505010!C279,input_505010!A:H,8,FALSE))</f>
        <v>258288.46153999999</v>
      </c>
      <c r="P279" s="46">
        <f t="shared" ca="1" si="13"/>
        <v>4.1632569558336012E-3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input_505010!A$2</f>
        <v>505010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IFERROR(VLOOKUP(B280,input_505010!L:R,7,FALSE),VLOOKUP(tables_505010!C280,input_505010!A:H,8,FALSE))</f>
        <v>45957.692309999999</v>
      </c>
      <c r="P280" s="46">
        <f t="shared" ca="1" si="13"/>
        <v>7.4077518230150163E-4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input_505010!A$2</f>
        <v>505010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IFERROR(VLOOKUP(B281,input_505010!L:R,7,FALSE),VLOOKUP(tables_505010!C281,input_505010!A:H,8,FALSE))</f>
        <v>282150</v>
      </c>
      <c r="P281" s="46">
        <f t="shared" ca="1" si="13"/>
        <v>4.5478723404240636E-3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input_505010!A$2</f>
        <v>505010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IFERROR(VLOOKUP(B282,input_505010!L:R,7,FALSE),VLOOKUP(tables_505010!C282,input_505010!A:H,8,FALSE))</f>
        <v>258288.46153999999</v>
      </c>
      <c r="P282" s="46">
        <f t="shared" ca="1" si="13"/>
        <v>4.1632569558336012E-3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input_505010!A$2</f>
        <v>505010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IFERROR(VLOOKUP(B283,input_505010!L:R,7,FALSE),VLOOKUP(tables_505010!C283,input_505010!A:H,8,FALSE))</f>
        <v>45957.692309999999</v>
      </c>
      <c r="P283" s="46">
        <f t="shared" ca="1" si="13"/>
        <v>7.4077518230150163E-4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input_505010!A$2</f>
        <v>505010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IFERROR(VLOOKUP(B284,input_505010!L:R,7,FALSE),VLOOKUP(tables_505010!C284,input_505010!A:H,8,FALSE))</f>
        <v>4502.1052600000003</v>
      </c>
      <c r="P284" s="46">
        <f t="shared" ca="1" si="13"/>
        <v>7.2567783043174516E-5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input_505010!A$2</f>
        <v>505010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IFERROR(VLOOKUP(B285,input_505010!L:R,7,FALSE),VLOOKUP(tables_505010!C285,input_505010!A:H,8,FALSE))</f>
        <v>4502.1052600000003</v>
      </c>
      <c r="P285" s="46">
        <f t="shared" ca="1" si="13"/>
        <v>7.2567783043174516E-5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input_505010!A$2</f>
        <v>505010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IFERROR(VLOOKUP(B286,input_505010!L:R,7,FALSE),VLOOKUP(tables_505010!C286,input_505010!A:H,8,FALSE))</f>
        <v>577866.66666999995</v>
      </c>
      <c r="P286" s="46">
        <f t="shared" ca="1" si="13"/>
        <v>9.3144208038332277E-3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input_505010!A$2</f>
        <v>505010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IFERROR(VLOOKUP(B287,input_505010!L:R,7,FALSE),VLOOKUP(tables_505010!C287,input_505010!A:H,8,FALSE))</f>
        <v>36850</v>
      </c>
      <c r="P287" s="46">
        <f t="shared" ca="1" si="13"/>
        <v>5.9397163120548198E-4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input_505010!A$2</f>
        <v>505010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IFERROR(VLOOKUP(B288,input_505010!L:R,7,FALSE),VLOOKUP(tables_505010!C288,input_505010!A:H,8,FALSE))</f>
        <v>577866.66666999995</v>
      </c>
      <c r="P288" s="46">
        <f t="shared" ca="1" si="13"/>
        <v>9.3144208038332277E-3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input_505010!A$2</f>
        <v>505010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IFERROR(VLOOKUP(B289,input_505010!L:R,7,FALSE),VLOOKUP(tables_505010!C289,input_505010!A:H,8,FALSE))</f>
        <v>36850</v>
      </c>
      <c r="P289" s="46">
        <f t="shared" ca="1" si="13"/>
        <v>5.9397163120548198E-4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input_505010!A$2</f>
        <v>505010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IFERROR(VLOOKUP(B290,input_505010!L:R,7,FALSE),VLOOKUP(tables_505010!C290,input_505010!A:H,8,FALSE))</f>
        <v>577866.66666999995</v>
      </c>
      <c r="P290" s="46">
        <f t="shared" ca="1" si="13"/>
        <v>9.3144208038332277E-3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input_505010!A$2</f>
        <v>505010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IFERROR(VLOOKUP(B291,input_505010!L:R,7,FALSE),VLOOKUP(tables_505010!C291,input_505010!A:H,8,FALSE))</f>
        <v>36850</v>
      </c>
      <c r="P291" s="46">
        <f t="shared" ca="1" si="13"/>
        <v>5.9397163120548198E-4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input_505010!A$2</f>
        <v>505010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IFERROR(VLOOKUP(B292,input_505010!L:R,7,FALSE),VLOOKUP(tables_505010!C292,input_505010!A:H,8,FALSE))</f>
        <v>577866.66666999995</v>
      </c>
      <c r="P292" s="46">
        <f t="shared" ca="1" si="13"/>
        <v>9.3144208038332277E-3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input_505010!A$2</f>
        <v>505010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IFERROR(VLOOKUP(B293,input_505010!L:R,7,FALSE),VLOOKUP(tables_505010!C293,input_505010!A:H,8,FALSE))</f>
        <v>36850</v>
      </c>
      <c r="P293" s="46">
        <f t="shared" ca="1" si="13"/>
        <v>5.9397163120548198E-4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input_505010!A$2</f>
        <v>505010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IFERROR(VLOOKUP(B294,input_505010!L:R,7,FALSE),VLOOKUP(tables_505010!C294,input_505010!A:H,8,FALSE))</f>
        <v>4502.1052600000003</v>
      </c>
      <c r="P294" s="46">
        <f t="shared" ca="1" si="13"/>
        <v>7.2567783043174516E-5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input_505010!A$2</f>
        <v>505010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IFERROR(VLOOKUP(B295,input_505010!L:R,7,FALSE),VLOOKUP(tables_505010!C295,input_505010!A:H,8,FALSE))</f>
        <v>4502.1052600000003</v>
      </c>
      <c r="P295" s="46">
        <f t="shared" ca="1" si="13"/>
        <v>7.2567783043174516E-5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input_505010!A$2</f>
        <v>505010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IFERROR(VLOOKUP(B296,input_505010!L:R,7,FALSE),VLOOKUP(tables_505010!C296,input_505010!A:H,8,FALSE))</f>
        <v>4502.1052600000003</v>
      </c>
      <c r="P296" s="46">
        <f t="shared" ca="1" si="13"/>
        <v>7.2567783043174516E-5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input_505010!A$2</f>
        <v>505010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IFERROR(VLOOKUP(B297,input_505010!L:R,7,FALSE),VLOOKUP(tables_505010!C297,input_505010!A:H,8,FALSE))</f>
        <v>577866.66666999995</v>
      </c>
      <c r="P297" s="46">
        <f t="shared" ca="1" si="13"/>
        <v>9.3144208038332277E-3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input_505010!A$2</f>
        <v>505010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IFERROR(VLOOKUP(B298,input_505010!L:R,7,FALSE),VLOOKUP(tables_505010!C298,input_505010!A:H,8,FALSE))</f>
        <v>36850</v>
      </c>
      <c r="P298" s="46">
        <f t="shared" ca="1" si="13"/>
        <v>5.9397163120548198E-4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input_505010!A$2</f>
        <v>505010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IFERROR(VLOOKUP(B299,input_505010!L:R,7,FALSE),VLOOKUP(tables_505010!C299,input_505010!A:H,8,FALSE))</f>
        <v>4502.1052600000003</v>
      </c>
      <c r="P299" s="46">
        <f t="shared" ca="1" si="13"/>
        <v>7.2567783043174516E-5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input_505010!A$2</f>
        <v>505010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IFERROR(VLOOKUP(B300,input_505010!L:R,7,FALSE),VLOOKUP(tables_505010!C300,input_505010!A:H,8,FALSE))</f>
        <v>4502.1052600000003</v>
      </c>
      <c r="P300" s="46">
        <f t="shared" ca="1" si="13"/>
        <v>7.2567783043174516E-5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input_505010!A$2</f>
        <v>505010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IFERROR(VLOOKUP(B301,input_505010!L:R,7,FALSE),VLOOKUP(tables_505010!C301,input_505010!A:H,8,FALSE))</f>
        <v>4502.1052600000003</v>
      </c>
      <c r="P301" s="46">
        <f t="shared" ca="1" si="13"/>
        <v>7.2567783043174516E-5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input_505010!A$2</f>
        <v>505010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IFERROR(VLOOKUP(B302,input_505010!L:R,7,FALSE),VLOOKUP(tables_505010!C302,input_505010!A:H,8,FALSE))</f>
        <v>4502.1052600000003</v>
      </c>
      <c r="P302" s="46">
        <f t="shared" ca="1" si="13"/>
        <v>7.2567783043174516E-5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input_505010!A$2</f>
        <v>505010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IFERROR(VLOOKUP(B303,input_505010!L:R,7,FALSE),VLOOKUP(tables_505010!C303,input_505010!A:H,8,FALSE))</f>
        <v>577866.66666999995</v>
      </c>
      <c r="P303" s="46">
        <f t="shared" ca="1" si="13"/>
        <v>9.3144208038332277E-3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input_505010!A$2</f>
        <v>505010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IFERROR(VLOOKUP(B304,input_505010!L:R,7,FALSE),VLOOKUP(tables_505010!C304,input_505010!A:H,8,FALSE))</f>
        <v>36850</v>
      </c>
      <c r="P304" s="46">
        <f t="shared" ca="1" si="13"/>
        <v>5.9397163120548198E-4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input_505010!A$2</f>
        <v>505010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IFERROR(VLOOKUP(B305,input_505010!L:R,7,FALSE),VLOOKUP(tables_505010!C305,input_505010!A:H,8,FALSE))</f>
        <v>4502.1052600000003</v>
      </c>
      <c r="P305" s="46">
        <f t="shared" ca="1" si="13"/>
        <v>7.2567783043174516E-5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input_505010!A$2</f>
        <v>505010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IFERROR(VLOOKUP(B306,input_505010!L:R,7,FALSE),VLOOKUP(tables_505010!C306,input_505010!A:H,8,FALSE))</f>
        <v>577866.66666999995</v>
      </c>
      <c r="P306" s="46">
        <f t="shared" ca="1" si="13"/>
        <v>9.3144208038332277E-3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input_505010!A$2</f>
        <v>505010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IFERROR(VLOOKUP(B307,input_505010!L:R,7,FALSE),VLOOKUP(tables_505010!C307,input_505010!A:H,8,FALSE))</f>
        <v>36850</v>
      </c>
      <c r="P307" s="46">
        <f t="shared" ca="1" si="13"/>
        <v>5.9397163120548198E-4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input_505010!A$2</f>
        <v>505010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IFERROR(VLOOKUP(B308,input_505010!L:R,7,FALSE),VLOOKUP(tables_505010!C308,input_505010!A:H,8,FALSE))</f>
        <v>4502.1052600000003</v>
      </c>
      <c r="P308" s="46">
        <f t="shared" ca="1" si="13"/>
        <v>7.2567783043174516E-5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input_505010!A$2</f>
        <v>505010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IFERROR(VLOOKUP(B309,input_505010!L:R,7,FALSE),VLOOKUP(tables_505010!C309,input_505010!A:H,8,FALSE))</f>
        <v>4502.1052600000003</v>
      </c>
      <c r="P309" s="46">
        <f t="shared" ca="1" si="13"/>
        <v>7.2567783043174516E-5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input_505010!A$2</f>
        <v>505010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IFERROR(VLOOKUP(B310,input_505010!L:R,7,FALSE),VLOOKUP(tables_505010!C310,input_505010!A:H,8,FALSE))</f>
        <v>4502.1052600000003</v>
      </c>
      <c r="P310" s="46">
        <f t="shared" ca="1" si="13"/>
        <v>7.2567783043174516E-5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input_505010!A$2</f>
        <v>505010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IFERROR(VLOOKUP(B311,input_505010!L:R,7,FALSE),VLOOKUP(tables_505010!C311,input_505010!A:H,8,FALSE))</f>
        <v>577866.66666999995</v>
      </c>
      <c r="P311" s="46">
        <f t="shared" ca="1" si="13"/>
        <v>9.3144208038332277E-3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input_505010!A$2</f>
        <v>505010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IFERROR(VLOOKUP(B312,input_505010!L:R,7,FALSE),VLOOKUP(tables_505010!C312,input_505010!A:H,8,FALSE))</f>
        <v>36850</v>
      </c>
      <c r="P312" s="46">
        <f t="shared" ca="1" si="13"/>
        <v>5.9397163120548198E-4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input_505010!A$2</f>
        <v>505010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IFERROR(VLOOKUP(B313,input_505010!L:R,7,FALSE),VLOOKUP(tables_505010!C313,input_505010!A:H,8,FALSE))</f>
        <v>4502.1052600000003</v>
      </c>
      <c r="P313" s="46">
        <f t="shared" ca="1" si="13"/>
        <v>7.2567783043174516E-5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input_505010!A$2</f>
        <v>505010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IFERROR(VLOOKUP(B314,input_505010!L:R,7,FALSE),VLOOKUP(tables_505010!C314,input_505010!A:H,8,FALSE))</f>
        <v>4502.1052600000003</v>
      </c>
      <c r="P314" s="46">
        <f t="shared" ca="1" si="13"/>
        <v>7.2567783043174516E-5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input_505010!A$2</f>
        <v>505010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IFERROR(VLOOKUP(B315,input_505010!L:R,7,FALSE),VLOOKUP(tables_505010!C315,input_505010!A:H,8,FALSE))</f>
        <v>4502.1052600000003</v>
      </c>
      <c r="P315" s="46">
        <f t="shared" ca="1" si="13"/>
        <v>7.2567783043174516E-5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input_505010!A$2</f>
        <v>505010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IFERROR(VLOOKUP(B316,input_505010!L:R,7,FALSE),VLOOKUP(tables_505010!C316,input_505010!A:H,8,FALSE))</f>
        <v>4502.1052600000003</v>
      </c>
      <c r="P316" s="46">
        <f t="shared" ca="1" si="13"/>
        <v>7.2567783043174516E-5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input_505010!A$2</f>
        <v>505010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IFERROR(VLOOKUP(B317,input_505010!L:R,7,FALSE),VLOOKUP(tables_505010!C317,input_505010!A:H,8,FALSE))</f>
        <v>4502.1052600000003</v>
      </c>
      <c r="P317" s="46">
        <f t="shared" ca="1" si="13"/>
        <v>7.2567783043174516E-5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input_505010!A$2</f>
        <v>505010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IFERROR(VLOOKUP(B318,input_505010!L:R,7,FALSE),VLOOKUP(tables_505010!C318,input_505010!A:H,8,FALSE))</f>
        <v>577866.66666999995</v>
      </c>
      <c r="P318" s="46">
        <f t="shared" ca="1" si="13"/>
        <v>9.3144208038332277E-3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input_505010!A$2</f>
        <v>505010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IFERROR(VLOOKUP(B319,input_505010!L:R,7,FALSE),VLOOKUP(tables_505010!C319,input_505010!A:H,8,FALSE))</f>
        <v>36850</v>
      </c>
      <c r="P319" s="46">
        <f t="shared" ca="1" si="13"/>
        <v>5.9397163120548198E-4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input_505010!A$2</f>
        <v>505010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IFERROR(VLOOKUP(B320,input_505010!L:R,7,FALSE),VLOOKUP(tables_505010!C320,input_505010!A:H,8,FALSE))</f>
        <v>4502.1052600000003</v>
      </c>
      <c r="P320" s="46">
        <f t="shared" ca="1" si="13"/>
        <v>7.2567783043174516E-5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input_505010!A$2</f>
        <v>505010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IFERROR(VLOOKUP(B321,input_505010!L:R,7,FALSE),VLOOKUP(tables_505010!C321,input_505010!A:H,8,FALSE))</f>
        <v>4502.1052600000003</v>
      </c>
      <c r="P321" s="46">
        <f t="shared" ca="1" si="13"/>
        <v>7.2567783043174516E-5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input_505010!A$2</f>
        <v>505010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IFERROR(VLOOKUP(B322,input_505010!L:R,7,FALSE),VLOOKUP(tables_505010!C322,input_505010!A:H,8,FALSE))</f>
        <v>4502.1052600000003</v>
      </c>
      <c r="P322" s="46">
        <f t="shared" ref="P322:P330" ca="1" si="23">O322/SUM(O:O)</f>
        <v>7.2567783043174516E-5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input_505010!A$2</f>
        <v>505010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IFERROR(VLOOKUP(B323,input_505010!L:R,7,FALSE),VLOOKUP(tables_505010!C323,input_505010!A:H,8,FALSE))</f>
        <v>4502.1052600000003</v>
      </c>
      <c r="P323" s="46">
        <f t="shared" ca="1" si="23"/>
        <v>7.2567783043174516E-5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input_505010!A$2</f>
        <v>505010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IFERROR(VLOOKUP(B324,input_505010!L:R,7,FALSE),VLOOKUP(tables_505010!C324,input_505010!A:H,8,FALSE))</f>
        <v>577866.66666999995</v>
      </c>
      <c r="P324" s="46">
        <f t="shared" ca="1" si="23"/>
        <v>9.3144208038332277E-3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input_505010!A$2</f>
        <v>505010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IFERROR(VLOOKUP(B325,input_505010!L:R,7,FALSE),VLOOKUP(tables_505010!C325,input_505010!A:H,8,FALSE))</f>
        <v>36850</v>
      </c>
      <c r="P325" s="46">
        <f t="shared" ca="1" si="23"/>
        <v>5.9397163120548198E-4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input_505010!A$2</f>
        <v>505010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IFERROR(VLOOKUP(B326,input_505010!L:R,7,FALSE),VLOOKUP(tables_505010!C326,input_505010!A:H,8,FALSE))</f>
        <v>577866.66666999995</v>
      </c>
      <c r="P326" s="46">
        <f t="shared" ca="1" si="23"/>
        <v>9.3144208038332277E-3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input_505010!A$2</f>
        <v>505010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IFERROR(VLOOKUP(B327,input_505010!L:R,7,FALSE),VLOOKUP(tables_505010!C327,input_505010!A:H,8,FALSE))</f>
        <v>36850</v>
      </c>
      <c r="P327" s="46">
        <f t="shared" ca="1" si="23"/>
        <v>5.9397163120548198E-4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input_505010!A$2</f>
        <v>505010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IFERROR(VLOOKUP(B328,input_505010!L:R,7,FALSE),VLOOKUP(tables_505010!C328,input_505010!A:H,8,FALSE))</f>
        <v>4502.1052600000003</v>
      </c>
      <c r="P328" s="46">
        <f t="shared" ca="1" si="23"/>
        <v>7.2567783043174516E-5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input_505010!A$2</f>
        <v>505010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IFERROR(VLOOKUP(B329,input_505010!L:R,7,FALSE),VLOOKUP(tables_505010!C329,input_505010!A:H,8,FALSE))</f>
        <v>4502.1052600000003</v>
      </c>
      <c r="P329" s="46">
        <f t="shared" ca="1" si="23"/>
        <v>7.2567783043174516E-5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input_505010!A$2</f>
        <v>505010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IFERROR(VLOOKUP(B330,input_505010!L:R,7,FALSE),VLOOKUP(tables_505010!C330,input_505010!A:H,8,FALSE))</f>
        <v>4502.1052600000003</v>
      </c>
      <c r="P330" s="46">
        <f t="shared" ca="1" si="23"/>
        <v>7.2567783043174516E-5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input_505010!A$2</f>
        <v>505010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IFERROR(VLOOKUP(B331,input_505010!L:R,7,FALSE),VLOOKUP(tables_505010!C331,input_505010!A:H,8,FALSE))</f>
        <v>4502.1052600000003</v>
      </c>
      <c r="P331" s="46">
        <f t="shared" ref="P331:P335" ca="1" si="28">O331/SUM(O:O)</f>
        <v>7.2567783043174516E-5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input_505010!A$2</f>
        <v>505010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IFERROR(VLOOKUP(B332,input_505010!L:R,7,FALSE),VLOOKUP(tables_505010!C332,input_505010!A:H,8,FALSE))</f>
        <v>4502.1052600000003</v>
      </c>
      <c r="P332" s="46">
        <f t="shared" ca="1" si="28"/>
        <v>7.2567783043174516E-5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input_505010!A$2</f>
        <v>505010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IFERROR(VLOOKUP(B333,input_505010!L:R,7,FALSE),VLOOKUP(tables_505010!C333,input_505010!A:H,8,FALSE))</f>
        <v>4502.1052600000003</v>
      </c>
      <c r="P333" s="46">
        <f t="shared" ca="1" si="28"/>
        <v>7.2567783043174516E-5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input_505010!A$2</f>
        <v>505010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IFERROR(VLOOKUP(B334,input_505010!L:R,7,FALSE),VLOOKUP(tables_505010!C334,input_505010!A:H,8,FALSE))</f>
        <v>577866.66666999995</v>
      </c>
      <c r="P334" s="46">
        <f t="shared" ca="1" si="28"/>
        <v>9.3144208038332277E-3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input_505010!A$2</f>
        <v>505010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IFERROR(VLOOKUP(B335,input_505010!L:R,7,FALSE),VLOOKUP(tables_505010!C335,input_505010!A:H,8,FALSE))</f>
        <v>36850</v>
      </c>
      <c r="P335" s="46">
        <f t="shared" ca="1" si="28"/>
        <v>5.9397163120548198E-4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input_505010!A$2</f>
        <v>505010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IFERROR(VLOOKUP(B336,input_505010!L:R,7,FALSE),VLOOKUP(tables_505010!C336,input_505010!A:H,8,FALSE))</f>
        <v>577866.66666999995</v>
      </c>
      <c r="P336" s="46">
        <f t="shared" ref="P336:P340" ca="1" si="31">O336/SUM(O:O)</f>
        <v>9.3144208038332277E-3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input_505010!A$2</f>
        <v>505010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IFERROR(VLOOKUP(B337,input_505010!L:R,7,FALSE),VLOOKUP(tables_505010!C337,input_505010!A:H,8,FALSE))</f>
        <v>36850</v>
      </c>
      <c r="P337" s="46">
        <f t="shared" ca="1" si="31"/>
        <v>5.9397163120548198E-4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input_505010!A$2</f>
        <v>505010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IFERROR(VLOOKUP(B338,input_505010!L:R,7,FALSE),VLOOKUP(tables_505010!C338,input_505010!A:H,8,FALSE))</f>
        <v>4502.1052600000003</v>
      </c>
      <c r="P338" s="46">
        <f t="shared" ca="1" si="31"/>
        <v>7.2567783043174516E-5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input_505010!A$2</f>
        <v>505010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IFERROR(VLOOKUP(B339,input_505010!L:R,7,FALSE),VLOOKUP(tables_505010!C339,input_505010!A:H,8,FALSE))</f>
        <v>4502.1052600000003</v>
      </c>
      <c r="P339" s="46">
        <f t="shared" ca="1" si="31"/>
        <v>7.2567783043174516E-5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input_505010!A$2</f>
        <v>505010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IFERROR(VLOOKUP(B340,input_505010!L:R,7,FALSE),VLOOKUP(tables_505010!C340,input_505010!A:H,8,FALSE))</f>
        <v>4502.1052600000003</v>
      </c>
      <c r="P340" s="46">
        <f t="shared" ca="1" si="31"/>
        <v>7.2567783043174516E-5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input_505010!A$2</f>
        <v>505010</v>
      </c>
      <c r="B341" s="99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IFERROR(VLOOKUP(B341,input_505010!L:R,7,FALSE),VLOOKUP(tables_505010!C341,input_505010!A:H,8,FALSE))</f>
        <v>4502.1052600000003</v>
      </c>
      <c r="P341" s="46">
        <f t="shared" ref="P341:P342" ca="1" si="34">O341/SUM(O:O)</f>
        <v>7.2567783043174516E-5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input_505010!A$2</f>
        <v>505010</v>
      </c>
      <c r="B342" s="99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IFERROR(VLOOKUP(B342,input_505010!L:R,7,FALSE),VLOOKUP(tables_505010!C342,input_505010!A:H,8,FALSE))</f>
        <v>4502.1052600000003</v>
      </c>
      <c r="P342" s="46">
        <f t="shared" ca="1" si="34"/>
        <v>7.2567783043174516E-5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input_505010!A$2</f>
        <v>505010</v>
      </c>
      <c r="B343" s="99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IFERROR(VLOOKUP(B343,input_505010!L:R,7,FALSE),VLOOKUP(tables_505010!C343,input_505010!A:H,8,FALSE))</f>
        <v>577866.66666999995</v>
      </c>
      <c r="P343" s="46">
        <f t="shared" ref="P343:P347" ca="1" si="37">O343/SUM(O:O)</f>
        <v>9.3144208038332277E-3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input_505010!A$2</f>
        <v>505010</v>
      </c>
      <c r="B344" s="99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IFERROR(VLOOKUP(B344,input_505010!L:R,7,FALSE),VLOOKUP(tables_505010!C344,input_505010!A:H,8,FALSE))</f>
        <v>36850</v>
      </c>
      <c r="P344" s="46">
        <f t="shared" ca="1" si="37"/>
        <v>5.9397163120548198E-4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input_505010!A$2</f>
        <v>505010</v>
      </c>
      <c r="B345" s="99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IFERROR(VLOOKUP(B345,input_505010!L:R,7,FALSE),VLOOKUP(tables_505010!C345,input_505010!A:H,8,FALSE))</f>
        <v>4502.1052600000003</v>
      </c>
      <c r="P345" s="46">
        <f t="shared" ca="1" si="37"/>
        <v>7.2567783043174516E-5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input_505010!A$2</f>
        <v>505010</v>
      </c>
      <c r="B346" s="1">
        <v>8009</v>
      </c>
      <c r="C346" s="7" t="str">
        <f t="shared" si="35"/>
        <v>PremiumSS5R5only</v>
      </c>
      <c r="D346" s="9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西王娘娘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不明</v>
      </c>
      <c r="O346" s="45">
        <f>IFERROR(VLOOKUP(B346,input_505010!L:R,7,FALSE),VLOOKUP(tables_505010!C346,input_505010!A:H,8,FALSE))</f>
        <v>1240800</v>
      </c>
      <c r="P346" s="46">
        <f t="shared" ca="1" si="37"/>
        <v>1.9999999999993544E-2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input_505010!A$2</f>
        <v>505010</v>
      </c>
      <c r="B347" s="1">
        <v>8031</v>
      </c>
      <c r="C347" s="7" t="str">
        <f t="shared" si="35"/>
        <v>PremiumSS5R5only</v>
      </c>
      <c r="D347" s="9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閻羅王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balance</v>
      </c>
      <c r="M347" s="7" t="str">
        <f>VLOOKUP(B347,[1]characters!$A:$M,13,FALSE)</f>
        <v>god</v>
      </c>
      <c r="N347" s="7" t="str">
        <f>VLOOKUP(B347,[1]characters!$A:$G,7,FALSE)</f>
        <v>女性</v>
      </c>
      <c r="O347" s="45">
        <f>IFERROR(VLOOKUP(B347,input_505010!L:R,7,FALSE),VLOOKUP(tables_505010!C347,input_505010!A:H,8,FALSE))</f>
        <v>1240800</v>
      </c>
      <c r="P347" s="46">
        <f t="shared" ca="1" si="37"/>
        <v>1.9999999999993544E-2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G37" sqref="G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8009</v>
      </c>
      <c r="M3" s="37" t="str">
        <f>VLOOKUP(L3,[1]characters!$A:$C,3,FALSE)</f>
        <v>西王娘娘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VLOOKUP(L3,tables_505100!B:C,2,FALSE)</f>
        <v>PremiumSS5R5only</v>
      </c>
      <c r="R3" s="62">
        <f t="shared" ref="R3:R20" si="1">N3*A$36</f>
        <v>1240800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8031</v>
      </c>
      <c r="M4" s="37" t="str">
        <f>VLOOKUP(L4,[1]characters!$A:$C,3,FALSE)</f>
        <v>閻羅王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VLOOKUP(L4,tables_505100!B:C,2,FALSE)</f>
        <v>PremiumSS5R5only</v>
      </c>
      <c r="R4" s="62">
        <f t="shared" si="1"/>
        <v>1240800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1.5151515151515154E-4</v>
      </c>
      <c r="F5">
        <f>(COUNTIF(tables_505100!C:C,input_505100!A28)+COUNTIF(tables_505100!C:C,input_505100!A29))</f>
        <v>68</v>
      </c>
      <c r="H5" s="84">
        <v>0.04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1.0106382978723403E-2</v>
      </c>
      <c r="F6">
        <f>(COUNTIF(tables_505100!C:C,input_505100!A25)+COUNTIF(tables_505100!C:C,input_505100!A18)+COUNTIF(tables_505100!C:C,input_505100!A20)+COUNTIF(tables_505100!C:C,input_505100!A22))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0.04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COUNTIF(tables_505100!C:C,input_505100!A17)-COUNTIF(Q:Q,A17)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E$6*E18-B17+E34+0.02-G49</f>
        <v>0.23616054158235966</v>
      </c>
      <c r="C18" s="85">
        <f t="shared" si="2"/>
        <v>0</v>
      </c>
      <c r="D18" s="74">
        <f t="shared" si="3"/>
        <v>0.23616054158235966</v>
      </c>
      <c r="E18">
        <f>COUNTIF(tables_505100!C:C,input_505100!A18)-COUNTIF(Q:Q,A18)</f>
        <v>20</v>
      </c>
      <c r="F18" s="43">
        <f>IFERROR(B18/E18,0)</f>
        <v>1.1808027079117983E-2</v>
      </c>
      <c r="G18">
        <f t="shared" si="4"/>
        <v>14651399.999769593</v>
      </c>
      <c r="H18">
        <f t="shared" si="5"/>
        <v>732569.99999000004</v>
      </c>
      <c r="I18">
        <f t="shared" si="6"/>
        <v>0.99999000004027039</v>
      </c>
      <c r="J18">
        <f t="shared" si="7"/>
        <v>1.0000100000597298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COUNTIF(tables_505100!C:C,input_505100!A19)-COUNTIF(Q:Q,A19)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0.45297872340425527</v>
      </c>
      <c r="C20" s="85">
        <f t="shared" si="2"/>
        <v>0</v>
      </c>
      <c r="D20" s="74">
        <f t="shared" si="3"/>
        <v>0.45297872340425527</v>
      </c>
      <c r="E20">
        <f>COUNTIF(tables_505100!C:C,input_505100!A20)-COUNTIF(Q:Q,A20)</f>
        <v>52</v>
      </c>
      <c r="F20" s="43">
        <f t="shared" si="8"/>
        <v>8.7111292962356781E-3</v>
      </c>
      <c r="G20">
        <f t="shared" si="4"/>
        <v>28102799.999999996</v>
      </c>
      <c r="H20">
        <f t="shared" si="5"/>
        <v>540438.46154000005</v>
      </c>
      <c r="I20">
        <f t="shared" si="6"/>
        <v>0.4615400000475347</v>
      </c>
      <c r="J20">
        <f t="shared" si="7"/>
        <v>2.1666594442453708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3.8520309477756288E-2</v>
      </c>
      <c r="C21" s="85">
        <f t="shared" si="2"/>
        <v>0</v>
      </c>
      <c r="D21" s="74">
        <f t="shared" si="3"/>
        <v>3.8520309477756288E-2</v>
      </c>
      <c r="E21">
        <f>COUNTIF(tables_505100!C:C,input_505100!A21)-COUNTIF(Q:Q,A21)</f>
        <v>52</v>
      </c>
      <c r="F21" s="43">
        <f t="shared" si="8"/>
        <v>7.40775182264544E-4</v>
      </c>
      <c r="G21">
        <f t="shared" si="4"/>
        <v>2389800</v>
      </c>
      <c r="H21">
        <f t="shared" si="5"/>
        <v>45957.692309999999</v>
      </c>
      <c r="I21">
        <f t="shared" si="6"/>
        <v>0.69230999999854248</v>
      </c>
      <c r="J21">
        <f t="shared" si="7"/>
        <v>1.4444396296487199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0.1676595744680851</v>
      </c>
      <c r="C22" s="85">
        <f t="shared" si="2"/>
        <v>0</v>
      </c>
      <c r="D22" s="74">
        <f t="shared" si="3"/>
        <v>0.1676595744680851</v>
      </c>
      <c r="E22">
        <f>COUNTIF(tables_505100!C:C,input_505100!A22)-COUNTIF(Q:Q,A22)</f>
        <v>18</v>
      </c>
      <c r="F22" s="43">
        <f t="shared" si="8"/>
        <v>9.3144208037825062E-3</v>
      </c>
      <c r="G22">
        <f t="shared" si="4"/>
        <v>10401600</v>
      </c>
      <c r="H22">
        <f t="shared" si="5"/>
        <v>577866.66666999995</v>
      </c>
      <c r="I22">
        <f t="shared" si="6"/>
        <v>0.66666999994777143</v>
      </c>
      <c r="J22">
        <f t="shared" si="7"/>
        <v>1.499992500155013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1.4255319148936166E-2</v>
      </c>
      <c r="C23" s="85">
        <f t="shared" si="2"/>
        <v>0</v>
      </c>
      <c r="D23" s="74">
        <f t="shared" si="3"/>
        <v>1.4255319148936166E-2</v>
      </c>
      <c r="E23">
        <f>COUNTIF(tables_505100!C:C,input_505100!A23)-COUNTIF(Q:Q,A23)</f>
        <v>24</v>
      </c>
      <c r="F23" s="43">
        <f t="shared" si="8"/>
        <v>5.9397163120567355E-4</v>
      </c>
      <c r="G23">
        <f t="shared" si="4"/>
        <v>884399.99999999977</v>
      </c>
      <c r="H23">
        <f t="shared" si="5"/>
        <v>36850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COUNTIF(tables_505100!C:C,input_505100!A24)-COUNTIF(Q:Q,A24)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3.638297872340425E-2</v>
      </c>
      <c r="C25" s="85">
        <f t="shared" si="2"/>
        <v>0</v>
      </c>
      <c r="D25" s="74">
        <f t="shared" si="3"/>
        <v>3.638297872340425E-2</v>
      </c>
      <c r="E25">
        <f>COUNTIF(tables_505100!C:C,input_505100!A25)-COUNTIF(Q:Q,A25)</f>
        <v>4</v>
      </c>
      <c r="F25" s="43">
        <f t="shared" si="8"/>
        <v>9.0957446808510624E-3</v>
      </c>
      <c r="G25">
        <f t="shared" si="4"/>
        <v>2257199.9999999995</v>
      </c>
      <c r="H25">
        <f t="shared" si="5"/>
        <v>564300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4.0425531914893616E-3</v>
      </c>
      <c r="C26" s="85">
        <f t="shared" si="2"/>
        <v>0</v>
      </c>
      <c r="D26" s="74">
        <f t="shared" si="3"/>
        <v>4.0425531914893616E-3</v>
      </c>
      <c r="E26">
        <f>COUNTIF(tables_505100!C:C,input_505100!A26)-COUNTIF(Q:Q,A26)</f>
        <v>4</v>
      </c>
      <c r="F26" s="43">
        <f t="shared" si="8"/>
        <v>1.0106382978723404E-3</v>
      </c>
      <c r="G26">
        <f t="shared" si="4"/>
        <v>250800</v>
      </c>
      <c r="H26">
        <f t="shared" si="5"/>
        <v>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6.8181818183502847E-3</v>
      </c>
      <c r="C27" s="85">
        <f t="shared" si="2"/>
        <v>0</v>
      </c>
      <c r="D27" s="74">
        <f t="shared" si="3"/>
        <v>6.8181818183502847E-3</v>
      </c>
      <c r="E27">
        <f>COUNTIF(tables_505100!C:C,input_505100!A27)-COUNTIF(Q:Q,A27)</f>
        <v>28</v>
      </c>
      <c r="F27" s="43">
        <f>IFERROR(B27/E27,0)</f>
        <v>2.4350649351251018E-4</v>
      </c>
      <c r="G27">
        <f t="shared" si="4"/>
        <v>423000.00001045165</v>
      </c>
      <c r="H27">
        <f t="shared" si="5"/>
        <v>15107.14286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4.2424242424242431E-4</v>
      </c>
      <c r="C28" s="85">
        <f t="shared" si="2"/>
        <v>0</v>
      </c>
      <c r="D28" s="74">
        <f t="shared" si="3"/>
        <v>4.2424242424242431E-4</v>
      </c>
      <c r="E28">
        <f>COUNTIF(tables_505100!C:C,input_505100!A28)-COUNTIF(Q:Q,A28)</f>
        <v>28</v>
      </c>
      <c r="F28" s="43">
        <f t="shared" si="8"/>
        <v>1.5151515151515155E-5</v>
      </c>
      <c r="G28">
        <f t="shared" si="4"/>
        <v>26320.000000000004</v>
      </c>
      <c r="H28">
        <f t="shared" si="5"/>
        <v>940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E$5*E29-0.003</f>
        <v>2.7575757575757582E-3</v>
      </c>
      <c r="C29" s="85">
        <f t="shared" si="2"/>
        <v>0.04</v>
      </c>
      <c r="D29" s="74">
        <f t="shared" si="3"/>
        <v>-3.7242424242424244E-2</v>
      </c>
      <c r="E29">
        <f>COUNTIF(tables_505100!C:C,input_505100!A29)-COUNTIF(Q:Q,A29)</f>
        <v>38</v>
      </c>
      <c r="F29" s="43">
        <f t="shared" si="8"/>
        <v>7.2567783094098896E-5</v>
      </c>
      <c r="G29">
        <f t="shared" si="4"/>
        <v>171080.00000000003</v>
      </c>
      <c r="H29">
        <f t="shared" si="5"/>
        <v>4502.1052600000003</v>
      </c>
      <c r="I29">
        <f t="shared" si="6"/>
        <v>0.10526000000027125</v>
      </c>
      <c r="J29">
        <f t="shared" si="7"/>
        <v>9.5002850085257755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COUNTIF(tables_505100!C:C,input_505100!A30)-COUNTIF(Q:Q,A30)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COUNTIF(tables_505100!C:C,input_505100!A31)-COUNTIF(Q:Q,A31)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0.95999999999645458</v>
      </c>
      <c r="C32" s="41">
        <f>SUM(C19:C31)</f>
        <v>0.04</v>
      </c>
      <c r="D32" s="42">
        <f t="shared" si="3"/>
        <v>0.91999999999645454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-0.45000000000032264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SUMIF(tables_505100!C:C,input_505100!A40,tables_505100!O:O)</f>
        <v>0</v>
      </c>
      <c r="C40" s="54">
        <f t="shared" ref="C40:C46" ca="1" si="9">B40/B$47</f>
        <v>0</v>
      </c>
      <c r="E40">
        <v>3</v>
      </c>
      <c r="F40">
        <f ca="1">SUMIF(tables_505100!J:J,input_505100!E40,tables_505100!O:O)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SUMIF(tables_505100!C:C,input_505100!A41,tables_505100!O:O)</f>
        <v>28102800.000079986</v>
      </c>
      <c r="C41" s="54">
        <f t="shared" ca="1" si="9"/>
        <v>0.90824357376095899</v>
      </c>
      <c r="E41">
        <v>4</v>
      </c>
      <c r="F41">
        <f ca="1">SUMIF(tables_505100!J:J,input_505100!E41,tables_505100!O:O)</f>
        <v>55836000.00002002</v>
      </c>
      <c r="G41">
        <f ca="1">F41/A36</f>
        <v>0.90000000000032265</v>
      </c>
    </row>
    <row r="42" spans="1:7" x14ac:dyDescent="0.15">
      <c r="A42" s="33" t="s">
        <v>106</v>
      </c>
      <c r="B42">
        <f ca="1">SUMIF(tables_505100!C:C,input_505100!A42,tables_505100!O:O)</f>
        <v>423000.00008000014</v>
      </c>
      <c r="C42" s="54">
        <f t="shared" ca="1" si="9"/>
        <v>1.3670774149638177E-2</v>
      </c>
      <c r="E42">
        <v>5</v>
      </c>
      <c r="F42">
        <f ca="1">SUMIF(tables_505100!J:J,input_505100!E42,tables_505100!O:O)</f>
        <v>6204000.0000000028</v>
      </c>
      <c r="G42">
        <f ca="1">F42/A36</f>
        <v>0.10000000000000005</v>
      </c>
    </row>
    <row r="43" spans="1:7" x14ac:dyDescent="0.15">
      <c r="A43" s="33" t="s">
        <v>109</v>
      </c>
      <c r="B43">
        <f>SUMIF(tables_505100!C:C,input_505100!A43,tables_505100!O:O)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SUMIF(tables_505100!C:C,input_505100!A44,tables_505100!O:O)</f>
        <v>2389800.00012</v>
      </c>
      <c r="C44" s="54">
        <f t="shared" ca="1" si="9"/>
        <v>7.7235026142475169E-2</v>
      </c>
      <c r="E44" t="s">
        <v>54</v>
      </c>
      <c r="F44" s="55"/>
    </row>
    <row r="45" spans="1:7" x14ac:dyDescent="0.15">
      <c r="A45" s="33" t="s">
        <v>107</v>
      </c>
      <c r="B45">
        <f ca="1">SUMIF(tables_505100!C:C,input_505100!A45,tables_505100!O:O)</f>
        <v>26320</v>
      </c>
      <c r="C45" s="54">
        <f t="shared" ca="1" si="9"/>
        <v>8.5062594692772258E-4</v>
      </c>
      <c r="E45" t="s">
        <v>204</v>
      </c>
      <c r="F45" s="55">
        <f ca="1">SUMIF(tables_505100!I:I,input_505100!E45,tables_505100!P:P)</f>
        <v>0.23972437137000632</v>
      </c>
    </row>
    <row r="46" spans="1:7" x14ac:dyDescent="0.15">
      <c r="A46" s="33" t="s">
        <v>108</v>
      </c>
      <c r="B46">
        <f>SUMIF(tables_505100!C:C,input_505100!A46,tables_505100!O:O)</f>
        <v>0</v>
      </c>
      <c r="C46" s="54">
        <f t="shared" ca="1" si="9"/>
        <v>0</v>
      </c>
      <c r="E46" t="s">
        <v>205</v>
      </c>
      <c r="F46" s="55">
        <f ca="1">SUMIF(tables_505100!I:I,input_505100!E46,tables_505100!P:P)</f>
        <v>0.19100152507166634</v>
      </c>
    </row>
    <row r="47" spans="1:7" x14ac:dyDescent="0.15">
      <c r="A47" s="39" t="s">
        <v>59</v>
      </c>
      <c r="B47">
        <f ca="1">SUM(B40:B46)</f>
        <v>30941920.000279985</v>
      </c>
      <c r="C47" s="55">
        <f ca="1">SUM(C40:C46)</f>
        <v>1</v>
      </c>
      <c r="E47" t="s">
        <v>206</v>
      </c>
      <c r="F47" s="55">
        <f ca="1">SUMIF(tables_505100!I:I,input_505100!E47,tables_505100!P:P)</f>
        <v>0.51927410355898773</v>
      </c>
    </row>
    <row r="48" spans="1:7" x14ac:dyDescent="0.15">
      <c r="E48" t="s">
        <v>207</v>
      </c>
      <c r="F48" s="55">
        <f ca="1">SUMIF(tables_505100!I:I,input_505100!E48,tables_505100!P:P)</f>
        <v>4.9492025518036893E-2</v>
      </c>
      <c r="G48" s="55">
        <f ca="1">0.05-F48-F49</f>
        <v>6.6088801098374006E-13</v>
      </c>
    </row>
    <row r="49" spans="5:7" x14ac:dyDescent="0.15">
      <c r="E49" t="s">
        <v>251</v>
      </c>
      <c r="F49" s="55">
        <f ca="1">SUMIF(tables_505100!I:I,input_505100!E49,tables_505100!P:P)</f>
        <v>5.0797448130222161E-4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10" activePane="bottomLeft" state="frozen"/>
      <selection activeCell="D34" sqref="D34"/>
      <selection pane="bottomLeft" activeCell="B346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input_505100!A$2</f>
        <v>505100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IFERROR(VLOOKUP(B2,input_505100!L:R,7,FALSE),VLOOKUP(tables_505100!C2,input_505100!A:H,8,FALSE))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input_505100!A$2</f>
        <v>505100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IFERROR(VLOOKUP(B3,input_505100!L:R,7,FALSE),VLOOKUP(tables_505100!C3,input_505100!A:H,8,FALSE))</f>
        <v>732569.99999000004</v>
      </c>
      <c r="P3" s="46">
        <f t="shared" ca="1" si="1"/>
        <v>1.1808027079138677E-2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input_505100!A$2</f>
        <v>505100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IFERROR(VLOOKUP(B4,input_505100!L:R,7,FALSE),VLOOKUP(tables_505100!C4,input_505100!A:H,8,FALSE))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input_505100!A$2</f>
        <v>505100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IFERROR(VLOOKUP(B5,input_505100!L:R,7,FALSE),VLOOKUP(tables_505100!C5,input_505100!A:H,8,FALSE))</f>
        <v>732569.99999000004</v>
      </c>
      <c r="P5" s="46">
        <f t="shared" ca="1" si="1"/>
        <v>1.1808027079138677E-2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input_505100!A$2</f>
        <v>505100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IFERROR(VLOOKUP(B6,input_505100!L:R,7,FALSE),VLOOKUP(tables_505100!C6,input_505100!A:H,8,FALSE))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input_505100!A$2</f>
        <v>505100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IFERROR(VLOOKUP(B7,input_505100!L:R,7,FALSE),VLOOKUP(tables_505100!C7,input_505100!A:H,8,FALSE))</f>
        <v>732569.99999000004</v>
      </c>
      <c r="P7" s="46">
        <f t="shared" ca="1" si="1"/>
        <v>1.1808027079138677E-2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input_505100!A$2</f>
        <v>505100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IFERROR(VLOOKUP(B8,input_505100!L:R,7,FALSE),VLOOKUP(tables_505100!C8,input_505100!A:H,8,FALSE))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input_505100!A$2</f>
        <v>505100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IFERROR(VLOOKUP(B9,input_505100!L:R,7,FALSE),VLOOKUP(tables_505100!C9,input_505100!A:H,8,FALSE))</f>
        <v>732569.99999000004</v>
      </c>
      <c r="P9" s="46">
        <f t="shared" ca="1" si="1"/>
        <v>1.1808027079138677E-2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input_505100!A$2</f>
        <v>505100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IFERROR(VLOOKUP(B10,input_505100!L:R,7,FALSE),VLOOKUP(tables_505100!C10,input_505100!A:H,8,FALSE))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input_505100!A$2</f>
        <v>505100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IFERROR(VLOOKUP(B11,input_505100!L:R,7,FALSE),VLOOKUP(tables_505100!C11,input_505100!A:H,8,FALSE))</f>
        <v>732569.99999000004</v>
      </c>
      <c r="P11" s="46">
        <f t="shared" ca="1" si="1"/>
        <v>1.1808027079138677E-2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input_505100!A$2</f>
        <v>505100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IFERROR(VLOOKUP(B12,input_505100!L:R,7,FALSE),VLOOKUP(tables_505100!C12,input_505100!A:H,8,FALSE))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input_505100!A$2</f>
        <v>505100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IFERROR(VLOOKUP(B13,input_505100!L:R,7,FALSE),VLOOKUP(tables_505100!C13,input_505100!A:H,8,FALSE))</f>
        <v>732569.99999000004</v>
      </c>
      <c r="P13" s="46">
        <f t="shared" ca="1" si="1"/>
        <v>1.1808027079138677E-2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input_505100!A$2</f>
        <v>505100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IFERROR(VLOOKUP(B14,input_505100!L:R,7,FALSE),VLOOKUP(tables_505100!C14,input_505100!A:H,8,FALSE))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input_505100!A$2</f>
        <v>505100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IFERROR(VLOOKUP(B15,input_505100!L:R,7,FALSE),VLOOKUP(tables_505100!C15,input_505100!A:H,8,FALSE))</f>
        <v>732569.99999000004</v>
      </c>
      <c r="P15" s="46">
        <f t="shared" ca="1" si="1"/>
        <v>1.1808027079138677E-2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input_505100!A$2</f>
        <v>505100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IFERROR(VLOOKUP(B16,input_505100!L:R,7,FALSE),VLOOKUP(tables_505100!C16,input_505100!A:H,8,FALSE))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input_505100!A$2</f>
        <v>505100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IFERROR(VLOOKUP(B17,input_505100!L:R,7,FALSE),VLOOKUP(tables_505100!C17,input_505100!A:H,8,FALSE))</f>
        <v>732569.99999000004</v>
      </c>
      <c r="P17" s="46">
        <f t="shared" ca="1" si="1"/>
        <v>1.1808027079138677E-2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input_505100!A$2</f>
        <v>505100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IFERROR(VLOOKUP(B18,input_505100!L:R,7,FALSE),VLOOKUP(tables_505100!C18,input_505100!A:H,8,FALSE))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input_505100!A$2</f>
        <v>505100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IFERROR(VLOOKUP(B19,input_505100!L:R,7,FALSE),VLOOKUP(tables_505100!C19,input_505100!A:H,8,FALSE))</f>
        <v>732569.99999000004</v>
      </c>
      <c r="P19" s="46">
        <f t="shared" ca="1" si="1"/>
        <v>1.1808027079138677E-2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input_505100!A$2</f>
        <v>505100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IFERROR(VLOOKUP(B20,input_505100!L:R,7,FALSE),VLOOKUP(tables_505100!C20,input_505100!A:H,8,FALSE))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input_505100!A$2</f>
        <v>505100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IFERROR(VLOOKUP(B21,input_505100!L:R,7,FALSE),VLOOKUP(tables_505100!C21,input_505100!A:H,8,FALSE))</f>
        <v>732569.99999000004</v>
      </c>
      <c r="P21" s="46">
        <f t="shared" ca="1" si="1"/>
        <v>1.1808027079138677E-2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input_505100!A$2</f>
        <v>505100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IFERROR(VLOOKUP(B22,input_505100!L:R,7,FALSE),VLOOKUP(tables_505100!C22,input_505100!A:H,8,FALSE))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input_505100!A$2</f>
        <v>505100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IFERROR(VLOOKUP(B23,input_505100!L:R,7,FALSE),VLOOKUP(tables_505100!C23,input_505100!A:H,8,FALSE))</f>
        <v>732569.99999000004</v>
      </c>
      <c r="P23" s="46">
        <f t="shared" ca="1" si="1"/>
        <v>1.1808027079138677E-2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input_505100!A$2</f>
        <v>505100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IFERROR(VLOOKUP(B24,input_505100!L:R,7,FALSE),VLOOKUP(tables_505100!C24,input_505100!A:H,8,FALSE))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input_505100!A$2</f>
        <v>505100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IFERROR(VLOOKUP(B25,input_505100!L:R,7,FALSE),VLOOKUP(tables_505100!C25,input_505100!A:H,8,FALSE))</f>
        <v>732569.99999000004</v>
      </c>
      <c r="P25" s="46">
        <f t="shared" ca="1" si="1"/>
        <v>1.1808027079138677E-2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input_505100!A$2</f>
        <v>505100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IFERROR(VLOOKUP(B26,input_505100!L:R,7,FALSE),VLOOKUP(tables_505100!C26,input_505100!A:H,8,FALSE))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input_505100!A$2</f>
        <v>505100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IFERROR(VLOOKUP(B27,input_505100!L:R,7,FALSE),VLOOKUP(tables_505100!C27,input_505100!A:H,8,FALSE))</f>
        <v>732569.99999000004</v>
      </c>
      <c r="P27" s="46">
        <f t="shared" ca="1" si="1"/>
        <v>1.1808027079138677E-2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input_505100!A$2</f>
        <v>505100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IFERROR(VLOOKUP(B28,input_505100!L:R,7,FALSE),VLOOKUP(tables_505100!C28,input_505100!A:H,8,FALSE))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input_505100!A$2</f>
        <v>505100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IFERROR(VLOOKUP(B29,input_505100!L:R,7,FALSE),VLOOKUP(tables_505100!C29,input_505100!A:H,8,FALSE))</f>
        <v>732569.99999000004</v>
      </c>
      <c r="P29" s="46">
        <f t="shared" ca="1" si="1"/>
        <v>1.1808027079138677E-2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input_505100!A$2</f>
        <v>505100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IFERROR(VLOOKUP(B30,input_505100!L:R,7,FALSE),VLOOKUP(tables_505100!C30,input_505100!A:H,8,FALSE))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input_505100!A$2</f>
        <v>505100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IFERROR(VLOOKUP(B31,input_505100!L:R,7,FALSE),VLOOKUP(tables_505100!C31,input_505100!A:H,8,FALSE))</f>
        <v>732569.99999000004</v>
      </c>
      <c r="P31" s="46">
        <f t="shared" ca="1" si="1"/>
        <v>1.1808027079138677E-2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input_505100!A$2</f>
        <v>505100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IFERROR(VLOOKUP(B32,input_505100!L:R,7,FALSE),VLOOKUP(tables_505100!C32,input_505100!A:H,8,FALSE))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input_505100!A$2</f>
        <v>505100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IFERROR(VLOOKUP(B33,input_505100!L:R,7,FALSE),VLOOKUP(tables_505100!C33,input_505100!A:H,8,FALSE))</f>
        <v>732569.99999000004</v>
      </c>
      <c r="P33" s="46">
        <f t="shared" ca="1" si="1"/>
        <v>1.1808027079138677E-2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input_505100!A$2</f>
        <v>505100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IFERROR(VLOOKUP(B34,input_505100!L:R,7,FALSE),VLOOKUP(tables_505100!C34,input_505100!A:H,8,FALSE))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input_505100!A$2</f>
        <v>505100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IFERROR(VLOOKUP(B35,input_505100!L:R,7,FALSE),VLOOKUP(tables_505100!C35,input_505100!A:H,8,FALSE))</f>
        <v>732569.99999000004</v>
      </c>
      <c r="P35" s="46">
        <f t="shared" ca="1" si="1"/>
        <v>1.1808027079138677E-2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input_505100!A$2</f>
        <v>505100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IFERROR(VLOOKUP(B36,input_505100!L:R,7,FALSE),VLOOKUP(tables_505100!C36,input_505100!A:H,8,FALSE))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input_505100!A$2</f>
        <v>505100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IFERROR(VLOOKUP(B37,input_505100!L:R,7,FALSE),VLOOKUP(tables_505100!C37,input_505100!A:H,8,FALSE))</f>
        <v>732569.99999000004</v>
      </c>
      <c r="P37" s="46">
        <f t="shared" ca="1" si="1"/>
        <v>1.1808027079138677E-2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input_505100!A$2</f>
        <v>505100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IFERROR(VLOOKUP(B38,input_505100!L:R,7,FALSE),VLOOKUP(tables_505100!C38,input_505100!A:H,8,FALSE))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input_505100!A$2</f>
        <v>505100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IFERROR(VLOOKUP(B39,input_505100!L:R,7,FALSE),VLOOKUP(tables_505100!C39,input_505100!A:H,8,FALSE))</f>
        <v>732569.99999000004</v>
      </c>
      <c r="P39" s="46">
        <f t="shared" ca="1" si="1"/>
        <v>1.1808027079138677E-2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input_505100!A$2</f>
        <v>505100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IFERROR(VLOOKUP(B40,input_505100!L:R,7,FALSE),VLOOKUP(tables_505100!C40,input_505100!A:H,8,FALSE))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input_505100!A$2</f>
        <v>505100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IFERROR(VLOOKUP(B41,input_505100!L:R,7,FALSE),VLOOKUP(tables_505100!C41,input_505100!A:H,8,FALSE))</f>
        <v>732569.99999000004</v>
      </c>
      <c r="P41" s="46">
        <f t="shared" ca="1" si="1"/>
        <v>1.1808027079138677E-2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input_505100!A$2</f>
        <v>505100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IFERROR(VLOOKUP(B42,input_505100!L:R,7,FALSE),VLOOKUP(tables_505100!C42,input_505100!A:H,8,FALSE))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input_505100!A$2</f>
        <v>505100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IFERROR(VLOOKUP(B43,input_505100!L:R,7,FALSE),VLOOKUP(tables_505100!C43,input_505100!A:H,8,FALSE))</f>
        <v>564300</v>
      </c>
      <c r="P43" s="46">
        <f t="shared" ca="1" si="1"/>
        <v>9.0957446808481272E-3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input_505100!A$2</f>
        <v>505100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IFERROR(VLOOKUP(B44,input_505100!L:R,7,FALSE),VLOOKUP(tables_505100!C44,input_505100!A:H,8,FALSE))</f>
        <v>62700</v>
      </c>
      <c r="P44" s="46">
        <f t="shared" ca="1" si="1"/>
        <v>1.0106382978720143E-3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input_505100!A$2</f>
        <v>505100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IFERROR(VLOOKUP(B45,input_505100!L:R,7,FALSE),VLOOKUP(tables_505100!C45,input_505100!A:H,8,FALSE))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input_505100!A$2</f>
        <v>505100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IFERROR(VLOOKUP(B46,input_505100!L:R,7,FALSE),VLOOKUP(tables_505100!C46,input_505100!A:H,8,FALSE))</f>
        <v>564300</v>
      </c>
      <c r="P46" s="46">
        <f t="shared" ca="1" si="1"/>
        <v>9.0957446808481272E-3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input_505100!A$2</f>
        <v>505100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IFERROR(VLOOKUP(B47,input_505100!L:R,7,FALSE),VLOOKUP(tables_505100!C47,input_505100!A:H,8,FALSE))</f>
        <v>62700</v>
      </c>
      <c r="P47" s="46">
        <f t="shared" ca="1" si="1"/>
        <v>1.0106382978720143E-3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input_505100!A$2</f>
        <v>505100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IFERROR(VLOOKUP(B48,input_505100!L:R,7,FALSE),VLOOKUP(tables_505100!C48,input_505100!A:H,8,FALSE))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input_505100!A$2</f>
        <v>505100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IFERROR(VLOOKUP(B49,input_505100!L:R,7,FALSE),VLOOKUP(tables_505100!C49,input_505100!A:H,8,FALSE))</f>
        <v>564300</v>
      </c>
      <c r="P49" s="46">
        <f t="shared" ca="1" si="1"/>
        <v>9.0957446808481272E-3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input_505100!A$2</f>
        <v>505100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IFERROR(VLOOKUP(B50,input_505100!L:R,7,FALSE),VLOOKUP(tables_505100!C50,input_505100!A:H,8,FALSE))</f>
        <v>62700</v>
      </c>
      <c r="P50" s="46">
        <f t="shared" ca="1" si="1"/>
        <v>1.0106382978720143E-3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input_505100!A$2</f>
        <v>505100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IFERROR(VLOOKUP(B51,input_505100!L:R,7,FALSE),VLOOKUP(tables_505100!C51,input_505100!A:H,8,FALSE))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input_505100!A$2</f>
        <v>505100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IFERROR(VLOOKUP(B52,input_505100!L:R,7,FALSE),VLOOKUP(tables_505100!C52,input_505100!A:H,8,FALSE))</f>
        <v>540438.46154000005</v>
      </c>
      <c r="P52" s="46">
        <f t="shared" ca="1" si="1"/>
        <v>8.7111292962576657E-3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input_505100!A$2</f>
        <v>505100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IFERROR(VLOOKUP(B53,input_505100!L:R,7,FALSE),VLOOKUP(tables_505100!C53,input_505100!A:H,8,FALSE))</f>
        <v>45957.692309999999</v>
      </c>
      <c r="P53" s="46">
        <f t="shared" ca="1" si="1"/>
        <v>7.4077518230150163E-4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input_505100!A$2</f>
        <v>505100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IFERROR(VLOOKUP(B54,input_505100!L:R,7,FALSE),VLOOKUP(tables_505100!C54,input_505100!A:H,8,FALSE))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input_505100!A$2</f>
        <v>505100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IFERROR(VLOOKUP(B55,input_505100!L:R,7,FALSE),VLOOKUP(tables_505100!C55,input_505100!A:H,8,FALSE))</f>
        <v>540438.46154000005</v>
      </c>
      <c r="P55" s="46">
        <f t="shared" ca="1" si="1"/>
        <v>8.7111292962576657E-3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input_505100!A$2</f>
        <v>505100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IFERROR(VLOOKUP(B56,input_505100!L:R,7,FALSE),VLOOKUP(tables_505100!C56,input_505100!A:H,8,FALSE))</f>
        <v>45957.692309999999</v>
      </c>
      <c r="P56" s="46">
        <f t="shared" ca="1" si="1"/>
        <v>7.4077518230150163E-4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input_505100!A$2</f>
        <v>505100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IFERROR(VLOOKUP(B57,input_505100!L:R,7,FALSE),VLOOKUP(tables_505100!C57,input_505100!A:H,8,FALSE))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input_505100!A$2</f>
        <v>505100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IFERROR(VLOOKUP(B58,input_505100!L:R,7,FALSE),VLOOKUP(tables_505100!C58,input_505100!A:H,8,FALSE))</f>
        <v>540438.46154000005</v>
      </c>
      <c r="P58" s="46">
        <f t="shared" ca="1" si="1"/>
        <v>8.7111292962576657E-3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input_505100!A$2</f>
        <v>505100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IFERROR(VLOOKUP(B59,input_505100!L:R,7,FALSE),VLOOKUP(tables_505100!C59,input_505100!A:H,8,FALSE))</f>
        <v>45957.692309999999</v>
      </c>
      <c r="P59" s="46">
        <f t="shared" ca="1" si="1"/>
        <v>7.4077518230150163E-4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input_505100!A$2</f>
        <v>505100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IFERROR(VLOOKUP(B60,input_505100!L:R,7,FALSE),VLOOKUP(tables_505100!C60,input_505100!A:H,8,FALSE))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input_505100!A$2</f>
        <v>505100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IFERROR(VLOOKUP(B61,input_505100!L:R,7,FALSE),VLOOKUP(tables_505100!C61,input_505100!A:H,8,FALSE))</f>
        <v>540438.46154000005</v>
      </c>
      <c r="P61" s="46">
        <f t="shared" ca="1" si="1"/>
        <v>8.7111292962576657E-3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input_505100!A$2</f>
        <v>505100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IFERROR(VLOOKUP(B62,input_505100!L:R,7,FALSE),VLOOKUP(tables_505100!C62,input_505100!A:H,8,FALSE))</f>
        <v>45957.692309999999</v>
      </c>
      <c r="P62" s="46">
        <f t="shared" ca="1" si="1"/>
        <v>7.4077518230150163E-4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input_505100!A$2</f>
        <v>505100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IFERROR(VLOOKUP(B63,input_505100!L:R,7,FALSE),VLOOKUP(tables_505100!C63,input_505100!A:H,8,FALSE))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input_505100!A$2</f>
        <v>505100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IFERROR(VLOOKUP(B64,input_505100!L:R,7,FALSE),VLOOKUP(tables_505100!C64,input_505100!A:H,8,FALSE))</f>
        <v>540438.46154000005</v>
      </c>
      <c r="P64" s="46">
        <f t="shared" ca="1" si="1"/>
        <v>8.7111292962576657E-3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input_505100!A$2</f>
        <v>505100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IFERROR(VLOOKUP(B65,input_505100!L:R,7,FALSE),VLOOKUP(tables_505100!C65,input_505100!A:H,8,FALSE))</f>
        <v>45957.692309999999</v>
      </c>
      <c r="P65" s="46">
        <f t="shared" ca="1" si="1"/>
        <v>7.4077518230150163E-4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input_505100!A$2</f>
        <v>505100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IFERROR(VLOOKUP(B66,input_505100!L:R,7,FALSE),VLOOKUP(tables_505100!C66,input_505100!A:H,8,FALSE))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input_505100!A$2</f>
        <v>505100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IFERROR(VLOOKUP(B67,input_505100!L:R,7,FALSE),VLOOKUP(tables_505100!C67,input_505100!A:H,8,FALSE))</f>
        <v>540438.46154000005</v>
      </c>
      <c r="P67" s="46">
        <f t="shared" ca="1" si="4"/>
        <v>8.7111292962576657E-3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input_505100!A$2</f>
        <v>505100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IFERROR(VLOOKUP(B68,input_505100!L:R,7,FALSE),VLOOKUP(tables_505100!C68,input_505100!A:H,8,FALSE))</f>
        <v>45957.692309999999</v>
      </c>
      <c r="P68" s="46">
        <f t="shared" ca="1" si="4"/>
        <v>7.4077518230150163E-4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input_505100!A$2</f>
        <v>505100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IFERROR(VLOOKUP(B69,input_505100!L:R,7,FALSE),VLOOKUP(tables_505100!C69,input_505100!A:H,8,FALSE))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input_505100!A$2</f>
        <v>505100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IFERROR(VLOOKUP(B70,input_505100!L:R,7,FALSE),VLOOKUP(tables_505100!C70,input_505100!A:H,8,FALSE))</f>
        <v>540438.46154000005</v>
      </c>
      <c r="P70" s="46">
        <f t="shared" ca="1" si="4"/>
        <v>8.7111292962576657E-3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input_505100!A$2</f>
        <v>505100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IFERROR(VLOOKUP(B71,input_505100!L:R,7,FALSE),VLOOKUP(tables_505100!C71,input_505100!A:H,8,FALSE))</f>
        <v>45957.692309999999</v>
      </c>
      <c r="P71" s="46">
        <f t="shared" ca="1" si="4"/>
        <v>7.4077518230150163E-4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input_505100!A$2</f>
        <v>505100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IFERROR(VLOOKUP(B72,input_505100!L:R,7,FALSE),VLOOKUP(tables_505100!C72,input_505100!A:H,8,FALSE))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input_505100!A$2</f>
        <v>505100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IFERROR(VLOOKUP(B73,input_505100!L:R,7,FALSE),VLOOKUP(tables_505100!C73,input_505100!A:H,8,FALSE))</f>
        <v>540438.46154000005</v>
      </c>
      <c r="P73" s="46">
        <f t="shared" ca="1" si="4"/>
        <v>8.7111292962576657E-3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input_505100!A$2</f>
        <v>505100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IFERROR(VLOOKUP(B74,input_505100!L:R,7,FALSE),VLOOKUP(tables_505100!C74,input_505100!A:H,8,FALSE))</f>
        <v>45957.692309999999</v>
      </c>
      <c r="P74" s="46">
        <f t="shared" ca="1" si="4"/>
        <v>7.4077518230150163E-4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input_505100!A$2</f>
        <v>505100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IFERROR(VLOOKUP(B75,input_505100!L:R,7,FALSE),VLOOKUP(tables_505100!C75,input_505100!A:H,8,FALSE))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input_505100!A$2</f>
        <v>505100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IFERROR(VLOOKUP(B76,input_505100!L:R,7,FALSE),VLOOKUP(tables_505100!C76,input_505100!A:H,8,FALSE))</f>
        <v>540438.46154000005</v>
      </c>
      <c r="P76" s="46">
        <f t="shared" ca="1" si="4"/>
        <v>8.7111292962576657E-3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input_505100!A$2</f>
        <v>505100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IFERROR(VLOOKUP(B77,input_505100!L:R,7,FALSE),VLOOKUP(tables_505100!C77,input_505100!A:H,8,FALSE))</f>
        <v>45957.692309999999</v>
      </c>
      <c r="P77" s="46">
        <f t="shared" ca="1" si="4"/>
        <v>7.4077518230150163E-4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input_505100!A$2</f>
        <v>505100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IFERROR(VLOOKUP(B78,input_505100!L:R,7,FALSE),VLOOKUP(tables_505100!C78,input_505100!A:H,8,FALSE))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input_505100!A$2</f>
        <v>505100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IFERROR(VLOOKUP(B79,input_505100!L:R,7,FALSE),VLOOKUP(tables_505100!C79,input_505100!A:H,8,FALSE))</f>
        <v>540438.46154000005</v>
      </c>
      <c r="P79" s="46">
        <f t="shared" ca="1" si="4"/>
        <v>8.7111292962576657E-3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input_505100!A$2</f>
        <v>505100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IFERROR(VLOOKUP(B80,input_505100!L:R,7,FALSE),VLOOKUP(tables_505100!C80,input_505100!A:H,8,FALSE))</f>
        <v>45957.692309999999</v>
      </c>
      <c r="P80" s="46">
        <f t="shared" ca="1" si="4"/>
        <v>7.4077518230150163E-4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input_505100!A$2</f>
        <v>505100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IFERROR(VLOOKUP(B81,input_505100!L:R,7,FALSE),VLOOKUP(tables_505100!C81,input_505100!A:H,8,FALSE))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input_505100!A$2</f>
        <v>505100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IFERROR(VLOOKUP(B82,input_505100!L:R,7,FALSE),VLOOKUP(tables_505100!C82,input_505100!A:H,8,FALSE))</f>
        <v>540438.46154000005</v>
      </c>
      <c r="P82" s="46">
        <f t="shared" ca="1" si="4"/>
        <v>8.7111292962576657E-3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input_505100!A$2</f>
        <v>505100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IFERROR(VLOOKUP(B83,input_505100!L:R,7,FALSE),VLOOKUP(tables_505100!C83,input_505100!A:H,8,FALSE))</f>
        <v>45957.692309999999</v>
      </c>
      <c r="P83" s="46">
        <f t="shared" ca="1" si="4"/>
        <v>7.4077518230150163E-4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input_505100!A$2</f>
        <v>505100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IFERROR(VLOOKUP(B84,input_505100!L:R,7,FALSE),VLOOKUP(tables_505100!C84,input_505100!A:H,8,FALSE))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input_505100!A$2</f>
        <v>505100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IFERROR(VLOOKUP(B85,input_505100!L:R,7,FALSE),VLOOKUP(tables_505100!C85,input_505100!A:H,8,FALSE))</f>
        <v>540438.46154000005</v>
      </c>
      <c r="P85" s="46">
        <f t="shared" ca="1" si="4"/>
        <v>8.7111292962576657E-3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input_505100!A$2</f>
        <v>505100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IFERROR(VLOOKUP(B86,input_505100!L:R,7,FALSE),VLOOKUP(tables_505100!C86,input_505100!A:H,8,FALSE))</f>
        <v>45957.692309999999</v>
      </c>
      <c r="P86" s="46">
        <f t="shared" ca="1" si="4"/>
        <v>7.4077518230150163E-4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input_505100!A$2</f>
        <v>505100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IFERROR(VLOOKUP(B87,input_505100!L:R,7,FALSE),VLOOKUP(tables_505100!C87,input_505100!A:H,8,FALSE))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input_505100!A$2</f>
        <v>505100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IFERROR(VLOOKUP(B88,input_505100!L:R,7,FALSE),VLOOKUP(tables_505100!C88,input_505100!A:H,8,FALSE))</f>
        <v>540438.46154000005</v>
      </c>
      <c r="P88" s="46">
        <f t="shared" ca="1" si="4"/>
        <v>8.7111292962576657E-3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input_505100!A$2</f>
        <v>505100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IFERROR(VLOOKUP(B89,input_505100!L:R,7,FALSE),VLOOKUP(tables_505100!C89,input_505100!A:H,8,FALSE))</f>
        <v>45957.692309999999</v>
      </c>
      <c r="P89" s="46">
        <f t="shared" ca="1" si="4"/>
        <v>7.4077518230150163E-4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input_505100!A$2</f>
        <v>505100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IFERROR(VLOOKUP(B90,input_505100!L:R,7,FALSE),VLOOKUP(tables_505100!C90,input_505100!A:H,8,FALSE))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input_505100!A$2</f>
        <v>505100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IFERROR(VLOOKUP(B91,input_505100!L:R,7,FALSE),VLOOKUP(tables_505100!C91,input_505100!A:H,8,FALSE))</f>
        <v>540438.46154000005</v>
      </c>
      <c r="P91" s="46">
        <f t="shared" ca="1" si="4"/>
        <v>8.7111292962576657E-3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input_505100!A$2</f>
        <v>505100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IFERROR(VLOOKUP(B92,input_505100!L:R,7,FALSE),VLOOKUP(tables_505100!C92,input_505100!A:H,8,FALSE))</f>
        <v>45957.692309999999</v>
      </c>
      <c r="P92" s="46">
        <f t="shared" ca="1" si="4"/>
        <v>7.4077518230150163E-4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input_505100!A$2</f>
        <v>505100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IFERROR(VLOOKUP(B93,input_505100!L:R,7,FALSE),VLOOKUP(tables_505100!C93,input_505100!A:H,8,FALSE))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input_505100!A$2</f>
        <v>505100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IFERROR(VLOOKUP(B94,input_505100!L:R,7,FALSE),VLOOKUP(tables_505100!C94,input_505100!A:H,8,FALSE))</f>
        <v>540438.46154000005</v>
      </c>
      <c r="P94" s="46">
        <f t="shared" ca="1" si="4"/>
        <v>8.7111292962576657E-3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input_505100!A$2</f>
        <v>505100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IFERROR(VLOOKUP(B95,input_505100!L:R,7,FALSE),VLOOKUP(tables_505100!C95,input_505100!A:H,8,FALSE))</f>
        <v>45957.692309999999</v>
      </c>
      <c r="P95" s="46">
        <f t="shared" ca="1" si="4"/>
        <v>7.4077518230150163E-4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input_505100!A$2</f>
        <v>505100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IFERROR(VLOOKUP(B96,input_505100!L:R,7,FALSE),VLOOKUP(tables_505100!C96,input_505100!A:H,8,FALSE))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input_505100!A$2</f>
        <v>505100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IFERROR(VLOOKUP(B97,input_505100!L:R,7,FALSE),VLOOKUP(tables_505100!C97,input_505100!A:H,8,FALSE))</f>
        <v>540438.46154000005</v>
      </c>
      <c r="P97" s="46">
        <f t="shared" ca="1" si="4"/>
        <v>8.7111292962576657E-3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input_505100!A$2</f>
        <v>505100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IFERROR(VLOOKUP(B98,input_505100!L:R,7,FALSE),VLOOKUP(tables_505100!C98,input_505100!A:H,8,FALSE))</f>
        <v>45957.692309999999</v>
      </c>
      <c r="P98" s="46">
        <f t="shared" ca="1" si="4"/>
        <v>7.4077518230150163E-4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input_505100!A$2</f>
        <v>505100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IFERROR(VLOOKUP(B99,input_505100!L:R,7,FALSE),VLOOKUP(tables_505100!C99,input_505100!A:H,8,FALSE))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input_505100!A$2</f>
        <v>505100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IFERROR(VLOOKUP(B100,input_505100!L:R,7,FALSE),VLOOKUP(tables_505100!C100,input_505100!A:H,8,FALSE))</f>
        <v>540438.46154000005</v>
      </c>
      <c r="P100" s="46">
        <f t="shared" ca="1" si="4"/>
        <v>8.7111292962576657E-3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input_505100!A$2</f>
        <v>505100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IFERROR(VLOOKUP(B101,input_505100!L:R,7,FALSE),VLOOKUP(tables_505100!C101,input_505100!A:H,8,FALSE))</f>
        <v>45957.692309999999</v>
      </c>
      <c r="P101" s="46">
        <f t="shared" ca="1" si="4"/>
        <v>7.4077518230150163E-4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input_505100!A$2</f>
        <v>505100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IFERROR(VLOOKUP(B102,input_505100!L:R,7,FALSE),VLOOKUP(tables_505100!C102,input_505100!A:H,8,FALSE))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input_505100!A$2</f>
        <v>505100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IFERROR(VLOOKUP(B103,input_505100!L:R,7,FALSE),VLOOKUP(tables_505100!C103,input_505100!A:H,8,FALSE))</f>
        <v>540438.46154000005</v>
      </c>
      <c r="P103" s="46">
        <f t="shared" ca="1" si="4"/>
        <v>8.7111292962576657E-3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input_505100!A$2</f>
        <v>505100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IFERROR(VLOOKUP(B104,input_505100!L:R,7,FALSE),VLOOKUP(tables_505100!C104,input_505100!A:H,8,FALSE))</f>
        <v>45957.692309999999</v>
      </c>
      <c r="P104" s="46">
        <f t="shared" ca="1" si="4"/>
        <v>7.4077518230150163E-4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input_505100!A$2</f>
        <v>505100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IFERROR(VLOOKUP(B105,input_505100!L:R,7,FALSE),VLOOKUP(tables_505100!C105,input_505100!A:H,8,FALSE))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input_505100!A$2</f>
        <v>505100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IFERROR(VLOOKUP(B106,input_505100!L:R,7,FALSE),VLOOKUP(tables_505100!C106,input_505100!A:H,8,FALSE))</f>
        <v>540438.46154000005</v>
      </c>
      <c r="P106" s="46">
        <f t="shared" ca="1" si="4"/>
        <v>8.7111292962576657E-3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input_505100!A$2</f>
        <v>505100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IFERROR(VLOOKUP(B107,input_505100!L:R,7,FALSE),VLOOKUP(tables_505100!C107,input_505100!A:H,8,FALSE))</f>
        <v>45957.692309999999</v>
      </c>
      <c r="P107" s="46">
        <f t="shared" ca="1" si="4"/>
        <v>7.4077518230150163E-4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input_505100!A$2</f>
        <v>505100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IFERROR(VLOOKUP(B108,input_505100!L:R,7,FALSE),VLOOKUP(tables_505100!C108,input_505100!A:H,8,FALSE))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input_505100!A$2</f>
        <v>505100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IFERROR(VLOOKUP(B109,input_505100!L:R,7,FALSE),VLOOKUP(tables_505100!C109,input_505100!A:H,8,FALSE))</f>
        <v>540438.46154000005</v>
      </c>
      <c r="P109" s="46">
        <f t="shared" ca="1" si="4"/>
        <v>8.7111292962576657E-3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input_505100!A$2</f>
        <v>505100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IFERROR(VLOOKUP(B110,input_505100!L:R,7,FALSE),VLOOKUP(tables_505100!C110,input_505100!A:H,8,FALSE))</f>
        <v>45957.692309999999</v>
      </c>
      <c r="P110" s="46">
        <f t="shared" ca="1" si="4"/>
        <v>7.4077518230150163E-4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input_505100!A$2</f>
        <v>505100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IFERROR(VLOOKUP(B111,input_505100!L:R,7,FALSE),VLOOKUP(tables_505100!C111,input_505100!A:H,8,FALSE))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input_505100!A$2</f>
        <v>505100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IFERROR(VLOOKUP(B112,input_505100!L:R,7,FALSE),VLOOKUP(tables_505100!C112,input_505100!A:H,8,FALSE))</f>
        <v>564300</v>
      </c>
      <c r="P112" s="46">
        <f t="shared" ca="1" si="4"/>
        <v>9.0957446808481272E-3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input_505100!A$2</f>
        <v>505100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IFERROR(VLOOKUP(B113,input_505100!L:R,7,FALSE),VLOOKUP(tables_505100!C113,input_505100!A:H,8,FALSE))</f>
        <v>62700</v>
      </c>
      <c r="P113" s="46">
        <f t="shared" ca="1" si="4"/>
        <v>1.0106382978720143E-3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input_505100!A$2</f>
        <v>505100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IFERROR(VLOOKUP(B114,input_505100!L:R,7,FALSE),VLOOKUP(tables_505100!C114,input_505100!A:H,8,FALSE))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input_505100!A$2</f>
        <v>505100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IFERROR(VLOOKUP(B115,input_505100!L:R,7,FALSE),VLOOKUP(tables_505100!C115,input_505100!A:H,8,FALSE))</f>
        <v>540438.46154000005</v>
      </c>
      <c r="P115" s="46">
        <f t="shared" ca="1" si="4"/>
        <v>8.7111292962576657E-3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input_505100!A$2</f>
        <v>505100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IFERROR(VLOOKUP(B116,input_505100!L:R,7,FALSE),VLOOKUP(tables_505100!C116,input_505100!A:H,8,FALSE))</f>
        <v>45957.692309999999</v>
      </c>
      <c r="P116" s="46">
        <f t="shared" ca="1" si="4"/>
        <v>7.4077518230150163E-4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input_505100!A$2</f>
        <v>505100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IFERROR(VLOOKUP(B117,input_505100!L:R,7,FALSE),VLOOKUP(tables_505100!C117,input_505100!A:H,8,FALSE))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input_505100!A$2</f>
        <v>505100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IFERROR(VLOOKUP(B118,input_505100!L:R,7,FALSE),VLOOKUP(tables_505100!C118,input_505100!A:H,8,FALSE))</f>
        <v>540438.46154000005</v>
      </c>
      <c r="P118" s="46">
        <f t="shared" ca="1" si="4"/>
        <v>8.7111292962576657E-3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input_505100!A$2</f>
        <v>505100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IFERROR(VLOOKUP(B119,input_505100!L:R,7,FALSE),VLOOKUP(tables_505100!C119,input_505100!A:H,8,FALSE))</f>
        <v>45957.692309999999</v>
      </c>
      <c r="P119" s="46">
        <f t="shared" ca="1" si="4"/>
        <v>7.4077518230150163E-4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input_505100!A$2</f>
        <v>505100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IFERROR(VLOOKUP(B120,input_505100!L:R,7,FALSE),VLOOKUP(tables_505100!C120,input_505100!A:H,8,FALSE))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input_505100!A$2</f>
        <v>505100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IFERROR(VLOOKUP(B121,input_505100!L:R,7,FALSE),VLOOKUP(tables_505100!C121,input_505100!A:H,8,FALSE))</f>
        <v>540438.46154000005</v>
      </c>
      <c r="P121" s="46">
        <f t="shared" ca="1" si="4"/>
        <v>8.7111292962576657E-3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input_505100!A$2</f>
        <v>505100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IFERROR(VLOOKUP(B122,input_505100!L:R,7,FALSE),VLOOKUP(tables_505100!C122,input_505100!A:H,8,FALSE))</f>
        <v>45957.692309999999</v>
      </c>
      <c r="P122" s="46">
        <f t="shared" ca="1" si="4"/>
        <v>7.4077518230150163E-4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input_505100!A$2</f>
        <v>505100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IFERROR(VLOOKUP(B123,input_505100!L:R,7,FALSE),VLOOKUP(tables_505100!C123,input_505100!A:H,8,FALSE))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input_505100!A$2</f>
        <v>505100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IFERROR(VLOOKUP(B124,input_505100!L:R,7,FALSE),VLOOKUP(tables_505100!C124,input_505100!A:H,8,FALSE))</f>
        <v>540438.46154000005</v>
      </c>
      <c r="P124" s="46">
        <f t="shared" ca="1" si="4"/>
        <v>8.7111292962576657E-3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input_505100!A$2</f>
        <v>505100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IFERROR(VLOOKUP(B125,input_505100!L:R,7,FALSE),VLOOKUP(tables_505100!C125,input_505100!A:H,8,FALSE))</f>
        <v>45957.692309999999</v>
      </c>
      <c r="P125" s="46">
        <f t="shared" ca="1" si="4"/>
        <v>7.4077518230150163E-4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input_505100!A$2</f>
        <v>505100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IFERROR(VLOOKUP(B126,input_505100!L:R,7,FALSE),VLOOKUP(tables_505100!C126,input_505100!A:H,8,FALSE))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input_505100!A$2</f>
        <v>505100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IFERROR(VLOOKUP(B127,input_505100!L:R,7,FALSE),VLOOKUP(tables_505100!C127,input_505100!A:H,8,FALSE))</f>
        <v>540438.46154000005</v>
      </c>
      <c r="P127" s="46">
        <f t="shared" ca="1" si="4"/>
        <v>8.7111292962576657E-3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input_505100!A$2</f>
        <v>505100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IFERROR(VLOOKUP(B128,input_505100!L:R,7,FALSE),VLOOKUP(tables_505100!C128,input_505100!A:H,8,FALSE))</f>
        <v>45957.692309999999</v>
      </c>
      <c r="P128" s="46">
        <f t="shared" ca="1" si="4"/>
        <v>7.4077518230150163E-4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input_505100!A$2</f>
        <v>505100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IFERROR(VLOOKUP(B129,input_505100!L:R,7,FALSE),VLOOKUP(tables_505100!C129,input_505100!A:H,8,FALSE))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input_505100!A$2</f>
        <v>505100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IFERROR(VLOOKUP(B130,input_505100!L:R,7,FALSE),VLOOKUP(tables_505100!C130,input_505100!A:H,8,FALSE))</f>
        <v>540438.46154000005</v>
      </c>
      <c r="P130" s="46">
        <f t="shared" ref="P130:P193" ca="1" si="7">O130/SUM(O:O)</f>
        <v>8.7111292962576657E-3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input_505100!A$2</f>
        <v>505100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IFERROR(VLOOKUP(B131,input_505100!L:R,7,FALSE),VLOOKUP(tables_505100!C131,input_505100!A:H,8,FALSE))</f>
        <v>45957.692309999999</v>
      </c>
      <c r="P131" s="46">
        <f t="shared" ca="1" si="7"/>
        <v>7.4077518230150163E-4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input_505100!A$2</f>
        <v>505100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IFERROR(VLOOKUP(B132,input_505100!L:R,7,FALSE),VLOOKUP(tables_505100!C132,input_505100!A:H,8,FALSE))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input_505100!A$2</f>
        <v>505100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IFERROR(VLOOKUP(B133,input_505100!L:R,7,FALSE),VLOOKUP(tables_505100!C133,input_505100!A:H,8,FALSE))</f>
        <v>540438.46154000005</v>
      </c>
      <c r="P133" s="46">
        <f t="shared" ca="1" si="7"/>
        <v>8.7111292962576657E-3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input_505100!A$2</f>
        <v>505100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IFERROR(VLOOKUP(B134,input_505100!L:R,7,FALSE),VLOOKUP(tables_505100!C134,input_505100!A:H,8,FALSE))</f>
        <v>45957.692309999999</v>
      </c>
      <c r="P134" s="46">
        <f t="shared" ca="1" si="7"/>
        <v>7.4077518230150163E-4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input_505100!A$2</f>
        <v>505100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IFERROR(VLOOKUP(B135,input_505100!L:R,7,FALSE),VLOOKUP(tables_505100!C135,input_505100!A:H,8,FALSE))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input_505100!A$2</f>
        <v>505100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IFERROR(VLOOKUP(B136,input_505100!L:R,7,FALSE),VLOOKUP(tables_505100!C136,input_505100!A:H,8,FALSE))</f>
        <v>540438.46154000005</v>
      </c>
      <c r="P136" s="46">
        <f t="shared" ca="1" si="7"/>
        <v>8.7111292962576657E-3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input_505100!A$2</f>
        <v>505100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IFERROR(VLOOKUP(B137,input_505100!L:R,7,FALSE),VLOOKUP(tables_505100!C137,input_505100!A:H,8,FALSE))</f>
        <v>45957.692309999999</v>
      </c>
      <c r="P137" s="46">
        <f t="shared" ca="1" si="7"/>
        <v>7.4077518230150163E-4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input_505100!A$2</f>
        <v>505100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IFERROR(VLOOKUP(B138,input_505100!L:R,7,FALSE),VLOOKUP(tables_505100!C138,input_505100!A:H,8,FALSE))</f>
        <v>15107.14286</v>
      </c>
      <c r="P138" s="46">
        <f t="shared" ca="1" si="7"/>
        <v>2.4350649355246812E-4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input_505100!A$2</f>
        <v>505100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IFERROR(VLOOKUP(B139,input_505100!L:R,7,FALSE),VLOOKUP(tables_505100!C139,input_505100!A:H,8,FALSE))</f>
        <v>940</v>
      </c>
      <c r="P139" s="46">
        <f t="shared" ca="1" si="7"/>
        <v>1.515151515151026E-5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input_505100!A$2</f>
        <v>505100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IFERROR(VLOOKUP(B140,input_505100!L:R,7,FALSE),VLOOKUP(tables_505100!C140,input_505100!A:H,8,FALSE))</f>
        <v>15107.14286</v>
      </c>
      <c r="P140" s="46">
        <f t="shared" ca="1" si="7"/>
        <v>2.4350649355246812E-4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input_505100!A$2</f>
        <v>505100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IFERROR(VLOOKUP(B141,input_505100!L:R,7,FALSE),VLOOKUP(tables_505100!C141,input_505100!A:H,8,FALSE))</f>
        <v>940</v>
      </c>
      <c r="P141" s="46">
        <f t="shared" ca="1" si="7"/>
        <v>1.515151515151026E-5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input_505100!A$2</f>
        <v>505100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IFERROR(VLOOKUP(B142,input_505100!L:R,7,FALSE),VLOOKUP(tables_505100!C142,input_505100!A:H,8,FALSE))</f>
        <v>15107.14286</v>
      </c>
      <c r="P142" s="46">
        <f t="shared" ca="1" si="7"/>
        <v>2.4350649355246812E-4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input_505100!A$2</f>
        <v>505100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IFERROR(VLOOKUP(B143,input_505100!L:R,7,FALSE),VLOOKUP(tables_505100!C143,input_505100!A:H,8,FALSE))</f>
        <v>940</v>
      </c>
      <c r="P143" s="46">
        <f t="shared" ca="1" si="7"/>
        <v>1.515151515151026E-5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input_505100!A$2</f>
        <v>505100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IFERROR(VLOOKUP(B144,input_505100!L:R,7,FALSE),VLOOKUP(tables_505100!C144,input_505100!A:H,8,FALSE))</f>
        <v>15107.14286</v>
      </c>
      <c r="P144" s="46">
        <f t="shared" ca="1" si="7"/>
        <v>2.4350649355246812E-4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input_505100!A$2</f>
        <v>505100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IFERROR(VLOOKUP(B145,input_505100!L:R,7,FALSE),VLOOKUP(tables_505100!C145,input_505100!A:H,8,FALSE))</f>
        <v>940</v>
      </c>
      <c r="P145" s="46">
        <f t="shared" ca="1" si="7"/>
        <v>1.515151515151026E-5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input_505100!A$2</f>
        <v>505100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IFERROR(VLOOKUP(B146,input_505100!L:R,7,FALSE),VLOOKUP(tables_505100!C146,input_505100!A:H,8,FALSE))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input_505100!A$2</f>
        <v>505100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IFERROR(VLOOKUP(B147,input_505100!L:R,7,FALSE),VLOOKUP(tables_505100!C147,input_505100!A:H,8,FALSE))</f>
        <v>540438.46154000005</v>
      </c>
      <c r="P147" s="46">
        <f t="shared" ca="1" si="7"/>
        <v>8.7111292962576657E-3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input_505100!A$2</f>
        <v>505100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IFERROR(VLOOKUP(B148,input_505100!L:R,7,FALSE),VLOOKUP(tables_505100!C148,input_505100!A:H,8,FALSE))</f>
        <v>45957.692309999999</v>
      </c>
      <c r="P148" s="46">
        <f t="shared" ca="1" si="7"/>
        <v>7.4077518230150163E-4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input_505100!A$2</f>
        <v>505100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IFERROR(VLOOKUP(B149,input_505100!L:R,7,FALSE),VLOOKUP(tables_505100!C149,input_505100!A:H,8,FALSE))</f>
        <v>15107.14286</v>
      </c>
      <c r="P149" s="46">
        <f t="shared" ca="1" si="7"/>
        <v>2.4350649355246812E-4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input_505100!A$2</f>
        <v>505100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IFERROR(VLOOKUP(B150,input_505100!L:R,7,FALSE),VLOOKUP(tables_505100!C150,input_505100!A:H,8,FALSE))</f>
        <v>940</v>
      </c>
      <c r="P150" s="46">
        <f t="shared" ca="1" si="7"/>
        <v>1.515151515151026E-5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input_505100!A$2</f>
        <v>505100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IFERROR(VLOOKUP(B151,input_505100!L:R,7,FALSE),VLOOKUP(tables_505100!C151,input_505100!A:H,8,FALSE))</f>
        <v>15107.14286</v>
      </c>
      <c r="P151" s="46">
        <f t="shared" ca="1" si="7"/>
        <v>2.4350649355246812E-4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input_505100!A$2</f>
        <v>505100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IFERROR(VLOOKUP(B152,input_505100!L:R,7,FALSE),VLOOKUP(tables_505100!C152,input_505100!A:H,8,FALSE))</f>
        <v>940</v>
      </c>
      <c r="P152" s="46">
        <f t="shared" ca="1" si="7"/>
        <v>1.515151515151026E-5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input_505100!A$2</f>
        <v>505100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IFERROR(VLOOKUP(B153,input_505100!L:R,7,FALSE),VLOOKUP(tables_505100!C153,input_505100!A:H,8,FALSE))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input_505100!A$2</f>
        <v>505100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IFERROR(VLOOKUP(B154,input_505100!L:R,7,FALSE),VLOOKUP(tables_505100!C154,input_505100!A:H,8,FALSE))</f>
        <v>540438.46154000005</v>
      </c>
      <c r="P154" s="46">
        <f t="shared" ca="1" si="7"/>
        <v>8.7111292962576657E-3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input_505100!A$2</f>
        <v>505100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IFERROR(VLOOKUP(B155,input_505100!L:R,7,FALSE),VLOOKUP(tables_505100!C155,input_505100!A:H,8,FALSE))</f>
        <v>45957.692309999999</v>
      </c>
      <c r="P155" s="46">
        <f t="shared" ca="1" si="7"/>
        <v>7.4077518230150163E-4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input_505100!A$2</f>
        <v>505100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IFERROR(VLOOKUP(B156,input_505100!L:R,7,FALSE),VLOOKUP(tables_505100!C156,input_505100!A:H,8,FALSE))</f>
        <v>15107.14286</v>
      </c>
      <c r="P156" s="46">
        <f t="shared" ca="1" si="7"/>
        <v>2.4350649355246812E-4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input_505100!A$2</f>
        <v>505100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IFERROR(VLOOKUP(B157,input_505100!L:R,7,FALSE),VLOOKUP(tables_505100!C157,input_505100!A:H,8,FALSE))</f>
        <v>940</v>
      </c>
      <c r="P157" s="46">
        <f t="shared" ca="1" si="7"/>
        <v>1.515151515151026E-5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input_505100!A$2</f>
        <v>505100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IFERROR(VLOOKUP(B158,input_505100!L:R,7,FALSE),VLOOKUP(tables_505100!C158,input_505100!A:H,8,FALSE))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input_505100!A$2</f>
        <v>505100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IFERROR(VLOOKUP(B159,input_505100!L:R,7,FALSE),VLOOKUP(tables_505100!C159,input_505100!A:H,8,FALSE))</f>
        <v>540438.46154000005</v>
      </c>
      <c r="P159" s="46">
        <f t="shared" ca="1" si="7"/>
        <v>8.7111292962576657E-3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input_505100!A$2</f>
        <v>505100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IFERROR(VLOOKUP(B160,input_505100!L:R,7,FALSE),VLOOKUP(tables_505100!C160,input_505100!A:H,8,FALSE))</f>
        <v>45957.692309999999</v>
      </c>
      <c r="P160" s="46">
        <f t="shared" ca="1" si="7"/>
        <v>7.4077518230150163E-4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input_505100!A$2</f>
        <v>505100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IFERROR(VLOOKUP(B161,input_505100!L:R,7,FALSE),VLOOKUP(tables_505100!C161,input_505100!A:H,8,FALSE))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input_505100!A$2</f>
        <v>505100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IFERROR(VLOOKUP(B162,input_505100!L:R,7,FALSE),VLOOKUP(tables_505100!C162,input_505100!A:H,8,FALSE))</f>
        <v>540438.46154000005</v>
      </c>
      <c r="P162" s="46">
        <f t="shared" ca="1" si="7"/>
        <v>8.7111292962576657E-3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input_505100!A$2</f>
        <v>505100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IFERROR(VLOOKUP(B163,input_505100!L:R,7,FALSE),VLOOKUP(tables_505100!C163,input_505100!A:H,8,FALSE))</f>
        <v>45957.692309999999</v>
      </c>
      <c r="P163" s="46">
        <f t="shared" ca="1" si="7"/>
        <v>7.4077518230150163E-4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input_505100!A$2</f>
        <v>505100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IFERROR(VLOOKUP(B164,input_505100!L:R,7,FALSE),VLOOKUP(tables_505100!C164,input_505100!A:H,8,FALSE))</f>
        <v>15107.14286</v>
      </c>
      <c r="P164" s="46">
        <f t="shared" ca="1" si="7"/>
        <v>2.4350649355246812E-4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input_505100!A$2</f>
        <v>505100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IFERROR(VLOOKUP(B165,input_505100!L:R,7,FALSE),VLOOKUP(tables_505100!C165,input_505100!A:H,8,FALSE))</f>
        <v>940</v>
      </c>
      <c r="P165" s="46">
        <f t="shared" ca="1" si="7"/>
        <v>1.515151515151026E-5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input_505100!A$2</f>
        <v>505100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IFERROR(VLOOKUP(B166,input_505100!L:R,7,FALSE),VLOOKUP(tables_505100!C166,input_505100!A:H,8,FALSE))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input_505100!A$2</f>
        <v>505100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IFERROR(VLOOKUP(B167,input_505100!L:R,7,FALSE),VLOOKUP(tables_505100!C167,input_505100!A:H,8,FALSE))</f>
        <v>540438.46154000005</v>
      </c>
      <c r="P167" s="46">
        <f t="shared" ca="1" si="7"/>
        <v>8.7111292962576657E-3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input_505100!A$2</f>
        <v>505100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IFERROR(VLOOKUP(B168,input_505100!L:R,7,FALSE),VLOOKUP(tables_505100!C168,input_505100!A:H,8,FALSE))</f>
        <v>45957.692309999999</v>
      </c>
      <c r="P168" s="46">
        <f t="shared" ca="1" si="7"/>
        <v>7.4077518230150163E-4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input_505100!A$2</f>
        <v>505100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IFERROR(VLOOKUP(B169,input_505100!L:R,7,FALSE),VLOOKUP(tables_505100!C169,input_505100!A:H,8,FALSE))</f>
        <v>15107.14286</v>
      </c>
      <c r="P169" s="46">
        <f t="shared" ca="1" si="7"/>
        <v>2.4350649355246812E-4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input_505100!A$2</f>
        <v>505100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IFERROR(VLOOKUP(B170,input_505100!L:R,7,FALSE),VLOOKUP(tables_505100!C170,input_505100!A:H,8,FALSE))</f>
        <v>940</v>
      </c>
      <c r="P170" s="46">
        <f t="shared" ca="1" si="7"/>
        <v>1.515151515151026E-5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input_505100!A$2</f>
        <v>505100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IFERROR(VLOOKUP(B171,input_505100!L:R,7,FALSE),VLOOKUP(tables_505100!C171,input_505100!A:H,8,FALSE))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input_505100!A$2</f>
        <v>505100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IFERROR(VLOOKUP(B172,input_505100!L:R,7,FALSE),VLOOKUP(tables_505100!C172,input_505100!A:H,8,FALSE))</f>
        <v>540438.46154000005</v>
      </c>
      <c r="P172" s="46">
        <f t="shared" ca="1" si="7"/>
        <v>8.7111292962576657E-3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input_505100!A$2</f>
        <v>505100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IFERROR(VLOOKUP(B173,input_505100!L:R,7,FALSE),VLOOKUP(tables_505100!C173,input_505100!A:H,8,FALSE))</f>
        <v>45957.692309999999</v>
      </c>
      <c r="P173" s="46">
        <f t="shared" ca="1" si="7"/>
        <v>7.4077518230150163E-4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input_505100!A$2</f>
        <v>505100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IFERROR(VLOOKUP(B174,input_505100!L:R,7,FALSE),VLOOKUP(tables_505100!C174,input_505100!A:H,8,FALSE))</f>
        <v>15107.14286</v>
      </c>
      <c r="P174" s="46">
        <f t="shared" ca="1" si="7"/>
        <v>2.4350649355246812E-4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input_505100!A$2</f>
        <v>505100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IFERROR(VLOOKUP(B175,input_505100!L:R,7,FALSE),VLOOKUP(tables_505100!C175,input_505100!A:H,8,FALSE))</f>
        <v>940</v>
      </c>
      <c r="P175" s="46">
        <f t="shared" ca="1" si="7"/>
        <v>1.515151515151026E-5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input_505100!A$2</f>
        <v>505100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IFERROR(VLOOKUP(B176,input_505100!L:R,7,FALSE),VLOOKUP(tables_505100!C176,input_505100!A:H,8,FALSE))</f>
        <v>15107.14286</v>
      </c>
      <c r="P176" s="46">
        <f t="shared" ca="1" si="7"/>
        <v>2.4350649355246812E-4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input_505100!A$2</f>
        <v>505100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IFERROR(VLOOKUP(B177,input_505100!L:R,7,FALSE),VLOOKUP(tables_505100!C177,input_505100!A:H,8,FALSE))</f>
        <v>940</v>
      </c>
      <c r="P177" s="46">
        <f t="shared" ca="1" si="7"/>
        <v>1.515151515151026E-5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input_505100!A$2</f>
        <v>505100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IFERROR(VLOOKUP(B178,input_505100!L:R,7,FALSE),VLOOKUP(tables_505100!C178,input_505100!A:H,8,FALSE))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input_505100!A$2</f>
        <v>505100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IFERROR(VLOOKUP(B179,input_505100!L:R,7,FALSE),VLOOKUP(tables_505100!C179,input_505100!A:H,8,FALSE))</f>
        <v>540438.46154000005</v>
      </c>
      <c r="P179" s="46">
        <f t="shared" ca="1" si="7"/>
        <v>8.7111292962576657E-3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input_505100!A$2</f>
        <v>505100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IFERROR(VLOOKUP(B180,input_505100!L:R,7,FALSE),VLOOKUP(tables_505100!C180,input_505100!A:H,8,FALSE))</f>
        <v>45957.692309999999</v>
      </c>
      <c r="P180" s="46">
        <f t="shared" ca="1" si="7"/>
        <v>7.4077518230150163E-4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input_505100!A$2</f>
        <v>505100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IFERROR(VLOOKUP(B181,input_505100!L:R,7,FALSE),VLOOKUP(tables_505100!C181,input_505100!A:H,8,FALSE))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input_505100!A$2</f>
        <v>505100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IFERROR(VLOOKUP(B182,input_505100!L:R,7,FALSE),VLOOKUP(tables_505100!C182,input_505100!A:H,8,FALSE))</f>
        <v>540438.46154000005</v>
      </c>
      <c r="P182" s="46">
        <f t="shared" ca="1" si="7"/>
        <v>8.7111292962576657E-3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input_505100!A$2</f>
        <v>505100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IFERROR(VLOOKUP(B183,input_505100!L:R,7,FALSE),VLOOKUP(tables_505100!C183,input_505100!A:H,8,FALSE))</f>
        <v>45957.692309999999</v>
      </c>
      <c r="P183" s="46">
        <f t="shared" ca="1" si="7"/>
        <v>7.4077518230150163E-4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input_505100!A$2</f>
        <v>505100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IFERROR(VLOOKUP(B184,input_505100!L:R,7,FALSE),VLOOKUP(tables_505100!C184,input_505100!A:H,8,FALSE))</f>
        <v>15107.14286</v>
      </c>
      <c r="P184" s="46">
        <f t="shared" ca="1" si="7"/>
        <v>2.4350649355246812E-4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input_505100!A$2</f>
        <v>505100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IFERROR(VLOOKUP(B185,input_505100!L:R,7,FALSE),VLOOKUP(tables_505100!C185,input_505100!A:H,8,FALSE))</f>
        <v>940</v>
      </c>
      <c r="P185" s="46">
        <f t="shared" ca="1" si="7"/>
        <v>1.515151515151026E-5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input_505100!A$2</f>
        <v>505100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IFERROR(VLOOKUP(B186,input_505100!L:R,7,FALSE),VLOOKUP(tables_505100!C186,input_505100!A:H,8,FALSE))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input_505100!A$2</f>
        <v>505100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IFERROR(VLOOKUP(B187,input_505100!L:R,7,FALSE),VLOOKUP(tables_505100!C187,input_505100!A:H,8,FALSE))</f>
        <v>540438.46154000005</v>
      </c>
      <c r="P187" s="46">
        <f t="shared" ca="1" si="7"/>
        <v>8.7111292962576657E-3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input_505100!A$2</f>
        <v>505100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IFERROR(VLOOKUP(B188,input_505100!L:R,7,FALSE),VLOOKUP(tables_505100!C188,input_505100!A:H,8,FALSE))</f>
        <v>45957.692309999999</v>
      </c>
      <c r="P188" s="46">
        <f t="shared" ca="1" si="7"/>
        <v>7.4077518230150163E-4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input_505100!A$2</f>
        <v>505100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IFERROR(VLOOKUP(B189,input_505100!L:R,7,FALSE),VLOOKUP(tables_505100!C189,input_505100!A:H,8,FALSE))</f>
        <v>15107.14286</v>
      </c>
      <c r="P189" s="46">
        <f t="shared" ca="1" si="7"/>
        <v>2.4350649355246812E-4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input_505100!A$2</f>
        <v>505100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IFERROR(VLOOKUP(B190,input_505100!L:R,7,FALSE),VLOOKUP(tables_505100!C190,input_505100!A:H,8,FALSE))</f>
        <v>940</v>
      </c>
      <c r="P190" s="46">
        <f t="shared" ca="1" si="7"/>
        <v>1.515151515151026E-5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input_505100!A$2</f>
        <v>505100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IFERROR(VLOOKUP(B191,input_505100!L:R,7,FALSE),VLOOKUP(tables_505100!C191,input_505100!A:H,8,FALSE))</f>
        <v>15107.14286</v>
      </c>
      <c r="P191" s="46">
        <f t="shared" ca="1" si="7"/>
        <v>2.4350649355246812E-4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input_505100!A$2</f>
        <v>505100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IFERROR(VLOOKUP(B192,input_505100!L:R,7,FALSE),VLOOKUP(tables_505100!C192,input_505100!A:H,8,FALSE))</f>
        <v>940</v>
      </c>
      <c r="P192" s="46">
        <f t="shared" ca="1" si="7"/>
        <v>1.515151515151026E-5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input_505100!A$2</f>
        <v>505100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IFERROR(VLOOKUP(B193,input_505100!L:R,7,FALSE),VLOOKUP(tables_505100!C193,input_505100!A:H,8,FALSE))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input_505100!A$2</f>
        <v>505100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IFERROR(VLOOKUP(B194,input_505100!L:R,7,FALSE),VLOOKUP(tables_505100!C194,input_505100!A:H,8,FALSE))</f>
        <v>540438.46154000005</v>
      </c>
      <c r="P194" s="46">
        <f t="shared" ref="P194:P257" ca="1" si="10">O194/SUM(O:O)</f>
        <v>8.7111292962576657E-3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input_505100!A$2</f>
        <v>505100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IFERROR(VLOOKUP(B195,input_505100!L:R,7,FALSE),VLOOKUP(tables_505100!C195,input_505100!A:H,8,FALSE))</f>
        <v>45957.692309999999</v>
      </c>
      <c r="P195" s="46">
        <f t="shared" ca="1" si="10"/>
        <v>7.4077518230150163E-4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input_505100!A$2</f>
        <v>505100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IFERROR(VLOOKUP(B196,input_505100!L:R,7,FALSE),VLOOKUP(tables_505100!C196,input_505100!A:H,8,FALSE))</f>
        <v>15107.14286</v>
      </c>
      <c r="P196" s="46">
        <f t="shared" ca="1" si="10"/>
        <v>2.4350649355246812E-4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input_505100!A$2</f>
        <v>505100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IFERROR(VLOOKUP(B197,input_505100!L:R,7,FALSE),VLOOKUP(tables_505100!C197,input_505100!A:H,8,FALSE))</f>
        <v>940</v>
      </c>
      <c r="P197" s="46">
        <f t="shared" ca="1" si="10"/>
        <v>1.515151515151026E-5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input_505100!A$2</f>
        <v>505100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IFERROR(VLOOKUP(B198,input_505100!L:R,7,FALSE),VLOOKUP(tables_505100!C198,input_505100!A:H,8,FALSE))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input_505100!A$2</f>
        <v>505100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IFERROR(VLOOKUP(B199,input_505100!L:R,7,FALSE),VLOOKUP(tables_505100!C199,input_505100!A:H,8,FALSE))</f>
        <v>540438.46154000005</v>
      </c>
      <c r="P199" s="46">
        <f t="shared" ca="1" si="10"/>
        <v>8.7111292962576657E-3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input_505100!A$2</f>
        <v>505100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IFERROR(VLOOKUP(B200,input_505100!L:R,7,FALSE),VLOOKUP(tables_505100!C200,input_505100!A:H,8,FALSE))</f>
        <v>45957.692309999999</v>
      </c>
      <c r="P200" s="46">
        <f t="shared" ca="1" si="10"/>
        <v>7.4077518230150163E-4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input_505100!A$2</f>
        <v>505100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IFERROR(VLOOKUP(B201,input_505100!L:R,7,FALSE),VLOOKUP(tables_505100!C201,input_505100!A:H,8,FALSE))</f>
        <v>15107.14286</v>
      </c>
      <c r="P201" s="46">
        <f t="shared" ca="1" si="10"/>
        <v>2.4350649355246812E-4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input_505100!A$2</f>
        <v>505100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IFERROR(VLOOKUP(B202,input_505100!L:R,7,FALSE),VLOOKUP(tables_505100!C202,input_505100!A:H,8,FALSE))</f>
        <v>940</v>
      </c>
      <c r="P202" s="46">
        <f t="shared" ca="1" si="10"/>
        <v>1.515151515151026E-5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input_505100!A$2</f>
        <v>505100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IFERROR(VLOOKUP(B203,input_505100!L:R,7,FALSE),VLOOKUP(tables_505100!C203,input_505100!A:H,8,FALSE))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input_505100!A$2</f>
        <v>505100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IFERROR(VLOOKUP(B204,input_505100!L:R,7,FALSE),VLOOKUP(tables_505100!C204,input_505100!A:H,8,FALSE))</f>
        <v>540438.46154000005</v>
      </c>
      <c r="P204" s="46">
        <f t="shared" ca="1" si="10"/>
        <v>8.7111292962576657E-3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input_505100!A$2</f>
        <v>505100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IFERROR(VLOOKUP(B205,input_505100!L:R,7,FALSE),VLOOKUP(tables_505100!C205,input_505100!A:H,8,FALSE))</f>
        <v>45957.692309999999</v>
      </c>
      <c r="P205" s="46">
        <f t="shared" ca="1" si="10"/>
        <v>7.4077518230150163E-4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input_505100!A$2</f>
        <v>505100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IFERROR(VLOOKUP(B206,input_505100!L:R,7,FALSE),VLOOKUP(tables_505100!C206,input_505100!A:H,8,FALSE))</f>
        <v>15107.14286</v>
      </c>
      <c r="P206" s="46">
        <f t="shared" ca="1" si="10"/>
        <v>2.4350649355246812E-4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input_505100!A$2</f>
        <v>505100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IFERROR(VLOOKUP(B207,input_505100!L:R,7,FALSE),VLOOKUP(tables_505100!C207,input_505100!A:H,8,FALSE))</f>
        <v>940</v>
      </c>
      <c r="P207" s="46">
        <f t="shared" ca="1" si="10"/>
        <v>1.515151515151026E-5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input_505100!A$2</f>
        <v>505100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IFERROR(VLOOKUP(B208,input_505100!L:R,7,FALSE),VLOOKUP(tables_505100!C208,input_505100!A:H,8,FALSE))</f>
        <v>15107.14286</v>
      </c>
      <c r="P208" s="46">
        <f t="shared" ca="1" si="10"/>
        <v>2.4350649355246812E-4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input_505100!A$2</f>
        <v>505100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IFERROR(VLOOKUP(B209,input_505100!L:R,7,FALSE),VLOOKUP(tables_505100!C209,input_505100!A:H,8,FALSE))</f>
        <v>940</v>
      </c>
      <c r="P209" s="46">
        <f t="shared" ca="1" si="10"/>
        <v>1.515151515151026E-5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input_505100!A$2</f>
        <v>505100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IFERROR(VLOOKUP(B210,input_505100!L:R,7,FALSE),VLOOKUP(tables_505100!C210,input_505100!A:H,8,FALSE))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input_505100!A$2</f>
        <v>505100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IFERROR(VLOOKUP(B211,input_505100!L:R,7,FALSE),VLOOKUP(tables_505100!C211,input_505100!A:H,8,FALSE))</f>
        <v>540438.46154000005</v>
      </c>
      <c r="P211" s="46">
        <f t="shared" ca="1" si="10"/>
        <v>8.7111292962576657E-3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input_505100!A$2</f>
        <v>505100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IFERROR(VLOOKUP(B212,input_505100!L:R,7,FALSE),VLOOKUP(tables_505100!C212,input_505100!A:H,8,FALSE))</f>
        <v>45957.692309999999</v>
      </c>
      <c r="P212" s="46">
        <f t="shared" ca="1" si="10"/>
        <v>7.4077518230150163E-4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input_505100!A$2</f>
        <v>505100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IFERROR(VLOOKUP(B213,input_505100!L:R,7,FALSE),VLOOKUP(tables_505100!C213,input_505100!A:H,8,FALSE))</f>
        <v>15107.14286</v>
      </c>
      <c r="P213" s="46">
        <f t="shared" ca="1" si="10"/>
        <v>2.4350649355246812E-4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input_505100!A$2</f>
        <v>505100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IFERROR(VLOOKUP(B214,input_505100!L:R,7,FALSE),VLOOKUP(tables_505100!C214,input_505100!A:H,8,FALSE))</f>
        <v>940</v>
      </c>
      <c r="P214" s="46">
        <f t="shared" ca="1" si="10"/>
        <v>1.515151515151026E-5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input_505100!A$2</f>
        <v>505100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IFERROR(VLOOKUP(B215,input_505100!L:R,7,FALSE),VLOOKUP(tables_505100!C215,input_505100!A:H,8,FALSE))</f>
        <v>36850</v>
      </c>
      <c r="P215" s="46">
        <f t="shared" ca="1" si="10"/>
        <v>5.9397163120548198E-4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input_505100!A$2</f>
        <v>505100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IFERROR(VLOOKUP(B216,input_505100!L:R,7,FALSE),VLOOKUP(tables_505100!C216,input_505100!A:H,8,FALSE))</f>
        <v>36850</v>
      </c>
      <c r="P216" s="46">
        <f t="shared" ca="1" si="10"/>
        <v>5.9397163120548198E-4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input_505100!A$2</f>
        <v>505100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IFERROR(VLOOKUP(B217,input_505100!L:R,7,FALSE),VLOOKUP(tables_505100!C217,input_505100!A:H,8,FALSE))</f>
        <v>36850</v>
      </c>
      <c r="P217" s="46">
        <f t="shared" ca="1" si="10"/>
        <v>5.9397163120548198E-4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input_505100!A$2</f>
        <v>505100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IFERROR(VLOOKUP(B218,input_505100!L:R,7,FALSE),VLOOKUP(tables_505100!C218,input_505100!A:H,8,FALSE))</f>
        <v>36850</v>
      </c>
      <c r="P218" s="46">
        <f t="shared" ca="1" si="10"/>
        <v>5.9397163120548198E-4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input_505100!A$2</f>
        <v>505100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IFERROR(VLOOKUP(B219,input_505100!L:R,7,FALSE),VLOOKUP(tables_505100!C219,input_505100!A:H,8,FALSE))</f>
        <v>36850</v>
      </c>
      <c r="P219" s="46">
        <f t="shared" ca="1" si="10"/>
        <v>5.9397163120548198E-4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input_505100!A$2</f>
        <v>505100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IFERROR(VLOOKUP(B220,input_505100!L:R,7,FALSE),VLOOKUP(tables_505100!C220,input_505100!A:H,8,FALSE))</f>
        <v>36850</v>
      </c>
      <c r="P220" s="46">
        <f t="shared" ca="1" si="10"/>
        <v>5.9397163120548198E-4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input_505100!A$2</f>
        <v>505100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IFERROR(VLOOKUP(B221,input_505100!L:R,7,FALSE),VLOOKUP(tables_505100!C221,input_505100!A:H,8,FALSE))</f>
        <v>15107.14286</v>
      </c>
      <c r="P221" s="46">
        <f t="shared" ca="1" si="10"/>
        <v>2.4350649355246812E-4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input_505100!A$2</f>
        <v>505100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IFERROR(VLOOKUP(B222,input_505100!L:R,7,FALSE),VLOOKUP(tables_505100!C222,input_505100!A:H,8,FALSE))</f>
        <v>940</v>
      </c>
      <c r="P222" s="46">
        <f t="shared" ca="1" si="10"/>
        <v>1.515151515151026E-5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input_505100!A$2</f>
        <v>505100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IFERROR(VLOOKUP(B223,input_505100!L:R,7,FALSE),VLOOKUP(tables_505100!C223,input_505100!A:H,8,FALSE))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input_505100!A$2</f>
        <v>505100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IFERROR(VLOOKUP(B224,input_505100!L:R,7,FALSE),VLOOKUP(tables_505100!C224,input_505100!A:H,8,FALSE))</f>
        <v>540438.46154000005</v>
      </c>
      <c r="P224" s="46">
        <f t="shared" ca="1" si="10"/>
        <v>8.7111292962576657E-3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input_505100!A$2</f>
        <v>505100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IFERROR(VLOOKUP(B225,input_505100!L:R,7,FALSE),VLOOKUP(tables_505100!C225,input_505100!A:H,8,FALSE))</f>
        <v>45957.692309999999</v>
      </c>
      <c r="P225" s="46">
        <f t="shared" ca="1" si="10"/>
        <v>7.4077518230150163E-4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input_505100!A$2</f>
        <v>505100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IFERROR(VLOOKUP(B226,input_505100!L:R,7,FALSE),VLOOKUP(tables_505100!C226,input_505100!A:H,8,FALSE))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input_505100!A$2</f>
        <v>505100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IFERROR(VLOOKUP(B227,input_505100!L:R,7,FALSE),VLOOKUP(tables_505100!C227,input_505100!A:H,8,FALSE))</f>
        <v>540438.46154000005</v>
      </c>
      <c r="P227" s="46">
        <f t="shared" ca="1" si="10"/>
        <v>8.7111292962576657E-3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input_505100!A$2</f>
        <v>505100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IFERROR(VLOOKUP(B228,input_505100!L:R,7,FALSE),VLOOKUP(tables_505100!C228,input_505100!A:H,8,FALSE))</f>
        <v>45957.692309999999</v>
      </c>
      <c r="P228" s="46">
        <f t="shared" ca="1" si="10"/>
        <v>7.4077518230150163E-4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input_505100!A$2</f>
        <v>505100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IFERROR(VLOOKUP(B229,input_505100!L:R,7,FALSE),VLOOKUP(tables_505100!C229,input_505100!A:H,8,FALSE))</f>
        <v>15107.14286</v>
      </c>
      <c r="P229" s="46">
        <f t="shared" ca="1" si="10"/>
        <v>2.4350649355246812E-4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input_505100!A$2</f>
        <v>505100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IFERROR(VLOOKUP(B230,input_505100!L:R,7,FALSE),VLOOKUP(tables_505100!C230,input_505100!A:H,8,FALSE))</f>
        <v>940</v>
      </c>
      <c r="P230" s="46">
        <f t="shared" ca="1" si="10"/>
        <v>1.515151515151026E-5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input_505100!A$2</f>
        <v>505100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IFERROR(VLOOKUP(B231,input_505100!L:R,7,FALSE),VLOOKUP(tables_505100!C231,input_505100!A:H,8,FALSE))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input_505100!A$2</f>
        <v>505100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IFERROR(VLOOKUP(B232,input_505100!L:R,7,FALSE),VLOOKUP(tables_505100!C232,input_505100!A:H,8,FALSE))</f>
        <v>540438.46154000005</v>
      </c>
      <c r="P232" s="46">
        <f t="shared" ca="1" si="10"/>
        <v>8.7111292962576657E-3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input_505100!A$2</f>
        <v>505100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IFERROR(VLOOKUP(B233,input_505100!L:R,7,FALSE),VLOOKUP(tables_505100!C233,input_505100!A:H,8,FALSE))</f>
        <v>45957.692309999999</v>
      </c>
      <c r="P233" s="46">
        <f t="shared" ca="1" si="10"/>
        <v>7.4077518230150163E-4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input_505100!A$2</f>
        <v>505100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IFERROR(VLOOKUP(B234,input_505100!L:R,7,FALSE),VLOOKUP(tables_505100!C234,input_505100!A:H,8,FALSE))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input_505100!A$2</f>
        <v>505100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IFERROR(VLOOKUP(B235,input_505100!L:R,7,FALSE),VLOOKUP(tables_505100!C235,input_505100!A:H,8,FALSE))</f>
        <v>540438.46154000005</v>
      </c>
      <c r="P235" s="46">
        <f t="shared" ca="1" si="10"/>
        <v>8.7111292962576657E-3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input_505100!A$2</f>
        <v>505100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IFERROR(VLOOKUP(B236,input_505100!L:R,7,FALSE),VLOOKUP(tables_505100!C236,input_505100!A:H,8,FALSE))</f>
        <v>45957.692309999999</v>
      </c>
      <c r="P236" s="46">
        <f t="shared" ca="1" si="10"/>
        <v>7.4077518230150163E-4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input_505100!A$2</f>
        <v>505100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IFERROR(VLOOKUP(B237,input_505100!L:R,7,FALSE),VLOOKUP(tables_505100!C237,input_505100!A:H,8,FALSE))</f>
        <v>15107.14286</v>
      </c>
      <c r="P237" s="46">
        <f t="shared" ca="1" si="10"/>
        <v>2.4350649355246812E-4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input_505100!A$2</f>
        <v>505100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IFERROR(VLOOKUP(B238,input_505100!L:R,7,FALSE),VLOOKUP(tables_505100!C238,input_505100!A:H,8,FALSE))</f>
        <v>940</v>
      </c>
      <c r="P238" s="46">
        <f t="shared" ca="1" si="10"/>
        <v>1.515151515151026E-5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input_505100!A$2</f>
        <v>505100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IFERROR(VLOOKUP(B239,input_505100!L:R,7,FALSE),VLOOKUP(tables_505100!C239,input_505100!A:H,8,FALSE))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input_505100!A$2</f>
        <v>505100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IFERROR(VLOOKUP(B240,input_505100!L:R,7,FALSE),VLOOKUP(tables_505100!C240,input_505100!A:H,8,FALSE))</f>
        <v>540438.46154000005</v>
      </c>
      <c r="P240" s="46">
        <f t="shared" ca="1" si="10"/>
        <v>8.7111292962576657E-3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input_505100!A$2</f>
        <v>505100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IFERROR(VLOOKUP(B241,input_505100!L:R,7,FALSE),VLOOKUP(tables_505100!C241,input_505100!A:H,8,FALSE))</f>
        <v>45957.692309999999</v>
      </c>
      <c r="P241" s="46">
        <f t="shared" ca="1" si="10"/>
        <v>7.4077518230150163E-4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input_505100!A$2</f>
        <v>505100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IFERROR(VLOOKUP(B242,input_505100!L:R,7,FALSE),VLOOKUP(tables_505100!C242,input_505100!A:H,8,FALSE))</f>
        <v>15107.14286</v>
      </c>
      <c r="P242" s="46">
        <f t="shared" ca="1" si="10"/>
        <v>2.4350649355246812E-4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input_505100!A$2</f>
        <v>505100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IFERROR(VLOOKUP(B243,input_505100!L:R,7,FALSE),VLOOKUP(tables_505100!C243,input_505100!A:H,8,FALSE))</f>
        <v>940</v>
      </c>
      <c r="P243" s="46">
        <f t="shared" ca="1" si="10"/>
        <v>1.515151515151026E-5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input_505100!A$2</f>
        <v>505100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IFERROR(VLOOKUP(B244,input_505100!L:R,7,FALSE),VLOOKUP(tables_505100!C244,input_505100!A:H,8,FALSE))</f>
        <v>15107.14286</v>
      </c>
      <c r="P244" s="46">
        <f t="shared" ca="1" si="10"/>
        <v>2.4350649355246812E-4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input_505100!A$2</f>
        <v>505100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IFERROR(VLOOKUP(B245,input_505100!L:R,7,FALSE),VLOOKUP(tables_505100!C245,input_505100!A:H,8,FALSE))</f>
        <v>940</v>
      </c>
      <c r="P245" s="46">
        <f t="shared" ca="1" si="10"/>
        <v>1.515151515151026E-5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input_505100!A$2</f>
        <v>505100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IFERROR(VLOOKUP(B246,input_505100!L:R,7,FALSE),VLOOKUP(tables_505100!C246,input_505100!A:H,8,FALSE))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input_505100!A$2</f>
        <v>505100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IFERROR(VLOOKUP(B247,input_505100!L:R,7,FALSE),VLOOKUP(tables_505100!C247,input_505100!A:H,8,FALSE))</f>
        <v>540438.46154000005</v>
      </c>
      <c r="P247" s="46">
        <f t="shared" ca="1" si="10"/>
        <v>8.7111292962576657E-3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input_505100!A$2</f>
        <v>505100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IFERROR(VLOOKUP(B248,input_505100!L:R,7,FALSE),VLOOKUP(tables_505100!C248,input_505100!A:H,8,FALSE))</f>
        <v>45957.692309999999</v>
      </c>
      <c r="P248" s="46">
        <f t="shared" ca="1" si="10"/>
        <v>7.4077518230150163E-4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input_505100!A$2</f>
        <v>505100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IFERROR(VLOOKUP(B249,input_505100!L:R,7,FALSE),VLOOKUP(tables_505100!C249,input_505100!A:H,8,FALSE))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input_505100!A$2</f>
        <v>505100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IFERROR(VLOOKUP(B250,input_505100!L:R,7,FALSE),VLOOKUP(tables_505100!C250,input_505100!A:H,8,FALSE))</f>
        <v>540438.46154000005</v>
      </c>
      <c r="P250" s="46">
        <f t="shared" ca="1" si="10"/>
        <v>8.7111292962576657E-3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input_505100!A$2</f>
        <v>505100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IFERROR(VLOOKUP(B251,input_505100!L:R,7,FALSE),VLOOKUP(tables_505100!C251,input_505100!A:H,8,FALSE))</f>
        <v>45957.692309999999</v>
      </c>
      <c r="P251" s="46">
        <f t="shared" ca="1" si="10"/>
        <v>7.4077518230150163E-4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input_505100!A$2</f>
        <v>505100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IFERROR(VLOOKUP(B252,input_505100!L:R,7,FALSE),VLOOKUP(tables_505100!C252,input_505100!A:H,8,FALSE))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input_505100!A$2</f>
        <v>505100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IFERROR(VLOOKUP(B253,input_505100!L:R,7,FALSE),VLOOKUP(tables_505100!C253,input_505100!A:H,8,FALSE))</f>
        <v>540438.46154000005</v>
      </c>
      <c r="P253" s="46">
        <f t="shared" ca="1" si="10"/>
        <v>8.7111292962576657E-3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input_505100!A$2</f>
        <v>505100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IFERROR(VLOOKUP(B254,input_505100!L:R,7,FALSE),VLOOKUP(tables_505100!C254,input_505100!A:H,8,FALSE))</f>
        <v>45957.692309999999</v>
      </c>
      <c r="P254" s="46">
        <f t="shared" ca="1" si="10"/>
        <v>7.4077518230150163E-4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input_505100!A$2</f>
        <v>505100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IFERROR(VLOOKUP(B255,input_505100!L:R,7,FALSE),VLOOKUP(tables_505100!C255,input_505100!A:H,8,FALSE))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input_505100!A$2</f>
        <v>505100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IFERROR(VLOOKUP(B256,input_505100!L:R,7,FALSE),VLOOKUP(tables_505100!C256,input_505100!A:H,8,FALSE))</f>
        <v>540438.46154000005</v>
      </c>
      <c r="P256" s="46">
        <f t="shared" ca="1" si="10"/>
        <v>8.7111292962576657E-3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input_505100!A$2</f>
        <v>505100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IFERROR(VLOOKUP(B257,input_505100!L:R,7,FALSE),VLOOKUP(tables_505100!C257,input_505100!A:H,8,FALSE))</f>
        <v>45957.692309999999</v>
      </c>
      <c r="P257" s="46">
        <f t="shared" ca="1" si="10"/>
        <v>7.4077518230150163E-4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input_505100!A$2</f>
        <v>505100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IFERROR(VLOOKUP(B258,input_505100!L:R,7,FALSE),VLOOKUP(tables_505100!C258,input_505100!A:H,8,FALSE))</f>
        <v>15107.14286</v>
      </c>
      <c r="P258" s="46">
        <f t="shared" ref="P258:P321" ca="1" si="13">O258/SUM(O:O)</f>
        <v>2.4350649355246812E-4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input_505100!A$2</f>
        <v>505100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IFERROR(VLOOKUP(B259,input_505100!L:R,7,FALSE),VLOOKUP(tables_505100!C259,input_505100!A:H,8,FALSE))</f>
        <v>940</v>
      </c>
      <c r="P259" s="46">
        <f t="shared" ca="1" si="13"/>
        <v>1.515151515151026E-5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input_505100!A$2</f>
        <v>505100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IFERROR(VLOOKUP(B260,input_505100!L:R,7,FALSE),VLOOKUP(tables_505100!C260,input_505100!A:H,8,FALSE))</f>
        <v>15107.14286</v>
      </c>
      <c r="P260" s="46">
        <f t="shared" ca="1" si="13"/>
        <v>2.4350649355246812E-4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input_505100!A$2</f>
        <v>505100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IFERROR(VLOOKUP(B261,input_505100!L:R,7,FALSE),VLOOKUP(tables_505100!C261,input_505100!A:H,8,FALSE))</f>
        <v>940</v>
      </c>
      <c r="P261" s="46">
        <f t="shared" ca="1" si="13"/>
        <v>1.515151515151026E-5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input_505100!A$2</f>
        <v>505100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IFERROR(VLOOKUP(B262,input_505100!L:R,7,FALSE),VLOOKUP(tables_505100!C262,input_505100!A:H,8,FALSE))</f>
        <v>577866.66666999995</v>
      </c>
      <c r="P262" s="46">
        <f t="shared" ca="1" si="13"/>
        <v>9.3144208038332277E-3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input_505100!A$2</f>
        <v>505100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IFERROR(VLOOKUP(B263,input_505100!L:R,7,FALSE),VLOOKUP(tables_505100!C263,input_505100!A:H,8,FALSE))</f>
        <v>36850</v>
      </c>
      <c r="P263" s="46">
        <f t="shared" ca="1" si="13"/>
        <v>5.9397163120548198E-4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input_505100!A$2</f>
        <v>505100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IFERROR(VLOOKUP(B264,input_505100!L:R,7,FALSE),VLOOKUP(tables_505100!C264,input_505100!A:H,8,FALSE))</f>
        <v>577866.66666999995</v>
      </c>
      <c r="P264" s="46">
        <f t="shared" ca="1" si="13"/>
        <v>9.3144208038332277E-3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input_505100!A$2</f>
        <v>505100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IFERROR(VLOOKUP(B265,input_505100!L:R,7,FALSE),VLOOKUP(tables_505100!C265,input_505100!A:H,8,FALSE))</f>
        <v>36850</v>
      </c>
      <c r="P265" s="46">
        <f t="shared" ca="1" si="13"/>
        <v>5.9397163120548198E-4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input_505100!A$2</f>
        <v>505100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IFERROR(VLOOKUP(B266,input_505100!L:R,7,FALSE),VLOOKUP(tables_505100!C266,input_505100!A:H,8,FALSE))</f>
        <v>4502.1052600000003</v>
      </c>
      <c r="P266" s="46">
        <f t="shared" ca="1" si="13"/>
        <v>7.2567783043174516E-5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input_505100!A$2</f>
        <v>505100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IFERROR(VLOOKUP(B267,input_505100!L:R,7,FALSE),VLOOKUP(tables_505100!C267,input_505100!A:H,8,FALSE))</f>
        <v>4502.1052600000003</v>
      </c>
      <c r="P267" s="46">
        <f t="shared" ca="1" si="13"/>
        <v>7.2567783043174516E-5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input_505100!A$2</f>
        <v>505100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IFERROR(VLOOKUP(B268,input_505100!L:R,7,FALSE),VLOOKUP(tables_505100!C268,input_505100!A:H,8,FALSE))</f>
        <v>4502.1052600000003</v>
      </c>
      <c r="P268" s="46">
        <f t="shared" ca="1" si="13"/>
        <v>7.2567783043174516E-5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input_505100!A$2</f>
        <v>505100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IFERROR(VLOOKUP(B269,input_505100!L:R,7,FALSE),VLOOKUP(tables_505100!C269,input_505100!A:H,8,FALSE))</f>
        <v>4502.1052600000003</v>
      </c>
      <c r="P269" s="46">
        <f t="shared" ca="1" si="13"/>
        <v>7.2567783043174516E-5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input_505100!A$2</f>
        <v>505100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IFERROR(VLOOKUP(B270,input_505100!L:R,7,FALSE),VLOOKUP(tables_505100!C270,input_505100!A:H,8,FALSE))</f>
        <v>577866.66666999995</v>
      </c>
      <c r="P270" s="46">
        <f t="shared" ca="1" si="13"/>
        <v>9.3144208038332277E-3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input_505100!A$2</f>
        <v>505100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IFERROR(VLOOKUP(B271,input_505100!L:R,7,FALSE),VLOOKUP(tables_505100!C271,input_505100!A:H,8,FALSE))</f>
        <v>36850</v>
      </c>
      <c r="P271" s="46">
        <f t="shared" ca="1" si="13"/>
        <v>5.9397163120548198E-4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input_505100!A$2</f>
        <v>505100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IFERROR(VLOOKUP(B272,input_505100!L:R,7,FALSE),VLOOKUP(tables_505100!C272,input_505100!A:H,8,FALSE))</f>
        <v>577866.66666999995</v>
      </c>
      <c r="P272" s="46">
        <f t="shared" ca="1" si="13"/>
        <v>9.3144208038332277E-3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input_505100!A$2</f>
        <v>505100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IFERROR(VLOOKUP(B273,input_505100!L:R,7,FALSE),VLOOKUP(tables_505100!C273,input_505100!A:H,8,FALSE))</f>
        <v>36850</v>
      </c>
      <c r="P273" s="46">
        <f t="shared" ca="1" si="13"/>
        <v>5.9397163120548198E-4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input_505100!A$2</f>
        <v>505100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IFERROR(VLOOKUP(B274,input_505100!L:R,7,FALSE),VLOOKUP(tables_505100!C274,input_505100!A:H,8,FALSE))</f>
        <v>15107.14286</v>
      </c>
      <c r="P274" s="46">
        <f t="shared" ca="1" si="13"/>
        <v>2.4350649355246812E-4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input_505100!A$2</f>
        <v>505100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IFERROR(VLOOKUP(B275,input_505100!L:R,7,FALSE),VLOOKUP(tables_505100!C275,input_505100!A:H,8,FALSE))</f>
        <v>940</v>
      </c>
      <c r="P275" s="46">
        <f t="shared" ca="1" si="13"/>
        <v>1.515151515151026E-5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input_505100!A$2</f>
        <v>505100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IFERROR(VLOOKUP(B276,input_505100!L:R,7,FALSE),VLOOKUP(tables_505100!C276,input_505100!A:H,8,FALSE))</f>
        <v>15107.14286</v>
      </c>
      <c r="P276" s="46">
        <f t="shared" ca="1" si="13"/>
        <v>2.4350649355246812E-4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input_505100!A$2</f>
        <v>505100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IFERROR(VLOOKUP(B277,input_505100!L:R,7,FALSE),VLOOKUP(tables_505100!C277,input_505100!A:H,8,FALSE))</f>
        <v>940</v>
      </c>
      <c r="P277" s="46">
        <f t="shared" ca="1" si="13"/>
        <v>1.515151515151026E-5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input_505100!A$2</f>
        <v>505100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IFERROR(VLOOKUP(B278,input_505100!L:R,7,FALSE),VLOOKUP(tables_505100!C278,input_505100!A:H,8,FALSE))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input_505100!A$2</f>
        <v>505100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IFERROR(VLOOKUP(B279,input_505100!L:R,7,FALSE),VLOOKUP(tables_505100!C279,input_505100!A:H,8,FALSE))</f>
        <v>540438.46154000005</v>
      </c>
      <c r="P279" s="46">
        <f t="shared" ca="1" si="13"/>
        <v>8.7111292962576657E-3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input_505100!A$2</f>
        <v>505100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IFERROR(VLOOKUP(B280,input_505100!L:R,7,FALSE),VLOOKUP(tables_505100!C280,input_505100!A:H,8,FALSE))</f>
        <v>45957.692309999999</v>
      </c>
      <c r="P280" s="46">
        <f t="shared" ca="1" si="13"/>
        <v>7.4077518230150163E-4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input_505100!A$2</f>
        <v>505100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IFERROR(VLOOKUP(B281,input_505100!L:R,7,FALSE),VLOOKUP(tables_505100!C281,input_505100!A:H,8,FALSE))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input_505100!A$2</f>
        <v>505100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IFERROR(VLOOKUP(B282,input_505100!L:R,7,FALSE),VLOOKUP(tables_505100!C282,input_505100!A:H,8,FALSE))</f>
        <v>540438.46154000005</v>
      </c>
      <c r="P282" s="46">
        <f t="shared" ca="1" si="13"/>
        <v>8.7111292962576657E-3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input_505100!A$2</f>
        <v>505100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IFERROR(VLOOKUP(B283,input_505100!L:R,7,FALSE),VLOOKUP(tables_505100!C283,input_505100!A:H,8,FALSE))</f>
        <v>45957.692309999999</v>
      </c>
      <c r="P283" s="46">
        <f t="shared" ca="1" si="13"/>
        <v>7.4077518230150163E-4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input_505100!A$2</f>
        <v>505100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IFERROR(VLOOKUP(B284,input_505100!L:R,7,FALSE),VLOOKUP(tables_505100!C284,input_505100!A:H,8,FALSE))</f>
        <v>4502.1052600000003</v>
      </c>
      <c r="P284" s="46">
        <f t="shared" ca="1" si="13"/>
        <v>7.2567783043174516E-5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input_505100!A$2</f>
        <v>505100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IFERROR(VLOOKUP(B285,input_505100!L:R,7,FALSE),VLOOKUP(tables_505100!C285,input_505100!A:H,8,FALSE))</f>
        <v>4502.1052600000003</v>
      </c>
      <c r="P285" s="46">
        <f t="shared" ca="1" si="13"/>
        <v>7.2567783043174516E-5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input_505100!A$2</f>
        <v>505100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IFERROR(VLOOKUP(B286,input_505100!L:R,7,FALSE),VLOOKUP(tables_505100!C286,input_505100!A:H,8,FALSE))</f>
        <v>577866.66666999995</v>
      </c>
      <c r="P286" s="46">
        <f t="shared" ca="1" si="13"/>
        <v>9.3144208038332277E-3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input_505100!A$2</f>
        <v>505100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IFERROR(VLOOKUP(B287,input_505100!L:R,7,FALSE),VLOOKUP(tables_505100!C287,input_505100!A:H,8,FALSE))</f>
        <v>36850</v>
      </c>
      <c r="P287" s="46">
        <f t="shared" ca="1" si="13"/>
        <v>5.9397163120548198E-4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input_505100!A$2</f>
        <v>505100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IFERROR(VLOOKUP(B288,input_505100!L:R,7,FALSE),VLOOKUP(tables_505100!C288,input_505100!A:H,8,FALSE))</f>
        <v>577866.66666999995</v>
      </c>
      <c r="P288" s="46">
        <f t="shared" ca="1" si="13"/>
        <v>9.3144208038332277E-3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input_505100!A$2</f>
        <v>505100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IFERROR(VLOOKUP(B289,input_505100!L:R,7,FALSE),VLOOKUP(tables_505100!C289,input_505100!A:H,8,FALSE))</f>
        <v>36850</v>
      </c>
      <c r="P289" s="46">
        <f t="shared" ca="1" si="13"/>
        <v>5.9397163120548198E-4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input_505100!A$2</f>
        <v>505100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IFERROR(VLOOKUP(B290,input_505100!L:R,7,FALSE),VLOOKUP(tables_505100!C290,input_505100!A:H,8,FALSE))</f>
        <v>577866.66666999995</v>
      </c>
      <c r="P290" s="46">
        <f t="shared" ca="1" si="13"/>
        <v>9.3144208038332277E-3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input_505100!A$2</f>
        <v>505100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IFERROR(VLOOKUP(B291,input_505100!L:R,7,FALSE),VLOOKUP(tables_505100!C291,input_505100!A:H,8,FALSE))</f>
        <v>36850</v>
      </c>
      <c r="P291" s="46">
        <f t="shared" ca="1" si="13"/>
        <v>5.9397163120548198E-4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input_505100!A$2</f>
        <v>505100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IFERROR(VLOOKUP(B292,input_505100!L:R,7,FALSE),VLOOKUP(tables_505100!C292,input_505100!A:H,8,FALSE))</f>
        <v>577866.66666999995</v>
      </c>
      <c r="P292" s="46">
        <f t="shared" ca="1" si="13"/>
        <v>9.3144208038332277E-3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input_505100!A$2</f>
        <v>505100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IFERROR(VLOOKUP(B293,input_505100!L:R,7,FALSE),VLOOKUP(tables_505100!C293,input_505100!A:H,8,FALSE))</f>
        <v>36850</v>
      </c>
      <c r="P293" s="46">
        <f t="shared" ca="1" si="13"/>
        <v>5.9397163120548198E-4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input_505100!A$2</f>
        <v>505100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IFERROR(VLOOKUP(B294,input_505100!L:R,7,FALSE),VLOOKUP(tables_505100!C294,input_505100!A:H,8,FALSE))</f>
        <v>4502.1052600000003</v>
      </c>
      <c r="P294" s="46">
        <f t="shared" ca="1" si="13"/>
        <v>7.2567783043174516E-5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input_505100!A$2</f>
        <v>505100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IFERROR(VLOOKUP(B295,input_505100!L:R,7,FALSE),VLOOKUP(tables_505100!C295,input_505100!A:H,8,FALSE))</f>
        <v>4502.1052600000003</v>
      </c>
      <c r="P295" s="46">
        <f t="shared" ca="1" si="13"/>
        <v>7.2567783043174516E-5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input_505100!A$2</f>
        <v>505100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IFERROR(VLOOKUP(B296,input_505100!L:R,7,FALSE),VLOOKUP(tables_505100!C296,input_505100!A:H,8,FALSE))</f>
        <v>4502.1052600000003</v>
      </c>
      <c r="P296" s="46">
        <f t="shared" ca="1" si="13"/>
        <v>7.2567783043174516E-5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input_505100!A$2</f>
        <v>505100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IFERROR(VLOOKUP(B297,input_505100!L:R,7,FALSE),VLOOKUP(tables_505100!C297,input_505100!A:H,8,FALSE))</f>
        <v>577866.66666999995</v>
      </c>
      <c r="P297" s="46">
        <f t="shared" ca="1" si="13"/>
        <v>9.3144208038332277E-3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input_505100!A$2</f>
        <v>505100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IFERROR(VLOOKUP(B298,input_505100!L:R,7,FALSE),VLOOKUP(tables_505100!C298,input_505100!A:H,8,FALSE))</f>
        <v>36850</v>
      </c>
      <c r="P298" s="46">
        <f t="shared" ca="1" si="13"/>
        <v>5.9397163120548198E-4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input_505100!A$2</f>
        <v>505100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IFERROR(VLOOKUP(B299,input_505100!L:R,7,FALSE),VLOOKUP(tables_505100!C299,input_505100!A:H,8,FALSE))</f>
        <v>4502.1052600000003</v>
      </c>
      <c r="P299" s="46">
        <f t="shared" ca="1" si="13"/>
        <v>7.2567783043174516E-5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input_505100!A$2</f>
        <v>505100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IFERROR(VLOOKUP(B300,input_505100!L:R,7,FALSE),VLOOKUP(tables_505100!C300,input_505100!A:H,8,FALSE))</f>
        <v>4502.1052600000003</v>
      </c>
      <c r="P300" s="46">
        <f t="shared" ca="1" si="13"/>
        <v>7.2567783043174516E-5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input_505100!A$2</f>
        <v>505100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IFERROR(VLOOKUP(B301,input_505100!L:R,7,FALSE),VLOOKUP(tables_505100!C301,input_505100!A:H,8,FALSE))</f>
        <v>4502.1052600000003</v>
      </c>
      <c r="P301" s="46">
        <f t="shared" ca="1" si="13"/>
        <v>7.2567783043174516E-5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input_505100!A$2</f>
        <v>505100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IFERROR(VLOOKUP(B302,input_505100!L:R,7,FALSE),VLOOKUP(tables_505100!C302,input_505100!A:H,8,FALSE))</f>
        <v>4502.1052600000003</v>
      </c>
      <c r="P302" s="46">
        <f t="shared" ca="1" si="13"/>
        <v>7.2567783043174516E-5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input_505100!A$2</f>
        <v>505100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IFERROR(VLOOKUP(B303,input_505100!L:R,7,FALSE),VLOOKUP(tables_505100!C303,input_505100!A:H,8,FALSE))</f>
        <v>577866.66666999995</v>
      </c>
      <c r="P303" s="46">
        <f t="shared" ca="1" si="13"/>
        <v>9.3144208038332277E-3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input_505100!A$2</f>
        <v>505100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IFERROR(VLOOKUP(B304,input_505100!L:R,7,FALSE),VLOOKUP(tables_505100!C304,input_505100!A:H,8,FALSE))</f>
        <v>36850</v>
      </c>
      <c r="P304" s="46">
        <f t="shared" ca="1" si="13"/>
        <v>5.9397163120548198E-4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input_505100!A$2</f>
        <v>505100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IFERROR(VLOOKUP(B305,input_505100!L:R,7,FALSE),VLOOKUP(tables_505100!C305,input_505100!A:H,8,FALSE))</f>
        <v>4502.1052600000003</v>
      </c>
      <c r="P305" s="46">
        <f t="shared" ca="1" si="13"/>
        <v>7.2567783043174516E-5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input_505100!A$2</f>
        <v>505100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IFERROR(VLOOKUP(B306,input_505100!L:R,7,FALSE),VLOOKUP(tables_505100!C306,input_505100!A:H,8,FALSE))</f>
        <v>577866.66666999995</v>
      </c>
      <c r="P306" s="46">
        <f t="shared" ca="1" si="13"/>
        <v>9.3144208038332277E-3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input_505100!A$2</f>
        <v>505100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IFERROR(VLOOKUP(B307,input_505100!L:R,7,FALSE),VLOOKUP(tables_505100!C307,input_505100!A:H,8,FALSE))</f>
        <v>36850</v>
      </c>
      <c r="P307" s="46">
        <f t="shared" ca="1" si="13"/>
        <v>5.9397163120548198E-4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input_505100!A$2</f>
        <v>505100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IFERROR(VLOOKUP(B308,input_505100!L:R,7,FALSE),VLOOKUP(tables_505100!C308,input_505100!A:H,8,FALSE))</f>
        <v>4502.1052600000003</v>
      </c>
      <c r="P308" s="46">
        <f t="shared" ca="1" si="13"/>
        <v>7.2567783043174516E-5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input_505100!A$2</f>
        <v>505100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IFERROR(VLOOKUP(B309,input_505100!L:R,7,FALSE),VLOOKUP(tables_505100!C309,input_505100!A:H,8,FALSE))</f>
        <v>4502.1052600000003</v>
      </c>
      <c r="P309" s="46">
        <f t="shared" ca="1" si="13"/>
        <v>7.2567783043174516E-5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input_505100!A$2</f>
        <v>505100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IFERROR(VLOOKUP(B310,input_505100!L:R,7,FALSE),VLOOKUP(tables_505100!C310,input_505100!A:H,8,FALSE))</f>
        <v>4502.1052600000003</v>
      </c>
      <c r="P310" s="46">
        <f t="shared" ca="1" si="13"/>
        <v>7.2567783043174516E-5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input_505100!A$2</f>
        <v>505100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IFERROR(VLOOKUP(B311,input_505100!L:R,7,FALSE),VLOOKUP(tables_505100!C311,input_505100!A:H,8,FALSE))</f>
        <v>577866.66666999995</v>
      </c>
      <c r="P311" s="46">
        <f t="shared" ca="1" si="13"/>
        <v>9.3144208038332277E-3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input_505100!A$2</f>
        <v>505100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IFERROR(VLOOKUP(B312,input_505100!L:R,7,FALSE),VLOOKUP(tables_505100!C312,input_505100!A:H,8,FALSE))</f>
        <v>36850</v>
      </c>
      <c r="P312" s="46">
        <f t="shared" ca="1" si="13"/>
        <v>5.9397163120548198E-4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input_505100!A$2</f>
        <v>505100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IFERROR(VLOOKUP(B313,input_505100!L:R,7,FALSE),VLOOKUP(tables_505100!C313,input_505100!A:H,8,FALSE))</f>
        <v>4502.1052600000003</v>
      </c>
      <c r="P313" s="46">
        <f t="shared" ca="1" si="13"/>
        <v>7.2567783043174516E-5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input_505100!A$2</f>
        <v>505100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IFERROR(VLOOKUP(B314,input_505100!L:R,7,FALSE),VLOOKUP(tables_505100!C314,input_505100!A:H,8,FALSE))</f>
        <v>4502.1052600000003</v>
      </c>
      <c r="P314" s="46">
        <f t="shared" ca="1" si="13"/>
        <v>7.2567783043174516E-5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input_505100!A$2</f>
        <v>505100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IFERROR(VLOOKUP(B315,input_505100!L:R,7,FALSE),VLOOKUP(tables_505100!C315,input_505100!A:H,8,FALSE))</f>
        <v>4502.1052600000003</v>
      </c>
      <c r="P315" s="46">
        <f t="shared" ca="1" si="13"/>
        <v>7.2567783043174516E-5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input_505100!A$2</f>
        <v>505100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IFERROR(VLOOKUP(B316,input_505100!L:R,7,FALSE),VLOOKUP(tables_505100!C316,input_505100!A:H,8,FALSE))</f>
        <v>4502.1052600000003</v>
      </c>
      <c r="P316" s="46">
        <f t="shared" ca="1" si="13"/>
        <v>7.2567783043174516E-5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input_505100!A$2</f>
        <v>505100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IFERROR(VLOOKUP(B317,input_505100!L:R,7,FALSE),VLOOKUP(tables_505100!C317,input_505100!A:H,8,FALSE))</f>
        <v>4502.1052600000003</v>
      </c>
      <c r="P317" s="46">
        <f t="shared" ca="1" si="13"/>
        <v>7.2567783043174516E-5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input_505100!A$2</f>
        <v>505100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IFERROR(VLOOKUP(B318,input_505100!L:R,7,FALSE),VLOOKUP(tables_505100!C318,input_505100!A:H,8,FALSE))</f>
        <v>577866.66666999995</v>
      </c>
      <c r="P318" s="46">
        <f t="shared" ca="1" si="13"/>
        <v>9.3144208038332277E-3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input_505100!A$2</f>
        <v>505100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IFERROR(VLOOKUP(B319,input_505100!L:R,7,FALSE),VLOOKUP(tables_505100!C319,input_505100!A:H,8,FALSE))</f>
        <v>36850</v>
      </c>
      <c r="P319" s="46">
        <f t="shared" ca="1" si="13"/>
        <v>5.9397163120548198E-4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input_505100!A$2</f>
        <v>505100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IFERROR(VLOOKUP(B320,input_505100!L:R,7,FALSE),VLOOKUP(tables_505100!C320,input_505100!A:H,8,FALSE))</f>
        <v>4502.1052600000003</v>
      </c>
      <c r="P320" s="46">
        <f t="shared" ca="1" si="13"/>
        <v>7.2567783043174516E-5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input_505100!A$2</f>
        <v>505100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IFERROR(VLOOKUP(B321,input_505100!L:R,7,FALSE),VLOOKUP(tables_505100!C321,input_505100!A:H,8,FALSE))</f>
        <v>4502.1052600000003</v>
      </c>
      <c r="P321" s="46">
        <f t="shared" ca="1" si="13"/>
        <v>7.2567783043174516E-5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input_505100!A$2</f>
        <v>505100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IFERROR(VLOOKUP(B322,input_505100!L:R,7,FALSE),VLOOKUP(tables_505100!C322,input_505100!A:H,8,FALSE))</f>
        <v>4502.1052600000003</v>
      </c>
      <c r="P322" s="46">
        <f t="shared" ref="P322:P340" ca="1" si="26">O322/SUM(O:O)</f>
        <v>7.2567783043174516E-5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input_505100!A$2</f>
        <v>505100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IFERROR(VLOOKUP(B323,input_505100!L:R,7,FALSE),VLOOKUP(tables_505100!C323,input_505100!A:H,8,FALSE))</f>
        <v>4502.1052600000003</v>
      </c>
      <c r="P323" s="46">
        <f t="shared" ca="1" si="26"/>
        <v>7.2567783043174516E-5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input_505100!A$2</f>
        <v>505100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IFERROR(VLOOKUP(B324,input_505100!L:R,7,FALSE),VLOOKUP(tables_505100!C324,input_505100!A:H,8,FALSE))</f>
        <v>577866.66666999995</v>
      </c>
      <c r="P324" s="46">
        <f t="shared" ca="1" si="26"/>
        <v>9.3144208038332277E-3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input_505100!A$2</f>
        <v>505100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IFERROR(VLOOKUP(B325,input_505100!L:R,7,FALSE),VLOOKUP(tables_505100!C325,input_505100!A:H,8,FALSE))</f>
        <v>36850</v>
      </c>
      <c r="P325" s="46">
        <f t="shared" ca="1" si="26"/>
        <v>5.9397163120548198E-4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input_505100!A$2</f>
        <v>505100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IFERROR(VLOOKUP(B326,input_505100!L:R,7,FALSE),VLOOKUP(tables_505100!C326,input_505100!A:H,8,FALSE))</f>
        <v>577866.66666999995</v>
      </c>
      <c r="P326" s="46">
        <f t="shared" ca="1" si="26"/>
        <v>9.3144208038332277E-3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input_505100!A$2</f>
        <v>505100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IFERROR(VLOOKUP(B327,input_505100!L:R,7,FALSE),VLOOKUP(tables_505100!C327,input_505100!A:H,8,FALSE))</f>
        <v>36850</v>
      </c>
      <c r="P327" s="46">
        <f t="shared" ca="1" si="26"/>
        <v>5.9397163120548198E-4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input_505100!A$2</f>
        <v>505100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IFERROR(VLOOKUP(B328,input_505100!L:R,7,FALSE),VLOOKUP(tables_505100!C328,input_505100!A:H,8,FALSE))</f>
        <v>4502.1052600000003</v>
      </c>
      <c r="P328" s="46">
        <f t="shared" ca="1" si="26"/>
        <v>7.2567783043174516E-5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input_505100!A$2</f>
        <v>505100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IFERROR(VLOOKUP(B329,input_505100!L:R,7,FALSE),VLOOKUP(tables_505100!C329,input_505100!A:H,8,FALSE))</f>
        <v>4502.1052600000003</v>
      </c>
      <c r="P329" s="46">
        <f t="shared" ca="1" si="26"/>
        <v>7.2567783043174516E-5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input_505100!A$2</f>
        <v>505100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IFERROR(VLOOKUP(B330,input_505100!L:R,7,FALSE),VLOOKUP(tables_505100!C330,input_505100!A:H,8,FALSE))</f>
        <v>4502.1052600000003</v>
      </c>
      <c r="P330" s="46">
        <f t="shared" ca="1" si="26"/>
        <v>7.2567783043174516E-5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input_505100!A$2</f>
        <v>505100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IFERROR(VLOOKUP(B331,input_505100!L:R,7,FALSE),VLOOKUP(tables_505100!C331,input_505100!A:H,8,FALSE))</f>
        <v>4502.1052600000003</v>
      </c>
      <c r="P331" s="46">
        <f t="shared" ca="1" si="26"/>
        <v>7.2567783043174516E-5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input_505100!A$2</f>
        <v>505100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IFERROR(VLOOKUP(B332,input_505100!L:R,7,FALSE),VLOOKUP(tables_505100!C332,input_505100!A:H,8,FALSE))</f>
        <v>4502.1052600000003</v>
      </c>
      <c r="P332" s="46">
        <f t="shared" ca="1" si="26"/>
        <v>7.2567783043174516E-5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input_505100!A$2</f>
        <v>505100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IFERROR(VLOOKUP(B333,input_505100!L:R,7,FALSE),VLOOKUP(tables_505100!C333,input_505100!A:H,8,FALSE))</f>
        <v>4502.1052600000003</v>
      </c>
      <c r="P333" s="46">
        <f t="shared" ca="1" si="26"/>
        <v>7.2567783043174516E-5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input_505100!A$2</f>
        <v>505100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IFERROR(VLOOKUP(B334,input_505100!L:R,7,FALSE),VLOOKUP(tables_505100!C334,input_505100!A:H,8,FALSE))</f>
        <v>577866.66666999995</v>
      </c>
      <c r="P334" s="46">
        <f t="shared" ca="1" si="26"/>
        <v>9.3144208038332277E-3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input_505100!A$2</f>
        <v>505100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IFERROR(VLOOKUP(B335,input_505100!L:R,7,FALSE),VLOOKUP(tables_505100!C335,input_505100!A:H,8,FALSE))</f>
        <v>36850</v>
      </c>
      <c r="P335" s="46">
        <f t="shared" ca="1" si="26"/>
        <v>5.9397163120548198E-4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input_505100!A$2</f>
        <v>505100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IFERROR(VLOOKUP(B336,input_505100!L:R,7,FALSE),VLOOKUP(tables_505100!C336,input_505100!A:H,8,FALSE))</f>
        <v>577866.66666999995</v>
      </c>
      <c r="P336" s="46">
        <f t="shared" ca="1" si="26"/>
        <v>9.3144208038332277E-3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input_505100!A$2</f>
        <v>505100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IFERROR(VLOOKUP(B337,input_505100!L:R,7,FALSE),VLOOKUP(tables_505100!C337,input_505100!A:H,8,FALSE))</f>
        <v>36850</v>
      </c>
      <c r="P337" s="46">
        <f t="shared" ca="1" si="26"/>
        <v>5.9397163120548198E-4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input_505100!A$2</f>
        <v>505100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IFERROR(VLOOKUP(B338,input_505100!L:R,7,FALSE),VLOOKUP(tables_505100!C338,input_505100!A:H,8,FALSE))</f>
        <v>4502.1052600000003</v>
      </c>
      <c r="P338" s="46">
        <f t="shared" ca="1" si="26"/>
        <v>7.2567783043174516E-5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input_505100!A$2</f>
        <v>505100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IFERROR(VLOOKUP(B339,input_505100!L:R,7,FALSE),VLOOKUP(tables_505100!C339,input_505100!A:H,8,FALSE))</f>
        <v>4502.1052600000003</v>
      </c>
      <c r="P339" s="46">
        <f t="shared" ca="1" si="26"/>
        <v>7.2567783043174516E-5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input_505100!A$2</f>
        <v>505100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IFERROR(VLOOKUP(B340,input_505100!L:R,7,FALSE),VLOOKUP(tables_505100!C340,input_505100!A:H,8,FALSE))</f>
        <v>4502.1052600000003</v>
      </c>
      <c r="P340" s="46">
        <f t="shared" ca="1" si="26"/>
        <v>7.2567783043174516E-5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input_505100!A$2</f>
        <v>505100</v>
      </c>
      <c r="B341" s="99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IFERROR(VLOOKUP(B341,input_505100!L:R,7,FALSE),VLOOKUP(tables_505100!C341,input_505100!A:H,8,FALSE))</f>
        <v>4502.1052600000003</v>
      </c>
      <c r="P341" s="46">
        <f t="shared" ref="P341:P346" ca="1" si="35">O341/SUM(O:O)</f>
        <v>7.2567783043174516E-5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input_505100!A$2</f>
        <v>505100</v>
      </c>
      <c r="B342" s="99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IFERROR(VLOOKUP(B342,input_505100!L:R,7,FALSE),VLOOKUP(tables_505100!C342,input_505100!A:H,8,FALSE))</f>
        <v>4502.1052600000003</v>
      </c>
      <c r="P342" s="46">
        <f t="shared" ca="1" si="35"/>
        <v>7.2567783043174516E-5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input_505100!A$2</f>
        <v>505100</v>
      </c>
      <c r="B343" s="99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IFERROR(VLOOKUP(B343,input_505100!L:R,7,FALSE),VLOOKUP(tables_505100!C343,input_505100!A:H,8,FALSE))</f>
        <v>577866.66666999995</v>
      </c>
      <c r="P343" s="46">
        <f t="shared" ca="1" si="35"/>
        <v>9.3144208038332277E-3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input_505100!A$2</f>
        <v>505100</v>
      </c>
      <c r="B344" s="99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IFERROR(VLOOKUP(B344,input_505100!L:R,7,FALSE),VLOOKUP(tables_505100!C344,input_505100!A:H,8,FALSE))</f>
        <v>36850</v>
      </c>
      <c r="P344" s="46">
        <f t="shared" ca="1" si="35"/>
        <v>5.9397163120548198E-4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input_505100!A$2</f>
        <v>505100</v>
      </c>
      <c r="B345" s="99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IFERROR(VLOOKUP(B345,input_505100!L:R,7,FALSE),VLOOKUP(tables_505100!C345,input_505100!A:H,8,FALSE))</f>
        <v>4502.1052600000003</v>
      </c>
      <c r="P345" s="46">
        <f t="shared" ca="1" si="35"/>
        <v>7.2567783043174516E-5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input_505100!A$2</f>
        <v>505100</v>
      </c>
      <c r="B346" s="1">
        <v>8009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西王娘娘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不明</v>
      </c>
      <c r="O346" s="45">
        <f>IFERROR(VLOOKUP(B346,input_505100!L:R,7,FALSE),VLOOKUP(tables_505100!C346,input_505100!A:H,8,FALSE))</f>
        <v>1240800</v>
      </c>
      <c r="P346" s="46">
        <f t="shared" ca="1" si="35"/>
        <v>1.9999999999993544E-2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input_505100!A$2</f>
        <v>505100</v>
      </c>
      <c r="B347" s="1">
        <v>8031</v>
      </c>
      <c r="C347" s="7" t="str">
        <f t="shared" ref="C347" si="36">D347&amp;J347&amp;E347&amp;F347&amp;G347</f>
        <v>PremiumSS5R5only</v>
      </c>
      <c r="D347" s="9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閻羅王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balance</v>
      </c>
      <c r="M347" s="7" t="str">
        <f>VLOOKUP(B347,[1]characters!$A:$M,13,FALSE)</f>
        <v>god</v>
      </c>
      <c r="N347" s="7" t="str">
        <f>VLOOKUP(B347,[1]characters!$A:$G,7,FALSE)</f>
        <v>女性</v>
      </c>
      <c r="O347" s="45">
        <f>IFERROR(VLOOKUP(B347,input_505100!L:R,7,FALSE),VLOOKUP(tables_505100!C347,input_505100!A:H,8,FALSE))</f>
        <v>1240800</v>
      </c>
      <c r="P347" s="46">
        <f ca="1">O347/SUM(O:O)</f>
        <v>1.9999999999993544E-2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20" sqref="F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505105</v>
      </c>
      <c r="B2" s="1">
        <v>8009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西王娘娘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不明</v>
      </c>
      <c r="O2" s="45">
        <v>10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505105</v>
      </c>
      <c r="B3" s="1">
        <v>8031</v>
      </c>
      <c r="C3" s="7" t="str">
        <f t="shared" si="0"/>
        <v>PremiumSS5R5only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閻羅王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input_505010</vt:lpstr>
      <vt:lpstr>tables_505010</vt:lpstr>
      <vt:lpstr>input_505100</vt:lpstr>
      <vt:lpstr>tables_505100</vt:lpstr>
      <vt:lpstr>tables_settle_505105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2017-01-05T12:39:01Z</dcterms:modified>
</cp:coreProperties>
</file>