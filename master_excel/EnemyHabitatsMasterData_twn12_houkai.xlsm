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04/BULL_data/master_excel/"/>
    </mc:Choice>
  </mc:AlternateContent>
  <bookViews>
    <workbookView xWindow="140" yWindow="1220" windowWidth="35820" windowHeight="1700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1" l="1"/>
  <c r="O99" i="9"/>
  <c r="N99" i="9"/>
  <c r="M99" i="9"/>
  <c r="L99" i="9"/>
  <c r="K99" i="9"/>
  <c r="J99" i="9"/>
  <c r="I99" i="9"/>
  <c r="H99" i="9"/>
  <c r="G99" i="9"/>
  <c r="E99" i="9"/>
  <c r="D99" i="9"/>
  <c r="A99" i="9"/>
  <c r="AD67" i="10"/>
  <c r="AC67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O25" i="21"/>
  <c r="B25" i="21"/>
  <c r="I25" i="21"/>
  <c r="J25" i="21"/>
  <c r="G25" i="21"/>
  <c r="F25" i="21"/>
  <c r="D25" i="21"/>
  <c r="C25" i="21"/>
  <c r="O24" i="21"/>
  <c r="B24" i="21"/>
  <c r="I24" i="21"/>
  <c r="J24" i="21"/>
  <c r="G24" i="21"/>
  <c r="F24" i="21"/>
  <c r="D24" i="21"/>
  <c r="C24" i="21"/>
  <c r="O23" i="21"/>
  <c r="B23" i="21"/>
  <c r="I23" i="21"/>
  <c r="J23" i="21"/>
  <c r="G23" i="21"/>
  <c r="F23" i="21"/>
  <c r="D23" i="21"/>
  <c r="C23" i="21"/>
  <c r="O22" i="21"/>
  <c r="B22" i="21"/>
  <c r="I22" i="21"/>
  <c r="J22" i="21"/>
  <c r="G22" i="21"/>
  <c r="F22" i="21"/>
  <c r="D22" i="21"/>
  <c r="C22" i="21"/>
  <c r="O21" i="21"/>
  <c r="B21" i="21"/>
  <c r="I21" i="21"/>
  <c r="J21" i="21"/>
  <c r="G21" i="21"/>
  <c r="F21" i="21"/>
  <c r="D21" i="21"/>
  <c r="C21" i="21"/>
  <c r="O20" i="21"/>
  <c r="B20" i="21"/>
  <c r="I20" i="21"/>
  <c r="J20" i="21"/>
  <c r="G20" i="21"/>
  <c r="F20" i="21"/>
  <c r="D20" i="21"/>
  <c r="C20" i="21"/>
  <c r="O19" i="21"/>
  <c r="B19" i="21"/>
  <c r="I19" i="21"/>
  <c r="J19" i="21"/>
  <c r="G19" i="21"/>
  <c r="F19" i="21"/>
  <c r="D19" i="21"/>
  <c r="C19" i="21"/>
  <c r="O18" i="21"/>
  <c r="B18" i="21"/>
  <c r="I18" i="21"/>
  <c r="J18" i="21"/>
  <c r="G18" i="21"/>
  <c r="F18" i="21"/>
  <c r="D18" i="21"/>
  <c r="C18" i="21"/>
  <c r="O17" i="21"/>
  <c r="B17" i="21"/>
  <c r="I17" i="21"/>
  <c r="J17" i="21"/>
  <c r="G17" i="21"/>
  <c r="F17" i="21"/>
  <c r="D17" i="21"/>
  <c r="C17" i="21"/>
  <c r="O16" i="21"/>
  <c r="B16" i="21"/>
  <c r="I16" i="21"/>
  <c r="J16" i="21"/>
  <c r="G16" i="21"/>
  <c r="F16" i="21"/>
  <c r="D16" i="21"/>
  <c r="C16" i="21"/>
  <c r="O15" i="21"/>
  <c r="B15" i="21"/>
  <c r="I15" i="21"/>
  <c r="J15" i="21"/>
  <c r="G15" i="21"/>
  <c r="F15" i="21"/>
  <c r="D15" i="21"/>
  <c r="C15" i="21"/>
  <c r="O14" i="21"/>
  <c r="B14" i="21"/>
  <c r="I14" i="21"/>
  <c r="J14" i="21"/>
  <c r="G14" i="21"/>
  <c r="F14" i="21"/>
  <c r="D14" i="21"/>
  <c r="C14" i="21"/>
  <c r="O13" i="21"/>
  <c r="B13" i="21"/>
  <c r="I13" i="21"/>
  <c r="J13" i="21"/>
  <c r="G13" i="21"/>
  <c r="F13" i="21"/>
  <c r="D13" i="21"/>
  <c r="C13" i="21"/>
  <c r="O12" i="21"/>
  <c r="B12" i="21"/>
  <c r="I12" i="21"/>
  <c r="J12" i="21"/>
  <c r="G12" i="21"/>
  <c r="F12" i="21"/>
  <c r="D12" i="21"/>
  <c r="C12" i="21"/>
  <c r="O11" i="21"/>
  <c r="B11" i="21"/>
  <c r="I11" i="21"/>
  <c r="J11" i="21"/>
  <c r="G11" i="21"/>
  <c r="F11" i="21"/>
  <c r="D11" i="21"/>
  <c r="C11" i="21"/>
  <c r="AD66" i="10"/>
  <c r="AC66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AD65" i="10"/>
  <c r="AC65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O9" i="21"/>
  <c r="B9" i="21"/>
  <c r="I9" i="21"/>
  <c r="J9" i="21"/>
  <c r="G9" i="21"/>
  <c r="F9" i="21"/>
  <c r="D9" i="21"/>
  <c r="C9" i="21"/>
  <c r="O10" i="21"/>
  <c r="B10" i="21"/>
  <c r="I10" i="21"/>
  <c r="J10" i="21"/>
  <c r="G10" i="21"/>
  <c r="F10" i="21"/>
  <c r="D10" i="21"/>
  <c r="C10" i="21"/>
  <c r="O3" i="21"/>
  <c r="O4" i="21"/>
  <c r="O5" i="21"/>
  <c r="O6" i="21"/>
  <c r="O7" i="21"/>
  <c r="O8" i="21"/>
  <c r="O2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63" i="11"/>
  <c r="O98" i="9"/>
  <c r="N98" i="9"/>
  <c r="M98" i="9"/>
  <c r="L98" i="9"/>
  <c r="K98" i="9"/>
  <c r="J98" i="9"/>
  <c r="I98" i="9"/>
  <c r="H98" i="9"/>
  <c r="G98" i="9"/>
  <c r="E98" i="9"/>
  <c r="D98" i="9"/>
  <c r="A98" i="9"/>
  <c r="J62" i="11"/>
  <c r="O97" i="9"/>
  <c r="N97" i="9"/>
  <c r="M97" i="9"/>
  <c r="L97" i="9"/>
  <c r="K97" i="9"/>
  <c r="J97" i="9"/>
  <c r="I97" i="9"/>
  <c r="H97" i="9"/>
  <c r="G97" i="9"/>
  <c r="E97" i="9"/>
  <c r="D97" i="9"/>
  <c r="A97" i="9"/>
  <c r="J61" i="11"/>
  <c r="O96" i="9"/>
  <c r="N96" i="9"/>
  <c r="M96" i="9"/>
  <c r="L96" i="9"/>
  <c r="K96" i="9"/>
  <c r="J96" i="9"/>
  <c r="I96" i="9"/>
  <c r="H96" i="9"/>
  <c r="G96" i="9"/>
  <c r="E96" i="9"/>
  <c r="D96" i="9"/>
  <c r="A96" i="9"/>
  <c r="J60" i="11"/>
  <c r="O95" i="9"/>
  <c r="N95" i="9"/>
  <c r="M95" i="9"/>
  <c r="L95" i="9"/>
  <c r="K95" i="9"/>
  <c r="J95" i="9"/>
  <c r="I95" i="9"/>
  <c r="H95" i="9"/>
  <c r="G95" i="9"/>
  <c r="E95" i="9"/>
  <c r="D95" i="9"/>
  <c r="A95" i="9"/>
  <c r="J59" i="11"/>
  <c r="O94" i="9"/>
  <c r="N94" i="9"/>
  <c r="M94" i="9"/>
  <c r="L94" i="9"/>
  <c r="K94" i="9"/>
  <c r="J94" i="9"/>
  <c r="I94" i="9"/>
  <c r="H94" i="9"/>
  <c r="G94" i="9"/>
  <c r="E94" i="9"/>
  <c r="D94" i="9"/>
  <c r="A94" i="9"/>
  <c r="J58" i="11"/>
  <c r="O93" i="9"/>
  <c r="N93" i="9"/>
  <c r="M93" i="9"/>
  <c r="L93" i="9"/>
  <c r="K93" i="9"/>
  <c r="J93" i="9"/>
  <c r="I93" i="9"/>
  <c r="H93" i="9"/>
  <c r="G93" i="9"/>
  <c r="E93" i="9"/>
  <c r="D93" i="9"/>
  <c r="A93" i="9"/>
  <c r="J57" i="11"/>
  <c r="O92" i="9"/>
  <c r="N92" i="9"/>
  <c r="M92" i="9"/>
  <c r="L92" i="9"/>
  <c r="K92" i="9"/>
  <c r="J92" i="9"/>
  <c r="I92" i="9"/>
  <c r="H92" i="9"/>
  <c r="G92" i="9"/>
  <c r="E92" i="9"/>
  <c r="D92" i="9"/>
  <c r="A92" i="9"/>
  <c r="J56" i="11"/>
  <c r="O91" i="9"/>
  <c r="N91" i="9"/>
  <c r="M91" i="9"/>
  <c r="L91" i="9"/>
  <c r="K91" i="9"/>
  <c r="J91" i="9"/>
  <c r="I91" i="9"/>
  <c r="H91" i="9"/>
  <c r="G91" i="9"/>
  <c r="E91" i="9"/>
  <c r="D91" i="9"/>
  <c r="A91" i="9"/>
  <c r="J55" i="11"/>
  <c r="O90" i="9"/>
  <c r="N90" i="9"/>
  <c r="M90" i="9"/>
  <c r="L90" i="9"/>
  <c r="K90" i="9"/>
  <c r="J90" i="9"/>
  <c r="I90" i="9"/>
  <c r="H90" i="9"/>
  <c r="G90" i="9"/>
  <c r="E90" i="9"/>
  <c r="D90" i="9"/>
  <c r="A90" i="9"/>
  <c r="J54" i="11"/>
  <c r="O89" i="9"/>
  <c r="N89" i="9"/>
  <c r="M89" i="9"/>
  <c r="L89" i="9"/>
  <c r="K89" i="9"/>
  <c r="J89" i="9"/>
  <c r="I89" i="9"/>
  <c r="H89" i="9"/>
  <c r="G89" i="9"/>
  <c r="E89" i="9"/>
  <c r="D89" i="9"/>
  <c r="A89" i="9"/>
  <c r="J53" i="11"/>
  <c r="O88" i="9"/>
  <c r="N88" i="9"/>
  <c r="M88" i="9"/>
  <c r="L88" i="9"/>
  <c r="K88" i="9"/>
  <c r="J88" i="9"/>
  <c r="I88" i="9"/>
  <c r="H88" i="9"/>
  <c r="G88" i="9"/>
  <c r="E88" i="9"/>
  <c r="D88" i="9"/>
  <c r="A88" i="9"/>
  <c r="J52" i="11"/>
  <c r="O87" i="9"/>
  <c r="N87" i="9"/>
  <c r="M87" i="9"/>
  <c r="L87" i="9"/>
  <c r="K87" i="9"/>
  <c r="J87" i="9"/>
  <c r="I87" i="9"/>
  <c r="H87" i="9"/>
  <c r="G87" i="9"/>
  <c r="E87" i="9"/>
  <c r="D87" i="9"/>
  <c r="A87" i="9"/>
  <c r="J51" i="11"/>
  <c r="O86" i="9"/>
  <c r="N86" i="9"/>
  <c r="M86" i="9"/>
  <c r="L86" i="9"/>
  <c r="K86" i="9"/>
  <c r="J86" i="9"/>
  <c r="I86" i="9"/>
  <c r="H86" i="9"/>
  <c r="G86" i="9"/>
  <c r="E86" i="9"/>
  <c r="D86" i="9"/>
  <c r="A86" i="9"/>
  <c r="J50" i="11"/>
  <c r="O85" i="9"/>
  <c r="N85" i="9"/>
  <c r="M85" i="9"/>
  <c r="L85" i="9"/>
  <c r="K85" i="9"/>
  <c r="J85" i="9"/>
  <c r="I85" i="9"/>
  <c r="H85" i="9"/>
  <c r="G85" i="9"/>
  <c r="E85" i="9"/>
  <c r="D85" i="9"/>
  <c r="A85" i="9"/>
  <c r="J49" i="11"/>
  <c r="O84" i="9"/>
  <c r="N84" i="9"/>
  <c r="M84" i="9"/>
  <c r="L84" i="9"/>
  <c r="K84" i="9"/>
  <c r="J84" i="9"/>
  <c r="I84" i="9"/>
  <c r="H84" i="9"/>
  <c r="G84" i="9"/>
  <c r="E84" i="9"/>
  <c r="D84" i="9"/>
  <c r="A84" i="9"/>
  <c r="J48" i="11"/>
  <c r="O83" i="9"/>
  <c r="N83" i="9"/>
  <c r="M83" i="9"/>
  <c r="L83" i="9"/>
  <c r="K83" i="9"/>
  <c r="J83" i="9"/>
  <c r="I83" i="9"/>
  <c r="H83" i="9"/>
  <c r="G83" i="9"/>
  <c r="E83" i="9"/>
  <c r="D83" i="9"/>
  <c r="A83" i="9"/>
  <c r="J47" i="11"/>
  <c r="O82" i="9"/>
  <c r="N82" i="9"/>
  <c r="M82" i="9"/>
  <c r="L82" i="9"/>
  <c r="K82" i="9"/>
  <c r="J82" i="9"/>
  <c r="I82" i="9"/>
  <c r="H82" i="9"/>
  <c r="G82" i="9"/>
  <c r="E82" i="9"/>
  <c r="D82" i="9"/>
  <c r="A82" i="9"/>
  <c r="J46" i="11"/>
  <c r="O81" i="9"/>
  <c r="N81" i="9"/>
  <c r="M81" i="9"/>
  <c r="L81" i="9"/>
  <c r="K81" i="9"/>
  <c r="J81" i="9"/>
  <c r="I81" i="9"/>
  <c r="H81" i="9"/>
  <c r="G81" i="9"/>
  <c r="E81" i="9"/>
  <c r="D81" i="9"/>
  <c r="A81" i="9"/>
  <c r="J45" i="11"/>
  <c r="O80" i="9"/>
  <c r="N80" i="9"/>
  <c r="M80" i="9"/>
  <c r="L80" i="9"/>
  <c r="K80" i="9"/>
  <c r="J80" i="9"/>
  <c r="I80" i="9"/>
  <c r="H80" i="9"/>
  <c r="G80" i="9"/>
  <c r="E80" i="9"/>
  <c r="D80" i="9"/>
  <c r="A80" i="9"/>
  <c r="J44" i="11"/>
  <c r="O79" i="9"/>
  <c r="N79" i="9"/>
  <c r="M79" i="9"/>
  <c r="L79" i="9"/>
  <c r="K79" i="9"/>
  <c r="J79" i="9"/>
  <c r="I79" i="9"/>
  <c r="H79" i="9"/>
  <c r="G79" i="9"/>
  <c r="E79" i="9"/>
  <c r="D79" i="9"/>
  <c r="A79" i="9"/>
  <c r="J43" i="11"/>
  <c r="O78" i="9"/>
  <c r="N78" i="9"/>
  <c r="M78" i="9"/>
  <c r="L78" i="9"/>
  <c r="K78" i="9"/>
  <c r="J78" i="9"/>
  <c r="I78" i="9"/>
  <c r="H78" i="9"/>
  <c r="G78" i="9"/>
  <c r="E78" i="9"/>
  <c r="D78" i="9"/>
  <c r="A78" i="9"/>
  <c r="J42" i="11"/>
  <c r="O77" i="9"/>
  <c r="N77" i="9"/>
  <c r="M77" i="9"/>
  <c r="L77" i="9"/>
  <c r="K77" i="9"/>
  <c r="J77" i="9"/>
  <c r="I77" i="9"/>
  <c r="H77" i="9"/>
  <c r="G77" i="9"/>
  <c r="E77" i="9"/>
  <c r="D77" i="9"/>
  <c r="A77" i="9"/>
  <c r="J41" i="11"/>
  <c r="O76" i="9"/>
  <c r="N76" i="9"/>
  <c r="M76" i="9"/>
  <c r="L76" i="9"/>
  <c r="K76" i="9"/>
  <c r="J76" i="9"/>
  <c r="I76" i="9"/>
  <c r="H76" i="9"/>
  <c r="G76" i="9"/>
  <c r="E76" i="9"/>
  <c r="D76" i="9"/>
  <c r="A76" i="9"/>
  <c r="J40" i="11"/>
  <c r="O75" i="9"/>
  <c r="N75" i="9"/>
  <c r="M75" i="9"/>
  <c r="L75" i="9"/>
  <c r="K75" i="9"/>
  <c r="J75" i="9"/>
  <c r="I75" i="9"/>
  <c r="H75" i="9"/>
  <c r="G75" i="9"/>
  <c r="E75" i="9"/>
  <c r="D75" i="9"/>
  <c r="A75" i="9"/>
  <c r="J39" i="11"/>
  <c r="O74" i="9"/>
  <c r="N74" i="9"/>
  <c r="M74" i="9"/>
  <c r="L74" i="9"/>
  <c r="K74" i="9"/>
  <c r="J74" i="9"/>
  <c r="I74" i="9"/>
  <c r="H74" i="9"/>
  <c r="G74" i="9"/>
  <c r="E74" i="9"/>
  <c r="D74" i="9"/>
  <c r="A74" i="9"/>
  <c r="J38" i="11"/>
  <c r="O73" i="9"/>
  <c r="N73" i="9"/>
  <c r="M73" i="9"/>
  <c r="L73" i="9"/>
  <c r="K73" i="9"/>
  <c r="J73" i="9"/>
  <c r="I73" i="9"/>
  <c r="H73" i="9"/>
  <c r="G73" i="9"/>
  <c r="E73" i="9"/>
  <c r="D73" i="9"/>
  <c r="A73" i="9"/>
  <c r="J20" i="11"/>
  <c r="O72" i="9"/>
  <c r="N72" i="9"/>
  <c r="M72" i="9"/>
  <c r="L72" i="9"/>
  <c r="K72" i="9"/>
  <c r="J72" i="9"/>
  <c r="I72" i="9"/>
  <c r="H72" i="9"/>
  <c r="G72" i="9"/>
  <c r="E72" i="9"/>
  <c r="D72" i="9"/>
  <c r="A72" i="9"/>
  <c r="J19" i="11"/>
  <c r="O71" i="9"/>
  <c r="N71" i="9"/>
  <c r="M71" i="9"/>
  <c r="L71" i="9"/>
  <c r="K71" i="9"/>
  <c r="J71" i="9"/>
  <c r="I71" i="9"/>
  <c r="H71" i="9"/>
  <c r="G71" i="9"/>
  <c r="E71" i="9"/>
  <c r="D71" i="9"/>
  <c r="A71" i="9"/>
  <c r="J18" i="11"/>
  <c r="O70" i="9"/>
  <c r="N70" i="9"/>
  <c r="M70" i="9"/>
  <c r="L70" i="9"/>
  <c r="K70" i="9"/>
  <c r="J70" i="9"/>
  <c r="I70" i="9"/>
  <c r="H70" i="9"/>
  <c r="G70" i="9"/>
  <c r="E70" i="9"/>
  <c r="D70" i="9"/>
  <c r="A70" i="9"/>
  <c r="J17" i="11"/>
  <c r="O69" i="9"/>
  <c r="N69" i="9"/>
  <c r="M69" i="9"/>
  <c r="L69" i="9"/>
  <c r="K69" i="9"/>
  <c r="J69" i="9"/>
  <c r="I69" i="9"/>
  <c r="H69" i="9"/>
  <c r="G69" i="9"/>
  <c r="E69" i="9"/>
  <c r="D69" i="9"/>
  <c r="A69" i="9"/>
  <c r="J16" i="11"/>
  <c r="O68" i="9"/>
  <c r="N68" i="9"/>
  <c r="M68" i="9"/>
  <c r="L68" i="9"/>
  <c r="K68" i="9"/>
  <c r="J68" i="9"/>
  <c r="I68" i="9"/>
  <c r="H68" i="9"/>
  <c r="G68" i="9"/>
  <c r="E68" i="9"/>
  <c r="D68" i="9"/>
  <c r="A68" i="9"/>
  <c r="J15" i="11"/>
  <c r="O67" i="9"/>
  <c r="N67" i="9"/>
  <c r="M67" i="9"/>
  <c r="L67" i="9"/>
  <c r="K67" i="9"/>
  <c r="J67" i="9"/>
  <c r="I67" i="9"/>
  <c r="H67" i="9"/>
  <c r="G67" i="9"/>
  <c r="E67" i="9"/>
  <c r="D67" i="9"/>
  <c r="A67" i="9"/>
  <c r="J14" i="11"/>
  <c r="O66" i="9"/>
  <c r="N66" i="9"/>
  <c r="M66" i="9"/>
  <c r="L66" i="9"/>
  <c r="K66" i="9"/>
  <c r="J66" i="9"/>
  <c r="I66" i="9"/>
  <c r="H66" i="9"/>
  <c r="G66" i="9"/>
  <c r="E66" i="9"/>
  <c r="D66" i="9"/>
  <c r="A66" i="9"/>
  <c r="J13" i="11"/>
  <c r="O65" i="9"/>
  <c r="N65" i="9"/>
  <c r="M65" i="9"/>
  <c r="L65" i="9"/>
  <c r="K65" i="9"/>
  <c r="J65" i="9"/>
  <c r="I65" i="9"/>
  <c r="H65" i="9"/>
  <c r="G65" i="9"/>
  <c r="E65" i="9"/>
  <c r="D65" i="9"/>
  <c r="A65" i="9"/>
  <c r="J12" i="11"/>
  <c r="O64" i="9"/>
  <c r="N64" i="9"/>
  <c r="M64" i="9"/>
  <c r="L64" i="9"/>
  <c r="K64" i="9"/>
  <c r="J64" i="9"/>
  <c r="I64" i="9"/>
  <c r="H64" i="9"/>
  <c r="G64" i="9"/>
  <c r="E64" i="9"/>
  <c r="D64" i="9"/>
  <c r="A64" i="9"/>
  <c r="AD64" i="10"/>
  <c r="AC64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A2" i="18"/>
  <c r="A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A8" i="18"/>
  <c r="C8" i="18"/>
  <c r="D8" i="18"/>
  <c r="A7" i="18"/>
  <c r="C7" i="18"/>
  <c r="D7" i="18"/>
  <c r="A6" i="18"/>
  <c r="C6" i="18"/>
  <c r="D6" i="18"/>
  <c r="A5" i="18"/>
  <c r="C5" i="18"/>
  <c r="D5" i="18"/>
  <c r="A4" i="18"/>
  <c r="C4" i="18"/>
  <c r="D4" i="18"/>
  <c r="A3" i="18"/>
  <c r="C3" i="18"/>
  <c r="D3" i="18"/>
  <c r="AD63" i="10"/>
  <c r="AC63" i="10"/>
  <c r="AD62" i="10"/>
  <c r="AC62" i="10"/>
  <c r="AD61" i="10"/>
  <c r="AC61" i="10"/>
  <c r="AD60" i="10"/>
  <c r="AC60" i="10"/>
  <c r="AD59" i="10"/>
  <c r="AC59" i="10"/>
  <c r="AD58" i="10"/>
  <c r="AC58" i="10"/>
  <c r="AD57" i="10"/>
  <c r="AC57" i="10"/>
  <c r="AD56" i="10"/>
  <c r="AC56" i="10"/>
  <c r="AD55" i="10"/>
  <c r="AC55" i="10"/>
  <c r="AD54" i="10"/>
  <c r="AC54" i="10"/>
  <c r="AD53" i="10"/>
  <c r="AC53" i="10"/>
  <c r="AD52" i="10"/>
  <c r="AC52" i="10"/>
  <c r="AD51" i="10"/>
  <c r="AC51" i="10"/>
  <c r="AD50" i="10"/>
  <c r="AC50" i="10"/>
  <c r="AD49" i="10"/>
  <c r="AC49" i="10"/>
  <c r="AD48" i="10"/>
  <c r="AC48" i="10"/>
  <c r="AD47" i="10"/>
  <c r="AC47" i="10"/>
  <c r="AD46" i="10"/>
  <c r="AC46" i="10"/>
  <c r="AD45" i="10"/>
  <c r="AC45" i="10"/>
  <c r="AD44" i="10"/>
  <c r="AC44" i="10"/>
  <c r="AD43" i="10"/>
  <c r="AC43" i="10"/>
  <c r="AD42" i="10"/>
  <c r="AC42" i="10"/>
  <c r="AD41" i="10"/>
  <c r="AC41" i="10"/>
  <c r="AD40" i="10"/>
  <c r="AC40" i="10"/>
  <c r="AD39" i="10"/>
  <c r="AC39" i="10"/>
  <c r="AD38" i="10"/>
  <c r="AC38" i="10"/>
  <c r="AD37" i="10"/>
  <c r="AC37" i="10"/>
  <c r="AD36" i="10"/>
  <c r="AC36" i="10"/>
  <c r="AD35" i="10"/>
  <c r="AC35" i="10"/>
  <c r="AD34" i="10"/>
  <c r="AC34" i="10"/>
  <c r="AD33" i="10"/>
  <c r="AC33" i="10"/>
  <c r="AD32" i="10"/>
  <c r="AC32" i="10"/>
  <c r="AD31" i="10"/>
  <c r="AC31" i="10"/>
  <c r="AD30" i="10"/>
  <c r="AC30" i="10"/>
  <c r="AD29" i="10"/>
  <c r="AC29" i="10"/>
  <c r="AD28" i="10"/>
  <c r="AC28" i="10"/>
  <c r="AD27" i="10"/>
  <c r="AC27" i="10"/>
  <c r="AD26" i="10"/>
  <c r="AC26" i="10"/>
  <c r="AD25" i="10"/>
  <c r="AC25" i="10"/>
  <c r="AD24" i="10"/>
  <c r="AC24" i="10"/>
  <c r="AD23" i="10"/>
  <c r="AC23" i="10"/>
  <c r="AD22" i="10"/>
  <c r="AC22" i="10"/>
  <c r="AD21" i="10"/>
  <c r="AC21" i="10"/>
  <c r="AD20" i="10"/>
  <c r="AC20" i="10"/>
  <c r="AD19" i="10"/>
  <c r="AC19" i="10"/>
  <c r="AD18" i="10"/>
  <c r="AC18" i="10"/>
  <c r="AD17" i="10"/>
  <c r="AC17" i="10"/>
  <c r="AD16" i="10"/>
  <c r="AC16" i="10"/>
  <c r="AD15" i="10"/>
  <c r="AC15" i="10"/>
  <c r="AD14" i="10"/>
  <c r="AC14" i="10"/>
  <c r="AD13" i="10"/>
  <c r="AC13" i="10"/>
  <c r="AD12" i="10"/>
  <c r="AC12" i="10"/>
  <c r="AD11" i="10"/>
  <c r="AC11" i="10"/>
  <c r="AD10" i="10"/>
  <c r="AC10" i="10"/>
  <c r="AD9" i="10"/>
  <c r="AC9" i="10"/>
  <c r="AD8" i="10"/>
  <c r="AC8" i="10"/>
  <c r="AD7" i="10"/>
  <c r="AC7" i="10"/>
  <c r="AD6" i="10"/>
  <c r="AC6" i="10"/>
  <c r="AD5" i="10"/>
  <c r="AC5" i="10"/>
  <c r="AD4" i="10"/>
  <c r="AC4" i="10"/>
  <c r="AD3" i="10"/>
  <c r="AC3" i="10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G20" i="10"/>
  <c r="H20" i="10"/>
  <c r="I20" i="10"/>
  <c r="K20" i="10"/>
  <c r="J20" i="10"/>
  <c r="M20" i="10"/>
  <c r="T20" i="10"/>
  <c r="U20" i="10"/>
  <c r="V20" i="10"/>
  <c r="X20" i="10"/>
  <c r="W20" i="10"/>
  <c r="G19" i="10"/>
  <c r="H19" i="10"/>
  <c r="I19" i="10"/>
  <c r="K19" i="10"/>
  <c r="J19" i="10"/>
  <c r="M19" i="10"/>
  <c r="T19" i="10"/>
  <c r="U19" i="10"/>
  <c r="V19" i="10"/>
  <c r="X19" i="10"/>
  <c r="W19" i="10"/>
  <c r="E21" i="9"/>
  <c r="E26" i="9"/>
  <c r="Y7" i="7"/>
  <c r="W7" i="7"/>
  <c r="U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7" i="7"/>
  <c r="I7" i="7"/>
  <c r="D7" i="7"/>
  <c r="F7" i="7"/>
  <c r="E7" i="7"/>
  <c r="A7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J29" i="11"/>
  <c r="J28" i="11"/>
  <c r="J27" i="11"/>
  <c r="J26" i="11"/>
  <c r="G30" i="10"/>
  <c r="H30" i="10"/>
  <c r="I30" i="10"/>
  <c r="K30" i="10"/>
  <c r="J30" i="10"/>
  <c r="M30" i="10"/>
  <c r="T30" i="10"/>
  <c r="U30" i="10"/>
  <c r="V30" i="10"/>
  <c r="X30" i="10"/>
  <c r="W30" i="10"/>
  <c r="G29" i="10"/>
  <c r="H29" i="10"/>
  <c r="I29" i="10"/>
  <c r="K29" i="10"/>
  <c r="J29" i="10"/>
  <c r="M29" i="10"/>
  <c r="T29" i="10"/>
  <c r="U29" i="10"/>
  <c r="V29" i="10"/>
  <c r="X29" i="10"/>
  <c r="W29" i="10"/>
  <c r="G28" i="10"/>
  <c r="H28" i="10"/>
  <c r="I28" i="10"/>
  <c r="K28" i="10"/>
  <c r="J28" i="10"/>
  <c r="M28" i="10"/>
  <c r="T28" i="10"/>
  <c r="U28" i="10"/>
  <c r="V28" i="10"/>
  <c r="X28" i="10"/>
  <c r="W28" i="10"/>
  <c r="G27" i="10"/>
  <c r="H27" i="10"/>
  <c r="I27" i="10"/>
  <c r="K27" i="10"/>
  <c r="J27" i="10"/>
  <c r="M27" i="10"/>
  <c r="T27" i="10"/>
  <c r="U27" i="10"/>
  <c r="V27" i="10"/>
  <c r="X27" i="10"/>
  <c r="W27" i="10"/>
  <c r="G26" i="10"/>
  <c r="H26" i="10"/>
  <c r="I26" i="10"/>
  <c r="K26" i="10"/>
  <c r="J26" i="10"/>
  <c r="M26" i="10"/>
  <c r="T26" i="10"/>
  <c r="U26" i="10"/>
  <c r="V26" i="10"/>
  <c r="X26" i="10"/>
  <c r="W26" i="10"/>
  <c r="AD2" i="10"/>
  <c r="AC2" i="10"/>
  <c r="E48" i="9"/>
  <c r="E39" i="9"/>
  <c r="Y9" i="7"/>
  <c r="E38" i="9"/>
  <c r="Y8" i="7"/>
  <c r="Y6" i="7"/>
  <c r="Y5" i="7"/>
  <c r="Y4" i="7"/>
  <c r="Y2" i="7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D39" i="9"/>
  <c r="A39" i="9"/>
  <c r="O38" i="9"/>
  <c r="N38" i="9"/>
  <c r="M38" i="9"/>
  <c r="L38" i="9"/>
  <c r="K38" i="9"/>
  <c r="J38" i="9"/>
  <c r="I38" i="9"/>
  <c r="H38" i="9"/>
  <c r="G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D21" i="9"/>
  <c r="A21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E2" i="9"/>
  <c r="X8" i="1"/>
  <c r="X2" i="1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2" i="10"/>
  <c r="T42" i="10"/>
  <c r="W42" i="10"/>
  <c r="V42" i="10"/>
  <c r="X42" i="10"/>
  <c r="U42" i="10"/>
  <c r="Y42" i="10"/>
  <c r="M62" i="10"/>
  <c r="N62" i="10"/>
  <c r="Q62" i="10"/>
  <c r="P62" i="10"/>
  <c r="R62" i="10"/>
  <c r="O62" i="10"/>
  <c r="S6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0" i="10"/>
  <c r="T40" i="10"/>
  <c r="W40" i="10"/>
  <c r="V40" i="10"/>
  <c r="X40" i="10"/>
  <c r="U40" i="10"/>
  <c r="Y40" i="10"/>
  <c r="M60" i="10"/>
  <c r="N60" i="10"/>
  <c r="Q60" i="10"/>
  <c r="P60" i="10"/>
  <c r="R60" i="10"/>
  <c r="O60" i="10"/>
  <c r="S6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5" i="10"/>
  <c r="T35" i="10"/>
  <c r="W35" i="10"/>
  <c r="V35" i="10"/>
  <c r="X35" i="10"/>
  <c r="U35" i="10"/>
  <c r="Y35" i="10"/>
  <c r="M57" i="10"/>
  <c r="N57" i="10"/>
  <c r="Q57" i="10"/>
  <c r="P57" i="10"/>
  <c r="R57" i="10"/>
  <c r="O57" i="10"/>
  <c r="S57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3" i="10"/>
  <c r="T33" i="10"/>
  <c r="W33" i="10"/>
  <c r="V33" i="10"/>
  <c r="X33" i="10"/>
  <c r="U33" i="10"/>
  <c r="Y33" i="10"/>
  <c r="M56" i="10"/>
  <c r="N56" i="10"/>
  <c r="Q56" i="10"/>
  <c r="P56" i="10"/>
  <c r="R56" i="10"/>
  <c r="O56" i="10"/>
  <c r="S56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16" i="10"/>
  <c r="T16" i="10"/>
  <c r="W16" i="10"/>
  <c r="V16" i="10"/>
  <c r="X16" i="10"/>
  <c r="U16" i="10"/>
  <c r="Y16" i="10"/>
  <c r="M43" i="10"/>
  <c r="N43" i="10"/>
  <c r="Q43" i="10"/>
  <c r="P43" i="10"/>
  <c r="R43" i="10"/>
  <c r="O43" i="10"/>
  <c r="S43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4" i="10"/>
  <c r="T14" i="10"/>
  <c r="W14" i="10"/>
  <c r="V14" i="10"/>
  <c r="X14" i="10"/>
  <c r="U14" i="10"/>
  <c r="Y14" i="10"/>
  <c r="M41" i="10"/>
  <c r="N41" i="10"/>
  <c r="Q41" i="10"/>
  <c r="P41" i="10"/>
  <c r="R41" i="10"/>
  <c r="O41" i="10"/>
  <c r="S41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J4" i="11"/>
  <c r="J3" i="11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T62" i="10"/>
  <c r="W62" i="10"/>
  <c r="V62" i="10"/>
  <c r="X62" i="10"/>
  <c r="U62" i="10"/>
  <c r="Y62" i="10"/>
  <c r="G62" i="10"/>
  <c r="J62" i="10"/>
  <c r="I62" i="10"/>
  <c r="K62" i="10"/>
  <c r="H62" i="10"/>
  <c r="L62" i="10"/>
  <c r="T60" i="10"/>
  <c r="W60" i="10"/>
  <c r="V60" i="10"/>
  <c r="X60" i="10"/>
  <c r="U60" i="10"/>
  <c r="Y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T57" i="10"/>
  <c r="W57" i="10"/>
  <c r="V57" i="10"/>
  <c r="X57" i="10"/>
  <c r="U57" i="10"/>
  <c r="Y57" i="10"/>
  <c r="G57" i="10"/>
  <c r="J57" i="10"/>
  <c r="I57" i="10"/>
  <c r="K57" i="10"/>
  <c r="H57" i="10"/>
  <c r="L57" i="10"/>
  <c r="T56" i="10"/>
  <c r="W56" i="10"/>
  <c r="V56" i="10"/>
  <c r="X56" i="10"/>
  <c r="U56" i="10"/>
  <c r="Y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G3" i="10"/>
  <c r="H3" i="10"/>
  <c r="I3" i="10"/>
  <c r="J3" i="10"/>
  <c r="K3" i="10"/>
  <c r="L3" i="10"/>
  <c r="M3" i="10"/>
  <c r="M17" i="10"/>
  <c r="N17" i="10"/>
  <c r="Q17" i="10"/>
  <c r="P17" i="10"/>
  <c r="R17" i="10"/>
  <c r="O17" i="10"/>
  <c r="S17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8" i="10"/>
  <c r="N18" i="10"/>
  <c r="Q18" i="10"/>
  <c r="P18" i="10"/>
  <c r="R18" i="10"/>
  <c r="O18" i="10"/>
  <c r="S18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21" i="10"/>
  <c r="N21" i="10"/>
  <c r="Q21" i="10"/>
  <c r="P21" i="10"/>
  <c r="R21" i="10"/>
  <c r="O21" i="10"/>
  <c r="S21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22" i="10"/>
  <c r="N22" i="10"/>
  <c r="Q22" i="10"/>
  <c r="P22" i="10"/>
  <c r="R22" i="10"/>
  <c r="O22" i="10"/>
  <c r="S22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23" i="10"/>
  <c r="N23" i="10"/>
  <c r="Q23" i="10"/>
  <c r="P23" i="10"/>
  <c r="R23" i="10"/>
  <c r="O23" i="10"/>
  <c r="S23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24" i="10"/>
  <c r="N24" i="10"/>
  <c r="Q24" i="10"/>
  <c r="P24" i="10"/>
  <c r="R24" i="10"/>
  <c r="O24" i="10"/>
  <c r="S24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25" i="10"/>
  <c r="N25" i="10"/>
  <c r="Q25" i="10"/>
  <c r="P25" i="10"/>
  <c r="R25" i="10"/>
  <c r="O25" i="10"/>
  <c r="S25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31" i="10"/>
  <c r="N31" i="10"/>
  <c r="Q31" i="10"/>
  <c r="P31" i="10"/>
  <c r="R31" i="10"/>
  <c r="O31" i="10"/>
  <c r="S31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32" i="10"/>
  <c r="N32" i="10"/>
  <c r="Q32" i="10"/>
  <c r="P32" i="10"/>
  <c r="R32" i="10"/>
  <c r="O32" i="10"/>
  <c r="S32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34" i="10"/>
  <c r="N34" i="10"/>
  <c r="Q34" i="10"/>
  <c r="P34" i="10"/>
  <c r="R34" i="10"/>
  <c r="O34" i="10"/>
  <c r="S34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W9" i="7"/>
  <c r="U9" i="7"/>
  <c r="R9" i="7"/>
  <c r="Q9" i="7"/>
  <c r="P9" i="7"/>
  <c r="O9" i="7"/>
  <c r="N9" i="7"/>
  <c r="H9" i="7"/>
  <c r="J9" i="7"/>
  <c r="I9" i="7"/>
  <c r="D9" i="7"/>
  <c r="F9" i="7"/>
  <c r="E9" i="7"/>
  <c r="A9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9" i="2"/>
  <c r="E9" i="2"/>
  <c r="D9" i="2"/>
  <c r="H2" i="1"/>
  <c r="H3" i="1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<sst xmlns="http://schemas.openxmlformats.org/spreadsheetml/2006/main" count="1172" uniqueCount="525">
  <si>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</si>
  <si>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</si>
  <si>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</si>
  <si>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</si>
  <si>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</si>
  <si>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</si>
  <si>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</si>
  <si>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</si>
  <si>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</si>
  <si>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</si>
  <si>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</si>
  <si>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</si>
  <si>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</si>
  <si>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</si>
  <si>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</si>
  <si>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</si>
  <si>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</si>
  <si>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</si>
  <si>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</si>
  <si>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</si>
  <si>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</si>
  <si>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</si>
  <si>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</si>
  <si>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</si>
  <si>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</si>
  <si>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</si>
  <si>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</si>
  <si>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</si>
  <si>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</si>
  <si>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</si>
  <si>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</si>
  <si>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</si>
  <si>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</si>
  <si>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</si>
  <si>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</si>
  <si>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</si>
  <si>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</si>
  <si>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</si>
  <si>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</si>
  <si>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</si>
  <si>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</si>
  <si>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</si>
  <si>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</si>
  <si>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</si>
  <si>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</si>
  <si>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</si>
  <si>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</si>
  <si>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</si>
  <si>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</si>
  <si>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</si>
  <si>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</si>
  <si>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</si>
  <si>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</si>
  <si>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</si>
  <si>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</si>
  <si>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</si>
  <si>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</si>
  <si>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</si>
  <si>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</si>
  <si>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</si>
  <si>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</si>
  <si>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</si>
  <si>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</si>
  <si>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</si>
  <si>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</si>
  <si>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</si>
  <si>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</si>
  <si>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</si>
  <si>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</si>
  <si>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</si>
  <si>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</si>
  <si>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</si>
  <si>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</si>
  <si>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</si>
  <si>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</si>
  <si>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</si>
  <si>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</si>
  <si>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</si>
  <si>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</si>
  <si>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</si>
  <si>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</si>
  <si>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</si>
  <si>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</si>
  <si>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</si>
  <si>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</si>
  <si>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</si>
  <si>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</si>
  <si>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</si>
  <si>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</si>
  <si>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</si>
  <si>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</si>
  <si>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</si>
  <si>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</si>
  <si>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</si>
  <si>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</si>
  <si>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</si>
  <si>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</si>
  <si>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</si>
  <si>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</si>
  <si>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</si>
  <si>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</si>
  <si>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</si>
  <si>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</si>
  <si>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</si>
  <si>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</si>
  <si>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</si>
  <si>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</si>
  <si>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</si>
  <si>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</si>
  <si>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</si>
  <si>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</si>
  <si>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</si>
  <si>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</si>
  <si>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</si>
  <si>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</si>
  <si>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</si>
  <si>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</si>
  <si>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</si>
  <si>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</si>
  <si>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</si>
  <si>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</si>
  <si>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</si>
  <si>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</si>
  <si>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</si>
  <si>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</si>
  <si>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</si>
  <si>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</si>
  <si>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</si>
  <si>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</si>
  <si>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</si>
  <si>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</si>
  <si>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</si>
  <si>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</si>
  <si>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</si>
  <si>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</si>
  <si>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</si>
  <si>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</si>
  <si>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</si>
  <si>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</si>
  <si>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</si>
  <si>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</si>
  <si>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</si>
  <si>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</si>
  <si>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</si>
  <si>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</si>
  <si>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</si>
  <si>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</si>
  <si>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</si>
  <si>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</si>
  <si>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</si>
  <si>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</si>
  <si>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</si>
  <si>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</si>
  <si>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</si>
  <si>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</si>
  <si>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</si>
  <si>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</si>
  <si>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</si>
  <si>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</si>
  <si>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</si>
  <si>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</si>
  <si>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</si>
  <si>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</si>
  <si>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</si>
  <si>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</si>
  <si>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</si>
  <si>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</si>
  <si>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</si>
  <si>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</si>
  <si>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</si>
  <si>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</si>
  <si>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</si>
  <si>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</si>
  <si>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</si>
  <si>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</si>
  <si>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</si>
  <si>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</si>
  <si>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</si>
  <si>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</si>
  <si>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</si>
  <si>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</si>
  <si>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</si>
  <si>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</si>
  <si>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</si>
  <si>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</si>
  <si>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</si>
  <si>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</si>
  <si>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</si>
  <si>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</si>
  <si>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</si>
  <si>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</si>
  <si>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</si>
  <si>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</si>
  <si>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</si>
  <si>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</si>
  <si>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</si>
  <si>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</si>
  <si>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</si>
  <si>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</si>
  <si>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</si>
  <si>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</si>
  <si>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</si>
  <si>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</si>
  <si>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</si>
  <si>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</si>
  <si>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</si>
  <si>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</si>
  <si>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</si>
  <si>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</si>
  <si>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</si>
  <si>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</si>
  <si>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</si>
  <si>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</si>
  <si>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</si>
  <si>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</si>
  <si>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</si>
  <si>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</si>
  <si>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</si>
  <si>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</si>
  <si>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</si>
  <si>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</si>
  <si>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</si>
  <si>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</si>
  <si>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</si>
  <si>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</si>
  <si>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</si>
  <si>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</si>
  <si>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</si>
  <si>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</si>
  <si>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</si>
  <si>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</si>
  <si>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</si>
  <si>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</si>
  <si>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</si>
  <si>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</si>
  <si>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</si>
  <si>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</si>
  <si>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</si>
  <si>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</si>
  <si>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</si>
  <si>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</si>
  <si>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</si>
  <si>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</si>
  <si>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</si>
  <si>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</si>
  <si>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</si>
  <si>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</si>
  <si>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</si>
  <si>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</si>
  <si>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</si>
  <si>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</si>
  <si>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</si>
  <si>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</si>
  <si>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</si>
  <si>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</si>
  <si>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</si>
  <si>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白虎：開幕</t>
    <rPh sb="0" eb="2">
      <t>ビャッコ</t>
    </rPh>
    <rPh sb="3" eb="5">
      <t>カイマク</t>
    </rPh>
    <phoneticPr fontId="5"/>
  </si>
  <si>
    <t>白虎：3ターン毎</t>
    <rPh sb="0" eb="2">
      <t>ビャッコ</t>
    </rPh>
    <rPh sb="7" eb="8">
      <t>ゴト</t>
    </rPh>
    <phoneticPr fontId="5"/>
  </si>
  <si>
    <t>2回連続攻撃</t>
    <rPh sb="1" eb="6">
      <t>カイレンゾクコウゲキ</t>
    </rPh>
    <phoneticPr fontId="5"/>
  </si>
  <si>
    <t>白虎：ヒロ死亡時</t>
    <rPh sb="0" eb="2">
      <t>ビャッコ</t>
    </rPh>
    <rPh sb="5" eb="8">
      <t>ヒロシボウジ</t>
    </rPh>
    <phoneticPr fontId="5"/>
  </si>
  <si>
    <t>自身の防御力DOWN</t>
    <rPh sb="0" eb="2">
      <t>ジシンノ</t>
    </rPh>
    <rPh sb="3" eb="6">
      <t>ボウギョリョク</t>
    </rPh>
    <phoneticPr fontId="5"/>
  </si>
  <si>
    <t>ヒロ：確率50%</t>
    <rPh sb="3" eb="5">
      <t>カクリツ</t>
    </rPh>
    <phoneticPr fontId="5"/>
  </si>
  <si>
    <t>全体攻撃</t>
    <rPh sb="0" eb="4">
      <t>ゼンタイコウゲキ</t>
    </rPh>
    <phoneticPr fontId="5"/>
  </si>
  <si>
    <t>クリティカル！</t>
    <phoneticPr fontId="5"/>
  </si>
  <si>
    <t>ハヤト：開幕</t>
    <rPh sb="4" eb="6">
      <t>カイマク</t>
    </rPh>
    <phoneticPr fontId="5"/>
  </si>
  <si>
    <t>ハヤト：常時</t>
    <rPh sb="4" eb="6">
      <t>ジョウジ</t>
    </rPh>
    <phoneticPr fontId="5"/>
  </si>
  <si>
    <t>3回連続攻撃</t>
    <phoneticPr fontId="5"/>
  </si>
  <si>
    <t>[effect:enemy_message, val1:1.2, val2:1.2],[effect:rush, count:2, val:1]</t>
    <phoneticPr fontId="5"/>
  </si>
  <si>
    <t>[effect:enemy_message, val1:1.2, val2:1.2],[effect:critical, val:1.2, animation:enemy_critical]</t>
    <phoneticPr fontId="5"/>
  </si>
  <si>
    <t>ハヤト：2ターン毎</t>
    <phoneticPr fontId="5"/>
  </si>
  <si>
    <t>クリティカル！</t>
    <phoneticPr fontId="5"/>
  </si>
  <si>
    <t>ハヤト：HP50%以下</t>
    <rPh sb="9" eb="11">
      <t>イカ</t>
    </rPh>
    <phoneticPr fontId="5"/>
  </si>
  <si>
    <t>2ターン種族ドラゴン以外からの攻撃を50%DOWN</t>
    <rPh sb="4" eb="6">
      <t>シュゾクドラゴン</t>
    </rPh>
    <rPh sb="10" eb="12">
      <t>イガイカラノ</t>
    </rPh>
    <rPh sb="15" eb="17">
      <t>コウゲキヲ</t>
    </rPh>
    <phoneticPr fontId="5"/>
  </si>
  <si>
    <t>サンダーバード：2ターン毎</t>
    <phoneticPr fontId="5"/>
  </si>
  <si>
    <t>サンダーバード：死亡時</t>
    <rPh sb="8" eb="11">
      <t>シボウジ</t>
    </rPh>
    <phoneticPr fontId="5"/>
  </si>
  <si>
    <t>サンダーバードは逃げ出した</t>
    <rPh sb="8" eb="9">
      <t>ニゲダシタ</t>
    </rPh>
    <phoneticPr fontId="5"/>
  </si>
  <si>
    <t>アルフヘイム1：開幕</t>
    <rPh sb="8" eb="10">
      <t>カイマク</t>
    </rPh>
    <phoneticPr fontId="5"/>
  </si>
  <si>
    <t>アルフヘイム1：常時</t>
    <rPh sb="8" eb="10">
      <t>ジョウジ</t>
    </rPh>
    <phoneticPr fontId="5"/>
  </si>
  <si>
    <t>アルフヘイム1：2ターン毎</t>
    <phoneticPr fontId="5"/>
  </si>
  <si>
    <t>お邪魔パネルを吸収して防御力UP</t>
    <rPh sb="7" eb="9">
      <t>キュウシュウシテ</t>
    </rPh>
    <rPh sb="11" eb="14">
      <t>ボウギョリョク</t>
    </rPh>
    <phoneticPr fontId="5"/>
  </si>
  <si>
    <t>[effect:enemy_message, val1:1.2, val2:1.2],[effect:rush, count:3, val:1]</t>
    <phoneticPr fontId="5"/>
  </si>
  <si>
    <t>単体攻撃+
緑パネルをお邪魔パネルに最大4個変換</t>
    <phoneticPr fontId="5"/>
  </si>
  <si>
    <t>アルフヘイム2：開幕</t>
    <rPh sb="8" eb="10">
      <t>カイマク</t>
    </rPh>
    <phoneticPr fontId="5"/>
  </si>
  <si>
    <t>アルフヘイム2：常時</t>
    <rPh sb="8" eb="10">
      <t>ジョウジ</t>
    </rPh>
    <phoneticPr fontId="5"/>
  </si>
  <si>
    <t>アルフヘイム2：確率40%</t>
    <rPh sb="8" eb="10">
      <t>カクリツ</t>
    </rPh>
    <phoneticPr fontId="5"/>
  </si>
  <si>
    <t>4ターン緑パネル出現率UP</t>
    <rPh sb="4" eb="5">
      <t>ミドリパネルシュツゲンリツ</t>
    </rPh>
    <phoneticPr fontId="5"/>
  </si>
  <si>
    <t>種族ドラゴン以外に攻撃力30%DOWN</t>
    <rPh sb="0" eb="2">
      <t>シュゾク</t>
    </rPh>
    <phoneticPr fontId="5"/>
  </si>
  <si>
    <t>法海1：開幕</t>
    <rPh sb="0" eb="2">
      <t>ホウカイ</t>
    </rPh>
    <rPh sb="4" eb="6">
      <t>カイマク</t>
    </rPh>
    <phoneticPr fontId="5"/>
  </si>
  <si>
    <t>通常セリフ</t>
    <rPh sb="0" eb="2">
      <t>ツウジョウセリフ</t>
    </rPh>
    <phoneticPr fontId="5"/>
  </si>
  <si>
    <t>防御解除ヒントセリフ+
自身の防御力大UP</t>
    <rPh sb="0" eb="2">
      <t>ボウギョ</t>
    </rPh>
    <rPh sb="2" eb="4">
      <t>カイジョ</t>
    </rPh>
    <rPh sb="12" eb="14">
      <t>ジシンノ</t>
    </rPh>
    <rPh sb="15" eb="18">
      <t>ボウギョリョク</t>
    </rPh>
    <rPh sb="18" eb="19">
      <t>ダイ</t>
    </rPh>
    <phoneticPr fontId="5"/>
  </si>
  <si>
    <t>法海2：開幕</t>
    <rPh sb="0" eb="2">
      <t>ホウカイ</t>
    </rPh>
    <rPh sb="4" eb="6">
      <t>カイマク</t>
    </rPh>
    <phoneticPr fontId="5"/>
  </si>
  <si>
    <t>法海3：開幕</t>
    <rPh sb="0" eb="2">
      <t>ホウカイ</t>
    </rPh>
    <rPh sb="4" eb="6">
      <t>カイマク</t>
    </rPh>
    <phoneticPr fontId="5"/>
  </si>
  <si>
    <t>法海1：常時</t>
    <rPh sb="0" eb="2">
      <t>ホウカイ</t>
    </rPh>
    <rPh sb="4" eb="6">
      <t>ジョウジ</t>
    </rPh>
    <phoneticPr fontId="5"/>
  </si>
  <si>
    <t>法海1：2ターン毎</t>
    <rPh sb="0" eb="2">
      <t>ホウカイ</t>
    </rPh>
    <phoneticPr fontId="5"/>
  </si>
  <si>
    <t>[effect:enemy_message, val1:1.2, val2:1.2],[effect:fix_speed, target:myself, turn:1],[effect:spread, val:0.25]</t>
    <phoneticPr fontId="5"/>
  </si>
  <si>
    <t>法海2：常時</t>
    <rPh sb="0" eb="2">
      <t>ホウカイ</t>
    </rPh>
    <rPh sb="4" eb="6">
      <t>ジョウジ</t>
    </rPh>
    <phoneticPr fontId="5"/>
  </si>
  <si>
    <t>法海2：2ターン毎</t>
    <rPh sb="0" eb="2">
      <t>ホウカイ</t>
    </rPh>
    <phoneticPr fontId="5"/>
  </si>
  <si>
    <t>次のターン強力な連続攻撃</t>
    <rPh sb="0" eb="1">
      <t>ツギノターン</t>
    </rPh>
    <rPh sb="5" eb="7">
      <t>キョウリョクナ</t>
    </rPh>
    <rPh sb="8" eb="12">
      <t>レンゾクコウゲキ</t>
    </rPh>
    <phoneticPr fontId="5"/>
  </si>
  <si>
    <t>4回連続攻撃</t>
    <rPh sb="1" eb="2">
      <t>カイ</t>
    </rPh>
    <rPh sb="2" eb="6">
      <t>レンゾクコウゲキ</t>
    </rPh>
    <phoneticPr fontId="5"/>
  </si>
  <si>
    <t>[effect:enemy_message, val1:1.2, val2:1.2]</t>
    <phoneticPr fontId="5"/>
  </si>
  <si>
    <t>全ユニットの攻撃力30%DOWN+
赤&amp;緑パネルを青パネルに変換</t>
    <rPh sb="0" eb="1">
      <t>ゼン</t>
    </rPh>
    <phoneticPr fontId="5"/>
  </si>
  <si>
    <t>全体攻撃+
属性パネルをお邪魔パネル最大5個変換</t>
    <phoneticPr fontId="5"/>
  </si>
  <si>
    <t>ja</t>
  </si>
  <si>
    <t>法海3：常時</t>
    <phoneticPr fontId="5"/>
  </si>
  <si>
    <t>4回連続攻撃+
緑パネルをお邪魔パネルに最大8個変換</t>
    <rPh sb="1" eb="2">
      <t>カイ</t>
    </rPh>
    <rPh sb="2" eb="4">
      <t>レンゾク</t>
    </rPh>
    <phoneticPr fontId="5"/>
  </si>
  <si>
    <t>お邪魔パネルを吸収してクリティカル</t>
    <phoneticPr fontId="5"/>
  </si>
  <si>
    <t>法海3：2ターン毎</t>
    <rPh sb="0" eb="2">
      <t>ホウカイ</t>
    </rPh>
    <phoneticPr fontId="5"/>
  </si>
  <si>
    <t>法海3：HP50%以下</t>
    <rPh sb="0" eb="2">
      <t>ホウカイ</t>
    </rPh>
    <rPh sb="9" eb="11">
      <t>イカ</t>
    </rPh>
    <phoneticPr fontId="5"/>
  </si>
  <si>
    <t>法海3：HP40%以下</t>
    <rPh sb="0" eb="2">
      <t>ホウカイ</t>
    </rPh>
    <rPh sb="9" eb="11">
      <t>イカ</t>
    </rPh>
    <phoneticPr fontId="5"/>
  </si>
  <si>
    <t>法海3：HP30%以下</t>
    <rPh sb="0" eb="2">
      <t>ホウカイ</t>
    </rPh>
    <rPh sb="9" eb="11">
      <t>イカ</t>
    </rPh>
    <phoneticPr fontId="5"/>
  </si>
  <si>
    <t>法海3：敗北時：通常</t>
    <rPh sb="0" eb="2">
      <t>ホウカイ</t>
    </rPh>
    <rPh sb="4" eb="7">
      <t>ハイボクジ</t>
    </rPh>
    <rPh sb="8" eb="10">
      <t>ツウジョウ</t>
    </rPh>
    <phoneticPr fontId="5"/>
  </si>
  <si>
    <t>敗北時セリフ</t>
    <rPh sb="0" eb="3">
      <t>ハイボクジ</t>
    </rPh>
    <phoneticPr fontId="5"/>
  </si>
  <si>
    <t>白娘子用セリフ</t>
    <rPh sb="0" eb="1">
      <t>シロ</t>
    </rPh>
    <rPh sb="1" eb="2">
      <t>ムスメ</t>
    </rPh>
    <rPh sb="2" eb="3">
      <t>コ</t>
    </rPh>
    <rPh sb="3" eb="4">
      <t>ヨウ</t>
    </rPh>
    <phoneticPr fontId="5"/>
  </si>
  <si>
    <t>小青用セリフ</t>
    <rPh sb="0" eb="1">
      <t>コ</t>
    </rPh>
    <rPh sb="1" eb="2">
      <t>アオ</t>
    </rPh>
    <rPh sb="2" eb="3">
      <t>ヨウ</t>
    </rPh>
    <phoneticPr fontId="5"/>
  </si>
  <si>
    <t>属性ドラゴン以外に攻撃力30%DOWNダウン</t>
    <phoneticPr fontId="5"/>
  </si>
  <si>
    <t>4ターンハートパネル出現率UP</t>
    <phoneticPr fontId="5"/>
  </si>
  <si>
    <t>次のターン強力な攻撃</t>
    <rPh sb="0" eb="1">
      <t>ツギノターンキョウリョクナ</t>
    </rPh>
    <rPh sb="8" eb="10">
      <t>コウゲキ</t>
    </rPh>
    <phoneticPr fontId="5"/>
  </si>
  <si>
    <t>残りHPの90%ダメージ！</t>
    <rPh sb="0" eb="1">
      <t>ノコリ</t>
    </rPh>
    <phoneticPr fontId="5"/>
  </si>
  <si>
    <t>[effect:enemy_message, val1:1.2, val2:1.2]</t>
    <phoneticPr fontId="5"/>
  </si>
  <si>
    <t>アルフヘイム1：開幕：白娘子星6</t>
    <rPh sb="8" eb="10">
      <t>カイマク</t>
    </rPh>
    <rPh sb="11" eb="13">
      <t>シロムスメ</t>
    </rPh>
    <rPh sb="13" eb="14">
      <t>コ</t>
    </rPh>
    <rPh sb="14" eb="15">
      <t>★</t>
    </rPh>
    <phoneticPr fontId="5"/>
  </si>
  <si>
    <t>アルフヘイム1：開幕：白娘子星5</t>
    <rPh sb="8" eb="10">
      <t>カイマク</t>
    </rPh>
    <rPh sb="11" eb="13">
      <t>シロムスメ</t>
    </rPh>
    <rPh sb="13" eb="14">
      <t>コ</t>
    </rPh>
    <rPh sb="14" eb="15">
      <t>ホシ</t>
    </rPh>
    <phoneticPr fontId="5"/>
  </si>
  <si>
    <t>アルフヘイム1：開幕：小青星6</t>
    <rPh sb="8" eb="10">
      <t>カイマク</t>
    </rPh>
    <rPh sb="11" eb="12">
      <t>コ</t>
    </rPh>
    <rPh sb="12" eb="13">
      <t>アオ</t>
    </rPh>
    <rPh sb="13" eb="14">
      <t>ホシ</t>
    </rPh>
    <phoneticPr fontId="5"/>
  </si>
  <si>
    <t>アルフヘイム1：開幕：小青星5</t>
    <rPh sb="8" eb="10">
      <t>カイマク</t>
    </rPh>
    <rPh sb="11" eb="12">
      <t>コ</t>
    </rPh>
    <rPh sb="12" eb="13">
      <t>アオ</t>
    </rPh>
    <rPh sb="13" eb="14">
      <t>ホシ5</t>
    </rPh>
    <phoneticPr fontId="5"/>
  </si>
  <si>
    <t>法海1：開幕：白娘子：星6</t>
    <rPh sb="0" eb="2">
      <t>ホウカイ</t>
    </rPh>
    <rPh sb="4" eb="6">
      <t>カイマク</t>
    </rPh>
    <rPh sb="7" eb="8">
      <t>シロ</t>
    </rPh>
    <rPh sb="8" eb="9">
      <t>ムスメ</t>
    </rPh>
    <rPh sb="9" eb="10">
      <t>コ</t>
    </rPh>
    <rPh sb="11" eb="12">
      <t>ホシ</t>
    </rPh>
    <phoneticPr fontId="5"/>
  </si>
  <si>
    <t>法海1：開幕：白娘子：星5</t>
    <rPh sb="0" eb="2">
      <t>ホウカイ</t>
    </rPh>
    <rPh sb="4" eb="6">
      <t>カイマク</t>
    </rPh>
    <rPh sb="7" eb="8">
      <t>シロ</t>
    </rPh>
    <rPh sb="8" eb="9">
      <t>ムスメ</t>
    </rPh>
    <rPh sb="9" eb="10">
      <t>コ</t>
    </rPh>
    <rPh sb="11" eb="12">
      <t>ホシ</t>
    </rPh>
    <phoneticPr fontId="5"/>
  </si>
  <si>
    <t>法海1：開幕：小青：星6</t>
    <rPh sb="0" eb="2">
      <t>ホウカイ</t>
    </rPh>
    <rPh sb="4" eb="6">
      <t>カイマク</t>
    </rPh>
    <rPh sb="7" eb="8">
      <t>コ</t>
    </rPh>
    <rPh sb="8" eb="9">
      <t>アオ</t>
    </rPh>
    <rPh sb="10" eb="11">
      <t>ホシ</t>
    </rPh>
    <phoneticPr fontId="5"/>
  </si>
  <si>
    <t>法海1：開幕：小青：星5</t>
    <rPh sb="0" eb="2">
      <t>ホウカイ</t>
    </rPh>
    <rPh sb="4" eb="6">
      <t>カイマク</t>
    </rPh>
    <rPh sb="7" eb="8">
      <t>コ</t>
    </rPh>
    <rPh sb="8" eb="9">
      <t>アオ</t>
    </rPh>
    <rPh sb="10" eb="11">
      <t>ホシ</t>
    </rPh>
    <phoneticPr fontId="5"/>
  </si>
  <si>
    <t>法海2：開幕：白娘子：星6</t>
    <rPh sb="0" eb="2">
      <t>ホウカイ</t>
    </rPh>
    <rPh sb="4" eb="6">
      <t>カイマク</t>
    </rPh>
    <rPh sb="7" eb="8">
      <t>シロ</t>
    </rPh>
    <rPh sb="8" eb="9">
      <t>ムスメ</t>
    </rPh>
    <rPh sb="9" eb="10">
      <t>コ</t>
    </rPh>
    <rPh sb="11" eb="12">
      <t>ホシ</t>
    </rPh>
    <phoneticPr fontId="5"/>
  </si>
  <si>
    <t>法海2：開幕：白娘子：星5</t>
    <rPh sb="0" eb="2">
      <t>ホウカイ</t>
    </rPh>
    <rPh sb="4" eb="6">
      <t>カイマク</t>
    </rPh>
    <rPh sb="7" eb="8">
      <t>シロ</t>
    </rPh>
    <rPh sb="8" eb="9">
      <t>ムスメ</t>
    </rPh>
    <rPh sb="9" eb="10">
      <t>コ</t>
    </rPh>
    <rPh sb="11" eb="12">
      <t>ホシ</t>
    </rPh>
    <phoneticPr fontId="5"/>
  </si>
  <si>
    <t>法海2：開幕：小青：星6</t>
    <rPh sb="0" eb="2">
      <t>ホウカイ</t>
    </rPh>
    <rPh sb="4" eb="6">
      <t>カイマク</t>
    </rPh>
    <rPh sb="7" eb="8">
      <t>コ</t>
    </rPh>
    <rPh sb="8" eb="9">
      <t>アオ</t>
    </rPh>
    <rPh sb="10" eb="11">
      <t>ホシ</t>
    </rPh>
    <phoneticPr fontId="5"/>
  </si>
  <si>
    <t>法海2：開幕：小青：星5</t>
    <rPh sb="0" eb="2">
      <t>ホウカイ</t>
    </rPh>
    <rPh sb="4" eb="6">
      <t>カイマク</t>
    </rPh>
    <rPh sb="7" eb="8">
      <t>コ</t>
    </rPh>
    <rPh sb="8" eb="9">
      <t>アオ</t>
    </rPh>
    <rPh sb="10" eb="11">
      <t>ホシ</t>
    </rPh>
    <phoneticPr fontId="5"/>
  </si>
  <si>
    <t>法海3：開幕：白娘子：星6</t>
    <rPh sb="0" eb="2">
      <t>ホウカイ</t>
    </rPh>
    <rPh sb="4" eb="6">
      <t>カイマク</t>
    </rPh>
    <rPh sb="7" eb="8">
      <t>シロ</t>
    </rPh>
    <rPh sb="8" eb="9">
      <t>ムスメ</t>
    </rPh>
    <rPh sb="9" eb="10">
      <t>コ</t>
    </rPh>
    <rPh sb="11" eb="12">
      <t>ホシ</t>
    </rPh>
    <phoneticPr fontId="5"/>
  </si>
  <si>
    <t>法海3：開幕：白娘子：星5</t>
    <rPh sb="0" eb="2">
      <t>ホウカイ</t>
    </rPh>
    <rPh sb="4" eb="6">
      <t>カイマク</t>
    </rPh>
    <rPh sb="7" eb="8">
      <t>シロ</t>
    </rPh>
    <rPh sb="8" eb="9">
      <t>ムスメ</t>
    </rPh>
    <rPh sb="9" eb="10">
      <t>コ</t>
    </rPh>
    <rPh sb="11" eb="12">
      <t>ホシ</t>
    </rPh>
    <phoneticPr fontId="5"/>
  </si>
  <si>
    <t>法海3：開幕：小青：星6</t>
    <rPh sb="0" eb="2">
      <t>ホウカイ</t>
    </rPh>
    <rPh sb="4" eb="6">
      <t>カイマク</t>
    </rPh>
    <rPh sb="7" eb="8">
      <t>コ</t>
    </rPh>
    <rPh sb="8" eb="9">
      <t>アオ</t>
    </rPh>
    <rPh sb="10" eb="11">
      <t>ホシ</t>
    </rPh>
    <phoneticPr fontId="5"/>
  </si>
  <si>
    <t>法海3：開幕：小青：星5</t>
    <rPh sb="0" eb="2">
      <t>ホウカイ</t>
    </rPh>
    <rPh sb="4" eb="6">
      <t>カイマク</t>
    </rPh>
    <rPh sb="7" eb="8">
      <t>コ</t>
    </rPh>
    <rPh sb="8" eb="9">
      <t>アオ</t>
    </rPh>
    <rPh sb="10" eb="11">
      <t>ホシ</t>
    </rPh>
    <phoneticPr fontId="5"/>
  </si>
  <si>
    <t>法海3：敗北時：白娘子：星5</t>
    <rPh sb="0" eb="2">
      <t>ホウカイ</t>
    </rPh>
    <rPh sb="4" eb="7">
      <t>ハイボクジ</t>
    </rPh>
    <rPh sb="8" eb="10">
      <t>シロムスメ</t>
    </rPh>
    <rPh sb="10" eb="11">
      <t>コ</t>
    </rPh>
    <rPh sb="12" eb="13">
      <t>ホシ</t>
    </rPh>
    <phoneticPr fontId="5"/>
  </si>
  <si>
    <t>法海3：敗北時：白娘子：星6</t>
    <rPh sb="0" eb="2">
      <t>ホウカイ</t>
    </rPh>
    <rPh sb="4" eb="7">
      <t>ハイボクジ</t>
    </rPh>
    <rPh sb="8" eb="10">
      <t>シロムスメ</t>
    </rPh>
    <rPh sb="10" eb="11">
      <t>コ</t>
    </rPh>
    <rPh sb="12" eb="13">
      <t>ホシ</t>
    </rPh>
    <phoneticPr fontId="5"/>
  </si>
  <si>
    <t>法海3：敗北時：小青：星6</t>
    <rPh sb="0" eb="2">
      <t>ホウカイ</t>
    </rPh>
    <rPh sb="4" eb="7">
      <t>ハイボクジ</t>
    </rPh>
    <rPh sb="8" eb="9">
      <t>コ</t>
    </rPh>
    <rPh sb="9" eb="10">
      <t>アオ</t>
    </rPh>
    <rPh sb="11" eb="12">
      <t>ホシ</t>
    </rPh>
    <phoneticPr fontId="5"/>
  </si>
  <si>
    <t>法海3：敗北時：小青：星5</t>
    <rPh sb="0" eb="2">
      <t>ホウカイ</t>
    </rPh>
    <rPh sb="4" eb="7">
      <t>ハイボクジ</t>
    </rPh>
    <rPh sb="8" eb="9">
      <t>コ</t>
    </rPh>
    <rPh sb="9" eb="10">
      <t>アオ</t>
    </rPh>
    <rPh sb="11" eb="12">
      <t>ホシ</t>
    </rPh>
    <phoneticPr fontId="5"/>
  </si>
  <si>
    <t>old</t>
  </si>
  <si>
    <t>null</t>
    <phoneticPr fontId="5"/>
  </si>
  <si>
    <t>null</t>
    <phoneticPr fontId="5"/>
  </si>
  <si>
    <t>単体攻撃+
緑パネルをダメージパネルに最大5個変換</t>
    <phoneticPr fontId="5"/>
  </si>
  <si>
    <t>全体攻撃+
黄パネルをダメージパネルに最大2個変換</t>
    <rPh sb="0" eb="2">
      <t>ゼンタイ</t>
    </rPh>
    <rPh sb="6" eb="7">
      <t>キ</t>
    </rPh>
    <phoneticPr fontId="5"/>
  </si>
  <si>
    <t>[effect:enemy_message, val1:1.2, val2:1.2],[effect:guard_break, target:myself, turn:1, val:1, calc:add, animation:guard_break01]</t>
    <phoneticPr fontId="5"/>
  </si>
  <si>
    <t>attack</t>
    <phoneticPr fontId="5"/>
  </si>
  <si>
    <t>[effect:enemy_message, val1:1.2, val2:1.2],[effect:suicide, target:enemy_human/not, val:1, dead_type:escape, animation:enemy_suicide]</t>
    <phoneticPr fontId="5"/>
  </si>
  <si>
    <t>アルフヘイム3：開幕</t>
    <rPh sb="8" eb="10">
      <t>カイマク</t>
    </rPh>
    <phoneticPr fontId="5"/>
  </si>
  <si>
    <t>アルフヘイム3：開幕：白娘子：星6</t>
    <phoneticPr fontId="5"/>
  </si>
  <si>
    <t>アルフヘイム3：開幕：白娘子：星5</t>
    <phoneticPr fontId="5"/>
  </si>
  <si>
    <t>アルフヘイム3：開幕：小青：星6</t>
    <phoneticPr fontId="5"/>
  </si>
  <si>
    <t>アルフヘイム3：開幕：小青：星5</t>
    <phoneticPr fontId="5"/>
  </si>
  <si>
    <t>白娘子用セリフ+
種族ドラゴンのスキルゲージ4減少+
消える</t>
    <rPh sb="9" eb="11">
      <t>シュゾク</t>
    </rPh>
    <rPh sb="27" eb="28">
      <t>キエル</t>
    </rPh>
    <phoneticPr fontId="5"/>
  </si>
  <si>
    <t>白娘子用セリフ+
種族ドラゴンのスキルゲージ4減少+
消える</t>
    <phoneticPr fontId="5"/>
  </si>
  <si>
    <t>小青用セリフ+
全ユニットのスキルゲージ4減少+
消える</t>
    <rPh sb="25" eb="26">
      <t>キエル</t>
    </rPh>
    <phoneticPr fontId="5"/>
  </si>
  <si>
    <t>ja</t>
    <phoneticPr fontId="5"/>
  </si>
  <si>
    <t>通常セリフ+
消える</t>
    <rPh sb="7" eb="8">
      <t>キエル</t>
    </rPh>
    <phoneticPr fontId="5"/>
  </si>
  <si>
    <t>白娘子用セリフ</t>
    <rPh sb="3" eb="4">
      <t>ヨウ</t>
    </rPh>
    <phoneticPr fontId="5"/>
  </si>
  <si>
    <r>
      <t xml:space="preserve">白娘子用セリフ+
</t>
    </r>
    <r>
      <rPr>
        <sz val="10"/>
        <color rgb="FFFF0000"/>
        <rFont val="ＭＳ Ｐゴシック"/>
        <family val="3"/>
        <charset val="128"/>
        <scheme val="minor"/>
      </rPr>
      <t>1ターン</t>
    </r>
    <r>
      <rPr>
        <sz val="10"/>
        <color theme="1"/>
        <rFont val="ＭＳ Ｐゴシック"/>
        <family val="3"/>
        <charset val="128"/>
        <scheme val="minor"/>
      </rPr>
      <t>の間全ユニットのタップ数1増加</t>
    </r>
    <rPh sb="3" eb="4">
      <t>ヨウ</t>
    </rPh>
    <rPh sb="14" eb="15">
      <t>アイダ</t>
    </rPh>
    <rPh sb="15" eb="16">
      <t>ゼンユニットノ</t>
    </rPh>
    <rPh sb="26" eb="28">
      <t>ゾウカ</t>
    </rPh>
    <phoneticPr fontId="5"/>
  </si>
  <si>
    <r>
      <t xml:space="preserve">通常セリフ+
</t>
    </r>
    <r>
      <rPr>
        <sz val="10"/>
        <color rgb="FFFF0000"/>
        <rFont val="ＭＳ Ｐゴシック"/>
        <family val="3"/>
        <charset val="128"/>
        <scheme val="minor"/>
      </rPr>
      <t>3ターン</t>
    </r>
    <r>
      <rPr>
        <sz val="10"/>
        <color theme="1"/>
        <rFont val="ＭＳ Ｐゴシック"/>
        <family val="3"/>
        <charset val="128"/>
        <scheme val="minor"/>
      </rPr>
      <t>緑パネル出現率UP</t>
    </r>
    <rPh sb="0" eb="2">
      <t>ツウジョウ</t>
    </rPh>
    <rPh sb="11" eb="12">
      <t>ミドリパネルシュツゲンリツ</t>
    </rPh>
    <phoneticPr fontId="5"/>
  </si>
  <si>
    <r>
      <t xml:space="preserve">白娘子用セリフ+
</t>
    </r>
    <r>
      <rPr>
        <sz val="10"/>
        <color rgb="FFFF0000"/>
        <rFont val="ＭＳ Ｐゴシック"/>
        <family val="3"/>
        <charset val="128"/>
        <scheme val="minor"/>
      </rPr>
      <t>3ターン</t>
    </r>
    <r>
      <rPr>
        <sz val="10"/>
        <color theme="1"/>
        <rFont val="ＭＳ Ｐゴシック"/>
        <family val="3"/>
        <charset val="128"/>
        <scheme val="minor"/>
      </rPr>
      <t>緑パネル出現率UP</t>
    </r>
    <rPh sb="0" eb="1">
      <t>シロ</t>
    </rPh>
    <rPh sb="1" eb="2">
      <t>ムスメ</t>
    </rPh>
    <rPh sb="2" eb="3">
      <t>コ</t>
    </rPh>
    <rPh sb="3" eb="4">
      <t>ヨウ</t>
    </rPh>
    <rPh sb="13" eb="14">
      <t>ミドリパネルシュツゲンリツ</t>
    </rPh>
    <phoneticPr fontId="5"/>
  </si>
  <si>
    <r>
      <t xml:space="preserve">小青用セリフ+
</t>
    </r>
    <r>
      <rPr>
        <sz val="10"/>
        <color rgb="FFFF0000"/>
        <rFont val="ＭＳ Ｐゴシック"/>
        <family val="3"/>
        <charset val="128"/>
        <scheme val="minor"/>
      </rPr>
      <t>3ターン</t>
    </r>
    <r>
      <rPr>
        <sz val="10"/>
        <color theme="1"/>
        <rFont val="ＭＳ Ｐゴシック"/>
        <family val="3"/>
        <charset val="128"/>
        <scheme val="minor"/>
      </rPr>
      <t>緑パネル出現率UP</t>
    </r>
    <rPh sb="0" eb="1">
      <t>コ</t>
    </rPh>
    <rPh sb="1" eb="2">
      <t>アオ</t>
    </rPh>
    <rPh sb="2" eb="3">
      <t>ヨウ</t>
    </rPh>
    <rPh sb="12" eb="13">
      <t>ミドリパネルシュツゲンリツ</t>
    </rPh>
    <phoneticPr fontId="5"/>
  </si>
  <si>
    <r>
      <t xml:space="preserve">セリフ+
</t>
    </r>
    <r>
      <rPr>
        <sz val="10"/>
        <color rgb="FFFF0000"/>
        <rFont val="ＭＳ Ｐゴシック"/>
        <family val="3"/>
        <charset val="128"/>
        <scheme val="minor"/>
      </rPr>
      <t>3ターン</t>
    </r>
    <r>
      <rPr>
        <sz val="10"/>
        <color theme="1"/>
        <rFont val="ＭＳ Ｐゴシック"/>
        <family val="3"/>
        <charset val="128"/>
        <scheme val="minor"/>
      </rPr>
      <t>種族ドラゴンの攻撃力50%UP</t>
    </r>
    <phoneticPr fontId="5"/>
  </si>
  <si>
    <t>白娘子用セリフ+
全ユニットの攻撃力30%UP</t>
    <rPh sb="3" eb="4">
      <t>ヨウ</t>
    </rPh>
    <phoneticPr fontId="5"/>
  </si>
  <si>
    <t>小青用セリフ+
全ユニットの攻撃力30%UP</t>
    <rPh sb="0" eb="1">
      <t>コ</t>
    </rPh>
    <rPh sb="1" eb="2">
      <t>アオ</t>
    </rPh>
    <rPh sb="2" eb="3">
      <t>ヨウ</t>
    </rPh>
    <phoneticPr fontId="5"/>
  </si>
  <si>
    <t>次のターン強力な連続攻撃</t>
    <phoneticPr fontId="5"/>
  </si>
  <si>
    <t>アルフヘイム1：HP50%以下：1回</t>
    <rPh sb="17" eb="18">
      <t>カイ</t>
    </rPh>
    <phoneticPr fontId="5"/>
  </si>
  <si>
    <t>アルフヘイム：HP50%以下：1回</t>
    <rPh sb="12" eb="14">
      <t>イカ</t>
    </rPh>
    <rPh sb="16" eb="17">
      <t>カイ</t>
    </rPh>
    <phoneticPr fontId="5"/>
  </si>
  <si>
    <t>4回連続攻撃</t>
    <rPh sb="1" eb="2">
      <t>カイ</t>
    </rPh>
    <rPh sb="2" eb="4">
      <t>レンゾク</t>
    </rPh>
    <rPh sb="4" eb="6">
      <t>コウゲキ</t>
    </rPh>
    <phoneticPr fontId="5"/>
  </si>
  <si>
    <t>[effect:enemy_message, val1:1.2, val2:1.2],[effect:rush, count:4, val:1]</t>
    <phoneticPr fontId="5"/>
  </si>
  <si>
    <t>アルフヘイム2：HP40%以下</t>
    <rPh sb="13" eb="15">
      <t>イカ</t>
    </rPh>
    <phoneticPr fontId="5"/>
  </si>
  <si>
    <t>法海2：50%以下：1回</t>
    <rPh sb="0" eb="2">
      <t>ホウカイ</t>
    </rPh>
    <rPh sb="7" eb="9">
      <t>イカ</t>
    </rPh>
    <phoneticPr fontId="5"/>
  </si>
  <si>
    <t>法海2：40%以下1：1回</t>
    <rPh sb="0" eb="2">
      <t>ホウカイ</t>
    </rPh>
    <rPh sb="7" eb="9">
      <t>イカ</t>
    </rPh>
    <rPh sb="12" eb="13">
      <t>カイ</t>
    </rPh>
    <phoneticPr fontId="5"/>
  </si>
  <si>
    <t>法海2：40%以下2：1回</t>
    <rPh sb="0" eb="2">
      <t>ホウカイ</t>
    </rPh>
    <rPh sb="7" eb="9">
      <t>イカ</t>
    </rPh>
    <phoneticPr fontId="5"/>
  </si>
  <si>
    <r>
      <rPr>
        <sz val="10"/>
        <color rgb="FFFF0000"/>
        <rFont val="ＭＳ Ｐゴシック"/>
        <family val="3"/>
        <charset val="128"/>
        <scheme val="minor"/>
      </rPr>
      <t>ダメージ</t>
    </r>
    <r>
      <rPr>
        <sz val="10"/>
        <color theme="1"/>
        <rFont val="ＭＳ Ｐゴシック"/>
        <family val="3"/>
        <charset val="128"/>
        <scheme val="minor"/>
      </rPr>
      <t>パネルを吸収して防御力UP</t>
    </r>
    <rPh sb="8" eb="10">
      <t>キュウシュウシテ</t>
    </rPh>
    <rPh sb="12" eb="15">
      <t>ボウギョリョク</t>
    </rPh>
    <phoneticPr fontId="5"/>
  </si>
  <si>
    <r>
      <rPr>
        <sz val="10"/>
        <rFont val="ＭＳ Ｐゴシック"/>
        <family val="3"/>
        <charset val="128"/>
        <scheme val="minor"/>
      </rPr>
      <t>単体攻撃+
緑パネルを</t>
    </r>
    <r>
      <rPr>
        <sz val="10"/>
        <color rgb="FFFF0000"/>
        <rFont val="ＭＳ Ｐゴシック"/>
        <family val="3"/>
        <charset val="128"/>
        <scheme val="minor"/>
      </rPr>
      <t>ダメージパネル</t>
    </r>
    <r>
      <rPr>
        <sz val="10"/>
        <rFont val="ＭＳ Ｐゴシック"/>
        <family val="3"/>
        <charset val="128"/>
        <scheme val="minor"/>
      </rPr>
      <t>に最大5個変換</t>
    </r>
    <rPh sb="6" eb="7">
      <t>ミドリ</t>
    </rPh>
    <phoneticPr fontId="5"/>
  </si>
  <si>
    <t>白娘子用セリフ+
1ターンの間全ユニットのタップ数1増加</t>
    <rPh sb="3" eb="4">
      <t>ヨウ</t>
    </rPh>
    <rPh sb="15" eb="16">
      <t>ゼンユニットノ</t>
    </rPh>
    <rPh sb="26" eb="28">
      <t>ゾウカ</t>
    </rPh>
    <phoneticPr fontId="5"/>
  </si>
  <si>
    <t>小青用セリフ+
1ターンの間全ユニットのタップ数1増加</t>
    <rPh sb="0" eb="1">
      <t>コ</t>
    </rPh>
    <rPh sb="1" eb="2">
      <t>アオ</t>
    </rPh>
    <rPh sb="2" eb="3">
      <t>ヨウ</t>
    </rPh>
    <phoneticPr fontId="5"/>
  </si>
  <si>
    <r>
      <t>セリフ</t>
    </r>
    <r>
      <rPr>
        <sz val="10"/>
        <color rgb="FFFF0000"/>
        <rFont val="ＭＳ Ｐゴシック"/>
        <family val="3"/>
        <charset val="128"/>
        <scheme val="minor"/>
      </rPr>
      <t>+属性パネルをお邪魔パネル最大3個変換</t>
    </r>
    <phoneticPr fontId="5"/>
  </si>
  <si>
    <r>
      <t>クリティカル！</t>
    </r>
    <r>
      <rPr>
        <sz val="10"/>
        <color rgb="FFFF0000"/>
        <rFont val="ＭＳ Ｐゴシック"/>
        <family val="3"/>
        <charset val="128"/>
        <scheme val="minor"/>
      </rPr>
      <t>+属性パネルをお邪魔パネル最大1個変換</t>
    </r>
    <phoneticPr fontId="5"/>
  </si>
  <si>
    <t>お邪魔パネルを吸収して全体攻撃</t>
    <phoneticPr fontId="5"/>
  </si>
  <si>
    <t>アルフヘイム2：3ターン毎</t>
    <phoneticPr fontId="5"/>
  </si>
  <si>
    <t>我ら三人の鉄壁の防御は
そう簡単には崩せんぞ！</t>
    <phoneticPr fontId="5"/>
  </si>
  <si>
    <t>いけ！俺様の下僕どもよ！
死んでもここを通すな！</t>
    <phoneticPr fontId="5"/>
  </si>
  <si>
    <r>
      <rPr>
        <sz val="10"/>
        <color rgb="FFFF0000"/>
        <rFont val="ＭＳ Ｐゴシック"/>
        <family val="3"/>
        <charset val="128"/>
        <scheme val="minor"/>
      </rPr>
      <t>3ターン</t>
    </r>
    <r>
      <rPr>
        <sz val="10"/>
        <color theme="1"/>
        <rFont val="ＭＳ Ｐゴシック"/>
        <family val="3"/>
        <charset val="128"/>
        <scheme val="minor"/>
      </rPr>
      <t>緑パネル出現率UP</t>
    </r>
    <rPh sb="4" eb="5">
      <t>ミドリパネルシュツゲンリツ</t>
    </rPh>
    <phoneticPr fontId="5"/>
  </si>
  <si>
    <r>
      <rPr>
        <sz val="10"/>
        <color rgb="FFFF0000"/>
        <rFont val="ＭＳ Ｐゴシック"/>
        <family val="3"/>
        <charset val="128"/>
        <scheme val="minor"/>
      </rPr>
      <t>3ターン</t>
    </r>
    <r>
      <rPr>
        <sz val="10"/>
        <color theme="1"/>
        <rFont val="ＭＳ Ｐゴシック"/>
        <family val="3"/>
        <charset val="128"/>
        <scheme val="minor"/>
      </rPr>
      <t>種族ドラゴンの攻撃力50%UP</t>
    </r>
    <phoneticPr fontId="5"/>
  </si>
  <si>
    <t>※表示しません</t>
    <rPh sb="1" eb="3">
      <t>ヒョウジシマセン</t>
    </rPh>
    <phoneticPr fontId="5"/>
  </si>
  <si>
    <t>※表示しません</t>
    <rPh sb="1" eb="3">
      <t>ヒョウジ</t>
    </rPh>
    <phoneticPr fontId="5"/>
  </si>
  <si>
    <t>※表示しません</t>
    <phoneticPr fontId="5"/>
  </si>
  <si>
    <r>
      <rPr>
        <sz val="10"/>
        <color rgb="FFFF0000"/>
        <rFont val="ＭＳ Ｐゴシック"/>
        <family val="3"/>
        <charset val="128"/>
        <scheme val="minor"/>
      </rPr>
      <t>1ターン</t>
    </r>
    <r>
      <rPr>
        <sz val="10"/>
        <color theme="1"/>
        <rFont val="ＭＳ Ｐゴシック"/>
        <family val="3"/>
        <charset val="128"/>
        <scheme val="minor"/>
      </rPr>
      <t>の間全ユニットのタップ数1増加</t>
    </r>
    <rPh sb="5" eb="6">
      <t>アイダ</t>
    </rPh>
    <rPh sb="6" eb="7">
      <t>ゼンユニットノ</t>
    </rPh>
    <rPh sb="17" eb="19">
      <t>ゾウカ</t>
    </rPh>
    <phoneticPr fontId="5"/>
  </si>
  <si>
    <t>1ターンの間全ユニットのタップ数1増加</t>
    <rPh sb="6" eb="7">
      <t>ゼンユニットノ</t>
    </rPh>
    <rPh sb="17" eb="19">
      <t>ゾウカ</t>
    </rPh>
    <phoneticPr fontId="5"/>
  </si>
  <si>
    <t>1ターンの間全ユニットのタップ数1増加</t>
    <phoneticPr fontId="5"/>
  </si>
  <si>
    <t>全ユニットの攻撃力30%UP</t>
    <phoneticPr fontId="5"/>
  </si>
  <si>
    <t>猛虎連撃爪</t>
    <rPh sb="2" eb="3">
      <t>REN</t>
    </rPh>
    <phoneticPr fontId="5"/>
  </si>
  <si>
    <t>鉄壁の防御が…</t>
    <rPh sb="0" eb="2">
      <t>テッペキ</t>
    </rPh>
    <rPh sb="3" eb="5">
      <t>ボウギョガ</t>
    </rPh>
    <phoneticPr fontId="5"/>
  </si>
  <si>
    <t>エスケープ</t>
    <phoneticPr fontId="5"/>
  </si>
  <si>
    <t>逃げていった…</t>
    <rPh sb="0" eb="1">
      <t>ニゲテイッタ</t>
    </rPh>
    <phoneticPr fontId="5"/>
  </si>
  <si>
    <t>生半可な攻撃では効かぬぞ</t>
    <rPh sb="0" eb="3">
      <t>ナマハンカナ</t>
    </rPh>
    <rPh sb="4" eb="6">
      <t>コウゲキデハ</t>
    </rPh>
    <rPh sb="8" eb="9">
      <t>キカヌゾ</t>
    </rPh>
    <phoneticPr fontId="5"/>
  </si>
  <si>
    <t>私の攻撃に耐えてみせよ</t>
    <rPh sb="0" eb="1">
      <t>ワタシノ</t>
    </rPh>
    <rPh sb="2" eb="4">
      <t>コウゲキニ</t>
    </rPh>
    <rPh sb="5" eb="6">
      <t>タエテミヨ</t>
    </rPh>
    <phoneticPr fontId="5"/>
  </si>
  <si>
    <t>煉獄爆雷刃</t>
    <rPh sb="0" eb="2">
      <t>レンゴク</t>
    </rPh>
    <rPh sb="2" eb="4">
      <t>バクライ</t>
    </rPh>
    <rPh sb="4" eb="5">
      <t>ヤイバ</t>
    </rPh>
    <phoneticPr fontId="5"/>
  </si>
  <si>
    <t>六道輪廻</t>
    <phoneticPr fontId="5"/>
  </si>
  <si>
    <t>これで終りだ…</t>
    <rPh sb="3" eb="4">
      <t>オワリダ</t>
    </rPh>
    <phoneticPr fontId="5"/>
  </si>
  <si>
    <t>電光爆雷刃</t>
    <rPh sb="0" eb="2">
      <t>デンコウ</t>
    </rPh>
    <phoneticPr fontId="5"/>
  </si>
  <si>
    <t>魔光爆雷刃</t>
    <rPh sb="0" eb="1">
      <t>アクマ</t>
    </rPh>
    <rPh sb="1" eb="2">
      <t>ヒカリ</t>
    </rPh>
    <rPh sb="2" eb="4">
      <t>バクライ</t>
    </rPh>
    <rPh sb="4" eb="5">
      <t>ヤイバ</t>
    </rPh>
    <phoneticPr fontId="5"/>
  </si>
  <si>
    <t>雷光雷刃撃</t>
    <rPh sb="0" eb="2">
      <t>ライコウ</t>
    </rPh>
    <rPh sb="2" eb="5">
      <t>ライジンゲキ</t>
    </rPh>
    <phoneticPr fontId="5"/>
  </si>
  <si>
    <t>魔光雷刃撃</t>
    <rPh sb="0" eb="1">
      <t>マ</t>
    </rPh>
    <rPh sb="1" eb="2">
      <t>ヒカリ</t>
    </rPh>
    <rPh sb="2" eb="5">
      <t>ライジンゲキ</t>
    </rPh>
    <phoneticPr fontId="5"/>
  </si>
  <si>
    <t>本気をみせてやる</t>
    <rPh sb="0" eb="2">
      <t>ホンキヲ</t>
    </rPh>
    <phoneticPr fontId="5"/>
  </si>
  <si>
    <t>煉獄雷刃撃</t>
    <rPh sb="0" eb="2">
      <t>レンゴク</t>
    </rPh>
    <rPh sb="2" eb="3">
      <t>ライ</t>
    </rPh>
    <rPh sb="3" eb="4">
      <t>ヤイバ</t>
    </rPh>
    <rPh sb="4" eb="5">
      <t>ゲキ</t>
    </rPh>
    <phoneticPr fontId="5"/>
  </si>
  <si>
    <t>魔光連撃波</t>
    <rPh sb="0" eb="2">
      <t>マコウ</t>
    </rPh>
    <rPh sb="2" eb="4">
      <t>レンゲキ</t>
    </rPh>
    <rPh sb="4" eb="5">
      <t>ハ</t>
    </rPh>
    <phoneticPr fontId="5"/>
  </si>
  <si>
    <t>私の力はこんなものではないぞ</t>
    <rPh sb="0" eb="1">
      <t>ワタシノ</t>
    </rPh>
    <rPh sb="2" eb="3">
      <t>チカラハ</t>
    </rPh>
    <phoneticPr fontId="5"/>
  </si>
  <si>
    <t>攻撃が甘い！</t>
    <rPh sb="0" eb="2">
      <t>コウゲキガ</t>
    </rPh>
    <rPh sb="3" eb="4">
      <t>アマイ</t>
    </rPh>
    <phoneticPr fontId="5"/>
  </si>
  <si>
    <t>スパーク</t>
    <phoneticPr fontId="5"/>
  </si>
  <si>
    <t>稲妻蹴り</t>
    <rPh sb="0" eb="2">
      <t>イナズマ</t>
    </rPh>
    <rPh sb="2" eb="3">
      <t>ケリ</t>
    </rPh>
    <phoneticPr fontId="5"/>
  </si>
  <si>
    <t>金剛連撃</t>
    <rPh sb="0" eb="2">
      <t>コンゴウ</t>
    </rPh>
    <rPh sb="2" eb="4">
      <t>レンゲキ</t>
    </rPh>
    <phoneticPr fontId="5"/>
  </si>
  <si>
    <t>金剛一閃</t>
    <rPh sb="0" eb="2">
      <t>コンゴウ</t>
    </rPh>
    <rPh sb="2" eb="4">
      <t>イッセン</t>
    </rPh>
    <phoneticPr fontId="5"/>
  </si>
  <si>
    <t>金剛無刀陣</t>
    <rPh sb="0" eb="2">
      <t>コンゴウ</t>
    </rPh>
    <rPh sb="2" eb="3">
      <t>ム</t>
    </rPh>
    <rPh sb="3" eb="4">
      <t>カタナ</t>
    </rPh>
    <rPh sb="4" eb="5">
      <t>ジン</t>
    </rPh>
    <phoneticPr fontId="5"/>
  </si>
  <si>
    <t>[effect:enemy_message, val1:2.3, val2:1.2],[effect:fix_speed, target:myself, turn:2],[effect:enhance_enemy, target:myself, turn:-1, status:defense, val:10000, calc:add, animation:enemy_enhance_defense]</t>
    <phoneticPr fontId="5"/>
  </si>
  <si>
    <t>[effect:enemy_message, val1:1.2, val2:1.6],[effect:break_enchance_enemy, target:myself, val:500, lowest_val:500, count:-1, status:defense, turn:-1, block01:jammer, calc:add, animation:enemy_enhance_defense]</t>
    <phoneticPr fontId="5"/>
  </si>
  <si>
    <t>[effect:enemy_message, val1:1.5, val2:1.9],[effect:fix_speed, target:myself, turn:1],[effect:enhance_unit, target:unit_dragon, turn:3, status:attack, val:0.5, calc:mul]</t>
    <phoneticPr fontId="5"/>
  </si>
  <si>
    <t>[effect:enemy_message, val1:1.2, val2:1.3],[effect:change_panel_ratio, turn:4, block_type:green, val:0.4, animation:block_incidence04]</t>
    <phoneticPr fontId="5"/>
  </si>
  <si>
    <t>[effect:enemy_message, val1:1.2, val2:1.9],[effect:attack_break, target:unit_dragon/not, turn:-1, val:0.3, calc:mul, animation:attack_break01]</t>
    <phoneticPr fontId="5"/>
  </si>
  <si>
    <t>[effect:enemy_message, val1:1.2, val2:2.5],[effect:spread, val:0.25],[effect:force_change_block, new_block:damage, target:block_yellow, count:2, val:0.1, animation:change_block]</t>
    <phoneticPr fontId="5"/>
  </si>
  <si>
    <t>[effect:enemy_message, val1:1.2, val2:1.5],[effect:break_attack, target:unit_all, val:0.02, lowest_val:1000, count:-1, color:yellow, block01:jammer]</t>
    <phoneticPr fontId="5"/>
  </si>
  <si>
    <t>[effect:enemy_message, val1:1.2, val2:2.6],[effect:rush, count:4, val:0.25],[effect:force_change_block, new_block:jammer, target:block_green, count:8, val:0, animation:change_block]</t>
    <phoneticPr fontId="5"/>
  </si>
  <si>
    <t>[effect:enemy_message, val1:1.2, val2:1.7],[effect:break_attack_fix, target:unit_one, val:100, lowest_val:4000, count:-1, block01:jammer]</t>
    <phoneticPr fontId="5"/>
  </si>
  <si>
    <t>[effect:enemy_message, val1:1.2, val2:2.2],[effect:attack_break, target:unit_dragon/not, turn:-1, val:0.3, calc:mul, animation:attack_break01]</t>
    <phoneticPr fontId="5"/>
  </si>
  <si>
    <t>[effect:enemy_message, val1:1.2, val2:1.5],[effect:change_panel_ratio, turn:4, block_type:heart, val:0.4, animation:block_incidence04]</t>
    <phoneticPr fontId="5"/>
  </si>
  <si>
    <t>[effect:enemy_message, val1:1.2, val2:1.3],[effect:damage_gravity, val:0.9, animation:fevergauge_down]</t>
    <phoneticPr fontId="5"/>
  </si>
  <si>
    <t>この俺に…</t>
    <rPh sb="2" eb="3">
      <t>オレサマニ</t>
    </rPh>
    <phoneticPr fontId="5"/>
  </si>
  <si>
    <t>この俺が敗けるとは…</t>
    <phoneticPr fontId="5"/>
  </si>
  <si>
    <t>[effect:enemy_message, val1:2.5, val2:0],[effect:fix_speed, target:myself, turn:2]</t>
    <phoneticPr fontId="5"/>
  </si>
  <si>
    <t>大きく振りかぶる</t>
    <phoneticPr fontId="5"/>
  </si>
  <si>
    <t>本気でいくぞ</t>
    <rPh sb="0" eb="2">
      <t>ホンキデ</t>
    </rPh>
    <phoneticPr fontId="5"/>
  </si>
  <si>
    <t>unit</t>
  </si>
  <si>
    <t>link</t>
  </si>
  <si>
    <t>くっ…
ここまでの力とは…</t>
    <rPh sb="9" eb="10">
      <t>チカラトハ</t>
    </rPh>
    <phoneticPr fontId="5"/>
  </si>
  <si>
    <t>お前ごときが！</t>
    <phoneticPr fontId="5"/>
  </si>
  <si>
    <t>どうした、貴様の力はその程度か</t>
    <rPh sb="5" eb="7">
      <t>キサマ</t>
    </rPh>
    <phoneticPr fontId="5"/>
  </si>
  <si>
    <t>よく私を倒したな
さあ行くがいい</t>
    <rPh sb="2" eb="3">
      <t>ワタシヲ</t>
    </rPh>
    <rPh sb="4" eb="5">
      <t>タオシタ</t>
    </rPh>
    <phoneticPr fontId="5"/>
  </si>
  <si>
    <t>full_member</t>
    <phoneticPr fontId="5"/>
  </si>
  <si>
    <t>この俺が敗けるとは…
俺の正義が間違っていたのか…</t>
    <phoneticPr fontId="5"/>
  </si>
  <si>
    <t>この俺の敗けだ…
男を連れていくがいい…</t>
    <rPh sb="4" eb="5">
      <t>マケダ</t>
    </rPh>
    <rPh sb="9" eb="10">
      <t>オトコヲ</t>
    </rPh>
    <rPh sb="11" eb="12">
      <t>ツレテイクガ</t>
    </rPh>
    <phoneticPr fontId="5"/>
  </si>
  <si>
    <t>この俺の敗けだ…
男を連れていくがいい…</t>
    <phoneticPr fontId="5"/>
  </si>
  <si>
    <t>世界の正義は我々ALICEにあり！</t>
    <phoneticPr fontId="5"/>
  </si>
  <si>
    <t>お前の力など所詮その程度か！</t>
    <phoneticPr fontId="5"/>
  </si>
  <si>
    <t>お前あの男のために
なぜそこまでする？</t>
    <phoneticPr fontId="5"/>
  </si>
  <si>
    <t>お前なぜ俺の任務の邪魔をする？</t>
    <phoneticPr fontId="5"/>
  </si>
  <si>
    <t>この俺を
ここまで追い詰めるとは…</t>
    <phoneticPr fontId="5"/>
  </si>
  <si>
    <t>俺をここまで追い詰めるとは…
その力は一体なんだ！</t>
    <rPh sb="17" eb="18">
      <t>チカラハ</t>
    </rPh>
    <rPh sb="19" eb="21">
      <t>イッタイ</t>
    </rPh>
    <phoneticPr fontId="5"/>
  </si>
  <si>
    <t>俺をここまで追い詰めるとは…
その力は一体なんだ！</t>
    <phoneticPr fontId="5"/>
  </si>
  <si>
    <t>俺をここまで追い詰めるとは…
どこにそんな力が…</t>
    <rPh sb="21" eb="22">
      <t>チカラガ</t>
    </rPh>
    <phoneticPr fontId="5"/>
  </si>
  <si>
    <t>俺をここまで追い詰めるとは…
どこにそんな力が…</t>
    <phoneticPr fontId="5"/>
  </si>
  <si>
    <t>法海の暴走を止めるというのか？</t>
    <rPh sb="3" eb="5">
      <t>ボウソウ</t>
    </rPh>
    <rPh sb="6" eb="7">
      <t>トメル</t>
    </rPh>
    <phoneticPr fontId="5"/>
  </si>
  <si>
    <t>貴様に法海を止める力があるか
見極めてやろう…</t>
    <phoneticPr fontId="5"/>
  </si>
  <si>
    <t>貴様なら法海を
止めることができるだろう…</t>
    <rPh sb="0" eb="2">
      <t>キサマナラ</t>
    </rPh>
    <rPh sb="4" eb="5">
      <t>ホウ</t>
    </rPh>
    <rPh sb="5" eb="6">
      <t>カイ</t>
    </rPh>
    <phoneticPr fontId="5"/>
  </si>
  <si>
    <t>貴様なら法海を
止めることができるだろう…</t>
    <phoneticPr fontId="5"/>
  </si>
  <si>
    <t>貴様なら法海を止めることが…
さあ行くがいい</t>
    <phoneticPr fontId="5"/>
  </si>
  <si>
    <t>お前あの男とどういった関係だ？</t>
    <phoneticPr fontId="5"/>
  </si>
  <si>
    <t>白虎の防御力は高いので先にヒロを倒し
白虎の防御力を下げてから有利に
戦いを進めましょう</t>
    <phoneticPr fontId="5"/>
  </si>
  <si>
    <t>1ゲージ目の法海は攻撃と
ダメージパネル変換を頻繁に使用してきます
対抗ユニットをパーティに入れ有利に
戦いを進めましょう</t>
    <phoneticPr fontId="5"/>
  </si>
  <si>
    <t>1ゲージ目のアルフヘイムは
お邪魔パネルを吸収して
防御力UPをするので盤面に残す
お邪魔パネルに注意しましょう</t>
    <phoneticPr fontId="5"/>
  </si>
  <si>
    <t>2ゲージ目のアルフヘイムは
ダメージパネルを吸収して
防御力UPをするので盤面に残す
ダメージパネルに注意しましょう</t>
    <phoneticPr fontId="5"/>
  </si>
  <si>
    <t>幸せの日</t>
    <phoneticPr fontId="5"/>
  </si>
  <si>
    <t>恋人を救い出した白娘子は
妹の小青と三人で
また幸せに暮らしているそうです</t>
    <phoneticPr fontId="5"/>
  </si>
  <si>
    <t>愛する人のため</t>
    <phoneticPr fontId="5"/>
  </si>
  <si>
    <t>恋人一筋の優しい白娘子ですが
恋人に危機が迫ると
「戦闘モード」へ切り替わります</t>
    <phoneticPr fontId="5"/>
  </si>
  <si>
    <t>憧れのお姉様</t>
    <phoneticPr fontId="5"/>
  </si>
  <si>
    <t>小青は白娘子と同じ蛇型ウィルスでしたが
憧れの白娘子から受け取った
外見変更プログラムで人の姿になりました</t>
    <phoneticPr fontId="5"/>
  </si>
  <si>
    <t>雷峰塔</t>
    <phoneticPr fontId="5"/>
  </si>
  <si>
    <t>法海</t>
    <phoneticPr fontId="5"/>
  </si>
  <si>
    <t>月下老人の暴走によって起こった
強制マッチング事件の影響は大きく
事後処理の依頼を受けた
エージェントAIの法海が動いていました</t>
    <phoneticPr fontId="5"/>
  </si>
  <si>
    <t>[effect:enemy_message, val1:1.5, val2:1.3],[effect:fix_speed, target:myself, turn:2],[effect:change_panel_ratio, turn:3, block_type:green, val:0.4, animation:block_incidence04]</t>
    <phoneticPr fontId="5"/>
  </si>
  <si>
    <t>[effect:enemy_message, val1:2.3, val2:1.3],[effect:fix_speed, target:myself, turn:2],[effect:change_panel_ratio, turn:3, block_type:green, val:0.4, animation:block_incidence04]</t>
    <phoneticPr fontId="5"/>
  </si>
  <si>
    <t>[effect:enemy_message, val1:1.7, val2:0],[effect:fix_speed, target:myself, turn:2]</t>
    <phoneticPr fontId="5"/>
  </si>
  <si>
    <t>[effect:enemy_message, val1:1.5, val2:0],[effect:fix_speed, target:myself, turn:2]</t>
    <phoneticPr fontId="5"/>
  </si>
  <si>
    <t>[effect:enemy_message, val1:1.4, val2:0],[effect:fix_speed, target:myself, turn:1]</t>
    <phoneticPr fontId="5"/>
  </si>
  <si>
    <t>[effect:enemy_message, val1:1.9, val2:1.9],[effect:fix_speed, target:myself, turn:1],[effect:enhance_unit, target:unit_all, turn:1, status:action, val:1]</t>
    <phoneticPr fontId="5"/>
  </si>
  <si>
    <t>[effect:enemy_message, val1:1.5, val2:1.9],[effect:fix_speed, target:myself, turn:1],[effect:enhance_unit, target:unit_all, turn:1, status:action, val:1]</t>
    <phoneticPr fontId="5"/>
  </si>
  <si>
    <t>[effect:enemy_message, val1:1.3, val2:3.2],[effect:attack_break, target:unit_all, turn:-1, val:0.3, calc:mul, animation:attack_break01],[effect:force_change_block, new_block:block_blue, target:block_red, count:0, val:0, animation:change_block],[effect:force_change_block, new_block:block_blue, target:block_green, count:0, val:0]</t>
    <phoneticPr fontId="5"/>
  </si>
  <si>
    <t>[effect:enemy_message, val1:2.5, val2:1.4],[effect:fix_speed, target:myself, turn:1],[effect:enhance_unit, target:unit_all, turn:-1, status:attack, val:0.3, calc:mul]</t>
    <phoneticPr fontId="5"/>
  </si>
  <si>
    <t>[effect:enemy_message, val1:2.4, val2:1.4],[effect:fix_speed, target:myself, turn:1],[effect:enhance_unit, target:unit_all, turn:-1, status:attack, val:0.3, calc:mul]</t>
    <phoneticPr fontId="5"/>
  </si>
  <si>
    <t>[effect:enemy_message, val1:1.2, val2:0, dead_type:suicide]</t>
    <phoneticPr fontId="5"/>
  </si>
  <si>
    <t>[effect:enemy_message, val1:2.0, val2:0, dead_type:suicide]</t>
    <phoneticPr fontId="5"/>
  </si>
  <si>
    <t>[effect:enemy_message, val1:2.5, val2:0, dead_type:suicide]</t>
    <phoneticPr fontId="5"/>
  </si>
  <si>
    <t>[effect:enemy_message, val1:1.6, val2:0],[effect:suicide, target:myself, val:1, dead_type:escape, animation:enemy_suicide]</t>
    <phoneticPr fontId="5"/>
  </si>
  <si>
    <t>[effect:enemy_message, val1:1.7, val2:0],[effect:fix_speed, target:myself, turn:1]</t>
    <phoneticPr fontId="5"/>
  </si>
  <si>
    <t>ALICE中華支部にあるセキュリティ拠点
仙人機関から圧縮空間の技術を利用し
AI・アバター・ウィルスでさえも
拘束できます</t>
    <phoneticPr fontId="5"/>
  </si>
  <si>
    <t>2体いるサンダーバードのうち1体を
先に倒すともう1体は逃げるので
ハヤトより先に倒して
戦いを有利に進めましょう</t>
    <phoneticPr fontId="5"/>
  </si>
  <si>
    <t>2ゲージ目の法海はお邪魔パネルを吸収して
強力な攻撃をするので盤面に残すパネルに
注意しましょう</t>
    <phoneticPr fontId="5"/>
  </si>
  <si>
    <t>3ゲージ目の法海は
特定のタイミングで強力な攻撃があるので
攻撃の前にスキルやフィーバーなどを使って
一気に攻めましょう</t>
    <rPh sb="30" eb="32">
      <t>コウゲキノ</t>
    </rPh>
    <rPh sb="33" eb="34">
      <t>マエニ</t>
    </rPh>
    <phoneticPr fontId="5"/>
  </si>
  <si>
    <t>3ゲージ目の法海は
特定のタイミングで強力な攻撃があるので
攻撃の前にスキルやフィーバーなどを使って
一気に攻めましょう</t>
    <phoneticPr fontId="5"/>
  </si>
  <si>
    <t>貴様に法海を止める力があるのなら
見せてみろ…</t>
    <rPh sb="17" eb="18">
      <t>ミ</t>
    </rPh>
    <phoneticPr fontId="5"/>
  </si>
  <si>
    <t>この俺の任務を邪魔する奴は
例え誰だろうと許さん！</t>
    <rPh sb="4" eb="6">
      <t>ニンム</t>
    </rPh>
    <phoneticPr fontId="5"/>
  </si>
  <si>
    <t>自身の防御力超大UP</t>
    <rPh sb="0" eb="2">
      <t>ジシンノ</t>
    </rPh>
    <rPh sb="3" eb="6">
      <t>ボウギョリョク</t>
    </rPh>
    <rPh sb="6" eb="7">
      <t>チョウ</t>
    </rPh>
    <rPh sb="7" eb="8">
      <t>ダイ</t>
    </rPh>
    <phoneticPr fontId="5"/>
  </si>
  <si>
    <t>2ターン種族ドラゴン以外からのダメージを50%DOWN</t>
    <rPh sb="4" eb="6">
      <t>シュゾクドラゴン</t>
    </rPh>
    <rPh sb="10" eb="12">
      <t>イガイカラノ</t>
    </rPh>
    <phoneticPr fontId="5"/>
  </si>
  <si>
    <t>[effect:enemy_message, val1:1.2, val2:2.7],[effect:reduction, target:myself, reduction_target:unit_dragon/not, turn:2, val:0.5, animation:reduction_one01]</t>
    <phoneticPr fontId="5"/>
  </si>
  <si>
    <t>種族ドラゴン以外の攻撃力30%DOWN</t>
    <rPh sb="0" eb="2">
      <t>シュゾク</t>
    </rPh>
    <phoneticPr fontId="5"/>
  </si>
  <si>
    <t>4回連続攻撃+
緑パネルをお邪魔パネルに8個変換</t>
    <rPh sb="1" eb="2">
      <t>カイ</t>
    </rPh>
    <rPh sb="2" eb="4">
      <t>レンゾク</t>
    </rPh>
    <phoneticPr fontId="5"/>
  </si>
  <si>
    <r>
      <t>クリティカル！</t>
    </r>
    <r>
      <rPr>
        <sz val="10"/>
        <color rgb="FFFF0000"/>
        <rFont val="ＭＳ Ｐゴシック"/>
        <family val="3"/>
        <charset val="128"/>
        <scheme val="minor"/>
      </rPr>
      <t>+
属性パネルをお邪魔パネルに1個変換</t>
    </r>
    <phoneticPr fontId="5"/>
  </si>
  <si>
    <t>[effect:enemy_message, val1:1.2, val2:2.6],[effect:fix_speed, target:myself, turn:1],[effect:critical, val:1.2, animation:enemy_critical],[effect:force_change_block, new_block:jammer, target:normal, count:1, val:0, animation:change_block]</t>
    <phoneticPr fontId="5"/>
  </si>
  <si>
    <t>属性パネルをお邪魔パネルに3個変換</t>
    <phoneticPr fontId="5"/>
  </si>
  <si>
    <t>[effect:enemy_message, val1:2.4, val2:1.7],[effect:fix_speed, target:myself, turn:2],[effect:force_change_block, new_block:jammer, target:normal, count:3, val:0, animation:change_block]</t>
    <phoneticPr fontId="5"/>
  </si>
  <si>
    <t>単体攻撃+
緑パネルをお邪魔パネルに4個変換</t>
    <phoneticPr fontId="5"/>
  </si>
  <si>
    <t>[effect:enemy_message, val1:1.2, val2:2.2],[effect:rush, count:1, val:1],[effect:force_change_block, new_block:jammer, target:block_green, count:4, val:0, animation:change_block]</t>
    <phoneticPr fontId="5"/>
  </si>
  <si>
    <t>全体攻撃+
属性パネルをお邪魔パネルに5個変換</t>
    <phoneticPr fontId="5"/>
  </si>
  <si>
    <t>[effect:enemy_message, val1:1.2, val2:2.3],[effect:spread, val:0.25],[effect:force_change_block, new_block:jammer, target:normal, count:5, val:0, animation:change_block]</t>
    <phoneticPr fontId="5"/>
  </si>
  <si>
    <t>単体攻撃+
緑パネルをお邪魔パネルに2個変換</t>
    <phoneticPr fontId="5"/>
  </si>
  <si>
    <t>[effect:enemy_message, val1:1.2, val2:2.2],[effect:rush, count:1, val:1],[effect:force_change_block, new_block:jammer, target:block_green, count:2, val:0, animation:change_block]</t>
    <phoneticPr fontId="5"/>
  </si>
  <si>
    <t>全体攻撃+
属性パネルをお邪魔パネルに3個変換</t>
    <phoneticPr fontId="5"/>
  </si>
  <si>
    <t>[effect:enemy_message, val1:1.2, val2:2.3],[effect:spread, val:0.25],[effect:force_change_block, new_block:jammer, target:normal, count:3, val:0, animation:change_block]</t>
    <phoneticPr fontId="5"/>
  </si>
  <si>
    <t>4回連続攻撃+
緑パネルをお邪魔パネルに4個変換</t>
    <rPh sb="1" eb="2">
      <t>カイ</t>
    </rPh>
    <rPh sb="2" eb="4">
      <t>レンゾク</t>
    </rPh>
    <phoneticPr fontId="5"/>
  </si>
  <si>
    <t>[effect:enemy_message, val1:1.2, val2:2.4],[effect:rush, count:4, val:0.25],[effect:force_change_block, new_block:jammer, target:block_green, count:4, val:0, animation:change_block]</t>
    <phoneticPr fontId="5"/>
  </si>
  <si>
    <t>その程度の攻撃では効かぬぞ</t>
    <rPh sb="5" eb="7">
      <t>コウゲキデハ</t>
    </rPh>
    <rPh sb="9" eb="10">
      <t>キカヌゾ</t>
    </rPh>
    <phoneticPr fontId="5"/>
  </si>
  <si>
    <t>[effect:enemy_message, val1:1.3, val2:1.7],[effect:break_enchance_enemy, target:myself, val:500, lowest_val:500, count:-1, status:defense, turn:-1, block01:damage, calc:add, animation:enemy_enhance_defense]</t>
    <phoneticPr fontId="5"/>
  </si>
  <si>
    <t>力が衰えてきておるぞ</t>
    <rPh sb="0" eb="1">
      <t>チカラガ</t>
    </rPh>
    <rPh sb="2" eb="3">
      <t>オトロエテキテルゾ</t>
    </rPh>
    <phoneticPr fontId="5"/>
  </si>
  <si>
    <t>[effect:enemy_message, val1:1.2, val2:1.2],[effect:fix_speed, target:myself, turn:1],[effect:critical, val:1.2, animation:enemy_critical]</t>
    <phoneticPr fontId="5"/>
  </si>
  <si>
    <r>
      <rPr>
        <sz val="10"/>
        <rFont val="ＭＳ Ｐゴシック"/>
        <family val="3"/>
        <charset val="128"/>
        <scheme val="minor"/>
      </rPr>
      <t>単体攻撃+
緑パネルを黄の</t>
    </r>
    <r>
      <rPr>
        <sz val="10"/>
        <color rgb="FFFF0000"/>
        <rFont val="ＭＳ Ｐゴシック"/>
        <family val="3"/>
        <charset val="128"/>
        <scheme val="minor"/>
      </rPr>
      <t>ダメージパネル</t>
    </r>
    <r>
      <rPr>
        <sz val="10"/>
        <rFont val="ＭＳ Ｐゴシック"/>
        <family val="3"/>
        <charset val="128"/>
        <scheme val="minor"/>
      </rPr>
      <t>に5個変換</t>
    </r>
    <rPh sb="6" eb="7">
      <t>ミドリ</t>
    </rPh>
    <rPh sb="11" eb="12">
      <t>キ</t>
    </rPh>
    <phoneticPr fontId="5"/>
  </si>
  <si>
    <t>[effect:enemy_message, val1:1.4, val2:2.5],[effect:rush, count:1, val:1],[effect:force_change_block, new_block:damage, target:block_green, count:5, val:0.1, animation:change_block]</t>
    <phoneticPr fontId="5"/>
  </si>
  <si>
    <t>単体攻撃+
緑パネルを黄のダメージパネルに5個変換</t>
    <rPh sb="11" eb="12">
      <t>キ</t>
    </rPh>
    <phoneticPr fontId="5"/>
  </si>
  <si>
    <t>全体攻撃+
黄パネルを黄のダメージパネルに2個変換</t>
    <rPh sb="0" eb="2">
      <t>ゼンタイ</t>
    </rPh>
    <rPh sb="6" eb="7">
      <t>キ</t>
    </rPh>
    <rPh sb="11" eb="12">
      <t>キ</t>
    </rPh>
    <phoneticPr fontId="5"/>
  </si>
  <si>
    <t>[effect:enemy_message, val1:1.2, val2:2.5],[effect:rush, count:1, val:1],[effect:force_change_block, new_block:damage, target:block_green, count:5, val:0.1, animation:change_block]</t>
    <phoneticPr fontId="5"/>
  </si>
  <si>
    <t>種族ドラゴンのスキルゲージを4ターン減少</t>
    <rPh sb="0" eb="2">
      <t>シュゾク</t>
    </rPh>
    <phoneticPr fontId="5"/>
  </si>
  <si>
    <t>種族ドラゴンのスキルゲージを4ターン減少</t>
    <phoneticPr fontId="5"/>
  </si>
  <si>
    <t>[effect:enemy_message, val1:2.1, val2:2.0],[effect:sp_boost, target:unit_dragon, val:4, animation:sp_boost_one02],[effect:suicide, target:myself, val:1, dead_type:escape, animation:enemy_suicide]</t>
    <phoneticPr fontId="5"/>
  </si>
  <si>
    <t>[effect:enemy_message, val1:2.2, val2:2.0],[effect:sp_boost, target:unit_dragon, val:4, animation:sp_boost_one02],[effect:suicide, target:myself, val:1, dead_type:escape, animation:enemy_suicide]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</si>
</sst>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4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0" borderId="11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3" xfId="0" applyFont="1" applyBorder="1" applyAlignment="1">
      <alignment vertical="center"/>
    </xf>
    <xf numFmtId="177" fontId="8" fillId="0" borderId="23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176" fontId="4" fillId="0" borderId="26" xfId="0" applyNumberFormat="1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" fontId="32" fillId="31" borderId="27" xfId="0" applyNumberFormat="1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27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28" xfId="0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6" fillId="0" borderId="33" xfId="0" applyFont="1" applyFill="1" applyBorder="1" applyAlignment="1">
      <alignment vertical="center"/>
    </xf>
    <xf numFmtId="0" fontId="6" fillId="0" borderId="34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14" fontId="16" fillId="6" borderId="7" xfId="0" applyNumberFormat="1" applyFont="1" applyFill="1" applyBorder="1" applyAlignment="1">
      <alignment horizontal="left" vertical="center"/>
    </xf>
    <xf numFmtId="0" fontId="16" fillId="6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14" fontId="16" fillId="32" borderId="7" xfId="0" applyNumberFormat="1" applyFont="1" applyFill="1" applyBorder="1" applyAlignment="1">
      <alignment horizontal="left" vertical="center"/>
    </xf>
    <xf numFmtId="0" fontId="16" fillId="32" borderId="0" xfId="0" applyFont="1" applyFill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14" fontId="16" fillId="33" borderId="7" xfId="0" applyNumberFormat="1" applyFont="1" applyFill="1" applyBorder="1" applyAlignment="1">
      <alignment horizontal="left" vertical="center"/>
    </xf>
    <xf numFmtId="0" fontId="16" fillId="33" borderId="0" xfId="0" applyFont="1" applyFill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14" fontId="16" fillId="34" borderId="7" xfId="0" applyNumberFormat="1" applyFont="1" applyFill="1" applyBorder="1" applyAlignment="1">
      <alignment horizontal="left" vertical="center"/>
    </xf>
    <xf numFmtId="0" fontId="16" fillId="34" borderId="0" xfId="0" applyFont="1" applyFill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14" fontId="16" fillId="35" borderId="7" xfId="0" applyNumberFormat="1" applyFont="1" applyFill="1" applyBorder="1" applyAlignment="1">
      <alignment horizontal="left" vertical="center"/>
    </xf>
    <xf numFmtId="0" fontId="16" fillId="35" borderId="0" xfId="0" applyFont="1" applyFill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14" fontId="16" fillId="36" borderId="7" xfId="0" applyNumberFormat="1" applyFont="1" applyFill="1" applyBorder="1" applyAlignment="1">
      <alignment horizontal="left" vertical="center"/>
    </xf>
    <xf numFmtId="0" fontId="16" fillId="36" borderId="0" xfId="0" applyFont="1" applyFill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14" fontId="16" fillId="37" borderId="7" xfId="0" applyNumberFormat="1" applyFont="1" applyFill="1" applyBorder="1" applyAlignment="1">
      <alignment horizontal="left" vertical="center"/>
    </xf>
    <xf numFmtId="0" fontId="16" fillId="37" borderId="0" xfId="0" applyFont="1" applyFill="1" applyAlignment="1">
      <alignment vertical="center"/>
    </xf>
    <xf numFmtId="0" fontId="6" fillId="5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vertical="center"/>
    </xf>
    <xf numFmtId="0" fontId="6" fillId="5" borderId="27" xfId="0" applyFont="1" applyFill="1" applyBorder="1" applyAlignment="1">
      <alignment vertical="center"/>
    </xf>
    <xf numFmtId="0" fontId="6" fillId="3" borderId="27" xfId="0" applyFont="1" applyFill="1" applyBorder="1" applyAlignment="1">
      <alignment vertical="center"/>
    </xf>
    <xf numFmtId="0" fontId="16" fillId="6" borderId="12" xfId="0" applyFont="1" applyFill="1" applyBorder="1" applyAlignment="1">
      <alignment vertical="center"/>
    </xf>
    <xf numFmtId="0" fontId="11" fillId="12" borderId="7" xfId="0" applyFont="1" applyFill="1" applyBorder="1" applyAlignment="1">
      <alignment vertical="center"/>
    </xf>
    <xf numFmtId="0" fontId="11" fillId="12" borderId="29" xfId="0" applyFont="1" applyFill="1" applyBorder="1" applyAlignment="1">
      <alignment vertical="center"/>
    </xf>
    <xf numFmtId="0" fontId="6" fillId="5" borderId="30" xfId="0" applyFont="1" applyFill="1" applyBorder="1" applyAlignment="1">
      <alignment vertical="center"/>
    </xf>
    <xf numFmtId="0" fontId="11" fillId="12" borderId="4" xfId="0" applyFont="1" applyFill="1" applyBorder="1" applyAlignment="1">
      <alignment vertical="center"/>
    </xf>
    <xf numFmtId="0" fontId="52" fillId="35" borderId="7" xfId="0" applyFont="1" applyFill="1" applyBorder="1" applyAlignment="1">
      <alignment horizontal="left" vertical="center" wrapText="1"/>
    </xf>
    <xf numFmtId="177" fontId="8" fillId="0" borderId="35" xfId="0" applyNumberFormat="1" applyFont="1" applyBorder="1" applyAlignment="1">
      <alignment vertical="center"/>
    </xf>
    <xf numFmtId="0" fontId="53" fillId="34" borderId="7" xfId="0" applyFont="1" applyFill="1" applyBorder="1" applyAlignment="1">
      <alignment vertical="center"/>
    </xf>
    <xf numFmtId="0" fontId="53" fillId="35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horizontal="left" vertical="center"/>
    </xf>
    <xf numFmtId="0" fontId="16" fillId="38" borderId="7" xfId="0" applyFont="1" applyFill="1" applyBorder="1" applyAlignment="1">
      <alignment horizontal="left" vertical="center" wrapText="1"/>
    </xf>
    <xf numFmtId="14" fontId="16" fillId="38" borderId="7" xfId="0" applyNumberFormat="1" applyFont="1" applyFill="1" applyBorder="1" applyAlignment="1">
      <alignment horizontal="left" vertical="center"/>
    </xf>
    <xf numFmtId="0" fontId="16" fillId="38" borderId="0" xfId="0" applyFont="1" applyFill="1" applyAlignment="1">
      <alignment vertical="center"/>
    </xf>
    <xf numFmtId="0" fontId="16" fillId="39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horizontal="left" vertical="center"/>
    </xf>
    <xf numFmtId="0" fontId="16" fillId="39" borderId="7" xfId="0" applyFont="1" applyFill="1" applyBorder="1" applyAlignment="1">
      <alignment horizontal="left" vertical="center" wrapText="1"/>
    </xf>
    <xf numFmtId="14" fontId="16" fillId="39" borderId="7" xfId="0" applyNumberFormat="1" applyFont="1" applyFill="1" applyBorder="1" applyAlignment="1">
      <alignment horizontal="left" vertical="center"/>
    </xf>
    <xf numFmtId="0" fontId="16" fillId="39" borderId="0" xfId="0" applyFont="1" applyFill="1" applyAlignment="1">
      <alignment vertical="center"/>
    </xf>
    <xf numFmtId="0" fontId="16" fillId="40" borderId="7" xfId="0" applyFont="1" applyFill="1" applyBorder="1" applyAlignment="1">
      <alignment vertical="center"/>
    </xf>
    <xf numFmtId="0" fontId="16" fillId="40" borderId="7" xfId="0" applyFont="1" applyFill="1" applyBorder="1" applyAlignment="1">
      <alignment horizontal="left" vertical="center"/>
    </xf>
    <xf numFmtId="0" fontId="16" fillId="40" borderId="7" xfId="0" applyFont="1" applyFill="1" applyBorder="1" applyAlignment="1">
      <alignment horizontal="left" vertical="center" wrapText="1"/>
    </xf>
    <xf numFmtId="14" fontId="16" fillId="40" borderId="7" xfId="0" applyNumberFormat="1" applyFont="1" applyFill="1" applyBorder="1" applyAlignment="1">
      <alignment horizontal="left" vertical="center"/>
    </xf>
    <xf numFmtId="0" fontId="16" fillId="40" borderId="0" xfId="0" applyFont="1" applyFill="1" applyAlignment="1">
      <alignment vertical="center"/>
    </xf>
    <xf numFmtId="177" fontId="8" fillId="0" borderId="36" xfId="0" applyNumberFormat="1" applyFont="1" applyBorder="1" applyAlignment="1">
      <alignment vertical="center"/>
    </xf>
    <xf numFmtId="0" fontId="52" fillId="38" borderId="7" xfId="0" applyFont="1" applyFill="1" applyBorder="1" applyAlignment="1">
      <alignment horizontal="left" vertical="center" wrapText="1"/>
    </xf>
    <xf numFmtId="0" fontId="52" fillId="39" borderId="7" xfId="0" applyFont="1" applyFill="1" applyBorder="1" applyAlignment="1">
      <alignment horizontal="left" vertical="center" wrapText="1"/>
    </xf>
    <xf numFmtId="0" fontId="52" fillId="36" borderId="7" xfId="0" applyFont="1" applyFill="1" applyBorder="1" applyAlignment="1">
      <alignment horizontal="left" vertical="center" wrapText="1"/>
    </xf>
    <xf numFmtId="0" fontId="52" fillId="33" borderId="7" xfId="0" applyFont="1" applyFill="1" applyBorder="1" applyAlignment="1">
      <alignment horizontal="left" vertical="center" wrapText="1"/>
    </xf>
    <xf numFmtId="0" fontId="27" fillId="0" borderId="2" xfId="0" applyFont="1" applyFill="1" applyBorder="1"/>
    <xf numFmtId="0" fontId="28" fillId="0" borderId="2" xfId="0" applyFont="1" applyFill="1" applyBorder="1"/>
    <xf numFmtId="0" fontId="29" fillId="3" borderId="37" xfId="0" applyFont="1" applyFill="1" applyBorder="1" applyAlignment="1">
      <alignment vertical="center"/>
    </xf>
    <xf numFmtId="0" fontId="31" fillId="0" borderId="2" xfId="0" applyFont="1" applyFill="1" applyBorder="1"/>
    <xf numFmtId="0" fontId="29" fillId="0" borderId="37" xfId="0" applyFont="1" applyFill="1" applyBorder="1" applyAlignment="1">
      <alignment vertical="center"/>
    </xf>
    <xf numFmtId="0" fontId="30" fillId="0" borderId="2" xfId="0" applyFont="1" applyFill="1" applyBorder="1"/>
    <xf numFmtId="0" fontId="0" fillId="0" borderId="2" xfId="0" applyBorder="1"/>
    <xf numFmtId="0" fontId="16" fillId="37" borderId="27" xfId="0" applyFont="1" applyFill="1" applyBorder="1" applyAlignment="1">
      <alignment vertical="center"/>
    </xf>
    <xf numFmtId="0" fontId="16" fillId="37" borderId="27" xfId="0" applyFont="1" applyFill="1" applyBorder="1" applyAlignment="1">
      <alignment horizontal="left" vertical="center"/>
    </xf>
    <xf numFmtId="0" fontId="16" fillId="37" borderId="27" xfId="0" applyFont="1" applyFill="1" applyBorder="1" applyAlignment="1">
      <alignment horizontal="left" vertical="center" wrapText="1"/>
    </xf>
    <xf numFmtId="14" fontId="16" fillId="37" borderId="27" xfId="0" applyNumberFormat="1" applyFont="1" applyFill="1" applyBorder="1" applyAlignment="1">
      <alignment horizontal="left" vertical="center"/>
    </xf>
    <xf numFmtId="0" fontId="52" fillId="38" borderId="7" xfId="0" applyFont="1" applyFill="1" applyBorder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6" fillId="3" borderId="27" xfId="0" applyFont="1" applyFill="1" applyBorder="1" applyAlignment="1">
      <alignment horizontal="left" vertical="center"/>
    </xf>
    <xf numFmtId="0" fontId="16" fillId="3" borderId="27" xfId="0" applyFont="1" applyFill="1" applyBorder="1" applyAlignment="1">
      <alignment vertical="center"/>
    </xf>
    <xf numFmtId="0" fontId="16" fillId="0" borderId="27" xfId="0" applyFont="1" applyFill="1" applyBorder="1" applyAlignment="1">
      <alignment vertical="center"/>
    </xf>
    <xf numFmtId="0" fontId="52" fillId="12" borderId="7" xfId="0" applyFont="1" applyFill="1" applyBorder="1" applyAlignment="1">
      <alignment vertical="center"/>
    </xf>
    <xf numFmtId="0" fontId="52" fillId="36" borderId="7" xfId="0" applyFont="1" applyFill="1" applyBorder="1" applyAlignment="1">
      <alignment vertical="center"/>
    </xf>
    <xf numFmtId="0" fontId="52" fillId="37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30" fillId="30" borderId="2" xfId="0" applyFont="1" applyFill="1" applyBorder="1"/>
    <xf numFmtId="0" fontId="30" fillId="14" borderId="2" xfId="0" applyFont="1" applyFill="1" applyBorder="1"/>
    <xf numFmtId="38" fontId="16" fillId="0" borderId="2" xfId="628" applyFont="1" applyFill="1" applyBorder="1" applyAlignment="1">
      <alignment wrapText="1"/>
    </xf>
    <xf numFmtId="0" fontId="27" fillId="0" borderId="38" xfId="0" applyFont="1" applyFill="1" applyBorder="1"/>
    <xf numFmtId="0" fontId="28" fillId="0" borderId="38" xfId="0" applyFont="1" applyFill="1" applyBorder="1"/>
    <xf numFmtId="0" fontId="29" fillId="3" borderId="38" xfId="0" applyFont="1" applyFill="1" applyBorder="1" applyAlignment="1">
      <alignment vertical="center"/>
    </xf>
    <xf numFmtId="0" fontId="30" fillId="0" borderId="38" xfId="0" applyFont="1" applyFill="1" applyBorder="1"/>
    <xf numFmtId="0" fontId="29" fillId="0" borderId="38" xfId="0" applyFont="1" applyFill="1" applyBorder="1" applyAlignment="1">
      <alignment vertical="center"/>
    </xf>
    <xf numFmtId="0" fontId="30" fillId="30" borderId="38" xfId="0" applyFont="1" applyFill="1" applyBorder="1"/>
    <xf numFmtId="0" fontId="30" fillId="14" borderId="38" xfId="0" applyFont="1" applyFill="1" applyBorder="1"/>
    <xf numFmtId="0" fontId="31" fillId="0" borderId="38" xfId="0" applyFont="1" applyFill="1" applyBorder="1"/>
    <xf numFmtId="38" fontId="16" fillId="0" borderId="38" xfId="628" applyFont="1" applyFill="1" applyBorder="1" applyAlignment="1">
      <alignment wrapText="1"/>
    </xf>
    <xf numFmtId="0" fontId="0" fillId="0" borderId="38" xfId="0" applyBorder="1"/>
    <xf numFmtId="0" fontId="52" fillId="6" borderId="7" xfId="0" applyFont="1" applyFill="1" applyBorder="1" applyAlignment="1">
      <alignment vertical="center"/>
    </xf>
    <xf numFmtId="0" fontId="52" fillId="6" borderId="29" xfId="0" applyFont="1" applyFill="1" applyBorder="1" applyAlignment="1">
      <alignment vertical="center"/>
    </xf>
    <xf numFmtId="0" fontId="52" fillId="32" borderId="7" xfId="0" applyFont="1" applyFill="1" applyBorder="1" applyAlignment="1">
      <alignment vertical="center"/>
    </xf>
    <xf numFmtId="0" fontId="16" fillId="37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48101</v>
          </cell>
        </row>
        <row r="257">
          <cell r="A257">
            <v>48501</v>
          </cell>
        </row>
        <row r="258">
          <cell r="A258">
            <v>48502</v>
          </cell>
        </row>
        <row r="259">
          <cell r="A259">
            <v>48503</v>
          </cell>
        </row>
        <row r="260">
          <cell r="A260">
            <v>48701</v>
          </cell>
        </row>
        <row r="261">
          <cell r="A261">
            <v>48702</v>
          </cell>
        </row>
        <row r="262">
          <cell r="A262">
            <v>41001</v>
          </cell>
        </row>
        <row r="263">
          <cell r="A263">
            <v>41002</v>
          </cell>
        </row>
        <row r="264">
          <cell r="A264">
            <v>41003</v>
          </cell>
        </row>
        <row r="265">
          <cell r="A265">
            <v>41004</v>
          </cell>
        </row>
        <row r="266">
          <cell r="A266">
            <v>41005</v>
          </cell>
        </row>
        <row r="267">
          <cell r="A267">
            <v>41006</v>
          </cell>
        </row>
        <row r="268">
          <cell r="A268">
            <v>41007</v>
          </cell>
        </row>
        <row r="269">
          <cell r="A269">
            <v>41008</v>
          </cell>
        </row>
        <row r="270">
          <cell r="A270">
            <v>41009</v>
          </cell>
        </row>
        <row r="271">
          <cell r="A271">
            <v>41010</v>
          </cell>
        </row>
        <row r="272">
          <cell r="A272">
            <v>41011</v>
          </cell>
        </row>
        <row r="273">
          <cell r="A273">
            <v>41012</v>
          </cell>
        </row>
        <row r="274">
          <cell r="A274">
            <v>41013</v>
          </cell>
        </row>
        <row r="275">
          <cell r="A275">
            <v>41014</v>
          </cell>
        </row>
        <row r="276">
          <cell r="A276">
            <v>41015</v>
          </cell>
        </row>
        <row r="277">
          <cell r="A277">
            <v>47001</v>
          </cell>
        </row>
        <row r="278">
          <cell r="A278">
            <v>47002</v>
          </cell>
        </row>
        <row r="279">
          <cell r="A279">
            <v>47003</v>
          </cell>
        </row>
        <row r="280">
          <cell r="A280">
            <v>47004</v>
          </cell>
        </row>
        <row r="281">
          <cell r="A281">
            <v>47005</v>
          </cell>
        </row>
        <row r="282">
          <cell r="A282">
            <v>47006</v>
          </cell>
        </row>
        <row r="283">
          <cell r="A283">
            <v>47007</v>
          </cell>
        </row>
        <row r="284">
          <cell r="A284">
            <v>47008</v>
          </cell>
        </row>
        <row r="285">
          <cell r="A285">
            <v>47009</v>
          </cell>
        </row>
        <row r="286">
          <cell r="A286">
            <v>47010</v>
          </cell>
        </row>
        <row r="287">
          <cell r="A287">
            <v>47011</v>
          </cell>
        </row>
        <row r="288">
          <cell r="A288">
            <v>47012</v>
          </cell>
        </row>
        <row r="289">
          <cell r="A289">
            <v>47013</v>
          </cell>
        </row>
        <row r="290">
          <cell r="A290">
            <v>49001</v>
          </cell>
        </row>
        <row r="291">
          <cell r="A291">
            <v>49002</v>
          </cell>
        </row>
        <row r="292">
          <cell r="A292">
            <v>49003</v>
          </cell>
        </row>
        <row r="293">
          <cell r="A293">
            <v>49004</v>
          </cell>
        </row>
        <row r="294">
          <cell r="A294">
            <v>49005</v>
          </cell>
        </row>
        <row r="295">
          <cell r="A295">
            <v>49006</v>
          </cell>
        </row>
        <row r="296">
          <cell r="A296">
            <v>49007</v>
          </cell>
        </row>
        <row r="297">
          <cell r="A297">
            <v>49008</v>
          </cell>
        </row>
        <row r="298">
          <cell r="A298">
            <v>49009</v>
          </cell>
        </row>
        <row r="299">
          <cell r="A299">
            <v>49010</v>
          </cell>
        </row>
        <row r="300">
          <cell r="A300">
            <v>49011</v>
          </cell>
        </row>
        <row r="301">
          <cell r="A301">
            <v>49012</v>
          </cell>
        </row>
        <row r="302">
          <cell r="A302">
            <v>49013</v>
          </cell>
        </row>
        <row r="303">
          <cell r="A303">
            <v>49014</v>
          </cell>
        </row>
        <row r="304">
          <cell r="A304">
            <v>49015</v>
          </cell>
        </row>
        <row r="305">
          <cell r="A305">
            <v>49016</v>
          </cell>
        </row>
        <row r="306">
          <cell r="A306">
            <v>50001</v>
          </cell>
        </row>
        <row r="307">
          <cell r="A307">
            <v>50002</v>
          </cell>
        </row>
        <row r="308">
          <cell r="A308">
            <v>50003</v>
          </cell>
        </row>
        <row r="309">
          <cell r="A309">
            <v>50004</v>
          </cell>
        </row>
        <row r="310">
          <cell r="A310">
            <v>50005</v>
          </cell>
        </row>
        <row r="311">
          <cell r="A311">
            <v>50006</v>
          </cell>
        </row>
        <row r="312">
          <cell r="A312">
            <v>50007</v>
          </cell>
        </row>
        <row r="313">
          <cell r="A313">
            <v>50008</v>
          </cell>
        </row>
        <row r="314">
          <cell r="A314">
            <v>50009</v>
          </cell>
        </row>
        <row r="315">
          <cell r="A315">
            <v>50010</v>
          </cell>
        </row>
        <row r="316">
          <cell r="A316">
            <v>50011</v>
          </cell>
        </row>
        <row r="317">
          <cell r="A317">
            <v>50012</v>
          </cell>
        </row>
        <row r="318">
          <cell r="A318">
            <v>50013</v>
          </cell>
        </row>
        <row r="319">
          <cell r="A319">
            <v>50014</v>
          </cell>
        </row>
        <row r="320">
          <cell r="A320">
            <v>50015</v>
          </cell>
        </row>
        <row r="321">
          <cell r="A321">
            <v>50016</v>
          </cell>
        </row>
        <row r="322">
          <cell r="A322">
            <v>51001</v>
          </cell>
        </row>
        <row r="323">
          <cell r="A323">
            <v>51002</v>
          </cell>
        </row>
        <row r="324">
          <cell r="A324">
            <v>58001</v>
          </cell>
        </row>
        <row r="325">
          <cell r="A325">
            <v>58002</v>
          </cell>
        </row>
        <row r="326">
          <cell r="A326">
            <v>58101</v>
          </cell>
        </row>
        <row r="327">
          <cell r="A327">
            <v>59001</v>
          </cell>
        </row>
        <row r="328">
          <cell r="A328">
            <v>59002</v>
          </cell>
        </row>
        <row r="329">
          <cell r="A329">
            <v>59003</v>
          </cell>
        </row>
        <row r="330">
          <cell r="A330">
            <v>60001</v>
          </cell>
        </row>
        <row r="331">
          <cell r="A331">
            <v>60002</v>
          </cell>
        </row>
        <row r="332">
          <cell r="A332">
            <v>60003</v>
          </cell>
        </row>
        <row r="333">
          <cell r="A333">
            <v>60004</v>
          </cell>
        </row>
        <row r="334">
          <cell r="A334">
            <v>60005</v>
          </cell>
        </row>
        <row r="335">
          <cell r="A335">
            <v>60006</v>
          </cell>
        </row>
        <row r="336">
          <cell r="A336">
            <v>60007</v>
          </cell>
        </row>
        <row r="337">
          <cell r="A337">
            <v>60010</v>
          </cell>
        </row>
        <row r="338">
          <cell r="A338">
            <v>60011</v>
          </cell>
        </row>
        <row r="339">
          <cell r="A339">
            <v>61011</v>
          </cell>
        </row>
        <row r="340">
          <cell r="A340">
            <v>60012</v>
          </cell>
        </row>
        <row r="341">
          <cell r="A341">
            <v>60013</v>
          </cell>
        </row>
        <row r="342">
          <cell r="A342">
            <v>60014</v>
          </cell>
        </row>
        <row r="343">
          <cell r="A343">
            <v>60015</v>
          </cell>
        </row>
        <row r="344">
          <cell r="A344">
            <v>60016</v>
          </cell>
        </row>
        <row r="345">
          <cell r="A345">
            <v>60017</v>
          </cell>
        </row>
        <row r="346">
          <cell r="A346">
            <v>60018</v>
          </cell>
        </row>
        <row r="347">
          <cell r="A347">
            <v>60019</v>
          </cell>
        </row>
        <row r="348">
          <cell r="A348">
            <v>60020</v>
          </cell>
        </row>
        <row r="349">
          <cell r="A349">
            <v>60025</v>
          </cell>
        </row>
        <row r="350">
          <cell r="A350">
            <v>60026</v>
          </cell>
        </row>
        <row r="351">
          <cell r="A351">
            <v>60027</v>
          </cell>
        </row>
        <row r="352">
          <cell r="A352">
            <v>60028</v>
          </cell>
        </row>
        <row r="353">
          <cell r="A353">
            <v>60029</v>
          </cell>
        </row>
        <row r="354">
          <cell r="A354">
            <v>60030</v>
          </cell>
        </row>
        <row r="355">
          <cell r="A355">
            <v>60031</v>
          </cell>
        </row>
        <row r="356">
          <cell r="A356">
            <v>65523</v>
          </cell>
        </row>
        <row r="357">
          <cell r="A357">
            <v>65524</v>
          </cell>
        </row>
        <row r="358">
          <cell r="A358">
            <v>65525</v>
          </cell>
        </row>
        <row r="359">
          <cell r="A359">
            <v>65526</v>
          </cell>
        </row>
        <row r="360">
          <cell r="A360">
            <v>65527</v>
          </cell>
        </row>
        <row r="361">
          <cell r="A361">
            <v>65528</v>
          </cell>
        </row>
        <row r="362">
          <cell r="A362">
            <v>65529</v>
          </cell>
        </row>
        <row r="363">
          <cell r="A363">
            <v>65530</v>
          </cell>
        </row>
        <row r="364">
          <cell r="A364">
            <v>65531</v>
          </cell>
        </row>
        <row r="365">
          <cell r="A365">
            <v>65532</v>
          </cell>
        </row>
        <row r="366">
          <cell r="A366">
            <v>65533</v>
          </cell>
        </row>
        <row r="367">
          <cell r="A367">
            <v>65534</v>
          </cell>
        </row>
        <row r="368">
          <cell r="A368">
            <v>65535</v>
          </cell>
        </row>
        <row r="369">
          <cell r="A369">
            <v>60021</v>
          </cell>
        </row>
        <row r="370">
          <cell r="A370">
            <v>60022</v>
          </cell>
        </row>
        <row r="371">
          <cell r="A371">
            <v>60023</v>
          </cell>
        </row>
        <row r="372">
          <cell r="A37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48101_1</v>
          </cell>
        </row>
        <row r="903">
          <cell r="A903" t="str">
            <v>48101_2</v>
          </cell>
        </row>
        <row r="904">
          <cell r="A904" t="str">
            <v>48501_1</v>
          </cell>
        </row>
        <row r="905">
          <cell r="A905" t="str">
            <v>48501_2</v>
          </cell>
        </row>
        <row r="906">
          <cell r="A906" t="str">
            <v>48502_1</v>
          </cell>
        </row>
        <row r="907">
          <cell r="A907" t="str">
            <v>48502_2</v>
          </cell>
        </row>
        <row r="908">
          <cell r="A908" t="str">
            <v>48503_1</v>
          </cell>
        </row>
        <row r="909">
          <cell r="A909" t="str">
            <v>48503_2</v>
          </cell>
        </row>
        <row r="910">
          <cell r="A910" t="str">
            <v>48701_1</v>
          </cell>
        </row>
        <row r="911">
          <cell r="A911" t="str">
            <v>48701_2</v>
          </cell>
        </row>
        <row r="912">
          <cell r="A912" t="str">
            <v>48702_1</v>
          </cell>
        </row>
        <row r="913">
          <cell r="A913" t="str">
            <v>48702_2</v>
          </cell>
        </row>
        <row r="914">
          <cell r="A914" t="str">
            <v>49001_1</v>
          </cell>
        </row>
        <row r="915">
          <cell r="A915" t="str">
            <v>49002_1</v>
          </cell>
        </row>
        <row r="916">
          <cell r="A916" t="str">
            <v>49002_2</v>
          </cell>
        </row>
        <row r="917">
          <cell r="A917" t="str">
            <v>49003_1</v>
          </cell>
        </row>
        <row r="918">
          <cell r="A918" t="str">
            <v>49003_2</v>
          </cell>
        </row>
        <row r="919">
          <cell r="A919" t="str">
            <v>49004_1</v>
          </cell>
        </row>
        <row r="920">
          <cell r="A920" t="str">
            <v>49004_2</v>
          </cell>
        </row>
        <row r="921">
          <cell r="A921" t="str">
            <v>49004_3</v>
          </cell>
        </row>
        <row r="922">
          <cell r="A922" t="str">
            <v>49005_1</v>
          </cell>
        </row>
        <row r="923">
          <cell r="A923" t="str">
            <v>49006_1</v>
          </cell>
        </row>
        <row r="924">
          <cell r="A924" t="str">
            <v>49006_2</v>
          </cell>
        </row>
        <row r="925">
          <cell r="A925" t="str">
            <v>49007_1</v>
          </cell>
        </row>
        <row r="926">
          <cell r="A926" t="str">
            <v>49007_2</v>
          </cell>
        </row>
        <row r="927">
          <cell r="A927" t="str">
            <v>49007_3</v>
          </cell>
        </row>
        <row r="928">
          <cell r="A928" t="str">
            <v>49008_1</v>
          </cell>
        </row>
        <row r="929">
          <cell r="A929" t="str">
            <v>49009_1</v>
          </cell>
        </row>
        <row r="930">
          <cell r="A930" t="str">
            <v>49010_1</v>
          </cell>
        </row>
        <row r="931">
          <cell r="A931" t="str">
            <v>49011_1</v>
          </cell>
        </row>
        <row r="932">
          <cell r="A932" t="str">
            <v>49012_1</v>
          </cell>
        </row>
        <row r="933">
          <cell r="A933" t="str">
            <v>49013_1</v>
          </cell>
        </row>
        <row r="934">
          <cell r="A934" t="str">
            <v>49014_1</v>
          </cell>
        </row>
        <row r="935">
          <cell r="A935" t="str">
            <v>49014_2</v>
          </cell>
        </row>
        <row r="936">
          <cell r="A936" t="str">
            <v>49015_1</v>
          </cell>
        </row>
        <row r="937">
          <cell r="A937" t="str">
            <v>49015_2</v>
          </cell>
        </row>
        <row r="938">
          <cell r="A938" t="str">
            <v>49015_3</v>
          </cell>
        </row>
        <row r="939">
          <cell r="A939" t="str">
            <v>49016_1</v>
          </cell>
        </row>
        <row r="940">
          <cell r="A940" t="str">
            <v>49016_2</v>
          </cell>
        </row>
        <row r="941">
          <cell r="A941" t="str">
            <v>50001_1</v>
          </cell>
        </row>
        <row r="942">
          <cell r="A942" t="str">
            <v>50002_1</v>
          </cell>
        </row>
        <row r="943">
          <cell r="A943" t="str">
            <v>50003_1</v>
          </cell>
        </row>
        <row r="944">
          <cell r="A944" t="str">
            <v>50004_1</v>
          </cell>
        </row>
        <row r="945">
          <cell r="A945" t="str">
            <v>50005_1</v>
          </cell>
        </row>
        <row r="946">
          <cell r="A946" t="str">
            <v>50006_1</v>
          </cell>
        </row>
        <row r="947">
          <cell r="A947" t="str">
            <v>50007_1</v>
          </cell>
        </row>
        <row r="948">
          <cell r="A948" t="str">
            <v>50008_1</v>
          </cell>
        </row>
        <row r="949">
          <cell r="A949" t="str">
            <v>50009_1</v>
          </cell>
        </row>
        <row r="950">
          <cell r="A950" t="str">
            <v>50010_1</v>
          </cell>
        </row>
        <row r="951">
          <cell r="A951" t="str">
            <v>50011_1</v>
          </cell>
        </row>
        <row r="952">
          <cell r="A952" t="str">
            <v>50012_1</v>
          </cell>
        </row>
        <row r="953">
          <cell r="A953" t="str">
            <v>50013_1</v>
          </cell>
        </row>
        <row r="954">
          <cell r="A954" t="str">
            <v>50014_1</v>
          </cell>
        </row>
        <row r="955">
          <cell r="A955" t="str">
            <v>50015_1</v>
          </cell>
        </row>
        <row r="956">
          <cell r="A956" t="str">
            <v>50016_1</v>
          </cell>
        </row>
        <row r="957">
          <cell r="A957" t="str">
            <v>51001_1</v>
          </cell>
        </row>
        <row r="958">
          <cell r="A958" t="str">
            <v>51002_1</v>
          </cell>
        </row>
        <row r="959">
          <cell r="A959" t="str">
            <v>58001_1</v>
          </cell>
        </row>
        <row r="960">
          <cell r="A960" t="str">
            <v>58002_1</v>
          </cell>
        </row>
        <row r="961">
          <cell r="A961" t="str">
            <v>58101_1</v>
          </cell>
        </row>
        <row r="962">
          <cell r="A962" t="str">
            <v>59001_1</v>
          </cell>
        </row>
        <row r="963">
          <cell r="A963" t="str">
            <v>59002_1</v>
          </cell>
        </row>
        <row r="964">
          <cell r="A964" t="str">
            <v>59003_1</v>
          </cell>
        </row>
        <row r="965">
          <cell r="A965" t="str">
            <v>59003_2</v>
          </cell>
        </row>
        <row r="966">
          <cell r="A966" t="str">
            <v>60001_1</v>
          </cell>
        </row>
        <row r="967">
          <cell r="A967" t="str">
            <v>60002_1</v>
          </cell>
        </row>
        <row r="968">
          <cell r="A968" t="str">
            <v>60002_2</v>
          </cell>
        </row>
        <row r="969">
          <cell r="A969" t="str">
            <v>60003_1</v>
          </cell>
        </row>
        <row r="970">
          <cell r="A970" t="str">
            <v>60003_2</v>
          </cell>
        </row>
        <row r="971">
          <cell r="A971" t="str">
            <v>60003_3</v>
          </cell>
        </row>
        <row r="972">
          <cell r="A972" t="str">
            <v>60004_1</v>
          </cell>
        </row>
        <row r="973">
          <cell r="A973" t="str">
            <v>60005_1</v>
          </cell>
        </row>
        <row r="974">
          <cell r="A974" t="str">
            <v>60006_1</v>
          </cell>
        </row>
        <row r="975">
          <cell r="A975" t="str">
            <v>60006_2</v>
          </cell>
        </row>
        <row r="976">
          <cell r="A976" t="str">
            <v>60006_3</v>
          </cell>
        </row>
        <row r="977">
          <cell r="A977" t="str">
            <v>60007_1</v>
          </cell>
        </row>
        <row r="978">
          <cell r="A978" t="str">
            <v>60007_2</v>
          </cell>
        </row>
        <row r="979">
          <cell r="A979" t="str">
            <v>60007_3</v>
          </cell>
        </row>
        <row r="980">
          <cell r="A980" t="str">
            <v>60010_1</v>
          </cell>
        </row>
        <row r="981">
          <cell r="A981" t="str">
            <v>60011_1</v>
          </cell>
        </row>
        <row r="982">
          <cell r="A982" t="str">
            <v>60011_2</v>
          </cell>
        </row>
        <row r="983">
          <cell r="A983" t="str">
            <v>60012_1</v>
          </cell>
        </row>
        <row r="984">
          <cell r="A984" t="str">
            <v>60013_1</v>
          </cell>
        </row>
        <row r="985">
          <cell r="A985" t="str">
            <v>60013_2</v>
          </cell>
        </row>
        <row r="986">
          <cell r="A986" t="str">
            <v>60013_3</v>
          </cell>
        </row>
        <row r="987">
          <cell r="A987" t="str">
            <v>60014_1</v>
          </cell>
        </row>
        <row r="988">
          <cell r="A988" t="str">
            <v>60015_1</v>
          </cell>
        </row>
        <row r="989">
          <cell r="A989" t="str">
            <v>60016_1</v>
          </cell>
        </row>
        <row r="990">
          <cell r="A990" t="str">
            <v>60017_1</v>
          </cell>
        </row>
        <row r="991">
          <cell r="A991" t="str">
            <v>60018_1</v>
          </cell>
        </row>
        <row r="992">
          <cell r="A992" t="str">
            <v>60019_1</v>
          </cell>
        </row>
        <row r="993">
          <cell r="A993" t="str">
            <v>60020_1</v>
          </cell>
        </row>
        <row r="994">
          <cell r="A994" t="str">
            <v>60021_3</v>
          </cell>
        </row>
        <row r="995">
          <cell r="A995" t="str">
            <v>60022_3</v>
          </cell>
        </row>
        <row r="996">
          <cell r="A996" t="str">
            <v>60023_3</v>
          </cell>
        </row>
        <row r="997">
          <cell r="A997" t="str">
            <v>60024_3</v>
          </cell>
        </row>
        <row r="998">
          <cell r="A998" t="str">
            <v>60025_1</v>
          </cell>
        </row>
        <row r="999">
          <cell r="A999" t="str">
            <v>60026_1</v>
          </cell>
        </row>
        <row r="1000">
          <cell r="A1000" t="str">
            <v>61011_1</v>
          </cell>
        </row>
        <row r="1001">
          <cell r="A1001" t="str">
            <v>60027_1</v>
          </cell>
        </row>
        <row r="1002">
          <cell r="A1002" t="str">
            <v>60028_1</v>
          </cell>
        </row>
        <row r="1003">
          <cell r="A1003" t="str">
            <v>60029_1</v>
          </cell>
        </row>
        <row r="1004">
          <cell r="A1004" t="str">
            <v>60030_1</v>
          </cell>
        </row>
        <row r="1005">
          <cell r="A1005" t="str">
            <v>60031_1</v>
          </cell>
        </row>
        <row r="1006">
          <cell r="A1006" t="str">
            <v>65523_1</v>
          </cell>
        </row>
        <row r="1007">
          <cell r="A1007" t="str">
            <v>65523_2</v>
          </cell>
        </row>
        <row r="1008">
          <cell r="A1008" t="str">
            <v>65523_3</v>
          </cell>
        </row>
        <row r="1009">
          <cell r="A1009" t="str">
            <v>65524_1</v>
          </cell>
        </row>
        <row r="1010">
          <cell r="A1010" t="str">
            <v>65524_2</v>
          </cell>
        </row>
        <row r="1011">
          <cell r="A1011" t="str">
            <v>65525_1</v>
          </cell>
        </row>
        <row r="1012">
          <cell r="A1012" t="str">
            <v>65526_1</v>
          </cell>
        </row>
        <row r="1013">
          <cell r="A1013" t="str">
            <v>65526_2</v>
          </cell>
        </row>
        <row r="1014">
          <cell r="A1014" t="str">
            <v>65527_1</v>
          </cell>
        </row>
        <row r="1015">
          <cell r="A1015" t="str">
            <v>65528_1</v>
          </cell>
        </row>
        <row r="1016">
          <cell r="A1016" t="str">
            <v>65529_1</v>
          </cell>
        </row>
        <row r="1017">
          <cell r="A1017" t="str">
            <v>65530_1</v>
          </cell>
        </row>
        <row r="1018">
          <cell r="A1018" t="str">
            <v>65531_1</v>
          </cell>
        </row>
        <row r="1019">
          <cell r="A1019" t="str">
            <v>65531_2</v>
          </cell>
        </row>
        <row r="1020">
          <cell r="A1020" t="str">
            <v>65532_1</v>
          </cell>
        </row>
        <row r="1021">
          <cell r="A1021" t="str">
            <v>65532_2</v>
          </cell>
        </row>
        <row r="1022">
          <cell r="A1022" t="str">
            <v>65533_1</v>
          </cell>
        </row>
        <row r="1023">
          <cell r="A1023" t="str">
            <v>65533_2</v>
          </cell>
        </row>
        <row r="1024">
          <cell r="A1024" t="str">
            <v>65534_1</v>
          </cell>
        </row>
        <row r="1025">
          <cell r="A1025" t="str">
            <v>65535_1</v>
          </cell>
        </row>
        <row r="1026">
          <cell r="A1026" t="str">
            <v>65535_2</v>
          </cell>
        </row>
        <row r="1027">
          <cell r="A1027" t="str">
            <v>65535_3</v>
          </cell>
        </row>
        <row r="1028">
          <cell r="A1028" t="str">
            <v>65535_4</v>
          </cell>
        </row>
        <row r="1029">
          <cell r="A1029" t="str">
            <v>65535_5</v>
          </cell>
        </row>
        <row r="1030">
          <cell r="A1030" t="str">
            <v>65535_6</v>
          </cell>
        </row>
        <row r="1031">
          <cell r="A1031" t="str">
            <v>65535_7</v>
          </cell>
        </row>
        <row r="1032">
          <cell r="A1032" t="str">
            <v>65535_8</v>
          </cell>
        </row>
        <row r="1033">
          <cell r="A1033" t="str">
            <v>65535_9</v>
          </cell>
        </row>
        <row r="1034">
          <cell r="A103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8127</v>
          </cell>
        </row>
        <row r="1572">
          <cell r="A1572">
            <v>8128</v>
          </cell>
        </row>
        <row r="1573">
          <cell r="A1573">
            <v>8129</v>
          </cell>
        </row>
        <row r="1574">
          <cell r="A1574">
            <v>8130</v>
          </cell>
        </row>
        <row r="1575">
          <cell r="A1575">
            <v>8131</v>
          </cell>
        </row>
        <row r="1576">
          <cell r="A1576">
            <v>8132</v>
          </cell>
        </row>
        <row r="1577">
          <cell r="A1577">
            <v>8133</v>
          </cell>
        </row>
        <row r="1578">
          <cell r="A1578">
            <v>8134</v>
          </cell>
        </row>
        <row r="1579">
          <cell r="A1579">
            <v>8135</v>
          </cell>
        </row>
        <row r="1580">
          <cell r="A1580">
            <v>8136</v>
          </cell>
        </row>
        <row r="1581">
          <cell r="A1581">
            <v>8137</v>
          </cell>
        </row>
        <row r="1582">
          <cell r="A1582">
            <v>8138</v>
          </cell>
        </row>
        <row r="1583">
          <cell r="A1583">
            <v>9001</v>
          </cell>
        </row>
        <row r="1584">
          <cell r="A1584">
            <v>9002</v>
          </cell>
        </row>
        <row r="1585">
          <cell r="A1585">
            <v>9003</v>
          </cell>
        </row>
        <row r="1586">
          <cell r="A1586">
            <v>9004</v>
          </cell>
        </row>
        <row r="1587">
          <cell r="A1587">
            <v>9005</v>
          </cell>
        </row>
        <row r="1588">
          <cell r="A1588">
            <v>9006</v>
          </cell>
        </row>
        <row r="1589">
          <cell r="A1589">
            <v>9007</v>
          </cell>
        </row>
        <row r="1590">
          <cell r="A1590">
            <v>9008</v>
          </cell>
        </row>
        <row r="1591">
          <cell r="A1591">
            <v>10101</v>
          </cell>
        </row>
        <row r="1592">
          <cell r="A1592">
            <v>10102</v>
          </cell>
        </row>
        <row r="1593">
          <cell r="A1593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1687</v>
          </cell>
        </row>
        <row r="1565">
          <cell r="A1565">
            <v>1688</v>
          </cell>
        </row>
        <row r="1566">
          <cell r="A1566">
            <v>1689</v>
          </cell>
        </row>
        <row r="1567">
          <cell r="A1567">
            <v>1690</v>
          </cell>
        </row>
        <row r="1568">
          <cell r="A1568">
            <v>1691</v>
          </cell>
        </row>
        <row r="1569">
          <cell r="A1569">
            <v>5001</v>
          </cell>
        </row>
        <row r="1570">
          <cell r="A1570">
            <v>5002</v>
          </cell>
        </row>
        <row r="1571">
          <cell r="A1571">
            <v>5003</v>
          </cell>
        </row>
        <row r="1572">
          <cell r="A1572">
            <v>5004</v>
          </cell>
        </row>
        <row r="1573">
          <cell r="A1573">
            <v>5005</v>
          </cell>
        </row>
        <row r="1574">
          <cell r="A1574">
            <v>5006</v>
          </cell>
        </row>
        <row r="1575">
          <cell r="A1575">
            <v>5007</v>
          </cell>
        </row>
        <row r="1576">
          <cell r="A1576">
            <v>5008</v>
          </cell>
        </row>
        <row r="1577">
          <cell r="A1577">
            <v>6001</v>
          </cell>
        </row>
        <row r="1578">
          <cell r="A1578">
            <v>6002</v>
          </cell>
        </row>
        <row r="1579">
          <cell r="A1579">
            <v>6003</v>
          </cell>
        </row>
        <row r="1580">
          <cell r="A1580">
            <v>6004</v>
          </cell>
        </row>
        <row r="1581">
          <cell r="A1581">
            <v>6005</v>
          </cell>
        </row>
        <row r="1582">
          <cell r="A1582">
            <v>6006</v>
          </cell>
        </row>
        <row r="1583">
          <cell r="A1583">
            <v>6007</v>
          </cell>
        </row>
        <row r="1584">
          <cell r="A1584">
            <v>6008</v>
          </cell>
        </row>
        <row r="1585">
          <cell r="A1585">
            <v>6009</v>
          </cell>
        </row>
        <row r="1586">
          <cell r="A1586">
            <v>6010</v>
          </cell>
        </row>
        <row r="1587">
          <cell r="A1587">
            <v>6011</v>
          </cell>
        </row>
        <row r="1588">
          <cell r="A1588">
            <v>6012</v>
          </cell>
        </row>
        <row r="1589">
          <cell r="A1589">
            <v>6013</v>
          </cell>
        </row>
        <row r="1590">
          <cell r="A1590">
            <v>6014</v>
          </cell>
        </row>
        <row r="1591">
          <cell r="A1591">
            <v>6015</v>
          </cell>
        </row>
        <row r="1592">
          <cell r="A1592">
            <v>6016</v>
          </cell>
        </row>
        <row r="1593">
          <cell r="A1593">
            <v>6017</v>
          </cell>
        </row>
        <row r="1594">
          <cell r="A1594">
            <v>6018</v>
          </cell>
        </row>
        <row r="1595">
          <cell r="A1595">
            <v>6019</v>
          </cell>
        </row>
        <row r="1596">
          <cell r="A1596">
            <v>6020</v>
          </cell>
        </row>
        <row r="1597">
          <cell r="A1597">
            <v>8001</v>
          </cell>
        </row>
        <row r="1598">
          <cell r="A1598">
            <v>8002</v>
          </cell>
        </row>
        <row r="1599">
          <cell r="A1599">
            <v>8003</v>
          </cell>
        </row>
        <row r="1600">
          <cell r="A1600">
            <v>8004</v>
          </cell>
        </row>
        <row r="1601">
          <cell r="A1601">
            <v>8005</v>
          </cell>
        </row>
        <row r="1602">
          <cell r="A1602">
            <v>8006</v>
          </cell>
        </row>
        <row r="1603">
          <cell r="A1603">
            <v>8007</v>
          </cell>
        </row>
        <row r="1604">
          <cell r="A1604">
            <v>8008</v>
          </cell>
        </row>
        <row r="1605">
          <cell r="A1605">
            <v>8009</v>
          </cell>
        </row>
        <row r="1606">
          <cell r="A1606">
            <v>8010</v>
          </cell>
        </row>
        <row r="1607">
          <cell r="A1607">
            <v>8011</v>
          </cell>
        </row>
        <row r="1608">
          <cell r="A1608">
            <v>8012</v>
          </cell>
        </row>
        <row r="1609">
          <cell r="A1609">
            <v>8013</v>
          </cell>
        </row>
        <row r="1610">
          <cell r="A1610">
            <v>8014</v>
          </cell>
        </row>
        <row r="1611">
          <cell r="A1611">
            <v>8015</v>
          </cell>
        </row>
        <row r="1612">
          <cell r="A1612">
            <v>8016</v>
          </cell>
        </row>
        <row r="1613">
          <cell r="A1613">
            <v>8017</v>
          </cell>
        </row>
        <row r="1614">
          <cell r="A1614">
            <v>8018</v>
          </cell>
        </row>
        <row r="1615">
          <cell r="A1615">
            <v>8019</v>
          </cell>
        </row>
        <row r="1616">
          <cell r="A1616">
            <v>8020</v>
          </cell>
        </row>
        <row r="1617">
          <cell r="A1617">
            <v>8021</v>
          </cell>
        </row>
        <row r="1618">
          <cell r="A1618">
            <v>8022</v>
          </cell>
        </row>
        <row r="1619">
          <cell r="A1619">
            <v>8023</v>
          </cell>
        </row>
        <row r="1620">
          <cell r="A1620">
            <v>8024</v>
          </cell>
        </row>
        <row r="1621">
          <cell r="A1621">
            <v>8025</v>
          </cell>
        </row>
        <row r="1622">
          <cell r="A1622">
            <v>8026</v>
          </cell>
        </row>
        <row r="1623">
          <cell r="A1623">
            <v>8027</v>
          </cell>
        </row>
        <row r="1624">
          <cell r="A1624">
            <v>8028</v>
          </cell>
        </row>
        <row r="1625">
          <cell r="A1625">
            <v>8029</v>
          </cell>
        </row>
        <row r="1626">
          <cell r="A1626">
            <v>8030</v>
          </cell>
        </row>
        <row r="1627">
          <cell r="A1627">
            <v>8031</v>
          </cell>
        </row>
        <row r="1628">
          <cell r="A1628">
            <v>8032</v>
          </cell>
        </row>
        <row r="1629">
          <cell r="A1629">
            <v>8033</v>
          </cell>
        </row>
        <row r="1630">
          <cell r="A1630">
            <v>8034</v>
          </cell>
        </row>
        <row r="1631">
          <cell r="A1631">
            <v>8035</v>
          </cell>
        </row>
        <row r="1632">
          <cell r="A1632">
            <v>8036</v>
          </cell>
        </row>
        <row r="1633">
          <cell r="A1633">
            <v>8037</v>
          </cell>
        </row>
        <row r="1634">
          <cell r="A1634">
            <v>8038</v>
          </cell>
        </row>
        <row r="1635">
          <cell r="A1635">
            <v>8039</v>
          </cell>
        </row>
        <row r="1636">
          <cell r="A1636">
            <v>8040</v>
          </cell>
        </row>
        <row r="1637">
          <cell r="A1637">
            <v>8041</v>
          </cell>
        </row>
        <row r="1638">
          <cell r="A1638">
            <v>8042</v>
          </cell>
        </row>
        <row r="1639">
          <cell r="A1639">
            <v>8043</v>
          </cell>
        </row>
        <row r="1640">
          <cell r="A1640">
            <v>8044</v>
          </cell>
        </row>
        <row r="1641">
          <cell r="A1641">
            <v>8045</v>
          </cell>
        </row>
        <row r="1642">
          <cell r="A1642">
            <v>8046</v>
          </cell>
        </row>
        <row r="1643">
          <cell r="A1643">
            <v>8047</v>
          </cell>
        </row>
        <row r="1644">
          <cell r="A1644">
            <v>8048</v>
          </cell>
        </row>
        <row r="1645">
          <cell r="A1645">
            <v>8049</v>
          </cell>
        </row>
        <row r="1646">
          <cell r="A1646">
            <v>8050</v>
          </cell>
        </row>
        <row r="1647">
          <cell r="A1647">
            <v>8051</v>
          </cell>
        </row>
        <row r="1648">
          <cell r="A1648">
            <v>8052</v>
          </cell>
        </row>
        <row r="1649">
          <cell r="A1649">
            <v>8053</v>
          </cell>
        </row>
        <row r="1650">
          <cell r="A1650">
            <v>8054</v>
          </cell>
        </row>
        <row r="1651">
          <cell r="A1651">
            <v>8055</v>
          </cell>
        </row>
        <row r="1652">
          <cell r="A1652">
            <v>8056</v>
          </cell>
        </row>
        <row r="1653">
          <cell r="A1653">
            <v>8057</v>
          </cell>
        </row>
        <row r="1654">
          <cell r="A1654">
            <v>8058</v>
          </cell>
        </row>
        <row r="1655">
          <cell r="A1655">
            <v>8059</v>
          </cell>
        </row>
        <row r="1656">
          <cell r="A1656">
            <v>8060</v>
          </cell>
        </row>
        <row r="1657">
          <cell r="A1657">
            <v>8061</v>
          </cell>
        </row>
        <row r="1658">
          <cell r="A1658">
            <v>8062</v>
          </cell>
        </row>
        <row r="1659">
          <cell r="A1659">
            <v>8063</v>
          </cell>
        </row>
        <row r="1660">
          <cell r="A1660">
            <v>8064</v>
          </cell>
        </row>
        <row r="1661">
          <cell r="A1661">
            <v>8065</v>
          </cell>
        </row>
        <row r="1662">
          <cell r="A1662">
            <v>8066</v>
          </cell>
        </row>
        <row r="1663">
          <cell r="A1663">
            <v>8067</v>
          </cell>
        </row>
        <row r="1664">
          <cell r="A1664">
            <v>8068</v>
          </cell>
        </row>
        <row r="1665">
          <cell r="A1665">
            <v>8069</v>
          </cell>
        </row>
        <row r="1666">
          <cell r="A1666">
            <v>8070</v>
          </cell>
        </row>
        <row r="1667">
          <cell r="A1667">
            <v>8071</v>
          </cell>
        </row>
        <row r="1668">
          <cell r="A1668">
            <v>8072</v>
          </cell>
        </row>
        <row r="1669">
          <cell r="A1669">
            <v>8073</v>
          </cell>
        </row>
        <row r="1670">
          <cell r="A1670">
            <v>8074</v>
          </cell>
        </row>
        <row r="1671">
          <cell r="A1671">
            <v>8075</v>
          </cell>
        </row>
        <row r="1672">
          <cell r="A1672">
            <v>8076</v>
          </cell>
        </row>
        <row r="1673">
          <cell r="A1673">
            <v>8077</v>
          </cell>
        </row>
        <row r="1674">
          <cell r="A1674">
            <v>8078</v>
          </cell>
        </row>
        <row r="1675">
          <cell r="A1675">
            <v>8079</v>
          </cell>
        </row>
        <row r="1676">
          <cell r="A1676">
            <v>8080</v>
          </cell>
        </row>
        <row r="1677">
          <cell r="A1677">
            <v>8081</v>
          </cell>
        </row>
        <row r="1678">
          <cell r="A1678">
            <v>8082</v>
          </cell>
        </row>
        <row r="1679">
          <cell r="A1679">
            <v>8083</v>
          </cell>
        </row>
        <row r="1680">
          <cell r="A1680">
            <v>8084</v>
          </cell>
        </row>
        <row r="1681">
          <cell r="A1681">
            <v>8085</v>
          </cell>
        </row>
        <row r="1682">
          <cell r="A1682">
            <v>8086</v>
          </cell>
        </row>
        <row r="1683">
          <cell r="A1683">
            <v>8087</v>
          </cell>
        </row>
        <row r="1684">
          <cell r="A1684">
            <v>8088</v>
          </cell>
        </row>
        <row r="1685">
          <cell r="A1685">
            <v>8089</v>
          </cell>
        </row>
        <row r="1686">
          <cell r="A1686">
            <v>8090</v>
          </cell>
        </row>
        <row r="1687">
          <cell r="A1687">
            <v>8095</v>
          </cell>
        </row>
        <row r="1688">
          <cell r="A1688">
            <v>8096</v>
          </cell>
        </row>
        <row r="1689">
          <cell r="A1689">
            <v>8097</v>
          </cell>
        </row>
        <row r="1690">
          <cell r="A1690">
            <v>8098</v>
          </cell>
        </row>
        <row r="1691">
          <cell r="A1691">
            <v>8099</v>
          </cell>
        </row>
        <row r="1692">
          <cell r="A1692">
            <v>8100</v>
          </cell>
        </row>
        <row r="1693">
          <cell r="A1693">
            <v>8101</v>
          </cell>
        </row>
        <row r="1694">
          <cell r="A1694">
            <v>8102</v>
          </cell>
        </row>
        <row r="1695">
          <cell r="A1695">
            <v>8103</v>
          </cell>
        </row>
        <row r="1696">
          <cell r="A1696">
            <v>8104</v>
          </cell>
        </row>
        <row r="1697">
          <cell r="A1697">
            <v>8105</v>
          </cell>
        </row>
        <row r="1698">
          <cell r="A1698">
            <v>8106</v>
          </cell>
        </row>
        <row r="1699">
          <cell r="A1699">
            <v>8111</v>
          </cell>
        </row>
        <row r="1700">
          <cell r="A1700">
            <v>8112</v>
          </cell>
        </row>
        <row r="1701">
          <cell r="A1701">
            <v>8113</v>
          </cell>
        </row>
        <row r="1702">
          <cell r="A1702">
            <v>8114</v>
          </cell>
        </row>
        <row r="1703">
          <cell r="A1703">
            <v>8115</v>
          </cell>
        </row>
        <row r="1704">
          <cell r="A1704">
            <v>8116</v>
          </cell>
        </row>
        <row r="1705">
          <cell r="A1705">
            <v>8117</v>
          </cell>
        </row>
        <row r="1706">
          <cell r="A1706">
            <v>8118</v>
          </cell>
        </row>
        <row r="1707">
          <cell r="A1707">
            <v>8119</v>
          </cell>
        </row>
        <row r="1708">
          <cell r="A1708">
            <v>8120</v>
          </cell>
        </row>
        <row r="1709">
          <cell r="A1709">
            <v>8121</v>
          </cell>
        </row>
        <row r="1710">
          <cell r="A1710">
            <v>8122</v>
          </cell>
        </row>
        <row r="1711">
          <cell r="A1711">
            <v>8123</v>
          </cell>
        </row>
        <row r="1712">
          <cell r="A1712">
            <v>8124</v>
          </cell>
        </row>
        <row r="1713">
          <cell r="A1713">
            <v>8125</v>
          </cell>
        </row>
        <row r="1714">
          <cell r="A1714">
            <v>8126</v>
          </cell>
        </row>
        <row r="1715">
          <cell r="A1715">
            <v>8127</v>
          </cell>
        </row>
        <row r="1716">
          <cell r="A1716">
            <v>8128</v>
          </cell>
        </row>
        <row r="1717">
          <cell r="A1717">
            <v>8129</v>
          </cell>
        </row>
        <row r="1718">
          <cell r="A1718">
            <v>8130</v>
          </cell>
        </row>
        <row r="1719">
          <cell r="A1719">
            <v>8131</v>
          </cell>
        </row>
        <row r="1720">
          <cell r="A1720">
            <v>8132</v>
          </cell>
        </row>
        <row r="1721">
          <cell r="A1721">
            <v>8133</v>
          </cell>
        </row>
        <row r="1722">
          <cell r="A1722">
            <v>8134</v>
          </cell>
        </row>
        <row r="1723">
          <cell r="A1723">
            <v>8135</v>
          </cell>
        </row>
        <row r="1724">
          <cell r="A1724">
            <v>8136</v>
          </cell>
        </row>
        <row r="1725">
          <cell r="A1725">
            <v>8137</v>
          </cell>
        </row>
        <row r="1726">
          <cell r="A1726">
            <v>8138</v>
          </cell>
        </row>
        <row r="1727">
          <cell r="A1727">
            <v>9001</v>
          </cell>
        </row>
        <row r="1728">
          <cell r="A1728">
            <v>9002</v>
          </cell>
        </row>
        <row r="1729">
          <cell r="A1729">
            <v>9003</v>
          </cell>
        </row>
        <row r="1730">
          <cell r="A1730">
            <v>9004</v>
          </cell>
        </row>
        <row r="1731">
          <cell r="A1731">
            <v>9005</v>
          </cell>
        </row>
        <row r="1732">
          <cell r="A1732">
            <v>9006</v>
          </cell>
        </row>
        <row r="1733">
          <cell r="A1733">
            <v>9007</v>
          </cell>
        </row>
        <row r="1734">
          <cell r="A1734">
            <v>9008</v>
          </cell>
        </row>
        <row r="1735">
          <cell r="A1735">
            <v>10001</v>
          </cell>
        </row>
        <row r="1736">
          <cell r="A1736">
            <v>10002</v>
          </cell>
        </row>
        <row r="1737">
          <cell r="A1737">
            <v>10003</v>
          </cell>
        </row>
        <row r="1738">
          <cell r="A1738">
            <v>10004</v>
          </cell>
        </row>
        <row r="1739">
          <cell r="A1739">
            <v>10005</v>
          </cell>
        </row>
        <row r="1740">
          <cell r="A1740">
            <v>10006</v>
          </cell>
        </row>
        <row r="1741">
          <cell r="A1741">
            <v>10007</v>
          </cell>
        </row>
        <row r="1742">
          <cell r="A1742">
            <v>10008</v>
          </cell>
        </row>
        <row r="1743">
          <cell r="A1743">
            <v>10009</v>
          </cell>
        </row>
        <row r="1744">
          <cell r="A1744">
            <v>10010</v>
          </cell>
        </row>
        <row r="1745">
          <cell r="A1745">
            <v>10011</v>
          </cell>
        </row>
        <row r="1746">
          <cell r="A1746">
            <v>10012</v>
          </cell>
        </row>
        <row r="1747">
          <cell r="A1747">
            <v>10013</v>
          </cell>
        </row>
        <row r="1748">
          <cell r="A1748">
            <v>10014</v>
          </cell>
        </row>
        <row r="1749">
          <cell r="A1749">
            <v>10015</v>
          </cell>
        </row>
        <row r="1750">
          <cell r="A1750">
            <v>10016</v>
          </cell>
        </row>
        <row r="1751">
          <cell r="A1751">
            <v>10017</v>
          </cell>
        </row>
        <row r="1752">
          <cell r="A1752">
            <v>10018</v>
          </cell>
        </row>
        <row r="1753">
          <cell r="A1753">
            <v>10019</v>
          </cell>
        </row>
        <row r="1754">
          <cell r="A1754">
            <v>10020</v>
          </cell>
        </row>
        <row r="1755">
          <cell r="A1755">
            <v>10021</v>
          </cell>
        </row>
        <row r="1756">
          <cell r="A1756">
            <v>10022</v>
          </cell>
        </row>
        <row r="1757">
          <cell r="A1757">
            <v>10023</v>
          </cell>
        </row>
        <row r="1758">
          <cell r="A1758">
            <v>10024</v>
          </cell>
        </row>
        <row r="1759">
          <cell r="A1759">
            <v>10025</v>
          </cell>
        </row>
        <row r="1760">
          <cell r="A1760">
            <v>10026</v>
          </cell>
        </row>
        <row r="1761">
          <cell r="A1761">
            <v>10027</v>
          </cell>
        </row>
        <row r="1762">
          <cell r="A1762">
            <v>10028</v>
          </cell>
        </row>
        <row r="1763">
          <cell r="A1763">
            <v>10029</v>
          </cell>
        </row>
        <row r="1764">
          <cell r="A1764">
            <v>10030</v>
          </cell>
        </row>
        <row r="1765">
          <cell r="A1765">
            <v>10031</v>
          </cell>
        </row>
        <row r="1766">
          <cell r="A1766">
            <v>10032</v>
          </cell>
        </row>
        <row r="1767">
          <cell r="A1767">
            <v>10033</v>
          </cell>
        </row>
        <row r="1768">
          <cell r="A1768">
            <v>10034</v>
          </cell>
        </row>
        <row r="1769">
          <cell r="A1769">
            <v>10035</v>
          </cell>
        </row>
        <row r="1770">
          <cell r="A1770">
            <v>10036</v>
          </cell>
        </row>
        <row r="1771">
          <cell r="A1771">
            <v>10037</v>
          </cell>
        </row>
        <row r="1772">
          <cell r="A1772">
            <v>10038</v>
          </cell>
        </row>
        <row r="1773">
          <cell r="A1773">
            <v>10039</v>
          </cell>
        </row>
        <row r="1774">
          <cell r="A1774">
            <v>10040</v>
          </cell>
        </row>
        <row r="1775">
          <cell r="A1775">
            <v>10041</v>
          </cell>
        </row>
        <row r="1776">
          <cell r="A1776">
            <v>10042</v>
          </cell>
        </row>
        <row r="1777">
          <cell r="A1777">
            <v>10043</v>
          </cell>
        </row>
        <row r="1778">
          <cell r="A1778">
            <v>10044</v>
          </cell>
        </row>
        <row r="1779">
          <cell r="A1779">
            <v>10045</v>
          </cell>
        </row>
        <row r="1780">
          <cell r="A1780">
            <v>10046</v>
          </cell>
        </row>
        <row r="1781">
          <cell r="A1781">
            <v>10047</v>
          </cell>
        </row>
        <row r="1782">
          <cell r="A1782">
            <v>10048</v>
          </cell>
        </row>
        <row r="1783">
          <cell r="A1783">
            <v>10049</v>
          </cell>
        </row>
        <row r="1784">
          <cell r="A1784">
            <v>10050</v>
          </cell>
        </row>
        <row r="1785">
          <cell r="A1785">
            <v>10051</v>
          </cell>
        </row>
        <row r="1786">
          <cell r="A1786">
            <v>10052</v>
          </cell>
        </row>
        <row r="1787">
          <cell r="A1787">
            <v>10053</v>
          </cell>
        </row>
        <row r="1788">
          <cell r="A1788">
            <v>10054</v>
          </cell>
        </row>
        <row r="1789">
          <cell r="A1789">
            <v>10055</v>
          </cell>
        </row>
        <row r="1790">
          <cell r="A1790">
            <v>10056</v>
          </cell>
        </row>
        <row r="1791">
          <cell r="A1791">
            <v>10057</v>
          </cell>
        </row>
        <row r="1792">
          <cell r="A1792">
            <v>10058</v>
          </cell>
        </row>
        <row r="1793">
          <cell r="A1793">
            <v>10059</v>
          </cell>
        </row>
        <row r="1794">
          <cell r="A1794">
            <v>10060</v>
          </cell>
        </row>
        <row r="1795">
          <cell r="A1795">
            <v>10061</v>
          </cell>
        </row>
        <row r="1796">
          <cell r="A1796">
            <v>10062</v>
          </cell>
        </row>
        <row r="1797">
          <cell r="A1797">
            <v>10063</v>
          </cell>
        </row>
        <row r="1798">
          <cell r="A1798">
            <v>10064</v>
          </cell>
        </row>
        <row r="1799">
          <cell r="A1799">
            <v>10065</v>
          </cell>
        </row>
        <row r="1800">
          <cell r="A1800">
            <v>10066</v>
          </cell>
        </row>
        <row r="1801">
          <cell r="A1801">
            <v>10067</v>
          </cell>
        </row>
        <row r="1802">
          <cell r="A1802">
            <v>10068</v>
          </cell>
        </row>
        <row r="1803">
          <cell r="A1803">
            <v>10069</v>
          </cell>
        </row>
        <row r="1804">
          <cell r="A1804">
            <v>10070</v>
          </cell>
        </row>
        <row r="1805">
          <cell r="A1805">
            <v>10071</v>
          </cell>
        </row>
        <row r="1806">
          <cell r="A1806">
            <v>10072</v>
          </cell>
        </row>
        <row r="1807">
          <cell r="A1807">
            <v>10073</v>
          </cell>
        </row>
        <row r="1808">
          <cell r="A1808">
            <v>10074</v>
          </cell>
        </row>
        <row r="1809">
          <cell r="A1809">
            <v>10075</v>
          </cell>
        </row>
        <row r="1810">
          <cell r="A1810">
            <v>10076</v>
          </cell>
        </row>
        <row r="1811">
          <cell r="A1811">
            <v>10077</v>
          </cell>
        </row>
        <row r="1812">
          <cell r="A1812">
            <v>10078</v>
          </cell>
        </row>
        <row r="1813">
          <cell r="A1813">
            <v>10079</v>
          </cell>
        </row>
        <row r="1814">
          <cell r="A1814">
            <v>10080</v>
          </cell>
        </row>
        <row r="1815">
          <cell r="A1815">
            <v>10081</v>
          </cell>
        </row>
        <row r="1816">
          <cell r="A1816">
            <v>10082</v>
          </cell>
        </row>
        <row r="1817">
          <cell r="A1817">
            <v>10083</v>
          </cell>
        </row>
        <row r="1818">
          <cell r="A1818">
            <v>10084</v>
          </cell>
        </row>
        <row r="1819">
          <cell r="A1819">
            <v>10085</v>
          </cell>
        </row>
        <row r="1820">
          <cell r="A1820">
            <v>10086</v>
          </cell>
        </row>
        <row r="1821">
          <cell r="A1821">
            <v>10087</v>
          </cell>
        </row>
        <row r="1822">
          <cell r="A1822">
            <v>10088</v>
          </cell>
        </row>
        <row r="1823">
          <cell r="A1823">
            <v>10089</v>
          </cell>
        </row>
        <row r="1824">
          <cell r="A1824">
            <v>10090</v>
          </cell>
        </row>
        <row r="1825">
          <cell r="A1825">
            <v>10101</v>
          </cell>
        </row>
        <row r="1826">
          <cell r="A1826">
            <v>10102</v>
          </cell>
        </row>
        <row r="1827">
          <cell r="A1827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14" sqref="B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130</v>
      </c>
      <c r="B1" s="52" t="s">
        <v>100</v>
      </c>
      <c r="C1" s="52" t="s">
        <v>101</v>
      </c>
      <c r="D1" s="52" t="s">
        <v>102</v>
      </c>
      <c r="E1" s="52" t="s">
        <v>103</v>
      </c>
      <c r="F1" s="52" t="s">
        <v>104</v>
      </c>
      <c r="G1" s="52" t="s">
        <v>105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339</v>
      </c>
      <c r="B2" s="54" t="s">
        <v>106</v>
      </c>
      <c r="C2" s="59">
        <v>48013</v>
      </c>
      <c r="D2" s="54" t="s">
        <v>107</v>
      </c>
      <c r="E2" s="53" t="str">
        <f>B2&amp;C2&amp;D2</f>
        <v>floors_48013.tmp</v>
      </c>
      <c r="F2" s="54" t="s">
        <v>108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339</v>
      </c>
      <c r="B3" s="54" t="s">
        <v>109</v>
      </c>
      <c r="C3" s="59">
        <v>48013</v>
      </c>
      <c r="D3" s="54" t="s">
        <v>107</v>
      </c>
      <c r="E3" s="53" t="str">
        <f>B3&amp;C3&amp;D3</f>
        <v>enemy_habitats_48013.tmp</v>
      </c>
      <c r="F3" s="54" t="s">
        <v>110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54</v>
      </c>
      <c r="AD3" s="55" t="s">
        <v>178</v>
      </c>
    </row>
    <row r="4" spans="1:30" x14ac:dyDescent="0.15">
      <c r="A4" s="58" t="s">
        <v>339</v>
      </c>
      <c r="B4" s="54" t="s">
        <v>111</v>
      </c>
      <c r="C4" s="59">
        <v>48013</v>
      </c>
      <c r="D4" s="54" t="s">
        <v>107</v>
      </c>
      <c r="E4" s="53" t="str">
        <f>B4&amp;C4&amp;D4</f>
        <v>enemy_habitat_S_48013.tmp</v>
      </c>
      <c r="F4" s="54" t="s">
        <v>112</v>
      </c>
      <c r="G4" s="55" t="s">
        <v>0</v>
      </c>
      <c r="H4" s="55" t="s">
        <v>1</v>
      </c>
      <c r="I4" s="55" t="s">
        <v>13</v>
      </c>
      <c r="J4" s="55" t="s">
        <v>54</v>
      </c>
      <c r="K4" s="55" t="s">
        <v>55</v>
      </c>
      <c r="L4" s="55" t="s">
        <v>56</v>
      </c>
      <c r="M4" s="55" t="s">
        <v>57</v>
      </c>
      <c r="N4" s="55" t="s">
        <v>58</v>
      </c>
      <c r="O4" s="55" t="s">
        <v>59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339</v>
      </c>
      <c r="B5" s="54" t="s">
        <v>113</v>
      </c>
      <c r="C5" s="59">
        <v>48013</v>
      </c>
      <c r="D5" s="54" t="s">
        <v>107</v>
      </c>
      <c r="E5" s="53" t="str">
        <f>B5&amp;C5&amp;D5</f>
        <v>enemy_skill_sets_48013.tmp</v>
      </c>
      <c r="F5" s="54" t="s">
        <v>114</v>
      </c>
      <c r="G5" s="56" t="s">
        <v>22</v>
      </c>
      <c r="H5" s="56" t="s">
        <v>99</v>
      </c>
      <c r="I5" s="56" t="s">
        <v>94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339</v>
      </c>
      <c r="B6" s="54" t="s">
        <v>115</v>
      </c>
      <c r="C6" s="59">
        <v>48013</v>
      </c>
      <c r="D6" s="54" t="s">
        <v>116</v>
      </c>
      <c r="E6" s="53" t="str">
        <f t="shared" ref="E6:E10" si="0">B6&amp;C6&amp;D6</f>
        <v>enemy_skills_tmp_48013.tmp</v>
      </c>
      <c r="F6" s="54" t="s">
        <v>90</v>
      </c>
      <c r="G6" s="55" t="s">
        <v>79</v>
      </c>
      <c r="H6" s="55" t="s">
        <v>80</v>
      </c>
      <c r="I6" s="55" t="s">
        <v>81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339</v>
      </c>
      <c r="B7" s="54" t="s">
        <v>117</v>
      </c>
      <c r="C7" s="59">
        <v>48013</v>
      </c>
      <c r="D7" s="54" t="s">
        <v>107</v>
      </c>
      <c r="E7" s="53" t="str">
        <f>B7&amp;C7&amp;D7</f>
        <v>enemy_skills_i18n_48013.tmp</v>
      </c>
      <c r="F7" s="54" t="s">
        <v>118</v>
      </c>
      <c r="G7" s="55" t="s">
        <v>79</v>
      </c>
      <c r="H7" s="55" t="s">
        <v>91</v>
      </c>
      <c r="I7" s="55" t="s">
        <v>92</v>
      </c>
      <c r="J7" s="55" t="s">
        <v>93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339</v>
      </c>
      <c r="B8" s="54" t="s">
        <v>119</v>
      </c>
      <c r="C8" s="59">
        <v>48013</v>
      </c>
      <c r="D8" s="54" t="s">
        <v>120</v>
      </c>
      <c r="E8" s="53" t="str">
        <f t="shared" si="0"/>
        <v>enemy_skill_triggers_48013.tmp</v>
      </c>
      <c r="F8" s="54" t="s">
        <v>121</v>
      </c>
      <c r="G8" s="55" t="s">
        <v>94</v>
      </c>
      <c r="H8" s="55" t="s">
        <v>95</v>
      </c>
      <c r="I8" s="55" t="s">
        <v>96</v>
      </c>
      <c r="J8" s="55" t="s">
        <v>97</v>
      </c>
      <c r="K8" s="55" t="s">
        <v>122</v>
      </c>
      <c r="L8" s="55" t="s">
        <v>98</v>
      </c>
      <c r="M8" s="55" t="s">
        <v>123</v>
      </c>
      <c r="N8" s="55" t="s">
        <v>124</v>
      </c>
      <c r="O8" s="55" t="s">
        <v>125</v>
      </c>
      <c r="P8" s="55" t="s">
        <v>67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339</v>
      </c>
      <c r="B9" s="63" t="s">
        <v>177</v>
      </c>
      <c r="C9" s="59">
        <v>48013</v>
      </c>
      <c r="D9" s="63" t="s">
        <v>171</v>
      </c>
      <c r="E9" s="64" t="str">
        <f t="shared" si="0"/>
        <v>stage_bug_bonuses_48013.tmp</v>
      </c>
      <c r="F9" s="63" t="s">
        <v>172</v>
      </c>
      <c r="G9" s="60" t="s">
        <v>150</v>
      </c>
      <c r="H9" s="60" t="s">
        <v>173</v>
      </c>
      <c r="I9" s="60" t="s">
        <v>174</v>
      </c>
      <c r="J9" s="62" t="s">
        <v>175</v>
      </c>
      <c r="K9" s="60" t="s">
        <v>176</v>
      </c>
      <c r="L9" s="60" t="s">
        <v>156</v>
      </c>
      <c r="M9" s="60" t="s">
        <v>157</v>
      </c>
      <c r="N9" s="60" t="s">
        <v>158</v>
      </c>
      <c r="O9" s="60" t="s">
        <v>159</v>
      </c>
      <c r="P9" s="60" t="s">
        <v>160</v>
      </c>
      <c r="Q9" s="60" t="s">
        <v>161</v>
      </c>
      <c r="R9" s="60" t="s">
        <v>162</v>
      </c>
      <c r="S9" s="60" t="s">
        <v>163</v>
      </c>
      <c r="T9" s="60" t="s">
        <v>164</v>
      </c>
      <c r="U9" s="60" t="s">
        <v>165</v>
      </c>
      <c r="V9" s="60" t="s">
        <v>166</v>
      </c>
      <c r="W9" s="60" t="s">
        <v>167</v>
      </c>
      <c r="X9" s="54"/>
      <c r="Y9" s="54"/>
      <c r="Z9" s="54"/>
      <c r="AA9" s="54"/>
      <c r="AB9" s="54"/>
      <c r="AC9" s="54"/>
      <c r="AD9" s="54"/>
    </row>
    <row r="10" spans="1:30" s="70" customFormat="1" x14ac:dyDescent="0.15">
      <c r="A10" s="58" t="s">
        <v>187</v>
      </c>
      <c r="B10" s="63" t="s">
        <v>201</v>
      </c>
      <c r="C10" s="59">
        <v>48013</v>
      </c>
      <c r="D10" s="63" t="s">
        <v>180</v>
      </c>
      <c r="E10" s="64" t="str">
        <f t="shared" si="0"/>
        <v>stage_hints_data_c_48013.tmp</v>
      </c>
      <c r="F10" s="63" t="s">
        <v>209</v>
      </c>
      <c r="G10" s="68" t="s">
        <v>181</v>
      </c>
      <c r="H10" s="68" t="s">
        <v>173</v>
      </c>
      <c r="I10" s="69" t="s">
        <v>182</v>
      </c>
      <c r="J10" s="62" t="s">
        <v>183</v>
      </c>
      <c r="K10" s="62" t="s">
        <v>184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0" customFormat="1" x14ac:dyDescent="0.15">
      <c r="A11" s="58" t="s">
        <v>339</v>
      </c>
      <c r="B11" s="63" t="s">
        <v>202</v>
      </c>
      <c r="C11" s="59">
        <v>48013</v>
      </c>
      <c r="D11" s="63" t="s">
        <v>171</v>
      </c>
      <c r="E11" s="64" t="str">
        <f t="shared" ref="E11:E13" si="1">B11&amp;C11&amp;D11</f>
        <v>stage_hints_data_f_48013.tmp</v>
      </c>
      <c r="F11" s="63" t="s">
        <v>210</v>
      </c>
      <c r="G11" s="68" t="s">
        <v>181</v>
      </c>
      <c r="H11" s="68" t="s">
        <v>173</v>
      </c>
      <c r="I11" s="69" t="s">
        <v>182</v>
      </c>
      <c r="J11" s="62" t="s">
        <v>183</v>
      </c>
      <c r="K11" s="62" t="s">
        <v>184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0" customFormat="1" x14ac:dyDescent="0.15">
      <c r="A12" s="58" t="s">
        <v>339</v>
      </c>
      <c r="B12" s="63" t="s">
        <v>203</v>
      </c>
      <c r="C12" s="59">
        <v>48013</v>
      </c>
      <c r="D12" s="63" t="s">
        <v>171</v>
      </c>
      <c r="E12" s="64" t="str">
        <f t="shared" si="1"/>
        <v>stage_hints_i18n_48013.tmp</v>
      </c>
      <c r="F12" s="63" t="s">
        <v>211</v>
      </c>
      <c r="G12" s="69" t="s">
        <v>204</v>
      </c>
      <c r="H12" s="88" t="s">
        <v>205</v>
      </c>
      <c r="I12" s="68" t="s">
        <v>206</v>
      </c>
      <c r="J12" s="96" t="s">
        <v>207</v>
      </c>
      <c r="K12" s="62" t="s">
        <v>208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0" customFormat="1" x14ac:dyDescent="0.15">
      <c r="A13" s="58" t="s">
        <v>339</v>
      </c>
      <c r="B13" s="63" t="s">
        <v>251</v>
      </c>
      <c r="C13" s="59">
        <v>48013</v>
      </c>
      <c r="D13" s="63" t="s">
        <v>232</v>
      </c>
      <c r="E13" s="64" t="str">
        <f t="shared" si="1"/>
        <v>stage_bonuses_48013.tmp</v>
      </c>
      <c r="F13" s="63" t="s">
        <v>231</v>
      </c>
      <c r="G13" s="68" t="s">
        <v>233</v>
      </c>
      <c r="H13" s="68" t="s">
        <v>234</v>
      </c>
      <c r="I13" s="68" t="s">
        <v>235</v>
      </c>
      <c r="J13" s="68" t="s">
        <v>236</v>
      </c>
      <c r="K13" s="68" t="s">
        <v>237</v>
      </c>
      <c r="L13" s="68" t="s">
        <v>238</v>
      </c>
      <c r="M13" s="68" t="s">
        <v>239</v>
      </c>
      <c r="N13" s="68" t="s">
        <v>240</v>
      </c>
      <c r="O13" s="68" t="s">
        <v>241</v>
      </c>
      <c r="P13" s="68" t="s">
        <v>242</v>
      </c>
      <c r="Q13" s="68" t="s">
        <v>243</v>
      </c>
      <c r="R13" s="68" t="s">
        <v>244</v>
      </c>
      <c r="S13" s="68" t="s">
        <v>245</v>
      </c>
      <c r="T13" s="68" t="s">
        <v>246</v>
      </c>
      <c r="U13" s="68" t="s">
        <v>247</v>
      </c>
      <c r="V13" s="68" t="s">
        <v>248</v>
      </c>
      <c r="W13" s="68" t="s">
        <v>249</v>
      </c>
      <c r="X13" s="68" t="s">
        <v>250</v>
      </c>
      <c r="Y13" s="95"/>
      <c r="Z13" s="95"/>
      <c r="AA13" s="95"/>
      <c r="AB13" s="95"/>
      <c r="AC13" s="95"/>
      <c r="AD13" s="95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J13" sqref="J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48013_1-1</v>
      </c>
      <c r="B2" s="16" t="str">
        <f>IF(COUNTIF(enemy_habitats!$H:$H,A2),"OK","NG")</f>
        <v>OK</v>
      </c>
      <c r="C2" s="7">
        <v>48013</v>
      </c>
      <c r="D2" s="11" t="str">
        <f ca="1">VLOOKUP($C2,OFFSET([2]quests!$A$1,0,0,COUNTA([2]quests!$A:$A),MATCH(D$1,[2]quests!$1:$1,0)-MATCH($C$1,[2]quests!$1:$1,0)+1),MATCH(D$1,[2]quests!$1:$1,0)-MATCH($C$1,[2]quests!$1:$1,0)+1,FALSE)</f>
        <v>法海襲来！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台湾版降臨13</v>
      </c>
      <c r="F2" s="21">
        <v>1</v>
      </c>
      <c r="G2" s="23" t="str">
        <f t="shared" ref="G2:G9" si="1">C2&amp;"_"&amp;F2</f>
        <v>48013_1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【超絶級】法海襲来</v>
      </c>
      <c r="I2" s="21">
        <v>1</v>
      </c>
      <c r="J2" s="12">
        <v>50</v>
      </c>
      <c r="K2" s="12">
        <v>50</v>
      </c>
    </row>
    <row r="3" spans="1:11" ht="21" customHeight="1" x14ac:dyDescent="0.15">
      <c r="A3" s="16" t="str">
        <f t="shared" si="0"/>
        <v>48013_1-2</v>
      </c>
      <c r="B3" s="16" t="str">
        <f>IF(COUNTIF(enemy_habitats!$H:$H,A3),"OK","NG")</f>
        <v>OK</v>
      </c>
      <c r="C3" s="7">
        <v>48013</v>
      </c>
      <c r="D3" s="11" t="str">
        <f ca="1">VLOOKUP($C3,OFFSET([2]quests!$A$1,0,0,COUNTA([2]quests!$A:$A),MATCH(D$1,[2]quests!$1:$1,0)-MATCH($C$1,[2]quests!$1:$1,0)+1),MATCH(D$1,[2]quests!$1:$1,0)-MATCH($C$1,[2]quests!$1:$1,0)+1,FALSE)</f>
        <v>法海襲来！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台湾版降臨13</v>
      </c>
      <c r="F3" s="21">
        <v>1</v>
      </c>
      <c r="G3" s="23" t="str">
        <f t="shared" si="1"/>
        <v>48013_1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【超絶級】法海襲来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48013_1-3</v>
      </c>
      <c r="B4" s="16" t="str">
        <f>IF(COUNTIF(enemy_habitats!$H:$H,A4),"OK","NG")</f>
        <v>OK</v>
      </c>
      <c r="C4" s="7">
        <v>48013</v>
      </c>
      <c r="D4" s="11" t="str">
        <f ca="1">VLOOKUP($C4,OFFSET([2]quests!$A$1,0,0,COUNTA([2]quests!$A:$A),MATCH(D$1,[2]quests!$1:$1,0)-MATCH($C$1,[2]quests!$1:$1,0)+1),MATCH(D$1,[2]quests!$1:$1,0)-MATCH($C$1,[2]quests!$1:$1,0)+1,FALSE)</f>
        <v>法海襲来！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台湾版降臨13</v>
      </c>
      <c r="F4" s="21">
        <v>1</v>
      </c>
      <c r="G4" s="23" t="str">
        <f t="shared" si="1"/>
        <v>48013_1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【超絶級】法海襲来</v>
      </c>
      <c r="I4" s="21">
        <v>3</v>
      </c>
      <c r="J4" s="12">
        <v>60</v>
      </c>
      <c r="K4" s="12">
        <v>60</v>
      </c>
    </row>
    <row r="5" spans="1:11" ht="21" customHeight="1" thickBot="1" x14ac:dyDescent="0.2">
      <c r="A5" s="113" t="str">
        <f t="shared" si="0"/>
        <v>48013_1-4</v>
      </c>
      <c r="B5" s="113" t="str">
        <f>IF(COUNTIF(enemy_habitats!$H:$H,A5),"OK","NG")</f>
        <v>OK</v>
      </c>
      <c r="C5" s="125">
        <v>48013</v>
      </c>
      <c r="D5" s="170" t="str">
        <f ca="1">VLOOKUP($C5,OFFSET([2]quests!$A$1,0,0,COUNTA([2]quests!$A:$A),MATCH(D$1,[2]quests!$1:$1,0)-MATCH($C$1,[2]quests!$1:$1,0)+1),MATCH(D$1,[2]quests!$1:$1,0)-MATCH($C$1,[2]quests!$1:$1,0)+1,FALSE)</f>
        <v>法海襲来！</v>
      </c>
      <c r="E5" s="170" t="str">
        <f ca="1">VLOOKUP($C5,OFFSET([2]quests!$A$1,0,0,COUNTA([2]quests!$A:$A),MATCH(E$1,[2]quests!$1:$1,0)-MATCH($C$1,[2]quests!$1:$1,0)+1),MATCH(E$1,[2]quests!$1:$1,0)-MATCH($C$1,[2]quests!$1:$1,0)+1,FALSE)</f>
        <v>台湾版降臨13</v>
      </c>
      <c r="F5" s="115">
        <v>1</v>
      </c>
      <c r="G5" s="171" t="str">
        <f t="shared" si="1"/>
        <v>48013_1</v>
      </c>
      <c r="H5" s="116" t="str">
        <f ca="1">VLOOKUP($G5,OFFSET([2]stages!$A$1,0,0,COUNTA([2]stages!$A:$A),MATCH(H$1,[2]stages!$2:$2,0)-MATCH($G$1,[2]stages!$2:$2,0)+1),MATCH(H$1,[2]stages!$2:$2,0)-MATCH($G$1,[2]stages!$2:$2,0)+1,FALSE)</f>
        <v>【超絶級】法海襲来</v>
      </c>
      <c r="I5" s="115">
        <v>4</v>
      </c>
      <c r="J5" s="118">
        <v>60</v>
      </c>
      <c r="K5" s="118">
        <v>60</v>
      </c>
    </row>
    <row r="6" spans="1:11" ht="21" customHeight="1" x14ac:dyDescent="0.15">
      <c r="A6" s="16" t="str">
        <f t="shared" si="0"/>
        <v>48013_2-1</v>
      </c>
      <c r="B6" s="16" t="str">
        <f>IF(COUNTIF(enemy_habitats!$H:$H,A6),"OK","NG")</f>
        <v>OK</v>
      </c>
      <c r="C6" s="110">
        <v>48013</v>
      </c>
      <c r="D6" s="168" t="str">
        <f ca="1">VLOOKUP($C6,OFFSET([2]quests!$A$1,0,0,COUNTA([2]quests!$A:$A),MATCH(D$1,[2]quests!$1:$1,0)-MATCH($C$1,[2]quests!$1:$1,0)+1),MATCH(D$1,[2]quests!$1:$1,0)-MATCH($C$1,[2]quests!$1:$1,0)+1,FALSE)</f>
        <v>法海襲来！</v>
      </c>
      <c r="E6" s="168" t="str">
        <f ca="1">VLOOKUP($C6,OFFSET([2]quests!$A$1,0,0,COUNTA([2]quests!$A:$A),MATCH(E$1,[2]quests!$1:$1,0)-MATCH($C$1,[2]quests!$1:$1,0)+1),MATCH(E$1,[2]quests!$1:$1,0)-MATCH($C$1,[2]quests!$1:$1,0)+1,FALSE)</f>
        <v>台湾版降臨13</v>
      </c>
      <c r="F6" s="101">
        <v>2</v>
      </c>
      <c r="G6" s="169" t="str">
        <f t="shared" si="1"/>
        <v>48013_2</v>
      </c>
      <c r="H6" s="102" t="str">
        <f ca="1">VLOOKUP($G6,OFFSET([2]stages!$A$1,0,0,COUNTA([2]stages!$A:$A),MATCH(H$1,[2]stages!$2:$2,0)-MATCH($G$1,[2]stages!$2:$2,0)+1),MATCH(H$1,[2]stages!$2:$2,0)-MATCH($G$1,[2]stages!$2:$2,0)+1,FALSE)</f>
        <v>【ウィザード級】法海襲来</v>
      </c>
      <c r="I6" s="101">
        <v>1</v>
      </c>
      <c r="J6" s="12">
        <v>50</v>
      </c>
      <c r="K6" s="12">
        <v>50</v>
      </c>
    </row>
    <row r="7" spans="1:11" ht="21" customHeight="1" x14ac:dyDescent="0.15">
      <c r="A7" s="16" t="str">
        <f t="shared" si="0"/>
        <v>48013_2-2</v>
      </c>
      <c r="B7" s="16" t="str">
        <f>IF(COUNTIF(enemy_habitats!$H:$H,A7),"OK","NG")</f>
        <v>OK</v>
      </c>
      <c r="C7" s="7">
        <v>48013</v>
      </c>
      <c r="D7" s="11" t="str">
        <f ca="1">VLOOKUP($C7,OFFSET([2]quests!$A$1,0,0,COUNTA([2]quests!$A:$A),MATCH(D$1,[2]quests!$1:$1,0)-MATCH($C$1,[2]quests!$1:$1,0)+1),MATCH(D$1,[2]quests!$1:$1,0)-MATCH($C$1,[2]quests!$1:$1,0)+1,FALSE)</f>
        <v>法海襲来！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台湾版降臨13</v>
      </c>
      <c r="F7" s="21">
        <v>2</v>
      </c>
      <c r="G7" s="23" t="str">
        <f t="shared" si="1"/>
        <v>48013_2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【ウィザード級】法海襲来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48013_2-3</v>
      </c>
      <c r="B8" s="16" t="str">
        <f>IF(COUNTIF(enemy_habitats!$H:$H,A8),"OK","NG")</f>
        <v>OK</v>
      </c>
      <c r="C8" s="7">
        <v>48013</v>
      </c>
      <c r="D8" s="11" t="str">
        <f ca="1">VLOOKUP($C8,OFFSET([2]quests!$A$1,0,0,COUNTA([2]quests!$A:$A),MATCH(D$1,[2]quests!$1:$1,0)-MATCH($C$1,[2]quests!$1:$1,0)+1),MATCH(D$1,[2]quests!$1:$1,0)-MATCH($C$1,[2]quests!$1:$1,0)+1,FALSE)</f>
        <v>法海襲来！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台湾版降臨13</v>
      </c>
      <c r="F8" s="21">
        <v>2</v>
      </c>
      <c r="G8" s="23" t="str">
        <f t="shared" si="1"/>
        <v>48013_2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【ウィザード級】法海襲来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48013_2-4</v>
      </c>
      <c r="B9" s="16" t="str">
        <f>IF(COUNTIF(enemy_habitats!$H:$H,A9),"OK","NG")</f>
        <v>OK</v>
      </c>
      <c r="C9" s="7">
        <v>48013</v>
      </c>
      <c r="D9" s="11" t="str">
        <f ca="1">VLOOKUP($C9,OFFSET([2]quests!$A$1,0,0,COUNTA([2]quests!$A:$A),MATCH(D$1,[2]quests!$1:$1,0)-MATCH($C$1,[2]quests!$1:$1,0)+1),MATCH(D$1,[2]quests!$1:$1,0)-MATCH($C$1,[2]quests!$1:$1,0)+1,FALSE)</f>
        <v>法海襲来！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台湾版降臨13</v>
      </c>
      <c r="F9" s="21">
        <v>2</v>
      </c>
      <c r="G9" s="23" t="str">
        <f t="shared" si="1"/>
        <v>48013_2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【ウィザード級】法海襲来</v>
      </c>
      <c r="I9" s="21">
        <v>4</v>
      </c>
      <c r="J9" s="38">
        <v>60</v>
      </c>
      <c r="K9" s="38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workbookViewId="0">
      <pane xSplit="17" ySplit="1" topLeftCell="AB2" activePane="bottomRight" state="frozen"/>
      <selection pane="topRight" activeCell="N1" sqref="N1"/>
      <selection pane="bottomLeft" activeCell="A2" sqref="A2"/>
      <selection pane="bottomRight" activeCell="AD13" sqref="AD1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4.6640625" style="3" customWidth="1" outlineLevel="1"/>
    <col min="14" max="14" width="8.6640625" style="3" customWidth="1" outlineLevel="1"/>
    <col min="15" max="15" width="12" style="3" hidden="1" customWidth="1" outlineLevel="1"/>
    <col min="16" max="16" width="21" style="3" hidden="1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thickBot="1" x14ac:dyDescent="0.2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7" t="s">
        <v>252</v>
      </c>
      <c r="U1" s="26" t="s">
        <v>50</v>
      </c>
      <c r="V1" s="97" t="s">
        <v>345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48013_1-1/94&lt;lv60&gt;s2</v>
      </c>
      <c r="B2" s="22">
        <v>48013</v>
      </c>
      <c r="C2" s="21">
        <v>1</v>
      </c>
      <c r="D2" s="2" t="str">
        <f t="shared" ref="D2:D7" si="1">B2&amp;"_"&amp;C2</f>
        <v>48013_1</v>
      </c>
      <c r="E2" s="4" t="str">
        <f ca="1">VLOOKUP($B2,OFFSET([2]quests!$A$1,0,0,COUNTA([2]quests!$A:$A),MATCH(E$1,[2]quests!$1:$1,0)-MATCH($B$1,[2]quests!$1:$1,0)+1),MATCH(E$1,[2]quests!$1:$1,0)-MATCH($B$1,[2]quests!$1:$1,0)+1,FALSE)</f>
        <v>法海襲来！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【超絶級】法海襲来</v>
      </c>
      <c r="G2" s="21">
        <v>1</v>
      </c>
      <c r="H2" s="15" t="str">
        <f t="shared" ref="H2:H7" si="2">B2&amp;"_"&amp;C2&amp;"-"&amp;G2</f>
        <v>48013_1-1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8" t="s">
        <v>53</v>
      </c>
      <c r="L2" s="20">
        <v>94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白虎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60</v>
      </c>
      <c r="S2" s="196">
        <v>1.4</v>
      </c>
      <c r="T2" s="98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92815.799999999988</v>
      </c>
      <c r="U2" s="178">
        <v>0.1</v>
      </c>
      <c r="V2" s="98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850.6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自身の防御力超大UP</v>
      </c>
      <c r="Y2" s="173">
        <v>48013001</v>
      </c>
      <c r="Z2" s="6">
        <v>0</v>
      </c>
      <c r="AA2" s="6">
        <v>100</v>
      </c>
      <c r="AB2" s="6">
        <v>1</v>
      </c>
      <c r="AC2" s="128">
        <v>2</v>
      </c>
      <c r="AD2" s="24">
        <f t="shared" ref="AD2:AD7" si="3">L2</f>
        <v>94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白虎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t="shared" ref="AI2:AI7" ca="1" si="4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5">
        <v>1</v>
      </c>
    </row>
    <row r="3" spans="1:42" ht="21" customHeight="1" x14ac:dyDescent="0.15">
      <c r="A3" s="16" t="str">
        <f t="shared" si="0"/>
        <v>48013_1-1/47&lt;lv60&gt;s1</v>
      </c>
      <c r="B3" s="22">
        <v>48013</v>
      </c>
      <c r="C3" s="21">
        <v>1</v>
      </c>
      <c r="D3" s="2" t="str">
        <f t="shared" si="1"/>
        <v>48013_1</v>
      </c>
      <c r="E3" s="4" t="str">
        <f ca="1">VLOOKUP($B3,OFFSET([2]quests!$A$1,0,0,COUNTA([2]quests!$A:$A),MATCH(E$1,[2]quests!$1:$1,0)-MATCH($B$1,[2]quests!$1:$1,0)+1),MATCH(E$1,[2]quests!$1:$1,0)-MATCH($B$1,[2]quests!$1:$1,0)+1,FALSE)</f>
        <v>法海襲来！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【超絶級】法海襲来</v>
      </c>
      <c r="G3" s="21">
        <v>1</v>
      </c>
      <c r="H3" s="15" t="str">
        <f t="shared" si="2"/>
        <v>48013_1-1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53</v>
      </c>
      <c r="L3" s="20">
        <v>47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ヒロ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5">
        <v>3.6</v>
      </c>
      <c r="T3" s="98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43394.400000000001</v>
      </c>
      <c r="U3" s="25">
        <v>0.7</v>
      </c>
      <c r="V3" s="98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3816.3999999999996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3" s="217">
        <v>48013014</v>
      </c>
      <c r="Z3" s="6">
        <v>2</v>
      </c>
      <c r="AA3" s="6">
        <v>100</v>
      </c>
      <c r="AB3" s="6">
        <v>0</v>
      </c>
      <c r="AC3" s="128">
        <v>1</v>
      </c>
      <c r="AD3" s="24">
        <f t="shared" si="3"/>
        <v>47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ヒロ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ca="1" si="4"/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5">
        <v>1</v>
      </c>
    </row>
    <row r="4" spans="1:42" ht="21" customHeight="1" x14ac:dyDescent="0.15">
      <c r="A4" s="16" t="str">
        <f t="shared" si="0"/>
        <v>48013_1-2/132&lt;lv60&gt;s2</v>
      </c>
      <c r="B4" s="22">
        <v>48013</v>
      </c>
      <c r="C4" s="21">
        <v>1</v>
      </c>
      <c r="D4" s="2" t="str">
        <f t="shared" si="1"/>
        <v>48013_1</v>
      </c>
      <c r="E4" s="4" t="str">
        <f ca="1">VLOOKUP($B4,OFFSET([2]quests!$A$1,0,0,COUNTA([2]quests!$A:$A),MATCH(E$1,[2]quests!$1:$1,0)-MATCH($B$1,[2]quests!$1:$1,0)+1),MATCH(E$1,[2]quests!$1:$1,0)-MATCH($B$1,[2]quests!$1:$1,0)+1,FALSE)</f>
        <v>法海襲来！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【超絶級】法海襲来</v>
      </c>
      <c r="G4" s="21">
        <v>2</v>
      </c>
      <c r="H4" s="15" t="str">
        <f t="shared" si="2"/>
        <v>48013_1-2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132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鳥人ハヤト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60</v>
      </c>
      <c r="S4" s="25">
        <v>1.5</v>
      </c>
      <c r="T4" s="98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93478.5</v>
      </c>
      <c r="U4" s="25">
        <v>0.4</v>
      </c>
      <c r="V4" s="98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3062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属性パネルをお邪魔パネルに3個変換</v>
      </c>
      <c r="Y4" s="173">
        <v>48013003</v>
      </c>
      <c r="Z4" s="6">
        <v>0</v>
      </c>
      <c r="AA4" s="6">
        <v>100</v>
      </c>
      <c r="AB4" s="6">
        <v>1</v>
      </c>
      <c r="AC4" s="128">
        <v>2</v>
      </c>
      <c r="AD4" s="24">
        <f t="shared" si="3"/>
        <v>132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鳥人ハヤト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4" s="7">
        <v>1</v>
      </c>
      <c r="AI4" s="24">
        <f t="shared" ca="1" si="4"/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5">
        <v>1</v>
      </c>
    </row>
    <row r="5" spans="1:42" ht="21" customHeight="1" x14ac:dyDescent="0.15">
      <c r="A5" s="16" t="str">
        <f t="shared" si="0"/>
        <v>48013_1-2/75&lt;lv60&gt;s1</v>
      </c>
      <c r="B5" s="22">
        <v>48013</v>
      </c>
      <c r="C5" s="21">
        <v>1</v>
      </c>
      <c r="D5" s="2" t="str">
        <f t="shared" si="1"/>
        <v>48013_1</v>
      </c>
      <c r="E5" s="4" t="str">
        <f ca="1">VLOOKUP($B5,OFFSET([2]quests!$A$1,0,0,COUNTA([2]quests!$A:$A),MATCH(E$1,[2]quests!$1:$1,0)-MATCH($B$1,[2]quests!$1:$1,0)+1),MATCH(E$1,[2]quests!$1:$1,0)-MATCH($B$1,[2]quests!$1:$1,0)+1,FALSE)</f>
        <v>法海襲来！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【超絶級】法海襲来</v>
      </c>
      <c r="G5" s="21">
        <v>2</v>
      </c>
      <c r="H5" s="15" t="str">
        <f t="shared" si="2"/>
        <v>48013_1-2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75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伝令者 サンダーバード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60</v>
      </c>
      <c r="S5" s="25">
        <v>1.3</v>
      </c>
      <c r="T5" s="98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51711.4</v>
      </c>
      <c r="U5" s="25">
        <v>0.3</v>
      </c>
      <c r="V5" s="98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2748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全体攻撃</v>
      </c>
      <c r="Y5" s="173">
        <v>48013004</v>
      </c>
      <c r="Z5" s="6">
        <v>2</v>
      </c>
      <c r="AA5" s="6">
        <v>100</v>
      </c>
      <c r="AB5" s="6">
        <v>0</v>
      </c>
      <c r="AC5" s="128">
        <v>1</v>
      </c>
      <c r="AD5" s="24">
        <f t="shared" si="3"/>
        <v>75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伝令者 サンダーバード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7">
        <v>1</v>
      </c>
      <c r="AI5" s="24">
        <f t="shared" ca="1" si="4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5">
        <v>1</v>
      </c>
    </row>
    <row r="6" spans="1:42" ht="21" customHeight="1" x14ac:dyDescent="0.15">
      <c r="A6" s="16" t="str">
        <f t="shared" si="0"/>
        <v>48013_1-3/595&lt;lv60&gt;s2</v>
      </c>
      <c r="B6" s="22">
        <v>48013</v>
      </c>
      <c r="C6" s="21">
        <v>1</v>
      </c>
      <c r="D6" s="2" t="str">
        <f t="shared" si="1"/>
        <v>48013_1</v>
      </c>
      <c r="E6" s="4" t="str">
        <f ca="1">VLOOKUP($B6,OFFSET([2]quests!$A$1,0,0,COUNTA([2]quests!$A:$A),MATCH(E$1,[2]quests!$1:$1,0)-MATCH($B$1,[2]quests!$1:$1,0)+1),MATCH(E$1,[2]quests!$1:$1,0)-MATCH($B$1,[2]quests!$1:$1,0)+1,FALSE)</f>
        <v>法海襲来！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【超絶級】法海襲来</v>
      </c>
      <c r="G6" s="21">
        <v>3</v>
      </c>
      <c r="H6" s="15" t="str">
        <f t="shared" si="2"/>
        <v>48013_1-3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595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光華なる神域 アルフヘイム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60</v>
      </c>
      <c r="S6" s="25">
        <v>2</v>
      </c>
      <c r="T6" s="98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235656</v>
      </c>
      <c r="U6" s="25">
        <v>0.5</v>
      </c>
      <c r="V6" s="98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4961.5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3ターン緑パネル出現率UP</v>
      </c>
      <c r="Y6" s="217">
        <v>48013011</v>
      </c>
      <c r="Z6" s="6">
        <v>0</v>
      </c>
      <c r="AA6" s="6">
        <v>100</v>
      </c>
      <c r="AB6" s="6">
        <v>1</v>
      </c>
      <c r="AC6" s="128">
        <v>2</v>
      </c>
      <c r="AD6" s="24">
        <f t="shared" si="3"/>
        <v>595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光華なる神域 アルフヘイム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6" s="7">
        <v>1</v>
      </c>
      <c r="AI6" s="24">
        <f t="shared" ca="1" si="4"/>
        <v>5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5">
        <v>1</v>
      </c>
    </row>
    <row r="7" spans="1:42" ht="21" customHeight="1" thickBot="1" x14ac:dyDescent="0.2">
      <c r="A7" s="113" t="str">
        <f t="shared" si="0"/>
        <v>48013_1-4/8121&lt;lv60&gt;s2</v>
      </c>
      <c r="B7" s="114">
        <v>48013</v>
      </c>
      <c r="C7" s="115">
        <v>1</v>
      </c>
      <c r="D7" s="116" t="str">
        <f t="shared" si="1"/>
        <v>48013_1</v>
      </c>
      <c r="E7" s="117" t="str">
        <f ca="1">VLOOKUP($B7,OFFSET([2]quests!$A$1,0,0,COUNTA([2]quests!$A:$A),MATCH(E$1,[2]quests!$1:$1,0)-MATCH($B$1,[2]quests!$1:$1,0)+1),MATCH(E$1,[2]quests!$1:$1,0)-MATCH($B$1,[2]quests!$1:$1,0)+1,FALSE)</f>
        <v>法海襲来！</v>
      </c>
      <c r="F7" s="117" t="str">
        <f ca="1">VLOOKUP($D7,OFFSET([2]stages!$A$1,0,0,COUNTA([2]stages!$A:$A),MATCH(F$1,[2]stages!$2:$2,0)-MATCH($D$1,[2]stages!$2:$2,0)+1),MATCH(F$1,[2]stages!$2:$2,0)-MATCH($D$1,[2]stages!$2:$2,0)+1,FALSE)</f>
        <v>【超絶級】法海襲来</v>
      </c>
      <c r="G7" s="115">
        <v>4</v>
      </c>
      <c r="H7" s="116" t="str">
        <f t="shared" si="2"/>
        <v>48013_1-4</v>
      </c>
      <c r="I7" s="117">
        <f ca="1">VLOOKUP($H7,OFFSET(floors!$A$1,0,0,COUNTA(floors!$A:$A),MATCH(I$1,floors!$1:$1,0)-MATCH($H$1,floors!$1:$1,0)+1),MATCH(I$1,floors!$1:$1,0)-MATCH($H$1,floors!$1:$1,0)+1,FALSE)</f>
        <v>60</v>
      </c>
      <c r="J7" s="117">
        <f ca="1">VLOOKUP($H7,OFFSET(floors!$A$1,0,0,COUNTA(floors!$A:$A),MATCH(J$1,floors!$1:$1,0)-MATCH($H$1,floors!$1:$1,0)+1),MATCH(J$1,floors!$1:$1,0)-MATCH($H$1,floors!$1:$1,0)+1,FALSE)</f>
        <v>60</v>
      </c>
      <c r="K7" s="118">
        <v>2</v>
      </c>
      <c r="L7" s="119">
        <v>8121</v>
      </c>
      <c r="M7" s="120" t="str">
        <f ca="1">VLOOKUP($L7,OFFSET([3]enemies!$A$1,0,0,COUNTA([3]enemies!$A:$A),MATCH(M$1,[3]enemies!$1:$1,0)-MATCH($L$1,[3]enemies!$1:$1,0)+1),MATCH(M$1,[3]enemies!$1:$1,0)-MATCH($L$1,[3]enemies!$1:$1,0)+1,FALSE)</f>
        <v>法海</v>
      </c>
      <c r="N7" s="120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20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20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20">
        <f ca="1">VLOOKUP($L7,OFFSET([3]enemies!$A$1,0,0,COUNTA([3]enemies!$A:$A),MATCH(Q$1,[3]enemies!$1:$1,0)-MATCH($L$1,[3]enemies!$1:$1,0)+1),MATCH(Q$1,[3]enemies!$1:$1,0)-MATCH($L$1,[3]enemies!$1:$1,0)+1,FALSE)</f>
        <v>60</v>
      </c>
      <c r="R7" s="121">
        <v>60</v>
      </c>
      <c r="S7" s="25">
        <v>3.6</v>
      </c>
      <c r="T7" s="12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25">
        <v>0.7</v>
      </c>
      <c r="V7" s="12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121">
        <v>0</v>
      </c>
      <c r="X7" s="175" t="str">
        <f ca="1">VLOOKUP($Y7,OFFSET(enemy_skill_sets!$B$1,0,0,COUNTA(enemy_skill_sets!$B:$B),MATCH(M$1,enemy_skill_sets!$1:$1,0)-MATCH($Y$1,enemy_skill_sets!$1:$1,0)+2),MATCH(M$1,enemy_skill_sets!$1:$1,0)-MATCH($Y$1,enemy_skill_sets!$1:$1,0)+2,FALSE)</f>
        <v>※表示しません</v>
      </c>
      <c r="Y7" s="174">
        <v>48013008</v>
      </c>
      <c r="Z7" s="123">
        <v>0</v>
      </c>
      <c r="AA7" s="123">
        <v>100</v>
      </c>
      <c r="AB7" s="123">
        <v>1</v>
      </c>
      <c r="AC7" s="129">
        <v>2</v>
      </c>
      <c r="AD7" s="124">
        <f t="shared" si="3"/>
        <v>8121</v>
      </c>
      <c r="AE7" s="117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法海</v>
      </c>
      <c r="AF7" s="117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117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25">
        <v>1</v>
      </c>
      <c r="AI7" s="124">
        <f t="shared" ca="1" si="4"/>
        <v>5</v>
      </c>
      <c r="AJ7" s="126">
        <v>15</v>
      </c>
      <c r="AK7" s="125">
        <v>0</v>
      </c>
      <c r="AL7" s="125">
        <v>0</v>
      </c>
      <c r="AM7" s="125">
        <v>0</v>
      </c>
      <c r="AN7" s="125">
        <v>0</v>
      </c>
      <c r="AO7" s="125">
        <v>1</v>
      </c>
      <c r="AP7" s="127">
        <v>1</v>
      </c>
    </row>
    <row r="8" spans="1:42" ht="21" customHeight="1" x14ac:dyDescent="0.15">
      <c r="A8" s="16" t="str">
        <f t="shared" ref="A8:A13" si="5">B8&amp;"_"&amp;C8&amp;"-"&amp;G8&amp;"/"&amp;L8&amp;"&lt;lv"&amp;R8&amp;"&gt;s"&amp;AC8</f>
        <v>48013_2-1/94&lt;lv80&gt;s2</v>
      </c>
      <c r="B8" s="22">
        <v>48013</v>
      </c>
      <c r="C8" s="101">
        <v>2</v>
      </c>
      <c r="D8" s="102" t="str">
        <f t="shared" ref="D8:D13" si="6">B8&amp;"_"&amp;C8</f>
        <v>48013_2</v>
      </c>
      <c r="E8" s="4" t="str">
        <f ca="1">VLOOKUP($B8,OFFSET([2]quests!$A$1,0,0,COUNTA([2]quests!$A:$A),MATCH(E$1,[2]quests!$1:$1,0)-MATCH($B$1,[2]quests!$1:$1,0)+1),MATCH(E$1,[2]quests!$1:$1,0)-MATCH($B$1,[2]quests!$1:$1,0)+1,FALSE)</f>
        <v>法海襲来！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【ウィザード級】法海襲来</v>
      </c>
      <c r="G8" s="101">
        <v>1</v>
      </c>
      <c r="H8" s="102" t="str">
        <f t="shared" ref="H8:H13" si="7">B8&amp;"_"&amp;C8&amp;"-"&amp;G8</f>
        <v>48013_2-1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103" t="s">
        <v>53</v>
      </c>
      <c r="L8" s="104">
        <v>94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白虎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105">
        <v>80</v>
      </c>
      <c r="S8" s="196">
        <v>1.4</v>
      </c>
      <c r="T8" s="107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122999.79999999999</v>
      </c>
      <c r="U8" s="178">
        <v>0.1</v>
      </c>
      <c r="V8" s="107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1127.2</v>
      </c>
      <c r="W8" s="10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自身の防御力超大UP</v>
      </c>
      <c r="Y8" s="173">
        <v>48013001</v>
      </c>
      <c r="Z8" s="108">
        <v>0</v>
      </c>
      <c r="AA8" s="108">
        <v>100</v>
      </c>
      <c r="AB8" s="6">
        <v>1</v>
      </c>
      <c r="AC8" s="128">
        <v>2</v>
      </c>
      <c r="AD8" s="109">
        <f t="shared" ref="AD8:AD13" si="8">L8</f>
        <v>94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白虎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110">
        <v>1</v>
      </c>
      <c r="AI8" s="109">
        <f t="shared" ref="AI8:AI13" ca="1" si="9">AF8</f>
        <v>3</v>
      </c>
      <c r="AJ8" s="111">
        <v>0</v>
      </c>
      <c r="AK8" s="110">
        <v>0</v>
      </c>
      <c r="AL8" s="110">
        <v>0</v>
      </c>
      <c r="AM8" s="110">
        <v>0</v>
      </c>
      <c r="AN8" s="110">
        <v>0</v>
      </c>
      <c r="AO8" s="110">
        <v>1</v>
      </c>
      <c r="AP8" s="112">
        <v>1</v>
      </c>
    </row>
    <row r="9" spans="1:42" ht="21" customHeight="1" x14ac:dyDescent="0.15">
      <c r="A9" s="16" t="str">
        <f t="shared" si="5"/>
        <v>48013_2-1/47&lt;lv80&gt;s1</v>
      </c>
      <c r="B9" s="22">
        <v>48013</v>
      </c>
      <c r="C9" s="21">
        <v>2</v>
      </c>
      <c r="D9" s="2" t="str">
        <f t="shared" si="6"/>
        <v>48013_2</v>
      </c>
      <c r="E9" s="4" t="str">
        <f ca="1">VLOOKUP($B9,OFFSET([2]quests!$A$1,0,0,COUNTA([2]quests!$A:$A),MATCH(E$1,[2]quests!$1:$1,0)-MATCH($B$1,[2]quests!$1:$1,0)+1),MATCH(E$1,[2]quests!$1:$1,0)-MATCH($B$1,[2]quests!$1:$1,0)+1,FALSE)</f>
        <v>法海襲来！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【ウィザード級】法海襲来</v>
      </c>
      <c r="G9" s="21">
        <v>1</v>
      </c>
      <c r="H9" s="15" t="str">
        <f t="shared" si="7"/>
        <v>48013_2-1</v>
      </c>
      <c r="I9" s="4">
        <f ca="1">VLOOKUP($H9,OFFSET(floors!$A$1,0,0,COUNTA(floors!$A:$A),MATCH(I$1,floors!$1:$1,0)-MATCH($H$1,floors!$1:$1,0)+1),MATCH(I$1,floors!$1:$1,0)-MATCH($H$1,floors!$1:$1,0)+1,FALSE)</f>
        <v>50</v>
      </c>
      <c r="J9" s="4">
        <f ca="1">VLOOKUP($H9,OFFSET(floors!$A$1,0,0,COUNTA(floors!$A:$A),MATCH(J$1,floors!$1:$1,0)-MATCH($H$1,floors!$1:$1,0)+1),MATCH(J$1,floors!$1:$1,0)-MATCH($H$1,floors!$1:$1,0)+1,FALSE)</f>
        <v>50</v>
      </c>
      <c r="K9" s="38" t="s">
        <v>53</v>
      </c>
      <c r="L9" s="20">
        <v>47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ヒロ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80</v>
      </c>
      <c r="S9" s="25">
        <v>3.6</v>
      </c>
      <c r="T9" s="98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57506.400000000001</v>
      </c>
      <c r="U9" s="25">
        <v>0.7</v>
      </c>
      <c r="V9" s="98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5058.2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クリティカル！+_x000D_属性パネルをお邪魔パネルに1個変換</v>
      </c>
      <c r="Y9" s="173">
        <v>48013002</v>
      </c>
      <c r="Z9" s="6">
        <v>2</v>
      </c>
      <c r="AA9" s="6">
        <v>100</v>
      </c>
      <c r="AB9" s="6">
        <v>0</v>
      </c>
      <c r="AC9" s="128">
        <v>1</v>
      </c>
      <c r="AD9" s="24">
        <f t="shared" si="8"/>
        <v>47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ヒロ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Drop1N</v>
      </c>
      <c r="AH9" s="7">
        <v>1</v>
      </c>
      <c r="AI9" s="24">
        <f t="shared" ca="1" si="9"/>
        <v>2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5">
        <v>1</v>
      </c>
    </row>
    <row r="10" spans="1:42" ht="21" customHeight="1" x14ac:dyDescent="0.15">
      <c r="A10" s="16" t="str">
        <f t="shared" si="5"/>
        <v>48013_2-2/132&lt;lv80&gt;s2</v>
      </c>
      <c r="B10" s="22">
        <v>48013</v>
      </c>
      <c r="C10" s="21">
        <v>2</v>
      </c>
      <c r="D10" s="2" t="str">
        <f t="shared" si="6"/>
        <v>48013_2</v>
      </c>
      <c r="E10" s="4" t="str">
        <f ca="1">VLOOKUP($B10,OFFSET([2]quests!$A$1,0,0,COUNTA([2]quests!$A:$A),MATCH(E$1,[2]quests!$1:$1,0)-MATCH($B$1,[2]quests!$1:$1,0)+1),MATCH(E$1,[2]quests!$1:$1,0)-MATCH($B$1,[2]quests!$1:$1,0)+1,FALSE)</f>
        <v>法海襲来！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【ウィザード級】法海襲来</v>
      </c>
      <c r="G10" s="21">
        <v>2</v>
      </c>
      <c r="H10" s="15" t="str">
        <f t="shared" si="7"/>
        <v>48013_2-2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132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鳥人ハヤト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80</v>
      </c>
      <c r="S10" s="25">
        <v>1.5</v>
      </c>
      <c r="T10" s="98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123879</v>
      </c>
      <c r="U10" s="25">
        <v>0.4</v>
      </c>
      <c r="V10" s="98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4058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属性パネルをお邪魔パネルに3個変換</v>
      </c>
      <c r="Y10" s="173">
        <v>48013003</v>
      </c>
      <c r="Z10" s="6">
        <v>0</v>
      </c>
      <c r="AA10" s="6">
        <v>100</v>
      </c>
      <c r="AB10" s="6">
        <v>1</v>
      </c>
      <c r="AC10" s="128">
        <v>2</v>
      </c>
      <c r="AD10" s="24">
        <f t="shared" si="8"/>
        <v>132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鳥人ハヤト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0" s="7">
        <v>1</v>
      </c>
      <c r="AI10" s="24">
        <f t="shared" ca="1" si="9"/>
        <v>3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5">
        <v>1</v>
      </c>
    </row>
    <row r="11" spans="1:42" ht="21" customHeight="1" x14ac:dyDescent="0.15">
      <c r="A11" s="16" t="str">
        <f t="shared" si="5"/>
        <v>48013_2-2/75&lt;lv80&gt;s1</v>
      </c>
      <c r="B11" s="22">
        <v>48013</v>
      </c>
      <c r="C11" s="21">
        <v>2</v>
      </c>
      <c r="D11" s="2" t="str">
        <f t="shared" si="6"/>
        <v>48013_2</v>
      </c>
      <c r="E11" s="4" t="str">
        <f ca="1">VLOOKUP($B11,OFFSET([2]quests!$A$1,0,0,COUNTA([2]quests!$A:$A),MATCH(E$1,[2]quests!$1:$1,0)-MATCH($B$1,[2]quests!$1:$1,0)+1),MATCH(E$1,[2]quests!$1:$1,0)-MATCH($B$1,[2]quests!$1:$1,0)+1,FALSE)</f>
        <v>法海襲来！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【ウィザード級】法海襲来</v>
      </c>
      <c r="G11" s="21">
        <v>2</v>
      </c>
      <c r="H11" s="15" t="str">
        <f t="shared" si="7"/>
        <v>48013_2-2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75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伝令者 サンダーバード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80</v>
      </c>
      <c r="S11" s="25">
        <v>1.3</v>
      </c>
      <c r="T11" s="98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68528.2</v>
      </c>
      <c r="U11" s="25">
        <v>0.3</v>
      </c>
      <c r="V11" s="98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3641.7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全体攻撃</v>
      </c>
      <c r="Y11" s="173">
        <v>48013004</v>
      </c>
      <c r="Z11" s="6">
        <v>2</v>
      </c>
      <c r="AA11" s="6">
        <v>100</v>
      </c>
      <c r="AB11" s="6">
        <v>0</v>
      </c>
      <c r="AC11" s="128">
        <v>1</v>
      </c>
      <c r="AD11" s="24">
        <f t="shared" si="8"/>
        <v>75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伝令者 サンダーバード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Drop1S</v>
      </c>
      <c r="AH11" s="7">
        <v>1</v>
      </c>
      <c r="AI11" s="24">
        <f t="shared" ca="1" si="9"/>
        <v>3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5">
        <v>1</v>
      </c>
    </row>
    <row r="12" spans="1:42" ht="21" customHeight="1" x14ac:dyDescent="0.15">
      <c r="A12" s="16" t="str">
        <f t="shared" si="5"/>
        <v>48013_2-3/595&lt;lv80&gt;s2</v>
      </c>
      <c r="B12" s="22">
        <v>48013</v>
      </c>
      <c r="C12" s="21">
        <v>2</v>
      </c>
      <c r="D12" s="2" t="str">
        <f t="shared" si="6"/>
        <v>48013_2</v>
      </c>
      <c r="E12" s="4" t="str">
        <f ca="1">VLOOKUP($B12,OFFSET([2]quests!$A$1,0,0,COUNTA([2]quests!$A:$A),MATCH(E$1,[2]quests!$1:$1,0)-MATCH($B$1,[2]quests!$1:$1,0)+1),MATCH(E$1,[2]quests!$1:$1,0)-MATCH($B$1,[2]quests!$1:$1,0)+1,FALSE)</f>
        <v>法海襲来！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【ウィザード級】法海襲来</v>
      </c>
      <c r="G12" s="21">
        <v>3</v>
      </c>
      <c r="H12" s="15" t="str">
        <f t="shared" si="7"/>
        <v>48013_2-3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1</v>
      </c>
      <c r="L12" s="20">
        <v>595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光華なる神域 アルフヘイム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dragon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80</v>
      </c>
      <c r="S12" s="25">
        <v>2</v>
      </c>
      <c r="T12" s="98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312292</v>
      </c>
      <c r="U12" s="25">
        <v>0.5</v>
      </c>
      <c r="V12" s="98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6575.5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3ターン緑パネル出現率UP</v>
      </c>
      <c r="Y12" s="173">
        <v>48013005</v>
      </c>
      <c r="Z12" s="6">
        <v>0</v>
      </c>
      <c r="AA12" s="6">
        <v>100</v>
      </c>
      <c r="AB12" s="6">
        <v>1</v>
      </c>
      <c r="AC12" s="128">
        <v>2</v>
      </c>
      <c r="AD12" s="24">
        <f t="shared" si="8"/>
        <v>595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光華なる神域 アルフヘイム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5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2" s="7">
        <v>1</v>
      </c>
      <c r="AI12" s="24">
        <f t="shared" ca="1" si="9"/>
        <v>5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5">
        <v>1</v>
      </c>
    </row>
    <row r="13" spans="1:42" ht="21" customHeight="1" x14ac:dyDescent="0.15">
      <c r="A13" s="16" t="str">
        <f t="shared" si="5"/>
        <v>48013_2-4/8121&lt;lv80&gt;s2</v>
      </c>
      <c r="B13" s="22">
        <v>48013</v>
      </c>
      <c r="C13" s="21">
        <v>2</v>
      </c>
      <c r="D13" s="2" t="str">
        <f t="shared" si="6"/>
        <v>48013_2</v>
      </c>
      <c r="E13" s="4" t="str">
        <f ca="1">VLOOKUP($B13,OFFSET([2]quests!$A$1,0,0,COUNTA([2]quests!$A:$A),MATCH(E$1,[2]quests!$1:$1,0)-MATCH($B$1,[2]quests!$1:$1,0)+1),MATCH(E$1,[2]quests!$1:$1,0)-MATCH($B$1,[2]quests!$1:$1,0)+1,FALSE)</f>
        <v>法海襲来！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【ウィザード級】法海襲来</v>
      </c>
      <c r="G13" s="21">
        <v>4</v>
      </c>
      <c r="H13" s="15" t="str">
        <f t="shared" si="7"/>
        <v>48013_2-4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2</v>
      </c>
      <c r="L13" s="20">
        <v>8121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法海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80</v>
      </c>
      <c r="S13" s="25">
        <v>3.6</v>
      </c>
      <c r="T13" s="98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0</v>
      </c>
      <c r="U13" s="25">
        <v>0.7</v>
      </c>
      <c r="V13" s="98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0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※表示しません</v>
      </c>
      <c r="Y13" s="176">
        <v>48013008</v>
      </c>
      <c r="Z13" s="6">
        <v>0</v>
      </c>
      <c r="AA13" s="6">
        <v>100</v>
      </c>
      <c r="AB13" s="130">
        <v>1</v>
      </c>
      <c r="AC13" s="128">
        <v>2</v>
      </c>
      <c r="AD13" s="24">
        <f t="shared" si="8"/>
        <v>8121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法海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ca="1" si="9"/>
        <v>5</v>
      </c>
      <c r="AJ13" s="8">
        <v>30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5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9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8" sqref="M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7" t="s">
        <v>252</v>
      </c>
      <c r="V1" s="26" t="s">
        <v>50</v>
      </c>
      <c r="W1" s="97" t="s">
        <v>253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 t="shared" ref="A2:A9" si="0">B2&amp;"_"&amp;C2&amp;"-"&amp;G2&amp;"/"&amp;M2&amp;"&lt;lv"&amp;S2&amp;"&gt;sq"&amp;K2&amp;"st"&amp;L2</f>
        <v>48013_1-3/827&lt;lv60&gt;sq1st2</v>
      </c>
      <c r="B2" s="22">
        <v>48013</v>
      </c>
      <c r="C2" s="21">
        <v>1</v>
      </c>
      <c r="D2" s="2" t="str">
        <f t="shared" ref="D2:D9" si="1">B2&amp;"_"&amp;C2</f>
        <v>48013_1</v>
      </c>
      <c r="E2" s="4" t="str">
        <f ca="1">VLOOKUP($B2,OFFSET([2]quests!$A$1,0,0,COUNTA([2]quests!$A:$A),MATCH(E$1,[2]quests!$1:$1,0)-MATCH($B$1,[2]quests!$1:$1,0)+1),MATCH(E$1,[2]quests!$1:$1,0)-MATCH($B$1,[2]quests!$1:$1,0)+1,FALSE)</f>
        <v>法海襲来！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【超絶級】法海襲来</v>
      </c>
      <c r="G2" s="21">
        <v>3</v>
      </c>
      <c r="H2" s="15" t="str">
        <f t="shared" ref="H2:H9" si="2">B2&amp;"_"&amp;C2&amp;"-"&amp;G2</f>
        <v>48013_1-3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827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光神しき彩雲龍 アルフヘイム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106">
        <v>2</v>
      </c>
      <c r="U2" s="98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235656</v>
      </c>
      <c r="V2" s="106">
        <v>0.6</v>
      </c>
      <c r="W2" s="98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5953.8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3ターン種族ドラゴンの攻撃力50%UP</v>
      </c>
      <c r="Z2" s="133">
        <v>48013006</v>
      </c>
      <c r="AA2" s="100">
        <v>1</v>
      </c>
    </row>
    <row r="3" spans="1:27" ht="21" customHeight="1" x14ac:dyDescent="0.15">
      <c r="A3" s="16" t="str">
        <f t="shared" ref="A3" si="3">B3&amp;"_"&amp;C3&amp;"-"&amp;G3&amp;"/"&amp;M3&amp;"&lt;lv"&amp;S3&amp;"&gt;sq"&amp;K3&amp;"st"&amp;L3</f>
        <v>48013_1-3/827&lt;lv60&gt;sq1st3</v>
      </c>
      <c r="B3" s="22">
        <v>48013</v>
      </c>
      <c r="C3" s="21">
        <v>1</v>
      </c>
      <c r="D3" s="2" t="str">
        <f t="shared" ref="D3" si="4">B3&amp;"_"&amp;C3</f>
        <v>48013_1</v>
      </c>
      <c r="E3" s="4" t="str">
        <f ca="1">VLOOKUP($B3,OFFSET([2]quests!$A$1,0,0,COUNTA([2]quests!$A:$A),MATCH(E$1,[2]quests!$1:$1,0)-MATCH($B$1,[2]quests!$1:$1,0)+1),MATCH(E$1,[2]quests!$1:$1,0)-MATCH($B$1,[2]quests!$1:$1,0)+1,FALSE)</f>
        <v>法海襲来！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【超絶級】法海襲来</v>
      </c>
      <c r="G3" s="21">
        <v>3</v>
      </c>
      <c r="H3" s="15" t="str">
        <f t="shared" ref="H3" si="5">B3&amp;"_"&amp;C3&amp;"-"&amp;G3</f>
        <v>48013_1-3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827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光神しき彩雲龍 アルフヘイム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106">
        <v>2</v>
      </c>
      <c r="U3" s="98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235656</v>
      </c>
      <c r="V3" s="106">
        <v>0.6</v>
      </c>
      <c r="W3" s="98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5953.8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※表示しません</v>
      </c>
      <c r="Z3" s="133">
        <v>48013007</v>
      </c>
      <c r="AA3" s="100">
        <v>1</v>
      </c>
    </row>
    <row r="4" spans="1:27" ht="21" customHeight="1" x14ac:dyDescent="0.15">
      <c r="A4" s="16" t="str">
        <f t="shared" si="0"/>
        <v>48013_1-4/8122&lt;lv60&gt;sq2st2</v>
      </c>
      <c r="B4" s="22">
        <v>48013</v>
      </c>
      <c r="C4" s="21">
        <v>1</v>
      </c>
      <c r="D4" s="2" t="str">
        <f t="shared" si="1"/>
        <v>48013_1</v>
      </c>
      <c r="E4" s="4" t="str">
        <f ca="1">VLOOKUP($B4,OFFSET([2]quests!$A$1,0,0,COUNTA([2]quests!$A:$A),MATCH(E$1,[2]quests!$1:$1,0)-MATCH($B$1,[2]quests!$1:$1,0)+1),MATCH(E$1,[2]quests!$1:$1,0)-MATCH($B$1,[2]quests!$1:$1,0)+1,FALSE)</f>
        <v>法海襲来！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【超絶級】法海襲来</v>
      </c>
      <c r="G4" s="21">
        <v>4</v>
      </c>
      <c r="H4" s="15" t="str">
        <f t="shared" si="2"/>
        <v>48013_1-4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2</v>
      </c>
      <c r="M4" s="20">
        <v>8122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法海★６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5">
        <v>3.6</v>
      </c>
      <c r="U4" s="98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5">
        <v>0.8</v>
      </c>
      <c r="W4" s="98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※表示しません</v>
      </c>
      <c r="Z4" s="234">
        <v>48013012</v>
      </c>
      <c r="AA4" s="100">
        <v>1</v>
      </c>
    </row>
    <row r="5" spans="1:27" ht="21" customHeight="1" thickBot="1" x14ac:dyDescent="0.2">
      <c r="A5" s="113" t="str">
        <f t="shared" si="0"/>
        <v>48013_1-4/8122&lt;lv60&gt;sq2st3</v>
      </c>
      <c r="B5" s="114">
        <v>48013</v>
      </c>
      <c r="C5" s="115">
        <v>1</v>
      </c>
      <c r="D5" s="116" t="str">
        <f t="shared" si="1"/>
        <v>48013_1</v>
      </c>
      <c r="E5" s="117" t="str">
        <f ca="1">VLOOKUP($B5,OFFSET([2]quests!$A$1,0,0,COUNTA([2]quests!$A:$A),MATCH(E$1,[2]quests!$1:$1,0)-MATCH($B$1,[2]quests!$1:$1,0)+1),MATCH(E$1,[2]quests!$1:$1,0)-MATCH($B$1,[2]quests!$1:$1,0)+1,FALSE)</f>
        <v>法海襲来！</v>
      </c>
      <c r="F5" s="117" t="str">
        <f ca="1">VLOOKUP($D5,OFFSET([2]stages!$A$1,0,0,COUNTA([2]stages!$A:$A),MATCH(F$1,[2]stages!$2:$2,0)-MATCH($D$1,[2]stages!$2:$2,0)+1),MATCH(F$1,[2]stages!$2:$2,0)-MATCH($D$1,[2]stages!$2:$2,0)+1,FALSE)</f>
        <v>【超絶級】法海襲来</v>
      </c>
      <c r="G5" s="115">
        <v>4</v>
      </c>
      <c r="H5" s="116" t="str">
        <f t="shared" si="2"/>
        <v>48013_1-4</v>
      </c>
      <c r="I5" s="117">
        <f ca="1">VLOOKUP($H5,OFFSET(floors!$A$1,0,0,COUNTA(floors!$A:$A),MATCH(I$1,floors!$1:$1,0)-MATCH($H$1,floors!$1:$1,0)+1),MATCH(I$1,floors!$1:$1,0)-MATCH($H$1,floors!$1:$1,0)+1,FALSE)</f>
        <v>60</v>
      </c>
      <c r="J5" s="117">
        <f ca="1">VLOOKUP($H5,OFFSET(floors!$A$1,0,0,COUNTA(floors!$A:$A),MATCH(J$1,floors!$1:$1,0)-MATCH($H$1,floors!$1:$1,0)+1),MATCH(J$1,floors!$1:$1,0)-MATCH($H$1,floors!$1:$1,0)+1,FALSE)</f>
        <v>60</v>
      </c>
      <c r="K5" s="118">
        <v>2</v>
      </c>
      <c r="L5" s="118">
        <v>3</v>
      </c>
      <c r="M5" s="119">
        <v>8122</v>
      </c>
      <c r="N5" s="120" t="str">
        <f ca="1">VLOOKUP($M5,OFFSET([3]enemies!$A$1,0,0,COUNTA([3]enemies!$A:$A),MATCH(N$1,[3]enemies!$1:$1,0)-MATCH($M$1,[3]enemies!$1:$1,0)+1),MATCH(N$1,[3]enemies!$1:$1,0)-MATCH($M$1,[3]enemies!$1:$1,0)+1,FALSE)</f>
        <v>法海★６</v>
      </c>
      <c r="O5" s="120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20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20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20">
        <f ca="1">VLOOKUP($M5,OFFSET([3]enemies!$A$1,0,0,COUNTA([3]enemies!$A:$A),MATCH(R$1,[3]enemies!$1:$1,0)-MATCH($M$1,[3]enemies!$1:$1,0)+1),MATCH(R$1,[3]enemies!$1:$1,0)-MATCH($M$1,[3]enemies!$1:$1,0)+1,FALSE)</f>
        <v>60</v>
      </c>
      <c r="S5" s="121">
        <v>60</v>
      </c>
      <c r="T5" s="25">
        <v>4.5</v>
      </c>
      <c r="U5" s="12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25">
        <v>0.9</v>
      </c>
      <c r="W5" s="12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121">
        <v>0</v>
      </c>
      <c r="Y5" s="117" t="str">
        <f ca="1">VLOOKUP($Z5,OFFSET(enemy_skill_sets!$B$1,0,0,COUNTA(enemy_skill_sets!$B:$B),MATCH(N$1,enemy_skill_sets!$1:$1,0)-MATCH($Z$1,enemy_skill_sets!$1:$1,0)+2),MATCH(N$1,enemy_skill_sets!$1:$1,0)-MATCH($Z$1,enemy_skill_sets!$1:$1,0)+2,FALSE)</f>
        <v>※表示しません</v>
      </c>
      <c r="Z5" s="235">
        <v>48013013</v>
      </c>
      <c r="AA5" s="132">
        <v>1</v>
      </c>
    </row>
    <row r="6" spans="1:27" ht="21" customHeight="1" x14ac:dyDescent="0.15">
      <c r="A6" s="16" t="str">
        <f t="shared" si="0"/>
        <v>48013_2-3/827&lt;lv80&gt;sq1st2</v>
      </c>
      <c r="B6" s="22">
        <v>48013</v>
      </c>
      <c r="C6" s="101">
        <v>2</v>
      </c>
      <c r="D6" s="102" t="str">
        <f t="shared" si="1"/>
        <v>48013_2</v>
      </c>
      <c r="E6" s="4" t="str">
        <f ca="1">VLOOKUP($B6,OFFSET([2]quests!$A$1,0,0,COUNTA([2]quests!$A:$A),MATCH(E$1,[2]quests!$1:$1,0)-MATCH($B$1,[2]quests!$1:$1,0)+1),MATCH(E$1,[2]quests!$1:$1,0)-MATCH($B$1,[2]quests!$1:$1,0)+1,FALSE)</f>
        <v>法海襲来！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【ウィザード級】法海襲来</v>
      </c>
      <c r="G6" s="101">
        <v>3</v>
      </c>
      <c r="H6" s="102" t="str">
        <f t="shared" si="2"/>
        <v>48013_2-3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103">
        <v>1</v>
      </c>
      <c r="L6" s="103">
        <v>2</v>
      </c>
      <c r="M6" s="104">
        <v>827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光神しき彩雲龍 アルフヘイム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PremiumSS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dragon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105">
        <v>80</v>
      </c>
      <c r="T6" s="106">
        <v>2</v>
      </c>
      <c r="U6" s="107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312292</v>
      </c>
      <c r="V6" s="106">
        <v>0.6</v>
      </c>
      <c r="W6" s="107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7890.5999999999995</v>
      </c>
      <c r="X6" s="10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3ターン種族ドラゴンの攻撃力50%UP</v>
      </c>
      <c r="Z6" s="172">
        <v>48013006</v>
      </c>
      <c r="AA6" s="131">
        <v>1</v>
      </c>
    </row>
    <row r="7" spans="1:27" ht="21" customHeight="1" x14ac:dyDescent="0.15">
      <c r="A7" s="16" t="str">
        <f t="shared" ref="A7" si="6">B7&amp;"_"&amp;C7&amp;"-"&amp;G7&amp;"/"&amp;M7&amp;"&lt;lv"&amp;S7&amp;"&gt;sq"&amp;K7&amp;"st"&amp;L7</f>
        <v>48013_2-3/827&lt;lv80&gt;sq1st3</v>
      </c>
      <c r="B7" s="22">
        <v>48013</v>
      </c>
      <c r="C7" s="101">
        <v>2</v>
      </c>
      <c r="D7" s="102" t="str">
        <f t="shared" ref="D7" si="7">B7&amp;"_"&amp;C7</f>
        <v>48013_2</v>
      </c>
      <c r="E7" s="4" t="str">
        <f ca="1">VLOOKUP($B7,OFFSET([2]quests!$A$1,0,0,COUNTA([2]quests!$A:$A),MATCH(E$1,[2]quests!$1:$1,0)-MATCH($B$1,[2]quests!$1:$1,0)+1),MATCH(E$1,[2]quests!$1:$1,0)-MATCH($B$1,[2]quests!$1:$1,0)+1,FALSE)</f>
        <v>法海襲来！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【ウィザード級】法海襲来</v>
      </c>
      <c r="G7" s="101">
        <v>3</v>
      </c>
      <c r="H7" s="102" t="str">
        <f t="shared" ref="H7" si="8">B7&amp;"_"&amp;C7&amp;"-"&amp;G7</f>
        <v>48013_2-3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103">
        <v>1</v>
      </c>
      <c r="L7" s="103">
        <v>3</v>
      </c>
      <c r="M7" s="104">
        <v>827</v>
      </c>
      <c r="N7" s="17" t="str">
        <f ca="1">VLOOKUP($M7,OFFSET([3]enemies!$A$1,0,0,COUNTA([3]enemies!$A:$A),MATCH(N$1,[3]enemies!$1:$1,0)-MATCH($M$1,[3]enemies!$1:$1,0)+1),MATCH(N$1,[3]enemies!$1:$1,0)-MATCH($M$1,[3]enemies!$1:$1,0)+1,FALSE)</f>
        <v>光神しき彩雲龍 アルフヘイム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PremiumSS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dragon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105">
        <v>80</v>
      </c>
      <c r="T7" s="106">
        <v>2</v>
      </c>
      <c r="U7" s="107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312292</v>
      </c>
      <c r="V7" s="106">
        <v>0.6</v>
      </c>
      <c r="W7" s="107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7890.5999999999995</v>
      </c>
      <c r="X7" s="105">
        <v>0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※表示しません</v>
      </c>
      <c r="Z7" s="172">
        <v>48013007</v>
      </c>
      <c r="AA7" s="131">
        <v>1</v>
      </c>
    </row>
    <row r="8" spans="1:27" ht="21" customHeight="1" x14ac:dyDescent="0.15">
      <c r="A8" s="16" t="str">
        <f t="shared" si="0"/>
        <v>48013_2-4/8122&lt;lv80&gt;sq2st2</v>
      </c>
      <c r="B8" s="22">
        <v>48013</v>
      </c>
      <c r="C8" s="21">
        <v>2</v>
      </c>
      <c r="D8" s="2" t="str">
        <f t="shared" si="1"/>
        <v>48013_2</v>
      </c>
      <c r="E8" s="4" t="str">
        <f ca="1">VLOOKUP($B8,OFFSET([2]quests!$A$1,0,0,COUNTA([2]quests!$A:$A),MATCH(E$1,[2]quests!$1:$1,0)-MATCH($B$1,[2]quests!$1:$1,0)+1),MATCH(E$1,[2]quests!$1:$1,0)-MATCH($B$1,[2]quests!$1:$1,0)+1,FALSE)</f>
        <v>法海襲来！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【ウィザード級】法海襲来</v>
      </c>
      <c r="G8" s="21">
        <v>4</v>
      </c>
      <c r="H8" s="15" t="str">
        <f t="shared" si="2"/>
        <v>48013_2-4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2</v>
      </c>
      <c r="L8" s="38">
        <v>2</v>
      </c>
      <c r="M8" s="20">
        <v>8122</v>
      </c>
      <c r="N8" s="17" t="str">
        <f ca="1">VLOOKUP($M8,OFFSET([3]enemies!$A$1,0,0,COUNTA([3]enemies!$A:$A),MATCH(N$1,[3]enemies!$1:$1,0)-MATCH($M$1,[3]enemies!$1:$1,0)+1),MATCH(N$1,[3]enemies!$1:$1,0)-MATCH($M$1,[3]enemies!$1:$1,0)+1,FALSE)</f>
        <v>法海★６</v>
      </c>
      <c r="O8" s="17" t="str">
        <f ca="1">VLOOKUP($M8,OFFSET([3]enemies!$A$1,0,0,COUNTA([3]enemies!$A:$A),MATCH(O$1,[3]enemies!$1:$1,0)-MATCH($M$1,[3]enemies!$1:$1,0)+1),MATCH(O$1,[3]enemies!$1:$1,0)-MATCH($M$1,[3]enemies!$1:$1,0)+1,FALSE)</f>
        <v>yellow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80</v>
      </c>
      <c r="T8" s="25">
        <v>3.6</v>
      </c>
      <c r="U8" s="98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0</v>
      </c>
      <c r="V8" s="25">
        <v>0.8</v>
      </c>
      <c r="W8" s="98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0</v>
      </c>
      <c r="X8" s="5">
        <v>0</v>
      </c>
      <c r="Y8" s="4" t="str">
        <f ca="1">VLOOKUP($Z8,OFFSET(enemy_skill_sets!$B$1,0,0,COUNTA(enemy_skill_sets!$B:$B),MATCH(N$1,enemy_skill_sets!$1:$1,0)-MATCH($Z$1,enemy_skill_sets!$1:$1,0)+2),MATCH(N$1,enemy_skill_sets!$1:$1,0)-MATCH($Z$1,enemy_skill_sets!$1:$1,0)+2,FALSE)</f>
        <v>※表示しません</v>
      </c>
      <c r="Z8" s="133">
        <v>48013009</v>
      </c>
      <c r="AA8" s="100">
        <v>1</v>
      </c>
    </row>
    <row r="9" spans="1:27" ht="21" customHeight="1" x14ac:dyDescent="0.15">
      <c r="A9" s="16" t="str">
        <f t="shared" si="0"/>
        <v>48013_2-4/8122&lt;lv80&gt;sq2st3</v>
      </c>
      <c r="B9" s="22">
        <v>48013</v>
      </c>
      <c r="C9" s="21">
        <v>2</v>
      </c>
      <c r="D9" s="2" t="str">
        <f t="shared" si="1"/>
        <v>48013_2</v>
      </c>
      <c r="E9" s="4" t="str">
        <f ca="1">VLOOKUP($B9,OFFSET([2]quests!$A$1,0,0,COUNTA([2]quests!$A:$A),MATCH(E$1,[2]quests!$1:$1,0)-MATCH($B$1,[2]quests!$1:$1,0)+1),MATCH(E$1,[2]quests!$1:$1,0)-MATCH($B$1,[2]quests!$1:$1,0)+1,FALSE)</f>
        <v>法海襲来！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【ウィザード級】法海襲来</v>
      </c>
      <c r="G9" s="21">
        <v>4</v>
      </c>
      <c r="H9" s="15" t="str">
        <f t="shared" si="2"/>
        <v>48013_2-4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38">
        <v>3</v>
      </c>
      <c r="M9" s="20">
        <v>8122</v>
      </c>
      <c r="N9" s="17" t="str">
        <f ca="1">VLOOKUP($M9,OFFSET([3]enemies!$A$1,0,0,COUNTA([3]enemies!$A:$A),MATCH(N$1,[3]enemies!$1:$1,0)-MATCH($M$1,[3]enemies!$1:$1,0)+1),MATCH(N$1,[3]enemies!$1:$1,0)-MATCH($M$1,[3]enemies!$1:$1,0)+1,FALSE)</f>
        <v>法海★６</v>
      </c>
      <c r="O9" s="17" t="str">
        <f ca="1">VLOOKUP($M9,OFFSET([3]enemies!$A$1,0,0,COUNTA([3]enemies!$A:$A),MATCH(O$1,[3]enemies!$1:$1,0)-MATCH($M$1,[3]enemies!$1:$1,0)+1),MATCH(O$1,[3]enemies!$1:$1,0)-MATCH($M$1,[3]enemies!$1:$1,0)+1,FALSE)</f>
        <v>yellow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80</v>
      </c>
      <c r="T9" s="25">
        <v>4.5</v>
      </c>
      <c r="U9" s="98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0</v>
      </c>
      <c r="V9" s="25">
        <v>0.9</v>
      </c>
      <c r="W9" s="98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0</v>
      </c>
      <c r="X9" s="5">
        <v>0</v>
      </c>
      <c r="Y9" s="4" t="str">
        <f ca="1">VLOOKUP($Z9,OFFSET(enemy_skill_sets!$B$1,0,0,COUNTA(enemy_skill_sets!$B:$B),MATCH(N$1,enemy_skill_sets!$1:$1,0)-MATCH($Z$1,enemy_skill_sets!$1:$1,0)+2),MATCH(N$1,enemy_skill_sets!$1:$1,0)-MATCH($Z$1,enemy_skill_sets!$1:$1,0)+2,FALSE)</f>
        <v>※表示しません</v>
      </c>
      <c r="Z9" s="133">
        <v>48013010</v>
      </c>
      <c r="AA9" s="100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67"/>
  <sheetViews>
    <sheetView showGridLines="0" tabSelected="1" workbookViewId="0">
      <pane ySplit="1" topLeftCell="A2" activePane="bottomLeft" state="frozenSplit"/>
      <selection pane="bottomLeft" activeCell="B29" sqref="B29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4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hidden="1" customWidth="1" collapsed="1"/>
    <col min="13" max="18" width="23.6640625" style="49" hidden="1" customWidth="1" outlineLevel="1"/>
    <col min="19" max="19" width="23.6640625" style="49" hidden="1" customWidth="1"/>
    <col min="20" max="24" width="23.6640625" style="49" hidden="1" customWidth="1" outlineLevel="1"/>
    <col min="25" max="25" width="23.6640625" style="49" hidden="1" customWidth="1"/>
    <col min="26" max="27" width="12.83203125" style="49"/>
    <col min="28" max="28" width="44.5" style="49" customWidth="1"/>
    <col min="29" max="16384" width="12.83203125" style="49"/>
  </cols>
  <sheetData>
    <row r="1" spans="1:30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30" s="137" customFormat="1" ht="42" customHeight="1" x14ac:dyDescent="0.15">
      <c r="A2" s="133">
        <v>48013001</v>
      </c>
      <c r="B2" s="133" t="s">
        <v>416</v>
      </c>
      <c r="C2" s="134">
        <v>1</v>
      </c>
      <c r="D2" s="134" t="s">
        <v>127</v>
      </c>
      <c r="E2" s="135" t="s">
        <v>382</v>
      </c>
      <c r="F2" s="135" t="s">
        <v>493</v>
      </c>
      <c r="G2" s="135" t="str">
        <f>IFERROR(LEFT(B2,FIND("],",B2)),B2)</f>
        <v>[effect:enemy_message, val1:2.3, val2:1.2]</v>
      </c>
      <c r="H2" s="135">
        <f>FIND("effect:",G2)+7</f>
        <v>9</v>
      </c>
      <c r="I2" s="135">
        <f>IFERROR(FIND(",",G2),LEN(G2))</f>
        <v>22</v>
      </c>
      <c r="J2" s="135" t="e">
        <f>FIND("target:",G2)+7</f>
        <v>#VALUE!</v>
      </c>
      <c r="K2" s="135">
        <f>FIND(",",G2,I2+1)</f>
        <v>32</v>
      </c>
      <c r="L2" s="135" t="str">
        <f>IFERROR(VLOOKUP(MID(G2,J2,K2-J2),[5]skilldef!$C:$D,2,FALSE),"-") &amp; " / " &amp; IFERROR(VLOOKUP(MID(G2,H2,I2-H2),[5]skilldef!$A:$B,2,FALSE),"-")</f>
        <v>- / -</v>
      </c>
      <c r="M2" s="135" t="str">
        <f>IFERROR(RIGHT(B2,LEN(B2)-FIND("],",B2)-1),"none")</f>
        <v>[effect:fix_speed, target:myself, turn:2],[effect:enhance_enemy, target:myself, turn:-1, status:defense, val:10000, calc:add, animation:enemy_enhance_defense]</v>
      </c>
      <c r="N2" s="133" t="str">
        <f>IFERROR(LEFT(M2,FIND("],",M2)+S12),M2)</f>
        <v>[effect:fix_speed, target:myself, turn:2],[effect:enhance_enemy, target:myself, turn:-1, status:defense, val:10000, calc:add, animation:enemy_enhance_defense]</v>
      </c>
      <c r="O2" s="135">
        <f>FIND("effect:",N2)+7</f>
        <v>9</v>
      </c>
      <c r="P2" s="135">
        <f>IFERROR(FIND(",",N2),LEN(N2))</f>
        <v>18</v>
      </c>
      <c r="Q2" s="135">
        <f>FIND("target:",N2)+7</f>
        <v>27</v>
      </c>
      <c r="R2" s="135">
        <f>FIND(",",N2,P2+1)</f>
        <v>33</v>
      </c>
      <c r="S2" s="135" t="str">
        <f>IFERROR(VLOOKUP(MID(N2,Q2,R2-Q2),[5]skilldef!$C:$D,2,FALSE),"-") &amp; " / " &amp; IFERROR(VLOOKUP(MID(N2,O2,P2-O2),[5]skilldef!$A:$B,2,FALSE),"-")</f>
        <v>自分自身に / 行動値設定</v>
      </c>
      <c r="T2" s="133" t="str">
        <f>IFERROR(RIGHT(M2,LEN(M2)-FIND("],",M2)-1),"none")</f>
        <v>[effect:enhance_enemy, target:myself, turn:-1, status:defense, val:10000, calc:add, animation:enemy_enhance_defense]</v>
      </c>
      <c r="U2" s="135">
        <f>FIND("effect:",T2)+7</f>
        <v>9</v>
      </c>
      <c r="V2" s="135">
        <f>IFERROR(FIND(",",T2),LEN(T2))</f>
        <v>22</v>
      </c>
      <c r="W2" s="135">
        <f>FIND("target:",T2)+7</f>
        <v>31</v>
      </c>
      <c r="X2" s="135">
        <f>FIND(",",T2,V2+1)</f>
        <v>37</v>
      </c>
      <c r="Y2" s="135" t="str">
        <f>IFERROR(VLOOKUP(MID(T2,W2,X2-W2),[5]skilldef!$C:$D,2,FALSE),"-") &amp; " / " &amp; IFERROR(VLOOKUP(MID(T2,U2,V2-U2),[5]skilldef!$A:$B,2,FALSE),"-")</f>
        <v>自分自身に / ステータス強化</v>
      </c>
      <c r="Z2" s="134"/>
      <c r="AA2" s="136"/>
      <c r="AB2" s="134"/>
      <c r="AC2" s="49">
        <f>LEN(E2)</f>
        <v>23</v>
      </c>
      <c r="AD2" s="49">
        <f>LEN(F2)</f>
        <v>10</v>
      </c>
    </row>
    <row r="3" spans="1:30" s="137" customFormat="1" ht="21" customHeight="1" x14ac:dyDescent="0.15">
      <c r="A3" s="133">
        <v>48013002</v>
      </c>
      <c r="B3" s="133" t="s">
        <v>267</v>
      </c>
      <c r="C3" s="134">
        <v>1</v>
      </c>
      <c r="D3" s="134" t="s">
        <v>127</v>
      </c>
      <c r="E3" s="135" t="s">
        <v>393</v>
      </c>
      <c r="F3" s="135" t="s">
        <v>258</v>
      </c>
      <c r="G3" s="135" t="str">
        <f t="shared" ref="G3:G34" si="0">IFERROR(LEFT(B3,FIND("],",B3)),B3)</f>
        <v>[effect:enemy_message, val1:1.2, val2:1.2]</v>
      </c>
      <c r="H3" s="135">
        <f t="shared" ref="H3:H34" si="1">FIND("effect:",G3)+7</f>
        <v>9</v>
      </c>
      <c r="I3" s="135">
        <f t="shared" ref="I3:I34" si="2">IFERROR(FIND(",",G3),LEN(G3))</f>
        <v>22</v>
      </c>
      <c r="J3" s="135" t="e">
        <f t="shared" ref="J3:J34" si="3">FIND("target:",G3)+7</f>
        <v>#VALUE!</v>
      </c>
      <c r="K3" s="135">
        <f t="shared" ref="K3:K34" si="4">FIND(",",G3,I3+1)</f>
        <v>32</v>
      </c>
      <c r="L3" s="135" t="str">
        <f>IFERROR(VLOOKUP(MID(G3,J3,K3-J3),[5]skilldef!$C:$D,2,FALSE),"-") &amp; " / " &amp; IFERROR(VLOOKUP(MID(G3,H3,I3-H3),[5]skilldef!$A:$B,2,FALSE),"-")</f>
        <v>- / -</v>
      </c>
      <c r="M3" s="135" t="str">
        <f t="shared" ref="M3:M34" si="5">IFERROR(RIGHT(B3,LEN(B3)-FIND("],",B3)-1),"none")</f>
        <v>[effect:rush, count:2, val:1]</v>
      </c>
      <c r="N3" s="133" t="str">
        <f t="shared" ref="N3:N4" si="6">IFERROR(LEFT(M3,FIND("],",M3)+S17),M3)</f>
        <v>[effect:rush, count:2, val:1]</v>
      </c>
      <c r="O3" s="135">
        <f t="shared" ref="O3:O34" si="7">FIND("effect:",N3)+7</f>
        <v>9</v>
      </c>
      <c r="P3" s="135">
        <f t="shared" ref="P3:P34" si="8">IFERROR(FIND(",",N3),LEN(N3))</f>
        <v>13</v>
      </c>
      <c r="Q3" s="135" t="e">
        <f t="shared" ref="Q3:Q34" si="9">FIND("target:",N3)+7</f>
        <v>#VALUE!</v>
      </c>
      <c r="R3" s="135">
        <f t="shared" ref="R3:R34" si="10">FIND(",",N3,P3+1)</f>
        <v>22</v>
      </c>
      <c r="S3" s="135" t="str">
        <f>IFERROR(VLOOKUP(MID(N3,Q3,R3-Q3),[5]skilldef!$C:$D,2,FALSE),"-") &amp; " / " &amp; IFERROR(VLOOKUP(MID(N3,O3,P3-O3),[5]skilldef!$A:$B,2,FALSE),"-")</f>
        <v>- / 連続攻撃</v>
      </c>
      <c r="T3" s="133" t="str">
        <f t="shared" ref="T3:T34" si="11">IFERROR(RIGHT(M3,LEN(M3)-FIND("],",M3)-1),"none")</f>
        <v>none</v>
      </c>
      <c r="U3" s="135" t="e">
        <f t="shared" ref="U3:U34" si="12">FIND("effect:",T3)+7</f>
        <v>#VALUE!</v>
      </c>
      <c r="V3" s="135">
        <f t="shared" ref="V3:V34" si="13">IFERROR(FIND(",",T3),LEN(T3))</f>
        <v>4</v>
      </c>
      <c r="W3" s="135" t="e">
        <f t="shared" ref="W3:W34" si="14">FIND("target:",T3)+7</f>
        <v>#VALUE!</v>
      </c>
      <c r="X3" s="135" t="e">
        <f t="shared" ref="X3:X34" si="15">FIND(",",T3,V3+1)</f>
        <v>#VALUE!</v>
      </c>
      <c r="Y3" s="135" t="str">
        <f>IFERROR(VLOOKUP(MID(T3,W3,X3-W3),[5]skilldef!$C:$D,2,FALSE),"-") &amp; " / " &amp; IFERROR(VLOOKUP(MID(T3,U3,V3-U3),[5]skilldef!$A:$B,2,FALSE),"-")</f>
        <v>- / -</v>
      </c>
      <c r="Z3" s="134"/>
      <c r="AA3" s="136"/>
      <c r="AB3" s="134"/>
      <c r="AC3" s="49">
        <f t="shared" ref="AC3:AC63" si="16">LEN(E3)</f>
        <v>5</v>
      </c>
      <c r="AD3" s="49">
        <f t="shared" ref="AD3:AD63" si="17">LEN(F3)</f>
        <v>6</v>
      </c>
    </row>
    <row r="4" spans="1:30" s="137" customFormat="1" ht="21" customHeight="1" x14ac:dyDescent="0.15">
      <c r="A4" s="133">
        <v>48013003</v>
      </c>
      <c r="B4" s="133" t="s">
        <v>344</v>
      </c>
      <c r="C4" s="134">
        <v>1</v>
      </c>
      <c r="D4" s="134" t="s">
        <v>127</v>
      </c>
      <c r="E4" s="135" t="s">
        <v>394</v>
      </c>
      <c r="F4" s="135" t="s">
        <v>260</v>
      </c>
      <c r="G4" s="135" t="str">
        <f t="shared" si="0"/>
        <v>[effect:enemy_message, val1:1.2, val2:1.2]</v>
      </c>
      <c r="H4" s="135">
        <f t="shared" si="1"/>
        <v>9</v>
      </c>
      <c r="I4" s="135">
        <f t="shared" si="2"/>
        <v>22</v>
      </c>
      <c r="J4" s="135" t="e">
        <f t="shared" si="3"/>
        <v>#VALUE!</v>
      </c>
      <c r="K4" s="135">
        <f t="shared" si="4"/>
        <v>32</v>
      </c>
      <c r="L4" s="135" t="str">
        <f>IFERROR(VLOOKUP(MID(G4,J4,K4-J4),[5]skilldef!$C:$D,2,FALSE),"-") &amp; " / " &amp; IFERROR(VLOOKUP(MID(G4,H4,I4-H4),[5]skilldef!$A:$B,2,FALSE),"-")</f>
        <v>- / -</v>
      </c>
      <c r="M4" s="135" t="str">
        <f t="shared" si="5"/>
        <v>[effect:guard_break, target:myself, turn:1, val:1, calc:add, animation:guard_break01]</v>
      </c>
      <c r="N4" s="133" t="str">
        <f t="shared" si="6"/>
        <v>[effect:guard_break, target:myself, turn:1, val:1, calc:add, animation:guard_break01]</v>
      </c>
      <c r="O4" s="135">
        <f t="shared" si="7"/>
        <v>9</v>
      </c>
      <c r="P4" s="135">
        <f t="shared" si="8"/>
        <v>20</v>
      </c>
      <c r="Q4" s="135">
        <f t="shared" si="9"/>
        <v>29</v>
      </c>
      <c r="R4" s="135">
        <f t="shared" si="10"/>
        <v>35</v>
      </c>
      <c r="S4" s="135" t="str">
        <f>IFERROR(VLOOKUP(MID(N4,Q4,R4-Q4),[5]skilldef!$C:$D,2,FALSE),"-") &amp; " / " &amp; IFERROR(VLOOKUP(MID(N4,O4,P4-O4),[5]skilldef!$A:$B,2,FALSE),"-")</f>
        <v>自分自身に / -</v>
      </c>
      <c r="T4" s="133" t="str">
        <f t="shared" si="11"/>
        <v>none</v>
      </c>
      <c r="U4" s="135" t="e">
        <f t="shared" si="12"/>
        <v>#VALUE!</v>
      </c>
      <c r="V4" s="135">
        <f t="shared" si="13"/>
        <v>4</v>
      </c>
      <c r="W4" s="135" t="e">
        <f t="shared" si="14"/>
        <v>#VALUE!</v>
      </c>
      <c r="X4" s="135" t="e">
        <f t="shared" si="15"/>
        <v>#VALUE!</v>
      </c>
      <c r="Y4" s="135" t="str">
        <f>IFERROR(VLOOKUP(MID(T4,W4,X4-W4),[5]skilldef!$C:$D,2,FALSE),"-") &amp; " / " &amp; IFERROR(VLOOKUP(MID(T4,U4,V4-U4),[5]skilldef!$A:$B,2,FALSE),"-")</f>
        <v>- / -</v>
      </c>
      <c r="Z4" s="134"/>
      <c r="AA4" s="136"/>
      <c r="AB4" s="134"/>
      <c r="AC4" s="49">
        <f t="shared" si="16"/>
        <v>7</v>
      </c>
      <c r="AD4" s="49">
        <f t="shared" si="17"/>
        <v>10</v>
      </c>
    </row>
    <row r="5" spans="1:30" s="142" customFormat="1" ht="21" customHeight="1" x14ac:dyDescent="0.15">
      <c r="A5" s="138">
        <v>48013004</v>
      </c>
      <c r="B5" s="138" t="s">
        <v>499</v>
      </c>
      <c r="C5" s="139">
        <v>1</v>
      </c>
      <c r="D5" s="139" t="s">
        <v>127</v>
      </c>
      <c r="E5" s="140" t="s">
        <v>412</v>
      </c>
      <c r="F5" s="140" t="s">
        <v>498</v>
      </c>
      <c r="G5" s="140" t="str">
        <f t="shared" si="0"/>
        <v>[effect:enemy_message, val1:1.2, val2:2.6]</v>
      </c>
      <c r="H5" s="140">
        <f t="shared" si="1"/>
        <v>9</v>
      </c>
      <c r="I5" s="140">
        <f t="shared" si="2"/>
        <v>22</v>
      </c>
      <c r="J5" s="140" t="e">
        <f t="shared" si="3"/>
        <v>#VALUE!</v>
      </c>
      <c r="K5" s="140">
        <f t="shared" si="4"/>
        <v>32</v>
      </c>
      <c r="L5" s="140" t="str">
        <f>IFERROR(VLOOKUP(MID(G5,J5,K5-J5),[5]skilldef!$C:$D,2,FALSE),"-") &amp; " / " &amp; IFERROR(VLOOKUP(MID(G5,H5,I5-H5),[5]skilldef!$A:$B,2,FALSE),"-")</f>
        <v>- / -</v>
      </c>
      <c r="M5" s="140" t="str">
        <f t="shared" si="5"/>
        <v>[effect:fix_speed, target:myself, turn:1],[effect:critical, val:1.2, animation:enemy_critical],[effect:force_change_block, new_block:jammer, target:normal, count:1, val:0, animation:change_block]</v>
      </c>
      <c r="N5" s="138" t="str">
        <f>IFERROR(LEFT(M5,FIND("],",M5)+S21),M5)</f>
        <v>[effect:fix_speed, target:myself, turn:1],[effect:critical, val:1.2, animation:enemy_critical],[effect:force_change_block, new_block:jammer, target:normal, count:1, val:0, animation:change_block]</v>
      </c>
      <c r="O5" s="140">
        <f t="shared" si="7"/>
        <v>9</v>
      </c>
      <c r="P5" s="140">
        <f t="shared" si="8"/>
        <v>18</v>
      </c>
      <c r="Q5" s="140">
        <f t="shared" si="9"/>
        <v>27</v>
      </c>
      <c r="R5" s="140">
        <f t="shared" si="10"/>
        <v>33</v>
      </c>
      <c r="S5" s="140" t="str">
        <f>IFERROR(VLOOKUP(MID(N5,Q5,R5-Q5),[5]skilldef!$C:$D,2,FALSE),"-") &amp; " / " &amp; IFERROR(VLOOKUP(MID(N5,O5,P5-O5),[5]skilldef!$A:$B,2,FALSE),"-")</f>
        <v>自分自身に / 行動値設定</v>
      </c>
      <c r="T5" s="138" t="str">
        <f t="shared" si="11"/>
        <v>[effect:critical, val:1.2, animation:enemy_critical],[effect:force_change_block, new_block:jammer, target:normal, count:1, val:0, animation:change_block]</v>
      </c>
      <c r="U5" s="140">
        <f t="shared" si="12"/>
        <v>9</v>
      </c>
      <c r="V5" s="140">
        <f t="shared" si="13"/>
        <v>17</v>
      </c>
      <c r="W5" s="140">
        <f t="shared" si="14"/>
        <v>107</v>
      </c>
      <c r="X5" s="140">
        <f t="shared" si="15"/>
        <v>26</v>
      </c>
      <c r="Y5" s="140" t="str">
        <f>IFERROR(VLOOKUP(MID(T5,W5,X5-W5),[5]skilldef!$C:$D,2,FALSE),"-") &amp; " / " &amp; IFERROR(VLOOKUP(MID(T5,U5,V5-U5),[5]skilldef!$A:$B,2,FALSE),"-")</f>
        <v>- / 大攻撃</v>
      </c>
      <c r="Z5" s="139"/>
      <c r="AA5" s="141"/>
      <c r="AB5" s="139"/>
      <c r="AC5" s="49">
        <f t="shared" si="16"/>
        <v>4</v>
      </c>
      <c r="AD5" s="49">
        <f t="shared" si="17"/>
        <v>26</v>
      </c>
    </row>
    <row r="6" spans="1:30" s="147" customFormat="1" ht="21" customHeight="1" x14ac:dyDescent="0.15">
      <c r="A6" s="143">
        <v>48013005</v>
      </c>
      <c r="B6" s="143" t="s">
        <v>501</v>
      </c>
      <c r="C6" s="144">
        <v>1</v>
      </c>
      <c r="D6" s="144" t="s">
        <v>127</v>
      </c>
      <c r="E6" s="145" t="s">
        <v>383</v>
      </c>
      <c r="F6" s="200" t="s">
        <v>500</v>
      </c>
      <c r="G6" s="145" t="str">
        <f t="shared" si="0"/>
        <v>[effect:enemy_message, val1:2.4, val2:1.7]</v>
      </c>
      <c r="H6" s="145">
        <f t="shared" si="1"/>
        <v>9</v>
      </c>
      <c r="I6" s="145">
        <f t="shared" si="2"/>
        <v>22</v>
      </c>
      <c r="J6" s="145" t="e">
        <f t="shared" si="3"/>
        <v>#VALUE!</v>
      </c>
      <c r="K6" s="145">
        <f t="shared" si="4"/>
        <v>32</v>
      </c>
      <c r="L6" s="145" t="str">
        <f>IFERROR(VLOOKUP(MID(G6,J6,K6-J6),[5]skilldef!$C:$D,2,FALSE),"-") &amp; " / " &amp; IFERROR(VLOOKUP(MID(G6,H6,I6-H6),[5]skilldef!$A:$B,2,FALSE),"-")</f>
        <v>- / -</v>
      </c>
      <c r="M6" s="145" t="str">
        <f t="shared" si="5"/>
        <v>[effect:fix_speed, target:myself, turn:2],[effect:force_change_block, new_block:jammer, target:normal, count:3, val:0, animation:change_block]</v>
      </c>
      <c r="N6" s="143" t="str">
        <f>IFERROR(LEFT(M6,FIND("],",M6)+S22),M6)</f>
        <v>[effect:fix_speed, target:myself, turn:2],[effect:force_change_block, new_block:jammer, target:normal, count:3, val:0, animation:change_block]</v>
      </c>
      <c r="O6" s="145">
        <f t="shared" si="7"/>
        <v>9</v>
      </c>
      <c r="P6" s="145">
        <f t="shared" si="8"/>
        <v>18</v>
      </c>
      <c r="Q6" s="145">
        <f t="shared" si="9"/>
        <v>27</v>
      </c>
      <c r="R6" s="145">
        <f t="shared" si="10"/>
        <v>33</v>
      </c>
      <c r="S6" s="145" t="str">
        <f>IFERROR(VLOOKUP(MID(N6,Q6,R6-Q6),[5]skilldef!$C:$D,2,FALSE),"-") &amp; " / " &amp; IFERROR(VLOOKUP(MID(N6,O6,P6-O6),[5]skilldef!$A:$B,2,FALSE),"-")</f>
        <v>自分自身に / 行動値設定</v>
      </c>
      <c r="T6" s="143" t="str">
        <f t="shared" si="11"/>
        <v>[effect:force_change_block, new_block:jammer, target:normal, count:3, val:0, animation:change_block]</v>
      </c>
      <c r="U6" s="145">
        <f t="shared" si="12"/>
        <v>9</v>
      </c>
      <c r="V6" s="145">
        <f t="shared" si="13"/>
        <v>27</v>
      </c>
      <c r="W6" s="145">
        <f t="shared" si="14"/>
        <v>54</v>
      </c>
      <c r="X6" s="145">
        <f t="shared" si="15"/>
        <v>45</v>
      </c>
      <c r="Y6" s="145" t="str">
        <f>IFERROR(VLOOKUP(MID(T6,W6,X6-W6),[5]skilldef!$C:$D,2,FALSE),"-") &amp; " / " &amp; IFERROR(VLOOKUP(MID(T6,U6,V6-U6),[5]skilldef!$A:$B,2,FALSE),"-")</f>
        <v>- / -</v>
      </c>
      <c r="Z6" s="144"/>
      <c r="AA6" s="146"/>
      <c r="AB6" s="144"/>
      <c r="AC6" s="49">
        <f t="shared" si="16"/>
        <v>24</v>
      </c>
      <c r="AD6" s="49">
        <f t="shared" si="17"/>
        <v>17</v>
      </c>
    </row>
    <row r="7" spans="1:30" s="147" customFormat="1" ht="21" customHeight="1" x14ac:dyDescent="0.15">
      <c r="A7" s="143">
        <v>48013006</v>
      </c>
      <c r="B7" s="143" t="s">
        <v>280</v>
      </c>
      <c r="C7" s="144">
        <v>1</v>
      </c>
      <c r="D7" s="144" t="s">
        <v>127</v>
      </c>
      <c r="E7" s="145" t="s">
        <v>413</v>
      </c>
      <c r="F7" s="145" t="s">
        <v>266</v>
      </c>
      <c r="G7" s="145" t="str">
        <f t="shared" si="0"/>
        <v>[effect:enemy_message, val1:1.2, val2:1.2]</v>
      </c>
      <c r="H7" s="145">
        <f t="shared" si="1"/>
        <v>9</v>
      </c>
      <c r="I7" s="145">
        <f t="shared" si="2"/>
        <v>22</v>
      </c>
      <c r="J7" s="145" t="e">
        <f t="shared" si="3"/>
        <v>#VALUE!</v>
      </c>
      <c r="K7" s="145">
        <f t="shared" si="4"/>
        <v>32</v>
      </c>
      <c r="L7" s="145" t="str">
        <f>IFERROR(VLOOKUP(MID(G7,J7,K7-J7),[5]skilldef!$C:$D,2,FALSE),"-") &amp; " / " &amp; IFERROR(VLOOKUP(MID(G7,H7,I7-H7),[5]skilldef!$A:$B,2,FALSE),"-")</f>
        <v>- / -</v>
      </c>
      <c r="M7" s="145" t="str">
        <f t="shared" si="5"/>
        <v>[effect:rush, count:3, val:1]</v>
      </c>
      <c r="N7" s="143" t="str">
        <f>IFERROR(LEFT(M7,FIND("],",M7)+S23),M7)</f>
        <v>[effect:rush, count:3, val:1]</v>
      </c>
      <c r="O7" s="145">
        <f t="shared" si="7"/>
        <v>9</v>
      </c>
      <c r="P7" s="145">
        <f t="shared" si="8"/>
        <v>13</v>
      </c>
      <c r="Q7" s="145" t="e">
        <f t="shared" si="9"/>
        <v>#VALUE!</v>
      </c>
      <c r="R7" s="145">
        <f t="shared" si="10"/>
        <v>22</v>
      </c>
      <c r="S7" s="145" t="str">
        <f>IFERROR(VLOOKUP(MID(N7,Q7,R7-Q7),[5]skilldef!$C:$D,2,FALSE),"-") &amp; " / " &amp; IFERROR(VLOOKUP(MID(N7,O7,P7-O7),[5]skilldef!$A:$B,2,FALSE),"-")</f>
        <v>- / 連続攻撃</v>
      </c>
      <c r="T7" s="143" t="str">
        <f t="shared" si="11"/>
        <v>none</v>
      </c>
      <c r="U7" s="145" t="e">
        <f t="shared" si="12"/>
        <v>#VALUE!</v>
      </c>
      <c r="V7" s="145">
        <f t="shared" si="13"/>
        <v>4</v>
      </c>
      <c r="W7" s="145" t="e">
        <f t="shared" si="14"/>
        <v>#VALUE!</v>
      </c>
      <c r="X7" s="145" t="e">
        <f t="shared" si="15"/>
        <v>#VALUE!</v>
      </c>
      <c r="Y7" s="145" t="str">
        <f>IFERROR(VLOOKUP(MID(T7,W7,X7-W7),[5]skilldef!$C:$D,2,FALSE),"-") &amp; " / " &amp; IFERROR(VLOOKUP(MID(T7,U7,V7-U7),[5]skilldef!$A:$B,2,FALSE),"-")</f>
        <v>- / -</v>
      </c>
      <c r="Z7" s="144"/>
      <c r="AA7" s="146"/>
      <c r="AB7" s="144"/>
      <c r="AC7" s="49">
        <f t="shared" si="16"/>
        <v>4</v>
      </c>
      <c r="AD7" s="49">
        <f t="shared" si="17"/>
        <v>6</v>
      </c>
    </row>
    <row r="8" spans="1:30" s="147" customFormat="1" ht="21" customHeight="1" x14ac:dyDescent="0.15">
      <c r="A8" s="143">
        <v>48013007</v>
      </c>
      <c r="B8" s="143" t="s">
        <v>268</v>
      </c>
      <c r="C8" s="144">
        <v>1</v>
      </c>
      <c r="D8" s="144" t="s">
        <v>127</v>
      </c>
      <c r="E8" s="145" t="s">
        <v>414</v>
      </c>
      <c r="F8" s="145" t="s">
        <v>270</v>
      </c>
      <c r="G8" s="145" t="str">
        <f t="shared" si="0"/>
        <v>[effect:enemy_message, val1:1.2, val2:1.2]</v>
      </c>
      <c r="H8" s="145">
        <f t="shared" si="1"/>
        <v>9</v>
      </c>
      <c r="I8" s="145">
        <f t="shared" si="2"/>
        <v>22</v>
      </c>
      <c r="J8" s="145" t="e">
        <f t="shared" si="3"/>
        <v>#VALUE!</v>
      </c>
      <c r="K8" s="145">
        <f t="shared" si="4"/>
        <v>32</v>
      </c>
      <c r="L8" s="145" t="str">
        <f>IFERROR(VLOOKUP(MID(G8,J8,K8-J8),[5]skilldef!$C:$D,2,FALSE),"-") &amp; " / " &amp; IFERROR(VLOOKUP(MID(G8,H8,I8-H8),[5]skilldef!$A:$B,2,FALSE),"-")</f>
        <v>- / -</v>
      </c>
      <c r="M8" s="145" t="str">
        <f t="shared" si="5"/>
        <v>[effect:critical, val:1.2, animation:enemy_critical]</v>
      </c>
      <c r="N8" s="143" t="str">
        <f>IFERROR(LEFT(M8,FIND("],",M8)+S24),M8)</f>
        <v>[effect:critical, val:1.2, animation:enemy_critical]</v>
      </c>
      <c r="O8" s="145">
        <f t="shared" si="7"/>
        <v>9</v>
      </c>
      <c r="P8" s="145">
        <f t="shared" si="8"/>
        <v>17</v>
      </c>
      <c r="Q8" s="145" t="e">
        <f t="shared" si="9"/>
        <v>#VALUE!</v>
      </c>
      <c r="R8" s="145">
        <f t="shared" si="10"/>
        <v>26</v>
      </c>
      <c r="S8" s="145" t="str">
        <f>IFERROR(VLOOKUP(MID(N8,Q8,R8-Q8),[5]skilldef!$C:$D,2,FALSE),"-") &amp; " / " &amp; IFERROR(VLOOKUP(MID(N8,O8,P8-O8),[5]skilldef!$A:$B,2,FALSE),"-")</f>
        <v>- / 大攻撃</v>
      </c>
      <c r="T8" s="143" t="str">
        <f t="shared" si="11"/>
        <v>none</v>
      </c>
      <c r="U8" s="145" t="e">
        <f t="shared" si="12"/>
        <v>#VALUE!</v>
      </c>
      <c r="V8" s="145">
        <f t="shared" si="13"/>
        <v>4</v>
      </c>
      <c r="W8" s="145" t="e">
        <f t="shared" si="14"/>
        <v>#VALUE!</v>
      </c>
      <c r="X8" s="145" t="e">
        <f t="shared" si="15"/>
        <v>#VALUE!</v>
      </c>
      <c r="Y8" s="145" t="str">
        <f>IFERROR(VLOOKUP(MID(T8,W8,X8-W8),[5]skilldef!$C:$D,2,FALSE),"-") &amp; " / " &amp; IFERROR(VLOOKUP(MID(T8,U8,V8-U8),[5]skilldef!$A:$B,2,FALSE),"-")</f>
        <v>- / -</v>
      </c>
      <c r="Z8" s="144"/>
      <c r="AA8" s="146"/>
      <c r="AB8" s="144"/>
      <c r="AC8" s="49">
        <f t="shared" si="16"/>
        <v>4</v>
      </c>
      <c r="AD8" s="49">
        <f t="shared" si="17"/>
        <v>7</v>
      </c>
    </row>
    <row r="9" spans="1:30" s="147" customFormat="1" ht="21" customHeight="1" x14ac:dyDescent="0.15">
      <c r="A9" s="143">
        <v>48013008</v>
      </c>
      <c r="B9" s="143" t="s">
        <v>495</v>
      </c>
      <c r="C9" s="144">
        <v>1</v>
      </c>
      <c r="D9" s="144" t="s">
        <v>127</v>
      </c>
      <c r="E9" s="145" t="s">
        <v>415</v>
      </c>
      <c r="F9" s="145" t="s">
        <v>494</v>
      </c>
      <c r="G9" s="145" t="str">
        <f t="shared" si="0"/>
        <v>[effect:enemy_message, val1:1.2, val2:2.7]</v>
      </c>
      <c r="H9" s="145">
        <f t="shared" si="1"/>
        <v>9</v>
      </c>
      <c r="I9" s="145">
        <f t="shared" si="2"/>
        <v>22</v>
      </c>
      <c r="J9" s="145" t="e">
        <f t="shared" si="3"/>
        <v>#VALUE!</v>
      </c>
      <c r="K9" s="145">
        <f t="shared" si="4"/>
        <v>32</v>
      </c>
      <c r="L9" s="145" t="str">
        <f>IFERROR(VLOOKUP(MID(G9,J9,K9-J9),[5]skilldef!$C:$D,2,FALSE),"-") &amp; " / " &amp; IFERROR(VLOOKUP(MID(G9,H9,I9-H9),[5]skilldef!$A:$B,2,FALSE),"-")</f>
        <v>- / -</v>
      </c>
      <c r="M9" s="145" t="str">
        <f t="shared" si="5"/>
        <v>[effect:reduction, target:myself, reduction_target:unit_dragon/not, turn:2, val:0.5, animation:reduction_one01]</v>
      </c>
      <c r="N9" s="143" t="str">
        <f>IFERROR(LEFT(M9,FIND("],",M9)+S25),M9)</f>
        <v>[effect:reduction, target:myself, reduction_target:unit_dragon/not, turn:2, val:0.5, animation:reduction_one01]</v>
      </c>
      <c r="O9" s="145">
        <f t="shared" si="7"/>
        <v>9</v>
      </c>
      <c r="P9" s="145">
        <f t="shared" si="8"/>
        <v>18</v>
      </c>
      <c r="Q9" s="145">
        <f t="shared" si="9"/>
        <v>27</v>
      </c>
      <c r="R9" s="145">
        <f t="shared" si="10"/>
        <v>33</v>
      </c>
      <c r="S9" s="145" t="str">
        <f>IFERROR(VLOOKUP(MID(N9,Q9,R9-Q9),[5]skilldef!$C:$D,2,FALSE),"-") &amp; " / " &amp; IFERROR(VLOOKUP(MID(N9,O9,P9-O9),[5]skilldef!$A:$B,2,FALSE),"-")</f>
        <v>自分自身に / -</v>
      </c>
      <c r="T9" s="143" t="str">
        <f t="shared" si="11"/>
        <v>none</v>
      </c>
      <c r="U9" s="145" t="e">
        <f t="shared" si="12"/>
        <v>#VALUE!</v>
      </c>
      <c r="V9" s="145">
        <f t="shared" si="13"/>
        <v>4</v>
      </c>
      <c r="W9" s="145" t="e">
        <f t="shared" si="14"/>
        <v>#VALUE!</v>
      </c>
      <c r="X9" s="145" t="e">
        <f t="shared" si="15"/>
        <v>#VALUE!</v>
      </c>
      <c r="Y9" s="145" t="str">
        <f>IFERROR(VLOOKUP(MID(T9,W9,X9-W9),[5]skilldef!$C:$D,2,FALSE),"-") &amp; " / " &amp; IFERROR(VLOOKUP(MID(T9,U9,V9-U9),[5]skilldef!$A:$B,2,FALSE),"-")</f>
        <v>- / -</v>
      </c>
      <c r="Z9" s="144"/>
      <c r="AA9" s="146"/>
      <c r="AB9" s="144"/>
      <c r="AC9" s="49">
        <f t="shared" si="16"/>
        <v>5</v>
      </c>
      <c r="AD9" s="49">
        <f t="shared" si="17"/>
        <v>27</v>
      </c>
    </row>
    <row r="10" spans="1:30" s="152" customFormat="1" ht="21" customHeight="1" x14ac:dyDescent="0.15">
      <c r="A10" s="148">
        <v>48013009</v>
      </c>
      <c r="B10" s="148" t="s">
        <v>294</v>
      </c>
      <c r="C10" s="149">
        <v>1</v>
      </c>
      <c r="D10" s="149" t="s">
        <v>127</v>
      </c>
      <c r="E10" s="150" t="s">
        <v>411</v>
      </c>
      <c r="F10" s="150" t="s">
        <v>262</v>
      </c>
      <c r="G10" s="150" t="str">
        <f t="shared" si="0"/>
        <v>[effect:enemy_message, val1:1.2, val2:1.2]</v>
      </c>
      <c r="H10" s="150">
        <f t="shared" si="1"/>
        <v>9</v>
      </c>
      <c r="I10" s="150">
        <f t="shared" si="2"/>
        <v>22</v>
      </c>
      <c r="J10" s="150" t="e">
        <f t="shared" si="3"/>
        <v>#VALUE!</v>
      </c>
      <c r="K10" s="150">
        <f t="shared" si="4"/>
        <v>32</v>
      </c>
      <c r="L10" s="150" t="str">
        <f>IFERROR(VLOOKUP(MID(G10,J10,K10-J10),[5]skilldef!$C:$D,2,FALSE),"-") &amp; " / " &amp; IFERROR(VLOOKUP(MID(G10,H10,I10-H10),[5]skilldef!$A:$B,2,FALSE),"-")</f>
        <v>- / -</v>
      </c>
      <c r="M10" s="150" t="str">
        <f t="shared" si="5"/>
        <v>[effect:fix_speed, target:myself, turn:1],[effect:spread, val:0.25]</v>
      </c>
      <c r="N10" s="148" t="str">
        <f>IFERROR(LEFT(M10,FIND("],",M10)+S31),M10)</f>
        <v>[effect:fix_speed, target:myself, turn:1],[effect:spread, val:0.25]</v>
      </c>
      <c r="O10" s="150">
        <f t="shared" si="7"/>
        <v>9</v>
      </c>
      <c r="P10" s="150">
        <f t="shared" si="8"/>
        <v>18</v>
      </c>
      <c r="Q10" s="150">
        <f t="shared" si="9"/>
        <v>27</v>
      </c>
      <c r="R10" s="150">
        <f t="shared" si="10"/>
        <v>33</v>
      </c>
      <c r="S10" s="150" t="str">
        <f>IFERROR(VLOOKUP(MID(N10,Q10,R10-Q10),[5]skilldef!$C:$D,2,FALSE),"-") &amp; " / " &amp; IFERROR(VLOOKUP(MID(N10,O10,P10-O10),[5]skilldef!$A:$B,2,FALSE),"-")</f>
        <v>自分自身に / 行動値設定</v>
      </c>
      <c r="T10" s="148" t="str">
        <f t="shared" si="11"/>
        <v>[effect:spread, val:0.25]</v>
      </c>
      <c r="U10" s="150">
        <f t="shared" si="12"/>
        <v>9</v>
      </c>
      <c r="V10" s="150">
        <f t="shared" si="13"/>
        <v>15</v>
      </c>
      <c r="W10" s="150" t="e">
        <f t="shared" si="14"/>
        <v>#VALUE!</v>
      </c>
      <c r="X10" s="150" t="e">
        <f t="shared" si="15"/>
        <v>#VALUE!</v>
      </c>
      <c r="Y10" s="150" t="str">
        <f>IFERROR(VLOOKUP(MID(T10,W10,X10-W10),[5]skilldef!$C:$D,2,FALSE),"-") &amp; " / " &amp; IFERROR(VLOOKUP(MID(T10,U10,V10-U10),[5]skilldef!$A:$B,2,FALSE),"-")</f>
        <v>- / 全体攻撃</v>
      </c>
      <c r="Z10" s="149"/>
      <c r="AA10" s="151"/>
      <c r="AB10" s="149"/>
      <c r="AC10" s="49">
        <f t="shared" si="16"/>
        <v>4</v>
      </c>
      <c r="AD10" s="49">
        <f t="shared" si="17"/>
        <v>4</v>
      </c>
    </row>
    <row r="11" spans="1:30" s="152" customFormat="1" ht="21" customHeight="1" x14ac:dyDescent="0.15">
      <c r="A11" s="148">
        <v>48013010</v>
      </c>
      <c r="B11" s="179" t="s">
        <v>346</v>
      </c>
      <c r="C11" s="149">
        <v>1</v>
      </c>
      <c r="D11" s="149" t="s">
        <v>127</v>
      </c>
      <c r="E11" s="150" t="s">
        <v>395</v>
      </c>
      <c r="F11" s="150" t="s">
        <v>396</v>
      </c>
      <c r="G11" s="150" t="str">
        <f t="shared" si="0"/>
        <v>[effect:enemy_message, val1:1.2, val2:1.2]</v>
      </c>
      <c r="H11" s="150">
        <f t="shared" si="1"/>
        <v>9</v>
      </c>
      <c r="I11" s="150">
        <f t="shared" si="2"/>
        <v>22</v>
      </c>
      <c r="J11" s="150" t="e">
        <f t="shared" si="3"/>
        <v>#VALUE!</v>
      </c>
      <c r="K11" s="150">
        <f t="shared" si="4"/>
        <v>32</v>
      </c>
      <c r="L11" s="150" t="str">
        <f>IFERROR(VLOOKUP(MID(G11,J11,K11-J11),[5]skilldef!$C:$D,2,FALSE),"-") &amp; " / " &amp; IFERROR(VLOOKUP(MID(G11,H11,I11-H11),[5]skilldef!$A:$B,2,FALSE),"-")</f>
        <v>- / -</v>
      </c>
      <c r="M11" s="150" t="str">
        <f t="shared" si="5"/>
        <v>[effect:suicide, target:enemy_human/not, val:1, dead_type:escape, animation:enemy_suicide]</v>
      </c>
      <c r="N11" s="148" t="str">
        <f>IFERROR(LEFT(M11,FIND("],",M11)+S32),M11)</f>
        <v>[effect:suicide, target:enemy_human/not, val:1, dead_type:escape, animation:enemy_suicide]</v>
      </c>
      <c r="O11" s="150">
        <f t="shared" si="7"/>
        <v>9</v>
      </c>
      <c r="P11" s="150">
        <f t="shared" si="8"/>
        <v>16</v>
      </c>
      <c r="Q11" s="150">
        <f t="shared" si="9"/>
        <v>25</v>
      </c>
      <c r="R11" s="150">
        <f t="shared" si="10"/>
        <v>40</v>
      </c>
      <c r="S11" s="150" t="str">
        <f>IFERROR(VLOOKUP(MID(N11,Q11,R11-Q11),[5]skilldef!$C:$D,2,FALSE),"-") &amp; " / " &amp; IFERROR(VLOOKUP(MID(N11,O11,P11-O11),[5]skilldef!$A:$B,2,FALSE),"-")</f>
        <v>- / -</v>
      </c>
      <c r="T11" s="148" t="str">
        <f t="shared" si="11"/>
        <v>none</v>
      </c>
      <c r="U11" s="150" t="e">
        <f t="shared" si="12"/>
        <v>#VALUE!</v>
      </c>
      <c r="V11" s="150">
        <f t="shared" si="13"/>
        <v>4</v>
      </c>
      <c r="W11" s="150" t="e">
        <f t="shared" si="14"/>
        <v>#VALUE!</v>
      </c>
      <c r="X11" s="150" t="e">
        <f t="shared" si="15"/>
        <v>#VALUE!</v>
      </c>
      <c r="Y11" s="150" t="str">
        <f>IFERROR(VLOOKUP(MID(T11,W11,X11-W11),[5]skilldef!$C:$D,2,FALSE),"-") &amp; " / " &amp; IFERROR(VLOOKUP(MID(T11,U11,V11-U11),[5]skilldef!$A:$B,2,FALSE),"-")</f>
        <v>- / -</v>
      </c>
      <c r="Z11" s="149"/>
      <c r="AA11" s="151"/>
      <c r="AB11" s="149"/>
      <c r="AC11" s="49">
        <f t="shared" si="16"/>
        <v>5</v>
      </c>
      <c r="AD11" s="49">
        <f t="shared" si="17"/>
        <v>7</v>
      </c>
    </row>
    <row r="12" spans="1:30" s="185" customFormat="1" ht="56" x14ac:dyDescent="0.15">
      <c r="A12" s="181">
        <v>48013011</v>
      </c>
      <c r="B12" s="181" t="s">
        <v>471</v>
      </c>
      <c r="C12" s="182">
        <v>1</v>
      </c>
      <c r="D12" s="182" t="s">
        <v>127</v>
      </c>
      <c r="E12" s="183" t="s">
        <v>452</v>
      </c>
      <c r="F12" s="183" t="s">
        <v>384</v>
      </c>
      <c r="G12" s="183" t="str">
        <f t="shared" si="0"/>
        <v>[effect:enemy_message, val1:1.5, val2:1.3]</v>
      </c>
      <c r="H12" s="183">
        <f t="shared" si="1"/>
        <v>9</v>
      </c>
      <c r="I12" s="183">
        <f t="shared" si="2"/>
        <v>22</v>
      </c>
      <c r="J12" s="183" t="e">
        <f t="shared" si="3"/>
        <v>#VALUE!</v>
      </c>
      <c r="K12" s="183">
        <f t="shared" si="4"/>
        <v>32</v>
      </c>
      <c r="L12" s="183" t="str">
        <f>IFERROR(VLOOKUP(MID(G12,J12,K12-J12),[5]skilldef!$C:$D,2,FALSE),"-") &amp; " / " &amp; IFERROR(VLOOKUP(MID(G12,H12,I12-H12),[5]skilldef!$A:$B,2,FALSE),"-")</f>
        <v>- / -</v>
      </c>
      <c r="M12" s="183" t="str">
        <f t="shared" si="5"/>
        <v>[effect:fix_speed, target:myself, turn:2],[effect:change_panel_ratio, turn:3, block_type:green, val:0.4, animation:block_incidence04]</v>
      </c>
      <c r="N12" s="181" t="str">
        <f>IFERROR(LEFT(M12,FIND("],",M12)+S34),M12)</f>
        <v>[effect:fix_speed, target:myself, turn:2],[effect:change_panel_ratio, turn:3, block_type:green, val:0.4, animation:block_incidence04]</v>
      </c>
      <c r="O12" s="183">
        <f t="shared" si="7"/>
        <v>9</v>
      </c>
      <c r="P12" s="183">
        <f t="shared" si="8"/>
        <v>18</v>
      </c>
      <c r="Q12" s="183">
        <f t="shared" si="9"/>
        <v>27</v>
      </c>
      <c r="R12" s="183">
        <f t="shared" si="10"/>
        <v>33</v>
      </c>
      <c r="S12" s="183" t="str">
        <f>IFERROR(VLOOKUP(MID(N12,Q12,R12-Q12),[5]skilldef!$C:$D,2,FALSE),"-") &amp; " / " &amp; IFERROR(VLOOKUP(MID(N12,O12,P12-O12),[5]skilldef!$A:$B,2,FALSE),"-")</f>
        <v>自分自身に / 行動値設定</v>
      </c>
      <c r="T12" s="181" t="str">
        <f t="shared" si="11"/>
        <v>[effect:change_panel_ratio, turn:3, block_type:green, val:0.4, animation:block_incidence04]</v>
      </c>
      <c r="U12" s="183">
        <f t="shared" si="12"/>
        <v>9</v>
      </c>
      <c r="V12" s="183">
        <f t="shared" si="13"/>
        <v>27</v>
      </c>
      <c r="W12" s="183" t="e">
        <f t="shared" si="14"/>
        <v>#VALUE!</v>
      </c>
      <c r="X12" s="183">
        <f t="shared" si="15"/>
        <v>35</v>
      </c>
      <c r="Y12" s="183" t="str">
        <f>IFERROR(VLOOKUP(MID(T12,W12,X12-W12),[5]skilldef!$C:$D,2,FALSE),"-") &amp; " / " &amp; IFERROR(VLOOKUP(MID(T12,U12,V12-U12),[5]skilldef!$A:$B,2,FALSE),"-")</f>
        <v>- / -</v>
      </c>
      <c r="Z12" s="182"/>
      <c r="AA12" s="184"/>
      <c r="AB12" s="182"/>
      <c r="AC12" s="49">
        <f t="shared" si="16"/>
        <v>15</v>
      </c>
      <c r="AD12" s="49">
        <f t="shared" si="17"/>
        <v>13</v>
      </c>
    </row>
    <row r="13" spans="1:30" s="185" customFormat="1" ht="56" x14ac:dyDescent="0.15">
      <c r="A13" s="181">
        <v>48013012</v>
      </c>
      <c r="B13" s="181" t="s">
        <v>472</v>
      </c>
      <c r="C13" s="182">
        <v>1</v>
      </c>
      <c r="D13" s="182" t="s">
        <v>127</v>
      </c>
      <c r="E13" s="183" t="s">
        <v>453</v>
      </c>
      <c r="F13" s="183" t="s">
        <v>384</v>
      </c>
      <c r="G13" s="183" t="str">
        <f t="shared" ref="G13" si="18">IFERROR(LEFT(B13,FIND("],",B13)),B13)</f>
        <v>[effect:enemy_message, val1:2.3, val2:1.3]</v>
      </c>
      <c r="H13" s="183">
        <f t="shared" ref="H13" si="19">FIND("effect:",G13)+7</f>
        <v>9</v>
      </c>
      <c r="I13" s="183">
        <f t="shared" ref="I13" si="20">IFERROR(FIND(",",G13),LEN(G13))</f>
        <v>22</v>
      </c>
      <c r="J13" s="183" t="e">
        <f t="shared" ref="J13" si="21">FIND("target:",G13)+7</f>
        <v>#VALUE!</v>
      </c>
      <c r="K13" s="183">
        <f t="shared" ref="K13" si="22">FIND(",",G13,I13+1)</f>
        <v>32</v>
      </c>
      <c r="L13" s="183" t="str">
        <f>IFERROR(VLOOKUP(MID(G13,J13,K13-J13),[5]skilldef!$C:$D,2,FALSE),"-") &amp; " / " &amp; IFERROR(VLOOKUP(MID(G13,H13,I13-H13),[5]skilldef!$A:$B,2,FALSE),"-")</f>
        <v>- / -</v>
      </c>
      <c r="M13" s="183" t="str">
        <f t="shared" ref="M13" si="23">IFERROR(RIGHT(B13,LEN(B13)-FIND("],",B13)-1),"none")</f>
        <v>[effect:fix_speed, target:myself, turn:2],[effect:change_panel_ratio, turn:3, block_type:green, val:0.4, animation:block_incidence04]</v>
      </c>
      <c r="N13" s="181" t="str">
        <f>IFERROR(LEFT(M13,FIND("],",M13)+S38),M13)</f>
        <v>[effect:fix_speed, target:myself, turn:2],[effect:change_panel_ratio, turn:3, block_type:green, val:0.4, animation:block_incidence04]</v>
      </c>
      <c r="O13" s="183">
        <f t="shared" ref="O13" si="24">FIND("effect:",N13)+7</f>
        <v>9</v>
      </c>
      <c r="P13" s="183">
        <f t="shared" ref="P13" si="25">IFERROR(FIND(",",N13),LEN(N13))</f>
        <v>18</v>
      </c>
      <c r="Q13" s="183">
        <f t="shared" ref="Q13" si="26">FIND("target:",N13)+7</f>
        <v>27</v>
      </c>
      <c r="R13" s="183">
        <f t="shared" ref="R13" si="27">FIND(",",N13,P13+1)</f>
        <v>33</v>
      </c>
      <c r="S13" s="183" t="str">
        <f>IFERROR(VLOOKUP(MID(N13,Q13,R13-Q13),[5]skilldef!$C:$D,2,FALSE),"-") &amp; " / " &amp; IFERROR(VLOOKUP(MID(N13,O13,P13-O13),[5]skilldef!$A:$B,2,FALSE),"-")</f>
        <v>自分自身に / 行動値設定</v>
      </c>
      <c r="T13" s="181" t="str">
        <f t="shared" ref="T13" si="28">IFERROR(RIGHT(M13,LEN(M13)-FIND("],",M13)-1),"none")</f>
        <v>[effect:change_panel_ratio, turn:3, block_type:green, val:0.4, animation:block_incidence04]</v>
      </c>
      <c r="U13" s="183">
        <f t="shared" ref="U13" si="29">FIND("effect:",T13)+7</f>
        <v>9</v>
      </c>
      <c r="V13" s="183">
        <f t="shared" ref="V13" si="30">IFERROR(FIND(",",T13),LEN(T13))</f>
        <v>27</v>
      </c>
      <c r="W13" s="183" t="e">
        <f t="shared" ref="W13" si="31">FIND("target:",T13)+7</f>
        <v>#VALUE!</v>
      </c>
      <c r="X13" s="183">
        <f t="shared" ref="X13" si="32">FIND(",",T13,V13+1)</f>
        <v>35</v>
      </c>
      <c r="Y13" s="183" t="str">
        <f>IFERROR(VLOOKUP(MID(T13,W13,X13-W13),[5]skilldef!$C:$D,2,FALSE),"-") &amp; " / " &amp; IFERROR(VLOOKUP(MID(T13,U13,V13-U13),[5]skilldef!$A:$B,2,FALSE),"-")</f>
        <v>- / -</v>
      </c>
      <c r="Z13" s="182"/>
      <c r="AA13" s="184"/>
      <c r="AB13" s="182"/>
      <c r="AC13" s="49">
        <f t="shared" si="16"/>
        <v>23</v>
      </c>
      <c r="AD13" s="49">
        <f t="shared" si="17"/>
        <v>13</v>
      </c>
    </row>
    <row r="14" spans="1:30" s="185" customFormat="1" ht="56" x14ac:dyDescent="0.15">
      <c r="A14" s="181">
        <v>48013013</v>
      </c>
      <c r="B14" s="181" t="s">
        <v>472</v>
      </c>
      <c r="C14" s="182">
        <v>1</v>
      </c>
      <c r="D14" s="182" t="s">
        <v>127</v>
      </c>
      <c r="E14" s="183" t="s">
        <v>453</v>
      </c>
      <c r="F14" s="183" t="s">
        <v>384</v>
      </c>
      <c r="G14" s="183" t="str">
        <f>IFERROR(LEFT(B14,FIND("],",B14)),B14)</f>
        <v>[effect:enemy_message, val1:2.3, val2:1.3]</v>
      </c>
      <c r="H14" s="183">
        <f>FIND("effect:",G14)+7</f>
        <v>9</v>
      </c>
      <c r="I14" s="183">
        <f>IFERROR(FIND(",",G14),LEN(G14))</f>
        <v>22</v>
      </c>
      <c r="J14" s="183" t="e">
        <f>FIND("target:",G14)+7</f>
        <v>#VALUE!</v>
      </c>
      <c r="K14" s="183">
        <f>FIND(",",G14,I14+1)</f>
        <v>32</v>
      </c>
      <c r="L14" s="183" t="str">
        <f>IFERROR(VLOOKUP(MID(G14,J14,K14-J14),[5]skilldef!$C:$D,2,FALSE),"-") &amp; " / " &amp; IFERROR(VLOOKUP(MID(G14,H14,I14-H14),[5]skilldef!$A:$B,2,FALSE),"-")</f>
        <v>- / -</v>
      </c>
      <c r="M14" s="183" t="str">
        <f>IFERROR(RIGHT(B14,LEN(B14)-FIND("],",B14)-1),"none")</f>
        <v>[effect:fix_speed, target:myself, turn:2],[effect:change_panel_ratio, turn:3, block_type:green, val:0.4, animation:block_incidence04]</v>
      </c>
      <c r="N14" s="181" t="str">
        <f>IFERROR(LEFT(M14,FIND("],",M14)+S41),M14)</f>
        <v>[effect:fix_speed, target:myself, turn:2],[effect:change_panel_ratio, turn:3, block_type:green, val:0.4, animation:block_incidence04]</v>
      </c>
      <c r="O14" s="183">
        <f>FIND("effect:",N14)+7</f>
        <v>9</v>
      </c>
      <c r="P14" s="183">
        <f>IFERROR(FIND(",",N14),LEN(N14))</f>
        <v>18</v>
      </c>
      <c r="Q14" s="183">
        <f>FIND("target:",N14)+7</f>
        <v>27</v>
      </c>
      <c r="R14" s="183">
        <f>FIND(",",N14,P14+1)</f>
        <v>33</v>
      </c>
      <c r="S14" s="183" t="str">
        <f>IFERROR(VLOOKUP(MID(N14,Q14,R14-Q14),[5]skilldef!$C:$D,2,FALSE),"-") &amp; " / " &amp; IFERROR(VLOOKUP(MID(N14,O14,P14-O14),[5]skilldef!$A:$B,2,FALSE),"-")</f>
        <v>自分自身に / 行動値設定</v>
      </c>
      <c r="T14" s="181" t="str">
        <f>IFERROR(RIGHT(M14,LEN(M14)-FIND("],",M14)-1),"none")</f>
        <v>[effect:change_panel_ratio, turn:3, block_type:green, val:0.4, animation:block_incidence04]</v>
      </c>
      <c r="U14" s="183">
        <f>FIND("effect:",T14)+7</f>
        <v>9</v>
      </c>
      <c r="V14" s="183">
        <f>IFERROR(FIND(",",T14),LEN(T14))</f>
        <v>27</v>
      </c>
      <c r="W14" s="183" t="e">
        <f>FIND("target:",T14)+7</f>
        <v>#VALUE!</v>
      </c>
      <c r="X14" s="183">
        <f>FIND(",",T14,V14+1)</f>
        <v>35</v>
      </c>
      <c r="Y14" s="183" t="str">
        <f>IFERROR(VLOOKUP(MID(T14,W14,X14-W14),[5]skilldef!$C:$D,2,FALSE),"-") &amp; " / " &amp; IFERROR(VLOOKUP(MID(T14,U14,V14-U14),[5]skilldef!$A:$B,2,FALSE),"-")</f>
        <v>- / -</v>
      </c>
      <c r="Z14" s="182"/>
      <c r="AA14" s="184"/>
      <c r="AB14" s="182"/>
      <c r="AC14" s="49">
        <f t="shared" si="16"/>
        <v>23</v>
      </c>
      <c r="AD14" s="49">
        <f t="shared" si="17"/>
        <v>13</v>
      </c>
    </row>
    <row r="15" spans="1:30" s="185" customFormat="1" ht="56" x14ac:dyDescent="0.15">
      <c r="A15" s="181">
        <v>48013014</v>
      </c>
      <c r="B15" s="181" t="s">
        <v>472</v>
      </c>
      <c r="C15" s="182">
        <v>1</v>
      </c>
      <c r="D15" s="182" t="s">
        <v>127</v>
      </c>
      <c r="E15" s="183" t="s">
        <v>491</v>
      </c>
      <c r="F15" s="183" t="s">
        <v>384</v>
      </c>
      <c r="G15" s="183" t="str">
        <f t="shared" ref="G15" si="33">IFERROR(LEFT(B15,FIND("],",B15)),B15)</f>
        <v>[effect:enemy_message, val1:2.3, val2:1.3]</v>
      </c>
      <c r="H15" s="183">
        <f t="shared" ref="H15" si="34">FIND("effect:",G15)+7</f>
        <v>9</v>
      </c>
      <c r="I15" s="183">
        <f t="shared" ref="I15" si="35">IFERROR(FIND(",",G15),LEN(G15))</f>
        <v>22</v>
      </c>
      <c r="J15" s="183" t="e">
        <f t="shared" ref="J15" si="36">FIND("target:",G15)+7</f>
        <v>#VALUE!</v>
      </c>
      <c r="K15" s="183">
        <f t="shared" ref="K15" si="37">FIND(",",G15,I15+1)</f>
        <v>32</v>
      </c>
      <c r="L15" s="183" t="str">
        <f>IFERROR(VLOOKUP(MID(G15,J15,K15-J15),[5]skilldef!$C:$D,2,FALSE),"-") &amp; " / " &amp; IFERROR(VLOOKUP(MID(G15,H15,I15-H15),[5]skilldef!$A:$B,2,FALSE),"-")</f>
        <v>- / -</v>
      </c>
      <c r="M15" s="183" t="str">
        <f t="shared" ref="M15" si="38">IFERROR(RIGHT(B15,LEN(B15)-FIND("],",B15)-1),"none")</f>
        <v>[effect:fix_speed, target:myself, turn:2],[effect:change_panel_ratio, turn:3, block_type:green, val:0.4, animation:block_incidence04]</v>
      </c>
      <c r="N15" s="181" t="str">
        <f>IFERROR(LEFT(M15,FIND("],",M15)+S39),M15)</f>
        <v>[effect:fix_speed, target:myself, turn:2],[effect:change_panel_ratio, turn:3, block_type:green, val:0.4, animation:block_incidence04]</v>
      </c>
      <c r="O15" s="183">
        <f t="shared" ref="O15" si="39">FIND("effect:",N15)+7</f>
        <v>9</v>
      </c>
      <c r="P15" s="183">
        <f t="shared" ref="P15" si="40">IFERROR(FIND(",",N15),LEN(N15))</f>
        <v>18</v>
      </c>
      <c r="Q15" s="183">
        <f t="shared" ref="Q15" si="41">FIND("target:",N15)+7</f>
        <v>27</v>
      </c>
      <c r="R15" s="183">
        <f t="shared" ref="R15" si="42">FIND(",",N15,P15+1)</f>
        <v>33</v>
      </c>
      <c r="S15" s="183" t="str">
        <f>IFERROR(VLOOKUP(MID(N15,Q15,R15-Q15),[5]skilldef!$C:$D,2,FALSE),"-") &amp; " / " &amp; IFERROR(VLOOKUP(MID(N15,O15,P15-O15),[5]skilldef!$A:$B,2,FALSE),"-")</f>
        <v>自分自身に / 行動値設定</v>
      </c>
      <c r="T15" s="181" t="str">
        <f t="shared" ref="T15" si="43">IFERROR(RIGHT(M15,LEN(M15)-FIND("],",M15)-1),"none")</f>
        <v>[effect:change_panel_ratio, turn:3, block_type:green, val:0.4, animation:block_incidence04]</v>
      </c>
      <c r="U15" s="183">
        <f t="shared" ref="U15" si="44">FIND("effect:",T15)+7</f>
        <v>9</v>
      </c>
      <c r="V15" s="183">
        <f t="shared" ref="V15" si="45">IFERROR(FIND(",",T15),LEN(T15))</f>
        <v>27</v>
      </c>
      <c r="W15" s="183" t="e">
        <f t="shared" ref="W15" si="46">FIND("target:",T15)+7</f>
        <v>#VALUE!</v>
      </c>
      <c r="X15" s="183">
        <f t="shared" ref="X15" si="47">FIND(",",T15,V15+1)</f>
        <v>35</v>
      </c>
      <c r="Y15" s="183" t="str">
        <f>IFERROR(VLOOKUP(MID(T15,W15,X15-W15),[5]skilldef!$C:$D,2,FALSE),"-") &amp; " / " &amp; IFERROR(VLOOKUP(MID(T15,U15,V15-U15),[5]skilldef!$A:$B,2,FALSE),"-")</f>
        <v>- / -</v>
      </c>
      <c r="Z15" s="182"/>
      <c r="AA15" s="184"/>
      <c r="AB15" s="182"/>
      <c r="AC15" s="49">
        <f t="shared" si="16"/>
        <v>23</v>
      </c>
      <c r="AD15" s="49">
        <f t="shared" si="17"/>
        <v>13</v>
      </c>
    </row>
    <row r="16" spans="1:30" s="185" customFormat="1" ht="56" x14ac:dyDescent="0.15">
      <c r="A16" s="181">
        <v>48013015</v>
      </c>
      <c r="B16" s="181" t="s">
        <v>472</v>
      </c>
      <c r="C16" s="182">
        <v>1</v>
      </c>
      <c r="D16" s="182" t="s">
        <v>127</v>
      </c>
      <c r="E16" s="183" t="s">
        <v>491</v>
      </c>
      <c r="F16" s="183" t="s">
        <v>384</v>
      </c>
      <c r="G16" s="183" t="str">
        <f t="shared" ref="G16" si="48">IFERROR(LEFT(B16,FIND("],",B16)),B16)</f>
        <v>[effect:enemy_message, val1:2.3, val2:1.3]</v>
      </c>
      <c r="H16" s="183">
        <f t="shared" ref="H16" si="49">FIND("effect:",G16)+7</f>
        <v>9</v>
      </c>
      <c r="I16" s="183">
        <f t="shared" ref="I16" si="50">IFERROR(FIND(",",G16),LEN(G16))</f>
        <v>22</v>
      </c>
      <c r="J16" s="183" t="e">
        <f t="shared" ref="J16" si="51">FIND("target:",G16)+7</f>
        <v>#VALUE!</v>
      </c>
      <c r="K16" s="183">
        <f t="shared" ref="K16" si="52">FIND(",",G16,I16+1)</f>
        <v>32</v>
      </c>
      <c r="L16" s="183" t="str">
        <f>IFERROR(VLOOKUP(MID(G16,J16,K16-J16),[5]skilldef!$C:$D,2,FALSE),"-") &amp; " / " &amp; IFERROR(VLOOKUP(MID(G16,H16,I16-H16),[5]skilldef!$A:$B,2,FALSE),"-")</f>
        <v>- / -</v>
      </c>
      <c r="M16" s="183" t="str">
        <f t="shared" ref="M16" si="53">IFERROR(RIGHT(B16,LEN(B16)-FIND("],",B16)-1),"none")</f>
        <v>[effect:fix_speed, target:myself, turn:2],[effect:change_panel_ratio, turn:3, block_type:green, val:0.4, animation:block_incidence04]</v>
      </c>
      <c r="N16" s="181" t="str">
        <f>IFERROR(LEFT(M16,FIND("],",M16)+S43),M16)</f>
        <v>[effect:fix_speed, target:myself, turn:2],[effect:change_panel_ratio, turn:3, block_type:green, val:0.4, animation:block_incidence04]</v>
      </c>
      <c r="O16" s="183">
        <f t="shared" ref="O16" si="54">FIND("effect:",N16)+7</f>
        <v>9</v>
      </c>
      <c r="P16" s="183">
        <f t="shared" ref="P16" si="55">IFERROR(FIND(",",N16),LEN(N16))</f>
        <v>18</v>
      </c>
      <c r="Q16" s="183">
        <f t="shared" ref="Q16" si="56">FIND("target:",N16)+7</f>
        <v>27</v>
      </c>
      <c r="R16" s="183">
        <f t="shared" ref="R16" si="57">FIND(",",N16,P16+1)</f>
        <v>33</v>
      </c>
      <c r="S16" s="183" t="str">
        <f>IFERROR(VLOOKUP(MID(N16,Q16,R16-Q16),[5]skilldef!$C:$D,2,FALSE),"-") &amp; " / " &amp; IFERROR(VLOOKUP(MID(N16,O16,P16-O16),[5]skilldef!$A:$B,2,FALSE),"-")</f>
        <v>自分自身に / 行動値設定</v>
      </c>
      <c r="T16" s="181" t="str">
        <f t="shared" ref="T16" si="58">IFERROR(RIGHT(M16,LEN(M16)-FIND("],",M16)-1),"none")</f>
        <v>[effect:change_panel_ratio, turn:3, block_type:green, val:0.4, animation:block_incidence04]</v>
      </c>
      <c r="U16" s="183">
        <f t="shared" ref="U16" si="59">FIND("effect:",T16)+7</f>
        <v>9</v>
      </c>
      <c r="V16" s="183">
        <f t="shared" ref="V16" si="60">IFERROR(FIND(",",T16),LEN(T16))</f>
        <v>27</v>
      </c>
      <c r="W16" s="183" t="e">
        <f t="shared" ref="W16" si="61">FIND("target:",T16)+7</f>
        <v>#VALUE!</v>
      </c>
      <c r="X16" s="183">
        <f t="shared" ref="X16" si="62">FIND(",",T16,V16+1)</f>
        <v>35</v>
      </c>
      <c r="Y16" s="183" t="str">
        <f>IFERROR(VLOOKUP(MID(T16,W16,X16-W16),[5]skilldef!$C:$D,2,FALSE),"-") &amp; " / " &amp; IFERROR(VLOOKUP(MID(T16,U16,V16-U16),[5]skilldef!$A:$B,2,FALSE),"-")</f>
        <v>- / -</v>
      </c>
      <c r="Z16" s="182"/>
      <c r="AA16" s="184"/>
      <c r="AB16" s="182"/>
      <c r="AC16" s="49">
        <f t="shared" si="16"/>
        <v>23</v>
      </c>
      <c r="AD16" s="49">
        <f t="shared" si="17"/>
        <v>13</v>
      </c>
    </row>
    <row r="17" spans="1:30" s="185" customFormat="1" ht="35" customHeight="1" x14ac:dyDescent="0.15">
      <c r="A17" s="181">
        <v>48013016</v>
      </c>
      <c r="B17" s="181" t="s">
        <v>503</v>
      </c>
      <c r="C17" s="182">
        <v>1</v>
      </c>
      <c r="D17" s="182" t="s">
        <v>127</v>
      </c>
      <c r="E17" s="183" t="s">
        <v>398</v>
      </c>
      <c r="F17" s="183" t="s">
        <v>502</v>
      </c>
      <c r="G17" s="183" t="str">
        <f t="shared" si="0"/>
        <v>[effect:enemy_message, val1:1.2, val2:2.2]</v>
      </c>
      <c r="H17" s="183">
        <f t="shared" si="1"/>
        <v>9</v>
      </c>
      <c r="I17" s="183">
        <f t="shared" si="2"/>
        <v>22</v>
      </c>
      <c r="J17" s="183" t="e">
        <f t="shared" si="3"/>
        <v>#VALUE!</v>
      </c>
      <c r="K17" s="183">
        <f t="shared" si="4"/>
        <v>32</v>
      </c>
      <c r="L17" s="183" t="str">
        <f>IFERROR(VLOOKUP(MID(G17,J17,K17-J17),[5]skilldef!$C:$D,2,FALSE),"-") &amp; " / " &amp; IFERROR(VLOOKUP(MID(G17,H17,I17-H17),[5]skilldef!$A:$B,2,FALSE),"-")</f>
        <v>- / -</v>
      </c>
      <c r="M17" s="183" t="str">
        <f t="shared" si="5"/>
        <v>[effect:rush, count:1, val:1],[effect:force_change_block, new_block:jammer, target:block_green, count:4, val:0, animation:change_block]</v>
      </c>
      <c r="N17" s="181" t="str">
        <f>IFERROR(LEFT(M17,FIND("],",M17)+S38),M17)</f>
        <v>[effect:rush, count:1, val:1],[effect:force_change_block, new_block:jammer, target:block_green, count:4, val:0, animation:change_block]</v>
      </c>
      <c r="O17" s="183">
        <f t="shared" si="7"/>
        <v>9</v>
      </c>
      <c r="P17" s="183">
        <f t="shared" si="8"/>
        <v>13</v>
      </c>
      <c r="Q17" s="183">
        <f t="shared" si="9"/>
        <v>84</v>
      </c>
      <c r="R17" s="183">
        <f t="shared" si="10"/>
        <v>22</v>
      </c>
      <c r="S17" s="183" t="str">
        <f>IFERROR(VLOOKUP(MID(N17,Q17,R17-Q17),[5]skilldef!$C:$D,2,FALSE),"-") &amp; " / " &amp; IFERROR(VLOOKUP(MID(N17,O17,P17-O17),[5]skilldef!$A:$B,2,FALSE),"-")</f>
        <v>- / 連続攻撃</v>
      </c>
      <c r="T17" s="181" t="str">
        <f t="shared" si="11"/>
        <v>[effect:force_change_block, new_block:jammer, target:block_green, count:4, val:0, animation:change_block]</v>
      </c>
      <c r="U17" s="183">
        <f t="shared" si="12"/>
        <v>9</v>
      </c>
      <c r="V17" s="183">
        <f t="shared" si="13"/>
        <v>27</v>
      </c>
      <c r="W17" s="183">
        <f t="shared" si="14"/>
        <v>54</v>
      </c>
      <c r="X17" s="183">
        <f t="shared" si="15"/>
        <v>45</v>
      </c>
      <c r="Y17" s="183" t="str">
        <f>IFERROR(VLOOKUP(MID(T17,W17,X17-W17),[5]skilldef!$C:$D,2,FALSE),"-") &amp; " / " &amp; IFERROR(VLOOKUP(MID(T17,U17,V17-U17),[5]skilldef!$A:$B,2,FALSE),"-")</f>
        <v>- / -</v>
      </c>
      <c r="Z17" s="182"/>
      <c r="AA17" s="184"/>
      <c r="AB17" s="182"/>
      <c r="AC17" s="49">
        <f t="shared" si="16"/>
        <v>11</v>
      </c>
      <c r="AD17" s="49">
        <f t="shared" si="17"/>
        <v>22</v>
      </c>
    </row>
    <row r="18" spans="1:30" s="185" customFormat="1" ht="21" customHeight="1" x14ac:dyDescent="0.15">
      <c r="A18" s="181">
        <v>48013017</v>
      </c>
      <c r="B18" s="181" t="s">
        <v>417</v>
      </c>
      <c r="C18" s="182">
        <v>1</v>
      </c>
      <c r="D18" s="182" t="s">
        <v>127</v>
      </c>
      <c r="E18" s="183" t="s">
        <v>397</v>
      </c>
      <c r="F18" s="183" t="s">
        <v>279</v>
      </c>
      <c r="G18" s="183" t="str">
        <f t="shared" si="0"/>
        <v>[effect:enemy_message, val1:1.2, val2:1.6]</v>
      </c>
      <c r="H18" s="183">
        <f t="shared" si="1"/>
        <v>9</v>
      </c>
      <c r="I18" s="183">
        <f t="shared" si="2"/>
        <v>22</v>
      </c>
      <c r="J18" s="183" t="e">
        <f t="shared" si="3"/>
        <v>#VALUE!</v>
      </c>
      <c r="K18" s="183">
        <f t="shared" si="4"/>
        <v>32</v>
      </c>
      <c r="L18" s="183" t="str">
        <f>IFERROR(VLOOKUP(MID(G18,J18,K18-J18),[5]skilldef!$C:$D,2,FALSE),"-") &amp; " / " &amp; IFERROR(VLOOKUP(MID(G18,H18,I18-H18),[5]skilldef!$A:$B,2,FALSE),"-")</f>
        <v>- / -</v>
      </c>
      <c r="M18" s="183" t="str">
        <f t="shared" si="5"/>
        <v>[effect:break_enchance_enemy, target:myself, val:500, lowest_val:500, count:-1, status:defense, turn:-1, block01:jammer, calc:add, animation:enemy_enhance_defense]</v>
      </c>
      <c r="N18" s="181" t="str">
        <f>IFERROR(LEFT(M18,FIND("],",M18)+S39),M18)</f>
        <v>[effect:break_enchance_enemy, target:myself, val:500, lowest_val:500, count:-1, status:defense, turn:-1, block01:jammer, calc:add, animation:enemy_enhance_defense]</v>
      </c>
      <c r="O18" s="183">
        <f t="shared" si="7"/>
        <v>9</v>
      </c>
      <c r="P18" s="183">
        <f t="shared" si="8"/>
        <v>29</v>
      </c>
      <c r="Q18" s="183">
        <f t="shared" si="9"/>
        <v>38</v>
      </c>
      <c r="R18" s="183">
        <f t="shared" si="10"/>
        <v>44</v>
      </c>
      <c r="S18" s="183" t="str">
        <f>IFERROR(VLOOKUP(MID(N18,Q18,R18-Q18),[5]skilldef!$C:$D,2,FALSE),"-") &amp; " / " &amp; IFERROR(VLOOKUP(MID(N18,O18,P18-O18),[5]skilldef!$A:$B,2,FALSE),"-")</f>
        <v>自分自身に / -</v>
      </c>
      <c r="T18" s="181" t="str">
        <f t="shared" si="11"/>
        <v>none</v>
      </c>
      <c r="U18" s="183" t="e">
        <f t="shared" si="12"/>
        <v>#VALUE!</v>
      </c>
      <c r="V18" s="183">
        <f t="shared" si="13"/>
        <v>4</v>
      </c>
      <c r="W18" s="183" t="e">
        <f t="shared" si="14"/>
        <v>#VALUE!</v>
      </c>
      <c r="X18" s="183" t="e">
        <f t="shared" si="15"/>
        <v>#VALUE!</v>
      </c>
      <c r="Y18" s="183" t="str">
        <f>IFERROR(VLOOKUP(MID(T18,W18,X18-W18),[5]skilldef!$C:$D,2,FALSE),"-") &amp; " / " &amp; IFERROR(VLOOKUP(MID(T18,U18,V18-U18),[5]skilldef!$A:$B,2,FALSE),"-")</f>
        <v>- / -</v>
      </c>
      <c r="Z18" s="182"/>
      <c r="AA18" s="184"/>
      <c r="AB18" s="182"/>
      <c r="AC18" s="49">
        <f t="shared" si="16"/>
        <v>12</v>
      </c>
      <c r="AD18" s="49">
        <f t="shared" si="17"/>
        <v>16</v>
      </c>
    </row>
    <row r="19" spans="1:30" s="185" customFormat="1" ht="21" customHeight="1" x14ac:dyDescent="0.15">
      <c r="A19" s="181">
        <v>48013018</v>
      </c>
      <c r="B19" s="181" t="s">
        <v>299</v>
      </c>
      <c r="C19" s="182">
        <v>1</v>
      </c>
      <c r="D19" s="182" t="s">
        <v>127</v>
      </c>
      <c r="E19" s="197" t="s">
        <v>431</v>
      </c>
      <c r="F19" s="197" t="s">
        <v>365</v>
      </c>
      <c r="G19" s="183" t="str">
        <f t="shared" si="0"/>
        <v>[effect:enemy_message, val1:1.2, val2:1.2]</v>
      </c>
      <c r="H19" s="183">
        <f t="shared" si="1"/>
        <v>9</v>
      </c>
      <c r="I19" s="183">
        <f t="shared" si="2"/>
        <v>22</v>
      </c>
      <c r="J19" s="183" t="e">
        <f t="shared" si="3"/>
        <v>#VALUE!</v>
      </c>
      <c r="K19" s="183">
        <f t="shared" si="4"/>
        <v>32</v>
      </c>
      <c r="L19" s="183"/>
      <c r="M19" s="183" t="str">
        <f t="shared" si="5"/>
        <v>none</v>
      </c>
      <c r="N19" s="181"/>
      <c r="O19" s="183"/>
      <c r="P19" s="183"/>
      <c r="Q19" s="183"/>
      <c r="R19" s="183"/>
      <c r="S19" s="183"/>
      <c r="T19" s="181" t="str">
        <f t="shared" si="11"/>
        <v>none</v>
      </c>
      <c r="U19" s="183" t="e">
        <f t="shared" si="12"/>
        <v>#VALUE!</v>
      </c>
      <c r="V19" s="183">
        <f t="shared" si="13"/>
        <v>4</v>
      </c>
      <c r="W19" s="183" t="e">
        <f t="shared" si="14"/>
        <v>#VALUE!</v>
      </c>
      <c r="X19" s="183" t="e">
        <f t="shared" si="15"/>
        <v>#VALUE!</v>
      </c>
      <c r="Y19" s="183"/>
      <c r="Z19" s="182"/>
      <c r="AA19" s="184"/>
      <c r="AB19" s="182"/>
      <c r="AC19" s="49">
        <f t="shared" si="16"/>
        <v>8</v>
      </c>
      <c r="AD19" s="49">
        <f t="shared" si="17"/>
        <v>12</v>
      </c>
    </row>
    <row r="20" spans="1:30" s="185" customFormat="1" ht="21" customHeight="1" x14ac:dyDescent="0.15">
      <c r="A20" s="181">
        <v>48013019</v>
      </c>
      <c r="B20" s="181" t="s">
        <v>369</v>
      </c>
      <c r="C20" s="182">
        <v>1</v>
      </c>
      <c r="D20" s="182" t="s">
        <v>127</v>
      </c>
      <c r="E20" s="197" t="s">
        <v>432</v>
      </c>
      <c r="F20" s="197" t="s">
        <v>368</v>
      </c>
      <c r="G20" s="183" t="str">
        <f t="shared" si="0"/>
        <v>[effect:enemy_message, val1:1.2, val2:1.2]</v>
      </c>
      <c r="H20" s="183">
        <f t="shared" si="1"/>
        <v>9</v>
      </c>
      <c r="I20" s="183">
        <f t="shared" si="2"/>
        <v>22</v>
      </c>
      <c r="J20" s="183" t="e">
        <f t="shared" si="3"/>
        <v>#VALUE!</v>
      </c>
      <c r="K20" s="183">
        <f t="shared" si="4"/>
        <v>32</v>
      </c>
      <c r="L20" s="183"/>
      <c r="M20" s="183" t="str">
        <f t="shared" si="5"/>
        <v>[effect:rush, count:4, val:1]</v>
      </c>
      <c r="N20" s="181"/>
      <c r="O20" s="183"/>
      <c r="P20" s="183"/>
      <c r="Q20" s="183"/>
      <c r="R20" s="183"/>
      <c r="S20" s="183"/>
      <c r="T20" s="181" t="str">
        <f t="shared" si="11"/>
        <v>none</v>
      </c>
      <c r="U20" s="183" t="e">
        <f t="shared" si="12"/>
        <v>#VALUE!</v>
      </c>
      <c r="V20" s="183">
        <f t="shared" si="13"/>
        <v>4</v>
      </c>
      <c r="W20" s="183" t="e">
        <f t="shared" si="14"/>
        <v>#VALUE!</v>
      </c>
      <c r="X20" s="183" t="e">
        <f t="shared" si="15"/>
        <v>#VALUE!</v>
      </c>
      <c r="Y20" s="183"/>
      <c r="Z20" s="182"/>
      <c r="AA20" s="184"/>
      <c r="AB20" s="182"/>
      <c r="AC20" s="49">
        <f t="shared" si="16"/>
        <v>6</v>
      </c>
      <c r="AD20" s="49">
        <f t="shared" si="17"/>
        <v>6</v>
      </c>
    </row>
    <row r="21" spans="1:30" s="190" customFormat="1" ht="38" customHeight="1" x14ac:dyDescent="0.15">
      <c r="A21" s="186">
        <v>48013020</v>
      </c>
      <c r="B21" s="186" t="s">
        <v>418</v>
      </c>
      <c r="C21" s="187">
        <v>1</v>
      </c>
      <c r="D21" s="187" t="s">
        <v>127</v>
      </c>
      <c r="E21" s="188" t="s">
        <v>437</v>
      </c>
      <c r="F21" s="188" t="s">
        <v>385</v>
      </c>
      <c r="G21" s="188" t="str">
        <f t="shared" si="0"/>
        <v>[effect:enemy_message, val1:1.5, val2:1.9]</v>
      </c>
      <c r="H21" s="188">
        <f t="shared" si="1"/>
        <v>9</v>
      </c>
      <c r="I21" s="188">
        <f t="shared" si="2"/>
        <v>22</v>
      </c>
      <c r="J21" s="188" t="e">
        <f t="shared" si="3"/>
        <v>#VALUE!</v>
      </c>
      <c r="K21" s="188">
        <f t="shared" si="4"/>
        <v>32</v>
      </c>
      <c r="L21" s="188" t="str">
        <f>IFERROR(VLOOKUP(MID(G21,J21,K21-J21),[5]skilldef!$C:$D,2,FALSE),"-") &amp; " / " &amp; IFERROR(VLOOKUP(MID(G21,H21,I21-H21),[5]skilldef!$A:$B,2,FALSE),"-")</f>
        <v>- / -</v>
      </c>
      <c r="M21" s="188" t="str">
        <f t="shared" si="5"/>
        <v>[effect:fix_speed, target:myself, turn:1],[effect:enhance_unit, target:unit_dragon, turn:3, status:attack, val:0.5, calc:mul]</v>
      </c>
      <c r="N21" s="186" t="str">
        <f>IFERROR(LEFT(M21,FIND("],",M21)+S41),M21)</f>
        <v>[effect:fix_speed, target:myself, turn:1],[effect:enhance_unit, target:unit_dragon, turn:3, status:attack, val:0.5, calc:mul]</v>
      </c>
      <c r="O21" s="188">
        <f t="shared" si="7"/>
        <v>9</v>
      </c>
      <c r="P21" s="188">
        <f t="shared" si="8"/>
        <v>18</v>
      </c>
      <c r="Q21" s="188">
        <f t="shared" si="9"/>
        <v>27</v>
      </c>
      <c r="R21" s="188">
        <f t="shared" si="10"/>
        <v>33</v>
      </c>
      <c r="S21" s="188" t="str">
        <f>IFERROR(VLOOKUP(MID(N21,Q21,R21-Q21),[5]skilldef!$C:$D,2,FALSE),"-") &amp; " / " &amp; IFERROR(VLOOKUP(MID(N21,O21,P21-O21),[5]skilldef!$A:$B,2,FALSE),"-")</f>
        <v>自分自身に / 行動値設定</v>
      </c>
      <c r="T21" s="186" t="str">
        <f t="shared" si="11"/>
        <v>[effect:enhance_unit, target:unit_dragon, turn:3, status:attack, val:0.5, calc:mul]</v>
      </c>
      <c r="U21" s="188">
        <f t="shared" si="12"/>
        <v>9</v>
      </c>
      <c r="V21" s="188">
        <f t="shared" si="13"/>
        <v>21</v>
      </c>
      <c r="W21" s="188">
        <f t="shared" si="14"/>
        <v>30</v>
      </c>
      <c r="X21" s="188">
        <f t="shared" si="15"/>
        <v>41</v>
      </c>
      <c r="Y21" s="188" t="str">
        <f>IFERROR(VLOOKUP(MID(T21,W21,X21-W21),[5]skilldef!$C:$D,2,FALSE),"-") &amp; " / " &amp; IFERROR(VLOOKUP(MID(T21,U21,V21-U21),[5]skilldef!$A:$B,2,FALSE),"-")</f>
        <v>ドラゴンの味方に / -</v>
      </c>
      <c r="Z21" s="187"/>
      <c r="AA21" s="189"/>
      <c r="AB21" s="187"/>
      <c r="AC21" s="49">
        <f t="shared" si="16"/>
        <v>15</v>
      </c>
      <c r="AD21" s="49">
        <f t="shared" si="17"/>
        <v>19</v>
      </c>
    </row>
    <row r="22" spans="1:30" s="190" customFormat="1" ht="70" x14ac:dyDescent="0.15">
      <c r="A22" s="186">
        <v>48013021</v>
      </c>
      <c r="B22" s="186" t="s">
        <v>517</v>
      </c>
      <c r="C22" s="187">
        <v>1</v>
      </c>
      <c r="D22" s="187" t="s">
        <v>127</v>
      </c>
      <c r="E22" s="188" t="s">
        <v>409</v>
      </c>
      <c r="F22" s="188" t="s">
        <v>516</v>
      </c>
      <c r="G22" s="188" t="str">
        <f t="shared" si="0"/>
        <v>[effect:enemy_message, val1:1.4, val2:2.5]</v>
      </c>
      <c r="H22" s="188">
        <f t="shared" si="1"/>
        <v>9</v>
      </c>
      <c r="I22" s="188">
        <f t="shared" si="2"/>
        <v>22</v>
      </c>
      <c r="J22" s="188" t="e">
        <f t="shared" si="3"/>
        <v>#VALUE!</v>
      </c>
      <c r="K22" s="188">
        <f t="shared" si="4"/>
        <v>32</v>
      </c>
      <c r="L22" s="188" t="str">
        <f>IFERROR(VLOOKUP(MID(G22,J22,K22-J22),[5]skilldef!$C:$D,2,FALSE),"-") &amp; " / " &amp; IFERROR(VLOOKUP(MID(G22,H22,I22-H22),[5]skilldef!$A:$B,2,FALSE),"-")</f>
        <v>- / -</v>
      </c>
      <c r="M22" s="188" t="str">
        <f t="shared" si="5"/>
        <v>[effect:rush, count:1, val:1],[effect:force_change_block, new_block:damage, target:block_green, count:5, val:0.1, animation:change_block]</v>
      </c>
      <c r="N22" s="186" t="str">
        <f>IFERROR(LEFT(M22,FIND("],",M22)+S48),M22)</f>
        <v>[effect:rush, count:1, val:1],[effect:force_change_block, new_block:damage, target:block_green, count:5, val:0.1, animation:change_block]</v>
      </c>
      <c r="O22" s="188">
        <f t="shared" si="7"/>
        <v>9</v>
      </c>
      <c r="P22" s="188">
        <f t="shared" si="8"/>
        <v>13</v>
      </c>
      <c r="Q22" s="188">
        <f t="shared" si="9"/>
        <v>84</v>
      </c>
      <c r="R22" s="188">
        <f t="shared" si="10"/>
        <v>22</v>
      </c>
      <c r="S22" s="188" t="str">
        <f>IFERROR(VLOOKUP(MID(N22,Q22,R22-Q22),[5]skilldef!$C:$D,2,FALSE),"-") &amp; " / " &amp; IFERROR(VLOOKUP(MID(N22,O22,P22-O22),[5]skilldef!$A:$B,2,FALSE),"-")</f>
        <v>- / 連続攻撃</v>
      </c>
      <c r="T22" s="186" t="str">
        <f t="shared" si="11"/>
        <v>[effect:force_change_block, new_block:damage, target:block_green, count:5, val:0.1, animation:change_block]</v>
      </c>
      <c r="U22" s="188">
        <f t="shared" si="12"/>
        <v>9</v>
      </c>
      <c r="V22" s="188">
        <f t="shared" si="13"/>
        <v>27</v>
      </c>
      <c r="W22" s="188">
        <f t="shared" si="14"/>
        <v>54</v>
      </c>
      <c r="X22" s="188">
        <f t="shared" si="15"/>
        <v>45</v>
      </c>
      <c r="Y22" s="188" t="str">
        <f>IFERROR(VLOOKUP(MID(T22,W22,X22-W22),[5]skilldef!$C:$D,2,FALSE),"-") &amp; " / " &amp; IFERROR(VLOOKUP(MID(T22,U22,V22-U22),[5]skilldef!$A:$B,2,FALSE),"-")</f>
        <v>- / -</v>
      </c>
      <c r="Z22" s="187"/>
      <c r="AA22" s="189"/>
      <c r="AB22" s="187"/>
      <c r="AC22" s="49">
        <f t="shared" si="16"/>
        <v>14</v>
      </c>
      <c r="AD22" s="49">
        <f t="shared" si="17"/>
        <v>25</v>
      </c>
    </row>
    <row r="23" spans="1:30" s="190" customFormat="1" ht="21" customHeight="1" x14ac:dyDescent="0.15">
      <c r="A23" s="186">
        <v>48013022</v>
      </c>
      <c r="B23" s="186" t="s">
        <v>513</v>
      </c>
      <c r="C23" s="187">
        <v>1</v>
      </c>
      <c r="D23" s="187" t="s">
        <v>127</v>
      </c>
      <c r="E23" s="188" t="s">
        <v>512</v>
      </c>
      <c r="F23" s="188" t="s">
        <v>374</v>
      </c>
      <c r="G23" s="188" t="str">
        <f t="shared" si="0"/>
        <v>[effect:enemy_message, val1:1.3, val2:1.7]</v>
      </c>
      <c r="H23" s="188">
        <f t="shared" si="1"/>
        <v>9</v>
      </c>
      <c r="I23" s="188">
        <f t="shared" si="2"/>
        <v>22</v>
      </c>
      <c r="J23" s="188" t="e">
        <f t="shared" si="3"/>
        <v>#VALUE!</v>
      </c>
      <c r="K23" s="188">
        <f t="shared" si="4"/>
        <v>32</v>
      </c>
      <c r="L23" s="188" t="str">
        <f>IFERROR(VLOOKUP(MID(G23,J23,K23-J23),[5]skilldef!$C:$D,2,FALSE),"-") &amp; " / " &amp; IFERROR(VLOOKUP(MID(G23,H23,I23-H23),[5]skilldef!$A:$B,2,FALSE),"-")</f>
        <v>- / -</v>
      </c>
      <c r="M23" s="188" t="str">
        <f t="shared" si="5"/>
        <v>[effect:break_enchance_enemy, target:myself, val:500, lowest_val:500, count:-1, status:defense, turn:-1, block01:damage, calc:add, animation:enemy_enhance_defense]</v>
      </c>
      <c r="N23" s="186" t="str">
        <f>IFERROR(LEFT(M23,FIND("],",M23)+S49),M23)</f>
        <v>[effect:break_enchance_enemy, target:myself, val:500, lowest_val:500, count:-1, status:defense, turn:-1, block01:damage, calc:add, animation:enemy_enhance_defense]</v>
      </c>
      <c r="O23" s="188">
        <f t="shared" si="7"/>
        <v>9</v>
      </c>
      <c r="P23" s="188">
        <f t="shared" si="8"/>
        <v>29</v>
      </c>
      <c r="Q23" s="188">
        <f t="shared" si="9"/>
        <v>38</v>
      </c>
      <c r="R23" s="188">
        <f t="shared" si="10"/>
        <v>44</v>
      </c>
      <c r="S23" s="188" t="str">
        <f>IFERROR(VLOOKUP(MID(N23,Q23,R23-Q23),[5]skilldef!$C:$D,2,FALSE),"-") &amp; " / " &amp; IFERROR(VLOOKUP(MID(N23,O23,P23-O23),[5]skilldef!$A:$B,2,FALSE),"-")</f>
        <v>自分自身に / -</v>
      </c>
      <c r="T23" s="186" t="str">
        <f t="shared" si="11"/>
        <v>none</v>
      </c>
      <c r="U23" s="188" t="e">
        <f t="shared" si="12"/>
        <v>#VALUE!</v>
      </c>
      <c r="V23" s="188">
        <f t="shared" si="13"/>
        <v>4</v>
      </c>
      <c r="W23" s="188" t="e">
        <f t="shared" si="14"/>
        <v>#VALUE!</v>
      </c>
      <c r="X23" s="188" t="e">
        <f t="shared" si="15"/>
        <v>#VALUE!</v>
      </c>
      <c r="Y23" s="188" t="str">
        <f>IFERROR(VLOOKUP(MID(T23,W23,X23-W23),[5]skilldef!$C:$D,2,FALSE),"-") &amp; " / " &amp; IFERROR(VLOOKUP(MID(T23,U23,V23-U23),[5]skilldef!$A:$B,2,FALSE),"-")</f>
        <v>- / -</v>
      </c>
      <c r="Z23" s="187"/>
      <c r="AA23" s="189"/>
      <c r="AB23" s="187"/>
      <c r="AC23" s="49">
        <f t="shared" si="16"/>
        <v>13</v>
      </c>
      <c r="AD23" s="49">
        <f t="shared" si="17"/>
        <v>17</v>
      </c>
    </row>
    <row r="24" spans="1:30" s="190" customFormat="1" ht="40" customHeight="1" x14ac:dyDescent="0.15">
      <c r="A24" s="186">
        <v>48013023</v>
      </c>
      <c r="B24" s="186" t="s">
        <v>419</v>
      </c>
      <c r="C24" s="187">
        <v>1</v>
      </c>
      <c r="D24" s="187" t="s">
        <v>127</v>
      </c>
      <c r="E24" s="188" t="s">
        <v>410</v>
      </c>
      <c r="F24" s="188" t="s">
        <v>285</v>
      </c>
      <c r="G24" s="188" t="str">
        <f t="shared" si="0"/>
        <v>[effect:enemy_message, val1:1.2, val2:1.3]</v>
      </c>
      <c r="H24" s="188">
        <f t="shared" si="1"/>
        <v>9</v>
      </c>
      <c r="I24" s="188">
        <f t="shared" si="2"/>
        <v>22</v>
      </c>
      <c r="J24" s="188" t="e">
        <f t="shared" si="3"/>
        <v>#VALUE!</v>
      </c>
      <c r="K24" s="188">
        <f t="shared" si="4"/>
        <v>32</v>
      </c>
      <c r="L24" s="188" t="str">
        <f>IFERROR(VLOOKUP(MID(G24,J24,K24-J24),[5]skilldef!$C:$D,2,FALSE),"-") &amp; " / " &amp; IFERROR(VLOOKUP(MID(G24,H24,I24-H24),[5]skilldef!$A:$B,2,FALSE),"-")</f>
        <v>- / -</v>
      </c>
      <c r="M24" s="188" t="str">
        <f t="shared" si="5"/>
        <v>[effect:change_panel_ratio, turn:4, block_type:green, val:0.4, animation:block_incidence04]</v>
      </c>
      <c r="N24" s="186" t="str">
        <f>IFERROR(LEFT(M24,FIND("],",M24)+S51),M24)</f>
        <v>[effect:change_panel_ratio, turn:4, block_type:green, val:0.4, animation:block_incidence04]</v>
      </c>
      <c r="O24" s="188">
        <f t="shared" si="7"/>
        <v>9</v>
      </c>
      <c r="P24" s="188">
        <f t="shared" si="8"/>
        <v>27</v>
      </c>
      <c r="Q24" s="188" t="e">
        <f t="shared" si="9"/>
        <v>#VALUE!</v>
      </c>
      <c r="R24" s="188">
        <f t="shared" si="10"/>
        <v>35</v>
      </c>
      <c r="S24" s="188" t="str">
        <f>IFERROR(VLOOKUP(MID(N24,Q24,R24-Q24),[5]skilldef!$C:$D,2,FALSE),"-") &amp; " / " &amp; IFERROR(VLOOKUP(MID(N24,O24,P24-O24),[5]skilldef!$A:$B,2,FALSE),"-")</f>
        <v>- / -</v>
      </c>
      <c r="T24" s="186" t="str">
        <f t="shared" si="11"/>
        <v>none</v>
      </c>
      <c r="U24" s="188" t="e">
        <f t="shared" si="12"/>
        <v>#VALUE!</v>
      </c>
      <c r="V24" s="188">
        <f t="shared" si="13"/>
        <v>4</v>
      </c>
      <c r="W24" s="188" t="e">
        <f t="shared" si="14"/>
        <v>#VALUE!</v>
      </c>
      <c r="X24" s="188" t="e">
        <f t="shared" si="15"/>
        <v>#VALUE!</v>
      </c>
      <c r="Y24" s="188" t="str">
        <f>IFERROR(VLOOKUP(MID(T24,W24,X24-W24),[5]skilldef!$C:$D,2,FALSE),"-") &amp; " / " &amp; IFERROR(VLOOKUP(MID(T24,U24,V24-U24),[5]skilldef!$A:$B,2,FALSE),"-")</f>
        <v>- / -</v>
      </c>
      <c r="Z24" s="187"/>
      <c r="AA24" s="189"/>
      <c r="AB24" s="187"/>
      <c r="AC24" s="49">
        <f t="shared" si="16"/>
        <v>6</v>
      </c>
      <c r="AD24" s="49">
        <f t="shared" si="17"/>
        <v>13</v>
      </c>
    </row>
    <row r="25" spans="1:30" s="190" customFormat="1" ht="21" customHeight="1" x14ac:dyDescent="0.15">
      <c r="A25" s="186">
        <v>48013024</v>
      </c>
      <c r="B25" s="186" t="s">
        <v>420</v>
      </c>
      <c r="C25" s="187">
        <v>1</v>
      </c>
      <c r="D25" s="187" t="s">
        <v>355</v>
      </c>
      <c r="E25" s="198" t="s">
        <v>514</v>
      </c>
      <c r="F25" s="188" t="s">
        <v>496</v>
      </c>
      <c r="G25" s="188" t="str">
        <f t="shared" si="0"/>
        <v>[effect:enemy_message, val1:1.2, val2:1.9]</v>
      </c>
      <c r="H25" s="188">
        <f t="shared" si="1"/>
        <v>9</v>
      </c>
      <c r="I25" s="188">
        <f t="shared" si="2"/>
        <v>22</v>
      </c>
      <c r="J25" s="188" t="e">
        <f t="shared" si="3"/>
        <v>#VALUE!</v>
      </c>
      <c r="K25" s="188">
        <f t="shared" si="4"/>
        <v>32</v>
      </c>
      <c r="L25" s="188" t="str">
        <f>IFERROR(VLOOKUP(MID(G25,J25,K25-J25),[5]skilldef!$C:$D,2,FALSE),"-") &amp; " / " &amp; IFERROR(VLOOKUP(MID(G25,H25,I25-H25),[5]skilldef!$A:$B,2,FALSE),"-")</f>
        <v>- / -</v>
      </c>
      <c r="M25" s="188" t="str">
        <f t="shared" si="5"/>
        <v>[effect:attack_break, target:unit_dragon/not, turn:-1, val:0.3, calc:mul, animation:attack_break01]</v>
      </c>
      <c r="N25" s="186" t="str">
        <f>IFERROR(LEFT(M25,FIND("],",M25)+S53),M25)</f>
        <v>[effect:attack_break, target:unit_dragon/not, turn:-1, val:0.3, calc:mul, animation:attack_break01]</v>
      </c>
      <c r="O25" s="188">
        <f t="shared" si="7"/>
        <v>9</v>
      </c>
      <c r="P25" s="188">
        <f t="shared" si="8"/>
        <v>21</v>
      </c>
      <c r="Q25" s="188">
        <f t="shared" si="9"/>
        <v>30</v>
      </c>
      <c r="R25" s="188">
        <f t="shared" si="10"/>
        <v>45</v>
      </c>
      <c r="S25" s="188" t="str">
        <f>IFERROR(VLOOKUP(MID(N25,Q25,R25-Q25),[5]skilldef!$C:$D,2,FALSE),"-") &amp; " / " &amp; IFERROR(VLOOKUP(MID(N25,O25,P25-O25),[5]skilldef!$A:$B,2,FALSE),"-")</f>
        <v>- / -</v>
      </c>
      <c r="T25" s="186" t="str">
        <f t="shared" si="11"/>
        <v>none</v>
      </c>
      <c r="U25" s="188" t="e">
        <f t="shared" si="12"/>
        <v>#VALUE!</v>
      </c>
      <c r="V25" s="188">
        <f t="shared" si="13"/>
        <v>4</v>
      </c>
      <c r="W25" s="188" t="e">
        <f t="shared" si="14"/>
        <v>#VALUE!</v>
      </c>
      <c r="X25" s="188" t="e">
        <f t="shared" si="15"/>
        <v>#VALUE!</v>
      </c>
      <c r="Y25" s="188" t="str">
        <f>IFERROR(VLOOKUP(MID(T25,W25,X25-W25),[5]skilldef!$C:$D,2,FALSE),"-") &amp; " / " &amp; IFERROR(VLOOKUP(MID(T25,U25,V25-U25),[5]skilldef!$A:$B,2,FALSE),"-")</f>
        <v>- / -</v>
      </c>
      <c r="Z25" s="187"/>
      <c r="AA25" s="189"/>
      <c r="AB25" s="187"/>
      <c r="AC25" s="49">
        <f t="shared" si="16"/>
        <v>10</v>
      </c>
      <c r="AD25" s="49">
        <f t="shared" si="17"/>
        <v>19</v>
      </c>
    </row>
    <row r="26" spans="1:30" s="195" customFormat="1" ht="37" customHeight="1" x14ac:dyDescent="0.15">
      <c r="A26" s="191">
        <v>48013025</v>
      </c>
      <c r="B26" s="191" t="s">
        <v>484</v>
      </c>
      <c r="C26" s="192">
        <v>1</v>
      </c>
      <c r="D26" s="192" t="s">
        <v>355</v>
      </c>
      <c r="E26" s="193" t="s">
        <v>438</v>
      </c>
      <c r="F26" s="193" t="s">
        <v>386</v>
      </c>
      <c r="G26" s="193" t="str">
        <f t="shared" si="0"/>
        <v>[effect:enemy_message, val1:1.6, val2:0]</v>
      </c>
      <c r="H26" s="193">
        <f t="shared" si="1"/>
        <v>9</v>
      </c>
      <c r="I26" s="193">
        <f t="shared" si="2"/>
        <v>22</v>
      </c>
      <c r="J26" s="193" t="e">
        <f t="shared" si="3"/>
        <v>#VALUE!</v>
      </c>
      <c r="K26" s="193">
        <f t="shared" si="4"/>
        <v>32</v>
      </c>
      <c r="L26" s="193"/>
      <c r="M26" s="193" t="str">
        <f t="shared" si="5"/>
        <v>[effect:suicide, target:myself, val:1, dead_type:escape, animation:enemy_suicide]</v>
      </c>
      <c r="N26" s="191"/>
      <c r="O26" s="193"/>
      <c r="P26" s="193"/>
      <c r="Q26" s="193"/>
      <c r="R26" s="193"/>
      <c r="S26" s="193"/>
      <c r="T26" s="191" t="str">
        <f t="shared" si="11"/>
        <v>none</v>
      </c>
      <c r="U26" s="193" t="e">
        <f t="shared" si="12"/>
        <v>#VALUE!</v>
      </c>
      <c r="V26" s="193">
        <f t="shared" si="13"/>
        <v>4</v>
      </c>
      <c r="W26" s="193" t="e">
        <f t="shared" si="14"/>
        <v>#VALUE!</v>
      </c>
      <c r="X26" s="193" t="e">
        <f t="shared" si="15"/>
        <v>#VALUE!</v>
      </c>
      <c r="Y26" s="193"/>
      <c r="Z26" s="192"/>
      <c r="AA26" s="194"/>
      <c r="AB26" s="192"/>
      <c r="AC26" s="49">
        <f t="shared" si="16"/>
        <v>16</v>
      </c>
      <c r="AD26" s="49">
        <f t="shared" si="17"/>
        <v>7</v>
      </c>
    </row>
    <row r="27" spans="1:30" s="195" customFormat="1" ht="84" x14ac:dyDescent="0.15">
      <c r="A27" s="191">
        <v>48013026</v>
      </c>
      <c r="B27" s="191" t="s">
        <v>523</v>
      </c>
      <c r="C27" s="192">
        <v>1</v>
      </c>
      <c r="D27" s="192" t="s">
        <v>355</v>
      </c>
      <c r="E27" s="193" t="s">
        <v>454</v>
      </c>
      <c r="F27" s="193" t="s">
        <v>521</v>
      </c>
      <c r="G27" s="193" t="str">
        <f t="shared" si="0"/>
        <v>[effect:enemy_message, val1:2.1, val2:2.0]</v>
      </c>
      <c r="H27" s="193">
        <f t="shared" si="1"/>
        <v>9</v>
      </c>
      <c r="I27" s="193">
        <f t="shared" si="2"/>
        <v>22</v>
      </c>
      <c r="J27" s="193" t="e">
        <f t="shared" si="3"/>
        <v>#VALUE!</v>
      </c>
      <c r="K27" s="193">
        <f t="shared" si="4"/>
        <v>32</v>
      </c>
      <c r="L27" s="193"/>
      <c r="M27" s="193" t="str">
        <f t="shared" si="5"/>
        <v>[effect:sp_boost, target:unit_dragon, val:4, animation:sp_boost_one02],[effect:suicide, target:myself, val:1, dead_type:escape, animation:enemy_suicide]</v>
      </c>
      <c r="N27" s="191"/>
      <c r="O27" s="193"/>
      <c r="P27" s="193"/>
      <c r="Q27" s="193"/>
      <c r="R27" s="193"/>
      <c r="S27" s="193"/>
      <c r="T27" s="191" t="str">
        <f t="shared" si="11"/>
        <v>[effect:suicide, target:myself, val:1, dead_type:escape, animation:enemy_suicide]</v>
      </c>
      <c r="U27" s="193">
        <f t="shared" si="12"/>
        <v>9</v>
      </c>
      <c r="V27" s="193">
        <f t="shared" si="13"/>
        <v>16</v>
      </c>
      <c r="W27" s="193">
        <f t="shared" si="14"/>
        <v>25</v>
      </c>
      <c r="X27" s="193">
        <f t="shared" si="15"/>
        <v>31</v>
      </c>
      <c r="Y27" s="193"/>
      <c r="Z27" s="192"/>
      <c r="AA27" s="194"/>
      <c r="AB27" s="192"/>
      <c r="AC27" s="49">
        <f t="shared" si="16"/>
        <v>21</v>
      </c>
      <c r="AD27" s="49">
        <f t="shared" si="17"/>
        <v>20</v>
      </c>
    </row>
    <row r="28" spans="1:30" s="195" customFormat="1" ht="84" x14ac:dyDescent="0.15">
      <c r="A28" s="191">
        <v>48013027</v>
      </c>
      <c r="B28" s="191" t="s">
        <v>523</v>
      </c>
      <c r="C28" s="192">
        <v>1</v>
      </c>
      <c r="D28" s="192" t="s">
        <v>355</v>
      </c>
      <c r="E28" s="193" t="s">
        <v>455</v>
      </c>
      <c r="F28" s="193" t="s">
        <v>522</v>
      </c>
      <c r="G28" s="193" t="str">
        <f t="shared" si="0"/>
        <v>[effect:enemy_message, val1:2.1, val2:2.0]</v>
      </c>
      <c r="H28" s="193">
        <f t="shared" si="1"/>
        <v>9</v>
      </c>
      <c r="I28" s="193">
        <f t="shared" si="2"/>
        <v>22</v>
      </c>
      <c r="J28" s="193" t="e">
        <f t="shared" si="3"/>
        <v>#VALUE!</v>
      </c>
      <c r="K28" s="193">
        <f t="shared" si="4"/>
        <v>32</v>
      </c>
      <c r="L28" s="193"/>
      <c r="M28" s="193" t="str">
        <f t="shared" si="5"/>
        <v>[effect:sp_boost, target:unit_dragon, val:4, animation:sp_boost_one02],[effect:suicide, target:myself, val:1, dead_type:escape, animation:enemy_suicide]</v>
      </c>
      <c r="N28" s="191"/>
      <c r="O28" s="193"/>
      <c r="P28" s="193"/>
      <c r="Q28" s="193"/>
      <c r="R28" s="193"/>
      <c r="S28" s="193"/>
      <c r="T28" s="191" t="str">
        <f t="shared" si="11"/>
        <v>[effect:suicide, target:myself, val:1, dead_type:escape, animation:enemy_suicide]</v>
      </c>
      <c r="U28" s="193">
        <f t="shared" si="12"/>
        <v>9</v>
      </c>
      <c r="V28" s="193">
        <f t="shared" si="13"/>
        <v>16</v>
      </c>
      <c r="W28" s="193">
        <f t="shared" si="14"/>
        <v>25</v>
      </c>
      <c r="X28" s="193">
        <f t="shared" si="15"/>
        <v>31</v>
      </c>
      <c r="Y28" s="193"/>
      <c r="Z28" s="192"/>
      <c r="AA28" s="194"/>
      <c r="AB28" s="192"/>
      <c r="AC28" s="49">
        <f t="shared" si="16"/>
        <v>21</v>
      </c>
      <c r="AD28" s="49">
        <f t="shared" si="17"/>
        <v>20</v>
      </c>
    </row>
    <row r="29" spans="1:30" s="195" customFormat="1" ht="84" x14ac:dyDescent="0.15">
      <c r="A29" s="191">
        <v>48013028</v>
      </c>
      <c r="B29" s="191" t="s">
        <v>524</v>
      </c>
      <c r="C29" s="192">
        <v>1</v>
      </c>
      <c r="D29" s="192" t="s">
        <v>355</v>
      </c>
      <c r="E29" s="193" t="s">
        <v>456</v>
      </c>
      <c r="F29" s="193" t="s">
        <v>522</v>
      </c>
      <c r="G29" s="193" t="str">
        <f t="shared" si="0"/>
        <v>[effect:enemy_message, val1:2.2, val2:2.0]</v>
      </c>
      <c r="H29" s="193">
        <f t="shared" si="1"/>
        <v>9</v>
      </c>
      <c r="I29" s="193">
        <f t="shared" si="2"/>
        <v>22</v>
      </c>
      <c r="J29" s="193" t="e">
        <f t="shared" si="3"/>
        <v>#VALUE!</v>
      </c>
      <c r="K29" s="193">
        <f t="shared" si="4"/>
        <v>32</v>
      </c>
      <c r="L29" s="193"/>
      <c r="M29" s="193" t="str">
        <f t="shared" si="5"/>
        <v>[effect:sp_boost, target:unit_dragon, val:4, animation:sp_boost_one02],[effect:suicide, target:myself, val:1, dead_type:escape, animation:enemy_suicide]</v>
      </c>
      <c r="N29" s="191"/>
      <c r="O29" s="193"/>
      <c r="P29" s="193"/>
      <c r="Q29" s="193"/>
      <c r="R29" s="193"/>
      <c r="S29" s="193"/>
      <c r="T29" s="191" t="str">
        <f t="shared" si="11"/>
        <v>[effect:suicide, target:myself, val:1, dead_type:escape, animation:enemy_suicide]</v>
      </c>
      <c r="U29" s="193">
        <f t="shared" si="12"/>
        <v>9</v>
      </c>
      <c r="V29" s="193">
        <f t="shared" si="13"/>
        <v>16</v>
      </c>
      <c r="W29" s="193">
        <f t="shared" si="14"/>
        <v>25</v>
      </c>
      <c r="X29" s="193">
        <f t="shared" si="15"/>
        <v>31</v>
      </c>
      <c r="Y29" s="193"/>
      <c r="Z29" s="192"/>
      <c r="AA29" s="194"/>
      <c r="AB29" s="192"/>
      <c r="AC29" s="49">
        <f t="shared" si="16"/>
        <v>22</v>
      </c>
      <c r="AD29" s="49">
        <f t="shared" si="17"/>
        <v>20</v>
      </c>
    </row>
    <row r="30" spans="1:30" s="195" customFormat="1" ht="84" x14ac:dyDescent="0.15">
      <c r="A30" s="191">
        <v>48013029</v>
      </c>
      <c r="B30" s="191" t="s">
        <v>524</v>
      </c>
      <c r="C30" s="192">
        <v>1</v>
      </c>
      <c r="D30" s="192" t="s">
        <v>355</v>
      </c>
      <c r="E30" s="193" t="s">
        <v>456</v>
      </c>
      <c r="F30" s="193" t="s">
        <v>522</v>
      </c>
      <c r="G30" s="193" t="str">
        <f t="shared" si="0"/>
        <v>[effect:enemy_message, val1:2.2, val2:2.0]</v>
      </c>
      <c r="H30" s="193">
        <f t="shared" si="1"/>
        <v>9</v>
      </c>
      <c r="I30" s="193">
        <f t="shared" si="2"/>
        <v>22</v>
      </c>
      <c r="J30" s="193" t="e">
        <f t="shared" si="3"/>
        <v>#VALUE!</v>
      </c>
      <c r="K30" s="193">
        <f t="shared" si="4"/>
        <v>32</v>
      </c>
      <c r="L30" s="193"/>
      <c r="M30" s="193" t="str">
        <f t="shared" si="5"/>
        <v>[effect:sp_boost, target:unit_dragon, val:4, animation:sp_boost_one02],[effect:suicide, target:myself, val:1, dead_type:escape, animation:enemy_suicide]</v>
      </c>
      <c r="N30" s="191"/>
      <c r="O30" s="193"/>
      <c r="P30" s="193"/>
      <c r="Q30" s="193"/>
      <c r="R30" s="193"/>
      <c r="S30" s="193"/>
      <c r="T30" s="191" t="str">
        <f t="shared" si="11"/>
        <v>[effect:suicide, target:myself, val:1, dead_type:escape, animation:enemy_suicide]</v>
      </c>
      <c r="U30" s="193">
        <f t="shared" si="12"/>
        <v>9</v>
      </c>
      <c r="V30" s="193">
        <f t="shared" si="13"/>
        <v>16</v>
      </c>
      <c r="W30" s="193">
        <f t="shared" si="14"/>
        <v>25</v>
      </c>
      <c r="X30" s="193">
        <f t="shared" si="15"/>
        <v>31</v>
      </c>
      <c r="Y30" s="193"/>
      <c r="Z30" s="192"/>
      <c r="AA30" s="194"/>
      <c r="AB30" s="192"/>
      <c r="AC30" s="49">
        <f t="shared" si="16"/>
        <v>22</v>
      </c>
      <c r="AD30" s="49">
        <f t="shared" si="17"/>
        <v>20</v>
      </c>
    </row>
    <row r="31" spans="1:30" s="157" customFormat="1" ht="21" customHeight="1" x14ac:dyDescent="0.15">
      <c r="A31" s="153">
        <v>48013030</v>
      </c>
      <c r="B31" s="153" t="s">
        <v>473</v>
      </c>
      <c r="C31" s="154">
        <v>1</v>
      </c>
      <c r="D31" s="154" t="s">
        <v>127</v>
      </c>
      <c r="E31" s="155" t="s">
        <v>443</v>
      </c>
      <c r="F31" s="155" t="s">
        <v>387</v>
      </c>
      <c r="G31" s="155" t="str">
        <f t="shared" si="0"/>
        <v>[effect:enemy_message, val1:1.7, val2:0]</v>
      </c>
      <c r="H31" s="155">
        <f t="shared" si="1"/>
        <v>9</v>
      </c>
      <c r="I31" s="155">
        <f t="shared" si="2"/>
        <v>22</v>
      </c>
      <c r="J31" s="155" t="e">
        <f t="shared" si="3"/>
        <v>#VALUE!</v>
      </c>
      <c r="K31" s="155">
        <f t="shared" si="4"/>
        <v>32</v>
      </c>
      <c r="L31" s="155" t="str">
        <f>IFERROR(VLOOKUP(MID(G31,J31,K31-J31),[5]skilldef!$C:$D,2,FALSE),"-") &amp; " / " &amp; IFERROR(VLOOKUP(MID(G31,H31,I31-H31),[5]skilldef!$A:$B,2,FALSE),"-")</f>
        <v>- / -</v>
      </c>
      <c r="M31" s="155" t="str">
        <f t="shared" si="5"/>
        <v>[effect:fix_speed, target:myself, turn:2]</v>
      </c>
      <c r="N31" s="153" t="str">
        <f>IFERROR(LEFT(M31,FIND("],",M31)+S54),M31)</f>
        <v>[effect:fix_speed, target:myself, turn:2]</v>
      </c>
      <c r="O31" s="155">
        <f t="shared" si="7"/>
        <v>9</v>
      </c>
      <c r="P31" s="155">
        <f t="shared" si="8"/>
        <v>18</v>
      </c>
      <c r="Q31" s="155">
        <f t="shared" si="9"/>
        <v>27</v>
      </c>
      <c r="R31" s="155">
        <f t="shared" si="10"/>
        <v>33</v>
      </c>
      <c r="S31" s="155" t="str">
        <f>IFERROR(VLOOKUP(MID(N31,Q31,R31-Q31),[5]skilldef!$C:$D,2,FALSE),"-") &amp; " / " &amp; IFERROR(VLOOKUP(MID(N31,O31,P31-O31),[5]skilldef!$A:$B,2,FALSE),"-")</f>
        <v>自分自身に / 行動値設定</v>
      </c>
      <c r="T31" s="153" t="str">
        <f t="shared" si="11"/>
        <v>none</v>
      </c>
      <c r="U31" s="155" t="e">
        <f t="shared" si="12"/>
        <v>#VALUE!</v>
      </c>
      <c r="V31" s="155">
        <f t="shared" si="13"/>
        <v>4</v>
      </c>
      <c r="W31" s="155" t="e">
        <f t="shared" si="14"/>
        <v>#VALUE!</v>
      </c>
      <c r="X31" s="155" t="e">
        <f t="shared" si="15"/>
        <v>#VALUE!</v>
      </c>
      <c r="Y31" s="155" t="str">
        <f>IFERROR(VLOOKUP(MID(T31,W31,X31-W31),[5]skilldef!$C:$D,2,FALSE),"-") &amp; " / " &amp; IFERROR(VLOOKUP(MID(T31,U31,V31-U31),[5]skilldef!$A:$B,2,FALSE),"-")</f>
        <v>- / -</v>
      </c>
      <c r="Z31" s="154"/>
      <c r="AA31" s="156"/>
      <c r="AB31" s="154"/>
      <c r="AC31" s="49">
        <f t="shared" si="16"/>
        <v>17</v>
      </c>
      <c r="AD31" s="49">
        <f t="shared" si="17"/>
        <v>7</v>
      </c>
    </row>
    <row r="32" spans="1:30" s="157" customFormat="1" ht="28" x14ac:dyDescent="0.15">
      <c r="A32" s="153">
        <v>48013031</v>
      </c>
      <c r="B32" s="153" t="s">
        <v>474</v>
      </c>
      <c r="C32" s="154">
        <v>1</v>
      </c>
      <c r="D32" s="154" t="s">
        <v>127</v>
      </c>
      <c r="E32" s="155" t="s">
        <v>457</v>
      </c>
      <c r="F32" s="155" t="s">
        <v>386</v>
      </c>
      <c r="G32" s="155" t="str">
        <f t="shared" si="0"/>
        <v>[effect:enemy_message, val1:1.5, val2:0]</v>
      </c>
      <c r="H32" s="155">
        <f t="shared" si="1"/>
        <v>9</v>
      </c>
      <c r="I32" s="155">
        <f t="shared" si="2"/>
        <v>22</v>
      </c>
      <c r="J32" s="155" t="e">
        <f t="shared" si="3"/>
        <v>#VALUE!</v>
      </c>
      <c r="K32" s="155">
        <f t="shared" si="4"/>
        <v>32</v>
      </c>
      <c r="L32" s="155" t="str">
        <f>IFERROR(VLOOKUP(MID(G32,J32,K32-J32),[5]skilldef!$C:$D,2,FALSE),"-") &amp; " / " &amp; IFERROR(VLOOKUP(MID(G32,H32,I32-H32),[5]skilldef!$A:$B,2,FALSE),"-")</f>
        <v>- / -</v>
      </c>
      <c r="M32" s="155" t="str">
        <f t="shared" si="5"/>
        <v>[effect:fix_speed, target:myself, turn:2]</v>
      </c>
      <c r="N32" s="153" t="str">
        <f>IFERROR(LEFT(M32,FIND("],",M32)+S55),M32)</f>
        <v>[effect:fix_speed, target:myself, turn:2]</v>
      </c>
      <c r="O32" s="155">
        <f t="shared" si="7"/>
        <v>9</v>
      </c>
      <c r="P32" s="155">
        <f t="shared" si="8"/>
        <v>18</v>
      </c>
      <c r="Q32" s="155">
        <f t="shared" si="9"/>
        <v>27</v>
      </c>
      <c r="R32" s="155">
        <f t="shared" si="10"/>
        <v>33</v>
      </c>
      <c r="S32" s="155" t="str">
        <f>IFERROR(VLOOKUP(MID(N32,Q32,R32-Q32),[5]skilldef!$C:$D,2,FALSE),"-") &amp; " / " &amp; IFERROR(VLOOKUP(MID(N32,O32,P32-O32),[5]skilldef!$A:$B,2,FALSE),"-")</f>
        <v>自分自身に / 行動値設定</v>
      </c>
      <c r="T32" s="153" t="str">
        <f t="shared" si="11"/>
        <v>none</v>
      </c>
      <c r="U32" s="155" t="e">
        <f t="shared" si="12"/>
        <v>#VALUE!</v>
      </c>
      <c r="V32" s="155">
        <f t="shared" si="13"/>
        <v>4</v>
      </c>
      <c r="W32" s="155" t="e">
        <f t="shared" si="14"/>
        <v>#VALUE!</v>
      </c>
      <c r="X32" s="155" t="e">
        <f t="shared" si="15"/>
        <v>#VALUE!</v>
      </c>
      <c r="Y32" s="155" t="str">
        <f>IFERROR(VLOOKUP(MID(T32,W32,X32-W32),[5]skilldef!$C:$D,2,FALSE),"-") &amp; " / " &amp; IFERROR(VLOOKUP(MID(T32,U32,V32-U32),[5]skilldef!$A:$B,2,FALSE),"-")</f>
        <v>- / -</v>
      </c>
      <c r="Z32" s="154"/>
      <c r="AA32" s="156"/>
      <c r="AB32" s="154"/>
      <c r="AC32" s="49">
        <f t="shared" si="16"/>
        <v>15</v>
      </c>
      <c r="AD32" s="49">
        <f t="shared" si="17"/>
        <v>7</v>
      </c>
    </row>
    <row r="33" spans="1:30" s="157" customFormat="1" ht="28" x14ac:dyDescent="0.15">
      <c r="A33" s="153">
        <v>48013032</v>
      </c>
      <c r="B33" s="153" t="s">
        <v>474</v>
      </c>
      <c r="C33" s="154">
        <v>1</v>
      </c>
      <c r="D33" s="154" t="s">
        <v>127</v>
      </c>
      <c r="E33" s="155" t="s">
        <v>457</v>
      </c>
      <c r="F33" s="155" t="s">
        <v>386</v>
      </c>
      <c r="G33" s="155" t="str">
        <f t="shared" ref="G33" si="63">IFERROR(LEFT(B33,FIND("],",B33)),B33)</f>
        <v>[effect:enemy_message, val1:1.5, val2:0]</v>
      </c>
      <c r="H33" s="155">
        <f t="shared" ref="H33" si="64">FIND("effect:",G33)+7</f>
        <v>9</v>
      </c>
      <c r="I33" s="155">
        <f t="shared" ref="I33" si="65">IFERROR(FIND(",",G33),LEN(G33))</f>
        <v>22</v>
      </c>
      <c r="J33" s="155" t="e">
        <f t="shared" ref="J33" si="66">FIND("target:",G33)+7</f>
        <v>#VALUE!</v>
      </c>
      <c r="K33" s="155">
        <f t="shared" ref="K33" si="67">FIND(",",G33,I33+1)</f>
        <v>32</v>
      </c>
      <c r="L33" s="155" t="str">
        <f>IFERROR(VLOOKUP(MID(G33,J33,K33-J33),[5]skilldef!$C:$D,2,FALSE),"-") &amp; " / " &amp; IFERROR(VLOOKUP(MID(G33,H33,I33-H33),[5]skilldef!$A:$B,2,FALSE),"-")</f>
        <v>- / -</v>
      </c>
      <c r="M33" s="155" t="str">
        <f t="shared" ref="M33" si="68">IFERROR(RIGHT(B33,LEN(B33)-FIND("],",B33)-1),"none")</f>
        <v>[effect:fix_speed, target:myself, turn:2]</v>
      </c>
      <c r="N33" s="153" t="str">
        <f>IFERROR(LEFT(M33,FIND("],",M33)+S56),M33)</f>
        <v>[effect:fix_speed, target:myself, turn:2]</v>
      </c>
      <c r="O33" s="155">
        <f t="shared" ref="O33" si="69">FIND("effect:",N33)+7</f>
        <v>9</v>
      </c>
      <c r="P33" s="155">
        <f t="shared" ref="P33" si="70">IFERROR(FIND(",",N33),LEN(N33))</f>
        <v>18</v>
      </c>
      <c r="Q33" s="155">
        <f t="shared" ref="Q33" si="71">FIND("target:",N33)+7</f>
        <v>27</v>
      </c>
      <c r="R33" s="155">
        <f t="shared" ref="R33" si="72">FIND(",",N33,P33+1)</f>
        <v>33</v>
      </c>
      <c r="S33" s="155" t="str">
        <f>IFERROR(VLOOKUP(MID(N33,Q33,R33-Q33),[5]skilldef!$C:$D,2,FALSE),"-") &amp; " / " &amp; IFERROR(VLOOKUP(MID(N33,O33,P33-O33),[5]skilldef!$A:$B,2,FALSE),"-")</f>
        <v>自分自身に / 行動値設定</v>
      </c>
      <c r="T33" s="153" t="str">
        <f t="shared" ref="T33" si="73">IFERROR(RIGHT(M33,LEN(M33)-FIND("],",M33)-1),"none")</f>
        <v>none</v>
      </c>
      <c r="U33" s="155" t="e">
        <f t="shared" ref="U33" si="74">FIND("effect:",T33)+7</f>
        <v>#VALUE!</v>
      </c>
      <c r="V33" s="155">
        <f t="shared" ref="V33" si="75">IFERROR(FIND(",",T33),LEN(T33))</f>
        <v>4</v>
      </c>
      <c r="W33" s="155" t="e">
        <f t="shared" ref="W33" si="76">FIND("target:",T33)+7</f>
        <v>#VALUE!</v>
      </c>
      <c r="X33" s="155" t="e">
        <f t="shared" ref="X33" si="77">FIND(",",T33,V33+1)</f>
        <v>#VALUE!</v>
      </c>
      <c r="Y33" s="155" t="str">
        <f>IFERROR(VLOOKUP(MID(T33,W33,X33-W33),[5]skilldef!$C:$D,2,FALSE),"-") &amp; " / " &amp; IFERROR(VLOOKUP(MID(T33,U33,V33-U33),[5]skilldef!$A:$B,2,FALSE),"-")</f>
        <v>- / -</v>
      </c>
      <c r="Z33" s="154"/>
      <c r="AA33" s="156"/>
      <c r="AB33" s="154"/>
      <c r="AC33" s="49">
        <f t="shared" si="16"/>
        <v>15</v>
      </c>
      <c r="AD33" s="49">
        <f t="shared" si="17"/>
        <v>7</v>
      </c>
    </row>
    <row r="34" spans="1:30" s="157" customFormat="1" ht="28" x14ac:dyDescent="0.15">
      <c r="A34" s="153">
        <v>48013033</v>
      </c>
      <c r="B34" s="153" t="s">
        <v>430</v>
      </c>
      <c r="C34" s="154">
        <v>1</v>
      </c>
      <c r="D34" s="154" t="s">
        <v>127</v>
      </c>
      <c r="E34" s="155" t="s">
        <v>492</v>
      </c>
      <c r="F34" s="155" t="s">
        <v>388</v>
      </c>
      <c r="G34" s="155" t="str">
        <f t="shared" si="0"/>
        <v>[effect:enemy_message, val1:2.5, val2:0]</v>
      </c>
      <c r="H34" s="155">
        <f t="shared" si="1"/>
        <v>9</v>
      </c>
      <c r="I34" s="155">
        <f t="shared" si="2"/>
        <v>22</v>
      </c>
      <c r="J34" s="155" t="e">
        <f t="shared" si="3"/>
        <v>#VALUE!</v>
      </c>
      <c r="K34" s="155">
        <f t="shared" si="4"/>
        <v>32</v>
      </c>
      <c r="L34" s="155" t="str">
        <f>IFERROR(VLOOKUP(MID(G34,J34,K34-J34),[5]skilldef!$C:$D,2,FALSE),"-") &amp; " / " &amp; IFERROR(VLOOKUP(MID(G34,H34,I34-H34),[5]skilldef!$A:$B,2,FALSE),"-")</f>
        <v>- / -</v>
      </c>
      <c r="M34" s="155" t="str">
        <f t="shared" si="5"/>
        <v>[effect:fix_speed, target:myself, turn:2]</v>
      </c>
      <c r="N34" s="153" t="str">
        <f>IFERROR(LEFT(M34,FIND("],",M34)+S56),M34)</f>
        <v>[effect:fix_speed, target:myself, turn:2]</v>
      </c>
      <c r="O34" s="155">
        <f t="shared" si="7"/>
        <v>9</v>
      </c>
      <c r="P34" s="155">
        <f t="shared" si="8"/>
        <v>18</v>
      </c>
      <c r="Q34" s="155">
        <f t="shared" si="9"/>
        <v>27</v>
      </c>
      <c r="R34" s="155">
        <f t="shared" si="10"/>
        <v>33</v>
      </c>
      <c r="S34" s="155" t="str">
        <f>IFERROR(VLOOKUP(MID(N34,Q34,R34-Q34),[5]skilldef!$C:$D,2,FALSE),"-") &amp; " / " &amp; IFERROR(VLOOKUP(MID(N34,O34,P34-O34),[5]skilldef!$A:$B,2,FALSE),"-")</f>
        <v>自分自身に / 行動値設定</v>
      </c>
      <c r="T34" s="153" t="str">
        <f t="shared" si="11"/>
        <v>none</v>
      </c>
      <c r="U34" s="155" t="e">
        <f t="shared" si="12"/>
        <v>#VALUE!</v>
      </c>
      <c r="V34" s="155">
        <f t="shared" si="13"/>
        <v>4</v>
      </c>
      <c r="W34" s="155" t="e">
        <f t="shared" si="14"/>
        <v>#VALUE!</v>
      </c>
      <c r="X34" s="155" t="e">
        <f t="shared" si="15"/>
        <v>#VALUE!</v>
      </c>
      <c r="Y34" s="155" t="str">
        <f>IFERROR(VLOOKUP(MID(T34,W34,X34-W34),[5]skilldef!$C:$D,2,FALSE),"-") &amp; " / " &amp; IFERROR(VLOOKUP(MID(T34,U34,V34-U34),[5]skilldef!$A:$B,2,FALSE),"-")</f>
        <v>- / -</v>
      </c>
      <c r="Z34" s="154"/>
      <c r="AA34" s="156"/>
      <c r="AB34" s="154"/>
      <c r="AC34" s="49">
        <f t="shared" si="16"/>
        <v>25</v>
      </c>
      <c r="AD34" s="49">
        <f t="shared" si="17"/>
        <v>7</v>
      </c>
    </row>
    <row r="35" spans="1:30" s="157" customFormat="1" ht="28" x14ac:dyDescent="0.15">
      <c r="A35" s="153">
        <v>48013034</v>
      </c>
      <c r="B35" s="153" t="s">
        <v>430</v>
      </c>
      <c r="C35" s="154">
        <v>1</v>
      </c>
      <c r="D35" s="154" t="s">
        <v>127</v>
      </c>
      <c r="E35" s="155" t="s">
        <v>492</v>
      </c>
      <c r="F35" s="155" t="s">
        <v>388</v>
      </c>
      <c r="G35" s="155" t="str">
        <f t="shared" ref="G35" si="78">IFERROR(LEFT(B35,FIND("],",B35)),B35)</f>
        <v>[effect:enemy_message, val1:2.5, val2:0]</v>
      </c>
      <c r="H35" s="155">
        <f t="shared" ref="H35" si="79">FIND("effect:",G35)+7</f>
        <v>9</v>
      </c>
      <c r="I35" s="155">
        <f t="shared" ref="I35" si="80">IFERROR(FIND(",",G35),LEN(G35))</f>
        <v>22</v>
      </c>
      <c r="J35" s="155" t="e">
        <f t="shared" ref="J35" si="81">FIND("target:",G35)+7</f>
        <v>#VALUE!</v>
      </c>
      <c r="K35" s="155">
        <f t="shared" ref="K35" si="82">FIND(",",G35,I35+1)</f>
        <v>32</v>
      </c>
      <c r="L35" s="155" t="str">
        <f>IFERROR(VLOOKUP(MID(G35,J35,K35-J35),[5]skilldef!$C:$D,2,FALSE),"-") &amp; " / " &amp; IFERROR(VLOOKUP(MID(G35,H35,I35-H35),[5]skilldef!$A:$B,2,FALSE),"-")</f>
        <v>- / -</v>
      </c>
      <c r="M35" s="155" t="str">
        <f t="shared" ref="M35" si="83">IFERROR(RIGHT(B35,LEN(B35)-FIND("],",B35)-1),"none")</f>
        <v>[effect:fix_speed, target:myself, turn:2]</v>
      </c>
      <c r="N35" s="153" t="str">
        <f>IFERROR(LEFT(M35,FIND("],",M35)+S57),M35)</f>
        <v>[effect:fix_speed, target:myself, turn:2]</v>
      </c>
      <c r="O35" s="155">
        <f t="shared" ref="O35" si="84">FIND("effect:",N35)+7</f>
        <v>9</v>
      </c>
      <c r="P35" s="155">
        <f t="shared" ref="P35" si="85">IFERROR(FIND(",",N35),LEN(N35))</f>
        <v>18</v>
      </c>
      <c r="Q35" s="155">
        <f t="shared" ref="Q35" si="86">FIND("target:",N35)+7</f>
        <v>27</v>
      </c>
      <c r="R35" s="155">
        <f t="shared" ref="R35" si="87">FIND(",",N35,P35+1)</f>
        <v>33</v>
      </c>
      <c r="S35" s="155" t="str">
        <f>IFERROR(VLOOKUP(MID(N35,Q35,R35-Q35),[5]skilldef!$C:$D,2,FALSE),"-") &amp; " / " &amp; IFERROR(VLOOKUP(MID(N35,O35,P35-O35),[5]skilldef!$A:$B,2,FALSE),"-")</f>
        <v>自分自身に / 行動値設定</v>
      </c>
      <c r="T35" s="153" t="str">
        <f t="shared" ref="T35" si="88">IFERROR(RIGHT(M35,LEN(M35)-FIND("],",M35)-1),"none")</f>
        <v>none</v>
      </c>
      <c r="U35" s="155" t="e">
        <f t="shared" ref="U35" si="89">FIND("effect:",T35)+7</f>
        <v>#VALUE!</v>
      </c>
      <c r="V35" s="155">
        <f t="shared" ref="V35" si="90">IFERROR(FIND(",",T35),LEN(T35))</f>
        <v>4</v>
      </c>
      <c r="W35" s="155" t="e">
        <f t="shared" ref="W35" si="91">FIND("target:",T35)+7</f>
        <v>#VALUE!</v>
      </c>
      <c r="X35" s="155" t="e">
        <f t="shared" ref="X35" si="92">FIND(",",T35,V35+1)</f>
        <v>#VALUE!</v>
      </c>
      <c r="Y35" s="155" t="str">
        <f>IFERROR(VLOOKUP(MID(T35,W35,X35-W35),[5]skilldef!$C:$D,2,FALSE),"-") &amp; " / " &amp; IFERROR(VLOOKUP(MID(T35,U35,V35-U35),[5]skilldef!$A:$B,2,FALSE),"-")</f>
        <v>- / -</v>
      </c>
      <c r="Z35" s="154"/>
      <c r="AA35" s="156"/>
      <c r="AB35" s="154"/>
      <c r="AC35" s="49">
        <f t="shared" si="16"/>
        <v>25</v>
      </c>
      <c r="AD35" s="49">
        <f t="shared" si="17"/>
        <v>7</v>
      </c>
    </row>
    <row r="36" spans="1:30" s="157" customFormat="1" ht="70" x14ac:dyDescent="0.15">
      <c r="A36" s="153">
        <v>48013035</v>
      </c>
      <c r="B36" s="180" t="s">
        <v>520</v>
      </c>
      <c r="C36" s="154">
        <v>1</v>
      </c>
      <c r="D36" s="154" t="s">
        <v>127</v>
      </c>
      <c r="E36" s="155" t="s">
        <v>402</v>
      </c>
      <c r="F36" s="177" t="s">
        <v>518</v>
      </c>
      <c r="G36" s="155" t="str">
        <f t="shared" ref="G36" si="93">IFERROR(LEFT(B36,FIND("],",B36)),B36)</f>
        <v>[effect:enemy_message, val1:1.2, val2:2.5]</v>
      </c>
      <c r="H36" s="155">
        <f t="shared" ref="H36" si="94">FIND("effect:",G36)+7</f>
        <v>9</v>
      </c>
      <c r="I36" s="155">
        <f t="shared" ref="I36" si="95">IFERROR(FIND(",",G36),LEN(G36))</f>
        <v>22</v>
      </c>
      <c r="J36" s="155" t="e">
        <f t="shared" ref="J36" si="96">FIND("target:",G36)+7</f>
        <v>#VALUE!</v>
      </c>
      <c r="K36" s="155">
        <f t="shared" ref="K36" si="97">FIND(",",G36,I36+1)</f>
        <v>32</v>
      </c>
      <c r="L36" s="155" t="str">
        <f>IFERROR(VLOOKUP(MID(G36,J36,K36-J36),[5]skilldef!$C:$D,2,FALSE),"-") &amp; " / " &amp; IFERROR(VLOOKUP(MID(G36,H36,I36-H36),[5]skilldef!$A:$B,2,FALSE),"-")</f>
        <v>- / -</v>
      </c>
      <c r="M36" s="155" t="str">
        <f t="shared" ref="M36" si="98">IFERROR(RIGHT(B36,LEN(B36)-FIND("],",B36)-1),"none")</f>
        <v>[effect:rush, count:1, val:1],[effect:force_change_block, new_block:damage, target:block_green, count:5, val:0.1, animation:change_block]</v>
      </c>
      <c r="N36" s="153" t="str">
        <f>IFERROR(LEFT(M36,FIND("],",M36)+S57),M36)</f>
        <v>[effect:rush, count:1, val:1],[effect:force_change_block, new_block:damage, target:block_green, count:5, val:0.1, animation:change_block]</v>
      </c>
      <c r="O36" s="155">
        <f t="shared" ref="O36" si="99">FIND("effect:",N36)+7</f>
        <v>9</v>
      </c>
      <c r="P36" s="155">
        <f t="shared" ref="P36" si="100">IFERROR(FIND(",",N36),LEN(N36))</f>
        <v>13</v>
      </c>
      <c r="Q36" s="155">
        <f t="shared" ref="Q36" si="101">FIND("target:",N36)+7</f>
        <v>84</v>
      </c>
      <c r="R36" s="155">
        <f t="shared" ref="R36" si="102">FIND(",",N36,P36+1)</f>
        <v>22</v>
      </c>
      <c r="S36" s="155" t="str">
        <f>IFERROR(VLOOKUP(MID(N36,Q36,R36-Q36),[5]skilldef!$C:$D,2,FALSE),"-") &amp; " / " &amp; IFERROR(VLOOKUP(MID(N36,O36,P36-O36),[5]skilldef!$A:$B,2,FALSE),"-")</f>
        <v>- / 連続攻撃</v>
      </c>
      <c r="T36" s="153" t="str">
        <f t="shared" ref="T36" si="103">IFERROR(RIGHT(M36,LEN(M36)-FIND("],",M36)-1),"none")</f>
        <v>[effect:force_change_block, new_block:damage, target:block_green, count:5, val:0.1, animation:change_block]</v>
      </c>
      <c r="U36" s="155">
        <f t="shared" ref="U36" si="104">FIND("effect:",T36)+7</f>
        <v>9</v>
      </c>
      <c r="V36" s="155">
        <f t="shared" ref="V36" si="105">IFERROR(FIND(",",T36),LEN(T36))</f>
        <v>27</v>
      </c>
      <c r="W36" s="155">
        <f t="shared" ref="W36" si="106">FIND("target:",T36)+7</f>
        <v>54</v>
      </c>
      <c r="X36" s="155">
        <f t="shared" ref="X36" si="107">FIND(",",T36,V36+1)</f>
        <v>45</v>
      </c>
      <c r="Y36" s="155" t="str">
        <f>IFERROR(VLOOKUP(MID(T36,W36,X36-W36),[5]skilldef!$C:$D,2,FALSE),"-") &amp; " / " &amp; IFERROR(VLOOKUP(MID(T36,U36,V36-U36),[5]skilldef!$A:$B,2,FALSE),"-")</f>
        <v>- / -</v>
      </c>
      <c r="Z36" s="154"/>
      <c r="AA36" s="156"/>
      <c r="AB36" s="154"/>
      <c r="AC36" s="49">
        <f t="shared" si="16"/>
        <v>5</v>
      </c>
      <c r="AD36" s="49">
        <f t="shared" si="17"/>
        <v>25</v>
      </c>
    </row>
    <row r="37" spans="1:30" s="157" customFormat="1" ht="70" x14ac:dyDescent="0.15">
      <c r="A37" s="153">
        <v>48013036</v>
      </c>
      <c r="B37" s="180" t="s">
        <v>421</v>
      </c>
      <c r="C37" s="154">
        <v>1</v>
      </c>
      <c r="D37" s="154" t="s">
        <v>127</v>
      </c>
      <c r="E37" s="155" t="s">
        <v>404</v>
      </c>
      <c r="F37" s="177" t="s">
        <v>519</v>
      </c>
      <c r="G37" s="155" t="str">
        <f t="shared" ref="G37" si="108">IFERROR(LEFT(B37,FIND("],",B37)),B37)</f>
        <v>[effect:enemy_message, val1:1.2, val2:2.5]</v>
      </c>
      <c r="H37" s="155">
        <f t="shared" ref="H37" si="109">FIND("effect:",G37)+7</f>
        <v>9</v>
      </c>
      <c r="I37" s="155">
        <f t="shared" ref="I37" si="110">IFERROR(FIND(",",G37),LEN(G37))</f>
        <v>22</v>
      </c>
      <c r="J37" s="155" t="e">
        <f t="shared" ref="J37" si="111">FIND("target:",G37)+7</f>
        <v>#VALUE!</v>
      </c>
      <c r="K37" s="155">
        <f t="shared" ref="K37" si="112">FIND(",",G37,I37+1)</f>
        <v>32</v>
      </c>
      <c r="L37" s="155" t="str">
        <f>IFERROR(VLOOKUP(MID(G37,J37,K37-J37),[5]skilldef!$C:$D,2,FALSE),"-") &amp; " / " &amp; IFERROR(VLOOKUP(MID(G37,H37,I37-H37),[5]skilldef!$A:$B,2,FALSE),"-")</f>
        <v>- / -</v>
      </c>
      <c r="M37" s="155" t="str">
        <f t="shared" ref="M37" si="113">IFERROR(RIGHT(B37,LEN(B37)-FIND("],",B37)-1),"none")</f>
        <v>[effect:spread, val:0.25],[effect:force_change_block, new_block:damage, target:block_yellow, count:2, val:0.1, animation:change_block]</v>
      </c>
      <c r="N37" s="153" t="str">
        <f>IFERROR(LEFT(M37,FIND("],",M37)+S59),M37)</f>
        <v>[effect:spread, val:0.25],[effect:force_change_block, new_block:damage, target:block_yellow, count:2, val:0.1, animation:change_block]</v>
      </c>
      <c r="O37" s="155">
        <f t="shared" ref="O37" si="114">FIND("effect:",N37)+7</f>
        <v>9</v>
      </c>
      <c r="P37" s="155">
        <f t="shared" ref="P37" si="115">IFERROR(FIND(",",N37),LEN(N37))</f>
        <v>15</v>
      </c>
      <c r="Q37" s="155">
        <f t="shared" ref="Q37" si="116">FIND("target:",N37)+7</f>
        <v>80</v>
      </c>
      <c r="R37" s="155">
        <f t="shared" ref="R37" si="117">FIND(",",N37,P37+1)</f>
        <v>26</v>
      </c>
      <c r="S37" s="155" t="str">
        <f>IFERROR(VLOOKUP(MID(N37,Q37,R37-Q37),[5]skilldef!$C:$D,2,FALSE),"-") &amp; " / " &amp; IFERROR(VLOOKUP(MID(N37,O37,P37-O37),[5]skilldef!$A:$B,2,FALSE),"-")</f>
        <v>- / 全体攻撃</v>
      </c>
      <c r="T37" s="153" t="str">
        <f t="shared" ref="T37" si="118">IFERROR(RIGHT(M37,LEN(M37)-FIND("],",M37)-1),"none")</f>
        <v>[effect:force_change_block, new_block:damage, target:block_yellow, count:2, val:0.1, animation:change_block]</v>
      </c>
      <c r="U37" s="155">
        <f t="shared" ref="U37" si="119">FIND("effect:",T37)+7</f>
        <v>9</v>
      </c>
      <c r="V37" s="155">
        <f t="shared" ref="V37" si="120">IFERROR(FIND(",",T37),LEN(T37))</f>
        <v>27</v>
      </c>
      <c r="W37" s="155">
        <f t="shared" ref="W37" si="121">FIND("target:",T37)+7</f>
        <v>54</v>
      </c>
      <c r="X37" s="155">
        <f t="shared" ref="X37" si="122">FIND(",",T37,V37+1)</f>
        <v>45</v>
      </c>
      <c r="Y37" s="155" t="str">
        <f>IFERROR(VLOOKUP(MID(T37,W37,X37-W37),[5]skilldef!$C:$D,2,FALSE),"-") &amp; " / " &amp; IFERROR(VLOOKUP(MID(T37,U37,V37-U37),[5]skilldef!$A:$B,2,FALSE),"-")</f>
        <v>- / -</v>
      </c>
      <c r="Z37" s="154"/>
      <c r="AA37" s="156"/>
      <c r="AB37" s="154"/>
      <c r="AC37" s="49">
        <f t="shared" si="16"/>
        <v>5</v>
      </c>
      <c r="AD37" s="49">
        <f t="shared" si="17"/>
        <v>25</v>
      </c>
    </row>
    <row r="38" spans="1:30" s="162" customFormat="1" ht="21" customHeight="1" x14ac:dyDescent="0.15">
      <c r="A38" s="158">
        <v>48013037</v>
      </c>
      <c r="B38" s="158" t="s">
        <v>475</v>
      </c>
      <c r="C38" s="159">
        <v>1</v>
      </c>
      <c r="D38" s="159" t="s">
        <v>127</v>
      </c>
      <c r="E38" s="160" t="s">
        <v>444</v>
      </c>
      <c r="F38" s="160" t="s">
        <v>386</v>
      </c>
      <c r="G38" s="160" t="str">
        <f t="shared" ref="G38:G41" si="123">IFERROR(LEFT(B38,FIND("],",B38)),B38)</f>
        <v>[effect:enemy_message, val1:1.4, val2:0]</v>
      </c>
      <c r="H38" s="160">
        <f t="shared" ref="H38:H41" si="124">FIND("effect:",G38)+7</f>
        <v>9</v>
      </c>
      <c r="I38" s="160">
        <f t="shared" ref="I38:I41" si="125">IFERROR(FIND(",",G38),LEN(G38))</f>
        <v>22</v>
      </c>
      <c r="J38" s="160" t="e">
        <f t="shared" ref="J38:J41" si="126">FIND("target:",G38)+7</f>
        <v>#VALUE!</v>
      </c>
      <c r="K38" s="160">
        <f t="shared" ref="K38:K41" si="127">FIND(",",G38,I38+1)</f>
        <v>32</v>
      </c>
      <c r="L38" s="160" t="str">
        <f>IFERROR(VLOOKUP(MID(G38,J38,K38-J38),[5]skilldef!$C:$D,2,FALSE),"-") &amp; " / " &amp; IFERROR(VLOOKUP(MID(G38,H38,I38-H38),[5]skilldef!$A:$B,2,FALSE),"-")</f>
        <v>- / -</v>
      </c>
      <c r="M38" s="160" t="str">
        <f t="shared" ref="M38:M41" si="128">IFERROR(RIGHT(B38,LEN(B38)-FIND("],",B38)-1),"none")</f>
        <v>[effect:fix_speed, target:myself, turn:1]</v>
      </c>
      <c r="N38" s="158" t="str">
        <f>IFERROR(LEFT(M38,FIND("],",M38)+S57),M38)</f>
        <v>[effect:fix_speed, target:myself, turn:1]</v>
      </c>
      <c r="O38" s="160">
        <f t="shared" ref="O38:O41" si="129">FIND("effect:",N38)+7</f>
        <v>9</v>
      </c>
      <c r="P38" s="160">
        <f t="shared" ref="P38:P41" si="130">IFERROR(FIND(",",N38),LEN(N38))</f>
        <v>18</v>
      </c>
      <c r="Q38" s="160">
        <f t="shared" ref="Q38:Q41" si="131">FIND("target:",N38)+7</f>
        <v>27</v>
      </c>
      <c r="R38" s="160">
        <f t="shared" ref="R38:R41" si="132">FIND(",",N38,P38+1)</f>
        <v>33</v>
      </c>
      <c r="S38" s="160" t="str">
        <f>IFERROR(VLOOKUP(MID(N38,Q38,R38-Q38),[5]skilldef!$C:$D,2,FALSE),"-") &amp; " / " &amp; IFERROR(VLOOKUP(MID(N38,O38,P38-O38),[5]skilldef!$A:$B,2,FALSE),"-")</f>
        <v>自分自身に / 行動値設定</v>
      </c>
      <c r="T38" s="158" t="str">
        <f t="shared" ref="T38:T41" si="133">IFERROR(RIGHT(M38,LEN(M38)-FIND("],",M38)-1),"none")</f>
        <v>none</v>
      </c>
      <c r="U38" s="160" t="e">
        <f t="shared" ref="U38:U41" si="134">FIND("effect:",T38)+7</f>
        <v>#VALUE!</v>
      </c>
      <c r="V38" s="160">
        <f t="shared" ref="V38:V41" si="135">IFERROR(FIND(",",T38),LEN(T38))</f>
        <v>4</v>
      </c>
      <c r="W38" s="160" t="e">
        <f t="shared" ref="W38:W41" si="136">FIND("target:",T38)+7</f>
        <v>#VALUE!</v>
      </c>
      <c r="X38" s="160" t="e">
        <f t="shared" ref="X38:X41" si="137">FIND(",",T38,V38+1)</f>
        <v>#VALUE!</v>
      </c>
      <c r="Y38" s="160" t="str">
        <f>IFERROR(VLOOKUP(MID(T38,W38,X38-W38),[5]skilldef!$C:$D,2,FALSE),"-") &amp; " / " &amp; IFERROR(VLOOKUP(MID(T38,U38,V38-U38),[5]skilldef!$A:$B,2,FALSE),"-")</f>
        <v>- / -</v>
      </c>
      <c r="Z38" s="159"/>
      <c r="AA38" s="161"/>
      <c r="AB38" s="159"/>
      <c r="AC38" s="49">
        <f t="shared" si="16"/>
        <v>14</v>
      </c>
      <c r="AD38" s="49">
        <f t="shared" si="17"/>
        <v>7</v>
      </c>
    </row>
    <row r="39" spans="1:30" s="162" customFormat="1" ht="56" x14ac:dyDescent="0.15">
      <c r="A39" s="158">
        <v>48013038</v>
      </c>
      <c r="B39" s="158" t="s">
        <v>476</v>
      </c>
      <c r="C39" s="159">
        <v>1</v>
      </c>
      <c r="D39" s="159" t="s">
        <v>127</v>
      </c>
      <c r="E39" s="160" t="s">
        <v>445</v>
      </c>
      <c r="F39" s="160" t="s">
        <v>389</v>
      </c>
      <c r="G39" s="160" t="str">
        <f t="shared" si="123"/>
        <v>[effect:enemy_message, val1:1.9, val2:1.9]</v>
      </c>
      <c r="H39" s="160">
        <f t="shared" si="124"/>
        <v>9</v>
      </c>
      <c r="I39" s="160">
        <f t="shared" si="125"/>
        <v>22</v>
      </c>
      <c r="J39" s="160" t="e">
        <f t="shared" si="126"/>
        <v>#VALUE!</v>
      </c>
      <c r="K39" s="160">
        <f t="shared" si="127"/>
        <v>32</v>
      </c>
      <c r="L39" s="160" t="str">
        <f>IFERROR(VLOOKUP(MID(G39,J39,K39-J39),[5]skilldef!$C:$D,2,FALSE),"-") &amp; " / " &amp; IFERROR(VLOOKUP(MID(G39,H39,I39-H39),[5]skilldef!$A:$B,2,FALSE),"-")</f>
        <v>- / -</v>
      </c>
      <c r="M39" s="160" t="str">
        <f t="shared" si="128"/>
        <v>[effect:fix_speed, target:myself, turn:1],[effect:enhance_unit, target:unit_all, turn:1, status:action, val:1]</v>
      </c>
      <c r="N39" s="158" t="str">
        <f>IFERROR(LEFT(M39,FIND("],",M39)+S59),M39)</f>
        <v>[effect:fix_speed, target:myself, turn:1],[effect:enhance_unit, target:unit_all, turn:1, status:action, val:1]</v>
      </c>
      <c r="O39" s="160">
        <f t="shared" si="129"/>
        <v>9</v>
      </c>
      <c r="P39" s="160">
        <f t="shared" si="130"/>
        <v>18</v>
      </c>
      <c r="Q39" s="160">
        <f t="shared" si="131"/>
        <v>27</v>
      </c>
      <c r="R39" s="160">
        <f t="shared" si="132"/>
        <v>33</v>
      </c>
      <c r="S39" s="160" t="str">
        <f>IFERROR(VLOOKUP(MID(N39,Q39,R39-Q39),[5]skilldef!$C:$D,2,FALSE),"-") &amp; " / " &amp; IFERROR(VLOOKUP(MID(N39,O39,P39-O39),[5]skilldef!$A:$B,2,FALSE),"-")</f>
        <v>自分自身に / 行動値設定</v>
      </c>
      <c r="T39" s="158" t="str">
        <f t="shared" si="133"/>
        <v>[effect:enhance_unit, target:unit_all, turn:1, status:action, val:1]</v>
      </c>
      <c r="U39" s="160">
        <f t="shared" si="134"/>
        <v>9</v>
      </c>
      <c r="V39" s="160">
        <f t="shared" si="135"/>
        <v>21</v>
      </c>
      <c r="W39" s="160">
        <f t="shared" si="136"/>
        <v>30</v>
      </c>
      <c r="X39" s="160">
        <f t="shared" si="137"/>
        <v>38</v>
      </c>
      <c r="Y39" s="160" t="str">
        <f>IFERROR(VLOOKUP(MID(T39,W39,X39-W39),[5]skilldef!$C:$D,2,FALSE),"-") &amp; " / " &amp; IFERROR(VLOOKUP(MID(T39,U39,V39-U39),[5]skilldef!$A:$B,2,FALSE),"-")</f>
        <v>味方全体に / -</v>
      </c>
      <c r="Z39" s="159"/>
      <c r="AA39" s="161"/>
      <c r="AB39" s="159"/>
      <c r="AC39" s="49">
        <f t="shared" si="16"/>
        <v>19</v>
      </c>
      <c r="AD39" s="49">
        <f t="shared" si="17"/>
        <v>19</v>
      </c>
    </row>
    <row r="40" spans="1:30" s="162" customFormat="1" ht="56" x14ac:dyDescent="0.15">
      <c r="A40" s="158">
        <v>48013039</v>
      </c>
      <c r="B40" s="158" t="s">
        <v>476</v>
      </c>
      <c r="C40" s="159">
        <v>1</v>
      </c>
      <c r="D40" s="159" t="s">
        <v>127</v>
      </c>
      <c r="E40" s="160" t="s">
        <v>445</v>
      </c>
      <c r="F40" s="160" t="s">
        <v>390</v>
      </c>
      <c r="G40" s="160" t="str">
        <f t="shared" ref="G40" si="138">IFERROR(LEFT(B40,FIND("],",B40)),B40)</f>
        <v>[effect:enemy_message, val1:1.9, val2:1.9]</v>
      </c>
      <c r="H40" s="160">
        <f t="shared" ref="H40" si="139">FIND("effect:",G40)+7</f>
        <v>9</v>
      </c>
      <c r="I40" s="160">
        <f t="shared" ref="I40" si="140">IFERROR(FIND(",",G40),LEN(G40))</f>
        <v>22</v>
      </c>
      <c r="J40" s="160" t="e">
        <f t="shared" ref="J40" si="141">FIND("target:",G40)+7</f>
        <v>#VALUE!</v>
      </c>
      <c r="K40" s="160">
        <f t="shared" ref="K40" si="142">FIND(",",G40,I40+1)</f>
        <v>32</v>
      </c>
      <c r="L40" s="160" t="str">
        <f>IFERROR(VLOOKUP(MID(G40,J40,K40-J40),[5]skilldef!$C:$D,2,FALSE),"-") &amp; " / " &amp; IFERROR(VLOOKUP(MID(G40,H40,I40-H40),[5]skilldef!$A:$B,2,FALSE),"-")</f>
        <v>- / -</v>
      </c>
      <c r="M40" s="160" t="str">
        <f t="shared" ref="M40" si="143">IFERROR(RIGHT(B40,LEN(B40)-FIND("],",B40)-1),"none")</f>
        <v>[effect:fix_speed, target:myself, turn:1],[effect:enhance_unit, target:unit_all, turn:1, status:action, val:1]</v>
      </c>
      <c r="N40" s="158" t="str">
        <f>IFERROR(LEFT(M40,FIND("],",M40)+S60),M40)</f>
        <v>[effect:fix_speed, target:myself, turn:1],[effect:enhance_unit, target:unit_all, turn:1, status:action, val:1]</v>
      </c>
      <c r="O40" s="160">
        <f t="shared" ref="O40" si="144">FIND("effect:",N40)+7</f>
        <v>9</v>
      </c>
      <c r="P40" s="160">
        <f t="shared" ref="P40" si="145">IFERROR(FIND(",",N40),LEN(N40))</f>
        <v>18</v>
      </c>
      <c r="Q40" s="160">
        <f t="shared" ref="Q40" si="146">FIND("target:",N40)+7</f>
        <v>27</v>
      </c>
      <c r="R40" s="160">
        <f t="shared" ref="R40" si="147">FIND(",",N40,P40+1)</f>
        <v>33</v>
      </c>
      <c r="S40" s="160" t="str">
        <f>IFERROR(VLOOKUP(MID(N40,Q40,R40-Q40),[5]skilldef!$C:$D,2,FALSE),"-") &amp; " / " &amp; IFERROR(VLOOKUP(MID(N40,O40,P40-O40),[5]skilldef!$A:$B,2,FALSE),"-")</f>
        <v>自分自身に / 行動値設定</v>
      </c>
      <c r="T40" s="158" t="str">
        <f t="shared" ref="T40" si="148">IFERROR(RIGHT(M40,LEN(M40)-FIND("],",M40)-1),"none")</f>
        <v>[effect:enhance_unit, target:unit_all, turn:1, status:action, val:1]</v>
      </c>
      <c r="U40" s="160">
        <f t="shared" ref="U40" si="149">FIND("effect:",T40)+7</f>
        <v>9</v>
      </c>
      <c r="V40" s="160">
        <f t="shared" ref="V40" si="150">IFERROR(FIND(",",T40),LEN(T40))</f>
        <v>21</v>
      </c>
      <c r="W40" s="160">
        <f t="shared" ref="W40" si="151">FIND("target:",T40)+7</f>
        <v>30</v>
      </c>
      <c r="X40" s="160">
        <f t="shared" ref="X40" si="152">FIND(",",T40,V40+1)</f>
        <v>38</v>
      </c>
      <c r="Y40" s="160" t="str">
        <f>IFERROR(VLOOKUP(MID(T40,W40,X40-W40),[5]skilldef!$C:$D,2,FALSE),"-") &amp; " / " &amp; IFERROR(VLOOKUP(MID(T40,U40,V40-U40),[5]skilldef!$A:$B,2,FALSE),"-")</f>
        <v>味方全体に / -</v>
      </c>
      <c r="Z40" s="159"/>
      <c r="AA40" s="161"/>
      <c r="AB40" s="159"/>
      <c r="AC40" s="49">
        <f t="shared" si="16"/>
        <v>19</v>
      </c>
      <c r="AD40" s="49">
        <f t="shared" si="17"/>
        <v>19</v>
      </c>
    </row>
    <row r="41" spans="1:30" s="162" customFormat="1" ht="56" x14ac:dyDescent="0.15">
      <c r="A41" s="158">
        <v>48013040</v>
      </c>
      <c r="B41" s="158" t="s">
        <v>477</v>
      </c>
      <c r="C41" s="159">
        <v>1</v>
      </c>
      <c r="D41" s="159" t="s">
        <v>127</v>
      </c>
      <c r="E41" s="160" t="s">
        <v>446</v>
      </c>
      <c r="F41" s="160" t="s">
        <v>391</v>
      </c>
      <c r="G41" s="160" t="str">
        <f t="shared" si="123"/>
        <v>[effect:enemy_message, val1:1.5, val2:1.9]</v>
      </c>
      <c r="H41" s="160">
        <f t="shared" si="124"/>
        <v>9</v>
      </c>
      <c r="I41" s="160">
        <f t="shared" si="125"/>
        <v>22</v>
      </c>
      <c r="J41" s="160" t="e">
        <f t="shared" si="126"/>
        <v>#VALUE!</v>
      </c>
      <c r="K41" s="160">
        <f t="shared" si="127"/>
        <v>32</v>
      </c>
      <c r="L41" s="160" t="str">
        <f>IFERROR(VLOOKUP(MID(G41,J41,K41-J41),[5]skilldef!$C:$D,2,FALSE),"-") &amp; " / " &amp; IFERROR(VLOOKUP(MID(G41,H41,I41-H41),[5]skilldef!$A:$B,2,FALSE),"-")</f>
        <v>- / -</v>
      </c>
      <c r="M41" s="160" t="str">
        <f t="shared" si="128"/>
        <v>[effect:fix_speed, target:myself, turn:1],[effect:enhance_unit, target:unit_all, turn:1, status:action, val:1]</v>
      </c>
      <c r="N41" s="158" t="str">
        <f>IFERROR(LEFT(M41,FIND("],",M41)+S60),M41)</f>
        <v>[effect:fix_speed, target:myself, turn:1],[effect:enhance_unit, target:unit_all, turn:1, status:action, val:1]</v>
      </c>
      <c r="O41" s="160">
        <f t="shared" si="129"/>
        <v>9</v>
      </c>
      <c r="P41" s="160">
        <f t="shared" si="130"/>
        <v>18</v>
      </c>
      <c r="Q41" s="160">
        <f t="shared" si="131"/>
        <v>27</v>
      </c>
      <c r="R41" s="160">
        <f t="shared" si="132"/>
        <v>33</v>
      </c>
      <c r="S41" s="160" t="str">
        <f>IFERROR(VLOOKUP(MID(N41,Q41,R41-Q41),[5]skilldef!$C:$D,2,FALSE),"-") &amp; " / " &amp; IFERROR(VLOOKUP(MID(N41,O41,P41-O41),[5]skilldef!$A:$B,2,FALSE),"-")</f>
        <v>自分自身に / 行動値設定</v>
      </c>
      <c r="T41" s="158" t="str">
        <f t="shared" si="133"/>
        <v>[effect:enhance_unit, target:unit_all, turn:1, status:action, val:1]</v>
      </c>
      <c r="U41" s="160">
        <f t="shared" si="134"/>
        <v>9</v>
      </c>
      <c r="V41" s="160">
        <f t="shared" si="135"/>
        <v>21</v>
      </c>
      <c r="W41" s="160">
        <f t="shared" si="136"/>
        <v>30</v>
      </c>
      <c r="X41" s="160">
        <f t="shared" si="137"/>
        <v>38</v>
      </c>
      <c r="Y41" s="160" t="str">
        <f>IFERROR(VLOOKUP(MID(T41,W41,X41-W41),[5]skilldef!$C:$D,2,FALSE),"-") &amp; " / " &amp; IFERROR(VLOOKUP(MID(T41,U41,V41-U41),[5]skilldef!$A:$B,2,FALSE),"-")</f>
        <v>味方全体に / -</v>
      </c>
      <c r="Z41" s="159"/>
      <c r="AA41" s="161"/>
      <c r="AB41" s="159"/>
      <c r="AC41" s="49">
        <f t="shared" si="16"/>
        <v>15</v>
      </c>
      <c r="AD41" s="49">
        <f t="shared" si="17"/>
        <v>19</v>
      </c>
    </row>
    <row r="42" spans="1:30" s="162" customFormat="1" ht="56" x14ac:dyDescent="0.15">
      <c r="A42" s="158">
        <v>48013041</v>
      </c>
      <c r="B42" s="158" t="s">
        <v>477</v>
      </c>
      <c r="C42" s="159">
        <v>1</v>
      </c>
      <c r="D42" s="159" t="s">
        <v>127</v>
      </c>
      <c r="E42" s="160" t="s">
        <v>446</v>
      </c>
      <c r="F42" s="160" t="s">
        <v>391</v>
      </c>
      <c r="G42" s="160" t="str">
        <f t="shared" ref="G42" si="153">IFERROR(LEFT(B42,FIND("],",B42)),B42)</f>
        <v>[effect:enemy_message, val1:1.5, val2:1.9]</v>
      </c>
      <c r="H42" s="160">
        <f t="shared" ref="H42" si="154">FIND("effect:",G42)+7</f>
        <v>9</v>
      </c>
      <c r="I42" s="160">
        <f t="shared" ref="I42" si="155">IFERROR(FIND(",",G42),LEN(G42))</f>
        <v>22</v>
      </c>
      <c r="J42" s="160" t="e">
        <f t="shared" ref="J42" si="156">FIND("target:",G42)+7</f>
        <v>#VALUE!</v>
      </c>
      <c r="K42" s="160">
        <f t="shared" ref="K42" si="157">FIND(",",G42,I42+1)</f>
        <v>32</v>
      </c>
      <c r="L42" s="160" t="str">
        <f>IFERROR(VLOOKUP(MID(G42,J42,K42-J42),[5]skilldef!$C:$D,2,FALSE),"-") &amp; " / " &amp; IFERROR(VLOOKUP(MID(G42,H42,I42-H42),[5]skilldef!$A:$B,2,FALSE),"-")</f>
        <v>- / -</v>
      </c>
      <c r="M42" s="160" t="str">
        <f t="shared" ref="M42" si="158">IFERROR(RIGHT(B42,LEN(B42)-FIND("],",B42)-1),"none")</f>
        <v>[effect:fix_speed, target:myself, turn:1],[effect:enhance_unit, target:unit_all, turn:1, status:action, val:1]</v>
      </c>
      <c r="N42" s="158" t="str">
        <f>IFERROR(LEFT(M42,FIND("],",M42)+S62),M42)</f>
        <v>[effect:fix_speed, target:myself, turn:1],[effect:enhance_unit, target:unit_all, turn:1, status:action, val:1]</v>
      </c>
      <c r="O42" s="160">
        <f t="shared" ref="O42" si="159">FIND("effect:",N42)+7</f>
        <v>9</v>
      </c>
      <c r="P42" s="160">
        <f t="shared" ref="P42" si="160">IFERROR(FIND(",",N42),LEN(N42))</f>
        <v>18</v>
      </c>
      <c r="Q42" s="160">
        <f t="shared" ref="Q42" si="161">FIND("target:",N42)+7</f>
        <v>27</v>
      </c>
      <c r="R42" s="160">
        <f t="shared" ref="R42" si="162">FIND(",",N42,P42+1)</f>
        <v>33</v>
      </c>
      <c r="S42" s="160" t="str">
        <f>IFERROR(VLOOKUP(MID(N42,Q42,R42-Q42),[5]skilldef!$C:$D,2,FALSE),"-") &amp; " / " &amp; IFERROR(VLOOKUP(MID(N42,O42,P42-O42),[5]skilldef!$A:$B,2,FALSE),"-")</f>
        <v>自分自身に / 行動値設定</v>
      </c>
      <c r="T42" s="158" t="str">
        <f t="shared" ref="T42" si="163">IFERROR(RIGHT(M42,LEN(M42)-FIND("],",M42)-1),"none")</f>
        <v>[effect:enhance_unit, target:unit_all, turn:1, status:action, val:1]</v>
      </c>
      <c r="U42" s="160">
        <f t="shared" ref="U42" si="164">FIND("effect:",T42)+7</f>
        <v>9</v>
      </c>
      <c r="V42" s="160">
        <f t="shared" ref="V42" si="165">IFERROR(FIND(",",T42),LEN(T42))</f>
        <v>21</v>
      </c>
      <c r="W42" s="160">
        <f t="shared" ref="W42" si="166">FIND("target:",T42)+7</f>
        <v>30</v>
      </c>
      <c r="X42" s="160">
        <f t="shared" ref="X42" si="167">FIND(",",T42,V42+1)</f>
        <v>38</v>
      </c>
      <c r="Y42" s="160" t="str">
        <f>IFERROR(VLOOKUP(MID(T42,W42,X42-W42),[5]skilldef!$C:$D,2,FALSE),"-") &amp; " / " &amp; IFERROR(VLOOKUP(MID(T42,U42,V42-U42),[5]skilldef!$A:$B,2,FALSE),"-")</f>
        <v>味方全体に / -</v>
      </c>
      <c r="Z42" s="159"/>
      <c r="AA42" s="161"/>
      <c r="AB42" s="159"/>
      <c r="AC42" s="49">
        <f t="shared" si="16"/>
        <v>15</v>
      </c>
      <c r="AD42" s="49">
        <f t="shared" si="17"/>
        <v>19</v>
      </c>
    </row>
    <row r="43" spans="1:30" s="162" customFormat="1" ht="70" x14ac:dyDescent="0.15">
      <c r="A43" s="158">
        <v>48013042</v>
      </c>
      <c r="B43" s="158" t="s">
        <v>505</v>
      </c>
      <c r="C43" s="159">
        <v>1</v>
      </c>
      <c r="D43" s="159" t="s">
        <v>127</v>
      </c>
      <c r="E43" s="160" t="s">
        <v>403</v>
      </c>
      <c r="F43" s="160" t="s">
        <v>504</v>
      </c>
      <c r="G43" s="160" t="str">
        <f t="shared" ref="G43" si="168">IFERROR(LEFT(B43,FIND("],",B43)),B43)</f>
        <v>[effect:enemy_message, val1:1.2, val2:2.3]</v>
      </c>
      <c r="H43" s="160">
        <f t="shared" ref="H43" si="169">FIND("effect:",G43)+7</f>
        <v>9</v>
      </c>
      <c r="I43" s="160">
        <f t="shared" ref="I43" si="170">IFERROR(FIND(",",G43),LEN(G43))</f>
        <v>22</v>
      </c>
      <c r="J43" s="160" t="e">
        <f t="shared" ref="J43" si="171">FIND("target:",G43)+7</f>
        <v>#VALUE!</v>
      </c>
      <c r="K43" s="160">
        <f t="shared" ref="K43" si="172">FIND(",",G43,I43+1)</f>
        <v>32</v>
      </c>
      <c r="L43" s="160" t="str">
        <f>IFERROR(VLOOKUP(MID(G43,J43,K43-J43),[5]skilldef!$C:$D,2,FALSE),"-") &amp; " / " &amp; IFERROR(VLOOKUP(MID(G43,H43,I43-H43),[5]skilldef!$A:$B,2,FALSE),"-")</f>
        <v>- / -</v>
      </c>
      <c r="M43" s="160" t="str">
        <f t="shared" ref="M43" si="173">IFERROR(RIGHT(B43,LEN(B43)-FIND("],",B43)-1),"none")</f>
        <v>[effect:spread, val:0.25],[effect:force_change_block, new_block:jammer, target:normal, count:5, val:0, animation:change_block]</v>
      </c>
      <c r="N43" s="158" t="str">
        <f>IFERROR(LEFT(M43,FIND("],",M43)+S62),M43)</f>
        <v>[effect:spread, val:0.25],[effect:force_change_block, new_block:jammer, target:normal, count:5, val:0, animation:change_block]</v>
      </c>
      <c r="O43" s="160">
        <f t="shared" ref="O43" si="174">FIND("effect:",N43)+7</f>
        <v>9</v>
      </c>
      <c r="P43" s="160">
        <f t="shared" ref="P43" si="175">IFERROR(FIND(",",N43),LEN(N43))</f>
        <v>15</v>
      </c>
      <c r="Q43" s="160">
        <f t="shared" ref="Q43" si="176">FIND("target:",N43)+7</f>
        <v>80</v>
      </c>
      <c r="R43" s="160">
        <f t="shared" ref="R43" si="177">FIND(",",N43,P43+1)</f>
        <v>26</v>
      </c>
      <c r="S43" s="160" t="str">
        <f>IFERROR(VLOOKUP(MID(N43,Q43,R43-Q43),[5]skilldef!$C:$D,2,FALSE),"-") &amp; " / " &amp; IFERROR(VLOOKUP(MID(N43,O43,P43-O43),[5]skilldef!$A:$B,2,FALSE),"-")</f>
        <v>- / 全体攻撃</v>
      </c>
      <c r="T43" s="158" t="str">
        <f t="shared" ref="T43" si="178">IFERROR(RIGHT(M43,LEN(M43)-FIND("],",M43)-1),"none")</f>
        <v>[effect:force_change_block, new_block:jammer, target:normal, count:5, val:0, animation:change_block]</v>
      </c>
      <c r="U43" s="160">
        <f t="shared" ref="U43" si="179">FIND("effect:",T43)+7</f>
        <v>9</v>
      </c>
      <c r="V43" s="160">
        <f t="shared" ref="V43" si="180">IFERROR(FIND(",",T43),LEN(T43))</f>
        <v>27</v>
      </c>
      <c r="W43" s="160">
        <f t="shared" ref="W43" si="181">FIND("target:",T43)+7</f>
        <v>54</v>
      </c>
      <c r="X43" s="160">
        <f t="shared" ref="X43" si="182">FIND(",",T43,V43+1)</f>
        <v>45</v>
      </c>
      <c r="Y43" s="160" t="str">
        <f>IFERROR(VLOOKUP(MID(T43,W43,X43-W43),[5]skilldef!$C:$D,2,FALSE),"-") &amp; " / " &amp; IFERROR(VLOOKUP(MID(T43,U43,V43-U43),[5]skilldef!$A:$B,2,FALSE),"-")</f>
        <v>- / -</v>
      </c>
      <c r="Z43" s="159"/>
      <c r="AA43" s="161"/>
      <c r="AB43" s="159"/>
      <c r="AC43" s="49">
        <f t="shared" si="16"/>
        <v>5</v>
      </c>
      <c r="AD43" s="49">
        <f t="shared" si="17"/>
        <v>23</v>
      </c>
    </row>
    <row r="44" spans="1:30" s="162" customFormat="1" ht="56" x14ac:dyDescent="0.15">
      <c r="A44" s="158">
        <v>48013043</v>
      </c>
      <c r="B44" s="158" t="s">
        <v>422</v>
      </c>
      <c r="C44" s="159">
        <v>1</v>
      </c>
      <c r="D44" s="159" t="s">
        <v>127</v>
      </c>
      <c r="E44" s="160" t="s">
        <v>405</v>
      </c>
      <c r="F44" s="199" t="s">
        <v>380</v>
      </c>
      <c r="G44" s="160" t="str">
        <f t="shared" ref="G44" si="183">IFERROR(LEFT(B44,FIND("],",B44)),B44)</f>
        <v>[effect:enemy_message, val1:1.2, val2:1.5]</v>
      </c>
      <c r="H44" s="160">
        <f t="shared" ref="H44" si="184">FIND("effect:",G44)+7</f>
        <v>9</v>
      </c>
      <c r="I44" s="160">
        <f t="shared" ref="I44" si="185">IFERROR(FIND(",",G44),LEN(G44))</f>
        <v>22</v>
      </c>
      <c r="J44" s="160" t="e">
        <f t="shared" ref="J44" si="186">FIND("target:",G44)+7</f>
        <v>#VALUE!</v>
      </c>
      <c r="K44" s="160">
        <f t="shared" ref="K44" si="187">FIND(",",G44,I44+1)</f>
        <v>32</v>
      </c>
      <c r="L44" s="160" t="str">
        <f>IFERROR(VLOOKUP(MID(G44,J44,K44-J44),[5]skilldef!$C:$D,2,FALSE),"-") &amp; " / " &amp; IFERROR(VLOOKUP(MID(G44,H44,I44-H44),[5]skilldef!$A:$B,2,FALSE),"-")</f>
        <v>- / -</v>
      </c>
      <c r="M44" s="160" t="str">
        <f t="shared" ref="M44" si="188">IFERROR(RIGHT(B44,LEN(B44)-FIND("],",B44)-1),"none")</f>
        <v>[effect:break_attack, target:unit_all, val:0.02, lowest_val:1000, count:-1, color:yellow, block01:jammer]</v>
      </c>
      <c r="N44" s="158" t="str">
        <f>IFERROR(LEFT(M44,FIND("],",M44)+S63),M44)</f>
        <v>[effect:break_attack, target:unit_all, val:0.02, lowest_val:1000, count:-1, color:yellow, block01:jammer]</v>
      </c>
      <c r="O44" s="160">
        <f t="shared" ref="O44" si="189">FIND("effect:",N44)+7</f>
        <v>9</v>
      </c>
      <c r="P44" s="160">
        <f t="shared" ref="P44" si="190">IFERROR(FIND(",",N44),LEN(N44))</f>
        <v>21</v>
      </c>
      <c r="Q44" s="160">
        <f t="shared" ref="Q44" si="191">FIND("target:",N44)+7</f>
        <v>30</v>
      </c>
      <c r="R44" s="160">
        <f t="shared" ref="R44" si="192">FIND(",",N44,P44+1)</f>
        <v>38</v>
      </c>
      <c r="S44" s="160" t="str">
        <f>IFERROR(VLOOKUP(MID(N44,Q44,R44-Q44),[5]skilldef!$C:$D,2,FALSE),"-") &amp; " / " &amp; IFERROR(VLOOKUP(MID(N44,O44,P44-O44),[5]skilldef!$A:$B,2,FALSE),"-")</f>
        <v>味方全体に / -</v>
      </c>
      <c r="T44" s="158" t="str">
        <f t="shared" ref="T44" si="193">IFERROR(RIGHT(M44,LEN(M44)-FIND("],",M44)-1),"none")</f>
        <v>none</v>
      </c>
      <c r="U44" s="160" t="e">
        <f t="shared" ref="U44" si="194">FIND("effect:",T44)+7</f>
        <v>#VALUE!</v>
      </c>
      <c r="V44" s="160">
        <f t="shared" ref="V44" si="195">IFERROR(FIND(",",T44),LEN(T44))</f>
        <v>4</v>
      </c>
      <c r="W44" s="160" t="e">
        <f t="shared" ref="W44" si="196">FIND("target:",T44)+7</f>
        <v>#VALUE!</v>
      </c>
      <c r="X44" s="160" t="e">
        <f t="shared" ref="X44" si="197">FIND(",",T44,V44+1)</f>
        <v>#VALUE!</v>
      </c>
      <c r="Y44" s="160" t="str">
        <f>IFERROR(VLOOKUP(MID(T44,W44,X44-W44),[5]skilldef!$C:$D,2,FALSE),"-") &amp; " / " &amp; IFERROR(VLOOKUP(MID(T44,U44,V44-U44),[5]skilldef!$A:$B,2,FALSE),"-")</f>
        <v>- / -</v>
      </c>
      <c r="Z44" s="159"/>
      <c r="AA44" s="161"/>
      <c r="AB44" s="159"/>
      <c r="AC44" s="49">
        <f t="shared" si="16"/>
        <v>5</v>
      </c>
      <c r="AD44" s="49">
        <f t="shared" si="17"/>
        <v>15</v>
      </c>
    </row>
    <row r="45" spans="1:30" s="162" customFormat="1" ht="154" x14ac:dyDescent="0.15">
      <c r="A45" s="158">
        <v>48013044</v>
      </c>
      <c r="B45" s="158" t="s">
        <v>478</v>
      </c>
      <c r="C45" s="159">
        <v>1</v>
      </c>
      <c r="D45" s="159" t="s">
        <v>127</v>
      </c>
      <c r="E45" s="199" t="s">
        <v>435</v>
      </c>
      <c r="F45" s="160" t="s">
        <v>300</v>
      </c>
      <c r="G45" s="160" t="str">
        <f t="shared" ref="G45" si="198">IFERROR(LEFT(B45,FIND("],",B45)),B45)</f>
        <v>[effect:enemy_message, val1:1.3, val2:3.2]</v>
      </c>
      <c r="H45" s="160">
        <f t="shared" ref="H45" si="199">FIND("effect:",G45)+7</f>
        <v>9</v>
      </c>
      <c r="I45" s="160">
        <f t="shared" ref="I45" si="200">IFERROR(FIND(",",G45),LEN(G45))</f>
        <v>22</v>
      </c>
      <c r="J45" s="160" t="e">
        <f t="shared" ref="J45" si="201">FIND("target:",G45)+7</f>
        <v>#VALUE!</v>
      </c>
      <c r="K45" s="160">
        <f t="shared" ref="K45" si="202">FIND(",",G45,I45+1)</f>
        <v>32</v>
      </c>
      <c r="L45" s="160" t="str">
        <f>IFERROR(VLOOKUP(MID(G45,J45,K45-J45),[5]skilldef!$C:$D,2,FALSE),"-") &amp; " / " &amp; IFERROR(VLOOKUP(MID(G45,H45,I45-H45),[5]skilldef!$A:$B,2,FALSE),"-")</f>
        <v>- / -</v>
      </c>
      <c r="M45" s="160" t="str">
        <f t="shared" ref="M45" si="203">IFERROR(RIGHT(B45,LEN(B45)-FIND("],",B45)-1),"none")</f>
        <v>[effect:attack_break, target:unit_all, turn:-1, val:0.3, calc:mul, animation:attack_break01],[effect:force_change_block, new_block:block_blue, target:block_red, count:0, val:0, animation:change_block],[effect:force_change_block, new_block:block_blue, target:block_green, count:0, val:0]</v>
      </c>
      <c r="N45" s="158" t="str">
        <f>IFERROR(LEFT(M45,FIND("],",M45)+S64),M45)</f>
        <v>[effect:attack_break, target:unit_all, turn:-1, val:0.3, calc:mul, animation:attack_break01],[effect:force_change_block, new_block:block_blue, target:block_red, count:0, val:0, animation:change_block],[effect:force_change_block, new_block:block_blue, target:block_green, count:0, val:0]</v>
      </c>
      <c r="O45" s="160">
        <f t="shared" ref="O45" si="204">FIND("effect:",N45)+7</f>
        <v>9</v>
      </c>
      <c r="P45" s="160">
        <f t="shared" ref="P45" si="205">IFERROR(FIND(",",N45),LEN(N45))</f>
        <v>21</v>
      </c>
      <c r="Q45" s="160">
        <f t="shared" ref="Q45" si="206">FIND("target:",N45)+7</f>
        <v>30</v>
      </c>
      <c r="R45" s="160">
        <f t="shared" ref="R45" si="207">FIND(",",N45,P45+1)</f>
        <v>38</v>
      </c>
      <c r="S45" s="160" t="str">
        <f>IFERROR(VLOOKUP(MID(N45,Q45,R45-Q45),[5]skilldef!$C:$D,2,FALSE),"-") &amp; " / " &amp; IFERROR(VLOOKUP(MID(N45,O45,P45-O45),[5]skilldef!$A:$B,2,FALSE),"-")</f>
        <v>味方全体に / -</v>
      </c>
      <c r="T45" s="158" t="str">
        <f t="shared" ref="T45" si="208">IFERROR(RIGHT(M45,LEN(M45)-FIND("],",M45)-1),"none")</f>
        <v>[effect:force_change_block, new_block:block_blue, target:block_red, count:0, val:0, animation:change_block],[effect:force_change_block, new_block:block_blue, target:block_green, count:0, val:0]</v>
      </c>
      <c r="U45" s="160">
        <f t="shared" ref="U45" si="209">FIND("effect:",T45)+7</f>
        <v>9</v>
      </c>
      <c r="V45" s="160">
        <f t="shared" ref="V45" si="210">IFERROR(FIND(",",T45),LEN(T45))</f>
        <v>27</v>
      </c>
      <c r="W45" s="160">
        <f t="shared" ref="W45" si="211">FIND("target:",T45)+7</f>
        <v>58</v>
      </c>
      <c r="X45" s="160">
        <f t="shared" ref="X45" si="212">FIND(",",T45,V45+1)</f>
        <v>49</v>
      </c>
      <c r="Y45" s="160" t="str">
        <f>IFERROR(VLOOKUP(MID(T45,W45,X45-W45),[5]skilldef!$C:$D,2,FALSE),"-") &amp; " / " &amp; IFERROR(VLOOKUP(MID(T45,U45,V45-U45),[5]skilldef!$A:$B,2,FALSE),"-")</f>
        <v>- / -</v>
      </c>
      <c r="Z45" s="159"/>
      <c r="AA45" s="161"/>
      <c r="AB45" s="159"/>
      <c r="AC45" s="49">
        <f t="shared" si="16"/>
        <v>13</v>
      </c>
      <c r="AD45" s="49">
        <f t="shared" si="17"/>
        <v>32</v>
      </c>
    </row>
    <row r="46" spans="1:30" s="162" customFormat="1" ht="14" x14ac:dyDescent="0.15">
      <c r="A46" s="158">
        <v>48013045</v>
      </c>
      <c r="B46" s="158" t="s">
        <v>299</v>
      </c>
      <c r="C46" s="159">
        <v>1</v>
      </c>
      <c r="D46" s="159" t="s">
        <v>127</v>
      </c>
      <c r="E46" s="199" t="s">
        <v>406</v>
      </c>
      <c r="F46" s="160" t="s">
        <v>297</v>
      </c>
      <c r="G46" s="160" t="str">
        <f t="shared" ref="G46" si="213">IFERROR(LEFT(B46,FIND("],",B46)),B46)</f>
        <v>[effect:enemy_message, val1:1.2, val2:1.2]</v>
      </c>
      <c r="H46" s="160">
        <f t="shared" ref="H46" si="214">FIND("effect:",G46)+7</f>
        <v>9</v>
      </c>
      <c r="I46" s="160">
        <f t="shared" ref="I46" si="215">IFERROR(FIND(",",G46),LEN(G46))</f>
        <v>22</v>
      </c>
      <c r="J46" s="160" t="e">
        <f t="shared" ref="J46" si="216">FIND("target:",G46)+7</f>
        <v>#VALUE!</v>
      </c>
      <c r="K46" s="160">
        <f t="shared" ref="K46" si="217">FIND(",",G46,I46+1)</f>
        <v>32</v>
      </c>
      <c r="L46" s="160" t="str">
        <f>IFERROR(VLOOKUP(MID(G46,J46,K46-J46),[5]skilldef!$C:$D,2,FALSE),"-") &amp; " / " &amp; IFERROR(VLOOKUP(MID(G46,H46,I46-H46),[5]skilldef!$A:$B,2,FALSE),"-")</f>
        <v>- / -</v>
      </c>
      <c r="M46" s="160" t="str">
        <f t="shared" ref="M46" si="218">IFERROR(RIGHT(B46,LEN(B46)-FIND("],",B46)-1),"none")</f>
        <v>none</v>
      </c>
      <c r="N46" s="158" t="str">
        <f>IFERROR(LEFT(M46,FIND("],",M46)+S65),M46)</f>
        <v>none</v>
      </c>
      <c r="O46" s="160" t="e">
        <f t="shared" ref="O46" si="219">FIND("effect:",N46)+7</f>
        <v>#VALUE!</v>
      </c>
      <c r="P46" s="160">
        <f t="shared" ref="P46" si="220">IFERROR(FIND(",",N46),LEN(N46))</f>
        <v>4</v>
      </c>
      <c r="Q46" s="160" t="e">
        <f t="shared" ref="Q46" si="221">FIND("target:",N46)+7</f>
        <v>#VALUE!</v>
      </c>
      <c r="R46" s="160" t="e">
        <f t="shared" ref="R46" si="222">FIND(",",N46,P46+1)</f>
        <v>#VALUE!</v>
      </c>
      <c r="S46" s="160" t="str">
        <f>IFERROR(VLOOKUP(MID(N46,Q46,R46-Q46),[5]skilldef!$C:$D,2,FALSE),"-") &amp; " / " &amp; IFERROR(VLOOKUP(MID(N46,O46,P46-O46),[5]skilldef!$A:$B,2,FALSE),"-")</f>
        <v>- / -</v>
      </c>
      <c r="T46" s="158" t="str">
        <f t="shared" ref="T46" si="223">IFERROR(RIGHT(M46,LEN(M46)-FIND("],",M46)-1),"none")</f>
        <v>none</v>
      </c>
      <c r="U46" s="160" t="e">
        <f t="shared" ref="U46" si="224">FIND("effect:",T46)+7</f>
        <v>#VALUE!</v>
      </c>
      <c r="V46" s="160">
        <f t="shared" ref="V46" si="225">IFERROR(FIND(",",T46),LEN(T46))</f>
        <v>4</v>
      </c>
      <c r="W46" s="160" t="e">
        <f t="shared" ref="W46" si="226">FIND("target:",T46)+7</f>
        <v>#VALUE!</v>
      </c>
      <c r="X46" s="160" t="e">
        <f t="shared" ref="X46" si="227">FIND(",",T46,V46+1)</f>
        <v>#VALUE!</v>
      </c>
      <c r="Y46" s="160" t="str">
        <f>IFERROR(VLOOKUP(MID(T46,W46,X46-W46),[5]skilldef!$C:$D,2,FALSE),"-") &amp; " / " &amp; IFERROR(VLOOKUP(MID(T46,U46,V46-U46),[5]skilldef!$A:$B,2,FALSE),"-")</f>
        <v>- / -</v>
      </c>
      <c r="Z46" s="159"/>
      <c r="AA46" s="161"/>
      <c r="AB46" s="159"/>
      <c r="AC46" s="49">
        <f t="shared" si="16"/>
        <v>8</v>
      </c>
      <c r="AD46" s="49">
        <f t="shared" si="17"/>
        <v>12</v>
      </c>
    </row>
    <row r="47" spans="1:30" s="162" customFormat="1" ht="14" x14ac:dyDescent="0.15">
      <c r="A47" s="158">
        <v>48013046</v>
      </c>
      <c r="B47" s="158" t="s">
        <v>369</v>
      </c>
      <c r="C47" s="159">
        <v>1</v>
      </c>
      <c r="D47" s="159" t="s">
        <v>127</v>
      </c>
      <c r="E47" s="199" t="s">
        <v>408</v>
      </c>
      <c r="F47" s="160" t="s">
        <v>298</v>
      </c>
      <c r="G47" s="160" t="str">
        <f t="shared" ref="G47" si="228">IFERROR(LEFT(B47,FIND("],",B47)),B47)</f>
        <v>[effect:enemy_message, val1:1.2, val2:1.2]</v>
      </c>
      <c r="H47" s="160">
        <f t="shared" ref="H47" si="229">FIND("effect:",G47)+7</f>
        <v>9</v>
      </c>
      <c r="I47" s="160">
        <f t="shared" ref="I47" si="230">IFERROR(FIND(",",G47),LEN(G47))</f>
        <v>22</v>
      </c>
      <c r="J47" s="160" t="e">
        <f t="shared" ref="J47" si="231">FIND("target:",G47)+7</f>
        <v>#VALUE!</v>
      </c>
      <c r="K47" s="160">
        <f t="shared" ref="K47" si="232">FIND(",",G47,I47+1)</f>
        <v>32</v>
      </c>
      <c r="L47" s="160" t="str">
        <f>IFERROR(VLOOKUP(MID(G47,J47,K47-J47),[5]skilldef!$C:$D,2,FALSE),"-") &amp; " / " &amp; IFERROR(VLOOKUP(MID(G47,H47,I47-H47),[5]skilldef!$A:$B,2,FALSE),"-")</f>
        <v>- / -</v>
      </c>
      <c r="M47" s="160" t="str">
        <f t="shared" ref="M47" si="233">IFERROR(RIGHT(B47,LEN(B47)-FIND("],",B47)-1),"none")</f>
        <v>[effect:rush, count:4, val:1]</v>
      </c>
      <c r="N47" s="158" t="str">
        <f>IFERROR(LEFT(M47,FIND("],",M47)+S66),M47)</f>
        <v>[effect:rush, count:4, val:1]</v>
      </c>
      <c r="O47" s="160">
        <f t="shared" ref="O47" si="234">FIND("effect:",N47)+7</f>
        <v>9</v>
      </c>
      <c r="P47" s="160">
        <f t="shared" ref="P47" si="235">IFERROR(FIND(",",N47),LEN(N47))</f>
        <v>13</v>
      </c>
      <c r="Q47" s="160" t="e">
        <f t="shared" ref="Q47" si="236">FIND("target:",N47)+7</f>
        <v>#VALUE!</v>
      </c>
      <c r="R47" s="160">
        <f t="shared" ref="R47" si="237">FIND(",",N47,P47+1)</f>
        <v>22</v>
      </c>
      <c r="S47" s="160" t="str">
        <f>IFERROR(VLOOKUP(MID(N47,Q47,R47-Q47),[5]skilldef!$C:$D,2,FALSE),"-") &amp; " / " &amp; IFERROR(VLOOKUP(MID(N47,O47,P47-O47),[5]skilldef!$A:$B,2,FALSE),"-")</f>
        <v>- / 連続攻撃</v>
      </c>
      <c r="T47" s="158" t="str">
        <f t="shared" ref="T47" si="238">IFERROR(RIGHT(M47,LEN(M47)-FIND("],",M47)-1),"none")</f>
        <v>none</v>
      </c>
      <c r="U47" s="160" t="e">
        <f t="shared" ref="U47" si="239">FIND("effect:",T47)+7</f>
        <v>#VALUE!</v>
      </c>
      <c r="V47" s="160">
        <f t="shared" ref="V47" si="240">IFERROR(FIND(",",T47),LEN(T47))</f>
        <v>4</v>
      </c>
      <c r="W47" s="160" t="e">
        <f t="shared" ref="W47" si="241">FIND("target:",T47)+7</f>
        <v>#VALUE!</v>
      </c>
      <c r="X47" s="160" t="e">
        <f t="shared" ref="X47" si="242">FIND(",",T47,V47+1)</f>
        <v>#VALUE!</v>
      </c>
      <c r="Y47" s="160" t="str">
        <f>IFERROR(VLOOKUP(MID(T47,W47,X47-W47),[5]skilldef!$C:$D,2,FALSE),"-") &amp; " / " &amp; IFERROR(VLOOKUP(MID(T47,U47,V47-U47),[5]skilldef!$A:$B,2,FALSE),"-")</f>
        <v>- / -</v>
      </c>
      <c r="Z47" s="159"/>
      <c r="AA47" s="161"/>
      <c r="AB47" s="159"/>
      <c r="AC47" s="49">
        <f t="shared" si="16"/>
        <v>5</v>
      </c>
      <c r="AD47" s="49">
        <f t="shared" si="17"/>
        <v>6</v>
      </c>
    </row>
    <row r="48" spans="1:30" s="167" customFormat="1" ht="21" customHeight="1" x14ac:dyDescent="0.15">
      <c r="A48" s="163">
        <v>48013047</v>
      </c>
      <c r="B48" s="163" t="s">
        <v>485</v>
      </c>
      <c r="C48" s="164">
        <v>1</v>
      </c>
      <c r="D48" s="164" t="s">
        <v>127</v>
      </c>
      <c r="E48" s="165" t="s">
        <v>447</v>
      </c>
      <c r="F48" s="165" t="s">
        <v>386</v>
      </c>
      <c r="G48" s="165" t="str">
        <f t="shared" ref="G48:G53" si="243">IFERROR(LEFT(B48,FIND("],",B48)),B48)</f>
        <v>[effect:enemy_message, val1:1.7, val2:0]</v>
      </c>
      <c r="H48" s="165">
        <f t="shared" ref="H48:H53" si="244">FIND("effect:",G48)+7</f>
        <v>9</v>
      </c>
      <c r="I48" s="165">
        <f t="shared" ref="I48:I53" si="245">IFERROR(FIND(",",G48),LEN(G48))</f>
        <v>22</v>
      </c>
      <c r="J48" s="165" t="e">
        <f t="shared" ref="J48:J53" si="246">FIND("target:",G48)+7</f>
        <v>#VALUE!</v>
      </c>
      <c r="K48" s="165">
        <f t="shared" ref="K48:K53" si="247">FIND(",",G48,I48+1)</f>
        <v>32</v>
      </c>
      <c r="L48" s="165" t="str">
        <f>IFERROR(VLOOKUP(MID(G48,J48,K48-J48),[5]skilldef!$C:$D,2,FALSE),"-") &amp; " / " &amp; IFERROR(VLOOKUP(MID(G48,H48,I48-H48),[5]skilldef!$A:$B,2,FALSE),"-")</f>
        <v>- / -</v>
      </c>
      <c r="M48" s="165" t="str">
        <f t="shared" ref="M48:M53" si="248">IFERROR(RIGHT(B48,LEN(B48)-FIND("],",B48)-1),"none")</f>
        <v>[effect:fix_speed, target:myself, turn:1]</v>
      </c>
      <c r="N48" s="163" t="str">
        <f>IFERROR(LEFT(M48,FIND("],",M48)+S62),M48)</f>
        <v>[effect:fix_speed, target:myself, turn:1]</v>
      </c>
      <c r="O48" s="165">
        <f t="shared" ref="O48:O53" si="249">FIND("effect:",N48)+7</f>
        <v>9</v>
      </c>
      <c r="P48" s="165">
        <f t="shared" ref="P48:P53" si="250">IFERROR(FIND(",",N48),LEN(N48))</f>
        <v>18</v>
      </c>
      <c r="Q48" s="165">
        <f t="shared" ref="Q48:Q53" si="251">FIND("target:",N48)+7</f>
        <v>27</v>
      </c>
      <c r="R48" s="165">
        <f t="shared" ref="R48:R53" si="252">FIND(",",N48,P48+1)</f>
        <v>33</v>
      </c>
      <c r="S48" s="165" t="str">
        <f>IFERROR(VLOOKUP(MID(N48,Q48,R48-Q48),[5]skilldef!$C:$D,2,FALSE),"-") &amp; " / " &amp; IFERROR(VLOOKUP(MID(N48,O48,P48-O48),[5]skilldef!$A:$B,2,FALSE),"-")</f>
        <v>自分自身に / 行動値設定</v>
      </c>
      <c r="T48" s="163" t="str">
        <f t="shared" ref="T48:T53" si="253">IFERROR(RIGHT(M48,LEN(M48)-FIND("],",M48)-1),"none")</f>
        <v>none</v>
      </c>
      <c r="U48" s="165" t="e">
        <f t="shared" ref="U48:U53" si="254">FIND("effect:",T48)+7</f>
        <v>#VALUE!</v>
      </c>
      <c r="V48" s="165">
        <f t="shared" ref="V48:V53" si="255">IFERROR(FIND(",",T48),LEN(T48))</f>
        <v>4</v>
      </c>
      <c r="W48" s="165" t="e">
        <f t="shared" ref="W48:W53" si="256">FIND("target:",T48)+7</f>
        <v>#VALUE!</v>
      </c>
      <c r="X48" s="165" t="e">
        <f t="shared" ref="X48:X53" si="257">FIND(",",T48,V48+1)</f>
        <v>#VALUE!</v>
      </c>
      <c r="Y48" s="165" t="str">
        <f>IFERROR(VLOOKUP(MID(T48,W48,X48-W48),[5]skilldef!$C:$D,2,FALSE),"-") &amp; " / " &amp; IFERROR(VLOOKUP(MID(T48,U48,V48-U48),[5]skilldef!$A:$B,2,FALSE),"-")</f>
        <v>- / -</v>
      </c>
      <c r="Z48" s="164"/>
      <c r="AA48" s="166"/>
      <c r="AB48" s="164"/>
      <c r="AC48" s="49">
        <f t="shared" si="16"/>
        <v>17</v>
      </c>
      <c r="AD48" s="49">
        <f t="shared" si="17"/>
        <v>7</v>
      </c>
    </row>
    <row r="49" spans="1:30" s="167" customFormat="1" ht="56" x14ac:dyDescent="0.15">
      <c r="A49" s="163">
        <v>48013048</v>
      </c>
      <c r="B49" s="163" t="s">
        <v>479</v>
      </c>
      <c r="C49" s="164">
        <v>1</v>
      </c>
      <c r="D49" s="164" t="s">
        <v>127</v>
      </c>
      <c r="E49" s="165" t="s">
        <v>448</v>
      </c>
      <c r="F49" s="165" t="s">
        <v>392</v>
      </c>
      <c r="G49" s="165" t="str">
        <f t="shared" si="243"/>
        <v>[effect:enemy_message, val1:2.5, val2:1.4]</v>
      </c>
      <c r="H49" s="165">
        <f t="shared" si="244"/>
        <v>9</v>
      </c>
      <c r="I49" s="165">
        <f t="shared" si="245"/>
        <v>22</v>
      </c>
      <c r="J49" s="165" t="e">
        <f t="shared" si="246"/>
        <v>#VALUE!</v>
      </c>
      <c r="K49" s="165">
        <f t="shared" si="247"/>
        <v>32</v>
      </c>
      <c r="L49" s="165" t="str">
        <f>IFERROR(VLOOKUP(MID(G49,J49,K49-J49),[5]skilldef!$C:$D,2,FALSE),"-") &amp; " / " &amp; IFERROR(VLOOKUP(MID(G49,H49,I49-H49),[5]skilldef!$A:$B,2,FALSE),"-")</f>
        <v>- / -</v>
      </c>
      <c r="M49" s="165" t="str">
        <f t="shared" si="248"/>
        <v>[effect:fix_speed, target:myself, turn:1],[effect:enhance_unit, target:unit_all, turn:-1, status:attack, val:0.3, calc:mul]</v>
      </c>
      <c r="N49" s="163" t="str">
        <f>IFERROR(LEFT(M49,FIND("],",M49)+S63),M49)</f>
        <v>[effect:fix_speed, target:myself, turn:1],[effect:enhance_unit, target:unit_all, turn:-1, status:attack, val:0.3, calc:mul]</v>
      </c>
      <c r="O49" s="165">
        <f t="shared" si="249"/>
        <v>9</v>
      </c>
      <c r="P49" s="165">
        <f t="shared" si="250"/>
        <v>18</v>
      </c>
      <c r="Q49" s="165">
        <f t="shared" si="251"/>
        <v>27</v>
      </c>
      <c r="R49" s="165">
        <f t="shared" si="252"/>
        <v>33</v>
      </c>
      <c r="S49" s="165" t="str">
        <f>IFERROR(VLOOKUP(MID(N49,Q49,R49-Q49),[5]skilldef!$C:$D,2,FALSE),"-") &amp; " / " &amp; IFERROR(VLOOKUP(MID(N49,O49,P49-O49),[5]skilldef!$A:$B,2,FALSE),"-")</f>
        <v>自分自身に / 行動値設定</v>
      </c>
      <c r="T49" s="163" t="str">
        <f t="shared" si="253"/>
        <v>[effect:enhance_unit, target:unit_all, turn:-1, status:attack, val:0.3, calc:mul]</v>
      </c>
      <c r="U49" s="165">
        <f t="shared" si="254"/>
        <v>9</v>
      </c>
      <c r="V49" s="165">
        <f t="shared" si="255"/>
        <v>21</v>
      </c>
      <c r="W49" s="165">
        <f t="shared" si="256"/>
        <v>30</v>
      </c>
      <c r="X49" s="165">
        <f t="shared" si="257"/>
        <v>38</v>
      </c>
      <c r="Y49" s="165" t="str">
        <f>IFERROR(VLOOKUP(MID(T49,W49,X49-W49),[5]skilldef!$C:$D,2,FALSE),"-") &amp; " / " &amp; IFERROR(VLOOKUP(MID(T49,U49,V49-U49),[5]skilldef!$A:$B,2,FALSE),"-")</f>
        <v>味方全体に / -</v>
      </c>
      <c r="Z49" s="164"/>
      <c r="AA49" s="166"/>
      <c r="AB49" s="164"/>
      <c r="AC49" s="49">
        <f t="shared" si="16"/>
        <v>25</v>
      </c>
      <c r="AD49" s="49">
        <f t="shared" si="17"/>
        <v>14</v>
      </c>
    </row>
    <row r="50" spans="1:30" s="167" customFormat="1" ht="56" x14ac:dyDescent="0.15">
      <c r="A50" s="163">
        <v>48013049</v>
      </c>
      <c r="B50" s="163" t="s">
        <v>479</v>
      </c>
      <c r="C50" s="164">
        <v>1</v>
      </c>
      <c r="D50" s="164" t="s">
        <v>127</v>
      </c>
      <c r="E50" s="165" t="s">
        <v>449</v>
      </c>
      <c r="F50" s="165" t="s">
        <v>392</v>
      </c>
      <c r="G50" s="165" t="str">
        <f t="shared" ref="G50" si="258">IFERROR(LEFT(B50,FIND("],",B50)),B50)</f>
        <v>[effect:enemy_message, val1:2.5, val2:1.4]</v>
      </c>
      <c r="H50" s="165">
        <f t="shared" ref="H50" si="259">FIND("effect:",G50)+7</f>
        <v>9</v>
      </c>
      <c r="I50" s="165">
        <f t="shared" ref="I50" si="260">IFERROR(FIND(",",G50),LEN(G50))</f>
        <v>22</v>
      </c>
      <c r="J50" s="165" t="e">
        <f t="shared" ref="J50" si="261">FIND("target:",G50)+7</f>
        <v>#VALUE!</v>
      </c>
      <c r="K50" s="165">
        <f t="shared" ref="K50" si="262">FIND(",",G50,I50+1)</f>
        <v>32</v>
      </c>
      <c r="L50" s="165" t="str">
        <f>IFERROR(VLOOKUP(MID(G50,J50,K50-J50),[5]skilldef!$C:$D,2,FALSE),"-") &amp; " / " &amp; IFERROR(VLOOKUP(MID(G50,H50,I50-H50),[5]skilldef!$A:$B,2,FALSE),"-")</f>
        <v>- / -</v>
      </c>
      <c r="M50" s="165" t="str">
        <f t="shared" ref="M50" si="263">IFERROR(RIGHT(B50,LEN(B50)-FIND("],",B50)-1),"none")</f>
        <v>[effect:fix_speed, target:myself, turn:1],[effect:enhance_unit, target:unit_all, turn:-1, status:attack, val:0.3, calc:mul]</v>
      </c>
      <c r="N50" s="163" t="str">
        <f>IFERROR(LEFT(M50,FIND("],",M50)+S64),M50)</f>
        <v>[effect:fix_speed, target:myself, turn:1],[effect:enhance_unit, target:unit_all, turn:-1, status:attack, val:0.3, calc:mul]</v>
      </c>
      <c r="O50" s="165">
        <f t="shared" ref="O50" si="264">FIND("effect:",N50)+7</f>
        <v>9</v>
      </c>
      <c r="P50" s="165">
        <f t="shared" ref="P50" si="265">IFERROR(FIND(",",N50),LEN(N50))</f>
        <v>18</v>
      </c>
      <c r="Q50" s="165">
        <f t="shared" ref="Q50" si="266">FIND("target:",N50)+7</f>
        <v>27</v>
      </c>
      <c r="R50" s="165">
        <f t="shared" ref="R50" si="267">FIND(",",N50,P50+1)</f>
        <v>33</v>
      </c>
      <c r="S50" s="165" t="str">
        <f>IFERROR(VLOOKUP(MID(N50,Q50,R50-Q50),[5]skilldef!$C:$D,2,FALSE),"-") &amp; " / " &amp; IFERROR(VLOOKUP(MID(N50,O50,P50-O50),[5]skilldef!$A:$B,2,FALSE),"-")</f>
        <v>自分自身に / 行動値設定</v>
      </c>
      <c r="T50" s="163" t="str">
        <f t="shared" ref="T50" si="268">IFERROR(RIGHT(M50,LEN(M50)-FIND("],",M50)-1),"none")</f>
        <v>[effect:enhance_unit, target:unit_all, turn:-1, status:attack, val:0.3, calc:mul]</v>
      </c>
      <c r="U50" s="165">
        <f t="shared" ref="U50" si="269">FIND("effect:",T50)+7</f>
        <v>9</v>
      </c>
      <c r="V50" s="165">
        <f t="shared" ref="V50" si="270">IFERROR(FIND(",",T50),LEN(T50))</f>
        <v>21</v>
      </c>
      <c r="W50" s="165">
        <f t="shared" ref="W50" si="271">FIND("target:",T50)+7</f>
        <v>30</v>
      </c>
      <c r="X50" s="165">
        <f t="shared" ref="X50" si="272">FIND(",",T50,V50+1)</f>
        <v>38</v>
      </c>
      <c r="Y50" s="165" t="str">
        <f>IFERROR(VLOOKUP(MID(T50,W50,X50-W50),[5]skilldef!$C:$D,2,FALSE),"-") &amp; " / " &amp; IFERROR(VLOOKUP(MID(T50,U50,V50-U50),[5]skilldef!$A:$B,2,FALSE),"-")</f>
        <v>味方全体に / -</v>
      </c>
      <c r="Z50" s="164"/>
      <c r="AA50" s="166"/>
      <c r="AB50" s="164"/>
      <c r="AC50" s="49">
        <f t="shared" si="16"/>
        <v>25</v>
      </c>
      <c r="AD50" s="49">
        <f t="shared" si="17"/>
        <v>14</v>
      </c>
    </row>
    <row r="51" spans="1:30" s="167" customFormat="1" ht="56" x14ac:dyDescent="0.15">
      <c r="A51" s="163">
        <v>48013050</v>
      </c>
      <c r="B51" s="163" t="s">
        <v>480</v>
      </c>
      <c r="C51" s="164">
        <v>1</v>
      </c>
      <c r="D51" s="164" t="s">
        <v>127</v>
      </c>
      <c r="E51" s="165" t="s">
        <v>450</v>
      </c>
      <c r="F51" s="165" t="s">
        <v>392</v>
      </c>
      <c r="G51" s="165" t="str">
        <f t="shared" si="243"/>
        <v>[effect:enemy_message, val1:2.4, val2:1.4]</v>
      </c>
      <c r="H51" s="165">
        <f t="shared" si="244"/>
        <v>9</v>
      </c>
      <c r="I51" s="165">
        <f t="shared" si="245"/>
        <v>22</v>
      </c>
      <c r="J51" s="165" t="e">
        <f t="shared" si="246"/>
        <v>#VALUE!</v>
      </c>
      <c r="K51" s="165">
        <f t="shared" si="247"/>
        <v>32</v>
      </c>
      <c r="L51" s="165" t="str">
        <f>IFERROR(VLOOKUP(MID(G51,J51,K51-J51),[5]skilldef!$C:$D,2,FALSE),"-") &amp; " / " &amp; IFERROR(VLOOKUP(MID(G51,H51,I51-H51),[5]skilldef!$A:$B,2,FALSE),"-")</f>
        <v>- / -</v>
      </c>
      <c r="M51" s="165" t="str">
        <f t="shared" si="248"/>
        <v>[effect:fix_speed, target:myself, turn:1],[effect:enhance_unit, target:unit_all, turn:-1, status:attack, val:0.3, calc:mul]</v>
      </c>
      <c r="N51" s="163" t="str">
        <f>IFERROR(LEFT(M51,FIND("],",M51)+S64),M51)</f>
        <v>[effect:fix_speed, target:myself, turn:1],[effect:enhance_unit, target:unit_all, turn:-1, status:attack, val:0.3, calc:mul]</v>
      </c>
      <c r="O51" s="165">
        <f t="shared" si="249"/>
        <v>9</v>
      </c>
      <c r="P51" s="165">
        <f t="shared" si="250"/>
        <v>18</v>
      </c>
      <c r="Q51" s="165">
        <f t="shared" si="251"/>
        <v>27</v>
      </c>
      <c r="R51" s="165">
        <f t="shared" si="252"/>
        <v>33</v>
      </c>
      <c r="S51" s="165" t="str">
        <f>IFERROR(VLOOKUP(MID(N51,Q51,R51-Q51),[5]skilldef!$C:$D,2,FALSE),"-") &amp; " / " &amp; IFERROR(VLOOKUP(MID(N51,O51,P51-O51),[5]skilldef!$A:$B,2,FALSE),"-")</f>
        <v>自分自身に / 行動値設定</v>
      </c>
      <c r="T51" s="163" t="str">
        <f t="shared" si="253"/>
        <v>[effect:enhance_unit, target:unit_all, turn:-1, status:attack, val:0.3, calc:mul]</v>
      </c>
      <c r="U51" s="165">
        <f t="shared" si="254"/>
        <v>9</v>
      </c>
      <c r="V51" s="165">
        <f t="shared" si="255"/>
        <v>21</v>
      </c>
      <c r="W51" s="165">
        <f t="shared" si="256"/>
        <v>30</v>
      </c>
      <c r="X51" s="165">
        <f t="shared" si="257"/>
        <v>38</v>
      </c>
      <c r="Y51" s="165" t="str">
        <f>IFERROR(VLOOKUP(MID(T51,W51,X51-W51),[5]skilldef!$C:$D,2,FALSE),"-") &amp; " / " &amp; IFERROR(VLOOKUP(MID(T51,U51,V51-U51),[5]skilldef!$A:$B,2,FALSE),"-")</f>
        <v>味方全体に / -</v>
      </c>
      <c r="Z51" s="164"/>
      <c r="AA51" s="166"/>
      <c r="AB51" s="164"/>
      <c r="AC51" s="49">
        <f t="shared" si="16"/>
        <v>24</v>
      </c>
      <c r="AD51" s="49">
        <f t="shared" si="17"/>
        <v>14</v>
      </c>
    </row>
    <row r="52" spans="1:30" s="167" customFormat="1" ht="56" x14ac:dyDescent="0.15">
      <c r="A52" s="163">
        <v>48013051</v>
      </c>
      <c r="B52" s="163" t="s">
        <v>480</v>
      </c>
      <c r="C52" s="164">
        <v>1</v>
      </c>
      <c r="D52" s="164" t="s">
        <v>127</v>
      </c>
      <c r="E52" s="165" t="s">
        <v>451</v>
      </c>
      <c r="F52" s="165" t="s">
        <v>392</v>
      </c>
      <c r="G52" s="165" t="str">
        <f t="shared" ref="G52" si="273">IFERROR(LEFT(B52,FIND("],",B52)),B52)</f>
        <v>[effect:enemy_message, val1:2.4, val2:1.4]</v>
      </c>
      <c r="H52" s="165">
        <f t="shared" ref="H52" si="274">FIND("effect:",G52)+7</f>
        <v>9</v>
      </c>
      <c r="I52" s="165">
        <f t="shared" ref="I52" si="275">IFERROR(FIND(",",G52),LEN(G52))</f>
        <v>22</v>
      </c>
      <c r="J52" s="165" t="e">
        <f t="shared" ref="J52" si="276">FIND("target:",G52)+7</f>
        <v>#VALUE!</v>
      </c>
      <c r="K52" s="165">
        <f t="shared" ref="K52" si="277">FIND(",",G52,I52+1)</f>
        <v>32</v>
      </c>
      <c r="L52" s="165" t="str">
        <f>IFERROR(VLOOKUP(MID(G52,J52,K52-J52),[5]skilldef!$C:$D,2,FALSE),"-") &amp; " / " &amp; IFERROR(VLOOKUP(MID(G52,H52,I52-H52),[5]skilldef!$A:$B,2,FALSE),"-")</f>
        <v>- / -</v>
      </c>
      <c r="M52" s="165" t="str">
        <f t="shared" ref="M52" si="278">IFERROR(RIGHT(B52,LEN(B52)-FIND("],",B52)-1),"none")</f>
        <v>[effect:fix_speed, target:myself, turn:1],[effect:enhance_unit, target:unit_all, turn:-1, status:attack, val:0.3, calc:mul]</v>
      </c>
      <c r="N52" s="163" t="str">
        <f>IFERROR(LEFT(M52,FIND("],",M52)+S65),M52)</f>
        <v>[effect:fix_speed, target:myself, turn:1],[effect:enhance_unit, target:unit_all, turn:-1, status:attack, val:0.3, calc:mul]</v>
      </c>
      <c r="O52" s="165">
        <f t="shared" ref="O52" si="279">FIND("effect:",N52)+7</f>
        <v>9</v>
      </c>
      <c r="P52" s="165">
        <f t="shared" ref="P52" si="280">IFERROR(FIND(",",N52),LEN(N52))</f>
        <v>18</v>
      </c>
      <c r="Q52" s="165">
        <f t="shared" ref="Q52" si="281">FIND("target:",N52)+7</f>
        <v>27</v>
      </c>
      <c r="R52" s="165">
        <f t="shared" ref="R52" si="282">FIND(",",N52,P52+1)</f>
        <v>33</v>
      </c>
      <c r="S52" s="165" t="str">
        <f>IFERROR(VLOOKUP(MID(N52,Q52,R52-Q52),[5]skilldef!$C:$D,2,FALSE),"-") &amp; " / " &amp; IFERROR(VLOOKUP(MID(N52,O52,P52-O52),[5]skilldef!$A:$B,2,FALSE),"-")</f>
        <v>自分自身に / 行動値設定</v>
      </c>
      <c r="T52" s="163" t="str">
        <f t="shared" ref="T52" si="283">IFERROR(RIGHT(M52,LEN(M52)-FIND("],",M52)-1),"none")</f>
        <v>[effect:enhance_unit, target:unit_all, turn:-1, status:attack, val:0.3, calc:mul]</v>
      </c>
      <c r="U52" s="165">
        <f t="shared" ref="U52" si="284">FIND("effect:",T52)+7</f>
        <v>9</v>
      </c>
      <c r="V52" s="165">
        <f t="shared" ref="V52" si="285">IFERROR(FIND(",",T52),LEN(T52))</f>
        <v>21</v>
      </c>
      <c r="W52" s="165">
        <f t="shared" ref="W52" si="286">FIND("target:",T52)+7</f>
        <v>30</v>
      </c>
      <c r="X52" s="165">
        <f t="shared" ref="X52" si="287">FIND(",",T52,V52+1)</f>
        <v>38</v>
      </c>
      <c r="Y52" s="165" t="str">
        <f>IFERROR(VLOOKUP(MID(T52,W52,X52-W52),[5]skilldef!$C:$D,2,FALSE),"-") &amp; " / " &amp; IFERROR(VLOOKUP(MID(T52,U52,V52-U52),[5]skilldef!$A:$B,2,FALSE),"-")</f>
        <v>味方全体に / -</v>
      </c>
      <c r="Z52" s="164"/>
      <c r="AA52" s="166"/>
      <c r="AB52" s="164"/>
      <c r="AC52" s="49">
        <f t="shared" si="16"/>
        <v>24</v>
      </c>
      <c r="AD52" s="49">
        <f t="shared" si="17"/>
        <v>14</v>
      </c>
    </row>
    <row r="53" spans="1:30" s="167" customFormat="1" ht="70" x14ac:dyDescent="0.15">
      <c r="A53" s="163">
        <v>48013052</v>
      </c>
      <c r="B53" s="163" t="s">
        <v>423</v>
      </c>
      <c r="C53" s="164">
        <v>1</v>
      </c>
      <c r="D53" s="164" t="s">
        <v>302</v>
      </c>
      <c r="E53" s="165" t="s">
        <v>399</v>
      </c>
      <c r="F53" s="165" t="s">
        <v>497</v>
      </c>
      <c r="G53" s="165" t="str">
        <f t="shared" si="243"/>
        <v>[effect:enemy_message, val1:1.2, val2:2.6]</v>
      </c>
      <c r="H53" s="165">
        <f t="shared" si="244"/>
        <v>9</v>
      </c>
      <c r="I53" s="165">
        <f t="shared" si="245"/>
        <v>22</v>
      </c>
      <c r="J53" s="165" t="e">
        <f t="shared" si="246"/>
        <v>#VALUE!</v>
      </c>
      <c r="K53" s="165">
        <f t="shared" si="247"/>
        <v>32</v>
      </c>
      <c r="L53" s="165" t="str">
        <f>IFERROR(VLOOKUP(MID(G53,J53,K53-J53),[5]skilldef!$C:$D,2,FALSE),"-") &amp; " / " &amp; IFERROR(VLOOKUP(MID(G53,H53,I53-H53),[5]skilldef!$A:$B,2,FALSE),"-")</f>
        <v>- / -</v>
      </c>
      <c r="M53" s="165" t="str">
        <f t="shared" si="248"/>
        <v>[effect:rush, count:4, val:0.25],[effect:force_change_block, new_block:jammer, target:block_green, count:8, val:0, animation:change_block]</v>
      </c>
      <c r="N53" s="163" t="str">
        <f>IFERROR(LEFT(M53,FIND("],",M53)+S72),M53)</f>
        <v>[effect:rush, count:4, val:0.25]</v>
      </c>
      <c r="O53" s="165">
        <f t="shared" si="249"/>
        <v>9</v>
      </c>
      <c r="P53" s="165">
        <f t="shared" si="250"/>
        <v>13</v>
      </c>
      <c r="Q53" s="165" t="e">
        <f t="shared" si="251"/>
        <v>#VALUE!</v>
      </c>
      <c r="R53" s="165">
        <f t="shared" si="252"/>
        <v>22</v>
      </c>
      <c r="S53" s="165" t="str">
        <f>IFERROR(VLOOKUP(MID(N53,Q53,R53-Q53),[5]skilldef!$C:$D,2,FALSE),"-") &amp; " / " &amp; IFERROR(VLOOKUP(MID(N53,O53,P53-O53),[5]skilldef!$A:$B,2,FALSE),"-")</f>
        <v>- / 連続攻撃</v>
      </c>
      <c r="T53" s="163" t="str">
        <f t="shared" si="253"/>
        <v>[effect:force_change_block, new_block:jammer, target:block_green, count:8, val:0, animation:change_block]</v>
      </c>
      <c r="U53" s="165">
        <f t="shared" si="254"/>
        <v>9</v>
      </c>
      <c r="V53" s="165">
        <f t="shared" si="255"/>
        <v>27</v>
      </c>
      <c r="W53" s="165">
        <f t="shared" si="256"/>
        <v>54</v>
      </c>
      <c r="X53" s="165">
        <f t="shared" si="257"/>
        <v>45</v>
      </c>
      <c r="Y53" s="165" t="str">
        <f>IFERROR(VLOOKUP(MID(T53,W53,X53-W53),[5]skilldef!$C:$D,2,FALSE),"-") &amp; " / " &amp; IFERROR(VLOOKUP(MID(T53,U53,V53-U53),[5]skilldef!$A:$B,2,FALSE),"-")</f>
        <v>- / -</v>
      </c>
      <c r="Z53" s="164"/>
      <c r="AA53" s="166"/>
      <c r="AB53" s="164"/>
      <c r="AC53" s="49">
        <f t="shared" si="16"/>
        <v>5</v>
      </c>
      <c r="AD53" s="49">
        <f t="shared" si="17"/>
        <v>24</v>
      </c>
    </row>
    <row r="54" spans="1:30" s="167" customFormat="1" ht="56" x14ac:dyDescent="0.15">
      <c r="A54" s="163">
        <v>48013053</v>
      </c>
      <c r="B54" s="163" t="s">
        <v>424</v>
      </c>
      <c r="C54" s="164">
        <v>1</v>
      </c>
      <c r="D54" s="164" t="s">
        <v>127</v>
      </c>
      <c r="E54" s="165" t="s">
        <v>407</v>
      </c>
      <c r="F54" s="165" t="s">
        <v>305</v>
      </c>
      <c r="G54" s="165" t="str">
        <f t="shared" ref="G54:G62" si="288">IFERROR(LEFT(B54,FIND("],",B54)),B54)</f>
        <v>[effect:enemy_message, val1:1.2, val2:1.7]</v>
      </c>
      <c r="H54" s="165">
        <f t="shared" ref="H54:H62" si="289">FIND("effect:",G54)+7</f>
        <v>9</v>
      </c>
      <c r="I54" s="165">
        <f t="shared" ref="I54:I62" si="290">IFERROR(FIND(",",G54),LEN(G54))</f>
        <v>22</v>
      </c>
      <c r="J54" s="165" t="e">
        <f t="shared" ref="J54:J62" si="291">FIND("target:",G54)+7</f>
        <v>#VALUE!</v>
      </c>
      <c r="K54" s="165">
        <f t="shared" ref="K54:K62" si="292">FIND(",",G54,I54+1)</f>
        <v>32</v>
      </c>
      <c r="L54" s="165" t="str">
        <f>IFERROR(VLOOKUP(MID(G54,J54,K54-J54),[5]skilldef!$C:$D,2,FALSE),"-") &amp; " / " &amp; IFERROR(VLOOKUP(MID(G54,H54,I54-H54),[5]skilldef!$A:$B,2,FALSE),"-")</f>
        <v>- / -</v>
      </c>
      <c r="M54" s="165" t="str">
        <f t="shared" ref="M54:M62" si="293">IFERROR(RIGHT(B54,LEN(B54)-FIND("],",B54)-1),"none")</f>
        <v>[effect:break_attack_fix, target:unit_one, val:100, lowest_val:4000, count:-1, block01:jammer]</v>
      </c>
      <c r="N54" s="163" t="str">
        <f>IFERROR(LEFT(M54,FIND("],",M54)+S66),M54)</f>
        <v>[effect:break_attack_fix, target:unit_one, val:100, lowest_val:4000, count:-1, block01:jammer]</v>
      </c>
      <c r="O54" s="165">
        <f t="shared" ref="O54:O62" si="294">FIND("effect:",N54)+7</f>
        <v>9</v>
      </c>
      <c r="P54" s="165">
        <f t="shared" ref="P54:P62" si="295">IFERROR(FIND(",",N54),LEN(N54))</f>
        <v>25</v>
      </c>
      <c r="Q54" s="165">
        <f t="shared" ref="Q54:Q62" si="296">FIND("target:",N54)+7</f>
        <v>34</v>
      </c>
      <c r="R54" s="165">
        <f t="shared" ref="R54:R62" si="297">FIND(",",N54,P54+1)</f>
        <v>42</v>
      </c>
      <c r="S54" s="165" t="str">
        <f>IFERROR(VLOOKUP(MID(N54,Q54,R54-Q54),[5]skilldef!$C:$D,2,FALSE),"-") &amp; " / " &amp; IFERROR(VLOOKUP(MID(N54,O54,P54-O54),[5]skilldef!$A:$B,2,FALSE),"-")</f>
        <v>味方単体に / -</v>
      </c>
      <c r="T54" s="163" t="str">
        <f t="shared" ref="T54:T62" si="298">IFERROR(RIGHT(M54,LEN(M54)-FIND("],",M54)-1),"none")</f>
        <v>none</v>
      </c>
      <c r="U54" s="165" t="e">
        <f t="shared" ref="U54:U62" si="299">FIND("effect:",T54)+7</f>
        <v>#VALUE!</v>
      </c>
      <c r="V54" s="165">
        <f t="shared" ref="V54:V62" si="300">IFERROR(FIND(",",T54),LEN(T54))</f>
        <v>4</v>
      </c>
      <c r="W54" s="165" t="e">
        <f t="shared" ref="W54:W62" si="301">FIND("target:",T54)+7</f>
        <v>#VALUE!</v>
      </c>
      <c r="X54" s="165" t="e">
        <f t="shared" ref="X54:X62" si="302">FIND(",",T54,V54+1)</f>
        <v>#VALUE!</v>
      </c>
      <c r="Y54" s="165" t="str">
        <f>IFERROR(VLOOKUP(MID(T54,W54,X54-W54),[5]skilldef!$C:$D,2,FALSE),"-") &amp; " / " &amp; IFERROR(VLOOKUP(MID(T54,U54,V54-U54),[5]skilldef!$A:$B,2,FALSE),"-")</f>
        <v>- / -</v>
      </c>
      <c r="Z54" s="164"/>
      <c r="AA54" s="166"/>
      <c r="AB54" s="164"/>
      <c r="AC54" s="49">
        <f t="shared" si="16"/>
        <v>5</v>
      </c>
      <c r="AD54" s="49">
        <f t="shared" si="17"/>
        <v>17</v>
      </c>
    </row>
    <row r="55" spans="1:30" s="167" customFormat="1" ht="56" x14ac:dyDescent="0.15">
      <c r="A55" s="163">
        <v>48013054</v>
      </c>
      <c r="B55" s="163" t="s">
        <v>425</v>
      </c>
      <c r="C55" s="164">
        <v>1</v>
      </c>
      <c r="D55" s="164" t="s">
        <v>127</v>
      </c>
      <c r="E55" s="165" t="s">
        <v>436</v>
      </c>
      <c r="F55" s="165" t="s">
        <v>314</v>
      </c>
      <c r="G55" s="165" t="str">
        <f t="shared" si="288"/>
        <v>[effect:enemy_message, val1:1.2, val2:2.2]</v>
      </c>
      <c r="H55" s="165">
        <f t="shared" si="289"/>
        <v>9</v>
      </c>
      <c r="I55" s="165">
        <f t="shared" si="290"/>
        <v>22</v>
      </c>
      <c r="J55" s="165" t="e">
        <f t="shared" si="291"/>
        <v>#VALUE!</v>
      </c>
      <c r="K55" s="165">
        <f t="shared" si="292"/>
        <v>32</v>
      </c>
      <c r="L55" s="165" t="str">
        <f>IFERROR(VLOOKUP(MID(G55,J55,K55-J55),[5]skilldef!$C:$D,2,FALSE),"-") &amp; " / " &amp; IFERROR(VLOOKUP(MID(G55,H55,I55-H55),[5]skilldef!$A:$B,2,FALSE),"-")</f>
        <v>- / -</v>
      </c>
      <c r="M55" s="165" t="str">
        <f t="shared" si="293"/>
        <v>[effect:attack_break, target:unit_dragon/not, turn:-1, val:0.3, calc:mul, animation:attack_break01]</v>
      </c>
      <c r="N55" s="163" t="str">
        <f>IFERROR(LEFT(M55,FIND("],",M55)+S67),M55)</f>
        <v>[effect:attack_break, target:unit_dragon/not, turn:-1, val:0.3, calc:mul, animation:attack_break01]</v>
      </c>
      <c r="O55" s="165">
        <f t="shared" si="294"/>
        <v>9</v>
      </c>
      <c r="P55" s="165">
        <f t="shared" si="295"/>
        <v>21</v>
      </c>
      <c r="Q55" s="165">
        <f t="shared" si="296"/>
        <v>30</v>
      </c>
      <c r="R55" s="165">
        <f t="shared" si="297"/>
        <v>45</v>
      </c>
      <c r="S55" s="165" t="str">
        <f>IFERROR(VLOOKUP(MID(N55,Q55,R55-Q55),[5]skilldef!$C:$D,2,FALSE),"-") &amp; " / " &amp; IFERROR(VLOOKUP(MID(N55,O55,P55-O55),[5]skilldef!$A:$B,2,FALSE),"-")</f>
        <v>- / -</v>
      </c>
      <c r="T55" s="163" t="str">
        <f t="shared" si="298"/>
        <v>none</v>
      </c>
      <c r="U55" s="165" t="e">
        <f t="shared" si="299"/>
        <v>#VALUE!</v>
      </c>
      <c r="V55" s="165">
        <f t="shared" si="300"/>
        <v>4</v>
      </c>
      <c r="W55" s="165" t="e">
        <f t="shared" si="301"/>
        <v>#VALUE!</v>
      </c>
      <c r="X55" s="165" t="e">
        <f t="shared" si="302"/>
        <v>#VALUE!</v>
      </c>
      <c r="Y55" s="165" t="str">
        <f>IFERROR(VLOOKUP(MID(T55,W55,X55-W55),[5]skilldef!$C:$D,2,FALSE),"-") &amp; " / " &amp; IFERROR(VLOOKUP(MID(T55,U55,V55-U55),[5]skilldef!$A:$B,2,FALSE),"-")</f>
        <v>- / -</v>
      </c>
      <c r="Z55" s="164"/>
      <c r="AA55" s="166"/>
      <c r="AB55" s="164"/>
      <c r="AC55" s="49">
        <f t="shared" si="16"/>
        <v>7</v>
      </c>
      <c r="AD55" s="49">
        <f t="shared" si="17"/>
        <v>22</v>
      </c>
    </row>
    <row r="56" spans="1:30" s="167" customFormat="1" ht="42" x14ac:dyDescent="0.15">
      <c r="A56" s="163">
        <v>48013055</v>
      </c>
      <c r="B56" s="163" t="s">
        <v>426</v>
      </c>
      <c r="C56" s="164">
        <v>1</v>
      </c>
      <c r="D56" s="164" t="s">
        <v>127</v>
      </c>
      <c r="E56" s="165" t="s">
        <v>428</v>
      </c>
      <c r="F56" s="165" t="s">
        <v>315</v>
      </c>
      <c r="G56" s="165" t="str">
        <f t="shared" si="288"/>
        <v>[effect:enemy_message, val1:1.2, val2:1.5]</v>
      </c>
      <c r="H56" s="165">
        <f t="shared" si="289"/>
        <v>9</v>
      </c>
      <c r="I56" s="165">
        <f t="shared" si="290"/>
        <v>22</v>
      </c>
      <c r="J56" s="165" t="e">
        <f t="shared" si="291"/>
        <v>#VALUE!</v>
      </c>
      <c r="K56" s="165">
        <f t="shared" si="292"/>
        <v>32</v>
      </c>
      <c r="L56" s="165" t="str">
        <f>IFERROR(VLOOKUP(MID(G56,J56,K56-J56),[5]skilldef!$C:$D,2,FALSE),"-") &amp; " / " &amp; IFERROR(VLOOKUP(MID(G56,H56,I56-H56),[5]skilldef!$A:$B,2,FALSE),"-")</f>
        <v>- / -</v>
      </c>
      <c r="M56" s="165" t="str">
        <f t="shared" si="293"/>
        <v>[effect:change_panel_ratio, turn:4, block_type:heart, val:0.4, animation:block_incidence04]</v>
      </c>
      <c r="N56" s="163" t="str">
        <f>IFERROR(LEFT(M56,FIND("],",M56)+S68),M56)</f>
        <v>[effect:change_panel_ratio, turn:4, block_type:heart, val:0.4, animation:block_incidence04]</v>
      </c>
      <c r="O56" s="165">
        <f t="shared" si="294"/>
        <v>9</v>
      </c>
      <c r="P56" s="165">
        <f t="shared" si="295"/>
        <v>27</v>
      </c>
      <c r="Q56" s="165" t="e">
        <f t="shared" si="296"/>
        <v>#VALUE!</v>
      </c>
      <c r="R56" s="165">
        <f t="shared" si="297"/>
        <v>35</v>
      </c>
      <c r="S56" s="165" t="str">
        <f>IFERROR(VLOOKUP(MID(N56,Q56,R56-Q56),[5]skilldef!$C:$D,2,FALSE),"-") &amp; " / " &amp; IFERROR(VLOOKUP(MID(N56,O56,P56-O56),[5]skilldef!$A:$B,2,FALSE),"-")</f>
        <v>- / -</v>
      </c>
      <c r="T56" s="163" t="str">
        <f t="shared" si="298"/>
        <v>none</v>
      </c>
      <c r="U56" s="165" t="e">
        <f t="shared" si="299"/>
        <v>#VALUE!</v>
      </c>
      <c r="V56" s="165">
        <f t="shared" si="300"/>
        <v>4</v>
      </c>
      <c r="W56" s="165" t="e">
        <f t="shared" si="301"/>
        <v>#VALUE!</v>
      </c>
      <c r="X56" s="165" t="e">
        <f t="shared" si="302"/>
        <v>#VALUE!</v>
      </c>
      <c r="Y56" s="165" t="str">
        <f>IFERROR(VLOOKUP(MID(T56,W56,X56-W56),[5]skilldef!$C:$D,2,FALSE),"-") &amp; " / " &amp; IFERROR(VLOOKUP(MID(T56,U56,V56-U56),[5]skilldef!$A:$B,2,FALSE),"-")</f>
        <v>- / -</v>
      </c>
      <c r="Z56" s="164"/>
      <c r="AA56" s="166"/>
      <c r="AB56" s="164"/>
      <c r="AC56" s="49">
        <f t="shared" si="16"/>
        <v>5</v>
      </c>
      <c r="AD56" s="49">
        <f t="shared" si="17"/>
        <v>15</v>
      </c>
    </row>
    <row r="57" spans="1:30" s="167" customFormat="1" ht="14" x14ac:dyDescent="0.15">
      <c r="A57" s="163">
        <v>48013056</v>
      </c>
      <c r="B57" s="163" t="s">
        <v>318</v>
      </c>
      <c r="C57" s="164">
        <v>1</v>
      </c>
      <c r="D57" s="164" t="s">
        <v>127</v>
      </c>
      <c r="E57" s="165" t="s">
        <v>401</v>
      </c>
      <c r="F57" s="165" t="s">
        <v>316</v>
      </c>
      <c r="G57" s="165" t="str">
        <f t="shared" si="288"/>
        <v>[effect:enemy_message, val1:1.2, val2:1.2]</v>
      </c>
      <c r="H57" s="165">
        <f t="shared" si="289"/>
        <v>9</v>
      </c>
      <c r="I57" s="165">
        <f t="shared" si="290"/>
        <v>22</v>
      </c>
      <c r="J57" s="165" t="e">
        <f t="shared" si="291"/>
        <v>#VALUE!</v>
      </c>
      <c r="K57" s="165">
        <f t="shared" si="292"/>
        <v>32</v>
      </c>
      <c r="L57" s="165" t="str">
        <f>IFERROR(VLOOKUP(MID(G57,J57,K57-J57),[5]skilldef!$C:$D,2,FALSE),"-") &amp; " / " &amp; IFERROR(VLOOKUP(MID(G57,H57,I57-H57),[5]skilldef!$A:$B,2,FALSE),"-")</f>
        <v>- / -</v>
      </c>
      <c r="M57" s="165" t="str">
        <f t="shared" si="293"/>
        <v>none</v>
      </c>
      <c r="N57" s="163" t="str">
        <f>IFERROR(LEFT(M57,FIND("],",M57)+S69),M57)</f>
        <v>none</v>
      </c>
      <c r="O57" s="165" t="e">
        <f t="shared" si="294"/>
        <v>#VALUE!</v>
      </c>
      <c r="P57" s="165">
        <f t="shared" si="295"/>
        <v>4</v>
      </c>
      <c r="Q57" s="165" t="e">
        <f t="shared" si="296"/>
        <v>#VALUE!</v>
      </c>
      <c r="R57" s="165" t="e">
        <f t="shared" si="297"/>
        <v>#VALUE!</v>
      </c>
      <c r="S57" s="165" t="str">
        <f>IFERROR(VLOOKUP(MID(N57,Q57,R57-Q57),[5]skilldef!$C:$D,2,FALSE),"-") &amp; " / " &amp; IFERROR(VLOOKUP(MID(N57,O57,P57-O57),[5]skilldef!$A:$B,2,FALSE),"-")</f>
        <v>- / -</v>
      </c>
      <c r="T57" s="163" t="str">
        <f t="shared" si="298"/>
        <v>none</v>
      </c>
      <c r="U57" s="165" t="e">
        <f t="shared" si="299"/>
        <v>#VALUE!</v>
      </c>
      <c r="V57" s="165">
        <f t="shared" si="300"/>
        <v>4</v>
      </c>
      <c r="W57" s="165" t="e">
        <f t="shared" si="301"/>
        <v>#VALUE!</v>
      </c>
      <c r="X57" s="165" t="e">
        <f t="shared" si="302"/>
        <v>#VALUE!</v>
      </c>
      <c r="Y57" s="165" t="str">
        <f>IFERROR(VLOOKUP(MID(T57,W57,X57-W57),[5]skilldef!$C:$D,2,FALSE),"-") &amp; " / " &amp; IFERROR(VLOOKUP(MID(T57,U57,V57-U57),[5]skilldef!$A:$B,2,FALSE),"-")</f>
        <v>- / -</v>
      </c>
      <c r="Z57" s="164"/>
      <c r="AA57" s="166"/>
      <c r="AB57" s="164"/>
      <c r="AC57" s="49">
        <f t="shared" si="16"/>
        <v>7</v>
      </c>
      <c r="AD57" s="49">
        <f t="shared" si="17"/>
        <v>10</v>
      </c>
    </row>
    <row r="58" spans="1:30" s="167" customFormat="1" ht="28" x14ac:dyDescent="0.15">
      <c r="A58" s="163">
        <v>48013057</v>
      </c>
      <c r="B58" s="163" t="s">
        <v>427</v>
      </c>
      <c r="C58" s="164">
        <v>1</v>
      </c>
      <c r="D58" s="164" t="s">
        <v>127</v>
      </c>
      <c r="E58" s="165" t="s">
        <v>400</v>
      </c>
      <c r="F58" s="165" t="s">
        <v>317</v>
      </c>
      <c r="G58" s="165" t="str">
        <f t="shared" ref="G58" si="303">IFERROR(LEFT(B58,FIND("],",B58)),B58)</f>
        <v>[effect:enemy_message, val1:1.2, val2:1.3]</v>
      </c>
      <c r="H58" s="165">
        <f t="shared" ref="H58" si="304">FIND("effect:",G58)+7</f>
        <v>9</v>
      </c>
      <c r="I58" s="165">
        <f t="shared" ref="I58" si="305">IFERROR(FIND(",",G58),LEN(G58))</f>
        <v>22</v>
      </c>
      <c r="J58" s="165" t="e">
        <f t="shared" ref="J58" si="306">FIND("target:",G58)+7</f>
        <v>#VALUE!</v>
      </c>
      <c r="K58" s="165">
        <f t="shared" ref="K58" si="307">FIND(",",G58,I58+1)</f>
        <v>32</v>
      </c>
      <c r="L58" s="165" t="str">
        <f>IFERROR(VLOOKUP(MID(G58,J58,K58-J58),[5]skilldef!$C:$D,2,FALSE),"-") &amp; " / " &amp; IFERROR(VLOOKUP(MID(G58,H58,I58-H58),[5]skilldef!$A:$B,2,FALSE),"-")</f>
        <v>- / -</v>
      </c>
      <c r="M58" s="165" t="str">
        <f t="shared" ref="M58" si="308">IFERROR(RIGHT(B58,LEN(B58)-FIND("],",B58)-1),"none")</f>
        <v>[effect:damage_gravity, val:0.9, animation:fevergauge_down]</v>
      </c>
      <c r="N58" s="163" t="str">
        <f>IFERROR(LEFT(M58,FIND("],",M58)+S70),M58)</f>
        <v>[effect:damage_gravity, val:0.9, animation:fevergauge_down]</v>
      </c>
      <c r="O58" s="165">
        <f t="shared" ref="O58" si="309">FIND("effect:",N58)+7</f>
        <v>9</v>
      </c>
      <c r="P58" s="165">
        <f t="shared" ref="P58" si="310">IFERROR(FIND(",",N58),LEN(N58))</f>
        <v>23</v>
      </c>
      <c r="Q58" s="165" t="e">
        <f t="shared" ref="Q58" si="311">FIND("target:",N58)+7</f>
        <v>#VALUE!</v>
      </c>
      <c r="R58" s="165">
        <f t="shared" ref="R58" si="312">FIND(",",N58,P58+1)</f>
        <v>32</v>
      </c>
      <c r="S58" s="165" t="str">
        <f>IFERROR(VLOOKUP(MID(N58,Q58,R58-Q58),[5]skilldef!$C:$D,2,FALSE),"-") &amp; " / " &amp; IFERROR(VLOOKUP(MID(N58,O58,P58-O58),[5]skilldef!$A:$B,2,FALSE),"-")</f>
        <v>- / 割合ダメージ</v>
      </c>
      <c r="T58" s="163" t="str">
        <f t="shared" ref="T58" si="313">IFERROR(RIGHT(M58,LEN(M58)-FIND("],",M58)-1),"none")</f>
        <v>none</v>
      </c>
      <c r="U58" s="165" t="e">
        <f t="shared" ref="U58" si="314">FIND("effect:",T58)+7</f>
        <v>#VALUE!</v>
      </c>
      <c r="V58" s="165">
        <f t="shared" ref="V58" si="315">IFERROR(FIND(",",T58),LEN(T58))</f>
        <v>4</v>
      </c>
      <c r="W58" s="165" t="e">
        <f t="shared" ref="W58" si="316">FIND("target:",T58)+7</f>
        <v>#VALUE!</v>
      </c>
      <c r="X58" s="165" t="e">
        <f t="shared" ref="X58" si="317">FIND(",",T58,V58+1)</f>
        <v>#VALUE!</v>
      </c>
      <c r="Y58" s="165" t="str">
        <f>IFERROR(VLOOKUP(MID(T58,W58,X58-W58),[5]skilldef!$C:$D,2,FALSE),"-") &amp; " / " &amp; IFERROR(VLOOKUP(MID(T58,U58,V58-U58),[5]skilldef!$A:$B,2,FALSE),"-")</f>
        <v>- / -</v>
      </c>
      <c r="Z58" s="164"/>
      <c r="AA58" s="166"/>
      <c r="AB58" s="164"/>
      <c r="AC58" s="49">
        <f t="shared" si="16"/>
        <v>4</v>
      </c>
      <c r="AD58" s="49">
        <f t="shared" si="17"/>
        <v>13</v>
      </c>
    </row>
    <row r="59" spans="1:30" s="167" customFormat="1" ht="14" x14ac:dyDescent="0.15">
      <c r="A59" s="163">
        <v>48013058</v>
      </c>
      <c r="B59" s="163" t="s">
        <v>481</v>
      </c>
      <c r="C59" s="164">
        <v>1</v>
      </c>
      <c r="D59" s="164" t="s">
        <v>127</v>
      </c>
      <c r="E59" s="165" t="s">
        <v>429</v>
      </c>
      <c r="F59" s="165" t="s">
        <v>387</v>
      </c>
      <c r="G59" s="165" t="str">
        <f t="shared" si="288"/>
        <v>[effect:enemy_message, val1:1.2, val2:0, dead_type:suicide]</v>
      </c>
      <c r="H59" s="165">
        <f t="shared" si="289"/>
        <v>9</v>
      </c>
      <c r="I59" s="165">
        <f t="shared" si="290"/>
        <v>22</v>
      </c>
      <c r="J59" s="165" t="e">
        <f t="shared" si="291"/>
        <v>#VALUE!</v>
      </c>
      <c r="K59" s="165">
        <f t="shared" si="292"/>
        <v>32</v>
      </c>
      <c r="L59" s="165" t="str">
        <f>IFERROR(VLOOKUP(MID(G59,J59,K59-J59),[5]skilldef!$C:$D,2,FALSE),"-") &amp; " / " &amp; IFERROR(VLOOKUP(MID(G59,H59,I59-H59),[5]skilldef!$A:$B,2,FALSE),"-")</f>
        <v>- / -</v>
      </c>
      <c r="M59" s="165" t="str">
        <f t="shared" si="293"/>
        <v>none</v>
      </c>
      <c r="N59" s="163" t="str">
        <f>IFERROR(LEFT(M59,FIND("],",M59)+S70),M59)</f>
        <v>none</v>
      </c>
      <c r="O59" s="165" t="e">
        <f t="shared" si="294"/>
        <v>#VALUE!</v>
      </c>
      <c r="P59" s="165">
        <f t="shared" si="295"/>
        <v>4</v>
      </c>
      <c r="Q59" s="165" t="e">
        <f t="shared" si="296"/>
        <v>#VALUE!</v>
      </c>
      <c r="R59" s="165" t="e">
        <f t="shared" si="297"/>
        <v>#VALUE!</v>
      </c>
      <c r="S59" s="165" t="str">
        <f>IFERROR(VLOOKUP(MID(N59,Q59,R59-Q59),[5]skilldef!$C:$D,2,FALSE),"-") &amp; " / " &amp; IFERROR(VLOOKUP(MID(N59,O59,P59-O59),[5]skilldef!$A:$B,2,FALSE),"-")</f>
        <v>- / -</v>
      </c>
      <c r="T59" s="163" t="str">
        <f t="shared" si="298"/>
        <v>none</v>
      </c>
      <c r="U59" s="165" t="e">
        <f t="shared" si="299"/>
        <v>#VALUE!</v>
      </c>
      <c r="V59" s="165">
        <f t="shared" si="300"/>
        <v>4</v>
      </c>
      <c r="W59" s="165" t="e">
        <f t="shared" si="301"/>
        <v>#VALUE!</v>
      </c>
      <c r="X59" s="165" t="e">
        <f t="shared" si="302"/>
        <v>#VALUE!</v>
      </c>
      <c r="Y59" s="165" t="str">
        <f>IFERROR(VLOOKUP(MID(T59,W59,X59-W59),[5]skilldef!$C:$D,2,FALSE),"-") &amp; " / " &amp; IFERROR(VLOOKUP(MID(T59,U59,V59-U59),[5]skilldef!$A:$B,2,FALSE),"-")</f>
        <v>- / -</v>
      </c>
      <c r="Z59" s="164"/>
      <c r="AA59" s="166"/>
      <c r="AB59" s="164"/>
      <c r="AC59" s="49">
        <f t="shared" si="16"/>
        <v>10</v>
      </c>
      <c r="AD59" s="49">
        <f t="shared" si="17"/>
        <v>7</v>
      </c>
    </row>
    <row r="60" spans="1:30" s="167" customFormat="1" ht="28" x14ac:dyDescent="0.15">
      <c r="A60" s="163">
        <v>48013059</v>
      </c>
      <c r="B60" s="163" t="s">
        <v>482</v>
      </c>
      <c r="C60" s="164">
        <v>1</v>
      </c>
      <c r="D60" s="164" t="s">
        <v>127</v>
      </c>
      <c r="E60" s="165" t="s">
        <v>441</v>
      </c>
      <c r="F60" s="165" t="s">
        <v>388</v>
      </c>
      <c r="G60" s="165" t="str">
        <f t="shared" si="288"/>
        <v>[effect:enemy_message, val1:2.0, val2:0, dead_type:suicide]</v>
      </c>
      <c r="H60" s="165">
        <f t="shared" si="289"/>
        <v>9</v>
      </c>
      <c r="I60" s="165">
        <f t="shared" si="290"/>
        <v>22</v>
      </c>
      <c r="J60" s="165" t="e">
        <f t="shared" si="291"/>
        <v>#VALUE!</v>
      </c>
      <c r="K60" s="165">
        <f t="shared" si="292"/>
        <v>32</v>
      </c>
      <c r="L60" s="165" t="str">
        <f>IFERROR(VLOOKUP(MID(G60,J60,K60-J60),[5]skilldef!$C:$D,2,FALSE),"-") &amp; " / " &amp; IFERROR(VLOOKUP(MID(G60,H60,I60-H60),[5]skilldef!$A:$B,2,FALSE),"-")</f>
        <v>- / -</v>
      </c>
      <c r="M60" s="165" t="str">
        <f t="shared" si="293"/>
        <v>none</v>
      </c>
      <c r="N60" s="163" t="str">
        <f>IFERROR(LEFT(M60,FIND("],",M60)+S71),M60)</f>
        <v>none</v>
      </c>
      <c r="O60" s="165" t="e">
        <f t="shared" si="294"/>
        <v>#VALUE!</v>
      </c>
      <c r="P60" s="165">
        <f t="shared" si="295"/>
        <v>4</v>
      </c>
      <c r="Q60" s="165" t="e">
        <f t="shared" si="296"/>
        <v>#VALUE!</v>
      </c>
      <c r="R60" s="165" t="e">
        <f t="shared" si="297"/>
        <v>#VALUE!</v>
      </c>
      <c r="S60" s="165" t="str">
        <f>IFERROR(VLOOKUP(MID(N60,Q60,R60-Q60),[5]skilldef!$C:$D,2,FALSE),"-") &amp; " / " &amp; IFERROR(VLOOKUP(MID(N60,O60,P60-O60),[5]skilldef!$A:$B,2,FALSE),"-")</f>
        <v>- / -</v>
      </c>
      <c r="T60" s="163" t="str">
        <f t="shared" si="298"/>
        <v>none</v>
      </c>
      <c r="U60" s="165" t="e">
        <f t="shared" si="299"/>
        <v>#VALUE!</v>
      </c>
      <c r="V60" s="165">
        <f t="shared" si="300"/>
        <v>4</v>
      </c>
      <c r="W60" s="165" t="e">
        <f t="shared" si="301"/>
        <v>#VALUE!</v>
      </c>
      <c r="X60" s="165" t="e">
        <f t="shared" si="302"/>
        <v>#VALUE!</v>
      </c>
      <c r="Y60" s="165" t="str">
        <f>IFERROR(VLOOKUP(MID(T60,W60,X60-W60),[5]skilldef!$C:$D,2,FALSE),"-") &amp; " / " &amp; IFERROR(VLOOKUP(MID(T60,U60,V60-U60),[5]skilldef!$A:$B,2,FALSE),"-")</f>
        <v>- / -</v>
      </c>
      <c r="Z60" s="164"/>
      <c r="AA60" s="166"/>
      <c r="AB60" s="164"/>
      <c r="AC60" s="49">
        <f t="shared" si="16"/>
        <v>20</v>
      </c>
      <c r="AD60" s="49">
        <f t="shared" si="17"/>
        <v>7</v>
      </c>
    </row>
    <row r="61" spans="1:30" s="167" customFormat="1" ht="28" x14ac:dyDescent="0.15">
      <c r="A61" s="163">
        <v>48013060</v>
      </c>
      <c r="B61" s="163" t="s">
        <v>482</v>
      </c>
      <c r="C61" s="164">
        <v>1</v>
      </c>
      <c r="D61" s="164" t="s">
        <v>127</v>
      </c>
      <c r="E61" s="165" t="s">
        <v>442</v>
      </c>
      <c r="F61" s="165" t="s">
        <v>388</v>
      </c>
      <c r="G61" s="165" t="str">
        <f t="shared" ref="G61" si="318">IFERROR(LEFT(B61,FIND("],",B61)),B61)</f>
        <v>[effect:enemy_message, val1:2.0, val2:0, dead_type:suicide]</v>
      </c>
      <c r="H61" s="165">
        <f t="shared" ref="H61" si="319">FIND("effect:",G61)+7</f>
        <v>9</v>
      </c>
      <c r="I61" s="165">
        <f t="shared" ref="I61" si="320">IFERROR(FIND(",",G61),LEN(G61))</f>
        <v>22</v>
      </c>
      <c r="J61" s="165" t="e">
        <f t="shared" ref="J61" si="321">FIND("target:",G61)+7</f>
        <v>#VALUE!</v>
      </c>
      <c r="K61" s="165">
        <f t="shared" ref="K61" si="322">FIND(",",G61,I61+1)</f>
        <v>32</v>
      </c>
      <c r="L61" s="165" t="str">
        <f>IFERROR(VLOOKUP(MID(G61,J61,K61-J61),[5]skilldef!$C:$D,2,FALSE),"-") &amp; " / " &amp; IFERROR(VLOOKUP(MID(G61,H61,I61-H61),[5]skilldef!$A:$B,2,FALSE),"-")</f>
        <v>- / -</v>
      </c>
      <c r="M61" s="165" t="str">
        <f t="shared" ref="M61" si="323">IFERROR(RIGHT(B61,LEN(B61)-FIND("],",B61)-1),"none")</f>
        <v>none</v>
      </c>
      <c r="N61" s="163" t="str">
        <f>IFERROR(LEFT(M61,FIND("],",M61)+S72),M61)</f>
        <v>none</v>
      </c>
      <c r="O61" s="165" t="e">
        <f t="shared" ref="O61" si="324">FIND("effect:",N61)+7</f>
        <v>#VALUE!</v>
      </c>
      <c r="P61" s="165">
        <f t="shared" ref="P61" si="325">IFERROR(FIND(",",N61),LEN(N61))</f>
        <v>4</v>
      </c>
      <c r="Q61" s="165" t="e">
        <f t="shared" ref="Q61" si="326">FIND("target:",N61)+7</f>
        <v>#VALUE!</v>
      </c>
      <c r="R61" s="165" t="e">
        <f t="shared" ref="R61" si="327">FIND(",",N61,P61+1)</f>
        <v>#VALUE!</v>
      </c>
      <c r="S61" s="165" t="str">
        <f>IFERROR(VLOOKUP(MID(N61,Q61,R61-Q61),[5]skilldef!$C:$D,2,FALSE),"-") &amp; " / " &amp; IFERROR(VLOOKUP(MID(N61,O61,P61-O61),[5]skilldef!$A:$B,2,FALSE),"-")</f>
        <v>- / -</v>
      </c>
      <c r="T61" s="163" t="str">
        <f t="shared" ref="T61" si="328">IFERROR(RIGHT(M61,LEN(M61)-FIND("],",M61)-1),"none")</f>
        <v>none</v>
      </c>
      <c r="U61" s="165" t="e">
        <f t="shared" ref="U61" si="329">FIND("effect:",T61)+7</f>
        <v>#VALUE!</v>
      </c>
      <c r="V61" s="165">
        <f t="shared" ref="V61" si="330">IFERROR(FIND(",",T61),LEN(T61))</f>
        <v>4</v>
      </c>
      <c r="W61" s="165" t="e">
        <f t="shared" ref="W61" si="331">FIND("target:",T61)+7</f>
        <v>#VALUE!</v>
      </c>
      <c r="X61" s="165" t="e">
        <f t="shared" ref="X61" si="332">FIND(",",T61,V61+1)</f>
        <v>#VALUE!</v>
      </c>
      <c r="Y61" s="165" t="str">
        <f>IFERROR(VLOOKUP(MID(T61,W61,X61-W61),[5]skilldef!$C:$D,2,FALSE),"-") &amp; " / " &amp; IFERROR(VLOOKUP(MID(T61,U61,V61-U61),[5]skilldef!$A:$B,2,FALSE),"-")</f>
        <v>- / -</v>
      </c>
      <c r="Z61" s="164"/>
      <c r="AA61" s="166"/>
      <c r="AB61" s="164"/>
      <c r="AC61" s="49">
        <f t="shared" si="16"/>
        <v>20</v>
      </c>
      <c r="AD61" s="49">
        <f t="shared" si="17"/>
        <v>7</v>
      </c>
    </row>
    <row r="62" spans="1:30" s="167" customFormat="1" ht="28" x14ac:dyDescent="0.15">
      <c r="A62" s="163">
        <v>48013061</v>
      </c>
      <c r="B62" s="163" t="s">
        <v>483</v>
      </c>
      <c r="C62" s="164">
        <v>1</v>
      </c>
      <c r="D62" s="164" t="s">
        <v>127</v>
      </c>
      <c r="E62" s="165" t="s">
        <v>440</v>
      </c>
      <c r="F62" s="165" t="s">
        <v>387</v>
      </c>
      <c r="G62" s="165" t="str">
        <f t="shared" si="288"/>
        <v>[effect:enemy_message, val1:2.5, val2:0, dead_type:suicide]</v>
      </c>
      <c r="H62" s="165">
        <f t="shared" si="289"/>
        <v>9</v>
      </c>
      <c r="I62" s="165">
        <f t="shared" si="290"/>
        <v>22</v>
      </c>
      <c r="J62" s="165" t="e">
        <f t="shared" si="291"/>
        <v>#VALUE!</v>
      </c>
      <c r="K62" s="165">
        <f t="shared" si="292"/>
        <v>32</v>
      </c>
      <c r="L62" s="165" t="str">
        <f>IFERROR(VLOOKUP(MID(G62,J62,K62-J62),[5]skilldef!$C:$D,2,FALSE),"-") &amp; " / " &amp; IFERROR(VLOOKUP(MID(G62,H62,I62-H62),[5]skilldef!$A:$B,2,FALSE),"-")</f>
        <v>- / -</v>
      </c>
      <c r="M62" s="165" t="str">
        <f t="shared" si="293"/>
        <v>none</v>
      </c>
      <c r="N62" s="163" t="str">
        <f t="shared" ref="N62" si="333">IFERROR(LEFT(M62,FIND("],",M62)+S72),M62)</f>
        <v>none</v>
      </c>
      <c r="O62" s="165" t="e">
        <f t="shared" si="294"/>
        <v>#VALUE!</v>
      </c>
      <c r="P62" s="165">
        <f t="shared" si="295"/>
        <v>4</v>
      </c>
      <c r="Q62" s="165" t="e">
        <f t="shared" si="296"/>
        <v>#VALUE!</v>
      </c>
      <c r="R62" s="165" t="e">
        <f t="shared" si="297"/>
        <v>#VALUE!</v>
      </c>
      <c r="S62" s="165" t="str">
        <f>IFERROR(VLOOKUP(MID(N62,Q62,R62-Q62),[5]skilldef!$C:$D,2,FALSE),"-") &amp; " / " &amp; IFERROR(VLOOKUP(MID(N62,O62,P62-O62),[5]skilldef!$A:$B,2,FALSE),"-")</f>
        <v>- / -</v>
      </c>
      <c r="T62" s="163" t="str">
        <f t="shared" si="298"/>
        <v>none</v>
      </c>
      <c r="U62" s="165" t="e">
        <f t="shared" si="299"/>
        <v>#VALUE!</v>
      </c>
      <c r="V62" s="165">
        <f t="shared" si="300"/>
        <v>4</v>
      </c>
      <c r="W62" s="165" t="e">
        <f t="shared" si="301"/>
        <v>#VALUE!</v>
      </c>
      <c r="X62" s="165" t="e">
        <f t="shared" si="302"/>
        <v>#VALUE!</v>
      </c>
      <c r="Y62" s="165" t="str">
        <f>IFERROR(VLOOKUP(MID(T62,W62,X62-W62),[5]skilldef!$C:$D,2,FALSE),"-") &amp; " / " &amp; IFERROR(VLOOKUP(MID(T62,U62,V62-U62),[5]skilldef!$A:$B,2,FALSE),"-")</f>
        <v>- / -</v>
      </c>
      <c r="Z62" s="164"/>
      <c r="AA62" s="166"/>
      <c r="AB62" s="164"/>
      <c r="AC62" s="49">
        <f t="shared" si="16"/>
        <v>25</v>
      </c>
      <c r="AD62" s="49">
        <f t="shared" si="17"/>
        <v>7</v>
      </c>
    </row>
    <row r="63" spans="1:30" s="167" customFormat="1" ht="29" thickBot="1" x14ac:dyDescent="0.2">
      <c r="A63" s="208">
        <v>48013062</v>
      </c>
      <c r="B63" s="208" t="s">
        <v>483</v>
      </c>
      <c r="C63" s="209">
        <v>1</v>
      </c>
      <c r="D63" s="209" t="s">
        <v>127</v>
      </c>
      <c r="E63" s="210" t="s">
        <v>440</v>
      </c>
      <c r="F63" s="210" t="s">
        <v>387</v>
      </c>
      <c r="G63" s="210" t="str">
        <f t="shared" ref="G63:G67" si="334">IFERROR(LEFT(B63,FIND("],",B63)),B63)</f>
        <v>[effect:enemy_message, val1:2.5, val2:0, dead_type:suicide]</v>
      </c>
      <c r="H63" s="210">
        <f t="shared" ref="H63:H67" si="335">FIND("effect:",G63)+7</f>
        <v>9</v>
      </c>
      <c r="I63" s="210">
        <f t="shared" ref="I63:I67" si="336">IFERROR(FIND(",",G63),LEN(G63))</f>
        <v>22</v>
      </c>
      <c r="J63" s="210" t="e">
        <f t="shared" ref="J63:J67" si="337">FIND("target:",G63)+7</f>
        <v>#VALUE!</v>
      </c>
      <c r="K63" s="210">
        <f t="shared" ref="K63:K67" si="338">FIND(",",G63,I63+1)</f>
        <v>32</v>
      </c>
      <c r="L63" s="210" t="str">
        <f>IFERROR(VLOOKUP(MID(G63,J63,K63-J63),[5]skilldef!$C:$D,2,FALSE),"-") &amp; " / " &amp; IFERROR(VLOOKUP(MID(G63,H63,I63-H63),[5]skilldef!$A:$B,2,FALSE),"-")</f>
        <v>- / -</v>
      </c>
      <c r="M63" s="210" t="str">
        <f t="shared" ref="M63:M67" si="339">IFERROR(RIGHT(B63,LEN(B63)-FIND("],",B63)-1),"none")</f>
        <v>none</v>
      </c>
      <c r="N63" s="208" t="str">
        <f t="shared" ref="N63" si="340">IFERROR(LEFT(M63,FIND("],",M63)+S73),M63)</f>
        <v>none</v>
      </c>
      <c r="O63" s="210" t="e">
        <f t="shared" ref="O63:O67" si="341">FIND("effect:",N63)+7</f>
        <v>#VALUE!</v>
      </c>
      <c r="P63" s="210">
        <f t="shared" ref="P63:P67" si="342">IFERROR(FIND(",",N63),LEN(N63))</f>
        <v>4</v>
      </c>
      <c r="Q63" s="210" t="e">
        <f t="shared" ref="Q63:Q67" si="343">FIND("target:",N63)+7</f>
        <v>#VALUE!</v>
      </c>
      <c r="R63" s="210" t="e">
        <f t="shared" ref="R63:R67" si="344">FIND(",",N63,P63+1)</f>
        <v>#VALUE!</v>
      </c>
      <c r="S63" s="210" t="str">
        <f>IFERROR(VLOOKUP(MID(N63,Q63,R63-Q63),[5]skilldef!$C:$D,2,FALSE),"-") &amp; " / " &amp; IFERROR(VLOOKUP(MID(N63,O63,P63-O63),[5]skilldef!$A:$B,2,FALSE),"-")</f>
        <v>- / -</v>
      </c>
      <c r="T63" s="208" t="str">
        <f t="shared" ref="T63:T67" si="345">IFERROR(RIGHT(M63,LEN(M63)-FIND("],",M63)-1),"none")</f>
        <v>none</v>
      </c>
      <c r="U63" s="210" t="e">
        <f t="shared" ref="U63:U67" si="346">FIND("effect:",T63)+7</f>
        <v>#VALUE!</v>
      </c>
      <c r="V63" s="210">
        <f t="shared" ref="V63:V67" si="347">IFERROR(FIND(",",T63),LEN(T63))</f>
        <v>4</v>
      </c>
      <c r="W63" s="210" t="e">
        <f t="shared" ref="W63:W67" si="348">FIND("target:",T63)+7</f>
        <v>#VALUE!</v>
      </c>
      <c r="X63" s="210" t="e">
        <f t="shared" ref="X63:X67" si="349">FIND(",",T63,V63+1)</f>
        <v>#VALUE!</v>
      </c>
      <c r="Y63" s="210" t="str">
        <f>IFERROR(VLOOKUP(MID(T63,W63,X63-W63),[5]skilldef!$C:$D,2,FALSE),"-") &amp; " / " &amp; IFERROR(VLOOKUP(MID(T63,U63,V63-U63),[5]skilldef!$A:$B,2,FALSE),"-")</f>
        <v>- / -</v>
      </c>
      <c r="Z63" s="209"/>
      <c r="AA63" s="211"/>
      <c r="AB63" s="209"/>
      <c r="AC63" s="49">
        <f t="shared" si="16"/>
        <v>25</v>
      </c>
      <c r="AD63" s="49">
        <f t="shared" si="17"/>
        <v>7</v>
      </c>
    </row>
    <row r="64" spans="1:30" s="185" customFormat="1" ht="35" customHeight="1" x14ac:dyDescent="0.15">
      <c r="A64" s="181">
        <v>48013063</v>
      </c>
      <c r="B64" s="181" t="s">
        <v>507</v>
      </c>
      <c r="C64" s="182">
        <v>1</v>
      </c>
      <c r="D64" s="182" t="s">
        <v>127</v>
      </c>
      <c r="E64" s="183" t="s">
        <v>398</v>
      </c>
      <c r="F64" s="183" t="s">
        <v>506</v>
      </c>
      <c r="G64" s="183" t="str">
        <f t="shared" si="334"/>
        <v>[effect:enemy_message, val1:1.2, val2:2.2]</v>
      </c>
      <c r="H64" s="183">
        <f t="shared" si="335"/>
        <v>9</v>
      </c>
      <c r="I64" s="183">
        <f t="shared" si="336"/>
        <v>22</v>
      </c>
      <c r="J64" s="183" t="e">
        <f t="shared" si="337"/>
        <v>#VALUE!</v>
      </c>
      <c r="K64" s="183">
        <f t="shared" si="338"/>
        <v>32</v>
      </c>
      <c r="L64" s="183" t="str">
        <f>IFERROR(VLOOKUP(MID(G64,J64,K64-J64),[5]skilldef!$C:$D,2,FALSE),"-") &amp; " / " &amp; IFERROR(VLOOKUP(MID(G64,H64,I64-H64),[5]skilldef!$A:$B,2,FALSE),"-")</f>
        <v>- / -</v>
      </c>
      <c r="M64" s="183" t="str">
        <f t="shared" si="339"/>
        <v>[effect:rush, count:1, val:1],[effect:force_change_block, new_block:jammer, target:block_green, count:2, val:0, animation:change_block]</v>
      </c>
      <c r="N64" s="181" t="str">
        <f>IFERROR(LEFT(M64,FIND("],",M64)+S85),M64)</f>
        <v>[effect:rush, count:1, val:1]</v>
      </c>
      <c r="O64" s="183">
        <f t="shared" si="341"/>
        <v>9</v>
      </c>
      <c r="P64" s="183">
        <f t="shared" si="342"/>
        <v>13</v>
      </c>
      <c r="Q64" s="183" t="e">
        <f t="shared" si="343"/>
        <v>#VALUE!</v>
      </c>
      <c r="R64" s="183">
        <f t="shared" si="344"/>
        <v>22</v>
      </c>
      <c r="S64" s="183" t="str">
        <f>IFERROR(VLOOKUP(MID(N64,Q64,R64-Q64),[5]skilldef!$C:$D,2,FALSE),"-") &amp; " / " &amp; IFERROR(VLOOKUP(MID(N64,O64,P64-O64),[5]skilldef!$A:$B,2,FALSE),"-")</f>
        <v>- / 連続攻撃</v>
      </c>
      <c r="T64" s="181" t="str">
        <f t="shared" si="345"/>
        <v>[effect:force_change_block, new_block:jammer, target:block_green, count:2, val:0, animation:change_block]</v>
      </c>
      <c r="U64" s="183">
        <f t="shared" si="346"/>
        <v>9</v>
      </c>
      <c r="V64" s="183">
        <f t="shared" si="347"/>
        <v>27</v>
      </c>
      <c r="W64" s="183">
        <f t="shared" si="348"/>
        <v>54</v>
      </c>
      <c r="X64" s="183">
        <f t="shared" si="349"/>
        <v>45</v>
      </c>
      <c r="Y64" s="183" t="str">
        <f>IFERROR(VLOOKUP(MID(T64,W64,X64-W64),[5]skilldef!$C:$D,2,FALSE),"-") &amp; " / " &amp; IFERROR(VLOOKUP(MID(T64,U64,V64-U64),[5]skilldef!$A:$B,2,FALSE),"-")</f>
        <v>- / -</v>
      </c>
      <c r="Z64" s="182"/>
      <c r="AA64" s="184"/>
      <c r="AB64" s="182"/>
      <c r="AC64" s="49">
        <f t="shared" ref="AC64:AC67" si="350">LEN(E64)</f>
        <v>11</v>
      </c>
      <c r="AD64" s="49">
        <f t="shared" ref="AD64:AD67" si="351">LEN(F64)</f>
        <v>22</v>
      </c>
    </row>
    <row r="65" spans="1:30" s="162" customFormat="1" ht="70" x14ac:dyDescent="0.15">
      <c r="A65" s="158">
        <v>48013064</v>
      </c>
      <c r="B65" s="158" t="s">
        <v>509</v>
      </c>
      <c r="C65" s="159">
        <v>1</v>
      </c>
      <c r="D65" s="159" t="s">
        <v>127</v>
      </c>
      <c r="E65" s="160" t="s">
        <v>403</v>
      </c>
      <c r="F65" s="160" t="s">
        <v>508</v>
      </c>
      <c r="G65" s="160" t="str">
        <f t="shared" si="334"/>
        <v>[effect:enemy_message, val1:1.2, val2:2.3]</v>
      </c>
      <c r="H65" s="160">
        <f t="shared" si="335"/>
        <v>9</v>
      </c>
      <c r="I65" s="160">
        <f t="shared" si="336"/>
        <v>22</v>
      </c>
      <c r="J65" s="160" t="e">
        <f t="shared" si="337"/>
        <v>#VALUE!</v>
      </c>
      <c r="K65" s="160">
        <f t="shared" si="338"/>
        <v>32</v>
      </c>
      <c r="L65" s="160" t="str">
        <f>IFERROR(VLOOKUP(MID(G65,J65,K65-J65),[5]skilldef!$C:$D,2,FALSE),"-") &amp; " / " &amp; IFERROR(VLOOKUP(MID(G65,H65,I65-H65),[5]skilldef!$A:$B,2,FALSE),"-")</f>
        <v>- / -</v>
      </c>
      <c r="M65" s="160" t="str">
        <f t="shared" si="339"/>
        <v>[effect:spread, val:0.25],[effect:force_change_block, new_block:jammer, target:normal, count:3, val:0, animation:change_block]</v>
      </c>
      <c r="N65" s="158" t="str">
        <f>IFERROR(LEFT(M65,FIND("],",M65)+S84),M65)</f>
        <v>[effect:spread, val:0.25]</v>
      </c>
      <c r="O65" s="160">
        <f t="shared" si="341"/>
        <v>9</v>
      </c>
      <c r="P65" s="160">
        <f t="shared" si="342"/>
        <v>15</v>
      </c>
      <c r="Q65" s="160" t="e">
        <f t="shared" si="343"/>
        <v>#VALUE!</v>
      </c>
      <c r="R65" s="160" t="e">
        <f t="shared" si="344"/>
        <v>#VALUE!</v>
      </c>
      <c r="S65" s="160" t="str">
        <f>IFERROR(VLOOKUP(MID(N65,Q65,R65-Q65),[5]skilldef!$C:$D,2,FALSE),"-") &amp; " / " &amp; IFERROR(VLOOKUP(MID(N65,O65,P65-O65),[5]skilldef!$A:$B,2,FALSE),"-")</f>
        <v>- / 全体攻撃</v>
      </c>
      <c r="T65" s="158" t="str">
        <f t="shared" si="345"/>
        <v>[effect:force_change_block, new_block:jammer, target:normal, count:3, val:0, animation:change_block]</v>
      </c>
      <c r="U65" s="160">
        <f t="shared" si="346"/>
        <v>9</v>
      </c>
      <c r="V65" s="160">
        <f t="shared" si="347"/>
        <v>27</v>
      </c>
      <c r="W65" s="160">
        <f t="shared" si="348"/>
        <v>54</v>
      </c>
      <c r="X65" s="160">
        <f t="shared" si="349"/>
        <v>45</v>
      </c>
      <c r="Y65" s="160" t="str">
        <f>IFERROR(VLOOKUP(MID(T65,W65,X65-W65),[5]skilldef!$C:$D,2,FALSE),"-") &amp; " / " &amp; IFERROR(VLOOKUP(MID(T65,U65,V65-U65),[5]skilldef!$A:$B,2,FALSE),"-")</f>
        <v>- / -</v>
      </c>
      <c r="Z65" s="159"/>
      <c r="AA65" s="161"/>
      <c r="AB65" s="159"/>
      <c r="AC65" s="49">
        <f t="shared" si="350"/>
        <v>5</v>
      </c>
      <c r="AD65" s="49">
        <f t="shared" si="351"/>
        <v>23</v>
      </c>
    </row>
    <row r="66" spans="1:30" s="167" customFormat="1" ht="70" x14ac:dyDescent="0.15">
      <c r="A66" s="163">
        <v>48013065</v>
      </c>
      <c r="B66" s="163" t="s">
        <v>511</v>
      </c>
      <c r="C66" s="164">
        <v>1</v>
      </c>
      <c r="D66" s="164" t="s">
        <v>302</v>
      </c>
      <c r="E66" s="165" t="s">
        <v>399</v>
      </c>
      <c r="F66" s="165" t="s">
        <v>510</v>
      </c>
      <c r="G66" s="165" t="str">
        <f t="shared" si="334"/>
        <v>[effect:enemy_message, val1:1.2, val2:2.4]</v>
      </c>
      <c r="H66" s="165">
        <f t="shared" si="335"/>
        <v>9</v>
      </c>
      <c r="I66" s="165">
        <f t="shared" si="336"/>
        <v>22</v>
      </c>
      <c r="J66" s="165" t="e">
        <f t="shared" si="337"/>
        <v>#VALUE!</v>
      </c>
      <c r="K66" s="165">
        <f t="shared" si="338"/>
        <v>32</v>
      </c>
      <c r="L66" s="165" t="str">
        <f>IFERROR(VLOOKUP(MID(G66,J66,K66-J66),[5]skilldef!$C:$D,2,FALSE),"-") &amp; " / " &amp; IFERROR(VLOOKUP(MID(G66,H66,I66-H66),[5]skilldef!$A:$B,2,FALSE),"-")</f>
        <v>- / -</v>
      </c>
      <c r="M66" s="165" t="str">
        <f t="shared" si="339"/>
        <v>[effect:rush, count:4, val:0.25],[effect:force_change_block, new_block:jammer, target:block_green, count:4, val:0, animation:change_block]</v>
      </c>
      <c r="N66" s="163" t="str">
        <f>IFERROR(LEFT(M66,FIND("],",M66)+S85),M66)</f>
        <v>[effect:rush, count:4, val:0.25]</v>
      </c>
      <c r="O66" s="165">
        <f t="shared" si="341"/>
        <v>9</v>
      </c>
      <c r="P66" s="165">
        <f t="shared" si="342"/>
        <v>13</v>
      </c>
      <c r="Q66" s="165" t="e">
        <f t="shared" si="343"/>
        <v>#VALUE!</v>
      </c>
      <c r="R66" s="165">
        <f t="shared" si="344"/>
        <v>22</v>
      </c>
      <c r="S66" s="165" t="str">
        <f>IFERROR(VLOOKUP(MID(N66,Q66,R66-Q66),[5]skilldef!$C:$D,2,FALSE),"-") &amp; " / " &amp; IFERROR(VLOOKUP(MID(N66,O66,P66-O66),[5]skilldef!$A:$B,2,FALSE),"-")</f>
        <v>- / 連続攻撃</v>
      </c>
      <c r="T66" s="163" t="str">
        <f t="shared" si="345"/>
        <v>[effect:force_change_block, new_block:jammer, target:block_green, count:4, val:0, animation:change_block]</v>
      </c>
      <c r="U66" s="165">
        <f t="shared" si="346"/>
        <v>9</v>
      </c>
      <c r="V66" s="165">
        <f t="shared" si="347"/>
        <v>27</v>
      </c>
      <c r="W66" s="165">
        <f t="shared" si="348"/>
        <v>54</v>
      </c>
      <c r="X66" s="165">
        <f t="shared" si="349"/>
        <v>45</v>
      </c>
      <c r="Y66" s="165" t="str">
        <f>IFERROR(VLOOKUP(MID(T66,W66,X66-W66),[5]skilldef!$C:$D,2,FALSE),"-") &amp; " / " &amp; IFERROR(VLOOKUP(MID(T66,U66,V66-U66),[5]skilldef!$A:$B,2,FALSE),"-")</f>
        <v>- / -</v>
      </c>
      <c r="Z66" s="164"/>
      <c r="AA66" s="166"/>
      <c r="AB66" s="164"/>
      <c r="AC66" s="49">
        <f t="shared" si="350"/>
        <v>5</v>
      </c>
      <c r="AD66" s="49">
        <f t="shared" si="351"/>
        <v>24</v>
      </c>
    </row>
    <row r="67" spans="1:30" s="142" customFormat="1" ht="42" x14ac:dyDescent="0.15">
      <c r="A67" s="138">
        <v>48013066</v>
      </c>
      <c r="B67" s="138" t="s">
        <v>515</v>
      </c>
      <c r="C67" s="139">
        <v>1</v>
      </c>
      <c r="D67" s="139" t="s">
        <v>127</v>
      </c>
      <c r="E67" s="140" t="s">
        <v>412</v>
      </c>
      <c r="F67" s="140" t="s">
        <v>263</v>
      </c>
      <c r="G67" s="140" t="str">
        <f t="shared" si="334"/>
        <v>[effect:enemy_message, val1:1.2, val2:1.2]</v>
      </c>
      <c r="H67" s="140">
        <f t="shared" si="335"/>
        <v>9</v>
      </c>
      <c r="I67" s="140">
        <f t="shared" si="336"/>
        <v>22</v>
      </c>
      <c r="J67" s="140" t="e">
        <f t="shared" si="337"/>
        <v>#VALUE!</v>
      </c>
      <c r="K67" s="140">
        <f t="shared" si="338"/>
        <v>32</v>
      </c>
      <c r="L67" s="140" t="str">
        <f>IFERROR(VLOOKUP(MID(G67,J67,K67-J67),[5]skilldef!$C:$D,2,FALSE),"-") &amp; " / " &amp; IFERROR(VLOOKUP(MID(G67,H67,I67-H67),[5]skilldef!$A:$B,2,FALSE),"-")</f>
        <v>- / -</v>
      </c>
      <c r="M67" s="140" t="str">
        <f t="shared" si="339"/>
        <v>[effect:fix_speed, target:myself, turn:1],[effect:critical, val:1.2, animation:enemy_critical]</v>
      </c>
      <c r="N67" s="138" t="str">
        <f>IFERROR(LEFT(M67,FIND("],",M67)+S83),M67)</f>
        <v>[effect:fix_speed, target:myself, turn:1]</v>
      </c>
      <c r="O67" s="140">
        <f t="shared" si="341"/>
        <v>9</v>
      </c>
      <c r="P67" s="140">
        <f t="shared" si="342"/>
        <v>18</v>
      </c>
      <c r="Q67" s="140">
        <f t="shared" si="343"/>
        <v>27</v>
      </c>
      <c r="R67" s="140">
        <f t="shared" si="344"/>
        <v>33</v>
      </c>
      <c r="S67" s="140" t="str">
        <f>IFERROR(VLOOKUP(MID(N67,Q67,R67-Q67),[5]skilldef!$C:$D,2,FALSE),"-") &amp; " / " &amp; IFERROR(VLOOKUP(MID(N67,O67,P67-O67),[5]skilldef!$A:$B,2,FALSE),"-")</f>
        <v>自分自身に / 行動値設定</v>
      </c>
      <c r="T67" s="138" t="str">
        <f t="shared" si="345"/>
        <v>[effect:critical, val:1.2, animation:enemy_critical]</v>
      </c>
      <c r="U67" s="140">
        <f t="shared" si="346"/>
        <v>9</v>
      </c>
      <c r="V67" s="140">
        <f t="shared" si="347"/>
        <v>17</v>
      </c>
      <c r="W67" s="140" t="e">
        <f t="shared" si="348"/>
        <v>#VALUE!</v>
      </c>
      <c r="X67" s="140">
        <f t="shared" si="349"/>
        <v>26</v>
      </c>
      <c r="Y67" s="140" t="str">
        <f>IFERROR(VLOOKUP(MID(T67,W67,X67-W67),[5]skilldef!$C:$D,2,FALSE),"-") &amp; " / " &amp; IFERROR(VLOOKUP(MID(T67,U67,V67-U67),[5]skilldef!$A:$B,2,FALSE),"-")</f>
        <v>- / 大攻撃</v>
      </c>
      <c r="Z67" s="139"/>
      <c r="AA67" s="141"/>
      <c r="AB67" s="139"/>
      <c r="AC67" s="49">
        <f t="shared" si="350"/>
        <v>4</v>
      </c>
      <c r="AD67" s="49">
        <f t="shared" si="351"/>
        <v>7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63"/>
  <sheetViews>
    <sheetView showGridLines="0" workbookViewId="0">
      <pane ySplit="1" topLeftCell="A2" activePane="bottomLeft" state="frozenSplit"/>
      <selection pane="bottomLeft" activeCell="A47" sqref="A4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20.6640625" style="45" bestFit="1" customWidth="1"/>
    <col min="13" max="13" width="19.6640625" style="45" customWidth="1"/>
    <col min="14" max="16384" width="12.83203125" style="45"/>
  </cols>
  <sheetData>
    <row r="1" spans="1:13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0" t="s">
        <v>71</v>
      </c>
      <c r="G1" s="50" t="s">
        <v>72</v>
      </c>
      <c r="H1" s="42" t="s">
        <v>73</v>
      </c>
      <c r="I1" s="42" t="s">
        <v>74</v>
      </c>
      <c r="J1" s="42" t="s">
        <v>75</v>
      </c>
      <c r="K1" s="51" t="s">
        <v>88</v>
      </c>
    </row>
    <row r="2" spans="1:13" ht="21" customHeight="1" x14ac:dyDescent="0.15">
      <c r="A2" s="133">
        <v>48013001</v>
      </c>
      <c r="B2" s="133">
        <v>1</v>
      </c>
      <c r="C2" s="133" t="s">
        <v>340</v>
      </c>
      <c r="D2" s="133">
        <v>100</v>
      </c>
      <c r="E2" s="133" t="s">
        <v>255</v>
      </c>
      <c r="F2" s="133" t="s">
        <v>89</v>
      </c>
      <c r="G2" s="133">
        <v>1</v>
      </c>
      <c r="H2" s="133" t="s">
        <v>89</v>
      </c>
      <c r="I2" s="133" t="s">
        <v>89</v>
      </c>
      <c r="J2" s="133">
        <f t="shared" ref="J2" si="0">D2</f>
        <v>100</v>
      </c>
      <c r="L2" s="135" t="s">
        <v>256</v>
      </c>
      <c r="M2" s="135" t="s">
        <v>289</v>
      </c>
    </row>
    <row r="3" spans="1:13" ht="21" customHeight="1" x14ac:dyDescent="0.15">
      <c r="A3" s="133">
        <v>48013002</v>
      </c>
      <c r="B3" s="133">
        <v>0</v>
      </c>
      <c r="C3" s="133">
        <v>1</v>
      </c>
      <c r="D3" s="133">
        <v>100</v>
      </c>
      <c r="E3" s="133" t="s">
        <v>53</v>
      </c>
      <c r="F3" s="133" t="s">
        <v>89</v>
      </c>
      <c r="G3" s="133" t="s">
        <v>53</v>
      </c>
      <c r="H3" s="133">
        <v>3</v>
      </c>
      <c r="I3" s="133" t="s">
        <v>89</v>
      </c>
      <c r="J3" s="133">
        <f t="shared" ref="J3:J44" si="1">D3</f>
        <v>100</v>
      </c>
      <c r="L3" s="135" t="s">
        <v>257</v>
      </c>
      <c r="M3" s="135" t="s">
        <v>258</v>
      </c>
    </row>
    <row r="4" spans="1:13" ht="21" customHeight="1" x14ac:dyDescent="0.15">
      <c r="A4" s="133">
        <v>48013003</v>
      </c>
      <c r="B4" s="133">
        <v>0</v>
      </c>
      <c r="C4" s="133">
        <v>2</v>
      </c>
      <c r="D4" s="133">
        <v>100</v>
      </c>
      <c r="E4" s="133" t="s">
        <v>53</v>
      </c>
      <c r="F4" s="133" t="s">
        <v>89</v>
      </c>
      <c r="G4" s="133">
        <v>1</v>
      </c>
      <c r="H4" s="133" t="s">
        <v>89</v>
      </c>
      <c r="I4" s="133">
        <v>47</v>
      </c>
      <c r="J4" s="133">
        <f t="shared" si="1"/>
        <v>100</v>
      </c>
      <c r="L4" s="135" t="s">
        <v>259</v>
      </c>
      <c r="M4" s="135" t="s">
        <v>260</v>
      </c>
    </row>
    <row r="5" spans="1:13" ht="21" customHeight="1" x14ac:dyDescent="0.15">
      <c r="A5" s="138">
        <v>48013004</v>
      </c>
      <c r="B5" s="138">
        <v>0</v>
      </c>
      <c r="C5" s="138">
        <v>11</v>
      </c>
      <c r="D5" s="138">
        <v>50</v>
      </c>
      <c r="E5" s="138" t="s">
        <v>53</v>
      </c>
      <c r="F5" s="138" t="s">
        <v>89</v>
      </c>
      <c r="G5" s="138" t="s">
        <v>53</v>
      </c>
      <c r="H5" s="138" t="s">
        <v>89</v>
      </c>
      <c r="I5" s="138" t="s">
        <v>89</v>
      </c>
      <c r="J5" s="138">
        <f t="shared" si="1"/>
        <v>50</v>
      </c>
      <c r="L5" s="140" t="s">
        <v>261</v>
      </c>
      <c r="M5" s="140" t="s">
        <v>379</v>
      </c>
    </row>
    <row r="6" spans="1:13" ht="21" customHeight="1" x14ac:dyDescent="0.15">
      <c r="A6" s="143">
        <v>48013005</v>
      </c>
      <c r="B6" s="143">
        <v>1</v>
      </c>
      <c r="C6" s="143" t="s">
        <v>341</v>
      </c>
      <c r="D6" s="143">
        <v>100</v>
      </c>
      <c r="E6" s="143" t="s">
        <v>53</v>
      </c>
      <c r="F6" s="143" t="s">
        <v>89</v>
      </c>
      <c r="G6" s="143">
        <v>1</v>
      </c>
      <c r="H6" s="143" t="s">
        <v>89</v>
      </c>
      <c r="I6" s="143" t="s">
        <v>89</v>
      </c>
      <c r="J6" s="143">
        <f t="shared" si="1"/>
        <v>100</v>
      </c>
      <c r="L6" s="145" t="s">
        <v>264</v>
      </c>
      <c r="M6" s="145" t="s">
        <v>378</v>
      </c>
    </row>
    <row r="7" spans="1:13" ht="21" customHeight="1" x14ac:dyDescent="0.15">
      <c r="A7" s="143">
        <v>48013006</v>
      </c>
      <c r="B7" s="143">
        <v>0</v>
      </c>
      <c r="C7" s="143">
        <v>21</v>
      </c>
      <c r="D7" s="143">
        <v>100</v>
      </c>
      <c r="E7" s="143" t="s">
        <v>53</v>
      </c>
      <c r="F7" s="143" t="s">
        <v>89</v>
      </c>
      <c r="G7" s="143" t="s">
        <v>53</v>
      </c>
      <c r="H7" s="143" t="s">
        <v>89</v>
      </c>
      <c r="I7" s="143" t="s">
        <v>89</v>
      </c>
      <c r="J7" s="143">
        <f t="shared" si="1"/>
        <v>100</v>
      </c>
      <c r="L7" s="145" t="s">
        <v>265</v>
      </c>
      <c r="M7" s="145" t="s">
        <v>266</v>
      </c>
    </row>
    <row r="8" spans="1:13" ht="21" customHeight="1" x14ac:dyDescent="0.15">
      <c r="A8" s="143">
        <v>48013007</v>
      </c>
      <c r="B8" s="143">
        <v>0</v>
      </c>
      <c r="C8" s="143">
        <v>22</v>
      </c>
      <c r="D8" s="143">
        <v>100</v>
      </c>
      <c r="E8" s="143" t="s">
        <v>53</v>
      </c>
      <c r="F8" s="143" t="s">
        <v>89</v>
      </c>
      <c r="G8" s="143" t="s">
        <v>53</v>
      </c>
      <c r="H8" s="143">
        <v>2</v>
      </c>
      <c r="I8" s="143" t="s">
        <v>89</v>
      </c>
      <c r="J8" s="143">
        <f t="shared" si="1"/>
        <v>100</v>
      </c>
      <c r="L8" s="145" t="s">
        <v>269</v>
      </c>
      <c r="M8" s="145" t="s">
        <v>263</v>
      </c>
    </row>
    <row r="9" spans="1:13" ht="21" customHeight="1" x14ac:dyDescent="0.15">
      <c r="A9" s="143">
        <v>48013008</v>
      </c>
      <c r="B9" s="143">
        <v>0</v>
      </c>
      <c r="C9" s="143">
        <v>23</v>
      </c>
      <c r="D9" s="143">
        <v>100</v>
      </c>
      <c r="E9" s="143">
        <v>50</v>
      </c>
      <c r="F9" s="143" t="s">
        <v>89</v>
      </c>
      <c r="G9" s="143">
        <v>1</v>
      </c>
      <c r="H9" s="143" t="s">
        <v>89</v>
      </c>
      <c r="I9" s="143" t="s">
        <v>89</v>
      </c>
      <c r="J9" s="143">
        <f t="shared" si="1"/>
        <v>100</v>
      </c>
      <c r="L9" s="145" t="s">
        <v>271</v>
      </c>
      <c r="M9" s="145" t="s">
        <v>272</v>
      </c>
    </row>
    <row r="10" spans="1:13" ht="21" customHeight="1" x14ac:dyDescent="0.15">
      <c r="A10" s="148">
        <v>48013009</v>
      </c>
      <c r="B10" s="148">
        <v>0</v>
      </c>
      <c r="C10" s="148">
        <v>31</v>
      </c>
      <c r="D10" s="148">
        <v>100</v>
      </c>
      <c r="E10" s="148" t="s">
        <v>53</v>
      </c>
      <c r="F10" s="148" t="s">
        <v>89</v>
      </c>
      <c r="G10" s="148" t="s">
        <v>53</v>
      </c>
      <c r="H10" s="148">
        <v>2</v>
      </c>
      <c r="I10" s="148" t="s">
        <v>89</v>
      </c>
      <c r="J10" s="148">
        <f t="shared" si="1"/>
        <v>100</v>
      </c>
      <c r="L10" s="150" t="s">
        <v>273</v>
      </c>
      <c r="M10" s="150" t="s">
        <v>262</v>
      </c>
    </row>
    <row r="11" spans="1:13" ht="21" customHeight="1" x14ac:dyDescent="0.15">
      <c r="A11" s="148">
        <v>48013010</v>
      </c>
      <c r="B11" s="148">
        <v>0</v>
      </c>
      <c r="C11" s="148">
        <v>32</v>
      </c>
      <c r="D11" s="148">
        <v>100</v>
      </c>
      <c r="E11" s="148" t="s">
        <v>53</v>
      </c>
      <c r="F11" s="148" t="s">
        <v>89</v>
      </c>
      <c r="G11" s="148">
        <v>1</v>
      </c>
      <c r="H11" s="148" t="s">
        <v>89</v>
      </c>
      <c r="I11" s="148">
        <v>75</v>
      </c>
      <c r="J11" s="148">
        <f t="shared" si="1"/>
        <v>100</v>
      </c>
      <c r="L11" s="150" t="s">
        <v>274</v>
      </c>
      <c r="M11" s="150" t="s">
        <v>275</v>
      </c>
    </row>
    <row r="12" spans="1:13" ht="28" x14ac:dyDescent="0.15">
      <c r="A12" s="181">
        <v>48013011</v>
      </c>
      <c r="B12" s="181">
        <v>1</v>
      </c>
      <c r="C12" s="181" t="s">
        <v>53</v>
      </c>
      <c r="D12" s="181">
        <v>100</v>
      </c>
      <c r="E12" s="181" t="s">
        <v>53</v>
      </c>
      <c r="F12" s="181" t="s">
        <v>89</v>
      </c>
      <c r="G12" s="181">
        <v>1</v>
      </c>
      <c r="H12" s="181" t="s">
        <v>89</v>
      </c>
      <c r="I12" s="181" t="s">
        <v>89</v>
      </c>
      <c r="J12" s="181">
        <f t="shared" si="1"/>
        <v>100</v>
      </c>
      <c r="L12" s="183" t="s">
        <v>276</v>
      </c>
      <c r="M12" s="183" t="s">
        <v>359</v>
      </c>
    </row>
    <row r="13" spans="1:13" ht="28" x14ac:dyDescent="0.15">
      <c r="A13" s="181">
        <v>48013012</v>
      </c>
      <c r="B13" s="181">
        <v>1</v>
      </c>
      <c r="C13" s="181">
        <v>46</v>
      </c>
      <c r="D13" s="181">
        <v>100</v>
      </c>
      <c r="E13" s="181" t="s">
        <v>53</v>
      </c>
      <c r="F13" s="181" t="s">
        <v>89</v>
      </c>
      <c r="G13" s="181">
        <v>1</v>
      </c>
      <c r="H13" s="181" t="s">
        <v>89</v>
      </c>
      <c r="I13" s="181">
        <v>8118</v>
      </c>
      <c r="J13" s="181">
        <f t="shared" si="1"/>
        <v>100</v>
      </c>
      <c r="L13" s="183" t="s">
        <v>319</v>
      </c>
      <c r="M13" s="183" t="s">
        <v>360</v>
      </c>
    </row>
    <row r="14" spans="1:13" ht="28" x14ac:dyDescent="0.15">
      <c r="A14" s="181">
        <v>48013013</v>
      </c>
      <c r="B14" s="181">
        <v>1</v>
      </c>
      <c r="C14" s="181">
        <v>45</v>
      </c>
      <c r="D14" s="181">
        <v>100</v>
      </c>
      <c r="E14" s="181" t="s">
        <v>53</v>
      </c>
      <c r="F14" s="181" t="s">
        <v>89</v>
      </c>
      <c r="G14" s="181">
        <v>1</v>
      </c>
      <c r="H14" s="181" t="s">
        <v>89</v>
      </c>
      <c r="I14" s="181">
        <v>8117</v>
      </c>
      <c r="J14" s="181">
        <f t="shared" ref="J14" si="2">D14</f>
        <v>100</v>
      </c>
      <c r="L14" s="183" t="s">
        <v>320</v>
      </c>
      <c r="M14" s="183" t="s">
        <v>360</v>
      </c>
    </row>
    <row r="15" spans="1:13" ht="28" x14ac:dyDescent="0.15">
      <c r="A15" s="181">
        <v>48013014</v>
      </c>
      <c r="B15" s="181">
        <v>1</v>
      </c>
      <c r="C15" s="181">
        <v>44</v>
      </c>
      <c r="D15" s="181">
        <v>100</v>
      </c>
      <c r="E15" s="181" t="s">
        <v>53</v>
      </c>
      <c r="F15" s="181" t="s">
        <v>89</v>
      </c>
      <c r="G15" s="181">
        <v>1</v>
      </c>
      <c r="H15" s="181" t="s">
        <v>89</v>
      </c>
      <c r="I15" s="181">
        <v>8120</v>
      </c>
      <c r="J15" s="181">
        <f t="shared" si="1"/>
        <v>100</v>
      </c>
      <c r="L15" s="183" t="s">
        <v>321</v>
      </c>
      <c r="M15" s="183" t="s">
        <v>361</v>
      </c>
    </row>
    <row r="16" spans="1:13" ht="28" x14ac:dyDescent="0.15">
      <c r="A16" s="181">
        <v>48013015</v>
      </c>
      <c r="B16" s="181">
        <v>1</v>
      </c>
      <c r="C16" s="181">
        <v>43</v>
      </c>
      <c r="D16" s="181">
        <v>100</v>
      </c>
      <c r="E16" s="181" t="s">
        <v>53</v>
      </c>
      <c r="F16" s="181" t="s">
        <v>89</v>
      </c>
      <c r="G16" s="181">
        <v>1</v>
      </c>
      <c r="H16" s="181" t="s">
        <v>89</v>
      </c>
      <c r="I16" s="181">
        <v>8119</v>
      </c>
      <c r="J16" s="181">
        <f t="shared" ref="J16" si="3">D16</f>
        <v>100</v>
      </c>
      <c r="L16" s="183" t="s">
        <v>322</v>
      </c>
      <c r="M16" s="183" t="s">
        <v>361</v>
      </c>
    </row>
    <row r="17" spans="1:13" ht="42" x14ac:dyDescent="0.15">
      <c r="A17" s="181">
        <v>48013016</v>
      </c>
      <c r="B17" s="181">
        <v>0</v>
      </c>
      <c r="C17" s="181">
        <v>41</v>
      </c>
      <c r="D17" s="181">
        <v>100</v>
      </c>
      <c r="E17" s="181" t="s">
        <v>53</v>
      </c>
      <c r="F17" s="181" t="s">
        <v>89</v>
      </c>
      <c r="G17" s="181" t="s">
        <v>53</v>
      </c>
      <c r="H17" s="181" t="s">
        <v>89</v>
      </c>
      <c r="I17" s="181" t="s">
        <v>89</v>
      </c>
      <c r="J17" s="181">
        <f t="shared" si="1"/>
        <v>100</v>
      </c>
      <c r="L17" s="183" t="s">
        <v>277</v>
      </c>
      <c r="M17" s="183" t="s">
        <v>281</v>
      </c>
    </row>
    <row r="18" spans="1:13" ht="28" x14ac:dyDescent="0.15">
      <c r="A18" s="181">
        <v>48013017</v>
      </c>
      <c r="B18" s="181">
        <v>0</v>
      </c>
      <c r="C18" s="181">
        <v>42</v>
      </c>
      <c r="D18" s="181">
        <v>100</v>
      </c>
      <c r="E18" s="181" t="s">
        <v>53</v>
      </c>
      <c r="F18" s="181" t="s">
        <v>89</v>
      </c>
      <c r="G18" s="181" t="s">
        <v>53</v>
      </c>
      <c r="H18" s="181">
        <v>3</v>
      </c>
      <c r="I18" s="181" t="s">
        <v>89</v>
      </c>
      <c r="J18" s="181">
        <f t="shared" si="1"/>
        <v>100</v>
      </c>
      <c r="L18" s="183" t="s">
        <v>278</v>
      </c>
      <c r="M18" s="183" t="s">
        <v>279</v>
      </c>
    </row>
    <row r="19" spans="1:13" ht="28" x14ac:dyDescent="0.15">
      <c r="A19" s="181">
        <v>48013018</v>
      </c>
      <c r="B19" s="181">
        <v>0</v>
      </c>
      <c r="C19" s="181">
        <v>48</v>
      </c>
      <c r="D19" s="181">
        <v>100</v>
      </c>
      <c r="E19" s="181">
        <v>50</v>
      </c>
      <c r="F19" s="181" t="s">
        <v>53</v>
      </c>
      <c r="G19" s="181">
        <v>1</v>
      </c>
      <c r="H19" s="181">
        <v>1</v>
      </c>
      <c r="I19" s="181" t="s">
        <v>53</v>
      </c>
      <c r="J19" s="181">
        <f t="shared" ref="J19:J20" si="4">D19</f>
        <v>100</v>
      </c>
      <c r="L19" s="197" t="s">
        <v>366</v>
      </c>
      <c r="M19" s="197" t="s">
        <v>365</v>
      </c>
    </row>
    <row r="20" spans="1:13" ht="28" x14ac:dyDescent="0.15">
      <c r="A20" s="181">
        <v>48013019</v>
      </c>
      <c r="B20" s="181">
        <v>0</v>
      </c>
      <c r="C20" s="181">
        <v>47</v>
      </c>
      <c r="D20" s="181">
        <v>100</v>
      </c>
      <c r="E20" s="181">
        <v>50</v>
      </c>
      <c r="F20" s="181" t="s">
        <v>53</v>
      </c>
      <c r="G20" s="181">
        <v>1</v>
      </c>
      <c r="H20" s="181">
        <v>1</v>
      </c>
      <c r="I20" s="181" t="s">
        <v>53</v>
      </c>
      <c r="J20" s="181">
        <f t="shared" si="4"/>
        <v>100</v>
      </c>
      <c r="L20" s="197" t="s">
        <v>367</v>
      </c>
      <c r="M20" s="197" t="s">
        <v>368</v>
      </c>
    </row>
    <row r="21" spans="1:13" ht="21" customHeight="1" x14ac:dyDescent="0.15">
      <c r="A21" s="186">
        <v>48013020</v>
      </c>
      <c r="B21" s="186">
        <v>1</v>
      </c>
      <c r="C21" s="186" t="s">
        <v>53</v>
      </c>
      <c r="D21" s="186">
        <v>100</v>
      </c>
      <c r="E21" s="186" t="s">
        <v>53</v>
      </c>
      <c r="F21" s="186" t="s">
        <v>89</v>
      </c>
      <c r="G21" s="186">
        <v>1</v>
      </c>
      <c r="H21" s="186" t="s">
        <v>89</v>
      </c>
      <c r="I21" s="186" t="s">
        <v>89</v>
      </c>
      <c r="J21" s="186">
        <f t="shared" si="1"/>
        <v>100</v>
      </c>
      <c r="L21" s="188" t="s">
        <v>282</v>
      </c>
      <c r="M21" s="188" t="s">
        <v>362</v>
      </c>
    </row>
    <row r="22" spans="1:13" ht="21" customHeight="1" x14ac:dyDescent="0.15">
      <c r="A22" s="186">
        <v>48013021</v>
      </c>
      <c r="B22" s="186">
        <v>0</v>
      </c>
      <c r="C22" s="186">
        <v>51</v>
      </c>
      <c r="D22" s="186">
        <v>100</v>
      </c>
      <c r="E22" s="186" t="s">
        <v>53</v>
      </c>
      <c r="F22" s="186" t="s">
        <v>89</v>
      </c>
      <c r="G22" s="186" t="s">
        <v>53</v>
      </c>
      <c r="H22" s="186" t="s">
        <v>89</v>
      </c>
      <c r="I22" s="186" t="s">
        <v>89</v>
      </c>
      <c r="J22" s="186">
        <f t="shared" si="1"/>
        <v>100</v>
      </c>
      <c r="L22" s="188" t="s">
        <v>283</v>
      </c>
      <c r="M22" s="188" t="s">
        <v>375</v>
      </c>
    </row>
    <row r="23" spans="1:13" ht="21" customHeight="1" x14ac:dyDescent="0.15">
      <c r="A23" s="186">
        <v>48013022</v>
      </c>
      <c r="B23" s="186">
        <v>0</v>
      </c>
      <c r="C23" s="186">
        <v>53</v>
      </c>
      <c r="D23" s="186">
        <v>100</v>
      </c>
      <c r="E23" s="186" t="s">
        <v>53</v>
      </c>
      <c r="F23" s="186" t="s">
        <v>89</v>
      </c>
      <c r="G23" s="186" t="s">
        <v>53</v>
      </c>
      <c r="H23" s="186">
        <v>3</v>
      </c>
      <c r="I23" s="186" t="s">
        <v>89</v>
      </c>
      <c r="J23" s="186">
        <f t="shared" si="1"/>
        <v>100</v>
      </c>
      <c r="L23" s="188" t="s">
        <v>381</v>
      </c>
      <c r="M23" s="188" t="s">
        <v>374</v>
      </c>
    </row>
    <row r="24" spans="1:13" ht="21" customHeight="1" x14ac:dyDescent="0.15">
      <c r="A24" s="186">
        <v>48013023</v>
      </c>
      <c r="B24" s="186">
        <v>0</v>
      </c>
      <c r="C24" s="186">
        <v>52</v>
      </c>
      <c r="D24" s="186">
        <v>40</v>
      </c>
      <c r="E24" s="186" t="s">
        <v>53</v>
      </c>
      <c r="F24" s="186" t="s">
        <v>89</v>
      </c>
      <c r="G24" s="186" t="s">
        <v>53</v>
      </c>
      <c r="H24" s="186" t="s">
        <v>89</v>
      </c>
      <c r="I24" s="186" t="s">
        <v>89</v>
      </c>
      <c r="J24" s="186">
        <f t="shared" si="1"/>
        <v>40</v>
      </c>
      <c r="L24" s="188" t="s">
        <v>284</v>
      </c>
      <c r="M24" s="188" t="s">
        <v>285</v>
      </c>
    </row>
    <row r="25" spans="1:13" ht="21" customHeight="1" x14ac:dyDescent="0.15">
      <c r="A25" s="186">
        <v>48013024</v>
      </c>
      <c r="B25" s="186">
        <v>0</v>
      </c>
      <c r="C25" s="186">
        <v>54</v>
      </c>
      <c r="D25" s="186">
        <v>100</v>
      </c>
      <c r="E25" s="186">
        <v>40</v>
      </c>
      <c r="F25" s="186" t="s">
        <v>89</v>
      </c>
      <c r="G25" s="186">
        <v>1</v>
      </c>
      <c r="H25" s="186" t="s">
        <v>89</v>
      </c>
      <c r="I25" s="186" t="s">
        <v>89</v>
      </c>
      <c r="J25" s="186">
        <f t="shared" si="1"/>
        <v>100</v>
      </c>
      <c r="L25" s="198" t="s">
        <v>370</v>
      </c>
      <c r="M25" s="188" t="s">
        <v>286</v>
      </c>
    </row>
    <row r="26" spans="1:13" ht="21" customHeight="1" x14ac:dyDescent="0.15">
      <c r="A26" s="191">
        <v>48013025</v>
      </c>
      <c r="B26" s="191">
        <v>1</v>
      </c>
      <c r="C26" s="191" t="s">
        <v>53</v>
      </c>
      <c r="D26" s="191">
        <v>100</v>
      </c>
      <c r="E26" s="191" t="s">
        <v>53</v>
      </c>
      <c r="F26" s="191" t="s">
        <v>53</v>
      </c>
      <c r="G26" s="191">
        <v>1</v>
      </c>
      <c r="H26" s="191" t="s">
        <v>53</v>
      </c>
      <c r="I26" s="191" t="s">
        <v>53</v>
      </c>
      <c r="J26" s="191">
        <f t="shared" ref="J26:J30" si="5">D26</f>
        <v>100</v>
      </c>
      <c r="L26" s="193" t="s">
        <v>347</v>
      </c>
      <c r="M26" s="193" t="s">
        <v>356</v>
      </c>
    </row>
    <row r="27" spans="1:13" ht="21" customHeight="1" x14ac:dyDescent="0.15">
      <c r="A27" s="191">
        <v>48013026</v>
      </c>
      <c r="B27" s="191">
        <v>1</v>
      </c>
      <c r="C27" s="191">
        <v>106</v>
      </c>
      <c r="D27" s="191">
        <v>100</v>
      </c>
      <c r="E27" s="191" t="s">
        <v>53</v>
      </c>
      <c r="F27" s="191" t="s">
        <v>53</v>
      </c>
      <c r="G27" s="191">
        <v>1</v>
      </c>
      <c r="H27" s="191" t="s">
        <v>53</v>
      </c>
      <c r="I27" s="191">
        <v>8118</v>
      </c>
      <c r="J27" s="191">
        <f t="shared" si="5"/>
        <v>100</v>
      </c>
      <c r="L27" s="193" t="s">
        <v>348</v>
      </c>
      <c r="M27" s="193" t="s">
        <v>352</v>
      </c>
    </row>
    <row r="28" spans="1:13" ht="21" customHeight="1" x14ac:dyDescent="0.15">
      <c r="A28" s="191">
        <v>48013027</v>
      </c>
      <c r="B28" s="191">
        <v>1</v>
      </c>
      <c r="C28" s="191">
        <v>105</v>
      </c>
      <c r="D28" s="191">
        <v>100</v>
      </c>
      <c r="E28" s="191" t="s">
        <v>53</v>
      </c>
      <c r="F28" s="191" t="s">
        <v>53</v>
      </c>
      <c r="G28" s="191">
        <v>1</v>
      </c>
      <c r="H28" s="191" t="s">
        <v>53</v>
      </c>
      <c r="I28" s="191">
        <v>8117</v>
      </c>
      <c r="J28" s="191">
        <f t="shared" si="5"/>
        <v>100</v>
      </c>
      <c r="L28" s="193" t="s">
        <v>349</v>
      </c>
      <c r="M28" s="193" t="s">
        <v>353</v>
      </c>
    </row>
    <row r="29" spans="1:13" ht="21" customHeight="1" x14ac:dyDescent="0.15">
      <c r="A29" s="191">
        <v>48013028</v>
      </c>
      <c r="B29" s="191">
        <v>1</v>
      </c>
      <c r="C29" s="191">
        <v>104</v>
      </c>
      <c r="D29" s="191">
        <v>100</v>
      </c>
      <c r="E29" s="191" t="s">
        <v>53</v>
      </c>
      <c r="F29" s="191" t="s">
        <v>53</v>
      </c>
      <c r="G29" s="191">
        <v>1</v>
      </c>
      <c r="H29" s="191" t="s">
        <v>53</v>
      </c>
      <c r="I29" s="191">
        <v>8120</v>
      </c>
      <c r="J29" s="191">
        <f t="shared" si="5"/>
        <v>100</v>
      </c>
      <c r="L29" s="193" t="s">
        <v>350</v>
      </c>
      <c r="M29" s="193" t="s">
        <v>354</v>
      </c>
    </row>
    <row r="30" spans="1:13" ht="21" customHeight="1" x14ac:dyDescent="0.15">
      <c r="A30" s="191">
        <v>48013029</v>
      </c>
      <c r="B30" s="191">
        <v>1</v>
      </c>
      <c r="C30" s="191">
        <v>103</v>
      </c>
      <c r="D30" s="191">
        <v>100</v>
      </c>
      <c r="E30" s="191" t="s">
        <v>53</v>
      </c>
      <c r="F30" s="191" t="s">
        <v>53</v>
      </c>
      <c r="G30" s="191">
        <v>1</v>
      </c>
      <c r="H30" s="191" t="s">
        <v>53</v>
      </c>
      <c r="I30" s="191">
        <v>8119</v>
      </c>
      <c r="J30" s="191">
        <f t="shared" si="5"/>
        <v>100</v>
      </c>
      <c r="L30" s="193" t="s">
        <v>351</v>
      </c>
      <c r="M30" s="193" t="s">
        <v>354</v>
      </c>
    </row>
    <row r="31" spans="1:13" ht="21" customHeight="1" x14ac:dyDescent="0.15">
      <c r="A31" s="153">
        <v>48013030</v>
      </c>
      <c r="B31" s="153">
        <v>1</v>
      </c>
      <c r="C31" s="153" t="s">
        <v>53</v>
      </c>
      <c r="D31" s="153">
        <v>100</v>
      </c>
      <c r="E31" s="153" t="s">
        <v>53</v>
      </c>
      <c r="F31" s="153" t="s">
        <v>89</v>
      </c>
      <c r="G31" s="153">
        <v>1</v>
      </c>
      <c r="H31" s="153" t="s">
        <v>89</v>
      </c>
      <c r="I31" s="153" t="s">
        <v>89</v>
      </c>
      <c r="J31" s="153">
        <f t="shared" si="1"/>
        <v>100</v>
      </c>
      <c r="L31" s="155" t="s">
        <v>287</v>
      </c>
      <c r="M31" s="155" t="s">
        <v>288</v>
      </c>
    </row>
    <row r="32" spans="1:13" ht="21" customHeight="1" x14ac:dyDescent="0.15">
      <c r="A32" s="153">
        <v>48013031</v>
      </c>
      <c r="B32" s="153">
        <v>1</v>
      </c>
      <c r="C32" s="153">
        <v>106</v>
      </c>
      <c r="D32" s="153">
        <v>100</v>
      </c>
      <c r="E32" s="153" t="s">
        <v>53</v>
      </c>
      <c r="F32" s="153" t="s">
        <v>89</v>
      </c>
      <c r="G32" s="153">
        <v>1</v>
      </c>
      <c r="H32" s="153" t="s">
        <v>89</v>
      </c>
      <c r="I32" s="153">
        <v>8118</v>
      </c>
      <c r="J32" s="153">
        <f t="shared" si="1"/>
        <v>100</v>
      </c>
      <c r="L32" s="155" t="s">
        <v>323</v>
      </c>
      <c r="M32" s="155" t="s">
        <v>357</v>
      </c>
    </row>
    <row r="33" spans="1:13" ht="21" customHeight="1" x14ac:dyDescent="0.15">
      <c r="A33" s="153">
        <v>48013032</v>
      </c>
      <c r="B33" s="153">
        <v>1</v>
      </c>
      <c r="C33" s="153">
        <v>105</v>
      </c>
      <c r="D33" s="153">
        <v>100</v>
      </c>
      <c r="E33" s="153" t="s">
        <v>53</v>
      </c>
      <c r="F33" s="153" t="s">
        <v>89</v>
      </c>
      <c r="G33" s="153">
        <v>1</v>
      </c>
      <c r="H33" s="153" t="s">
        <v>89</v>
      </c>
      <c r="I33" s="153">
        <v>8117</v>
      </c>
      <c r="J33" s="153">
        <f t="shared" ref="J33" si="6">D33</f>
        <v>100</v>
      </c>
      <c r="L33" s="155" t="s">
        <v>324</v>
      </c>
      <c r="M33" s="155" t="s">
        <v>357</v>
      </c>
    </row>
    <row r="34" spans="1:13" ht="21" customHeight="1" x14ac:dyDescent="0.15">
      <c r="A34" s="153">
        <v>48013033</v>
      </c>
      <c r="B34" s="153">
        <v>1</v>
      </c>
      <c r="C34" s="153">
        <v>104</v>
      </c>
      <c r="D34" s="153">
        <v>100</v>
      </c>
      <c r="E34" s="153" t="s">
        <v>53</v>
      </c>
      <c r="F34" s="153" t="s">
        <v>89</v>
      </c>
      <c r="G34" s="153">
        <v>1</v>
      </c>
      <c r="H34" s="153" t="s">
        <v>89</v>
      </c>
      <c r="I34" s="153">
        <v>8120</v>
      </c>
      <c r="J34" s="153">
        <f t="shared" si="1"/>
        <v>100</v>
      </c>
      <c r="L34" s="155" t="s">
        <v>325</v>
      </c>
      <c r="M34" s="155" t="s">
        <v>313</v>
      </c>
    </row>
    <row r="35" spans="1:13" ht="21" customHeight="1" x14ac:dyDescent="0.15">
      <c r="A35" s="153">
        <v>48013034</v>
      </c>
      <c r="B35" s="153">
        <v>1</v>
      </c>
      <c r="C35" s="153">
        <v>103</v>
      </c>
      <c r="D35" s="153">
        <v>100</v>
      </c>
      <c r="E35" s="153" t="s">
        <v>53</v>
      </c>
      <c r="F35" s="153" t="s">
        <v>89</v>
      </c>
      <c r="G35" s="153">
        <v>1</v>
      </c>
      <c r="H35" s="153" t="s">
        <v>89</v>
      </c>
      <c r="I35" s="153">
        <v>8119</v>
      </c>
      <c r="J35" s="153">
        <f t="shared" ref="J35" si="7">D35</f>
        <v>100</v>
      </c>
      <c r="L35" s="155" t="s">
        <v>326</v>
      </c>
      <c r="M35" s="155" t="s">
        <v>313</v>
      </c>
    </row>
    <row r="36" spans="1:13" ht="21" customHeight="1" x14ac:dyDescent="0.15">
      <c r="A36" s="153">
        <v>48013035</v>
      </c>
      <c r="B36" s="153">
        <v>0</v>
      </c>
      <c r="C36" s="153">
        <v>101</v>
      </c>
      <c r="D36" s="153">
        <v>100</v>
      </c>
      <c r="E36" s="153" t="s">
        <v>53</v>
      </c>
      <c r="F36" s="153" t="s">
        <v>89</v>
      </c>
      <c r="G36" s="153" t="s">
        <v>53</v>
      </c>
      <c r="H36" s="153" t="s">
        <v>89</v>
      </c>
      <c r="I36" s="153" t="s">
        <v>89</v>
      </c>
      <c r="J36" s="153">
        <f t="shared" si="1"/>
        <v>100</v>
      </c>
      <c r="L36" s="155" t="s">
        <v>292</v>
      </c>
      <c r="M36" s="177" t="s">
        <v>342</v>
      </c>
    </row>
    <row r="37" spans="1:13" ht="21" customHeight="1" x14ac:dyDescent="0.15">
      <c r="A37" s="153">
        <v>48013036</v>
      </c>
      <c r="B37" s="153">
        <v>0</v>
      </c>
      <c r="C37" s="153">
        <v>102</v>
      </c>
      <c r="D37" s="153">
        <v>100</v>
      </c>
      <c r="E37" s="153" t="s">
        <v>53</v>
      </c>
      <c r="F37" s="153" t="s">
        <v>89</v>
      </c>
      <c r="G37" s="153" t="s">
        <v>53</v>
      </c>
      <c r="H37" s="153">
        <v>2</v>
      </c>
      <c r="I37" s="153" t="s">
        <v>89</v>
      </c>
      <c r="J37" s="153">
        <f t="shared" si="1"/>
        <v>100</v>
      </c>
      <c r="L37" s="155" t="s">
        <v>293</v>
      </c>
      <c r="M37" s="177" t="s">
        <v>343</v>
      </c>
    </row>
    <row r="38" spans="1:13" ht="21" customHeight="1" x14ac:dyDescent="0.15">
      <c r="A38" s="158">
        <v>48013037</v>
      </c>
      <c r="B38" s="158">
        <v>1</v>
      </c>
      <c r="C38" s="158" t="s">
        <v>53</v>
      </c>
      <c r="D38" s="158">
        <v>100</v>
      </c>
      <c r="E38" s="158" t="s">
        <v>53</v>
      </c>
      <c r="F38" s="158" t="s">
        <v>89</v>
      </c>
      <c r="G38" s="158">
        <v>1</v>
      </c>
      <c r="H38" s="158" t="s">
        <v>89</v>
      </c>
      <c r="I38" s="158" t="s">
        <v>89</v>
      </c>
      <c r="J38" s="158">
        <f t="shared" si="1"/>
        <v>100</v>
      </c>
      <c r="L38" s="160" t="s">
        <v>290</v>
      </c>
      <c r="M38" s="160" t="s">
        <v>288</v>
      </c>
    </row>
    <row r="39" spans="1:13" ht="21" customHeight="1" x14ac:dyDescent="0.15">
      <c r="A39" s="158">
        <v>48013038</v>
      </c>
      <c r="B39" s="158">
        <v>1</v>
      </c>
      <c r="C39" s="158">
        <v>209</v>
      </c>
      <c r="D39" s="158">
        <v>100</v>
      </c>
      <c r="E39" s="158" t="s">
        <v>53</v>
      </c>
      <c r="F39" s="158" t="s">
        <v>89</v>
      </c>
      <c r="G39" s="158">
        <v>1</v>
      </c>
      <c r="H39" s="158" t="s">
        <v>89</v>
      </c>
      <c r="I39" s="158">
        <v>8118</v>
      </c>
      <c r="J39" s="158">
        <f t="shared" si="1"/>
        <v>100</v>
      </c>
      <c r="L39" s="160" t="s">
        <v>327</v>
      </c>
      <c r="M39" s="160" t="s">
        <v>358</v>
      </c>
    </row>
    <row r="40" spans="1:13" ht="21" customHeight="1" x14ac:dyDescent="0.15">
      <c r="A40" s="158">
        <v>48013039</v>
      </c>
      <c r="B40" s="158">
        <v>1</v>
      </c>
      <c r="C40" s="158">
        <v>208</v>
      </c>
      <c r="D40" s="158">
        <v>100</v>
      </c>
      <c r="E40" s="158" t="s">
        <v>53</v>
      </c>
      <c r="F40" s="158" t="s">
        <v>89</v>
      </c>
      <c r="G40" s="158">
        <v>1</v>
      </c>
      <c r="H40" s="158" t="s">
        <v>89</v>
      </c>
      <c r="I40" s="158">
        <v>8117</v>
      </c>
      <c r="J40" s="158">
        <f t="shared" ref="J40" si="8">D40</f>
        <v>100</v>
      </c>
      <c r="L40" s="160" t="s">
        <v>328</v>
      </c>
      <c r="M40" s="160" t="s">
        <v>376</v>
      </c>
    </row>
    <row r="41" spans="1:13" ht="21" customHeight="1" x14ac:dyDescent="0.15">
      <c r="A41" s="158">
        <v>48013040</v>
      </c>
      <c r="B41" s="158">
        <v>1</v>
      </c>
      <c r="C41" s="158">
        <v>207</v>
      </c>
      <c r="D41" s="158">
        <v>100</v>
      </c>
      <c r="E41" s="158" t="s">
        <v>53</v>
      </c>
      <c r="F41" s="158" t="s">
        <v>89</v>
      </c>
      <c r="G41" s="158">
        <v>1</v>
      </c>
      <c r="H41" s="158" t="s">
        <v>89</v>
      </c>
      <c r="I41" s="158">
        <v>8120</v>
      </c>
      <c r="J41" s="158">
        <f t="shared" si="1"/>
        <v>100</v>
      </c>
      <c r="L41" s="160" t="s">
        <v>329</v>
      </c>
      <c r="M41" s="160" t="s">
        <v>377</v>
      </c>
    </row>
    <row r="42" spans="1:13" ht="21" customHeight="1" x14ac:dyDescent="0.15">
      <c r="A42" s="158">
        <v>48013041</v>
      </c>
      <c r="B42" s="158">
        <v>1</v>
      </c>
      <c r="C42" s="158">
        <v>206</v>
      </c>
      <c r="D42" s="158">
        <v>100</v>
      </c>
      <c r="E42" s="158" t="s">
        <v>53</v>
      </c>
      <c r="F42" s="158" t="s">
        <v>89</v>
      </c>
      <c r="G42" s="158">
        <v>1</v>
      </c>
      <c r="H42" s="158" t="s">
        <v>89</v>
      </c>
      <c r="I42" s="158">
        <v>8119</v>
      </c>
      <c r="J42" s="158">
        <f t="shared" ref="J42" si="9">D42</f>
        <v>100</v>
      </c>
      <c r="L42" s="160" t="s">
        <v>330</v>
      </c>
      <c r="M42" s="160" t="s">
        <v>377</v>
      </c>
    </row>
    <row r="43" spans="1:13" ht="21" customHeight="1" x14ac:dyDescent="0.15">
      <c r="A43" s="158">
        <v>48013042</v>
      </c>
      <c r="B43" s="158">
        <v>0</v>
      </c>
      <c r="C43" s="158">
        <v>201</v>
      </c>
      <c r="D43" s="158">
        <v>100</v>
      </c>
      <c r="E43" s="158" t="s">
        <v>53</v>
      </c>
      <c r="F43" s="158" t="s">
        <v>89</v>
      </c>
      <c r="G43" s="158" t="s">
        <v>53</v>
      </c>
      <c r="H43" s="158" t="s">
        <v>89</v>
      </c>
      <c r="I43" s="158" t="s">
        <v>89</v>
      </c>
      <c r="J43" s="158">
        <f t="shared" si="1"/>
        <v>100</v>
      </c>
      <c r="L43" s="160" t="s">
        <v>295</v>
      </c>
      <c r="M43" s="160" t="s">
        <v>301</v>
      </c>
    </row>
    <row r="44" spans="1:13" ht="21" customHeight="1" x14ac:dyDescent="0.15">
      <c r="A44" s="158">
        <v>48013043</v>
      </c>
      <c r="B44" s="158">
        <v>0</v>
      </c>
      <c r="C44" s="158">
        <v>202</v>
      </c>
      <c r="D44" s="158">
        <v>100</v>
      </c>
      <c r="E44" s="158" t="s">
        <v>53</v>
      </c>
      <c r="F44" s="158" t="s">
        <v>89</v>
      </c>
      <c r="G44" s="158" t="s">
        <v>53</v>
      </c>
      <c r="H44" s="158">
        <v>3</v>
      </c>
      <c r="I44" s="158" t="s">
        <v>89</v>
      </c>
      <c r="J44" s="158">
        <f t="shared" si="1"/>
        <v>100</v>
      </c>
      <c r="L44" s="160" t="s">
        <v>296</v>
      </c>
      <c r="M44" s="199" t="s">
        <v>380</v>
      </c>
    </row>
    <row r="45" spans="1:13" ht="21" customHeight="1" x14ac:dyDescent="0.15">
      <c r="A45" s="158">
        <v>48013044</v>
      </c>
      <c r="B45" s="158">
        <v>0</v>
      </c>
      <c r="C45" s="158">
        <v>203</v>
      </c>
      <c r="D45" s="158">
        <v>100</v>
      </c>
      <c r="E45" s="158">
        <v>50</v>
      </c>
      <c r="F45" s="158" t="s">
        <v>89</v>
      </c>
      <c r="G45" s="158">
        <v>1</v>
      </c>
      <c r="H45" s="158" t="s">
        <v>89</v>
      </c>
      <c r="I45" s="158" t="s">
        <v>89</v>
      </c>
      <c r="J45" s="158">
        <f t="shared" ref="J45:J62" si="10">D45</f>
        <v>100</v>
      </c>
      <c r="L45" s="199" t="s">
        <v>371</v>
      </c>
      <c r="M45" s="160" t="s">
        <v>300</v>
      </c>
    </row>
    <row r="46" spans="1:13" ht="21" customHeight="1" x14ac:dyDescent="0.15">
      <c r="A46" s="158">
        <v>48013045</v>
      </c>
      <c r="B46" s="158">
        <v>0</v>
      </c>
      <c r="C46" s="158">
        <v>205</v>
      </c>
      <c r="D46" s="158">
        <v>100</v>
      </c>
      <c r="E46" s="158">
        <v>40</v>
      </c>
      <c r="F46" s="158" t="s">
        <v>89</v>
      </c>
      <c r="G46" s="158">
        <v>1</v>
      </c>
      <c r="H46" s="158">
        <v>1</v>
      </c>
      <c r="I46" s="158" t="s">
        <v>89</v>
      </c>
      <c r="J46" s="158">
        <f t="shared" si="10"/>
        <v>100</v>
      </c>
      <c r="L46" s="199" t="s">
        <v>372</v>
      </c>
      <c r="M46" s="160" t="s">
        <v>297</v>
      </c>
    </row>
    <row r="47" spans="1:13" ht="21" customHeight="1" x14ac:dyDescent="0.15">
      <c r="A47" s="158">
        <v>48013046</v>
      </c>
      <c r="B47" s="158">
        <v>0</v>
      </c>
      <c r="C47" s="158">
        <v>204</v>
      </c>
      <c r="D47" s="158">
        <v>100</v>
      </c>
      <c r="E47" s="158">
        <v>40</v>
      </c>
      <c r="F47" s="158" t="s">
        <v>89</v>
      </c>
      <c r="G47" s="158">
        <v>1</v>
      </c>
      <c r="H47" s="158">
        <v>1</v>
      </c>
      <c r="I47" s="158" t="s">
        <v>89</v>
      </c>
      <c r="J47" s="158">
        <f t="shared" si="10"/>
        <v>100</v>
      </c>
      <c r="L47" s="199" t="s">
        <v>373</v>
      </c>
      <c r="M47" s="160" t="s">
        <v>298</v>
      </c>
    </row>
    <row r="48" spans="1:13" ht="21" customHeight="1" x14ac:dyDescent="0.15">
      <c r="A48" s="163">
        <v>48013047</v>
      </c>
      <c r="B48" s="163">
        <v>1</v>
      </c>
      <c r="C48" s="163" t="s">
        <v>53</v>
      </c>
      <c r="D48" s="163">
        <v>100</v>
      </c>
      <c r="E48" s="163" t="s">
        <v>53</v>
      </c>
      <c r="F48" s="163" t="s">
        <v>89</v>
      </c>
      <c r="G48" s="163">
        <v>1</v>
      </c>
      <c r="H48" s="163" t="s">
        <v>89</v>
      </c>
      <c r="I48" s="163" t="s">
        <v>89</v>
      </c>
      <c r="J48" s="163">
        <f t="shared" si="10"/>
        <v>100</v>
      </c>
      <c r="L48" s="165" t="s">
        <v>291</v>
      </c>
      <c r="M48" s="165" t="s">
        <v>288</v>
      </c>
    </row>
    <row r="49" spans="1:13" ht="21" customHeight="1" x14ac:dyDescent="0.15">
      <c r="A49" s="163">
        <v>48013048</v>
      </c>
      <c r="B49" s="163">
        <v>1</v>
      </c>
      <c r="C49" s="163">
        <v>310</v>
      </c>
      <c r="D49" s="163">
        <v>100</v>
      </c>
      <c r="E49" s="163" t="s">
        <v>53</v>
      </c>
      <c r="F49" s="163" t="s">
        <v>89</v>
      </c>
      <c r="G49" s="163">
        <v>1</v>
      </c>
      <c r="H49" s="163" t="s">
        <v>89</v>
      </c>
      <c r="I49" s="163">
        <v>8118</v>
      </c>
      <c r="J49" s="163">
        <f t="shared" si="10"/>
        <v>100</v>
      </c>
      <c r="L49" s="165" t="s">
        <v>331</v>
      </c>
      <c r="M49" s="165" t="s">
        <v>363</v>
      </c>
    </row>
    <row r="50" spans="1:13" ht="21" customHeight="1" x14ac:dyDescent="0.15">
      <c r="A50" s="163">
        <v>48013049</v>
      </c>
      <c r="B50" s="163">
        <v>1</v>
      </c>
      <c r="C50" s="163">
        <v>309</v>
      </c>
      <c r="D50" s="163">
        <v>100</v>
      </c>
      <c r="E50" s="163" t="s">
        <v>53</v>
      </c>
      <c r="F50" s="163" t="s">
        <v>89</v>
      </c>
      <c r="G50" s="163">
        <v>1</v>
      </c>
      <c r="H50" s="163" t="s">
        <v>89</v>
      </c>
      <c r="I50" s="163">
        <v>8117</v>
      </c>
      <c r="J50" s="163">
        <f t="shared" ref="J50" si="11">D50</f>
        <v>100</v>
      </c>
      <c r="L50" s="165" t="s">
        <v>332</v>
      </c>
      <c r="M50" s="165" t="s">
        <v>363</v>
      </c>
    </row>
    <row r="51" spans="1:13" ht="21" customHeight="1" x14ac:dyDescent="0.15">
      <c r="A51" s="163">
        <v>48013050</v>
      </c>
      <c r="B51" s="163">
        <v>1</v>
      </c>
      <c r="C51" s="163">
        <v>308</v>
      </c>
      <c r="D51" s="163">
        <v>100</v>
      </c>
      <c r="E51" s="163" t="s">
        <v>53</v>
      </c>
      <c r="F51" s="163" t="s">
        <v>89</v>
      </c>
      <c r="G51" s="163">
        <v>1</v>
      </c>
      <c r="H51" s="163" t="s">
        <v>89</v>
      </c>
      <c r="I51" s="163">
        <v>8120</v>
      </c>
      <c r="J51" s="163">
        <f t="shared" si="10"/>
        <v>100</v>
      </c>
      <c r="L51" s="165" t="s">
        <v>333</v>
      </c>
      <c r="M51" s="165" t="s">
        <v>364</v>
      </c>
    </row>
    <row r="52" spans="1:13" ht="21" customHeight="1" x14ac:dyDescent="0.15">
      <c r="A52" s="163">
        <v>48013051</v>
      </c>
      <c r="B52" s="163">
        <v>1</v>
      </c>
      <c r="C52" s="163">
        <v>307</v>
      </c>
      <c r="D52" s="163">
        <v>100</v>
      </c>
      <c r="E52" s="163" t="s">
        <v>53</v>
      </c>
      <c r="F52" s="163" t="s">
        <v>89</v>
      </c>
      <c r="G52" s="163">
        <v>1</v>
      </c>
      <c r="H52" s="163" t="s">
        <v>89</v>
      </c>
      <c r="I52" s="163">
        <v>8119</v>
      </c>
      <c r="J52" s="163">
        <f t="shared" ref="J52" si="12">D52</f>
        <v>100</v>
      </c>
      <c r="L52" s="165" t="s">
        <v>334</v>
      </c>
      <c r="M52" s="165" t="s">
        <v>364</v>
      </c>
    </row>
    <row r="53" spans="1:13" ht="21" customHeight="1" x14ac:dyDescent="0.15">
      <c r="A53" s="163">
        <v>48013052</v>
      </c>
      <c r="B53" s="163">
        <v>0</v>
      </c>
      <c r="C53" s="163">
        <v>301</v>
      </c>
      <c r="D53" s="163">
        <v>100</v>
      </c>
      <c r="E53" s="163" t="s">
        <v>53</v>
      </c>
      <c r="F53" s="163" t="s">
        <v>89</v>
      </c>
      <c r="G53" s="163" t="s">
        <v>53</v>
      </c>
      <c r="H53" s="163" t="s">
        <v>89</v>
      </c>
      <c r="I53" s="163" t="s">
        <v>89</v>
      </c>
      <c r="J53" s="163">
        <f t="shared" si="10"/>
        <v>100</v>
      </c>
      <c r="L53" s="165" t="s">
        <v>303</v>
      </c>
      <c r="M53" s="165" t="s">
        <v>304</v>
      </c>
    </row>
    <row r="54" spans="1:13" ht="21" customHeight="1" x14ac:dyDescent="0.15">
      <c r="A54" s="163">
        <v>48013053</v>
      </c>
      <c r="B54" s="163">
        <v>0</v>
      </c>
      <c r="C54" s="163">
        <v>302</v>
      </c>
      <c r="D54" s="163">
        <v>100</v>
      </c>
      <c r="E54" s="163" t="s">
        <v>53</v>
      </c>
      <c r="F54" s="163" t="s">
        <v>89</v>
      </c>
      <c r="G54" s="163" t="s">
        <v>53</v>
      </c>
      <c r="H54" s="163">
        <v>2</v>
      </c>
      <c r="I54" s="163" t="s">
        <v>89</v>
      </c>
      <c r="J54" s="163">
        <f t="shared" si="10"/>
        <v>100</v>
      </c>
      <c r="L54" s="165" t="s">
        <v>306</v>
      </c>
      <c r="M54" s="165" t="s">
        <v>305</v>
      </c>
    </row>
    <row r="55" spans="1:13" ht="21" customHeight="1" x14ac:dyDescent="0.15">
      <c r="A55" s="163">
        <v>48013054</v>
      </c>
      <c r="B55" s="163">
        <v>0</v>
      </c>
      <c r="C55" s="163">
        <v>303</v>
      </c>
      <c r="D55" s="163">
        <v>100</v>
      </c>
      <c r="E55" s="163">
        <v>50</v>
      </c>
      <c r="F55" s="163" t="s">
        <v>89</v>
      </c>
      <c r="G55" s="163">
        <v>1</v>
      </c>
      <c r="H55" s="163">
        <v>1</v>
      </c>
      <c r="I55" s="163" t="s">
        <v>89</v>
      </c>
      <c r="J55" s="163">
        <f t="shared" si="10"/>
        <v>100</v>
      </c>
      <c r="L55" s="165" t="s">
        <v>307</v>
      </c>
      <c r="M55" s="165" t="s">
        <v>314</v>
      </c>
    </row>
    <row r="56" spans="1:13" ht="21" customHeight="1" x14ac:dyDescent="0.15">
      <c r="A56" s="163">
        <v>48013055</v>
      </c>
      <c r="B56" s="163">
        <v>0</v>
      </c>
      <c r="C56" s="163">
        <v>304</v>
      </c>
      <c r="D56" s="163">
        <v>100</v>
      </c>
      <c r="E56" s="163">
        <v>40</v>
      </c>
      <c r="F56" s="163" t="s">
        <v>89</v>
      </c>
      <c r="G56" s="163">
        <v>1</v>
      </c>
      <c r="H56" s="163">
        <v>1</v>
      </c>
      <c r="I56" s="163" t="s">
        <v>89</v>
      </c>
      <c r="J56" s="163">
        <f t="shared" si="10"/>
        <v>100</v>
      </c>
      <c r="L56" s="165" t="s">
        <v>308</v>
      </c>
      <c r="M56" s="165" t="s">
        <v>315</v>
      </c>
    </row>
    <row r="57" spans="1:13" ht="21" customHeight="1" x14ac:dyDescent="0.15">
      <c r="A57" s="163">
        <v>48013056</v>
      </c>
      <c r="B57" s="163">
        <v>0</v>
      </c>
      <c r="C57" s="163">
        <v>306</v>
      </c>
      <c r="D57" s="163">
        <v>100</v>
      </c>
      <c r="E57" s="163">
        <v>30</v>
      </c>
      <c r="F57" s="163" t="s">
        <v>89</v>
      </c>
      <c r="G57" s="163">
        <v>1</v>
      </c>
      <c r="H57" s="163">
        <v>1</v>
      </c>
      <c r="I57" s="163" t="s">
        <v>89</v>
      </c>
      <c r="J57" s="163">
        <f t="shared" si="10"/>
        <v>100</v>
      </c>
      <c r="L57" s="165" t="s">
        <v>309</v>
      </c>
      <c r="M57" s="165" t="s">
        <v>316</v>
      </c>
    </row>
    <row r="58" spans="1:13" ht="21" customHeight="1" x14ac:dyDescent="0.15">
      <c r="A58" s="163">
        <v>48013057</v>
      </c>
      <c r="B58" s="163">
        <v>0</v>
      </c>
      <c r="C58" s="163">
        <v>305</v>
      </c>
      <c r="D58" s="163">
        <v>100</v>
      </c>
      <c r="E58" s="163">
        <v>30</v>
      </c>
      <c r="F58" s="163" t="s">
        <v>89</v>
      </c>
      <c r="G58" s="163">
        <v>1</v>
      </c>
      <c r="H58" s="163">
        <v>1</v>
      </c>
      <c r="I58" s="163" t="s">
        <v>89</v>
      </c>
      <c r="J58" s="163">
        <f t="shared" si="10"/>
        <v>100</v>
      </c>
      <c r="L58" s="165" t="s">
        <v>309</v>
      </c>
      <c r="M58" s="165" t="s">
        <v>317</v>
      </c>
    </row>
    <row r="59" spans="1:13" ht="21" customHeight="1" x14ac:dyDescent="0.15">
      <c r="A59" s="163">
        <v>48013058</v>
      </c>
      <c r="B59" s="163">
        <v>0</v>
      </c>
      <c r="C59" s="163" t="s">
        <v>53</v>
      </c>
      <c r="D59" s="163">
        <v>100</v>
      </c>
      <c r="E59" s="163" t="s">
        <v>53</v>
      </c>
      <c r="F59" s="163" t="s">
        <v>89</v>
      </c>
      <c r="G59" s="163" t="s">
        <v>53</v>
      </c>
      <c r="H59" s="163" t="s">
        <v>89</v>
      </c>
      <c r="I59" s="163" t="s">
        <v>89</v>
      </c>
      <c r="J59" s="163">
        <f t="shared" si="10"/>
        <v>100</v>
      </c>
      <c r="L59" s="165" t="s">
        <v>310</v>
      </c>
      <c r="M59" s="165" t="s">
        <v>311</v>
      </c>
    </row>
    <row r="60" spans="1:13" ht="21" customHeight="1" x14ac:dyDescent="0.15">
      <c r="A60" s="163">
        <v>48013059</v>
      </c>
      <c r="B60" s="163">
        <v>0</v>
      </c>
      <c r="C60" s="163">
        <v>354</v>
      </c>
      <c r="D60" s="163">
        <v>100</v>
      </c>
      <c r="E60" s="163" t="s">
        <v>53</v>
      </c>
      <c r="F60" s="163" t="s">
        <v>89</v>
      </c>
      <c r="G60" s="163" t="s">
        <v>53</v>
      </c>
      <c r="H60" s="163">
        <v>0</v>
      </c>
      <c r="I60" s="163">
        <v>8118</v>
      </c>
      <c r="J60" s="163">
        <f t="shared" si="10"/>
        <v>100</v>
      </c>
      <c r="L60" s="165" t="s">
        <v>336</v>
      </c>
      <c r="M60" s="165" t="s">
        <v>312</v>
      </c>
    </row>
    <row r="61" spans="1:13" ht="21" customHeight="1" x14ac:dyDescent="0.15">
      <c r="A61" s="163">
        <v>48013060</v>
      </c>
      <c r="B61" s="163">
        <v>0</v>
      </c>
      <c r="C61" s="163">
        <v>353</v>
      </c>
      <c r="D61" s="163">
        <v>100</v>
      </c>
      <c r="E61" s="163" t="s">
        <v>53</v>
      </c>
      <c r="F61" s="163" t="s">
        <v>89</v>
      </c>
      <c r="G61" s="163" t="s">
        <v>53</v>
      </c>
      <c r="H61" s="163">
        <v>0</v>
      </c>
      <c r="I61" s="163">
        <v>8117</v>
      </c>
      <c r="J61" s="163">
        <f t="shared" ref="J61" si="13">D61</f>
        <v>100</v>
      </c>
      <c r="L61" s="165" t="s">
        <v>335</v>
      </c>
      <c r="M61" s="165" t="s">
        <v>312</v>
      </c>
    </row>
    <row r="62" spans="1:13" ht="21" customHeight="1" x14ac:dyDescent="0.15">
      <c r="A62" s="163">
        <v>48013061</v>
      </c>
      <c r="B62" s="163">
        <v>0</v>
      </c>
      <c r="C62" s="163">
        <v>352</v>
      </c>
      <c r="D62" s="163">
        <v>100</v>
      </c>
      <c r="E62" s="163" t="s">
        <v>53</v>
      </c>
      <c r="F62" s="163" t="s">
        <v>89</v>
      </c>
      <c r="G62" s="163" t="s">
        <v>53</v>
      </c>
      <c r="H62" s="163">
        <v>0</v>
      </c>
      <c r="I62" s="163">
        <v>8120</v>
      </c>
      <c r="J62" s="163">
        <f t="shared" si="10"/>
        <v>100</v>
      </c>
      <c r="L62" s="165" t="s">
        <v>337</v>
      </c>
      <c r="M62" s="165" t="s">
        <v>313</v>
      </c>
    </row>
    <row r="63" spans="1:13" ht="21" customHeight="1" x14ac:dyDescent="0.15">
      <c r="A63" s="163">
        <v>48013062</v>
      </c>
      <c r="B63" s="163">
        <v>0</v>
      </c>
      <c r="C63" s="163">
        <v>351</v>
      </c>
      <c r="D63" s="163">
        <v>100</v>
      </c>
      <c r="E63" s="163" t="s">
        <v>53</v>
      </c>
      <c r="F63" s="163" t="s">
        <v>89</v>
      </c>
      <c r="G63" s="163" t="s">
        <v>53</v>
      </c>
      <c r="H63" s="163">
        <v>0</v>
      </c>
      <c r="I63" s="163">
        <v>8119</v>
      </c>
      <c r="J63" s="163">
        <f t="shared" ref="J63" si="14">D63</f>
        <v>100</v>
      </c>
      <c r="L63" s="165" t="s">
        <v>338</v>
      </c>
      <c r="M63" s="165" t="s">
        <v>313</v>
      </c>
    </row>
  </sheetData>
  <autoFilter ref="A1:G1"/>
  <phoneticPr fontId="5"/>
  <conditionalFormatting sqref="K64:K1048576 K1:K2">
    <cfRule type="duplicateValues" dxfId="14" priority="15"/>
  </conditionalFormatting>
  <conditionalFormatting sqref="K3:K13 K15 K17:K18 K34 K36:K39 K41 K43:K44 K21:K32">
    <cfRule type="duplicateValues" dxfId="13" priority="14"/>
  </conditionalFormatting>
  <conditionalFormatting sqref="K45:K49 K51 K53:K60 K62">
    <cfRule type="duplicateValues" dxfId="12" priority="13"/>
  </conditionalFormatting>
  <conditionalFormatting sqref="K14">
    <cfRule type="duplicateValues" dxfId="11" priority="12"/>
  </conditionalFormatting>
  <conditionalFormatting sqref="K16">
    <cfRule type="duplicateValues" dxfId="10" priority="11"/>
  </conditionalFormatting>
  <conditionalFormatting sqref="K33">
    <cfRule type="duplicateValues" dxfId="9" priority="10"/>
  </conditionalFormatting>
  <conditionalFormatting sqref="K35">
    <cfRule type="duplicateValues" dxfId="8" priority="9"/>
  </conditionalFormatting>
  <conditionalFormatting sqref="K40">
    <cfRule type="duplicateValues" dxfId="7" priority="8"/>
  </conditionalFormatting>
  <conditionalFormatting sqref="K42">
    <cfRule type="duplicateValues" dxfId="6" priority="7"/>
  </conditionalFormatting>
  <conditionalFormatting sqref="K50">
    <cfRule type="duplicateValues" dxfId="5" priority="6"/>
  </conditionalFormatting>
  <conditionalFormatting sqref="K52">
    <cfRule type="duplicateValues" dxfId="4" priority="5"/>
  </conditionalFormatting>
  <conditionalFormatting sqref="K61">
    <cfRule type="duplicateValues" dxfId="3" priority="4"/>
  </conditionalFormatting>
  <conditionalFormatting sqref="K63">
    <cfRule type="duplicateValues" dxfId="2" priority="3"/>
  </conditionalFormatting>
  <conditionalFormatting sqref="K19">
    <cfRule type="duplicateValues" dxfId="1" priority="2"/>
  </conditionalFormatting>
  <conditionalFormatting sqref="K2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99"/>
  <sheetViews>
    <sheetView showGridLines="0" workbookViewId="0">
      <pane xSplit="5" ySplit="1" topLeftCell="F88" activePane="bottomRight" state="frozen"/>
      <selection pane="topRight"/>
      <selection pane="bottomLeft"/>
      <selection pane="bottomRight" activeCell="G101" sqref="G10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48013001_48013001</v>
      </c>
      <c r="B2" s="133">
        <v>48013001</v>
      </c>
      <c r="C2" s="133">
        <v>48013001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我ら三人の鉄壁の防御は_x000D_そう簡単には崩せんぞ！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自身の防御力超大UP</v>
      </c>
      <c r="F2" s="133">
        <v>48013001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48013001_48013002</v>
      </c>
      <c r="B3" s="133">
        <v>48013001</v>
      </c>
      <c r="C3" s="133">
        <v>48013002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猛虎連撃爪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" s="133">
        <v>48013002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48013001_48013003</v>
      </c>
      <c r="B4" s="133">
        <v>48013001</v>
      </c>
      <c r="C4" s="133">
        <v>48013003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鉄壁の防御が…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自身の防御力DOWN</v>
      </c>
      <c r="F4" s="133">
        <v>48013003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47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63" si="2">B5&amp;"_"&amp;C5</f>
        <v>48013002_48013004</v>
      </c>
      <c r="B5" s="138">
        <v>48013002</v>
      </c>
      <c r="C5" s="138">
        <v>48013004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稲妻蹴り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クリティカル！+_x000D_属性パネルをお邪魔パネルに1個変換</v>
      </c>
      <c r="F5" s="138">
        <v>48013004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</row>
    <row r="6" spans="1:18" ht="21" customHeight="1" x14ac:dyDescent="0.15">
      <c r="A6" s="39" t="str">
        <f t="shared" si="2"/>
        <v>48013003_48013005</v>
      </c>
      <c r="B6" s="143">
        <v>48013003</v>
      </c>
      <c r="C6" s="143">
        <v>48013005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いけ！俺様の下僕どもよ！_x000D_死んでもここを通すな！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属性パネルをお邪魔パネルに3個変換</v>
      </c>
      <c r="F6" s="143">
        <v>48013005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48013003_48013006</v>
      </c>
      <c r="B7" s="143">
        <v>48013003</v>
      </c>
      <c r="C7" s="143">
        <v>48013006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金剛連撃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" s="143">
        <v>48013006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48013003_48013007</v>
      </c>
      <c r="B8" s="143">
        <v>48013003</v>
      </c>
      <c r="C8" s="143">
        <v>48013007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金剛一閃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" s="143">
        <v>48013007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48013003_48013008</v>
      </c>
      <c r="B9" s="143">
        <v>48013003</v>
      </c>
      <c r="C9" s="143">
        <v>48013008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金剛無刀陣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2ターン種族ドラゴン以外からのダメージを50%DOWN</v>
      </c>
      <c r="F9" s="143">
        <v>48013008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2"/>
        <v>48013004_48013009</v>
      </c>
      <c r="B10" s="148">
        <v>48013004</v>
      </c>
      <c r="C10" s="148">
        <v>48013009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スパーク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" s="148">
        <v>48013009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48013004_48013010</v>
      </c>
      <c r="B11" s="148">
        <v>48013004</v>
      </c>
      <c r="C11" s="148">
        <v>48013010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エスケープ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逃げていった…</v>
      </c>
      <c r="F11" s="148">
        <v>48013010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75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2"/>
        <v>48013005_48013011</v>
      </c>
      <c r="B12" s="181">
        <v>48013005</v>
      </c>
      <c r="C12" s="181">
        <v>48013011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法海の暴走を止めるというのか？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3ターン緑パネル出現率UP</v>
      </c>
      <c r="F12" s="181">
        <v>48013011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48013005_48013012</v>
      </c>
      <c r="B13" s="181">
        <v>48013005</v>
      </c>
      <c r="C13" s="181">
        <v>48013012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貴様に法海を止める力があるか_x000D_見極めてやろう…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3ターン緑パネル出現率UP</v>
      </c>
      <c r="F13" s="181">
        <v>48013012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8118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48013005_48013013</v>
      </c>
      <c r="B14" s="181">
        <v>48013005</v>
      </c>
      <c r="C14" s="181">
        <v>48013013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貴様に法海を止める力があるか_x000D_見極めてやろう…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3ターン緑パネル出現率UP</v>
      </c>
      <c r="F14" s="181">
        <v>48013013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8117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48013005_48013014</v>
      </c>
      <c r="B15" s="181">
        <v>48013005</v>
      </c>
      <c r="C15" s="181">
        <v>48013014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貴様に法海を止める力があるのなら_x000D_見せてみろ…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3ターン緑パネル出現率UP</v>
      </c>
      <c r="F15" s="181">
        <v>48013014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44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8120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48013005_48013015</v>
      </c>
      <c r="B16" s="181">
        <v>48013005</v>
      </c>
      <c r="C16" s="181">
        <v>48013015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貴様に法海を止める力があるのなら_x000D_見せてみろ…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3ターン緑パネル出現率UP</v>
      </c>
      <c r="F16" s="181">
        <v>48013015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43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8119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48013005_48013016</v>
      </c>
      <c r="B17" s="181">
        <v>48013005</v>
      </c>
      <c r="C17" s="181">
        <v>48013016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私の攻撃に耐えてみせよ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単体攻撃+_x000D_緑パネルをお邪魔パネルに4個変換</v>
      </c>
      <c r="F17" s="181">
        <v>48013016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48013005_48013017</v>
      </c>
      <c r="B18" s="181">
        <v>48013005</v>
      </c>
      <c r="C18" s="181">
        <v>48013017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生半可な攻撃では効かぬぞ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お邪魔パネルを吸収して防御力UP</v>
      </c>
      <c r="F18" s="181">
        <v>48013017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42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ref="A19:A20" si="3">B19&amp;"_"&amp;C19</f>
        <v>48013005_48013018</v>
      </c>
      <c r="B19" s="181">
        <v>48013005</v>
      </c>
      <c r="C19" s="181">
        <v>48013018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大きく振りかぶる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次のターン強力な連続攻撃</v>
      </c>
      <c r="F19" s="181">
        <v>48013018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3"/>
        <v>48013005_48013019</v>
      </c>
      <c r="B20" s="181">
        <v>48013005</v>
      </c>
      <c r="C20" s="181">
        <v>48013019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本気でいくぞ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0" s="181">
        <v>48013019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2"/>
        <v>48013006_48013020</v>
      </c>
      <c r="B21" s="186">
        <v>48013006</v>
      </c>
      <c r="C21" s="186">
        <v>48013020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どうした、貴様の力はその程度か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3ターン種族ドラゴンの攻撃力50%UP</v>
      </c>
      <c r="F21" s="186">
        <v>48013020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2"/>
        <v>48013006_48013021</v>
      </c>
      <c r="B22" s="186">
        <v>48013006</v>
      </c>
      <c r="C22" s="186">
        <v>48013021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私の力はこんなものではないぞ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単体攻撃+_x000D_緑パネルを黄のダメージパネルに5個変換</v>
      </c>
      <c r="F22" s="186">
        <v>48013021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2"/>
        <v>48013006_48013022</v>
      </c>
      <c r="B23" s="186">
        <v>48013006</v>
      </c>
      <c r="C23" s="186">
        <v>48013022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その程度の攻撃では効かぬぞ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ダメージパネルを吸収して防御力UP</v>
      </c>
      <c r="F23" s="186">
        <v>48013022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53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2"/>
        <v>48013006_48013023</v>
      </c>
      <c r="B24" s="186">
        <v>48013006</v>
      </c>
      <c r="C24" s="186">
        <v>48013023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攻撃が甘い！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4ターン緑パネル出現率UP</v>
      </c>
      <c r="F24" s="186">
        <v>48013023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52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4" s="47"/>
      <c r="Q24" s="47"/>
      <c r="R24" s="47"/>
    </row>
    <row r="25" spans="1:18" ht="21" customHeight="1" x14ac:dyDescent="0.15">
      <c r="A25" s="39" t="str">
        <f t="shared" si="2"/>
        <v>48013006_48013024</v>
      </c>
      <c r="B25" s="186">
        <v>48013006</v>
      </c>
      <c r="C25" s="186">
        <v>48013024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力が衰えてきておるぞ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種族ドラゴン以外の攻撃力30%DOWN</v>
      </c>
      <c r="F25" s="186">
        <v>48013024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54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2"/>
        <v>48013007_48013025</v>
      </c>
      <c r="B26" s="191">
        <v>48013007</v>
      </c>
      <c r="C26" s="191">
        <v>48013025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よく私を倒したな_x000D_さあ行くがいい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26" s="191">
        <v>48013025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2"/>
        <v>48013007_48013026</v>
      </c>
      <c r="B27" s="191">
        <v>48013007</v>
      </c>
      <c r="C27" s="191">
        <v>48013026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貴様なら法海を_x000D_止めることができるだろう…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種族ドラゴンのスキルゲージを4ターン減少</v>
      </c>
      <c r="F27" s="191">
        <v>48013026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8118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2"/>
        <v>48013007_48013027</v>
      </c>
      <c r="B28" s="191">
        <v>48013007</v>
      </c>
      <c r="C28" s="191">
        <v>48013027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貴様なら法海を_x000D_止めることができるだろう…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種族ドラゴンのスキルゲージを4ターン減少</v>
      </c>
      <c r="F28" s="191">
        <v>48013027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8117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2"/>
        <v>48013007_48013028</v>
      </c>
      <c r="B29" s="191">
        <v>48013007</v>
      </c>
      <c r="C29" s="191">
        <v>48013028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貴様なら法海を止めることが…_x000D_さあ行くがいい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種族ドラゴンのスキルゲージを4ターン減少</v>
      </c>
      <c r="F29" s="191">
        <v>48013028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8120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2"/>
        <v>48013007_48013029</v>
      </c>
      <c r="B30" s="191">
        <v>48013007</v>
      </c>
      <c r="C30" s="191">
        <v>48013029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貴様なら法海を止めることが…_x000D_さあ行くがいい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種族ドラゴンのスキルゲージを4ターン減少</v>
      </c>
      <c r="F30" s="191">
        <v>48013029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8119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ref="A31:A35" si="4">B31&amp;"_"&amp;C31</f>
        <v>48013008_48013030</v>
      </c>
      <c r="B31" s="153">
        <v>48013008</v>
      </c>
      <c r="C31" s="153">
        <v>48013030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世界の正義は我々ALICEにあり！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1" s="153">
        <v>48013030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4"/>
        <v>48013008_48013031</v>
      </c>
      <c r="B32" s="153">
        <v>48013008</v>
      </c>
      <c r="C32" s="153">
        <v>48013031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お前あの男とどういった関係だ？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2" s="153">
        <v>48013031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8118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4"/>
        <v>48013008_48013032</v>
      </c>
      <c r="B33" s="153">
        <v>48013008</v>
      </c>
      <c r="C33" s="153">
        <v>48013032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お前あの男とどういった関係だ？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3" s="153">
        <v>48013032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8117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4"/>
        <v>48013008_48013033</v>
      </c>
      <c r="B34" s="153">
        <v>48013008</v>
      </c>
      <c r="C34" s="153">
        <v>48013033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この俺の任務を邪魔する奴は_x000D_例え誰だろうと許さん！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4" s="153">
        <v>48013033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8120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4"/>
        <v>48013008_48013034</v>
      </c>
      <c r="B35" s="153">
        <v>48013008</v>
      </c>
      <c r="C35" s="153">
        <v>48013034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この俺の任務を邪魔する奴は_x000D_例え誰だろうと許さん！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5" s="153">
        <v>48013034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8119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2"/>
        <v>48013008_48013035</v>
      </c>
      <c r="B36" s="153">
        <v>48013008</v>
      </c>
      <c r="C36" s="153">
        <v>48013035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電光爆雷刃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単体攻撃+_x000D_緑パネルを黄のダメージパネルに5個変換</v>
      </c>
      <c r="F36" s="153">
        <v>48013035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2"/>
        <v>48013008_48013036</v>
      </c>
      <c r="B37" s="153">
        <v>48013008</v>
      </c>
      <c r="C37" s="153">
        <v>48013036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雷光雷刃撃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全体攻撃+_x000D_黄パネルを黄のダメージパネルに2個変換</v>
      </c>
      <c r="F37" s="153">
        <v>48013036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2"/>
        <v>48013009_48013037</v>
      </c>
      <c r="B38" s="158">
        <v>48013009</v>
      </c>
      <c r="C38" s="158">
        <v>48013037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お前の力など所詮その程度か！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38" s="158">
        <v>48013037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2"/>
        <v>48013009_48013038</v>
      </c>
      <c r="B39" s="158">
        <v>48013009</v>
      </c>
      <c r="C39" s="158">
        <v>48013038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お前あの男のために_x000D_なぜそこまでする？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1ターンの間全ユニットのタップ数1増加</v>
      </c>
      <c r="F39" s="158">
        <v>48013038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8118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2"/>
        <v>48013009_48013039</v>
      </c>
      <c r="B40" s="158">
        <v>48013009</v>
      </c>
      <c r="C40" s="158">
        <v>48013039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お前あの男のために_x000D_なぜそこまでする？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1ターンの間全ユニットのタップ数1増加</v>
      </c>
      <c r="F40" s="158">
        <v>48013039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8117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2"/>
        <v>48013009_48013040</v>
      </c>
      <c r="B41" s="158">
        <v>48013009</v>
      </c>
      <c r="C41" s="158">
        <v>48013040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お前なぜ俺の任務の邪魔をする？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1ターンの間全ユニットのタップ数1増加</v>
      </c>
      <c r="F41" s="158">
        <v>48013040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207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8120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2"/>
        <v>48013009_48013041</v>
      </c>
      <c r="B42" s="158">
        <v>48013009</v>
      </c>
      <c r="C42" s="158">
        <v>48013041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お前なぜ俺の任務の邪魔をする？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1ターンの間全ユニットのタップ数1増加</v>
      </c>
      <c r="F42" s="158">
        <v>48013041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206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8119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2"/>
        <v>48013009_48013042</v>
      </c>
      <c r="B43" s="158">
        <v>48013009</v>
      </c>
      <c r="C43" s="158">
        <v>48013042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魔光爆雷刃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全体攻撃+_x000D_属性パネルをお邪魔パネルに5個変換</v>
      </c>
      <c r="F43" s="158">
        <v>48013042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2"/>
        <v>48013009_48013043</v>
      </c>
      <c r="B44" s="158">
        <v>48013009</v>
      </c>
      <c r="C44" s="158">
        <v>48013043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魔光雷刃撃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44" s="158">
        <v>48013043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2"/>
        <v>48013009_48013044</v>
      </c>
      <c r="B45" s="158">
        <v>48013009</v>
      </c>
      <c r="C45" s="158">
        <v>48013044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くっ…_x000D_ここまでの力とは…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全ユニットの攻撃力30%DOWN+_x000D_赤&amp;緑パネルを青パネルに変換</v>
      </c>
      <c r="F45" s="158">
        <v>48013044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203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2"/>
        <v>48013009_48013045</v>
      </c>
      <c r="B46" s="158">
        <v>48013009</v>
      </c>
      <c r="C46" s="158">
        <v>48013045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本気をみせてやる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次のターン強力な連続攻撃</v>
      </c>
      <c r="F46" s="158">
        <v>48013045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205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2"/>
        <v>48013009_48013046</v>
      </c>
      <c r="B47" s="158">
        <v>48013009</v>
      </c>
      <c r="C47" s="158">
        <v>48013046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魔光連撃波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47" s="158">
        <v>48013046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204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2"/>
        <v>48013010_48013047</v>
      </c>
      <c r="B48" s="163">
        <v>48013010</v>
      </c>
      <c r="C48" s="163">
        <v>48013047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この俺を_x000D_ここまで追い詰めるとは…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48" s="163">
        <v>48013047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2"/>
        <v>48013010_48013048</v>
      </c>
      <c r="B49" s="163">
        <v>48013010</v>
      </c>
      <c r="C49" s="163">
        <v>48013048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俺をここまで追い詰めるとは…_x000D_その力は一体なんだ！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全ユニットの攻撃力30%UP</v>
      </c>
      <c r="F49" s="163">
        <v>48013048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8118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2"/>
        <v>48013010_48013049</v>
      </c>
      <c r="B50" s="163">
        <v>48013010</v>
      </c>
      <c r="C50" s="163">
        <v>48013049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俺をここまで追い詰めるとは…_x000D_その力は一体なんだ！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全ユニットの攻撃力30%UP</v>
      </c>
      <c r="F50" s="163">
        <v>48013049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309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8117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2"/>
        <v>48013010_48013050</v>
      </c>
      <c r="B51" s="163">
        <v>48013010</v>
      </c>
      <c r="C51" s="163">
        <v>48013050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俺をここまで追い詰めるとは…_x000D_どこにそんな力が…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全ユニットの攻撃力30%UP</v>
      </c>
      <c r="F51" s="163">
        <v>48013050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308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8120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2"/>
        <v>48013010_48013051</v>
      </c>
      <c r="B52" s="163">
        <v>48013010</v>
      </c>
      <c r="C52" s="163">
        <v>48013051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俺をここまで追い詰めるとは…_x000D_どこにそんな力が…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全ユニットの攻撃力30%UP</v>
      </c>
      <c r="F52" s="163">
        <v>48013051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307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8119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2"/>
        <v>48013010_48013052</v>
      </c>
      <c r="B53" s="163">
        <v>48013010</v>
      </c>
      <c r="C53" s="163">
        <v>48013052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煉獄爆雷刃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4回連続攻撃+_x000D_緑パネルをお邪魔パネルに8個変換</v>
      </c>
      <c r="F53" s="163">
        <v>48013052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2"/>
        <v>48013010_48013053</v>
      </c>
      <c r="B54" s="163">
        <v>48013010</v>
      </c>
      <c r="C54" s="163">
        <v>48013053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煉獄雷刃撃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お邪魔パネルを吸収してクリティカル</v>
      </c>
      <c r="F54" s="163">
        <v>48013053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2"/>
        <v>48013010_48013054</v>
      </c>
      <c r="B55" s="163">
        <v>48013010</v>
      </c>
      <c r="C55" s="163">
        <v>48013054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お前ごときが！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属性ドラゴン以外に攻撃力30%DOWNダウン</v>
      </c>
      <c r="F55" s="163">
        <v>48013054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2"/>
        <v>48013010_48013055</v>
      </c>
      <c r="B56" s="163">
        <v>48013010</v>
      </c>
      <c r="C56" s="163">
        <v>48013055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この俺に…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4ターンハートパネル出現率UP</v>
      </c>
      <c r="F56" s="163">
        <v>48013055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2"/>
        <v>48013010_48013056</v>
      </c>
      <c r="B57" s="163">
        <v>48013010</v>
      </c>
      <c r="C57" s="163">
        <v>48013056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これで終りだ…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57" s="163">
        <v>48013056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2"/>
        <v>48013010_48013057</v>
      </c>
      <c r="B58" s="163">
        <v>48013010</v>
      </c>
      <c r="C58" s="163">
        <v>48013057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六道輪廻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残りHPの90%ダメージ！</v>
      </c>
      <c r="F58" s="163">
        <v>48013057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2"/>
        <v>48013010_48013058</v>
      </c>
      <c r="B59" s="163">
        <v>48013010</v>
      </c>
      <c r="C59" s="163">
        <v>48013058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この俺が敗けるとは…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59" s="163">
        <v>48013058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2"/>
        <v>48013010_48013059</v>
      </c>
      <c r="B60" s="163">
        <v>48013010</v>
      </c>
      <c r="C60" s="163">
        <v>48013059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この俺の敗けだ…_x000D_男を連れていくがいい…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0" s="163">
        <v>48013059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354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8118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2"/>
        <v>48013010_48013060</v>
      </c>
      <c r="B61" s="163">
        <v>48013010</v>
      </c>
      <c r="C61" s="163">
        <v>48013060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この俺の敗けだ…_x000D_男を連れていくがいい…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1" s="163">
        <v>48013060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353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8117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2"/>
        <v>48013010_48013061</v>
      </c>
      <c r="B62" s="163">
        <v>48013010</v>
      </c>
      <c r="C62" s="163">
        <v>48013061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この俺が敗けるとは…_x000D_俺の正義が間違っていたのか…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2" s="163">
        <v>48013061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352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8120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thickBot="1" x14ac:dyDescent="0.2">
      <c r="A63" s="213" t="str">
        <f t="shared" si="2"/>
        <v>48013010_48013062</v>
      </c>
      <c r="B63" s="208">
        <v>48013010</v>
      </c>
      <c r="C63" s="208">
        <v>48013062</v>
      </c>
      <c r="D63" s="214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この俺が敗けるとは…_x000D_俺の正義が間違っていたのか…</v>
      </c>
      <c r="E63" s="214" t="str">
        <f ca="1">VLOOKUP($C63,OFFSET(enemy_skills!$A$1,0,0,COUNTA(enemy_skills!$A:$A),MATCH(E$1,enemy_skills!$1:$1,0)-MATCH("enemy_skill_id",enemy_skills!$1:$1,0)+1),MATCH(E$1,enemy_skills!$1:$1,0)-MATCH("enemy_skill_id",enemy_skills!$1:$1,0)+1,FALSE)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63" s="208">
        <v>48013062</v>
      </c>
      <c r="G63" s="215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215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351</v>
      </c>
      <c r="I63" s="215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215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215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215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215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63" s="215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8119</v>
      </c>
      <c r="O63" s="215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216"/>
      <c r="Q63" s="216"/>
      <c r="R63" s="216"/>
    </row>
    <row r="64" spans="1:18" ht="21" customHeight="1" x14ac:dyDescent="0.15">
      <c r="A64" s="39" t="str">
        <f t="shared" ref="A64:A99" si="5">B64&amp;"_"&amp;C64</f>
        <v>48013011_48013011</v>
      </c>
      <c r="B64" s="181">
        <v>48013011</v>
      </c>
      <c r="C64" s="181">
        <v>48013011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法海の暴走を止めるというのか？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3ターン緑パネル出現率UP</v>
      </c>
      <c r="F64" s="181">
        <v>48013011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 t="str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5"/>
        <v>48013011_48013012</v>
      </c>
      <c r="B65" s="181">
        <v>48013011</v>
      </c>
      <c r="C65" s="181">
        <v>48013012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貴様に法海を止める力があるか_x000D_見極めてやろう…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3ターン緑パネル出現率UP</v>
      </c>
      <c r="F65" s="181">
        <v>48013012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8118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5"/>
        <v>48013011_48013013</v>
      </c>
      <c r="B66" s="181">
        <v>48013011</v>
      </c>
      <c r="C66" s="181">
        <v>48013013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貴様に法海を止める力があるか_x000D_見極めてやろう…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3ターン緑パネル出現率UP</v>
      </c>
      <c r="F66" s="181">
        <v>48013013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8117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5"/>
        <v>48013011_48013014</v>
      </c>
      <c r="B67" s="181">
        <v>48013011</v>
      </c>
      <c r="C67" s="181">
        <v>48013014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貴様に法海を止める力があるのなら_x000D_見せてみろ…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3ターン緑パネル出現率UP</v>
      </c>
      <c r="F67" s="181">
        <v>48013014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44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8120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5"/>
        <v>48013011_48013015</v>
      </c>
      <c r="B68" s="181">
        <v>48013011</v>
      </c>
      <c r="C68" s="181">
        <v>48013015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貴様に法海を止める力があるのなら_x000D_見せてみろ…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3ターン緑パネル出現率UP</v>
      </c>
      <c r="F68" s="181">
        <v>48013015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43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8119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5"/>
        <v>48013011_48013063</v>
      </c>
      <c r="B69" s="181">
        <v>48013011</v>
      </c>
      <c r="C69" s="212">
        <v>48013063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私の攻撃に耐えてみせよ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単体攻撃+_x000D_緑パネルをお邪魔パネルに2個変換</v>
      </c>
      <c r="F69" s="181">
        <v>48013016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5"/>
        <v>48013011_48013017</v>
      </c>
      <c r="B70" s="181">
        <v>48013011</v>
      </c>
      <c r="C70" s="181">
        <v>48013017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生半可な攻撃では効かぬぞ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お邪魔パネルを吸収して防御力UP</v>
      </c>
      <c r="F70" s="181">
        <v>48013017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42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5"/>
        <v>48013011_48013018</v>
      </c>
      <c r="B71" s="181">
        <v>48013011</v>
      </c>
      <c r="C71" s="181">
        <v>48013018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大きく振りかぶる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次のターン強力な連続攻撃</v>
      </c>
      <c r="F71" s="181">
        <v>48013018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5"/>
        <v>48013011_48013019</v>
      </c>
      <c r="B72" s="181">
        <v>48013011</v>
      </c>
      <c r="C72" s="181">
        <v>48013019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本気でいくぞ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72" s="181">
        <v>48013019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5"/>
        <v>48013012_48013037</v>
      </c>
      <c r="B73" s="158">
        <v>48013012</v>
      </c>
      <c r="C73" s="158">
        <v>48013037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お前の力など所詮その程度か！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73" s="158">
        <v>48013037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 t="str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5"/>
        <v>48013012_48013038</v>
      </c>
      <c r="B74" s="158">
        <v>48013012</v>
      </c>
      <c r="C74" s="158">
        <v>48013038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お前あの男のために_x000D_なぜそこまでする？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1ターンの間全ユニットのタップ数1増加</v>
      </c>
      <c r="F74" s="158">
        <v>48013038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8118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5"/>
        <v>48013012_48013039</v>
      </c>
      <c r="B75" s="158">
        <v>48013012</v>
      </c>
      <c r="C75" s="158">
        <v>48013039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お前あの男のために_x000D_なぜそこまでする？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1ターンの間全ユニットのタップ数1増加</v>
      </c>
      <c r="F75" s="158">
        <v>48013039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8117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5"/>
        <v>48013012_48013040</v>
      </c>
      <c r="B76" s="158">
        <v>48013012</v>
      </c>
      <c r="C76" s="158">
        <v>48013040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お前なぜ俺の任務の邪魔をする？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1ターンの間全ユニットのタップ数1増加</v>
      </c>
      <c r="F76" s="158">
        <v>48013040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207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8120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5"/>
        <v>48013012_48013041</v>
      </c>
      <c r="B77" s="158">
        <v>48013012</v>
      </c>
      <c r="C77" s="158">
        <v>48013041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お前なぜ俺の任務の邪魔をする？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1ターンの間全ユニットのタップ数1増加</v>
      </c>
      <c r="F77" s="158">
        <v>48013041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206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8119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5"/>
        <v>48013012_48013064</v>
      </c>
      <c r="B78" s="158">
        <v>48013012</v>
      </c>
      <c r="C78" s="218">
        <v>48013064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魔光爆雷刃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全体攻撃+_x000D_属性パネルをお邪魔パネルに3個変換</v>
      </c>
      <c r="F78" s="158">
        <v>48013042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5"/>
        <v>48013012_48013043</v>
      </c>
      <c r="B79" s="158">
        <v>48013012</v>
      </c>
      <c r="C79" s="158">
        <v>48013043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魔光雷刃撃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79" s="158">
        <v>48013043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5"/>
        <v>48013012_48013044</v>
      </c>
      <c r="B80" s="158">
        <v>48013012</v>
      </c>
      <c r="C80" s="158">
        <v>48013044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くっ…_x000D_ここまでの力とは…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全ユニットの攻撃力30%DOWN+_x000D_赤&amp;緑パネルを青パネルに変換</v>
      </c>
      <c r="F80" s="158">
        <v>48013044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203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5"/>
        <v>48013012_48013045</v>
      </c>
      <c r="B81" s="158">
        <v>48013012</v>
      </c>
      <c r="C81" s="158">
        <v>48013045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本気をみせてやる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次のターン強力な連続攻撃</v>
      </c>
      <c r="F81" s="158">
        <v>48013045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205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5"/>
        <v>48013012_48013046</v>
      </c>
      <c r="B82" s="158">
        <v>48013012</v>
      </c>
      <c r="C82" s="158">
        <v>48013046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魔光連撃波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82" s="158">
        <v>48013046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204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5"/>
        <v>48013013_48013047</v>
      </c>
      <c r="B83" s="163">
        <v>48013013</v>
      </c>
      <c r="C83" s="163">
        <v>48013047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この俺を_x000D_ここまで追い詰めるとは…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83" s="163">
        <v>48013047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8" t="str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5"/>
        <v>48013013_48013048</v>
      </c>
      <c r="B84" s="163">
        <v>48013013</v>
      </c>
      <c r="C84" s="163">
        <v>48013048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俺をここまで追い詰めるとは…_x000D_その力は一体なんだ！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全ユニットの攻撃力30%UP</v>
      </c>
      <c r="F84" s="163">
        <v>48013048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8118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5"/>
        <v>48013013_48013049</v>
      </c>
      <c r="B85" s="163">
        <v>48013013</v>
      </c>
      <c r="C85" s="163">
        <v>48013049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俺をここまで追い詰めるとは…_x000D_その力は一体なんだ！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全ユニットの攻撃力30%UP</v>
      </c>
      <c r="F85" s="163">
        <v>48013049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309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8117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5"/>
        <v>48013013_48013050</v>
      </c>
      <c r="B86" s="163">
        <v>48013013</v>
      </c>
      <c r="C86" s="163">
        <v>48013050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俺をここまで追い詰めるとは…_x000D_どこにそんな力が…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全ユニットの攻撃力30%UP</v>
      </c>
      <c r="F86" s="163">
        <v>48013050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308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8120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5"/>
        <v>48013013_48013051</v>
      </c>
      <c r="B87" s="163">
        <v>48013013</v>
      </c>
      <c r="C87" s="163">
        <v>48013051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俺をここまで追い詰めるとは…_x000D_どこにそんな力が…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全ユニットの攻撃力30%UP</v>
      </c>
      <c r="F87" s="163">
        <v>48013051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307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8119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5"/>
        <v>48013013_48013065</v>
      </c>
      <c r="B88" s="163">
        <v>48013013</v>
      </c>
      <c r="C88" s="219">
        <v>48013065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煉獄爆雷刃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4回連続攻撃+_x000D_緑パネルをお邪魔パネルに4個変換</v>
      </c>
      <c r="F88" s="163">
        <v>48013052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 t="str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5"/>
        <v>48013013_48013053</v>
      </c>
      <c r="B89" s="163">
        <v>48013013</v>
      </c>
      <c r="C89" s="163">
        <v>48013053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煉獄雷刃撃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お邪魔パネルを吸収してクリティカル</v>
      </c>
      <c r="F89" s="163">
        <v>48013053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 t="str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9" s="48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5"/>
        <v>48013013_48013054</v>
      </c>
      <c r="B90" s="163">
        <v>48013013</v>
      </c>
      <c r="C90" s="163">
        <v>48013054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お前ごときが！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属性ドラゴン以外に攻撃力30%DOWNダウン</v>
      </c>
      <c r="F90" s="163">
        <v>48013054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5"/>
        <v>48013013_48013055</v>
      </c>
      <c r="B91" s="163">
        <v>48013013</v>
      </c>
      <c r="C91" s="163">
        <v>48013055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この俺に…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4ターンハートパネル出現率UP</v>
      </c>
      <c r="F91" s="163">
        <v>48013055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1" s="4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5"/>
        <v>48013013_48013056</v>
      </c>
      <c r="B92" s="163">
        <v>48013013</v>
      </c>
      <c r="C92" s="163">
        <v>48013056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これで終りだ…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92" s="163">
        <v>48013056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5"/>
        <v>48013013_48013057</v>
      </c>
      <c r="B93" s="163">
        <v>48013013</v>
      </c>
      <c r="C93" s="163">
        <v>48013057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六道輪廻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残りHPの90%ダメージ！</v>
      </c>
      <c r="F93" s="163">
        <v>48013057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5"/>
        <v>48013013_48013058</v>
      </c>
      <c r="B94" s="163">
        <v>48013013</v>
      </c>
      <c r="C94" s="163">
        <v>48013058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この俺が敗けるとは…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4" s="163">
        <v>48013058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 t="str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 t="str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5"/>
        <v>48013013_48013059</v>
      </c>
      <c r="B95" s="163">
        <v>48013013</v>
      </c>
      <c r="C95" s="163">
        <v>48013059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この俺の敗けだ…_x000D_男を連れていくがいい…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5" s="163">
        <v>48013059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354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48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8118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5"/>
        <v>48013013_48013060</v>
      </c>
      <c r="B96" s="163">
        <v>48013013</v>
      </c>
      <c r="C96" s="163">
        <v>48013060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この俺の敗けだ…_x000D_男を連れていくがいい…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6" s="163">
        <v>48013060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353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48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8117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5"/>
        <v>48013013_48013061</v>
      </c>
      <c r="B97" s="163">
        <v>48013013</v>
      </c>
      <c r="C97" s="163">
        <v>48013061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この俺が敗けるとは…_x000D_俺の正義が間違っていたのか…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7" s="163">
        <v>48013061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352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 t="str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7" s="48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97" s="48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8120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thickBot="1" x14ac:dyDescent="0.2">
      <c r="A98" s="213" t="str">
        <f t="shared" si="5"/>
        <v>48013013_48013062</v>
      </c>
      <c r="B98" s="237">
        <v>48013013</v>
      </c>
      <c r="C98" s="237">
        <v>48013062</v>
      </c>
      <c r="D98" s="238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この俺が敗けるとは…_x000D_俺の正義が間違っていたのか…</v>
      </c>
      <c r="E98" s="238" t="str">
        <f ca="1">VLOOKUP($C98,OFFSET(enemy_skills!$A$1,0,0,COUNTA(enemy_skills!$A:$A),MATCH(E$1,enemy_skills!$1:$1,0)-MATCH("enemy_skill_id",enemy_skills!$1:$1,0)+1),MATCH(E$1,enemy_skills!$1:$1,0)-MATCH("enemy_skill_id",enemy_skills!$1:$1,0)+1,FALSE)</f>
        <v>※表示しません</v>
      </c>
      <c r="F98" s="237">
        <v>48013062</v>
      </c>
      <c r="G98" s="239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239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351</v>
      </c>
      <c r="I98" s="239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239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239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239" t="str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8" s="239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98" s="239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8119</v>
      </c>
      <c r="O98" s="239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240"/>
      <c r="Q98" s="240"/>
      <c r="R98" s="240"/>
    </row>
    <row r="99" spans="1:18" ht="21" customHeight="1" x14ac:dyDescent="0.15">
      <c r="A99" s="39" t="str">
        <f t="shared" si="5"/>
        <v>48013014_48013066</v>
      </c>
      <c r="B99" s="138">
        <v>48013014</v>
      </c>
      <c r="C99" s="236">
        <v>48013066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稲妻蹴り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9" s="138">
        <v>48013004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 t="str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9" s="47"/>
      <c r="Q99" s="47"/>
      <c r="R9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H11" sqref="H1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0" t="s">
        <v>150</v>
      </c>
      <c r="B1" s="60" t="s">
        <v>151</v>
      </c>
      <c r="C1" s="61" t="s">
        <v>152</v>
      </c>
      <c r="D1" s="67" t="s">
        <v>153</v>
      </c>
      <c r="E1" s="62" t="s">
        <v>154</v>
      </c>
      <c r="F1" s="60" t="s">
        <v>155</v>
      </c>
      <c r="G1" s="60" t="s">
        <v>156</v>
      </c>
      <c r="H1" s="60" t="s">
        <v>157</v>
      </c>
      <c r="I1" s="60" t="s">
        <v>158</v>
      </c>
      <c r="J1" s="60" t="s">
        <v>159</v>
      </c>
      <c r="K1" s="60" t="s">
        <v>160</v>
      </c>
      <c r="L1" s="60" t="s">
        <v>161</v>
      </c>
      <c r="M1" s="60" t="s">
        <v>162</v>
      </c>
      <c r="N1" s="60" t="s">
        <v>163</v>
      </c>
      <c r="O1" s="60" t="s">
        <v>164</v>
      </c>
      <c r="P1" s="60" t="s">
        <v>165</v>
      </c>
      <c r="Q1" s="60" t="s">
        <v>166</v>
      </c>
      <c r="R1" s="60" t="s">
        <v>167</v>
      </c>
    </row>
    <row r="2" spans="1:18" x14ac:dyDescent="0.15">
      <c r="A2" s="54">
        <f>floors!C2</f>
        <v>48013</v>
      </c>
      <c r="B2" s="54">
        <v>2</v>
      </c>
      <c r="C2" s="66" t="str">
        <f t="shared" ref="C2:C18" si="0">A2&amp; "_"&amp;B2</f>
        <v>48013_2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4">
        <v>1</v>
      </c>
      <c r="F2" s="54" t="s">
        <v>433</v>
      </c>
      <c r="G2" s="54">
        <v>8121</v>
      </c>
      <c r="H2" s="54">
        <v>1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500</v>
      </c>
      <c r="Q2" s="54" t="s">
        <v>169</v>
      </c>
      <c r="R2" s="54" t="s">
        <v>170</v>
      </c>
    </row>
    <row r="3" spans="1:18" x14ac:dyDescent="0.15">
      <c r="A3" s="54">
        <f>floors!C3</f>
        <v>48013</v>
      </c>
      <c r="B3" s="54">
        <v>2</v>
      </c>
      <c r="C3" s="66" t="str">
        <f t="shared" si="0"/>
        <v>48013_2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4">
        <v>2</v>
      </c>
      <c r="F3" s="54" t="s">
        <v>433</v>
      </c>
      <c r="G3" s="54">
        <v>346</v>
      </c>
      <c r="H3" s="54">
        <v>1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50</v>
      </c>
      <c r="Q3" s="54" t="s">
        <v>169</v>
      </c>
      <c r="R3" s="54" t="s">
        <v>170</v>
      </c>
    </row>
    <row r="4" spans="1:18" x14ac:dyDescent="0.15">
      <c r="A4" s="54">
        <f>floors!C4</f>
        <v>48013</v>
      </c>
      <c r="B4" s="54">
        <v>2</v>
      </c>
      <c r="C4" s="66" t="str">
        <f t="shared" si="0"/>
        <v>48013_2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4">
        <v>3</v>
      </c>
      <c r="F4" s="54" t="s">
        <v>433</v>
      </c>
      <c r="G4" s="54">
        <v>354</v>
      </c>
      <c r="H4" s="54">
        <v>1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120</v>
      </c>
      <c r="Q4" s="54" t="s">
        <v>169</v>
      </c>
      <c r="R4" s="54" t="s">
        <v>170</v>
      </c>
    </row>
    <row r="5" spans="1:18" x14ac:dyDescent="0.15">
      <c r="A5" s="54">
        <f>floors!C5</f>
        <v>48013</v>
      </c>
      <c r="B5" s="54">
        <v>2</v>
      </c>
      <c r="C5" s="66" t="str">
        <f t="shared" si="0"/>
        <v>48013_2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4">
        <v>4</v>
      </c>
      <c r="F5" s="54" t="s">
        <v>433</v>
      </c>
      <c r="G5" s="54">
        <v>607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100</v>
      </c>
      <c r="Q5" s="54" t="s">
        <v>169</v>
      </c>
      <c r="R5" s="54" t="s">
        <v>170</v>
      </c>
    </row>
    <row r="6" spans="1:18" x14ac:dyDescent="0.15">
      <c r="A6" s="54">
        <f>floors!C6</f>
        <v>48013</v>
      </c>
      <c r="B6" s="54">
        <v>2</v>
      </c>
      <c r="C6" s="66" t="str">
        <f t="shared" si="0"/>
        <v>48013_2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4">
        <v>5</v>
      </c>
      <c r="F6" s="54" t="s">
        <v>433</v>
      </c>
      <c r="G6" s="54">
        <v>608</v>
      </c>
      <c r="H6" s="54">
        <v>1</v>
      </c>
      <c r="I6" s="54">
        <v>1</v>
      </c>
      <c r="J6" s="54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100</v>
      </c>
      <c r="Q6" s="54" t="s">
        <v>169</v>
      </c>
      <c r="R6" s="54" t="s">
        <v>170</v>
      </c>
    </row>
    <row r="7" spans="1:18" x14ac:dyDescent="0.15">
      <c r="A7" s="54">
        <f>floors!C7</f>
        <v>48013</v>
      </c>
      <c r="B7" s="54">
        <v>2</v>
      </c>
      <c r="C7" s="66" t="str">
        <f t="shared" si="0"/>
        <v>48013_2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4">
        <v>6</v>
      </c>
      <c r="F7" s="54" t="s">
        <v>433</v>
      </c>
      <c r="G7" s="54">
        <v>609</v>
      </c>
      <c r="H7" s="54">
        <v>1</v>
      </c>
      <c r="I7" s="54">
        <v>1</v>
      </c>
      <c r="J7" s="54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100</v>
      </c>
      <c r="Q7" s="54" t="s">
        <v>169</v>
      </c>
      <c r="R7" s="54" t="s">
        <v>170</v>
      </c>
    </row>
    <row r="8" spans="1:18" x14ac:dyDescent="0.15">
      <c r="A8" s="54">
        <f>floors!C8</f>
        <v>48013</v>
      </c>
      <c r="B8" s="54">
        <v>2</v>
      </c>
      <c r="C8" s="66" t="str">
        <f t="shared" si="0"/>
        <v>48013_2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4">
        <v>7</v>
      </c>
      <c r="F8" s="54" t="s">
        <v>433</v>
      </c>
      <c r="G8" s="54">
        <v>125</v>
      </c>
      <c r="H8" s="54">
        <v>1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30</v>
      </c>
      <c r="Q8" s="54" t="s">
        <v>169</v>
      </c>
      <c r="R8" s="54" t="s">
        <v>170</v>
      </c>
    </row>
    <row r="9" spans="1:18" x14ac:dyDescent="0.15">
      <c r="A9" s="54">
        <f>floors!C9</f>
        <v>48013</v>
      </c>
      <c r="B9" s="54">
        <v>1</v>
      </c>
      <c r="C9" s="66" t="str">
        <f t="shared" si="0"/>
        <v>48013_1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4">
        <v>8</v>
      </c>
      <c r="F9" s="54" t="s">
        <v>168</v>
      </c>
      <c r="G9" s="54">
        <v>40000</v>
      </c>
      <c r="H9" s="54" t="s">
        <v>53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150</v>
      </c>
      <c r="Q9" s="54" t="s">
        <v>169</v>
      </c>
      <c r="R9" s="54" t="s">
        <v>170</v>
      </c>
    </row>
    <row r="10" spans="1:18" x14ac:dyDescent="0.15">
      <c r="A10" s="54">
        <v>48013</v>
      </c>
      <c r="B10" s="54">
        <v>1</v>
      </c>
      <c r="C10" s="66" t="str">
        <f t="shared" si="0"/>
        <v>48013_1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4">
        <v>9</v>
      </c>
      <c r="F10" s="54" t="s">
        <v>434</v>
      </c>
      <c r="G10" s="54">
        <v>30</v>
      </c>
      <c r="H10" s="54" t="s">
        <v>53</v>
      </c>
      <c r="I10" s="54">
        <v>1</v>
      </c>
      <c r="J10" s="54">
        <v>1</v>
      </c>
      <c r="K10" s="54">
        <v>0</v>
      </c>
      <c r="L10" s="54">
        <v>0</v>
      </c>
      <c r="M10" s="54">
        <v>0</v>
      </c>
      <c r="N10" s="54">
        <v>0</v>
      </c>
      <c r="O10" s="54">
        <v>1</v>
      </c>
      <c r="P10" s="54">
        <v>150</v>
      </c>
      <c r="Q10" s="54" t="s">
        <v>169</v>
      </c>
      <c r="R10" s="54" t="s">
        <v>170</v>
      </c>
    </row>
    <row r="11" spans="1:18" x14ac:dyDescent="0.15">
      <c r="A11" s="54">
        <v>48013</v>
      </c>
      <c r="B11" s="54">
        <v>1</v>
      </c>
      <c r="C11" s="66" t="str">
        <f t="shared" si="0"/>
        <v>48013_1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4">
        <v>10</v>
      </c>
      <c r="F11" s="54" t="s">
        <v>433</v>
      </c>
      <c r="G11" s="54">
        <v>8121</v>
      </c>
      <c r="H11" s="54">
        <v>1</v>
      </c>
      <c r="I11" s="54">
        <v>1</v>
      </c>
      <c r="J11" s="54">
        <v>1</v>
      </c>
      <c r="K11" s="54">
        <v>0</v>
      </c>
      <c r="L11" s="54">
        <v>0</v>
      </c>
      <c r="M11" s="54">
        <v>0</v>
      </c>
      <c r="N11" s="54">
        <v>0</v>
      </c>
      <c r="O11" s="54">
        <v>1</v>
      </c>
      <c r="P11" s="54">
        <v>100</v>
      </c>
      <c r="Q11" s="54" t="s">
        <v>169</v>
      </c>
      <c r="R11" s="54" t="s">
        <v>170</v>
      </c>
    </row>
    <row r="12" spans="1:18" x14ac:dyDescent="0.15">
      <c r="A12" s="54">
        <v>48013</v>
      </c>
      <c r="B12" s="54">
        <v>1</v>
      </c>
      <c r="C12" s="66" t="str">
        <f t="shared" si="0"/>
        <v>48013_1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4">
        <v>11</v>
      </c>
      <c r="F12" s="54" t="s">
        <v>433</v>
      </c>
      <c r="G12" s="54">
        <v>345</v>
      </c>
      <c r="H12" s="54">
        <v>1</v>
      </c>
      <c r="I12" s="54">
        <v>1</v>
      </c>
      <c r="J12" s="54">
        <v>1</v>
      </c>
      <c r="K12" s="54">
        <v>0</v>
      </c>
      <c r="L12" s="54">
        <v>0</v>
      </c>
      <c r="M12" s="54">
        <v>0</v>
      </c>
      <c r="N12" s="54">
        <v>0</v>
      </c>
      <c r="O12" s="54">
        <v>1</v>
      </c>
      <c r="P12" s="54">
        <v>28</v>
      </c>
      <c r="Q12" s="54" t="s">
        <v>169</v>
      </c>
      <c r="R12" s="54" t="s">
        <v>170</v>
      </c>
    </row>
    <row r="13" spans="1:18" x14ac:dyDescent="0.15">
      <c r="A13" s="54">
        <v>48013</v>
      </c>
      <c r="B13" s="54">
        <v>1</v>
      </c>
      <c r="C13" s="66" t="str">
        <f t="shared" si="0"/>
        <v>48013_1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4">
        <v>12</v>
      </c>
      <c r="F13" s="54" t="s">
        <v>433</v>
      </c>
      <c r="G13" s="54">
        <v>346</v>
      </c>
      <c r="H13" s="54">
        <v>1</v>
      </c>
      <c r="I13" s="54">
        <v>1</v>
      </c>
      <c r="J13" s="54">
        <v>1</v>
      </c>
      <c r="K13" s="54">
        <v>0</v>
      </c>
      <c r="L13" s="54">
        <v>0</v>
      </c>
      <c r="M13" s="54">
        <v>0</v>
      </c>
      <c r="N13" s="54">
        <v>0</v>
      </c>
      <c r="O13" s="54">
        <v>1</v>
      </c>
      <c r="P13" s="54">
        <v>112</v>
      </c>
      <c r="Q13" s="54" t="s">
        <v>169</v>
      </c>
      <c r="R13" s="54" t="s">
        <v>170</v>
      </c>
    </row>
    <row r="14" spans="1:18" x14ac:dyDescent="0.15">
      <c r="A14" s="54">
        <v>48013</v>
      </c>
      <c r="B14" s="54">
        <v>1</v>
      </c>
      <c r="C14" s="66" t="str">
        <f t="shared" si="0"/>
        <v>48013_1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4">
        <v>13</v>
      </c>
      <c r="F14" s="54" t="s">
        <v>433</v>
      </c>
      <c r="G14" s="54">
        <v>354</v>
      </c>
      <c r="H14" s="54">
        <v>1</v>
      </c>
      <c r="I14" s="54">
        <v>1</v>
      </c>
      <c r="J14" s="54">
        <v>1</v>
      </c>
      <c r="K14" s="54">
        <v>0</v>
      </c>
      <c r="L14" s="54">
        <v>0</v>
      </c>
      <c r="M14" s="54">
        <v>0</v>
      </c>
      <c r="N14" s="54">
        <v>0</v>
      </c>
      <c r="O14" s="54">
        <v>1</v>
      </c>
      <c r="P14" s="54">
        <v>150</v>
      </c>
      <c r="Q14" s="54" t="s">
        <v>169</v>
      </c>
      <c r="R14" s="54" t="s">
        <v>170</v>
      </c>
    </row>
    <row r="15" spans="1:18" x14ac:dyDescent="0.15">
      <c r="A15" s="54">
        <v>48013</v>
      </c>
      <c r="B15" s="54">
        <v>1</v>
      </c>
      <c r="C15" s="66" t="str">
        <f t="shared" si="0"/>
        <v>48013_1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4">
        <v>14</v>
      </c>
      <c r="F15" s="54" t="s">
        <v>433</v>
      </c>
      <c r="G15" s="54">
        <v>121</v>
      </c>
      <c r="H15" s="54">
        <v>1</v>
      </c>
      <c r="I15" s="54">
        <v>1</v>
      </c>
      <c r="J15" s="54">
        <v>1</v>
      </c>
      <c r="K15" s="54">
        <v>0</v>
      </c>
      <c r="L15" s="54">
        <v>0</v>
      </c>
      <c r="M15" s="54">
        <v>0</v>
      </c>
      <c r="N15" s="54">
        <v>0</v>
      </c>
      <c r="O15" s="54">
        <v>1</v>
      </c>
      <c r="P15" s="54">
        <v>100</v>
      </c>
      <c r="Q15" s="54" t="s">
        <v>169</v>
      </c>
      <c r="R15" s="54" t="s">
        <v>170</v>
      </c>
    </row>
    <row r="16" spans="1:18" x14ac:dyDescent="0.15">
      <c r="A16" s="54">
        <v>48013</v>
      </c>
      <c r="B16" s="54">
        <v>1</v>
      </c>
      <c r="C16" s="66" t="str">
        <f t="shared" si="0"/>
        <v>48013_1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4">
        <v>15</v>
      </c>
      <c r="F16" s="54" t="s">
        <v>433</v>
      </c>
      <c r="G16" s="54">
        <v>122</v>
      </c>
      <c r="H16" s="54">
        <v>1</v>
      </c>
      <c r="I16" s="54">
        <v>1</v>
      </c>
      <c r="J16" s="54">
        <v>1</v>
      </c>
      <c r="K16" s="54">
        <v>0</v>
      </c>
      <c r="L16" s="54">
        <v>0</v>
      </c>
      <c r="M16" s="54">
        <v>0</v>
      </c>
      <c r="N16" s="54">
        <v>0</v>
      </c>
      <c r="O16" s="54">
        <v>1</v>
      </c>
      <c r="P16" s="54">
        <v>100</v>
      </c>
      <c r="Q16" s="54" t="s">
        <v>169</v>
      </c>
      <c r="R16" s="54" t="s">
        <v>170</v>
      </c>
    </row>
    <row r="17" spans="1:18" x14ac:dyDescent="0.15">
      <c r="A17" s="54">
        <v>48013</v>
      </c>
      <c r="B17" s="54">
        <v>1</v>
      </c>
      <c r="C17" s="66" t="str">
        <f t="shared" si="0"/>
        <v>48013_1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4">
        <v>16</v>
      </c>
      <c r="F17" s="54" t="s">
        <v>433</v>
      </c>
      <c r="G17" s="54">
        <v>123</v>
      </c>
      <c r="H17" s="54">
        <v>1</v>
      </c>
      <c r="I17" s="54">
        <v>1</v>
      </c>
      <c r="J17" s="54">
        <v>1</v>
      </c>
      <c r="K17" s="54">
        <v>0</v>
      </c>
      <c r="L17" s="54">
        <v>0</v>
      </c>
      <c r="M17" s="54">
        <v>0</v>
      </c>
      <c r="N17" s="54">
        <v>0</v>
      </c>
      <c r="O17" s="54">
        <v>1</v>
      </c>
      <c r="P17" s="54">
        <v>100</v>
      </c>
      <c r="Q17" s="54" t="s">
        <v>169</v>
      </c>
      <c r="R17" s="54" t="s">
        <v>170</v>
      </c>
    </row>
    <row r="18" spans="1:18" x14ac:dyDescent="0.15">
      <c r="A18" s="54">
        <v>48013</v>
      </c>
      <c r="B18" s="54">
        <v>1</v>
      </c>
      <c r="C18" s="66" t="str">
        <f t="shared" si="0"/>
        <v>48013_1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4">
        <v>17</v>
      </c>
      <c r="F18" s="54" t="s">
        <v>433</v>
      </c>
      <c r="G18" s="54">
        <v>125</v>
      </c>
      <c r="H18" s="54">
        <v>1</v>
      </c>
      <c r="I18" s="54">
        <v>1</v>
      </c>
      <c r="J18" s="54">
        <v>1</v>
      </c>
      <c r="K18" s="54">
        <v>0</v>
      </c>
      <c r="L18" s="54">
        <v>0</v>
      </c>
      <c r="M18" s="54">
        <v>0</v>
      </c>
      <c r="N18" s="54">
        <v>0</v>
      </c>
      <c r="O18" s="54">
        <v>1</v>
      </c>
      <c r="P18" s="54">
        <v>10</v>
      </c>
      <c r="Q18" s="54" t="s">
        <v>169</v>
      </c>
      <c r="R18" s="54" t="s">
        <v>170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J14" sqref="J14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1" t="s">
        <v>188</v>
      </c>
      <c r="B1" s="68" t="s">
        <v>189</v>
      </c>
      <c r="C1" s="72" t="s">
        <v>190</v>
      </c>
      <c r="D1" s="72" t="s">
        <v>33</v>
      </c>
      <c r="E1" s="68" t="s">
        <v>191</v>
      </c>
      <c r="F1" s="72" t="s">
        <v>192</v>
      </c>
      <c r="G1" s="72" t="s">
        <v>33</v>
      </c>
      <c r="H1" s="68" t="s">
        <v>193</v>
      </c>
      <c r="I1" s="86" t="s">
        <v>195</v>
      </c>
      <c r="J1" s="74" t="s">
        <v>126</v>
      </c>
      <c r="K1" s="73" t="s">
        <v>186</v>
      </c>
      <c r="L1" s="87" t="s">
        <v>185</v>
      </c>
      <c r="M1" s="75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5"/>
  <sheetViews>
    <sheetView showGridLines="0" workbookViewId="0">
      <pane ySplit="1" topLeftCell="A2" activePane="bottomLeft" state="frozen"/>
      <selection pane="bottomLeft" activeCell="M2" sqref="M2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1" t="s">
        <v>188</v>
      </c>
      <c r="B1" s="68" t="s">
        <v>150</v>
      </c>
      <c r="C1" s="72" t="s">
        <v>190</v>
      </c>
      <c r="D1" s="72" t="s">
        <v>33</v>
      </c>
      <c r="E1" s="68" t="s">
        <v>191</v>
      </c>
      <c r="F1" s="72" t="s">
        <v>18</v>
      </c>
      <c r="G1" s="72" t="s">
        <v>33</v>
      </c>
      <c r="H1" s="68" t="s">
        <v>193</v>
      </c>
      <c r="I1" s="84" t="s">
        <v>194</v>
      </c>
      <c r="J1" s="86" t="s">
        <v>195</v>
      </c>
      <c r="K1" s="74" t="s">
        <v>126</v>
      </c>
      <c r="L1" s="73" t="s">
        <v>186</v>
      </c>
      <c r="M1" s="87" t="s">
        <v>185</v>
      </c>
      <c r="N1" s="75" t="s">
        <v>196</v>
      </c>
    </row>
    <row r="2" spans="1:15" ht="42" x14ac:dyDescent="0.15">
      <c r="A2" s="76" t="s">
        <v>197</v>
      </c>
      <c r="B2" s="77">
        <f>floors!$C$2</f>
        <v>48013</v>
      </c>
      <c r="C2" s="78" t="str">
        <f ca="1">VLOOKUP($B2,OFFSET([2]quests!$A$1,0,0,COUNTA([2]quests!$A:$A),MATCH(C$1,[2]quests!$1:$1,0)-MATCH($B$1,[2]quests!$1:$1,0)+1),MATCH(C$1,[2]quests!$1:$1,0)-MATCH($B$1,[2]quests!$1:$1,0)+1,FALSE)</f>
        <v>法海襲来！</v>
      </c>
      <c r="D2" s="78" t="str">
        <f ca="1">VLOOKUP($B2,OFFSET([2]quests!$A$1,0,0,COUNTA([2]quests!$A:$A),MATCH(D$1,[2]quests!$1:$1,0)-MATCH($B$1,[2]quests!$1:$1,0)+1),MATCH(D$1,[2]quests!$1:$1,0)-MATCH($B$1,[2]quests!$1:$1,0)+1,FALSE)</f>
        <v>台湾版降臨13</v>
      </c>
      <c r="E2" s="79">
        <v>1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【超絶級】法海襲来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台湾版降臨13</v>
      </c>
      <c r="H2" s="80">
        <v>1</v>
      </c>
      <c r="I2" s="85">
        <f t="shared" ref="I2:I25" si="0">ROW()-1</f>
        <v>1</v>
      </c>
      <c r="J2" s="81" t="str">
        <f t="shared" ref="J2:J25" si="1">B2&amp;TEXT(I2,"00")</f>
        <v>4801301</v>
      </c>
      <c r="K2" s="79" t="s">
        <v>198</v>
      </c>
      <c r="L2" s="82" t="s">
        <v>254</v>
      </c>
      <c r="M2" s="220" t="s">
        <v>458</v>
      </c>
      <c r="N2" s="54" t="s">
        <v>199</v>
      </c>
      <c r="O2">
        <f>LEN(M2)</f>
        <v>44</v>
      </c>
    </row>
    <row r="3" spans="1:15" ht="56" x14ac:dyDescent="0.15">
      <c r="A3" s="76" t="s">
        <v>197</v>
      </c>
      <c r="B3" s="77">
        <f>floors!$C$2</f>
        <v>48013</v>
      </c>
      <c r="C3" s="78" t="str">
        <f ca="1">VLOOKUP($B3,OFFSET([2]quests!$A$1,0,0,COUNTA([2]quests!$A:$A),MATCH(C$1,[2]quests!$1:$1,0)-MATCH($B$1,[2]quests!$1:$1,0)+1),MATCH(C$1,[2]quests!$1:$1,0)-MATCH($B$1,[2]quests!$1:$1,0)+1,FALSE)</f>
        <v>法海襲来！</v>
      </c>
      <c r="D3" s="78" t="str">
        <f ca="1">VLOOKUP($B3,OFFSET([2]quests!$A$1,0,0,COUNTA([2]quests!$A:$A),MATCH(D$1,[2]quests!$1:$1,0)-MATCH($B$1,[2]quests!$1:$1,0)+1),MATCH(D$1,[2]quests!$1:$1,0)-MATCH($B$1,[2]quests!$1:$1,0)+1,FALSE)</f>
        <v>台湾版降臨13</v>
      </c>
      <c r="E3" s="79">
        <v>1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【超絶級】法海襲来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台湾版降臨13</v>
      </c>
      <c r="H3" s="80">
        <v>2</v>
      </c>
      <c r="I3" s="85">
        <f t="shared" si="0"/>
        <v>2</v>
      </c>
      <c r="J3" s="81" t="str">
        <f t="shared" si="1"/>
        <v>4801302</v>
      </c>
      <c r="K3" s="79" t="s">
        <v>198</v>
      </c>
      <c r="L3" s="82" t="s">
        <v>254</v>
      </c>
      <c r="M3" s="220" t="s">
        <v>487</v>
      </c>
      <c r="N3" s="54" t="s">
        <v>199</v>
      </c>
      <c r="O3">
        <f t="shared" ref="O3:O8" si="2">LEN(M3)</f>
        <v>57</v>
      </c>
    </row>
    <row r="4" spans="1:15" ht="56" x14ac:dyDescent="0.15">
      <c r="A4" s="76" t="s">
        <v>197</v>
      </c>
      <c r="B4" s="77">
        <f>floors!$C$2</f>
        <v>48013</v>
      </c>
      <c r="C4" s="78" t="str">
        <f ca="1">VLOOKUP($B4,OFFSET([2]quests!$A$1,0,0,COUNTA([2]quests!$A:$A),MATCH(C$1,[2]quests!$1:$1,0)-MATCH($B$1,[2]quests!$1:$1,0)+1),MATCH(C$1,[2]quests!$1:$1,0)-MATCH($B$1,[2]quests!$1:$1,0)+1,FALSE)</f>
        <v>法海襲来！</v>
      </c>
      <c r="D4" s="78" t="str">
        <f ca="1">VLOOKUP($B4,OFFSET([2]quests!$A$1,0,0,COUNTA([2]quests!$A:$A),MATCH(D$1,[2]quests!$1:$1,0)-MATCH($B$1,[2]quests!$1:$1,0)+1),MATCH(D$1,[2]quests!$1:$1,0)-MATCH($B$1,[2]quests!$1:$1,0)+1,FALSE)</f>
        <v>台湾版降臨13</v>
      </c>
      <c r="E4" s="79">
        <v>1</v>
      </c>
      <c r="F4" s="78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【超絶級】法海襲来</v>
      </c>
      <c r="G4" s="78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台湾版降臨13</v>
      </c>
      <c r="H4" s="80">
        <v>3</v>
      </c>
      <c r="I4" s="85">
        <f t="shared" si="0"/>
        <v>3</v>
      </c>
      <c r="J4" s="81" t="str">
        <f t="shared" si="1"/>
        <v>4801303</v>
      </c>
      <c r="K4" s="79" t="s">
        <v>198</v>
      </c>
      <c r="L4" s="82" t="s">
        <v>254</v>
      </c>
      <c r="M4" s="220" t="s">
        <v>460</v>
      </c>
      <c r="N4" s="54" t="s">
        <v>199</v>
      </c>
      <c r="O4">
        <f t="shared" si="2"/>
        <v>56</v>
      </c>
    </row>
    <row r="5" spans="1:15" ht="56" x14ac:dyDescent="0.15">
      <c r="A5" s="76" t="s">
        <v>197</v>
      </c>
      <c r="B5" s="77">
        <f>floors!$C$2</f>
        <v>48013</v>
      </c>
      <c r="C5" s="78" t="str">
        <f ca="1">VLOOKUP($B5,OFFSET([2]quests!$A$1,0,0,COUNTA([2]quests!$A:$A),MATCH(C$1,[2]quests!$1:$1,0)-MATCH($B$1,[2]quests!$1:$1,0)+1),MATCH(C$1,[2]quests!$1:$1,0)-MATCH($B$1,[2]quests!$1:$1,0)+1,FALSE)</f>
        <v>法海襲来！</v>
      </c>
      <c r="D5" s="78" t="str">
        <f ca="1">VLOOKUP($B5,OFFSET([2]quests!$A$1,0,0,COUNTA([2]quests!$A:$A),MATCH(D$1,[2]quests!$1:$1,0)-MATCH($B$1,[2]quests!$1:$1,0)+1),MATCH(D$1,[2]quests!$1:$1,0)-MATCH($B$1,[2]quests!$1:$1,0)+1,FALSE)</f>
        <v>台湾版降臨13</v>
      </c>
      <c r="E5" s="79">
        <v>1</v>
      </c>
      <c r="F5" s="78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【超絶級】法海襲来</v>
      </c>
      <c r="G5" s="78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台湾版降臨13</v>
      </c>
      <c r="H5" s="80">
        <v>3</v>
      </c>
      <c r="I5" s="85">
        <f t="shared" si="0"/>
        <v>4</v>
      </c>
      <c r="J5" s="81" t="str">
        <f t="shared" si="1"/>
        <v>4801304</v>
      </c>
      <c r="K5" s="79" t="s">
        <v>198</v>
      </c>
      <c r="L5" s="82" t="s">
        <v>254</v>
      </c>
      <c r="M5" s="220" t="s">
        <v>461</v>
      </c>
      <c r="N5" s="54" t="s">
        <v>199</v>
      </c>
      <c r="O5">
        <f t="shared" si="2"/>
        <v>58</v>
      </c>
    </row>
    <row r="6" spans="1:15" ht="56" x14ac:dyDescent="0.15">
      <c r="A6" s="76" t="s">
        <v>197</v>
      </c>
      <c r="B6" s="77">
        <f>floors!$C$2</f>
        <v>48013</v>
      </c>
      <c r="C6" s="78" t="str">
        <f ca="1">VLOOKUP($B6,OFFSET([2]quests!$A$1,0,0,COUNTA([2]quests!$A:$A),MATCH(C$1,[2]quests!$1:$1,0)-MATCH($B$1,[2]quests!$1:$1,0)+1),MATCH(C$1,[2]quests!$1:$1,0)-MATCH($B$1,[2]quests!$1:$1,0)+1,FALSE)</f>
        <v>法海襲来！</v>
      </c>
      <c r="D6" s="78" t="str">
        <f ca="1">VLOOKUP($B6,OFFSET([2]quests!$A$1,0,0,COUNTA([2]quests!$A:$A),MATCH(D$1,[2]quests!$1:$1,0)-MATCH($B$1,[2]quests!$1:$1,0)+1),MATCH(D$1,[2]quests!$1:$1,0)-MATCH($B$1,[2]quests!$1:$1,0)+1,FALSE)</f>
        <v>台湾版降臨13</v>
      </c>
      <c r="E6" s="79">
        <v>1</v>
      </c>
      <c r="F6" s="78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【超絶級】法海襲来</v>
      </c>
      <c r="G6" s="78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台湾版降臨13</v>
      </c>
      <c r="H6" s="80">
        <v>4</v>
      </c>
      <c r="I6" s="85">
        <f t="shared" si="0"/>
        <v>5</v>
      </c>
      <c r="J6" s="81" t="str">
        <f t="shared" si="1"/>
        <v>4801305</v>
      </c>
      <c r="K6" s="79" t="s">
        <v>198</v>
      </c>
      <c r="L6" s="82" t="s">
        <v>254</v>
      </c>
      <c r="M6" s="220" t="s">
        <v>459</v>
      </c>
      <c r="N6" s="54" t="s">
        <v>199</v>
      </c>
      <c r="O6">
        <f t="shared" si="2"/>
        <v>61</v>
      </c>
    </row>
    <row r="7" spans="1:15" ht="42" x14ac:dyDescent="0.15">
      <c r="A7" s="76" t="s">
        <v>197</v>
      </c>
      <c r="B7" s="77">
        <f>floors!$C$2</f>
        <v>48013</v>
      </c>
      <c r="C7" s="78" t="str">
        <f ca="1">VLOOKUP($B7,OFFSET([2]quests!$A$1,0,0,COUNTA([2]quests!$A:$A),MATCH(C$1,[2]quests!$1:$1,0)-MATCH($B$1,[2]quests!$1:$1,0)+1),MATCH(C$1,[2]quests!$1:$1,0)-MATCH($B$1,[2]quests!$1:$1,0)+1,FALSE)</f>
        <v>法海襲来！</v>
      </c>
      <c r="D7" s="78" t="str">
        <f ca="1">VLOOKUP($B7,OFFSET([2]quests!$A$1,0,0,COUNTA([2]quests!$A:$A),MATCH(D$1,[2]quests!$1:$1,0)-MATCH($B$1,[2]quests!$1:$1,0)+1),MATCH(D$1,[2]quests!$1:$1,0)-MATCH($B$1,[2]quests!$1:$1,0)+1,FALSE)</f>
        <v>台湾版降臨13</v>
      </c>
      <c r="E7" s="79">
        <v>1</v>
      </c>
      <c r="F7" s="78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【超絶級】法海襲来</v>
      </c>
      <c r="G7" s="78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台湾版降臨13</v>
      </c>
      <c r="H7" s="80">
        <v>4</v>
      </c>
      <c r="I7" s="85">
        <f t="shared" si="0"/>
        <v>6</v>
      </c>
      <c r="J7" s="81" t="str">
        <f t="shared" si="1"/>
        <v>4801306</v>
      </c>
      <c r="K7" s="79" t="s">
        <v>198</v>
      </c>
      <c r="L7" s="82" t="s">
        <v>254</v>
      </c>
      <c r="M7" s="220" t="s">
        <v>488</v>
      </c>
      <c r="N7" s="54" t="s">
        <v>199</v>
      </c>
      <c r="O7">
        <f t="shared" si="2"/>
        <v>48</v>
      </c>
    </row>
    <row r="8" spans="1:15" ht="56" x14ac:dyDescent="0.15">
      <c r="A8" s="76" t="s">
        <v>197</v>
      </c>
      <c r="B8" s="77">
        <f>floors!$C$2</f>
        <v>48013</v>
      </c>
      <c r="C8" s="78" t="str">
        <f ca="1">VLOOKUP($B8,OFFSET([2]quests!$A$1,0,0,COUNTA([2]quests!$A:$A),MATCH(C$1,[2]quests!$1:$1,0)-MATCH($B$1,[2]quests!$1:$1,0)+1),MATCH(C$1,[2]quests!$1:$1,0)-MATCH($B$1,[2]quests!$1:$1,0)+1,FALSE)</f>
        <v>法海襲来！</v>
      </c>
      <c r="D8" s="78" t="str">
        <f ca="1">VLOOKUP($B8,OFFSET([2]quests!$A$1,0,0,COUNTA([2]quests!$A:$A),MATCH(D$1,[2]quests!$1:$1,0)-MATCH($B$1,[2]quests!$1:$1,0)+1),MATCH(D$1,[2]quests!$1:$1,0)-MATCH($B$1,[2]quests!$1:$1,0)+1,FALSE)</f>
        <v>台湾版降臨13</v>
      </c>
      <c r="E8" s="79">
        <v>1</v>
      </c>
      <c r="F8" s="78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【超絶級】法海襲来</v>
      </c>
      <c r="G8" s="78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台湾版降臨13</v>
      </c>
      <c r="H8" s="80">
        <v>4</v>
      </c>
      <c r="I8" s="85">
        <f t="shared" si="0"/>
        <v>7</v>
      </c>
      <c r="J8" s="81" t="str">
        <f t="shared" si="1"/>
        <v>4801307</v>
      </c>
      <c r="K8" s="79" t="s">
        <v>198</v>
      </c>
      <c r="L8" s="82" t="s">
        <v>254</v>
      </c>
      <c r="M8" s="220" t="s">
        <v>489</v>
      </c>
      <c r="N8" s="54" t="s">
        <v>199</v>
      </c>
      <c r="O8">
        <f t="shared" si="2"/>
        <v>60</v>
      </c>
    </row>
    <row r="9" spans="1:15" ht="42" x14ac:dyDescent="0.15">
      <c r="A9" s="76" t="s">
        <v>200</v>
      </c>
      <c r="B9" s="77">
        <f>floors!$C$2</f>
        <v>48013</v>
      </c>
      <c r="C9" s="78" t="str">
        <f ca="1">VLOOKUP($B9,OFFSET([2]quests!$A$1,0,0,COUNTA([2]quests!$A:$A),MATCH(C$1,[2]quests!$1:$1,0)-MATCH($B$1,[2]quests!$1:$1,0)+1),MATCH(C$1,[2]quests!$1:$1,0)-MATCH($B$1,[2]quests!$1:$1,0)+1,FALSE)</f>
        <v>法海襲来！</v>
      </c>
      <c r="D9" s="78" t="str">
        <f ca="1">VLOOKUP($B9,OFFSET([2]quests!$A$1,0,0,COUNTA([2]quests!$A:$A),MATCH(D$1,[2]quests!$1:$1,0)-MATCH($B$1,[2]quests!$1:$1,0)+1),MATCH(D$1,[2]quests!$1:$1,0)-MATCH($B$1,[2]quests!$1:$1,0)+1,FALSE)</f>
        <v>台湾版降臨13</v>
      </c>
      <c r="E9" s="79">
        <v>1</v>
      </c>
      <c r="F9" s="78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【超絶級】法海襲来</v>
      </c>
      <c r="G9" s="78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台湾版降臨13</v>
      </c>
      <c r="H9" s="80">
        <v>0</v>
      </c>
      <c r="I9" s="85">
        <f t="shared" si="0"/>
        <v>8</v>
      </c>
      <c r="J9" s="81" t="str">
        <f t="shared" si="1"/>
        <v>4801308</v>
      </c>
      <c r="K9" s="79" t="s">
        <v>198</v>
      </c>
      <c r="L9" s="82" t="s">
        <v>462</v>
      </c>
      <c r="M9" s="220" t="s">
        <v>463</v>
      </c>
      <c r="N9" s="54" t="s">
        <v>199</v>
      </c>
      <c r="O9">
        <f t="shared" ref="O9" si="3">LEN(M9)</f>
        <v>37</v>
      </c>
    </row>
    <row r="10" spans="1:15" ht="42" x14ac:dyDescent="0.15">
      <c r="A10" s="76" t="s">
        <v>200</v>
      </c>
      <c r="B10" s="77">
        <f>floors!$C$2</f>
        <v>48013</v>
      </c>
      <c r="C10" s="78" t="str">
        <f ca="1">VLOOKUP($B10,OFFSET([2]quests!$A$1,0,0,COUNTA([2]quests!$A:$A),MATCH(C$1,[2]quests!$1:$1,0)-MATCH($B$1,[2]quests!$1:$1,0)+1),MATCH(C$1,[2]quests!$1:$1,0)-MATCH($B$1,[2]quests!$1:$1,0)+1,FALSE)</f>
        <v>法海襲来！</v>
      </c>
      <c r="D10" s="78" t="str">
        <f ca="1">VLOOKUP($B10,OFFSET([2]quests!$A$1,0,0,COUNTA([2]quests!$A:$A),MATCH(D$1,[2]quests!$1:$1,0)-MATCH($B$1,[2]quests!$1:$1,0)+1),MATCH(D$1,[2]quests!$1:$1,0)-MATCH($B$1,[2]quests!$1:$1,0)+1,FALSE)</f>
        <v>台湾版降臨13</v>
      </c>
      <c r="E10" s="79">
        <v>1</v>
      </c>
      <c r="F10" s="78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【超絶級】法海襲来</v>
      </c>
      <c r="G10" s="78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台湾版降臨13</v>
      </c>
      <c r="H10" s="80">
        <v>0</v>
      </c>
      <c r="I10" s="85">
        <f t="shared" si="0"/>
        <v>9</v>
      </c>
      <c r="J10" s="81" t="str">
        <f t="shared" si="1"/>
        <v>4801309</v>
      </c>
      <c r="K10" s="79" t="s">
        <v>198</v>
      </c>
      <c r="L10" s="82" t="s">
        <v>464</v>
      </c>
      <c r="M10" s="220" t="s">
        <v>465</v>
      </c>
      <c r="N10" s="54" t="s">
        <v>199</v>
      </c>
      <c r="O10">
        <f t="shared" ref="O10" si="4">LEN(M10)</f>
        <v>40</v>
      </c>
    </row>
    <row r="11" spans="1:15" ht="42" x14ac:dyDescent="0.15">
      <c r="A11" s="76" t="s">
        <v>200</v>
      </c>
      <c r="B11" s="77">
        <f>floors!$C$2</f>
        <v>48013</v>
      </c>
      <c r="C11" s="78" t="str">
        <f ca="1">VLOOKUP($B11,OFFSET([2]quests!$A$1,0,0,COUNTA([2]quests!$A:$A),MATCH(C$1,[2]quests!$1:$1,0)-MATCH($B$1,[2]quests!$1:$1,0)+1),MATCH(C$1,[2]quests!$1:$1,0)-MATCH($B$1,[2]quests!$1:$1,0)+1,FALSE)</f>
        <v>法海襲来！</v>
      </c>
      <c r="D11" s="78" t="str">
        <f ca="1">VLOOKUP($B11,OFFSET([2]quests!$A$1,0,0,COUNTA([2]quests!$A:$A),MATCH(D$1,[2]quests!$1:$1,0)-MATCH($B$1,[2]quests!$1:$1,0)+1),MATCH(D$1,[2]quests!$1:$1,0)-MATCH($B$1,[2]quests!$1:$1,0)+1,FALSE)</f>
        <v>台湾版降臨13</v>
      </c>
      <c r="E11" s="79">
        <v>1</v>
      </c>
      <c r="F11" s="78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【超絶級】法海襲来</v>
      </c>
      <c r="G11" s="78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台湾版降臨13</v>
      </c>
      <c r="H11" s="80">
        <v>0</v>
      </c>
      <c r="I11" s="85">
        <f t="shared" si="0"/>
        <v>10</v>
      </c>
      <c r="J11" s="81" t="str">
        <f t="shared" si="1"/>
        <v>4801310</v>
      </c>
      <c r="K11" s="79" t="s">
        <v>198</v>
      </c>
      <c r="L11" s="82" t="s">
        <v>466</v>
      </c>
      <c r="M11" s="220" t="s">
        <v>467</v>
      </c>
      <c r="N11" s="54" t="s">
        <v>199</v>
      </c>
      <c r="O11">
        <f t="shared" ref="O11" si="5">LEN(M11)</f>
        <v>53</v>
      </c>
    </row>
    <row r="12" spans="1:15" ht="56" x14ac:dyDescent="0.15">
      <c r="A12" s="76" t="s">
        <v>200</v>
      </c>
      <c r="B12" s="77">
        <f>floors!$C$2</f>
        <v>48013</v>
      </c>
      <c r="C12" s="78" t="str">
        <f ca="1">VLOOKUP($B12,OFFSET([2]quests!$A$1,0,0,COUNTA([2]quests!$A:$A),MATCH(C$1,[2]quests!$1:$1,0)-MATCH($B$1,[2]quests!$1:$1,0)+1),MATCH(C$1,[2]quests!$1:$1,0)-MATCH($B$1,[2]quests!$1:$1,0)+1,FALSE)</f>
        <v>法海襲来！</v>
      </c>
      <c r="D12" s="78" t="str">
        <f ca="1">VLOOKUP($B12,OFFSET([2]quests!$A$1,0,0,COUNTA([2]quests!$A:$A),MATCH(D$1,[2]quests!$1:$1,0)-MATCH($B$1,[2]quests!$1:$1,0)+1),MATCH(D$1,[2]quests!$1:$1,0)-MATCH($B$1,[2]quests!$1:$1,0)+1,FALSE)</f>
        <v>台湾版降臨13</v>
      </c>
      <c r="E12" s="79">
        <v>1</v>
      </c>
      <c r="F12" s="78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【超絶級】法海襲来</v>
      </c>
      <c r="G12" s="78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台湾版降臨13</v>
      </c>
      <c r="H12" s="80">
        <v>0</v>
      </c>
      <c r="I12" s="85">
        <f t="shared" si="0"/>
        <v>11</v>
      </c>
      <c r="J12" s="81" t="str">
        <f t="shared" si="1"/>
        <v>4801311</v>
      </c>
      <c r="K12" s="79" t="s">
        <v>198</v>
      </c>
      <c r="L12" s="82" t="s">
        <v>468</v>
      </c>
      <c r="M12" s="220" t="s">
        <v>486</v>
      </c>
      <c r="N12" s="54" t="s">
        <v>199</v>
      </c>
      <c r="O12">
        <f t="shared" ref="O12:O13" si="6">LEN(M12)</f>
        <v>62</v>
      </c>
    </row>
    <row r="13" spans="1:15" ht="57" thickBot="1" x14ac:dyDescent="0.2">
      <c r="A13" s="201" t="s">
        <v>200</v>
      </c>
      <c r="B13" s="202">
        <f>floors!$C$2</f>
        <v>48013</v>
      </c>
      <c r="C13" s="203" t="str">
        <f ca="1">VLOOKUP($B13,OFFSET([2]quests!$A$1,0,0,COUNTA([2]quests!$A:$A),MATCH(C$1,[2]quests!$1:$1,0)-MATCH($B$1,[2]quests!$1:$1,0)+1),MATCH(C$1,[2]quests!$1:$1,0)-MATCH($B$1,[2]quests!$1:$1,0)+1,FALSE)</f>
        <v>法海襲来！</v>
      </c>
      <c r="D13" s="203" t="str">
        <f ca="1">VLOOKUP($B13,OFFSET([2]quests!$A$1,0,0,COUNTA([2]quests!$A:$A),MATCH(D$1,[2]quests!$1:$1,0)-MATCH($B$1,[2]quests!$1:$1,0)+1),MATCH(D$1,[2]quests!$1:$1,0)-MATCH($B$1,[2]quests!$1:$1,0)+1,FALSE)</f>
        <v>台湾版降臨13</v>
      </c>
      <c r="E13" s="206">
        <v>1</v>
      </c>
      <c r="F13" s="203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【超絶級】法海襲来</v>
      </c>
      <c r="G13" s="203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台湾版降臨13</v>
      </c>
      <c r="H13" s="205">
        <v>0</v>
      </c>
      <c r="I13" s="221">
        <f t="shared" si="0"/>
        <v>12</v>
      </c>
      <c r="J13" s="222" t="str">
        <f t="shared" si="1"/>
        <v>4801312</v>
      </c>
      <c r="K13" s="206" t="s">
        <v>198</v>
      </c>
      <c r="L13" s="204" t="s">
        <v>469</v>
      </c>
      <c r="M13" s="223" t="s">
        <v>470</v>
      </c>
      <c r="N13" s="207" t="s">
        <v>199</v>
      </c>
      <c r="O13">
        <f t="shared" si="6"/>
        <v>64</v>
      </c>
    </row>
    <row r="14" spans="1:15" ht="43" thickTop="1" x14ac:dyDescent="0.15">
      <c r="A14" s="224" t="s">
        <v>197</v>
      </c>
      <c r="B14" s="225">
        <f>floors!$C$2</f>
        <v>48013</v>
      </c>
      <c r="C14" s="226" t="str">
        <f ca="1">VLOOKUP($B14,OFFSET([2]quests!$A$1,0,0,COUNTA([2]quests!$A:$A),MATCH(C$1,[2]quests!$1:$1,0)-MATCH($B$1,[2]quests!$1:$1,0)+1),MATCH(C$1,[2]quests!$1:$1,0)-MATCH($B$1,[2]quests!$1:$1,0)+1,FALSE)</f>
        <v>法海襲来！</v>
      </c>
      <c r="D14" s="226" t="str">
        <f ca="1">VLOOKUP($B14,OFFSET([2]quests!$A$1,0,0,COUNTA([2]quests!$A:$A),MATCH(D$1,[2]quests!$1:$1,0)-MATCH($B$1,[2]quests!$1:$1,0)+1),MATCH(D$1,[2]quests!$1:$1,0)-MATCH($B$1,[2]quests!$1:$1,0)+1,FALSE)</f>
        <v>台湾版降臨13</v>
      </c>
      <c r="E14" s="227">
        <v>2</v>
      </c>
      <c r="F14" s="226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【ウィザード級】法海襲来</v>
      </c>
      <c r="G14" s="226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台湾版降臨13</v>
      </c>
      <c r="H14" s="228">
        <v>1</v>
      </c>
      <c r="I14" s="229">
        <f t="shared" si="0"/>
        <v>13</v>
      </c>
      <c r="J14" s="230" t="str">
        <f t="shared" si="1"/>
        <v>4801313</v>
      </c>
      <c r="K14" s="227" t="s">
        <v>198</v>
      </c>
      <c r="L14" s="231" t="s">
        <v>254</v>
      </c>
      <c r="M14" s="232" t="s">
        <v>458</v>
      </c>
      <c r="N14" s="233" t="s">
        <v>199</v>
      </c>
      <c r="O14">
        <f>LEN(M14)</f>
        <v>44</v>
      </c>
    </row>
    <row r="15" spans="1:15" ht="56" x14ac:dyDescent="0.15">
      <c r="A15" s="76" t="s">
        <v>197</v>
      </c>
      <c r="B15" s="77">
        <f>floors!$C$2</f>
        <v>48013</v>
      </c>
      <c r="C15" s="78" t="str">
        <f ca="1">VLOOKUP($B15,OFFSET([2]quests!$A$1,0,0,COUNTA([2]quests!$A:$A),MATCH(C$1,[2]quests!$1:$1,0)-MATCH($B$1,[2]quests!$1:$1,0)+1),MATCH(C$1,[2]quests!$1:$1,0)-MATCH($B$1,[2]quests!$1:$1,0)+1,FALSE)</f>
        <v>法海襲来！</v>
      </c>
      <c r="D15" s="78" t="str">
        <f ca="1">VLOOKUP($B15,OFFSET([2]quests!$A$1,0,0,COUNTA([2]quests!$A:$A),MATCH(D$1,[2]quests!$1:$1,0)-MATCH($B$1,[2]quests!$1:$1,0)+1),MATCH(D$1,[2]quests!$1:$1,0)-MATCH($B$1,[2]quests!$1:$1,0)+1,FALSE)</f>
        <v>台湾版降臨13</v>
      </c>
      <c r="E15" s="79">
        <v>2</v>
      </c>
      <c r="F15" s="78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【ウィザード級】法海襲来</v>
      </c>
      <c r="G15" s="78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台湾版降臨13</v>
      </c>
      <c r="H15" s="80">
        <v>2</v>
      </c>
      <c r="I15" s="85">
        <f t="shared" si="0"/>
        <v>14</v>
      </c>
      <c r="J15" s="81" t="str">
        <f t="shared" si="1"/>
        <v>4801314</v>
      </c>
      <c r="K15" s="79" t="s">
        <v>198</v>
      </c>
      <c r="L15" s="82" t="s">
        <v>254</v>
      </c>
      <c r="M15" s="220" t="s">
        <v>487</v>
      </c>
      <c r="N15" s="54" t="s">
        <v>199</v>
      </c>
      <c r="O15">
        <f t="shared" ref="O15:O25" si="7">LEN(M15)</f>
        <v>57</v>
      </c>
    </row>
    <row r="16" spans="1:15" ht="56" x14ac:dyDescent="0.15">
      <c r="A16" s="76" t="s">
        <v>197</v>
      </c>
      <c r="B16" s="77">
        <f>floors!$C$2</f>
        <v>48013</v>
      </c>
      <c r="C16" s="78" t="str">
        <f ca="1">VLOOKUP($B16,OFFSET([2]quests!$A$1,0,0,COUNTA([2]quests!$A:$A),MATCH(C$1,[2]quests!$1:$1,0)-MATCH($B$1,[2]quests!$1:$1,0)+1),MATCH(C$1,[2]quests!$1:$1,0)-MATCH($B$1,[2]quests!$1:$1,0)+1,FALSE)</f>
        <v>法海襲来！</v>
      </c>
      <c r="D16" s="78" t="str">
        <f ca="1">VLOOKUP($B16,OFFSET([2]quests!$A$1,0,0,COUNTA([2]quests!$A:$A),MATCH(D$1,[2]quests!$1:$1,0)-MATCH($B$1,[2]quests!$1:$1,0)+1),MATCH(D$1,[2]quests!$1:$1,0)-MATCH($B$1,[2]quests!$1:$1,0)+1,FALSE)</f>
        <v>台湾版降臨13</v>
      </c>
      <c r="E16" s="79">
        <v>2</v>
      </c>
      <c r="F16" s="78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【ウィザード級】法海襲来</v>
      </c>
      <c r="G16" s="78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台湾版降臨13</v>
      </c>
      <c r="H16" s="80">
        <v>3</v>
      </c>
      <c r="I16" s="85">
        <f t="shared" si="0"/>
        <v>15</v>
      </c>
      <c r="J16" s="81" t="str">
        <f t="shared" si="1"/>
        <v>4801315</v>
      </c>
      <c r="K16" s="79" t="s">
        <v>198</v>
      </c>
      <c r="L16" s="82" t="s">
        <v>254</v>
      </c>
      <c r="M16" s="220" t="s">
        <v>460</v>
      </c>
      <c r="N16" s="54" t="s">
        <v>199</v>
      </c>
      <c r="O16">
        <f t="shared" si="7"/>
        <v>56</v>
      </c>
    </row>
    <row r="17" spans="1:15" ht="56" x14ac:dyDescent="0.15">
      <c r="A17" s="76" t="s">
        <v>197</v>
      </c>
      <c r="B17" s="77">
        <f>floors!$C$2</f>
        <v>48013</v>
      </c>
      <c r="C17" s="78" t="str">
        <f ca="1">VLOOKUP($B17,OFFSET([2]quests!$A$1,0,0,COUNTA([2]quests!$A:$A),MATCH(C$1,[2]quests!$1:$1,0)-MATCH($B$1,[2]quests!$1:$1,0)+1),MATCH(C$1,[2]quests!$1:$1,0)-MATCH($B$1,[2]quests!$1:$1,0)+1,FALSE)</f>
        <v>法海襲来！</v>
      </c>
      <c r="D17" s="78" t="str">
        <f ca="1">VLOOKUP($B17,OFFSET([2]quests!$A$1,0,0,COUNTA([2]quests!$A:$A),MATCH(D$1,[2]quests!$1:$1,0)-MATCH($B$1,[2]quests!$1:$1,0)+1),MATCH(D$1,[2]quests!$1:$1,0)-MATCH($B$1,[2]quests!$1:$1,0)+1,FALSE)</f>
        <v>台湾版降臨13</v>
      </c>
      <c r="E17" s="79">
        <v>2</v>
      </c>
      <c r="F17" s="78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【ウィザード級】法海襲来</v>
      </c>
      <c r="G17" s="78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台湾版降臨13</v>
      </c>
      <c r="H17" s="80">
        <v>3</v>
      </c>
      <c r="I17" s="85">
        <f t="shared" si="0"/>
        <v>16</v>
      </c>
      <c r="J17" s="81" t="str">
        <f t="shared" si="1"/>
        <v>4801316</v>
      </c>
      <c r="K17" s="79" t="s">
        <v>198</v>
      </c>
      <c r="L17" s="82" t="s">
        <v>254</v>
      </c>
      <c r="M17" s="220" t="s">
        <v>461</v>
      </c>
      <c r="N17" s="54" t="s">
        <v>199</v>
      </c>
      <c r="O17">
        <f t="shared" si="7"/>
        <v>58</v>
      </c>
    </row>
    <row r="18" spans="1:15" ht="56" x14ac:dyDescent="0.15">
      <c r="A18" s="76" t="s">
        <v>197</v>
      </c>
      <c r="B18" s="77">
        <f>floors!$C$2</f>
        <v>48013</v>
      </c>
      <c r="C18" s="78" t="str">
        <f ca="1">VLOOKUP($B18,OFFSET([2]quests!$A$1,0,0,COUNTA([2]quests!$A:$A),MATCH(C$1,[2]quests!$1:$1,0)-MATCH($B$1,[2]quests!$1:$1,0)+1),MATCH(C$1,[2]quests!$1:$1,0)-MATCH($B$1,[2]quests!$1:$1,0)+1,FALSE)</f>
        <v>法海襲来！</v>
      </c>
      <c r="D18" s="78" t="str">
        <f ca="1">VLOOKUP($B18,OFFSET([2]quests!$A$1,0,0,COUNTA([2]quests!$A:$A),MATCH(D$1,[2]quests!$1:$1,0)-MATCH($B$1,[2]quests!$1:$1,0)+1),MATCH(D$1,[2]quests!$1:$1,0)-MATCH($B$1,[2]quests!$1:$1,0)+1,FALSE)</f>
        <v>台湾版降臨13</v>
      </c>
      <c r="E18" s="79">
        <v>2</v>
      </c>
      <c r="F18" s="78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【ウィザード級】法海襲来</v>
      </c>
      <c r="G18" s="78" t="str">
        <f ca="1">VLOOKUP($B18&amp;"_"&amp;$E18,OFFSET([2]stages!$A$1,0,0,COUNTA([2]stages!$A:$A),MATCH(G$1,[2]stages!$2:$2,0)-MATCH("temp_stage",[2]stages!$2:$2,0)+1),MATCH(G$1,[2]stages!$2:$2,0)-MATCH("temp_stage",[2]stages!$2:$2,0)+1,FALSE)</f>
        <v>台湾版降臨13</v>
      </c>
      <c r="H18" s="80">
        <v>4</v>
      </c>
      <c r="I18" s="85">
        <f t="shared" si="0"/>
        <v>17</v>
      </c>
      <c r="J18" s="81" t="str">
        <f t="shared" si="1"/>
        <v>4801317</v>
      </c>
      <c r="K18" s="79" t="s">
        <v>198</v>
      </c>
      <c r="L18" s="82" t="s">
        <v>254</v>
      </c>
      <c r="M18" s="220" t="s">
        <v>459</v>
      </c>
      <c r="N18" s="54" t="s">
        <v>199</v>
      </c>
      <c r="O18">
        <f t="shared" si="7"/>
        <v>61</v>
      </c>
    </row>
    <row r="19" spans="1:15" ht="42" x14ac:dyDescent="0.15">
      <c r="A19" s="76" t="s">
        <v>197</v>
      </c>
      <c r="B19" s="77">
        <f>floors!$C$2</f>
        <v>48013</v>
      </c>
      <c r="C19" s="78" t="str">
        <f ca="1">VLOOKUP($B19,OFFSET([2]quests!$A$1,0,0,COUNTA([2]quests!$A:$A),MATCH(C$1,[2]quests!$1:$1,0)-MATCH($B$1,[2]quests!$1:$1,0)+1),MATCH(C$1,[2]quests!$1:$1,0)-MATCH($B$1,[2]quests!$1:$1,0)+1,FALSE)</f>
        <v>法海襲来！</v>
      </c>
      <c r="D19" s="78" t="str">
        <f ca="1">VLOOKUP($B19,OFFSET([2]quests!$A$1,0,0,COUNTA([2]quests!$A:$A),MATCH(D$1,[2]quests!$1:$1,0)-MATCH($B$1,[2]quests!$1:$1,0)+1),MATCH(D$1,[2]quests!$1:$1,0)-MATCH($B$1,[2]quests!$1:$1,0)+1,FALSE)</f>
        <v>台湾版降臨13</v>
      </c>
      <c r="E19" s="79">
        <v>2</v>
      </c>
      <c r="F19" s="78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【ウィザード級】法海襲来</v>
      </c>
      <c r="G19" s="78" t="str">
        <f ca="1">VLOOKUP($B19&amp;"_"&amp;$E19,OFFSET([2]stages!$A$1,0,0,COUNTA([2]stages!$A:$A),MATCH(G$1,[2]stages!$2:$2,0)-MATCH("temp_stage",[2]stages!$2:$2,0)+1),MATCH(G$1,[2]stages!$2:$2,0)-MATCH("temp_stage",[2]stages!$2:$2,0)+1,FALSE)</f>
        <v>台湾版降臨13</v>
      </c>
      <c r="H19" s="80">
        <v>4</v>
      </c>
      <c r="I19" s="85">
        <f t="shared" si="0"/>
        <v>18</v>
      </c>
      <c r="J19" s="81" t="str">
        <f t="shared" si="1"/>
        <v>4801318</v>
      </c>
      <c r="K19" s="79" t="s">
        <v>198</v>
      </c>
      <c r="L19" s="82" t="s">
        <v>254</v>
      </c>
      <c r="M19" s="220" t="s">
        <v>488</v>
      </c>
      <c r="N19" s="54" t="s">
        <v>199</v>
      </c>
      <c r="O19">
        <f t="shared" si="7"/>
        <v>48</v>
      </c>
    </row>
    <row r="20" spans="1:15" ht="56" x14ac:dyDescent="0.15">
      <c r="A20" s="76" t="s">
        <v>197</v>
      </c>
      <c r="B20" s="77">
        <f>floors!$C$2</f>
        <v>48013</v>
      </c>
      <c r="C20" s="78" t="str">
        <f ca="1">VLOOKUP($B20,OFFSET([2]quests!$A$1,0,0,COUNTA([2]quests!$A:$A),MATCH(C$1,[2]quests!$1:$1,0)-MATCH($B$1,[2]quests!$1:$1,0)+1),MATCH(C$1,[2]quests!$1:$1,0)-MATCH($B$1,[2]quests!$1:$1,0)+1,FALSE)</f>
        <v>法海襲来！</v>
      </c>
      <c r="D20" s="78" t="str">
        <f ca="1">VLOOKUP($B20,OFFSET([2]quests!$A$1,0,0,COUNTA([2]quests!$A:$A),MATCH(D$1,[2]quests!$1:$1,0)-MATCH($B$1,[2]quests!$1:$1,0)+1),MATCH(D$1,[2]quests!$1:$1,0)-MATCH($B$1,[2]quests!$1:$1,0)+1,FALSE)</f>
        <v>台湾版降臨13</v>
      </c>
      <c r="E20" s="79">
        <v>2</v>
      </c>
      <c r="F20" s="78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【ウィザード級】法海襲来</v>
      </c>
      <c r="G20" s="78" t="str">
        <f ca="1">VLOOKUP($B20&amp;"_"&amp;$E20,OFFSET([2]stages!$A$1,0,0,COUNTA([2]stages!$A:$A),MATCH(G$1,[2]stages!$2:$2,0)-MATCH("temp_stage",[2]stages!$2:$2,0)+1),MATCH(G$1,[2]stages!$2:$2,0)-MATCH("temp_stage",[2]stages!$2:$2,0)+1,FALSE)</f>
        <v>台湾版降臨13</v>
      </c>
      <c r="H20" s="80">
        <v>4</v>
      </c>
      <c r="I20" s="85">
        <f t="shared" si="0"/>
        <v>19</v>
      </c>
      <c r="J20" s="81" t="str">
        <f t="shared" si="1"/>
        <v>4801319</v>
      </c>
      <c r="K20" s="79" t="s">
        <v>198</v>
      </c>
      <c r="L20" s="82" t="s">
        <v>254</v>
      </c>
      <c r="M20" s="220" t="s">
        <v>490</v>
      </c>
      <c r="N20" s="54" t="s">
        <v>199</v>
      </c>
      <c r="O20">
        <f t="shared" si="7"/>
        <v>60</v>
      </c>
    </row>
    <row r="21" spans="1:15" ht="42" x14ac:dyDescent="0.15">
      <c r="A21" s="76" t="s">
        <v>200</v>
      </c>
      <c r="B21" s="77">
        <f>floors!$C$2</f>
        <v>48013</v>
      </c>
      <c r="C21" s="78" t="str">
        <f ca="1">VLOOKUP($B21,OFFSET([2]quests!$A$1,0,0,COUNTA([2]quests!$A:$A),MATCH(C$1,[2]quests!$1:$1,0)-MATCH($B$1,[2]quests!$1:$1,0)+1),MATCH(C$1,[2]quests!$1:$1,0)-MATCH($B$1,[2]quests!$1:$1,0)+1,FALSE)</f>
        <v>法海襲来！</v>
      </c>
      <c r="D21" s="78" t="str">
        <f ca="1">VLOOKUP($B21,OFFSET([2]quests!$A$1,0,0,COUNTA([2]quests!$A:$A),MATCH(D$1,[2]quests!$1:$1,0)-MATCH($B$1,[2]quests!$1:$1,0)+1),MATCH(D$1,[2]quests!$1:$1,0)-MATCH($B$1,[2]quests!$1:$1,0)+1,FALSE)</f>
        <v>台湾版降臨13</v>
      </c>
      <c r="E21" s="79">
        <v>2</v>
      </c>
      <c r="F21" s="78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【ウィザード級】法海襲来</v>
      </c>
      <c r="G21" s="78" t="str">
        <f ca="1">VLOOKUP($B21&amp;"_"&amp;$E21,OFFSET([2]stages!$A$1,0,0,COUNTA([2]stages!$A:$A),MATCH(G$1,[2]stages!$2:$2,0)-MATCH("temp_stage",[2]stages!$2:$2,0)+1),MATCH(G$1,[2]stages!$2:$2,0)-MATCH("temp_stage",[2]stages!$2:$2,0)+1,FALSE)</f>
        <v>台湾版降臨13</v>
      </c>
      <c r="H21" s="80">
        <v>0</v>
      </c>
      <c r="I21" s="85">
        <f t="shared" si="0"/>
        <v>20</v>
      </c>
      <c r="J21" s="81" t="str">
        <f t="shared" si="1"/>
        <v>4801320</v>
      </c>
      <c r="K21" s="79" t="s">
        <v>198</v>
      </c>
      <c r="L21" s="82" t="s">
        <v>462</v>
      </c>
      <c r="M21" s="220" t="s">
        <v>463</v>
      </c>
      <c r="N21" s="54" t="s">
        <v>199</v>
      </c>
      <c r="O21">
        <f t="shared" si="7"/>
        <v>37</v>
      </c>
    </row>
    <row r="22" spans="1:15" ht="42" x14ac:dyDescent="0.15">
      <c r="A22" s="76" t="s">
        <v>200</v>
      </c>
      <c r="B22" s="77">
        <f>floors!$C$2</f>
        <v>48013</v>
      </c>
      <c r="C22" s="78" t="str">
        <f ca="1">VLOOKUP($B22,OFFSET([2]quests!$A$1,0,0,COUNTA([2]quests!$A:$A),MATCH(C$1,[2]quests!$1:$1,0)-MATCH($B$1,[2]quests!$1:$1,0)+1),MATCH(C$1,[2]quests!$1:$1,0)-MATCH($B$1,[2]quests!$1:$1,0)+1,FALSE)</f>
        <v>法海襲来！</v>
      </c>
      <c r="D22" s="78" t="str">
        <f ca="1">VLOOKUP($B22,OFFSET([2]quests!$A$1,0,0,COUNTA([2]quests!$A:$A),MATCH(D$1,[2]quests!$1:$1,0)-MATCH($B$1,[2]quests!$1:$1,0)+1),MATCH(D$1,[2]quests!$1:$1,0)-MATCH($B$1,[2]quests!$1:$1,0)+1,FALSE)</f>
        <v>台湾版降臨13</v>
      </c>
      <c r="E22" s="79">
        <v>2</v>
      </c>
      <c r="F22" s="78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【ウィザード級】法海襲来</v>
      </c>
      <c r="G22" s="78" t="str">
        <f ca="1">VLOOKUP($B22&amp;"_"&amp;$E22,OFFSET([2]stages!$A$1,0,0,COUNTA([2]stages!$A:$A),MATCH(G$1,[2]stages!$2:$2,0)-MATCH("temp_stage",[2]stages!$2:$2,0)+1),MATCH(G$1,[2]stages!$2:$2,0)-MATCH("temp_stage",[2]stages!$2:$2,0)+1,FALSE)</f>
        <v>台湾版降臨13</v>
      </c>
      <c r="H22" s="80">
        <v>0</v>
      </c>
      <c r="I22" s="85">
        <f t="shared" si="0"/>
        <v>21</v>
      </c>
      <c r="J22" s="81" t="str">
        <f t="shared" si="1"/>
        <v>4801321</v>
      </c>
      <c r="K22" s="79" t="s">
        <v>198</v>
      </c>
      <c r="L22" s="82" t="s">
        <v>464</v>
      </c>
      <c r="M22" s="220" t="s">
        <v>465</v>
      </c>
      <c r="N22" s="54" t="s">
        <v>199</v>
      </c>
      <c r="O22">
        <f t="shared" si="7"/>
        <v>40</v>
      </c>
    </row>
    <row r="23" spans="1:15" ht="42" x14ac:dyDescent="0.15">
      <c r="A23" s="76" t="s">
        <v>200</v>
      </c>
      <c r="B23" s="77">
        <f>floors!$C$2</f>
        <v>48013</v>
      </c>
      <c r="C23" s="78" t="str">
        <f ca="1">VLOOKUP($B23,OFFSET([2]quests!$A$1,0,0,COUNTA([2]quests!$A:$A),MATCH(C$1,[2]quests!$1:$1,0)-MATCH($B$1,[2]quests!$1:$1,0)+1),MATCH(C$1,[2]quests!$1:$1,0)-MATCH($B$1,[2]quests!$1:$1,0)+1,FALSE)</f>
        <v>法海襲来！</v>
      </c>
      <c r="D23" s="78" t="str">
        <f ca="1">VLOOKUP($B23,OFFSET([2]quests!$A$1,0,0,COUNTA([2]quests!$A:$A),MATCH(D$1,[2]quests!$1:$1,0)-MATCH($B$1,[2]quests!$1:$1,0)+1),MATCH(D$1,[2]quests!$1:$1,0)-MATCH($B$1,[2]quests!$1:$1,0)+1,FALSE)</f>
        <v>台湾版降臨13</v>
      </c>
      <c r="E23" s="79">
        <v>2</v>
      </c>
      <c r="F23" s="78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【ウィザード級】法海襲来</v>
      </c>
      <c r="G23" s="78" t="str">
        <f ca="1">VLOOKUP($B23&amp;"_"&amp;$E23,OFFSET([2]stages!$A$1,0,0,COUNTA([2]stages!$A:$A),MATCH(G$1,[2]stages!$2:$2,0)-MATCH("temp_stage",[2]stages!$2:$2,0)+1),MATCH(G$1,[2]stages!$2:$2,0)-MATCH("temp_stage",[2]stages!$2:$2,0)+1,FALSE)</f>
        <v>台湾版降臨13</v>
      </c>
      <c r="H23" s="80">
        <v>0</v>
      </c>
      <c r="I23" s="85">
        <f t="shared" si="0"/>
        <v>22</v>
      </c>
      <c r="J23" s="81" t="str">
        <f t="shared" si="1"/>
        <v>4801322</v>
      </c>
      <c r="K23" s="79" t="s">
        <v>198</v>
      </c>
      <c r="L23" s="82" t="s">
        <v>466</v>
      </c>
      <c r="M23" s="220" t="s">
        <v>467</v>
      </c>
      <c r="N23" s="54" t="s">
        <v>199</v>
      </c>
      <c r="O23">
        <f t="shared" si="7"/>
        <v>53</v>
      </c>
    </row>
    <row r="24" spans="1:15" ht="56" x14ac:dyDescent="0.15">
      <c r="A24" s="76" t="s">
        <v>200</v>
      </c>
      <c r="B24" s="77">
        <f>floors!$C$2</f>
        <v>48013</v>
      </c>
      <c r="C24" s="78" t="str">
        <f ca="1">VLOOKUP($B24,OFFSET([2]quests!$A$1,0,0,COUNTA([2]quests!$A:$A),MATCH(C$1,[2]quests!$1:$1,0)-MATCH($B$1,[2]quests!$1:$1,0)+1),MATCH(C$1,[2]quests!$1:$1,0)-MATCH($B$1,[2]quests!$1:$1,0)+1,FALSE)</f>
        <v>法海襲来！</v>
      </c>
      <c r="D24" s="78" t="str">
        <f ca="1">VLOOKUP($B24,OFFSET([2]quests!$A$1,0,0,COUNTA([2]quests!$A:$A),MATCH(D$1,[2]quests!$1:$1,0)-MATCH($B$1,[2]quests!$1:$1,0)+1),MATCH(D$1,[2]quests!$1:$1,0)-MATCH($B$1,[2]quests!$1:$1,0)+1,FALSE)</f>
        <v>台湾版降臨13</v>
      </c>
      <c r="E24" s="79">
        <v>2</v>
      </c>
      <c r="F24" s="78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【ウィザード級】法海襲来</v>
      </c>
      <c r="G24" s="78" t="str">
        <f ca="1">VLOOKUP($B24&amp;"_"&amp;$E24,OFFSET([2]stages!$A$1,0,0,COUNTA([2]stages!$A:$A),MATCH(G$1,[2]stages!$2:$2,0)-MATCH("temp_stage",[2]stages!$2:$2,0)+1),MATCH(G$1,[2]stages!$2:$2,0)-MATCH("temp_stage",[2]stages!$2:$2,0)+1,FALSE)</f>
        <v>台湾版降臨13</v>
      </c>
      <c r="H24" s="80">
        <v>0</v>
      </c>
      <c r="I24" s="85">
        <f t="shared" si="0"/>
        <v>23</v>
      </c>
      <c r="J24" s="81" t="str">
        <f t="shared" si="1"/>
        <v>4801323</v>
      </c>
      <c r="K24" s="79" t="s">
        <v>198</v>
      </c>
      <c r="L24" s="82" t="s">
        <v>468</v>
      </c>
      <c r="M24" s="220" t="s">
        <v>486</v>
      </c>
      <c r="N24" s="54" t="s">
        <v>199</v>
      </c>
      <c r="O24">
        <f t="shared" si="7"/>
        <v>62</v>
      </c>
    </row>
    <row r="25" spans="1:15" ht="56" x14ac:dyDescent="0.15">
      <c r="A25" s="76" t="s">
        <v>200</v>
      </c>
      <c r="B25" s="77">
        <f>floors!$C$2</f>
        <v>48013</v>
      </c>
      <c r="C25" s="78" t="str">
        <f ca="1">VLOOKUP($B25,OFFSET([2]quests!$A$1,0,0,COUNTA([2]quests!$A:$A),MATCH(C$1,[2]quests!$1:$1,0)-MATCH($B$1,[2]quests!$1:$1,0)+1),MATCH(C$1,[2]quests!$1:$1,0)-MATCH($B$1,[2]quests!$1:$1,0)+1,FALSE)</f>
        <v>法海襲来！</v>
      </c>
      <c r="D25" s="78" t="str">
        <f ca="1">VLOOKUP($B25,OFFSET([2]quests!$A$1,0,0,COUNTA([2]quests!$A:$A),MATCH(D$1,[2]quests!$1:$1,0)-MATCH($B$1,[2]quests!$1:$1,0)+1),MATCH(D$1,[2]quests!$1:$1,0)-MATCH($B$1,[2]quests!$1:$1,0)+1,FALSE)</f>
        <v>台湾版降臨13</v>
      </c>
      <c r="E25" s="79">
        <v>2</v>
      </c>
      <c r="F25" s="78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【ウィザード級】法海襲来</v>
      </c>
      <c r="G25" s="78" t="str">
        <f ca="1">VLOOKUP($B25&amp;"_"&amp;$E25,OFFSET([2]stages!$A$1,0,0,COUNTA([2]stages!$A:$A),MATCH(G$1,[2]stages!$2:$2,0)-MATCH("temp_stage",[2]stages!$2:$2,0)+1),MATCH(G$1,[2]stages!$2:$2,0)-MATCH("temp_stage",[2]stages!$2:$2,0)+1,FALSE)</f>
        <v>台湾版降臨13</v>
      </c>
      <c r="H25" s="80">
        <v>0</v>
      </c>
      <c r="I25" s="85">
        <f t="shared" si="0"/>
        <v>24</v>
      </c>
      <c r="J25" s="81" t="str">
        <f t="shared" si="1"/>
        <v>4801324</v>
      </c>
      <c r="K25" s="79" t="s">
        <v>198</v>
      </c>
      <c r="L25" s="82" t="s">
        <v>469</v>
      </c>
      <c r="M25" s="220" t="s">
        <v>470</v>
      </c>
      <c r="N25" s="54" t="s">
        <v>199</v>
      </c>
      <c r="O25">
        <f t="shared" si="7"/>
        <v>64</v>
      </c>
    </row>
  </sheetData>
  <phoneticPr fontId="5"/>
  <dataValidations count="1">
    <dataValidation type="list" allowBlank="1" showInputMessage="1" showErrorMessage="1" sqref="A2:A2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H5" sqref="H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9" t="s">
        <v>212</v>
      </c>
      <c r="B1" s="90" t="s">
        <v>213</v>
      </c>
      <c r="C1" s="72" t="s">
        <v>214</v>
      </c>
      <c r="D1" s="72" t="s">
        <v>33</v>
      </c>
      <c r="E1" s="90" t="s">
        <v>215</v>
      </c>
      <c r="F1" s="72" t="s">
        <v>216</v>
      </c>
      <c r="G1" s="72" t="s">
        <v>33</v>
      </c>
      <c r="H1" s="90" t="s">
        <v>217</v>
      </c>
      <c r="I1" s="90" t="s">
        <v>218</v>
      </c>
      <c r="J1" s="90" t="s">
        <v>219</v>
      </c>
      <c r="K1" s="68" t="s">
        <v>220</v>
      </c>
      <c r="L1" s="68" t="s">
        <v>221</v>
      </c>
      <c r="M1" s="68" t="s">
        <v>156</v>
      </c>
      <c r="N1" s="72" t="s">
        <v>16</v>
      </c>
      <c r="O1" s="68" t="s">
        <v>222</v>
      </c>
      <c r="P1" s="68" t="s">
        <v>57</v>
      </c>
      <c r="Q1" s="68" t="s">
        <v>223</v>
      </c>
      <c r="R1" s="68" t="s">
        <v>38</v>
      </c>
      <c r="S1" s="68" t="s">
        <v>40</v>
      </c>
      <c r="T1" s="68" t="s">
        <v>42</v>
      </c>
      <c r="U1" s="68" t="s">
        <v>44</v>
      </c>
      <c r="V1" s="68" t="s">
        <v>46</v>
      </c>
      <c r="W1" s="68" t="s">
        <v>224</v>
      </c>
      <c r="X1" s="68" t="s">
        <v>225</v>
      </c>
    </row>
    <row r="2" spans="1:24" x14ac:dyDescent="0.15">
      <c r="A2" s="91" t="str">
        <f>B2&amp;"_"&amp;E2&amp;"_"&amp;H2&amp;"_"&amp;I2&amp;"_"&amp;J2</f>
        <v>48013_2_everyone_full_member_1</v>
      </c>
      <c r="B2" s="77">
        <v>48013</v>
      </c>
      <c r="C2" s="78" t="str">
        <f ca="1">VLOOKUP($B2,OFFSET([2]quests!$A$1,0,0,COUNTA([2]quests!$A:$A),MATCH(C$1,[2]quests!$1:$1,0)-MATCH($B$1,[2]quests!$1:$1,0)+1),MATCH(C$1,[2]quests!$1:$1,0)-MATCH($B$1,[2]quests!$1:$1,0)+1,FALSE)</f>
        <v>法海襲来！</v>
      </c>
      <c r="D2" s="78" t="str">
        <f ca="1">VLOOKUP($B2,OFFSET([2]quests!$A$1,0,0,COUNTA([2]quests!$A:$A),MATCH(D$1,[2]quests!$1:$1,0)-MATCH($B$1,[2]quests!$1:$1,0)+1),MATCH(D$1,[2]quests!$1:$1,0)-MATCH($B$1,[2]quests!$1:$1,0)+1,FALSE)</f>
        <v>台湾版降臨13</v>
      </c>
      <c r="E2" s="79">
        <v>2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【ウィザード級】法海襲来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台湾版降臨13</v>
      </c>
      <c r="H2" s="80" t="s">
        <v>226</v>
      </c>
      <c r="I2" s="79" t="s">
        <v>439</v>
      </c>
      <c r="J2" s="79">
        <v>1</v>
      </c>
      <c r="K2" s="79">
        <v>1000</v>
      </c>
      <c r="L2" s="79" t="s">
        <v>227</v>
      </c>
      <c r="M2" s="79">
        <v>8121</v>
      </c>
      <c r="N2" s="92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法海</v>
      </c>
      <c r="O2" s="79">
        <v>1</v>
      </c>
      <c r="P2" s="79">
        <v>1</v>
      </c>
      <c r="Q2" s="79">
        <v>1</v>
      </c>
      <c r="R2" s="79">
        <v>0</v>
      </c>
      <c r="S2" s="79">
        <v>0</v>
      </c>
      <c r="T2" s="79">
        <v>0</v>
      </c>
      <c r="U2" s="79">
        <v>0</v>
      </c>
      <c r="V2" s="79">
        <v>1</v>
      </c>
      <c r="W2" s="93" t="s">
        <v>228</v>
      </c>
      <c r="X2" s="94" t="s">
        <v>229</v>
      </c>
    </row>
    <row r="3" spans="1:24" x14ac:dyDescent="0.15">
      <c r="A3" s="91" t="str">
        <f>B3&amp;"_"&amp;E3&amp;"_"&amp;H3&amp;"_"&amp;I3&amp;"_"&amp;J3</f>
        <v>48013_2_everyone_no_continue_1</v>
      </c>
      <c r="B3" s="77">
        <v>48013</v>
      </c>
      <c r="C3" s="78" t="str">
        <f ca="1">VLOOKUP($B3,OFFSET([2]quests!$A$1,0,0,COUNTA([2]quests!$A:$A),MATCH(C$1,[2]quests!$1:$1,0)-MATCH($B$1,[2]quests!$1:$1,0)+1),MATCH(C$1,[2]quests!$1:$1,0)-MATCH($B$1,[2]quests!$1:$1,0)+1,FALSE)</f>
        <v>法海襲来！</v>
      </c>
      <c r="D3" s="78" t="str">
        <f ca="1">VLOOKUP($B3,OFFSET([2]quests!$A$1,0,0,COUNTA([2]quests!$A:$A),MATCH(D$1,[2]quests!$1:$1,0)-MATCH($B$1,[2]quests!$1:$1,0)+1),MATCH(D$1,[2]quests!$1:$1,0)-MATCH($B$1,[2]quests!$1:$1,0)+1,FALSE)</f>
        <v>台湾版降臨13</v>
      </c>
      <c r="E3" s="79">
        <v>2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【ウィザード級】法海襲来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台湾版降臨13</v>
      </c>
      <c r="H3" s="80" t="s">
        <v>226</v>
      </c>
      <c r="I3" s="79" t="s">
        <v>230</v>
      </c>
      <c r="J3" s="79">
        <v>1</v>
      </c>
      <c r="K3" s="79">
        <v>1000</v>
      </c>
      <c r="L3" s="79" t="s">
        <v>227</v>
      </c>
      <c r="M3" s="79">
        <v>8121</v>
      </c>
      <c r="N3" s="92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法海</v>
      </c>
      <c r="O3" s="79">
        <v>1</v>
      </c>
      <c r="P3" s="79">
        <v>1</v>
      </c>
      <c r="Q3" s="79">
        <v>1</v>
      </c>
      <c r="R3" s="79">
        <v>0</v>
      </c>
      <c r="S3" s="79">
        <v>0</v>
      </c>
      <c r="T3" s="79">
        <v>0</v>
      </c>
      <c r="U3" s="79">
        <v>0</v>
      </c>
      <c r="V3" s="79">
        <v>1</v>
      </c>
      <c r="W3" s="93" t="s">
        <v>228</v>
      </c>
      <c r="X3" s="94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2017-05-15T10:24:57Z</dcterms:modified>
</cp:coreProperties>
</file>