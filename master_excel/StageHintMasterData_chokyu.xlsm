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27011" codeName="{00000000-0000-0000-0000-000000000000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mac/BULL_data/master_excel/"/>
    </mc:Choice>
  </mc:AlternateContent>
  <bookViews>
    <workbookView xWindow="2160" yWindow="1160" windowWidth="30340" windowHeight="19500" tabRatio="721" activeTab="1"/>
  </bookViews>
  <sheets>
    <sheet name="output" sheetId="10" r:id="rId1"/>
    <sheet name="stage_hints" sheetId="3" r:id="rId2"/>
    <sheet name="Sheet1" sheetId="11" r:id="rId3"/>
  </sheets>
  <externalReferences>
    <externalReference r:id="rId4"/>
    <externalReference r:id="rId5"/>
  </externalReferences>
  <definedNames>
    <definedName name="_xlnm._FilterDatabase" localSheetId="1" hidden="1">stage_hints!$B$1:$L$1</definedName>
  </definedNames>
  <calcPr calcId="150001" calcMode="manual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58" i="3" l="1"/>
  <c r="D58" i="3"/>
  <c r="F58" i="3"/>
  <c r="G58" i="3"/>
  <c r="C59" i="3"/>
  <c r="D59" i="3"/>
  <c r="F59" i="3"/>
  <c r="G59" i="3"/>
  <c r="C60" i="3"/>
  <c r="D60" i="3"/>
  <c r="F60" i="3"/>
  <c r="G60" i="3"/>
  <c r="C61" i="3"/>
  <c r="D61" i="3"/>
  <c r="F61" i="3"/>
  <c r="G61" i="3"/>
  <c r="C62" i="3"/>
  <c r="D62" i="3"/>
  <c r="F62" i="3"/>
  <c r="G62" i="3"/>
  <c r="C63" i="3"/>
  <c r="D63" i="3"/>
  <c r="F63" i="3"/>
  <c r="G63" i="3"/>
  <c r="C64" i="3"/>
  <c r="D64" i="3"/>
  <c r="F64" i="3"/>
  <c r="G64" i="3"/>
  <c r="C65" i="3"/>
  <c r="D65" i="3"/>
  <c r="F65" i="3"/>
  <c r="G65" i="3"/>
  <c r="C66" i="3"/>
  <c r="D66" i="3"/>
  <c r="F66" i="3"/>
  <c r="G66" i="3"/>
  <c r="C67" i="3"/>
  <c r="D67" i="3"/>
  <c r="F67" i="3"/>
  <c r="G67" i="3"/>
  <c r="C68" i="3"/>
  <c r="D68" i="3"/>
  <c r="F68" i="3"/>
  <c r="G68" i="3"/>
  <c r="C69" i="3"/>
  <c r="D69" i="3"/>
  <c r="F69" i="3"/>
  <c r="G69" i="3"/>
  <c r="C70" i="3"/>
  <c r="D70" i="3"/>
  <c r="F70" i="3"/>
  <c r="G70" i="3"/>
  <c r="C71" i="3"/>
  <c r="D71" i="3"/>
  <c r="F71" i="3"/>
  <c r="G71" i="3"/>
  <c r="C72" i="3"/>
  <c r="D72" i="3"/>
  <c r="F72" i="3"/>
  <c r="G72" i="3"/>
  <c r="C73" i="3"/>
  <c r="D73" i="3"/>
  <c r="F73" i="3"/>
  <c r="G73" i="3"/>
  <c r="C74" i="3"/>
  <c r="D74" i="3"/>
  <c r="F74" i="3"/>
  <c r="G74" i="3"/>
  <c r="C75" i="3"/>
  <c r="D75" i="3"/>
  <c r="F75" i="3"/>
  <c r="G75" i="3"/>
  <c r="C76" i="3"/>
  <c r="D76" i="3"/>
  <c r="F76" i="3"/>
  <c r="G76" i="3"/>
  <c r="C77" i="3"/>
  <c r="D77" i="3"/>
  <c r="F77" i="3"/>
  <c r="G77" i="3"/>
  <c r="C78" i="3"/>
  <c r="D78" i="3"/>
  <c r="F78" i="3"/>
  <c r="G78" i="3"/>
  <c r="C79" i="3"/>
  <c r="D79" i="3"/>
  <c r="F79" i="3"/>
  <c r="G79" i="3"/>
  <c r="C80" i="3"/>
  <c r="D80" i="3"/>
  <c r="F80" i="3"/>
  <c r="G80" i="3"/>
  <c r="C81" i="3"/>
  <c r="D81" i="3"/>
  <c r="F81" i="3"/>
  <c r="G81" i="3"/>
  <c r="C82" i="3"/>
  <c r="D82" i="3"/>
  <c r="F82" i="3"/>
  <c r="G82" i="3"/>
  <c r="C83" i="3"/>
  <c r="D83" i="3"/>
  <c r="F83" i="3"/>
  <c r="G83" i="3"/>
  <c r="C84" i="3"/>
  <c r="D84" i="3"/>
  <c r="F84" i="3"/>
  <c r="G84" i="3"/>
  <c r="C85" i="3"/>
  <c r="D85" i="3"/>
  <c r="F85" i="3"/>
  <c r="G85" i="3"/>
  <c r="C86" i="3"/>
  <c r="D86" i="3"/>
  <c r="F86" i="3"/>
  <c r="G86" i="3"/>
  <c r="C87" i="3"/>
  <c r="D87" i="3"/>
  <c r="F87" i="3"/>
  <c r="G87" i="3"/>
  <c r="C88" i="3"/>
  <c r="D88" i="3"/>
  <c r="F88" i="3"/>
  <c r="G88" i="3"/>
  <c r="C89" i="3"/>
  <c r="D89" i="3"/>
  <c r="F89" i="3"/>
  <c r="G89" i="3"/>
  <c r="C90" i="3"/>
  <c r="D90" i="3"/>
  <c r="F90" i="3"/>
  <c r="G90" i="3"/>
  <c r="K58" i="3"/>
  <c r="L58" i="3"/>
  <c r="K59" i="3"/>
  <c r="L59" i="3"/>
  <c r="K60" i="3"/>
  <c r="L60" i="3"/>
  <c r="K61" i="3"/>
  <c r="L61" i="3"/>
  <c r="K62" i="3"/>
  <c r="L62" i="3"/>
  <c r="K63" i="3"/>
  <c r="L63" i="3"/>
  <c r="K64" i="3"/>
  <c r="L64" i="3"/>
  <c r="K65" i="3"/>
  <c r="L65" i="3"/>
  <c r="K66" i="3"/>
  <c r="L66" i="3"/>
  <c r="K67" i="3"/>
  <c r="L67" i="3"/>
  <c r="K68" i="3"/>
  <c r="L68" i="3"/>
  <c r="K69" i="3"/>
  <c r="L69" i="3"/>
  <c r="K70" i="3"/>
  <c r="L70" i="3"/>
  <c r="K71" i="3"/>
  <c r="L71" i="3"/>
  <c r="K72" i="3"/>
  <c r="L72" i="3"/>
  <c r="K73" i="3"/>
  <c r="L73" i="3"/>
  <c r="K74" i="3"/>
  <c r="L74" i="3"/>
  <c r="K75" i="3"/>
  <c r="L75" i="3"/>
  <c r="K76" i="3"/>
  <c r="L76" i="3"/>
  <c r="K77" i="3"/>
  <c r="L77" i="3"/>
  <c r="K78" i="3"/>
  <c r="L78" i="3"/>
  <c r="K79" i="3"/>
  <c r="L79" i="3"/>
  <c r="K80" i="3"/>
  <c r="L80" i="3"/>
  <c r="K81" i="3"/>
  <c r="L81" i="3"/>
  <c r="K82" i="3"/>
  <c r="L82" i="3"/>
  <c r="K83" i="3"/>
  <c r="L83" i="3"/>
  <c r="K84" i="3"/>
  <c r="L84" i="3"/>
  <c r="K85" i="3"/>
  <c r="L85" i="3"/>
  <c r="K86" i="3"/>
  <c r="L86" i="3"/>
  <c r="K87" i="3"/>
  <c r="L87" i="3"/>
  <c r="K88" i="3"/>
  <c r="L88" i="3"/>
  <c r="K89" i="3"/>
  <c r="L89" i="3"/>
  <c r="K90" i="3"/>
  <c r="L90" i="3"/>
  <c r="L118" i="3"/>
  <c r="K118" i="3"/>
  <c r="G118" i="3"/>
  <c r="F118" i="3"/>
  <c r="D118" i="3"/>
  <c r="C118" i="3"/>
  <c r="L117" i="3"/>
  <c r="K117" i="3"/>
  <c r="G117" i="3"/>
  <c r="F117" i="3"/>
  <c r="D117" i="3"/>
  <c r="C117" i="3"/>
  <c r="L116" i="3"/>
  <c r="K116" i="3"/>
  <c r="G116" i="3"/>
  <c r="F116" i="3"/>
  <c r="D116" i="3"/>
  <c r="C116" i="3"/>
  <c r="L115" i="3"/>
  <c r="K115" i="3"/>
  <c r="G115" i="3"/>
  <c r="F115" i="3"/>
  <c r="D115" i="3"/>
  <c r="C115" i="3"/>
  <c r="L114" i="3"/>
  <c r="K114" i="3"/>
  <c r="G114" i="3"/>
  <c r="F114" i="3"/>
  <c r="D114" i="3"/>
  <c r="C114" i="3"/>
  <c r="L113" i="3"/>
  <c r="K113" i="3"/>
  <c r="G113" i="3"/>
  <c r="F113" i="3"/>
  <c r="D113" i="3"/>
  <c r="C113" i="3"/>
  <c r="L112" i="3"/>
  <c r="K112" i="3"/>
  <c r="G112" i="3"/>
  <c r="F112" i="3"/>
  <c r="D112" i="3"/>
  <c r="C112" i="3"/>
  <c r="L111" i="3"/>
  <c r="K111" i="3"/>
  <c r="G111" i="3"/>
  <c r="F111" i="3"/>
  <c r="D111" i="3"/>
  <c r="C111" i="3"/>
  <c r="L110" i="3"/>
  <c r="K110" i="3"/>
  <c r="G110" i="3"/>
  <c r="F110" i="3"/>
  <c r="D110" i="3"/>
  <c r="C110" i="3"/>
  <c r="L109" i="3"/>
  <c r="K109" i="3"/>
  <c r="G109" i="3"/>
  <c r="F109" i="3"/>
  <c r="D109" i="3"/>
  <c r="C109" i="3"/>
  <c r="L108" i="3"/>
  <c r="K108" i="3"/>
  <c r="G108" i="3"/>
  <c r="F108" i="3"/>
  <c r="D108" i="3"/>
  <c r="C108" i="3"/>
  <c r="L107" i="3"/>
  <c r="K107" i="3"/>
  <c r="G107" i="3"/>
  <c r="F107" i="3"/>
  <c r="D107" i="3"/>
  <c r="C107" i="3"/>
  <c r="L106" i="3"/>
  <c r="K106" i="3"/>
  <c r="G106" i="3"/>
  <c r="F106" i="3"/>
  <c r="D106" i="3"/>
  <c r="C106" i="3"/>
  <c r="L105" i="3"/>
  <c r="K105" i="3"/>
  <c r="G105" i="3"/>
  <c r="F105" i="3"/>
  <c r="D105" i="3"/>
  <c r="C105" i="3"/>
  <c r="L104" i="3"/>
  <c r="K104" i="3"/>
  <c r="G104" i="3"/>
  <c r="F104" i="3"/>
  <c r="D104" i="3"/>
  <c r="C104" i="3"/>
  <c r="L103" i="3"/>
  <c r="K103" i="3"/>
  <c r="G103" i="3"/>
  <c r="F103" i="3"/>
  <c r="D103" i="3"/>
  <c r="C103" i="3"/>
  <c r="L102" i="3"/>
  <c r="K102" i="3"/>
  <c r="G102" i="3"/>
  <c r="F102" i="3"/>
  <c r="D102" i="3"/>
  <c r="C102" i="3"/>
  <c r="L101" i="3"/>
  <c r="K101" i="3"/>
  <c r="G101" i="3"/>
  <c r="F101" i="3"/>
  <c r="D101" i="3"/>
  <c r="C101" i="3"/>
  <c r="L100" i="3"/>
  <c r="K100" i="3"/>
  <c r="G100" i="3"/>
  <c r="F100" i="3"/>
  <c r="D100" i="3"/>
  <c r="C100" i="3"/>
  <c r="L99" i="3"/>
  <c r="K99" i="3"/>
  <c r="G99" i="3"/>
  <c r="F99" i="3"/>
  <c r="D99" i="3"/>
  <c r="C99" i="3"/>
  <c r="L98" i="3"/>
  <c r="K98" i="3"/>
  <c r="G98" i="3"/>
  <c r="F98" i="3"/>
  <c r="D98" i="3"/>
  <c r="C98" i="3"/>
  <c r="L97" i="3"/>
  <c r="K97" i="3"/>
  <c r="G97" i="3"/>
  <c r="F97" i="3"/>
  <c r="D97" i="3"/>
  <c r="C97" i="3"/>
  <c r="L96" i="3"/>
  <c r="K96" i="3"/>
  <c r="G96" i="3"/>
  <c r="F96" i="3"/>
  <c r="D96" i="3"/>
  <c r="C96" i="3"/>
  <c r="L95" i="3"/>
  <c r="K95" i="3"/>
  <c r="G95" i="3"/>
  <c r="F95" i="3"/>
  <c r="D95" i="3"/>
  <c r="C95" i="3"/>
  <c r="L94" i="3"/>
  <c r="K94" i="3"/>
  <c r="G94" i="3"/>
  <c r="F94" i="3"/>
  <c r="D94" i="3"/>
  <c r="C94" i="3"/>
  <c r="L93" i="3"/>
  <c r="K93" i="3"/>
  <c r="G93" i="3"/>
  <c r="F93" i="3"/>
  <c r="D93" i="3"/>
  <c r="C93" i="3"/>
  <c r="L92" i="3"/>
  <c r="K92" i="3"/>
  <c r="G92" i="3"/>
  <c r="F92" i="3"/>
  <c r="D92" i="3"/>
  <c r="C92" i="3"/>
  <c r="L91" i="3"/>
  <c r="K91" i="3"/>
  <c r="G91" i="3"/>
  <c r="F91" i="3"/>
  <c r="D91" i="3"/>
  <c r="C91" i="3"/>
  <c r="L524" i="3"/>
  <c r="K524" i="3"/>
  <c r="G524" i="3"/>
  <c r="F524" i="3"/>
  <c r="D524" i="3"/>
  <c r="C524" i="3"/>
  <c r="L523" i="3"/>
  <c r="K523" i="3"/>
  <c r="G523" i="3"/>
  <c r="F523" i="3"/>
  <c r="D523" i="3"/>
  <c r="C523" i="3"/>
  <c r="L522" i="3"/>
  <c r="K522" i="3"/>
  <c r="G522" i="3"/>
  <c r="F522" i="3"/>
  <c r="D522" i="3"/>
  <c r="C522" i="3"/>
  <c r="L521" i="3"/>
  <c r="K521" i="3"/>
  <c r="G521" i="3"/>
  <c r="F521" i="3"/>
  <c r="D521" i="3"/>
  <c r="C521" i="3"/>
  <c r="L520" i="3"/>
  <c r="K520" i="3"/>
  <c r="G520" i="3"/>
  <c r="F520" i="3"/>
  <c r="D520" i="3"/>
  <c r="C520" i="3"/>
  <c r="L519" i="3"/>
  <c r="K519" i="3"/>
  <c r="G519" i="3"/>
  <c r="F519" i="3"/>
  <c r="D519" i="3"/>
  <c r="C519" i="3"/>
  <c r="L518" i="3"/>
  <c r="K518" i="3"/>
  <c r="G518" i="3"/>
  <c r="F518" i="3"/>
  <c r="D518" i="3"/>
  <c r="C518" i="3"/>
  <c r="L517" i="3"/>
  <c r="K517" i="3"/>
  <c r="G517" i="3"/>
  <c r="F517" i="3"/>
  <c r="D517" i="3"/>
  <c r="C517" i="3"/>
  <c r="L516" i="3"/>
  <c r="K516" i="3"/>
  <c r="G516" i="3"/>
  <c r="F516" i="3"/>
  <c r="D516" i="3"/>
  <c r="C516" i="3"/>
  <c r="L515" i="3"/>
  <c r="K515" i="3"/>
  <c r="G515" i="3"/>
  <c r="F515" i="3"/>
  <c r="D515" i="3"/>
  <c r="C515" i="3"/>
  <c r="L514" i="3"/>
  <c r="K514" i="3"/>
  <c r="G514" i="3"/>
  <c r="F514" i="3"/>
  <c r="D514" i="3"/>
  <c r="C514" i="3"/>
  <c r="L513" i="3"/>
  <c r="K513" i="3"/>
  <c r="G513" i="3"/>
  <c r="F513" i="3"/>
  <c r="D513" i="3"/>
  <c r="C513" i="3"/>
  <c r="L512" i="3"/>
  <c r="K512" i="3"/>
  <c r="G512" i="3"/>
  <c r="F512" i="3"/>
  <c r="D512" i="3"/>
  <c r="C512" i="3"/>
  <c r="L511" i="3"/>
  <c r="K511" i="3"/>
  <c r="G511" i="3"/>
  <c r="F511" i="3"/>
  <c r="D511" i="3"/>
  <c r="C511" i="3"/>
  <c r="L426" i="3"/>
  <c r="K426" i="3"/>
  <c r="G426" i="3"/>
  <c r="F426" i="3"/>
  <c r="D426" i="3"/>
  <c r="C426" i="3"/>
  <c r="L425" i="3"/>
  <c r="K425" i="3"/>
  <c r="G425" i="3"/>
  <c r="F425" i="3"/>
  <c r="D425" i="3"/>
  <c r="C425" i="3"/>
  <c r="L424" i="3"/>
  <c r="K424" i="3"/>
  <c r="G424" i="3"/>
  <c r="F424" i="3"/>
  <c r="D424" i="3"/>
  <c r="C424" i="3"/>
  <c r="L423" i="3"/>
  <c r="K423" i="3"/>
  <c r="G423" i="3"/>
  <c r="F423" i="3"/>
  <c r="D423" i="3"/>
  <c r="C423" i="3"/>
  <c r="L422" i="3"/>
  <c r="K422" i="3"/>
  <c r="G422" i="3"/>
  <c r="F422" i="3"/>
  <c r="D422" i="3"/>
  <c r="C422" i="3"/>
  <c r="L421" i="3"/>
  <c r="K421" i="3"/>
  <c r="G421" i="3"/>
  <c r="F421" i="3"/>
  <c r="D421" i="3"/>
  <c r="C421" i="3"/>
  <c r="L420" i="3"/>
  <c r="K420" i="3"/>
  <c r="G420" i="3"/>
  <c r="F420" i="3"/>
  <c r="D420" i="3"/>
  <c r="C420" i="3"/>
  <c r="L419" i="3"/>
  <c r="K419" i="3"/>
  <c r="G419" i="3"/>
  <c r="F419" i="3"/>
  <c r="D419" i="3"/>
  <c r="C419" i="3"/>
  <c r="L418" i="3"/>
  <c r="K418" i="3"/>
  <c r="G418" i="3"/>
  <c r="F418" i="3"/>
  <c r="D418" i="3"/>
  <c r="C418" i="3"/>
  <c r="L417" i="3"/>
  <c r="K417" i="3"/>
  <c r="G417" i="3"/>
  <c r="F417" i="3"/>
  <c r="D417" i="3"/>
  <c r="C417" i="3"/>
  <c r="L416" i="3"/>
  <c r="K416" i="3"/>
  <c r="G416" i="3"/>
  <c r="F416" i="3"/>
  <c r="D416" i="3"/>
  <c r="C416" i="3"/>
  <c r="L415" i="3"/>
  <c r="K415" i="3"/>
  <c r="G415" i="3"/>
  <c r="F415" i="3"/>
  <c r="D415" i="3"/>
  <c r="C415" i="3"/>
  <c r="L414" i="3"/>
  <c r="K414" i="3"/>
  <c r="G414" i="3"/>
  <c r="F414" i="3"/>
  <c r="D414" i="3"/>
  <c r="C414" i="3"/>
  <c r="L413" i="3"/>
  <c r="K413" i="3"/>
  <c r="G413" i="3"/>
  <c r="F413" i="3"/>
  <c r="D413" i="3"/>
  <c r="C413" i="3"/>
  <c r="L412" i="3"/>
  <c r="K412" i="3"/>
  <c r="G412" i="3"/>
  <c r="F412" i="3"/>
  <c r="D412" i="3"/>
  <c r="C412" i="3"/>
  <c r="L411" i="3"/>
  <c r="K411" i="3"/>
  <c r="G411" i="3"/>
  <c r="F411" i="3"/>
  <c r="D411" i="3"/>
  <c r="C411" i="3"/>
  <c r="L410" i="3"/>
  <c r="K410" i="3"/>
  <c r="G410" i="3"/>
  <c r="F410" i="3"/>
  <c r="D410" i="3"/>
  <c r="C410" i="3"/>
  <c r="L409" i="3"/>
  <c r="K409" i="3"/>
  <c r="G409" i="3"/>
  <c r="F409" i="3"/>
  <c r="D409" i="3"/>
  <c r="C409" i="3"/>
  <c r="L408" i="3"/>
  <c r="K408" i="3"/>
  <c r="G408" i="3"/>
  <c r="F408" i="3"/>
  <c r="D408" i="3"/>
  <c r="C408" i="3"/>
  <c r="L407" i="3"/>
  <c r="K407" i="3"/>
  <c r="G407" i="3"/>
  <c r="F407" i="3"/>
  <c r="D407" i="3"/>
  <c r="C407" i="3"/>
  <c r="L406" i="3"/>
  <c r="K406" i="3"/>
  <c r="G406" i="3"/>
  <c r="F406" i="3"/>
  <c r="D406" i="3"/>
  <c r="C406" i="3"/>
  <c r="L405" i="3"/>
  <c r="K405" i="3"/>
  <c r="G405" i="3"/>
  <c r="F405" i="3"/>
  <c r="D405" i="3"/>
  <c r="C405" i="3"/>
  <c r="L404" i="3"/>
  <c r="K404" i="3"/>
  <c r="G404" i="3"/>
  <c r="F404" i="3"/>
  <c r="D404" i="3"/>
  <c r="C404" i="3"/>
  <c r="L403" i="3"/>
  <c r="K403" i="3"/>
  <c r="G403" i="3"/>
  <c r="F403" i="3"/>
  <c r="D403" i="3"/>
  <c r="C403" i="3"/>
  <c r="L402" i="3"/>
  <c r="K402" i="3"/>
  <c r="G402" i="3"/>
  <c r="F402" i="3"/>
  <c r="D402" i="3"/>
  <c r="C402" i="3"/>
  <c r="L401" i="3"/>
  <c r="K401" i="3"/>
  <c r="G401" i="3"/>
  <c r="F401" i="3"/>
  <c r="D401" i="3"/>
  <c r="C401" i="3"/>
  <c r="L400" i="3"/>
  <c r="K400" i="3"/>
  <c r="G400" i="3"/>
  <c r="F400" i="3"/>
  <c r="D400" i="3"/>
  <c r="C400" i="3"/>
  <c r="L399" i="3"/>
  <c r="K399" i="3"/>
  <c r="G399" i="3"/>
  <c r="F399" i="3"/>
  <c r="D399" i="3"/>
  <c r="C399" i="3"/>
  <c r="K3" i="3"/>
  <c r="L3" i="3"/>
  <c r="K4" i="3"/>
  <c r="L4" i="3"/>
  <c r="K5" i="3"/>
  <c r="L5" i="3"/>
  <c r="K6" i="3"/>
  <c r="L6" i="3"/>
  <c r="K7" i="3"/>
  <c r="L7" i="3"/>
  <c r="K8" i="3"/>
  <c r="L8" i="3"/>
  <c r="K9" i="3"/>
  <c r="L9" i="3"/>
  <c r="K10" i="3"/>
  <c r="L10" i="3"/>
  <c r="K11" i="3"/>
  <c r="L11" i="3"/>
  <c r="K12" i="3"/>
  <c r="L12" i="3"/>
  <c r="K13" i="3"/>
  <c r="L13" i="3"/>
  <c r="K14" i="3"/>
  <c r="L14" i="3"/>
  <c r="K15" i="3"/>
  <c r="L15" i="3"/>
  <c r="K16" i="3"/>
  <c r="L16" i="3"/>
  <c r="K17" i="3"/>
  <c r="L17" i="3"/>
  <c r="K18" i="3"/>
  <c r="L18" i="3"/>
  <c r="K19" i="3"/>
  <c r="L19" i="3"/>
  <c r="K20" i="3"/>
  <c r="L20" i="3"/>
  <c r="K21" i="3"/>
  <c r="L21" i="3"/>
  <c r="K22" i="3"/>
  <c r="L22" i="3"/>
  <c r="K23" i="3"/>
  <c r="L23" i="3"/>
  <c r="K24" i="3"/>
  <c r="L24" i="3"/>
  <c r="K25" i="3"/>
  <c r="L25" i="3"/>
  <c r="K26" i="3"/>
  <c r="L26" i="3"/>
  <c r="K27" i="3"/>
  <c r="L27" i="3"/>
  <c r="K28" i="3"/>
  <c r="L28" i="3"/>
  <c r="K29" i="3"/>
  <c r="L29" i="3"/>
  <c r="K30" i="3"/>
  <c r="L30" i="3"/>
  <c r="K31" i="3"/>
  <c r="L31" i="3"/>
  <c r="K32" i="3"/>
  <c r="L32" i="3"/>
  <c r="K33" i="3"/>
  <c r="L33" i="3"/>
  <c r="K34" i="3"/>
  <c r="L34" i="3"/>
  <c r="K35" i="3"/>
  <c r="L35" i="3"/>
  <c r="K36" i="3"/>
  <c r="L36" i="3"/>
  <c r="K37" i="3"/>
  <c r="L37" i="3"/>
  <c r="K38" i="3"/>
  <c r="L38" i="3"/>
  <c r="K39" i="3"/>
  <c r="L39" i="3"/>
  <c r="K40" i="3"/>
  <c r="L40" i="3"/>
  <c r="K41" i="3"/>
  <c r="L41" i="3"/>
  <c r="K42" i="3"/>
  <c r="L42" i="3"/>
  <c r="K43" i="3"/>
  <c r="L43" i="3"/>
  <c r="K44" i="3"/>
  <c r="L44" i="3"/>
  <c r="K45" i="3"/>
  <c r="L45" i="3"/>
  <c r="K46" i="3"/>
  <c r="L46" i="3"/>
  <c r="K47" i="3"/>
  <c r="L47" i="3"/>
  <c r="K48" i="3"/>
  <c r="L48" i="3"/>
  <c r="K49" i="3"/>
  <c r="L49" i="3"/>
  <c r="K50" i="3"/>
  <c r="L50" i="3"/>
  <c r="K51" i="3"/>
  <c r="L51" i="3"/>
  <c r="K52" i="3"/>
  <c r="L52" i="3"/>
  <c r="K53" i="3"/>
  <c r="L53" i="3"/>
  <c r="K54" i="3"/>
  <c r="L54" i="3"/>
  <c r="K55" i="3"/>
  <c r="L55" i="3"/>
  <c r="K56" i="3"/>
  <c r="L56" i="3"/>
  <c r="K57" i="3"/>
  <c r="L57" i="3"/>
  <c r="K119" i="3"/>
  <c r="L119" i="3"/>
  <c r="K120" i="3"/>
  <c r="L120" i="3"/>
  <c r="K121" i="3"/>
  <c r="L121" i="3"/>
  <c r="K122" i="3"/>
  <c r="L122" i="3"/>
  <c r="K123" i="3"/>
  <c r="L123" i="3"/>
  <c r="K124" i="3"/>
  <c r="L124" i="3"/>
  <c r="K125" i="3"/>
  <c r="L125" i="3"/>
  <c r="K126" i="3"/>
  <c r="L126" i="3"/>
  <c r="K127" i="3"/>
  <c r="L127" i="3"/>
  <c r="K128" i="3"/>
  <c r="L128" i="3"/>
  <c r="K129" i="3"/>
  <c r="L129" i="3"/>
  <c r="K130" i="3"/>
  <c r="L130" i="3"/>
  <c r="K131" i="3"/>
  <c r="L131" i="3"/>
  <c r="K132" i="3"/>
  <c r="L132" i="3"/>
  <c r="K133" i="3"/>
  <c r="L133" i="3"/>
  <c r="K134" i="3"/>
  <c r="L134" i="3"/>
  <c r="K135" i="3"/>
  <c r="L135" i="3"/>
  <c r="K136" i="3"/>
  <c r="L136" i="3"/>
  <c r="K137" i="3"/>
  <c r="L137" i="3"/>
  <c r="K138" i="3"/>
  <c r="L138" i="3"/>
  <c r="K139" i="3"/>
  <c r="L139" i="3"/>
  <c r="K140" i="3"/>
  <c r="L140" i="3"/>
  <c r="K141" i="3"/>
  <c r="L141" i="3"/>
  <c r="K142" i="3"/>
  <c r="L142" i="3"/>
  <c r="K143" i="3"/>
  <c r="L143" i="3"/>
  <c r="K144" i="3"/>
  <c r="L144" i="3"/>
  <c r="K145" i="3"/>
  <c r="L145" i="3"/>
  <c r="K146" i="3"/>
  <c r="L146" i="3"/>
  <c r="K147" i="3"/>
  <c r="L147" i="3"/>
  <c r="K148" i="3"/>
  <c r="L148" i="3"/>
  <c r="K149" i="3"/>
  <c r="L149" i="3"/>
  <c r="K150" i="3"/>
  <c r="L150" i="3"/>
  <c r="K151" i="3"/>
  <c r="L151" i="3"/>
  <c r="K152" i="3"/>
  <c r="L152" i="3"/>
  <c r="K153" i="3"/>
  <c r="L153" i="3"/>
  <c r="K154" i="3"/>
  <c r="L154" i="3"/>
  <c r="K155" i="3"/>
  <c r="L155" i="3"/>
  <c r="K156" i="3"/>
  <c r="L156" i="3"/>
  <c r="K157" i="3"/>
  <c r="L157" i="3"/>
  <c r="K158" i="3"/>
  <c r="L158" i="3"/>
  <c r="K159" i="3"/>
  <c r="L159" i="3"/>
  <c r="K160" i="3"/>
  <c r="L160" i="3"/>
  <c r="K161" i="3"/>
  <c r="L161" i="3"/>
  <c r="K162" i="3"/>
  <c r="L162" i="3"/>
  <c r="K163" i="3"/>
  <c r="L163" i="3"/>
  <c r="K164" i="3"/>
  <c r="L164" i="3"/>
  <c r="K165" i="3"/>
  <c r="L165" i="3"/>
  <c r="K166" i="3"/>
  <c r="L166" i="3"/>
  <c r="K167" i="3"/>
  <c r="L167" i="3"/>
  <c r="K168" i="3"/>
  <c r="L168" i="3"/>
  <c r="K169" i="3"/>
  <c r="L169" i="3"/>
  <c r="K170" i="3"/>
  <c r="L170" i="3"/>
  <c r="K171" i="3"/>
  <c r="L171" i="3"/>
  <c r="K172" i="3"/>
  <c r="L172" i="3"/>
  <c r="K173" i="3"/>
  <c r="L173" i="3"/>
  <c r="K174" i="3"/>
  <c r="L174" i="3"/>
  <c r="K175" i="3"/>
  <c r="L175" i="3"/>
  <c r="K176" i="3"/>
  <c r="L176" i="3"/>
  <c r="K177" i="3"/>
  <c r="L177" i="3"/>
  <c r="K178" i="3"/>
  <c r="L178" i="3"/>
  <c r="K179" i="3"/>
  <c r="L179" i="3"/>
  <c r="K180" i="3"/>
  <c r="L180" i="3"/>
  <c r="K181" i="3"/>
  <c r="L181" i="3"/>
  <c r="K182" i="3"/>
  <c r="L182" i="3"/>
  <c r="K183" i="3"/>
  <c r="L183" i="3"/>
  <c r="K184" i="3"/>
  <c r="L184" i="3"/>
  <c r="K185" i="3"/>
  <c r="L185" i="3"/>
  <c r="K186" i="3"/>
  <c r="L186" i="3"/>
  <c r="K187" i="3"/>
  <c r="L187" i="3"/>
  <c r="K188" i="3"/>
  <c r="L188" i="3"/>
  <c r="K189" i="3"/>
  <c r="L189" i="3"/>
  <c r="K190" i="3"/>
  <c r="L190" i="3"/>
  <c r="K191" i="3"/>
  <c r="L191" i="3"/>
  <c r="K192" i="3"/>
  <c r="L192" i="3"/>
  <c r="K193" i="3"/>
  <c r="L193" i="3"/>
  <c r="K194" i="3"/>
  <c r="L194" i="3"/>
  <c r="K195" i="3"/>
  <c r="L195" i="3"/>
  <c r="K196" i="3"/>
  <c r="L196" i="3"/>
  <c r="K197" i="3"/>
  <c r="L197" i="3"/>
  <c r="K198" i="3"/>
  <c r="L198" i="3"/>
  <c r="K199" i="3"/>
  <c r="L199" i="3"/>
  <c r="K200" i="3"/>
  <c r="L200" i="3"/>
  <c r="K201" i="3"/>
  <c r="L201" i="3"/>
  <c r="K202" i="3"/>
  <c r="L202" i="3"/>
  <c r="K203" i="3"/>
  <c r="L203" i="3"/>
  <c r="K204" i="3"/>
  <c r="L204" i="3"/>
  <c r="K205" i="3"/>
  <c r="L205" i="3"/>
  <c r="K206" i="3"/>
  <c r="L206" i="3"/>
  <c r="K207" i="3"/>
  <c r="L207" i="3"/>
  <c r="K208" i="3"/>
  <c r="L208" i="3"/>
  <c r="K209" i="3"/>
  <c r="L209" i="3"/>
  <c r="K210" i="3"/>
  <c r="L210" i="3"/>
  <c r="K211" i="3"/>
  <c r="L211" i="3"/>
  <c r="K212" i="3"/>
  <c r="L212" i="3"/>
  <c r="K213" i="3"/>
  <c r="L213" i="3"/>
  <c r="K214" i="3"/>
  <c r="L214" i="3"/>
  <c r="K215" i="3"/>
  <c r="L215" i="3"/>
  <c r="K216" i="3"/>
  <c r="L216" i="3"/>
  <c r="K217" i="3"/>
  <c r="L217" i="3"/>
  <c r="K218" i="3"/>
  <c r="L218" i="3"/>
  <c r="K219" i="3"/>
  <c r="L219" i="3"/>
  <c r="K220" i="3"/>
  <c r="L220" i="3"/>
  <c r="K221" i="3"/>
  <c r="L221" i="3"/>
  <c r="K222" i="3"/>
  <c r="L222" i="3"/>
  <c r="K223" i="3"/>
  <c r="L223" i="3"/>
  <c r="K224" i="3"/>
  <c r="L224" i="3"/>
  <c r="K225" i="3"/>
  <c r="L225" i="3"/>
  <c r="K226" i="3"/>
  <c r="L226" i="3"/>
  <c r="K227" i="3"/>
  <c r="L227" i="3"/>
  <c r="K228" i="3"/>
  <c r="L228" i="3"/>
  <c r="K229" i="3"/>
  <c r="L229" i="3"/>
  <c r="K230" i="3"/>
  <c r="L230" i="3"/>
  <c r="K231" i="3"/>
  <c r="L231" i="3"/>
  <c r="K232" i="3"/>
  <c r="L232" i="3"/>
  <c r="K233" i="3"/>
  <c r="L233" i="3"/>
  <c r="K234" i="3"/>
  <c r="L234" i="3"/>
  <c r="K235" i="3"/>
  <c r="L235" i="3"/>
  <c r="K236" i="3"/>
  <c r="L236" i="3"/>
  <c r="K237" i="3"/>
  <c r="L237" i="3"/>
  <c r="K238" i="3"/>
  <c r="L238" i="3"/>
  <c r="K239" i="3"/>
  <c r="L239" i="3"/>
  <c r="K240" i="3"/>
  <c r="L240" i="3"/>
  <c r="K241" i="3"/>
  <c r="L241" i="3"/>
  <c r="K242" i="3"/>
  <c r="L242" i="3"/>
  <c r="K243" i="3"/>
  <c r="L243" i="3"/>
  <c r="K244" i="3"/>
  <c r="L244" i="3"/>
  <c r="K245" i="3"/>
  <c r="L245" i="3"/>
  <c r="K246" i="3"/>
  <c r="L246" i="3"/>
  <c r="K247" i="3"/>
  <c r="L247" i="3"/>
  <c r="K248" i="3"/>
  <c r="L248" i="3"/>
  <c r="K249" i="3"/>
  <c r="L249" i="3"/>
  <c r="K250" i="3"/>
  <c r="L250" i="3"/>
  <c r="K251" i="3"/>
  <c r="L251" i="3"/>
  <c r="K252" i="3"/>
  <c r="L252" i="3"/>
  <c r="K253" i="3"/>
  <c r="L253" i="3"/>
  <c r="K254" i="3"/>
  <c r="L254" i="3"/>
  <c r="K255" i="3"/>
  <c r="L255" i="3"/>
  <c r="K256" i="3"/>
  <c r="L256" i="3"/>
  <c r="K257" i="3"/>
  <c r="L257" i="3"/>
  <c r="K258" i="3"/>
  <c r="L258" i="3"/>
  <c r="K259" i="3"/>
  <c r="L259" i="3"/>
  <c r="K260" i="3"/>
  <c r="L260" i="3"/>
  <c r="K261" i="3"/>
  <c r="L261" i="3"/>
  <c r="K262" i="3"/>
  <c r="L262" i="3"/>
  <c r="K263" i="3"/>
  <c r="L263" i="3"/>
  <c r="K264" i="3"/>
  <c r="L264" i="3"/>
  <c r="K265" i="3"/>
  <c r="L265" i="3"/>
  <c r="K266" i="3"/>
  <c r="L266" i="3"/>
  <c r="K267" i="3"/>
  <c r="L267" i="3"/>
  <c r="K268" i="3"/>
  <c r="L268" i="3"/>
  <c r="K269" i="3"/>
  <c r="L269" i="3"/>
  <c r="K270" i="3"/>
  <c r="L270" i="3"/>
  <c r="K271" i="3"/>
  <c r="L271" i="3"/>
  <c r="K272" i="3"/>
  <c r="L272" i="3"/>
  <c r="K273" i="3"/>
  <c r="L273" i="3"/>
  <c r="K274" i="3"/>
  <c r="L274" i="3"/>
  <c r="K275" i="3"/>
  <c r="L275" i="3"/>
  <c r="K276" i="3"/>
  <c r="L276" i="3"/>
  <c r="K277" i="3"/>
  <c r="L277" i="3"/>
  <c r="K278" i="3"/>
  <c r="L278" i="3"/>
  <c r="K279" i="3"/>
  <c r="L279" i="3"/>
  <c r="K280" i="3"/>
  <c r="L280" i="3"/>
  <c r="K281" i="3"/>
  <c r="L281" i="3"/>
  <c r="K282" i="3"/>
  <c r="L282" i="3"/>
  <c r="K283" i="3"/>
  <c r="L283" i="3"/>
  <c r="K284" i="3"/>
  <c r="L284" i="3"/>
  <c r="K285" i="3"/>
  <c r="L285" i="3"/>
  <c r="K286" i="3"/>
  <c r="L286" i="3"/>
  <c r="K287" i="3"/>
  <c r="L287" i="3"/>
  <c r="K288" i="3"/>
  <c r="L288" i="3"/>
  <c r="K289" i="3"/>
  <c r="L289" i="3"/>
  <c r="K290" i="3"/>
  <c r="L290" i="3"/>
  <c r="K291" i="3"/>
  <c r="L291" i="3"/>
  <c r="K292" i="3"/>
  <c r="L292" i="3"/>
  <c r="K293" i="3"/>
  <c r="L293" i="3"/>
  <c r="K294" i="3"/>
  <c r="L294" i="3"/>
  <c r="K295" i="3"/>
  <c r="L295" i="3"/>
  <c r="K296" i="3"/>
  <c r="L296" i="3"/>
  <c r="K297" i="3"/>
  <c r="L297" i="3"/>
  <c r="K298" i="3"/>
  <c r="L298" i="3"/>
  <c r="K299" i="3"/>
  <c r="L299" i="3"/>
  <c r="K300" i="3"/>
  <c r="L300" i="3"/>
  <c r="K301" i="3"/>
  <c r="L301" i="3"/>
  <c r="K302" i="3"/>
  <c r="L302" i="3"/>
  <c r="K303" i="3"/>
  <c r="L303" i="3"/>
  <c r="K304" i="3"/>
  <c r="L304" i="3"/>
  <c r="K305" i="3"/>
  <c r="L305" i="3"/>
  <c r="K306" i="3"/>
  <c r="L306" i="3"/>
  <c r="K307" i="3"/>
  <c r="L307" i="3"/>
  <c r="K308" i="3"/>
  <c r="L308" i="3"/>
  <c r="K309" i="3"/>
  <c r="L309" i="3"/>
  <c r="K310" i="3"/>
  <c r="L310" i="3"/>
  <c r="K311" i="3"/>
  <c r="L311" i="3"/>
  <c r="K312" i="3"/>
  <c r="L312" i="3"/>
  <c r="K313" i="3"/>
  <c r="L313" i="3"/>
  <c r="K314" i="3"/>
  <c r="L314" i="3"/>
  <c r="K315" i="3"/>
  <c r="L315" i="3"/>
  <c r="K316" i="3"/>
  <c r="L316" i="3"/>
  <c r="K317" i="3"/>
  <c r="L317" i="3"/>
  <c r="K318" i="3"/>
  <c r="L318" i="3"/>
  <c r="K319" i="3"/>
  <c r="L319" i="3"/>
  <c r="K320" i="3"/>
  <c r="L320" i="3"/>
  <c r="K321" i="3"/>
  <c r="L321" i="3"/>
  <c r="K322" i="3"/>
  <c r="L322" i="3"/>
  <c r="K323" i="3"/>
  <c r="L323" i="3"/>
  <c r="K324" i="3"/>
  <c r="L324" i="3"/>
  <c r="K325" i="3"/>
  <c r="L325" i="3"/>
  <c r="K326" i="3"/>
  <c r="L326" i="3"/>
  <c r="K327" i="3"/>
  <c r="L327" i="3"/>
  <c r="K328" i="3"/>
  <c r="L328" i="3"/>
  <c r="K329" i="3"/>
  <c r="L329" i="3"/>
  <c r="K330" i="3"/>
  <c r="L330" i="3"/>
  <c r="K331" i="3"/>
  <c r="L331" i="3"/>
  <c r="K332" i="3"/>
  <c r="L332" i="3"/>
  <c r="K333" i="3"/>
  <c r="L333" i="3"/>
  <c r="K334" i="3"/>
  <c r="L334" i="3"/>
  <c r="K335" i="3"/>
  <c r="L335" i="3"/>
  <c r="K336" i="3"/>
  <c r="L336" i="3"/>
  <c r="K337" i="3"/>
  <c r="L337" i="3"/>
  <c r="K338" i="3"/>
  <c r="L338" i="3"/>
  <c r="K339" i="3"/>
  <c r="L339" i="3"/>
  <c r="K340" i="3"/>
  <c r="L340" i="3"/>
  <c r="K341" i="3"/>
  <c r="L341" i="3"/>
  <c r="K342" i="3"/>
  <c r="L342" i="3"/>
  <c r="K343" i="3"/>
  <c r="L343" i="3"/>
  <c r="K344" i="3"/>
  <c r="L344" i="3"/>
  <c r="K345" i="3"/>
  <c r="L345" i="3"/>
  <c r="K346" i="3"/>
  <c r="L346" i="3"/>
  <c r="K347" i="3"/>
  <c r="L347" i="3"/>
  <c r="K348" i="3"/>
  <c r="L348" i="3"/>
  <c r="K349" i="3"/>
  <c r="L349" i="3"/>
  <c r="K350" i="3"/>
  <c r="L350" i="3"/>
  <c r="K351" i="3"/>
  <c r="L351" i="3"/>
  <c r="K352" i="3"/>
  <c r="L352" i="3"/>
  <c r="K353" i="3"/>
  <c r="L353" i="3"/>
  <c r="K354" i="3"/>
  <c r="L354" i="3"/>
  <c r="K355" i="3"/>
  <c r="L355" i="3"/>
  <c r="K356" i="3"/>
  <c r="L356" i="3"/>
  <c r="K357" i="3"/>
  <c r="L357" i="3"/>
  <c r="K358" i="3"/>
  <c r="L358" i="3"/>
  <c r="K359" i="3"/>
  <c r="L359" i="3"/>
  <c r="K360" i="3"/>
  <c r="L360" i="3"/>
  <c r="K361" i="3"/>
  <c r="L361" i="3"/>
  <c r="K362" i="3"/>
  <c r="L362" i="3"/>
  <c r="K363" i="3"/>
  <c r="L363" i="3"/>
  <c r="K364" i="3"/>
  <c r="L364" i="3"/>
  <c r="K365" i="3"/>
  <c r="L365" i="3"/>
  <c r="K366" i="3"/>
  <c r="L366" i="3"/>
  <c r="K367" i="3"/>
  <c r="L367" i="3"/>
  <c r="K368" i="3"/>
  <c r="L368" i="3"/>
  <c r="K369" i="3"/>
  <c r="L369" i="3"/>
  <c r="K370" i="3"/>
  <c r="L370" i="3"/>
  <c r="K371" i="3"/>
  <c r="L371" i="3"/>
  <c r="K372" i="3"/>
  <c r="L372" i="3"/>
  <c r="K373" i="3"/>
  <c r="L373" i="3"/>
  <c r="K374" i="3"/>
  <c r="L374" i="3"/>
  <c r="K375" i="3"/>
  <c r="L375" i="3"/>
  <c r="K376" i="3"/>
  <c r="L376" i="3"/>
  <c r="K377" i="3"/>
  <c r="L377" i="3"/>
  <c r="K378" i="3"/>
  <c r="L378" i="3"/>
  <c r="K379" i="3"/>
  <c r="L379" i="3"/>
  <c r="K380" i="3"/>
  <c r="L380" i="3"/>
  <c r="K381" i="3"/>
  <c r="L381" i="3"/>
  <c r="K382" i="3"/>
  <c r="L382" i="3"/>
  <c r="K383" i="3"/>
  <c r="L383" i="3"/>
  <c r="K384" i="3"/>
  <c r="L384" i="3"/>
  <c r="K385" i="3"/>
  <c r="L385" i="3"/>
  <c r="K386" i="3"/>
  <c r="L386" i="3"/>
  <c r="K387" i="3"/>
  <c r="L387" i="3"/>
  <c r="K388" i="3"/>
  <c r="L388" i="3"/>
  <c r="K389" i="3"/>
  <c r="L389" i="3"/>
  <c r="K390" i="3"/>
  <c r="L390" i="3"/>
  <c r="K391" i="3"/>
  <c r="L391" i="3"/>
  <c r="K392" i="3"/>
  <c r="L392" i="3"/>
  <c r="K393" i="3"/>
  <c r="L393" i="3"/>
  <c r="K394" i="3"/>
  <c r="L394" i="3"/>
  <c r="K395" i="3"/>
  <c r="L395" i="3"/>
  <c r="K396" i="3"/>
  <c r="L396" i="3"/>
  <c r="K397" i="3"/>
  <c r="L397" i="3"/>
  <c r="K398" i="3"/>
  <c r="L398" i="3"/>
  <c r="K427" i="3"/>
  <c r="L427" i="3"/>
  <c r="K428" i="3"/>
  <c r="L428" i="3"/>
  <c r="K429" i="3"/>
  <c r="L429" i="3"/>
  <c r="K430" i="3"/>
  <c r="L430" i="3"/>
  <c r="K431" i="3"/>
  <c r="L431" i="3"/>
  <c r="K432" i="3"/>
  <c r="L432" i="3"/>
  <c r="K433" i="3"/>
  <c r="L433" i="3"/>
  <c r="K434" i="3"/>
  <c r="L434" i="3"/>
  <c r="K435" i="3"/>
  <c r="L435" i="3"/>
  <c r="K436" i="3"/>
  <c r="L436" i="3"/>
  <c r="K437" i="3"/>
  <c r="L437" i="3"/>
  <c r="K438" i="3"/>
  <c r="L438" i="3"/>
  <c r="K439" i="3"/>
  <c r="L439" i="3"/>
  <c r="K440" i="3"/>
  <c r="L440" i="3"/>
  <c r="K441" i="3"/>
  <c r="L441" i="3"/>
  <c r="K442" i="3"/>
  <c r="L442" i="3"/>
  <c r="K443" i="3"/>
  <c r="L443" i="3"/>
  <c r="K444" i="3"/>
  <c r="L444" i="3"/>
  <c r="K445" i="3"/>
  <c r="L445" i="3"/>
  <c r="K446" i="3"/>
  <c r="L446" i="3"/>
  <c r="K447" i="3"/>
  <c r="L447" i="3"/>
  <c r="K448" i="3"/>
  <c r="L448" i="3"/>
  <c r="K449" i="3"/>
  <c r="L449" i="3"/>
  <c r="K450" i="3"/>
  <c r="L450" i="3"/>
  <c r="K451" i="3"/>
  <c r="L451" i="3"/>
  <c r="K452" i="3"/>
  <c r="L452" i="3"/>
  <c r="K453" i="3"/>
  <c r="L453" i="3"/>
  <c r="K454" i="3"/>
  <c r="L454" i="3"/>
  <c r="K455" i="3"/>
  <c r="L455" i="3"/>
  <c r="K456" i="3"/>
  <c r="L456" i="3"/>
  <c r="K457" i="3"/>
  <c r="L457" i="3"/>
  <c r="K458" i="3"/>
  <c r="L458" i="3"/>
  <c r="K459" i="3"/>
  <c r="L459" i="3"/>
  <c r="K460" i="3"/>
  <c r="L460" i="3"/>
  <c r="K461" i="3"/>
  <c r="L461" i="3"/>
  <c r="K462" i="3"/>
  <c r="L462" i="3"/>
  <c r="K463" i="3"/>
  <c r="L463" i="3"/>
  <c r="K464" i="3"/>
  <c r="L464" i="3"/>
  <c r="K465" i="3"/>
  <c r="L465" i="3"/>
  <c r="K466" i="3"/>
  <c r="L466" i="3"/>
  <c r="K467" i="3"/>
  <c r="L467" i="3"/>
  <c r="K468" i="3"/>
  <c r="L468" i="3"/>
  <c r="K469" i="3"/>
  <c r="L469" i="3"/>
  <c r="K470" i="3"/>
  <c r="L470" i="3"/>
  <c r="K471" i="3"/>
  <c r="L471" i="3"/>
  <c r="K472" i="3"/>
  <c r="L472" i="3"/>
  <c r="K473" i="3"/>
  <c r="L473" i="3"/>
  <c r="K474" i="3"/>
  <c r="L474" i="3"/>
  <c r="K475" i="3"/>
  <c r="L475" i="3"/>
  <c r="K476" i="3"/>
  <c r="L476" i="3"/>
  <c r="K477" i="3"/>
  <c r="L477" i="3"/>
  <c r="K478" i="3"/>
  <c r="L478" i="3"/>
  <c r="K479" i="3"/>
  <c r="L479" i="3"/>
  <c r="K480" i="3"/>
  <c r="L480" i="3"/>
  <c r="K481" i="3"/>
  <c r="L481" i="3"/>
  <c r="K482" i="3"/>
  <c r="L482" i="3"/>
  <c r="K483" i="3"/>
  <c r="L483" i="3"/>
  <c r="K484" i="3"/>
  <c r="L484" i="3"/>
  <c r="K485" i="3"/>
  <c r="L485" i="3"/>
  <c r="K486" i="3"/>
  <c r="L486" i="3"/>
  <c r="K487" i="3"/>
  <c r="L487" i="3"/>
  <c r="K488" i="3"/>
  <c r="L488" i="3"/>
  <c r="K489" i="3"/>
  <c r="L489" i="3"/>
  <c r="K490" i="3"/>
  <c r="L490" i="3"/>
  <c r="K491" i="3"/>
  <c r="L491" i="3"/>
  <c r="K492" i="3"/>
  <c r="L492" i="3"/>
  <c r="K493" i="3"/>
  <c r="L493" i="3"/>
  <c r="K494" i="3"/>
  <c r="L494" i="3"/>
  <c r="K495" i="3"/>
  <c r="L495" i="3"/>
  <c r="K496" i="3"/>
  <c r="L496" i="3"/>
  <c r="K497" i="3"/>
  <c r="L497" i="3"/>
  <c r="K498" i="3"/>
  <c r="L498" i="3"/>
  <c r="K499" i="3"/>
  <c r="L499" i="3"/>
  <c r="K500" i="3"/>
  <c r="L500" i="3"/>
  <c r="K501" i="3"/>
  <c r="L501" i="3"/>
  <c r="K502" i="3"/>
  <c r="L502" i="3"/>
  <c r="K503" i="3"/>
  <c r="L503" i="3"/>
  <c r="K504" i="3"/>
  <c r="L504" i="3"/>
  <c r="K505" i="3"/>
  <c r="L505" i="3"/>
  <c r="K506" i="3"/>
  <c r="L506" i="3"/>
  <c r="K507" i="3"/>
  <c r="L507" i="3"/>
  <c r="K508" i="3"/>
  <c r="L508" i="3"/>
  <c r="K509" i="3"/>
  <c r="L509" i="3"/>
  <c r="K510" i="3"/>
  <c r="L510" i="3"/>
  <c r="L2" i="3"/>
  <c r="K2" i="3"/>
  <c r="G510" i="3"/>
  <c r="F510" i="3"/>
  <c r="D510" i="3"/>
  <c r="C510" i="3"/>
  <c r="G509" i="3"/>
  <c r="F509" i="3"/>
  <c r="D509" i="3"/>
  <c r="C509" i="3"/>
  <c r="G508" i="3"/>
  <c r="F508" i="3"/>
  <c r="D508" i="3"/>
  <c r="C508" i="3"/>
  <c r="G507" i="3"/>
  <c r="F507" i="3"/>
  <c r="D507" i="3"/>
  <c r="C507" i="3"/>
  <c r="G506" i="3"/>
  <c r="F506" i="3"/>
  <c r="D506" i="3"/>
  <c r="C506" i="3"/>
  <c r="G505" i="3"/>
  <c r="F505" i="3"/>
  <c r="D505" i="3"/>
  <c r="C505" i="3"/>
  <c r="G504" i="3"/>
  <c r="F504" i="3"/>
  <c r="D504" i="3"/>
  <c r="C504" i="3"/>
  <c r="G503" i="3"/>
  <c r="F503" i="3"/>
  <c r="D503" i="3"/>
  <c r="C503" i="3"/>
  <c r="G502" i="3"/>
  <c r="F502" i="3"/>
  <c r="D502" i="3"/>
  <c r="C502" i="3"/>
  <c r="G501" i="3"/>
  <c r="F501" i="3"/>
  <c r="D501" i="3"/>
  <c r="C501" i="3"/>
  <c r="G500" i="3"/>
  <c r="F500" i="3"/>
  <c r="D500" i="3"/>
  <c r="C500" i="3"/>
  <c r="G499" i="3"/>
  <c r="F499" i="3"/>
  <c r="D499" i="3"/>
  <c r="C499" i="3"/>
  <c r="G498" i="3"/>
  <c r="F498" i="3"/>
  <c r="D498" i="3"/>
  <c r="C498" i="3"/>
  <c r="G497" i="3"/>
  <c r="F497" i="3"/>
  <c r="D497" i="3"/>
  <c r="C497" i="3"/>
  <c r="G496" i="3"/>
  <c r="F496" i="3"/>
  <c r="D496" i="3"/>
  <c r="C496" i="3"/>
  <c r="G495" i="3"/>
  <c r="F495" i="3"/>
  <c r="D495" i="3"/>
  <c r="C495" i="3"/>
  <c r="G494" i="3"/>
  <c r="F494" i="3"/>
  <c r="D494" i="3"/>
  <c r="C494" i="3"/>
  <c r="G493" i="3"/>
  <c r="F493" i="3"/>
  <c r="D493" i="3"/>
  <c r="C493" i="3"/>
  <c r="G492" i="3"/>
  <c r="F492" i="3"/>
  <c r="D492" i="3"/>
  <c r="C492" i="3"/>
  <c r="G491" i="3"/>
  <c r="F491" i="3"/>
  <c r="D491" i="3"/>
  <c r="C491" i="3"/>
  <c r="G490" i="3"/>
  <c r="F490" i="3"/>
  <c r="D490" i="3"/>
  <c r="C490" i="3"/>
  <c r="G489" i="3"/>
  <c r="F489" i="3"/>
  <c r="D489" i="3"/>
  <c r="C489" i="3"/>
  <c r="G488" i="3"/>
  <c r="F488" i="3"/>
  <c r="D488" i="3"/>
  <c r="C488" i="3"/>
  <c r="G487" i="3"/>
  <c r="F487" i="3"/>
  <c r="D487" i="3"/>
  <c r="C487" i="3"/>
  <c r="G486" i="3"/>
  <c r="F486" i="3"/>
  <c r="D486" i="3"/>
  <c r="C486" i="3"/>
  <c r="G485" i="3"/>
  <c r="F485" i="3"/>
  <c r="D485" i="3"/>
  <c r="C485" i="3"/>
  <c r="G484" i="3"/>
  <c r="F484" i="3"/>
  <c r="D484" i="3"/>
  <c r="C484" i="3"/>
  <c r="G483" i="3"/>
  <c r="F483" i="3"/>
  <c r="D483" i="3"/>
  <c r="C483" i="3"/>
  <c r="G482" i="3"/>
  <c r="F482" i="3"/>
  <c r="D482" i="3"/>
  <c r="C482" i="3"/>
  <c r="G481" i="3"/>
  <c r="F481" i="3"/>
  <c r="D481" i="3"/>
  <c r="C481" i="3"/>
  <c r="G480" i="3"/>
  <c r="F480" i="3"/>
  <c r="D480" i="3"/>
  <c r="C480" i="3"/>
  <c r="G479" i="3"/>
  <c r="F479" i="3"/>
  <c r="D479" i="3"/>
  <c r="C479" i="3"/>
  <c r="G478" i="3"/>
  <c r="F478" i="3"/>
  <c r="D478" i="3"/>
  <c r="C478" i="3"/>
  <c r="G477" i="3"/>
  <c r="F477" i="3"/>
  <c r="D477" i="3"/>
  <c r="C477" i="3"/>
  <c r="G476" i="3"/>
  <c r="F476" i="3"/>
  <c r="D476" i="3"/>
  <c r="C476" i="3"/>
  <c r="G475" i="3"/>
  <c r="F475" i="3"/>
  <c r="D475" i="3"/>
  <c r="C475" i="3"/>
  <c r="G474" i="3"/>
  <c r="F474" i="3"/>
  <c r="D474" i="3"/>
  <c r="C474" i="3"/>
  <c r="G473" i="3"/>
  <c r="F473" i="3"/>
  <c r="D473" i="3"/>
  <c r="C473" i="3"/>
  <c r="G472" i="3"/>
  <c r="F472" i="3"/>
  <c r="D472" i="3"/>
  <c r="C472" i="3"/>
  <c r="G471" i="3"/>
  <c r="F471" i="3"/>
  <c r="D471" i="3"/>
  <c r="C471" i="3"/>
  <c r="G470" i="3"/>
  <c r="F470" i="3"/>
  <c r="D470" i="3"/>
  <c r="C470" i="3"/>
  <c r="G469" i="3"/>
  <c r="F469" i="3"/>
  <c r="D469" i="3"/>
  <c r="C469" i="3"/>
  <c r="G468" i="3"/>
  <c r="F468" i="3"/>
  <c r="D468" i="3"/>
  <c r="C468" i="3"/>
  <c r="G467" i="3"/>
  <c r="F467" i="3"/>
  <c r="D467" i="3"/>
  <c r="C467" i="3"/>
  <c r="G466" i="3"/>
  <c r="F466" i="3"/>
  <c r="D466" i="3"/>
  <c r="C466" i="3"/>
  <c r="G465" i="3"/>
  <c r="F465" i="3"/>
  <c r="D465" i="3"/>
  <c r="C465" i="3"/>
  <c r="G464" i="3"/>
  <c r="F464" i="3"/>
  <c r="D464" i="3"/>
  <c r="C464" i="3"/>
  <c r="G463" i="3"/>
  <c r="F463" i="3"/>
  <c r="D463" i="3"/>
  <c r="C463" i="3"/>
  <c r="G462" i="3"/>
  <c r="F462" i="3"/>
  <c r="D462" i="3"/>
  <c r="C462" i="3"/>
  <c r="G461" i="3"/>
  <c r="F461" i="3"/>
  <c r="D461" i="3"/>
  <c r="C461" i="3"/>
  <c r="G460" i="3"/>
  <c r="F460" i="3"/>
  <c r="D460" i="3"/>
  <c r="C460" i="3"/>
  <c r="G459" i="3"/>
  <c r="F459" i="3"/>
  <c r="D459" i="3"/>
  <c r="C459" i="3"/>
  <c r="G458" i="3"/>
  <c r="F458" i="3"/>
  <c r="D458" i="3"/>
  <c r="C458" i="3"/>
  <c r="G457" i="3"/>
  <c r="F457" i="3"/>
  <c r="D457" i="3"/>
  <c r="C457" i="3"/>
  <c r="G456" i="3"/>
  <c r="F456" i="3"/>
  <c r="D456" i="3"/>
  <c r="C456" i="3"/>
  <c r="G455" i="3"/>
  <c r="F455" i="3"/>
  <c r="D455" i="3"/>
  <c r="C455" i="3"/>
  <c r="G454" i="3"/>
  <c r="F454" i="3"/>
  <c r="D454" i="3"/>
  <c r="C454" i="3"/>
  <c r="G453" i="3"/>
  <c r="F453" i="3"/>
  <c r="D453" i="3"/>
  <c r="C453" i="3"/>
  <c r="G452" i="3"/>
  <c r="F452" i="3"/>
  <c r="D452" i="3"/>
  <c r="C452" i="3"/>
  <c r="G451" i="3"/>
  <c r="F451" i="3"/>
  <c r="D451" i="3"/>
  <c r="C451" i="3"/>
  <c r="G450" i="3"/>
  <c r="F450" i="3"/>
  <c r="D450" i="3"/>
  <c r="C450" i="3"/>
  <c r="G449" i="3"/>
  <c r="F449" i="3"/>
  <c r="D449" i="3"/>
  <c r="C449" i="3"/>
  <c r="G448" i="3"/>
  <c r="F448" i="3"/>
  <c r="D448" i="3"/>
  <c r="C448" i="3"/>
  <c r="G447" i="3"/>
  <c r="F447" i="3"/>
  <c r="D447" i="3"/>
  <c r="C447" i="3"/>
  <c r="G446" i="3"/>
  <c r="F446" i="3"/>
  <c r="D446" i="3"/>
  <c r="C446" i="3"/>
  <c r="G445" i="3"/>
  <c r="F445" i="3"/>
  <c r="D445" i="3"/>
  <c r="C445" i="3"/>
  <c r="G444" i="3"/>
  <c r="F444" i="3"/>
  <c r="D444" i="3"/>
  <c r="C444" i="3"/>
  <c r="G443" i="3"/>
  <c r="F443" i="3"/>
  <c r="D443" i="3"/>
  <c r="C443" i="3"/>
  <c r="G442" i="3"/>
  <c r="F442" i="3"/>
  <c r="D442" i="3"/>
  <c r="C442" i="3"/>
  <c r="G441" i="3"/>
  <c r="F441" i="3"/>
  <c r="D441" i="3"/>
  <c r="C441" i="3"/>
  <c r="G440" i="3"/>
  <c r="F440" i="3"/>
  <c r="D440" i="3"/>
  <c r="C440" i="3"/>
  <c r="C383" i="3"/>
  <c r="D383" i="3"/>
  <c r="F383" i="3"/>
  <c r="G383" i="3"/>
  <c r="C384" i="3"/>
  <c r="D384" i="3"/>
  <c r="F384" i="3"/>
  <c r="G384" i="3"/>
  <c r="C385" i="3"/>
  <c r="D385" i="3"/>
  <c r="F385" i="3"/>
  <c r="G385" i="3"/>
  <c r="C386" i="3"/>
  <c r="D386" i="3"/>
  <c r="F386" i="3"/>
  <c r="G386" i="3"/>
  <c r="C387" i="3"/>
  <c r="D387" i="3"/>
  <c r="F387" i="3"/>
  <c r="G387" i="3"/>
  <c r="C435" i="3"/>
  <c r="D435" i="3"/>
  <c r="F435" i="3"/>
  <c r="G435" i="3"/>
  <c r="C436" i="3"/>
  <c r="D436" i="3"/>
  <c r="F436" i="3"/>
  <c r="G436" i="3"/>
  <c r="C437" i="3"/>
  <c r="D437" i="3"/>
  <c r="F437" i="3"/>
  <c r="G437" i="3"/>
  <c r="C438" i="3"/>
  <c r="D438" i="3"/>
  <c r="F438" i="3"/>
  <c r="G438" i="3"/>
  <c r="C439" i="3"/>
  <c r="D439" i="3"/>
  <c r="F439" i="3"/>
  <c r="G439" i="3"/>
  <c r="G434" i="3"/>
  <c r="F434" i="3"/>
  <c r="D434" i="3"/>
  <c r="C434" i="3"/>
  <c r="G433" i="3"/>
  <c r="F433" i="3"/>
  <c r="D433" i="3"/>
  <c r="C433" i="3"/>
  <c r="G432" i="3"/>
  <c r="F432" i="3"/>
  <c r="D432" i="3"/>
  <c r="C432" i="3"/>
  <c r="G431" i="3"/>
  <c r="F431" i="3"/>
  <c r="D431" i="3"/>
  <c r="C431" i="3"/>
  <c r="G430" i="3"/>
  <c r="F430" i="3"/>
  <c r="D430" i="3"/>
  <c r="C430" i="3"/>
  <c r="G429" i="3"/>
  <c r="F429" i="3"/>
  <c r="D429" i="3"/>
  <c r="C429" i="3"/>
  <c r="G428" i="3"/>
  <c r="F428" i="3"/>
  <c r="D428" i="3"/>
  <c r="C428" i="3"/>
  <c r="G427" i="3"/>
  <c r="F427" i="3"/>
  <c r="D427" i="3"/>
  <c r="C427" i="3"/>
  <c r="G398" i="3"/>
  <c r="F398" i="3"/>
  <c r="D398" i="3"/>
  <c r="C398" i="3"/>
  <c r="G397" i="3"/>
  <c r="F397" i="3"/>
  <c r="D397" i="3"/>
  <c r="C397" i="3"/>
  <c r="G396" i="3"/>
  <c r="F396" i="3"/>
  <c r="D396" i="3"/>
  <c r="C396" i="3"/>
  <c r="G395" i="3"/>
  <c r="F395" i="3"/>
  <c r="D395" i="3"/>
  <c r="C395" i="3"/>
  <c r="G394" i="3"/>
  <c r="F394" i="3"/>
  <c r="D394" i="3"/>
  <c r="C394" i="3"/>
  <c r="G393" i="3"/>
  <c r="F393" i="3"/>
  <c r="D393" i="3"/>
  <c r="C393" i="3"/>
  <c r="G392" i="3"/>
  <c r="F392" i="3"/>
  <c r="D392" i="3"/>
  <c r="C392" i="3"/>
  <c r="G391" i="3"/>
  <c r="F391" i="3"/>
  <c r="D391" i="3"/>
  <c r="C391" i="3"/>
  <c r="G390" i="3"/>
  <c r="F390" i="3"/>
  <c r="D390" i="3"/>
  <c r="C390" i="3"/>
  <c r="G389" i="3"/>
  <c r="F389" i="3"/>
  <c r="D389" i="3"/>
  <c r="C389" i="3"/>
  <c r="G388" i="3"/>
  <c r="F388" i="3"/>
  <c r="D388" i="3"/>
  <c r="C388" i="3"/>
  <c r="C382" i="3"/>
  <c r="D382" i="3"/>
  <c r="F382" i="3"/>
  <c r="G382" i="3"/>
  <c r="G381" i="3"/>
  <c r="F381" i="3"/>
  <c r="D381" i="3"/>
  <c r="C381" i="3"/>
  <c r="G380" i="3"/>
  <c r="F380" i="3"/>
  <c r="D380" i="3"/>
  <c r="C380" i="3"/>
  <c r="G379" i="3"/>
  <c r="F379" i="3"/>
  <c r="D379" i="3"/>
  <c r="C379" i="3"/>
  <c r="G378" i="3"/>
  <c r="F378" i="3"/>
  <c r="D378" i="3"/>
  <c r="C378" i="3"/>
  <c r="G377" i="3"/>
  <c r="F377" i="3"/>
  <c r="D377" i="3"/>
  <c r="C377" i="3"/>
  <c r="G376" i="3"/>
  <c r="F376" i="3"/>
  <c r="D376" i="3"/>
  <c r="C376" i="3"/>
  <c r="G375" i="3"/>
  <c r="F375" i="3"/>
  <c r="D375" i="3"/>
  <c r="C375" i="3"/>
  <c r="G374" i="3"/>
  <c r="F374" i="3"/>
  <c r="D374" i="3"/>
  <c r="C374" i="3"/>
  <c r="G373" i="3"/>
  <c r="F373" i="3"/>
  <c r="D373" i="3"/>
  <c r="C373" i="3"/>
  <c r="G372" i="3"/>
  <c r="F372" i="3"/>
  <c r="D372" i="3"/>
  <c r="C372" i="3"/>
  <c r="G371" i="3"/>
  <c r="F371" i="3"/>
  <c r="D371" i="3"/>
  <c r="C371" i="3"/>
  <c r="G370" i="3"/>
  <c r="F370" i="3"/>
  <c r="D370" i="3"/>
  <c r="C370" i="3"/>
  <c r="G369" i="3"/>
  <c r="F369" i="3"/>
  <c r="D369" i="3"/>
  <c r="C369" i="3"/>
  <c r="G368" i="3"/>
  <c r="F368" i="3"/>
  <c r="D368" i="3"/>
  <c r="C368" i="3"/>
  <c r="G367" i="3"/>
  <c r="F367" i="3"/>
  <c r="D367" i="3"/>
  <c r="C367" i="3"/>
  <c r="G366" i="3"/>
  <c r="F366" i="3"/>
  <c r="D366" i="3"/>
  <c r="C366" i="3"/>
  <c r="G365" i="3"/>
  <c r="F365" i="3"/>
  <c r="D365" i="3"/>
  <c r="C365" i="3"/>
  <c r="G364" i="3"/>
  <c r="F364" i="3"/>
  <c r="D364" i="3"/>
  <c r="C364" i="3"/>
  <c r="G363" i="3"/>
  <c r="F363" i="3"/>
  <c r="D363" i="3"/>
  <c r="C363" i="3"/>
  <c r="G362" i="3"/>
  <c r="F362" i="3"/>
  <c r="D362" i="3"/>
  <c r="C362" i="3"/>
  <c r="G361" i="3"/>
  <c r="F361" i="3"/>
  <c r="D361" i="3"/>
  <c r="C361" i="3"/>
  <c r="G360" i="3"/>
  <c r="F360" i="3"/>
  <c r="D360" i="3"/>
  <c r="C360" i="3"/>
  <c r="C359" i="3"/>
  <c r="D359" i="3"/>
  <c r="F359" i="3"/>
  <c r="G359" i="3"/>
  <c r="C339" i="3"/>
  <c r="D339" i="3"/>
  <c r="C340" i="3"/>
  <c r="D340" i="3"/>
  <c r="C341" i="3"/>
  <c r="D341" i="3"/>
  <c r="C342" i="3"/>
  <c r="D342" i="3"/>
  <c r="C343" i="3"/>
  <c r="D343" i="3"/>
  <c r="C344" i="3"/>
  <c r="D344" i="3"/>
  <c r="C345" i="3"/>
  <c r="D345" i="3"/>
  <c r="C346" i="3"/>
  <c r="D346" i="3"/>
  <c r="C347" i="3"/>
  <c r="D347" i="3"/>
  <c r="C348" i="3"/>
  <c r="D348" i="3"/>
  <c r="C349" i="3"/>
  <c r="D349" i="3"/>
  <c r="C350" i="3"/>
  <c r="D350" i="3"/>
  <c r="C351" i="3"/>
  <c r="D351" i="3"/>
  <c r="C352" i="3"/>
  <c r="D352" i="3"/>
  <c r="C353" i="3"/>
  <c r="D353" i="3"/>
  <c r="C354" i="3"/>
  <c r="D354" i="3"/>
  <c r="C355" i="3"/>
  <c r="D355" i="3"/>
  <c r="C356" i="3"/>
  <c r="D356" i="3"/>
  <c r="C357" i="3"/>
  <c r="D357" i="3"/>
  <c r="C358" i="3"/>
  <c r="D358" i="3"/>
  <c r="G358" i="3"/>
  <c r="F358" i="3"/>
  <c r="G357" i="3"/>
  <c r="F357" i="3"/>
  <c r="G356" i="3"/>
  <c r="F356" i="3"/>
  <c r="G355" i="3"/>
  <c r="F355" i="3"/>
  <c r="G354" i="3"/>
  <c r="F354" i="3"/>
  <c r="G353" i="3"/>
  <c r="F353" i="3"/>
  <c r="G352" i="3"/>
  <c r="F352" i="3"/>
  <c r="G351" i="3"/>
  <c r="F351" i="3"/>
  <c r="G350" i="3"/>
  <c r="F350" i="3"/>
  <c r="G349" i="3"/>
  <c r="F349" i="3"/>
  <c r="G348" i="3"/>
  <c r="F348" i="3"/>
  <c r="G347" i="3"/>
  <c r="F347" i="3"/>
  <c r="G346" i="3"/>
  <c r="F346" i="3"/>
  <c r="G345" i="3"/>
  <c r="F345" i="3"/>
  <c r="G344" i="3"/>
  <c r="F344" i="3"/>
  <c r="G343" i="3"/>
  <c r="F343" i="3"/>
  <c r="G342" i="3"/>
  <c r="F342" i="3"/>
  <c r="G341" i="3"/>
  <c r="F341" i="3"/>
  <c r="G340" i="3"/>
  <c r="F340" i="3"/>
  <c r="G339" i="3"/>
  <c r="F339" i="3"/>
  <c r="G338" i="3"/>
  <c r="F338" i="3"/>
  <c r="D338" i="3"/>
  <c r="C338" i="3"/>
  <c r="C337" i="3"/>
  <c r="D337" i="3"/>
  <c r="F337" i="3"/>
  <c r="G337" i="3"/>
  <c r="G336" i="3"/>
  <c r="F336" i="3"/>
  <c r="D336" i="3"/>
  <c r="C336" i="3"/>
  <c r="G335" i="3"/>
  <c r="F335" i="3"/>
  <c r="D335" i="3"/>
  <c r="C335" i="3"/>
  <c r="G334" i="3"/>
  <c r="F334" i="3"/>
  <c r="D334" i="3"/>
  <c r="C334" i="3"/>
  <c r="G333" i="3"/>
  <c r="F333" i="3"/>
  <c r="D333" i="3"/>
  <c r="C333" i="3"/>
  <c r="G332" i="3"/>
  <c r="F332" i="3"/>
  <c r="D332" i="3"/>
  <c r="C332" i="3"/>
  <c r="G331" i="3"/>
  <c r="F331" i="3"/>
  <c r="D331" i="3"/>
  <c r="C331" i="3"/>
  <c r="G330" i="3"/>
  <c r="F330" i="3"/>
  <c r="D330" i="3"/>
  <c r="C330" i="3"/>
  <c r="G329" i="3"/>
  <c r="F329" i="3"/>
  <c r="D329" i="3"/>
  <c r="C329" i="3"/>
  <c r="G328" i="3"/>
  <c r="F328" i="3"/>
  <c r="D328" i="3"/>
  <c r="C328" i="3"/>
  <c r="G327" i="3"/>
  <c r="F327" i="3"/>
  <c r="D327" i="3"/>
  <c r="C327" i="3"/>
  <c r="G326" i="3"/>
  <c r="F326" i="3"/>
  <c r="D326" i="3"/>
  <c r="C326" i="3"/>
  <c r="G325" i="3"/>
  <c r="F325" i="3"/>
  <c r="D325" i="3"/>
  <c r="C325" i="3"/>
  <c r="G324" i="3"/>
  <c r="F324" i="3"/>
  <c r="D324" i="3"/>
  <c r="C324" i="3"/>
  <c r="G323" i="3"/>
  <c r="F323" i="3"/>
  <c r="D323" i="3"/>
  <c r="C323" i="3"/>
  <c r="G322" i="3"/>
  <c r="F322" i="3"/>
  <c r="D322" i="3"/>
  <c r="C322" i="3"/>
  <c r="G321" i="3"/>
  <c r="F321" i="3"/>
  <c r="D321" i="3"/>
  <c r="C321" i="3"/>
  <c r="G320" i="3"/>
  <c r="F320" i="3"/>
  <c r="D320" i="3"/>
  <c r="C320" i="3"/>
  <c r="G319" i="3"/>
  <c r="F319" i="3"/>
  <c r="D319" i="3"/>
  <c r="C319" i="3"/>
  <c r="G318" i="3"/>
  <c r="F318" i="3"/>
  <c r="D318" i="3"/>
  <c r="C318" i="3"/>
  <c r="G317" i="3"/>
  <c r="F317" i="3"/>
  <c r="D317" i="3"/>
  <c r="C317" i="3"/>
  <c r="G316" i="3"/>
  <c r="F316" i="3"/>
  <c r="D316" i="3"/>
  <c r="C316" i="3"/>
  <c r="G315" i="3"/>
  <c r="F315" i="3"/>
  <c r="D315" i="3"/>
  <c r="C315" i="3"/>
  <c r="G314" i="3"/>
  <c r="F314" i="3"/>
  <c r="D314" i="3"/>
  <c r="C314" i="3"/>
  <c r="G313" i="3"/>
  <c r="F313" i="3"/>
  <c r="D313" i="3"/>
  <c r="C313" i="3"/>
  <c r="G312" i="3"/>
  <c r="F312" i="3"/>
  <c r="D312" i="3"/>
  <c r="C312" i="3"/>
  <c r="G311" i="3"/>
  <c r="F311" i="3"/>
  <c r="D311" i="3"/>
  <c r="C311" i="3"/>
  <c r="G310" i="3"/>
  <c r="F310" i="3"/>
  <c r="D310" i="3"/>
  <c r="C310" i="3"/>
  <c r="G309" i="3"/>
  <c r="F309" i="3"/>
  <c r="D309" i="3"/>
  <c r="C309" i="3"/>
  <c r="G308" i="3"/>
  <c r="F308" i="3"/>
  <c r="D308" i="3"/>
  <c r="C308" i="3"/>
  <c r="G307" i="3"/>
  <c r="F307" i="3"/>
  <c r="D307" i="3"/>
  <c r="C307" i="3"/>
  <c r="G306" i="3"/>
  <c r="F306" i="3"/>
  <c r="D306" i="3"/>
  <c r="C306" i="3"/>
  <c r="G305" i="3"/>
  <c r="F305" i="3"/>
  <c r="D305" i="3"/>
  <c r="C305" i="3"/>
  <c r="G304" i="3"/>
  <c r="F304" i="3"/>
  <c r="D304" i="3"/>
  <c r="C304" i="3"/>
  <c r="G303" i="3"/>
  <c r="F303" i="3"/>
  <c r="D303" i="3"/>
  <c r="C303" i="3"/>
  <c r="G302" i="3"/>
  <c r="F302" i="3"/>
  <c r="D302" i="3"/>
  <c r="C302" i="3"/>
  <c r="G301" i="3"/>
  <c r="F301" i="3"/>
  <c r="D301" i="3"/>
  <c r="C301" i="3"/>
  <c r="G300" i="3"/>
  <c r="F300" i="3"/>
  <c r="D300" i="3"/>
  <c r="C300" i="3"/>
  <c r="G299" i="3"/>
  <c r="F299" i="3"/>
  <c r="D299" i="3"/>
  <c r="C299" i="3"/>
  <c r="G298" i="3"/>
  <c r="F298" i="3"/>
  <c r="D298" i="3"/>
  <c r="C298" i="3"/>
  <c r="G297" i="3"/>
  <c r="F297" i="3"/>
  <c r="D297" i="3"/>
  <c r="C297" i="3"/>
  <c r="G296" i="3"/>
  <c r="F296" i="3"/>
  <c r="D296" i="3"/>
  <c r="C296" i="3"/>
  <c r="G295" i="3"/>
  <c r="F295" i="3"/>
  <c r="D295" i="3"/>
  <c r="C295" i="3"/>
  <c r="G294" i="3"/>
  <c r="F294" i="3"/>
  <c r="D294" i="3"/>
  <c r="C294" i="3"/>
  <c r="G293" i="3"/>
  <c r="F293" i="3"/>
  <c r="D293" i="3"/>
  <c r="C293" i="3"/>
  <c r="G292" i="3"/>
  <c r="F292" i="3"/>
  <c r="D292" i="3"/>
  <c r="C292" i="3"/>
  <c r="G291" i="3"/>
  <c r="F291" i="3"/>
  <c r="D291" i="3"/>
  <c r="C291" i="3"/>
  <c r="G290" i="3"/>
  <c r="F290" i="3"/>
  <c r="D290" i="3"/>
  <c r="C290" i="3"/>
  <c r="G289" i="3"/>
  <c r="F289" i="3"/>
  <c r="D289" i="3"/>
  <c r="C289" i="3"/>
  <c r="G288" i="3"/>
  <c r="F288" i="3"/>
  <c r="D288" i="3"/>
  <c r="C288" i="3"/>
  <c r="G287" i="3"/>
  <c r="F287" i="3"/>
  <c r="D287" i="3"/>
  <c r="C287" i="3"/>
  <c r="G286" i="3"/>
  <c r="F286" i="3"/>
  <c r="D286" i="3"/>
  <c r="C286" i="3"/>
  <c r="G285" i="3"/>
  <c r="F285" i="3"/>
  <c r="D285" i="3"/>
  <c r="C285" i="3"/>
  <c r="G284" i="3"/>
  <c r="F284" i="3"/>
  <c r="D284" i="3"/>
  <c r="C284" i="3"/>
  <c r="G283" i="3"/>
  <c r="F283" i="3"/>
  <c r="D283" i="3"/>
  <c r="C283" i="3"/>
  <c r="G282" i="3"/>
  <c r="F282" i="3"/>
  <c r="D282" i="3"/>
  <c r="C282" i="3"/>
  <c r="G281" i="3"/>
  <c r="F281" i="3"/>
  <c r="D281" i="3"/>
  <c r="C281" i="3"/>
  <c r="G280" i="3"/>
  <c r="F280" i="3"/>
  <c r="D280" i="3"/>
  <c r="C280" i="3"/>
  <c r="G279" i="3"/>
  <c r="F279" i="3"/>
  <c r="D279" i="3"/>
  <c r="C279" i="3"/>
  <c r="G278" i="3"/>
  <c r="F278" i="3"/>
  <c r="D278" i="3"/>
  <c r="C278" i="3"/>
  <c r="G277" i="3"/>
  <c r="F277" i="3"/>
  <c r="D277" i="3"/>
  <c r="C277" i="3"/>
  <c r="C276" i="3"/>
  <c r="D276" i="3"/>
  <c r="F276" i="3"/>
  <c r="G276" i="3"/>
  <c r="G275" i="3"/>
  <c r="F275" i="3"/>
  <c r="D275" i="3"/>
  <c r="C275" i="3"/>
  <c r="G274" i="3"/>
  <c r="F274" i="3"/>
  <c r="D274" i="3"/>
  <c r="C274" i="3"/>
  <c r="G273" i="3"/>
  <c r="F273" i="3"/>
  <c r="D273" i="3"/>
  <c r="C273" i="3"/>
  <c r="G272" i="3"/>
  <c r="F272" i="3"/>
  <c r="D272" i="3"/>
  <c r="C272" i="3"/>
  <c r="G271" i="3"/>
  <c r="F271" i="3"/>
  <c r="D271" i="3"/>
  <c r="C271" i="3"/>
  <c r="G270" i="3"/>
  <c r="F270" i="3"/>
  <c r="D270" i="3"/>
  <c r="C270" i="3"/>
  <c r="G269" i="3"/>
  <c r="F269" i="3"/>
  <c r="D269" i="3"/>
  <c r="C269" i="3"/>
  <c r="G268" i="3"/>
  <c r="F268" i="3"/>
  <c r="D268" i="3"/>
  <c r="C268" i="3"/>
  <c r="G267" i="3"/>
  <c r="F267" i="3"/>
  <c r="D267" i="3"/>
  <c r="C267" i="3"/>
  <c r="G266" i="3"/>
  <c r="F266" i="3"/>
  <c r="D266" i="3"/>
  <c r="C266" i="3"/>
  <c r="G265" i="3"/>
  <c r="F265" i="3"/>
  <c r="D265" i="3"/>
  <c r="C265" i="3"/>
  <c r="G264" i="3"/>
  <c r="F264" i="3"/>
  <c r="D264" i="3"/>
  <c r="C264" i="3"/>
  <c r="G263" i="3"/>
  <c r="F263" i="3"/>
  <c r="D263" i="3"/>
  <c r="C263" i="3"/>
  <c r="G262" i="3"/>
  <c r="F262" i="3"/>
  <c r="D262" i="3"/>
  <c r="C262" i="3"/>
  <c r="G261" i="3"/>
  <c r="F261" i="3"/>
  <c r="D261" i="3"/>
  <c r="C261" i="3"/>
  <c r="G260" i="3"/>
  <c r="F260" i="3"/>
  <c r="D260" i="3"/>
  <c r="C260" i="3"/>
  <c r="G259" i="3"/>
  <c r="F259" i="3"/>
  <c r="D259" i="3"/>
  <c r="C259" i="3"/>
  <c r="G258" i="3"/>
  <c r="F258" i="3"/>
  <c r="D258" i="3"/>
  <c r="C258" i="3"/>
  <c r="G257" i="3"/>
  <c r="F257" i="3"/>
  <c r="D257" i="3"/>
  <c r="C257" i="3"/>
  <c r="C256" i="3"/>
  <c r="D256" i="3"/>
  <c r="F256" i="3"/>
  <c r="G256" i="3"/>
  <c r="G255" i="3"/>
  <c r="F255" i="3"/>
  <c r="D255" i="3"/>
  <c r="C255" i="3"/>
  <c r="G254" i="3"/>
  <c r="F254" i="3"/>
  <c r="D254" i="3"/>
  <c r="C254" i="3"/>
  <c r="G253" i="3"/>
  <c r="F253" i="3"/>
  <c r="D253" i="3"/>
  <c r="C253" i="3"/>
  <c r="G252" i="3"/>
  <c r="F252" i="3"/>
  <c r="D252" i="3"/>
  <c r="C252" i="3"/>
  <c r="G251" i="3"/>
  <c r="F251" i="3"/>
  <c r="D251" i="3"/>
  <c r="C251" i="3"/>
  <c r="G250" i="3"/>
  <c r="F250" i="3"/>
  <c r="D250" i="3"/>
  <c r="C250" i="3"/>
  <c r="G249" i="3"/>
  <c r="F249" i="3"/>
  <c r="D249" i="3"/>
  <c r="C249" i="3"/>
  <c r="G248" i="3"/>
  <c r="F248" i="3"/>
  <c r="D248" i="3"/>
  <c r="C248" i="3"/>
  <c r="G247" i="3"/>
  <c r="F247" i="3"/>
  <c r="D247" i="3"/>
  <c r="C247" i="3"/>
  <c r="G246" i="3"/>
  <c r="F246" i="3"/>
  <c r="D246" i="3"/>
  <c r="C246" i="3"/>
  <c r="G245" i="3"/>
  <c r="F245" i="3"/>
  <c r="D245" i="3"/>
  <c r="C245" i="3"/>
  <c r="G244" i="3"/>
  <c r="F244" i="3"/>
  <c r="D244" i="3"/>
  <c r="C244" i="3"/>
  <c r="G243" i="3"/>
  <c r="F243" i="3"/>
  <c r="D243" i="3"/>
  <c r="C243" i="3"/>
  <c r="G242" i="3"/>
  <c r="F242" i="3"/>
  <c r="D242" i="3"/>
  <c r="C242" i="3"/>
  <c r="G241" i="3"/>
  <c r="F241" i="3"/>
  <c r="D241" i="3"/>
  <c r="C241" i="3"/>
  <c r="G240" i="3"/>
  <c r="F240" i="3"/>
  <c r="D240" i="3"/>
  <c r="C240" i="3"/>
  <c r="G239" i="3"/>
  <c r="F239" i="3"/>
  <c r="D239" i="3"/>
  <c r="C239" i="3"/>
  <c r="G238" i="3"/>
  <c r="F238" i="3"/>
  <c r="D238" i="3"/>
  <c r="C238" i="3"/>
  <c r="C237" i="3"/>
  <c r="D237" i="3"/>
  <c r="F237" i="3"/>
  <c r="G237" i="3"/>
  <c r="C221" i="3"/>
  <c r="D221" i="3"/>
  <c r="C222" i="3"/>
  <c r="D222" i="3"/>
  <c r="C223" i="3"/>
  <c r="D223" i="3"/>
  <c r="C224" i="3"/>
  <c r="D224" i="3"/>
  <c r="C225" i="3"/>
  <c r="D225" i="3"/>
  <c r="C226" i="3"/>
  <c r="D226" i="3"/>
  <c r="C227" i="3"/>
  <c r="D227" i="3"/>
  <c r="C228" i="3"/>
  <c r="D228" i="3"/>
  <c r="C229" i="3"/>
  <c r="D229" i="3"/>
  <c r="C230" i="3"/>
  <c r="D230" i="3"/>
  <c r="C231" i="3"/>
  <c r="D231" i="3"/>
  <c r="C232" i="3"/>
  <c r="D232" i="3"/>
  <c r="C233" i="3"/>
  <c r="D233" i="3"/>
  <c r="C234" i="3"/>
  <c r="D234" i="3"/>
  <c r="C235" i="3"/>
  <c r="D235" i="3"/>
  <c r="C236" i="3"/>
  <c r="D236" i="3"/>
  <c r="G236" i="3"/>
  <c r="F236" i="3"/>
  <c r="G235" i="3"/>
  <c r="F235" i="3"/>
  <c r="G234" i="3"/>
  <c r="F234" i="3"/>
  <c r="G233" i="3"/>
  <c r="F233" i="3"/>
  <c r="G232" i="3"/>
  <c r="F232" i="3"/>
  <c r="G231" i="3"/>
  <c r="F231" i="3"/>
  <c r="G230" i="3"/>
  <c r="F230" i="3"/>
  <c r="G229" i="3"/>
  <c r="F229" i="3"/>
  <c r="G228" i="3"/>
  <c r="F228" i="3"/>
  <c r="G227" i="3"/>
  <c r="F227" i="3"/>
  <c r="G226" i="3"/>
  <c r="F226" i="3"/>
  <c r="G225" i="3"/>
  <c r="F225" i="3"/>
  <c r="G224" i="3"/>
  <c r="F224" i="3"/>
  <c r="G223" i="3"/>
  <c r="F223" i="3"/>
  <c r="G222" i="3"/>
  <c r="F222" i="3"/>
  <c r="G221" i="3"/>
  <c r="F221" i="3"/>
  <c r="G220" i="3"/>
  <c r="F220" i="3"/>
  <c r="D220" i="3"/>
  <c r="C220" i="3"/>
  <c r="C219" i="3"/>
  <c r="D219" i="3"/>
  <c r="F219" i="3"/>
  <c r="G219" i="3"/>
  <c r="G218" i="3"/>
  <c r="F218" i="3"/>
  <c r="D218" i="3"/>
  <c r="C218" i="3"/>
  <c r="G217" i="3"/>
  <c r="F217" i="3"/>
  <c r="D217" i="3"/>
  <c r="C217" i="3"/>
  <c r="G216" i="3"/>
  <c r="F216" i="3"/>
  <c r="D216" i="3"/>
  <c r="C216" i="3"/>
  <c r="G215" i="3"/>
  <c r="F215" i="3"/>
  <c r="D215" i="3"/>
  <c r="C215" i="3"/>
  <c r="G214" i="3"/>
  <c r="F214" i="3"/>
  <c r="D214" i="3"/>
  <c r="C214" i="3"/>
  <c r="G213" i="3"/>
  <c r="F213" i="3"/>
  <c r="D213" i="3"/>
  <c r="C213" i="3"/>
  <c r="G212" i="3"/>
  <c r="F212" i="3"/>
  <c r="D212" i="3"/>
  <c r="C212" i="3"/>
  <c r="G211" i="3"/>
  <c r="F211" i="3"/>
  <c r="D211" i="3"/>
  <c r="C211" i="3"/>
  <c r="G210" i="3"/>
  <c r="F210" i="3"/>
  <c r="D210" i="3"/>
  <c r="C210" i="3"/>
  <c r="G209" i="3"/>
  <c r="F209" i="3"/>
  <c r="D209" i="3"/>
  <c r="C209" i="3"/>
  <c r="G208" i="3"/>
  <c r="F208" i="3"/>
  <c r="D208" i="3"/>
  <c r="C208" i="3"/>
  <c r="G207" i="3"/>
  <c r="F207" i="3"/>
  <c r="D207" i="3"/>
  <c r="C207" i="3"/>
  <c r="G206" i="3"/>
  <c r="F206" i="3"/>
  <c r="D206" i="3"/>
  <c r="C206" i="3"/>
  <c r="G205" i="3"/>
  <c r="F205" i="3"/>
  <c r="D205" i="3"/>
  <c r="C205" i="3"/>
  <c r="G204" i="3"/>
  <c r="F204" i="3"/>
  <c r="D204" i="3"/>
  <c r="C204" i="3"/>
  <c r="G203" i="3"/>
  <c r="F203" i="3"/>
  <c r="D203" i="3"/>
  <c r="C203" i="3"/>
  <c r="G187" i="3"/>
  <c r="F187" i="3"/>
  <c r="D187" i="3"/>
  <c r="C187" i="3"/>
  <c r="G172" i="3"/>
  <c r="F172" i="3"/>
  <c r="D172" i="3"/>
  <c r="C172" i="3"/>
  <c r="C202" i="3"/>
  <c r="D202" i="3"/>
  <c r="F202" i="3"/>
  <c r="G202" i="3"/>
  <c r="G201" i="3"/>
  <c r="F201" i="3"/>
  <c r="D201" i="3"/>
  <c r="C201" i="3"/>
  <c r="G200" i="3"/>
  <c r="F200" i="3"/>
  <c r="D200" i="3"/>
  <c r="C200" i="3"/>
  <c r="G199" i="3"/>
  <c r="F199" i="3"/>
  <c r="D199" i="3"/>
  <c r="C199" i="3"/>
  <c r="G198" i="3"/>
  <c r="F198" i="3"/>
  <c r="D198" i="3"/>
  <c r="C198" i="3"/>
  <c r="G197" i="3"/>
  <c r="F197" i="3"/>
  <c r="D197" i="3"/>
  <c r="C197" i="3"/>
  <c r="G196" i="3"/>
  <c r="F196" i="3"/>
  <c r="D196" i="3"/>
  <c r="C196" i="3"/>
  <c r="G195" i="3"/>
  <c r="F195" i="3"/>
  <c r="D195" i="3"/>
  <c r="C195" i="3"/>
  <c r="G194" i="3"/>
  <c r="F194" i="3"/>
  <c r="D194" i="3"/>
  <c r="C194" i="3"/>
  <c r="G193" i="3"/>
  <c r="F193" i="3"/>
  <c r="D193" i="3"/>
  <c r="C193" i="3"/>
  <c r="G192" i="3"/>
  <c r="F192" i="3"/>
  <c r="D192" i="3"/>
  <c r="C192" i="3"/>
  <c r="G191" i="3"/>
  <c r="F191" i="3"/>
  <c r="D191" i="3"/>
  <c r="C191" i="3"/>
  <c r="G190" i="3"/>
  <c r="F190" i="3"/>
  <c r="D190" i="3"/>
  <c r="C190" i="3"/>
  <c r="G189" i="3"/>
  <c r="F189" i="3"/>
  <c r="D189" i="3"/>
  <c r="C189" i="3"/>
  <c r="G188" i="3"/>
  <c r="F188" i="3"/>
  <c r="D188" i="3"/>
  <c r="C188" i="3"/>
  <c r="C174" i="3"/>
  <c r="D174" i="3"/>
  <c r="C175" i="3"/>
  <c r="D175" i="3"/>
  <c r="C176" i="3"/>
  <c r="D176" i="3"/>
  <c r="C177" i="3"/>
  <c r="D177" i="3"/>
  <c r="C178" i="3"/>
  <c r="D178" i="3"/>
  <c r="C179" i="3"/>
  <c r="D179" i="3"/>
  <c r="C180" i="3"/>
  <c r="D180" i="3"/>
  <c r="C181" i="3"/>
  <c r="D181" i="3"/>
  <c r="C182" i="3"/>
  <c r="D182" i="3"/>
  <c r="C183" i="3"/>
  <c r="D183" i="3"/>
  <c r="C184" i="3"/>
  <c r="D184" i="3"/>
  <c r="C185" i="3"/>
  <c r="D185" i="3"/>
  <c r="C186" i="3"/>
  <c r="D186" i="3"/>
  <c r="F186" i="3"/>
  <c r="G186" i="3"/>
  <c r="G185" i="3"/>
  <c r="F185" i="3"/>
  <c r="G184" i="3"/>
  <c r="F184" i="3"/>
  <c r="G183" i="3"/>
  <c r="F183" i="3"/>
  <c r="G182" i="3"/>
  <c r="F182" i="3"/>
  <c r="G181" i="3"/>
  <c r="F181" i="3"/>
  <c r="G180" i="3"/>
  <c r="F180" i="3"/>
  <c r="G179" i="3"/>
  <c r="F179" i="3"/>
  <c r="G178" i="3"/>
  <c r="F178" i="3"/>
  <c r="G177" i="3"/>
  <c r="F177" i="3"/>
  <c r="G176" i="3"/>
  <c r="F176" i="3"/>
  <c r="G175" i="3"/>
  <c r="F175" i="3"/>
  <c r="G174" i="3"/>
  <c r="F174" i="3"/>
  <c r="G173" i="3"/>
  <c r="F173" i="3"/>
  <c r="D173" i="3"/>
  <c r="C173" i="3"/>
  <c r="C160" i="3"/>
  <c r="D160" i="3"/>
  <c r="F160" i="3"/>
  <c r="G160" i="3"/>
  <c r="C161" i="3"/>
  <c r="D161" i="3"/>
  <c r="F161" i="3"/>
  <c r="G161" i="3"/>
  <c r="C162" i="3"/>
  <c r="D162" i="3"/>
  <c r="F162" i="3"/>
  <c r="G162" i="3"/>
  <c r="C163" i="3"/>
  <c r="D163" i="3"/>
  <c r="F163" i="3"/>
  <c r="G163" i="3"/>
  <c r="C164" i="3"/>
  <c r="D164" i="3"/>
  <c r="F164" i="3"/>
  <c r="G164" i="3"/>
  <c r="C165" i="3"/>
  <c r="D165" i="3"/>
  <c r="F165" i="3"/>
  <c r="G165" i="3"/>
  <c r="C166" i="3"/>
  <c r="D166" i="3"/>
  <c r="F166" i="3"/>
  <c r="G166" i="3"/>
  <c r="C167" i="3"/>
  <c r="D167" i="3"/>
  <c r="F167" i="3"/>
  <c r="G167" i="3"/>
  <c r="C168" i="3"/>
  <c r="D168" i="3"/>
  <c r="F168" i="3"/>
  <c r="G168" i="3"/>
  <c r="C169" i="3"/>
  <c r="D169" i="3"/>
  <c r="F169" i="3"/>
  <c r="G169" i="3"/>
  <c r="C170" i="3"/>
  <c r="D170" i="3"/>
  <c r="F170" i="3"/>
  <c r="G170" i="3"/>
  <c r="C171" i="3"/>
  <c r="D171" i="3"/>
  <c r="F171" i="3"/>
  <c r="G171" i="3"/>
  <c r="G159" i="3"/>
  <c r="F159" i="3"/>
  <c r="D159" i="3"/>
  <c r="C159" i="3"/>
  <c r="G158" i="3"/>
  <c r="F158" i="3"/>
  <c r="D158" i="3"/>
  <c r="C158" i="3"/>
  <c r="C157" i="3"/>
  <c r="D157" i="3"/>
  <c r="F157" i="3"/>
  <c r="G157" i="3"/>
  <c r="G156" i="3"/>
  <c r="F156" i="3"/>
  <c r="D156" i="3"/>
  <c r="C156" i="3"/>
  <c r="G155" i="3"/>
  <c r="F155" i="3"/>
  <c r="D155" i="3"/>
  <c r="C155" i="3"/>
  <c r="G154" i="3"/>
  <c r="F154" i="3"/>
  <c r="D154" i="3"/>
  <c r="C154" i="3"/>
  <c r="G153" i="3"/>
  <c r="F153" i="3"/>
  <c r="D153" i="3"/>
  <c r="C153" i="3"/>
  <c r="G152" i="3"/>
  <c r="F152" i="3"/>
  <c r="D152" i="3"/>
  <c r="C152" i="3"/>
  <c r="G151" i="3"/>
  <c r="F151" i="3"/>
  <c r="D151" i="3"/>
  <c r="C151" i="3"/>
  <c r="G150" i="3"/>
  <c r="F150" i="3"/>
  <c r="D150" i="3"/>
  <c r="C150" i="3"/>
  <c r="G149" i="3"/>
  <c r="F149" i="3"/>
  <c r="D149" i="3"/>
  <c r="C149" i="3"/>
  <c r="G148" i="3"/>
  <c r="F148" i="3"/>
  <c r="D148" i="3"/>
  <c r="C148" i="3"/>
  <c r="G147" i="3"/>
  <c r="F147" i="3"/>
  <c r="D147" i="3"/>
  <c r="C147" i="3"/>
  <c r="G146" i="3"/>
  <c r="F146" i="3"/>
  <c r="D146" i="3"/>
  <c r="C146" i="3"/>
  <c r="G145" i="3"/>
  <c r="F145" i="3"/>
  <c r="D145" i="3"/>
  <c r="C145" i="3"/>
  <c r="C144" i="3"/>
  <c r="D144" i="3"/>
  <c r="F144" i="3"/>
  <c r="G144" i="3"/>
  <c r="G143" i="3"/>
  <c r="F143" i="3"/>
  <c r="D143" i="3"/>
  <c r="C143" i="3"/>
  <c r="G142" i="3"/>
  <c r="F142" i="3"/>
  <c r="D142" i="3"/>
  <c r="C142" i="3"/>
  <c r="G141" i="3"/>
  <c r="F141" i="3"/>
  <c r="D141" i="3"/>
  <c r="C141" i="3"/>
  <c r="G140" i="3"/>
  <c r="F140" i="3"/>
  <c r="D140" i="3"/>
  <c r="C140" i="3"/>
  <c r="G139" i="3"/>
  <c r="F139" i="3"/>
  <c r="D139" i="3"/>
  <c r="C139" i="3"/>
  <c r="G138" i="3"/>
  <c r="F138" i="3"/>
  <c r="D138" i="3"/>
  <c r="C138" i="3"/>
  <c r="G137" i="3"/>
  <c r="F137" i="3"/>
  <c r="D137" i="3"/>
  <c r="C137" i="3"/>
  <c r="G136" i="3"/>
  <c r="F136" i="3"/>
  <c r="D136" i="3"/>
  <c r="C136" i="3"/>
  <c r="G135" i="3"/>
  <c r="F135" i="3"/>
  <c r="D135" i="3"/>
  <c r="C135" i="3"/>
  <c r="G134" i="3"/>
  <c r="F134" i="3"/>
  <c r="D134" i="3"/>
  <c r="C134" i="3"/>
  <c r="G133" i="3"/>
  <c r="F133" i="3"/>
  <c r="D133" i="3"/>
  <c r="C133" i="3"/>
  <c r="C132" i="3"/>
  <c r="D132" i="3"/>
  <c r="F132" i="3"/>
  <c r="G132" i="3"/>
  <c r="G131" i="3"/>
  <c r="F131" i="3"/>
  <c r="D131" i="3"/>
  <c r="C131" i="3"/>
  <c r="G130" i="3"/>
  <c r="F130" i="3"/>
  <c r="D130" i="3"/>
  <c r="C130" i="3"/>
  <c r="G129" i="3"/>
  <c r="F129" i="3"/>
  <c r="D129" i="3"/>
  <c r="C129" i="3"/>
  <c r="G128" i="3"/>
  <c r="F128" i="3"/>
  <c r="D128" i="3"/>
  <c r="C128" i="3"/>
  <c r="G127" i="3"/>
  <c r="F127" i="3"/>
  <c r="D127" i="3"/>
  <c r="C127" i="3"/>
  <c r="G126" i="3"/>
  <c r="F126" i="3"/>
  <c r="D126" i="3"/>
  <c r="C126" i="3"/>
  <c r="G125" i="3"/>
  <c r="F125" i="3"/>
  <c r="D125" i="3"/>
  <c r="C125" i="3"/>
  <c r="G124" i="3"/>
  <c r="F124" i="3"/>
  <c r="D124" i="3"/>
  <c r="C124" i="3"/>
  <c r="G123" i="3"/>
  <c r="F123" i="3"/>
  <c r="D123" i="3"/>
  <c r="C123" i="3"/>
  <c r="G122" i="3"/>
  <c r="F122" i="3"/>
  <c r="D122" i="3"/>
  <c r="C122" i="3"/>
  <c r="C121" i="3"/>
  <c r="D121" i="3"/>
  <c r="F121" i="3"/>
  <c r="G121" i="3"/>
  <c r="C52" i="3"/>
  <c r="D52" i="3"/>
  <c r="C53" i="3"/>
  <c r="D53" i="3"/>
  <c r="C54" i="3"/>
  <c r="D54" i="3"/>
  <c r="C55" i="3"/>
  <c r="D55" i="3"/>
  <c r="C56" i="3"/>
  <c r="D56" i="3"/>
  <c r="C57" i="3"/>
  <c r="D57" i="3"/>
  <c r="C119" i="3"/>
  <c r="D119" i="3"/>
  <c r="C120" i="3"/>
  <c r="D120" i="3"/>
  <c r="G120" i="3"/>
  <c r="F120" i="3"/>
  <c r="G119" i="3"/>
  <c r="F119" i="3"/>
  <c r="G57" i="3"/>
  <c r="F57" i="3"/>
  <c r="G56" i="3"/>
  <c r="F56" i="3"/>
  <c r="G55" i="3"/>
  <c r="F55" i="3"/>
  <c r="G54" i="3"/>
  <c r="F54" i="3"/>
  <c r="G53" i="3"/>
  <c r="F53" i="3"/>
  <c r="G52" i="3"/>
  <c r="F52" i="3"/>
  <c r="G51" i="3"/>
  <c r="F51" i="3"/>
  <c r="D51" i="3"/>
  <c r="C51" i="3"/>
  <c r="C50" i="3"/>
  <c r="D50" i="3"/>
  <c r="F50" i="3"/>
  <c r="G50" i="3"/>
  <c r="G49" i="3"/>
  <c r="F49" i="3"/>
  <c r="D49" i="3"/>
  <c r="C49" i="3"/>
  <c r="G48" i="3"/>
  <c r="F48" i="3"/>
  <c r="D48" i="3"/>
  <c r="C48" i="3"/>
  <c r="G47" i="3"/>
  <c r="F47" i="3"/>
  <c r="D47" i="3"/>
  <c r="C47" i="3"/>
  <c r="G46" i="3"/>
  <c r="F46" i="3"/>
  <c r="D46" i="3"/>
  <c r="C46" i="3"/>
  <c r="G45" i="3"/>
  <c r="F45" i="3"/>
  <c r="D45" i="3"/>
  <c r="C45" i="3"/>
  <c r="G44" i="3"/>
  <c r="F44" i="3"/>
  <c r="D44" i="3"/>
  <c r="C44" i="3"/>
  <c r="G43" i="3"/>
  <c r="F43" i="3"/>
  <c r="D43" i="3"/>
  <c r="C43" i="3"/>
  <c r="G42" i="3"/>
  <c r="F42" i="3"/>
  <c r="D42" i="3"/>
  <c r="C42" i="3"/>
  <c r="C41" i="3"/>
  <c r="D41" i="3"/>
  <c r="F41" i="3"/>
  <c r="G41" i="3"/>
  <c r="G40" i="3"/>
  <c r="F40" i="3"/>
  <c r="D40" i="3"/>
  <c r="C40" i="3"/>
  <c r="G39" i="3"/>
  <c r="F39" i="3"/>
  <c r="D39" i="3"/>
  <c r="C39" i="3"/>
  <c r="G38" i="3"/>
  <c r="F38" i="3"/>
  <c r="D38" i="3"/>
  <c r="C38" i="3"/>
  <c r="G37" i="3"/>
  <c r="F37" i="3"/>
  <c r="D37" i="3"/>
  <c r="C37" i="3"/>
  <c r="G36" i="3"/>
  <c r="F36" i="3"/>
  <c r="D36" i="3"/>
  <c r="C36" i="3"/>
  <c r="G35" i="3"/>
  <c r="F35" i="3"/>
  <c r="D35" i="3"/>
  <c r="C35" i="3"/>
  <c r="G34" i="3"/>
  <c r="F34" i="3"/>
  <c r="D34" i="3"/>
  <c r="C34" i="3"/>
  <c r="C33" i="3"/>
  <c r="D33" i="3"/>
  <c r="F33" i="3"/>
  <c r="G33" i="3"/>
  <c r="G32" i="3"/>
  <c r="F32" i="3"/>
  <c r="D32" i="3"/>
  <c r="C32" i="3"/>
  <c r="G31" i="3"/>
  <c r="F31" i="3"/>
  <c r="D31" i="3"/>
  <c r="C31" i="3"/>
  <c r="G30" i="3"/>
  <c r="F30" i="3"/>
  <c r="D30" i="3"/>
  <c r="C30" i="3"/>
  <c r="G29" i="3"/>
  <c r="F29" i="3"/>
  <c r="D29" i="3"/>
  <c r="C29" i="3"/>
  <c r="G28" i="3"/>
  <c r="F28" i="3"/>
  <c r="D28" i="3"/>
  <c r="C28" i="3"/>
  <c r="G27" i="3"/>
  <c r="F27" i="3"/>
  <c r="D27" i="3"/>
  <c r="C27" i="3"/>
  <c r="C26" i="3"/>
  <c r="D26" i="3"/>
  <c r="F26" i="3"/>
  <c r="G26" i="3"/>
  <c r="G25" i="3"/>
  <c r="F25" i="3"/>
  <c r="D25" i="3"/>
  <c r="C25" i="3"/>
  <c r="G24" i="3"/>
  <c r="F24" i="3"/>
  <c r="D24" i="3"/>
  <c r="C24" i="3"/>
  <c r="G23" i="3"/>
  <c r="F23" i="3"/>
  <c r="D23" i="3"/>
  <c r="C23" i="3"/>
  <c r="G22" i="3"/>
  <c r="F22" i="3"/>
  <c r="D22" i="3"/>
  <c r="C22" i="3"/>
  <c r="G21" i="3"/>
  <c r="F21" i="3"/>
  <c r="D21" i="3"/>
  <c r="C21" i="3"/>
  <c r="C20" i="3"/>
  <c r="D20" i="3"/>
  <c r="F20" i="3"/>
  <c r="G20" i="3"/>
  <c r="G19" i="3"/>
  <c r="F19" i="3"/>
  <c r="D19" i="3"/>
  <c r="C19" i="3"/>
  <c r="G18" i="3"/>
  <c r="F18" i="3"/>
  <c r="D18" i="3"/>
  <c r="C18" i="3"/>
  <c r="G17" i="3"/>
  <c r="F17" i="3"/>
  <c r="D17" i="3"/>
  <c r="C17" i="3"/>
  <c r="G16" i="3"/>
  <c r="F16" i="3"/>
  <c r="D16" i="3"/>
  <c r="C16" i="3"/>
  <c r="C15" i="3"/>
  <c r="D15" i="3"/>
  <c r="F15" i="3"/>
  <c r="G15" i="3"/>
  <c r="C3" i="3"/>
  <c r="D3" i="3"/>
  <c r="F3" i="3"/>
  <c r="G3" i="3"/>
  <c r="C4" i="3"/>
  <c r="D4" i="3"/>
  <c r="F4" i="3"/>
  <c r="G4" i="3"/>
  <c r="C5" i="3"/>
  <c r="D5" i="3"/>
  <c r="F5" i="3"/>
  <c r="G5" i="3"/>
  <c r="C6" i="3"/>
  <c r="D6" i="3"/>
  <c r="F6" i="3"/>
  <c r="G6" i="3"/>
  <c r="C7" i="3"/>
  <c r="D7" i="3"/>
  <c r="F7" i="3"/>
  <c r="G7" i="3"/>
  <c r="C8" i="3"/>
  <c r="D8" i="3"/>
  <c r="F8" i="3"/>
  <c r="G8" i="3"/>
  <c r="C9" i="3"/>
  <c r="D9" i="3"/>
  <c r="F9" i="3"/>
  <c r="G9" i="3"/>
  <c r="C10" i="3"/>
  <c r="D10" i="3"/>
  <c r="F10" i="3"/>
  <c r="G10" i="3"/>
  <c r="C11" i="3"/>
  <c r="D11" i="3"/>
  <c r="F11" i="3"/>
  <c r="G11" i="3"/>
  <c r="C12" i="3"/>
  <c r="D12" i="3"/>
  <c r="F12" i="3"/>
  <c r="G12" i="3"/>
  <c r="C13" i="3"/>
  <c r="D13" i="3"/>
  <c r="F13" i="3"/>
  <c r="G13" i="3"/>
  <c r="C14" i="3"/>
  <c r="D14" i="3"/>
  <c r="F14" i="3"/>
  <c r="G14" i="3"/>
  <c r="C2" i="3"/>
  <c r="D2" i="3"/>
  <c r="F2" i="3"/>
  <c r="G2" i="3"/>
  <c r="E3" i="10"/>
  <c r="E2" i="10"/>
</calcChain>
</file>

<file path=xl/sharedStrings.xml><?xml version="1.0" encoding="utf-8"?>
<sst xmlns="http://schemas.openxmlformats.org/spreadsheetml/2006/main" count="1687" uniqueCount="123">
  <si>
    <t>stage_id</t>
    <phoneticPr fontId="5"/>
  </si>
  <si>
    <t>hint</t>
    <phoneticPr fontId="5"/>
  </si>
  <si>
    <t>name</t>
    <phoneticPr fontId="5"/>
  </si>
  <si>
    <t>位置付け</t>
    <rPh sb="0" eb="3">
      <t>イチヅ</t>
    </rPh>
    <phoneticPr fontId="5"/>
  </si>
  <si>
    <t>quest_id</t>
    <phoneticPr fontId="5"/>
  </si>
  <si>
    <t>hint_id</t>
    <phoneticPr fontId="5"/>
  </si>
  <si>
    <t>language</t>
    <phoneticPr fontId="5"/>
  </si>
  <si>
    <t>hint</t>
    <phoneticPr fontId="5"/>
  </si>
  <si>
    <t>stage_hints</t>
  </si>
  <si>
    <t>接頭語</t>
    <rPh sb="0" eb="3">
      <t>セットウゴ</t>
    </rPh>
    <phoneticPr fontId="5"/>
  </si>
  <si>
    <t>識別子</t>
    <rPh sb="0" eb="3">
      <t>シキベツシ</t>
    </rPh>
    <phoneticPr fontId="5"/>
  </si>
  <si>
    <t>形式</t>
    <rPh sb="0" eb="2">
      <t>ケイシキ</t>
    </rPh>
    <phoneticPr fontId="5"/>
  </si>
  <si>
    <t>出力ファイル名</t>
    <rPh sb="0" eb="2">
      <t>シュツリョク</t>
    </rPh>
    <rPh sb="6" eb="7">
      <t>メイ</t>
    </rPh>
    <phoneticPr fontId="5"/>
  </si>
  <si>
    <t>入力シート名</t>
    <rPh sb="0" eb="2">
      <t>ニュウリョク</t>
    </rPh>
    <rPh sb="5" eb="6">
      <t>メイ</t>
    </rPh>
    <phoneticPr fontId="5"/>
  </si>
  <si>
    <t>出力データ</t>
    <rPh sb="0" eb="2">
      <t>シュツリョク</t>
    </rPh>
    <phoneticPr fontId="5"/>
  </si>
  <si>
    <t>language</t>
    <phoneticPr fontId="5"/>
  </si>
  <si>
    <t>ja</t>
    <phoneticPr fontId="5"/>
  </si>
  <si>
    <t>出力flg</t>
    <rPh sb="0" eb="2">
      <t>シュツリョク</t>
    </rPh>
    <phoneticPr fontId="5"/>
  </si>
  <si>
    <t>old</t>
    <phoneticPr fontId="38"/>
  </si>
  <si>
    <t>floor_id</t>
    <phoneticPr fontId="5"/>
  </si>
  <si>
    <t>floor_id</t>
    <phoneticPr fontId="5"/>
  </si>
  <si>
    <t>filename</t>
  </si>
  <si>
    <t>filename</t>
    <phoneticPr fontId="5"/>
  </si>
  <si>
    <t>NULL</t>
    <phoneticPr fontId="5"/>
  </si>
  <si>
    <t>title</t>
    <phoneticPr fontId="5"/>
  </si>
  <si>
    <t>title</t>
    <phoneticPr fontId="5"/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</si>
  <si>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</si>
  <si>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r>
      <t>stage_hints</t>
    </r>
    <r>
      <rPr>
        <sz val="12"/>
        <color theme="1"/>
        <rFont val="ＭＳ Ｐゴシック"/>
        <family val="2"/>
        <charset val="128"/>
        <scheme val="minor"/>
      </rPr>
      <t>_data_</t>
    </r>
    <phoneticPr fontId="5"/>
  </si>
  <si>
    <r>
      <t>stage_hints_i18n</t>
    </r>
    <r>
      <rPr>
        <sz val="12"/>
        <color theme="1"/>
        <rFont val="ＭＳ Ｐゴシック"/>
        <family val="2"/>
        <charset val="128"/>
        <scheme val="minor"/>
      </rPr>
      <t>_</t>
    </r>
    <phoneticPr fontId="5"/>
  </si>
  <si>
    <t>hint_id</t>
    <phoneticPr fontId="5"/>
  </si>
  <si>
    <t>hint_type</t>
    <phoneticPr fontId="5"/>
  </si>
  <si>
    <t>hint_type</t>
    <phoneticPr fontId="5"/>
  </si>
  <si>
    <t>complete</t>
  </si>
  <si>
    <t>お気に入り登録</t>
  </si>
  <si>
    <t>マルチプレイが熱い！　その3</t>
  </si>
  <si>
    <t>title</t>
  </si>
  <si>
    <t>hint</t>
  </si>
  <si>
    <t>長くつなげて大ダメージ</t>
  </si>
  <si>
    <t>敵の属性に対抗しよう！</t>
  </si>
  <si>
    <t>ターゲット</t>
  </si>
  <si>
    <t>ボーナスクエスト</t>
  </si>
  <si>
    <t>ユニット強化</t>
  </si>
  <si>
    <t>強化の属性ボーナス</t>
  </si>
  <si>
    <t>メタルダックをつかって強化しよう！</t>
  </si>
  <si>
    <t>ゲリラを見逃すな！</t>
  </si>
  <si>
    <t>ゴールドダックを売却すると大量ビット</t>
  </si>
  <si>
    <t>土日クエストで大量ビットをGET！！</t>
  </si>
  <si>
    <t>ランク解放クエスト</t>
  </si>
  <si>
    <t>ユニットを覚醒させよう！</t>
  </si>
  <si>
    <t>覚醒するにはレベルをMAXに！</t>
  </si>
  <si>
    <t>覚醒素材をGETしよう！</t>
  </si>
  <si>
    <t>マルチプレイが熱い！　その1</t>
  </si>
  <si>
    <t>リンクガチャを引いてみよう</t>
  </si>
  <si>
    <t>マルチプレイが熱い！　その2</t>
  </si>
  <si>
    <t>チャレンジタワー</t>
  </si>
  <si>
    <t>スキルを有効に使おう</t>
  </si>
  <si>
    <t>フィーバーを使って一発逆転</t>
  </si>
  <si>
    <t>フィーバーは虹パネルを狙おう！</t>
  </si>
  <si>
    <t>リンゴをつかって限界突破！</t>
  </si>
  <si>
    <t>クリスタルリンゴはスキルLvUP！</t>
  </si>
  <si>
    <t>スキルLv</t>
  </si>
  <si>
    <t>ホーム画面からデッキを編成！</t>
  </si>
  <si>
    <t>詳細情報は長押しで！</t>
  </si>
  <si>
    <t>ステータスのバグって何？</t>
  </si>
  <si>
    <t>ステータスのバグを増やす方法</t>
  </si>
  <si>
    <t>連続攻撃をしてくる敵には</t>
  </si>
  <si>
    <t>カウンターブレイク！</t>
  </si>
  <si>
    <t>敵のDOWNを上書きしよう！</t>
  </si>
  <si>
    <t>敵のUPを上書きしよう！</t>
  </si>
  <si>
    <t>チャレンジタワーのボス</t>
  </si>
  <si>
    <t>限界突破の引継</t>
  </si>
  <si>
    <t>tips_all_id</t>
    <phoneticPr fontId="5"/>
  </si>
  <si>
    <t>イベントを見逃すな！</t>
  </si>
  <si>
    <t>quest_id</t>
  </si>
  <si>
    <t>stage_id</t>
  </si>
  <si>
    <t>hint_tmp_id</t>
  </si>
  <si>
    <t>chokyu</t>
    <phoneticPr fontId="5"/>
  </si>
  <si>
    <t>パネルを長くつなげればつなげるほど
敵に大ダメージを与えることが出来ます！</t>
    <rPh sb="4" eb="5">
      <t>ナガ</t>
    </rPh>
    <rPh sb="18" eb="19">
      <t>テキ</t>
    </rPh>
    <rPh sb="20" eb="21">
      <t>ダイ</t>
    </rPh>
    <rPh sb="26" eb="27">
      <t>アタ</t>
    </rPh>
    <rPh sb="32" eb="34">
      <t>デキ</t>
    </rPh>
    <phoneticPr fontId="5"/>
  </si>
  <si>
    <t>赤には青、青には黄、黄には緑、緑には赤
効果を発揮できるパーティ編成がオススメです！</t>
    <rPh sb="0" eb="1">
      <t>アカ</t>
    </rPh>
    <rPh sb="3" eb="4">
      <t>アオ</t>
    </rPh>
    <rPh sb="5" eb="6">
      <t>アオ</t>
    </rPh>
    <rPh sb="8" eb="9">
      <t>キイロ</t>
    </rPh>
    <rPh sb="10" eb="11">
      <t>キイロ</t>
    </rPh>
    <rPh sb="13" eb="14">
      <t>ミドリ</t>
    </rPh>
    <rPh sb="15" eb="16">
      <t>ミドリ</t>
    </rPh>
    <rPh sb="18" eb="19">
      <t>アカ</t>
    </rPh>
    <rPh sb="20" eb="22">
      <t>コウカ</t>
    </rPh>
    <rPh sb="23" eb="25">
      <t>ハッキ</t>
    </rPh>
    <rPh sb="32" eb="34">
      <t>ヘンセイ</t>
    </rPh>
    <phoneticPr fontId="5"/>
  </si>
  <si>
    <t>敵ユニットにタッチすると
その敵を狙い撃ちできます！</t>
    <rPh sb="15" eb="16">
      <t>テキ</t>
    </rPh>
    <phoneticPr fontId="5"/>
  </si>
  <si>
    <t>ノーマルクエストを進めると
ボーナスクエストが登場します！
どんどん先に進んでボーナスをGETしましょう！</t>
    <rPh sb="9" eb="10">
      <t>スス</t>
    </rPh>
    <rPh sb="23" eb="25">
      <t>トウジョウ</t>
    </rPh>
    <rPh sb="34" eb="35">
      <t>サキ</t>
    </rPh>
    <rPh sb="36" eb="37">
      <t>スス</t>
    </rPh>
    <phoneticPr fontId="5"/>
  </si>
  <si>
    <t>ユニット強化の際に
同じ属性のユニットを素材にすると
経験値にボーナスがつきます！</t>
    <rPh sb="4" eb="6">
      <t>キョウカ</t>
    </rPh>
    <rPh sb="7" eb="8">
      <t>サイ</t>
    </rPh>
    <rPh sb="20" eb="22">
      <t>ソザイ</t>
    </rPh>
    <phoneticPr fontId="5"/>
  </si>
  <si>
    <t>メタルピヨピヨやメタルダックなどの
「メタルなアヒル」を素材にして
ユニット強化をすると大量の経験値が入ります！</t>
    <rPh sb="28" eb="30">
      <t>ソザイ</t>
    </rPh>
    <rPh sb="38" eb="40">
      <t>キョウカ</t>
    </rPh>
    <rPh sb="44" eb="46">
      <t>タイリョウ</t>
    </rPh>
    <rPh sb="47" eb="50">
      <t>ケイケンチ</t>
    </rPh>
    <rPh sb="51" eb="52">
      <t>ハイ</t>
    </rPh>
    <phoneticPr fontId="5"/>
  </si>
  <si>
    <t>時間限定ゲリラクエスト
「【緊急!!】アヒル捕獲作戦」ではメタルダック等
経験値素材ユニットが多く手に入ります。要チェックです！</t>
    <rPh sb="0" eb="4">
      <t>ジカンゲンテイ</t>
    </rPh>
    <rPh sb="47" eb="49">
      <t>オオk</t>
    </rPh>
    <rPh sb="49" eb="52">
      <t xml:space="preserve"> </t>
    </rPh>
    <rPh sb="56" eb="57">
      <t>ヨウ</t>
    </rPh>
    <phoneticPr fontId="5"/>
  </si>
  <si>
    <t>ゴールドピヨピヨやゴールドダックなどの
「金アヒル」をユニット売却すると
大量のビットが手に入ります！</t>
    <rPh sb="21" eb="22">
      <t>キンイロ</t>
    </rPh>
    <rPh sb="31" eb="33">
      <t>バイキャク</t>
    </rPh>
    <rPh sb="37" eb="39">
      <t>タイリョウ</t>
    </rPh>
    <rPh sb="44" eb="45">
      <t>テ</t>
    </rPh>
    <rPh sb="46" eb="47">
      <t>ハイ</t>
    </rPh>
    <phoneticPr fontId="5"/>
  </si>
  <si>
    <t>売却すると大量ビットが手に入る
「ゴールドダック」は土日限定の
「ゴールドカジノ」で手に入ります！</t>
    <rPh sb="0" eb="2">
      <t>バイキャク</t>
    </rPh>
    <rPh sb="5" eb="7">
      <t>タイリョウ</t>
    </rPh>
    <rPh sb="11" eb="12">
      <t>テ</t>
    </rPh>
    <rPh sb="13" eb="14">
      <t>ハイ</t>
    </rPh>
    <rPh sb="26" eb="28">
      <t>ドニチ</t>
    </rPh>
    <rPh sb="28" eb="30">
      <t>ゲンテイ</t>
    </rPh>
    <rPh sb="42" eb="43">
      <t>テ</t>
    </rPh>
    <rPh sb="44" eb="45">
      <t>ハイ</t>
    </rPh>
    <phoneticPr fontId="5"/>
  </si>
  <si>
    <t>一定ランクに到達すると
新たにクエストが開放される場合があります。
ランク開放クエストをクリアして報酬をGETしましょう！</t>
    <rPh sb="0" eb="2">
      <t>イッテイ</t>
    </rPh>
    <rPh sb="6" eb="8">
      <t>トウタツ</t>
    </rPh>
    <rPh sb="12" eb="13">
      <t>アラ</t>
    </rPh>
    <rPh sb="25" eb="27">
      <t>バアイ</t>
    </rPh>
    <rPh sb="37" eb="39">
      <t>カイホウ</t>
    </rPh>
    <rPh sb="49" eb="51">
      <t>ホウシュウ</t>
    </rPh>
    <phoneticPr fontId="5"/>
  </si>
  <si>
    <t>大事なユニットは
フォルダからお気に入り登録しましょう！</t>
  </si>
  <si>
    <t>ユニットを覚醒させると
これまでとは比べものにならない強さを獲得できます！</t>
    <rPh sb="5" eb="7">
      <t>カクセイ</t>
    </rPh>
    <rPh sb="18" eb="19">
      <t>クラ</t>
    </rPh>
    <rPh sb="27" eb="28">
      <t>ツヨ</t>
    </rPh>
    <rPh sb="30" eb="32">
      <t>カクトク</t>
    </rPh>
    <phoneticPr fontId="5"/>
  </si>
  <si>
    <t>ユニットの更なる力を引き出すのが覚醒！
覚醒するにはユニットのレベルを
最大まで上げる必要があります！</t>
    <rPh sb="5" eb="6">
      <t>サラ</t>
    </rPh>
    <rPh sb="8" eb="9">
      <t>チカラ</t>
    </rPh>
    <rPh sb="10" eb="11">
      <t>ヒ</t>
    </rPh>
    <rPh sb="12" eb="13">
      <t>ダ</t>
    </rPh>
    <rPh sb="16" eb="18">
      <t>カクセイ</t>
    </rPh>
    <rPh sb="20" eb="22">
      <t>カクセイ</t>
    </rPh>
    <rPh sb="36" eb="38">
      <t>サイダイ</t>
    </rPh>
    <rPh sb="40" eb="41">
      <t>ア</t>
    </rPh>
    <rPh sb="43" eb="45">
      <t>ヒツヨウ</t>
    </rPh>
    <phoneticPr fontId="5"/>
  </si>
  <si>
    <t>覚醒に必要な覚醒素材は
「曜日クエスト」で手に入ります！</t>
    <rPh sb="0" eb="2">
      <t>カクセイ</t>
    </rPh>
    <rPh sb="3" eb="5">
      <t>ヒツヨウ</t>
    </rPh>
    <rPh sb="6" eb="8">
      <t>カクセイ</t>
    </rPh>
    <rPh sb="8" eb="10">
      <t>ソザイ</t>
    </rPh>
    <rPh sb="13" eb="15">
      <t>ヨウビ</t>
    </rPh>
    <rPh sb="21" eb="22">
      <t>テ</t>
    </rPh>
    <rPh sb="23" eb="24">
      <t>ハイ</t>
    </rPh>
    <phoneticPr fontId="5"/>
  </si>
  <si>
    <t>全国の友達とマルチプレイをすると
初顔合わせボーナスで100人まで
ポリゴンがもらえます！</t>
    <rPh sb="0" eb="2">
      <t>ゼンコク</t>
    </rPh>
    <rPh sb="3" eb="5">
      <t>トモダチ</t>
    </rPh>
    <rPh sb="17" eb="20">
      <t>ハツカオア</t>
    </rPh>
    <rPh sb="30" eb="31">
      <t>ニン</t>
    </rPh>
    <phoneticPr fontId="5"/>
  </si>
  <si>
    <t>リンクガチャを回すと
メタルダックやゴールドダックが出現しやすいです。
リンクガチャを回して強化素材をGETしましょう！</t>
    <rPh sb="7" eb="10">
      <t>マワs</t>
    </rPh>
    <rPh sb="26" eb="28">
      <t>シュツゲン</t>
    </rPh>
    <rPh sb="43" eb="44">
      <t>マワ</t>
    </rPh>
    <rPh sb="46" eb="50">
      <t>キョウカソザイ</t>
    </rPh>
    <phoneticPr fontId="5"/>
  </si>
  <si>
    <t>マルチプレイはもらえるリンクが2倍！
マルチで遊んでリンクガチャを回しましょう！</t>
    <rPh sb="16" eb="17">
      <t>バイ</t>
    </rPh>
    <rPh sb="23" eb="24">
      <t>アソ</t>
    </rPh>
    <rPh sb="33" eb="34">
      <t>マワ</t>
    </rPh>
    <phoneticPr fontId="5"/>
  </si>
  <si>
    <t>イベントクエストの「チャレンジタワー」を
クリアすると報酬がもらえます！
報酬を手に入れながら頂上を目指しましょう！</t>
    <rPh sb="27" eb="29">
      <t>ホウシュウ</t>
    </rPh>
    <rPh sb="37" eb="39">
      <t>ホウシュウ</t>
    </rPh>
    <rPh sb="40" eb="41">
      <t>テ</t>
    </rPh>
    <rPh sb="42" eb="43">
      <t>イ</t>
    </rPh>
    <rPh sb="47" eb="49">
      <t>チョウジョウ</t>
    </rPh>
    <rPh sb="50" eb="52">
      <t>メザ</t>
    </rPh>
    <phoneticPr fontId="5"/>
  </si>
  <si>
    <t>ピンチの時はフィーバーで一発逆転を狙いましょう！</t>
    <rPh sb="4" eb="5">
      <t>トk</t>
    </rPh>
    <rPh sb="12" eb="16">
      <t>イッパツギャクテン</t>
    </rPh>
    <rPh sb="17" eb="18">
      <t>ネラ</t>
    </rPh>
    <phoneticPr fontId="5"/>
  </si>
  <si>
    <t>フィーバー中にたまに落ちてくる
虹色のパネルを壊すと
全てのパネルを壊すことができます！</t>
    <rPh sb="5" eb="6">
      <t>チュウ</t>
    </rPh>
    <rPh sb="10" eb="11">
      <t>オ</t>
    </rPh>
    <rPh sb="16" eb="18">
      <t>ニジイロ</t>
    </rPh>
    <rPh sb="23" eb="24">
      <t>コワ</t>
    </rPh>
    <rPh sb="27" eb="28">
      <t>スベ</t>
    </rPh>
    <rPh sb="34" eb="35">
      <t>コワ</t>
    </rPh>
    <phoneticPr fontId="5"/>
  </si>
  <si>
    <t>秘術の果実をユニット強化に使うと
スキルLvが上げることができます！
お気に入りユニットのスキルLvを上げてみましょう！</t>
    <rPh sb="0" eb="2">
      <t>ヒジュツ</t>
    </rPh>
    <rPh sb="3" eb="5">
      <t>カジツ</t>
    </rPh>
    <rPh sb="10" eb="12">
      <t>キョウカ</t>
    </rPh>
    <rPh sb="13" eb="16">
      <t>ツカ</t>
    </rPh>
    <rPh sb="23" eb="31">
      <t>アガr</t>
    </rPh>
    <rPh sb="36" eb="37">
      <t>キ</t>
    </rPh>
    <rPh sb="38" eb="39">
      <t>イ</t>
    </rPh>
    <rPh sb="51" eb="52">
      <t>ア</t>
    </rPh>
    <phoneticPr fontId="5"/>
  </si>
  <si>
    <t>スキルLvが上がると
より短いターンでスキルを打つことができます！</t>
  </si>
  <si>
    <t>ホーム画面でパーティを確認している時
ユニットの画像を長押しすると
パーティ構成画面に移動することができます！</t>
    <rPh sb="3" eb="5">
      <t>ガメン</t>
    </rPh>
    <rPh sb="11" eb="13">
      <t>カクニン</t>
    </rPh>
    <rPh sb="17" eb="18">
      <t>トキ</t>
    </rPh>
    <rPh sb="24" eb="26">
      <t>ガゾウ</t>
    </rPh>
    <rPh sb="27" eb="29">
      <t>ナガオ</t>
    </rPh>
    <rPh sb="38" eb="40">
      <t>コウセイ</t>
    </rPh>
    <rPh sb="40" eb="42">
      <t>ガメン</t>
    </rPh>
    <rPh sb="43" eb="45">
      <t>イドウ</t>
    </rPh>
    <phoneticPr fontId="5"/>
  </si>
  <si>
    <t>ユニット強化やユニット覚醒などの画面で
ユニットを長押しすれば
ユニットの詳細情報を見ることができます！</t>
    <rPh sb="4" eb="6">
      <t>キョウカ</t>
    </rPh>
    <rPh sb="11" eb="13">
      <t>カクセイ</t>
    </rPh>
    <rPh sb="16" eb="18">
      <t>ガメン</t>
    </rPh>
    <rPh sb="25" eb="27">
      <t>ナガオ</t>
    </rPh>
    <rPh sb="37" eb="39">
      <t>ショウサイ</t>
    </rPh>
    <rPh sb="39" eb="41">
      <t>ジョウホウ</t>
    </rPh>
    <rPh sb="42" eb="43">
      <t>ミ</t>
    </rPh>
    <phoneticPr fontId="5"/>
  </si>
  <si>
    <t>バグが高いとクエストの報酬確率がアップする！</t>
    <rPh sb="3" eb="4">
      <t>タカ</t>
    </rPh>
    <rPh sb="11" eb="15">
      <t>ホウシュウカクリツ</t>
    </rPh>
    <phoneticPr fontId="5"/>
  </si>
  <si>
    <t>同じユニット同士を使ってユニット強化をすると
バグを増やすことができます！</t>
    <rPh sb="0" eb="1">
      <t>オナ</t>
    </rPh>
    <rPh sb="6" eb="8">
      <t>ドウシ</t>
    </rPh>
    <rPh sb="9" eb="10">
      <t>ツカ</t>
    </rPh>
    <rPh sb="16" eb="18">
      <t>キョウカ</t>
    </rPh>
    <rPh sb="26" eb="27">
      <t>フ</t>
    </rPh>
    <phoneticPr fontId="5"/>
  </si>
  <si>
    <t>攻撃力DOWNの攻撃を受けたときは
攻撃力UPスキルを使うと効果を上書きできます！</t>
    <rPh sb="0" eb="3">
      <t>コウゲキリョク</t>
    </rPh>
    <rPh sb="8" eb="10">
      <t>コウゲキ</t>
    </rPh>
    <rPh sb="11" eb="12">
      <t>ウ</t>
    </rPh>
    <rPh sb="18" eb="21">
      <t>コウゲキリョク</t>
    </rPh>
    <rPh sb="27" eb="28">
      <t>ツカ</t>
    </rPh>
    <rPh sb="30" eb="32">
      <t>コウカ</t>
    </rPh>
    <rPh sb="33" eb="35">
      <t>ウワガ</t>
    </rPh>
    <phoneticPr fontId="5"/>
  </si>
  <si>
    <t>敵の攻撃力がUPしたときは
攻撃力DOWNスキルを使うと
効果を上書きできます！</t>
    <rPh sb="0" eb="1">
      <t>テキ</t>
    </rPh>
    <rPh sb="2" eb="5">
      <t>コウゲキリョク</t>
    </rPh>
    <rPh sb="14" eb="17">
      <t>コウゲキリョク</t>
    </rPh>
    <rPh sb="25" eb="26">
      <t>ツカ</t>
    </rPh>
    <rPh sb="29" eb="31">
      <t>コウカ</t>
    </rPh>
    <rPh sb="32" eb="34">
      <t>ウワガ</t>
    </rPh>
    <phoneticPr fontId="5"/>
  </si>
  <si>
    <t>チャレンジタワーのボス
（テスラ、シャルル、ボイル）は
一定確率でドロップします！</t>
    <rPh sb="28" eb="32">
      <t>イッテイカクリツ</t>
    </rPh>
    <phoneticPr fontId="5"/>
  </si>
  <si>
    <t>限界突破（+値）の引継ぎは同じユニットか
同じユニットの覚醒前後のみ可能です。
ユニット強化の際は注意しましょう！</t>
    <rPh sb="0" eb="4">
      <t>ゲンカイトッパ</t>
    </rPh>
    <rPh sb="6" eb="7">
      <t>アタイ</t>
    </rPh>
    <rPh sb="9" eb="11">
      <t>ヒキツ</t>
    </rPh>
    <rPh sb="13" eb="14">
      <t>オナ</t>
    </rPh>
    <rPh sb="21" eb="22">
      <t>オナ</t>
    </rPh>
    <rPh sb="28" eb="32">
      <t>カクセイケイ</t>
    </rPh>
    <rPh sb="34" eb="36">
      <t>カノウ</t>
    </rPh>
    <rPh sb="44" eb="46">
      <t>キョウカ</t>
    </rPh>
    <rPh sb="47" eb="48">
      <t>サイ</t>
    </rPh>
    <rPh sb="49" eb="51">
      <t>チュウイ</t>
    </rPh>
    <phoneticPr fontId="5"/>
  </si>
  <si>
    <t>ユニットは「ユニット強化」をすることで
経験値を取得しレベルアップできます。
「ユニット強化」でクエストを有利に進めましょう！</t>
    <rPh sb="10" eb="12">
      <t>キョウカ</t>
    </rPh>
    <rPh sb="20" eb="23">
      <t>ケイケンチ</t>
    </rPh>
    <rPh sb="24" eb="26">
      <t>シュトク</t>
    </rPh>
    <rPh sb="44" eb="46">
      <t>キョウカ</t>
    </rPh>
    <rPh sb="53" eb="55">
      <t>ユウリ</t>
    </rPh>
    <rPh sb="56" eb="57">
      <t>スス</t>
    </rPh>
    <phoneticPr fontId="5"/>
  </si>
  <si>
    <t>攻めの果実、生命の果実、癒しの果実は
ユニット強化に使うと
各パラメーターを上げることができます
合計＋99まで強化できますよ！</t>
    <rPh sb="0" eb="1">
      <t>セ</t>
    </rPh>
    <rPh sb="3" eb="5">
      <t>カジツ</t>
    </rPh>
    <rPh sb="6" eb="8">
      <t>セイメイ</t>
    </rPh>
    <rPh sb="9" eb="11">
      <t>カジツ</t>
    </rPh>
    <rPh sb="12" eb="13">
      <t>イヤ</t>
    </rPh>
    <rPh sb="15" eb="17">
      <t>カジツ</t>
    </rPh>
    <rPh sb="23" eb="25">
      <t>キョウカ</t>
    </rPh>
    <rPh sb="26" eb="29">
      <t>ツカ</t>
    </rPh>
    <rPh sb="30" eb="31">
      <t>カク</t>
    </rPh>
    <rPh sb="38" eb="39">
      <t>ア</t>
    </rPh>
    <rPh sb="49" eb="51">
      <t>ゴウケ</t>
    </rPh>
    <rPh sb="56" eb="58">
      <t>キョウカ</t>
    </rPh>
    <phoneticPr fontId="5"/>
  </si>
  <si>
    <t>各イベントでしか入手できない
ユニットがいるので要チェックです！</t>
    <phoneticPr fontId="5"/>
  </si>
  <si>
    <t>消すことの出来ないお邪魔パネルは
フィーバーを使うと下に落とすことができますよ！</t>
    <rPh sb="0" eb="1">
      <t>ケ</t>
    </rPh>
    <rPh sb="5" eb="7">
      <t>デキ</t>
    </rPh>
    <rPh sb="10" eb="12">
      <t>ジャマ</t>
    </rPh>
    <rPh sb="23" eb="24">
      <t>ツカ</t>
    </rPh>
    <rPh sb="26" eb="27">
      <t>シタ</t>
    </rPh>
    <rPh sb="28" eb="29">
      <t>オ</t>
    </rPh>
    <phoneticPr fontId="5"/>
  </si>
  <si>
    <t>カウンターを使ってくる敵には
「カウンターブレイク」のスキルが有効です
カウンターを解除して大ダメージを
与えることができます！</t>
    <rPh sb="6" eb="7">
      <t>ツカ</t>
    </rPh>
    <rPh sb="11" eb="12">
      <t>テキ</t>
    </rPh>
    <rPh sb="31" eb="33">
      <t>ユウコウ</t>
    </rPh>
    <rPh sb="42" eb="44">
      <t>カイジョ</t>
    </rPh>
    <rPh sb="46" eb="47">
      <t>ダイ</t>
    </rPh>
    <rPh sb="53" eb="54">
      <t>アタ</t>
    </rPh>
    <phoneticPr fontId="5"/>
  </si>
  <si>
    <t>マルチプレイへの参加はエナジー消費がありません！
どんどん参加してどんどんユニットをGETしましょう！</t>
    <phoneticPr fontId="5"/>
  </si>
  <si>
    <t>ユニットはターン経過で
スキルが使えるようになります。
「Skill OK」というアイコンが出たら
スキルを使うチャンス！</t>
    <rPh sb="8" eb="10">
      <t>ケイカ</t>
    </rPh>
    <rPh sb="16" eb="17">
      <t>ツカ</t>
    </rPh>
    <rPh sb="46" eb="47">
      <t>デ</t>
    </rPh>
    <rPh sb="54" eb="55">
      <t>ツカ</t>
    </rPh>
    <phoneticPr fontId="5"/>
  </si>
  <si>
    <t>skip</t>
    <phoneticPr fontId="38"/>
  </si>
  <si>
    <t>ja</t>
    <phoneticPr fontId="5"/>
  </si>
  <si>
    <t>ja</t>
    <phoneticPr fontId="5"/>
  </si>
  <si>
    <t>ja</t>
    <phoneticPr fontId="5"/>
  </si>
  <si>
    <t>ja</t>
    <phoneticPr fontId="5"/>
  </si>
  <si>
    <t>ja</t>
    <phoneticPr fontId="5"/>
  </si>
  <si>
    <t>ja</t>
    <phoneticPr fontId="5"/>
  </si>
  <si>
    <t>ja</t>
    <phoneticPr fontId="5"/>
  </si>
  <si>
    <t>ja</t>
    <phoneticPr fontId="5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</si>
</sst>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3" x14ac:knownFonts="1"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9.6"/>
      <color rgb="FF000000"/>
      <name val="Arial"/>
      <family val="2"/>
    </font>
    <font>
      <sz val="10"/>
      <color theme="1"/>
      <name val="ＭＳ Ｐゴシック"/>
      <family val="2"/>
      <charset val="128"/>
      <scheme val="minor"/>
    </font>
    <font>
      <sz val="10"/>
      <color rgb="FF000000"/>
      <name val="Arial"/>
      <family val="2"/>
    </font>
    <font>
      <u/>
      <sz val="12"/>
      <color theme="10"/>
      <name val="ＭＳ Ｐゴシック"/>
      <family val="2"/>
      <charset val="128"/>
      <scheme val="minor"/>
    </font>
    <font>
      <u/>
      <sz val="12"/>
      <color theme="11"/>
      <name val="ＭＳ Ｐゴシック"/>
      <family val="2"/>
      <charset val="128"/>
      <scheme val="minor"/>
    </font>
    <font>
      <sz val="12"/>
      <color theme="1"/>
      <name val="ＭＳ Ｐゴシック"/>
      <family val="3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sz val="10"/>
      <color indexed="8"/>
      <name val="ＭＳ Ｐゴシック"/>
      <family val="3"/>
      <charset val="128"/>
      <scheme val="minor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0"/>
      <color indexed="8"/>
      <name val="Arial"/>
      <family val="2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8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6"/>
      <name val="ＭＳ Ｐゴシック"/>
      <family val="2"/>
      <charset val="128"/>
    </font>
    <font>
      <sz val="9.6"/>
      <color rgb="FF000000"/>
      <name val="ＭＳ Ｐゴシック"/>
      <family val="2"/>
      <charset val="128"/>
    </font>
    <font>
      <sz val="12"/>
      <name val="ＭＳ Ｐゴシック"/>
      <charset val="128"/>
      <scheme val="minor"/>
    </font>
    <font>
      <sz val="10"/>
      <color rgb="FF000000"/>
      <name val="ＭＳ Ｐゴシック"/>
      <family val="3"/>
      <charset val="128"/>
      <scheme val="minor"/>
    </font>
    <font>
      <sz val="12"/>
      <color rgb="FF000000"/>
      <name val="ＭＳ Ｐゴシック"/>
      <family val="3"/>
      <charset val="128"/>
      <scheme val="minor"/>
    </font>
  </fonts>
  <fills count="2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249977111117893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805">
    <xf numFmtId="0" fontId="0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38" fontId="4" fillId="0" borderId="0" applyFont="0" applyFill="0" applyBorder="0" applyAlignment="0" applyProtection="0">
      <alignment vertical="center"/>
    </xf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14" fillId="6" borderId="3" applyNumberFormat="0" applyAlignment="0" applyProtection="0"/>
    <xf numFmtId="0" fontId="15" fillId="7" borderId="0" applyNumberFormat="0" applyBorder="0" applyAlignment="0" applyProtection="0"/>
    <xf numFmtId="0" fontId="16" fillId="8" borderId="4" applyNumberFormat="0" applyAlignment="0" applyProtection="0"/>
    <xf numFmtId="0" fontId="17" fillId="0" borderId="0" applyNumberFormat="0" applyFill="0" applyBorder="0" applyAlignment="0" applyProtection="0"/>
    <xf numFmtId="0" fontId="18" fillId="9" borderId="0" applyNumberFormat="0" applyBorder="0" applyAlignment="0" applyProtection="0"/>
    <xf numFmtId="0" fontId="19" fillId="10" borderId="5" applyNumberFormat="0" applyAlignment="0" applyProtection="0"/>
    <xf numFmtId="0" fontId="20" fillId="0" borderId="0" applyNumberFormat="0" applyFill="0" applyBorder="0" applyAlignment="0" applyProtection="0"/>
    <xf numFmtId="0" fontId="21" fillId="0" borderId="6" applyNumberFormat="0" applyFill="0" applyAlignment="0" applyProtection="0"/>
    <xf numFmtId="0" fontId="22" fillId="0" borderId="7" applyNumberFormat="0" applyFill="0" applyAlignment="0" applyProtection="0"/>
    <xf numFmtId="0" fontId="23" fillId="0" borderId="8" applyNumberFormat="0" applyFill="0" applyAlignment="0" applyProtection="0"/>
    <xf numFmtId="0" fontId="23" fillId="0" borderId="0" applyNumberFormat="0" applyFill="0" applyBorder="0" applyAlignment="0" applyProtection="0"/>
    <xf numFmtId="0" fontId="24" fillId="8" borderId="0" applyNumberFormat="0" applyBorder="0" applyAlignment="0" applyProtection="0"/>
    <xf numFmtId="0" fontId="24" fillId="7" borderId="0" applyNumberFormat="0" applyBorder="0" applyAlignment="0" applyProtection="0"/>
    <xf numFmtId="0" fontId="24" fillId="11" borderId="0" applyNumberFormat="0" applyBorder="0" applyAlignment="0" applyProtection="0"/>
    <xf numFmtId="0" fontId="24" fillId="8" borderId="0" applyNumberFormat="0" applyBorder="0" applyAlignment="0" applyProtection="0"/>
    <xf numFmtId="0" fontId="24" fillId="12" borderId="0" applyNumberFormat="0" applyBorder="0" applyAlignment="0" applyProtection="0"/>
    <xf numFmtId="0" fontId="24" fillId="6" borderId="0" applyNumberFormat="0" applyBorder="0" applyAlignment="0" applyProtection="0"/>
    <xf numFmtId="0" fontId="24" fillId="8" borderId="0" applyNumberFormat="0" applyBorder="0" applyAlignment="0" applyProtection="0"/>
    <xf numFmtId="0" fontId="24" fillId="13" borderId="0" applyNumberFormat="0" applyBorder="0" applyAlignment="0" applyProtection="0"/>
    <xf numFmtId="0" fontId="24" fillId="11" borderId="0" applyNumberFormat="0" applyBorder="0" applyAlignment="0" applyProtection="0"/>
    <xf numFmtId="0" fontId="24" fillId="8" borderId="0" applyNumberFormat="0" applyBorder="0" applyAlignment="0" applyProtection="0"/>
    <xf numFmtId="0" fontId="24" fillId="14" borderId="0" applyNumberFormat="0" applyBorder="0" applyAlignment="0" applyProtection="0"/>
    <xf numFmtId="0" fontId="24" fillId="7" borderId="0" applyNumberFormat="0" applyBorder="0" applyAlignment="0" applyProtection="0"/>
    <xf numFmtId="0" fontId="25" fillId="15" borderId="0" applyNumberFormat="0" applyBorder="0" applyAlignment="0" applyProtection="0"/>
    <xf numFmtId="0" fontId="25" fillId="13" borderId="0" applyNumberFormat="0" applyBorder="0" applyAlignment="0" applyProtection="0"/>
    <xf numFmtId="0" fontId="25" fillId="11" borderId="0" applyNumberFormat="0" applyBorder="0" applyAlignment="0" applyProtection="0"/>
    <xf numFmtId="0" fontId="25" fillId="8" borderId="0" applyNumberFormat="0" applyBorder="0" applyAlignment="0" applyProtection="0"/>
    <xf numFmtId="0" fontId="25" fillId="15" borderId="0" applyNumberFormat="0" applyBorder="0" applyAlignment="0" applyProtection="0"/>
    <xf numFmtId="0" fontId="25" fillId="7" borderId="0" applyNumberFormat="0" applyBorder="0" applyAlignment="0" applyProtection="0"/>
    <xf numFmtId="0" fontId="17" fillId="0" borderId="0" applyNumberFormat="0" applyFill="0" applyBorder="0" applyAlignment="0" applyProtection="0"/>
    <xf numFmtId="0" fontId="25" fillId="15" borderId="0" applyNumberFormat="0" applyBorder="0" applyAlignment="0" applyProtection="0"/>
    <xf numFmtId="0" fontId="25" fillId="16" borderId="0" applyNumberFormat="0" applyBorder="0" applyAlignment="0" applyProtection="0"/>
    <xf numFmtId="0" fontId="25" fillId="11" borderId="0" applyNumberFormat="0" applyBorder="0" applyAlignment="0" applyProtection="0"/>
    <xf numFmtId="0" fontId="25" fillId="17" borderId="0" applyNumberFormat="0" applyBorder="0" applyAlignment="0" applyProtection="0"/>
    <xf numFmtId="0" fontId="25" fillId="15" borderId="0" applyNumberFormat="0" applyBorder="0" applyAlignment="0" applyProtection="0"/>
    <xf numFmtId="0" fontId="25" fillId="13" borderId="0" applyNumberFormat="0" applyBorder="0" applyAlignment="0" applyProtection="0"/>
    <xf numFmtId="0" fontId="26" fillId="18" borderId="0" applyNumberFormat="0" applyBorder="0" applyAlignment="0" applyProtection="0"/>
    <xf numFmtId="0" fontId="15" fillId="7" borderId="0" applyNumberFormat="0" applyBorder="0" applyAlignment="0" applyProtection="0"/>
    <xf numFmtId="0" fontId="27" fillId="0" borderId="0"/>
    <xf numFmtId="0" fontId="28" fillId="0" borderId="9" applyNumberFormat="0" applyFill="0" applyAlignment="0" applyProtection="0"/>
    <xf numFmtId="0" fontId="29" fillId="8" borderId="10" applyNumberFormat="0" applyAlignment="0" applyProtection="0"/>
    <xf numFmtId="0" fontId="29" fillId="19" borderId="10" applyNumberFormat="0" applyAlignment="0" applyProtection="0"/>
    <xf numFmtId="0" fontId="16" fillId="7" borderId="4" applyNumberFormat="0" applyAlignment="0" applyProtection="0"/>
    <xf numFmtId="0" fontId="30" fillId="0" borderId="11" applyNumberFormat="0" applyFill="0" applyAlignment="0" applyProtection="0"/>
    <xf numFmtId="0" fontId="31" fillId="19" borderId="4" applyNumberFormat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12" applyNumberFormat="0" applyFill="0" applyAlignment="0" applyProtection="0"/>
    <xf numFmtId="0" fontId="34" fillId="20" borderId="0" applyNumberFormat="0" applyBorder="0" applyAlignment="0" applyProtection="0"/>
    <xf numFmtId="0" fontId="35" fillId="21" borderId="0" applyNumberFormat="0" applyBorder="0" applyAlignment="0" applyProtection="0"/>
    <xf numFmtId="0" fontId="36" fillId="0" borderId="0"/>
    <xf numFmtId="0" fontId="3" fillId="0" borderId="0"/>
    <xf numFmtId="0" fontId="3" fillId="0" borderId="0"/>
    <xf numFmtId="0" fontId="37" fillId="21" borderId="0" applyNumberFormat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38" fontId="1" fillId="0" borderId="0" applyFont="0" applyFill="0" applyBorder="0" applyAlignment="0" applyProtection="0">
      <alignment vertical="center"/>
    </xf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</cellStyleXfs>
  <cellXfs count="37">
    <xf numFmtId="0" fontId="0" fillId="0" borderId="0" xfId="0"/>
    <xf numFmtId="0" fontId="7" fillId="2" borderId="1" xfId="0" applyFont="1" applyFill="1" applyBorder="1" applyAlignment="1">
      <alignment horizontal="center"/>
    </xf>
    <xf numFmtId="56" fontId="7" fillId="3" borderId="1" xfId="0" applyNumberFormat="1" applyFont="1" applyFill="1" applyBorder="1" applyAlignment="1">
      <alignment horizontal="center"/>
    </xf>
    <xf numFmtId="0" fontId="13" fillId="4" borderId="2" xfId="0" applyFont="1" applyFill="1" applyBorder="1" applyAlignment="1">
      <alignment vertical="center"/>
    </xf>
    <xf numFmtId="0" fontId="8" fillId="0" borderId="1" xfId="0" applyFont="1" applyFill="1" applyBorder="1"/>
    <xf numFmtId="0" fontId="6" fillId="0" borderId="1" xfId="0" applyFont="1" applyFill="1" applyBorder="1"/>
    <xf numFmtId="0" fontId="7" fillId="4" borderId="1" xfId="0" applyFont="1" applyFill="1" applyBorder="1" applyAlignment="1">
      <alignment horizontal="center"/>
    </xf>
    <xf numFmtId="0" fontId="12" fillId="5" borderId="1" xfId="455" applyFont="1" applyFill="1" applyBorder="1"/>
    <xf numFmtId="0" fontId="3" fillId="5" borderId="1" xfId="455" applyFill="1" applyBorder="1"/>
    <xf numFmtId="0" fontId="3" fillId="0" borderId="0" xfId="455"/>
    <xf numFmtId="0" fontId="3" fillId="0" borderId="1" xfId="455" applyBorder="1"/>
    <xf numFmtId="0" fontId="7" fillId="2" borderId="1" xfId="456" applyFont="1" applyFill="1" applyBorder="1" applyAlignment="1">
      <alignment horizontal="left"/>
    </xf>
    <xf numFmtId="0" fontId="7" fillId="3" borderId="1" xfId="0" applyFont="1" applyFill="1" applyBorder="1" applyAlignment="1">
      <alignment horizontal="center"/>
    </xf>
    <xf numFmtId="0" fontId="12" fillId="5" borderId="1" xfId="0" applyFont="1" applyFill="1" applyBorder="1"/>
    <xf numFmtId="0" fontId="2" fillId="0" borderId="1" xfId="455" applyFont="1" applyBorder="1"/>
    <xf numFmtId="56" fontId="7" fillId="2" borderId="1" xfId="0" applyNumberFormat="1" applyFont="1" applyFill="1" applyBorder="1" applyAlignment="1">
      <alignment horizontal="center"/>
    </xf>
    <xf numFmtId="0" fontId="3" fillId="22" borderId="1" xfId="455" applyFill="1" applyBorder="1"/>
    <xf numFmtId="0" fontId="0" fillId="2" borderId="1" xfId="455" applyFont="1" applyFill="1" applyBorder="1"/>
    <xf numFmtId="0" fontId="13" fillId="0" borderId="2" xfId="0" applyFont="1" applyFill="1" applyBorder="1" applyAlignment="1">
      <alignment vertical="center"/>
    </xf>
    <xf numFmtId="0" fontId="3" fillId="2" borderId="0" xfId="455" applyFill="1"/>
    <xf numFmtId="0" fontId="0" fillId="3" borderId="1" xfId="0" applyFill="1" applyBorder="1"/>
    <xf numFmtId="0" fontId="0" fillId="0" borderId="1" xfId="0" applyBorder="1"/>
    <xf numFmtId="0" fontId="0" fillId="2" borderId="0" xfId="455" applyFont="1" applyFill="1"/>
    <xf numFmtId="0" fontId="0" fillId="0" borderId="1" xfId="455" applyFont="1" applyBorder="1"/>
    <xf numFmtId="0" fontId="7" fillId="23" borderId="1" xfId="0" applyFont="1" applyFill="1" applyBorder="1" applyAlignment="1">
      <alignment horizontal="center"/>
    </xf>
    <xf numFmtId="0" fontId="40" fillId="2" borderId="1" xfId="0" applyFont="1" applyFill="1" applyBorder="1" applyAlignment="1">
      <alignment horizontal="center"/>
    </xf>
    <xf numFmtId="0" fontId="40" fillId="0" borderId="1" xfId="0" applyFont="1" applyFill="1" applyBorder="1"/>
    <xf numFmtId="0" fontId="40" fillId="0" borderId="0" xfId="0" applyFont="1" applyFill="1"/>
    <xf numFmtId="0" fontId="7" fillId="0" borderId="1" xfId="0" applyFont="1" applyBorder="1" applyAlignment="1">
      <alignment wrapText="1"/>
    </xf>
    <xf numFmtId="0" fontId="7" fillId="0" borderId="1" xfId="0" applyFont="1" applyFill="1" applyBorder="1" applyAlignment="1">
      <alignment wrapText="1"/>
    </xf>
    <xf numFmtId="0" fontId="41" fillId="0" borderId="13" xfId="0" applyFont="1" applyBorder="1" applyAlignment="1">
      <alignment wrapText="1"/>
    </xf>
    <xf numFmtId="0" fontId="7" fillId="0" borderId="1" xfId="0" applyFont="1" applyBorder="1"/>
    <xf numFmtId="0" fontId="7" fillId="0" borderId="14" xfId="0" applyFont="1" applyFill="1" applyBorder="1" applyAlignment="1">
      <alignment wrapText="1"/>
    </xf>
    <xf numFmtId="0" fontId="41" fillId="0" borderId="15" xfId="0" applyFont="1" applyBorder="1" applyAlignment="1">
      <alignment wrapText="1"/>
    </xf>
    <xf numFmtId="0" fontId="39" fillId="23" borderId="1" xfId="0" applyFont="1" applyFill="1" applyBorder="1"/>
    <xf numFmtId="38" fontId="7" fillId="23" borderId="1" xfId="798" applyFont="1" applyFill="1" applyBorder="1" applyAlignment="1"/>
    <xf numFmtId="0" fontId="42" fillId="0" borderId="0" xfId="0" applyFont="1"/>
  </cellXfs>
  <cellStyles count="805">
    <cellStyle name="20% - ANZg1" xfId="469"/>
    <cellStyle name="20% - ANZg2" xfId="470"/>
    <cellStyle name="20% - ANZg3" xfId="471"/>
    <cellStyle name="20% - ANZg4" xfId="472"/>
    <cellStyle name="20% - ANZg5" xfId="473"/>
    <cellStyle name="20% - ANZg6" xfId="474"/>
    <cellStyle name="40% - ANZg1" xfId="475"/>
    <cellStyle name="40% - ANZg2" xfId="476"/>
    <cellStyle name="40% - ANZg3" xfId="477"/>
    <cellStyle name="40% - ANZg4" xfId="478"/>
    <cellStyle name="40% - ANZg5" xfId="479"/>
    <cellStyle name="40% - ANZg6" xfId="480"/>
    <cellStyle name="60% - ANZg1" xfId="481"/>
    <cellStyle name="60% - ANZg2" xfId="482"/>
    <cellStyle name="60% - ANZg3" xfId="483"/>
    <cellStyle name="60% - ANZg4" xfId="484"/>
    <cellStyle name="60% - ANZg5" xfId="485"/>
    <cellStyle name="60% - ANZg6" xfId="486"/>
    <cellStyle name="Excel Built-in Normal" xfId="496"/>
    <cellStyle name="^Cg" xfId="464"/>
    <cellStyle name="`FbN Z" xfId="463"/>
    <cellStyle name="ANZg 1" xfId="488"/>
    <cellStyle name="ANZg 2" xfId="489"/>
    <cellStyle name="ANZg 3" xfId="490"/>
    <cellStyle name="ANZg 4" xfId="491"/>
    <cellStyle name="ANZg 5" xfId="492"/>
    <cellStyle name="ANZg 6" xfId="493"/>
    <cellStyle name="" xfId="458"/>
    <cellStyle name="N Z" xfId="497"/>
    <cellStyle name="_" xfId="459"/>
    <cellStyle name="«¢" xfId="462"/>
    <cellStyle name="vZ" xfId="502"/>
    <cellStyle name="x÷" xfId="504"/>
    <cellStyle name="x¶" xfId="503"/>
    <cellStyle name="ýo_ 1" xfId="505"/>
    <cellStyle name="©oµ 1" xfId="465"/>
    <cellStyle name="©oµ 2" xfId="466"/>
    <cellStyle name="©oµ 3" xfId="467"/>
    <cellStyle name="©oµ 4" xfId="468"/>
    <cellStyle name="v" xfId="501"/>
    <cellStyle name="o_" xfId="498"/>
    <cellStyle name="oÍ" xfId="499"/>
    <cellStyle name="__÷" xfId="461"/>
    <cellStyle name="à¾¶" xfId="487"/>
    <cellStyle name="__" xfId="460"/>
    <cellStyle name="üÍ" xfId="500"/>
    <cellStyle name="Ê" xfId="495"/>
    <cellStyle name="Ç¢" xfId="494"/>
    <cellStyle name="ハイパーリンク" xfId="1" builtinId="8" hidden="1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19" builtinId="8" hidden="1"/>
    <cellStyle name="ハイパーリンク" xfId="21" builtinId="8" hidden="1"/>
    <cellStyle name="ハイパーリンク" xfId="23" builtinId="8" hidden="1"/>
    <cellStyle name="ハイパーリンク" xfId="25" builtinId="8" hidden="1"/>
    <cellStyle name="ハイパーリンク" xfId="27" builtinId="8" hidden="1"/>
    <cellStyle name="ハイパーリンク" xfId="29" builtinId="8" hidden="1"/>
    <cellStyle name="ハイパーリンク" xfId="31" builtinId="8" hidden="1"/>
    <cellStyle name="ハイパーリンク" xfId="33" builtinId="8" hidden="1"/>
    <cellStyle name="ハイパーリンク" xfId="35" builtinId="8" hidden="1"/>
    <cellStyle name="ハイパーリンク" xfId="37" builtinId="8" hidden="1"/>
    <cellStyle name="ハイパーリンク" xfId="39" builtinId="8" hidden="1"/>
    <cellStyle name="ハイパーリンク" xfId="41" builtinId="8" hidden="1"/>
    <cellStyle name="ハイパーリンク" xfId="43" builtinId="8" hidden="1"/>
    <cellStyle name="ハイパーリンク" xfId="45" builtinId="8" hidden="1"/>
    <cellStyle name="ハイパーリンク" xfId="47" builtinId="8" hidden="1"/>
    <cellStyle name="ハイパーリンク" xfId="49" builtinId="8" hidden="1"/>
    <cellStyle name="ハイパーリンク" xfId="51" builtinId="8" hidden="1"/>
    <cellStyle name="ハイパーリンク" xfId="53" builtinId="8" hidden="1"/>
    <cellStyle name="ハイパーリンク" xfId="55" builtinId="8" hidden="1"/>
    <cellStyle name="ハイパーリンク" xfId="57" builtinId="8" hidden="1"/>
    <cellStyle name="ハイパーリンク" xfId="59" builtinId="8" hidden="1"/>
    <cellStyle name="ハイパーリンク" xfId="61" builtinId="8" hidden="1"/>
    <cellStyle name="ハイパーリンク" xfId="63" builtinId="8" hidden="1"/>
    <cellStyle name="ハイパーリンク" xfId="65" builtinId="8" hidden="1"/>
    <cellStyle name="ハイパーリンク" xfId="67" builtinId="8" hidden="1"/>
    <cellStyle name="ハイパーリンク" xfId="69" builtinId="8" hidden="1"/>
    <cellStyle name="ハイパーリンク" xfId="71" builtinId="8" hidden="1"/>
    <cellStyle name="ハイパーリンク" xfId="73" builtinId="8" hidden="1"/>
    <cellStyle name="ハイパーリンク" xfId="75" builtinId="8" hidden="1"/>
    <cellStyle name="ハイパーリンク" xfId="77" builtinId="8" hidden="1"/>
    <cellStyle name="ハイパーリンク" xfId="79" builtinId="8" hidden="1"/>
    <cellStyle name="ハイパーリンク" xfId="81" builtinId="8" hidden="1"/>
    <cellStyle name="ハイパーリンク" xfId="83" builtinId="8" hidden="1"/>
    <cellStyle name="ハイパーリンク" xfId="85" builtinId="8" hidden="1"/>
    <cellStyle name="ハイパーリンク" xfId="87" builtinId="8" hidden="1"/>
    <cellStyle name="ハイパーリンク" xfId="89" builtinId="8" hidden="1"/>
    <cellStyle name="ハイパーリンク" xfId="91" builtinId="8" hidden="1"/>
    <cellStyle name="ハイパーリンク" xfId="93" builtinId="8" hidden="1"/>
    <cellStyle name="ハイパーリンク" xfId="95" builtinId="8" hidden="1"/>
    <cellStyle name="ハイパーリンク" xfId="97" builtinId="8" hidden="1"/>
    <cellStyle name="ハイパーリンク" xfId="99" builtinId="8" hidden="1"/>
    <cellStyle name="ハイパーリンク" xfId="101" builtinId="8" hidden="1"/>
    <cellStyle name="ハイパーリンク" xfId="103" builtinId="8" hidden="1"/>
    <cellStyle name="ハイパーリンク" xfId="105" builtinId="8" hidden="1"/>
    <cellStyle name="ハイパーリンク" xfId="107" builtinId="8" hidden="1"/>
    <cellStyle name="ハイパーリンク" xfId="109" builtinId="8" hidden="1"/>
    <cellStyle name="ハイパーリンク" xfId="111" builtinId="8" hidden="1"/>
    <cellStyle name="ハイパーリンク" xfId="113" builtinId="8" hidden="1"/>
    <cellStyle name="ハイパーリンク" xfId="115" builtinId="8" hidden="1"/>
    <cellStyle name="ハイパーリンク" xfId="117" builtinId="8" hidden="1"/>
    <cellStyle name="ハイパーリンク" xfId="119" builtinId="8" hidden="1"/>
    <cellStyle name="ハイパーリンク" xfId="121" builtinId="8" hidden="1"/>
    <cellStyle name="ハイパーリンク" xfId="123" builtinId="8" hidden="1"/>
    <cellStyle name="ハイパーリンク" xfId="125" builtinId="8" hidden="1"/>
    <cellStyle name="ハイパーリンク" xfId="127" builtinId="8" hidden="1"/>
    <cellStyle name="ハイパーリンク" xfId="129" builtinId="8" hidden="1"/>
    <cellStyle name="ハイパーリンク" xfId="131" builtinId="8" hidden="1"/>
    <cellStyle name="ハイパーリンク" xfId="133" builtinId="8" hidden="1"/>
    <cellStyle name="ハイパーリンク" xfId="135" builtinId="8" hidden="1"/>
    <cellStyle name="ハイパーリンク" xfId="137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9" builtinId="8" hidden="1"/>
    <cellStyle name="ハイパーリンク" xfId="241" builtinId="8" hidden="1"/>
    <cellStyle name="ハイパーリンク" xfId="243" builtinId="8" hidden="1"/>
    <cellStyle name="ハイパーリンク" xfId="245" builtinId="8" hidden="1"/>
    <cellStyle name="ハイパーリンク" xfId="247" builtinId="8" hidden="1"/>
    <cellStyle name="ハイパーリンク" xfId="249" builtinId="8" hidden="1"/>
    <cellStyle name="ハイパーリンク" xfId="251" builtinId="8" hidden="1"/>
    <cellStyle name="ハイパーリンク" xfId="253" builtinId="8" hidden="1"/>
    <cellStyle name="ハイパーリンク" xfId="255" builtinId="8" hidden="1"/>
    <cellStyle name="ハイパーリンク" xfId="257" builtinId="8" hidden="1"/>
    <cellStyle name="ハイパーリンク" xfId="259" builtinId="8" hidden="1"/>
    <cellStyle name="ハイパーリンク" xfId="261" builtinId="8" hidden="1"/>
    <cellStyle name="ハイパーリンク" xfId="263" builtinId="8" hidden="1"/>
    <cellStyle name="ハイパーリンク" xfId="265" builtinId="8" hidden="1"/>
    <cellStyle name="ハイパーリンク" xfId="267" builtinId="8" hidden="1"/>
    <cellStyle name="ハイパーリンク" xfId="269" builtinId="8" hidden="1"/>
    <cellStyle name="ハイパーリンク" xfId="271" builtinId="8" hidden="1"/>
    <cellStyle name="ハイパーリンク" xfId="273" builtinId="8" hidden="1"/>
    <cellStyle name="ハイパーリンク" xfId="275" builtinId="8" hidden="1"/>
    <cellStyle name="ハイパーリンク" xfId="277" builtinId="8" hidden="1"/>
    <cellStyle name="ハイパーリンク" xfId="279" builtinId="8" hidden="1"/>
    <cellStyle name="ハイパーリンク" xfId="281" builtinId="8" hidden="1"/>
    <cellStyle name="ハイパーリンク" xfId="283" builtinId="8" hidden="1"/>
    <cellStyle name="ハイパーリンク" xfId="285" builtinId="8" hidden="1"/>
    <cellStyle name="ハイパーリンク" xfId="287" builtinId="8" hidden="1"/>
    <cellStyle name="ハイパーリンク" xfId="289" builtinId="8" hidden="1"/>
    <cellStyle name="ハイパーリンク" xfId="291" builtinId="8" hidden="1"/>
    <cellStyle name="ハイパーリンク" xfId="293" builtinId="8" hidden="1"/>
    <cellStyle name="ハイパーリンク" xfId="295" builtinId="8" hidden="1"/>
    <cellStyle name="ハイパーリンク" xfId="297" builtinId="8" hidden="1"/>
    <cellStyle name="ハイパーリンク" xfId="299" builtinId="8" hidden="1"/>
    <cellStyle name="ハイパーリンク" xfId="301" builtinId="8" hidden="1"/>
    <cellStyle name="ハイパーリンク" xfId="303" builtinId="8" hidden="1"/>
    <cellStyle name="ハイパーリンク" xfId="305" builtinId="8" hidden="1"/>
    <cellStyle name="ハイパーリンク" xfId="307" builtinId="8" hidden="1"/>
    <cellStyle name="ハイパーリンク" xfId="309" builtinId="8" hidden="1"/>
    <cellStyle name="ハイパーリンク" xfId="311" builtinId="8" hidden="1"/>
    <cellStyle name="ハイパーリンク" xfId="313" builtinId="8" hidden="1"/>
    <cellStyle name="ハイパーリンク" xfId="315" builtinId="8" hidden="1"/>
    <cellStyle name="ハイパーリンク" xfId="317" builtinId="8" hidden="1"/>
    <cellStyle name="ハイパーリンク" xfId="319" builtinId="8" hidden="1"/>
    <cellStyle name="ハイパーリンク" xfId="321" builtinId="8" hidden="1"/>
    <cellStyle name="ハイパーリンク" xfId="323" builtinId="8" hidden="1"/>
    <cellStyle name="ハイパーリンク" xfId="325" builtinId="8" hidden="1"/>
    <cellStyle name="ハイパーリンク" xfId="327" builtinId="8" hidden="1"/>
    <cellStyle name="ハイパーリンク" xfId="329" builtinId="8" hidden="1"/>
    <cellStyle name="ハイパーリンク" xfId="331" builtinId="8" hidden="1"/>
    <cellStyle name="ハイパーリンク" xfId="333" builtinId="8" hidden="1"/>
    <cellStyle name="ハイパーリンク" xfId="335" builtinId="8" hidden="1"/>
    <cellStyle name="ハイパーリンク" xfId="337" builtinId="8" hidden="1"/>
    <cellStyle name="ハイパーリンク" xfId="339" builtinId="8" hidden="1"/>
    <cellStyle name="ハイパーリンク" xfId="341" builtinId="8" hidden="1"/>
    <cellStyle name="ハイパーリンク" xfId="343" builtinId="8" hidden="1"/>
    <cellStyle name="ハイパーリンク" xfId="345" builtinId="8" hidden="1"/>
    <cellStyle name="ハイパーリンク" xfId="347" builtinId="8" hidden="1"/>
    <cellStyle name="ハイパーリンク" xfId="349" builtinId="8" hidden="1"/>
    <cellStyle name="ハイパーリンク" xfId="351" builtinId="8" hidden="1"/>
    <cellStyle name="ハイパーリンク" xfId="353" builtinId="8" hidden="1"/>
    <cellStyle name="ハイパーリンク" xfId="355" builtinId="8" hidden="1"/>
    <cellStyle name="ハイパーリンク" xfId="357" builtinId="8" hidden="1"/>
    <cellStyle name="ハイパーリンク" xfId="359" builtinId="8" hidden="1"/>
    <cellStyle name="ハイパーリンク" xfId="361" builtinId="8" hidden="1"/>
    <cellStyle name="ハイパーリンク" xfId="363" builtinId="8" hidden="1"/>
    <cellStyle name="ハイパーリンク" xfId="365" builtinId="8" hidden="1"/>
    <cellStyle name="ハイパーリンク" xfId="367" builtinId="8" hidden="1"/>
    <cellStyle name="ハイパーリンク" xfId="369" builtinId="8" hidden="1"/>
    <cellStyle name="ハイパーリンク" xfId="371" builtinId="8" hidden="1"/>
    <cellStyle name="ハイパーリンク" xfId="373" builtinId="8" hidden="1"/>
    <cellStyle name="ハイパーリンク" xfId="375" builtinId="8" hidden="1"/>
    <cellStyle name="ハイパーリンク" xfId="377" builtinId="8" hidden="1"/>
    <cellStyle name="ハイパーリンク" xfId="379" builtinId="8" hidden="1"/>
    <cellStyle name="ハイパーリンク" xfId="381" builtinId="8" hidden="1"/>
    <cellStyle name="ハイパーリンク" xfId="383" builtinId="8" hidden="1"/>
    <cellStyle name="ハイパーリンク" xfId="385" builtinId="8" hidden="1"/>
    <cellStyle name="ハイパーリンク" xfId="387" builtinId="8" hidden="1"/>
    <cellStyle name="ハイパーリンク" xfId="389" builtinId="8" hidden="1"/>
    <cellStyle name="ハイパーリンク" xfId="391" builtinId="8" hidden="1"/>
    <cellStyle name="ハイパーリンク" xfId="393" builtinId="8" hidden="1"/>
    <cellStyle name="ハイパーリンク" xfId="395" builtinId="8" hidden="1"/>
    <cellStyle name="ハイパーリンク" xfId="397" builtinId="8" hidden="1"/>
    <cellStyle name="ハイパーリンク" xfId="399" builtinId="8" hidden="1"/>
    <cellStyle name="ハイパーリンク" xfId="401" builtinId="8" hidden="1"/>
    <cellStyle name="ハイパーリンク" xfId="403" builtinId="8" hidden="1"/>
    <cellStyle name="ハイパーリンク" xfId="405" builtinId="8" hidden="1"/>
    <cellStyle name="ハイパーリンク" xfId="407" builtinId="8" hidden="1"/>
    <cellStyle name="ハイパーリンク" xfId="409" builtinId="8" hidden="1"/>
    <cellStyle name="ハイパーリンク" xfId="411" builtinId="8" hidden="1"/>
    <cellStyle name="ハイパーリンク" xfId="413" builtinId="8" hidden="1"/>
    <cellStyle name="ハイパーリンク" xfId="415" builtinId="8" hidden="1"/>
    <cellStyle name="ハイパーリンク" xfId="417" builtinId="8" hidden="1"/>
    <cellStyle name="ハイパーリンク" xfId="419" builtinId="8" hidden="1"/>
    <cellStyle name="ハイパーリンク" xfId="421" builtinId="8" hidden="1"/>
    <cellStyle name="ハイパーリンク" xfId="423" builtinId="8" hidden="1"/>
    <cellStyle name="ハイパーリンク" xfId="425" builtinId="8" hidden="1"/>
    <cellStyle name="ハイパーリンク" xfId="427" builtinId="8" hidden="1"/>
    <cellStyle name="ハイパーリンク" xfId="429" builtinId="8" hidden="1"/>
    <cellStyle name="ハイパーリンク" xfId="431" builtinId="8" hidden="1"/>
    <cellStyle name="ハイパーリンク" xfId="433" builtinId="8" hidden="1"/>
    <cellStyle name="ハイパーリンク" xfId="435" builtinId="8" hidden="1"/>
    <cellStyle name="ハイパーリンク" xfId="437" builtinId="8" hidden="1"/>
    <cellStyle name="ハイパーリンク" xfId="439" builtinId="8" hidden="1"/>
    <cellStyle name="ハイパーリンク" xfId="441" builtinId="8" hidden="1"/>
    <cellStyle name="ハイパーリンク" xfId="443" builtinId="8" hidden="1"/>
    <cellStyle name="ハイパーリンク" xfId="445" builtinId="8" hidden="1"/>
    <cellStyle name="ハイパーリンク" xfId="447" builtinId="8" hidden="1"/>
    <cellStyle name="ハイパーリンク" xfId="449" builtinId="8" hidden="1"/>
    <cellStyle name="ハイパーリンク" xfId="451" builtinId="8" hidden="1"/>
    <cellStyle name="ハイパーリンク" xfId="453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4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28" builtinId="8" hidden="1"/>
    <cellStyle name="ハイパーリンク" xfId="630" builtinId="8" hidden="1"/>
    <cellStyle name="ハイパーリンク" xfId="632" builtinId="8" hidden="1"/>
    <cellStyle name="ハイパーリンク" xfId="634" builtinId="8" hidden="1"/>
    <cellStyle name="ハイパーリンク" xfId="636" builtinId="8" hidden="1"/>
    <cellStyle name="ハイパーリンク" xfId="638" builtinId="8" hidden="1"/>
    <cellStyle name="ハイパーリンク" xfId="640" builtinId="8" hidden="1"/>
    <cellStyle name="ハイパーリンク" xfId="642" builtinId="8" hidden="1"/>
    <cellStyle name="ハイパーリンク" xfId="644" builtinId="8" hidden="1"/>
    <cellStyle name="ハイパーリンク" xfId="646" builtinId="8" hidden="1"/>
    <cellStyle name="ハイパーリンク" xfId="648" builtinId="8" hidden="1"/>
    <cellStyle name="ハイパーリンク" xfId="650" builtinId="8" hidden="1"/>
    <cellStyle name="ハイパーリンク" xfId="652" builtinId="8" hidden="1"/>
    <cellStyle name="ハイパーリンク" xfId="654" builtinId="8" hidden="1"/>
    <cellStyle name="ハイパーリンク" xfId="656" builtinId="8" hidden="1"/>
    <cellStyle name="ハイパーリンク" xfId="658" builtinId="8" hidden="1"/>
    <cellStyle name="ハイパーリンク" xfId="660" builtinId="8" hidden="1"/>
    <cellStyle name="ハイパーリンク" xfId="662" builtinId="8" hidden="1"/>
    <cellStyle name="ハイパーリンク" xfId="664" builtinId="8" hidden="1"/>
    <cellStyle name="ハイパーリンク" xfId="666" builtinId="8" hidden="1"/>
    <cellStyle name="ハイパーリンク" xfId="668" builtinId="8" hidden="1"/>
    <cellStyle name="ハイパーリンク" xfId="670" builtinId="8" hidden="1"/>
    <cellStyle name="ハイパーリンク" xfId="672" builtinId="8" hidden="1"/>
    <cellStyle name="ハイパーリンク" xfId="674" builtinId="8" hidden="1"/>
    <cellStyle name="ハイパーリンク" xfId="67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9" builtinId="8" hidden="1"/>
    <cellStyle name="ハイパーリンク" xfId="801" builtinId="8" hidden="1"/>
    <cellStyle name="ハイパーリンク" xfId="803" builtinId="8" hidden="1"/>
    <cellStyle name="桁区切り 2" xfId="139"/>
    <cellStyle name="桁区切り 2 2" xfId="798"/>
    <cellStyle name="標準" xfId="0" builtinId="0"/>
    <cellStyle name="標準 2" xfId="238"/>
    <cellStyle name="標準 3" xfId="508"/>
    <cellStyle name="標準 4" xfId="456"/>
    <cellStyle name="標準 4 2" xfId="457"/>
    <cellStyle name="標準 5" xfId="509"/>
    <cellStyle name="標準 5 2" xfId="510"/>
    <cellStyle name="標準 6" xfId="455"/>
    <cellStyle name="無題1" xfId="511"/>
    <cellStyle name="表示済みのハイパーリンク" xfId="2" builtinId="9" hidden="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20" builtinId="9" hidden="1"/>
    <cellStyle name="表示済みのハイパーリンク" xfId="22" builtinId="9" hidden="1"/>
    <cellStyle name="表示済みのハイパーリンク" xfId="24" builtinId="9" hidden="1"/>
    <cellStyle name="表示済みのハイパーリンク" xfId="26" builtinId="9" hidden="1"/>
    <cellStyle name="表示済みのハイパーリンク" xfId="28" builtinId="9" hidden="1"/>
    <cellStyle name="表示済みのハイパーリンク" xfId="30" builtinId="9" hidden="1"/>
    <cellStyle name="表示済みのハイパーリンク" xfId="32" builtinId="9" hidden="1"/>
    <cellStyle name="表示済みのハイパーリンク" xfId="34" builtinId="9" hidden="1"/>
    <cellStyle name="表示済みのハイパーリンク" xfId="36" builtinId="9" hidden="1"/>
    <cellStyle name="表示済みのハイパーリンク" xfId="38" builtinId="9" hidden="1"/>
    <cellStyle name="表示済みのハイパーリンク" xfId="40" builtinId="9" hidden="1"/>
    <cellStyle name="表示済みのハイパーリンク" xfId="42" builtinId="9" hidden="1"/>
    <cellStyle name="表示済みのハイパーリンク" xfId="44" builtinId="9" hidden="1"/>
    <cellStyle name="表示済みのハイパーリンク" xfId="46" builtinId="9" hidden="1"/>
    <cellStyle name="表示済みのハイパーリンク" xfId="48" builtinId="9" hidden="1"/>
    <cellStyle name="表示済みのハイパーリンク" xfId="50" builtinId="9" hidden="1"/>
    <cellStyle name="表示済みのハイパーリンク" xfId="52" builtinId="9" hidden="1"/>
    <cellStyle name="表示済みのハイパーリンク" xfId="54" builtinId="9" hidden="1"/>
    <cellStyle name="表示済みのハイパーリンク" xfId="56" builtinId="9" hidden="1"/>
    <cellStyle name="表示済みのハイパーリンク" xfId="58" builtinId="9" hidden="1"/>
    <cellStyle name="表示済みのハイパーリンク" xfId="60" builtinId="9" hidden="1"/>
    <cellStyle name="表示済みのハイパーリンク" xfId="62" builtinId="9" hidden="1"/>
    <cellStyle name="表示済みのハイパーリンク" xfId="64" builtinId="9" hidden="1"/>
    <cellStyle name="表示済みのハイパーリンク" xfId="66" builtinId="9" hidden="1"/>
    <cellStyle name="表示済みのハイパーリンク" xfId="68" builtinId="9" hidden="1"/>
    <cellStyle name="表示済みのハイパーリンク" xfId="70" builtinId="9" hidden="1"/>
    <cellStyle name="表示済みのハイパーリンク" xfId="72" builtinId="9" hidden="1"/>
    <cellStyle name="表示済みのハイパーリンク" xfId="74" builtinId="9" hidden="1"/>
    <cellStyle name="表示済みのハイパーリンク" xfId="76" builtinId="9" hidden="1"/>
    <cellStyle name="表示済みのハイパーリンク" xfId="78" builtinId="9" hidden="1"/>
    <cellStyle name="表示済みのハイパーリンク" xfId="80" builtinId="9" hidden="1"/>
    <cellStyle name="表示済みのハイパーリンク" xfId="82" builtinId="9" hidden="1"/>
    <cellStyle name="表示済みのハイパーリンク" xfId="84" builtinId="9" hidden="1"/>
    <cellStyle name="表示済みのハイパーリンク" xfId="86" builtinId="9" hidden="1"/>
    <cellStyle name="表示済みのハイパーリンク" xfId="88" builtinId="9" hidden="1"/>
    <cellStyle name="表示済みのハイパーリンク" xfId="90" builtinId="9" hidden="1"/>
    <cellStyle name="表示済みのハイパーリンク" xfId="92" builtinId="9" hidden="1"/>
    <cellStyle name="表示済みのハイパーリンク" xfId="94" builtinId="9" hidden="1"/>
    <cellStyle name="表示済みのハイパーリンク" xfId="96" builtinId="9" hidden="1"/>
    <cellStyle name="表示済みのハイパーリンク" xfId="98" builtinId="9" hidden="1"/>
    <cellStyle name="表示済みのハイパーリンク" xfId="100" builtinId="9" hidden="1"/>
    <cellStyle name="表示済みのハイパーリンク" xfId="102" builtinId="9" hidden="1"/>
    <cellStyle name="表示済みのハイパーリンク" xfId="104" builtinId="9" hidden="1"/>
    <cellStyle name="表示済みのハイパーリンク" xfId="106" builtinId="9" hidden="1"/>
    <cellStyle name="表示済みのハイパーリンク" xfId="108" builtinId="9" hidden="1"/>
    <cellStyle name="表示済みのハイパーリンク" xfId="110" builtinId="9" hidden="1"/>
    <cellStyle name="表示済みのハイパーリンク" xfId="112" builtinId="9" hidden="1"/>
    <cellStyle name="表示済みのハイパーリンク" xfId="114" builtinId="9" hidden="1"/>
    <cellStyle name="表示済みのハイパーリンク" xfId="116" builtinId="9" hidden="1"/>
    <cellStyle name="表示済みのハイパーリンク" xfId="118" builtinId="9" hidden="1"/>
    <cellStyle name="表示済みのハイパーリンク" xfId="120" builtinId="9" hidden="1"/>
    <cellStyle name="表示済みのハイパーリンク" xfId="122" builtinId="9" hidden="1"/>
    <cellStyle name="表示済みのハイパーリンク" xfId="124" builtinId="9" hidden="1"/>
    <cellStyle name="表示済みのハイパーリンク" xfId="126" builtinId="9" hidden="1"/>
    <cellStyle name="表示済みのハイパーリンク" xfId="128" builtinId="9" hidden="1"/>
    <cellStyle name="表示済みのハイパーリンク" xfId="130" builtinId="9" hidden="1"/>
    <cellStyle name="表示済みのハイパーリンク" xfId="132" builtinId="9" hidden="1"/>
    <cellStyle name="表示済みのハイパーリンク" xfId="134" builtinId="9" hidden="1"/>
    <cellStyle name="表示済みのハイパーリンク" xfId="136" builtinId="9" hidden="1"/>
    <cellStyle name="表示済みのハイパーリンク" xfId="138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40" builtinId="9" hidden="1"/>
    <cellStyle name="表示済みのハイパーリンク" xfId="242" builtinId="9" hidden="1"/>
    <cellStyle name="表示済みのハイパーリンク" xfId="244" builtinId="9" hidden="1"/>
    <cellStyle name="表示済みのハイパーリンク" xfId="246" builtinId="9" hidden="1"/>
    <cellStyle name="表示済みのハイパーリンク" xfId="248" builtinId="9" hidden="1"/>
    <cellStyle name="表示済みのハイパーリンク" xfId="250" builtinId="9" hidden="1"/>
    <cellStyle name="表示済みのハイパーリンク" xfId="252" builtinId="9" hidden="1"/>
    <cellStyle name="表示済みのハイパーリンク" xfId="254" builtinId="9" hidden="1"/>
    <cellStyle name="表示済みのハイパーリンク" xfId="256" builtinId="9" hidden="1"/>
    <cellStyle name="表示済みのハイパーリンク" xfId="258" builtinId="9" hidden="1"/>
    <cellStyle name="表示済みのハイパーリンク" xfId="260" builtinId="9" hidden="1"/>
    <cellStyle name="表示済みのハイパーリンク" xfId="262" builtinId="9" hidden="1"/>
    <cellStyle name="表示済みのハイパーリンク" xfId="264" builtinId="9" hidden="1"/>
    <cellStyle name="表示済みのハイパーリンク" xfId="266" builtinId="9" hidden="1"/>
    <cellStyle name="表示済みのハイパーリンク" xfId="268" builtinId="9" hidden="1"/>
    <cellStyle name="表示済みのハイパーリンク" xfId="270" builtinId="9" hidden="1"/>
    <cellStyle name="表示済みのハイパーリンク" xfId="272" builtinId="9" hidden="1"/>
    <cellStyle name="表示済みのハイパーリンク" xfId="274" builtinId="9" hidden="1"/>
    <cellStyle name="表示済みのハイパーリンク" xfId="276" builtinId="9" hidden="1"/>
    <cellStyle name="表示済みのハイパーリンク" xfId="278" builtinId="9" hidden="1"/>
    <cellStyle name="表示済みのハイパーリンク" xfId="280" builtinId="9" hidden="1"/>
    <cellStyle name="表示済みのハイパーリンク" xfId="282" builtinId="9" hidden="1"/>
    <cellStyle name="表示済みのハイパーリンク" xfId="284" builtinId="9" hidden="1"/>
    <cellStyle name="表示済みのハイパーリンク" xfId="286" builtinId="9" hidden="1"/>
    <cellStyle name="表示済みのハイパーリンク" xfId="288" builtinId="9" hidden="1"/>
    <cellStyle name="表示済みのハイパーリンク" xfId="290" builtinId="9" hidden="1"/>
    <cellStyle name="表示済みのハイパーリンク" xfId="292" builtinId="9" hidden="1"/>
    <cellStyle name="表示済みのハイパーリンク" xfId="294" builtinId="9" hidden="1"/>
    <cellStyle name="表示済みのハイパーリンク" xfId="296" builtinId="9" hidden="1"/>
    <cellStyle name="表示済みのハイパーリンク" xfId="298" builtinId="9" hidden="1"/>
    <cellStyle name="表示済みのハイパーリンク" xfId="300" builtinId="9" hidden="1"/>
    <cellStyle name="表示済みのハイパーリンク" xfId="302" builtinId="9" hidden="1"/>
    <cellStyle name="表示済みのハイパーリンク" xfId="304" builtinId="9" hidden="1"/>
    <cellStyle name="表示済みのハイパーリンク" xfId="306" builtinId="9" hidden="1"/>
    <cellStyle name="表示済みのハイパーリンク" xfId="308" builtinId="9" hidden="1"/>
    <cellStyle name="表示済みのハイパーリンク" xfId="310" builtinId="9" hidden="1"/>
    <cellStyle name="表示済みのハイパーリンク" xfId="312" builtinId="9" hidden="1"/>
    <cellStyle name="表示済みのハイパーリンク" xfId="314" builtinId="9" hidden="1"/>
    <cellStyle name="表示済みのハイパーリンク" xfId="316" builtinId="9" hidden="1"/>
    <cellStyle name="表示済みのハイパーリンク" xfId="318" builtinId="9" hidden="1"/>
    <cellStyle name="表示済みのハイパーリンク" xfId="320" builtinId="9" hidden="1"/>
    <cellStyle name="表示済みのハイパーリンク" xfId="322" builtinId="9" hidden="1"/>
    <cellStyle name="表示済みのハイパーリンク" xfId="324" builtinId="9" hidden="1"/>
    <cellStyle name="表示済みのハイパーリンク" xfId="326" builtinId="9" hidden="1"/>
    <cellStyle name="表示済みのハイパーリンク" xfId="328" builtinId="9" hidden="1"/>
    <cellStyle name="表示済みのハイパーリンク" xfId="330" builtinId="9" hidden="1"/>
    <cellStyle name="表示済みのハイパーリンク" xfId="332" builtinId="9" hidden="1"/>
    <cellStyle name="表示済みのハイパーリンク" xfId="334" builtinId="9" hidden="1"/>
    <cellStyle name="表示済みのハイパーリンク" xfId="336" builtinId="9" hidden="1"/>
    <cellStyle name="表示済みのハイパーリンク" xfId="338" builtinId="9" hidden="1"/>
    <cellStyle name="表示済みのハイパーリンク" xfId="340" builtinId="9" hidden="1"/>
    <cellStyle name="表示済みのハイパーリンク" xfId="342" builtinId="9" hidden="1"/>
    <cellStyle name="表示済みのハイパーリンク" xfId="344" builtinId="9" hidden="1"/>
    <cellStyle name="表示済みのハイパーリンク" xfId="346" builtinId="9" hidden="1"/>
    <cellStyle name="表示済みのハイパーリンク" xfId="348" builtinId="9" hidden="1"/>
    <cellStyle name="表示済みのハイパーリンク" xfId="350" builtinId="9" hidden="1"/>
    <cellStyle name="表示済みのハイパーリンク" xfId="352" builtinId="9" hidden="1"/>
    <cellStyle name="表示済みのハイパーリンク" xfId="354" builtinId="9" hidden="1"/>
    <cellStyle name="表示済みのハイパーリンク" xfId="356" builtinId="9" hidden="1"/>
    <cellStyle name="表示済みのハイパーリンク" xfId="358" builtinId="9" hidden="1"/>
    <cellStyle name="表示済みのハイパーリンク" xfId="360" builtinId="9" hidden="1"/>
    <cellStyle name="表示済みのハイパーリンク" xfId="362" builtinId="9" hidden="1"/>
    <cellStyle name="表示済みのハイパーリンク" xfId="364" builtinId="9" hidden="1"/>
    <cellStyle name="表示済みのハイパーリンク" xfId="366" builtinId="9" hidden="1"/>
    <cellStyle name="表示済みのハイパーリンク" xfId="368" builtinId="9" hidden="1"/>
    <cellStyle name="表示済みのハイパーリンク" xfId="370" builtinId="9" hidden="1"/>
    <cellStyle name="表示済みのハイパーリンク" xfId="372" builtinId="9" hidden="1"/>
    <cellStyle name="表示済みのハイパーリンク" xfId="374" builtinId="9" hidden="1"/>
    <cellStyle name="表示済みのハイパーリンク" xfId="376" builtinId="9" hidden="1"/>
    <cellStyle name="表示済みのハイパーリンク" xfId="378" builtinId="9" hidden="1"/>
    <cellStyle name="表示済みのハイパーリンク" xfId="380" builtinId="9" hidden="1"/>
    <cellStyle name="表示済みのハイパーリンク" xfId="382" builtinId="9" hidden="1"/>
    <cellStyle name="表示済みのハイパーリンク" xfId="384" builtinId="9" hidden="1"/>
    <cellStyle name="表示済みのハイパーリンク" xfId="386" builtinId="9" hidden="1"/>
    <cellStyle name="表示済みのハイパーリンク" xfId="388" builtinId="9" hidden="1"/>
    <cellStyle name="表示済みのハイパーリンク" xfId="390" builtinId="9" hidden="1"/>
    <cellStyle name="表示済みのハイパーリンク" xfId="392" builtinId="9" hidden="1"/>
    <cellStyle name="表示済みのハイパーリンク" xfId="394" builtinId="9" hidden="1"/>
    <cellStyle name="表示済みのハイパーリンク" xfId="396" builtinId="9" hidden="1"/>
    <cellStyle name="表示済みのハイパーリンク" xfId="398" builtinId="9" hidden="1"/>
    <cellStyle name="表示済みのハイパーリンク" xfId="400" builtinId="9" hidden="1"/>
    <cellStyle name="表示済みのハイパーリンク" xfId="402" builtinId="9" hidden="1"/>
    <cellStyle name="表示済みのハイパーリンク" xfId="404" builtinId="9" hidden="1"/>
    <cellStyle name="表示済みのハイパーリンク" xfId="406" builtinId="9" hidden="1"/>
    <cellStyle name="表示済みのハイパーリンク" xfId="408" builtinId="9" hidden="1"/>
    <cellStyle name="表示済みのハイパーリンク" xfId="410" builtinId="9" hidden="1"/>
    <cellStyle name="表示済みのハイパーリンク" xfId="412" builtinId="9" hidden="1"/>
    <cellStyle name="表示済みのハイパーリンク" xfId="414" builtinId="9" hidden="1"/>
    <cellStyle name="表示済みのハイパーリンク" xfId="416" builtinId="9" hidden="1"/>
    <cellStyle name="表示済みのハイパーリンク" xfId="418" builtinId="9" hidden="1"/>
    <cellStyle name="表示済みのハイパーリンク" xfId="420" builtinId="9" hidden="1"/>
    <cellStyle name="表示済みのハイパーリンク" xfId="422" builtinId="9" hidden="1"/>
    <cellStyle name="表示済みのハイパーリンク" xfId="424" builtinId="9" hidden="1"/>
    <cellStyle name="表示済みのハイパーリンク" xfId="426" builtinId="9" hidden="1"/>
    <cellStyle name="表示済みのハイパーリンク" xfId="428" builtinId="9" hidden="1"/>
    <cellStyle name="表示済みのハイパーリンク" xfId="430" builtinId="9" hidden="1"/>
    <cellStyle name="表示済みのハイパーリンク" xfId="432" builtinId="9" hidden="1"/>
    <cellStyle name="表示済みのハイパーリンク" xfId="434" builtinId="9" hidden="1"/>
    <cellStyle name="表示済みのハイパーリンク" xfId="436" builtinId="9" hidden="1"/>
    <cellStyle name="表示済みのハイパーリンク" xfId="438" builtinId="9" hidden="1"/>
    <cellStyle name="表示済みのハイパーリンク" xfId="440" builtinId="9" hidden="1"/>
    <cellStyle name="表示済みのハイパーリンク" xfId="442" builtinId="9" hidden="1"/>
    <cellStyle name="表示済みのハイパーリンク" xfId="444" builtinId="9" hidden="1"/>
    <cellStyle name="表示済みのハイパーリンク" xfId="446" builtinId="9" hidden="1"/>
    <cellStyle name="表示済みのハイパーリンク" xfId="448" builtinId="9" hidden="1"/>
    <cellStyle name="表示済みのハイパーリンク" xfId="450" builtinId="9" hidden="1"/>
    <cellStyle name="表示済みのハイパーリンク" xfId="452" builtinId="9" hidden="1"/>
    <cellStyle name="表示済みのハイパーリンク" xfId="454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5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29" builtinId="9" hidden="1"/>
    <cellStyle name="表示済みのハイパーリンク" xfId="631" builtinId="9" hidden="1"/>
    <cellStyle name="表示済みのハイパーリンク" xfId="633" builtinId="9" hidden="1"/>
    <cellStyle name="表示済みのハイパーリンク" xfId="635" builtinId="9" hidden="1"/>
    <cellStyle name="表示済みのハイパーリンク" xfId="637" builtinId="9" hidden="1"/>
    <cellStyle name="表示済みのハイパーリンク" xfId="639" builtinId="9" hidden="1"/>
    <cellStyle name="表示済みのハイパーリンク" xfId="641" builtinId="9" hidden="1"/>
    <cellStyle name="表示済みのハイパーリンク" xfId="643" builtinId="9" hidden="1"/>
    <cellStyle name="表示済みのハイパーリンク" xfId="645" builtinId="9" hidden="1"/>
    <cellStyle name="表示済みのハイパーリンク" xfId="647" builtinId="9" hidden="1"/>
    <cellStyle name="表示済みのハイパーリンク" xfId="649" builtinId="9" hidden="1"/>
    <cellStyle name="表示済みのハイパーリンク" xfId="651" builtinId="9" hidden="1"/>
    <cellStyle name="表示済みのハイパーリンク" xfId="653" builtinId="9" hidden="1"/>
    <cellStyle name="表示済みのハイパーリンク" xfId="655" builtinId="9" hidden="1"/>
    <cellStyle name="表示済みのハイパーリンク" xfId="657" builtinId="9" hidden="1"/>
    <cellStyle name="表示済みのハイパーリンク" xfId="659" builtinId="9" hidden="1"/>
    <cellStyle name="表示済みのハイパーリンク" xfId="661" builtinId="9" hidden="1"/>
    <cellStyle name="表示済みのハイパーリンク" xfId="663" builtinId="9" hidden="1"/>
    <cellStyle name="表示済みのハイパーリンク" xfId="665" builtinId="9" hidden="1"/>
    <cellStyle name="表示済みのハイパーリンク" xfId="667" builtinId="9" hidden="1"/>
    <cellStyle name="表示済みのハイパーリンク" xfId="669" builtinId="9" hidden="1"/>
    <cellStyle name="表示済みのハイパーリンク" xfId="671" builtinId="9" hidden="1"/>
    <cellStyle name="表示済みのハイパーリンク" xfId="673" builtinId="9" hidden="1"/>
    <cellStyle name="表示済みのハイパーリンク" xfId="675" builtinId="9" hidden="1"/>
    <cellStyle name="表示済みのハイパーリンク" xfId="67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800" builtinId="9" hidden="1"/>
    <cellStyle name="表示済みのハイパーリンク" xfId="802" builtinId="9" hidden="1"/>
    <cellStyle name="表示済みのハイパーリンク" xfId="804" builtinId="9" hidden="1"/>
    <cellStyle name="赤字強調" xfId="507"/>
    <cellStyle name="青字強調" xfId="506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externalLink" Target="externalLinks/externalLink1.xml"/><Relationship Id="rId5" Type="http://schemas.openxmlformats.org/officeDocument/2006/relationships/externalLink" Target="externalLinks/externalLink2.xml"/><Relationship Id="rId6" Type="http://schemas.openxmlformats.org/officeDocument/2006/relationships/theme" Target="theme/theme1.xml"/><Relationship Id="rId7" Type="http://schemas.openxmlformats.org/officeDocument/2006/relationships/styles" Target="styles.xml"/><Relationship Id="rId8" Type="http://schemas.openxmlformats.org/officeDocument/2006/relationships/sharedStrings" Target="sharedStrings.xml"/><Relationship Id="rId9" Type="http://schemas.openxmlformats.org/officeDocument/2006/relationships/calcChain" Target="calcChain.xml"/><Relationship Id="rId10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QuestMasterData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StageHintMasterData_template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マスタ"/>
      <sheetName val="quests"/>
      <sheetName val="stages"/>
      <sheetName val="weekly_quests"/>
      <sheetName val="rank_quests"/>
      <sheetName val="event_quests"/>
      <sheetName val="banners"/>
      <sheetName val="guerilla_quests"/>
      <sheetName val="noon_guerilla_times"/>
      <sheetName val="night_guerilla_times"/>
      <sheetName val="automatic_quest_bonuses"/>
    </sheetNames>
    <sheetDataSet>
      <sheetData sheetId="0"/>
      <sheetData sheetId="1"/>
      <sheetData sheetId="2">
        <row r="1">
          <cell r="A1" t="str">
            <v>quest_id</v>
          </cell>
          <cell r="B1" t="str">
            <v>quest_type</v>
          </cell>
          <cell r="C1" t="str">
            <v>language</v>
          </cell>
          <cell r="D1" t="str">
            <v>name</v>
          </cell>
          <cell r="E1" t="str">
            <v>detail</v>
          </cell>
          <cell r="F1" t="str">
            <v>valid_flg</v>
          </cell>
          <cell r="G1" t="str">
            <v>pay_limit_time</v>
          </cell>
          <cell r="H1" t="str">
            <v>attribute_red</v>
          </cell>
          <cell r="I1" t="str">
            <v>attribute_blue</v>
          </cell>
          <cell r="J1" t="str">
            <v>attribute_green</v>
          </cell>
          <cell r="K1" t="str">
            <v>attribute_yellow</v>
          </cell>
          <cell r="L1" t="str">
            <v>story</v>
          </cell>
          <cell r="M1" t="str">
            <v>story文字数</v>
          </cell>
          <cell r="N1" t="str">
            <v>位置付け</v>
          </cell>
          <cell r="O1" t="str">
            <v>備考</v>
          </cell>
          <cell r="P1" t="str">
            <v>options</v>
          </cell>
          <cell r="Q1" t="str">
            <v>help_myself</v>
          </cell>
          <cell r="R1" t="str">
            <v>preview_start_date</v>
          </cell>
          <cell r="S1" t="str">
            <v>preview_end_date</v>
          </cell>
        </row>
        <row r="2">
          <cell r="A2">
            <v>0</v>
          </cell>
        </row>
        <row r="3">
          <cell r="A3">
            <v>1</v>
          </cell>
        </row>
        <row r="4">
          <cell r="A4">
            <v>2</v>
          </cell>
        </row>
        <row r="5">
          <cell r="A5">
            <v>3</v>
          </cell>
        </row>
        <row r="6">
          <cell r="A6">
            <v>4</v>
          </cell>
        </row>
        <row r="7">
          <cell r="A7">
            <v>5</v>
          </cell>
        </row>
        <row r="8">
          <cell r="A8">
            <v>6</v>
          </cell>
        </row>
        <row r="9">
          <cell r="A9">
            <v>7</v>
          </cell>
        </row>
        <row r="10">
          <cell r="A10">
            <v>8</v>
          </cell>
        </row>
        <row r="11">
          <cell r="A11">
            <v>9</v>
          </cell>
        </row>
        <row r="12">
          <cell r="A12">
            <v>10</v>
          </cell>
        </row>
        <row r="13">
          <cell r="A13">
            <v>11</v>
          </cell>
        </row>
        <row r="14">
          <cell r="A14">
            <v>12</v>
          </cell>
        </row>
        <row r="15">
          <cell r="A15">
            <v>13</v>
          </cell>
        </row>
        <row r="16">
          <cell r="A16">
            <v>14</v>
          </cell>
        </row>
        <row r="17">
          <cell r="A17">
            <v>15</v>
          </cell>
        </row>
        <row r="18">
          <cell r="A18">
            <v>16</v>
          </cell>
        </row>
        <row r="19">
          <cell r="A19">
            <v>17</v>
          </cell>
        </row>
        <row r="20">
          <cell r="A20">
            <v>18</v>
          </cell>
        </row>
        <row r="21">
          <cell r="A21">
            <v>19</v>
          </cell>
        </row>
        <row r="22">
          <cell r="A22">
            <v>20</v>
          </cell>
        </row>
        <row r="23">
          <cell r="A23">
            <v>21</v>
          </cell>
        </row>
        <row r="24">
          <cell r="A24">
            <v>22</v>
          </cell>
        </row>
        <row r="25">
          <cell r="A25">
            <v>23</v>
          </cell>
        </row>
        <row r="26">
          <cell r="A26">
            <v>24</v>
          </cell>
        </row>
        <row r="27">
          <cell r="A27">
            <v>25</v>
          </cell>
        </row>
        <row r="28">
          <cell r="A28">
            <v>26</v>
          </cell>
        </row>
        <row r="29">
          <cell r="A29">
            <v>27</v>
          </cell>
        </row>
        <row r="30">
          <cell r="A30">
            <v>28</v>
          </cell>
        </row>
        <row r="31">
          <cell r="A31">
            <v>29</v>
          </cell>
        </row>
        <row r="32">
          <cell r="A32">
            <v>30</v>
          </cell>
        </row>
        <row r="33">
          <cell r="A33">
            <v>31</v>
          </cell>
        </row>
        <row r="34">
          <cell r="A34">
            <v>10008</v>
          </cell>
        </row>
        <row r="35">
          <cell r="A35">
            <v>10010</v>
          </cell>
        </row>
        <row r="36">
          <cell r="A36">
            <v>10015</v>
          </cell>
        </row>
        <row r="37">
          <cell r="A37">
            <v>10020</v>
          </cell>
        </row>
        <row r="38">
          <cell r="A38">
            <v>10025</v>
          </cell>
        </row>
        <row r="39">
          <cell r="A39">
            <v>10030</v>
          </cell>
        </row>
        <row r="40">
          <cell r="A40">
            <v>10035</v>
          </cell>
        </row>
        <row r="41">
          <cell r="A41">
            <v>10040</v>
          </cell>
        </row>
        <row r="42">
          <cell r="A42">
            <v>10045</v>
          </cell>
        </row>
        <row r="43">
          <cell r="A43">
            <v>10050</v>
          </cell>
        </row>
        <row r="44">
          <cell r="A44">
            <v>10055</v>
          </cell>
        </row>
        <row r="45">
          <cell r="A45">
            <v>10060</v>
          </cell>
        </row>
        <row r="46">
          <cell r="A46">
            <v>10065</v>
          </cell>
        </row>
        <row r="47">
          <cell r="A47">
            <v>10090</v>
          </cell>
        </row>
        <row r="48">
          <cell r="A48">
            <v>10100</v>
          </cell>
        </row>
        <row r="49">
          <cell r="A49">
            <v>11001</v>
          </cell>
        </row>
        <row r="50">
          <cell r="A50">
            <v>11002</v>
          </cell>
        </row>
        <row r="51">
          <cell r="A51">
            <v>11003</v>
          </cell>
        </row>
        <row r="52">
          <cell r="A52">
            <v>11004</v>
          </cell>
        </row>
        <row r="53">
          <cell r="A53">
            <v>11005</v>
          </cell>
        </row>
        <row r="54">
          <cell r="A54">
            <v>11006</v>
          </cell>
        </row>
        <row r="55">
          <cell r="A55">
            <v>11007</v>
          </cell>
        </row>
        <row r="56">
          <cell r="A56">
            <v>11008</v>
          </cell>
        </row>
        <row r="57">
          <cell r="A57">
            <v>11101</v>
          </cell>
        </row>
        <row r="58">
          <cell r="A58">
            <v>11102</v>
          </cell>
        </row>
        <row r="59">
          <cell r="A59">
            <v>11103</v>
          </cell>
        </row>
        <row r="60">
          <cell r="A60">
            <v>11104</v>
          </cell>
        </row>
        <row r="61">
          <cell r="A61">
            <v>11105</v>
          </cell>
        </row>
        <row r="62">
          <cell r="A62">
            <v>11106</v>
          </cell>
        </row>
        <row r="63">
          <cell r="A63">
            <v>11206</v>
          </cell>
        </row>
        <row r="64">
          <cell r="A64">
            <v>11016</v>
          </cell>
        </row>
        <row r="65">
          <cell r="A65">
            <v>11017</v>
          </cell>
        </row>
        <row r="66">
          <cell r="A66">
            <v>11018</v>
          </cell>
        </row>
        <row r="67">
          <cell r="A67">
            <v>11207</v>
          </cell>
        </row>
        <row r="68">
          <cell r="A68">
            <v>11208</v>
          </cell>
        </row>
        <row r="69">
          <cell r="A69">
            <v>11209</v>
          </cell>
        </row>
        <row r="70">
          <cell r="A70">
            <v>11210</v>
          </cell>
        </row>
        <row r="71">
          <cell r="A71">
            <v>11211</v>
          </cell>
        </row>
        <row r="72">
          <cell r="A72">
            <v>11212</v>
          </cell>
        </row>
        <row r="73">
          <cell r="A73">
            <v>11213</v>
          </cell>
        </row>
        <row r="74">
          <cell r="A74">
            <v>11214</v>
          </cell>
        </row>
        <row r="75">
          <cell r="A75">
            <v>11215</v>
          </cell>
        </row>
        <row r="76">
          <cell r="A76">
            <v>11216</v>
          </cell>
        </row>
        <row r="77">
          <cell r="A77">
            <v>11217</v>
          </cell>
        </row>
        <row r="78">
          <cell r="A78">
            <v>11218</v>
          </cell>
        </row>
        <row r="79">
          <cell r="A79">
            <v>11219</v>
          </cell>
        </row>
        <row r="80">
          <cell r="A80">
            <v>11220</v>
          </cell>
        </row>
        <row r="81">
          <cell r="A81">
            <v>11221</v>
          </cell>
        </row>
        <row r="82">
          <cell r="A82">
            <v>11224</v>
          </cell>
        </row>
        <row r="83">
          <cell r="A83">
            <v>11225</v>
          </cell>
        </row>
        <row r="84">
          <cell r="A84">
            <v>11226</v>
          </cell>
        </row>
        <row r="85">
          <cell r="A85">
            <v>11227</v>
          </cell>
        </row>
        <row r="86">
          <cell r="A86">
            <v>11228</v>
          </cell>
        </row>
        <row r="87">
          <cell r="A87">
            <v>12001</v>
          </cell>
        </row>
        <row r="88">
          <cell r="A88">
            <v>12002</v>
          </cell>
        </row>
        <row r="89">
          <cell r="A89">
            <v>12003</v>
          </cell>
        </row>
        <row r="90">
          <cell r="A90">
            <v>12004</v>
          </cell>
        </row>
        <row r="91">
          <cell r="A91">
            <v>13001</v>
          </cell>
        </row>
        <row r="92">
          <cell r="A92">
            <v>13101</v>
          </cell>
        </row>
        <row r="93">
          <cell r="A93">
            <v>13300</v>
          </cell>
        </row>
        <row r="94">
          <cell r="A94">
            <v>13301</v>
          </cell>
        </row>
        <row r="95">
          <cell r="A95">
            <v>13302</v>
          </cell>
        </row>
        <row r="96">
          <cell r="A96">
            <v>13400</v>
          </cell>
        </row>
        <row r="97">
          <cell r="A97">
            <v>14001</v>
          </cell>
        </row>
        <row r="98">
          <cell r="A98">
            <v>14002</v>
          </cell>
        </row>
        <row r="99">
          <cell r="A99">
            <v>14003</v>
          </cell>
        </row>
        <row r="100">
          <cell r="A100">
            <v>14004</v>
          </cell>
        </row>
        <row r="101">
          <cell r="A101">
            <v>14005</v>
          </cell>
        </row>
        <row r="102">
          <cell r="A102">
            <v>14006</v>
          </cell>
        </row>
        <row r="103">
          <cell r="A103">
            <v>15027</v>
          </cell>
        </row>
        <row r="104">
          <cell r="A104">
            <v>15028</v>
          </cell>
        </row>
        <row r="105">
          <cell r="A105">
            <v>15029</v>
          </cell>
        </row>
        <row r="106">
          <cell r="A106">
            <v>15030</v>
          </cell>
        </row>
        <row r="107">
          <cell r="A107">
            <v>15031</v>
          </cell>
        </row>
        <row r="108">
          <cell r="A108">
            <v>20001</v>
          </cell>
        </row>
        <row r="109">
          <cell r="A109">
            <v>20002</v>
          </cell>
        </row>
        <row r="110">
          <cell r="A110">
            <v>20003</v>
          </cell>
        </row>
        <row r="111">
          <cell r="A111">
            <v>20004</v>
          </cell>
        </row>
        <row r="112">
          <cell r="A112">
            <v>20005</v>
          </cell>
        </row>
        <row r="113">
          <cell r="A113">
            <v>20006</v>
          </cell>
        </row>
        <row r="114">
          <cell r="A114">
            <v>20007</v>
          </cell>
        </row>
        <row r="115">
          <cell r="A115">
            <v>20008</v>
          </cell>
        </row>
        <row r="116">
          <cell r="A116">
            <v>20009</v>
          </cell>
        </row>
        <row r="117">
          <cell r="A117">
            <v>20010</v>
          </cell>
        </row>
        <row r="118">
          <cell r="A118">
            <v>20011</v>
          </cell>
        </row>
        <row r="119">
          <cell r="A119">
            <v>20012</v>
          </cell>
        </row>
        <row r="120">
          <cell r="A120">
            <v>20013</v>
          </cell>
        </row>
        <row r="121">
          <cell r="A121">
            <v>20014</v>
          </cell>
        </row>
        <row r="122">
          <cell r="A122">
            <v>20015</v>
          </cell>
        </row>
        <row r="123">
          <cell r="A123">
            <v>20016</v>
          </cell>
        </row>
        <row r="124">
          <cell r="A124">
            <v>20017</v>
          </cell>
        </row>
        <row r="125">
          <cell r="A125">
            <v>20018</v>
          </cell>
        </row>
        <row r="126">
          <cell r="A126">
            <v>20019</v>
          </cell>
        </row>
        <row r="127">
          <cell r="A127">
            <v>20020</v>
          </cell>
        </row>
        <row r="128">
          <cell r="A128">
            <v>20021</v>
          </cell>
        </row>
        <row r="129">
          <cell r="A129">
            <v>20022</v>
          </cell>
        </row>
        <row r="130">
          <cell r="A130">
            <v>30001</v>
          </cell>
        </row>
        <row r="131">
          <cell r="A131">
            <v>30002</v>
          </cell>
        </row>
        <row r="132">
          <cell r="A132">
            <v>30003</v>
          </cell>
        </row>
        <row r="133">
          <cell r="A133">
            <v>30004</v>
          </cell>
        </row>
        <row r="134">
          <cell r="A134">
            <v>30005</v>
          </cell>
        </row>
        <row r="135">
          <cell r="A135">
            <v>30006</v>
          </cell>
        </row>
        <row r="136">
          <cell r="A136">
            <v>30007</v>
          </cell>
        </row>
        <row r="137">
          <cell r="A137">
            <v>30008</v>
          </cell>
        </row>
        <row r="138">
          <cell r="A138">
            <v>30009</v>
          </cell>
        </row>
        <row r="139">
          <cell r="A139">
            <v>30010</v>
          </cell>
        </row>
        <row r="140">
          <cell r="A140">
            <v>30011</v>
          </cell>
        </row>
        <row r="141">
          <cell r="A141">
            <v>30012</v>
          </cell>
        </row>
        <row r="142">
          <cell r="A142">
            <v>30013</v>
          </cell>
        </row>
        <row r="143">
          <cell r="A143">
            <v>30014</v>
          </cell>
        </row>
        <row r="144">
          <cell r="A144">
            <v>30015</v>
          </cell>
        </row>
        <row r="145">
          <cell r="A145">
            <v>30016</v>
          </cell>
        </row>
        <row r="146">
          <cell r="A146">
            <v>30017</v>
          </cell>
        </row>
        <row r="147">
          <cell r="A147">
            <v>30018</v>
          </cell>
        </row>
        <row r="148">
          <cell r="A148">
            <v>30019</v>
          </cell>
        </row>
        <row r="149">
          <cell r="A149">
            <v>30020</v>
          </cell>
        </row>
        <row r="150">
          <cell r="A150">
            <v>30021</v>
          </cell>
        </row>
        <row r="151">
          <cell r="A151">
            <v>30022</v>
          </cell>
        </row>
        <row r="152">
          <cell r="A152">
            <v>30023</v>
          </cell>
        </row>
        <row r="153">
          <cell r="A153">
            <v>30024</v>
          </cell>
        </row>
        <row r="154">
          <cell r="A154">
            <v>30025</v>
          </cell>
        </row>
        <row r="155">
          <cell r="A155">
            <v>30026</v>
          </cell>
        </row>
        <row r="156">
          <cell r="A156">
            <v>30027</v>
          </cell>
        </row>
        <row r="157">
          <cell r="A157">
            <v>30028</v>
          </cell>
        </row>
        <row r="158">
          <cell r="A158">
            <v>30029</v>
          </cell>
        </row>
        <row r="159">
          <cell r="A159">
            <v>30030</v>
          </cell>
        </row>
        <row r="160">
          <cell r="A160">
            <v>30031</v>
          </cell>
        </row>
        <row r="161">
          <cell r="A161">
            <v>30032</v>
          </cell>
        </row>
        <row r="162">
          <cell r="A162">
            <v>30033</v>
          </cell>
        </row>
        <row r="163">
          <cell r="A163">
            <v>30034</v>
          </cell>
        </row>
        <row r="164">
          <cell r="A164">
            <v>30035</v>
          </cell>
        </row>
        <row r="165">
          <cell r="A165">
            <v>30036</v>
          </cell>
        </row>
        <row r="166">
          <cell r="A166">
            <v>30037</v>
          </cell>
        </row>
        <row r="167">
          <cell r="A167">
            <v>30038</v>
          </cell>
        </row>
        <row r="168">
          <cell r="A168">
            <v>30039</v>
          </cell>
        </row>
        <row r="169">
          <cell r="A169">
            <v>30040</v>
          </cell>
        </row>
        <row r="170">
          <cell r="A170">
            <v>30041</v>
          </cell>
        </row>
        <row r="171">
          <cell r="A171">
            <v>30042</v>
          </cell>
        </row>
        <row r="172">
          <cell r="A172">
            <v>30043</v>
          </cell>
        </row>
        <row r="173">
          <cell r="A173">
            <v>30044</v>
          </cell>
        </row>
        <row r="174">
          <cell r="A174">
            <v>30045</v>
          </cell>
        </row>
        <row r="175">
          <cell r="A175">
            <v>30046</v>
          </cell>
        </row>
        <row r="176">
          <cell r="A176">
            <v>30047</v>
          </cell>
        </row>
        <row r="177">
          <cell r="A177">
            <v>30048</v>
          </cell>
        </row>
        <row r="178">
          <cell r="A178">
            <v>39001</v>
          </cell>
        </row>
        <row r="179">
          <cell r="A179">
            <v>39002</v>
          </cell>
        </row>
        <row r="180">
          <cell r="A180">
            <v>39003</v>
          </cell>
        </row>
        <row r="181">
          <cell r="A181">
            <v>39004</v>
          </cell>
        </row>
        <row r="182">
          <cell r="A182">
            <v>39005</v>
          </cell>
        </row>
        <row r="183">
          <cell r="A183">
            <v>39006</v>
          </cell>
        </row>
        <row r="184">
          <cell r="A184">
            <v>39007</v>
          </cell>
        </row>
        <row r="185">
          <cell r="A185">
            <v>39008</v>
          </cell>
        </row>
        <row r="186">
          <cell r="A186">
            <v>39009</v>
          </cell>
        </row>
        <row r="187">
          <cell r="A187">
            <v>39010</v>
          </cell>
        </row>
        <row r="188">
          <cell r="A188">
            <v>39011</v>
          </cell>
        </row>
        <row r="189">
          <cell r="A189">
            <v>39012</v>
          </cell>
        </row>
        <row r="190">
          <cell r="A190">
            <v>40001</v>
          </cell>
        </row>
        <row r="191">
          <cell r="A191">
            <v>40002</v>
          </cell>
        </row>
        <row r="192">
          <cell r="A192">
            <v>40003</v>
          </cell>
        </row>
        <row r="193">
          <cell r="A193">
            <v>40004</v>
          </cell>
        </row>
        <row r="194">
          <cell r="A194">
            <v>40005</v>
          </cell>
        </row>
        <row r="195">
          <cell r="A195">
            <v>40006</v>
          </cell>
        </row>
        <row r="196">
          <cell r="A196">
            <v>40007</v>
          </cell>
        </row>
        <row r="197">
          <cell r="A197">
            <v>40008</v>
          </cell>
        </row>
        <row r="198">
          <cell r="A198">
            <v>40009</v>
          </cell>
        </row>
        <row r="199">
          <cell r="A199">
            <v>40010</v>
          </cell>
        </row>
        <row r="200">
          <cell r="A200">
            <v>40011</v>
          </cell>
        </row>
        <row r="201">
          <cell r="A201">
            <v>40012</v>
          </cell>
        </row>
        <row r="202">
          <cell r="A202">
            <v>40013</v>
          </cell>
        </row>
        <row r="203">
          <cell r="A203">
            <v>40014</v>
          </cell>
        </row>
        <row r="204">
          <cell r="A204">
            <v>40015</v>
          </cell>
        </row>
        <row r="205">
          <cell r="A205">
            <v>40016</v>
          </cell>
        </row>
        <row r="206">
          <cell r="A206">
            <v>40017</v>
          </cell>
        </row>
        <row r="207">
          <cell r="A207">
            <v>40018</v>
          </cell>
        </row>
        <row r="208">
          <cell r="A208">
            <v>40019</v>
          </cell>
        </row>
        <row r="209">
          <cell r="A209">
            <v>40021</v>
          </cell>
        </row>
        <row r="210">
          <cell r="A210">
            <v>40022</v>
          </cell>
        </row>
        <row r="211">
          <cell r="A211">
            <v>40023</v>
          </cell>
        </row>
        <row r="212">
          <cell r="A212">
            <v>40024</v>
          </cell>
        </row>
        <row r="213">
          <cell r="A213">
            <v>40025</v>
          </cell>
        </row>
        <row r="214">
          <cell r="A214">
            <v>40026</v>
          </cell>
        </row>
        <row r="215">
          <cell r="A215">
            <v>40027</v>
          </cell>
        </row>
        <row r="216">
          <cell r="A216">
            <v>40028</v>
          </cell>
        </row>
        <row r="217">
          <cell r="A217">
            <v>40029</v>
          </cell>
        </row>
        <row r="218">
          <cell r="A218">
            <v>40030</v>
          </cell>
        </row>
        <row r="219">
          <cell r="A219">
            <v>40031</v>
          </cell>
        </row>
        <row r="220">
          <cell r="A220">
            <v>40032</v>
          </cell>
        </row>
        <row r="221">
          <cell r="A221">
            <v>40033</v>
          </cell>
        </row>
        <row r="222">
          <cell r="A222">
            <v>40034</v>
          </cell>
        </row>
        <row r="223">
          <cell r="A223">
            <v>40035</v>
          </cell>
        </row>
        <row r="224">
          <cell r="A224">
            <v>40036</v>
          </cell>
        </row>
        <row r="225">
          <cell r="A225">
            <v>40037</v>
          </cell>
        </row>
        <row r="226">
          <cell r="A226">
            <v>40038</v>
          </cell>
        </row>
        <row r="227">
          <cell r="A227">
            <v>40039</v>
          </cell>
        </row>
        <row r="228">
          <cell r="A228">
            <v>40040</v>
          </cell>
        </row>
        <row r="229">
          <cell r="A229">
            <v>40041</v>
          </cell>
        </row>
        <row r="230">
          <cell r="A230">
            <v>40042</v>
          </cell>
        </row>
        <row r="231">
          <cell r="A231">
            <v>40043</v>
          </cell>
        </row>
        <row r="232">
          <cell r="A232">
            <v>48001</v>
          </cell>
        </row>
        <row r="233">
          <cell r="A233">
            <v>48002</v>
          </cell>
        </row>
        <row r="234">
          <cell r="A234">
            <v>48003</v>
          </cell>
        </row>
        <row r="235">
          <cell r="A235">
            <v>48004</v>
          </cell>
        </row>
        <row r="236">
          <cell r="A236">
            <v>48005</v>
          </cell>
        </row>
        <row r="237">
          <cell r="A237">
            <v>48006</v>
          </cell>
        </row>
        <row r="238">
          <cell r="A238">
            <v>48007</v>
          </cell>
        </row>
        <row r="239">
          <cell r="A239">
            <v>48008</v>
          </cell>
        </row>
        <row r="240">
          <cell r="A240">
            <v>48009</v>
          </cell>
        </row>
        <row r="241">
          <cell r="A241">
            <v>48010</v>
          </cell>
        </row>
        <row r="242">
          <cell r="A242">
            <v>48011</v>
          </cell>
        </row>
        <row r="243">
          <cell r="A243">
            <v>48501</v>
          </cell>
        </row>
        <row r="244">
          <cell r="A244">
            <v>48502</v>
          </cell>
        </row>
        <row r="245">
          <cell r="A245">
            <v>41001</v>
          </cell>
        </row>
        <row r="246">
          <cell r="A246">
            <v>41002</v>
          </cell>
        </row>
        <row r="247">
          <cell r="A247">
            <v>41003</v>
          </cell>
        </row>
        <row r="248">
          <cell r="A248">
            <v>41004</v>
          </cell>
        </row>
        <row r="249">
          <cell r="A249">
            <v>41005</v>
          </cell>
        </row>
        <row r="250">
          <cell r="A250">
            <v>41006</v>
          </cell>
        </row>
        <row r="251">
          <cell r="A251">
            <v>41007</v>
          </cell>
        </row>
        <row r="252">
          <cell r="A252">
            <v>41008</v>
          </cell>
        </row>
        <row r="253">
          <cell r="A253">
            <v>41009</v>
          </cell>
        </row>
        <row r="254">
          <cell r="A254">
            <v>41010</v>
          </cell>
        </row>
        <row r="255">
          <cell r="A255">
            <v>41011</v>
          </cell>
        </row>
        <row r="256">
          <cell r="A256">
            <v>41012</v>
          </cell>
        </row>
        <row r="257">
          <cell r="A257">
            <v>41013</v>
          </cell>
        </row>
        <row r="258">
          <cell r="A258">
            <v>41014</v>
          </cell>
        </row>
        <row r="259">
          <cell r="A259">
            <v>41015</v>
          </cell>
        </row>
        <row r="260">
          <cell r="A260">
            <v>47001</v>
          </cell>
        </row>
        <row r="261">
          <cell r="A261">
            <v>47002</v>
          </cell>
        </row>
        <row r="262">
          <cell r="A262">
            <v>47003</v>
          </cell>
        </row>
        <row r="263">
          <cell r="A263">
            <v>47004</v>
          </cell>
        </row>
        <row r="264">
          <cell r="A264">
            <v>47005</v>
          </cell>
        </row>
        <row r="265">
          <cell r="A265">
            <v>47006</v>
          </cell>
        </row>
        <row r="266">
          <cell r="A266">
            <v>47007</v>
          </cell>
        </row>
        <row r="267">
          <cell r="A267">
            <v>47008</v>
          </cell>
        </row>
        <row r="268">
          <cell r="A268">
            <v>47009</v>
          </cell>
        </row>
        <row r="269">
          <cell r="A269">
            <v>47010</v>
          </cell>
        </row>
        <row r="270">
          <cell r="A270">
            <v>49001</v>
          </cell>
        </row>
        <row r="271">
          <cell r="A271">
            <v>49002</v>
          </cell>
        </row>
        <row r="272">
          <cell r="A272">
            <v>49003</v>
          </cell>
        </row>
        <row r="273">
          <cell r="A273">
            <v>49004</v>
          </cell>
        </row>
        <row r="274">
          <cell r="A274">
            <v>49005</v>
          </cell>
        </row>
        <row r="275">
          <cell r="A275">
            <v>49006</v>
          </cell>
        </row>
        <row r="276">
          <cell r="A276">
            <v>49007</v>
          </cell>
        </row>
        <row r="277">
          <cell r="A277">
            <v>49008</v>
          </cell>
        </row>
        <row r="278">
          <cell r="A278">
            <v>49009</v>
          </cell>
        </row>
        <row r="279">
          <cell r="A279">
            <v>49010</v>
          </cell>
        </row>
        <row r="280">
          <cell r="A280">
            <v>49011</v>
          </cell>
        </row>
        <row r="281">
          <cell r="A281">
            <v>49012</v>
          </cell>
        </row>
        <row r="282">
          <cell r="A282">
            <v>49013</v>
          </cell>
        </row>
        <row r="283">
          <cell r="A283">
            <v>49014</v>
          </cell>
        </row>
        <row r="284">
          <cell r="A284">
            <v>50001</v>
          </cell>
        </row>
        <row r="285">
          <cell r="A285">
            <v>50002</v>
          </cell>
        </row>
        <row r="286">
          <cell r="A286">
            <v>50003</v>
          </cell>
        </row>
        <row r="287">
          <cell r="A287">
            <v>50004</v>
          </cell>
        </row>
        <row r="288">
          <cell r="A288">
            <v>50005</v>
          </cell>
        </row>
        <row r="289">
          <cell r="A289">
            <v>50006</v>
          </cell>
        </row>
        <row r="290">
          <cell r="A290">
            <v>50007</v>
          </cell>
        </row>
        <row r="291">
          <cell r="A291">
            <v>50008</v>
          </cell>
        </row>
        <row r="292">
          <cell r="A292">
            <v>50009</v>
          </cell>
        </row>
        <row r="293">
          <cell r="A293">
            <v>50010</v>
          </cell>
        </row>
        <row r="294">
          <cell r="A294">
            <v>50011</v>
          </cell>
        </row>
        <row r="295">
          <cell r="A295">
            <v>50012</v>
          </cell>
        </row>
        <row r="296">
          <cell r="A296">
            <v>50013</v>
          </cell>
        </row>
        <row r="297">
          <cell r="A297">
            <v>50014</v>
          </cell>
        </row>
        <row r="298">
          <cell r="A298">
            <v>51001</v>
          </cell>
        </row>
        <row r="299">
          <cell r="A299">
            <v>51002</v>
          </cell>
        </row>
        <row r="300">
          <cell r="A300">
            <v>58001</v>
          </cell>
        </row>
        <row r="301">
          <cell r="A301">
            <v>59001</v>
          </cell>
        </row>
        <row r="302">
          <cell r="A302">
            <v>59002</v>
          </cell>
        </row>
        <row r="303">
          <cell r="A303">
            <v>60001</v>
          </cell>
        </row>
        <row r="304">
          <cell r="A304">
            <v>60002</v>
          </cell>
        </row>
        <row r="305">
          <cell r="A305">
            <v>60003</v>
          </cell>
        </row>
        <row r="306">
          <cell r="A306">
            <v>60004</v>
          </cell>
        </row>
        <row r="307">
          <cell r="A307">
            <v>60005</v>
          </cell>
        </row>
        <row r="308">
          <cell r="A308">
            <v>60006</v>
          </cell>
        </row>
        <row r="309">
          <cell r="A309">
            <v>60007</v>
          </cell>
        </row>
        <row r="310">
          <cell r="A310">
            <v>60010</v>
          </cell>
        </row>
        <row r="311">
          <cell r="A311">
            <v>60011</v>
          </cell>
        </row>
        <row r="312">
          <cell r="A312">
            <v>61011</v>
          </cell>
        </row>
        <row r="313">
          <cell r="A313">
            <v>60012</v>
          </cell>
        </row>
        <row r="314">
          <cell r="A314">
            <v>60013</v>
          </cell>
        </row>
        <row r="315">
          <cell r="A315">
            <v>60014</v>
          </cell>
        </row>
        <row r="316">
          <cell r="A316">
            <v>60015</v>
          </cell>
        </row>
        <row r="317">
          <cell r="A317">
            <v>60016</v>
          </cell>
        </row>
        <row r="318">
          <cell r="A318">
            <v>60017</v>
          </cell>
        </row>
        <row r="319">
          <cell r="A319">
            <v>60018</v>
          </cell>
        </row>
        <row r="320">
          <cell r="A320">
            <v>60019</v>
          </cell>
        </row>
        <row r="321">
          <cell r="A321">
            <v>60020</v>
          </cell>
        </row>
        <row r="322">
          <cell r="A322">
            <v>60025</v>
          </cell>
        </row>
        <row r="323">
          <cell r="A323">
            <v>60026</v>
          </cell>
        </row>
        <row r="324">
          <cell r="A324">
            <v>60027</v>
          </cell>
        </row>
        <row r="325">
          <cell r="A325">
            <v>65525</v>
          </cell>
        </row>
        <row r="326">
          <cell r="A326">
            <v>65526</v>
          </cell>
        </row>
        <row r="327">
          <cell r="A327">
            <v>65527</v>
          </cell>
        </row>
        <row r="328">
          <cell r="A328">
            <v>65528</v>
          </cell>
        </row>
        <row r="329">
          <cell r="A329">
            <v>65529</v>
          </cell>
        </row>
        <row r="330">
          <cell r="A330">
            <v>65530</v>
          </cell>
        </row>
        <row r="331">
          <cell r="A331">
            <v>65531</v>
          </cell>
        </row>
        <row r="332">
          <cell r="A332">
            <v>65532</v>
          </cell>
        </row>
        <row r="333">
          <cell r="A333">
            <v>65533</v>
          </cell>
        </row>
        <row r="334">
          <cell r="A334">
            <v>65534</v>
          </cell>
        </row>
        <row r="335">
          <cell r="A335">
            <v>65535</v>
          </cell>
        </row>
        <row r="336">
          <cell r="A336">
            <v>60021</v>
          </cell>
        </row>
        <row r="337">
          <cell r="A337">
            <v>60022</v>
          </cell>
        </row>
        <row r="338">
          <cell r="A338">
            <v>60023</v>
          </cell>
        </row>
        <row r="339">
          <cell r="A339">
            <v>60024</v>
          </cell>
        </row>
      </sheetData>
      <sheetData sheetId="3">
        <row r="1">
          <cell r="A1" t="str">
            <v>ID</v>
          </cell>
        </row>
        <row r="2">
          <cell r="A2" t="str">
            <v>temp_stage</v>
          </cell>
          <cell r="B2" t="str">
            <v>valid_flg</v>
          </cell>
          <cell r="C2" t="str">
            <v>quest_id</v>
          </cell>
          <cell r="D2" t="str">
            <v>クエスト名</v>
          </cell>
          <cell r="E2" t="str">
            <v>位置付け</v>
          </cell>
          <cell r="F2" t="str">
            <v>stage_id</v>
          </cell>
          <cell r="G2" t="str">
            <v>language</v>
          </cell>
          <cell r="H2" t="str">
            <v>name</v>
          </cell>
          <cell r="I2" t="str">
            <v>位置付け</v>
          </cell>
          <cell r="J2" t="str">
            <v>thumbnail_character_id</v>
          </cell>
          <cell r="K2" t="str">
            <v>stamina</v>
          </cell>
          <cell r="L2" t="str">
            <v>rank_exp</v>
          </cell>
          <cell r="M2" t="str">
            <v>red_flg</v>
          </cell>
          <cell r="N2" t="str">
            <v>blue_flg</v>
          </cell>
          <cell r="O2" t="str">
            <v>green_flg</v>
          </cell>
          <cell r="P2" t="str">
            <v>yellow_flg</v>
          </cell>
          <cell r="Q2" t="str">
            <v>heal_flg</v>
          </cell>
          <cell r="R2" t="str">
            <v>attack_count</v>
          </cell>
          <cell r="S2" t="str">
            <v>treasure_type</v>
          </cell>
          <cell r="T2" t="str">
            <v>treasure_value</v>
          </cell>
          <cell r="U2" t="str">
            <v>prev_quest_id</v>
          </cell>
          <cell r="V2" t="str">
            <v>prev_stage_id</v>
          </cell>
          <cell r="W2" t="str">
            <v>name</v>
          </cell>
          <cell r="X2" t="str">
            <v>attribute_red</v>
          </cell>
          <cell r="Y2" t="str">
            <v>attribute_blue</v>
          </cell>
          <cell r="Z2" t="str">
            <v>attribute_green</v>
          </cell>
          <cell r="AA2" t="str">
            <v>attribute_yellow</v>
          </cell>
          <cell r="AB2" t="str">
            <v>completable_time</v>
          </cell>
          <cell r="AC2" t="str">
            <v>background</v>
          </cell>
          <cell r="AD2" t="str">
            <v>crash_panel_materials</v>
          </cell>
          <cell r="AE2" t="str">
            <v>stage_target</v>
          </cell>
          <cell r="AF2" t="str">
            <v>bgm</v>
          </cell>
          <cell r="AG2" t="str">
            <v>bgm_boss</v>
          </cell>
          <cell r="AH2" t="str">
            <v>bgm_boss_last</v>
          </cell>
          <cell r="AI2" t="str">
            <v>continue_limit</v>
          </cell>
          <cell r="AJ2" t="str">
            <v>need_rank</v>
          </cell>
          <cell r="AK2" t="str">
            <v>chat_type</v>
          </cell>
          <cell r="AL2" t="str">
            <v>treasure_bug</v>
          </cell>
        </row>
        <row r="3">
          <cell r="A3" t="str">
            <v>0_1</v>
          </cell>
        </row>
        <row r="4">
          <cell r="A4" t="str">
            <v>0_2</v>
          </cell>
        </row>
        <row r="5">
          <cell r="A5" t="str">
            <v>1_1</v>
          </cell>
        </row>
        <row r="6">
          <cell r="A6" t="str">
            <v>1_2</v>
          </cell>
        </row>
        <row r="7">
          <cell r="A7" t="str">
            <v>1_3</v>
          </cell>
        </row>
        <row r="8">
          <cell r="A8" t="str">
            <v>1_4</v>
          </cell>
        </row>
        <row r="9">
          <cell r="A9" t="str">
            <v>2_1</v>
          </cell>
        </row>
        <row r="10">
          <cell r="A10" t="str">
            <v>2_2</v>
          </cell>
        </row>
        <row r="11">
          <cell r="A11" t="str">
            <v>2_3</v>
          </cell>
        </row>
        <row r="12">
          <cell r="A12" t="str">
            <v>2_4</v>
          </cell>
        </row>
        <row r="13">
          <cell r="A13" t="str">
            <v>3_1</v>
          </cell>
        </row>
        <row r="14">
          <cell r="A14" t="str">
            <v>3_2</v>
          </cell>
        </row>
        <row r="15">
          <cell r="A15" t="str">
            <v>3_3</v>
          </cell>
        </row>
        <row r="16">
          <cell r="A16" t="str">
            <v>3_4</v>
          </cell>
        </row>
        <row r="17">
          <cell r="A17" t="str">
            <v>4_1</v>
          </cell>
        </row>
        <row r="18">
          <cell r="A18" t="str">
            <v>4_2</v>
          </cell>
        </row>
        <row r="19">
          <cell r="A19" t="str">
            <v>4_3</v>
          </cell>
        </row>
        <row r="20">
          <cell r="A20" t="str">
            <v>4_4</v>
          </cell>
        </row>
        <row r="21">
          <cell r="A21" t="str">
            <v>5_1</v>
          </cell>
        </row>
        <row r="22">
          <cell r="A22" t="str">
            <v>5_2</v>
          </cell>
        </row>
        <row r="23">
          <cell r="A23" t="str">
            <v>5_3</v>
          </cell>
        </row>
        <row r="24">
          <cell r="A24" t="str">
            <v>5_4</v>
          </cell>
        </row>
        <row r="25">
          <cell r="A25" t="str">
            <v>6_1</v>
          </cell>
        </row>
        <row r="26">
          <cell r="A26" t="str">
            <v>6_2</v>
          </cell>
        </row>
        <row r="27">
          <cell r="A27" t="str">
            <v>6_3</v>
          </cell>
        </row>
        <row r="28">
          <cell r="A28" t="str">
            <v>6_4</v>
          </cell>
        </row>
        <row r="29">
          <cell r="A29" t="str">
            <v>6_5</v>
          </cell>
        </row>
        <row r="30">
          <cell r="A30" t="str">
            <v>6_6</v>
          </cell>
        </row>
        <row r="31">
          <cell r="A31" t="str">
            <v>7_1</v>
          </cell>
        </row>
        <row r="32">
          <cell r="A32" t="str">
            <v>7_2</v>
          </cell>
        </row>
        <row r="33">
          <cell r="A33" t="str">
            <v>7_3</v>
          </cell>
        </row>
        <row r="34">
          <cell r="A34" t="str">
            <v>7_4</v>
          </cell>
        </row>
        <row r="35">
          <cell r="A35" t="str">
            <v>7_5</v>
          </cell>
        </row>
        <row r="36">
          <cell r="A36" t="str">
            <v>7_6</v>
          </cell>
        </row>
        <row r="37">
          <cell r="A37" t="str">
            <v>8_1</v>
          </cell>
        </row>
        <row r="38">
          <cell r="A38" t="str">
            <v>8_2</v>
          </cell>
        </row>
        <row r="39">
          <cell r="A39" t="str">
            <v>8_3</v>
          </cell>
        </row>
        <row r="40">
          <cell r="A40" t="str">
            <v>8_4</v>
          </cell>
        </row>
        <row r="41">
          <cell r="A41" t="str">
            <v>8_5</v>
          </cell>
        </row>
        <row r="42">
          <cell r="A42" t="str">
            <v>8_6</v>
          </cell>
        </row>
        <row r="43">
          <cell r="A43" t="str">
            <v>9_1</v>
          </cell>
        </row>
        <row r="44">
          <cell r="A44" t="str">
            <v>9_2</v>
          </cell>
        </row>
        <row r="45">
          <cell r="A45" t="str">
            <v>9_3</v>
          </cell>
        </row>
        <row r="46">
          <cell r="A46" t="str">
            <v>9_4</v>
          </cell>
        </row>
        <row r="47">
          <cell r="A47" t="str">
            <v>9_5</v>
          </cell>
        </row>
        <row r="48">
          <cell r="A48" t="str">
            <v>9_6</v>
          </cell>
        </row>
        <row r="49">
          <cell r="A49" t="str">
            <v>10_1</v>
          </cell>
        </row>
        <row r="50">
          <cell r="A50" t="str">
            <v>10_2</v>
          </cell>
        </row>
        <row r="51">
          <cell r="A51" t="str">
            <v>10_3</v>
          </cell>
        </row>
        <row r="52">
          <cell r="A52" t="str">
            <v>10_4</v>
          </cell>
        </row>
        <row r="53">
          <cell r="A53" t="str">
            <v>10_5</v>
          </cell>
        </row>
        <row r="54">
          <cell r="A54" t="str">
            <v>10_6</v>
          </cell>
        </row>
        <row r="55">
          <cell r="A55" t="str">
            <v>11_1</v>
          </cell>
        </row>
        <row r="56">
          <cell r="A56" t="str">
            <v>11_2</v>
          </cell>
        </row>
        <row r="57">
          <cell r="A57" t="str">
            <v>11_3</v>
          </cell>
        </row>
        <row r="58">
          <cell r="A58" t="str">
            <v>11_4</v>
          </cell>
        </row>
        <row r="59">
          <cell r="A59" t="str">
            <v>11_5</v>
          </cell>
        </row>
        <row r="60">
          <cell r="A60" t="str">
            <v>11_6</v>
          </cell>
        </row>
        <row r="61">
          <cell r="A61" t="str">
            <v>12_1</v>
          </cell>
        </row>
        <row r="62">
          <cell r="A62" t="str">
            <v>12_2</v>
          </cell>
        </row>
        <row r="63">
          <cell r="A63" t="str">
            <v>12_3</v>
          </cell>
        </row>
        <row r="64">
          <cell r="A64" t="str">
            <v>12_4</v>
          </cell>
        </row>
        <row r="65">
          <cell r="A65" t="str">
            <v>12_5</v>
          </cell>
        </row>
        <row r="66">
          <cell r="A66" t="str">
            <v>12_6</v>
          </cell>
        </row>
        <row r="67">
          <cell r="A67" t="str">
            <v>13_1</v>
          </cell>
        </row>
        <row r="68">
          <cell r="A68" t="str">
            <v>13_2</v>
          </cell>
        </row>
        <row r="69">
          <cell r="A69" t="str">
            <v>13_3</v>
          </cell>
        </row>
        <row r="70">
          <cell r="A70" t="str">
            <v>13_4</v>
          </cell>
        </row>
        <row r="71">
          <cell r="A71" t="str">
            <v>13_5</v>
          </cell>
        </row>
        <row r="72">
          <cell r="A72" t="str">
            <v>13_6</v>
          </cell>
        </row>
        <row r="73">
          <cell r="A73" t="str">
            <v>14_1</v>
          </cell>
        </row>
        <row r="74">
          <cell r="A74" t="str">
            <v>14_2</v>
          </cell>
        </row>
        <row r="75">
          <cell r="A75" t="str">
            <v>14_3</v>
          </cell>
        </row>
        <row r="76">
          <cell r="A76" t="str">
            <v>14_4</v>
          </cell>
        </row>
        <row r="77">
          <cell r="A77" t="str">
            <v>14_5</v>
          </cell>
        </row>
        <row r="78">
          <cell r="A78" t="str">
            <v>14_6</v>
          </cell>
        </row>
        <row r="79">
          <cell r="A79" t="str">
            <v>15_1</v>
          </cell>
        </row>
        <row r="80">
          <cell r="A80" t="str">
            <v>15_2</v>
          </cell>
        </row>
        <row r="81">
          <cell r="A81" t="str">
            <v>15_3</v>
          </cell>
        </row>
        <row r="82">
          <cell r="A82" t="str">
            <v>15_4</v>
          </cell>
        </row>
        <row r="83">
          <cell r="A83" t="str">
            <v>15_5</v>
          </cell>
        </row>
        <row r="84">
          <cell r="A84" t="str">
            <v>15_6</v>
          </cell>
        </row>
        <row r="85">
          <cell r="A85" t="str">
            <v>16_1</v>
          </cell>
        </row>
        <row r="86">
          <cell r="A86" t="str">
            <v>16_2</v>
          </cell>
        </row>
        <row r="87">
          <cell r="A87" t="str">
            <v>16_3</v>
          </cell>
        </row>
        <row r="88">
          <cell r="A88" t="str">
            <v>16_4</v>
          </cell>
        </row>
        <row r="89">
          <cell r="A89" t="str">
            <v>16_5</v>
          </cell>
        </row>
        <row r="90">
          <cell r="A90" t="str">
            <v>16_6</v>
          </cell>
        </row>
        <row r="91">
          <cell r="A91" t="str">
            <v>17_1</v>
          </cell>
        </row>
        <row r="92">
          <cell r="A92" t="str">
            <v>17_2</v>
          </cell>
        </row>
        <row r="93">
          <cell r="A93" t="str">
            <v>17_3</v>
          </cell>
        </row>
        <row r="94">
          <cell r="A94" t="str">
            <v>17_4</v>
          </cell>
        </row>
        <row r="95">
          <cell r="A95" t="str">
            <v>17_5</v>
          </cell>
        </row>
        <row r="96">
          <cell r="A96" t="str">
            <v>17_6</v>
          </cell>
        </row>
        <row r="97">
          <cell r="A97" t="str">
            <v>18_1</v>
          </cell>
        </row>
        <row r="98">
          <cell r="A98" t="str">
            <v>18_2</v>
          </cell>
        </row>
        <row r="99">
          <cell r="A99" t="str">
            <v>18_3</v>
          </cell>
        </row>
        <row r="100">
          <cell r="A100" t="str">
            <v>18_4</v>
          </cell>
        </row>
        <row r="101">
          <cell r="A101" t="str">
            <v>18_5</v>
          </cell>
        </row>
        <row r="102">
          <cell r="A102" t="str">
            <v>18_6</v>
          </cell>
        </row>
        <row r="103">
          <cell r="A103" t="str">
            <v>19_1</v>
          </cell>
        </row>
        <row r="104">
          <cell r="A104" t="str">
            <v>19_2</v>
          </cell>
        </row>
        <row r="105">
          <cell r="A105" t="str">
            <v>19_3</v>
          </cell>
        </row>
        <row r="106">
          <cell r="A106" t="str">
            <v>19_4</v>
          </cell>
        </row>
        <row r="107">
          <cell r="A107" t="str">
            <v>19_5</v>
          </cell>
        </row>
        <row r="108">
          <cell r="A108" t="str">
            <v>19_6</v>
          </cell>
        </row>
        <row r="109">
          <cell r="A109" t="str">
            <v>20_1</v>
          </cell>
        </row>
        <row r="110">
          <cell r="A110" t="str">
            <v>20_2</v>
          </cell>
        </row>
        <row r="111">
          <cell r="A111" t="str">
            <v>20_3</v>
          </cell>
        </row>
        <row r="112">
          <cell r="A112" t="str">
            <v>20_4</v>
          </cell>
        </row>
        <row r="113">
          <cell r="A113" t="str">
            <v>20_5</v>
          </cell>
        </row>
        <row r="114">
          <cell r="A114" t="str">
            <v>20_6</v>
          </cell>
        </row>
        <row r="115">
          <cell r="A115" t="str">
            <v>21_1</v>
          </cell>
        </row>
        <row r="116">
          <cell r="A116" t="str">
            <v>21_2</v>
          </cell>
        </row>
        <row r="117">
          <cell r="A117" t="str">
            <v>21_3</v>
          </cell>
        </row>
        <row r="118">
          <cell r="A118" t="str">
            <v>21_4</v>
          </cell>
        </row>
        <row r="119">
          <cell r="A119" t="str">
            <v>21_5</v>
          </cell>
        </row>
        <row r="120">
          <cell r="A120" t="str">
            <v>21_6</v>
          </cell>
        </row>
        <row r="121">
          <cell r="A121" t="str">
            <v>22_1</v>
          </cell>
        </row>
        <row r="122">
          <cell r="A122" t="str">
            <v>22_2</v>
          </cell>
        </row>
        <row r="123">
          <cell r="A123" t="str">
            <v>22_3</v>
          </cell>
        </row>
        <row r="124">
          <cell r="A124" t="str">
            <v>22_4</v>
          </cell>
        </row>
        <row r="125">
          <cell r="A125" t="str">
            <v>22_5</v>
          </cell>
        </row>
        <row r="126">
          <cell r="A126" t="str">
            <v>22_6</v>
          </cell>
        </row>
        <row r="127">
          <cell r="A127" t="str">
            <v>23_1</v>
          </cell>
        </row>
        <row r="128">
          <cell r="A128" t="str">
            <v>23_2</v>
          </cell>
        </row>
        <row r="129">
          <cell r="A129" t="str">
            <v>23_3</v>
          </cell>
        </row>
        <row r="130">
          <cell r="A130" t="str">
            <v>23_4</v>
          </cell>
        </row>
        <row r="131">
          <cell r="A131" t="str">
            <v>23_5</v>
          </cell>
        </row>
        <row r="132">
          <cell r="A132" t="str">
            <v>23_6</v>
          </cell>
        </row>
        <row r="133">
          <cell r="A133" t="str">
            <v>24_1</v>
          </cell>
        </row>
        <row r="134">
          <cell r="A134" t="str">
            <v>24_2</v>
          </cell>
        </row>
        <row r="135">
          <cell r="A135" t="str">
            <v>24_3</v>
          </cell>
        </row>
        <row r="136">
          <cell r="A136" t="str">
            <v>24_4</v>
          </cell>
        </row>
        <row r="137">
          <cell r="A137" t="str">
            <v>24_5</v>
          </cell>
        </row>
        <row r="138">
          <cell r="A138" t="str">
            <v>24_6</v>
          </cell>
        </row>
        <row r="139">
          <cell r="A139" t="str">
            <v>25_1</v>
          </cell>
        </row>
        <row r="140">
          <cell r="A140" t="str">
            <v>25_2</v>
          </cell>
        </row>
        <row r="141">
          <cell r="A141" t="str">
            <v>25_3</v>
          </cell>
        </row>
        <row r="142">
          <cell r="A142" t="str">
            <v>25_4</v>
          </cell>
        </row>
        <row r="143">
          <cell r="A143" t="str">
            <v>25_5</v>
          </cell>
        </row>
        <row r="144">
          <cell r="A144" t="str">
            <v>25_6</v>
          </cell>
        </row>
        <row r="145">
          <cell r="A145" t="str">
            <v>26_1</v>
          </cell>
        </row>
        <row r="146">
          <cell r="A146" t="str">
            <v>26_2</v>
          </cell>
        </row>
        <row r="147">
          <cell r="A147" t="str">
            <v>26_3</v>
          </cell>
        </row>
        <row r="148">
          <cell r="A148" t="str">
            <v>26_4</v>
          </cell>
        </row>
        <row r="149">
          <cell r="A149" t="str">
            <v>26_5</v>
          </cell>
        </row>
        <row r="150">
          <cell r="A150" t="str">
            <v>26_6</v>
          </cell>
        </row>
        <row r="151">
          <cell r="A151" t="str">
            <v>27_1</v>
          </cell>
        </row>
        <row r="152">
          <cell r="A152" t="str">
            <v>27_2</v>
          </cell>
        </row>
        <row r="153">
          <cell r="A153" t="str">
            <v>27_3</v>
          </cell>
        </row>
        <row r="154">
          <cell r="A154" t="str">
            <v>27_4</v>
          </cell>
        </row>
        <row r="155">
          <cell r="A155" t="str">
            <v>27_5</v>
          </cell>
        </row>
        <row r="156">
          <cell r="A156" t="str">
            <v>27_6</v>
          </cell>
        </row>
        <row r="157">
          <cell r="A157" t="str">
            <v>28_1</v>
          </cell>
        </row>
        <row r="158">
          <cell r="A158" t="str">
            <v>28_2</v>
          </cell>
        </row>
        <row r="159">
          <cell r="A159" t="str">
            <v>28_3</v>
          </cell>
        </row>
        <row r="160">
          <cell r="A160" t="str">
            <v>28_4</v>
          </cell>
        </row>
        <row r="161">
          <cell r="A161" t="str">
            <v>28_5</v>
          </cell>
        </row>
        <row r="162">
          <cell r="A162" t="str">
            <v>28_6</v>
          </cell>
        </row>
        <row r="163">
          <cell r="A163" t="str">
            <v>29_1</v>
          </cell>
        </row>
        <row r="164">
          <cell r="A164" t="str">
            <v>29_2</v>
          </cell>
        </row>
        <row r="165">
          <cell r="A165" t="str">
            <v>29_3</v>
          </cell>
        </row>
        <row r="166">
          <cell r="A166" t="str">
            <v>29_4</v>
          </cell>
        </row>
        <row r="167">
          <cell r="A167" t="str">
            <v>29_5</v>
          </cell>
        </row>
        <row r="168">
          <cell r="A168" t="str">
            <v>29_6</v>
          </cell>
        </row>
        <row r="169">
          <cell r="A169" t="str">
            <v>30_1</v>
          </cell>
        </row>
        <row r="170">
          <cell r="A170" t="str">
            <v>30_2</v>
          </cell>
        </row>
        <row r="171">
          <cell r="A171" t="str">
            <v>30_3</v>
          </cell>
        </row>
        <row r="172">
          <cell r="A172" t="str">
            <v>30_4</v>
          </cell>
        </row>
        <row r="173">
          <cell r="A173" t="str">
            <v>30_5</v>
          </cell>
        </row>
        <row r="174">
          <cell r="A174" t="str">
            <v>30_6</v>
          </cell>
        </row>
        <row r="175">
          <cell r="A175" t="str">
            <v>31_1</v>
          </cell>
        </row>
        <row r="176">
          <cell r="A176" t="str">
            <v>31_2</v>
          </cell>
        </row>
        <row r="177">
          <cell r="A177" t="str">
            <v>31_3</v>
          </cell>
        </row>
        <row r="178">
          <cell r="A178" t="str">
            <v>31_4</v>
          </cell>
        </row>
        <row r="179">
          <cell r="A179" t="str">
            <v>31_5</v>
          </cell>
        </row>
        <row r="180">
          <cell r="A180" t="str">
            <v>31_6</v>
          </cell>
        </row>
        <row r="181">
          <cell r="A181" t="str">
            <v>10008_1</v>
          </cell>
        </row>
        <row r="182">
          <cell r="A182" t="str">
            <v>10010_1</v>
          </cell>
        </row>
        <row r="183">
          <cell r="A183" t="str">
            <v>10015_1</v>
          </cell>
        </row>
        <row r="184">
          <cell r="A184" t="str">
            <v>10020_1</v>
          </cell>
        </row>
        <row r="185">
          <cell r="A185" t="str">
            <v>10025_1</v>
          </cell>
        </row>
        <row r="186">
          <cell r="A186" t="str">
            <v>10030_1</v>
          </cell>
        </row>
        <row r="187">
          <cell r="A187" t="str">
            <v>10035_1</v>
          </cell>
        </row>
        <row r="188">
          <cell r="A188" t="str">
            <v>10040_1</v>
          </cell>
        </row>
        <row r="189">
          <cell r="A189" t="str">
            <v>10045_1</v>
          </cell>
        </row>
        <row r="190">
          <cell r="A190" t="str">
            <v>10050_1</v>
          </cell>
        </row>
        <row r="191">
          <cell r="A191" t="str">
            <v>10055_1</v>
          </cell>
        </row>
        <row r="192">
          <cell r="A192" t="str">
            <v>10060_1</v>
          </cell>
        </row>
        <row r="193">
          <cell r="A193" t="str">
            <v>10065_1</v>
          </cell>
        </row>
        <row r="194">
          <cell r="A194" t="str">
            <v>10090_1</v>
          </cell>
        </row>
        <row r="195">
          <cell r="A195" t="str">
            <v>10100_1</v>
          </cell>
        </row>
        <row r="196">
          <cell r="A196" t="str">
            <v>11001_1</v>
          </cell>
        </row>
        <row r="197">
          <cell r="A197" t="str">
            <v>11001_2</v>
          </cell>
        </row>
        <row r="198">
          <cell r="A198" t="str">
            <v>11001_3</v>
          </cell>
        </row>
        <row r="199">
          <cell r="A199" t="str">
            <v>11001_4</v>
          </cell>
        </row>
        <row r="200">
          <cell r="A200" t="str">
            <v>11001_10</v>
          </cell>
        </row>
        <row r="201">
          <cell r="A201" t="str">
            <v>11002_1</v>
          </cell>
        </row>
        <row r="202">
          <cell r="A202" t="str">
            <v>11002_2</v>
          </cell>
        </row>
        <row r="203">
          <cell r="A203" t="str">
            <v>11002_3</v>
          </cell>
        </row>
        <row r="204">
          <cell r="A204" t="str">
            <v>11002_4</v>
          </cell>
        </row>
        <row r="205">
          <cell r="A205" t="str">
            <v>11002_10</v>
          </cell>
        </row>
        <row r="206">
          <cell r="A206" t="str">
            <v>11003_1</v>
          </cell>
        </row>
        <row r="207">
          <cell r="A207" t="str">
            <v>11003_2</v>
          </cell>
        </row>
        <row r="208">
          <cell r="A208" t="str">
            <v>11003_3</v>
          </cell>
        </row>
        <row r="209">
          <cell r="A209" t="str">
            <v>11003_4</v>
          </cell>
        </row>
        <row r="210">
          <cell r="A210" t="str">
            <v>11003_10</v>
          </cell>
        </row>
        <row r="211">
          <cell r="A211" t="str">
            <v>11004_1</v>
          </cell>
        </row>
        <row r="212">
          <cell r="A212" t="str">
            <v>11004_2</v>
          </cell>
        </row>
        <row r="213">
          <cell r="A213" t="str">
            <v>11004_3</v>
          </cell>
        </row>
        <row r="214">
          <cell r="A214" t="str">
            <v>11004_4</v>
          </cell>
        </row>
        <row r="215">
          <cell r="A215" t="str">
            <v>11004_10</v>
          </cell>
        </row>
        <row r="216">
          <cell r="A216" t="str">
            <v>11005_1</v>
          </cell>
        </row>
        <row r="217">
          <cell r="A217" t="str">
            <v>11005_2</v>
          </cell>
        </row>
        <row r="218">
          <cell r="A218" t="str">
            <v>11005_3</v>
          </cell>
        </row>
        <row r="219">
          <cell r="A219" t="str">
            <v>11005_4</v>
          </cell>
        </row>
        <row r="220">
          <cell r="A220" t="str">
            <v>11006_1</v>
          </cell>
        </row>
        <row r="221">
          <cell r="A221" t="str">
            <v>11006_2</v>
          </cell>
        </row>
        <row r="222">
          <cell r="A222" t="str">
            <v>11006_3</v>
          </cell>
        </row>
        <row r="223">
          <cell r="A223" t="str">
            <v>11006_4</v>
          </cell>
        </row>
        <row r="224">
          <cell r="A224" t="str">
            <v>11007_1</v>
          </cell>
        </row>
        <row r="225">
          <cell r="A225" t="str">
            <v>11007_2</v>
          </cell>
        </row>
        <row r="226">
          <cell r="A226" t="str">
            <v>11007_3</v>
          </cell>
        </row>
        <row r="227">
          <cell r="A227" t="str">
            <v>11007_4</v>
          </cell>
        </row>
        <row r="228">
          <cell r="A228" t="str">
            <v>11007_5</v>
          </cell>
        </row>
        <row r="229">
          <cell r="A229" t="str">
            <v>11008_1</v>
          </cell>
        </row>
        <row r="230">
          <cell r="A230" t="str">
            <v>11008_2</v>
          </cell>
        </row>
        <row r="231">
          <cell r="A231" t="str">
            <v>11008_3</v>
          </cell>
        </row>
        <row r="232">
          <cell r="A232" t="str">
            <v>11008_4</v>
          </cell>
        </row>
        <row r="233">
          <cell r="A233" t="str">
            <v>11008_5</v>
          </cell>
        </row>
        <row r="234">
          <cell r="A234" t="str">
            <v>11016_1</v>
          </cell>
        </row>
        <row r="235">
          <cell r="A235" t="str">
            <v>11017_1</v>
          </cell>
        </row>
        <row r="236">
          <cell r="A236" t="str">
            <v>11018_1</v>
          </cell>
        </row>
        <row r="237">
          <cell r="A237" t="str">
            <v>11101_1</v>
          </cell>
        </row>
        <row r="238">
          <cell r="A238" t="str">
            <v>11101_2</v>
          </cell>
        </row>
        <row r="239">
          <cell r="A239" t="str">
            <v>11101_3</v>
          </cell>
        </row>
        <row r="240">
          <cell r="A240" t="str">
            <v>11101_4</v>
          </cell>
        </row>
        <row r="241">
          <cell r="A241" t="str">
            <v>11101_10</v>
          </cell>
        </row>
        <row r="242">
          <cell r="A242" t="str">
            <v>11102_1</v>
          </cell>
        </row>
        <row r="243">
          <cell r="A243" t="str">
            <v>11102_2</v>
          </cell>
        </row>
        <row r="244">
          <cell r="A244" t="str">
            <v>11102_3</v>
          </cell>
        </row>
        <row r="245">
          <cell r="A245" t="str">
            <v>11102_4</v>
          </cell>
        </row>
        <row r="246">
          <cell r="A246" t="str">
            <v>11102_10</v>
          </cell>
        </row>
        <row r="247">
          <cell r="A247" t="str">
            <v>11103_1</v>
          </cell>
        </row>
        <row r="248">
          <cell r="A248" t="str">
            <v>11103_2</v>
          </cell>
        </row>
        <row r="249">
          <cell r="A249" t="str">
            <v>11103_3</v>
          </cell>
        </row>
        <row r="250">
          <cell r="A250" t="str">
            <v>11103_4</v>
          </cell>
        </row>
        <row r="251">
          <cell r="A251" t="str">
            <v>11103_10</v>
          </cell>
        </row>
        <row r="252">
          <cell r="A252" t="str">
            <v>11104_1</v>
          </cell>
        </row>
        <row r="253">
          <cell r="A253" t="str">
            <v>11104_2</v>
          </cell>
        </row>
        <row r="254">
          <cell r="A254" t="str">
            <v>11104_3</v>
          </cell>
        </row>
        <row r="255">
          <cell r="A255" t="str">
            <v>11104_4</v>
          </cell>
        </row>
        <row r="256">
          <cell r="A256" t="str">
            <v>11104_10</v>
          </cell>
        </row>
        <row r="257">
          <cell r="A257" t="str">
            <v>11105_1</v>
          </cell>
        </row>
        <row r="258">
          <cell r="A258" t="str">
            <v>11105_2</v>
          </cell>
        </row>
        <row r="259">
          <cell r="A259" t="str">
            <v>11105_3</v>
          </cell>
        </row>
        <row r="260">
          <cell r="A260" t="str">
            <v>11105_4</v>
          </cell>
        </row>
        <row r="261">
          <cell r="A261" t="str">
            <v>11106_1</v>
          </cell>
        </row>
        <row r="262">
          <cell r="A262" t="str">
            <v>11106_2</v>
          </cell>
        </row>
        <row r="263">
          <cell r="A263" t="str">
            <v>11106_3</v>
          </cell>
        </row>
        <row r="264">
          <cell r="A264" t="str">
            <v>11206_1</v>
          </cell>
        </row>
        <row r="265">
          <cell r="A265" t="str">
            <v>11206_2</v>
          </cell>
        </row>
        <row r="266">
          <cell r="A266" t="str">
            <v>11206_3</v>
          </cell>
        </row>
        <row r="267">
          <cell r="A267" t="str">
            <v>11207_1</v>
          </cell>
        </row>
        <row r="268">
          <cell r="A268" t="str">
            <v>11207_2</v>
          </cell>
        </row>
        <row r="269">
          <cell r="A269" t="str">
            <v>11208_1</v>
          </cell>
        </row>
        <row r="270">
          <cell r="A270" t="str">
            <v>11208_2</v>
          </cell>
        </row>
        <row r="271">
          <cell r="A271" t="str">
            <v>11209_1</v>
          </cell>
        </row>
        <row r="272">
          <cell r="A272" t="str">
            <v>11209_2</v>
          </cell>
        </row>
        <row r="273">
          <cell r="A273" t="str">
            <v>11212_1</v>
          </cell>
        </row>
        <row r="274">
          <cell r="A274" t="str">
            <v>11213_1</v>
          </cell>
        </row>
        <row r="275">
          <cell r="A275" t="str">
            <v>11214_1</v>
          </cell>
        </row>
        <row r="276">
          <cell r="A276" t="str">
            <v>11214_2</v>
          </cell>
        </row>
        <row r="277">
          <cell r="A277" t="str">
            <v>11214_3</v>
          </cell>
        </row>
        <row r="278">
          <cell r="A278" t="str">
            <v>11215_1</v>
          </cell>
        </row>
        <row r="279">
          <cell r="A279" t="str">
            <v>11216_1</v>
          </cell>
        </row>
        <row r="280">
          <cell r="A280" t="str">
            <v>11217_1</v>
          </cell>
        </row>
        <row r="281">
          <cell r="A281" t="str">
            <v>11218_1</v>
          </cell>
        </row>
        <row r="282">
          <cell r="A282" t="str">
            <v>11219_1</v>
          </cell>
        </row>
        <row r="283">
          <cell r="A283" t="str">
            <v>11220_1</v>
          </cell>
        </row>
        <row r="284">
          <cell r="A284" t="str">
            <v>11221_1</v>
          </cell>
        </row>
        <row r="285">
          <cell r="A285" t="str">
            <v>11224_1</v>
          </cell>
        </row>
        <row r="286">
          <cell r="A286" t="str">
            <v>11225_1</v>
          </cell>
        </row>
        <row r="287">
          <cell r="A287" t="str">
            <v>11226_1</v>
          </cell>
        </row>
        <row r="288">
          <cell r="A288" t="str">
            <v>11226_2</v>
          </cell>
        </row>
        <row r="289">
          <cell r="A289" t="str">
            <v>11226_3</v>
          </cell>
        </row>
        <row r="290">
          <cell r="A290" t="str">
            <v>11226_4</v>
          </cell>
        </row>
        <row r="291">
          <cell r="A291" t="str">
            <v>11226_5</v>
          </cell>
        </row>
        <row r="292">
          <cell r="A292" t="str">
            <v>11226_6</v>
          </cell>
        </row>
        <row r="293">
          <cell r="A293" t="str">
            <v>11226_7</v>
          </cell>
        </row>
        <row r="294">
          <cell r="A294" t="str">
            <v>11226_8</v>
          </cell>
        </row>
        <row r="295">
          <cell r="A295" t="str">
            <v>11227_1</v>
          </cell>
        </row>
        <row r="296">
          <cell r="A296" t="str">
            <v>11227_2</v>
          </cell>
        </row>
        <row r="297">
          <cell r="A297" t="str">
            <v>11228_1</v>
          </cell>
        </row>
        <row r="298">
          <cell r="A298" t="str">
            <v>12001_1</v>
          </cell>
        </row>
        <row r="299">
          <cell r="A299" t="str">
            <v>12001_2</v>
          </cell>
        </row>
        <row r="300">
          <cell r="A300" t="str">
            <v>12001_3</v>
          </cell>
        </row>
        <row r="301">
          <cell r="A301" t="str">
            <v>12002_1</v>
          </cell>
        </row>
        <row r="302">
          <cell r="A302" t="str">
            <v>12002_2</v>
          </cell>
        </row>
        <row r="303">
          <cell r="A303" t="str">
            <v>12003_1</v>
          </cell>
        </row>
        <row r="304">
          <cell r="A304" t="str">
            <v>12003_2</v>
          </cell>
        </row>
        <row r="305">
          <cell r="A305" t="str">
            <v>12003_3</v>
          </cell>
        </row>
        <row r="306">
          <cell r="A306" t="str">
            <v>12003_4</v>
          </cell>
        </row>
        <row r="307">
          <cell r="A307" t="str">
            <v>12004_1</v>
          </cell>
        </row>
        <row r="308">
          <cell r="A308" t="str">
            <v>13001_1</v>
          </cell>
        </row>
        <row r="309">
          <cell r="A309" t="str">
            <v>13001_2</v>
          </cell>
        </row>
        <row r="310">
          <cell r="A310" t="str">
            <v>13001_3</v>
          </cell>
        </row>
        <row r="311">
          <cell r="A311" t="str">
            <v>13001_4</v>
          </cell>
        </row>
        <row r="312">
          <cell r="A312" t="str">
            <v>13001_5</v>
          </cell>
        </row>
        <row r="313">
          <cell r="A313" t="str">
            <v>13001_6</v>
          </cell>
        </row>
        <row r="314">
          <cell r="A314" t="str">
            <v>13001_7</v>
          </cell>
        </row>
        <row r="315">
          <cell r="A315" t="str">
            <v>13001_8</v>
          </cell>
        </row>
        <row r="316">
          <cell r="A316" t="str">
            <v>13001_9</v>
          </cell>
        </row>
        <row r="317">
          <cell r="A317" t="str">
            <v>13001_10</v>
          </cell>
        </row>
        <row r="318">
          <cell r="A318" t="str">
            <v>13001_11</v>
          </cell>
        </row>
        <row r="319">
          <cell r="A319" t="str">
            <v>13001_12</v>
          </cell>
        </row>
        <row r="320">
          <cell r="A320" t="str">
            <v>13001_13</v>
          </cell>
        </row>
        <row r="321">
          <cell r="A321" t="str">
            <v>13001_14</v>
          </cell>
        </row>
        <row r="322">
          <cell r="A322" t="str">
            <v>13001_15</v>
          </cell>
        </row>
        <row r="323">
          <cell r="A323" t="str">
            <v>13001_16</v>
          </cell>
        </row>
        <row r="324">
          <cell r="A324" t="str">
            <v>13001_17</v>
          </cell>
        </row>
        <row r="325">
          <cell r="A325" t="str">
            <v>13001_18</v>
          </cell>
        </row>
        <row r="326">
          <cell r="A326" t="str">
            <v>13001_19</v>
          </cell>
        </row>
        <row r="327">
          <cell r="A327" t="str">
            <v>13001_20</v>
          </cell>
        </row>
        <row r="328">
          <cell r="A328" t="str">
            <v>13001_21</v>
          </cell>
        </row>
        <row r="329">
          <cell r="A329" t="str">
            <v>13001_22</v>
          </cell>
        </row>
        <row r="330">
          <cell r="A330" t="str">
            <v>13001_23</v>
          </cell>
        </row>
        <row r="331">
          <cell r="A331" t="str">
            <v>13001_24</v>
          </cell>
        </row>
        <row r="332">
          <cell r="A332" t="str">
            <v>13001_25</v>
          </cell>
        </row>
        <row r="333">
          <cell r="A333" t="str">
            <v>13101_1</v>
          </cell>
        </row>
        <row r="334">
          <cell r="A334" t="str">
            <v>13101_2</v>
          </cell>
        </row>
        <row r="335">
          <cell r="A335" t="str">
            <v>13101_3</v>
          </cell>
        </row>
        <row r="336">
          <cell r="A336" t="str">
            <v>13101_4</v>
          </cell>
        </row>
        <row r="337">
          <cell r="A337" t="str">
            <v>13101_5</v>
          </cell>
        </row>
        <row r="338">
          <cell r="A338" t="str">
            <v>13101_6</v>
          </cell>
        </row>
        <row r="339">
          <cell r="A339" t="str">
            <v>13101_7</v>
          </cell>
        </row>
        <row r="340">
          <cell r="A340" t="str">
            <v>13101_8</v>
          </cell>
        </row>
        <row r="341">
          <cell r="A341" t="str">
            <v>13101_9</v>
          </cell>
        </row>
        <row r="342">
          <cell r="A342" t="str">
            <v>13101_10</v>
          </cell>
        </row>
        <row r="343">
          <cell r="A343" t="str">
            <v>13101_11</v>
          </cell>
        </row>
        <row r="344">
          <cell r="A344" t="str">
            <v>13101_12</v>
          </cell>
        </row>
        <row r="345">
          <cell r="A345" t="str">
            <v>13101_13</v>
          </cell>
        </row>
        <row r="346">
          <cell r="A346" t="str">
            <v>13101_14</v>
          </cell>
        </row>
        <row r="347">
          <cell r="A347" t="str">
            <v>13101_15</v>
          </cell>
        </row>
        <row r="348">
          <cell r="A348" t="str">
            <v>13101_16</v>
          </cell>
        </row>
        <row r="349">
          <cell r="A349" t="str">
            <v>13101_17</v>
          </cell>
        </row>
        <row r="350">
          <cell r="A350" t="str">
            <v>13101_18</v>
          </cell>
        </row>
        <row r="351">
          <cell r="A351" t="str">
            <v>13101_19</v>
          </cell>
        </row>
        <row r="352">
          <cell r="A352" t="str">
            <v>13101_20</v>
          </cell>
        </row>
        <row r="353">
          <cell r="A353" t="str">
            <v>13101_21</v>
          </cell>
        </row>
        <row r="354">
          <cell r="A354" t="str">
            <v>13101_22</v>
          </cell>
        </row>
        <row r="355">
          <cell r="A355" t="str">
            <v>13101_23</v>
          </cell>
        </row>
        <row r="356">
          <cell r="A356" t="str">
            <v>13101_24</v>
          </cell>
        </row>
        <row r="357">
          <cell r="A357" t="str">
            <v>13101_25</v>
          </cell>
        </row>
        <row r="358">
          <cell r="A358" t="str">
            <v>13300_1</v>
          </cell>
        </row>
        <row r="359">
          <cell r="A359" t="str">
            <v>13300_2</v>
          </cell>
        </row>
        <row r="360">
          <cell r="A360" t="str">
            <v>13300_3</v>
          </cell>
        </row>
        <row r="361">
          <cell r="A361" t="str">
            <v>13300_4</v>
          </cell>
        </row>
        <row r="362">
          <cell r="A362" t="str">
            <v>13300_5</v>
          </cell>
        </row>
        <row r="363">
          <cell r="A363" t="str">
            <v>13300_6</v>
          </cell>
        </row>
        <row r="364">
          <cell r="A364" t="str">
            <v>13300_7</v>
          </cell>
        </row>
        <row r="365">
          <cell r="A365" t="str">
            <v>13300_8</v>
          </cell>
        </row>
        <row r="366">
          <cell r="A366" t="str">
            <v>13300_9</v>
          </cell>
        </row>
        <row r="367">
          <cell r="A367" t="str">
            <v>13300_10</v>
          </cell>
        </row>
        <row r="368">
          <cell r="A368" t="str">
            <v>13300_11</v>
          </cell>
        </row>
        <row r="369">
          <cell r="A369" t="str">
            <v>13300_12</v>
          </cell>
        </row>
        <row r="370">
          <cell r="A370" t="str">
            <v>13300_13</v>
          </cell>
        </row>
        <row r="371">
          <cell r="A371" t="str">
            <v>13300_14</v>
          </cell>
        </row>
        <row r="372">
          <cell r="A372" t="str">
            <v>13300_15</v>
          </cell>
        </row>
        <row r="373">
          <cell r="A373" t="str">
            <v>13301_1</v>
          </cell>
        </row>
        <row r="374">
          <cell r="A374" t="str">
            <v>13301_2</v>
          </cell>
        </row>
        <row r="375">
          <cell r="A375" t="str">
            <v>13301_3</v>
          </cell>
        </row>
        <row r="376">
          <cell r="A376" t="str">
            <v>13301_4</v>
          </cell>
        </row>
        <row r="377">
          <cell r="A377" t="str">
            <v>13301_5</v>
          </cell>
        </row>
        <row r="378">
          <cell r="A378" t="str">
            <v>13301_6</v>
          </cell>
        </row>
        <row r="379">
          <cell r="A379" t="str">
            <v>13301_7</v>
          </cell>
        </row>
        <row r="380">
          <cell r="A380" t="str">
            <v>13301_8</v>
          </cell>
        </row>
        <row r="381">
          <cell r="A381" t="str">
            <v>13301_9</v>
          </cell>
        </row>
        <row r="382">
          <cell r="A382" t="str">
            <v>13301_10</v>
          </cell>
        </row>
        <row r="383">
          <cell r="A383" t="str">
            <v>13301_11</v>
          </cell>
        </row>
        <row r="384">
          <cell r="A384" t="str">
            <v>13301_12</v>
          </cell>
        </row>
        <row r="385">
          <cell r="A385" t="str">
            <v>13301_13</v>
          </cell>
        </row>
        <row r="386">
          <cell r="A386" t="str">
            <v>13301_14</v>
          </cell>
        </row>
        <row r="387">
          <cell r="A387" t="str">
            <v>13301_15</v>
          </cell>
        </row>
        <row r="388">
          <cell r="A388" t="str">
            <v>13302_1</v>
          </cell>
        </row>
        <row r="389">
          <cell r="A389" t="str">
            <v>13302_2</v>
          </cell>
        </row>
        <row r="390">
          <cell r="A390" t="str">
            <v>13302_3</v>
          </cell>
        </row>
        <row r="391">
          <cell r="A391" t="str">
            <v>13302_4</v>
          </cell>
        </row>
        <row r="392">
          <cell r="A392" t="str">
            <v>13302_5</v>
          </cell>
        </row>
        <row r="393">
          <cell r="A393" t="str">
            <v>13302_6</v>
          </cell>
        </row>
        <row r="394">
          <cell r="A394" t="str">
            <v>13302_7</v>
          </cell>
        </row>
        <row r="395">
          <cell r="A395" t="str">
            <v>13302_8</v>
          </cell>
        </row>
        <row r="396">
          <cell r="A396" t="str">
            <v>13302_9</v>
          </cell>
        </row>
        <row r="397">
          <cell r="A397" t="str">
            <v>13302_10</v>
          </cell>
        </row>
        <row r="398">
          <cell r="A398" t="str">
            <v>13302_11</v>
          </cell>
        </row>
        <row r="399">
          <cell r="A399" t="str">
            <v>13302_12</v>
          </cell>
        </row>
        <row r="400">
          <cell r="A400" t="str">
            <v>13302_13</v>
          </cell>
        </row>
        <row r="401">
          <cell r="A401" t="str">
            <v>13302_14</v>
          </cell>
        </row>
        <row r="402">
          <cell r="A402" t="str">
            <v>13302_15</v>
          </cell>
        </row>
        <row r="403">
          <cell r="A403" t="str">
            <v>13400_1</v>
          </cell>
        </row>
        <row r="404">
          <cell r="A404" t="str">
            <v>13400_2</v>
          </cell>
        </row>
        <row r="405">
          <cell r="A405" t="str">
            <v>13400_3</v>
          </cell>
        </row>
        <row r="406">
          <cell r="A406" t="str">
            <v>13400_4</v>
          </cell>
        </row>
        <row r="407">
          <cell r="A407" t="str">
            <v>13400_5</v>
          </cell>
        </row>
        <row r="408">
          <cell r="A408" t="str">
            <v>13400_6</v>
          </cell>
        </row>
        <row r="409">
          <cell r="A409" t="str">
            <v>13400_7</v>
          </cell>
        </row>
        <row r="410">
          <cell r="A410" t="str">
            <v>13400_8</v>
          </cell>
        </row>
        <row r="411">
          <cell r="A411" t="str">
            <v>13400_9</v>
          </cell>
        </row>
        <row r="412">
          <cell r="A412" t="str">
            <v>13400_10</v>
          </cell>
        </row>
        <row r="413">
          <cell r="A413" t="str">
            <v>13400_11</v>
          </cell>
        </row>
        <row r="414">
          <cell r="A414" t="str">
            <v>13400_12</v>
          </cell>
        </row>
        <row r="415">
          <cell r="A415" t="str">
            <v>13400_13</v>
          </cell>
        </row>
        <row r="416">
          <cell r="A416" t="str">
            <v>13400_14</v>
          </cell>
        </row>
        <row r="417">
          <cell r="A417" t="str">
            <v>13400_15</v>
          </cell>
        </row>
        <row r="418">
          <cell r="A418" t="str">
            <v>14001_1</v>
          </cell>
        </row>
        <row r="419">
          <cell r="A419" t="str">
            <v>14001_2</v>
          </cell>
        </row>
        <row r="420">
          <cell r="A420" t="str">
            <v>14001_3</v>
          </cell>
        </row>
        <row r="421">
          <cell r="A421" t="str">
            <v>14001_4</v>
          </cell>
        </row>
        <row r="422">
          <cell r="A422" t="str">
            <v>14001_5</v>
          </cell>
        </row>
        <row r="423">
          <cell r="A423" t="str">
            <v>14001_6</v>
          </cell>
        </row>
        <row r="424">
          <cell r="A424" t="str">
            <v>14001_7</v>
          </cell>
        </row>
        <row r="425">
          <cell r="A425" t="str">
            <v>14001_8</v>
          </cell>
        </row>
        <row r="426">
          <cell r="A426" t="str">
            <v>14002_1</v>
          </cell>
        </row>
        <row r="427">
          <cell r="A427" t="str">
            <v>14002_2</v>
          </cell>
        </row>
        <row r="428">
          <cell r="A428" t="str">
            <v>14003_1</v>
          </cell>
        </row>
        <row r="429">
          <cell r="A429" t="str">
            <v>14003_2</v>
          </cell>
        </row>
        <row r="430">
          <cell r="A430" t="str">
            <v>14003_3</v>
          </cell>
        </row>
        <row r="431">
          <cell r="A431" t="str">
            <v>14003_4</v>
          </cell>
        </row>
        <row r="432">
          <cell r="A432" t="str">
            <v>14004_1</v>
          </cell>
        </row>
        <row r="433">
          <cell r="A433" t="str">
            <v>14004_2</v>
          </cell>
        </row>
        <row r="434">
          <cell r="A434" t="str">
            <v>14004_3</v>
          </cell>
        </row>
        <row r="435">
          <cell r="A435" t="str">
            <v>14004_4</v>
          </cell>
        </row>
        <row r="436">
          <cell r="A436" t="str">
            <v>14005_1</v>
          </cell>
        </row>
        <row r="437">
          <cell r="A437" t="str">
            <v>14006_1</v>
          </cell>
        </row>
        <row r="438">
          <cell r="A438" t="str">
            <v>15027_1</v>
          </cell>
        </row>
        <row r="439">
          <cell r="A439" t="str">
            <v>15027_2</v>
          </cell>
        </row>
        <row r="440">
          <cell r="A440" t="str">
            <v>15027_3</v>
          </cell>
        </row>
        <row r="441">
          <cell r="A441" t="str">
            <v>15027_4</v>
          </cell>
        </row>
        <row r="442">
          <cell r="A442" t="str">
            <v>15028_1</v>
          </cell>
        </row>
        <row r="443">
          <cell r="A443" t="str">
            <v>15028_2</v>
          </cell>
        </row>
        <row r="444">
          <cell r="A444" t="str">
            <v>15028_3</v>
          </cell>
        </row>
        <row r="445">
          <cell r="A445" t="str">
            <v>15028_4</v>
          </cell>
        </row>
        <row r="446">
          <cell r="A446" t="str">
            <v>15029_1</v>
          </cell>
        </row>
        <row r="447">
          <cell r="A447" t="str">
            <v>15029_2</v>
          </cell>
        </row>
        <row r="448">
          <cell r="A448" t="str">
            <v>15029_3</v>
          </cell>
        </row>
        <row r="449">
          <cell r="A449" t="str">
            <v>15029_4</v>
          </cell>
        </row>
        <row r="450">
          <cell r="A450" t="str">
            <v>15030_1</v>
          </cell>
        </row>
        <row r="451">
          <cell r="A451" t="str">
            <v>15030_2</v>
          </cell>
        </row>
        <row r="452">
          <cell r="A452" t="str">
            <v>15030_3</v>
          </cell>
        </row>
        <row r="453">
          <cell r="A453" t="str">
            <v>15030_4</v>
          </cell>
        </row>
        <row r="454">
          <cell r="A454" t="str">
            <v>15031_1</v>
          </cell>
        </row>
        <row r="455">
          <cell r="A455" t="str">
            <v>15031_2</v>
          </cell>
        </row>
        <row r="456">
          <cell r="A456" t="str">
            <v>15031_3</v>
          </cell>
        </row>
        <row r="457">
          <cell r="A457" t="str">
            <v>15031_4</v>
          </cell>
        </row>
        <row r="458">
          <cell r="A458" t="str">
            <v>20001_1</v>
          </cell>
        </row>
        <row r="459">
          <cell r="A459" t="str">
            <v>20001_2</v>
          </cell>
        </row>
        <row r="460">
          <cell r="A460" t="str">
            <v>20001_3</v>
          </cell>
        </row>
        <row r="461">
          <cell r="A461" t="str">
            <v>20002_1</v>
          </cell>
        </row>
        <row r="462">
          <cell r="A462" t="str">
            <v>20002_2</v>
          </cell>
        </row>
        <row r="463">
          <cell r="A463" t="str">
            <v>20002_3</v>
          </cell>
        </row>
        <row r="464">
          <cell r="A464" t="str">
            <v>20003_1</v>
          </cell>
        </row>
        <row r="465">
          <cell r="A465" t="str">
            <v>20003_2</v>
          </cell>
        </row>
        <row r="466">
          <cell r="A466" t="str">
            <v>20003_3</v>
          </cell>
        </row>
        <row r="467">
          <cell r="A467" t="str">
            <v>20004_1</v>
          </cell>
        </row>
        <row r="468">
          <cell r="A468" t="str">
            <v>20004_2</v>
          </cell>
        </row>
        <row r="469">
          <cell r="A469" t="str">
            <v>20004_3</v>
          </cell>
        </row>
        <row r="470">
          <cell r="A470" t="str">
            <v>20005_1</v>
          </cell>
        </row>
        <row r="471">
          <cell r="A471" t="str">
            <v>20005_2</v>
          </cell>
        </row>
        <row r="472">
          <cell r="A472" t="str">
            <v>20005_3</v>
          </cell>
        </row>
        <row r="473">
          <cell r="A473" t="str">
            <v>20006_1</v>
          </cell>
        </row>
        <row r="474">
          <cell r="A474" t="str">
            <v>20006_2</v>
          </cell>
        </row>
        <row r="475">
          <cell r="A475" t="str">
            <v>20006_3</v>
          </cell>
        </row>
        <row r="476">
          <cell r="A476" t="str">
            <v>20007_1</v>
          </cell>
        </row>
        <row r="477">
          <cell r="A477" t="str">
            <v>20007_2</v>
          </cell>
        </row>
        <row r="478">
          <cell r="A478" t="str">
            <v>20007_3</v>
          </cell>
        </row>
        <row r="479">
          <cell r="A479" t="str">
            <v>20008_1</v>
          </cell>
        </row>
        <row r="480">
          <cell r="A480" t="str">
            <v>20008_2</v>
          </cell>
        </row>
        <row r="481">
          <cell r="A481" t="str">
            <v>20008_3</v>
          </cell>
        </row>
        <row r="482">
          <cell r="A482" t="str">
            <v>20009_1</v>
          </cell>
        </row>
        <row r="483">
          <cell r="A483" t="str">
            <v>20009_2</v>
          </cell>
        </row>
        <row r="484">
          <cell r="A484" t="str">
            <v>20009_3</v>
          </cell>
        </row>
        <row r="485">
          <cell r="A485" t="str">
            <v>20010_1</v>
          </cell>
        </row>
        <row r="486">
          <cell r="A486" t="str">
            <v>20010_2</v>
          </cell>
        </row>
        <row r="487">
          <cell r="A487" t="str">
            <v>20010_3</v>
          </cell>
        </row>
        <row r="488">
          <cell r="A488" t="str">
            <v>20011_1</v>
          </cell>
        </row>
        <row r="489">
          <cell r="A489" t="str">
            <v>20011_2</v>
          </cell>
        </row>
        <row r="490">
          <cell r="A490" t="str">
            <v>20011_3</v>
          </cell>
        </row>
        <row r="491">
          <cell r="A491" t="str">
            <v>20012_1</v>
          </cell>
        </row>
        <row r="492">
          <cell r="A492" t="str">
            <v>20012_2</v>
          </cell>
        </row>
        <row r="493">
          <cell r="A493" t="str">
            <v>20012_3</v>
          </cell>
        </row>
        <row r="494">
          <cell r="A494" t="str">
            <v>20013_1</v>
          </cell>
        </row>
        <row r="495">
          <cell r="A495" t="str">
            <v>20013_2</v>
          </cell>
        </row>
        <row r="496">
          <cell r="A496" t="str">
            <v>20013_3</v>
          </cell>
        </row>
        <row r="497">
          <cell r="A497" t="str">
            <v>20014_1</v>
          </cell>
        </row>
        <row r="498">
          <cell r="A498" t="str">
            <v>20014_2</v>
          </cell>
        </row>
        <row r="499">
          <cell r="A499" t="str">
            <v>20014_3</v>
          </cell>
        </row>
        <row r="500">
          <cell r="A500" t="str">
            <v>20015_1</v>
          </cell>
        </row>
        <row r="501">
          <cell r="A501" t="str">
            <v>20015_2</v>
          </cell>
        </row>
        <row r="502">
          <cell r="A502" t="str">
            <v>20015_3</v>
          </cell>
        </row>
        <row r="503">
          <cell r="A503" t="str">
            <v>20016_1</v>
          </cell>
        </row>
        <row r="504">
          <cell r="A504" t="str">
            <v>20016_2</v>
          </cell>
        </row>
        <row r="505">
          <cell r="A505" t="str">
            <v>20016_3</v>
          </cell>
        </row>
        <row r="506">
          <cell r="A506" t="str">
            <v>20017_1</v>
          </cell>
        </row>
        <row r="507">
          <cell r="A507" t="str">
            <v>20017_2</v>
          </cell>
        </row>
        <row r="508">
          <cell r="A508" t="str">
            <v>20017_3</v>
          </cell>
        </row>
        <row r="509">
          <cell r="A509" t="str">
            <v>20018_1</v>
          </cell>
        </row>
        <row r="510">
          <cell r="A510" t="str">
            <v>20018_2</v>
          </cell>
        </row>
        <row r="511">
          <cell r="A511" t="str">
            <v>20018_3</v>
          </cell>
        </row>
        <row r="512">
          <cell r="A512" t="str">
            <v>20019_1</v>
          </cell>
        </row>
        <row r="513">
          <cell r="A513" t="str">
            <v>20019_2</v>
          </cell>
        </row>
        <row r="514">
          <cell r="A514" t="str">
            <v>20019_3</v>
          </cell>
        </row>
        <row r="515">
          <cell r="A515" t="str">
            <v>20020_1</v>
          </cell>
        </row>
        <row r="516">
          <cell r="A516" t="str">
            <v>20020_2</v>
          </cell>
        </row>
        <row r="517">
          <cell r="A517" t="str">
            <v>20020_3</v>
          </cell>
        </row>
        <row r="518">
          <cell r="A518" t="str">
            <v>20021_1</v>
          </cell>
        </row>
        <row r="519">
          <cell r="A519" t="str">
            <v>20021_2</v>
          </cell>
        </row>
        <row r="520">
          <cell r="A520" t="str">
            <v>20021_3</v>
          </cell>
        </row>
        <row r="521">
          <cell r="A521" t="str">
            <v>20022_1</v>
          </cell>
        </row>
        <row r="522">
          <cell r="A522" t="str">
            <v>30001_1</v>
          </cell>
        </row>
        <row r="523">
          <cell r="A523" t="str">
            <v>30001_2</v>
          </cell>
        </row>
        <row r="524">
          <cell r="A524" t="str">
            <v>30001_3</v>
          </cell>
        </row>
        <row r="525">
          <cell r="A525" t="str">
            <v>30002_1</v>
          </cell>
        </row>
        <row r="526">
          <cell r="A526" t="str">
            <v>30002_2</v>
          </cell>
        </row>
        <row r="527">
          <cell r="A527" t="str">
            <v>30002_3</v>
          </cell>
        </row>
        <row r="528">
          <cell r="A528" t="str">
            <v>30003_1</v>
          </cell>
        </row>
        <row r="529">
          <cell r="A529" t="str">
            <v>30003_2</v>
          </cell>
        </row>
        <row r="530">
          <cell r="A530" t="str">
            <v>30003_3</v>
          </cell>
        </row>
        <row r="531">
          <cell r="A531" t="str">
            <v>30004_1</v>
          </cell>
        </row>
        <row r="532">
          <cell r="A532" t="str">
            <v>30004_2</v>
          </cell>
        </row>
        <row r="533">
          <cell r="A533" t="str">
            <v>30004_3</v>
          </cell>
        </row>
        <row r="534">
          <cell r="A534" t="str">
            <v>30005_1</v>
          </cell>
        </row>
        <row r="535">
          <cell r="A535" t="str">
            <v>30005_2</v>
          </cell>
        </row>
        <row r="536">
          <cell r="A536" t="str">
            <v>30005_3</v>
          </cell>
        </row>
        <row r="537">
          <cell r="A537" t="str">
            <v>30006_1</v>
          </cell>
        </row>
        <row r="538">
          <cell r="A538" t="str">
            <v>30006_2</v>
          </cell>
        </row>
        <row r="539">
          <cell r="A539" t="str">
            <v>30006_3</v>
          </cell>
        </row>
        <row r="540">
          <cell r="A540" t="str">
            <v>30007_1</v>
          </cell>
        </row>
        <row r="541">
          <cell r="A541" t="str">
            <v>30007_2</v>
          </cell>
        </row>
        <row r="542">
          <cell r="A542" t="str">
            <v>30007_3</v>
          </cell>
        </row>
        <row r="543">
          <cell r="A543" t="str">
            <v>30008_1</v>
          </cell>
        </row>
        <row r="544">
          <cell r="A544" t="str">
            <v>30008_2</v>
          </cell>
        </row>
        <row r="545">
          <cell r="A545" t="str">
            <v>30008_3</v>
          </cell>
        </row>
        <row r="546">
          <cell r="A546" t="str">
            <v>30009_3</v>
          </cell>
        </row>
        <row r="547">
          <cell r="A547" t="str">
            <v>30009_1</v>
          </cell>
        </row>
        <row r="548">
          <cell r="A548" t="str">
            <v>30009_2</v>
          </cell>
        </row>
        <row r="549">
          <cell r="A549" t="str">
            <v>30010_1</v>
          </cell>
        </row>
        <row r="550">
          <cell r="A550" t="str">
            <v>30010_2</v>
          </cell>
        </row>
        <row r="551">
          <cell r="A551" t="str">
            <v>30010_3</v>
          </cell>
        </row>
        <row r="552">
          <cell r="A552" t="str">
            <v>30011_1</v>
          </cell>
        </row>
        <row r="553">
          <cell r="A553" t="str">
            <v>30011_2</v>
          </cell>
        </row>
        <row r="554">
          <cell r="A554" t="str">
            <v>30011_3</v>
          </cell>
        </row>
        <row r="555">
          <cell r="A555" t="str">
            <v>30012_1</v>
          </cell>
        </row>
        <row r="556">
          <cell r="A556" t="str">
            <v>30012_2</v>
          </cell>
        </row>
        <row r="557">
          <cell r="A557" t="str">
            <v>30012_3</v>
          </cell>
        </row>
        <row r="558">
          <cell r="A558" t="str">
            <v>30013_1</v>
          </cell>
        </row>
        <row r="559">
          <cell r="A559" t="str">
            <v>30013_2</v>
          </cell>
        </row>
        <row r="560">
          <cell r="A560" t="str">
            <v>30014_1</v>
          </cell>
        </row>
        <row r="561">
          <cell r="A561" t="str">
            <v>30014_2</v>
          </cell>
        </row>
        <row r="562">
          <cell r="A562" t="str">
            <v>30015_1</v>
          </cell>
        </row>
        <row r="563">
          <cell r="A563" t="str">
            <v>30015_2</v>
          </cell>
        </row>
        <row r="564">
          <cell r="A564" t="str">
            <v>30016_1</v>
          </cell>
        </row>
        <row r="565">
          <cell r="A565" t="str">
            <v>30016_2</v>
          </cell>
        </row>
        <row r="566">
          <cell r="A566" t="str">
            <v>30017_1</v>
          </cell>
        </row>
        <row r="567">
          <cell r="A567" t="str">
            <v>30017_2</v>
          </cell>
        </row>
        <row r="568">
          <cell r="A568" t="str">
            <v>30018_1</v>
          </cell>
        </row>
        <row r="569">
          <cell r="A569" t="str">
            <v>30018_2</v>
          </cell>
        </row>
        <row r="570">
          <cell r="A570" t="str">
            <v>30019_1</v>
          </cell>
        </row>
        <row r="571">
          <cell r="A571" t="str">
            <v>30019_2</v>
          </cell>
        </row>
        <row r="572">
          <cell r="A572" t="str">
            <v>30020_1</v>
          </cell>
        </row>
        <row r="573">
          <cell r="A573" t="str">
            <v>30020_2</v>
          </cell>
        </row>
        <row r="574">
          <cell r="A574" t="str">
            <v>30021_1</v>
          </cell>
        </row>
        <row r="575">
          <cell r="A575" t="str">
            <v>30021_2</v>
          </cell>
        </row>
        <row r="576">
          <cell r="A576" t="str">
            <v>30021_3</v>
          </cell>
        </row>
        <row r="577">
          <cell r="A577" t="str">
            <v>30022_1</v>
          </cell>
        </row>
        <row r="578">
          <cell r="A578" t="str">
            <v>30022_2</v>
          </cell>
        </row>
        <row r="579">
          <cell r="A579" t="str">
            <v>30023_1</v>
          </cell>
        </row>
        <row r="580">
          <cell r="A580" t="str">
            <v>30023_2</v>
          </cell>
        </row>
        <row r="581">
          <cell r="A581" t="str">
            <v>30023_3</v>
          </cell>
        </row>
        <row r="582">
          <cell r="A582" t="str">
            <v>30024_1</v>
          </cell>
        </row>
        <row r="583">
          <cell r="A583" t="str">
            <v>30024_2</v>
          </cell>
        </row>
        <row r="584">
          <cell r="A584" t="str">
            <v>30024_3</v>
          </cell>
        </row>
        <row r="585">
          <cell r="A585" t="str">
            <v>30025_1</v>
          </cell>
        </row>
        <row r="586">
          <cell r="A586" t="str">
            <v>30025_2</v>
          </cell>
        </row>
        <row r="587">
          <cell r="A587" t="str">
            <v>30025_3</v>
          </cell>
        </row>
        <row r="588">
          <cell r="A588" t="str">
            <v>30026_1</v>
          </cell>
        </row>
        <row r="589">
          <cell r="A589" t="str">
            <v>30026_2</v>
          </cell>
        </row>
        <row r="590">
          <cell r="A590" t="str">
            <v>30026_3</v>
          </cell>
        </row>
        <row r="591">
          <cell r="A591" t="str">
            <v>30027_1</v>
          </cell>
        </row>
        <row r="592">
          <cell r="A592" t="str">
            <v>30027_2</v>
          </cell>
        </row>
        <row r="593">
          <cell r="A593" t="str">
            <v>30027_3</v>
          </cell>
        </row>
        <row r="594">
          <cell r="A594" t="str">
            <v>30028_1</v>
          </cell>
        </row>
        <row r="595">
          <cell r="A595" t="str">
            <v>30028_2</v>
          </cell>
        </row>
        <row r="596">
          <cell r="A596" t="str">
            <v>30028_3</v>
          </cell>
        </row>
        <row r="597">
          <cell r="A597" t="str">
            <v>30029_1</v>
          </cell>
        </row>
        <row r="598">
          <cell r="A598" t="str">
            <v>30029_2</v>
          </cell>
        </row>
        <row r="599">
          <cell r="A599" t="str">
            <v>30029_3</v>
          </cell>
        </row>
        <row r="600">
          <cell r="A600" t="str">
            <v>30030_1</v>
          </cell>
        </row>
        <row r="601">
          <cell r="A601" t="str">
            <v>30030_2</v>
          </cell>
        </row>
        <row r="602">
          <cell r="A602" t="str">
            <v>30030_3</v>
          </cell>
        </row>
        <row r="603">
          <cell r="A603" t="str">
            <v>30031_1</v>
          </cell>
        </row>
        <row r="604">
          <cell r="A604" t="str">
            <v>30031_2</v>
          </cell>
        </row>
        <row r="605">
          <cell r="A605" t="str">
            <v>30031_3</v>
          </cell>
        </row>
        <row r="606">
          <cell r="A606" t="str">
            <v>30032_1</v>
          </cell>
        </row>
        <row r="607">
          <cell r="A607" t="str">
            <v>30032_2</v>
          </cell>
        </row>
        <row r="608">
          <cell r="A608" t="str">
            <v>30032_3</v>
          </cell>
        </row>
        <row r="609">
          <cell r="A609" t="str">
            <v>30033_1</v>
          </cell>
        </row>
        <row r="610">
          <cell r="A610" t="str">
            <v>30033_2</v>
          </cell>
        </row>
        <row r="611">
          <cell r="A611" t="str">
            <v>30033_3</v>
          </cell>
        </row>
        <row r="612">
          <cell r="A612" t="str">
            <v>30034_1</v>
          </cell>
        </row>
        <row r="613">
          <cell r="A613" t="str">
            <v>30034_2</v>
          </cell>
        </row>
        <row r="614">
          <cell r="A614" t="str">
            <v>30034_3</v>
          </cell>
        </row>
        <row r="615">
          <cell r="A615" t="str">
            <v>30035_1</v>
          </cell>
        </row>
        <row r="616">
          <cell r="A616" t="str">
            <v>30035_2</v>
          </cell>
        </row>
        <row r="617">
          <cell r="A617" t="str">
            <v>30035_3</v>
          </cell>
        </row>
        <row r="618">
          <cell r="A618" t="str">
            <v>30036_1</v>
          </cell>
        </row>
        <row r="619">
          <cell r="A619" t="str">
            <v>30036_2</v>
          </cell>
        </row>
        <row r="620">
          <cell r="A620" t="str">
            <v>30036_3</v>
          </cell>
        </row>
        <row r="621">
          <cell r="A621" t="str">
            <v>30037_1</v>
          </cell>
        </row>
        <row r="622">
          <cell r="A622" t="str">
            <v>30037_2</v>
          </cell>
        </row>
        <row r="623">
          <cell r="A623" t="str">
            <v>30037_3</v>
          </cell>
        </row>
        <row r="624">
          <cell r="A624" t="str">
            <v>30038_1</v>
          </cell>
        </row>
        <row r="625">
          <cell r="A625" t="str">
            <v>30038_2</v>
          </cell>
        </row>
        <row r="626">
          <cell r="A626" t="str">
            <v>30038_3</v>
          </cell>
        </row>
        <row r="627">
          <cell r="A627" t="str">
            <v>30039_1</v>
          </cell>
        </row>
        <row r="628">
          <cell r="A628" t="str">
            <v>30039_2</v>
          </cell>
        </row>
        <row r="629">
          <cell r="A629" t="str">
            <v>30039_3</v>
          </cell>
        </row>
        <row r="630">
          <cell r="A630" t="str">
            <v>30040_1</v>
          </cell>
        </row>
        <row r="631">
          <cell r="A631" t="str">
            <v>30040_2</v>
          </cell>
        </row>
        <row r="632">
          <cell r="A632" t="str">
            <v>30040_3</v>
          </cell>
        </row>
        <row r="633">
          <cell r="A633" t="str">
            <v>30041_1</v>
          </cell>
        </row>
        <row r="634">
          <cell r="A634" t="str">
            <v>30041_2</v>
          </cell>
        </row>
        <row r="635">
          <cell r="A635" t="str">
            <v>30041_3</v>
          </cell>
        </row>
        <row r="636">
          <cell r="A636" t="str">
            <v>30042_1</v>
          </cell>
        </row>
        <row r="637">
          <cell r="A637" t="str">
            <v>30042_2</v>
          </cell>
        </row>
        <row r="638">
          <cell r="A638" t="str">
            <v>30042_3</v>
          </cell>
        </row>
        <row r="639">
          <cell r="A639" t="str">
            <v>30043_1</v>
          </cell>
        </row>
        <row r="640">
          <cell r="A640" t="str">
            <v>30043_2</v>
          </cell>
        </row>
        <row r="641">
          <cell r="A641" t="str">
            <v>30043_3</v>
          </cell>
        </row>
        <row r="642">
          <cell r="A642" t="str">
            <v>30044_1</v>
          </cell>
        </row>
        <row r="643">
          <cell r="A643" t="str">
            <v>30044_2</v>
          </cell>
        </row>
        <row r="644">
          <cell r="A644" t="str">
            <v>30044_3</v>
          </cell>
        </row>
        <row r="645">
          <cell r="A645" t="str">
            <v>30045_1</v>
          </cell>
        </row>
        <row r="646">
          <cell r="A646" t="str">
            <v>30045_2</v>
          </cell>
        </row>
        <row r="647">
          <cell r="A647" t="str">
            <v>30045_3</v>
          </cell>
        </row>
        <row r="648">
          <cell r="A648" t="str">
            <v>30046_1</v>
          </cell>
        </row>
        <row r="649">
          <cell r="A649" t="str">
            <v>30046_2</v>
          </cell>
        </row>
        <row r="650">
          <cell r="A650" t="str">
            <v>30046_3</v>
          </cell>
        </row>
        <row r="651">
          <cell r="A651" t="str">
            <v>30047_1</v>
          </cell>
        </row>
        <row r="652">
          <cell r="A652" t="str">
            <v>30047_2</v>
          </cell>
        </row>
        <row r="653">
          <cell r="A653" t="str">
            <v>30047_3</v>
          </cell>
        </row>
        <row r="654">
          <cell r="A654" t="str">
            <v>30048_1</v>
          </cell>
        </row>
        <row r="655">
          <cell r="A655" t="str">
            <v>30048_2</v>
          </cell>
        </row>
        <row r="656">
          <cell r="A656" t="str">
            <v>30048_3</v>
          </cell>
        </row>
        <row r="657">
          <cell r="A657" t="str">
            <v>39001_1</v>
          </cell>
        </row>
        <row r="658">
          <cell r="A658" t="str">
            <v>39001_2</v>
          </cell>
        </row>
        <row r="659">
          <cell r="A659" t="str">
            <v>39001_3</v>
          </cell>
        </row>
        <row r="660">
          <cell r="A660" t="str">
            <v>39001_4</v>
          </cell>
        </row>
        <row r="661">
          <cell r="A661" t="str">
            <v>39001_5</v>
          </cell>
        </row>
        <row r="662">
          <cell r="A662" t="str">
            <v>39002_1</v>
          </cell>
        </row>
        <row r="663">
          <cell r="A663" t="str">
            <v>39002_2</v>
          </cell>
        </row>
        <row r="664">
          <cell r="A664" t="str">
            <v>39002_3</v>
          </cell>
        </row>
        <row r="665">
          <cell r="A665" t="str">
            <v>39002_4</v>
          </cell>
        </row>
        <row r="666">
          <cell r="A666" t="str">
            <v>39003_1</v>
          </cell>
        </row>
        <row r="667">
          <cell r="A667" t="str">
            <v>39003_2</v>
          </cell>
        </row>
        <row r="668">
          <cell r="A668" t="str">
            <v>39003_3</v>
          </cell>
        </row>
        <row r="669">
          <cell r="A669" t="str">
            <v>39003_4</v>
          </cell>
        </row>
        <row r="670">
          <cell r="A670" t="str">
            <v>39004_1</v>
          </cell>
        </row>
        <row r="671">
          <cell r="A671" t="str">
            <v>39004_2</v>
          </cell>
        </row>
        <row r="672">
          <cell r="A672" t="str">
            <v>39004_3</v>
          </cell>
        </row>
        <row r="673">
          <cell r="A673" t="str">
            <v>39004_4</v>
          </cell>
        </row>
        <row r="674">
          <cell r="A674" t="str">
            <v>39005_1</v>
          </cell>
        </row>
        <row r="675">
          <cell r="A675" t="str">
            <v>39005_2</v>
          </cell>
        </row>
        <row r="676">
          <cell r="A676" t="str">
            <v>39005_3</v>
          </cell>
        </row>
        <row r="677">
          <cell r="A677" t="str">
            <v>39005_4</v>
          </cell>
        </row>
        <row r="678">
          <cell r="A678" t="str">
            <v>39005_5</v>
          </cell>
        </row>
        <row r="679">
          <cell r="A679" t="str">
            <v>39006_1</v>
          </cell>
        </row>
        <row r="680">
          <cell r="A680" t="str">
            <v>39006_2</v>
          </cell>
        </row>
        <row r="681">
          <cell r="A681" t="str">
            <v>39006_3</v>
          </cell>
        </row>
        <row r="682">
          <cell r="A682" t="str">
            <v>39006_4</v>
          </cell>
        </row>
        <row r="683">
          <cell r="A683" t="str">
            <v>39007_1</v>
          </cell>
        </row>
        <row r="684">
          <cell r="A684" t="str">
            <v>39007_2</v>
          </cell>
        </row>
        <row r="685">
          <cell r="A685" t="str">
            <v>39007_3</v>
          </cell>
        </row>
        <row r="686">
          <cell r="A686" t="str">
            <v>39007_4</v>
          </cell>
        </row>
        <row r="687">
          <cell r="A687" t="str">
            <v>39008_1</v>
          </cell>
        </row>
        <row r="688">
          <cell r="A688" t="str">
            <v>39008_2</v>
          </cell>
        </row>
        <row r="689">
          <cell r="A689" t="str">
            <v>39008_3</v>
          </cell>
        </row>
        <row r="690">
          <cell r="A690" t="str">
            <v>39008_4</v>
          </cell>
        </row>
        <row r="691">
          <cell r="A691" t="str">
            <v>39008_5</v>
          </cell>
        </row>
        <row r="692">
          <cell r="A692" t="str">
            <v>39009_1</v>
          </cell>
        </row>
        <row r="693">
          <cell r="A693" t="str">
            <v>39009_2</v>
          </cell>
        </row>
        <row r="694">
          <cell r="A694" t="str">
            <v>39009_3</v>
          </cell>
        </row>
        <row r="695">
          <cell r="A695" t="str">
            <v>39009_4</v>
          </cell>
        </row>
        <row r="696">
          <cell r="A696" t="str">
            <v>39009_5</v>
          </cell>
        </row>
        <row r="697">
          <cell r="A697" t="str">
            <v>39010_1</v>
          </cell>
        </row>
        <row r="698">
          <cell r="A698" t="str">
            <v>39010_2</v>
          </cell>
        </row>
        <row r="699">
          <cell r="A699" t="str">
            <v>39010_3</v>
          </cell>
        </row>
        <row r="700">
          <cell r="A700" t="str">
            <v>39010_4</v>
          </cell>
        </row>
        <row r="701">
          <cell r="A701" t="str">
            <v>39011_1</v>
          </cell>
        </row>
        <row r="702">
          <cell r="A702" t="str">
            <v>39011_2</v>
          </cell>
        </row>
        <row r="703">
          <cell r="A703" t="str">
            <v>39011_3</v>
          </cell>
        </row>
        <row r="704">
          <cell r="A704" t="str">
            <v>39011_4</v>
          </cell>
        </row>
        <row r="705">
          <cell r="A705" t="str">
            <v>39012_1</v>
          </cell>
        </row>
        <row r="706">
          <cell r="A706" t="str">
            <v>39012_2</v>
          </cell>
        </row>
        <row r="707">
          <cell r="A707" t="str">
            <v>39012_3</v>
          </cell>
        </row>
        <row r="708">
          <cell r="A708" t="str">
            <v>39012_4</v>
          </cell>
        </row>
        <row r="709">
          <cell r="A709" t="str">
            <v>39012_5</v>
          </cell>
        </row>
        <row r="710">
          <cell r="A710" t="str">
            <v>40001_1</v>
          </cell>
        </row>
        <row r="711">
          <cell r="A711" t="str">
            <v>40002_1</v>
          </cell>
        </row>
        <row r="712">
          <cell r="A712" t="str">
            <v>40002_2</v>
          </cell>
        </row>
        <row r="713">
          <cell r="A713" t="str">
            <v>40002_3</v>
          </cell>
        </row>
        <row r="714">
          <cell r="A714" t="str">
            <v>40003_1</v>
          </cell>
        </row>
        <row r="715">
          <cell r="A715" t="str">
            <v>40004_1</v>
          </cell>
        </row>
        <row r="716">
          <cell r="A716" t="str">
            <v>40005_1</v>
          </cell>
        </row>
        <row r="717">
          <cell r="A717" t="str">
            <v>40006_1</v>
          </cell>
        </row>
        <row r="718">
          <cell r="A718" t="str">
            <v>40007_1</v>
          </cell>
        </row>
        <row r="719">
          <cell r="A719" t="str">
            <v>40008_1</v>
          </cell>
        </row>
        <row r="720">
          <cell r="A720" t="str">
            <v>40009_1</v>
          </cell>
        </row>
        <row r="721">
          <cell r="A721" t="str">
            <v>40010_1</v>
          </cell>
        </row>
        <row r="722">
          <cell r="A722" t="str">
            <v>40011_1</v>
          </cell>
        </row>
        <row r="723">
          <cell r="A723" t="str">
            <v>40012_1</v>
          </cell>
        </row>
        <row r="724">
          <cell r="A724" t="str">
            <v>40013_1</v>
          </cell>
        </row>
        <row r="725">
          <cell r="A725" t="str">
            <v>40014_1</v>
          </cell>
        </row>
        <row r="726">
          <cell r="A726" t="str">
            <v>40015_1</v>
          </cell>
        </row>
        <row r="727">
          <cell r="A727" t="str">
            <v>40016_1</v>
          </cell>
        </row>
        <row r="728">
          <cell r="A728" t="str">
            <v>40016_2</v>
          </cell>
        </row>
        <row r="729">
          <cell r="A729" t="str">
            <v>40017_1</v>
          </cell>
        </row>
        <row r="730">
          <cell r="A730" t="str">
            <v>40017_2</v>
          </cell>
        </row>
        <row r="731">
          <cell r="A731" t="str">
            <v>40017_3</v>
          </cell>
        </row>
        <row r="732">
          <cell r="A732" t="str">
            <v>40018_1</v>
          </cell>
        </row>
        <row r="733">
          <cell r="A733" t="str">
            <v>40018_2</v>
          </cell>
        </row>
        <row r="734">
          <cell r="A734" t="str">
            <v>40018_3</v>
          </cell>
        </row>
        <row r="735">
          <cell r="A735" t="str">
            <v>40019_1</v>
          </cell>
        </row>
        <row r="736">
          <cell r="A736" t="str">
            <v>40019_2</v>
          </cell>
        </row>
        <row r="737">
          <cell r="A737" t="str">
            <v>40019_3</v>
          </cell>
        </row>
        <row r="738">
          <cell r="A738" t="str">
            <v>40021_1</v>
          </cell>
        </row>
        <row r="739">
          <cell r="A739" t="str">
            <v>40021_2</v>
          </cell>
        </row>
        <row r="740">
          <cell r="A740" t="str">
            <v>40022_1</v>
          </cell>
        </row>
        <row r="741">
          <cell r="A741" t="str">
            <v>40022_2</v>
          </cell>
        </row>
        <row r="742">
          <cell r="A742" t="str">
            <v>40023_1</v>
          </cell>
        </row>
        <row r="743">
          <cell r="A743" t="str">
            <v>40023_2</v>
          </cell>
        </row>
        <row r="744">
          <cell r="A744" t="str">
            <v>40024_1</v>
          </cell>
        </row>
        <row r="745">
          <cell r="A745" t="str">
            <v>40024_2</v>
          </cell>
        </row>
        <row r="746">
          <cell r="A746" t="str">
            <v>40025_1</v>
          </cell>
        </row>
        <row r="747">
          <cell r="A747" t="str">
            <v>40025_2</v>
          </cell>
        </row>
        <row r="748">
          <cell r="A748" t="str">
            <v>40026_1</v>
          </cell>
        </row>
        <row r="749">
          <cell r="A749" t="str">
            <v>40026_2</v>
          </cell>
        </row>
        <row r="750">
          <cell r="A750" t="str">
            <v>40027_1</v>
          </cell>
        </row>
        <row r="751">
          <cell r="A751" t="str">
            <v>40027_2</v>
          </cell>
        </row>
        <row r="752">
          <cell r="A752" t="str">
            <v>40028_1</v>
          </cell>
        </row>
        <row r="753">
          <cell r="A753" t="str">
            <v>40028_2</v>
          </cell>
        </row>
        <row r="754">
          <cell r="A754" t="str">
            <v>40029_1</v>
          </cell>
        </row>
        <row r="755">
          <cell r="A755" t="str">
            <v>40029_2</v>
          </cell>
        </row>
        <row r="756">
          <cell r="A756" t="str">
            <v>40030_1</v>
          </cell>
        </row>
        <row r="757">
          <cell r="A757" t="str">
            <v>40030_2</v>
          </cell>
        </row>
        <row r="758">
          <cell r="A758" t="str">
            <v>40031_1</v>
          </cell>
        </row>
        <row r="759">
          <cell r="A759" t="str">
            <v>40031_2</v>
          </cell>
        </row>
        <row r="760">
          <cell r="A760" t="str">
            <v>40032_1</v>
          </cell>
        </row>
        <row r="761">
          <cell r="A761" t="str">
            <v>40032_2</v>
          </cell>
        </row>
        <row r="762">
          <cell r="A762" t="str">
            <v>40033_1</v>
          </cell>
        </row>
        <row r="763">
          <cell r="A763" t="str">
            <v>40033_2</v>
          </cell>
        </row>
        <row r="764">
          <cell r="A764" t="str">
            <v>40034_1</v>
          </cell>
        </row>
        <row r="765">
          <cell r="A765" t="str">
            <v>40034_2</v>
          </cell>
        </row>
        <row r="766">
          <cell r="A766" t="str">
            <v>40035_1</v>
          </cell>
        </row>
        <row r="767">
          <cell r="A767" t="str">
            <v>40035_2</v>
          </cell>
        </row>
        <row r="768">
          <cell r="A768" t="str">
            <v>40036_1</v>
          </cell>
        </row>
        <row r="769">
          <cell r="A769" t="str">
            <v>40036_2</v>
          </cell>
        </row>
        <row r="770">
          <cell r="A770" t="str">
            <v>40037_1</v>
          </cell>
        </row>
        <row r="771">
          <cell r="A771" t="str">
            <v>40037_2</v>
          </cell>
        </row>
        <row r="772">
          <cell r="A772" t="str">
            <v>40038_1</v>
          </cell>
        </row>
        <row r="773">
          <cell r="A773" t="str">
            <v>40038_2</v>
          </cell>
        </row>
        <row r="774">
          <cell r="A774" t="str">
            <v>40039_1</v>
          </cell>
        </row>
        <row r="775">
          <cell r="A775" t="str">
            <v>40039_2</v>
          </cell>
        </row>
        <row r="776">
          <cell r="A776" t="str">
            <v>40040_1</v>
          </cell>
        </row>
        <row r="777">
          <cell r="A777" t="str">
            <v>40040_2</v>
          </cell>
        </row>
        <row r="778">
          <cell r="A778" t="str">
            <v>40041_1</v>
          </cell>
        </row>
        <row r="779">
          <cell r="A779" t="str">
            <v>40041_2</v>
          </cell>
        </row>
        <row r="780">
          <cell r="A780" t="str">
            <v>40042_1</v>
          </cell>
        </row>
        <row r="781">
          <cell r="A781" t="str">
            <v>40042_2</v>
          </cell>
        </row>
        <row r="782">
          <cell r="A782" t="str">
            <v>40043_1</v>
          </cell>
        </row>
        <row r="783">
          <cell r="A783" t="str">
            <v>40043_2</v>
          </cell>
        </row>
        <row r="784">
          <cell r="A784" t="str">
            <v>41001_1</v>
          </cell>
        </row>
        <row r="785">
          <cell r="A785" t="str">
            <v>41001_2</v>
          </cell>
        </row>
        <row r="786">
          <cell r="A786" t="str">
            <v>41001_3</v>
          </cell>
        </row>
        <row r="787">
          <cell r="A787" t="str">
            <v>41002_1</v>
          </cell>
        </row>
        <row r="788">
          <cell r="A788" t="str">
            <v>41002_2</v>
          </cell>
        </row>
        <row r="789">
          <cell r="A789" t="str">
            <v>41002_3</v>
          </cell>
        </row>
        <row r="790">
          <cell r="A790" t="str">
            <v>41003_1</v>
          </cell>
        </row>
        <row r="791">
          <cell r="A791" t="str">
            <v>41003_2</v>
          </cell>
        </row>
        <row r="792">
          <cell r="A792" t="str">
            <v>41003_3</v>
          </cell>
        </row>
        <row r="793">
          <cell r="A793" t="str">
            <v>41004_1</v>
          </cell>
        </row>
        <row r="794">
          <cell r="A794" t="str">
            <v>41004_2</v>
          </cell>
        </row>
        <row r="795">
          <cell r="A795" t="str">
            <v>41004_3</v>
          </cell>
        </row>
        <row r="796">
          <cell r="A796" t="str">
            <v>41005_1</v>
          </cell>
        </row>
        <row r="797">
          <cell r="A797" t="str">
            <v>41005_2</v>
          </cell>
        </row>
        <row r="798">
          <cell r="A798" t="str">
            <v>41005_3</v>
          </cell>
        </row>
        <row r="799">
          <cell r="A799" t="str">
            <v>41006_1</v>
          </cell>
        </row>
        <row r="800">
          <cell r="A800" t="str">
            <v>41006_2</v>
          </cell>
        </row>
        <row r="801">
          <cell r="A801" t="str">
            <v>41006_3</v>
          </cell>
        </row>
        <row r="802">
          <cell r="A802" t="str">
            <v>41007_1</v>
          </cell>
        </row>
        <row r="803">
          <cell r="A803" t="str">
            <v>41007_2</v>
          </cell>
        </row>
        <row r="804">
          <cell r="A804" t="str">
            <v>41007_3</v>
          </cell>
        </row>
        <row r="805">
          <cell r="A805" t="str">
            <v>41008_1</v>
          </cell>
        </row>
        <row r="806">
          <cell r="A806" t="str">
            <v>41008_2</v>
          </cell>
        </row>
        <row r="807">
          <cell r="A807" t="str">
            <v>41008_3</v>
          </cell>
        </row>
        <row r="808">
          <cell r="A808" t="str">
            <v>41009_1</v>
          </cell>
        </row>
        <row r="809">
          <cell r="A809" t="str">
            <v>41009_2</v>
          </cell>
        </row>
        <row r="810">
          <cell r="A810" t="str">
            <v>41009_3</v>
          </cell>
        </row>
        <row r="811">
          <cell r="A811" t="str">
            <v>41010_1</v>
          </cell>
        </row>
        <row r="812">
          <cell r="A812" t="str">
            <v>41010_2</v>
          </cell>
        </row>
        <row r="813">
          <cell r="A813" t="str">
            <v>41010_3</v>
          </cell>
        </row>
        <row r="814">
          <cell r="A814" t="str">
            <v>41011_1</v>
          </cell>
        </row>
        <row r="815">
          <cell r="A815" t="str">
            <v>41011_2</v>
          </cell>
        </row>
        <row r="816">
          <cell r="A816" t="str">
            <v>41012_1</v>
          </cell>
        </row>
        <row r="817">
          <cell r="A817" t="str">
            <v>41012_2</v>
          </cell>
        </row>
        <row r="818">
          <cell r="A818" t="str">
            <v>41013_1</v>
          </cell>
        </row>
        <row r="819">
          <cell r="A819" t="str">
            <v>41013_2</v>
          </cell>
        </row>
        <row r="820">
          <cell r="A820" t="str">
            <v>41014_1</v>
          </cell>
        </row>
        <row r="821">
          <cell r="A821" t="str">
            <v>41014_2</v>
          </cell>
        </row>
        <row r="822">
          <cell r="A822" t="str">
            <v>41015_1</v>
          </cell>
        </row>
        <row r="823">
          <cell r="A823" t="str">
            <v>41015_2</v>
          </cell>
        </row>
        <row r="824">
          <cell r="A824" t="str">
            <v>47001_1</v>
          </cell>
        </row>
        <row r="825">
          <cell r="A825" t="str">
            <v>47001_2</v>
          </cell>
        </row>
        <row r="826">
          <cell r="A826" t="str">
            <v>47002_1</v>
          </cell>
        </row>
        <row r="827">
          <cell r="A827" t="str">
            <v>47002_2</v>
          </cell>
        </row>
        <row r="828">
          <cell r="A828" t="str">
            <v>47003_1</v>
          </cell>
        </row>
        <row r="829">
          <cell r="A829" t="str">
            <v>47003_2</v>
          </cell>
        </row>
        <row r="830">
          <cell r="A830" t="str">
            <v>47003_3</v>
          </cell>
        </row>
        <row r="831">
          <cell r="A831" t="str">
            <v>47003_4</v>
          </cell>
        </row>
        <row r="832">
          <cell r="A832" t="str">
            <v>47004_1</v>
          </cell>
        </row>
        <row r="833">
          <cell r="A833" t="str">
            <v>47004_2</v>
          </cell>
        </row>
        <row r="834">
          <cell r="A834" t="str">
            <v>47004_3</v>
          </cell>
        </row>
        <row r="835">
          <cell r="A835" t="str">
            <v>47004_4</v>
          </cell>
        </row>
        <row r="836">
          <cell r="A836" t="str">
            <v>47005_1</v>
          </cell>
        </row>
        <row r="837">
          <cell r="A837" t="str">
            <v>47006_1</v>
          </cell>
        </row>
        <row r="838">
          <cell r="A838" t="str">
            <v>47006_2</v>
          </cell>
        </row>
        <row r="839">
          <cell r="A839" t="str">
            <v>47007_1</v>
          </cell>
        </row>
        <row r="840">
          <cell r="A840" t="str">
            <v>47007_2</v>
          </cell>
        </row>
        <row r="841">
          <cell r="A841" t="str">
            <v>47008_1</v>
          </cell>
        </row>
        <row r="842">
          <cell r="A842" t="str">
            <v>47008_2</v>
          </cell>
        </row>
        <row r="843">
          <cell r="A843" t="str">
            <v>47009_1</v>
          </cell>
        </row>
        <row r="844">
          <cell r="A844" t="str">
            <v>47009_2</v>
          </cell>
        </row>
        <row r="845">
          <cell r="A845" t="str">
            <v>47010_1</v>
          </cell>
        </row>
        <row r="846">
          <cell r="A846" t="str">
            <v>47010_2</v>
          </cell>
        </row>
        <row r="847">
          <cell r="A847" t="str">
            <v>48001_1</v>
          </cell>
        </row>
        <row r="848">
          <cell r="A848" t="str">
            <v>48002_1</v>
          </cell>
        </row>
        <row r="849">
          <cell r="A849" t="str">
            <v>48002_2</v>
          </cell>
        </row>
        <row r="850">
          <cell r="A850" t="str">
            <v>48002_3</v>
          </cell>
        </row>
        <row r="851">
          <cell r="A851" t="str">
            <v>48003_1</v>
          </cell>
        </row>
        <row r="852">
          <cell r="A852" t="str">
            <v>48003_2</v>
          </cell>
        </row>
        <row r="853">
          <cell r="A853" t="str">
            <v>48004_1</v>
          </cell>
        </row>
        <row r="854">
          <cell r="A854" t="str">
            <v>48004_2</v>
          </cell>
        </row>
        <row r="855">
          <cell r="A855" t="str">
            <v>48005_1</v>
          </cell>
        </row>
        <row r="856">
          <cell r="A856" t="str">
            <v>48005_2</v>
          </cell>
        </row>
        <row r="857">
          <cell r="A857" t="str">
            <v>48006_1</v>
          </cell>
        </row>
        <row r="858">
          <cell r="A858" t="str">
            <v>48006_2</v>
          </cell>
        </row>
        <row r="859">
          <cell r="A859" t="str">
            <v>48007_1</v>
          </cell>
        </row>
        <row r="860">
          <cell r="A860" t="str">
            <v>48007_2</v>
          </cell>
        </row>
        <row r="861">
          <cell r="A861" t="str">
            <v>48008_1</v>
          </cell>
        </row>
        <row r="862">
          <cell r="A862" t="str">
            <v>48008_2</v>
          </cell>
        </row>
        <row r="863">
          <cell r="A863" t="str">
            <v>48009_1</v>
          </cell>
        </row>
        <row r="864">
          <cell r="A864" t="str">
            <v>48009_2</v>
          </cell>
        </row>
        <row r="865">
          <cell r="A865" t="str">
            <v>48010_1</v>
          </cell>
        </row>
        <row r="866">
          <cell r="A866" t="str">
            <v>48011_1</v>
          </cell>
        </row>
        <row r="867">
          <cell r="A867" t="str">
            <v>48011_2</v>
          </cell>
        </row>
        <row r="868">
          <cell r="A868" t="str">
            <v>48501_1</v>
          </cell>
        </row>
        <row r="869">
          <cell r="A869" t="str">
            <v>48501_2</v>
          </cell>
        </row>
        <row r="870">
          <cell r="A870" t="str">
            <v>48502_1</v>
          </cell>
        </row>
        <row r="871">
          <cell r="A871" t="str">
            <v>48502_2</v>
          </cell>
        </row>
        <row r="872">
          <cell r="A872" t="str">
            <v>49001_1</v>
          </cell>
        </row>
        <row r="873">
          <cell r="A873" t="str">
            <v>49002_1</v>
          </cell>
        </row>
        <row r="874">
          <cell r="A874" t="str">
            <v>49002_2</v>
          </cell>
        </row>
        <row r="875">
          <cell r="A875" t="str">
            <v>49003_1</v>
          </cell>
        </row>
        <row r="876">
          <cell r="A876" t="str">
            <v>49003_2</v>
          </cell>
        </row>
        <row r="877">
          <cell r="A877" t="str">
            <v>49004_1</v>
          </cell>
        </row>
        <row r="878">
          <cell r="A878" t="str">
            <v>49004_2</v>
          </cell>
        </row>
        <row r="879">
          <cell r="A879" t="str">
            <v>49004_3</v>
          </cell>
        </row>
        <row r="880">
          <cell r="A880" t="str">
            <v>49005_1</v>
          </cell>
        </row>
        <row r="881">
          <cell r="A881" t="str">
            <v>49006_1</v>
          </cell>
        </row>
        <row r="882">
          <cell r="A882" t="str">
            <v>49006_2</v>
          </cell>
        </row>
        <row r="883">
          <cell r="A883" t="str">
            <v>49007_1</v>
          </cell>
        </row>
        <row r="884">
          <cell r="A884" t="str">
            <v>49007_2</v>
          </cell>
        </row>
        <row r="885">
          <cell r="A885" t="str">
            <v>49007_3</v>
          </cell>
        </row>
        <row r="886">
          <cell r="A886" t="str">
            <v>49008_1</v>
          </cell>
        </row>
        <row r="887">
          <cell r="A887" t="str">
            <v>49009_1</v>
          </cell>
        </row>
        <row r="888">
          <cell r="A888" t="str">
            <v>49010_1</v>
          </cell>
        </row>
        <row r="889">
          <cell r="A889" t="str">
            <v>49011_1</v>
          </cell>
        </row>
        <row r="890">
          <cell r="A890" t="str">
            <v>49012_1</v>
          </cell>
        </row>
        <row r="891">
          <cell r="A891" t="str">
            <v>49013_1</v>
          </cell>
        </row>
        <row r="892">
          <cell r="A892" t="str">
            <v>49014_1</v>
          </cell>
        </row>
        <row r="893">
          <cell r="A893" t="str">
            <v>49014_2</v>
          </cell>
        </row>
        <row r="894">
          <cell r="A894" t="str">
            <v>50001_1</v>
          </cell>
        </row>
        <row r="895">
          <cell r="A895" t="str">
            <v>50002_1</v>
          </cell>
        </row>
        <row r="896">
          <cell r="A896" t="str">
            <v>50003_1</v>
          </cell>
        </row>
        <row r="897">
          <cell r="A897" t="str">
            <v>50004_1</v>
          </cell>
        </row>
        <row r="898">
          <cell r="A898" t="str">
            <v>50005_1</v>
          </cell>
        </row>
        <row r="899">
          <cell r="A899" t="str">
            <v>50006_1</v>
          </cell>
        </row>
        <row r="900">
          <cell r="A900" t="str">
            <v>50007_1</v>
          </cell>
        </row>
        <row r="901">
          <cell r="A901" t="str">
            <v>50008_1</v>
          </cell>
        </row>
        <row r="902">
          <cell r="A902" t="str">
            <v>50009_1</v>
          </cell>
        </row>
        <row r="903">
          <cell r="A903" t="str">
            <v>50010_1</v>
          </cell>
        </row>
        <row r="904">
          <cell r="A904" t="str">
            <v>50011_1</v>
          </cell>
        </row>
        <row r="905">
          <cell r="A905" t="str">
            <v>50012_1</v>
          </cell>
        </row>
        <row r="906">
          <cell r="A906" t="str">
            <v>50013_1</v>
          </cell>
        </row>
        <row r="907">
          <cell r="A907" t="str">
            <v>50014_1</v>
          </cell>
        </row>
        <row r="908">
          <cell r="A908" t="str">
            <v>51001_1</v>
          </cell>
        </row>
        <row r="909">
          <cell r="A909" t="str">
            <v>51002_1</v>
          </cell>
        </row>
        <row r="910">
          <cell r="A910" t="str">
            <v>58001_1</v>
          </cell>
        </row>
        <row r="911">
          <cell r="A911" t="str">
            <v>59001_1</v>
          </cell>
        </row>
        <row r="912">
          <cell r="A912" t="str">
            <v>59002_1</v>
          </cell>
        </row>
        <row r="913">
          <cell r="A913" t="str">
            <v>60001_1</v>
          </cell>
        </row>
        <row r="914">
          <cell r="A914" t="str">
            <v>60002_1</v>
          </cell>
        </row>
        <row r="915">
          <cell r="A915" t="str">
            <v>60002_2</v>
          </cell>
        </row>
        <row r="916">
          <cell r="A916" t="str">
            <v>60003_1</v>
          </cell>
        </row>
        <row r="917">
          <cell r="A917" t="str">
            <v>60003_2</v>
          </cell>
        </row>
        <row r="918">
          <cell r="A918" t="str">
            <v>60003_3</v>
          </cell>
        </row>
        <row r="919">
          <cell r="A919" t="str">
            <v>60004_1</v>
          </cell>
        </row>
        <row r="920">
          <cell r="A920" t="str">
            <v>60005_1</v>
          </cell>
        </row>
        <row r="921">
          <cell r="A921" t="str">
            <v>60006_1</v>
          </cell>
        </row>
        <row r="922">
          <cell r="A922" t="str">
            <v>60006_2</v>
          </cell>
        </row>
        <row r="923">
          <cell r="A923" t="str">
            <v>60006_3</v>
          </cell>
        </row>
        <row r="924">
          <cell r="A924" t="str">
            <v>60007_1</v>
          </cell>
        </row>
        <row r="925">
          <cell r="A925" t="str">
            <v>60007_2</v>
          </cell>
        </row>
        <row r="926">
          <cell r="A926" t="str">
            <v>60007_3</v>
          </cell>
        </row>
        <row r="927">
          <cell r="A927" t="str">
            <v>60010_1</v>
          </cell>
        </row>
        <row r="928">
          <cell r="A928" t="str">
            <v>60011_1</v>
          </cell>
        </row>
        <row r="929">
          <cell r="A929" t="str">
            <v>60011_2</v>
          </cell>
        </row>
        <row r="930">
          <cell r="A930" t="str">
            <v>60012_1</v>
          </cell>
        </row>
        <row r="931">
          <cell r="A931" t="str">
            <v>60013_1</v>
          </cell>
        </row>
        <row r="932">
          <cell r="A932" t="str">
            <v>60013_2</v>
          </cell>
        </row>
        <row r="933">
          <cell r="A933" t="str">
            <v>60013_3</v>
          </cell>
        </row>
        <row r="934">
          <cell r="A934" t="str">
            <v>60014_1</v>
          </cell>
        </row>
        <row r="935">
          <cell r="A935" t="str">
            <v>60015_1</v>
          </cell>
        </row>
        <row r="936">
          <cell r="A936" t="str">
            <v>60016_1</v>
          </cell>
        </row>
        <row r="937">
          <cell r="A937" t="str">
            <v>60017_1</v>
          </cell>
        </row>
        <row r="938">
          <cell r="A938" t="str">
            <v>60018_1</v>
          </cell>
        </row>
        <row r="939">
          <cell r="A939" t="str">
            <v>60019_1</v>
          </cell>
        </row>
        <row r="940">
          <cell r="A940" t="str">
            <v>60020_1</v>
          </cell>
        </row>
        <row r="941">
          <cell r="A941" t="str">
            <v>60021_3</v>
          </cell>
        </row>
        <row r="942">
          <cell r="A942" t="str">
            <v>60022_3</v>
          </cell>
        </row>
        <row r="943">
          <cell r="A943" t="str">
            <v>60023_3</v>
          </cell>
        </row>
        <row r="944">
          <cell r="A944" t="str">
            <v>60024_3</v>
          </cell>
        </row>
        <row r="945">
          <cell r="A945" t="str">
            <v>60025_1</v>
          </cell>
        </row>
        <row r="946">
          <cell r="A946" t="str">
            <v>60026_1</v>
          </cell>
        </row>
        <row r="947">
          <cell r="A947" t="str">
            <v>61011_1</v>
          </cell>
        </row>
        <row r="948">
          <cell r="A948" t="str">
            <v>60027_1</v>
          </cell>
        </row>
        <row r="949">
          <cell r="A949" t="str">
            <v>65525_1</v>
          </cell>
        </row>
        <row r="950">
          <cell r="A950" t="str">
            <v>65526_1</v>
          </cell>
        </row>
        <row r="951">
          <cell r="A951" t="str">
            <v>65526_2</v>
          </cell>
        </row>
        <row r="952">
          <cell r="A952" t="str">
            <v>65527_1</v>
          </cell>
        </row>
        <row r="953">
          <cell r="A953" t="str">
            <v>65528_1</v>
          </cell>
        </row>
        <row r="954">
          <cell r="A954" t="str">
            <v>65529_1</v>
          </cell>
        </row>
        <row r="955">
          <cell r="A955" t="str">
            <v>65530_1</v>
          </cell>
        </row>
        <row r="956">
          <cell r="A956" t="str">
            <v>65531_1</v>
          </cell>
        </row>
        <row r="957">
          <cell r="A957" t="str">
            <v>65531_2</v>
          </cell>
        </row>
        <row r="958">
          <cell r="A958" t="str">
            <v>65532_1</v>
          </cell>
        </row>
        <row r="959">
          <cell r="A959" t="str">
            <v>65532_2</v>
          </cell>
        </row>
        <row r="960">
          <cell r="A960" t="str">
            <v>65533_1</v>
          </cell>
        </row>
        <row r="961">
          <cell r="A961" t="str">
            <v>65533_2</v>
          </cell>
        </row>
        <row r="962">
          <cell r="A962" t="str">
            <v>65534_1</v>
          </cell>
        </row>
        <row r="963">
          <cell r="A963" t="str">
            <v>65535_1</v>
          </cell>
        </row>
        <row r="964">
          <cell r="A964" t="str">
            <v>65535_2</v>
          </cell>
        </row>
        <row r="965">
          <cell r="A965" t="str">
            <v>65535_3</v>
          </cell>
        </row>
        <row r="966">
          <cell r="A966" t="str">
            <v>65535_4</v>
          </cell>
        </row>
        <row r="967">
          <cell r="A967" t="str">
            <v>65535_5</v>
          </cell>
        </row>
        <row r="968">
          <cell r="A968" t="str">
            <v>65535_6</v>
          </cell>
        </row>
        <row r="969">
          <cell r="A969" t="str">
            <v>65535_7</v>
          </cell>
        </row>
        <row r="970">
          <cell r="A970" t="str">
            <v>65535_8</v>
          </cell>
        </row>
        <row r="971">
          <cell r="A971" t="str">
            <v>65535_9</v>
          </cell>
        </row>
        <row r="972">
          <cell r="A972" t="str">
            <v>65535_10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stage_hints"/>
      <sheetName val="Sheet1"/>
      <sheetName val="Sheet2"/>
    </sheetNames>
    <sheetDataSet>
      <sheetData sheetId="0"/>
      <sheetData sheetId="1">
        <row r="1">
          <cell r="A1" t="str">
            <v>hint_id</v>
          </cell>
          <cell r="B1" t="str">
            <v>language</v>
          </cell>
          <cell r="C1" t="str">
            <v>title</v>
          </cell>
          <cell r="D1" t="str">
            <v>hint</v>
          </cell>
        </row>
        <row r="2">
          <cell r="A2">
            <v>1</v>
          </cell>
          <cell r="B2" t="str">
            <v>ja</v>
          </cell>
          <cell r="C2" t="str">
            <v>長くつなげて大ダメージ</v>
          </cell>
          <cell r="D2" t="str">
            <v>パネルを長くつなげるほど_x000D_大ダメージを与えることができます</v>
          </cell>
        </row>
        <row r="3">
          <cell r="A3">
            <v>2</v>
          </cell>
          <cell r="B3" t="str">
            <v>ja</v>
          </cell>
          <cell r="C3" t="str">
            <v>属性の相性</v>
          </cell>
          <cell r="D3" t="str">
            <v>赤＞青　青＞黄　黄＞緑　緑＞赤_x000D_敵属性に最適なパーティがオススメです</v>
          </cell>
        </row>
        <row r="4">
          <cell r="A4">
            <v>3</v>
          </cell>
          <cell r="B4" t="str">
            <v>ja</v>
          </cell>
          <cell r="C4" t="str">
            <v>ターゲット</v>
          </cell>
          <cell r="D4" t="str">
            <v>敵ユニットをタップすると_x000D_その敵を狙い撃ちできます</v>
          </cell>
        </row>
        <row r="5">
          <cell r="A5">
            <v>4</v>
          </cell>
          <cell r="B5" t="str">
            <v>ja</v>
          </cell>
          <cell r="C5" t="str">
            <v>ボーナスクエスト</v>
          </cell>
          <cell r="D5" t="str">
            <v>ノーマルクエストを進めると_x000D_嬉しいボーナスクエストが登場します</v>
          </cell>
        </row>
        <row r="6">
          <cell r="A6">
            <v>5</v>
          </cell>
          <cell r="B6" t="str">
            <v>ja</v>
          </cell>
          <cell r="C6" t="str">
            <v>ユニット強化でレベルアップ</v>
          </cell>
          <cell r="D6" t="str">
            <v>「ユニット強化」でレベルアップすると_x000D_勝てない敵にも勝てるようになります</v>
          </cell>
        </row>
        <row r="7">
          <cell r="A7">
            <v>6</v>
          </cell>
          <cell r="B7" t="str">
            <v>ja</v>
          </cell>
          <cell r="C7" t="str">
            <v>ユニット強化の属性ボーナス</v>
          </cell>
          <cell r="D7" t="str">
            <v>同属性ユニットを強化素材にすると_x000D_経験値が多くもらえます</v>
          </cell>
        </row>
        <row r="8">
          <cell r="A8">
            <v>7</v>
          </cell>
          <cell r="B8" t="str">
            <v>ja</v>
          </cell>
          <cell r="C8" t="str">
            <v>メタルダックで経験値を獲得</v>
          </cell>
          <cell r="D8" t="str">
            <v>「メタルなアヒル」を強化素材にすると_x000D_大量の経験値がもらえます</v>
          </cell>
        </row>
        <row r="9">
          <cell r="A9">
            <v>8</v>
          </cell>
          <cell r="B9" t="str">
            <v>ja</v>
          </cell>
          <cell r="C9" t="str">
            <v>ゲリラクエストは要チェック</v>
          </cell>
          <cell r="D9" t="str">
            <v>時間限定の「アヒル捕獲作戦」では_x000D_経験値素材ユニットが多く手に入ります</v>
          </cell>
        </row>
        <row r="10">
          <cell r="A10">
            <v>9</v>
          </cell>
          <cell r="B10" t="str">
            <v>ja</v>
          </cell>
          <cell r="C10" t="str">
            <v>ゴールドダックでビットを獲得</v>
          </cell>
          <cell r="D10" t="str">
            <v>「ゴールドなアヒル」を売却すると_x000D_大量のビットがもらえます</v>
          </cell>
        </row>
        <row r="11">
          <cell r="A11">
            <v>10</v>
          </cell>
          <cell r="B11" t="str">
            <v>ja</v>
          </cell>
          <cell r="C11" t="str">
            <v>土日に大量のビットを獲得</v>
          </cell>
          <cell r="D11" t="str">
            <v>土日限定の「ゴールドカジノ」では_x000D_売却素材ユニットが多く手に入ります</v>
          </cell>
        </row>
        <row r="12">
          <cell r="A12">
            <v>11</v>
          </cell>
          <cell r="B12" t="str">
            <v>ja</v>
          </cell>
          <cell r="C12" t="str">
            <v>ランク解放クエスト</v>
          </cell>
          <cell r="D12" t="str">
            <v>一定ランクに到達すると_x000D_報酬付きのランク開放クエストが現れます</v>
          </cell>
        </row>
        <row r="13">
          <cell r="A13">
            <v>12</v>
          </cell>
          <cell r="B13" t="str">
            <v>ja</v>
          </cell>
          <cell r="C13" t="str">
            <v>ユニットのお気に入り登録</v>
          </cell>
          <cell r="D13" t="str">
            <v>大事なユニットを誤って消さないように_x000D_フォルダから「お気に入り登録」しましょう</v>
          </cell>
        </row>
        <row r="14">
          <cell r="A14">
            <v>13</v>
          </cell>
          <cell r="B14" t="str">
            <v>ja</v>
          </cell>
          <cell r="C14" t="str">
            <v>ユニットの覚醒</v>
          </cell>
          <cell r="D14" t="str">
            <v>ユニットを覚醒させると_x000D_比べものにならない強さが手に入ります</v>
          </cell>
        </row>
        <row r="15">
          <cell r="A15">
            <v>14</v>
          </cell>
          <cell r="B15" t="str">
            <v>ja</v>
          </cell>
          <cell r="C15" t="str">
            <v>覚醒するにはレベルを最大に</v>
          </cell>
          <cell r="D15" t="str">
            <v>覚醒するにはユニットのレベルを_x000D_最大まで上げる必要があります</v>
          </cell>
        </row>
        <row r="16">
          <cell r="A16">
            <v>15</v>
          </cell>
          <cell r="B16" t="str">
            <v>ja</v>
          </cell>
          <cell r="C16" t="str">
            <v>覚醒素材を獲得</v>
          </cell>
          <cell r="D16" t="str">
            <v>「曜日クエスト」では_x000D_ユニットの覚醒に必要な素材が手に入ります</v>
          </cell>
        </row>
        <row r="17">
          <cell r="A17">
            <v>16</v>
          </cell>
          <cell r="B17" t="str">
            <v>ja</v>
          </cell>
          <cell r="C17" t="str">
            <v>マルチプレイのメリット（その1）</v>
          </cell>
          <cell r="D17" t="str">
            <v>他のプレイヤーとマルチプレイで遊ぶと_x000D_ポリゴンがもらえます（100人まで）</v>
          </cell>
        </row>
        <row r="18">
          <cell r="A18">
            <v>17</v>
          </cell>
          <cell r="B18" t="str">
            <v>ja</v>
          </cell>
          <cell r="C18" t="str">
            <v>リンクガチャ</v>
          </cell>
          <cell r="D18" t="str">
            <v>無料のリンクガチャを回して_x000D_経験値素材や売却素材を獲得しましょう</v>
          </cell>
        </row>
        <row r="19">
          <cell r="A19">
            <v>18</v>
          </cell>
          <cell r="B19" t="str">
            <v>ja</v>
          </cell>
          <cell r="C19" t="str">
            <v>マルチプレイのメリット（その2）</v>
          </cell>
          <cell r="D19" t="str">
            <v>マルチプレイならリンクが2倍もらえます_x000D_リンクガチャをたくさん回しましょう</v>
          </cell>
        </row>
        <row r="20">
          <cell r="A20">
            <v>19</v>
          </cell>
          <cell r="B20" t="str">
            <v>ja</v>
          </cell>
          <cell r="C20" t="str">
            <v>ソロ専用タワーオブザクイーン</v>
          </cell>
          <cell r="D20" t="str">
            <v>ソロ専用の「タワーオブザクイーン」は_x000D_期間限定で定期的に開催されます_x000D_ここでしか獲得できない報酬もあるようです</v>
          </cell>
        </row>
        <row r="21">
          <cell r="A21">
            <v>20</v>
          </cell>
          <cell r="B21" t="str">
            <v>ja</v>
          </cell>
          <cell r="C21" t="str">
            <v>マルチプレイのメリット（その3）</v>
          </cell>
          <cell r="D21" t="str">
            <v>マルチプレイへの参加はエナジー消費ゼロ_x000D_いつでも好きなだけ遊ぶことができます</v>
          </cell>
        </row>
        <row r="22">
          <cell r="A22">
            <v>21</v>
          </cell>
          <cell r="B22" t="str">
            <v>ja</v>
          </cell>
          <cell r="C22" t="str">
            <v>スキルを有効に</v>
          </cell>
          <cell r="D22" t="str">
            <v>ターン経過でユニットのスキルが使えます_x000D_強力スキルでバトルを有利に進めましょう</v>
          </cell>
        </row>
        <row r="23">
          <cell r="A23">
            <v>22</v>
          </cell>
          <cell r="B23" t="str">
            <v>ja</v>
          </cell>
          <cell r="C23" t="str">
            <v>フィーバーで一発逆転（その1）</v>
          </cell>
          <cell r="D23" t="str">
            <v>フィーバーは攻撃と回復を兼ね備えます_x000D_ピンチからの一発逆転を狙いましょう</v>
          </cell>
        </row>
        <row r="24">
          <cell r="A24">
            <v>23</v>
          </cell>
          <cell r="B24" t="str">
            <v>ja</v>
          </cell>
          <cell r="C24" t="str">
            <v>フィーバーで一発逆転（その2）</v>
          </cell>
          <cell r="D24" t="str">
            <v>フィーバー中は虹色のボムパネルを狙って_x000D_画面上のパネルを一気に破壊しましょう</v>
          </cell>
        </row>
        <row r="25">
          <cell r="A25">
            <v>24</v>
          </cell>
          <cell r="B25" t="str">
            <v>ja</v>
          </cell>
          <cell r="C25" t="str">
            <v>果実を使って限界突破</v>
          </cell>
          <cell r="D25" t="str">
            <v>攻めの果実 癒しの果実_x000D_生命の果実をユニット強化に使うと_x000D_ステータスが限界突破します（計99個迄）</v>
          </cell>
        </row>
        <row r="26">
          <cell r="A26">
            <v>25</v>
          </cell>
          <cell r="B26" t="str">
            <v>ja</v>
          </cell>
          <cell r="C26" t="str">
            <v>スキルレベルアップ</v>
          </cell>
          <cell r="D26" t="str">
            <v>「秘術の果実」を強化に使うと_x000D_スキルレベルを上げることができます</v>
          </cell>
        </row>
        <row r="27">
          <cell r="A27">
            <v>26</v>
          </cell>
          <cell r="B27" t="str">
            <v>ja</v>
          </cell>
          <cell r="C27" t="str">
            <v>スキルレベルの効果</v>
          </cell>
          <cell r="D27" t="str">
            <v>スキルレベルが上がると_x000D_短いターンでスキルを使うことができます</v>
          </cell>
        </row>
        <row r="28">
          <cell r="A28">
            <v>27</v>
          </cell>
          <cell r="B28" t="str">
            <v>ja</v>
          </cell>
          <cell r="C28" t="str">
            <v>ホーム画面からデッキを編成</v>
          </cell>
          <cell r="D28" t="str">
            <v>ホーム画面でユニットを長押しすると_x000D_すぐにパーティ編成に移動できます</v>
          </cell>
        </row>
        <row r="29">
          <cell r="A29">
            <v>28</v>
          </cell>
          <cell r="B29" t="str">
            <v>ja</v>
          </cell>
          <cell r="C29" t="str">
            <v>ステータス情報は長押しで</v>
          </cell>
          <cell r="D29" t="str">
            <v>ユニットのアイコンを長押しすると_x000D_ステータス情報を確認することができます</v>
          </cell>
        </row>
        <row r="30">
          <cell r="A30">
            <v>29</v>
          </cell>
          <cell r="B30" t="str">
            <v>ja</v>
          </cell>
          <cell r="C30" t="str">
            <v>「バグ」のメリット</v>
          </cell>
          <cell r="D30" t="str">
            <v>ユニットの「バグ」を増やすと_x000D_報酬をもらえる確率がアップします</v>
          </cell>
        </row>
        <row r="31">
          <cell r="A31">
            <v>30</v>
          </cell>
          <cell r="B31" t="str">
            <v>ja</v>
          </cell>
          <cell r="C31" t="str">
            <v>「バグ」の増やし方</v>
          </cell>
          <cell r="D31" t="str">
            <v>同じユニット同士を強化で合成すると_x000D_「バグ」を増やすことができます</v>
          </cell>
        </row>
        <row r="32">
          <cell r="A32">
            <v>31</v>
          </cell>
          <cell r="B32" t="str">
            <v>ja</v>
          </cell>
          <cell r="C32" t="str">
            <v>イベントはお知らせでチェック</v>
          </cell>
          <cell r="D32" t="str">
            <v>イベント限定ユニットを取り忘れないように_x000D_お知らせをこまめにチェックしましょう</v>
          </cell>
        </row>
        <row r="33">
          <cell r="A33">
            <v>38</v>
          </cell>
          <cell r="B33" t="str">
            <v>ja</v>
          </cell>
          <cell r="C33" t="str">
            <v>お邪魔パネルはフィーバーで</v>
          </cell>
          <cell r="D33" t="str">
            <v>つなげて消せない「お邪魔パネル」は_x000D_フィーバーで下へ落としてしまいましょう</v>
          </cell>
        </row>
        <row r="34">
          <cell r="A34">
            <v>32</v>
          </cell>
          <cell r="B34" t="str">
            <v>ja</v>
          </cell>
          <cell r="C34" t="str">
            <v>敵の連続攻撃には</v>
          </cell>
          <cell r="D34" t="str">
            <v>カウンタースキルを持つユニットがいれば_x000D_ダメージ回数分の反撃ができます</v>
          </cell>
        </row>
        <row r="35">
          <cell r="A35">
            <v>33</v>
          </cell>
          <cell r="B35" t="str">
            <v>ja</v>
          </cell>
          <cell r="C35" t="str">
            <v>敵のカウンター攻撃には</v>
          </cell>
          <cell r="D35" t="str">
            <v>カウンターブレイクスキルを持っていれば_x000D_敵のカウンターを解除して攻撃ができます</v>
          </cell>
        </row>
        <row r="36">
          <cell r="A36">
            <v>34</v>
          </cell>
          <cell r="B36" t="str">
            <v>ja</v>
          </cell>
          <cell r="C36" t="str">
            <v>ステータスをスキルで下げられたら</v>
          </cell>
          <cell r="D36" t="str">
            <v>ステータスダウンのスキルを受けたら_x000D_ステータスアップスキルで上書きしましょう</v>
          </cell>
        </row>
        <row r="37">
          <cell r="A37">
            <v>35</v>
          </cell>
          <cell r="B37" t="str">
            <v>ja</v>
          </cell>
          <cell r="C37" t="str">
            <v>敵のステータスがスキルで上がったら</v>
          </cell>
          <cell r="D37" t="str">
            <v>敵のステータスがスキルでアップしたときは_x000D_ステータスダウンスキルで上書きしましょう</v>
          </cell>
        </row>
        <row r="38">
          <cell r="A38">
            <v>36</v>
          </cell>
          <cell r="B38" t="str">
            <v>ja</v>
          </cell>
          <cell r="C38" t="str">
            <v>タワーオブザクイーンのボス</v>
          </cell>
          <cell r="D38" t="str">
            <v>「タワーオブザクイーン」最上階のボスは_x000D_15階の初回クリア報酬で獲得できるほか_x000D_その階にて低確率でドロップもします</v>
          </cell>
        </row>
        <row r="39">
          <cell r="A39">
            <v>37</v>
          </cell>
          <cell r="B39" t="str">
            <v>ja</v>
          </cell>
          <cell r="C39" t="str">
            <v>限界突破値の引き継ぎ</v>
          </cell>
          <cell r="D39" t="str">
            <v>同じユニットを強化で合成すると_x000D_限界突破値を引き継げます（覚醒前後も可）</v>
          </cell>
        </row>
        <row r="40">
          <cell r="A40">
            <v>39</v>
          </cell>
          <cell r="B40" t="str">
            <v>ja</v>
          </cell>
          <cell r="C40" t="str">
            <v>システム適合者を確認</v>
          </cell>
          <cell r="D40" t="str">
            <v>ALICEが 「アナタ」を呼んでいます</v>
          </cell>
        </row>
        <row r="41">
          <cell r="A41">
            <v>40</v>
          </cell>
          <cell r="B41" t="str">
            <v>ja</v>
          </cell>
          <cell r="C41" t="str">
            <v>ケロケロを使って経験値を獲得</v>
          </cell>
          <cell r="D41" t="str">
            <v>「ケロケロ」を育てて_x000D_「メタルフロッグ」に覚醒させましょう_x000D__x000D_超大量の経験値素材になります</v>
          </cell>
        </row>
        <row r="42">
          <cell r="A42">
            <v>65535</v>
          </cell>
          <cell r="B42" t="str">
            <v>ja</v>
          </cell>
          <cell r="C42" t="str">
            <v>文字数テスト</v>
          </cell>
          <cell r="D42" t="str">
            <v>チャレンジタワー15F、20F、25Fのボスは_x000D_一定確率でドロップするようです</v>
          </cell>
        </row>
        <row r="43">
          <cell r="A43">
            <v>50002001</v>
          </cell>
          <cell r="B43" t="str">
            <v>ja</v>
          </cell>
          <cell r="C43" t="str">
            <v>オーディン事件の真相</v>
          </cell>
          <cell r="D43" t="str">
            <v>オーディンは女王勢力を内側から_x000D_抑えていた。_x000D_貴方の力を認めたオーディンは_x000D_女王事件の事を託し、_x000D_再びALICEの守護に就いた</v>
          </cell>
        </row>
      </sheetData>
      <sheetData sheetId="2"/>
      <sheetData sheetId="3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/>
  <dimension ref="A1:K3"/>
  <sheetViews>
    <sheetView workbookViewId="0">
      <selection activeCell="E14" activeCellId="1" sqref="D12 E14"/>
    </sheetView>
  </sheetViews>
  <sheetFormatPr baseColWidth="12" defaultRowHeight="15" x14ac:dyDescent="0.15"/>
  <cols>
    <col min="1" max="1" width="12.83203125" style="9"/>
    <col min="2" max="2" width="17.1640625" style="9" bestFit="1" customWidth="1"/>
    <col min="3" max="4" width="12.83203125" style="9"/>
    <col min="5" max="5" width="20.5" style="9" bestFit="1" customWidth="1"/>
    <col min="6" max="6" width="16" style="9" bestFit="1" customWidth="1"/>
    <col min="7" max="16384" width="12.83203125" style="9"/>
  </cols>
  <sheetData>
    <row r="1" spans="1:11" x14ac:dyDescent="0.15">
      <c r="A1" s="13" t="s">
        <v>17</v>
      </c>
      <c r="B1" s="7" t="s">
        <v>9</v>
      </c>
      <c r="C1" s="7" t="s">
        <v>10</v>
      </c>
      <c r="D1" s="7" t="s">
        <v>11</v>
      </c>
      <c r="E1" s="7" t="s">
        <v>12</v>
      </c>
      <c r="F1" s="7" t="s">
        <v>13</v>
      </c>
      <c r="G1" s="7" t="s">
        <v>14</v>
      </c>
      <c r="H1" s="8"/>
      <c r="I1" s="8"/>
      <c r="J1" s="16"/>
      <c r="K1" s="16"/>
    </row>
    <row r="2" spans="1:11" x14ac:dyDescent="0.15">
      <c r="A2" s="14" t="s">
        <v>18</v>
      </c>
      <c r="B2" s="23" t="s">
        <v>27</v>
      </c>
      <c r="C2" s="23" t="s">
        <v>76</v>
      </c>
      <c r="D2" s="23" t="s">
        <v>26</v>
      </c>
      <c r="E2" s="8" t="str">
        <f t="shared" ref="E2:E3" si="0">B2&amp;C2&amp;D2</f>
        <v>stage_hints_data_chokyu.tmp</v>
      </c>
      <c r="F2" s="10" t="s">
        <v>8</v>
      </c>
      <c r="G2" s="1" t="s">
        <v>4</v>
      </c>
      <c r="H2" s="1" t="s">
        <v>0</v>
      </c>
      <c r="I2" s="15" t="s">
        <v>5</v>
      </c>
      <c r="J2" s="17" t="s">
        <v>19</v>
      </c>
      <c r="K2" s="22" t="s">
        <v>30</v>
      </c>
    </row>
    <row r="3" spans="1:11" x14ac:dyDescent="0.15">
      <c r="A3" s="23" t="s">
        <v>114</v>
      </c>
      <c r="B3" s="23" t="s">
        <v>28</v>
      </c>
      <c r="C3" s="23" t="s">
        <v>76</v>
      </c>
      <c r="D3" s="23" t="s">
        <v>26</v>
      </c>
      <c r="E3" s="8" t="str">
        <f t="shared" si="0"/>
        <v>stage_hints_i18n_chokyu.tmp</v>
      </c>
      <c r="F3" s="10" t="s">
        <v>8</v>
      </c>
      <c r="G3" s="15" t="s">
        <v>5</v>
      </c>
      <c r="H3" s="11" t="s">
        <v>6</v>
      </c>
      <c r="I3" s="1" t="s">
        <v>7</v>
      </c>
      <c r="J3" s="19" t="s">
        <v>21</v>
      </c>
      <c r="K3" s="22" t="s">
        <v>24</v>
      </c>
    </row>
  </sheetData>
  <phoneticPr fontId="5"/>
  <pageMargins left="0.7" right="0.7" top="0.75" bottom="0.75" header="0.3" footer="0.3"/>
  <pageSetup paperSize="9" orientation="portrait" horizontalDpi="4294967292" verticalDpi="429496729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rgb="FF0000FF"/>
    <outlinePr summaryBelow="0" summaryRight="0"/>
  </sheetPr>
  <dimension ref="A1:N524"/>
  <sheetViews>
    <sheetView showGridLines="0" tabSelected="1" workbookViewId="0">
      <pane ySplit="1" topLeftCell="A57" activePane="bottomLeft" state="frozen"/>
      <selection pane="bottomLeft" activeCell="L77" sqref="L77"/>
    </sheetView>
  </sheetViews>
  <sheetFormatPr baseColWidth="12" defaultColWidth="13" defaultRowHeight="15" outlineLevelCol="1" x14ac:dyDescent="0.15"/>
  <cols>
    <col min="1" max="1" width="13" style="27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8" width="22" customWidth="1"/>
    <col min="9" max="11" width="11.1640625" customWidth="1"/>
    <col min="12" max="12" width="35.33203125" customWidth="1"/>
  </cols>
  <sheetData>
    <row r="1" spans="1:14" x14ac:dyDescent="0.15">
      <c r="A1" s="25" t="s">
        <v>31</v>
      </c>
      <c r="B1" s="1" t="s">
        <v>73</v>
      </c>
      <c r="C1" s="6" t="s">
        <v>2</v>
      </c>
      <c r="D1" s="6" t="s">
        <v>3</v>
      </c>
      <c r="E1" s="1" t="s">
        <v>74</v>
      </c>
      <c r="F1" s="6" t="s">
        <v>2</v>
      </c>
      <c r="G1" s="6" t="s">
        <v>3</v>
      </c>
      <c r="H1" s="1" t="s">
        <v>20</v>
      </c>
      <c r="I1" s="24" t="s">
        <v>29</v>
      </c>
      <c r="J1" s="12" t="s">
        <v>15</v>
      </c>
      <c r="K1" s="12" t="s">
        <v>25</v>
      </c>
      <c r="L1" s="2" t="s">
        <v>1</v>
      </c>
      <c r="M1" s="20" t="s">
        <v>22</v>
      </c>
      <c r="N1" t="s">
        <v>75</v>
      </c>
    </row>
    <row r="2" spans="1:14" x14ac:dyDescent="0.15">
      <c r="A2" s="26" t="s">
        <v>32</v>
      </c>
      <c r="B2" s="4">
        <v>11005</v>
      </c>
      <c r="C2" s="3" t="str">
        <f ca="1">VLOOKUP($B2,OFFSET([1]quests!$A$1,0,0,COUNTA([1]quests!$A:$A),MATCH(C$1,[1]quests!$1:$1,0)-MATCH($B$1,[1]quests!$1:$1,0)+1),MATCH(C$1,[1]quests!$1:$1,0)-MATCH($B$1,[1]quests!$1:$1,0)+1,FALSE)</f>
        <v>【金曜限定】 帽子屋を追え！</v>
      </c>
      <c r="D2" s="3" t="str">
        <f ca="1">VLOOKUP($B2,OFFSET([1]quests!$A$1,0,0,COUNTA([1]quests!$A:$A),MATCH(D$1,[1]quests!$1:$1,0)-MATCH($B$1,[1]quests!$1:$1,0)+1),MATCH(D$1,[1]quests!$1:$1,0)-MATCH($B$1,[1]quests!$1:$1,0)+1,FALSE)</f>
        <v>金曜クエスト</v>
      </c>
      <c r="E2" s="5">
        <v>1</v>
      </c>
      <c r="F2" s="3" t="str">
        <f ca="1">VLOOKUP($B2&amp;"_"&amp;$E2,OFFSET([1]stages!$A$1,0,0,COUNTA([1]stages!$A:$A),MATCH(F$1,[1]stages!$2:$2,0)-MATCH("temp_stage",[1]stages!$2:$2,0)+1),MATCH(F$1,[1]stages!$2:$2,0)-MATCH("temp_stage",[1]stages!$2:$2,0)+1,FALSE)</f>
        <v xml:space="preserve">【超級】火の帽子屋 </v>
      </c>
      <c r="G2" s="3" t="str">
        <f ca="1">VLOOKUP($B2&amp;"_"&amp;$E2,OFFSET([1]stages!$A$1,0,0,COUNTA([1]stages!$A:$A),MATCH(G$1,[1]stages!$2:$2,0)-MATCH("temp_stage",[1]stages!$2:$2,0)+1),MATCH(G$1,[1]stages!$2:$2,0)-MATCH("temp_stage",[1]stages!$2:$2,0)+1,FALSE)</f>
        <v>金曜クエスト</v>
      </c>
      <c r="H2" s="18">
        <v>0</v>
      </c>
      <c r="I2">
        <v>12</v>
      </c>
      <c r="J2" s="5" t="s">
        <v>16</v>
      </c>
      <c r="K2" s="34" t="str">
        <f>VLOOKUP(I2,[2]stage_hints!$A:$C,3,FALSE)</f>
        <v>ユニットのお気に入り登録</v>
      </c>
      <c r="L2" s="35" t="str">
        <f>VLOOKUP(I2,[2]stage_hints!$A:$D,4,FALSE)</f>
        <v>大事なユニットを誤って消さないように_x000D_フォルダから「お気に入り登録」しましょう</v>
      </c>
      <c r="M2" s="21" t="s">
        <v>23</v>
      </c>
      <c r="N2">
        <v>12</v>
      </c>
    </row>
    <row r="3" spans="1:14" x14ac:dyDescent="0.15">
      <c r="A3" s="26" t="s">
        <v>32</v>
      </c>
      <c r="B3" s="4">
        <v>11005</v>
      </c>
      <c r="C3" s="3" t="str">
        <f ca="1">VLOOKUP($B3,OFFSET([1]quests!$A$1,0,0,COUNTA([1]quests!$A:$A),MATCH(C$1,[1]quests!$1:$1,0)-MATCH($B$1,[1]quests!$1:$1,0)+1),MATCH(C$1,[1]quests!$1:$1,0)-MATCH($B$1,[1]quests!$1:$1,0)+1,FALSE)</f>
        <v>【金曜限定】 帽子屋を追え！</v>
      </c>
      <c r="D3" s="3" t="str">
        <f ca="1">VLOOKUP($B3,OFFSET([1]quests!$A$1,0,0,COUNTA([1]quests!$A:$A),MATCH(D$1,[1]quests!$1:$1,0)-MATCH($B$1,[1]quests!$1:$1,0)+1),MATCH(D$1,[1]quests!$1:$1,0)-MATCH($B$1,[1]quests!$1:$1,0)+1,FALSE)</f>
        <v>金曜クエスト</v>
      </c>
      <c r="E3" s="5">
        <v>1</v>
      </c>
      <c r="F3" s="3" t="str">
        <f ca="1">VLOOKUP($B3&amp;"_"&amp;$E3,OFFSET([1]stages!$A$1,0,0,COUNTA([1]stages!$A:$A),MATCH(F$1,[1]stages!$2:$2,0)-MATCH("temp_stage",[1]stages!$2:$2,0)+1),MATCH(F$1,[1]stages!$2:$2,0)-MATCH("temp_stage",[1]stages!$2:$2,0)+1,FALSE)</f>
        <v xml:space="preserve">【超級】火の帽子屋 </v>
      </c>
      <c r="G3" s="3" t="str">
        <f ca="1">VLOOKUP($B3&amp;"_"&amp;$E3,OFFSET([1]stages!$A$1,0,0,COUNTA([1]stages!$A:$A),MATCH(G$1,[1]stages!$2:$2,0)-MATCH("temp_stage",[1]stages!$2:$2,0)+1),MATCH(G$1,[1]stages!$2:$2,0)-MATCH("temp_stage",[1]stages!$2:$2,0)+1,FALSE)</f>
        <v>金曜クエスト</v>
      </c>
      <c r="H3" s="18">
        <v>0</v>
      </c>
      <c r="I3">
        <v>17</v>
      </c>
      <c r="J3" s="5" t="s">
        <v>16</v>
      </c>
      <c r="K3" s="34" t="str">
        <f>VLOOKUP(I3,[2]stage_hints!$A:$C,3,FALSE)</f>
        <v>リンクガチャ</v>
      </c>
      <c r="L3" s="35" t="str">
        <f>VLOOKUP(I3,[2]stage_hints!$A:$D,4,FALSE)</f>
        <v>無料のリンクガチャを回して_x000D_経験値素材や売却素材を獲得しましょう</v>
      </c>
      <c r="M3" s="21" t="s">
        <v>23</v>
      </c>
      <c r="N3">
        <v>17</v>
      </c>
    </row>
    <row r="4" spans="1:14" x14ac:dyDescent="0.15">
      <c r="A4" s="26" t="s">
        <v>32</v>
      </c>
      <c r="B4" s="4">
        <v>11005</v>
      </c>
      <c r="C4" s="3" t="str">
        <f ca="1">VLOOKUP($B4,OFFSET([1]quests!$A$1,0,0,COUNTA([1]quests!$A:$A),MATCH(C$1,[1]quests!$1:$1,0)-MATCH($B$1,[1]quests!$1:$1,0)+1),MATCH(C$1,[1]quests!$1:$1,0)-MATCH($B$1,[1]quests!$1:$1,0)+1,FALSE)</f>
        <v>【金曜限定】 帽子屋を追え！</v>
      </c>
      <c r="D4" s="3" t="str">
        <f ca="1">VLOOKUP($B4,OFFSET([1]quests!$A$1,0,0,COUNTA([1]quests!$A:$A),MATCH(D$1,[1]quests!$1:$1,0)-MATCH($B$1,[1]quests!$1:$1,0)+1),MATCH(D$1,[1]quests!$1:$1,0)-MATCH($B$1,[1]quests!$1:$1,0)+1,FALSE)</f>
        <v>金曜クエスト</v>
      </c>
      <c r="E4" s="5">
        <v>1</v>
      </c>
      <c r="F4" s="3" t="str">
        <f ca="1">VLOOKUP($B4&amp;"_"&amp;$E4,OFFSET([1]stages!$A$1,0,0,COUNTA([1]stages!$A:$A),MATCH(F$1,[1]stages!$2:$2,0)-MATCH("temp_stage",[1]stages!$2:$2,0)+1),MATCH(F$1,[1]stages!$2:$2,0)-MATCH("temp_stage",[1]stages!$2:$2,0)+1,FALSE)</f>
        <v xml:space="preserve">【超級】火の帽子屋 </v>
      </c>
      <c r="G4" s="3" t="str">
        <f ca="1">VLOOKUP($B4&amp;"_"&amp;$E4,OFFSET([1]stages!$A$1,0,0,COUNTA([1]stages!$A:$A),MATCH(G$1,[1]stages!$2:$2,0)-MATCH("temp_stage",[1]stages!$2:$2,0)+1),MATCH(G$1,[1]stages!$2:$2,0)-MATCH("temp_stage",[1]stages!$2:$2,0)+1,FALSE)</f>
        <v>金曜クエスト</v>
      </c>
      <c r="H4" s="18">
        <v>0</v>
      </c>
      <c r="I4">
        <v>19</v>
      </c>
      <c r="J4" s="5" t="s">
        <v>16</v>
      </c>
      <c r="K4" s="34" t="str">
        <f>VLOOKUP(I4,[2]stage_hints!$A:$C,3,FALSE)</f>
        <v>ソロ専用タワーオブザクイーン</v>
      </c>
      <c r="L4" s="35" t="str">
        <f>VLOOKUP(I4,[2]stage_hints!$A:$D,4,FALSE)</f>
        <v>ソロ専用の「タワーオブザクイーン」は_x000D_期間限定で定期的に開催されます_x000D_ここでしか獲得できない報酬もあるようです</v>
      </c>
      <c r="M4" s="21" t="s">
        <v>23</v>
      </c>
      <c r="N4">
        <v>19</v>
      </c>
    </row>
    <row r="5" spans="1:14" x14ac:dyDescent="0.15">
      <c r="A5" s="26" t="s">
        <v>32</v>
      </c>
      <c r="B5" s="4">
        <v>11005</v>
      </c>
      <c r="C5" s="3" t="str">
        <f ca="1">VLOOKUP($B5,OFFSET([1]quests!$A$1,0,0,COUNTA([1]quests!$A:$A),MATCH(C$1,[1]quests!$1:$1,0)-MATCH($B$1,[1]quests!$1:$1,0)+1),MATCH(C$1,[1]quests!$1:$1,0)-MATCH($B$1,[1]quests!$1:$1,0)+1,FALSE)</f>
        <v>【金曜限定】 帽子屋を追え！</v>
      </c>
      <c r="D5" s="3" t="str">
        <f ca="1">VLOOKUP($B5,OFFSET([1]quests!$A$1,0,0,COUNTA([1]quests!$A:$A),MATCH(D$1,[1]quests!$1:$1,0)-MATCH($B$1,[1]quests!$1:$1,0)+1),MATCH(D$1,[1]quests!$1:$1,0)-MATCH($B$1,[1]quests!$1:$1,0)+1,FALSE)</f>
        <v>金曜クエスト</v>
      </c>
      <c r="E5" s="5">
        <v>1</v>
      </c>
      <c r="F5" s="3" t="str">
        <f ca="1">VLOOKUP($B5&amp;"_"&amp;$E5,OFFSET([1]stages!$A$1,0,0,COUNTA([1]stages!$A:$A),MATCH(F$1,[1]stages!$2:$2,0)-MATCH("temp_stage",[1]stages!$2:$2,0)+1),MATCH(F$1,[1]stages!$2:$2,0)-MATCH("temp_stage",[1]stages!$2:$2,0)+1,FALSE)</f>
        <v xml:space="preserve">【超級】火の帽子屋 </v>
      </c>
      <c r="G5" s="3" t="str">
        <f ca="1">VLOOKUP($B5&amp;"_"&amp;$E5,OFFSET([1]stages!$A$1,0,0,COUNTA([1]stages!$A:$A),MATCH(G$1,[1]stages!$2:$2,0)-MATCH("temp_stage",[1]stages!$2:$2,0)+1),MATCH(G$1,[1]stages!$2:$2,0)-MATCH("temp_stage",[1]stages!$2:$2,0)+1,FALSE)</f>
        <v>金曜クエスト</v>
      </c>
      <c r="H5" s="18">
        <v>0</v>
      </c>
      <c r="I5">
        <v>21</v>
      </c>
      <c r="J5" s="5" t="s">
        <v>16</v>
      </c>
      <c r="K5" s="34" t="str">
        <f>VLOOKUP(I5,[2]stage_hints!$A:$C,3,FALSE)</f>
        <v>スキルを有効に</v>
      </c>
      <c r="L5" s="35" t="str">
        <f>VLOOKUP(I5,[2]stage_hints!$A:$D,4,FALSE)</f>
        <v>ターン経過でユニットのスキルが使えます_x000D_強力スキルでバトルを有利に進めましょう</v>
      </c>
      <c r="M5" s="21" t="s">
        <v>23</v>
      </c>
      <c r="N5">
        <v>21</v>
      </c>
    </row>
    <row r="6" spans="1:14" x14ac:dyDescent="0.15">
      <c r="A6" s="26" t="s">
        <v>32</v>
      </c>
      <c r="B6" s="4">
        <v>11005</v>
      </c>
      <c r="C6" s="3" t="str">
        <f ca="1">VLOOKUP($B6,OFFSET([1]quests!$A$1,0,0,COUNTA([1]quests!$A:$A),MATCH(C$1,[1]quests!$1:$1,0)-MATCH($B$1,[1]quests!$1:$1,0)+1),MATCH(C$1,[1]quests!$1:$1,0)-MATCH($B$1,[1]quests!$1:$1,0)+1,FALSE)</f>
        <v>【金曜限定】 帽子屋を追え！</v>
      </c>
      <c r="D6" s="3" t="str">
        <f ca="1">VLOOKUP($B6,OFFSET([1]quests!$A$1,0,0,COUNTA([1]quests!$A:$A),MATCH(D$1,[1]quests!$1:$1,0)-MATCH($B$1,[1]quests!$1:$1,0)+1),MATCH(D$1,[1]quests!$1:$1,0)-MATCH($B$1,[1]quests!$1:$1,0)+1,FALSE)</f>
        <v>金曜クエスト</v>
      </c>
      <c r="E6" s="5">
        <v>1</v>
      </c>
      <c r="F6" s="3" t="str">
        <f ca="1">VLOOKUP($B6&amp;"_"&amp;$E6,OFFSET([1]stages!$A$1,0,0,COUNTA([1]stages!$A:$A),MATCH(F$1,[1]stages!$2:$2,0)-MATCH("temp_stage",[1]stages!$2:$2,0)+1),MATCH(F$1,[1]stages!$2:$2,0)-MATCH("temp_stage",[1]stages!$2:$2,0)+1,FALSE)</f>
        <v xml:space="preserve">【超級】火の帽子屋 </v>
      </c>
      <c r="G6" s="3" t="str">
        <f ca="1">VLOOKUP($B6&amp;"_"&amp;$E6,OFFSET([1]stages!$A$1,0,0,COUNTA([1]stages!$A:$A),MATCH(G$1,[1]stages!$2:$2,0)-MATCH("temp_stage",[1]stages!$2:$2,0)+1),MATCH(G$1,[1]stages!$2:$2,0)-MATCH("temp_stage",[1]stages!$2:$2,0)+1,FALSE)</f>
        <v>金曜クエスト</v>
      </c>
      <c r="H6" s="18">
        <v>0</v>
      </c>
      <c r="I6">
        <v>27</v>
      </c>
      <c r="J6" s="5" t="s">
        <v>16</v>
      </c>
      <c r="K6" s="34" t="str">
        <f>VLOOKUP(I6,[2]stage_hints!$A:$C,3,FALSE)</f>
        <v>ホーム画面からデッキを編成</v>
      </c>
      <c r="L6" s="35" t="str">
        <f>VLOOKUP(I6,[2]stage_hints!$A:$D,4,FALSE)</f>
        <v>ホーム画面でユニットを長押しすると_x000D_すぐにパーティ編成に移動できます</v>
      </c>
      <c r="M6" s="21" t="s">
        <v>23</v>
      </c>
      <c r="N6">
        <v>27</v>
      </c>
    </row>
    <row r="7" spans="1:14" x14ac:dyDescent="0.15">
      <c r="A7" s="26" t="s">
        <v>32</v>
      </c>
      <c r="B7" s="4">
        <v>11005</v>
      </c>
      <c r="C7" s="3" t="str">
        <f ca="1">VLOOKUP($B7,OFFSET([1]quests!$A$1,0,0,COUNTA([1]quests!$A:$A),MATCH(C$1,[1]quests!$1:$1,0)-MATCH($B$1,[1]quests!$1:$1,0)+1),MATCH(C$1,[1]quests!$1:$1,0)-MATCH($B$1,[1]quests!$1:$1,0)+1,FALSE)</f>
        <v>【金曜限定】 帽子屋を追え！</v>
      </c>
      <c r="D7" s="3" t="str">
        <f ca="1">VLOOKUP($B7,OFFSET([1]quests!$A$1,0,0,COUNTA([1]quests!$A:$A),MATCH(D$1,[1]quests!$1:$1,0)-MATCH($B$1,[1]quests!$1:$1,0)+1),MATCH(D$1,[1]quests!$1:$1,0)-MATCH($B$1,[1]quests!$1:$1,0)+1,FALSE)</f>
        <v>金曜クエスト</v>
      </c>
      <c r="E7" s="5">
        <v>1</v>
      </c>
      <c r="F7" s="3" t="str">
        <f ca="1">VLOOKUP($B7&amp;"_"&amp;$E7,OFFSET([1]stages!$A$1,0,0,COUNTA([1]stages!$A:$A),MATCH(F$1,[1]stages!$2:$2,0)-MATCH("temp_stage",[1]stages!$2:$2,0)+1),MATCH(F$1,[1]stages!$2:$2,0)-MATCH("temp_stage",[1]stages!$2:$2,0)+1,FALSE)</f>
        <v xml:space="preserve">【超級】火の帽子屋 </v>
      </c>
      <c r="G7" s="3" t="str">
        <f ca="1">VLOOKUP($B7&amp;"_"&amp;$E7,OFFSET([1]stages!$A$1,0,0,COUNTA([1]stages!$A:$A),MATCH(G$1,[1]stages!$2:$2,0)-MATCH("temp_stage",[1]stages!$2:$2,0)+1),MATCH(G$1,[1]stages!$2:$2,0)-MATCH("temp_stage",[1]stages!$2:$2,0)+1,FALSE)</f>
        <v>金曜クエスト</v>
      </c>
      <c r="H7" s="18">
        <v>0</v>
      </c>
      <c r="I7">
        <v>28</v>
      </c>
      <c r="J7" s="5" t="s">
        <v>16</v>
      </c>
      <c r="K7" s="34" t="str">
        <f>VLOOKUP(I7,[2]stage_hints!$A:$C,3,FALSE)</f>
        <v>ステータス情報は長押しで</v>
      </c>
      <c r="L7" s="35" t="str">
        <f>VLOOKUP(I7,[2]stage_hints!$A:$D,4,FALSE)</f>
        <v>ユニットのアイコンを長押しすると_x000D_ステータス情報を確認することができます</v>
      </c>
      <c r="M7" s="21" t="s">
        <v>23</v>
      </c>
      <c r="N7">
        <v>28</v>
      </c>
    </row>
    <row r="8" spans="1:14" x14ac:dyDescent="0.15">
      <c r="A8" s="26" t="s">
        <v>32</v>
      </c>
      <c r="B8" s="4">
        <v>11005</v>
      </c>
      <c r="C8" s="3" t="str">
        <f ca="1">VLOOKUP($B8,OFFSET([1]quests!$A$1,0,0,COUNTA([1]quests!$A:$A),MATCH(C$1,[1]quests!$1:$1,0)-MATCH($B$1,[1]quests!$1:$1,0)+1),MATCH(C$1,[1]quests!$1:$1,0)-MATCH($B$1,[1]quests!$1:$1,0)+1,FALSE)</f>
        <v>【金曜限定】 帽子屋を追え！</v>
      </c>
      <c r="D8" s="3" t="str">
        <f ca="1">VLOOKUP($B8,OFFSET([1]quests!$A$1,0,0,COUNTA([1]quests!$A:$A),MATCH(D$1,[1]quests!$1:$1,0)-MATCH($B$1,[1]quests!$1:$1,0)+1),MATCH(D$1,[1]quests!$1:$1,0)-MATCH($B$1,[1]quests!$1:$1,0)+1,FALSE)</f>
        <v>金曜クエスト</v>
      </c>
      <c r="E8" s="5">
        <v>1</v>
      </c>
      <c r="F8" s="3" t="str">
        <f ca="1">VLOOKUP($B8&amp;"_"&amp;$E8,OFFSET([1]stages!$A$1,0,0,COUNTA([1]stages!$A:$A),MATCH(F$1,[1]stages!$2:$2,0)-MATCH("temp_stage",[1]stages!$2:$2,0)+1),MATCH(F$1,[1]stages!$2:$2,0)-MATCH("temp_stage",[1]stages!$2:$2,0)+1,FALSE)</f>
        <v xml:space="preserve">【超級】火の帽子屋 </v>
      </c>
      <c r="G8" s="3" t="str">
        <f ca="1">VLOOKUP($B8&amp;"_"&amp;$E8,OFFSET([1]stages!$A$1,0,0,COUNTA([1]stages!$A:$A),MATCH(G$1,[1]stages!$2:$2,0)-MATCH("temp_stage",[1]stages!$2:$2,0)+1),MATCH(G$1,[1]stages!$2:$2,0)-MATCH("temp_stage",[1]stages!$2:$2,0)+1,FALSE)</f>
        <v>金曜クエスト</v>
      </c>
      <c r="H8" s="18">
        <v>0</v>
      </c>
      <c r="I8">
        <v>29</v>
      </c>
      <c r="J8" s="5" t="s">
        <v>16</v>
      </c>
      <c r="K8" s="34" t="str">
        <f>VLOOKUP(I8,[2]stage_hints!$A:$C,3,FALSE)</f>
        <v>「バグ」のメリット</v>
      </c>
      <c r="L8" s="35" t="str">
        <f>VLOOKUP(I8,[2]stage_hints!$A:$D,4,FALSE)</f>
        <v>ユニットの「バグ」を増やすと_x000D_報酬をもらえる確率がアップします</v>
      </c>
      <c r="M8" s="21" t="s">
        <v>23</v>
      </c>
      <c r="N8">
        <v>29</v>
      </c>
    </row>
    <row r="9" spans="1:14" x14ac:dyDescent="0.15">
      <c r="A9" s="26" t="s">
        <v>32</v>
      </c>
      <c r="B9" s="4">
        <v>11005</v>
      </c>
      <c r="C9" s="3" t="str">
        <f ca="1">VLOOKUP($B9,OFFSET([1]quests!$A$1,0,0,COUNTA([1]quests!$A:$A),MATCH(C$1,[1]quests!$1:$1,0)-MATCH($B$1,[1]quests!$1:$1,0)+1),MATCH(C$1,[1]quests!$1:$1,0)-MATCH($B$1,[1]quests!$1:$1,0)+1,FALSE)</f>
        <v>【金曜限定】 帽子屋を追え！</v>
      </c>
      <c r="D9" s="3" t="str">
        <f ca="1">VLOOKUP($B9,OFFSET([1]quests!$A$1,0,0,COUNTA([1]quests!$A:$A),MATCH(D$1,[1]quests!$1:$1,0)-MATCH($B$1,[1]quests!$1:$1,0)+1),MATCH(D$1,[1]quests!$1:$1,0)-MATCH($B$1,[1]quests!$1:$1,0)+1,FALSE)</f>
        <v>金曜クエスト</v>
      </c>
      <c r="E9" s="5">
        <v>1</v>
      </c>
      <c r="F9" s="3" t="str">
        <f ca="1">VLOOKUP($B9&amp;"_"&amp;$E9,OFFSET([1]stages!$A$1,0,0,COUNTA([1]stages!$A:$A),MATCH(F$1,[1]stages!$2:$2,0)-MATCH("temp_stage",[1]stages!$2:$2,0)+1),MATCH(F$1,[1]stages!$2:$2,0)-MATCH("temp_stage",[1]stages!$2:$2,0)+1,FALSE)</f>
        <v xml:space="preserve">【超級】火の帽子屋 </v>
      </c>
      <c r="G9" s="3" t="str">
        <f ca="1">VLOOKUP($B9&amp;"_"&amp;$E9,OFFSET([1]stages!$A$1,0,0,COUNTA([1]stages!$A:$A),MATCH(G$1,[1]stages!$2:$2,0)-MATCH("temp_stage",[1]stages!$2:$2,0)+1),MATCH(G$1,[1]stages!$2:$2,0)-MATCH("temp_stage",[1]stages!$2:$2,0)+1,FALSE)</f>
        <v>金曜クエスト</v>
      </c>
      <c r="H9" s="18">
        <v>0</v>
      </c>
      <c r="I9">
        <v>30</v>
      </c>
      <c r="J9" s="5" t="s">
        <v>16</v>
      </c>
      <c r="K9" s="34" t="str">
        <f>VLOOKUP(I9,[2]stage_hints!$A:$C,3,FALSE)</f>
        <v>「バグ」の増やし方</v>
      </c>
      <c r="L9" s="35" t="str">
        <f>VLOOKUP(I9,[2]stage_hints!$A:$D,4,FALSE)</f>
        <v>同じユニット同士を強化で合成すると_x000D_「バグ」を増やすことができます</v>
      </c>
      <c r="M9" s="21" t="s">
        <v>23</v>
      </c>
      <c r="N9">
        <v>30</v>
      </c>
    </row>
    <row r="10" spans="1:14" x14ac:dyDescent="0.15">
      <c r="A10" s="26" t="s">
        <v>32</v>
      </c>
      <c r="B10" s="4">
        <v>11005</v>
      </c>
      <c r="C10" s="3" t="str">
        <f ca="1">VLOOKUP($B10,OFFSET([1]quests!$A$1,0,0,COUNTA([1]quests!$A:$A),MATCH(C$1,[1]quests!$1:$1,0)-MATCH($B$1,[1]quests!$1:$1,0)+1),MATCH(C$1,[1]quests!$1:$1,0)-MATCH($B$1,[1]quests!$1:$1,0)+1,FALSE)</f>
        <v>【金曜限定】 帽子屋を追え！</v>
      </c>
      <c r="D10" s="3" t="str">
        <f ca="1">VLOOKUP($B10,OFFSET([1]quests!$A$1,0,0,COUNTA([1]quests!$A:$A),MATCH(D$1,[1]quests!$1:$1,0)-MATCH($B$1,[1]quests!$1:$1,0)+1),MATCH(D$1,[1]quests!$1:$1,0)-MATCH($B$1,[1]quests!$1:$1,0)+1,FALSE)</f>
        <v>金曜クエスト</v>
      </c>
      <c r="E10" s="5">
        <v>1</v>
      </c>
      <c r="F10" s="3" t="str">
        <f ca="1">VLOOKUP($B10&amp;"_"&amp;$E10,OFFSET([1]stages!$A$1,0,0,COUNTA([1]stages!$A:$A),MATCH(F$1,[1]stages!$2:$2,0)-MATCH("temp_stage",[1]stages!$2:$2,0)+1),MATCH(F$1,[1]stages!$2:$2,0)-MATCH("temp_stage",[1]stages!$2:$2,0)+1,FALSE)</f>
        <v xml:space="preserve">【超級】火の帽子屋 </v>
      </c>
      <c r="G10" s="3" t="str">
        <f ca="1">VLOOKUP($B10&amp;"_"&amp;$E10,OFFSET([1]stages!$A$1,0,0,COUNTA([1]stages!$A:$A),MATCH(G$1,[1]stages!$2:$2,0)-MATCH("temp_stage",[1]stages!$2:$2,0)+1),MATCH(G$1,[1]stages!$2:$2,0)-MATCH("temp_stage",[1]stages!$2:$2,0)+1,FALSE)</f>
        <v>金曜クエスト</v>
      </c>
      <c r="H10" s="18">
        <v>0</v>
      </c>
      <c r="I10">
        <v>32</v>
      </c>
      <c r="J10" s="5" t="s">
        <v>16</v>
      </c>
      <c r="K10" s="34" t="str">
        <f>VLOOKUP(I10,[2]stage_hints!$A:$C,3,FALSE)</f>
        <v>敵の連続攻撃には</v>
      </c>
      <c r="L10" s="35" t="str">
        <f>VLOOKUP(I10,[2]stage_hints!$A:$D,4,FALSE)</f>
        <v>カウンタースキルを持つユニットがいれば_x000D_ダメージ回数分の反撃ができます</v>
      </c>
      <c r="M10" s="21" t="s">
        <v>23</v>
      </c>
      <c r="N10">
        <v>32</v>
      </c>
    </row>
    <row r="11" spans="1:14" x14ac:dyDescent="0.15">
      <c r="A11" s="26" t="s">
        <v>32</v>
      </c>
      <c r="B11" s="4">
        <v>11005</v>
      </c>
      <c r="C11" s="3" t="str">
        <f ca="1">VLOOKUP($B11,OFFSET([1]quests!$A$1,0,0,COUNTA([1]quests!$A:$A),MATCH(C$1,[1]quests!$1:$1,0)-MATCH($B$1,[1]quests!$1:$1,0)+1),MATCH(C$1,[1]quests!$1:$1,0)-MATCH($B$1,[1]quests!$1:$1,0)+1,FALSE)</f>
        <v>【金曜限定】 帽子屋を追え！</v>
      </c>
      <c r="D11" s="3" t="str">
        <f ca="1">VLOOKUP($B11,OFFSET([1]quests!$A$1,0,0,COUNTA([1]quests!$A:$A),MATCH(D$1,[1]quests!$1:$1,0)-MATCH($B$1,[1]quests!$1:$1,0)+1),MATCH(D$1,[1]quests!$1:$1,0)-MATCH($B$1,[1]quests!$1:$1,0)+1,FALSE)</f>
        <v>金曜クエスト</v>
      </c>
      <c r="E11" s="5">
        <v>1</v>
      </c>
      <c r="F11" s="3" t="str">
        <f ca="1">VLOOKUP($B11&amp;"_"&amp;$E11,OFFSET([1]stages!$A$1,0,0,COUNTA([1]stages!$A:$A),MATCH(F$1,[1]stages!$2:$2,0)-MATCH("temp_stage",[1]stages!$2:$2,0)+1),MATCH(F$1,[1]stages!$2:$2,0)-MATCH("temp_stage",[1]stages!$2:$2,0)+1,FALSE)</f>
        <v xml:space="preserve">【超級】火の帽子屋 </v>
      </c>
      <c r="G11" s="3" t="str">
        <f ca="1">VLOOKUP($B11&amp;"_"&amp;$E11,OFFSET([1]stages!$A$1,0,0,COUNTA([1]stages!$A:$A),MATCH(G$1,[1]stages!$2:$2,0)-MATCH("temp_stage",[1]stages!$2:$2,0)+1),MATCH(G$1,[1]stages!$2:$2,0)-MATCH("temp_stage",[1]stages!$2:$2,0)+1,FALSE)</f>
        <v>金曜クエスト</v>
      </c>
      <c r="H11" s="18">
        <v>0</v>
      </c>
      <c r="I11">
        <v>33</v>
      </c>
      <c r="J11" s="5" t="s">
        <v>16</v>
      </c>
      <c r="K11" s="34" t="str">
        <f>VLOOKUP(I11,[2]stage_hints!$A:$C,3,FALSE)</f>
        <v>敵のカウンター攻撃には</v>
      </c>
      <c r="L11" s="35" t="str">
        <f>VLOOKUP(I11,[2]stage_hints!$A:$D,4,FALSE)</f>
        <v>カウンターブレイクスキルを持っていれば_x000D_敵のカウンターを解除して攻撃ができます</v>
      </c>
      <c r="M11" s="21" t="s">
        <v>23</v>
      </c>
      <c r="N11">
        <v>33</v>
      </c>
    </row>
    <row r="12" spans="1:14" x14ac:dyDescent="0.15">
      <c r="A12" s="26" t="s">
        <v>32</v>
      </c>
      <c r="B12" s="4">
        <v>11005</v>
      </c>
      <c r="C12" s="3" t="str">
        <f ca="1">VLOOKUP($B12,OFFSET([1]quests!$A$1,0,0,COUNTA([1]quests!$A:$A),MATCH(C$1,[1]quests!$1:$1,0)-MATCH($B$1,[1]quests!$1:$1,0)+1),MATCH(C$1,[1]quests!$1:$1,0)-MATCH($B$1,[1]quests!$1:$1,0)+1,FALSE)</f>
        <v>【金曜限定】 帽子屋を追え！</v>
      </c>
      <c r="D12" s="3" t="str">
        <f ca="1">VLOOKUP($B12,OFFSET([1]quests!$A$1,0,0,COUNTA([1]quests!$A:$A),MATCH(D$1,[1]quests!$1:$1,0)-MATCH($B$1,[1]quests!$1:$1,0)+1),MATCH(D$1,[1]quests!$1:$1,0)-MATCH($B$1,[1]quests!$1:$1,0)+1,FALSE)</f>
        <v>金曜クエスト</v>
      </c>
      <c r="E12" s="5">
        <v>1</v>
      </c>
      <c r="F12" s="3" t="str">
        <f ca="1">VLOOKUP($B12&amp;"_"&amp;$E12,OFFSET([1]stages!$A$1,0,0,COUNTA([1]stages!$A:$A),MATCH(F$1,[1]stages!$2:$2,0)-MATCH("temp_stage",[1]stages!$2:$2,0)+1),MATCH(F$1,[1]stages!$2:$2,0)-MATCH("temp_stage",[1]stages!$2:$2,0)+1,FALSE)</f>
        <v xml:space="preserve">【超級】火の帽子屋 </v>
      </c>
      <c r="G12" s="3" t="str">
        <f ca="1">VLOOKUP($B12&amp;"_"&amp;$E12,OFFSET([1]stages!$A$1,0,0,COUNTA([1]stages!$A:$A),MATCH(G$1,[1]stages!$2:$2,0)-MATCH("temp_stage",[1]stages!$2:$2,0)+1),MATCH(G$1,[1]stages!$2:$2,0)-MATCH("temp_stage",[1]stages!$2:$2,0)+1,FALSE)</f>
        <v>金曜クエスト</v>
      </c>
      <c r="H12" s="18">
        <v>0</v>
      </c>
      <c r="I12">
        <v>34</v>
      </c>
      <c r="J12" s="5" t="s">
        <v>16</v>
      </c>
      <c r="K12" s="34" t="str">
        <f>VLOOKUP(I12,[2]stage_hints!$A:$C,3,FALSE)</f>
        <v>ステータスをスキルで下げられたら</v>
      </c>
      <c r="L12" s="35" t="str">
        <f>VLOOKUP(I12,[2]stage_hints!$A:$D,4,FALSE)</f>
        <v>ステータスダウンのスキルを受けたら_x000D_ステータスアップスキルで上書きしましょう</v>
      </c>
      <c r="M12" s="21" t="s">
        <v>23</v>
      </c>
      <c r="N12">
        <v>34</v>
      </c>
    </row>
    <row r="13" spans="1:14" x14ac:dyDescent="0.15">
      <c r="A13" s="26" t="s">
        <v>32</v>
      </c>
      <c r="B13" s="4">
        <v>11005</v>
      </c>
      <c r="C13" s="3" t="str">
        <f ca="1">VLOOKUP($B13,OFFSET([1]quests!$A$1,0,0,COUNTA([1]quests!$A:$A),MATCH(C$1,[1]quests!$1:$1,0)-MATCH($B$1,[1]quests!$1:$1,0)+1),MATCH(C$1,[1]quests!$1:$1,0)-MATCH($B$1,[1]quests!$1:$1,0)+1,FALSE)</f>
        <v>【金曜限定】 帽子屋を追え！</v>
      </c>
      <c r="D13" s="3" t="str">
        <f ca="1">VLOOKUP($B13,OFFSET([1]quests!$A$1,0,0,COUNTA([1]quests!$A:$A),MATCH(D$1,[1]quests!$1:$1,0)-MATCH($B$1,[1]quests!$1:$1,0)+1),MATCH(D$1,[1]quests!$1:$1,0)-MATCH($B$1,[1]quests!$1:$1,0)+1,FALSE)</f>
        <v>金曜クエスト</v>
      </c>
      <c r="E13" s="5">
        <v>1</v>
      </c>
      <c r="F13" s="3" t="str">
        <f ca="1">VLOOKUP($B13&amp;"_"&amp;$E13,OFFSET([1]stages!$A$1,0,0,COUNTA([1]stages!$A:$A),MATCH(F$1,[1]stages!$2:$2,0)-MATCH("temp_stage",[1]stages!$2:$2,0)+1),MATCH(F$1,[1]stages!$2:$2,0)-MATCH("temp_stage",[1]stages!$2:$2,0)+1,FALSE)</f>
        <v xml:space="preserve">【超級】火の帽子屋 </v>
      </c>
      <c r="G13" s="3" t="str">
        <f ca="1">VLOOKUP($B13&amp;"_"&amp;$E13,OFFSET([1]stages!$A$1,0,0,COUNTA([1]stages!$A:$A),MATCH(G$1,[1]stages!$2:$2,0)-MATCH("temp_stage",[1]stages!$2:$2,0)+1),MATCH(G$1,[1]stages!$2:$2,0)-MATCH("temp_stage",[1]stages!$2:$2,0)+1,FALSE)</f>
        <v>金曜クエスト</v>
      </c>
      <c r="H13" s="18">
        <v>0</v>
      </c>
      <c r="I13">
        <v>35</v>
      </c>
      <c r="J13" s="5" t="s">
        <v>16</v>
      </c>
      <c r="K13" s="34" t="str">
        <f>VLOOKUP(I13,[2]stage_hints!$A:$C,3,FALSE)</f>
        <v>敵のステータスがスキルで上がったら</v>
      </c>
      <c r="L13" s="35" t="str">
        <f>VLOOKUP(I13,[2]stage_hints!$A:$D,4,FALSE)</f>
        <v>敵のステータスがスキルでアップしたときは_x000D_ステータスダウンスキルで上書きしましょう</v>
      </c>
      <c r="M13" s="21" t="s">
        <v>23</v>
      </c>
      <c r="N13">
        <v>35</v>
      </c>
    </row>
    <row r="14" spans="1:14" x14ac:dyDescent="0.15">
      <c r="A14" s="26" t="s">
        <v>32</v>
      </c>
      <c r="B14" s="4">
        <v>11005</v>
      </c>
      <c r="C14" s="3" t="str">
        <f ca="1">VLOOKUP($B14,OFFSET([1]quests!$A$1,0,0,COUNTA([1]quests!$A:$A),MATCH(C$1,[1]quests!$1:$1,0)-MATCH($B$1,[1]quests!$1:$1,0)+1),MATCH(C$1,[1]quests!$1:$1,0)-MATCH($B$1,[1]quests!$1:$1,0)+1,FALSE)</f>
        <v>【金曜限定】 帽子屋を追え！</v>
      </c>
      <c r="D14" s="3" t="str">
        <f ca="1">VLOOKUP($B14,OFFSET([1]quests!$A$1,0,0,COUNTA([1]quests!$A:$A),MATCH(D$1,[1]quests!$1:$1,0)-MATCH($B$1,[1]quests!$1:$1,0)+1),MATCH(D$1,[1]quests!$1:$1,0)-MATCH($B$1,[1]quests!$1:$1,0)+1,FALSE)</f>
        <v>金曜クエスト</v>
      </c>
      <c r="E14" s="5">
        <v>1</v>
      </c>
      <c r="F14" s="3" t="str">
        <f ca="1">VLOOKUP($B14&amp;"_"&amp;$E14,OFFSET([1]stages!$A$1,0,0,COUNTA([1]stages!$A:$A),MATCH(F$1,[1]stages!$2:$2,0)-MATCH("temp_stage",[1]stages!$2:$2,0)+1),MATCH(F$1,[1]stages!$2:$2,0)-MATCH("temp_stage",[1]stages!$2:$2,0)+1,FALSE)</f>
        <v xml:space="preserve">【超級】火の帽子屋 </v>
      </c>
      <c r="G14" s="3" t="str">
        <f ca="1">VLOOKUP($B14&amp;"_"&amp;$E14,OFFSET([1]stages!$A$1,0,0,COUNTA([1]stages!$A:$A),MATCH(G$1,[1]stages!$2:$2,0)-MATCH("temp_stage",[1]stages!$2:$2,0)+1),MATCH(G$1,[1]stages!$2:$2,0)-MATCH("temp_stage",[1]stages!$2:$2,0)+1,FALSE)</f>
        <v>金曜クエスト</v>
      </c>
      <c r="H14" s="18">
        <v>0</v>
      </c>
      <c r="I14">
        <v>36</v>
      </c>
      <c r="J14" s="5" t="s">
        <v>16</v>
      </c>
      <c r="K14" s="34" t="str">
        <f>VLOOKUP(I14,[2]stage_hints!$A:$C,3,FALSE)</f>
        <v>タワーオブザクイーンのボス</v>
      </c>
      <c r="L14" s="35" t="str">
        <f>VLOOKUP(I14,[2]stage_hints!$A:$D,4,FALSE)</f>
        <v>「タワーオブザクイーン」最上階のボスは_x000D_15階の初回クリア報酬で獲得できるほか_x000D_その階にて低確率でドロップもします</v>
      </c>
      <c r="M14" s="21" t="s">
        <v>23</v>
      </c>
      <c r="N14">
        <v>36</v>
      </c>
    </row>
    <row r="15" spans="1:14" x14ac:dyDescent="0.15">
      <c r="A15" s="26" t="s">
        <v>32</v>
      </c>
      <c r="B15" s="4">
        <v>11005</v>
      </c>
      <c r="C15" s="3" t="str">
        <f ca="1">VLOOKUP($B15,OFFSET([1]quests!$A$1,0,0,COUNTA([1]quests!$A:$A),MATCH(C$1,[1]quests!$1:$1,0)-MATCH($B$1,[1]quests!$1:$1,0)+1),MATCH(C$1,[1]quests!$1:$1,0)-MATCH($B$1,[1]quests!$1:$1,0)+1,FALSE)</f>
        <v>【金曜限定】 帽子屋を追え！</v>
      </c>
      <c r="D15" s="3" t="str">
        <f ca="1">VLOOKUP($B15,OFFSET([1]quests!$A$1,0,0,COUNTA([1]quests!$A:$A),MATCH(D$1,[1]quests!$1:$1,0)-MATCH($B$1,[1]quests!$1:$1,0)+1),MATCH(D$1,[1]quests!$1:$1,0)-MATCH($B$1,[1]quests!$1:$1,0)+1,FALSE)</f>
        <v>金曜クエスト</v>
      </c>
      <c r="E15" s="5">
        <v>1</v>
      </c>
      <c r="F15" s="3" t="str">
        <f ca="1">VLOOKUP($B15&amp;"_"&amp;$E15,OFFSET([1]stages!$A$1,0,0,COUNTA([1]stages!$A:$A),MATCH(F$1,[1]stages!$2:$2,0)-MATCH("temp_stage",[1]stages!$2:$2,0)+1),MATCH(F$1,[1]stages!$2:$2,0)-MATCH("temp_stage",[1]stages!$2:$2,0)+1,FALSE)</f>
        <v xml:space="preserve">【超級】火の帽子屋 </v>
      </c>
      <c r="G15" s="3" t="str">
        <f ca="1">VLOOKUP($B15&amp;"_"&amp;$E15,OFFSET([1]stages!$A$1,0,0,COUNTA([1]stages!$A:$A),MATCH(G$1,[1]stages!$2:$2,0)-MATCH("temp_stage",[1]stages!$2:$2,0)+1),MATCH(G$1,[1]stages!$2:$2,0)-MATCH("temp_stage",[1]stages!$2:$2,0)+1,FALSE)</f>
        <v>金曜クエスト</v>
      </c>
      <c r="H15" s="18">
        <v>0</v>
      </c>
      <c r="I15">
        <v>37</v>
      </c>
      <c r="J15" s="5" t="s">
        <v>16</v>
      </c>
      <c r="K15" s="34" t="str">
        <f>VLOOKUP(I15,[2]stage_hints!$A:$C,3,FALSE)</f>
        <v>限界突破値の引き継ぎ</v>
      </c>
      <c r="L15" s="35" t="str">
        <f>VLOOKUP(I15,[2]stage_hints!$A:$D,4,FALSE)</f>
        <v>同じユニットを強化で合成すると_x000D_限界突破値を引き継げます（覚醒前後も可）</v>
      </c>
      <c r="M15" s="21" t="s">
        <v>23</v>
      </c>
      <c r="N15">
        <v>37</v>
      </c>
    </row>
    <row r="16" spans="1:14" x14ac:dyDescent="0.15">
      <c r="A16" s="26" t="s">
        <v>32</v>
      </c>
      <c r="B16" s="4">
        <v>11005</v>
      </c>
      <c r="C16" s="3" t="str">
        <f ca="1">VLOOKUP($B16,OFFSET([1]quests!$A$1,0,0,COUNTA([1]quests!$A:$A),MATCH(C$1,[1]quests!$1:$1,0)-MATCH($B$1,[1]quests!$1:$1,0)+1),MATCH(C$1,[1]quests!$1:$1,0)-MATCH($B$1,[1]quests!$1:$1,0)+1,FALSE)</f>
        <v>【金曜限定】 帽子屋を追え！</v>
      </c>
      <c r="D16" s="3" t="str">
        <f ca="1">VLOOKUP($B16,OFFSET([1]quests!$A$1,0,0,COUNTA([1]quests!$A:$A),MATCH(D$1,[1]quests!$1:$1,0)-MATCH($B$1,[1]quests!$1:$1,0)+1),MATCH(D$1,[1]quests!$1:$1,0)-MATCH($B$1,[1]quests!$1:$1,0)+1,FALSE)</f>
        <v>金曜クエスト</v>
      </c>
      <c r="E16" s="5">
        <v>2</v>
      </c>
      <c r="F16" s="3" t="str">
        <f ca="1">VLOOKUP($B16&amp;"_"&amp;$E16,OFFSET([1]stages!$A$1,0,0,COUNTA([1]stages!$A:$A),MATCH(F$1,[1]stages!$2:$2,0)-MATCH("temp_stage",[1]stages!$2:$2,0)+1),MATCH(F$1,[1]stages!$2:$2,0)-MATCH("temp_stage",[1]stages!$2:$2,0)+1,FALSE)</f>
        <v xml:space="preserve">【超級】樹の帽子屋 </v>
      </c>
      <c r="G16" s="3" t="str">
        <f ca="1">VLOOKUP($B16&amp;"_"&amp;$E16,OFFSET([1]stages!$A$1,0,0,COUNTA([1]stages!$A:$A),MATCH(G$1,[1]stages!$2:$2,0)-MATCH("temp_stage",[1]stages!$2:$2,0)+1),MATCH(G$1,[1]stages!$2:$2,0)-MATCH("temp_stage",[1]stages!$2:$2,0)+1,FALSE)</f>
        <v>金曜クエスト</v>
      </c>
      <c r="H16" s="18">
        <v>0</v>
      </c>
      <c r="I16">
        <v>12</v>
      </c>
      <c r="J16" s="5" t="s">
        <v>16</v>
      </c>
      <c r="K16" s="34" t="str">
        <f>VLOOKUP(I16,[2]stage_hints!$A:$C,3,FALSE)</f>
        <v>ユニットのお気に入り登録</v>
      </c>
      <c r="L16" s="35" t="str">
        <f>VLOOKUP(I16,[2]stage_hints!$A:$D,4,FALSE)</f>
        <v>大事なユニットを誤って消さないように_x000D_フォルダから「お気に入り登録」しましょう</v>
      </c>
      <c r="M16" s="21" t="s">
        <v>23</v>
      </c>
      <c r="N16">
        <v>12</v>
      </c>
    </row>
    <row r="17" spans="1:14" x14ac:dyDescent="0.15">
      <c r="A17" s="26" t="s">
        <v>32</v>
      </c>
      <c r="B17" s="4">
        <v>11005</v>
      </c>
      <c r="C17" s="3" t="str">
        <f ca="1">VLOOKUP($B17,OFFSET([1]quests!$A$1,0,0,COUNTA([1]quests!$A:$A),MATCH(C$1,[1]quests!$1:$1,0)-MATCH($B$1,[1]quests!$1:$1,0)+1),MATCH(C$1,[1]quests!$1:$1,0)-MATCH($B$1,[1]quests!$1:$1,0)+1,FALSE)</f>
        <v>【金曜限定】 帽子屋を追え！</v>
      </c>
      <c r="D17" s="3" t="str">
        <f ca="1">VLOOKUP($B17,OFFSET([1]quests!$A$1,0,0,COUNTA([1]quests!$A:$A),MATCH(D$1,[1]quests!$1:$1,0)-MATCH($B$1,[1]quests!$1:$1,0)+1),MATCH(D$1,[1]quests!$1:$1,0)-MATCH($B$1,[1]quests!$1:$1,0)+1,FALSE)</f>
        <v>金曜クエスト</v>
      </c>
      <c r="E17" s="5">
        <v>2</v>
      </c>
      <c r="F17" s="3" t="str">
        <f ca="1">VLOOKUP($B17&amp;"_"&amp;$E17,OFFSET([1]stages!$A$1,0,0,COUNTA([1]stages!$A:$A),MATCH(F$1,[1]stages!$2:$2,0)-MATCH("temp_stage",[1]stages!$2:$2,0)+1),MATCH(F$1,[1]stages!$2:$2,0)-MATCH("temp_stage",[1]stages!$2:$2,0)+1,FALSE)</f>
        <v xml:space="preserve">【超級】樹の帽子屋 </v>
      </c>
      <c r="G17" s="3" t="str">
        <f ca="1">VLOOKUP($B17&amp;"_"&amp;$E17,OFFSET([1]stages!$A$1,0,0,COUNTA([1]stages!$A:$A),MATCH(G$1,[1]stages!$2:$2,0)-MATCH("temp_stage",[1]stages!$2:$2,0)+1),MATCH(G$1,[1]stages!$2:$2,0)-MATCH("temp_stage",[1]stages!$2:$2,0)+1,FALSE)</f>
        <v>金曜クエスト</v>
      </c>
      <c r="H17" s="18">
        <v>0</v>
      </c>
      <c r="I17">
        <v>17</v>
      </c>
      <c r="J17" s="5" t="s">
        <v>16</v>
      </c>
      <c r="K17" s="34" t="str">
        <f>VLOOKUP(I17,[2]stage_hints!$A:$C,3,FALSE)</f>
        <v>リンクガチャ</v>
      </c>
      <c r="L17" s="35" t="str">
        <f>VLOOKUP(I17,[2]stage_hints!$A:$D,4,FALSE)</f>
        <v>無料のリンクガチャを回して_x000D_経験値素材や売却素材を獲得しましょう</v>
      </c>
      <c r="M17" s="21" t="s">
        <v>23</v>
      </c>
      <c r="N17">
        <v>17</v>
      </c>
    </row>
    <row r="18" spans="1:14" x14ac:dyDescent="0.15">
      <c r="A18" s="26" t="s">
        <v>32</v>
      </c>
      <c r="B18" s="4">
        <v>11005</v>
      </c>
      <c r="C18" s="3" t="str">
        <f ca="1">VLOOKUP($B18,OFFSET([1]quests!$A$1,0,0,COUNTA([1]quests!$A:$A),MATCH(C$1,[1]quests!$1:$1,0)-MATCH($B$1,[1]quests!$1:$1,0)+1),MATCH(C$1,[1]quests!$1:$1,0)-MATCH($B$1,[1]quests!$1:$1,0)+1,FALSE)</f>
        <v>【金曜限定】 帽子屋を追え！</v>
      </c>
      <c r="D18" s="3" t="str">
        <f ca="1">VLOOKUP($B18,OFFSET([1]quests!$A$1,0,0,COUNTA([1]quests!$A:$A),MATCH(D$1,[1]quests!$1:$1,0)-MATCH($B$1,[1]quests!$1:$1,0)+1),MATCH(D$1,[1]quests!$1:$1,0)-MATCH($B$1,[1]quests!$1:$1,0)+1,FALSE)</f>
        <v>金曜クエスト</v>
      </c>
      <c r="E18" s="5">
        <v>2</v>
      </c>
      <c r="F18" s="3" t="str">
        <f ca="1">VLOOKUP($B18&amp;"_"&amp;$E18,OFFSET([1]stages!$A$1,0,0,COUNTA([1]stages!$A:$A),MATCH(F$1,[1]stages!$2:$2,0)-MATCH("temp_stage",[1]stages!$2:$2,0)+1),MATCH(F$1,[1]stages!$2:$2,0)-MATCH("temp_stage",[1]stages!$2:$2,0)+1,FALSE)</f>
        <v xml:space="preserve">【超級】樹の帽子屋 </v>
      </c>
      <c r="G18" s="3" t="str">
        <f ca="1">VLOOKUP($B18&amp;"_"&amp;$E18,OFFSET([1]stages!$A$1,0,0,COUNTA([1]stages!$A:$A),MATCH(G$1,[1]stages!$2:$2,0)-MATCH("temp_stage",[1]stages!$2:$2,0)+1),MATCH(G$1,[1]stages!$2:$2,0)-MATCH("temp_stage",[1]stages!$2:$2,0)+1,FALSE)</f>
        <v>金曜クエスト</v>
      </c>
      <c r="H18" s="18">
        <v>0</v>
      </c>
      <c r="I18">
        <v>19</v>
      </c>
      <c r="J18" s="5" t="s">
        <v>16</v>
      </c>
      <c r="K18" s="34" t="str">
        <f>VLOOKUP(I18,[2]stage_hints!$A:$C,3,FALSE)</f>
        <v>ソロ専用タワーオブザクイーン</v>
      </c>
      <c r="L18" s="35" t="str">
        <f>VLOOKUP(I18,[2]stage_hints!$A:$D,4,FALSE)</f>
        <v>ソロ専用の「タワーオブザクイーン」は_x000D_期間限定で定期的に開催されます_x000D_ここでしか獲得できない報酬もあるようです</v>
      </c>
      <c r="M18" s="21" t="s">
        <v>23</v>
      </c>
      <c r="N18">
        <v>19</v>
      </c>
    </row>
    <row r="19" spans="1:14" x14ac:dyDescent="0.15">
      <c r="A19" s="26" t="s">
        <v>32</v>
      </c>
      <c r="B19" s="4">
        <v>11005</v>
      </c>
      <c r="C19" s="3" t="str">
        <f ca="1">VLOOKUP($B19,OFFSET([1]quests!$A$1,0,0,COUNTA([1]quests!$A:$A),MATCH(C$1,[1]quests!$1:$1,0)-MATCH($B$1,[1]quests!$1:$1,0)+1),MATCH(C$1,[1]quests!$1:$1,0)-MATCH($B$1,[1]quests!$1:$1,0)+1,FALSE)</f>
        <v>【金曜限定】 帽子屋を追え！</v>
      </c>
      <c r="D19" s="3" t="str">
        <f ca="1">VLOOKUP($B19,OFFSET([1]quests!$A$1,0,0,COUNTA([1]quests!$A:$A),MATCH(D$1,[1]quests!$1:$1,0)-MATCH($B$1,[1]quests!$1:$1,0)+1),MATCH(D$1,[1]quests!$1:$1,0)-MATCH($B$1,[1]quests!$1:$1,0)+1,FALSE)</f>
        <v>金曜クエスト</v>
      </c>
      <c r="E19" s="5">
        <v>2</v>
      </c>
      <c r="F19" s="3" t="str">
        <f ca="1">VLOOKUP($B19&amp;"_"&amp;$E19,OFFSET([1]stages!$A$1,0,0,COUNTA([1]stages!$A:$A),MATCH(F$1,[1]stages!$2:$2,0)-MATCH("temp_stage",[1]stages!$2:$2,0)+1),MATCH(F$1,[1]stages!$2:$2,0)-MATCH("temp_stage",[1]stages!$2:$2,0)+1,FALSE)</f>
        <v xml:space="preserve">【超級】樹の帽子屋 </v>
      </c>
      <c r="G19" s="3" t="str">
        <f ca="1">VLOOKUP($B19&amp;"_"&amp;$E19,OFFSET([1]stages!$A$1,0,0,COUNTA([1]stages!$A:$A),MATCH(G$1,[1]stages!$2:$2,0)-MATCH("temp_stage",[1]stages!$2:$2,0)+1),MATCH(G$1,[1]stages!$2:$2,0)-MATCH("temp_stage",[1]stages!$2:$2,0)+1,FALSE)</f>
        <v>金曜クエスト</v>
      </c>
      <c r="H19" s="18">
        <v>0</v>
      </c>
      <c r="I19">
        <v>21</v>
      </c>
      <c r="J19" s="5" t="s">
        <v>16</v>
      </c>
      <c r="K19" s="34" t="str">
        <f>VLOOKUP(I19,[2]stage_hints!$A:$C,3,FALSE)</f>
        <v>スキルを有効に</v>
      </c>
      <c r="L19" s="35" t="str">
        <f>VLOOKUP(I19,[2]stage_hints!$A:$D,4,FALSE)</f>
        <v>ターン経過でユニットのスキルが使えます_x000D_強力スキルでバトルを有利に進めましょう</v>
      </c>
      <c r="M19" s="21" t="s">
        <v>23</v>
      </c>
      <c r="N19">
        <v>21</v>
      </c>
    </row>
    <row r="20" spans="1:14" x14ac:dyDescent="0.15">
      <c r="A20" s="26" t="s">
        <v>32</v>
      </c>
      <c r="B20" s="4">
        <v>11005</v>
      </c>
      <c r="C20" s="3" t="str">
        <f ca="1">VLOOKUP($B20,OFFSET([1]quests!$A$1,0,0,COUNTA([1]quests!$A:$A),MATCH(C$1,[1]quests!$1:$1,0)-MATCH($B$1,[1]quests!$1:$1,0)+1),MATCH(C$1,[1]quests!$1:$1,0)-MATCH($B$1,[1]quests!$1:$1,0)+1,FALSE)</f>
        <v>【金曜限定】 帽子屋を追え！</v>
      </c>
      <c r="D20" s="3" t="str">
        <f ca="1">VLOOKUP($B20,OFFSET([1]quests!$A$1,0,0,COUNTA([1]quests!$A:$A),MATCH(D$1,[1]quests!$1:$1,0)-MATCH($B$1,[1]quests!$1:$1,0)+1),MATCH(D$1,[1]quests!$1:$1,0)-MATCH($B$1,[1]quests!$1:$1,0)+1,FALSE)</f>
        <v>金曜クエスト</v>
      </c>
      <c r="E20" s="5">
        <v>2</v>
      </c>
      <c r="F20" s="3" t="str">
        <f ca="1">VLOOKUP($B20&amp;"_"&amp;$E20,OFFSET([1]stages!$A$1,0,0,COUNTA([1]stages!$A:$A),MATCH(F$1,[1]stages!$2:$2,0)-MATCH("temp_stage",[1]stages!$2:$2,0)+1),MATCH(F$1,[1]stages!$2:$2,0)-MATCH("temp_stage",[1]stages!$2:$2,0)+1,FALSE)</f>
        <v xml:space="preserve">【超級】樹の帽子屋 </v>
      </c>
      <c r="G20" s="3" t="str">
        <f ca="1">VLOOKUP($B20&amp;"_"&amp;$E20,OFFSET([1]stages!$A$1,0,0,COUNTA([1]stages!$A:$A),MATCH(G$1,[1]stages!$2:$2,0)-MATCH("temp_stage",[1]stages!$2:$2,0)+1),MATCH(G$1,[1]stages!$2:$2,0)-MATCH("temp_stage",[1]stages!$2:$2,0)+1,FALSE)</f>
        <v>金曜クエスト</v>
      </c>
      <c r="H20" s="18">
        <v>0</v>
      </c>
      <c r="I20">
        <v>27</v>
      </c>
      <c r="J20" s="5" t="s">
        <v>16</v>
      </c>
      <c r="K20" s="34" t="str">
        <f>VLOOKUP(I20,[2]stage_hints!$A:$C,3,FALSE)</f>
        <v>ホーム画面からデッキを編成</v>
      </c>
      <c r="L20" s="35" t="str">
        <f>VLOOKUP(I20,[2]stage_hints!$A:$D,4,FALSE)</f>
        <v>ホーム画面でユニットを長押しすると_x000D_すぐにパーティ編成に移動できます</v>
      </c>
      <c r="M20" s="21" t="s">
        <v>23</v>
      </c>
      <c r="N20">
        <v>27</v>
      </c>
    </row>
    <row r="21" spans="1:14" x14ac:dyDescent="0.15">
      <c r="A21" s="26" t="s">
        <v>32</v>
      </c>
      <c r="B21" s="4">
        <v>11005</v>
      </c>
      <c r="C21" s="3" t="str">
        <f ca="1">VLOOKUP($B21,OFFSET([1]quests!$A$1,0,0,COUNTA([1]quests!$A:$A),MATCH(C$1,[1]quests!$1:$1,0)-MATCH($B$1,[1]quests!$1:$1,0)+1),MATCH(C$1,[1]quests!$1:$1,0)-MATCH($B$1,[1]quests!$1:$1,0)+1,FALSE)</f>
        <v>【金曜限定】 帽子屋を追え！</v>
      </c>
      <c r="D21" s="3" t="str">
        <f ca="1">VLOOKUP($B21,OFFSET([1]quests!$A$1,0,0,COUNTA([1]quests!$A:$A),MATCH(D$1,[1]quests!$1:$1,0)-MATCH($B$1,[1]quests!$1:$1,0)+1),MATCH(D$1,[1]quests!$1:$1,0)-MATCH($B$1,[1]quests!$1:$1,0)+1,FALSE)</f>
        <v>金曜クエスト</v>
      </c>
      <c r="E21" s="5">
        <v>2</v>
      </c>
      <c r="F21" s="3" t="str">
        <f ca="1">VLOOKUP($B21&amp;"_"&amp;$E21,OFFSET([1]stages!$A$1,0,0,COUNTA([1]stages!$A:$A),MATCH(F$1,[1]stages!$2:$2,0)-MATCH("temp_stage",[1]stages!$2:$2,0)+1),MATCH(F$1,[1]stages!$2:$2,0)-MATCH("temp_stage",[1]stages!$2:$2,0)+1,FALSE)</f>
        <v xml:space="preserve">【超級】樹の帽子屋 </v>
      </c>
      <c r="G21" s="3" t="str">
        <f ca="1">VLOOKUP($B21&amp;"_"&amp;$E21,OFFSET([1]stages!$A$1,0,0,COUNTA([1]stages!$A:$A),MATCH(G$1,[1]stages!$2:$2,0)-MATCH("temp_stage",[1]stages!$2:$2,0)+1),MATCH(G$1,[1]stages!$2:$2,0)-MATCH("temp_stage",[1]stages!$2:$2,0)+1,FALSE)</f>
        <v>金曜クエスト</v>
      </c>
      <c r="H21" s="18">
        <v>0</v>
      </c>
      <c r="I21">
        <v>28</v>
      </c>
      <c r="J21" s="5" t="s">
        <v>16</v>
      </c>
      <c r="K21" s="34" t="str">
        <f>VLOOKUP(I21,[2]stage_hints!$A:$C,3,FALSE)</f>
        <v>ステータス情報は長押しで</v>
      </c>
      <c r="L21" s="35" t="str">
        <f>VLOOKUP(I21,[2]stage_hints!$A:$D,4,FALSE)</f>
        <v>ユニットのアイコンを長押しすると_x000D_ステータス情報を確認することができます</v>
      </c>
      <c r="M21" s="21" t="s">
        <v>23</v>
      </c>
      <c r="N21">
        <v>28</v>
      </c>
    </row>
    <row r="22" spans="1:14" x14ac:dyDescent="0.15">
      <c r="A22" s="26" t="s">
        <v>32</v>
      </c>
      <c r="B22" s="4">
        <v>11005</v>
      </c>
      <c r="C22" s="3" t="str">
        <f ca="1">VLOOKUP($B22,OFFSET([1]quests!$A$1,0,0,COUNTA([1]quests!$A:$A),MATCH(C$1,[1]quests!$1:$1,0)-MATCH($B$1,[1]quests!$1:$1,0)+1),MATCH(C$1,[1]quests!$1:$1,0)-MATCH($B$1,[1]quests!$1:$1,0)+1,FALSE)</f>
        <v>【金曜限定】 帽子屋を追え！</v>
      </c>
      <c r="D22" s="3" t="str">
        <f ca="1">VLOOKUP($B22,OFFSET([1]quests!$A$1,0,0,COUNTA([1]quests!$A:$A),MATCH(D$1,[1]quests!$1:$1,0)-MATCH($B$1,[1]quests!$1:$1,0)+1),MATCH(D$1,[1]quests!$1:$1,0)-MATCH($B$1,[1]quests!$1:$1,0)+1,FALSE)</f>
        <v>金曜クエスト</v>
      </c>
      <c r="E22" s="5">
        <v>2</v>
      </c>
      <c r="F22" s="3" t="str">
        <f ca="1">VLOOKUP($B22&amp;"_"&amp;$E22,OFFSET([1]stages!$A$1,0,0,COUNTA([1]stages!$A:$A),MATCH(F$1,[1]stages!$2:$2,0)-MATCH("temp_stage",[1]stages!$2:$2,0)+1),MATCH(F$1,[1]stages!$2:$2,0)-MATCH("temp_stage",[1]stages!$2:$2,0)+1,FALSE)</f>
        <v xml:space="preserve">【超級】樹の帽子屋 </v>
      </c>
      <c r="G22" s="3" t="str">
        <f ca="1">VLOOKUP($B22&amp;"_"&amp;$E22,OFFSET([1]stages!$A$1,0,0,COUNTA([1]stages!$A:$A),MATCH(G$1,[1]stages!$2:$2,0)-MATCH("temp_stage",[1]stages!$2:$2,0)+1),MATCH(G$1,[1]stages!$2:$2,0)-MATCH("temp_stage",[1]stages!$2:$2,0)+1,FALSE)</f>
        <v>金曜クエスト</v>
      </c>
      <c r="H22" s="18">
        <v>0</v>
      </c>
      <c r="I22">
        <v>29</v>
      </c>
      <c r="J22" s="5" t="s">
        <v>16</v>
      </c>
      <c r="K22" s="34" t="str">
        <f>VLOOKUP(I22,[2]stage_hints!$A:$C,3,FALSE)</f>
        <v>「バグ」のメリット</v>
      </c>
      <c r="L22" s="35" t="str">
        <f>VLOOKUP(I22,[2]stage_hints!$A:$D,4,FALSE)</f>
        <v>ユニットの「バグ」を増やすと_x000D_報酬をもらえる確率がアップします</v>
      </c>
      <c r="M22" s="21" t="s">
        <v>23</v>
      </c>
      <c r="N22">
        <v>29</v>
      </c>
    </row>
    <row r="23" spans="1:14" x14ac:dyDescent="0.15">
      <c r="A23" s="26" t="s">
        <v>32</v>
      </c>
      <c r="B23" s="4">
        <v>11005</v>
      </c>
      <c r="C23" s="3" t="str">
        <f ca="1">VLOOKUP($B23,OFFSET([1]quests!$A$1,0,0,COUNTA([1]quests!$A:$A),MATCH(C$1,[1]quests!$1:$1,0)-MATCH($B$1,[1]quests!$1:$1,0)+1),MATCH(C$1,[1]quests!$1:$1,0)-MATCH($B$1,[1]quests!$1:$1,0)+1,FALSE)</f>
        <v>【金曜限定】 帽子屋を追え！</v>
      </c>
      <c r="D23" s="3" t="str">
        <f ca="1">VLOOKUP($B23,OFFSET([1]quests!$A$1,0,0,COUNTA([1]quests!$A:$A),MATCH(D$1,[1]quests!$1:$1,0)-MATCH($B$1,[1]quests!$1:$1,0)+1),MATCH(D$1,[1]quests!$1:$1,0)-MATCH($B$1,[1]quests!$1:$1,0)+1,FALSE)</f>
        <v>金曜クエスト</v>
      </c>
      <c r="E23" s="5">
        <v>2</v>
      </c>
      <c r="F23" s="3" t="str">
        <f ca="1">VLOOKUP($B23&amp;"_"&amp;$E23,OFFSET([1]stages!$A$1,0,0,COUNTA([1]stages!$A:$A),MATCH(F$1,[1]stages!$2:$2,0)-MATCH("temp_stage",[1]stages!$2:$2,0)+1),MATCH(F$1,[1]stages!$2:$2,0)-MATCH("temp_stage",[1]stages!$2:$2,0)+1,FALSE)</f>
        <v xml:space="preserve">【超級】樹の帽子屋 </v>
      </c>
      <c r="G23" s="3" t="str">
        <f ca="1">VLOOKUP($B23&amp;"_"&amp;$E23,OFFSET([1]stages!$A$1,0,0,COUNTA([1]stages!$A:$A),MATCH(G$1,[1]stages!$2:$2,0)-MATCH("temp_stage",[1]stages!$2:$2,0)+1),MATCH(G$1,[1]stages!$2:$2,0)-MATCH("temp_stage",[1]stages!$2:$2,0)+1,FALSE)</f>
        <v>金曜クエスト</v>
      </c>
      <c r="H23" s="18">
        <v>0</v>
      </c>
      <c r="I23">
        <v>30</v>
      </c>
      <c r="J23" s="5" t="s">
        <v>16</v>
      </c>
      <c r="K23" s="34" t="str">
        <f>VLOOKUP(I23,[2]stage_hints!$A:$C,3,FALSE)</f>
        <v>「バグ」の増やし方</v>
      </c>
      <c r="L23" s="35" t="str">
        <f>VLOOKUP(I23,[2]stage_hints!$A:$D,4,FALSE)</f>
        <v>同じユニット同士を強化で合成すると_x000D_「バグ」を増やすことができます</v>
      </c>
      <c r="M23" s="21" t="s">
        <v>23</v>
      </c>
      <c r="N23">
        <v>30</v>
      </c>
    </row>
    <row r="24" spans="1:14" x14ac:dyDescent="0.15">
      <c r="A24" s="26" t="s">
        <v>32</v>
      </c>
      <c r="B24" s="4">
        <v>11005</v>
      </c>
      <c r="C24" s="3" t="str">
        <f ca="1">VLOOKUP($B24,OFFSET([1]quests!$A$1,0,0,COUNTA([1]quests!$A:$A),MATCH(C$1,[1]quests!$1:$1,0)-MATCH($B$1,[1]quests!$1:$1,0)+1),MATCH(C$1,[1]quests!$1:$1,0)-MATCH($B$1,[1]quests!$1:$1,0)+1,FALSE)</f>
        <v>【金曜限定】 帽子屋を追え！</v>
      </c>
      <c r="D24" s="3" t="str">
        <f ca="1">VLOOKUP($B24,OFFSET([1]quests!$A$1,0,0,COUNTA([1]quests!$A:$A),MATCH(D$1,[1]quests!$1:$1,0)-MATCH($B$1,[1]quests!$1:$1,0)+1),MATCH(D$1,[1]quests!$1:$1,0)-MATCH($B$1,[1]quests!$1:$1,0)+1,FALSE)</f>
        <v>金曜クエスト</v>
      </c>
      <c r="E24" s="5">
        <v>2</v>
      </c>
      <c r="F24" s="3" t="str">
        <f ca="1">VLOOKUP($B24&amp;"_"&amp;$E24,OFFSET([1]stages!$A$1,0,0,COUNTA([1]stages!$A:$A),MATCH(F$1,[1]stages!$2:$2,0)-MATCH("temp_stage",[1]stages!$2:$2,0)+1),MATCH(F$1,[1]stages!$2:$2,0)-MATCH("temp_stage",[1]stages!$2:$2,0)+1,FALSE)</f>
        <v xml:space="preserve">【超級】樹の帽子屋 </v>
      </c>
      <c r="G24" s="3" t="str">
        <f ca="1">VLOOKUP($B24&amp;"_"&amp;$E24,OFFSET([1]stages!$A$1,0,0,COUNTA([1]stages!$A:$A),MATCH(G$1,[1]stages!$2:$2,0)-MATCH("temp_stage",[1]stages!$2:$2,0)+1),MATCH(G$1,[1]stages!$2:$2,0)-MATCH("temp_stage",[1]stages!$2:$2,0)+1,FALSE)</f>
        <v>金曜クエスト</v>
      </c>
      <c r="H24" s="18">
        <v>0</v>
      </c>
      <c r="I24">
        <v>32</v>
      </c>
      <c r="J24" s="5" t="s">
        <v>16</v>
      </c>
      <c r="K24" s="34" t="str">
        <f>VLOOKUP(I24,[2]stage_hints!$A:$C,3,FALSE)</f>
        <v>敵の連続攻撃には</v>
      </c>
      <c r="L24" s="35" t="str">
        <f>VLOOKUP(I24,[2]stage_hints!$A:$D,4,FALSE)</f>
        <v>カウンタースキルを持つユニットがいれば_x000D_ダメージ回数分の反撃ができます</v>
      </c>
      <c r="M24" s="21" t="s">
        <v>23</v>
      </c>
      <c r="N24">
        <v>32</v>
      </c>
    </row>
    <row r="25" spans="1:14" x14ac:dyDescent="0.15">
      <c r="A25" s="26" t="s">
        <v>32</v>
      </c>
      <c r="B25" s="4">
        <v>11005</v>
      </c>
      <c r="C25" s="3" t="str">
        <f ca="1">VLOOKUP($B25,OFFSET([1]quests!$A$1,0,0,COUNTA([1]quests!$A:$A),MATCH(C$1,[1]quests!$1:$1,0)-MATCH($B$1,[1]quests!$1:$1,0)+1),MATCH(C$1,[1]quests!$1:$1,0)-MATCH($B$1,[1]quests!$1:$1,0)+1,FALSE)</f>
        <v>【金曜限定】 帽子屋を追え！</v>
      </c>
      <c r="D25" s="3" t="str">
        <f ca="1">VLOOKUP($B25,OFFSET([1]quests!$A$1,0,0,COUNTA([1]quests!$A:$A),MATCH(D$1,[1]quests!$1:$1,0)-MATCH($B$1,[1]quests!$1:$1,0)+1),MATCH(D$1,[1]quests!$1:$1,0)-MATCH($B$1,[1]quests!$1:$1,0)+1,FALSE)</f>
        <v>金曜クエスト</v>
      </c>
      <c r="E25" s="5">
        <v>2</v>
      </c>
      <c r="F25" s="3" t="str">
        <f ca="1">VLOOKUP($B25&amp;"_"&amp;$E25,OFFSET([1]stages!$A$1,0,0,COUNTA([1]stages!$A:$A),MATCH(F$1,[1]stages!$2:$2,0)-MATCH("temp_stage",[1]stages!$2:$2,0)+1),MATCH(F$1,[1]stages!$2:$2,0)-MATCH("temp_stage",[1]stages!$2:$2,0)+1,FALSE)</f>
        <v xml:space="preserve">【超級】樹の帽子屋 </v>
      </c>
      <c r="G25" s="3" t="str">
        <f ca="1">VLOOKUP($B25&amp;"_"&amp;$E25,OFFSET([1]stages!$A$1,0,0,COUNTA([1]stages!$A:$A),MATCH(G$1,[1]stages!$2:$2,0)-MATCH("temp_stage",[1]stages!$2:$2,0)+1),MATCH(G$1,[1]stages!$2:$2,0)-MATCH("temp_stage",[1]stages!$2:$2,0)+1,FALSE)</f>
        <v>金曜クエスト</v>
      </c>
      <c r="H25" s="18">
        <v>0</v>
      </c>
      <c r="I25">
        <v>33</v>
      </c>
      <c r="J25" s="5" t="s">
        <v>16</v>
      </c>
      <c r="K25" s="34" t="str">
        <f>VLOOKUP(I25,[2]stage_hints!$A:$C,3,FALSE)</f>
        <v>敵のカウンター攻撃には</v>
      </c>
      <c r="L25" s="35" t="str">
        <f>VLOOKUP(I25,[2]stage_hints!$A:$D,4,FALSE)</f>
        <v>カウンターブレイクスキルを持っていれば_x000D_敵のカウンターを解除して攻撃ができます</v>
      </c>
      <c r="M25" s="21" t="s">
        <v>23</v>
      </c>
      <c r="N25">
        <v>33</v>
      </c>
    </row>
    <row r="26" spans="1:14" x14ac:dyDescent="0.15">
      <c r="A26" s="26" t="s">
        <v>32</v>
      </c>
      <c r="B26" s="4">
        <v>11005</v>
      </c>
      <c r="C26" s="3" t="str">
        <f ca="1">VLOOKUP($B26,OFFSET([1]quests!$A$1,0,0,COUNTA([1]quests!$A:$A),MATCH(C$1,[1]quests!$1:$1,0)-MATCH($B$1,[1]quests!$1:$1,0)+1),MATCH(C$1,[1]quests!$1:$1,0)-MATCH($B$1,[1]quests!$1:$1,0)+1,FALSE)</f>
        <v>【金曜限定】 帽子屋を追え！</v>
      </c>
      <c r="D26" s="3" t="str">
        <f ca="1">VLOOKUP($B26,OFFSET([1]quests!$A$1,0,0,COUNTA([1]quests!$A:$A),MATCH(D$1,[1]quests!$1:$1,0)-MATCH($B$1,[1]quests!$1:$1,0)+1),MATCH(D$1,[1]quests!$1:$1,0)-MATCH($B$1,[1]quests!$1:$1,0)+1,FALSE)</f>
        <v>金曜クエスト</v>
      </c>
      <c r="E26" s="5">
        <v>2</v>
      </c>
      <c r="F26" s="3" t="str">
        <f ca="1">VLOOKUP($B26&amp;"_"&amp;$E26,OFFSET([1]stages!$A$1,0,0,COUNTA([1]stages!$A:$A),MATCH(F$1,[1]stages!$2:$2,0)-MATCH("temp_stage",[1]stages!$2:$2,0)+1),MATCH(F$1,[1]stages!$2:$2,0)-MATCH("temp_stage",[1]stages!$2:$2,0)+1,FALSE)</f>
        <v xml:space="preserve">【超級】樹の帽子屋 </v>
      </c>
      <c r="G26" s="3" t="str">
        <f ca="1">VLOOKUP($B26&amp;"_"&amp;$E26,OFFSET([1]stages!$A$1,0,0,COUNTA([1]stages!$A:$A),MATCH(G$1,[1]stages!$2:$2,0)-MATCH("temp_stage",[1]stages!$2:$2,0)+1),MATCH(G$1,[1]stages!$2:$2,0)-MATCH("temp_stage",[1]stages!$2:$2,0)+1,FALSE)</f>
        <v>金曜クエスト</v>
      </c>
      <c r="H26" s="18">
        <v>0</v>
      </c>
      <c r="I26">
        <v>34</v>
      </c>
      <c r="J26" s="5" t="s">
        <v>16</v>
      </c>
      <c r="K26" s="34" t="str">
        <f>VLOOKUP(I26,[2]stage_hints!$A:$C,3,FALSE)</f>
        <v>ステータスをスキルで下げられたら</v>
      </c>
      <c r="L26" s="35" t="str">
        <f>VLOOKUP(I26,[2]stage_hints!$A:$D,4,FALSE)</f>
        <v>ステータスダウンのスキルを受けたら_x000D_ステータスアップスキルで上書きしましょう</v>
      </c>
      <c r="M26" s="21" t="s">
        <v>23</v>
      </c>
      <c r="N26">
        <v>34</v>
      </c>
    </row>
    <row r="27" spans="1:14" x14ac:dyDescent="0.15">
      <c r="A27" s="26" t="s">
        <v>32</v>
      </c>
      <c r="B27" s="4">
        <v>11005</v>
      </c>
      <c r="C27" s="3" t="str">
        <f ca="1">VLOOKUP($B27,OFFSET([1]quests!$A$1,0,0,COUNTA([1]quests!$A:$A),MATCH(C$1,[1]quests!$1:$1,0)-MATCH($B$1,[1]quests!$1:$1,0)+1),MATCH(C$1,[1]quests!$1:$1,0)-MATCH($B$1,[1]quests!$1:$1,0)+1,FALSE)</f>
        <v>【金曜限定】 帽子屋を追え！</v>
      </c>
      <c r="D27" s="3" t="str">
        <f ca="1">VLOOKUP($B27,OFFSET([1]quests!$A$1,0,0,COUNTA([1]quests!$A:$A),MATCH(D$1,[1]quests!$1:$1,0)-MATCH($B$1,[1]quests!$1:$1,0)+1),MATCH(D$1,[1]quests!$1:$1,0)-MATCH($B$1,[1]quests!$1:$1,0)+1,FALSE)</f>
        <v>金曜クエスト</v>
      </c>
      <c r="E27" s="5">
        <v>2</v>
      </c>
      <c r="F27" s="3" t="str">
        <f ca="1">VLOOKUP($B27&amp;"_"&amp;$E27,OFFSET([1]stages!$A$1,0,0,COUNTA([1]stages!$A:$A),MATCH(F$1,[1]stages!$2:$2,0)-MATCH("temp_stage",[1]stages!$2:$2,0)+1),MATCH(F$1,[1]stages!$2:$2,0)-MATCH("temp_stage",[1]stages!$2:$2,0)+1,FALSE)</f>
        <v xml:space="preserve">【超級】樹の帽子屋 </v>
      </c>
      <c r="G27" s="3" t="str">
        <f ca="1">VLOOKUP($B27&amp;"_"&amp;$E27,OFFSET([1]stages!$A$1,0,0,COUNTA([1]stages!$A:$A),MATCH(G$1,[1]stages!$2:$2,0)-MATCH("temp_stage",[1]stages!$2:$2,0)+1),MATCH(G$1,[1]stages!$2:$2,0)-MATCH("temp_stage",[1]stages!$2:$2,0)+1,FALSE)</f>
        <v>金曜クエスト</v>
      </c>
      <c r="H27" s="18">
        <v>0</v>
      </c>
      <c r="I27">
        <v>35</v>
      </c>
      <c r="J27" s="5" t="s">
        <v>16</v>
      </c>
      <c r="K27" s="34" t="str">
        <f>VLOOKUP(I27,[2]stage_hints!$A:$C,3,FALSE)</f>
        <v>敵のステータスがスキルで上がったら</v>
      </c>
      <c r="L27" s="35" t="str">
        <f>VLOOKUP(I27,[2]stage_hints!$A:$D,4,FALSE)</f>
        <v>敵のステータスがスキルでアップしたときは_x000D_ステータスダウンスキルで上書きしましょう</v>
      </c>
      <c r="M27" s="21" t="s">
        <v>23</v>
      </c>
      <c r="N27">
        <v>35</v>
      </c>
    </row>
    <row r="28" spans="1:14" x14ac:dyDescent="0.15">
      <c r="A28" s="26" t="s">
        <v>32</v>
      </c>
      <c r="B28" s="4">
        <v>11005</v>
      </c>
      <c r="C28" s="3" t="str">
        <f ca="1">VLOOKUP($B28,OFFSET([1]quests!$A$1,0,0,COUNTA([1]quests!$A:$A),MATCH(C$1,[1]quests!$1:$1,0)-MATCH($B$1,[1]quests!$1:$1,0)+1),MATCH(C$1,[1]quests!$1:$1,0)-MATCH($B$1,[1]quests!$1:$1,0)+1,FALSE)</f>
        <v>【金曜限定】 帽子屋を追え！</v>
      </c>
      <c r="D28" s="3" t="str">
        <f ca="1">VLOOKUP($B28,OFFSET([1]quests!$A$1,0,0,COUNTA([1]quests!$A:$A),MATCH(D$1,[1]quests!$1:$1,0)-MATCH($B$1,[1]quests!$1:$1,0)+1),MATCH(D$1,[1]quests!$1:$1,0)-MATCH($B$1,[1]quests!$1:$1,0)+1,FALSE)</f>
        <v>金曜クエスト</v>
      </c>
      <c r="E28" s="5">
        <v>2</v>
      </c>
      <c r="F28" s="3" t="str">
        <f ca="1">VLOOKUP($B28&amp;"_"&amp;$E28,OFFSET([1]stages!$A$1,0,0,COUNTA([1]stages!$A:$A),MATCH(F$1,[1]stages!$2:$2,0)-MATCH("temp_stage",[1]stages!$2:$2,0)+1),MATCH(F$1,[1]stages!$2:$2,0)-MATCH("temp_stage",[1]stages!$2:$2,0)+1,FALSE)</f>
        <v xml:space="preserve">【超級】樹の帽子屋 </v>
      </c>
      <c r="G28" s="3" t="str">
        <f ca="1">VLOOKUP($B28&amp;"_"&amp;$E28,OFFSET([1]stages!$A$1,0,0,COUNTA([1]stages!$A:$A),MATCH(G$1,[1]stages!$2:$2,0)-MATCH("temp_stage",[1]stages!$2:$2,0)+1),MATCH(G$1,[1]stages!$2:$2,0)-MATCH("temp_stage",[1]stages!$2:$2,0)+1,FALSE)</f>
        <v>金曜クエスト</v>
      </c>
      <c r="H28" s="18">
        <v>0</v>
      </c>
      <c r="I28">
        <v>36</v>
      </c>
      <c r="J28" s="5" t="s">
        <v>16</v>
      </c>
      <c r="K28" s="34" t="str">
        <f>VLOOKUP(I28,[2]stage_hints!$A:$C,3,FALSE)</f>
        <v>タワーオブザクイーンのボス</v>
      </c>
      <c r="L28" s="35" t="str">
        <f>VLOOKUP(I28,[2]stage_hints!$A:$D,4,FALSE)</f>
        <v>「タワーオブザクイーン」最上階のボスは_x000D_15階の初回クリア報酬で獲得できるほか_x000D_その階にて低確率でドロップもします</v>
      </c>
      <c r="M28" s="21" t="s">
        <v>23</v>
      </c>
      <c r="N28">
        <v>36</v>
      </c>
    </row>
    <row r="29" spans="1:14" x14ac:dyDescent="0.15">
      <c r="A29" s="26" t="s">
        <v>32</v>
      </c>
      <c r="B29" s="4">
        <v>11005</v>
      </c>
      <c r="C29" s="3" t="str">
        <f ca="1">VLOOKUP($B29,OFFSET([1]quests!$A$1,0,0,COUNTA([1]quests!$A:$A),MATCH(C$1,[1]quests!$1:$1,0)-MATCH($B$1,[1]quests!$1:$1,0)+1),MATCH(C$1,[1]quests!$1:$1,0)-MATCH($B$1,[1]quests!$1:$1,0)+1,FALSE)</f>
        <v>【金曜限定】 帽子屋を追え！</v>
      </c>
      <c r="D29" s="3" t="str">
        <f ca="1">VLOOKUP($B29,OFFSET([1]quests!$A$1,0,0,COUNTA([1]quests!$A:$A),MATCH(D$1,[1]quests!$1:$1,0)-MATCH($B$1,[1]quests!$1:$1,0)+1),MATCH(D$1,[1]quests!$1:$1,0)-MATCH($B$1,[1]quests!$1:$1,0)+1,FALSE)</f>
        <v>金曜クエスト</v>
      </c>
      <c r="E29" s="5">
        <v>2</v>
      </c>
      <c r="F29" s="3" t="str">
        <f ca="1">VLOOKUP($B29&amp;"_"&amp;$E29,OFFSET([1]stages!$A$1,0,0,COUNTA([1]stages!$A:$A),MATCH(F$1,[1]stages!$2:$2,0)-MATCH("temp_stage",[1]stages!$2:$2,0)+1),MATCH(F$1,[1]stages!$2:$2,0)-MATCH("temp_stage",[1]stages!$2:$2,0)+1,FALSE)</f>
        <v xml:space="preserve">【超級】樹の帽子屋 </v>
      </c>
      <c r="G29" s="3" t="str">
        <f ca="1">VLOOKUP($B29&amp;"_"&amp;$E29,OFFSET([1]stages!$A$1,0,0,COUNTA([1]stages!$A:$A),MATCH(G$1,[1]stages!$2:$2,0)-MATCH("temp_stage",[1]stages!$2:$2,0)+1),MATCH(G$1,[1]stages!$2:$2,0)-MATCH("temp_stage",[1]stages!$2:$2,0)+1,FALSE)</f>
        <v>金曜クエスト</v>
      </c>
      <c r="H29" s="18">
        <v>0</v>
      </c>
      <c r="I29">
        <v>37</v>
      </c>
      <c r="J29" s="5" t="s">
        <v>16</v>
      </c>
      <c r="K29" s="34" t="str">
        <f>VLOOKUP(I29,[2]stage_hints!$A:$C,3,FALSE)</f>
        <v>限界突破値の引き継ぎ</v>
      </c>
      <c r="L29" s="35" t="str">
        <f>VLOOKUP(I29,[2]stage_hints!$A:$D,4,FALSE)</f>
        <v>同じユニットを強化で合成すると_x000D_限界突破値を引き継げます（覚醒前後も可）</v>
      </c>
      <c r="M29" s="21" t="s">
        <v>23</v>
      </c>
      <c r="N29">
        <v>37</v>
      </c>
    </row>
    <row r="30" spans="1:14" x14ac:dyDescent="0.15">
      <c r="A30" s="26" t="s">
        <v>32</v>
      </c>
      <c r="B30" s="4">
        <v>11005</v>
      </c>
      <c r="C30" s="3" t="str">
        <f ca="1">VLOOKUP($B30,OFFSET([1]quests!$A$1,0,0,COUNTA([1]quests!$A:$A),MATCH(C$1,[1]quests!$1:$1,0)-MATCH($B$1,[1]quests!$1:$1,0)+1),MATCH(C$1,[1]quests!$1:$1,0)-MATCH($B$1,[1]quests!$1:$1,0)+1,FALSE)</f>
        <v>【金曜限定】 帽子屋を追え！</v>
      </c>
      <c r="D30" s="3" t="str">
        <f ca="1">VLOOKUP($B30,OFFSET([1]quests!$A$1,0,0,COUNTA([1]quests!$A:$A),MATCH(D$1,[1]quests!$1:$1,0)-MATCH($B$1,[1]quests!$1:$1,0)+1),MATCH(D$1,[1]quests!$1:$1,0)-MATCH($B$1,[1]quests!$1:$1,0)+1,FALSE)</f>
        <v>金曜クエスト</v>
      </c>
      <c r="E30" s="5">
        <v>3</v>
      </c>
      <c r="F30" s="3" t="str">
        <f ca="1">VLOOKUP($B30&amp;"_"&amp;$E30,OFFSET([1]stages!$A$1,0,0,COUNTA([1]stages!$A:$A),MATCH(F$1,[1]stages!$2:$2,0)-MATCH("temp_stage",[1]stages!$2:$2,0)+1),MATCH(F$1,[1]stages!$2:$2,0)-MATCH("temp_stage",[1]stages!$2:$2,0)+1,FALSE)</f>
        <v xml:space="preserve">【超級】水の帽子屋 </v>
      </c>
      <c r="G30" s="3" t="str">
        <f ca="1">VLOOKUP($B30&amp;"_"&amp;$E30,OFFSET([1]stages!$A$1,0,0,COUNTA([1]stages!$A:$A),MATCH(G$1,[1]stages!$2:$2,0)-MATCH("temp_stage",[1]stages!$2:$2,0)+1),MATCH(G$1,[1]stages!$2:$2,0)-MATCH("temp_stage",[1]stages!$2:$2,0)+1,FALSE)</f>
        <v>金曜クエスト</v>
      </c>
      <c r="H30" s="18">
        <v>0</v>
      </c>
      <c r="I30">
        <v>12</v>
      </c>
      <c r="J30" s="5" t="s">
        <v>16</v>
      </c>
      <c r="K30" s="34" t="str">
        <f>VLOOKUP(I30,[2]stage_hints!$A:$C,3,FALSE)</f>
        <v>ユニットのお気に入り登録</v>
      </c>
      <c r="L30" s="35" t="str">
        <f>VLOOKUP(I30,[2]stage_hints!$A:$D,4,FALSE)</f>
        <v>大事なユニットを誤って消さないように_x000D_フォルダから「お気に入り登録」しましょう</v>
      </c>
      <c r="M30" s="21" t="s">
        <v>23</v>
      </c>
      <c r="N30">
        <v>12</v>
      </c>
    </row>
    <row r="31" spans="1:14" x14ac:dyDescent="0.15">
      <c r="A31" s="26" t="s">
        <v>32</v>
      </c>
      <c r="B31" s="4">
        <v>11005</v>
      </c>
      <c r="C31" s="3" t="str">
        <f ca="1">VLOOKUP($B31,OFFSET([1]quests!$A$1,0,0,COUNTA([1]quests!$A:$A),MATCH(C$1,[1]quests!$1:$1,0)-MATCH($B$1,[1]quests!$1:$1,0)+1),MATCH(C$1,[1]quests!$1:$1,0)-MATCH($B$1,[1]quests!$1:$1,0)+1,FALSE)</f>
        <v>【金曜限定】 帽子屋を追え！</v>
      </c>
      <c r="D31" s="3" t="str">
        <f ca="1">VLOOKUP($B31,OFFSET([1]quests!$A$1,0,0,COUNTA([1]quests!$A:$A),MATCH(D$1,[1]quests!$1:$1,0)-MATCH($B$1,[1]quests!$1:$1,0)+1),MATCH(D$1,[1]quests!$1:$1,0)-MATCH($B$1,[1]quests!$1:$1,0)+1,FALSE)</f>
        <v>金曜クエスト</v>
      </c>
      <c r="E31" s="5">
        <v>3</v>
      </c>
      <c r="F31" s="3" t="str">
        <f ca="1">VLOOKUP($B31&amp;"_"&amp;$E31,OFFSET([1]stages!$A$1,0,0,COUNTA([1]stages!$A:$A),MATCH(F$1,[1]stages!$2:$2,0)-MATCH("temp_stage",[1]stages!$2:$2,0)+1),MATCH(F$1,[1]stages!$2:$2,0)-MATCH("temp_stage",[1]stages!$2:$2,0)+1,FALSE)</f>
        <v xml:space="preserve">【超級】水の帽子屋 </v>
      </c>
      <c r="G31" s="3" t="str">
        <f ca="1">VLOOKUP($B31&amp;"_"&amp;$E31,OFFSET([1]stages!$A$1,0,0,COUNTA([1]stages!$A:$A),MATCH(G$1,[1]stages!$2:$2,0)-MATCH("temp_stage",[1]stages!$2:$2,0)+1),MATCH(G$1,[1]stages!$2:$2,0)-MATCH("temp_stage",[1]stages!$2:$2,0)+1,FALSE)</f>
        <v>金曜クエスト</v>
      </c>
      <c r="H31" s="18">
        <v>0</v>
      </c>
      <c r="I31">
        <v>17</v>
      </c>
      <c r="J31" s="5" t="s">
        <v>16</v>
      </c>
      <c r="K31" s="34" t="str">
        <f>VLOOKUP(I31,[2]stage_hints!$A:$C,3,FALSE)</f>
        <v>リンクガチャ</v>
      </c>
      <c r="L31" s="35" t="str">
        <f>VLOOKUP(I31,[2]stage_hints!$A:$D,4,FALSE)</f>
        <v>無料のリンクガチャを回して_x000D_経験値素材や売却素材を獲得しましょう</v>
      </c>
      <c r="M31" s="21" t="s">
        <v>23</v>
      </c>
      <c r="N31">
        <v>17</v>
      </c>
    </row>
    <row r="32" spans="1:14" x14ac:dyDescent="0.15">
      <c r="A32" s="26" t="s">
        <v>32</v>
      </c>
      <c r="B32" s="4">
        <v>11005</v>
      </c>
      <c r="C32" s="3" t="str">
        <f ca="1">VLOOKUP($B32,OFFSET([1]quests!$A$1,0,0,COUNTA([1]quests!$A:$A),MATCH(C$1,[1]quests!$1:$1,0)-MATCH($B$1,[1]quests!$1:$1,0)+1),MATCH(C$1,[1]quests!$1:$1,0)-MATCH($B$1,[1]quests!$1:$1,0)+1,FALSE)</f>
        <v>【金曜限定】 帽子屋を追え！</v>
      </c>
      <c r="D32" s="3" t="str">
        <f ca="1">VLOOKUP($B32,OFFSET([1]quests!$A$1,0,0,COUNTA([1]quests!$A:$A),MATCH(D$1,[1]quests!$1:$1,0)-MATCH($B$1,[1]quests!$1:$1,0)+1),MATCH(D$1,[1]quests!$1:$1,0)-MATCH($B$1,[1]quests!$1:$1,0)+1,FALSE)</f>
        <v>金曜クエスト</v>
      </c>
      <c r="E32" s="5">
        <v>3</v>
      </c>
      <c r="F32" s="3" t="str">
        <f ca="1">VLOOKUP($B32&amp;"_"&amp;$E32,OFFSET([1]stages!$A$1,0,0,COUNTA([1]stages!$A:$A),MATCH(F$1,[1]stages!$2:$2,0)-MATCH("temp_stage",[1]stages!$2:$2,0)+1),MATCH(F$1,[1]stages!$2:$2,0)-MATCH("temp_stage",[1]stages!$2:$2,0)+1,FALSE)</f>
        <v xml:space="preserve">【超級】水の帽子屋 </v>
      </c>
      <c r="G32" s="3" t="str">
        <f ca="1">VLOOKUP($B32&amp;"_"&amp;$E32,OFFSET([1]stages!$A$1,0,0,COUNTA([1]stages!$A:$A),MATCH(G$1,[1]stages!$2:$2,0)-MATCH("temp_stage",[1]stages!$2:$2,0)+1),MATCH(G$1,[1]stages!$2:$2,0)-MATCH("temp_stage",[1]stages!$2:$2,0)+1,FALSE)</f>
        <v>金曜クエスト</v>
      </c>
      <c r="H32" s="18">
        <v>0</v>
      </c>
      <c r="I32">
        <v>19</v>
      </c>
      <c r="J32" s="5" t="s">
        <v>16</v>
      </c>
      <c r="K32" s="34" t="str">
        <f>VLOOKUP(I32,[2]stage_hints!$A:$C,3,FALSE)</f>
        <v>ソロ専用タワーオブザクイーン</v>
      </c>
      <c r="L32" s="35" t="str">
        <f>VLOOKUP(I32,[2]stage_hints!$A:$D,4,FALSE)</f>
        <v>ソロ専用の「タワーオブザクイーン」は_x000D_期間限定で定期的に開催されます_x000D_ここでしか獲得できない報酬もあるようです</v>
      </c>
      <c r="M32" s="21" t="s">
        <v>23</v>
      </c>
      <c r="N32">
        <v>19</v>
      </c>
    </row>
    <row r="33" spans="1:14" x14ac:dyDescent="0.15">
      <c r="A33" s="26" t="s">
        <v>32</v>
      </c>
      <c r="B33" s="4">
        <v>11005</v>
      </c>
      <c r="C33" s="3" t="str">
        <f ca="1">VLOOKUP($B33,OFFSET([1]quests!$A$1,0,0,COUNTA([1]quests!$A:$A),MATCH(C$1,[1]quests!$1:$1,0)-MATCH($B$1,[1]quests!$1:$1,0)+1),MATCH(C$1,[1]quests!$1:$1,0)-MATCH($B$1,[1]quests!$1:$1,0)+1,FALSE)</f>
        <v>【金曜限定】 帽子屋を追え！</v>
      </c>
      <c r="D33" s="3" t="str">
        <f ca="1">VLOOKUP($B33,OFFSET([1]quests!$A$1,0,0,COUNTA([1]quests!$A:$A),MATCH(D$1,[1]quests!$1:$1,0)-MATCH($B$1,[1]quests!$1:$1,0)+1),MATCH(D$1,[1]quests!$1:$1,0)-MATCH($B$1,[1]quests!$1:$1,0)+1,FALSE)</f>
        <v>金曜クエスト</v>
      </c>
      <c r="E33" s="5">
        <v>3</v>
      </c>
      <c r="F33" s="3" t="str">
        <f ca="1">VLOOKUP($B33&amp;"_"&amp;$E33,OFFSET([1]stages!$A$1,0,0,COUNTA([1]stages!$A:$A),MATCH(F$1,[1]stages!$2:$2,0)-MATCH("temp_stage",[1]stages!$2:$2,0)+1),MATCH(F$1,[1]stages!$2:$2,0)-MATCH("temp_stage",[1]stages!$2:$2,0)+1,FALSE)</f>
        <v xml:space="preserve">【超級】水の帽子屋 </v>
      </c>
      <c r="G33" s="3" t="str">
        <f ca="1">VLOOKUP($B33&amp;"_"&amp;$E33,OFFSET([1]stages!$A$1,0,0,COUNTA([1]stages!$A:$A),MATCH(G$1,[1]stages!$2:$2,0)-MATCH("temp_stage",[1]stages!$2:$2,0)+1),MATCH(G$1,[1]stages!$2:$2,0)-MATCH("temp_stage",[1]stages!$2:$2,0)+1,FALSE)</f>
        <v>金曜クエスト</v>
      </c>
      <c r="H33" s="18">
        <v>0</v>
      </c>
      <c r="I33">
        <v>21</v>
      </c>
      <c r="J33" s="5" t="s">
        <v>16</v>
      </c>
      <c r="K33" s="34" t="str">
        <f>VLOOKUP(I33,[2]stage_hints!$A:$C,3,FALSE)</f>
        <v>スキルを有効に</v>
      </c>
      <c r="L33" s="35" t="str">
        <f>VLOOKUP(I33,[2]stage_hints!$A:$D,4,FALSE)</f>
        <v>ターン経過でユニットのスキルが使えます_x000D_強力スキルでバトルを有利に進めましょう</v>
      </c>
      <c r="M33" s="21" t="s">
        <v>23</v>
      </c>
      <c r="N33">
        <v>21</v>
      </c>
    </row>
    <row r="34" spans="1:14" x14ac:dyDescent="0.15">
      <c r="A34" s="26" t="s">
        <v>32</v>
      </c>
      <c r="B34" s="4">
        <v>11005</v>
      </c>
      <c r="C34" s="3" t="str">
        <f ca="1">VLOOKUP($B34,OFFSET([1]quests!$A$1,0,0,COUNTA([1]quests!$A:$A),MATCH(C$1,[1]quests!$1:$1,0)-MATCH($B$1,[1]quests!$1:$1,0)+1),MATCH(C$1,[1]quests!$1:$1,0)-MATCH($B$1,[1]quests!$1:$1,0)+1,FALSE)</f>
        <v>【金曜限定】 帽子屋を追え！</v>
      </c>
      <c r="D34" s="3" t="str">
        <f ca="1">VLOOKUP($B34,OFFSET([1]quests!$A$1,0,0,COUNTA([1]quests!$A:$A),MATCH(D$1,[1]quests!$1:$1,0)-MATCH($B$1,[1]quests!$1:$1,0)+1),MATCH(D$1,[1]quests!$1:$1,0)-MATCH($B$1,[1]quests!$1:$1,0)+1,FALSE)</f>
        <v>金曜クエスト</v>
      </c>
      <c r="E34" s="5">
        <v>3</v>
      </c>
      <c r="F34" s="3" t="str">
        <f ca="1">VLOOKUP($B34&amp;"_"&amp;$E34,OFFSET([1]stages!$A$1,0,0,COUNTA([1]stages!$A:$A),MATCH(F$1,[1]stages!$2:$2,0)-MATCH("temp_stage",[1]stages!$2:$2,0)+1),MATCH(F$1,[1]stages!$2:$2,0)-MATCH("temp_stage",[1]stages!$2:$2,0)+1,FALSE)</f>
        <v xml:space="preserve">【超級】水の帽子屋 </v>
      </c>
      <c r="G34" s="3" t="str">
        <f ca="1">VLOOKUP($B34&amp;"_"&amp;$E34,OFFSET([1]stages!$A$1,0,0,COUNTA([1]stages!$A:$A),MATCH(G$1,[1]stages!$2:$2,0)-MATCH("temp_stage",[1]stages!$2:$2,0)+1),MATCH(G$1,[1]stages!$2:$2,0)-MATCH("temp_stage",[1]stages!$2:$2,0)+1,FALSE)</f>
        <v>金曜クエスト</v>
      </c>
      <c r="H34" s="18">
        <v>0</v>
      </c>
      <c r="I34">
        <v>27</v>
      </c>
      <c r="J34" s="5" t="s">
        <v>16</v>
      </c>
      <c r="K34" s="34" t="str">
        <f>VLOOKUP(I34,[2]stage_hints!$A:$C,3,FALSE)</f>
        <v>ホーム画面からデッキを編成</v>
      </c>
      <c r="L34" s="35" t="str">
        <f>VLOOKUP(I34,[2]stage_hints!$A:$D,4,FALSE)</f>
        <v>ホーム画面でユニットを長押しすると_x000D_すぐにパーティ編成に移動できます</v>
      </c>
      <c r="M34" s="21" t="s">
        <v>23</v>
      </c>
      <c r="N34">
        <v>27</v>
      </c>
    </row>
    <row r="35" spans="1:14" x14ac:dyDescent="0.15">
      <c r="A35" s="26" t="s">
        <v>32</v>
      </c>
      <c r="B35" s="4">
        <v>11005</v>
      </c>
      <c r="C35" s="3" t="str">
        <f ca="1">VLOOKUP($B35,OFFSET([1]quests!$A$1,0,0,COUNTA([1]quests!$A:$A),MATCH(C$1,[1]quests!$1:$1,0)-MATCH($B$1,[1]quests!$1:$1,0)+1),MATCH(C$1,[1]quests!$1:$1,0)-MATCH($B$1,[1]quests!$1:$1,0)+1,FALSE)</f>
        <v>【金曜限定】 帽子屋を追え！</v>
      </c>
      <c r="D35" s="3" t="str">
        <f ca="1">VLOOKUP($B35,OFFSET([1]quests!$A$1,0,0,COUNTA([1]quests!$A:$A),MATCH(D$1,[1]quests!$1:$1,0)-MATCH($B$1,[1]quests!$1:$1,0)+1),MATCH(D$1,[1]quests!$1:$1,0)-MATCH($B$1,[1]quests!$1:$1,0)+1,FALSE)</f>
        <v>金曜クエスト</v>
      </c>
      <c r="E35" s="5">
        <v>3</v>
      </c>
      <c r="F35" s="3" t="str">
        <f ca="1">VLOOKUP($B35&amp;"_"&amp;$E35,OFFSET([1]stages!$A$1,0,0,COUNTA([1]stages!$A:$A),MATCH(F$1,[1]stages!$2:$2,0)-MATCH("temp_stage",[1]stages!$2:$2,0)+1),MATCH(F$1,[1]stages!$2:$2,0)-MATCH("temp_stage",[1]stages!$2:$2,0)+1,FALSE)</f>
        <v xml:space="preserve">【超級】水の帽子屋 </v>
      </c>
      <c r="G35" s="3" t="str">
        <f ca="1">VLOOKUP($B35&amp;"_"&amp;$E35,OFFSET([1]stages!$A$1,0,0,COUNTA([1]stages!$A:$A),MATCH(G$1,[1]stages!$2:$2,0)-MATCH("temp_stage",[1]stages!$2:$2,0)+1),MATCH(G$1,[1]stages!$2:$2,0)-MATCH("temp_stage",[1]stages!$2:$2,0)+1,FALSE)</f>
        <v>金曜クエスト</v>
      </c>
      <c r="H35" s="18">
        <v>0</v>
      </c>
      <c r="I35">
        <v>28</v>
      </c>
      <c r="J35" s="5" t="s">
        <v>16</v>
      </c>
      <c r="K35" s="34" t="str">
        <f>VLOOKUP(I35,[2]stage_hints!$A:$C,3,FALSE)</f>
        <v>ステータス情報は長押しで</v>
      </c>
      <c r="L35" s="35" t="str">
        <f>VLOOKUP(I35,[2]stage_hints!$A:$D,4,FALSE)</f>
        <v>ユニットのアイコンを長押しすると_x000D_ステータス情報を確認することができます</v>
      </c>
      <c r="M35" s="21" t="s">
        <v>23</v>
      </c>
      <c r="N35">
        <v>28</v>
      </c>
    </row>
    <row r="36" spans="1:14" x14ac:dyDescent="0.15">
      <c r="A36" s="26" t="s">
        <v>32</v>
      </c>
      <c r="B36" s="4">
        <v>11005</v>
      </c>
      <c r="C36" s="3" t="str">
        <f ca="1">VLOOKUP($B36,OFFSET([1]quests!$A$1,0,0,COUNTA([1]quests!$A:$A),MATCH(C$1,[1]quests!$1:$1,0)-MATCH($B$1,[1]quests!$1:$1,0)+1),MATCH(C$1,[1]quests!$1:$1,0)-MATCH($B$1,[1]quests!$1:$1,0)+1,FALSE)</f>
        <v>【金曜限定】 帽子屋を追え！</v>
      </c>
      <c r="D36" s="3" t="str">
        <f ca="1">VLOOKUP($B36,OFFSET([1]quests!$A$1,0,0,COUNTA([1]quests!$A:$A),MATCH(D$1,[1]quests!$1:$1,0)-MATCH($B$1,[1]quests!$1:$1,0)+1),MATCH(D$1,[1]quests!$1:$1,0)-MATCH($B$1,[1]quests!$1:$1,0)+1,FALSE)</f>
        <v>金曜クエスト</v>
      </c>
      <c r="E36" s="5">
        <v>3</v>
      </c>
      <c r="F36" s="3" t="str">
        <f ca="1">VLOOKUP($B36&amp;"_"&amp;$E36,OFFSET([1]stages!$A$1,0,0,COUNTA([1]stages!$A:$A),MATCH(F$1,[1]stages!$2:$2,0)-MATCH("temp_stage",[1]stages!$2:$2,0)+1),MATCH(F$1,[1]stages!$2:$2,0)-MATCH("temp_stage",[1]stages!$2:$2,0)+1,FALSE)</f>
        <v xml:space="preserve">【超級】水の帽子屋 </v>
      </c>
      <c r="G36" s="3" t="str">
        <f ca="1">VLOOKUP($B36&amp;"_"&amp;$E36,OFFSET([1]stages!$A$1,0,0,COUNTA([1]stages!$A:$A),MATCH(G$1,[1]stages!$2:$2,0)-MATCH("temp_stage",[1]stages!$2:$2,0)+1),MATCH(G$1,[1]stages!$2:$2,0)-MATCH("temp_stage",[1]stages!$2:$2,0)+1,FALSE)</f>
        <v>金曜クエスト</v>
      </c>
      <c r="H36" s="18">
        <v>0</v>
      </c>
      <c r="I36">
        <v>29</v>
      </c>
      <c r="J36" s="5" t="s">
        <v>16</v>
      </c>
      <c r="K36" s="34" t="str">
        <f>VLOOKUP(I36,[2]stage_hints!$A:$C,3,FALSE)</f>
        <v>「バグ」のメリット</v>
      </c>
      <c r="L36" s="35" t="str">
        <f>VLOOKUP(I36,[2]stage_hints!$A:$D,4,FALSE)</f>
        <v>ユニットの「バグ」を増やすと_x000D_報酬をもらえる確率がアップします</v>
      </c>
      <c r="M36" s="21" t="s">
        <v>23</v>
      </c>
      <c r="N36">
        <v>29</v>
      </c>
    </row>
    <row r="37" spans="1:14" x14ac:dyDescent="0.15">
      <c r="A37" s="26" t="s">
        <v>32</v>
      </c>
      <c r="B37" s="4">
        <v>11005</v>
      </c>
      <c r="C37" s="3" t="str">
        <f ca="1">VLOOKUP($B37,OFFSET([1]quests!$A$1,0,0,COUNTA([1]quests!$A:$A),MATCH(C$1,[1]quests!$1:$1,0)-MATCH($B$1,[1]quests!$1:$1,0)+1),MATCH(C$1,[1]quests!$1:$1,0)-MATCH($B$1,[1]quests!$1:$1,0)+1,FALSE)</f>
        <v>【金曜限定】 帽子屋を追え！</v>
      </c>
      <c r="D37" s="3" t="str">
        <f ca="1">VLOOKUP($B37,OFFSET([1]quests!$A$1,0,0,COUNTA([1]quests!$A:$A),MATCH(D$1,[1]quests!$1:$1,0)-MATCH($B$1,[1]quests!$1:$1,0)+1),MATCH(D$1,[1]quests!$1:$1,0)-MATCH($B$1,[1]quests!$1:$1,0)+1,FALSE)</f>
        <v>金曜クエスト</v>
      </c>
      <c r="E37" s="5">
        <v>3</v>
      </c>
      <c r="F37" s="3" t="str">
        <f ca="1">VLOOKUP($B37&amp;"_"&amp;$E37,OFFSET([1]stages!$A$1,0,0,COUNTA([1]stages!$A:$A),MATCH(F$1,[1]stages!$2:$2,0)-MATCH("temp_stage",[1]stages!$2:$2,0)+1),MATCH(F$1,[1]stages!$2:$2,0)-MATCH("temp_stage",[1]stages!$2:$2,0)+1,FALSE)</f>
        <v xml:space="preserve">【超級】水の帽子屋 </v>
      </c>
      <c r="G37" s="3" t="str">
        <f ca="1">VLOOKUP($B37&amp;"_"&amp;$E37,OFFSET([1]stages!$A$1,0,0,COUNTA([1]stages!$A:$A),MATCH(G$1,[1]stages!$2:$2,0)-MATCH("temp_stage",[1]stages!$2:$2,0)+1),MATCH(G$1,[1]stages!$2:$2,0)-MATCH("temp_stage",[1]stages!$2:$2,0)+1,FALSE)</f>
        <v>金曜クエスト</v>
      </c>
      <c r="H37" s="18">
        <v>0</v>
      </c>
      <c r="I37">
        <v>30</v>
      </c>
      <c r="J37" s="5" t="s">
        <v>16</v>
      </c>
      <c r="K37" s="34" t="str">
        <f>VLOOKUP(I37,[2]stage_hints!$A:$C,3,FALSE)</f>
        <v>「バグ」の増やし方</v>
      </c>
      <c r="L37" s="35" t="str">
        <f>VLOOKUP(I37,[2]stage_hints!$A:$D,4,FALSE)</f>
        <v>同じユニット同士を強化で合成すると_x000D_「バグ」を増やすことができます</v>
      </c>
      <c r="M37" s="21" t="s">
        <v>23</v>
      </c>
      <c r="N37">
        <v>30</v>
      </c>
    </row>
    <row r="38" spans="1:14" x14ac:dyDescent="0.15">
      <c r="A38" s="26" t="s">
        <v>32</v>
      </c>
      <c r="B38" s="4">
        <v>11005</v>
      </c>
      <c r="C38" s="3" t="str">
        <f ca="1">VLOOKUP($B38,OFFSET([1]quests!$A$1,0,0,COUNTA([1]quests!$A:$A),MATCH(C$1,[1]quests!$1:$1,0)-MATCH($B$1,[1]quests!$1:$1,0)+1),MATCH(C$1,[1]quests!$1:$1,0)-MATCH($B$1,[1]quests!$1:$1,0)+1,FALSE)</f>
        <v>【金曜限定】 帽子屋を追え！</v>
      </c>
      <c r="D38" s="3" t="str">
        <f ca="1">VLOOKUP($B38,OFFSET([1]quests!$A$1,0,0,COUNTA([1]quests!$A:$A),MATCH(D$1,[1]quests!$1:$1,0)-MATCH($B$1,[1]quests!$1:$1,0)+1),MATCH(D$1,[1]quests!$1:$1,0)-MATCH($B$1,[1]quests!$1:$1,0)+1,FALSE)</f>
        <v>金曜クエスト</v>
      </c>
      <c r="E38" s="5">
        <v>3</v>
      </c>
      <c r="F38" s="3" t="str">
        <f ca="1">VLOOKUP($B38&amp;"_"&amp;$E38,OFFSET([1]stages!$A$1,0,0,COUNTA([1]stages!$A:$A),MATCH(F$1,[1]stages!$2:$2,0)-MATCH("temp_stage",[1]stages!$2:$2,0)+1),MATCH(F$1,[1]stages!$2:$2,0)-MATCH("temp_stage",[1]stages!$2:$2,0)+1,FALSE)</f>
        <v xml:space="preserve">【超級】水の帽子屋 </v>
      </c>
      <c r="G38" s="3" t="str">
        <f ca="1">VLOOKUP($B38&amp;"_"&amp;$E38,OFFSET([1]stages!$A$1,0,0,COUNTA([1]stages!$A:$A),MATCH(G$1,[1]stages!$2:$2,0)-MATCH("temp_stage",[1]stages!$2:$2,0)+1),MATCH(G$1,[1]stages!$2:$2,0)-MATCH("temp_stage",[1]stages!$2:$2,0)+1,FALSE)</f>
        <v>金曜クエスト</v>
      </c>
      <c r="H38" s="18">
        <v>0</v>
      </c>
      <c r="I38">
        <v>32</v>
      </c>
      <c r="J38" s="5" t="s">
        <v>16</v>
      </c>
      <c r="K38" s="34" t="str">
        <f>VLOOKUP(I38,[2]stage_hints!$A:$C,3,FALSE)</f>
        <v>敵の連続攻撃には</v>
      </c>
      <c r="L38" s="35" t="str">
        <f>VLOOKUP(I38,[2]stage_hints!$A:$D,4,FALSE)</f>
        <v>カウンタースキルを持つユニットがいれば_x000D_ダメージ回数分の反撃ができます</v>
      </c>
      <c r="M38" s="21" t="s">
        <v>23</v>
      </c>
      <c r="N38">
        <v>32</v>
      </c>
    </row>
    <row r="39" spans="1:14" x14ac:dyDescent="0.15">
      <c r="A39" s="26" t="s">
        <v>32</v>
      </c>
      <c r="B39" s="4">
        <v>11005</v>
      </c>
      <c r="C39" s="3" t="str">
        <f ca="1">VLOOKUP($B39,OFFSET([1]quests!$A$1,0,0,COUNTA([1]quests!$A:$A),MATCH(C$1,[1]quests!$1:$1,0)-MATCH($B$1,[1]quests!$1:$1,0)+1),MATCH(C$1,[1]quests!$1:$1,0)-MATCH($B$1,[1]quests!$1:$1,0)+1,FALSE)</f>
        <v>【金曜限定】 帽子屋を追え！</v>
      </c>
      <c r="D39" s="3" t="str">
        <f ca="1">VLOOKUP($B39,OFFSET([1]quests!$A$1,0,0,COUNTA([1]quests!$A:$A),MATCH(D$1,[1]quests!$1:$1,0)-MATCH($B$1,[1]quests!$1:$1,0)+1),MATCH(D$1,[1]quests!$1:$1,0)-MATCH($B$1,[1]quests!$1:$1,0)+1,FALSE)</f>
        <v>金曜クエスト</v>
      </c>
      <c r="E39" s="5">
        <v>3</v>
      </c>
      <c r="F39" s="3" t="str">
        <f ca="1">VLOOKUP($B39&amp;"_"&amp;$E39,OFFSET([1]stages!$A$1,0,0,COUNTA([1]stages!$A:$A),MATCH(F$1,[1]stages!$2:$2,0)-MATCH("temp_stage",[1]stages!$2:$2,0)+1),MATCH(F$1,[1]stages!$2:$2,0)-MATCH("temp_stage",[1]stages!$2:$2,0)+1,FALSE)</f>
        <v xml:space="preserve">【超級】水の帽子屋 </v>
      </c>
      <c r="G39" s="3" t="str">
        <f ca="1">VLOOKUP($B39&amp;"_"&amp;$E39,OFFSET([1]stages!$A$1,0,0,COUNTA([1]stages!$A:$A),MATCH(G$1,[1]stages!$2:$2,0)-MATCH("temp_stage",[1]stages!$2:$2,0)+1),MATCH(G$1,[1]stages!$2:$2,0)-MATCH("temp_stage",[1]stages!$2:$2,0)+1,FALSE)</f>
        <v>金曜クエスト</v>
      </c>
      <c r="H39" s="18">
        <v>0</v>
      </c>
      <c r="I39">
        <v>33</v>
      </c>
      <c r="J39" s="5" t="s">
        <v>16</v>
      </c>
      <c r="K39" s="34" t="str">
        <f>VLOOKUP(I39,[2]stage_hints!$A:$C,3,FALSE)</f>
        <v>敵のカウンター攻撃には</v>
      </c>
      <c r="L39" s="35" t="str">
        <f>VLOOKUP(I39,[2]stage_hints!$A:$D,4,FALSE)</f>
        <v>カウンターブレイクスキルを持っていれば_x000D_敵のカウンターを解除して攻撃ができます</v>
      </c>
      <c r="M39" s="21" t="s">
        <v>23</v>
      </c>
      <c r="N39">
        <v>33</v>
      </c>
    </row>
    <row r="40" spans="1:14" x14ac:dyDescent="0.15">
      <c r="A40" s="26" t="s">
        <v>32</v>
      </c>
      <c r="B40" s="4">
        <v>11005</v>
      </c>
      <c r="C40" s="3" t="str">
        <f ca="1">VLOOKUP($B40,OFFSET([1]quests!$A$1,0,0,COUNTA([1]quests!$A:$A),MATCH(C$1,[1]quests!$1:$1,0)-MATCH($B$1,[1]quests!$1:$1,0)+1),MATCH(C$1,[1]quests!$1:$1,0)-MATCH($B$1,[1]quests!$1:$1,0)+1,FALSE)</f>
        <v>【金曜限定】 帽子屋を追え！</v>
      </c>
      <c r="D40" s="3" t="str">
        <f ca="1">VLOOKUP($B40,OFFSET([1]quests!$A$1,0,0,COUNTA([1]quests!$A:$A),MATCH(D$1,[1]quests!$1:$1,0)-MATCH($B$1,[1]quests!$1:$1,0)+1),MATCH(D$1,[1]quests!$1:$1,0)-MATCH($B$1,[1]quests!$1:$1,0)+1,FALSE)</f>
        <v>金曜クエスト</v>
      </c>
      <c r="E40" s="5">
        <v>3</v>
      </c>
      <c r="F40" s="3" t="str">
        <f ca="1">VLOOKUP($B40&amp;"_"&amp;$E40,OFFSET([1]stages!$A$1,0,0,COUNTA([1]stages!$A:$A),MATCH(F$1,[1]stages!$2:$2,0)-MATCH("temp_stage",[1]stages!$2:$2,0)+1),MATCH(F$1,[1]stages!$2:$2,0)-MATCH("temp_stage",[1]stages!$2:$2,0)+1,FALSE)</f>
        <v xml:space="preserve">【超級】水の帽子屋 </v>
      </c>
      <c r="G40" s="3" t="str">
        <f ca="1">VLOOKUP($B40&amp;"_"&amp;$E40,OFFSET([1]stages!$A$1,0,0,COUNTA([1]stages!$A:$A),MATCH(G$1,[1]stages!$2:$2,0)-MATCH("temp_stage",[1]stages!$2:$2,0)+1),MATCH(G$1,[1]stages!$2:$2,0)-MATCH("temp_stage",[1]stages!$2:$2,0)+1,FALSE)</f>
        <v>金曜クエスト</v>
      </c>
      <c r="H40" s="18">
        <v>0</v>
      </c>
      <c r="I40">
        <v>34</v>
      </c>
      <c r="J40" s="5" t="s">
        <v>16</v>
      </c>
      <c r="K40" s="34" t="str">
        <f>VLOOKUP(I40,[2]stage_hints!$A:$C,3,FALSE)</f>
        <v>ステータスをスキルで下げられたら</v>
      </c>
      <c r="L40" s="35" t="str">
        <f>VLOOKUP(I40,[2]stage_hints!$A:$D,4,FALSE)</f>
        <v>ステータスダウンのスキルを受けたら_x000D_ステータスアップスキルで上書きしましょう</v>
      </c>
      <c r="M40" s="21" t="s">
        <v>23</v>
      </c>
      <c r="N40">
        <v>34</v>
      </c>
    </row>
    <row r="41" spans="1:14" x14ac:dyDescent="0.15">
      <c r="A41" s="26" t="s">
        <v>32</v>
      </c>
      <c r="B41" s="4">
        <v>11005</v>
      </c>
      <c r="C41" s="3" t="str">
        <f ca="1">VLOOKUP($B41,OFFSET([1]quests!$A$1,0,0,COUNTA([1]quests!$A:$A),MATCH(C$1,[1]quests!$1:$1,0)-MATCH($B$1,[1]quests!$1:$1,0)+1),MATCH(C$1,[1]quests!$1:$1,0)-MATCH($B$1,[1]quests!$1:$1,0)+1,FALSE)</f>
        <v>【金曜限定】 帽子屋を追え！</v>
      </c>
      <c r="D41" s="3" t="str">
        <f ca="1">VLOOKUP($B41,OFFSET([1]quests!$A$1,0,0,COUNTA([1]quests!$A:$A),MATCH(D$1,[1]quests!$1:$1,0)-MATCH($B$1,[1]quests!$1:$1,0)+1),MATCH(D$1,[1]quests!$1:$1,0)-MATCH($B$1,[1]quests!$1:$1,0)+1,FALSE)</f>
        <v>金曜クエスト</v>
      </c>
      <c r="E41" s="5">
        <v>3</v>
      </c>
      <c r="F41" s="3" t="str">
        <f ca="1">VLOOKUP($B41&amp;"_"&amp;$E41,OFFSET([1]stages!$A$1,0,0,COUNTA([1]stages!$A:$A),MATCH(F$1,[1]stages!$2:$2,0)-MATCH("temp_stage",[1]stages!$2:$2,0)+1),MATCH(F$1,[1]stages!$2:$2,0)-MATCH("temp_stage",[1]stages!$2:$2,0)+1,FALSE)</f>
        <v xml:space="preserve">【超級】水の帽子屋 </v>
      </c>
      <c r="G41" s="3" t="str">
        <f ca="1">VLOOKUP($B41&amp;"_"&amp;$E41,OFFSET([1]stages!$A$1,0,0,COUNTA([1]stages!$A:$A),MATCH(G$1,[1]stages!$2:$2,0)-MATCH("temp_stage",[1]stages!$2:$2,0)+1),MATCH(G$1,[1]stages!$2:$2,0)-MATCH("temp_stage",[1]stages!$2:$2,0)+1,FALSE)</f>
        <v>金曜クエスト</v>
      </c>
      <c r="H41" s="18">
        <v>0</v>
      </c>
      <c r="I41">
        <v>35</v>
      </c>
      <c r="J41" s="5" t="s">
        <v>16</v>
      </c>
      <c r="K41" s="34" t="str">
        <f>VLOOKUP(I41,[2]stage_hints!$A:$C,3,FALSE)</f>
        <v>敵のステータスがスキルで上がったら</v>
      </c>
      <c r="L41" s="35" t="str">
        <f>VLOOKUP(I41,[2]stage_hints!$A:$D,4,FALSE)</f>
        <v>敵のステータスがスキルでアップしたときは_x000D_ステータスダウンスキルで上書きしましょう</v>
      </c>
      <c r="M41" s="21" t="s">
        <v>23</v>
      </c>
      <c r="N41">
        <v>35</v>
      </c>
    </row>
    <row r="42" spans="1:14" x14ac:dyDescent="0.15">
      <c r="A42" s="26" t="s">
        <v>32</v>
      </c>
      <c r="B42" s="4">
        <v>11005</v>
      </c>
      <c r="C42" s="3" t="str">
        <f ca="1">VLOOKUP($B42,OFFSET([1]quests!$A$1,0,0,COUNTA([1]quests!$A:$A),MATCH(C$1,[1]quests!$1:$1,0)-MATCH($B$1,[1]quests!$1:$1,0)+1),MATCH(C$1,[1]quests!$1:$1,0)-MATCH($B$1,[1]quests!$1:$1,0)+1,FALSE)</f>
        <v>【金曜限定】 帽子屋を追え！</v>
      </c>
      <c r="D42" s="3" t="str">
        <f ca="1">VLOOKUP($B42,OFFSET([1]quests!$A$1,0,0,COUNTA([1]quests!$A:$A),MATCH(D$1,[1]quests!$1:$1,0)-MATCH($B$1,[1]quests!$1:$1,0)+1),MATCH(D$1,[1]quests!$1:$1,0)-MATCH($B$1,[1]quests!$1:$1,0)+1,FALSE)</f>
        <v>金曜クエスト</v>
      </c>
      <c r="E42" s="5">
        <v>3</v>
      </c>
      <c r="F42" s="3" t="str">
        <f ca="1">VLOOKUP($B42&amp;"_"&amp;$E42,OFFSET([1]stages!$A$1,0,0,COUNTA([1]stages!$A:$A),MATCH(F$1,[1]stages!$2:$2,0)-MATCH("temp_stage",[1]stages!$2:$2,0)+1),MATCH(F$1,[1]stages!$2:$2,0)-MATCH("temp_stage",[1]stages!$2:$2,0)+1,FALSE)</f>
        <v xml:space="preserve">【超級】水の帽子屋 </v>
      </c>
      <c r="G42" s="3" t="str">
        <f ca="1">VLOOKUP($B42&amp;"_"&amp;$E42,OFFSET([1]stages!$A$1,0,0,COUNTA([1]stages!$A:$A),MATCH(G$1,[1]stages!$2:$2,0)-MATCH("temp_stage",[1]stages!$2:$2,0)+1),MATCH(G$1,[1]stages!$2:$2,0)-MATCH("temp_stage",[1]stages!$2:$2,0)+1,FALSE)</f>
        <v>金曜クエスト</v>
      </c>
      <c r="H42" s="18">
        <v>0</v>
      </c>
      <c r="I42">
        <v>36</v>
      </c>
      <c r="J42" s="5" t="s">
        <v>16</v>
      </c>
      <c r="K42" s="34" t="str">
        <f>VLOOKUP(I42,[2]stage_hints!$A:$C,3,FALSE)</f>
        <v>タワーオブザクイーンのボス</v>
      </c>
      <c r="L42" s="35" t="str">
        <f>VLOOKUP(I42,[2]stage_hints!$A:$D,4,FALSE)</f>
        <v>「タワーオブザクイーン」最上階のボスは_x000D_15階の初回クリア報酬で獲得できるほか_x000D_その階にて低確率でドロップもします</v>
      </c>
      <c r="M42" s="21" t="s">
        <v>23</v>
      </c>
      <c r="N42">
        <v>36</v>
      </c>
    </row>
    <row r="43" spans="1:14" x14ac:dyDescent="0.15">
      <c r="A43" s="26" t="s">
        <v>32</v>
      </c>
      <c r="B43" s="4">
        <v>11005</v>
      </c>
      <c r="C43" s="3" t="str">
        <f ca="1">VLOOKUP($B43,OFFSET([1]quests!$A$1,0,0,COUNTA([1]quests!$A:$A),MATCH(C$1,[1]quests!$1:$1,0)-MATCH($B$1,[1]quests!$1:$1,0)+1),MATCH(C$1,[1]quests!$1:$1,0)-MATCH($B$1,[1]quests!$1:$1,0)+1,FALSE)</f>
        <v>【金曜限定】 帽子屋を追え！</v>
      </c>
      <c r="D43" s="3" t="str">
        <f ca="1">VLOOKUP($B43,OFFSET([1]quests!$A$1,0,0,COUNTA([1]quests!$A:$A),MATCH(D$1,[1]quests!$1:$1,0)-MATCH($B$1,[1]quests!$1:$1,0)+1),MATCH(D$1,[1]quests!$1:$1,0)-MATCH($B$1,[1]quests!$1:$1,0)+1,FALSE)</f>
        <v>金曜クエスト</v>
      </c>
      <c r="E43" s="5">
        <v>3</v>
      </c>
      <c r="F43" s="3" t="str">
        <f ca="1">VLOOKUP($B43&amp;"_"&amp;$E43,OFFSET([1]stages!$A$1,0,0,COUNTA([1]stages!$A:$A),MATCH(F$1,[1]stages!$2:$2,0)-MATCH("temp_stage",[1]stages!$2:$2,0)+1),MATCH(F$1,[1]stages!$2:$2,0)-MATCH("temp_stage",[1]stages!$2:$2,0)+1,FALSE)</f>
        <v xml:space="preserve">【超級】水の帽子屋 </v>
      </c>
      <c r="G43" s="3" t="str">
        <f ca="1">VLOOKUP($B43&amp;"_"&amp;$E43,OFFSET([1]stages!$A$1,0,0,COUNTA([1]stages!$A:$A),MATCH(G$1,[1]stages!$2:$2,0)-MATCH("temp_stage",[1]stages!$2:$2,0)+1),MATCH(G$1,[1]stages!$2:$2,0)-MATCH("temp_stage",[1]stages!$2:$2,0)+1,FALSE)</f>
        <v>金曜クエスト</v>
      </c>
      <c r="H43" s="18">
        <v>0</v>
      </c>
      <c r="I43">
        <v>37</v>
      </c>
      <c r="J43" s="5" t="s">
        <v>16</v>
      </c>
      <c r="K43" s="34" t="str">
        <f>VLOOKUP(I43,[2]stage_hints!$A:$C,3,FALSE)</f>
        <v>限界突破値の引き継ぎ</v>
      </c>
      <c r="L43" s="35" t="str">
        <f>VLOOKUP(I43,[2]stage_hints!$A:$D,4,FALSE)</f>
        <v>同じユニットを強化で合成すると_x000D_限界突破値を引き継げます（覚醒前後も可）</v>
      </c>
      <c r="M43" s="21" t="s">
        <v>23</v>
      </c>
      <c r="N43">
        <v>37</v>
      </c>
    </row>
    <row r="44" spans="1:14" x14ac:dyDescent="0.15">
      <c r="A44" s="26" t="s">
        <v>32</v>
      </c>
      <c r="B44" s="4">
        <v>11005</v>
      </c>
      <c r="C44" s="3" t="str">
        <f ca="1">VLOOKUP($B44,OFFSET([1]quests!$A$1,0,0,COUNTA([1]quests!$A:$A),MATCH(C$1,[1]quests!$1:$1,0)-MATCH($B$1,[1]quests!$1:$1,0)+1),MATCH(C$1,[1]quests!$1:$1,0)-MATCH($B$1,[1]quests!$1:$1,0)+1,FALSE)</f>
        <v>【金曜限定】 帽子屋を追え！</v>
      </c>
      <c r="D44" s="3" t="str">
        <f ca="1">VLOOKUP($B44,OFFSET([1]quests!$A$1,0,0,COUNTA([1]quests!$A:$A),MATCH(D$1,[1]quests!$1:$1,0)-MATCH($B$1,[1]quests!$1:$1,0)+1),MATCH(D$1,[1]quests!$1:$1,0)-MATCH($B$1,[1]quests!$1:$1,0)+1,FALSE)</f>
        <v>金曜クエスト</v>
      </c>
      <c r="E44" s="5">
        <v>4</v>
      </c>
      <c r="F44" s="3" t="str">
        <f ca="1">VLOOKUP($B44&amp;"_"&amp;$E44,OFFSET([1]stages!$A$1,0,0,COUNTA([1]stages!$A:$A),MATCH(F$1,[1]stages!$2:$2,0)-MATCH("temp_stage",[1]stages!$2:$2,0)+1),MATCH(F$1,[1]stages!$2:$2,0)-MATCH("temp_stage",[1]stages!$2:$2,0)+1,FALSE)</f>
        <v>【超級】雷の帽子屋</v>
      </c>
      <c r="G44" s="3" t="str">
        <f ca="1">VLOOKUP($B44&amp;"_"&amp;$E44,OFFSET([1]stages!$A$1,0,0,COUNTA([1]stages!$A:$A),MATCH(G$1,[1]stages!$2:$2,0)-MATCH("temp_stage",[1]stages!$2:$2,0)+1),MATCH(G$1,[1]stages!$2:$2,0)-MATCH("temp_stage",[1]stages!$2:$2,0)+1,FALSE)</f>
        <v>金曜クエスト</v>
      </c>
      <c r="H44" s="18">
        <v>0</v>
      </c>
      <c r="I44">
        <v>12</v>
      </c>
      <c r="J44" s="5" t="s">
        <v>16</v>
      </c>
      <c r="K44" s="34" t="str">
        <f>VLOOKUP(I44,[2]stage_hints!$A:$C,3,FALSE)</f>
        <v>ユニットのお気に入り登録</v>
      </c>
      <c r="L44" s="35" t="str">
        <f>VLOOKUP(I44,[2]stage_hints!$A:$D,4,FALSE)</f>
        <v>大事なユニットを誤って消さないように_x000D_フォルダから「お気に入り登録」しましょう</v>
      </c>
      <c r="M44" s="21" t="s">
        <v>23</v>
      </c>
      <c r="N44">
        <v>12</v>
      </c>
    </row>
    <row r="45" spans="1:14" x14ac:dyDescent="0.15">
      <c r="A45" s="26" t="s">
        <v>32</v>
      </c>
      <c r="B45" s="4">
        <v>11005</v>
      </c>
      <c r="C45" s="3" t="str">
        <f ca="1">VLOOKUP($B45,OFFSET([1]quests!$A$1,0,0,COUNTA([1]quests!$A:$A),MATCH(C$1,[1]quests!$1:$1,0)-MATCH($B$1,[1]quests!$1:$1,0)+1),MATCH(C$1,[1]quests!$1:$1,0)-MATCH($B$1,[1]quests!$1:$1,0)+1,FALSE)</f>
        <v>【金曜限定】 帽子屋を追え！</v>
      </c>
      <c r="D45" s="3" t="str">
        <f ca="1">VLOOKUP($B45,OFFSET([1]quests!$A$1,0,0,COUNTA([1]quests!$A:$A),MATCH(D$1,[1]quests!$1:$1,0)-MATCH($B$1,[1]quests!$1:$1,0)+1),MATCH(D$1,[1]quests!$1:$1,0)-MATCH($B$1,[1]quests!$1:$1,0)+1,FALSE)</f>
        <v>金曜クエスト</v>
      </c>
      <c r="E45" s="5">
        <v>4</v>
      </c>
      <c r="F45" s="3" t="str">
        <f ca="1">VLOOKUP($B45&amp;"_"&amp;$E45,OFFSET([1]stages!$A$1,0,0,COUNTA([1]stages!$A:$A),MATCH(F$1,[1]stages!$2:$2,0)-MATCH("temp_stage",[1]stages!$2:$2,0)+1),MATCH(F$1,[1]stages!$2:$2,0)-MATCH("temp_stage",[1]stages!$2:$2,0)+1,FALSE)</f>
        <v>【超級】雷の帽子屋</v>
      </c>
      <c r="G45" s="3" t="str">
        <f ca="1">VLOOKUP($B45&amp;"_"&amp;$E45,OFFSET([1]stages!$A$1,0,0,COUNTA([1]stages!$A:$A),MATCH(G$1,[1]stages!$2:$2,0)-MATCH("temp_stage",[1]stages!$2:$2,0)+1),MATCH(G$1,[1]stages!$2:$2,0)-MATCH("temp_stage",[1]stages!$2:$2,0)+1,FALSE)</f>
        <v>金曜クエスト</v>
      </c>
      <c r="H45" s="18">
        <v>0</v>
      </c>
      <c r="I45">
        <v>17</v>
      </c>
      <c r="J45" s="5" t="s">
        <v>16</v>
      </c>
      <c r="K45" s="34" t="str">
        <f>VLOOKUP(I45,[2]stage_hints!$A:$C,3,FALSE)</f>
        <v>リンクガチャ</v>
      </c>
      <c r="L45" s="35" t="str">
        <f>VLOOKUP(I45,[2]stage_hints!$A:$D,4,FALSE)</f>
        <v>無料のリンクガチャを回して_x000D_経験値素材や売却素材を獲得しましょう</v>
      </c>
      <c r="M45" s="21" t="s">
        <v>23</v>
      </c>
      <c r="N45">
        <v>17</v>
      </c>
    </row>
    <row r="46" spans="1:14" x14ac:dyDescent="0.15">
      <c r="A46" s="26" t="s">
        <v>32</v>
      </c>
      <c r="B46" s="4">
        <v>11005</v>
      </c>
      <c r="C46" s="3" t="str">
        <f ca="1">VLOOKUP($B46,OFFSET([1]quests!$A$1,0,0,COUNTA([1]quests!$A:$A),MATCH(C$1,[1]quests!$1:$1,0)-MATCH($B$1,[1]quests!$1:$1,0)+1),MATCH(C$1,[1]quests!$1:$1,0)-MATCH($B$1,[1]quests!$1:$1,0)+1,FALSE)</f>
        <v>【金曜限定】 帽子屋を追え！</v>
      </c>
      <c r="D46" s="3" t="str">
        <f ca="1">VLOOKUP($B46,OFFSET([1]quests!$A$1,0,0,COUNTA([1]quests!$A:$A),MATCH(D$1,[1]quests!$1:$1,0)-MATCH($B$1,[1]quests!$1:$1,0)+1),MATCH(D$1,[1]quests!$1:$1,0)-MATCH($B$1,[1]quests!$1:$1,0)+1,FALSE)</f>
        <v>金曜クエスト</v>
      </c>
      <c r="E46" s="5">
        <v>4</v>
      </c>
      <c r="F46" s="3" t="str">
        <f ca="1">VLOOKUP($B46&amp;"_"&amp;$E46,OFFSET([1]stages!$A$1,0,0,COUNTA([1]stages!$A:$A),MATCH(F$1,[1]stages!$2:$2,0)-MATCH("temp_stage",[1]stages!$2:$2,0)+1),MATCH(F$1,[1]stages!$2:$2,0)-MATCH("temp_stage",[1]stages!$2:$2,0)+1,FALSE)</f>
        <v>【超級】雷の帽子屋</v>
      </c>
      <c r="G46" s="3" t="str">
        <f ca="1">VLOOKUP($B46&amp;"_"&amp;$E46,OFFSET([1]stages!$A$1,0,0,COUNTA([1]stages!$A:$A),MATCH(G$1,[1]stages!$2:$2,0)-MATCH("temp_stage",[1]stages!$2:$2,0)+1),MATCH(G$1,[1]stages!$2:$2,0)-MATCH("temp_stage",[1]stages!$2:$2,0)+1,FALSE)</f>
        <v>金曜クエスト</v>
      </c>
      <c r="H46" s="18">
        <v>0</v>
      </c>
      <c r="I46">
        <v>19</v>
      </c>
      <c r="J46" s="5" t="s">
        <v>16</v>
      </c>
      <c r="K46" s="34" t="str">
        <f>VLOOKUP(I46,[2]stage_hints!$A:$C,3,FALSE)</f>
        <v>ソロ専用タワーオブザクイーン</v>
      </c>
      <c r="L46" s="35" t="str">
        <f>VLOOKUP(I46,[2]stage_hints!$A:$D,4,FALSE)</f>
        <v>ソロ専用の「タワーオブザクイーン」は_x000D_期間限定で定期的に開催されます_x000D_ここでしか獲得できない報酬もあるようです</v>
      </c>
      <c r="M46" s="21" t="s">
        <v>23</v>
      </c>
      <c r="N46">
        <v>19</v>
      </c>
    </row>
    <row r="47" spans="1:14" x14ac:dyDescent="0.15">
      <c r="A47" s="26" t="s">
        <v>32</v>
      </c>
      <c r="B47" s="4">
        <v>11005</v>
      </c>
      <c r="C47" s="3" t="str">
        <f ca="1">VLOOKUP($B47,OFFSET([1]quests!$A$1,0,0,COUNTA([1]quests!$A:$A),MATCH(C$1,[1]quests!$1:$1,0)-MATCH($B$1,[1]quests!$1:$1,0)+1),MATCH(C$1,[1]quests!$1:$1,0)-MATCH($B$1,[1]quests!$1:$1,0)+1,FALSE)</f>
        <v>【金曜限定】 帽子屋を追え！</v>
      </c>
      <c r="D47" s="3" t="str">
        <f ca="1">VLOOKUP($B47,OFFSET([1]quests!$A$1,0,0,COUNTA([1]quests!$A:$A),MATCH(D$1,[1]quests!$1:$1,0)-MATCH($B$1,[1]quests!$1:$1,0)+1),MATCH(D$1,[1]quests!$1:$1,0)-MATCH($B$1,[1]quests!$1:$1,0)+1,FALSE)</f>
        <v>金曜クエスト</v>
      </c>
      <c r="E47" s="5">
        <v>4</v>
      </c>
      <c r="F47" s="3" t="str">
        <f ca="1">VLOOKUP($B47&amp;"_"&amp;$E47,OFFSET([1]stages!$A$1,0,0,COUNTA([1]stages!$A:$A),MATCH(F$1,[1]stages!$2:$2,0)-MATCH("temp_stage",[1]stages!$2:$2,0)+1),MATCH(F$1,[1]stages!$2:$2,0)-MATCH("temp_stage",[1]stages!$2:$2,0)+1,FALSE)</f>
        <v>【超級】雷の帽子屋</v>
      </c>
      <c r="G47" s="3" t="str">
        <f ca="1">VLOOKUP($B47&amp;"_"&amp;$E47,OFFSET([1]stages!$A$1,0,0,COUNTA([1]stages!$A:$A),MATCH(G$1,[1]stages!$2:$2,0)-MATCH("temp_stage",[1]stages!$2:$2,0)+1),MATCH(G$1,[1]stages!$2:$2,0)-MATCH("temp_stage",[1]stages!$2:$2,0)+1,FALSE)</f>
        <v>金曜クエスト</v>
      </c>
      <c r="H47" s="18">
        <v>0</v>
      </c>
      <c r="I47">
        <v>21</v>
      </c>
      <c r="J47" s="5" t="s">
        <v>16</v>
      </c>
      <c r="K47" s="34" t="str">
        <f>VLOOKUP(I47,[2]stage_hints!$A:$C,3,FALSE)</f>
        <v>スキルを有効に</v>
      </c>
      <c r="L47" s="35" t="str">
        <f>VLOOKUP(I47,[2]stage_hints!$A:$D,4,FALSE)</f>
        <v>ターン経過でユニットのスキルが使えます_x000D_強力スキルでバトルを有利に進めましょう</v>
      </c>
      <c r="M47" s="21" t="s">
        <v>23</v>
      </c>
      <c r="N47">
        <v>21</v>
      </c>
    </row>
    <row r="48" spans="1:14" x14ac:dyDescent="0.15">
      <c r="A48" s="26" t="s">
        <v>32</v>
      </c>
      <c r="B48" s="4">
        <v>11005</v>
      </c>
      <c r="C48" s="3" t="str">
        <f ca="1">VLOOKUP($B48,OFFSET([1]quests!$A$1,0,0,COUNTA([1]quests!$A:$A),MATCH(C$1,[1]quests!$1:$1,0)-MATCH($B$1,[1]quests!$1:$1,0)+1),MATCH(C$1,[1]quests!$1:$1,0)-MATCH($B$1,[1]quests!$1:$1,0)+1,FALSE)</f>
        <v>【金曜限定】 帽子屋を追え！</v>
      </c>
      <c r="D48" s="3" t="str">
        <f ca="1">VLOOKUP($B48,OFFSET([1]quests!$A$1,0,0,COUNTA([1]quests!$A:$A),MATCH(D$1,[1]quests!$1:$1,0)-MATCH($B$1,[1]quests!$1:$1,0)+1),MATCH(D$1,[1]quests!$1:$1,0)-MATCH($B$1,[1]quests!$1:$1,0)+1,FALSE)</f>
        <v>金曜クエスト</v>
      </c>
      <c r="E48" s="5">
        <v>4</v>
      </c>
      <c r="F48" s="3" t="str">
        <f ca="1">VLOOKUP($B48&amp;"_"&amp;$E48,OFFSET([1]stages!$A$1,0,0,COUNTA([1]stages!$A:$A),MATCH(F$1,[1]stages!$2:$2,0)-MATCH("temp_stage",[1]stages!$2:$2,0)+1),MATCH(F$1,[1]stages!$2:$2,0)-MATCH("temp_stage",[1]stages!$2:$2,0)+1,FALSE)</f>
        <v>【超級】雷の帽子屋</v>
      </c>
      <c r="G48" s="3" t="str">
        <f ca="1">VLOOKUP($B48&amp;"_"&amp;$E48,OFFSET([1]stages!$A$1,0,0,COUNTA([1]stages!$A:$A),MATCH(G$1,[1]stages!$2:$2,0)-MATCH("temp_stage",[1]stages!$2:$2,0)+1),MATCH(G$1,[1]stages!$2:$2,0)-MATCH("temp_stage",[1]stages!$2:$2,0)+1,FALSE)</f>
        <v>金曜クエスト</v>
      </c>
      <c r="H48" s="18">
        <v>0</v>
      </c>
      <c r="I48">
        <v>27</v>
      </c>
      <c r="J48" s="5" t="s">
        <v>16</v>
      </c>
      <c r="K48" s="34" t="str">
        <f>VLOOKUP(I48,[2]stage_hints!$A:$C,3,FALSE)</f>
        <v>ホーム画面からデッキを編成</v>
      </c>
      <c r="L48" s="35" t="str">
        <f>VLOOKUP(I48,[2]stage_hints!$A:$D,4,FALSE)</f>
        <v>ホーム画面でユニットを長押しすると_x000D_すぐにパーティ編成に移動できます</v>
      </c>
      <c r="M48" s="21" t="s">
        <v>23</v>
      </c>
      <c r="N48">
        <v>27</v>
      </c>
    </row>
    <row r="49" spans="1:14" x14ac:dyDescent="0.15">
      <c r="A49" s="26" t="s">
        <v>32</v>
      </c>
      <c r="B49" s="4">
        <v>11005</v>
      </c>
      <c r="C49" s="3" t="str">
        <f ca="1">VLOOKUP($B49,OFFSET([1]quests!$A$1,0,0,COUNTA([1]quests!$A:$A),MATCH(C$1,[1]quests!$1:$1,0)-MATCH($B$1,[1]quests!$1:$1,0)+1),MATCH(C$1,[1]quests!$1:$1,0)-MATCH($B$1,[1]quests!$1:$1,0)+1,FALSE)</f>
        <v>【金曜限定】 帽子屋を追え！</v>
      </c>
      <c r="D49" s="3" t="str">
        <f ca="1">VLOOKUP($B49,OFFSET([1]quests!$A$1,0,0,COUNTA([1]quests!$A:$A),MATCH(D$1,[1]quests!$1:$1,0)-MATCH($B$1,[1]quests!$1:$1,0)+1),MATCH(D$1,[1]quests!$1:$1,0)-MATCH($B$1,[1]quests!$1:$1,0)+1,FALSE)</f>
        <v>金曜クエスト</v>
      </c>
      <c r="E49" s="5">
        <v>4</v>
      </c>
      <c r="F49" s="3" t="str">
        <f ca="1">VLOOKUP($B49&amp;"_"&amp;$E49,OFFSET([1]stages!$A$1,0,0,COUNTA([1]stages!$A:$A),MATCH(F$1,[1]stages!$2:$2,0)-MATCH("temp_stage",[1]stages!$2:$2,0)+1),MATCH(F$1,[1]stages!$2:$2,0)-MATCH("temp_stage",[1]stages!$2:$2,0)+1,FALSE)</f>
        <v>【超級】雷の帽子屋</v>
      </c>
      <c r="G49" s="3" t="str">
        <f ca="1">VLOOKUP($B49&amp;"_"&amp;$E49,OFFSET([1]stages!$A$1,0,0,COUNTA([1]stages!$A:$A),MATCH(G$1,[1]stages!$2:$2,0)-MATCH("temp_stage",[1]stages!$2:$2,0)+1),MATCH(G$1,[1]stages!$2:$2,0)-MATCH("temp_stage",[1]stages!$2:$2,0)+1,FALSE)</f>
        <v>金曜クエスト</v>
      </c>
      <c r="H49" s="18">
        <v>0</v>
      </c>
      <c r="I49">
        <v>28</v>
      </c>
      <c r="J49" s="5" t="s">
        <v>16</v>
      </c>
      <c r="K49" s="34" t="str">
        <f>VLOOKUP(I49,[2]stage_hints!$A:$C,3,FALSE)</f>
        <v>ステータス情報は長押しで</v>
      </c>
      <c r="L49" s="35" t="str">
        <f>VLOOKUP(I49,[2]stage_hints!$A:$D,4,FALSE)</f>
        <v>ユニットのアイコンを長押しすると_x000D_ステータス情報を確認することができます</v>
      </c>
      <c r="M49" s="21" t="s">
        <v>23</v>
      </c>
      <c r="N49">
        <v>28</v>
      </c>
    </row>
    <row r="50" spans="1:14" x14ac:dyDescent="0.15">
      <c r="A50" s="26" t="s">
        <v>32</v>
      </c>
      <c r="B50" s="4">
        <v>11005</v>
      </c>
      <c r="C50" s="3" t="str">
        <f ca="1">VLOOKUP($B50,OFFSET([1]quests!$A$1,0,0,COUNTA([1]quests!$A:$A),MATCH(C$1,[1]quests!$1:$1,0)-MATCH($B$1,[1]quests!$1:$1,0)+1),MATCH(C$1,[1]quests!$1:$1,0)-MATCH($B$1,[1]quests!$1:$1,0)+1,FALSE)</f>
        <v>【金曜限定】 帽子屋を追え！</v>
      </c>
      <c r="D50" s="3" t="str">
        <f ca="1">VLOOKUP($B50,OFFSET([1]quests!$A$1,0,0,COUNTA([1]quests!$A:$A),MATCH(D$1,[1]quests!$1:$1,0)-MATCH($B$1,[1]quests!$1:$1,0)+1),MATCH(D$1,[1]quests!$1:$1,0)-MATCH($B$1,[1]quests!$1:$1,0)+1,FALSE)</f>
        <v>金曜クエスト</v>
      </c>
      <c r="E50" s="5">
        <v>4</v>
      </c>
      <c r="F50" s="3" t="str">
        <f ca="1">VLOOKUP($B50&amp;"_"&amp;$E50,OFFSET([1]stages!$A$1,0,0,COUNTA([1]stages!$A:$A),MATCH(F$1,[1]stages!$2:$2,0)-MATCH("temp_stage",[1]stages!$2:$2,0)+1),MATCH(F$1,[1]stages!$2:$2,0)-MATCH("temp_stage",[1]stages!$2:$2,0)+1,FALSE)</f>
        <v>【超級】雷の帽子屋</v>
      </c>
      <c r="G50" s="3" t="str">
        <f ca="1">VLOOKUP($B50&amp;"_"&amp;$E50,OFFSET([1]stages!$A$1,0,0,COUNTA([1]stages!$A:$A),MATCH(G$1,[1]stages!$2:$2,0)-MATCH("temp_stage",[1]stages!$2:$2,0)+1),MATCH(G$1,[1]stages!$2:$2,0)-MATCH("temp_stage",[1]stages!$2:$2,0)+1,FALSE)</f>
        <v>金曜クエスト</v>
      </c>
      <c r="H50" s="18">
        <v>0</v>
      </c>
      <c r="I50">
        <v>29</v>
      </c>
      <c r="J50" s="5" t="s">
        <v>16</v>
      </c>
      <c r="K50" s="34" t="str">
        <f>VLOOKUP(I50,[2]stage_hints!$A:$C,3,FALSE)</f>
        <v>「バグ」のメリット</v>
      </c>
      <c r="L50" s="35" t="str">
        <f>VLOOKUP(I50,[2]stage_hints!$A:$D,4,FALSE)</f>
        <v>ユニットの「バグ」を増やすと_x000D_報酬をもらえる確率がアップします</v>
      </c>
      <c r="M50" s="21" t="s">
        <v>23</v>
      </c>
      <c r="N50">
        <v>29</v>
      </c>
    </row>
    <row r="51" spans="1:14" x14ac:dyDescent="0.15">
      <c r="A51" s="26" t="s">
        <v>32</v>
      </c>
      <c r="B51" s="4">
        <v>11005</v>
      </c>
      <c r="C51" s="3" t="str">
        <f ca="1">VLOOKUP($B51,OFFSET([1]quests!$A$1,0,0,COUNTA([1]quests!$A:$A),MATCH(C$1,[1]quests!$1:$1,0)-MATCH($B$1,[1]quests!$1:$1,0)+1),MATCH(C$1,[1]quests!$1:$1,0)-MATCH($B$1,[1]quests!$1:$1,0)+1,FALSE)</f>
        <v>【金曜限定】 帽子屋を追え！</v>
      </c>
      <c r="D51" s="3" t="str">
        <f ca="1">VLOOKUP($B51,OFFSET([1]quests!$A$1,0,0,COUNTA([1]quests!$A:$A),MATCH(D$1,[1]quests!$1:$1,0)-MATCH($B$1,[1]quests!$1:$1,0)+1),MATCH(D$1,[1]quests!$1:$1,0)-MATCH($B$1,[1]quests!$1:$1,0)+1,FALSE)</f>
        <v>金曜クエスト</v>
      </c>
      <c r="E51" s="5">
        <v>4</v>
      </c>
      <c r="F51" s="3" t="str">
        <f ca="1">VLOOKUP($B51&amp;"_"&amp;$E51,OFFSET([1]stages!$A$1,0,0,COUNTA([1]stages!$A:$A),MATCH(F$1,[1]stages!$2:$2,0)-MATCH("temp_stage",[1]stages!$2:$2,0)+1),MATCH(F$1,[1]stages!$2:$2,0)-MATCH("temp_stage",[1]stages!$2:$2,0)+1,FALSE)</f>
        <v>【超級】雷の帽子屋</v>
      </c>
      <c r="G51" s="3" t="str">
        <f ca="1">VLOOKUP($B51&amp;"_"&amp;$E51,OFFSET([1]stages!$A$1,0,0,COUNTA([1]stages!$A:$A),MATCH(G$1,[1]stages!$2:$2,0)-MATCH("temp_stage",[1]stages!$2:$2,0)+1),MATCH(G$1,[1]stages!$2:$2,0)-MATCH("temp_stage",[1]stages!$2:$2,0)+1,FALSE)</f>
        <v>金曜クエスト</v>
      </c>
      <c r="H51" s="18">
        <v>0</v>
      </c>
      <c r="I51">
        <v>30</v>
      </c>
      <c r="J51" s="5" t="s">
        <v>16</v>
      </c>
      <c r="K51" s="34" t="str">
        <f>VLOOKUP(I51,[2]stage_hints!$A:$C,3,FALSE)</f>
        <v>「バグ」の増やし方</v>
      </c>
      <c r="L51" s="35" t="str">
        <f>VLOOKUP(I51,[2]stage_hints!$A:$D,4,FALSE)</f>
        <v>同じユニット同士を強化で合成すると_x000D_「バグ」を増やすことができます</v>
      </c>
      <c r="M51" s="21" t="s">
        <v>23</v>
      </c>
      <c r="N51">
        <v>30</v>
      </c>
    </row>
    <row r="52" spans="1:14" x14ac:dyDescent="0.15">
      <c r="A52" s="26" t="s">
        <v>32</v>
      </c>
      <c r="B52" s="4">
        <v>11005</v>
      </c>
      <c r="C52" s="3" t="str">
        <f ca="1">VLOOKUP($B52,OFFSET([1]quests!$A$1,0,0,COUNTA([1]quests!$A:$A),MATCH(C$1,[1]quests!$1:$1,0)-MATCH($B$1,[1]quests!$1:$1,0)+1),MATCH(C$1,[1]quests!$1:$1,0)-MATCH($B$1,[1]quests!$1:$1,0)+1,FALSE)</f>
        <v>【金曜限定】 帽子屋を追え！</v>
      </c>
      <c r="D52" s="3" t="str">
        <f ca="1">VLOOKUP($B52,OFFSET([1]quests!$A$1,0,0,COUNTA([1]quests!$A:$A),MATCH(D$1,[1]quests!$1:$1,0)-MATCH($B$1,[1]quests!$1:$1,0)+1),MATCH(D$1,[1]quests!$1:$1,0)-MATCH($B$1,[1]quests!$1:$1,0)+1,FALSE)</f>
        <v>金曜クエスト</v>
      </c>
      <c r="E52" s="5">
        <v>4</v>
      </c>
      <c r="F52" s="3" t="str">
        <f ca="1">VLOOKUP($B52&amp;"_"&amp;$E52,OFFSET([1]stages!$A$1,0,0,COUNTA([1]stages!$A:$A),MATCH(F$1,[1]stages!$2:$2,0)-MATCH("temp_stage",[1]stages!$2:$2,0)+1),MATCH(F$1,[1]stages!$2:$2,0)-MATCH("temp_stage",[1]stages!$2:$2,0)+1,FALSE)</f>
        <v>【超級】雷の帽子屋</v>
      </c>
      <c r="G52" s="3" t="str">
        <f ca="1">VLOOKUP($B52&amp;"_"&amp;$E52,OFFSET([1]stages!$A$1,0,0,COUNTA([1]stages!$A:$A),MATCH(G$1,[1]stages!$2:$2,0)-MATCH("temp_stage",[1]stages!$2:$2,0)+1),MATCH(G$1,[1]stages!$2:$2,0)-MATCH("temp_stage",[1]stages!$2:$2,0)+1,FALSE)</f>
        <v>金曜クエスト</v>
      </c>
      <c r="H52" s="18">
        <v>0</v>
      </c>
      <c r="I52">
        <v>32</v>
      </c>
      <c r="J52" s="5" t="s">
        <v>16</v>
      </c>
      <c r="K52" s="34" t="str">
        <f>VLOOKUP(I52,[2]stage_hints!$A:$C,3,FALSE)</f>
        <v>敵の連続攻撃には</v>
      </c>
      <c r="L52" s="35" t="str">
        <f>VLOOKUP(I52,[2]stage_hints!$A:$D,4,FALSE)</f>
        <v>カウンタースキルを持つユニットがいれば_x000D_ダメージ回数分の反撃ができます</v>
      </c>
      <c r="M52" s="21" t="s">
        <v>23</v>
      </c>
      <c r="N52">
        <v>32</v>
      </c>
    </row>
    <row r="53" spans="1:14" x14ac:dyDescent="0.15">
      <c r="A53" s="26" t="s">
        <v>32</v>
      </c>
      <c r="B53" s="4">
        <v>11005</v>
      </c>
      <c r="C53" s="3" t="str">
        <f ca="1">VLOOKUP($B53,OFFSET([1]quests!$A$1,0,0,COUNTA([1]quests!$A:$A),MATCH(C$1,[1]quests!$1:$1,0)-MATCH($B$1,[1]quests!$1:$1,0)+1),MATCH(C$1,[1]quests!$1:$1,0)-MATCH($B$1,[1]quests!$1:$1,0)+1,FALSE)</f>
        <v>【金曜限定】 帽子屋を追え！</v>
      </c>
      <c r="D53" s="3" t="str">
        <f ca="1">VLOOKUP($B53,OFFSET([1]quests!$A$1,0,0,COUNTA([1]quests!$A:$A),MATCH(D$1,[1]quests!$1:$1,0)-MATCH($B$1,[1]quests!$1:$1,0)+1),MATCH(D$1,[1]quests!$1:$1,0)-MATCH($B$1,[1]quests!$1:$1,0)+1,FALSE)</f>
        <v>金曜クエスト</v>
      </c>
      <c r="E53" s="5">
        <v>4</v>
      </c>
      <c r="F53" s="3" t="str">
        <f ca="1">VLOOKUP($B53&amp;"_"&amp;$E53,OFFSET([1]stages!$A$1,0,0,COUNTA([1]stages!$A:$A),MATCH(F$1,[1]stages!$2:$2,0)-MATCH("temp_stage",[1]stages!$2:$2,0)+1),MATCH(F$1,[1]stages!$2:$2,0)-MATCH("temp_stage",[1]stages!$2:$2,0)+1,FALSE)</f>
        <v>【超級】雷の帽子屋</v>
      </c>
      <c r="G53" s="3" t="str">
        <f ca="1">VLOOKUP($B53&amp;"_"&amp;$E53,OFFSET([1]stages!$A$1,0,0,COUNTA([1]stages!$A:$A),MATCH(G$1,[1]stages!$2:$2,0)-MATCH("temp_stage",[1]stages!$2:$2,0)+1),MATCH(G$1,[1]stages!$2:$2,0)-MATCH("temp_stage",[1]stages!$2:$2,0)+1,FALSE)</f>
        <v>金曜クエスト</v>
      </c>
      <c r="H53" s="18">
        <v>0</v>
      </c>
      <c r="I53">
        <v>33</v>
      </c>
      <c r="J53" s="5" t="s">
        <v>16</v>
      </c>
      <c r="K53" s="34" t="str">
        <f>VLOOKUP(I53,[2]stage_hints!$A:$C,3,FALSE)</f>
        <v>敵のカウンター攻撃には</v>
      </c>
      <c r="L53" s="35" t="str">
        <f>VLOOKUP(I53,[2]stage_hints!$A:$D,4,FALSE)</f>
        <v>カウンターブレイクスキルを持っていれば_x000D_敵のカウンターを解除して攻撃ができます</v>
      </c>
      <c r="M53" s="21" t="s">
        <v>23</v>
      </c>
      <c r="N53">
        <v>33</v>
      </c>
    </row>
    <row r="54" spans="1:14" x14ac:dyDescent="0.15">
      <c r="A54" s="26" t="s">
        <v>32</v>
      </c>
      <c r="B54" s="4">
        <v>11005</v>
      </c>
      <c r="C54" s="3" t="str">
        <f ca="1">VLOOKUP($B54,OFFSET([1]quests!$A$1,0,0,COUNTA([1]quests!$A:$A),MATCH(C$1,[1]quests!$1:$1,0)-MATCH($B$1,[1]quests!$1:$1,0)+1),MATCH(C$1,[1]quests!$1:$1,0)-MATCH($B$1,[1]quests!$1:$1,0)+1,FALSE)</f>
        <v>【金曜限定】 帽子屋を追え！</v>
      </c>
      <c r="D54" s="3" t="str">
        <f ca="1">VLOOKUP($B54,OFFSET([1]quests!$A$1,0,0,COUNTA([1]quests!$A:$A),MATCH(D$1,[1]quests!$1:$1,0)-MATCH($B$1,[1]quests!$1:$1,0)+1),MATCH(D$1,[1]quests!$1:$1,0)-MATCH($B$1,[1]quests!$1:$1,0)+1,FALSE)</f>
        <v>金曜クエスト</v>
      </c>
      <c r="E54" s="5">
        <v>4</v>
      </c>
      <c r="F54" s="3" t="str">
        <f ca="1">VLOOKUP($B54&amp;"_"&amp;$E54,OFFSET([1]stages!$A$1,0,0,COUNTA([1]stages!$A:$A),MATCH(F$1,[1]stages!$2:$2,0)-MATCH("temp_stage",[1]stages!$2:$2,0)+1),MATCH(F$1,[1]stages!$2:$2,0)-MATCH("temp_stage",[1]stages!$2:$2,0)+1,FALSE)</f>
        <v>【超級】雷の帽子屋</v>
      </c>
      <c r="G54" s="3" t="str">
        <f ca="1">VLOOKUP($B54&amp;"_"&amp;$E54,OFFSET([1]stages!$A$1,0,0,COUNTA([1]stages!$A:$A),MATCH(G$1,[1]stages!$2:$2,0)-MATCH("temp_stage",[1]stages!$2:$2,0)+1),MATCH(G$1,[1]stages!$2:$2,0)-MATCH("temp_stage",[1]stages!$2:$2,0)+1,FALSE)</f>
        <v>金曜クエスト</v>
      </c>
      <c r="H54" s="18">
        <v>0</v>
      </c>
      <c r="I54">
        <v>34</v>
      </c>
      <c r="J54" s="5" t="s">
        <v>16</v>
      </c>
      <c r="K54" s="34" t="str">
        <f>VLOOKUP(I54,[2]stage_hints!$A:$C,3,FALSE)</f>
        <v>ステータスをスキルで下げられたら</v>
      </c>
      <c r="L54" s="35" t="str">
        <f>VLOOKUP(I54,[2]stage_hints!$A:$D,4,FALSE)</f>
        <v>ステータスダウンのスキルを受けたら_x000D_ステータスアップスキルで上書きしましょう</v>
      </c>
      <c r="M54" s="21" t="s">
        <v>23</v>
      </c>
      <c r="N54">
        <v>34</v>
      </c>
    </row>
    <row r="55" spans="1:14" x14ac:dyDescent="0.15">
      <c r="A55" s="26" t="s">
        <v>32</v>
      </c>
      <c r="B55" s="4">
        <v>11005</v>
      </c>
      <c r="C55" s="3" t="str">
        <f ca="1">VLOOKUP($B55,OFFSET([1]quests!$A$1,0,0,COUNTA([1]quests!$A:$A),MATCH(C$1,[1]quests!$1:$1,0)-MATCH($B$1,[1]quests!$1:$1,0)+1),MATCH(C$1,[1]quests!$1:$1,0)-MATCH($B$1,[1]quests!$1:$1,0)+1,FALSE)</f>
        <v>【金曜限定】 帽子屋を追え！</v>
      </c>
      <c r="D55" s="3" t="str">
        <f ca="1">VLOOKUP($B55,OFFSET([1]quests!$A$1,0,0,COUNTA([1]quests!$A:$A),MATCH(D$1,[1]quests!$1:$1,0)-MATCH($B$1,[1]quests!$1:$1,0)+1),MATCH(D$1,[1]quests!$1:$1,0)-MATCH($B$1,[1]quests!$1:$1,0)+1,FALSE)</f>
        <v>金曜クエスト</v>
      </c>
      <c r="E55" s="5">
        <v>4</v>
      </c>
      <c r="F55" s="3" t="str">
        <f ca="1">VLOOKUP($B55&amp;"_"&amp;$E55,OFFSET([1]stages!$A$1,0,0,COUNTA([1]stages!$A:$A),MATCH(F$1,[1]stages!$2:$2,0)-MATCH("temp_stage",[1]stages!$2:$2,0)+1),MATCH(F$1,[1]stages!$2:$2,0)-MATCH("temp_stage",[1]stages!$2:$2,0)+1,FALSE)</f>
        <v>【超級】雷の帽子屋</v>
      </c>
      <c r="G55" s="3" t="str">
        <f ca="1">VLOOKUP($B55&amp;"_"&amp;$E55,OFFSET([1]stages!$A$1,0,0,COUNTA([1]stages!$A:$A),MATCH(G$1,[1]stages!$2:$2,0)-MATCH("temp_stage",[1]stages!$2:$2,0)+1),MATCH(G$1,[1]stages!$2:$2,0)-MATCH("temp_stage",[1]stages!$2:$2,0)+1,FALSE)</f>
        <v>金曜クエスト</v>
      </c>
      <c r="H55" s="18">
        <v>0</v>
      </c>
      <c r="I55">
        <v>35</v>
      </c>
      <c r="J55" s="5" t="s">
        <v>16</v>
      </c>
      <c r="K55" s="34" t="str">
        <f>VLOOKUP(I55,[2]stage_hints!$A:$C,3,FALSE)</f>
        <v>敵のステータスがスキルで上がったら</v>
      </c>
      <c r="L55" s="35" t="str">
        <f>VLOOKUP(I55,[2]stage_hints!$A:$D,4,FALSE)</f>
        <v>敵のステータスがスキルでアップしたときは_x000D_ステータスダウンスキルで上書きしましょう</v>
      </c>
      <c r="M55" s="21" t="s">
        <v>23</v>
      </c>
      <c r="N55">
        <v>35</v>
      </c>
    </row>
    <row r="56" spans="1:14" x14ac:dyDescent="0.15">
      <c r="A56" s="26" t="s">
        <v>32</v>
      </c>
      <c r="B56" s="4">
        <v>11005</v>
      </c>
      <c r="C56" s="3" t="str">
        <f ca="1">VLOOKUP($B56,OFFSET([1]quests!$A$1,0,0,COUNTA([1]quests!$A:$A),MATCH(C$1,[1]quests!$1:$1,0)-MATCH($B$1,[1]quests!$1:$1,0)+1),MATCH(C$1,[1]quests!$1:$1,0)-MATCH($B$1,[1]quests!$1:$1,0)+1,FALSE)</f>
        <v>【金曜限定】 帽子屋を追え！</v>
      </c>
      <c r="D56" s="3" t="str">
        <f ca="1">VLOOKUP($B56,OFFSET([1]quests!$A$1,0,0,COUNTA([1]quests!$A:$A),MATCH(D$1,[1]quests!$1:$1,0)-MATCH($B$1,[1]quests!$1:$1,0)+1),MATCH(D$1,[1]quests!$1:$1,0)-MATCH($B$1,[1]quests!$1:$1,0)+1,FALSE)</f>
        <v>金曜クエスト</v>
      </c>
      <c r="E56" s="5">
        <v>4</v>
      </c>
      <c r="F56" s="3" t="str">
        <f ca="1">VLOOKUP($B56&amp;"_"&amp;$E56,OFFSET([1]stages!$A$1,0,0,COUNTA([1]stages!$A:$A),MATCH(F$1,[1]stages!$2:$2,0)-MATCH("temp_stage",[1]stages!$2:$2,0)+1),MATCH(F$1,[1]stages!$2:$2,0)-MATCH("temp_stage",[1]stages!$2:$2,0)+1,FALSE)</f>
        <v>【超級】雷の帽子屋</v>
      </c>
      <c r="G56" s="3" t="str">
        <f ca="1">VLOOKUP($B56&amp;"_"&amp;$E56,OFFSET([1]stages!$A$1,0,0,COUNTA([1]stages!$A:$A),MATCH(G$1,[1]stages!$2:$2,0)-MATCH("temp_stage",[1]stages!$2:$2,0)+1),MATCH(G$1,[1]stages!$2:$2,0)-MATCH("temp_stage",[1]stages!$2:$2,0)+1,FALSE)</f>
        <v>金曜クエスト</v>
      </c>
      <c r="H56" s="18">
        <v>0</v>
      </c>
      <c r="I56">
        <v>36</v>
      </c>
      <c r="J56" s="5" t="s">
        <v>16</v>
      </c>
      <c r="K56" s="34" t="str">
        <f>VLOOKUP(I56,[2]stage_hints!$A:$C,3,FALSE)</f>
        <v>タワーオブザクイーンのボス</v>
      </c>
      <c r="L56" s="35" t="str">
        <f>VLOOKUP(I56,[2]stage_hints!$A:$D,4,FALSE)</f>
        <v>「タワーオブザクイーン」最上階のボスは_x000D_15階の初回クリア報酬で獲得できるほか_x000D_その階にて低確率でドロップもします</v>
      </c>
      <c r="M56" s="21" t="s">
        <v>23</v>
      </c>
      <c r="N56">
        <v>36</v>
      </c>
    </row>
    <row r="57" spans="1:14" x14ac:dyDescent="0.15">
      <c r="A57" s="26" t="s">
        <v>32</v>
      </c>
      <c r="B57" s="4">
        <v>11005</v>
      </c>
      <c r="C57" s="3" t="str">
        <f ca="1">VLOOKUP($B57,OFFSET([1]quests!$A$1,0,0,COUNTA([1]quests!$A:$A),MATCH(C$1,[1]quests!$1:$1,0)-MATCH($B$1,[1]quests!$1:$1,0)+1),MATCH(C$1,[1]quests!$1:$1,0)-MATCH($B$1,[1]quests!$1:$1,0)+1,FALSE)</f>
        <v>【金曜限定】 帽子屋を追え！</v>
      </c>
      <c r="D57" s="3" t="str">
        <f ca="1">VLOOKUP($B57,OFFSET([1]quests!$A$1,0,0,COUNTA([1]quests!$A:$A),MATCH(D$1,[1]quests!$1:$1,0)-MATCH($B$1,[1]quests!$1:$1,0)+1),MATCH(D$1,[1]quests!$1:$1,0)-MATCH($B$1,[1]quests!$1:$1,0)+1,FALSE)</f>
        <v>金曜クエスト</v>
      </c>
      <c r="E57" s="5">
        <v>4</v>
      </c>
      <c r="F57" s="3" t="str">
        <f ca="1">VLOOKUP($B57&amp;"_"&amp;$E57,OFFSET([1]stages!$A$1,0,0,COUNTA([1]stages!$A:$A),MATCH(F$1,[1]stages!$2:$2,0)-MATCH("temp_stage",[1]stages!$2:$2,0)+1),MATCH(F$1,[1]stages!$2:$2,0)-MATCH("temp_stage",[1]stages!$2:$2,0)+1,FALSE)</f>
        <v>【超級】雷の帽子屋</v>
      </c>
      <c r="G57" s="3" t="str">
        <f ca="1">VLOOKUP($B57&amp;"_"&amp;$E57,OFFSET([1]stages!$A$1,0,0,COUNTA([1]stages!$A:$A),MATCH(G$1,[1]stages!$2:$2,0)-MATCH("temp_stage",[1]stages!$2:$2,0)+1),MATCH(G$1,[1]stages!$2:$2,0)-MATCH("temp_stage",[1]stages!$2:$2,0)+1,FALSE)</f>
        <v>金曜クエスト</v>
      </c>
      <c r="H57" s="18">
        <v>0</v>
      </c>
      <c r="I57">
        <v>37</v>
      </c>
      <c r="J57" s="5" t="s">
        <v>16</v>
      </c>
      <c r="K57" s="34" t="str">
        <f>VLOOKUP(I57,[2]stage_hints!$A:$C,3,FALSE)</f>
        <v>限界突破値の引き継ぎ</v>
      </c>
      <c r="L57" s="35" t="str">
        <f>VLOOKUP(I57,[2]stage_hints!$A:$D,4,FALSE)</f>
        <v>同じユニットを強化で合成すると_x000D_限界突破値を引き継げます（覚醒前後も可）</v>
      </c>
      <c r="M57" s="21" t="s">
        <v>23</v>
      </c>
      <c r="N57">
        <v>37</v>
      </c>
    </row>
    <row r="58" spans="1:14" x14ac:dyDescent="0.15">
      <c r="A58" s="26" t="s">
        <v>32</v>
      </c>
      <c r="B58" s="4">
        <v>11006</v>
      </c>
      <c r="C58" s="3" t="str">
        <f ca="1">VLOOKUP($B58,OFFSET([1]quests!$A$1,0,0,COUNTA([1]quests!$A:$A),MATCH(C$1,[1]quests!$1:$1,0)-MATCH($B$1,[1]quests!$1:$1,0)+1),MATCH(C$1,[1]quests!$1:$1,0)-MATCH($B$1,[1]quests!$1:$1,0)+1,FALSE)</f>
        <v>【土日限定】 ゴールドカジノ</v>
      </c>
      <c r="D58" s="3" t="str">
        <f ca="1">VLOOKUP($B58,OFFSET([1]quests!$A$1,0,0,COUNTA([1]quests!$A:$A),MATCH(D$1,[1]quests!$1:$1,0)-MATCH($B$1,[1]quests!$1:$1,0)+1),MATCH(D$1,[1]quests!$1:$1,0)-MATCH($B$1,[1]quests!$1:$1,0)+1,FALSE)</f>
        <v>土日クエスト</v>
      </c>
      <c r="E58" s="5">
        <v>4</v>
      </c>
      <c r="F58" s="3" t="str">
        <f ca="1">VLOOKUP($B58&amp;"_"&amp;$E58,OFFSET([1]stages!$A$1,0,0,COUNTA([1]stages!$A:$A),MATCH(F$1,[1]stages!$2:$2,0)-MATCH("temp_stage",[1]stages!$2:$2,0)+1),MATCH(F$1,[1]stages!$2:$2,0)-MATCH("temp_stage",[1]stages!$2:$2,0)+1,FALSE)</f>
        <v xml:space="preserve">【超級】ゴールドカジノ </v>
      </c>
      <c r="G58" s="3" t="str">
        <f ca="1">VLOOKUP($B58&amp;"_"&amp;$E58,OFFSET([1]stages!$A$1,0,0,COUNTA([1]stages!$A:$A),MATCH(G$1,[1]stages!$2:$2,0)-MATCH("temp_stage",[1]stages!$2:$2,0)+1),MATCH(G$1,[1]stages!$2:$2,0)-MATCH("temp_stage",[1]stages!$2:$2,0)+1,FALSE)</f>
        <v>土日クエスト</v>
      </c>
      <c r="H58" s="18">
        <v>0</v>
      </c>
      <c r="I58" s="36">
        <v>3</v>
      </c>
      <c r="J58" s="5" t="s">
        <v>115</v>
      </c>
      <c r="K58" s="34" t="str">
        <f>VLOOKUP(I58,[2]stage_hints!$A:$C,3,FALSE)</f>
        <v>ターゲット</v>
      </c>
      <c r="L58" s="35" t="str">
        <f>VLOOKUP(I58,[2]stage_hints!$A:$D,4,FALSE)</f>
        <v>敵ユニットをタップすると_x000D_その敵を狙い撃ちできます</v>
      </c>
      <c r="M58" s="21" t="s">
        <v>23</v>
      </c>
      <c r="N58">
        <v>3</v>
      </c>
    </row>
    <row r="59" spans="1:14" x14ac:dyDescent="0.15">
      <c r="A59" s="26" t="s">
        <v>32</v>
      </c>
      <c r="B59" s="4">
        <v>11006</v>
      </c>
      <c r="C59" s="3" t="str">
        <f ca="1">VLOOKUP($B59,OFFSET([1]quests!$A$1,0,0,COUNTA([1]quests!$A:$A),MATCH(C$1,[1]quests!$1:$1,0)-MATCH($B$1,[1]quests!$1:$1,0)+1),MATCH(C$1,[1]quests!$1:$1,0)-MATCH($B$1,[1]quests!$1:$1,0)+1,FALSE)</f>
        <v>【土日限定】 ゴールドカジノ</v>
      </c>
      <c r="D59" s="3" t="str">
        <f ca="1">VLOOKUP($B59,OFFSET([1]quests!$A$1,0,0,COUNTA([1]quests!$A:$A),MATCH(D$1,[1]quests!$1:$1,0)-MATCH($B$1,[1]quests!$1:$1,0)+1),MATCH(D$1,[1]quests!$1:$1,0)-MATCH($B$1,[1]quests!$1:$1,0)+1,FALSE)</f>
        <v>土日クエスト</v>
      </c>
      <c r="E59" s="5">
        <v>4</v>
      </c>
      <c r="F59" s="3" t="str">
        <f ca="1">VLOOKUP($B59&amp;"_"&amp;$E59,OFFSET([1]stages!$A$1,0,0,COUNTA([1]stages!$A:$A),MATCH(F$1,[1]stages!$2:$2,0)-MATCH("temp_stage",[1]stages!$2:$2,0)+1),MATCH(F$1,[1]stages!$2:$2,0)-MATCH("temp_stage",[1]stages!$2:$2,0)+1,FALSE)</f>
        <v xml:space="preserve">【超級】ゴールドカジノ </v>
      </c>
      <c r="G59" s="3" t="str">
        <f ca="1">VLOOKUP($B59&amp;"_"&amp;$E59,OFFSET([1]stages!$A$1,0,0,COUNTA([1]stages!$A:$A),MATCH(G$1,[1]stages!$2:$2,0)-MATCH("temp_stage",[1]stages!$2:$2,0)+1),MATCH(G$1,[1]stages!$2:$2,0)-MATCH("temp_stage",[1]stages!$2:$2,0)+1,FALSE)</f>
        <v>土日クエスト</v>
      </c>
      <c r="H59" s="18">
        <v>0</v>
      </c>
      <c r="I59" s="36">
        <v>6</v>
      </c>
      <c r="J59" s="5" t="s">
        <v>116</v>
      </c>
      <c r="K59" s="34" t="str">
        <f>VLOOKUP(I59,[2]stage_hints!$A:$C,3,FALSE)</f>
        <v>ユニット強化の属性ボーナス</v>
      </c>
      <c r="L59" s="35" t="str">
        <f>VLOOKUP(I59,[2]stage_hints!$A:$D,4,FALSE)</f>
        <v>同属性ユニットを強化素材にすると_x000D_経験値が多くもらえます</v>
      </c>
      <c r="M59" s="21" t="s">
        <v>23</v>
      </c>
      <c r="N59">
        <v>6</v>
      </c>
    </row>
    <row r="60" spans="1:14" x14ac:dyDescent="0.15">
      <c r="A60" s="26" t="s">
        <v>32</v>
      </c>
      <c r="B60" s="4">
        <v>11006</v>
      </c>
      <c r="C60" s="3" t="str">
        <f ca="1">VLOOKUP($B60,OFFSET([1]quests!$A$1,0,0,COUNTA([1]quests!$A:$A),MATCH(C$1,[1]quests!$1:$1,0)-MATCH($B$1,[1]quests!$1:$1,0)+1),MATCH(C$1,[1]quests!$1:$1,0)-MATCH($B$1,[1]quests!$1:$1,0)+1,FALSE)</f>
        <v>【土日限定】 ゴールドカジノ</v>
      </c>
      <c r="D60" s="3" t="str">
        <f ca="1">VLOOKUP($B60,OFFSET([1]quests!$A$1,0,0,COUNTA([1]quests!$A:$A),MATCH(D$1,[1]quests!$1:$1,0)-MATCH($B$1,[1]quests!$1:$1,0)+1),MATCH(D$1,[1]quests!$1:$1,0)-MATCH($B$1,[1]quests!$1:$1,0)+1,FALSE)</f>
        <v>土日クエスト</v>
      </c>
      <c r="E60" s="5">
        <v>4</v>
      </c>
      <c r="F60" s="3" t="str">
        <f ca="1">VLOOKUP($B60&amp;"_"&amp;$E60,OFFSET([1]stages!$A$1,0,0,COUNTA([1]stages!$A:$A),MATCH(F$1,[1]stages!$2:$2,0)-MATCH("temp_stage",[1]stages!$2:$2,0)+1),MATCH(F$1,[1]stages!$2:$2,0)-MATCH("temp_stage",[1]stages!$2:$2,0)+1,FALSE)</f>
        <v xml:space="preserve">【超級】ゴールドカジノ </v>
      </c>
      <c r="G60" s="3" t="str">
        <f ca="1">VLOOKUP($B60&amp;"_"&amp;$E60,OFFSET([1]stages!$A$1,0,0,COUNTA([1]stages!$A:$A),MATCH(G$1,[1]stages!$2:$2,0)-MATCH("temp_stage",[1]stages!$2:$2,0)+1),MATCH(G$1,[1]stages!$2:$2,0)-MATCH("temp_stage",[1]stages!$2:$2,0)+1,FALSE)</f>
        <v>土日クエスト</v>
      </c>
      <c r="H60" s="18">
        <v>0</v>
      </c>
      <c r="I60" s="36">
        <v>7</v>
      </c>
      <c r="J60" s="5" t="s">
        <v>117</v>
      </c>
      <c r="K60" s="34" t="str">
        <f>VLOOKUP(I60,[2]stage_hints!$A:$C,3,FALSE)</f>
        <v>メタルダックで経験値を獲得</v>
      </c>
      <c r="L60" s="35" t="str">
        <f>VLOOKUP(I60,[2]stage_hints!$A:$D,4,FALSE)</f>
        <v>「メタルなアヒル」を強化素材にすると_x000D_大量の経験値がもらえます</v>
      </c>
      <c r="M60" s="21" t="s">
        <v>23</v>
      </c>
      <c r="N60">
        <v>7</v>
      </c>
    </row>
    <row r="61" spans="1:14" x14ac:dyDescent="0.15">
      <c r="A61" s="26" t="s">
        <v>32</v>
      </c>
      <c r="B61" s="4">
        <v>11006</v>
      </c>
      <c r="C61" s="3" t="str">
        <f ca="1">VLOOKUP($B61,OFFSET([1]quests!$A$1,0,0,COUNTA([1]quests!$A:$A),MATCH(C$1,[1]quests!$1:$1,0)-MATCH($B$1,[1]quests!$1:$1,0)+1),MATCH(C$1,[1]quests!$1:$1,0)-MATCH($B$1,[1]quests!$1:$1,0)+1,FALSE)</f>
        <v>【土日限定】 ゴールドカジノ</v>
      </c>
      <c r="D61" s="3" t="str">
        <f ca="1">VLOOKUP($B61,OFFSET([1]quests!$A$1,0,0,COUNTA([1]quests!$A:$A),MATCH(D$1,[1]quests!$1:$1,0)-MATCH($B$1,[1]quests!$1:$1,0)+1),MATCH(D$1,[1]quests!$1:$1,0)-MATCH($B$1,[1]quests!$1:$1,0)+1,FALSE)</f>
        <v>土日クエスト</v>
      </c>
      <c r="E61" s="5">
        <v>4</v>
      </c>
      <c r="F61" s="3" t="str">
        <f ca="1">VLOOKUP($B61&amp;"_"&amp;$E61,OFFSET([1]stages!$A$1,0,0,COUNTA([1]stages!$A:$A),MATCH(F$1,[1]stages!$2:$2,0)-MATCH("temp_stage",[1]stages!$2:$2,0)+1),MATCH(F$1,[1]stages!$2:$2,0)-MATCH("temp_stage",[1]stages!$2:$2,0)+1,FALSE)</f>
        <v xml:space="preserve">【超級】ゴールドカジノ </v>
      </c>
      <c r="G61" s="3" t="str">
        <f ca="1">VLOOKUP($B61&amp;"_"&amp;$E61,OFFSET([1]stages!$A$1,0,0,COUNTA([1]stages!$A:$A),MATCH(G$1,[1]stages!$2:$2,0)-MATCH("temp_stage",[1]stages!$2:$2,0)+1),MATCH(G$1,[1]stages!$2:$2,0)-MATCH("temp_stage",[1]stages!$2:$2,0)+1,FALSE)</f>
        <v>土日クエスト</v>
      </c>
      <c r="H61" s="18">
        <v>0</v>
      </c>
      <c r="I61" s="36">
        <v>8</v>
      </c>
      <c r="J61" s="5" t="s">
        <v>118</v>
      </c>
      <c r="K61" s="34" t="str">
        <f>VLOOKUP(I61,[2]stage_hints!$A:$C,3,FALSE)</f>
        <v>ゲリラクエストは要チェック</v>
      </c>
      <c r="L61" s="35" t="str">
        <f>VLOOKUP(I61,[2]stage_hints!$A:$D,4,FALSE)</f>
        <v>時間限定の「アヒル捕獲作戦」では_x000D_経験値素材ユニットが多く手に入ります</v>
      </c>
      <c r="M61" s="21" t="s">
        <v>23</v>
      </c>
      <c r="N61">
        <v>8</v>
      </c>
    </row>
    <row r="62" spans="1:14" x14ac:dyDescent="0.15">
      <c r="A62" s="26" t="s">
        <v>32</v>
      </c>
      <c r="B62" s="4">
        <v>11006</v>
      </c>
      <c r="C62" s="3" t="str">
        <f ca="1">VLOOKUP($B62,OFFSET([1]quests!$A$1,0,0,COUNTA([1]quests!$A:$A),MATCH(C$1,[1]quests!$1:$1,0)-MATCH($B$1,[1]quests!$1:$1,0)+1),MATCH(C$1,[1]quests!$1:$1,0)-MATCH($B$1,[1]quests!$1:$1,0)+1,FALSE)</f>
        <v>【土日限定】 ゴールドカジノ</v>
      </c>
      <c r="D62" s="3" t="str">
        <f ca="1">VLOOKUP($B62,OFFSET([1]quests!$A$1,0,0,COUNTA([1]quests!$A:$A),MATCH(D$1,[1]quests!$1:$1,0)-MATCH($B$1,[1]quests!$1:$1,0)+1),MATCH(D$1,[1]quests!$1:$1,0)-MATCH($B$1,[1]quests!$1:$1,0)+1,FALSE)</f>
        <v>土日クエスト</v>
      </c>
      <c r="E62" s="5">
        <v>4</v>
      </c>
      <c r="F62" s="3" t="str">
        <f ca="1">VLOOKUP($B62&amp;"_"&amp;$E62,OFFSET([1]stages!$A$1,0,0,COUNTA([1]stages!$A:$A),MATCH(F$1,[1]stages!$2:$2,0)-MATCH("temp_stage",[1]stages!$2:$2,0)+1),MATCH(F$1,[1]stages!$2:$2,0)-MATCH("temp_stage",[1]stages!$2:$2,0)+1,FALSE)</f>
        <v xml:space="preserve">【超級】ゴールドカジノ </v>
      </c>
      <c r="G62" s="3" t="str">
        <f ca="1">VLOOKUP($B62&amp;"_"&amp;$E62,OFFSET([1]stages!$A$1,0,0,COUNTA([1]stages!$A:$A),MATCH(G$1,[1]stages!$2:$2,0)-MATCH("temp_stage",[1]stages!$2:$2,0)+1),MATCH(G$1,[1]stages!$2:$2,0)-MATCH("temp_stage",[1]stages!$2:$2,0)+1,FALSE)</f>
        <v>土日クエスト</v>
      </c>
      <c r="H62" s="18">
        <v>0</v>
      </c>
      <c r="I62" s="36">
        <v>9</v>
      </c>
      <c r="J62" s="5" t="s">
        <v>119</v>
      </c>
      <c r="K62" s="34" t="str">
        <f>VLOOKUP(I62,[2]stage_hints!$A:$C,3,FALSE)</f>
        <v>ゴールドダックでビットを獲得</v>
      </c>
      <c r="L62" s="35" t="str">
        <f>VLOOKUP(I62,[2]stage_hints!$A:$D,4,FALSE)</f>
        <v>「ゴールドなアヒル」を売却すると_x000D_大量のビットがもらえます</v>
      </c>
      <c r="M62" s="21" t="s">
        <v>23</v>
      </c>
      <c r="N62">
        <v>9</v>
      </c>
    </row>
    <row r="63" spans="1:14" x14ac:dyDescent="0.15">
      <c r="A63" s="26" t="s">
        <v>32</v>
      </c>
      <c r="B63" s="4">
        <v>11006</v>
      </c>
      <c r="C63" s="3" t="str">
        <f ca="1">VLOOKUP($B63,OFFSET([1]quests!$A$1,0,0,COUNTA([1]quests!$A:$A),MATCH(C$1,[1]quests!$1:$1,0)-MATCH($B$1,[1]quests!$1:$1,0)+1),MATCH(C$1,[1]quests!$1:$1,0)-MATCH($B$1,[1]quests!$1:$1,0)+1,FALSE)</f>
        <v>【土日限定】 ゴールドカジノ</v>
      </c>
      <c r="D63" s="3" t="str">
        <f ca="1">VLOOKUP($B63,OFFSET([1]quests!$A$1,0,0,COUNTA([1]quests!$A:$A),MATCH(D$1,[1]quests!$1:$1,0)-MATCH($B$1,[1]quests!$1:$1,0)+1),MATCH(D$1,[1]quests!$1:$1,0)-MATCH($B$1,[1]quests!$1:$1,0)+1,FALSE)</f>
        <v>土日クエスト</v>
      </c>
      <c r="E63" s="5">
        <v>4</v>
      </c>
      <c r="F63" s="3" t="str">
        <f ca="1">VLOOKUP($B63&amp;"_"&amp;$E63,OFFSET([1]stages!$A$1,0,0,COUNTA([1]stages!$A:$A),MATCH(F$1,[1]stages!$2:$2,0)-MATCH("temp_stage",[1]stages!$2:$2,0)+1),MATCH(F$1,[1]stages!$2:$2,0)-MATCH("temp_stage",[1]stages!$2:$2,0)+1,FALSE)</f>
        <v xml:space="preserve">【超級】ゴールドカジノ </v>
      </c>
      <c r="G63" s="3" t="str">
        <f ca="1">VLOOKUP($B63&amp;"_"&amp;$E63,OFFSET([1]stages!$A$1,0,0,COUNTA([1]stages!$A:$A),MATCH(G$1,[1]stages!$2:$2,0)-MATCH("temp_stage",[1]stages!$2:$2,0)+1),MATCH(G$1,[1]stages!$2:$2,0)-MATCH("temp_stage",[1]stages!$2:$2,0)+1,FALSE)</f>
        <v>土日クエスト</v>
      </c>
      <c r="H63" s="18">
        <v>0</v>
      </c>
      <c r="I63" s="36">
        <v>10</v>
      </c>
      <c r="J63" s="5" t="s">
        <v>119</v>
      </c>
      <c r="K63" s="34" t="str">
        <f>VLOOKUP(I63,[2]stage_hints!$A:$C,3,FALSE)</f>
        <v>土日に大量のビットを獲得</v>
      </c>
      <c r="L63" s="35" t="str">
        <f>VLOOKUP(I63,[2]stage_hints!$A:$D,4,FALSE)</f>
        <v>土日限定の「ゴールドカジノ」では_x000D_売却素材ユニットが多く手に入ります</v>
      </c>
      <c r="M63" s="21" t="s">
        <v>23</v>
      </c>
      <c r="N63">
        <v>10</v>
      </c>
    </row>
    <row r="64" spans="1:14" x14ac:dyDescent="0.15">
      <c r="A64" s="26" t="s">
        <v>32</v>
      </c>
      <c r="B64" s="4">
        <v>11006</v>
      </c>
      <c r="C64" s="3" t="str">
        <f ca="1">VLOOKUP($B64,OFFSET([1]quests!$A$1,0,0,COUNTA([1]quests!$A:$A),MATCH(C$1,[1]quests!$1:$1,0)-MATCH($B$1,[1]quests!$1:$1,0)+1),MATCH(C$1,[1]quests!$1:$1,0)-MATCH($B$1,[1]quests!$1:$1,0)+1,FALSE)</f>
        <v>【土日限定】 ゴールドカジノ</v>
      </c>
      <c r="D64" s="3" t="str">
        <f ca="1">VLOOKUP($B64,OFFSET([1]quests!$A$1,0,0,COUNTA([1]quests!$A:$A),MATCH(D$1,[1]quests!$1:$1,0)-MATCH($B$1,[1]quests!$1:$1,0)+1),MATCH(D$1,[1]quests!$1:$1,0)-MATCH($B$1,[1]quests!$1:$1,0)+1,FALSE)</f>
        <v>土日クエスト</v>
      </c>
      <c r="E64" s="5">
        <v>4</v>
      </c>
      <c r="F64" s="3" t="str">
        <f ca="1">VLOOKUP($B64&amp;"_"&amp;$E64,OFFSET([1]stages!$A$1,0,0,COUNTA([1]stages!$A:$A),MATCH(F$1,[1]stages!$2:$2,0)-MATCH("temp_stage",[1]stages!$2:$2,0)+1),MATCH(F$1,[1]stages!$2:$2,0)-MATCH("temp_stage",[1]stages!$2:$2,0)+1,FALSE)</f>
        <v xml:space="preserve">【超級】ゴールドカジノ </v>
      </c>
      <c r="G64" s="3" t="str">
        <f ca="1">VLOOKUP($B64&amp;"_"&amp;$E64,OFFSET([1]stages!$A$1,0,0,COUNTA([1]stages!$A:$A),MATCH(G$1,[1]stages!$2:$2,0)-MATCH("temp_stage",[1]stages!$2:$2,0)+1),MATCH(G$1,[1]stages!$2:$2,0)-MATCH("temp_stage",[1]stages!$2:$2,0)+1,FALSE)</f>
        <v>土日クエスト</v>
      </c>
      <c r="H64" s="18">
        <v>0</v>
      </c>
      <c r="I64" s="36">
        <v>11</v>
      </c>
      <c r="J64" s="5" t="s">
        <v>119</v>
      </c>
      <c r="K64" s="34" t="str">
        <f>VLOOKUP(I64,[2]stage_hints!$A:$C,3,FALSE)</f>
        <v>ランク解放クエスト</v>
      </c>
      <c r="L64" s="35" t="str">
        <f>VLOOKUP(I64,[2]stage_hints!$A:$D,4,FALSE)</f>
        <v>一定ランクに到達すると_x000D_報酬付きのランク開放クエストが現れます</v>
      </c>
      <c r="M64" s="21" t="s">
        <v>23</v>
      </c>
      <c r="N64">
        <v>11</v>
      </c>
    </row>
    <row r="65" spans="1:14" x14ac:dyDescent="0.15">
      <c r="A65" s="26" t="s">
        <v>32</v>
      </c>
      <c r="B65" s="4">
        <v>11006</v>
      </c>
      <c r="C65" s="3" t="str">
        <f ca="1">VLOOKUP($B65,OFFSET([1]quests!$A$1,0,0,COUNTA([1]quests!$A:$A),MATCH(C$1,[1]quests!$1:$1,0)-MATCH($B$1,[1]quests!$1:$1,0)+1),MATCH(C$1,[1]quests!$1:$1,0)-MATCH($B$1,[1]quests!$1:$1,0)+1,FALSE)</f>
        <v>【土日限定】 ゴールドカジノ</v>
      </c>
      <c r="D65" s="3" t="str">
        <f ca="1">VLOOKUP($B65,OFFSET([1]quests!$A$1,0,0,COUNTA([1]quests!$A:$A),MATCH(D$1,[1]quests!$1:$1,0)-MATCH($B$1,[1]quests!$1:$1,0)+1),MATCH(D$1,[1]quests!$1:$1,0)-MATCH($B$1,[1]quests!$1:$1,0)+1,FALSE)</f>
        <v>土日クエスト</v>
      </c>
      <c r="E65" s="5">
        <v>4</v>
      </c>
      <c r="F65" s="3" t="str">
        <f ca="1">VLOOKUP($B65&amp;"_"&amp;$E65,OFFSET([1]stages!$A$1,0,0,COUNTA([1]stages!$A:$A),MATCH(F$1,[1]stages!$2:$2,0)-MATCH("temp_stage",[1]stages!$2:$2,0)+1),MATCH(F$1,[1]stages!$2:$2,0)-MATCH("temp_stage",[1]stages!$2:$2,0)+1,FALSE)</f>
        <v xml:space="preserve">【超級】ゴールドカジノ </v>
      </c>
      <c r="G65" s="3" t="str">
        <f ca="1">VLOOKUP($B65&amp;"_"&amp;$E65,OFFSET([1]stages!$A$1,0,0,COUNTA([1]stages!$A:$A),MATCH(G$1,[1]stages!$2:$2,0)-MATCH("temp_stage",[1]stages!$2:$2,0)+1),MATCH(G$1,[1]stages!$2:$2,0)-MATCH("temp_stage",[1]stages!$2:$2,0)+1,FALSE)</f>
        <v>土日クエスト</v>
      </c>
      <c r="H65" s="18">
        <v>0</v>
      </c>
      <c r="I65" s="36">
        <v>12</v>
      </c>
      <c r="J65" s="5" t="s">
        <v>120</v>
      </c>
      <c r="K65" s="34" t="str">
        <f>VLOOKUP(I65,[2]stage_hints!$A:$C,3,FALSE)</f>
        <v>ユニットのお気に入り登録</v>
      </c>
      <c r="L65" s="35" t="str">
        <f>VLOOKUP(I65,[2]stage_hints!$A:$D,4,FALSE)</f>
        <v>大事なユニットを誤って消さないように_x000D_フォルダから「お気に入り登録」しましょう</v>
      </c>
      <c r="M65" s="21" t="s">
        <v>23</v>
      </c>
      <c r="N65">
        <v>12</v>
      </c>
    </row>
    <row r="66" spans="1:14" x14ac:dyDescent="0.15">
      <c r="A66" s="26" t="s">
        <v>32</v>
      </c>
      <c r="B66" s="4">
        <v>11006</v>
      </c>
      <c r="C66" s="3" t="str">
        <f ca="1">VLOOKUP($B66,OFFSET([1]quests!$A$1,0,0,COUNTA([1]quests!$A:$A),MATCH(C$1,[1]quests!$1:$1,0)-MATCH($B$1,[1]quests!$1:$1,0)+1),MATCH(C$1,[1]quests!$1:$1,0)-MATCH($B$1,[1]quests!$1:$1,0)+1,FALSE)</f>
        <v>【土日限定】 ゴールドカジノ</v>
      </c>
      <c r="D66" s="3" t="str">
        <f ca="1">VLOOKUP($B66,OFFSET([1]quests!$A$1,0,0,COUNTA([1]quests!$A:$A),MATCH(D$1,[1]quests!$1:$1,0)-MATCH($B$1,[1]quests!$1:$1,0)+1),MATCH(D$1,[1]quests!$1:$1,0)-MATCH($B$1,[1]quests!$1:$1,0)+1,FALSE)</f>
        <v>土日クエスト</v>
      </c>
      <c r="E66" s="5">
        <v>4</v>
      </c>
      <c r="F66" s="3" t="str">
        <f ca="1">VLOOKUP($B66&amp;"_"&amp;$E66,OFFSET([1]stages!$A$1,0,0,COUNTA([1]stages!$A:$A),MATCH(F$1,[1]stages!$2:$2,0)-MATCH("temp_stage",[1]stages!$2:$2,0)+1),MATCH(F$1,[1]stages!$2:$2,0)-MATCH("temp_stage",[1]stages!$2:$2,0)+1,FALSE)</f>
        <v xml:space="preserve">【超級】ゴールドカジノ </v>
      </c>
      <c r="G66" s="3" t="str">
        <f ca="1">VLOOKUP($B66&amp;"_"&amp;$E66,OFFSET([1]stages!$A$1,0,0,COUNTA([1]stages!$A:$A),MATCH(G$1,[1]stages!$2:$2,0)-MATCH("temp_stage",[1]stages!$2:$2,0)+1),MATCH(G$1,[1]stages!$2:$2,0)-MATCH("temp_stage",[1]stages!$2:$2,0)+1,FALSE)</f>
        <v>土日クエスト</v>
      </c>
      <c r="H66" s="18">
        <v>0</v>
      </c>
      <c r="I66" s="36">
        <v>13</v>
      </c>
      <c r="J66" s="5" t="s">
        <v>118</v>
      </c>
      <c r="K66" s="34" t="str">
        <f>VLOOKUP(I66,[2]stage_hints!$A:$C,3,FALSE)</f>
        <v>ユニットの覚醒</v>
      </c>
      <c r="L66" s="35" t="str">
        <f>VLOOKUP(I66,[2]stage_hints!$A:$D,4,FALSE)</f>
        <v>ユニットを覚醒させると_x000D_比べものにならない強さが手に入ります</v>
      </c>
      <c r="M66" s="21" t="s">
        <v>23</v>
      </c>
      <c r="N66">
        <v>13</v>
      </c>
    </row>
    <row r="67" spans="1:14" x14ac:dyDescent="0.15">
      <c r="A67" s="26" t="s">
        <v>32</v>
      </c>
      <c r="B67" s="4">
        <v>11006</v>
      </c>
      <c r="C67" s="3" t="str">
        <f ca="1">VLOOKUP($B67,OFFSET([1]quests!$A$1,0,0,COUNTA([1]quests!$A:$A),MATCH(C$1,[1]quests!$1:$1,0)-MATCH($B$1,[1]quests!$1:$1,0)+1),MATCH(C$1,[1]quests!$1:$1,0)-MATCH($B$1,[1]quests!$1:$1,0)+1,FALSE)</f>
        <v>【土日限定】 ゴールドカジノ</v>
      </c>
      <c r="D67" s="3" t="str">
        <f ca="1">VLOOKUP($B67,OFFSET([1]quests!$A$1,0,0,COUNTA([1]quests!$A:$A),MATCH(D$1,[1]quests!$1:$1,0)-MATCH($B$1,[1]quests!$1:$1,0)+1),MATCH(D$1,[1]quests!$1:$1,0)-MATCH($B$1,[1]quests!$1:$1,0)+1,FALSE)</f>
        <v>土日クエスト</v>
      </c>
      <c r="E67" s="5">
        <v>4</v>
      </c>
      <c r="F67" s="3" t="str">
        <f ca="1">VLOOKUP($B67&amp;"_"&amp;$E67,OFFSET([1]stages!$A$1,0,0,COUNTA([1]stages!$A:$A),MATCH(F$1,[1]stages!$2:$2,0)-MATCH("temp_stage",[1]stages!$2:$2,0)+1),MATCH(F$1,[1]stages!$2:$2,0)-MATCH("temp_stage",[1]stages!$2:$2,0)+1,FALSE)</f>
        <v xml:space="preserve">【超級】ゴールドカジノ </v>
      </c>
      <c r="G67" s="3" t="str">
        <f ca="1">VLOOKUP($B67&amp;"_"&amp;$E67,OFFSET([1]stages!$A$1,0,0,COUNTA([1]stages!$A:$A),MATCH(G$1,[1]stages!$2:$2,0)-MATCH("temp_stage",[1]stages!$2:$2,0)+1),MATCH(G$1,[1]stages!$2:$2,0)-MATCH("temp_stage",[1]stages!$2:$2,0)+1,FALSE)</f>
        <v>土日クエスト</v>
      </c>
      <c r="H67" s="18">
        <v>0</v>
      </c>
      <c r="I67" s="36">
        <v>14</v>
      </c>
      <c r="J67" s="5" t="s">
        <v>118</v>
      </c>
      <c r="K67" s="34" t="str">
        <f>VLOOKUP(I67,[2]stage_hints!$A:$C,3,FALSE)</f>
        <v>覚醒するにはレベルを最大に</v>
      </c>
      <c r="L67" s="35" t="str">
        <f>VLOOKUP(I67,[2]stage_hints!$A:$D,4,FALSE)</f>
        <v>覚醒するにはユニットのレベルを_x000D_最大まで上げる必要があります</v>
      </c>
      <c r="M67" s="21" t="s">
        <v>23</v>
      </c>
      <c r="N67">
        <v>14</v>
      </c>
    </row>
    <row r="68" spans="1:14" x14ac:dyDescent="0.15">
      <c r="A68" s="26" t="s">
        <v>32</v>
      </c>
      <c r="B68" s="4">
        <v>11006</v>
      </c>
      <c r="C68" s="3" t="str">
        <f ca="1">VLOOKUP($B68,OFFSET([1]quests!$A$1,0,0,COUNTA([1]quests!$A:$A),MATCH(C$1,[1]quests!$1:$1,0)-MATCH($B$1,[1]quests!$1:$1,0)+1),MATCH(C$1,[1]quests!$1:$1,0)-MATCH($B$1,[1]quests!$1:$1,0)+1,FALSE)</f>
        <v>【土日限定】 ゴールドカジノ</v>
      </c>
      <c r="D68" s="3" t="str">
        <f ca="1">VLOOKUP($B68,OFFSET([1]quests!$A$1,0,0,COUNTA([1]quests!$A:$A),MATCH(D$1,[1]quests!$1:$1,0)-MATCH($B$1,[1]quests!$1:$1,0)+1),MATCH(D$1,[1]quests!$1:$1,0)-MATCH($B$1,[1]quests!$1:$1,0)+1,FALSE)</f>
        <v>土日クエスト</v>
      </c>
      <c r="E68" s="5">
        <v>4</v>
      </c>
      <c r="F68" s="3" t="str">
        <f ca="1">VLOOKUP($B68&amp;"_"&amp;$E68,OFFSET([1]stages!$A$1,0,0,COUNTA([1]stages!$A:$A),MATCH(F$1,[1]stages!$2:$2,0)-MATCH("temp_stage",[1]stages!$2:$2,0)+1),MATCH(F$1,[1]stages!$2:$2,0)-MATCH("temp_stage",[1]stages!$2:$2,0)+1,FALSE)</f>
        <v xml:space="preserve">【超級】ゴールドカジノ </v>
      </c>
      <c r="G68" s="3" t="str">
        <f ca="1">VLOOKUP($B68&amp;"_"&amp;$E68,OFFSET([1]stages!$A$1,0,0,COUNTA([1]stages!$A:$A),MATCH(G$1,[1]stages!$2:$2,0)-MATCH("temp_stage",[1]stages!$2:$2,0)+1),MATCH(G$1,[1]stages!$2:$2,0)-MATCH("temp_stage",[1]stages!$2:$2,0)+1,FALSE)</f>
        <v>土日クエスト</v>
      </c>
      <c r="H68" s="18">
        <v>0</v>
      </c>
      <c r="I68" s="36">
        <v>15</v>
      </c>
      <c r="J68" s="5" t="s">
        <v>121</v>
      </c>
      <c r="K68" s="34" t="str">
        <f>VLOOKUP(I68,[2]stage_hints!$A:$C,3,FALSE)</f>
        <v>覚醒素材を獲得</v>
      </c>
      <c r="L68" s="35" t="str">
        <f>VLOOKUP(I68,[2]stage_hints!$A:$D,4,FALSE)</f>
        <v>「曜日クエスト」では_x000D_ユニットの覚醒に必要な素材が手に入ります</v>
      </c>
      <c r="M68" s="21" t="s">
        <v>23</v>
      </c>
      <c r="N68">
        <v>15</v>
      </c>
    </row>
    <row r="69" spans="1:14" x14ac:dyDescent="0.15">
      <c r="A69" s="26" t="s">
        <v>32</v>
      </c>
      <c r="B69" s="4">
        <v>11006</v>
      </c>
      <c r="C69" s="3" t="str">
        <f ca="1">VLOOKUP($B69,OFFSET([1]quests!$A$1,0,0,COUNTA([1]quests!$A:$A),MATCH(C$1,[1]quests!$1:$1,0)-MATCH($B$1,[1]quests!$1:$1,0)+1),MATCH(C$1,[1]quests!$1:$1,0)-MATCH($B$1,[1]quests!$1:$1,0)+1,FALSE)</f>
        <v>【土日限定】 ゴールドカジノ</v>
      </c>
      <c r="D69" s="3" t="str">
        <f ca="1">VLOOKUP($B69,OFFSET([1]quests!$A$1,0,0,COUNTA([1]quests!$A:$A),MATCH(D$1,[1]quests!$1:$1,0)-MATCH($B$1,[1]quests!$1:$1,0)+1),MATCH(D$1,[1]quests!$1:$1,0)-MATCH($B$1,[1]quests!$1:$1,0)+1,FALSE)</f>
        <v>土日クエスト</v>
      </c>
      <c r="E69" s="5">
        <v>4</v>
      </c>
      <c r="F69" s="3" t="str">
        <f ca="1">VLOOKUP($B69&amp;"_"&amp;$E69,OFFSET([1]stages!$A$1,0,0,COUNTA([1]stages!$A:$A),MATCH(F$1,[1]stages!$2:$2,0)-MATCH("temp_stage",[1]stages!$2:$2,0)+1),MATCH(F$1,[1]stages!$2:$2,0)-MATCH("temp_stage",[1]stages!$2:$2,0)+1,FALSE)</f>
        <v xml:space="preserve">【超級】ゴールドカジノ </v>
      </c>
      <c r="G69" s="3" t="str">
        <f ca="1">VLOOKUP($B69&amp;"_"&amp;$E69,OFFSET([1]stages!$A$1,0,0,COUNTA([1]stages!$A:$A),MATCH(G$1,[1]stages!$2:$2,0)-MATCH("temp_stage",[1]stages!$2:$2,0)+1),MATCH(G$1,[1]stages!$2:$2,0)-MATCH("temp_stage",[1]stages!$2:$2,0)+1,FALSE)</f>
        <v>土日クエスト</v>
      </c>
      <c r="H69" s="18">
        <v>0</v>
      </c>
      <c r="I69" s="36">
        <v>16</v>
      </c>
      <c r="J69" s="5" t="s">
        <v>118</v>
      </c>
      <c r="K69" s="34" t="str">
        <f>VLOOKUP(I69,[2]stage_hints!$A:$C,3,FALSE)</f>
        <v>マルチプレイのメリット（その1）</v>
      </c>
      <c r="L69" s="35" t="str">
        <f>VLOOKUP(I69,[2]stage_hints!$A:$D,4,FALSE)</f>
        <v>他のプレイヤーとマルチプレイで遊ぶと_x000D_ポリゴンがもらえます（100人まで）</v>
      </c>
      <c r="M69" s="21" t="s">
        <v>23</v>
      </c>
      <c r="N69">
        <v>16</v>
      </c>
    </row>
    <row r="70" spans="1:14" x14ac:dyDescent="0.15">
      <c r="A70" s="26" t="s">
        <v>32</v>
      </c>
      <c r="B70" s="4">
        <v>11006</v>
      </c>
      <c r="C70" s="3" t="str">
        <f ca="1">VLOOKUP($B70,OFFSET([1]quests!$A$1,0,0,COUNTA([1]quests!$A:$A),MATCH(C$1,[1]quests!$1:$1,0)-MATCH($B$1,[1]quests!$1:$1,0)+1),MATCH(C$1,[1]quests!$1:$1,0)-MATCH($B$1,[1]quests!$1:$1,0)+1,FALSE)</f>
        <v>【土日限定】 ゴールドカジノ</v>
      </c>
      <c r="D70" s="3" t="str">
        <f ca="1">VLOOKUP($B70,OFFSET([1]quests!$A$1,0,0,COUNTA([1]quests!$A:$A),MATCH(D$1,[1]quests!$1:$1,0)-MATCH($B$1,[1]quests!$1:$1,0)+1),MATCH(D$1,[1]quests!$1:$1,0)-MATCH($B$1,[1]quests!$1:$1,0)+1,FALSE)</f>
        <v>土日クエスト</v>
      </c>
      <c r="E70" s="5">
        <v>4</v>
      </c>
      <c r="F70" s="3" t="str">
        <f ca="1">VLOOKUP($B70&amp;"_"&amp;$E70,OFFSET([1]stages!$A$1,0,0,COUNTA([1]stages!$A:$A),MATCH(F$1,[1]stages!$2:$2,0)-MATCH("temp_stage",[1]stages!$2:$2,0)+1),MATCH(F$1,[1]stages!$2:$2,0)-MATCH("temp_stage",[1]stages!$2:$2,0)+1,FALSE)</f>
        <v xml:space="preserve">【超級】ゴールドカジノ </v>
      </c>
      <c r="G70" s="3" t="str">
        <f ca="1">VLOOKUP($B70&amp;"_"&amp;$E70,OFFSET([1]stages!$A$1,0,0,COUNTA([1]stages!$A:$A),MATCH(G$1,[1]stages!$2:$2,0)-MATCH("temp_stage",[1]stages!$2:$2,0)+1),MATCH(G$1,[1]stages!$2:$2,0)-MATCH("temp_stage",[1]stages!$2:$2,0)+1,FALSE)</f>
        <v>土日クエスト</v>
      </c>
      <c r="H70" s="18">
        <v>0</v>
      </c>
      <c r="I70" s="36">
        <v>17</v>
      </c>
      <c r="J70" s="5" t="s">
        <v>121</v>
      </c>
      <c r="K70" s="34" t="str">
        <f>VLOOKUP(I70,[2]stage_hints!$A:$C,3,FALSE)</f>
        <v>リンクガチャ</v>
      </c>
      <c r="L70" s="35" t="str">
        <f>VLOOKUP(I70,[2]stage_hints!$A:$D,4,FALSE)</f>
        <v>無料のリンクガチャを回して_x000D_経験値素材や売却素材を獲得しましょう</v>
      </c>
      <c r="M70" s="21" t="s">
        <v>23</v>
      </c>
      <c r="N70">
        <v>17</v>
      </c>
    </row>
    <row r="71" spans="1:14" x14ac:dyDescent="0.15">
      <c r="A71" s="26" t="s">
        <v>32</v>
      </c>
      <c r="B71" s="4">
        <v>11006</v>
      </c>
      <c r="C71" s="3" t="str">
        <f ca="1">VLOOKUP($B71,OFFSET([1]quests!$A$1,0,0,COUNTA([1]quests!$A:$A),MATCH(C$1,[1]quests!$1:$1,0)-MATCH($B$1,[1]quests!$1:$1,0)+1),MATCH(C$1,[1]quests!$1:$1,0)-MATCH($B$1,[1]quests!$1:$1,0)+1,FALSE)</f>
        <v>【土日限定】 ゴールドカジノ</v>
      </c>
      <c r="D71" s="3" t="str">
        <f ca="1">VLOOKUP($B71,OFFSET([1]quests!$A$1,0,0,COUNTA([1]quests!$A:$A),MATCH(D$1,[1]quests!$1:$1,0)-MATCH($B$1,[1]quests!$1:$1,0)+1),MATCH(D$1,[1]quests!$1:$1,0)-MATCH($B$1,[1]quests!$1:$1,0)+1,FALSE)</f>
        <v>土日クエスト</v>
      </c>
      <c r="E71" s="5">
        <v>4</v>
      </c>
      <c r="F71" s="3" t="str">
        <f ca="1">VLOOKUP($B71&amp;"_"&amp;$E71,OFFSET([1]stages!$A$1,0,0,COUNTA([1]stages!$A:$A),MATCH(F$1,[1]stages!$2:$2,0)-MATCH("temp_stage",[1]stages!$2:$2,0)+1),MATCH(F$1,[1]stages!$2:$2,0)-MATCH("temp_stage",[1]stages!$2:$2,0)+1,FALSE)</f>
        <v xml:space="preserve">【超級】ゴールドカジノ </v>
      </c>
      <c r="G71" s="3" t="str">
        <f ca="1">VLOOKUP($B71&amp;"_"&amp;$E71,OFFSET([1]stages!$A$1,0,0,COUNTA([1]stages!$A:$A),MATCH(G$1,[1]stages!$2:$2,0)-MATCH("temp_stage",[1]stages!$2:$2,0)+1),MATCH(G$1,[1]stages!$2:$2,0)-MATCH("temp_stage",[1]stages!$2:$2,0)+1,FALSE)</f>
        <v>土日クエスト</v>
      </c>
      <c r="H71" s="18">
        <v>0</v>
      </c>
      <c r="I71" s="36">
        <v>18</v>
      </c>
      <c r="J71" s="5" t="s">
        <v>121</v>
      </c>
      <c r="K71" s="34" t="str">
        <f>VLOOKUP(I71,[2]stage_hints!$A:$C,3,FALSE)</f>
        <v>マルチプレイのメリット（その2）</v>
      </c>
      <c r="L71" s="35" t="str">
        <f>VLOOKUP(I71,[2]stage_hints!$A:$D,4,FALSE)</f>
        <v>マルチプレイならリンクが2倍もらえます_x000D_リンクガチャをたくさん回しましょう</v>
      </c>
      <c r="M71" s="21" t="s">
        <v>23</v>
      </c>
      <c r="N71">
        <v>18</v>
      </c>
    </row>
    <row r="72" spans="1:14" x14ac:dyDescent="0.15">
      <c r="A72" s="26" t="s">
        <v>32</v>
      </c>
      <c r="B72" s="4">
        <v>11006</v>
      </c>
      <c r="C72" s="3" t="str">
        <f ca="1">VLOOKUP($B72,OFFSET([1]quests!$A$1,0,0,COUNTA([1]quests!$A:$A),MATCH(C$1,[1]quests!$1:$1,0)-MATCH($B$1,[1]quests!$1:$1,0)+1),MATCH(C$1,[1]quests!$1:$1,0)-MATCH($B$1,[1]quests!$1:$1,0)+1,FALSE)</f>
        <v>【土日限定】 ゴールドカジノ</v>
      </c>
      <c r="D72" s="3" t="str">
        <f ca="1">VLOOKUP($B72,OFFSET([1]quests!$A$1,0,0,COUNTA([1]quests!$A:$A),MATCH(D$1,[1]quests!$1:$1,0)-MATCH($B$1,[1]quests!$1:$1,0)+1),MATCH(D$1,[1]quests!$1:$1,0)-MATCH($B$1,[1]quests!$1:$1,0)+1,FALSE)</f>
        <v>土日クエスト</v>
      </c>
      <c r="E72" s="5">
        <v>4</v>
      </c>
      <c r="F72" s="3" t="str">
        <f ca="1">VLOOKUP($B72&amp;"_"&amp;$E72,OFFSET([1]stages!$A$1,0,0,COUNTA([1]stages!$A:$A),MATCH(F$1,[1]stages!$2:$2,0)-MATCH("temp_stage",[1]stages!$2:$2,0)+1),MATCH(F$1,[1]stages!$2:$2,0)-MATCH("temp_stage",[1]stages!$2:$2,0)+1,FALSE)</f>
        <v xml:space="preserve">【超級】ゴールドカジノ </v>
      </c>
      <c r="G72" s="3" t="str">
        <f ca="1">VLOOKUP($B72&amp;"_"&amp;$E72,OFFSET([1]stages!$A$1,0,0,COUNTA([1]stages!$A:$A),MATCH(G$1,[1]stages!$2:$2,0)-MATCH("temp_stage",[1]stages!$2:$2,0)+1),MATCH(G$1,[1]stages!$2:$2,0)-MATCH("temp_stage",[1]stages!$2:$2,0)+1,FALSE)</f>
        <v>土日クエスト</v>
      </c>
      <c r="H72" s="18">
        <v>0</v>
      </c>
      <c r="I72" s="36">
        <v>19</v>
      </c>
      <c r="J72" s="5" t="s">
        <v>118</v>
      </c>
      <c r="K72" s="34" t="str">
        <f>VLOOKUP(I72,[2]stage_hints!$A:$C,3,FALSE)</f>
        <v>ソロ専用タワーオブザクイーン</v>
      </c>
      <c r="L72" s="35" t="str">
        <f>VLOOKUP(I72,[2]stage_hints!$A:$D,4,FALSE)</f>
        <v>ソロ専用の「タワーオブザクイーン」は_x000D_期間限定で定期的に開催されます_x000D_ここでしか獲得できない報酬もあるようです</v>
      </c>
      <c r="M72" s="21" t="s">
        <v>23</v>
      </c>
      <c r="N72">
        <v>19</v>
      </c>
    </row>
    <row r="73" spans="1:14" x14ac:dyDescent="0.15">
      <c r="A73" s="26" t="s">
        <v>32</v>
      </c>
      <c r="B73" s="4">
        <v>11006</v>
      </c>
      <c r="C73" s="3" t="str">
        <f ca="1">VLOOKUP($B73,OFFSET([1]quests!$A$1,0,0,COUNTA([1]quests!$A:$A),MATCH(C$1,[1]quests!$1:$1,0)-MATCH($B$1,[1]quests!$1:$1,0)+1),MATCH(C$1,[1]quests!$1:$1,0)-MATCH($B$1,[1]quests!$1:$1,0)+1,FALSE)</f>
        <v>【土日限定】 ゴールドカジノ</v>
      </c>
      <c r="D73" s="3" t="str">
        <f ca="1">VLOOKUP($B73,OFFSET([1]quests!$A$1,0,0,COUNTA([1]quests!$A:$A),MATCH(D$1,[1]quests!$1:$1,0)-MATCH($B$1,[1]quests!$1:$1,0)+1),MATCH(D$1,[1]quests!$1:$1,0)-MATCH($B$1,[1]quests!$1:$1,0)+1,FALSE)</f>
        <v>土日クエスト</v>
      </c>
      <c r="E73" s="5">
        <v>4</v>
      </c>
      <c r="F73" s="3" t="str">
        <f ca="1">VLOOKUP($B73&amp;"_"&amp;$E73,OFFSET([1]stages!$A$1,0,0,COUNTA([1]stages!$A:$A),MATCH(F$1,[1]stages!$2:$2,0)-MATCH("temp_stage",[1]stages!$2:$2,0)+1),MATCH(F$1,[1]stages!$2:$2,0)-MATCH("temp_stage",[1]stages!$2:$2,0)+1,FALSE)</f>
        <v xml:space="preserve">【超級】ゴールドカジノ </v>
      </c>
      <c r="G73" s="3" t="str">
        <f ca="1">VLOOKUP($B73&amp;"_"&amp;$E73,OFFSET([1]stages!$A$1,0,0,COUNTA([1]stages!$A:$A),MATCH(G$1,[1]stages!$2:$2,0)-MATCH("temp_stage",[1]stages!$2:$2,0)+1),MATCH(G$1,[1]stages!$2:$2,0)-MATCH("temp_stage",[1]stages!$2:$2,0)+1,FALSE)</f>
        <v>土日クエスト</v>
      </c>
      <c r="H73" s="18">
        <v>0</v>
      </c>
      <c r="I73" s="36">
        <v>20</v>
      </c>
      <c r="J73" s="5" t="s">
        <v>121</v>
      </c>
      <c r="K73" s="34" t="str">
        <f>VLOOKUP(I73,[2]stage_hints!$A:$C,3,FALSE)</f>
        <v>マルチプレイのメリット（その3）</v>
      </c>
      <c r="L73" s="35" t="str">
        <f>VLOOKUP(I73,[2]stage_hints!$A:$D,4,FALSE)</f>
        <v>マルチプレイへの参加はエナジー消費ゼロ_x000D_いつでも好きなだけ遊ぶことができます</v>
      </c>
      <c r="M73" s="21" t="s">
        <v>23</v>
      </c>
      <c r="N73">
        <v>20</v>
      </c>
    </row>
    <row r="74" spans="1:14" x14ac:dyDescent="0.15">
      <c r="A74" s="26" t="s">
        <v>32</v>
      </c>
      <c r="B74" s="4">
        <v>11006</v>
      </c>
      <c r="C74" s="3" t="str">
        <f ca="1">VLOOKUP($B74,OFFSET([1]quests!$A$1,0,0,COUNTA([1]quests!$A:$A),MATCH(C$1,[1]quests!$1:$1,0)-MATCH($B$1,[1]quests!$1:$1,0)+1),MATCH(C$1,[1]quests!$1:$1,0)-MATCH($B$1,[1]quests!$1:$1,0)+1,FALSE)</f>
        <v>【土日限定】 ゴールドカジノ</v>
      </c>
      <c r="D74" s="3" t="str">
        <f ca="1">VLOOKUP($B74,OFFSET([1]quests!$A$1,0,0,COUNTA([1]quests!$A:$A),MATCH(D$1,[1]quests!$1:$1,0)-MATCH($B$1,[1]quests!$1:$1,0)+1),MATCH(D$1,[1]quests!$1:$1,0)-MATCH($B$1,[1]quests!$1:$1,0)+1,FALSE)</f>
        <v>土日クエスト</v>
      </c>
      <c r="E74" s="5">
        <v>4</v>
      </c>
      <c r="F74" s="3" t="str">
        <f ca="1">VLOOKUP($B74&amp;"_"&amp;$E74,OFFSET([1]stages!$A$1,0,0,COUNTA([1]stages!$A:$A),MATCH(F$1,[1]stages!$2:$2,0)-MATCH("temp_stage",[1]stages!$2:$2,0)+1),MATCH(F$1,[1]stages!$2:$2,0)-MATCH("temp_stage",[1]stages!$2:$2,0)+1,FALSE)</f>
        <v xml:space="preserve">【超級】ゴールドカジノ </v>
      </c>
      <c r="G74" s="3" t="str">
        <f ca="1">VLOOKUP($B74&amp;"_"&amp;$E74,OFFSET([1]stages!$A$1,0,0,COUNTA([1]stages!$A:$A),MATCH(G$1,[1]stages!$2:$2,0)-MATCH("temp_stage",[1]stages!$2:$2,0)+1),MATCH(G$1,[1]stages!$2:$2,0)-MATCH("temp_stage",[1]stages!$2:$2,0)+1,FALSE)</f>
        <v>土日クエスト</v>
      </c>
      <c r="H74" s="18">
        <v>0</v>
      </c>
      <c r="I74" s="36">
        <v>21</v>
      </c>
      <c r="J74" s="5" t="s">
        <v>119</v>
      </c>
      <c r="K74" s="34" t="str">
        <f>VLOOKUP(I74,[2]stage_hints!$A:$C,3,FALSE)</f>
        <v>スキルを有効に</v>
      </c>
      <c r="L74" s="35" t="str">
        <f>VLOOKUP(I74,[2]stage_hints!$A:$D,4,FALSE)</f>
        <v>ターン経過でユニットのスキルが使えます_x000D_強力スキルでバトルを有利に進めましょう</v>
      </c>
      <c r="M74" s="21" t="s">
        <v>23</v>
      </c>
      <c r="N74">
        <v>21</v>
      </c>
    </row>
    <row r="75" spans="1:14" x14ac:dyDescent="0.15">
      <c r="A75" s="26" t="s">
        <v>32</v>
      </c>
      <c r="B75" s="4">
        <v>11006</v>
      </c>
      <c r="C75" s="3" t="str">
        <f ca="1">VLOOKUP($B75,OFFSET([1]quests!$A$1,0,0,COUNTA([1]quests!$A:$A),MATCH(C$1,[1]quests!$1:$1,0)-MATCH($B$1,[1]quests!$1:$1,0)+1),MATCH(C$1,[1]quests!$1:$1,0)-MATCH($B$1,[1]quests!$1:$1,0)+1,FALSE)</f>
        <v>【土日限定】 ゴールドカジノ</v>
      </c>
      <c r="D75" s="3" t="str">
        <f ca="1">VLOOKUP($B75,OFFSET([1]quests!$A$1,0,0,COUNTA([1]quests!$A:$A),MATCH(D$1,[1]quests!$1:$1,0)-MATCH($B$1,[1]quests!$1:$1,0)+1),MATCH(D$1,[1]quests!$1:$1,0)-MATCH($B$1,[1]quests!$1:$1,0)+1,FALSE)</f>
        <v>土日クエスト</v>
      </c>
      <c r="E75" s="5">
        <v>4</v>
      </c>
      <c r="F75" s="3" t="str">
        <f ca="1">VLOOKUP($B75&amp;"_"&amp;$E75,OFFSET([1]stages!$A$1,0,0,COUNTA([1]stages!$A:$A),MATCH(F$1,[1]stages!$2:$2,0)-MATCH("temp_stage",[1]stages!$2:$2,0)+1),MATCH(F$1,[1]stages!$2:$2,0)-MATCH("temp_stage",[1]stages!$2:$2,0)+1,FALSE)</f>
        <v xml:space="preserve">【超級】ゴールドカジノ </v>
      </c>
      <c r="G75" s="3" t="str">
        <f ca="1">VLOOKUP($B75&amp;"_"&amp;$E75,OFFSET([1]stages!$A$1,0,0,COUNTA([1]stages!$A:$A),MATCH(G$1,[1]stages!$2:$2,0)-MATCH("temp_stage",[1]stages!$2:$2,0)+1),MATCH(G$1,[1]stages!$2:$2,0)-MATCH("temp_stage",[1]stages!$2:$2,0)+1,FALSE)</f>
        <v>土日クエスト</v>
      </c>
      <c r="H75" s="18">
        <v>0</v>
      </c>
      <c r="I75" s="36">
        <v>22</v>
      </c>
      <c r="J75" s="5" t="s">
        <v>118</v>
      </c>
      <c r="K75" s="34" t="str">
        <f>VLOOKUP(I75,[2]stage_hints!$A:$C,3,FALSE)</f>
        <v>フィーバーで一発逆転（その1）</v>
      </c>
      <c r="L75" s="35" t="str">
        <f>VLOOKUP(I75,[2]stage_hints!$A:$D,4,FALSE)</f>
        <v>フィーバーは攻撃と回復を兼ね備えます_x000D_ピンチからの一発逆転を狙いましょう</v>
      </c>
      <c r="M75" s="21" t="s">
        <v>23</v>
      </c>
      <c r="N75">
        <v>22</v>
      </c>
    </row>
    <row r="76" spans="1:14" x14ac:dyDescent="0.15">
      <c r="A76" s="26" t="s">
        <v>32</v>
      </c>
      <c r="B76" s="4">
        <v>11006</v>
      </c>
      <c r="C76" s="3" t="str">
        <f ca="1">VLOOKUP($B76,OFFSET([1]quests!$A$1,0,0,COUNTA([1]quests!$A:$A),MATCH(C$1,[1]quests!$1:$1,0)-MATCH($B$1,[1]quests!$1:$1,0)+1),MATCH(C$1,[1]quests!$1:$1,0)-MATCH($B$1,[1]quests!$1:$1,0)+1,FALSE)</f>
        <v>【土日限定】 ゴールドカジノ</v>
      </c>
      <c r="D76" s="3" t="str">
        <f ca="1">VLOOKUP($B76,OFFSET([1]quests!$A$1,0,0,COUNTA([1]quests!$A:$A),MATCH(D$1,[1]quests!$1:$1,0)-MATCH($B$1,[1]quests!$1:$1,0)+1),MATCH(D$1,[1]quests!$1:$1,0)-MATCH($B$1,[1]quests!$1:$1,0)+1,FALSE)</f>
        <v>土日クエスト</v>
      </c>
      <c r="E76" s="5">
        <v>4</v>
      </c>
      <c r="F76" s="3" t="str">
        <f ca="1">VLOOKUP($B76&amp;"_"&amp;$E76,OFFSET([1]stages!$A$1,0,0,COUNTA([1]stages!$A:$A),MATCH(F$1,[1]stages!$2:$2,0)-MATCH("temp_stage",[1]stages!$2:$2,0)+1),MATCH(F$1,[1]stages!$2:$2,0)-MATCH("temp_stage",[1]stages!$2:$2,0)+1,FALSE)</f>
        <v xml:space="preserve">【超級】ゴールドカジノ </v>
      </c>
      <c r="G76" s="3" t="str">
        <f ca="1">VLOOKUP($B76&amp;"_"&amp;$E76,OFFSET([1]stages!$A$1,0,0,COUNTA([1]stages!$A:$A),MATCH(G$1,[1]stages!$2:$2,0)-MATCH("temp_stage",[1]stages!$2:$2,0)+1),MATCH(G$1,[1]stages!$2:$2,0)-MATCH("temp_stage",[1]stages!$2:$2,0)+1,FALSE)</f>
        <v>土日クエスト</v>
      </c>
      <c r="H76" s="18">
        <v>0</v>
      </c>
      <c r="I76" s="36">
        <v>23</v>
      </c>
      <c r="J76" s="5" t="s">
        <v>119</v>
      </c>
      <c r="K76" s="34" t="str">
        <f>VLOOKUP(I76,[2]stage_hints!$A:$C,3,FALSE)</f>
        <v>フィーバーで一発逆転（その2）</v>
      </c>
      <c r="L76" s="35" t="str">
        <f>VLOOKUP(I76,[2]stage_hints!$A:$D,4,FALSE)</f>
        <v>フィーバー中は虹色のボムパネルを狙って_x000D_画面上のパネルを一気に破壊しましょう</v>
      </c>
      <c r="M76" s="21" t="s">
        <v>23</v>
      </c>
      <c r="N76">
        <v>23</v>
      </c>
    </row>
    <row r="77" spans="1:14" x14ac:dyDescent="0.15">
      <c r="A77" s="26" t="s">
        <v>32</v>
      </c>
      <c r="B77" s="4">
        <v>11006</v>
      </c>
      <c r="C77" s="3" t="str">
        <f ca="1">VLOOKUP($B77,OFFSET([1]quests!$A$1,0,0,COUNTA([1]quests!$A:$A),MATCH(C$1,[1]quests!$1:$1,0)-MATCH($B$1,[1]quests!$1:$1,0)+1),MATCH(C$1,[1]quests!$1:$1,0)-MATCH($B$1,[1]quests!$1:$1,0)+1,FALSE)</f>
        <v>【土日限定】 ゴールドカジノ</v>
      </c>
      <c r="D77" s="3" t="str">
        <f ca="1">VLOOKUP($B77,OFFSET([1]quests!$A$1,0,0,COUNTA([1]quests!$A:$A),MATCH(D$1,[1]quests!$1:$1,0)-MATCH($B$1,[1]quests!$1:$1,0)+1),MATCH(D$1,[1]quests!$1:$1,0)-MATCH($B$1,[1]quests!$1:$1,0)+1,FALSE)</f>
        <v>土日クエスト</v>
      </c>
      <c r="E77" s="5">
        <v>4</v>
      </c>
      <c r="F77" s="3" t="str">
        <f ca="1">VLOOKUP($B77&amp;"_"&amp;$E77,OFFSET([1]stages!$A$1,0,0,COUNTA([1]stages!$A:$A),MATCH(F$1,[1]stages!$2:$2,0)-MATCH("temp_stage",[1]stages!$2:$2,0)+1),MATCH(F$1,[1]stages!$2:$2,0)-MATCH("temp_stage",[1]stages!$2:$2,0)+1,FALSE)</f>
        <v xml:space="preserve">【超級】ゴールドカジノ </v>
      </c>
      <c r="G77" s="3" t="str">
        <f ca="1">VLOOKUP($B77&amp;"_"&amp;$E77,OFFSET([1]stages!$A$1,0,0,COUNTA([1]stages!$A:$A),MATCH(G$1,[1]stages!$2:$2,0)-MATCH("temp_stage",[1]stages!$2:$2,0)+1),MATCH(G$1,[1]stages!$2:$2,0)-MATCH("temp_stage",[1]stages!$2:$2,0)+1,FALSE)</f>
        <v>土日クエスト</v>
      </c>
      <c r="H77" s="18">
        <v>0</v>
      </c>
      <c r="I77" s="36">
        <v>24</v>
      </c>
      <c r="J77" s="5" t="s">
        <v>118</v>
      </c>
      <c r="K77" s="34" t="str">
        <f>VLOOKUP(I77,[2]stage_hints!$A:$C,3,FALSE)</f>
        <v>果実を使って限界突破</v>
      </c>
      <c r="L77" s="35" t="str">
        <f>VLOOKUP(I77,[2]stage_hints!$A:$D,4,FALSE)</f>
        <v>攻めの果実 癒しの果実_x000D_生命の果実をユニット強化に使うと_x000D_ステータスが限界突破します（計99個迄）</v>
      </c>
      <c r="M77" s="21" t="s">
        <v>23</v>
      </c>
      <c r="N77">
        <v>24</v>
      </c>
    </row>
    <row r="78" spans="1:14" x14ac:dyDescent="0.15">
      <c r="A78" s="26" t="s">
        <v>32</v>
      </c>
      <c r="B78" s="4">
        <v>11006</v>
      </c>
      <c r="C78" s="3" t="str">
        <f ca="1">VLOOKUP($B78,OFFSET([1]quests!$A$1,0,0,COUNTA([1]quests!$A:$A),MATCH(C$1,[1]quests!$1:$1,0)-MATCH($B$1,[1]quests!$1:$1,0)+1),MATCH(C$1,[1]quests!$1:$1,0)-MATCH($B$1,[1]quests!$1:$1,0)+1,FALSE)</f>
        <v>【土日限定】 ゴールドカジノ</v>
      </c>
      <c r="D78" s="3" t="str">
        <f ca="1">VLOOKUP($B78,OFFSET([1]quests!$A$1,0,0,COUNTA([1]quests!$A:$A),MATCH(D$1,[1]quests!$1:$1,0)-MATCH($B$1,[1]quests!$1:$1,0)+1),MATCH(D$1,[1]quests!$1:$1,0)-MATCH($B$1,[1]quests!$1:$1,0)+1,FALSE)</f>
        <v>土日クエスト</v>
      </c>
      <c r="E78" s="5">
        <v>4</v>
      </c>
      <c r="F78" s="3" t="str">
        <f ca="1">VLOOKUP($B78&amp;"_"&amp;$E78,OFFSET([1]stages!$A$1,0,0,COUNTA([1]stages!$A:$A),MATCH(F$1,[1]stages!$2:$2,0)-MATCH("temp_stage",[1]stages!$2:$2,0)+1),MATCH(F$1,[1]stages!$2:$2,0)-MATCH("temp_stage",[1]stages!$2:$2,0)+1,FALSE)</f>
        <v xml:space="preserve">【超級】ゴールドカジノ </v>
      </c>
      <c r="G78" s="3" t="str">
        <f ca="1">VLOOKUP($B78&amp;"_"&amp;$E78,OFFSET([1]stages!$A$1,0,0,COUNTA([1]stages!$A:$A),MATCH(G$1,[1]stages!$2:$2,0)-MATCH("temp_stage",[1]stages!$2:$2,0)+1),MATCH(G$1,[1]stages!$2:$2,0)-MATCH("temp_stage",[1]stages!$2:$2,0)+1,FALSE)</f>
        <v>土日クエスト</v>
      </c>
      <c r="H78" s="18">
        <v>0</v>
      </c>
      <c r="I78" s="36">
        <v>25</v>
      </c>
      <c r="J78" s="5" t="s">
        <v>118</v>
      </c>
      <c r="K78" s="34" t="str">
        <f>VLOOKUP(I78,[2]stage_hints!$A:$C,3,FALSE)</f>
        <v>スキルレベルアップ</v>
      </c>
      <c r="L78" s="35" t="str">
        <f>VLOOKUP(I78,[2]stage_hints!$A:$D,4,FALSE)</f>
        <v>「秘術の果実」を強化に使うと_x000D_スキルレベルを上げることができます</v>
      </c>
      <c r="M78" s="21" t="s">
        <v>23</v>
      </c>
      <c r="N78">
        <v>25</v>
      </c>
    </row>
    <row r="79" spans="1:14" x14ac:dyDescent="0.15">
      <c r="A79" s="26" t="s">
        <v>32</v>
      </c>
      <c r="B79" s="4">
        <v>11006</v>
      </c>
      <c r="C79" s="3" t="str">
        <f ca="1">VLOOKUP($B79,OFFSET([1]quests!$A$1,0,0,COUNTA([1]quests!$A:$A),MATCH(C$1,[1]quests!$1:$1,0)-MATCH($B$1,[1]quests!$1:$1,0)+1),MATCH(C$1,[1]quests!$1:$1,0)-MATCH($B$1,[1]quests!$1:$1,0)+1,FALSE)</f>
        <v>【土日限定】 ゴールドカジノ</v>
      </c>
      <c r="D79" s="3" t="str">
        <f ca="1">VLOOKUP($B79,OFFSET([1]quests!$A$1,0,0,COUNTA([1]quests!$A:$A),MATCH(D$1,[1]quests!$1:$1,0)-MATCH($B$1,[1]quests!$1:$1,0)+1),MATCH(D$1,[1]quests!$1:$1,0)-MATCH($B$1,[1]quests!$1:$1,0)+1,FALSE)</f>
        <v>土日クエスト</v>
      </c>
      <c r="E79" s="5">
        <v>4</v>
      </c>
      <c r="F79" s="3" t="str">
        <f ca="1">VLOOKUP($B79&amp;"_"&amp;$E79,OFFSET([1]stages!$A$1,0,0,COUNTA([1]stages!$A:$A),MATCH(F$1,[1]stages!$2:$2,0)-MATCH("temp_stage",[1]stages!$2:$2,0)+1),MATCH(F$1,[1]stages!$2:$2,0)-MATCH("temp_stage",[1]stages!$2:$2,0)+1,FALSE)</f>
        <v xml:space="preserve">【超級】ゴールドカジノ </v>
      </c>
      <c r="G79" s="3" t="str">
        <f ca="1">VLOOKUP($B79&amp;"_"&amp;$E79,OFFSET([1]stages!$A$1,0,0,COUNTA([1]stages!$A:$A),MATCH(G$1,[1]stages!$2:$2,0)-MATCH("temp_stage",[1]stages!$2:$2,0)+1),MATCH(G$1,[1]stages!$2:$2,0)-MATCH("temp_stage",[1]stages!$2:$2,0)+1,FALSE)</f>
        <v>土日クエスト</v>
      </c>
      <c r="H79" s="18">
        <v>0</v>
      </c>
      <c r="I79" s="36">
        <v>26</v>
      </c>
      <c r="J79" s="5" t="s">
        <v>122</v>
      </c>
      <c r="K79" s="34" t="str">
        <f>VLOOKUP(I79,[2]stage_hints!$A:$C,3,FALSE)</f>
        <v>スキルレベルの効果</v>
      </c>
      <c r="L79" s="35" t="str">
        <f>VLOOKUP(I79,[2]stage_hints!$A:$D,4,FALSE)</f>
        <v>スキルレベルが上がると_x000D_短いターンでスキルを使うことができます</v>
      </c>
      <c r="M79" s="21" t="s">
        <v>23</v>
      </c>
      <c r="N79">
        <v>26</v>
      </c>
    </row>
    <row r="80" spans="1:14" x14ac:dyDescent="0.15">
      <c r="A80" s="26" t="s">
        <v>32</v>
      </c>
      <c r="B80" s="4">
        <v>11006</v>
      </c>
      <c r="C80" s="3" t="str">
        <f ca="1">VLOOKUP($B80,OFFSET([1]quests!$A$1,0,0,COUNTA([1]quests!$A:$A),MATCH(C$1,[1]quests!$1:$1,0)-MATCH($B$1,[1]quests!$1:$1,0)+1),MATCH(C$1,[1]quests!$1:$1,0)-MATCH($B$1,[1]quests!$1:$1,0)+1,FALSE)</f>
        <v>【土日限定】 ゴールドカジノ</v>
      </c>
      <c r="D80" s="3" t="str">
        <f ca="1">VLOOKUP($B80,OFFSET([1]quests!$A$1,0,0,COUNTA([1]quests!$A:$A),MATCH(D$1,[1]quests!$1:$1,0)-MATCH($B$1,[1]quests!$1:$1,0)+1),MATCH(D$1,[1]quests!$1:$1,0)-MATCH($B$1,[1]quests!$1:$1,0)+1,FALSE)</f>
        <v>土日クエスト</v>
      </c>
      <c r="E80" s="5">
        <v>4</v>
      </c>
      <c r="F80" s="3" t="str">
        <f ca="1">VLOOKUP($B80&amp;"_"&amp;$E80,OFFSET([1]stages!$A$1,0,0,COUNTA([1]stages!$A:$A),MATCH(F$1,[1]stages!$2:$2,0)-MATCH("temp_stage",[1]stages!$2:$2,0)+1),MATCH(F$1,[1]stages!$2:$2,0)-MATCH("temp_stage",[1]stages!$2:$2,0)+1,FALSE)</f>
        <v xml:space="preserve">【超級】ゴールドカジノ </v>
      </c>
      <c r="G80" s="3" t="str">
        <f ca="1">VLOOKUP($B80&amp;"_"&amp;$E80,OFFSET([1]stages!$A$1,0,0,COUNTA([1]stages!$A:$A),MATCH(G$1,[1]stages!$2:$2,0)-MATCH("temp_stage",[1]stages!$2:$2,0)+1),MATCH(G$1,[1]stages!$2:$2,0)-MATCH("temp_stage",[1]stages!$2:$2,0)+1,FALSE)</f>
        <v>土日クエスト</v>
      </c>
      <c r="H80" s="18">
        <v>0</v>
      </c>
      <c r="I80" s="36">
        <v>27</v>
      </c>
      <c r="J80" s="5" t="s">
        <v>122</v>
      </c>
      <c r="K80" s="34" t="str">
        <f>VLOOKUP(I80,[2]stage_hints!$A:$C,3,FALSE)</f>
        <v>ホーム画面からデッキを編成</v>
      </c>
      <c r="L80" s="35" t="str">
        <f>VLOOKUP(I80,[2]stage_hints!$A:$D,4,FALSE)</f>
        <v>ホーム画面でユニットを長押しすると_x000D_すぐにパーティ編成に移動できます</v>
      </c>
      <c r="M80" s="21" t="s">
        <v>23</v>
      </c>
      <c r="N80">
        <v>27</v>
      </c>
    </row>
    <row r="81" spans="1:14" x14ac:dyDescent="0.15">
      <c r="A81" s="26" t="s">
        <v>32</v>
      </c>
      <c r="B81" s="4">
        <v>11006</v>
      </c>
      <c r="C81" s="3" t="str">
        <f ca="1">VLOOKUP($B81,OFFSET([1]quests!$A$1,0,0,COUNTA([1]quests!$A:$A),MATCH(C$1,[1]quests!$1:$1,0)-MATCH($B$1,[1]quests!$1:$1,0)+1),MATCH(C$1,[1]quests!$1:$1,0)-MATCH($B$1,[1]quests!$1:$1,0)+1,FALSE)</f>
        <v>【土日限定】 ゴールドカジノ</v>
      </c>
      <c r="D81" s="3" t="str">
        <f ca="1">VLOOKUP($B81,OFFSET([1]quests!$A$1,0,0,COUNTA([1]quests!$A:$A),MATCH(D$1,[1]quests!$1:$1,0)-MATCH($B$1,[1]quests!$1:$1,0)+1),MATCH(D$1,[1]quests!$1:$1,0)-MATCH($B$1,[1]quests!$1:$1,0)+1,FALSE)</f>
        <v>土日クエスト</v>
      </c>
      <c r="E81" s="5">
        <v>4</v>
      </c>
      <c r="F81" s="3" t="str">
        <f ca="1">VLOOKUP($B81&amp;"_"&amp;$E81,OFFSET([1]stages!$A$1,0,0,COUNTA([1]stages!$A:$A),MATCH(F$1,[1]stages!$2:$2,0)-MATCH("temp_stage",[1]stages!$2:$2,0)+1),MATCH(F$1,[1]stages!$2:$2,0)-MATCH("temp_stage",[1]stages!$2:$2,0)+1,FALSE)</f>
        <v xml:space="preserve">【超級】ゴールドカジノ </v>
      </c>
      <c r="G81" s="3" t="str">
        <f ca="1">VLOOKUP($B81&amp;"_"&amp;$E81,OFFSET([1]stages!$A$1,0,0,COUNTA([1]stages!$A:$A),MATCH(G$1,[1]stages!$2:$2,0)-MATCH("temp_stage",[1]stages!$2:$2,0)+1),MATCH(G$1,[1]stages!$2:$2,0)-MATCH("temp_stage",[1]stages!$2:$2,0)+1,FALSE)</f>
        <v>土日クエスト</v>
      </c>
      <c r="H81" s="18">
        <v>0</v>
      </c>
      <c r="I81" s="36">
        <v>28</v>
      </c>
      <c r="J81" s="5" t="s">
        <v>118</v>
      </c>
      <c r="K81" s="34" t="str">
        <f>VLOOKUP(I81,[2]stage_hints!$A:$C,3,FALSE)</f>
        <v>ステータス情報は長押しで</v>
      </c>
      <c r="L81" s="35" t="str">
        <f>VLOOKUP(I81,[2]stage_hints!$A:$D,4,FALSE)</f>
        <v>ユニットのアイコンを長押しすると_x000D_ステータス情報を確認することができます</v>
      </c>
      <c r="M81" s="21" t="s">
        <v>23</v>
      </c>
      <c r="N81">
        <v>28</v>
      </c>
    </row>
    <row r="82" spans="1:14" x14ac:dyDescent="0.15">
      <c r="A82" s="26" t="s">
        <v>32</v>
      </c>
      <c r="B82" s="4">
        <v>11006</v>
      </c>
      <c r="C82" s="3" t="str">
        <f ca="1">VLOOKUP($B82,OFFSET([1]quests!$A$1,0,0,COUNTA([1]quests!$A:$A),MATCH(C$1,[1]quests!$1:$1,0)-MATCH($B$1,[1]quests!$1:$1,0)+1),MATCH(C$1,[1]quests!$1:$1,0)-MATCH($B$1,[1]quests!$1:$1,0)+1,FALSE)</f>
        <v>【土日限定】 ゴールドカジノ</v>
      </c>
      <c r="D82" s="3" t="str">
        <f ca="1">VLOOKUP($B82,OFFSET([1]quests!$A$1,0,0,COUNTA([1]quests!$A:$A),MATCH(D$1,[1]quests!$1:$1,0)-MATCH($B$1,[1]quests!$1:$1,0)+1),MATCH(D$1,[1]quests!$1:$1,0)-MATCH($B$1,[1]quests!$1:$1,0)+1,FALSE)</f>
        <v>土日クエスト</v>
      </c>
      <c r="E82" s="5">
        <v>4</v>
      </c>
      <c r="F82" s="3" t="str">
        <f ca="1">VLOOKUP($B82&amp;"_"&amp;$E82,OFFSET([1]stages!$A$1,0,0,COUNTA([1]stages!$A:$A),MATCH(F$1,[1]stages!$2:$2,0)-MATCH("temp_stage",[1]stages!$2:$2,0)+1),MATCH(F$1,[1]stages!$2:$2,0)-MATCH("temp_stage",[1]stages!$2:$2,0)+1,FALSE)</f>
        <v xml:space="preserve">【超級】ゴールドカジノ </v>
      </c>
      <c r="G82" s="3" t="str">
        <f ca="1">VLOOKUP($B82&amp;"_"&amp;$E82,OFFSET([1]stages!$A$1,0,0,COUNTA([1]stages!$A:$A),MATCH(G$1,[1]stages!$2:$2,0)-MATCH("temp_stage",[1]stages!$2:$2,0)+1),MATCH(G$1,[1]stages!$2:$2,0)-MATCH("temp_stage",[1]stages!$2:$2,0)+1,FALSE)</f>
        <v>土日クエスト</v>
      </c>
      <c r="H82" s="18">
        <v>0</v>
      </c>
      <c r="I82" s="36">
        <v>29</v>
      </c>
      <c r="J82" s="5" t="s">
        <v>118</v>
      </c>
      <c r="K82" s="34" t="str">
        <f>VLOOKUP(I82,[2]stage_hints!$A:$C,3,FALSE)</f>
        <v>「バグ」のメリット</v>
      </c>
      <c r="L82" s="35" t="str">
        <f>VLOOKUP(I82,[2]stage_hints!$A:$D,4,FALSE)</f>
        <v>ユニットの「バグ」を増やすと_x000D_報酬をもらえる確率がアップします</v>
      </c>
      <c r="M82" s="21" t="s">
        <v>23</v>
      </c>
      <c r="N82">
        <v>29</v>
      </c>
    </row>
    <row r="83" spans="1:14" x14ac:dyDescent="0.15">
      <c r="A83" s="26" t="s">
        <v>32</v>
      </c>
      <c r="B83" s="4">
        <v>11006</v>
      </c>
      <c r="C83" s="3" t="str">
        <f ca="1">VLOOKUP($B83,OFFSET([1]quests!$A$1,0,0,COUNTA([1]quests!$A:$A),MATCH(C$1,[1]quests!$1:$1,0)-MATCH($B$1,[1]quests!$1:$1,0)+1),MATCH(C$1,[1]quests!$1:$1,0)-MATCH($B$1,[1]quests!$1:$1,0)+1,FALSE)</f>
        <v>【土日限定】 ゴールドカジノ</v>
      </c>
      <c r="D83" s="3" t="str">
        <f ca="1">VLOOKUP($B83,OFFSET([1]quests!$A$1,0,0,COUNTA([1]quests!$A:$A),MATCH(D$1,[1]quests!$1:$1,0)-MATCH($B$1,[1]quests!$1:$1,0)+1),MATCH(D$1,[1]quests!$1:$1,0)-MATCH($B$1,[1]quests!$1:$1,0)+1,FALSE)</f>
        <v>土日クエスト</v>
      </c>
      <c r="E83" s="5">
        <v>4</v>
      </c>
      <c r="F83" s="3" t="str">
        <f ca="1">VLOOKUP($B83&amp;"_"&amp;$E83,OFFSET([1]stages!$A$1,0,0,COUNTA([1]stages!$A:$A),MATCH(F$1,[1]stages!$2:$2,0)-MATCH("temp_stage",[1]stages!$2:$2,0)+1),MATCH(F$1,[1]stages!$2:$2,0)-MATCH("temp_stage",[1]stages!$2:$2,0)+1,FALSE)</f>
        <v xml:space="preserve">【超級】ゴールドカジノ </v>
      </c>
      <c r="G83" s="3" t="str">
        <f ca="1">VLOOKUP($B83&amp;"_"&amp;$E83,OFFSET([1]stages!$A$1,0,0,COUNTA([1]stages!$A:$A),MATCH(G$1,[1]stages!$2:$2,0)-MATCH("temp_stage",[1]stages!$2:$2,0)+1),MATCH(G$1,[1]stages!$2:$2,0)-MATCH("temp_stage",[1]stages!$2:$2,0)+1,FALSE)</f>
        <v>土日クエスト</v>
      </c>
      <c r="H83" s="18">
        <v>0</v>
      </c>
      <c r="I83" s="36">
        <v>30</v>
      </c>
      <c r="J83" s="5" t="s">
        <v>118</v>
      </c>
      <c r="K83" s="34" t="str">
        <f>VLOOKUP(I83,[2]stage_hints!$A:$C,3,FALSE)</f>
        <v>「バグ」の増やし方</v>
      </c>
      <c r="L83" s="35" t="str">
        <f>VLOOKUP(I83,[2]stage_hints!$A:$D,4,FALSE)</f>
        <v>同じユニット同士を強化で合成すると_x000D_「バグ」を増やすことができます</v>
      </c>
      <c r="M83" s="21" t="s">
        <v>23</v>
      </c>
      <c r="N83">
        <v>30</v>
      </c>
    </row>
    <row r="84" spans="1:14" x14ac:dyDescent="0.15">
      <c r="A84" s="26" t="s">
        <v>32</v>
      </c>
      <c r="B84" s="4">
        <v>11006</v>
      </c>
      <c r="C84" s="3" t="str">
        <f ca="1">VLOOKUP($B84,OFFSET([1]quests!$A$1,0,0,COUNTA([1]quests!$A:$A),MATCH(C$1,[1]quests!$1:$1,0)-MATCH($B$1,[1]quests!$1:$1,0)+1),MATCH(C$1,[1]quests!$1:$1,0)-MATCH($B$1,[1]quests!$1:$1,0)+1,FALSE)</f>
        <v>【土日限定】 ゴールドカジノ</v>
      </c>
      <c r="D84" s="3" t="str">
        <f ca="1">VLOOKUP($B84,OFFSET([1]quests!$A$1,0,0,COUNTA([1]quests!$A:$A),MATCH(D$1,[1]quests!$1:$1,0)-MATCH($B$1,[1]quests!$1:$1,0)+1),MATCH(D$1,[1]quests!$1:$1,0)-MATCH($B$1,[1]quests!$1:$1,0)+1,FALSE)</f>
        <v>土日クエスト</v>
      </c>
      <c r="E84" s="5">
        <v>4</v>
      </c>
      <c r="F84" s="3" t="str">
        <f ca="1">VLOOKUP($B84&amp;"_"&amp;$E84,OFFSET([1]stages!$A$1,0,0,COUNTA([1]stages!$A:$A),MATCH(F$1,[1]stages!$2:$2,0)-MATCH("temp_stage",[1]stages!$2:$2,0)+1),MATCH(F$1,[1]stages!$2:$2,0)-MATCH("temp_stage",[1]stages!$2:$2,0)+1,FALSE)</f>
        <v xml:space="preserve">【超級】ゴールドカジノ </v>
      </c>
      <c r="G84" s="3" t="str">
        <f ca="1">VLOOKUP($B84&amp;"_"&amp;$E84,OFFSET([1]stages!$A$1,0,0,COUNTA([1]stages!$A:$A),MATCH(G$1,[1]stages!$2:$2,0)-MATCH("temp_stage",[1]stages!$2:$2,0)+1),MATCH(G$1,[1]stages!$2:$2,0)-MATCH("temp_stage",[1]stages!$2:$2,0)+1,FALSE)</f>
        <v>土日クエスト</v>
      </c>
      <c r="H84" s="18">
        <v>0</v>
      </c>
      <c r="I84" s="36">
        <v>31</v>
      </c>
      <c r="J84" s="5" t="s">
        <v>118</v>
      </c>
      <c r="K84" s="34" t="str">
        <f>VLOOKUP(I84,[2]stage_hints!$A:$C,3,FALSE)</f>
        <v>イベントはお知らせでチェック</v>
      </c>
      <c r="L84" s="35" t="str">
        <f>VLOOKUP(I84,[2]stage_hints!$A:$D,4,FALSE)</f>
        <v>イベント限定ユニットを取り忘れないように_x000D_お知らせをこまめにチェックしましょう</v>
      </c>
      <c r="M84" s="21" t="s">
        <v>23</v>
      </c>
      <c r="N84">
        <v>31</v>
      </c>
    </row>
    <row r="85" spans="1:14" x14ac:dyDescent="0.15">
      <c r="A85" s="26" t="s">
        <v>32</v>
      </c>
      <c r="B85" s="4">
        <v>11006</v>
      </c>
      <c r="C85" s="3" t="str">
        <f ca="1">VLOOKUP($B85,OFFSET([1]quests!$A$1,0,0,COUNTA([1]quests!$A:$A),MATCH(C$1,[1]quests!$1:$1,0)-MATCH($B$1,[1]quests!$1:$1,0)+1),MATCH(C$1,[1]quests!$1:$1,0)-MATCH($B$1,[1]quests!$1:$1,0)+1,FALSE)</f>
        <v>【土日限定】 ゴールドカジノ</v>
      </c>
      <c r="D85" s="3" t="str">
        <f ca="1">VLOOKUP($B85,OFFSET([1]quests!$A$1,0,0,COUNTA([1]quests!$A:$A),MATCH(D$1,[1]quests!$1:$1,0)-MATCH($B$1,[1]quests!$1:$1,0)+1),MATCH(D$1,[1]quests!$1:$1,0)-MATCH($B$1,[1]quests!$1:$1,0)+1,FALSE)</f>
        <v>土日クエスト</v>
      </c>
      <c r="E85" s="5">
        <v>4</v>
      </c>
      <c r="F85" s="3" t="str">
        <f ca="1">VLOOKUP($B85&amp;"_"&amp;$E85,OFFSET([1]stages!$A$1,0,0,COUNTA([1]stages!$A:$A),MATCH(F$1,[1]stages!$2:$2,0)-MATCH("temp_stage",[1]stages!$2:$2,0)+1),MATCH(F$1,[1]stages!$2:$2,0)-MATCH("temp_stage",[1]stages!$2:$2,0)+1,FALSE)</f>
        <v xml:space="preserve">【超級】ゴールドカジノ </v>
      </c>
      <c r="G85" s="3" t="str">
        <f ca="1">VLOOKUP($B85&amp;"_"&amp;$E85,OFFSET([1]stages!$A$1,0,0,COUNTA([1]stages!$A:$A),MATCH(G$1,[1]stages!$2:$2,0)-MATCH("temp_stage",[1]stages!$2:$2,0)+1),MATCH(G$1,[1]stages!$2:$2,0)-MATCH("temp_stage",[1]stages!$2:$2,0)+1,FALSE)</f>
        <v>土日クエスト</v>
      </c>
      <c r="H85" s="18">
        <v>0</v>
      </c>
      <c r="I85" s="36">
        <v>32</v>
      </c>
      <c r="J85" s="5" t="s">
        <v>118</v>
      </c>
      <c r="K85" s="34" t="str">
        <f>VLOOKUP(I85,[2]stage_hints!$A:$C,3,FALSE)</f>
        <v>敵の連続攻撃には</v>
      </c>
      <c r="L85" s="35" t="str">
        <f>VLOOKUP(I85,[2]stage_hints!$A:$D,4,FALSE)</f>
        <v>カウンタースキルを持つユニットがいれば_x000D_ダメージ回数分の反撃ができます</v>
      </c>
      <c r="M85" s="21" t="s">
        <v>23</v>
      </c>
      <c r="N85">
        <v>32</v>
      </c>
    </row>
    <row r="86" spans="1:14" x14ac:dyDescent="0.15">
      <c r="A86" s="26" t="s">
        <v>32</v>
      </c>
      <c r="B86" s="4">
        <v>11006</v>
      </c>
      <c r="C86" s="3" t="str">
        <f ca="1">VLOOKUP($B86,OFFSET([1]quests!$A$1,0,0,COUNTA([1]quests!$A:$A),MATCH(C$1,[1]quests!$1:$1,0)-MATCH($B$1,[1]quests!$1:$1,0)+1),MATCH(C$1,[1]quests!$1:$1,0)-MATCH($B$1,[1]quests!$1:$1,0)+1,FALSE)</f>
        <v>【土日限定】 ゴールドカジノ</v>
      </c>
      <c r="D86" s="3" t="str">
        <f ca="1">VLOOKUP($B86,OFFSET([1]quests!$A$1,0,0,COUNTA([1]quests!$A:$A),MATCH(D$1,[1]quests!$1:$1,0)-MATCH($B$1,[1]quests!$1:$1,0)+1),MATCH(D$1,[1]quests!$1:$1,0)-MATCH($B$1,[1]quests!$1:$1,0)+1,FALSE)</f>
        <v>土日クエスト</v>
      </c>
      <c r="E86" s="5">
        <v>4</v>
      </c>
      <c r="F86" s="3" t="str">
        <f ca="1">VLOOKUP($B86&amp;"_"&amp;$E86,OFFSET([1]stages!$A$1,0,0,COUNTA([1]stages!$A:$A),MATCH(F$1,[1]stages!$2:$2,0)-MATCH("temp_stage",[1]stages!$2:$2,0)+1),MATCH(F$1,[1]stages!$2:$2,0)-MATCH("temp_stage",[1]stages!$2:$2,0)+1,FALSE)</f>
        <v xml:space="preserve">【超級】ゴールドカジノ </v>
      </c>
      <c r="G86" s="3" t="str">
        <f ca="1">VLOOKUP($B86&amp;"_"&amp;$E86,OFFSET([1]stages!$A$1,0,0,COUNTA([1]stages!$A:$A),MATCH(G$1,[1]stages!$2:$2,0)-MATCH("temp_stage",[1]stages!$2:$2,0)+1),MATCH(G$1,[1]stages!$2:$2,0)-MATCH("temp_stage",[1]stages!$2:$2,0)+1,FALSE)</f>
        <v>土日クエスト</v>
      </c>
      <c r="H86" s="18">
        <v>0</v>
      </c>
      <c r="I86" s="36">
        <v>33</v>
      </c>
      <c r="J86" s="5" t="s">
        <v>118</v>
      </c>
      <c r="K86" s="34" t="str">
        <f>VLOOKUP(I86,[2]stage_hints!$A:$C,3,FALSE)</f>
        <v>敵のカウンター攻撃には</v>
      </c>
      <c r="L86" s="35" t="str">
        <f>VLOOKUP(I86,[2]stage_hints!$A:$D,4,FALSE)</f>
        <v>カウンターブレイクスキルを持っていれば_x000D_敵のカウンターを解除して攻撃ができます</v>
      </c>
      <c r="M86" s="21" t="s">
        <v>23</v>
      </c>
      <c r="N86">
        <v>33</v>
      </c>
    </row>
    <row r="87" spans="1:14" x14ac:dyDescent="0.15">
      <c r="A87" s="26" t="s">
        <v>32</v>
      </c>
      <c r="B87" s="4">
        <v>11006</v>
      </c>
      <c r="C87" s="3" t="str">
        <f ca="1">VLOOKUP($B87,OFFSET([1]quests!$A$1,0,0,COUNTA([1]quests!$A:$A),MATCH(C$1,[1]quests!$1:$1,0)-MATCH($B$1,[1]quests!$1:$1,0)+1),MATCH(C$1,[1]quests!$1:$1,0)-MATCH($B$1,[1]quests!$1:$1,0)+1,FALSE)</f>
        <v>【土日限定】 ゴールドカジノ</v>
      </c>
      <c r="D87" s="3" t="str">
        <f ca="1">VLOOKUP($B87,OFFSET([1]quests!$A$1,0,0,COUNTA([1]quests!$A:$A),MATCH(D$1,[1]quests!$1:$1,0)-MATCH($B$1,[1]quests!$1:$1,0)+1),MATCH(D$1,[1]quests!$1:$1,0)-MATCH($B$1,[1]quests!$1:$1,0)+1,FALSE)</f>
        <v>土日クエスト</v>
      </c>
      <c r="E87" s="5">
        <v>4</v>
      </c>
      <c r="F87" s="3" t="str">
        <f ca="1">VLOOKUP($B87&amp;"_"&amp;$E87,OFFSET([1]stages!$A$1,0,0,COUNTA([1]stages!$A:$A),MATCH(F$1,[1]stages!$2:$2,0)-MATCH("temp_stage",[1]stages!$2:$2,0)+1),MATCH(F$1,[1]stages!$2:$2,0)-MATCH("temp_stage",[1]stages!$2:$2,0)+1,FALSE)</f>
        <v xml:space="preserve">【超級】ゴールドカジノ </v>
      </c>
      <c r="G87" s="3" t="str">
        <f ca="1">VLOOKUP($B87&amp;"_"&amp;$E87,OFFSET([1]stages!$A$1,0,0,COUNTA([1]stages!$A:$A),MATCH(G$1,[1]stages!$2:$2,0)-MATCH("temp_stage",[1]stages!$2:$2,0)+1),MATCH(G$1,[1]stages!$2:$2,0)-MATCH("temp_stage",[1]stages!$2:$2,0)+1,FALSE)</f>
        <v>土日クエスト</v>
      </c>
      <c r="H87" s="18">
        <v>0</v>
      </c>
      <c r="I87" s="36">
        <v>34</v>
      </c>
      <c r="J87" s="5" t="s">
        <v>118</v>
      </c>
      <c r="K87" s="34" t="str">
        <f>VLOOKUP(I87,[2]stage_hints!$A:$C,3,FALSE)</f>
        <v>ステータスをスキルで下げられたら</v>
      </c>
      <c r="L87" s="35" t="str">
        <f>VLOOKUP(I87,[2]stage_hints!$A:$D,4,FALSE)</f>
        <v>ステータスダウンのスキルを受けたら_x000D_ステータスアップスキルで上書きしましょう</v>
      </c>
      <c r="M87" s="21" t="s">
        <v>23</v>
      </c>
      <c r="N87">
        <v>34</v>
      </c>
    </row>
    <row r="88" spans="1:14" x14ac:dyDescent="0.15">
      <c r="A88" s="26" t="s">
        <v>32</v>
      </c>
      <c r="B88" s="4">
        <v>11006</v>
      </c>
      <c r="C88" s="3" t="str">
        <f ca="1">VLOOKUP($B88,OFFSET([1]quests!$A$1,0,0,COUNTA([1]quests!$A:$A),MATCH(C$1,[1]quests!$1:$1,0)-MATCH($B$1,[1]quests!$1:$1,0)+1),MATCH(C$1,[1]quests!$1:$1,0)-MATCH($B$1,[1]quests!$1:$1,0)+1,FALSE)</f>
        <v>【土日限定】 ゴールドカジノ</v>
      </c>
      <c r="D88" s="3" t="str">
        <f ca="1">VLOOKUP($B88,OFFSET([1]quests!$A$1,0,0,COUNTA([1]quests!$A:$A),MATCH(D$1,[1]quests!$1:$1,0)-MATCH($B$1,[1]quests!$1:$1,0)+1),MATCH(D$1,[1]quests!$1:$1,0)-MATCH($B$1,[1]quests!$1:$1,0)+1,FALSE)</f>
        <v>土日クエスト</v>
      </c>
      <c r="E88" s="5">
        <v>4</v>
      </c>
      <c r="F88" s="3" t="str">
        <f ca="1">VLOOKUP($B88&amp;"_"&amp;$E88,OFFSET([1]stages!$A$1,0,0,COUNTA([1]stages!$A:$A),MATCH(F$1,[1]stages!$2:$2,0)-MATCH("temp_stage",[1]stages!$2:$2,0)+1),MATCH(F$1,[1]stages!$2:$2,0)-MATCH("temp_stage",[1]stages!$2:$2,0)+1,FALSE)</f>
        <v xml:space="preserve">【超級】ゴールドカジノ </v>
      </c>
      <c r="G88" s="3" t="str">
        <f ca="1">VLOOKUP($B88&amp;"_"&amp;$E88,OFFSET([1]stages!$A$1,0,0,COUNTA([1]stages!$A:$A),MATCH(G$1,[1]stages!$2:$2,0)-MATCH("temp_stage",[1]stages!$2:$2,0)+1),MATCH(G$1,[1]stages!$2:$2,0)-MATCH("temp_stage",[1]stages!$2:$2,0)+1,FALSE)</f>
        <v>土日クエスト</v>
      </c>
      <c r="H88" s="18">
        <v>0</v>
      </c>
      <c r="I88" s="36">
        <v>35</v>
      </c>
      <c r="J88" s="5" t="s">
        <v>118</v>
      </c>
      <c r="K88" s="34" t="str">
        <f>VLOOKUP(I88,[2]stage_hints!$A:$C,3,FALSE)</f>
        <v>敵のステータスがスキルで上がったら</v>
      </c>
      <c r="L88" s="35" t="str">
        <f>VLOOKUP(I88,[2]stage_hints!$A:$D,4,FALSE)</f>
        <v>敵のステータスがスキルでアップしたときは_x000D_ステータスダウンスキルで上書きしましょう</v>
      </c>
      <c r="M88" s="21" t="s">
        <v>23</v>
      </c>
      <c r="N88">
        <v>35</v>
      </c>
    </row>
    <row r="89" spans="1:14" x14ac:dyDescent="0.15">
      <c r="A89" s="26" t="s">
        <v>32</v>
      </c>
      <c r="B89" s="4">
        <v>11006</v>
      </c>
      <c r="C89" s="3" t="str">
        <f ca="1">VLOOKUP($B89,OFFSET([1]quests!$A$1,0,0,COUNTA([1]quests!$A:$A),MATCH(C$1,[1]quests!$1:$1,0)-MATCH($B$1,[1]quests!$1:$1,0)+1),MATCH(C$1,[1]quests!$1:$1,0)-MATCH($B$1,[1]quests!$1:$1,0)+1,FALSE)</f>
        <v>【土日限定】 ゴールドカジノ</v>
      </c>
      <c r="D89" s="3" t="str">
        <f ca="1">VLOOKUP($B89,OFFSET([1]quests!$A$1,0,0,COUNTA([1]quests!$A:$A),MATCH(D$1,[1]quests!$1:$1,0)-MATCH($B$1,[1]quests!$1:$1,0)+1),MATCH(D$1,[1]quests!$1:$1,0)-MATCH($B$1,[1]quests!$1:$1,0)+1,FALSE)</f>
        <v>土日クエスト</v>
      </c>
      <c r="E89" s="5">
        <v>4</v>
      </c>
      <c r="F89" s="3" t="str">
        <f ca="1">VLOOKUP($B89&amp;"_"&amp;$E89,OFFSET([1]stages!$A$1,0,0,COUNTA([1]stages!$A:$A),MATCH(F$1,[1]stages!$2:$2,0)-MATCH("temp_stage",[1]stages!$2:$2,0)+1),MATCH(F$1,[1]stages!$2:$2,0)-MATCH("temp_stage",[1]stages!$2:$2,0)+1,FALSE)</f>
        <v xml:space="preserve">【超級】ゴールドカジノ </v>
      </c>
      <c r="G89" s="3" t="str">
        <f ca="1">VLOOKUP($B89&amp;"_"&amp;$E89,OFFSET([1]stages!$A$1,0,0,COUNTA([1]stages!$A:$A),MATCH(G$1,[1]stages!$2:$2,0)-MATCH("temp_stage",[1]stages!$2:$2,0)+1),MATCH(G$1,[1]stages!$2:$2,0)-MATCH("temp_stage",[1]stages!$2:$2,0)+1,FALSE)</f>
        <v>土日クエスト</v>
      </c>
      <c r="H89" s="18">
        <v>0</v>
      </c>
      <c r="I89" s="36">
        <v>36</v>
      </c>
      <c r="J89" s="5" t="s">
        <v>118</v>
      </c>
      <c r="K89" s="34" t="str">
        <f>VLOOKUP(I89,[2]stage_hints!$A:$C,3,FALSE)</f>
        <v>タワーオブザクイーンのボス</v>
      </c>
      <c r="L89" s="35" t="str">
        <f>VLOOKUP(I89,[2]stage_hints!$A:$D,4,FALSE)</f>
        <v>「タワーオブザクイーン」最上階のボスは_x000D_15階の初回クリア報酬で獲得できるほか_x000D_その階にて低確率でドロップもします</v>
      </c>
      <c r="M89" s="21" t="s">
        <v>23</v>
      </c>
      <c r="N89">
        <v>36</v>
      </c>
    </row>
    <row r="90" spans="1:14" x14ac:dyDescent="0.15">
      <c r="A90" s="26" t="s">
        <v>32</v>
      </c>
      <c r="B90" s="4">
        <v>11006</v>
      </c>
      <c r="C90" s="3" t="str">
        <f ca="1">VLOOKUP($B90,OFFSET([1]quests!$A$1,0,0,COUNTA([1]quests!$A:$A),MATCH(C$1,[1]quests!$1:$1,0)-MATCH($B$1,[1]quests!$1:$1,0)+1),MATCH(C$1,[1]quests!$1:$1,0)-MATCH($B$1,[1]quests!$1:$1,0)+1,FALSE)</f>
        <v>【土日限定】 ゴールドカジノ</v>
      </c>
      <c r="D90" s="3" t="str">
        <f ca="1">VLOOKUP($B90,OFFSET([1]quests!$A$1,0,0,COUNTA([1]quests!$A:$A),MATCH(D$1,[1]quests!$1:$1,0)-MATCH($B$1,[1]quests!$1:$1,0)+1),MATCH(D$1,[1]quests!$1:$1,0)-MATCH($B$1,[1]quests!$1:$1,0)+1,FALSE)</f>
        <v>土日クエスト</v>
      </c>
      <c r="E90" s="5">
        <v>4</v>
      </c>
      <c r="F90" s="3" t="str">
        <f ca="1">VLOOKUP($B90&amp;"_"&amp;$E90,OFFSET([1]stages!$A$1,0,0,COUNTA([1]stages!$A:$A),MATCH(F$1,[1]stages!$2:$2,0)-MATCH("temp_stage",[1]stages!$2:$2,0)+1),MATCH(F$1,[1]stages!$2:$2,0)-MATCH("temp_stage",[1]stages!$2:$2,0)+1,FALSE)</f>
        <v xml:space="preserve">【超級】ゴールドカジノ </v>
      </c>
      <c r="G90" s="3" t="str">
        <f ca="1">VLOOKUP($B90&amp;"_"&amp;$E90,OFFSET([1]stages!$A$1,0,0,COUNTA([1]stages!$A:$A),MATCH(G$1,[1]stages!$2:$2,0)-MATCH("temp_stage",[1]stages!$2:$2,0)+1),MATCH(G$1,[1]stages!$2:$2,0)-MATCH("temp_stage",[1]stages!$2:$2,0)+1,FALSE)</f>
        <v>土日クエスト</v>
      </c>
      <c r="H90" s="18">
        <v>0</v>
      </c>
      <c r="I90" s="36">
        <v>37</v>
      </c>
      <c r="J90" s="5" t="s">
        <v>118</v>
      </c>
      <c r="K90" s="34" t="str">
        <f>VLOOKUP(I90,[2]stage_hints!$A:$C,3,FALSE)</f>
        <v>限界突破値の引き継ぎ</v>
      </c>
      <c r="L90" s="35" t="str">
        <f>VLOOKUP(I90,[2]stage_hints!$A:$D,4,FALSE)</f>
        <v>同じユニットを強化で合成すると_x000D_限界突破値を引き継げます（覚醒前後も可）</v>
      </c>
      <c r="M90" s="21" t="s">
        <v>23</v>
      </c>
      <c r="N90">
        <v>37</v>
      </c>
    </row>
    <row r="91" spans="1:14" x14ac:dyDescent="0.15">
      <c r="A91" s="26" t="s">
        <v>32</v>
      </c>
      <c r="B91" s="4">
        <v>11007</v>
      </c>
      <c r="C91" s="3" t="str">
        <f ca="1">VLOOKUP($B91,OFFSET([1]quests!$A$1,0,0,COUNTA([1]quests!$A:$A),MATCH(C$1,[1]quests!$1:$1,0)-MATCH($B$1,[1]quests!$1:$1,0)+1),MATCH(C$1,[1]quests!$1:$1,0)-MATCH($B$1,[1]quests!$1:$1,0)+1,FALSE)</f>
        <v>【土曜限定】 赤と緑の素材</v>
      </c>
      <c r="D91" s="3" t="str">
        <f ca="1">VLOOKUP($B91,OFFSET([1]quests!$A$1,0,0,COUNTA([1]quests!$A:$A),MATCH(D$1,[1]quests!$1:$1,0)-MATCH($B$1,[1]quests!$1:$1,0)+1),MATCH(D$1,[1]quests!$1:$1,0)-MATCH($B$1,[1]quests!$1:$1,0)+1,FALSE)</f>
        <v>土曜クエスト</v>
      </c>
      <c r="E91" s="5">
        <v>4</v>
      </c>
      <c r="F91" s="3" t="str">
        <f ca="1">VLOOKUP($B91&amp;"_"&amp;$E91,OFFSET([1]stages!$A$1,0,0,COUNTA([1]stages!$A:$A),MATCH(F$1,[1]stages!$2:$2,0)-MATCH("temp_stage",[1]stages!$2:$2,0)+1),MATCH(F$1,[1]stages!$2:$2,0)-MATCH("temp_stage",[1]stages!$2:$2,0)+1,FALSE)</f>
        <v xml:space="preserve">【超級】火と樹の帽子屋 </v>
      </c>
      <c r="G91" s="3" t="str">
        <f ca="1">VLOOKUP($B91&amp;"_"&amp;$E91,OFFSET([1]stages!$A$1,0,0,COUNTA([1]stages!$A:$A),MATCH(G$1,[1]stages!$2:$2,0)-MATCH("temp_stage",[1]stages!$2:$2,0)+1),MATCH(G$1,[1]stages!$2:$2,0)-MATCH("temp_stage",[1]stages!$2:$2,0)+1,FALSE)</f>
        <v>土曜クエスト</v>
      </c>
      <c r="H91" s="18">
        <v>0</v>
      </c>
      <c r="I91">
        <v>12</v>
      </c>
      <c r="J91" s="5" t="s">
        <v>16</v>
      </c>
      <c r="K91" s="34" t="str">
        <f>VLOOKUP(I91,[2]stage_hints!$A:$C,3,FALSE)</f>
        <v>ユニットのお気に入り登録</v>
      </c>
      <c r="L91" s="35" t="str">
        <f>VLOOKUP(I91,[2]stage_hints!$A:$D,4,FALSE)</f>
        <v>大事なユニットを誤って消さないように_x000D_フォルダから「お気に入り登録」しましょう</v>
      </c>
      <c r="M91" s="21" t="s">
        <v>23</v>
      </c>
      <c r="N91">
        <v>12</v>
      </c>
    </row>
    <row r="92" spans="1:14" x14ac:dyDescent="0.15">
      <c r="A92" s="26" t="s">
        <v>32</v>
      </c>
      <c r="B92" s="4">
        <v>11007</v>
      </c>
      <c r="C92" s="3" t="str">
        <f ca="1">VLOOKUP($B92,OFFSET([1]quests!$A$1,0,0,COUNTA([1]quests!$A:$A),MATCH(C$1,[1]quests!$1:$1,0)-MATCH($B$1,[1]quests!$1:$1,0)+1),MATCH(C$1,[1]quests!$1:$1,0)-MATCH($B$1,[1]quests!$1:$1,0)+1,FALSE)</f>
        <v>【土曜限定】 赤と緑の素材</v>
      </c>
      <c r="D92" s="3" t="str">
        <f ca="1">VLOOKUP($B92,OFFSET([1]quests!$A$1,0,0,COUNTA([1]quests!$A:$A),MATCH(D$1,[1]quests!$1:$1,0)-MATCH($B$1,[1]quests!$1:$1,0)+1),MATCH(D$1,[1]quests!$1:$1,0)-MATCH($B$1,[1]quests!$1:$1,0)+1,FALSE)</f>
        <v>土曜クエスト</v>
      </c>
      <c r="E92" s="5">
        <v>4</v>
      </c>
      <c r="F92" s="3" t="str">
        <f ca="1">VLOOKUP($B92&amp;"_"&amp;$E92,OFFSET([1]stages!$A$1,0,0,COUNTA([1]stages!$A:$A),MATCH(F$1,[1]stages!$2:$2,0)-MATCH("temp_stage",[1]stages!$2:$2,0)+1),MATCH(F$1,[1]stages!$2:$2,0)-MATCH("temp_stage",[1]stages!$2:$2,0)+1,FALSE)</f>
        <v xml:space="preserve">【超級】火と樹の帽子屋 </v>
      </c>
      <c r="G92" s="3" t="str">
        <f ca="1">VLOOKUP($B92&amp;"_"&amp;$E92,OFFSET([1]stages!$A$1,0,0,COUNTA([1]stages!$A:$A),MATCH(G$1,[1]stages!$2:$2,0)-MATCH("temp_stage",[1]stages!$2:$2,0)+1),MATCH(G$1,[1]stages!$2:$2,0)-MATCH("temp_stage",[1]stages!$2:$2,0)+1,FALSE)</f>
        <v>土曜クエスト</v>
      </c>
      <c r="H92" s="18">
        <v>0</v>
      </c>
      <c r="I92">
        <v>17</v>
      </c>
      <c r="J92" s="5" t="s">
        <v>16</v>
      </c>
      <c r="K92" s="34" t="str">
        <f>VLOOKUP(I92,[2]stage_hints!$A:$C,3,FALSE)</f>
        <v>リンクガチャ</v>
      </c>
      <c r="L92" s="35" t="str">
        <f>VLOOKUP(I92,[2]stage_hints!$A:$D,4,FALSE)</f>
        <v>無料のリンクガチャを回して_x000D_経験値素材や売却素材を獲得しましょう</v>
      </c>
      <c r="M92" s="21" t="s">
        <v>23</v>
      </c>
      <c r="N92">
        <v>17</v>
      </c>
    </row>
    <row r="93" spans="1:14" x14ac:dyDescent="0.15">
      <c r="A93" s="26" t="s">
        <v>32</v>
      </c>
      <c r="B93" s="4">
        <v>11007</v>
      </c>
      <c r="C93" s="3" t="str">
        <f ca="1">VLOOKUP($B93,OFFSET([1]quests!$A$1,0,0,COUNTA([1]quests!$A:$A),MATCH(C$1,[1]quests!$1:$1,0)-MATCH($B$1,[1]quests!$1:$1,0)+1),MATCH(C$1,[1]quests!$1:$1,0)-MATCH($B$1,[1]quests!$1:$1,0)+1,FALSE)</f>
        <v>【土曜限定】 赤と緑の素材</v>
      </c>
      <c r="D93" s="3" t="str">
        <f ca="1">VLOOKUP($B93,OFFSET([1]quests!$A$1,0,0,COUNTA([1]quests!$A:$A),MATCH(D$1,[1]quests!$1:$1,0)-MATCH($B$1,[1]quests!$1:$1,0)+1),MATCH(D$1,[1]quests!$1:$1,0)-MATCH($B$1,[1]quests!$1:$1,0)+1,FALSE)</f>
        <v>土曜クエスト</v>
      </c>
      <c r="E93" s="5">
        <v>4</v>
      </c>
      <c r="F93" s="3" t="str">
        <f ca="1">VLOOKUP($B93&amp;"_"&amp;$E93,OFFSET([1]stages!$A$1,0,0,COUNTA([1]stages!$A:$A),MATCH(F$1,[1]stages!$2:$2,0)-MATCH("temp_stage",[1]stages!$2:$2,0)+1),MATCH(F$1,[1]stages!$2:$2,0)-MATCH("temp_stage",[1]stages!$2:$2,0)+1,FALSE)</f>
        <v xml:space="preserve">【超級】火と樹の帽子屋 </v>
      </c>
      <c r="G93" s="3" t="str">
        <f ca="1">VLOOKUP($B93&amp;"_"&amp;$E93,OFFSET([1]stages!$A$1,0,0,COUNTA([1]stages!$A:$A),MATCH(G$1,[1]stages!$2:$2,0)-MATCH("temp_stage",[1]stages!$2:$2,0)+1),MATCH(G$1,[1]stages!$2:$2,0)-MATCH("temp_stage",[1]stages!$2:$2,0)+1,FALSE)</f>
        <v>土曜クエスト</v>
      </c>
      <c r="H93" s="18">
        <v>0</v>
      </c>
      <c r="I93">
        <v>19</v>
      </c>
      <c r="J93" s="5" t="s">
        <v>16</v>
      </c>
      <c r="K93" s="34" t="str">
        <f>VLOOKUP(I93,[2]stage_hints!$A:$C,3,FALSE)</f>
        <v>ソロ専用タワーオブザクイーン</v>
      </c>
      <c r="L93" s="35" t="str">
        <f>VLOOKUP(I93,[2]stage_hints!$A:$D,4,FALSE)</f>
        <v>ソロ専用の「タワーオブザクイーン」は_x000D_期間限定で定期的に開催されます_x000D_ここでしか獲得できない報酬もあるようです</v>
      </c>
      <c r="M93" s="21" t="s">
        <v>23</v>
      </c>
      <c r="N93">
        <v>19</v>
      </c>
    </row>
    <row r="94" spans="1:14" x14ac:dyDescent="0.15">
      <c r="A94" s="26" t="s">
        <v>32</v>
      </c>
      <c r="B94" s="4">
        <v>11007</v>
      </c>
      <c r="C94" s="3" t="str">
        <f ca="1">VLOOKUP($B94,OFFSET([1]quests!$A$1,0,0,COUNTA([1]quests!$A:$A),MATCH(C$1,[1]quests!$1:$1,0)-MATCH($B$1,[1]quests!$1:$1,0)+1),MATCH(C$1,[1]quests!$1:$1,0)-MATCH($B$1,[1]quests!$1:$1,0)+1,FALSE)</f>
        <v>【土曜限定】 赤と緑の素材</v>
      </c>
      <c r="D94" s="3" t="str">
        <f ca="1">VLOOKUP($B94,OFFSET([1]quests!$A$1,0,0,COUNTA([1]quests!$A:$A),MATCH(D$1,[1]quests!$1:$1,0)-MATCH($B$1,[1]quests!$1:$1,0)+1),MATCH(D$1,[1]quests!$1:$1,0)-MATCH($B$1,[1]quests!$1:$1,0)+1,FALSE)</f>
        <v>土曜クエスト</v>
      </c>
      <c r="E94" s="5">
        <v>4</v>
      </c>
      <c r="F94" s="3" t="str">
        <f ca="1">VLOOKUP($B94&amp;"_"&amp;$E94,OFFSET([1]stages!$A$1,0,0,COUNTA([1]stages!$A:$A),MATCH(F$1,[1]stages!$2:$2,0)-MATCH("temp_stage",[1]stages!$2:$2,0)+1),MATCH(F$1,[1]stages!$2:$2,0)-MATCH("temp_stage",[1]stages!$2:$2,0)+1,FALSE)</f>
        <v xml:space="preserve">【超級】火と樹の帽子屋 </v>
      </c>
      <c r="G94" s="3" t="str">
        <f ca="1">VLOOKUP($B94&amp;"_"&amp;$E94,OFFSET([1]stages!$A$1,0,0,COUNTA([1]stages!$A:$A),MATCH(G$1,[1]stages!$2:$2,0)-MATCH("temp_stage",[1]stages!$2:$2,0)+1),MATCH(G$1,[1]stages!$2:$2,0)-MATCH("temp_stage",[1]stages!$2:$2,0)+1,FALSE)</f>
        <v>土曜クエスト</v>
      </c>
      <c r="H94" s="18">
        <v>0</v>
      </c>
      <c r="I94">
        <v>21</v>
      </c>
      <c r="J94" s="5" t="s">
        <v>16</v>
      </c>
      <c r="K94" s="34" t="str">
        <f>VLOOKUP(I94,[2]stage_hints!$A:$C,3,FALSE)</f>
        <v>スキルを有効に</v>
      </c>
      <c r="L94" s="35" t="str">
        <f>VLOOKUP(I94,[2]stage_hints!$A:$D,4,FALSE)</f>
        <v>ターン経過でユニットのスキルが使えます_x000D_強力スキルでバトルを有利に進めましょう</v>
      </c>
      <c r="M94" s="21" t="s">
        <v>23</v>
      </c>
      <c r="N94">
        <v>21</v>
      </c>
    </row>
    <row r="95" spans="1:14" x14ac:dyDescent="0.15">
      <c r="A95" s="26" t="s">
        <v>32</v>
      </c>
      <c r="B95" s="4">
        <v>11007</v>
      </c>
      <c r="C95" s="3" t="str">
        <f ca="1">VLOOKUP($B95,OFFSET([1]quests!$A$1,0,0,COUNTA([1]quests!$A:$A),MATCH(C$1,[1]quests!$1:$1,0)-MATCH($B$1,[1]quests!$1:$1,0)+1),MATCH(C$1,[1]quests!$1:$1,0)-MATCH($B$1,[1]quests!$1:$1,0)+1,FALSE)</f>
        <v>【土曜限定】 赤と緑の素材</v>
      </c>
      <c r="D95" s="3" t="str">
        <f ca="1">VLOOKUP($B95,OFFSET([1]quests!$A$1,0,0,COUNTA([1]quests!$A:$A),MATCH(D$1,[1]quests!$1:$1,0)-MATCH($B$1,[1]quests!$1:$1,0)+1),MATCH(D$1,[1]quests!$1:$1,0)-MATCH($B$1,[1]quests!$1:$1,0)+1,FALSE)</f>
        <v>土曜クエスト</v>
      </c>
      <c r="E95" s="5">
        <v>4</v>
      </c>
      <c r="F95" s="3" t="str">
        <f ca="1">VLOOKUP($B95&amp;"_"&amp;$E95,OFFSET([1]stages!$A$1,0,0,COUNTA([1]stages!$A:$A),MATCH(F$1,[1]stages!$2:$2,0)-MATCH("temp_stage",[1]stages!$2:$2,0)+1),MATCH(F$1,[1]stages!$2:$2,0)-MATCH("temp_stage",[1]stages!$2:$2,0)+1,FALSE)</f>
        <v xml:space="preserve">【超級】火と樹の帽子屋 </v>
      </c>
      <c r="G95" s="3" t="str">
        <f ca="1">VLOOKUP($B95&amp;"_"&amp;$E95,OFFSET([1]stages!$A$1,0,0,COUNTA([1]stages!$A:$A),MATCH(G$1,[1]stages!$2:$2,0)-MATCH("temp_stage",[1]stages!$2:$2,0)+1),MATCH(G$1,[1]stages!$2:$2,0)-MATCH("temp_stage",[1]stages!$2:$2,0)+1,FALSE)</f>
        <v>土曜クエスト</v>
      </c>
      <c r="H95" s="18">
        <v>0</v>
      </c>
      <c r="I95">
        <v>27</v>
      </c>
      <c r="J95" s="5" t="s">
        <v>16</v>
      </c>
      <c r="K95" s="34" t="str">
        <f>VLOOKUP(I95,[2]stage_hints!$A:$C,3,FALSE)</f>
        <v>ホーム画面からデッキを編成</v>
      </c>
      <c r="L95" s="35" t="str">
        <f>VLOOKUP(I95,[2]stage_hints!$A:$D,4,FALSE)</f>
        <v>ホーム画面でユニットを長押しすると_x000D_すぐにパーティ編成に移動できます</v>
      </c>
      <c r="M95" s="21" t="s">
        <v>23</v>
      </c>
      <c r="N95">
        <v>27</v>
      </c>
    </row>
    <row r="96" spans="1:14" x14ac:dyDescent="0.15">
      <c r="A96" s="26" t="s">
        <v>32</v>
      </c>
      <c r="B96" s="4">
        <v>11007</v>
      </c>
      <c r="C96" s="3" t="str">
        <f ca="1">VLOOKUP($B96,OFFSET([1]quests!$A$1,0,0,COUNTA([1]quests!$A:$A),MATCH(C$1,[1]quests!$1:$1,0)-MATCH($B$1,[1]quests!$1:$1,0)+1),MATCH(C$1,[1]quests!$1:$1,0)-MATCH($B$1,[1]quests!$1:$1,0)+1,FALSE)</f>
        <v>【土曜限定】 赤と緑の素材</v>
      </c>
      <c r="D96" s="3" t="str">
        <f ca="1">VLOOKUP($B96,OFFSET([1]quests!$A$1,0,0,COUNTA([1]quests!$A:$A),MATCH(D$1,[1]quests!$1:$1,0)-MATCH($B$1,[1]quests!$1:$1,0)+1),MATCH(D$1,[1]quests!$1:$1,0)-MATCH($B$1,[1]quests!$1:$1,0)+1,FALSE)</f>
        <v>土曜クエスト</v>
      </c>
      <c r="E96" s="5">
        <v>4</v>
      </c>
      <c r="F96" s="3" t="str">
        <f ca="1">VLOOKUP($B96&amp;"_"&amp;$E96,OFFSET([1]stages!$A$1,0,0,COUNTA([1]stages!$A:$A),MATCH(F$1,[1]stages!$2:$2,0)-MATCH("temp_stage",[1]stages!$2:$2,0)+1),MATCH(F$1,[1]stages!$2:$2,0)-MATCH("temp_stage",[1]stages!$2:$2,0)+1,FALSE)</f>
        <v xml:space="preserve">【超級】火と樹の帽子屋 </v>
      </c>
      <c r="G96" s="3" t="str">
        <f ca="1">VLOOKUP($B96&amp;"_"&amp;$E96,OFFSET([1]stages!$A$1,0,0,COUNTA([1]stages!$A:$A),MATCH(G$1,[1]stages!$2:$2,0)-MATCH("temp_stage",[1]stages!$2:$2,0)+1),MATCH(G$1,[1]stages!$2:$2,0)-MATCH("temp_stage",[1]stages!$2:$2,0)+1,FALSE)</f>
        <v>土曜クエスト</v>
      </c>
      <c r="H96" s="18">
        <v>0</v>
      </c>
      <c r="I96">
        <v>28</v>
      </c>
      <c r="J96" s="5" t="s">
        <v>16</v>
      </c>
      <c r="K96" s="34" t="str">
        <f>VLOOKUP(I96,[2]stage_hints!$A:$C,3,FALSE)</f>
        <v>ステータス情報は長押しで</v>
      </c>
      <c r="L96" s="35" t="str">
        <f>VLOOKUP(I96,[2]stage_hints!$A:$D,4,FALSE)</f>
        <v>ユニットのアイコンを長押しすると_x000D_ステータス情報を確認することができます</v>
      </c>
      <c r="M96" s="21" t="s">
        <v>23</v>
      </c>
      <c r="N96">
        <v>28</v>
      </c>
    </row>
    <row r="97" spans="1:14" x14ac:dyDescent="0.15">
      <c r="A97" s="26" t="s">
        <v>32</v>
      </c>
      <c r="B97" s="4">
        <v>11007</v>
      </c>
      <c r="C97" s="3" t="str">
        <f ca="1">VLOOKUP($B97,OFFSET([1]quests!$A$1,0,0,COUNTA([1]quests!$A:$A),MATCH(C$1,[1]quests!$1:$1,0)-MATCH($B$1,[1]quests!$1:$1,0)+1),MATCH(C$1,[1]quests!$1:$1,0)-MATCH($B$1,[1]quests!$1:$1,0)+1,FALSE)</f>
        <v>【土曜限定】 赤と緑の素材</v>
      </c>
      <c r="D97" s="3" t="str">
        <f ca="1">VLOOKUP($B97,OFFSET([1]quests!$A$1,0,0,COUNTA([1]quests!$A:$A),MATCH(D$1,[1]quests!$1:$1,0)-MATCH($B$1,[1]quests!$1:$1,0)+1),MATCH(D$1,[1]quests!$1:$1,0)-MATCH($B$1,[1]quests!$1:$1,0)+1,FALSE)</f>
        <v>土曜クエスト</v>
      </c>
      <c r="E97" s="5">
        <v>4</v>
      </c>
      <c r="F97" s="3" t="str">
        <f ca="1">VLOOKUP($B97&amp;"_"&amp;$E97,OFFSET([1]stages!$A$1,0,0,COUNTA([1]stages!$A:$A),MATCH(F$1,[1]stages!$2:$2,0)-MATCH("temp_stage",[1]stages!$2:$2,0)+1),MATCH(F$1,[1]stages!$2:$2,0)-MATCH("temp_stage",[1]stages!$2:$2,0)+1,FALSE)</f>
        <v xml:space="preserve">【超級】火と樹の帽子屋 </v>
      </c>
      <c r="G97" s="3" t="str">
        <f ca="1">VLOOKUP($B97&amp;"_"&amp;$E97,OFFSET([1]stages!$A$1,0,0,COUNTA([1]stages!$A:$A),MATCH(G$1,[1]stages!$2:$2,0)-MATCH("temp_stage",[1]stages!$2:$2,0)+1),MATCH(G$1,[1]stages!$2:$2,0)-MATCH("temp_stage",[1]stages!$2:$2,0)+1,FALSE)</f>
        <v>土曜クエスト</v>
      </c>
      <c r="H97" s="18">
        <v>0</v>
      </c>
      <c r="I97">
        <v>29</v>
      </c>
      <c r="J97" s="5" t="s">
        <v>16</v>
      </c>
      <c r="K97" s="34" t="str">
        <f>VLOOKUP(I97,[2]stage_hints!$A:$C,3,FALSE)</f>
        <v>「バグ」のメリット</v>
      </c>
      <c r="L97" s="35" t="str">
        <f>VLOOKUP(I97,[2]stage_hints!$A:$D,4,FALSE)</f>
        <v>ユニットの「バグ」を増やすと_x000D_報酬をもらえる確率がアップします</v>
      </c>
      <c r="M97" s="21" t="s">
        <v>23</v>
      </c>
      <c r="N97">
        <v>29</v>
      </c>
    </row>
    <row r="98" spans="1:14" x14ac:dyDescent="0.15">
      <c r="A98" s="26" t="s">
        <v>32</v>
      </c>
      <c r="B98" s="4">
        <v>11007</v>
      </c>
      <c r="C98" s="3" t="str">
        <f ca="1">VLOOKUP($B98,OFFSET([1]quests!$A$1,0,0,COUNTA([1]quests!$A:$A),MATCH(C$1,[1]quests!$1:$1,0)-MATCH($B$1,[1]quests!$1:$1,0)+1),MATCH(C$1,[1]quests!$1:$1,0)-MATCH($B$1,[1]quests!$1:$1,0)+1,FALSE)</f>
        <v>【土曜限定】 赤と緑の素材</v>
      </c>
      <c r="D98" s="3" t="str">
        <f ca="1">VLOOKUP($B98,OFFSET([1]quests!$A$1,0,0,COUNTA([1]quests!$A:$A),MATCH(D$1,[1]quests!$1:$1,0)-MATCH($B$1,[1]quests!$1:$1,0)+1),MATCH(D$1,[1]quests!$1:$1,0)-MATCH($B$1,[1]quests!$1:$1,0)+1,FALSE)</f>
        <v>土曜クエスト</v>
      </c>
      <c r="E98" s="5">
        <v>4</v>
      </c>
      <c r="F98" s="3" t="str">
        <f ca="1">VLOOKUP($B98&amp;"_"&amp;$E98,OFFSET([1]stages!$A$1,0,0,COUNTA([1]stages!$A:$A),MATCH(F$1,[1]stages!$2:$2,0)-MATCH("temp_stage",[1]stages!$2:$2,0)+1),MATCH(F$1,[1]stages!$2:$2,0)-MATCH("temp_stage",[1]stages!$2:$2,0)+1,FALSE)</f>
        <v xml:space="preserve">【超級】火と樹の帽子屋 </v>
      </c>
      <c r="G98" s="3" t="str">
        <f ca="1">VLOOKUP($B98&amp;"_"&amp;$E98,OFFSET([1]stages!$A$1,0,0,COUNTA([1]stages!$A:$A),MATCH(G$1,[1]stages!$2:$2,0)-MATCH("temp_stage",[1]stages!$2:$2,0)+1),MATCH(G$1,[1]stages!$2:$2,0)-MATCH("temp_stage",[1]stages!$2:$2,0)+1,FALSE)</f>
        <v>土曜クエスト</v>
      </c>
      <c r="H98" s="18">
        <v>0</v>
      </c>
      <c r="I98">
        <v>30</v>
      </c>
      <c r="J98" s="5" t="s">
        <v>16</v>
      </c>
      <c r="K98" s="34" t="str">
        <f>VLOOKUP(I98,[2]stage_hints!$A:$C,3,FALSE)</f>
        <v>「バグ」の増やし方</v>
      </c>
      <c r="L98" s="35" t="str">
        <f>VLOOKUP(I98,[2]stage_hints!$A:$D,4,FALSE)</f>
        <v>同じユニット同士を強化で合成すると_x000D_「バグ」を増やすことができます</v>
      </c>
      <c r="M98" s="21" t="s">
        <v>23</v>
      </c>
      <c r="N98">
        <v>30</v>
      </c>
    </row>
    <row r="99" spans="1:14" x14ac:dyDescent="0.15">
      <c r="A99" s="26" t="s">
        <v>32</v>
      </c>
      <c r="B99" s="4">
        <v>11007</v>
      </c>
      <c r="C99" s="3" t="str">
        <f ca="1">VLOOKUP($B99,OFFSET([1]quests!$A$1,0,0,COUNTA([1]quests!$A:$A),MATCH(C$1,[1]quests!$1:$1,0)-MATCH($B$1,[1]quests!$1:$1,0)+1),MATCH(C$1,[1]quests!$1:$1,0)-MATCH($B$1,[1]quests!$1:$1,0)+1,FALSE)</f>
        <v>【土曜限定】 赤と緑の素材</v>
      </c>
      <c r="D99" s="3" t="str">
        <f ca="1">VLOOKUP($B99,OFFSET([1]quests!$A$1,0,0,COUNTA([1]quests!$A:$A),MATCH(D$1,[1]quests!$1:$1,0)-MATCH($B$1,[1]quests!$1:$1,0)+1),MATCH(D$1,[1]quests!$1:$1,0)-MATCH($B$1,[1]quests!$1:$1,0)+1,FALSE)</f>
        <v>土曜クエスト</v>
      </c>
      <c r="E99" s="5">
        <v>4</v>
      </c>
      <c r="F99" s="3" t="str">
        <f ca="1">VLOOKUP($B99&amp;"_"&amp;$E99,OFFSET([1]stages!$A$1,0,0,COUNTA([1]stages!$A:$A),MATCH(F$1,[1]stages!$2:$2,0)-MATCH("temp_stage",[1]stages!$2:$2,0)+1),MATCH(F$1,[1]stages!$2:$2,0)-MATCH("temp_stage",[1]stages!$2:$2,0)+1,FALSE)</f>
        <v xml:space="preserve">【超級】火と樹の帽子屋 </v>
      </c>
      <c r="G99" s="3" t="str">
        <f ca="1">VLOOKUP($B99&amp;"_"&amp;$E99,OFFSET([1]stages!$A$1,0,0,COUNTA([1]stages!$A:$A),MATCH(G$1,[1]stages!$2:$2,0)-MATCH("temp_stage",[1]stages!$2:$2,0)+1),MATCH(G$1,[1]stages!$2:$2,0)-MATCH("temp_stage",[1]stages!$2:$2,0)+1,FALSE)</f>
        <v>土曜クエスト</v>
      </c>
      <c r="H99" s="18">
        <v>0</v>
      </c>
      <c r="I99">
        <v>32</v>
      </c>
      <c r="J99" s="5" t="s">
        <v>16</v>
      </c>
      <c r="K99" s="34" t="str">
        <f>VLOOKUP(I99,[2]stage_hints!$A:$C,3,FALSE)</f>
        <v>敵の連続攻撃には</v>
      </c>
      <c r="L99" s="35" t="str">
        <f>VLOOKUP(I99,[2]stage_hints!$A:$D,4,FALSE)</f>
        <v>カウンタースキルを持つユニットがいれば_x000D_ダメージ回数分の反撃ができます</v>
      </c>
      <c r="M99" s="21" t="s">
        <v>23</v>
      </c>
      <c r="N99">
        <v>32</v>
      </c>
    </row>
    <row r="100" spans="1:14" x14ac:dyDescent="0.15">
      <c r="A100" s="26" t="s">
        <v>32</v>
      </c>
      <c r="B100" s="4">
        <v>11007</v>
      </c>
      <c r="C100" s="3" t="str">
        <f ca="1">VLOOKUP($B100,OFFSET([1]quests!$A$1,0,0,COUNTA([1]quests!$A:$A),MATCH(C$1,[1]quests!$1:$1,0)-MATCH($B$1,[1]quests!$1:$1,0)+1),MATCH(C$1,[1]quests!$1:$1,0)-MATCH($B$1,[1]quests!$1:$1,0)+1,FALSE)</f>
        <v>【土曜限定】 赤と緑の素材</v>
      </c>
      <c r="D100" s="3" t="str">
        <f ca="1">VLOOKUP($B100,OFFSET([1]quests!$A$1,0,0,COUNTA([1]quests!$A:$A),MATCH(D$1,[1]quests!$1:$1,0)-MATCH($B$1,[1]quests!$1:$1,0)+1),MATCH(D$1,[1]quests!$1:$1,0)-MATCH($B$1,[1]quests!$1:$1,0)+1,FALSE)</f>
        <v>土曜クエスト</v>
      </c>
      <c r="E100" s="5">
        <v>4</v>
      </c>
      <c r="F100" s="3" t="str">
        <f ca="1">VLOOKUP($B100&amp;"_"&amp;$E100,OFFSET([1]stages!$A$1,0,0,COUNTA([1]stages!$A:$A),MATCH(F$1,[1]stages!$2:$2,0)-MATCH("temp_stage",[1]stages!$2:$2,0)+1),MATCH(F$1,[1]stages!$2:$2,0)-MATCH("temp_stage",[1]stages!$2:$2,0)+1,FALSE)</f>
        <v xml:space="preserve">【超級】火と樹の帽子屋 </v>
      </c>
      <c r="G100" s="3" t="str">
        <f ca="1">VLOOKUP($B100&amp;"_"&amp;$E100,OFFSET([1]stages!$A$1,0,0,COUNTA([1]stages!$A:$A),MATCH(G$1,[1]stages!$2:$2,0)-MATCH("temp_stage",[1]stages!$2:$2,0)+1),MATCH(G$1,[1]stages!$2:$2,0)-MATCH("temp_stage",[1]stages!$2:$2,0)+1,FALSE)</f>
        <v>土曜クエスト</v>
      </c>
      <c r="H100" s="18">
        <v>0</v>
      </c>
      <c r="I100">
        <v>33</v>
      </c>
      <c r="J100" s="5" t="s">
        <v>16</v>
      </c>
      <c r="K100" s="34" t="str">
        <f>VLOOKUP(I100,[2]stage_hints!$A:$C,3,FALSE)</f>
        <v>敵のカウンター攻撃には</v>
      </c>
      <c r="L100" s="35" t="str">
        <f>VLOOKUP(I100,[2]stage_hints!$A:$D,4,FALSE)</f>
        <v>カウンターブレイクスキルを持っていれば_x000D_敵のカウンターを解除して攻撃ができます</v>
      </c>
      <c r="M100" s="21" t="s">
        <v>23</v>
      </c>
      <c r="N100">
        <v>33</v>
      </c>
    </row>
    <row r="101" spans="1:14" x14ac:dyDescent="0.15">
      <c r="A101" s="26" t="s">
        <v>32</v>
      </c>
      <c r="B101" s="4">
        <v>11007</v>
      </c>
      <c r="C101" s="3" t="str">
        <f ca="1">VLOOKUP($B101,OFFSET([1]quests!$A$1,0,0,COUNTA([1]quests!$A:$A),MATCH(C$1,[1]quests!$1:$1,0)-MATCH($B$1,[1]quests!$1:$1,0)+1),MATCH(C$1,[1]quests!$1:$1,0)-MATCH($B$1,[1]quests!$1:$1,0)+1,FALSE)</f>
        <v>【土曜限定】 赤と緑の素材</v>
      </c>
      <c r="D101" s="3" t="str">
        <f ca="1">VLOOKUP($B101,OFFSET([1]quests!$A$1,0,0,COUNTA([1]quests!$A:$A),MATCH(D$1,[1]quests!$1:$1,0)-MATCH($B$1,[1]quests!$1:$1,0)+1),MATCH(D$1,[1]quests!$1:$1,0)-MATCH($B$1,[1]quests!$1:$1,0)+1,FALSE)</f>
        <v>土曜クエスト</v>
      </c>
      <c r="E101" s="5">
        <v>4</v>
      </c>
      <c r="F101" s="3" t="str">
        <f ca="1">VLOOKUP($B101&amp;"_"&amp;$E101,OFFSET([1]stages!$A$1,0,0,COUNTA([1]stages!$A:$A),MATCH(F$1,[1]stages!$2:$2,0)-MATCH("temp_stage",[1]stages!$2:$2,0)+1),MATCH(F$1,[1]stages!$2:$2,0)-MATCH("temp_stage",[1]stages!$2:$2,0)+1,FALSE)</f>
        <v xml:space="preserve">【超級】火と樹の帽子屋 </v>
      </c>
      <c r="G101" s="3" t="str">
        <f ca="1">VLOOKUP($B101&amp;"_"&amp;$E101,OFFSET([1]stages!$A$1,0,0,COUNTA([1]stages!$A:$A),MATCH(G$1,[1]stages!$2:$2,0)-MATCH("temp_stage",[1]stages!$2:$2,0)+1),MATCH(G$1,[1]stages!$2:$2,0)-MATCH("temp_stage",[1]stages!$2:$2,0)+1,FALSE)</f>
        <v>土曜クエスト</v>
      </c>
      <c r="H101" s="18">
        <v>0</v>
      </c>
      <c r="I101">
        <v>34</v>
      </c>
      <c r="J101" s="5" t="s">
        <v>16</v>
      </c>
      <c r="K101" s="34" t="str">
        <f>VLOOKUP(I101,[2]stage_hints!$A:$C,3,FALSE)</f>
        <v>ステータスをスキルで下げられたら</v>
      </c>
      <c r="L101" s="35" t="str">
        <f>VLOOKUP(I101,[2]stage_hints!$A:$D,4,FALSE)</f>
        <v>ステータスダウンのスキルを受けたら_x000D_ステータスアップスキルで上書きしましょう</v>
      </c>
      <c r="M101" s="21" t="s">
        <v>23</v>
      </c>
      <c r="N101">
        <v>34</v>
      </c>
    </row>
    <row r="102" spans="1:14" x14ac:dyDescent="0.15">
      <c r="A102" s="26" t="s">
        <v>32</v>
      </c>
      <c r="B102" s="4">
        <v>11007</v>
      </c>
      <c r="C102" s="3" t="str">
        <f ca="1">VLOOKUP($B102,OFFSET([1]quests!$A$1,0,0,COUNTA([1]quests!$A:$A),MATCH(C$1,[1]quests!$1:$1,0)-MATCH($B$1,[1]quests!$1:$1,0)+1),MATCH(C$1,[1]quests!$1:$1,0)-MATCH($B$1,[1]quests!$1:$1,0)+1,FALSE)</f>
        <v>【土曜限定】 赤と緑の素材</v>
      </c>
      <c r="D102" s="3" t="str">
        <f ca="1">VLOOKUP($B102,OFFSET([1]quests!$A$1,0,0,COUNTA([1]quests!$A:$A),MATCH(D$1,[1]quests!$1:$1,0)-MATCH($B$1,[1]quests!$1:$1,0)+1),MATCH(D$1,[1]quests!$1:$1,0)-MATCH($B$1,[1]quests!$1:$1,0)+1,FALSE)</f>
        <v>土曜クエスト</v>
      </c>
      <c r="E102" s="5">
        <v>4</v>
      </c>
      <c r="F102" s="3" t="str">
        <f ca="1">VLOOKUP($B102&amp;"_"&amp;$E102,OFFSET([1]stages!$A$1,0,0,COUNTA([1]stages!$A:$A),MATCH(F$1,[1]stages!$2:$2,0)-MATCH("temp_stage",[1]stages!$2:$2,0)+1),MATCH(F$1,[1]stages!$2:$2,0)-MATCH("temp_stage",[1]stages!$2:$2,0)+1,FALSE)</f>
        <v xml:space="preserve">【超級】火と樹の帽子屋 </v>
      </c>
      <c r="G102" s="3" t="str">
        <f ca="1">VLOOKUP($B102&amp;"_"&amp;$E102,OFFSET([1]stages!$A$1,0,0,COUNTA([1]stages!$A:$A),MATCH(G$1,[1]stages!$2:$2,0)-MATCH("temp_stage",[1]stages!$2:$2,0)+1),MATCH(G$1,[1]stages!$2:$2,0)-MATCH("temp_stage",[1]stages!$2:$2,0)+1,FALSE)</f>
        <v>土曜クエスト</v>
      </c>
      <c r="H102" s="18">
        <v>0</v>
      </c>
      <c r="I102">
        <v>35</v>
      </c>
      <c r="J102" s="5" t="s">
        <v>16</v>
      </c>
      <c r="K102" s="34" t="str">
        <f>VLOOKUP(I102,[2]stage_hints!$A:$C,3,FALSE)</f>
        <v>敵のステータスがスキルで上がったら</v>
      </c>
      <c r="L102" s="35" t="str">
        <f>VLOOKUP(I102,[2]stage_hints!$A:$D,4,FALSE)</f>
        <v>敵のステータスがスキルでアップしたときは_x000D_ステータスダウンスキルで上書きしましょう</v>
      </c>
      <c r="M102" s="21" t="s">
        <v>23</v>
      </c>
      <c r="N102">
        <v>35</v>
      </c>
    </row>
    <row r="103" spans="1:14" x14ac:dyDescent="0.15">
      <c r="A103" s="26" t="s">
        <v>32</v>
      </c>
      <c r="B103" s="4">
        <v>11007</v>
      </c>
      <c r="C103" s="3" t="str">
        <f ca="1">VLOOKUP($B103,OFFSET([1]quests!$A$1,0,0,COUNTA([1]quests!$A:$A),MATCH(C$1,[1]quests!$1:$1,0)-MATCH($B$1,[1]quests!$1:$1,0)+1),MATCH(C$1,[1]quests!$1:$1,0)-MATCH($B$1,[1]quests!$1:$1,0)+1,FALSE)</f>
        <v>【土曜限定】 赤と緑の素材</v>
      </c>
      <c r="D103" s="3" t="str">
        <f ca="1">VLOOKUP($B103,OFFSET([1]quests!$A$1,0,0,COUNTA([1]quests!$A:$A),MATCH(D$1,[1]quests!$1:$1,0)-MATCH($B$1,[1]quests!$1:$1,0)+1),MATCH(D$1,[1]quests!$1:$1,0)-MATCH($B$1,[1]quests!$1:$1,0)+1,FALSE)</f>
        <v>土曜クエスト</v>
      </c>
      <c r="E103" s="5">
        <v>4</v>
      </c>
      <c r="F103" s="3" t="str">
        <f ca="1">VLOOKUP($B103&amp;"_"&amp;$E103,OFFSET([1]stages!$A$1,0,0,COUNTA([1]stages!$A:$A),MATCH(F$1,[1]stages!$2:$2,0)-MATCH("temp_stage",[1]stages!$2:$2,0)+1),MATCH(F$1,[1]stages!$2:$2,0)-MATCH("temp_stage",[1]stages!$2:$2,0)+1,FALSE)</f>
        <v xml:space="preserve">【超級】火と樹の帽子屋 </v>
      </c>
      <c r="G103" s="3" t="str">
        <f ca="1">VLOOKUP($B103&amp;"_"&amp;$E103,OFFSET([1]stages!$A$1,0,0,COUNTA([1]stages!$A:$A),MATCH(G$1,[1]stages!$2:$2,0)-MATCH("temp_stage",[1]stages!$2:$2,0)+1),MATCH(G$1,[1]stages!$2:$2,0)-MATCH("temp_stage",[1]stages!$2:$2,0)+1,FALSE)</f>
        <v>土曜クエスト</v>
      </c>
      <c r="H103" s="18">
        <v>0</v>
      </c>
      <c r="I103">
        <v>36</v>
      </c>
      <c r="J103" s="5" t="s">
        <v>16</v>
      </c>
      <c r="K103" s="34" t="str">
        <f>VLOOKUP(I103,[2]stage_hints!$A:$C,3,FALSE)</f>
        <v>タワーオブザクイーンのボス</v>
      </c>
      <c r="L103" s="35" t="str">
        <f>VLOOKUP(I103,[2]stage_hints!$A:$D,4,FALSE)</f>
        <v>「タワーオブザクイーン」最上階のボスは_x000D_15階の初回クリア報酬で獲得できるほか_x000D_その階にて低確率でドロップもします</v>
      </c>
      <c r="M103" s="21" t="s">
        <v>23</v>
      </c>
      <c r="N103">
        <v>36</v>
      </c>
    </row>
    <row r="104" spans="1:14" x14ac:dyDescent="0.15">
      <c r="A104" s="26" t="s">
        <v>32</v>
      </c>
      <c r="B104" s="4">
        <v>11007</v>
      </c>
      <c r="C104" s="3" t="str">
        <f ca="1">VLOOKUP($B104,OFFSET([1]quests!$A$1,0,0,COUNTA([1]quests!$A:$A),MATCH(C$1,[1]quests!$1:$1,0)-MATCH($B$1,[1]quests!$1:$1,0)+1),MATCH(C$1,[1]quests!$1:$1,0)-MATCH($B$1,[1]quests!$1:$1,0)+1,FALSE)</f>
        <v>【土曜限定】 赤と緑の素材</v>
      </c>
      <c r="D104" s="3" t="str">
        <f ca="1">VLOOKUP($B104,OFFSET([1]quests!$A$1,0,0,COUNTA([1]quests!$A:$A),MATCH(D$1,[1]quests!$1:$1,0)-MATCH($B$1,[1]quests!$1:$1,0)+1),MATCH(D$1,[1]quests!$1:$1,0)-MATCH($B$1,[1]quests!$1:$1,0)+1,FALSE)</f>
        <v>土曜クエスト</v>
      </c>
      <c r="E104" s="5">
        <v>4</v>
      </c>
      <c r="F104" s="3" t="str">
        <f ca="1">VLOOKUP($B104&amp;"_"&amp;$E104,OFFSET([1]stages!$A$1,0,0,COUNTA([1]stages!$A:$A),MATCH(F$1,[1]stages!$2:$2,0)-MATCH("temp_stage",[1]stages!$2:$2,0)+1),MATCH(F$1,[1]stages!$2:$2,0)-MATCH("temp_stage",[1]stages!$2:$2,0)+1,FALSE)</f>
        <v xml:space="preserve">【超級】火と樹の帽子屋 </v>
      </c>
      <c r="G104" s="3" t="str">
        <f ca="1">VLOOKUP($B104&amp;"_"&amp;$E104,OFFSET([1]stages!$A$1,0,0,COUNTA([1]stages!$A:$A),MATCH(G$1,[1]stages!$2:$2,0)-MATCH("temp_stage",[1]stages!$2:$2,0)+1),MATCH(G$1,[1]stages!$2:$2,0)-MATCH("temp_stage",[1]stages!$2:$2,0)+1,FALSE)</f>
        <v>土曜クエスト</v>
      </c>
      <c r="H104" s="18">
        <v>0</v>
      </c>
      <c r="I104">
        <v>37</v>
      </c>
      <c r="J104" s="5" t="s">
        <v>16</v>
      </c>
      <c r="K104" s="34" t="str">
        <f>VLOOKUP(I104,[2]stage_hints!$A:$C,3,FALSE)</f>
        <v>限界突破値の引き継ぎ</v>
      </c>
      <c r="L104" s="35" t="str">
        <f>VLOOKUP(I104,[2]stage_hints!$A:$D,4,FALSE)</f>
        <v>同じユニットを強化で合成すると_x000D_限界突破値を引き継げます（覚醒前後も可）</v>
      </c>
      <c r="M104" s="21" t="s">
        <v>23</v>
      </c>
      <c r="N104">
        <v>37</v>
      </c>
    </row>
    <row r="105" spans="1:14" x14ac:dyDescent="0.15">
      <c r="A105" s="26" t="s">
        <v>32</v>
      </c>
      <c r="B105" s="4">
        <v>11008</v>
      </c>
      <c r="C105" s="3" t="str">
        <f ca="1">VLOOKUP($B105,OFFSET([1]quests!$A$1,0,0,COUNTA([1]quests!$A:$A),MATCH(C$1,[1]quests!$1:$1,0)-MATCH($B$1,[1]quests!$1:$1,0)+1),MATCH(C$1,[1]quests!$1:$1,0)-MATCH($B$1,[1]quests!$1:$1,0)+1,FALSE)</f>
        <v>【日曜限定】 青と黄の素材</v>
      </c>
      <c r="D105" s="3" t="str">
        <f ca="1">VLOOKUP($B105,OFFSET([1]quests!$A$1,0,0,COUNTA([1]quests!$A:$A),MATCH(D$1,[1]quests!$1:$1,0)-MATCH($B$1,[1]quests!$1:$1,0)+1),MATCH(D$1,[1]quests!$1:$1,0)-MATCH($B$1,[1]quests!$1:$1,0)+1,FALSE)</f>
        <v>日曜クエスト</v>
      </c>
      <c r="E105" s="5">
        <v>4</v>
      </c>
      <c r="F105" s="3" t="str">
        <f ca="1">VLOOKUP($B105&amp;"_"&amp;$E105,OFFSET([1]stages!$A$1,0,0,COUNTA([1]stages!$A:$A),MATCH(F$1,[1]stages!$2:$2,0)-MATCH("temp_stage",[1]stages!$2:$2,0)+1),MATCH(F$1,[1]stages!$2:$2,0)-MATCH("temp_stage",[1]stages!$2:$2,0)+1,FALSE)</f>
        <v xml:space="preserve">【超級】水と雷の帽子屋 </v>
      </c>
      <c r="G105" s="3" t="str">
        <f ca="1">VLOOKUP($B105&amp;"_"&amp;$E105,OFFSET([1]stages!$A$1,0,0,COUNTA([1]stages!$A:$A),MATCH(G$1,[1]stages!$2:$2,0)-MATCH("temp_stage",[1]stages!$2:$2,0)+1),MATCH(G$1,[1]stages!$2:$2,0)-MATCH("temp_stage",[1]stages!$2:$2,0)+1,FALSE)</f>
        <v>日曜クエスト</v>
      </c>
      <c r="H105" s="18">
        <v>0</v>
      </c>
      <c r="I105">
        <v>12</v>
      </c>
      <c r="J105" s="5" t="s">
        <v>16</v>
      </c>
      <c r="K105" s="34" t="str">
        <f>VLOOKUP(I105,[2]stage_hints!$A:$C,3,FALSE)</f>
        <v>ユニットのお気に入り登録</v>
      </c>
      <c r="L105" s="35" t="str">
        <f>VLOOKUP(I105,[2]stage_hints!$A:$D,4,FALSE)</f>
        <v>大事なユニットを誤って消さないように_x000D_フォルダから「お気に入り登録」しましょう</v>
      </c>
      <c r="M105" s="21" t="s">
        <v>23</v>
      </c>
      <c r="N105">
        <v>12</v>
      </c>
    </row>
    <row r="106" spans="1:14" x14ac:dyDescent="0.15">
      <c r="A106" s="26" t="s">
        <v>32</v>
      </c>
      <c r="B106" s="4">
        <v>11008</v>
      </c>
      <c r="C106" s="3" t="str">
        <f ca="1">VLOOKUP($B106,OFFSET([1]quests!$A$1,0,0,COUNTA([1]quests!$A:$A),MATCH(C$1,[1]quests!$1:$1,0)-MATCH($B$1,[1]quests!$1:$1,0)+1),MATCH(C$1,[1]quests!$1:$1,0)-MATCH($B$1,[1]quests!$1:$1,0)+1,FALSE)</f>
        <v>【日曜限定】 青と黄の素材</v>
      </c>
      <c r="D106" s="3" t="str">
        <f ca="1">VLOOKUP($B106,OFFSET([1]quests!$A$1,0,0,COUNTA([1]quests!$A:$A),MATCH(D$1,[1]quests!$1:$1,0)-MATCH($B$1,[1]quests!$1:$1,0)+1),MATCH(D$1,[1]quests!$1:$1,0)-MATCH($B$1,[1]quests!$1:$1,0)+1,FALSE)</f>
        <v>日曜クエスト</v>
      </c>
      <c r="E106" s="5">
        <v>4</v>
      </c>
      <c r="F106" s="3" t="str">
        <f ca="1">VLOOKUP($B106&amp;"_"&amp;$E106,OFFSET([1]stages!$A$1,0,0,COUNTA([1]stages!$A:$A),MATCH(F$1,[1]stages!$2:$2,0)-MATCH("temp_stage",[1]stages!$2:$2,0)+1),MATCH(F$1,[1]stages!$2:$2,0)-MATCH("temp_stage",[1]stages!$2:$2,0)+1,FALSE)</f>
        <v xml:space="preserve">【超級】水と雷の帽子屋 </v>
      </c>
      <c r="G106" s="3" t="str">
        <f ca="1">VLOOKUP($B106&amp;"_"&amp;$E106,OFFSET([1]stages!$A$1,0,0,COUNTA([1]stages!$A:$A),MATCH(G$1,[1]stages!$2:$2,0)-MATCH("temp_stage",[1]stages!$2:$2,0)+1),MATCH(G$1,[1]stages!$2:$2,0)-MATCH("temp_stage",[1]stages!$2:$2,0)+1,FALSE)</f>
        <v>日曜クエスト</v>
      </c>
      <c r="H106" s="18">
        <v>0</v>
      </c>
      <c r="I106">
        <v>17</v>
      </c>
      <c r="J106" s="5" t="s">
        <v>16</v>
      </c>
      <c r="K106" s="34" t="str">
        <f>VLOOKUP(I106,[2]stage_hints!$A:$C,3,FALSE)</f>
        <v>リンクガチャ</v>
      </c>
      <c r="L106" s="35" t="str">
        <f>VLOOKUP(I106,[2]stage_hints!$A:$D,4,FALSE)</f>
        <v>無料のリンクガチャを回して_x000D_経験値素材や売却素材を獲得しましょう</v>
      </c>
      <c r="M106" s="21" t="s">
        <v>23</v>
      </c>
      <c r="N106">
        <v>17</v>
      </c>
    </row>
    <row r="107" spans="1:14" x14ac:dyDescent="0.15">
      <c r="A107" s="26" t="s">
        <v>32</v>
      </c>
      <c r="B107" s="4">
        <v>11008</v>
      </c>
      <c r="C107" s="3" t="str">
        <f ca="1">VLOOKUP($B107,OFFSET([1]quests!$A$1,0,0,COUNTA([1]quests!$A:$A),MATCH(C$1,[1]quests!$1:$1,0)-MATCH($B$1,[1]quests!$1:$1,0)+1),MATCH(C$1,[1]quests!$1:$1,0)-MATCH($B$1,[1]quests!$1:$1,0)+1,FALSE)</f>
        <v>【日曜限定】 青と黄の素材</v>
      </c>
      <c r="D107" s="3" t="str">
        <f ca="1">VLOOKUP($B107,OFFSET([1]quests!$A$1,0,0,COUNTA([1]quests!$A:$A),MATCH(D$1,[1]quests!$1:$1,0)-MATCH($B$1,[1]quests!$1:$1,0)+1),MATCH(D$1,[1]quests!$1:$1,0)-MATCH($B$1,[1]quests!$1:$1,0)+1,FALSE)</f>
        <v>日曜クエスト</v>
      </c>
      <c r="E107" s="5">
        <v>4</v>
      </c>
      <c r="F107" s="3" t="str">
        <f ca="1">VLOOKUP($B107&amp;"_"&amp;$E107,OFFSET([1]stages!$A$1,0,0,COUNTA([1]stages!$A:$A),MATCH(F$1,[1]stages!$2:$2,0)-MATCH("temp_stage",[1]stages!$2:$2,0)+1),MATCH(F$1,[1]stages!$2:$2,0)-MATCH("temp_stage",[1]stages!$2:$2,0)+1,FALSE)</f>
        <v xml:space="preserve">【超級】水と雷の帽子屋 </v>
      </c>
      <c r="G107" s="3" t="str">
        <f ca="1">VLOOKUP($B107&amp;"_"&amp;$E107,OFFSET([1]stages!$A$1,0,0,COUNTA([1]stages!$A:$A),MATCH(G$1,[1]stages!$2:$2,0)-MATCH("temp_stage",[1]stages!$2:$2,0)+1),MATCH(G$1,[1]stages!$2:$2,0)-MATCH("temp_stage",[1]stages!$2:$2,0)+1,FALSE)</f>
        <v>日曜クエスト</v>
      </c>
      <c r="H107" s="18">
        <v>0</v>
      </c>
      <c r="I107">
        <v>19</v>
      </c>
      <c r="J107" s="5" t="s">
        <v>16</v>
      </c>
      <c r="K107" s="34" t="str">
        <f>VLOOKUP(I107,[2]stage_hints!$A:$C,3,FALSE)</f>
        <v>ソロ専用タワーオブザクイーン</v>
      </c>
      <c r="L107" s="35" t="str">
        <f>VLOOKUP(I107,[2]stage_hints!$A:$D,4,FALSE)</f>
        <v>ソロ専用の「タワーオブザクイーン」は_x000D_期間限定で定期的に開催されます_x000D_ここでしか獲得できない報酬もあるようです</v>
      </c>
      <c r="M107" s="21" t="s">
        <v>23</v>
      </c>
      <c r="N107">
        <v>19</v>
      </c>
    </row>
    <row r="108" spans="1:14" x14ac:dyDescent="0.15">
      <c r="A108" s="26" t="s">
        <v>32</v>
      </c>
      <c r="B108" s="4">
        <v>11008</v>
      </c>
      <c r="C108" s="3" t="str">
        <f ca="1">VLOOKUP($B108,OFFSET([1]quests!$A$1,0,0,COUNTA([1]quests!$A:$A),MATCH(C$1,[1]quests!$1:$1,0)-MATCH($B$1,[1]quests!$1:$1,0)+1),MATCH(C$1,[1]quests!$1:$1,0)-MATCH($B$1,[1]quests!$1:$1,0)+1,FALSE)</f>
        <v>【日曜限定】 青と黄の素材</v>
      </c>
      <c r="D108" s="3" t="str">
        <f ca="1">VLOOKUP($B108,OFFSET([1]quests!$A$1,0,0,COUNTA([1]quests!$A:$A),MATCH(D$1,[1]quests!$1:$1,0)-MATCH($B$1,[1]quests!$1:$1,0)+1),MATCH(D$1,[1]quests!$1:$1,0)-MATCH($B$1,[1]quests!$1:$1,0)+1,FALSE)</f>
        <v>日曜クエスト</v>
      </c>
      <c r="E108" s="5">
        <v>4</v>
      </c>
      <c r="F108" s="3" t="str">
        <f ca="1">VLOOKUP($B108&amp;"_"&amp;$E108,OFFSET([1]stages!$A$1,0,0,COUNTA([1]stages!$A:$A),MATCH(F$1,[1]stages!$2:$2,0)-MATCH("temp_stage",[1]stages!$2:$2,0)+1),MATCH(F$1,[1]stages!$2:$2,0)-MATCH("temp_stage",[1]stages!$2:$2,0)+1,FALSE)</f>
        <v xml:space="preserve">【超級】水と雷の帽子屋 </v>
      </c>
      <c r="G108" s="3" t="str">
        <f ca="1">VLOOKUP($B108&amp;"_"&amp;$E108,OFFSET([1]stages!$A$1,0,0,COUNTA([1]stages!$A:$A),MATCH(G$1,[1]stages!$2:$2,0)-MATCH("temp_stage",[1]stages!$2:$2,0)+1),MATCH(G$1,[1]stages!$2:$2,0)-MATCH("temp_stage",[1]stages!$2:$2,0)+1,FALSE)</f>
        <v>日曜クエスト</v>
      </c>
      <c r="H108" s="18">
        <v>0</v>
      </c>
      <c r="I108">
        <v>21</v>
      </c>
      <c r="J108" s="5" t="s">
        <v>16</v>
      </c>
      <c r="K108" s="34" t="str">
        <f>VLOOKUP(I108,[2]stage_hints!$A:$C,3,FALSE)</f>
        <v>スキルを有効に</v>
      </c>
      <c r="L108" s="35" t="str">
        <f>VLOOKUP(I108,[2]stage_hints!$A:$D,4,FALSE)</f>
        <v>ターン経過でユニットのスキルが使えます_x000D_強力スキルでバトルを有利に進めましょう</v>
      </c>
      <c r="M108" s="21" t="s">
        <v>23</v>
      </c>
      <c r="N108">
        <v>21</v>
      </c>
    </row>
    <row r="109" spans="1:14" x14ac:dyDescent="0.15">
      <c r="A109" s="26" t="s">
        <v>32</v>
      </c>
      <c r="B109" s="4">
        <v>11008</v>
      </c>
      <c r="C109" s="3" t="str">
        <f ca="1">VLOOKUP($B109,OFFSET([1]quests!$A$1,0,0,COUNTA([1]quests!$A:$A),MATCH(C$1,[1]quests!$1:$1,0)-MATCH($B$1,[1]quests!$1:$1,0)+1),MATCH(C$1,[1]quests!$1:$1,0)-MATCH($B$1,[1]quests!$1:$1,0)+1,FALSE)</f>
        <v>【日曜限定】 青と黄の素材</v>
      </c>
      <c r="D109" s="3" t="str">
        <f ca="1">VLOOKUP($B109,OFFSET([1]quests!$A$1,0,0,COUNTA([1]quests!$A:$A),MATCH(D$1,[1]quests!$1:$1,0)-MATCH($B$1,[1]quests!$1:$1,0)+1),MATCH(D$1,[1]quests!$1:$1,0)-MATCH($B$1,[1]quests!$1:$1,0)+1,FALSE)</f>
        <v>日曜クエスト</v>
      </c>
      <c r="E109" s="5">
        <v>4</v>
      </c>
      <c r="F109" s="3" t="str">
        <f ca="1">VLOOKUP($B109&amp;"_"&amp;$E109,OFFSET([1]stages!$A$1,0,0,COUNTA([1]stages!$A:$A),MATCH(F$1,[1]stages!$2:$2,0)-MATCH("temp_stage",[1]stages!$2:$2,0)+1),MATCH(F$1,[1]stages!$2:$2,0)-MATCH("temp_stage",[1]stages!$2:$2,0)+1,FALSE)</f>
        <v xml:space="preserve">【超級】水と雷の帽子屋 </v>
      </c>
      <c r="G109" s="3" t="str">
        <f ca="1">VLOOKUP($B109&amp;"_"&amp;$E109,OFFSET([1]stages!$A$1,0,0,COUNTA([1]stages!$A:$A),MATCH(G$1,[1]stages!$2:$2,0)-MATCH("temp_stage",[1]stages!$2:$2,0)+1),MATCH(G$1,[1]stages!$2:$2,0)-MATCH("temp_stage",[1]stages!$2:$2,0)+1,FALSE)</f>
        <v>日曜クエスト</v>
      </c>
      <c r="H109" s="18">
        <v>0</v>
      </c>
      <c r="I109">
        <v>27</v>
      </c>
      <c r="J109" s="5" t="s">
        <v>16</v>
      </c>
      <c r="K109" s="34" t="str">
        <f>VLOOKUP(I109,[2]stage_hints!$A:$C,3,FALSE)</f>
        <v>ホーム画面からデッキを編成</v>
      </c>
      <c r="L109" s="35" t="str">
        <f>VLOOKUP(I109,[2]stage_hints!$A:$D,4,FALSE)</f>
        <v>ホーム画面でユニットを長押しすると_x000D_すぐにパーティ編成に移動できます</v>
      </c>
      <c r="M109" s="21" t="s">
        <v>23</v>
      </c>
      <c r="N109">
        <v>27</v>
      </c>
    </row>
    <row r="110" spans="1:14" x14ac:dyDescent="0.15">
      <c r="A110" s="26" t="s">
        <v>32</v>
      </c>
      <c r="B110" s="4">
        <v>11008</v>
      </c>
      <c r="C110" s="3" t="str">
        <f ca="1">VLOOKUP($B110,OFFSET([1]quests!$A$1,0,0,COUNTA([1]quests!$A:$A),MATCH(C$1,[1]quests!$1:$1,0)-MATCH($B$1,[1]quests!$1:$1,0)+1),MATCH(C$1,[1]quests!$1:$1,0)-MATCH($B$1,[1]quests!$1:$1,0)+1,FALSE)</f>
        <v>【日曜限定】 青と黄の素材</v>
      </c>
      <c r="D110" s="3" t="str">
        <f ca="1">VLOOKUP($B110,OFFSET([1]quests!$A$1,0,0,COUNTA([1]quests!$A:$A),MATCH(D$1,[1]quests!$1:$1,0)-MATCH($B$1,[1]quests!$1:$1,0)+1),MATCH(D$1,[1]quests!$1:$1,0)-MATCH($B$1,[1]quests!$1:$1,0)+1,FALSE)</f>
        <v>日曜クエスト</v>
      </c>
      <c r="E110" s="5">
        <v>4</v>
      </c>
      <c r="F110" s="3" t="str">
        <f ca="1">VLOOKUP($B110&amp;"_"&amp;$E110,OFFSET([1]stages!$A$1,0,0,COUNTA([1]stages!$A:$A),MATCH(F$1,[1]stages!$2:$2,0)-MATCH("temp_stage",[1]stages!$2:$2,0)+1),MATCH(F$1,[1]stages!$2:$2,0)-MATCH("temp_stage",[1]stages!$2:$2,0)+1,FALSE)</f>
        <v xml:space="preserve">【超級】水と雷の帽子屋 </v>
      </c>
      <c r="G110" s="3" t="str">
        <f ca="1">VLOOKUP($B110&amp;"_"&amp;$E110,OFFSET([1]stages!$A$1,0,0,COUNTA([1]stages!$A:$A),MATCH(G$1,[1]stages!$2:$2,0)-MATCH("temp_stage",[1]stages!$2:$2,0)+1),MATCH(G$1,[1]stages!$2:$2,0)-MATCH("temp_stage",[1]stages!$2:$2,0)+1,FALSE)</f>
        <v>日曜クエスト</v>
      </c>
      <c r="H110" s="18">
        <v>0</v>
      </c>
      <c r="I110">
        <v>28</v>
      </c>
      <c r="J110" s="5" t="s">
        <v>16</v>
      </c>
      <c r="K110" s="34" t="str">
        <f>VLOOKUP(I110,[2]stage_hints!$A:$C,3,FALSE)</f>
        <v>ステータス情報は長押しで</v>
      </c>
      <c r="L110" s="35" t="str">
        <f>VLOOKUP(I110,[2]stage_hints!$A:$D,4,FALSE)</f>
        <v>ユニットのアイコンを長押しすると_x000D_ステータス情報を確認することができます</v>
      </c>
      <c r="M110" s="21" t="s">
        <v>23</v>
      </c>
      <c r="N110">
        <v>28</v>
      </c>
    </row>
    <row r="111" spans="1:14" x14ac:dyDescent="0.15">
      <c r="A111" s="26" t="s">
        <v>32</v>
      </c>
      <c r="B111" s="4">
        <v>11008</v>
      </c>
      <c r="C111" s="3" t="str">
        <f ca="1">VLOOKUP($B111,OFFSET([1]quests!$A$1,0,0,COUNTA([1]quests!$A:$A),MATCH(C$1,[1]quests!$1:$1,0)-MATCH($B$1,[1]quests!$1:$1,0)+1),MATCH(C$1,[1]quests!$1:$1,0)-MATCH($B$1,[1]quests!$1:$1,0)+1,FALSE)</f>
        <v>【日曜限定】 青と黄の素材</v>
      </c>
      <c r="D111" s="3" t="str">
        <f ca="1">VLOOKUP($B111,OFFSET([1]quests!$A$1,0,0,COUNTA([1]quests!$A:$A),MATCH(D$1,[1]quests!$1:$1,0)-MATCH($B$1,[1]quests!$1:$1,0)+1),MATCH(D$1,[1]quests!$1:$1,0)-MATCH($B$1,[1]quests!$1:$1,0)+1,FALSE)</f>
        <v>日曜クエスト</v>
      </c>
      <c r="E111" s="5">
        <v>4</v>
      </c>
      <c r="F111" s="3" t="str">
        <f ca="1">VLOOKUP($B111&amp;"_"&amp;$E111,OFFSET([1]stages!$A$1,0,0,COUNTA([1]stages!$A:$A),MATCH(F$1,[1]stages!$2:$2,0)-MATCH("temp_stage",[1]stages!$2:$2,0)+1),MATCH(F$1,[1]stages!$2:$2,0)-MATCH("temp_stage",[1]stages!$2:$2,0)+1,FALSE)</f>
        <v xml:space="preserve">【超級】水と雷の帽子屋 </v>
      </c>
      <c r="G111" s="3" t="str">
        <f ca="1">VLOOKUP($B111&amp;"_"&amp;$E111,OFFSET([1]stages!$A$1,0,0,COUNTA([1]stages!$A:$A),MATCH(G$1,[1]stages!$2:$2,0)-MATCH("temp_stage",[1]stages!$2:$2,0)+1),MATCH(G$1,[1]stages!$2:$2,0)-MATCH("temp_stage",[1]stages!$2:$2,0)+1,FALSE)</f>
        <v>日曜クエスト</v>
      </c>
      <c r="H111" s="18">
        <v>0</v>
      </c>
      <c r="I111">
        <v>29</v>
      </c>
      <c r="J111" s="5" t="s">
        <v>16</v>
      </c>
      <c r="K111" s="34" t="str">
        <f>VLOOKUP(I111,[2]stage_hints!$A:$C,3,FALSE)</f>
        <v>「バグ」のメリット</v>
      </c>
      <c r="L111" s="35" t="str">
        <f>VLOOKUP(I111,[2]stage_hints!$A:$D,4,FALSE)</f>
        <v>ユニットの「バグ」を増やすと_x000D_報酬をもらえる確率がアップします</v>
      </c>
      <c r="M111" s="21" t="s">
        <v>23</v>
      </c>
      <c r="N111">
        <v>29</v>
      </c>
    </row>
    <row r="112" spans="1:14" x14ac:dyDescent="0.15">
      <c r="A112" s="26" t="s">
        <v>32</v>
      </c>
      <c r="B112" s="4">
        <v>11008</v>
      </c>
      <c r="C112" s="3" t="str">
        <f ca="1">VLOOKUP($B112,OFFSET([1]quests!$A$1,0,0,COUNTA([1]quests!$A:$A),MATCH(C$1,[1]quests!$1:$1,0)-MATCH($B$1,[1]quests!$1:$1,0)+1),MATCH(C$1,[1]quests!$1:$1,0)-MATCH($B$1,[1]quests!$1:$1,0)+1,FALSE)</f>
        <v>【日曜限定】 青と黄の素材</v>
      </c>
      <c r="D112" s="3" t="str">
        <f ca="1">VLOOKUP($B112,OFFSET([1]quests!$A$1,0,0,COUNTA([1]quests!$A:$A),MATCH(D$1,[1]quests!$1:$1,0)-MATCH($B$1,[1]quests!$1:$1,0)+1),MATCH(D$1,[1]quests!$1:$1,0)-MATCH($B$1,[1]quests!$1:$1,0)+1,FALSE)</f>
        <v>日曜クエスト</v>
      </c>
      <c r="E112" s="5">
        <v>4</v>
      </c>
      <c r="F112" s="3" t="str">
        <f ca="1">VLOOKUP($B112&amp;"_"&amp;$E112,OFFSET([1]stages!$A$1,0,0,COUNTA([1]stages!$A:$A),MATCH(F$1,[1]stages!$2:$2,0)-MATCH("temp_stage",[1]stages!$2:$2,0)+1),MATCH(F$1,[1]stages!$2:$2,0)-MATCH("temp_stage",[1]stages!$2:$2,0)+1,FALSE)</f>
        <v xml:space="preserve">【超級】水と雷の帽子屋 </v>
      </c>
      <c r="G112" s="3" t="str">
        <f ca="1">VLOOKUP($B112&amp;"_"&amp;$E112,OFFSET([1]stages!$A$1,0,0,COUNTA([1]stages!$A:$A),MATCH(G$1,[1]stages!$2:$2,0)-MATCH("temp_stage",[1]stages!$2:$2,0)+1),MATCH(G$1,[1]stages!$2:$2,0)-MATCH("temp_stage",[1]stages!$2:$2,0)+1,FALSE)</f>
        <v>日曜クエスト</v>
      </c>
      <c r="H112" s="18">
        <v>0</v>
      </c>
      <c r="I112">
        <v>30</v>
      </c>
      <c r="J112" s="5" t="s">
        <v>16</v>
      </c>
      <c r="K112" s="34" t="str">
        <f>VLOOKUP(I112,[2]stage_hints!$A:$C,3,FALSE)</f>
        <v>「バグ」の増やし方</v>
      </c>
      <c r="L112" s="35" t="str">
        <f>VLOOKUP(I112,[2]stage_hints!$A:$D,4,FALSE)</f>
        <v>同じユニット同士を強化で合成すると_x000D_「バグ」を増やすことができます</v>
      </c>
      <c r="M112" s="21" t="s">
        <v>23</v>
      </c>
      <c r="N112">
        <v>30</v>
      </c>
    </row>
    <row r="113" spans="1:14" x14ac:dyDescent="0.15">
      <c r="A113" s="26" t="s">
        <v>32</v>
      </c>
      <c r="B113" s="4">
        <v>11008</v>
      </c>
      <c r="C113" s="3" t="str">
        <f ca="1">VLOOKUP($B113,OFFSET([1]quests!$A$1,0,0,COUNTA([1]quests!$A:$A),MATCH(C$1,[1]quests!$1:$1,0)-MATCH($B$1,[1]quests!$1:$1,0)+1),MATCH(C$1,[1]quests!$1:$1,0)-MATCH($B$1,[1]quests!$1:$1,0)+1,FALSE)</f>
        <v>【日曜限定】 青と黄の素材</v>
      </c>
      <c r="D113" s="3" t="str">
        <f ca="1">VLOOKUP($B113,OFFSET([1]quests!$A$1,0,0,COUNTA([1]quests!$A:$A),MATCH(D$1,[1]quests!$1:$1,0)-MATCH($B$1,[1]quests!$1:$1,0)+1),MATCH(D$1,[1]quests!$1:$1,0)-MATCH($B$1,[1]quests!$1:$1,0)+1,FALSE)</f>
        <v>日曜クエスト</v>
      </c>
      <c r="E113" s="5">
        <v>4</v>
      </c>
      <c r="F113" s="3" t="str">
        <f ca="1">VLOOKUP($B113&amp;"_"&amp;$E113,OFFSET([1]stages!$A$1,0,0,COUNTA([1]stages!$A:$A),MATCH(F$1,[1]stages!$2:$2,0)-MATCH("temp_stage",[1]stages!$2:$2,0)+1),MATCH(F$1,[1]stages!$2:$2,0)-MATCH("temp_stage",[1]stages!$2:$2,0)+1,FALSE)</f>
        <v xml:space="preserve">【超級】水と雷の帽子屋 </v>
      </c>
      <c r="G113" s="3" t="str">
        <f ca="1">VLOOKUP($B113&amp;"_"&amp;$E113,OFFSET([1]stages!$A$1,0,0,COUNTA([1]stages!$A:$A),MATCH(G$1,[1]stages!$2:$2,0)-MATCH("temp_stage",[1]stages!$2:$2,0)+1),MATCH(G$1,[1]stages!$2:$2,0)-MATCH("temp_stage",[1]stages!$2:$2,0)+1,FALSE)</f>
        <v>日曜クエスト</v>
      </c>
      <c r="H113" s="18">
        <v>0</v>
      </c>
      <c r="I113">
        <v>32</v>
      </c>
      <c r="J113" s="5" t="s">
        <v>16</v>
      </c>
      <c r="K113" s="34" t="str">
        <f>VLOOKUP(I113,[2]stage_hints!$A:$C,3,FALSE)</f>
        <v>敵の連続攻撃には</v>
      </c>
      <c r="L113" s="35" t="str">
        <f>VLOOKUP(I113,[2]stage_hints!$A:$D,4,FALSE)</f>
        <v>カウンタースキルを持つユニットがいれば_x000D_ダメージ回数分の反撃ができます</v>
      </c>
      <c r="M113" s="21" t="s">
        <v>23</v>
      </c>
      <c r="N113">
        <v>32</v>
      </c>
    </row>
    <row r="114" spans="1:14" x14ac:dyDescent="0.15">
      <c r="A114" s="26" t="s">
        <v>32</v>
      </c>
      <c r="B114" s="4">
        <v>11008</v>
      </c>
      <c r="C114" s="3" t="str">
        <f ca="1">VLOOKUP($B114,OFFSET([1]quests!$A$1,0,0,COUNTA([1]quests!$A:$A),MATCH(C$1,[1]quests!$1:$1,0)-MATCH($B$1,[1]quests!$1:$1,0)+1),MATCH(C$1,[1]quests!$1:$1,0)-MATCH($B$1,[1]quests!$1:$1,0)+1,FALSE)</f>
        <v>【日曜限定】 青と黄の素材</v>
      </c>
      <c r="D114" s="3" t="str">
        <f ca="1">VLOOKUP($B114,OFFSET([1]quests!$A$1,0,0,COUNTA([1]quests!$A:$A),MATCH(D$1,[1]quests!$1:$1,0)-MATCH($B$1,[1]quests!$1:$1,0)+1),MATCH(D$1,[1]quests!$1:$1,0)-MATCH($B$1,[1]quests!$1:$1,0)+1,FALSE)</f>
        <v>日曜クエスト</v>
      </c>
      <c r="E114" s="5">
        <v>4</v>
      </c>
      <c r="F114" s="3" t="str">
        <f ca="1">VLOOKUP($B114&amp;"_"&amp;$E114,OFFSET([1]stages!$A$1,0,0,COUNTA([1]stages!$A:$A),MATCH(F$1,[1]stages!$2:$2,0)-MATCH("temp_stage",[1]stages!$2:$2,0)+1),MATCH(F$1,[1]stages!$2:$2,0)-MATCH("temp_stage",[1]stages!$2:$2,0)+1,FALSE)</f>
        <v xml:space="preserve">【超級】水と雷の帽子屋 </v>
      </c>
      <c r="G114" s="3" t="str">
        <f ca="1">VLOOKUP($B114&amp;"_"&amp;$E114,OFFSET([1]stages!$A$1,0,0,COUNTA([1]stages!$A:$A),MATCH(G$1,[1]stages!$2:$2,0)-MATCH("temp_stage",[1]stages!$2:$2,0)+1),MATCH(G$1,[1]stages!$2:$2,0)-MATCH("temp_stage",[1]stages!$2:$2,0)+1,FALSE)</f>
        <v>日曜クエスト</v>
      </c>
      <c r="H114" s="18">
        <v>0</v>
      </c>
      <c r="I114">
        <v>33</v>
      </c>
      <c r="J114" s="5" t="s">
        <v>16</v>
      </c>
      <c r="K114" s="34" t="str">
        <f>VLOOKUP(I114,[2]stage_hints!$A:$C,3,FALSE)</f>
        <v>敵のカウンター攻撃には</v>
      </c>
      <c r="L114" s="35" t="str">
        <f>VLOOKUP(I114,[2]stage_hints!$A:$D,4,FALSE)</f>
        <v>カウンターブレイクスキルを持っていれば_x000D_敵のカウンターを解除して攻撃ができます</v>
      </c>
      <c r="M114" s="21" t="s">
        <v>23</v>
      </c>
      <c r="N114">
        <v>33</v>
      </c>
    </row>
    <row r="115" spans="1:14" x14ac:dyDescent="0.15">
      <c r="A115" s="26" t="s">
        <v>32</v>
      </c>
      <c r="B115" s="4">
        <v>11008</v>
      </c>
      <c r="C115" s="3" t="str">
        <f ca="1">VLOOKUP($B115,OFFSET([1]quests!$A$1,0,0,COUNTA([1]quests!$A:$A),MATCH(C$1,[1]quests!$1:$1,0)-MATCH($B$1,[1]quests!$1:$1,0)+1),MATCH(C$1,[1]quests!$1:$1,0)-MATCH($B$1,[1]quests!$1:$1,0)+1,FALSE)</f>
        <v>【日曜限定】 青と黄の素材</v>
      </c>
      <c r="D115" s="3" t="str">
        <f ca="1">VLOOKUP($B115,OFFSET([1]quests!$A$1,0,0,COUNTA([1]quests!$A:$A),MATCH(D$1,[1]quests!$1:$1,0)-MATCH($B$1,[1]quests!$1:$1,0)+1),MATCH(D$1,[1]quests!$1:$1,0)-MATCH($B$1,[1]quests!$1:$1,0)+1,FALSE)</f>
        <v>日曜クエスト</v>
      </c>
      <c r="E115" s="5">
        <v>4</v>
      </c>
      <c r="F115" s="3" t="str">
        <f ca="1">VLOOKUP($B115&amp;"_"&amp;$E115,OFFSET([1]stages!$A$1,0,0,COUNTA([1]stages!$A:$A),MATCH(F$1,[1]stages!$2:$2,0)-MATCH("temp_stage",[1]stages!$2:$2,0)+1),MATCH(F$1,[1]stages!$2:$2,0)-MATCH("temp_stage",[1]stages!$2:$2,0)+1,FALSE)</f>
        <v xml:space="preserve">【超級】水と雷の帽子屋 </v>
      </c>
      <c r="G115" s="3" t="str">
        <f ca="1">VLOOKUP($B115&amp;"_"&amp;$E115,OFFSET([1]stages!$A$1,0,0,COUNTA([1]stages!$A:$A),MATCH(G$1,[1]stages!$2:$2,0)-MATCH("temp_stage",[1]stages!$2:$2,0)+1),MATCH(G$1,[1]stages!$2:$2,0)-MATCH("temp_stage",[1]stages!$2:$2,0)+1,FALSE)</f>
        <v>日曜クエスト</v>
      </c>
      <c r="H115" s="18">
        <v>0</v>
      </c>
      <c r="I115">
        <v>34</v>
      </c>
      <c r="J115" s="5" t="s">
        <v>16</v>
      </c>
      <c r="K115" s="34" t="str">
        <f>VLOOKUP(I115,[2]stage_hints!$A:$C,3,FALSE)</f>
        <v>ステータスをスキルで下げられたら</v>
      </c>
      <c r="L115" s="35" t="str">
        <f>VLOOKUP(I115,[2]stage_hints!$A:$D,4,FALSE)</f>
        <v>ステータスダウンのスキルを受けたら_x000D_ステータスアップスキルで上書きしましょう</v>
      </c>
      <c r="M115" s="21" t="s">
        <v>23</v>
      </c>
      <c r="N115">
        <v>34</v>
      </c>
    </row>
    <row r="116" spans="1:14" x14ac:dyDescent="0.15">
      <c r="A116" s="26" t="s">
        <v>32</v>
      </c>
      <c r="B116" s="4">
        <v>11008</v>
      </c>
      <c r="C116" s="3" t="str">
        <f ca="1">VLOOKUP($B116,OFFSET([1]quests!$A$1,0,0,COUNTA([1]quests!$A:$A),MATCH(C$1,[1]quests!$1:$1,0)-MATCH($B$1,[1]quests!$1:$1,0)+1),MATCH(C$1,[1]quests!$1:$1,0)-MATCH($B$1,[1]quests!$1:$1,0)+1,FALSE)</f>
        <v>【日曜限定】 青と黄の素材</v>
      </c>
      <c r="D116" s="3" t="str">
        <f ca="1">VLOOKUP($B116,OFFSET([1]quests!$A$1,0,0,COUNTA([1]quests!$A:$A),MATCH(D$1,[1]quests!$1:$1,0)-MATCH($B$1,[1]quests!$1:$1,0)+1),MATCH(D$1,[1]quests!$1:$1,0)-MATCH($B$1,[1]quests!$1:$1,0)+1,FALSE)</f>
        <v>日曜クエスト</v>
      </c>
      <c r="E116" s="5">
        <v>4</v>
      </c>
      <c r="F116" s="3" t="str">
        <f ca="1">VLOOKUP($B116&amp;"_"&amp;$E116,OFFSET([1]stages!$A$1,0,0,COUNTA([1]stages!$A:$A),MATCH(F$1,[1]stages!$2:$2,0)-MATCH("temp_stage",[1]stages!$2:$2,0)+1),MATCH(F$1,[1]stages!$2:$2,0)-MATCH("temp_stage",[1]stages!$2:$2,0)+1,FALSE)</f>
        <v xml:space="preserve">【超級】水と雷の帽子屋 </v>
      </c>
      <c r="G116" s="3" t="str">
        <f ca="1">VLOOKUP($B116&amp;"_"&amp;$E116,OFFSET([1]stages!$A$1,0,0,COUNTA([1]stages!$A:$A),MATCH(G$1,[1]stages!$2:$2,0)-MATCH("temp_stage",[1]stages!$2:$2,0)+1),MATCH(G$1,[1]stages!$2:$2,0)-MATCH("temp_stage",[1]stages!$2:$2,0)+1,FALSE)</f>
        <v>日曜クエスト</v>
      </c>
      <c r="H116" s="18">
        <v>0</v>
      </c>
      <c r="I116">
        <v>35</v>
      </c>
      <c r="J116" s="5" t="s">
        <v>16</v>
      </c>
      <c r="K116" s="34" t="str">
        <f>VLOOKUP(I116,[2]stage_hints!$A:$C,3,FALSE)</f>
        <v>敵のステータスがスキルで上がったら</v>
      </c>
      <c r="L116" s="35" t="str">
        <f>VLOOKUP(I116,[2]stage_hints!$A:$D,4,FALSE)</f>
        <v>敵のステータスがスキルでアップしたときは_x000D_ステータスダウンスキルで上書きしましょう</v>
      </c>
      <c r="M116" s="21" t="s">
        <v>23</v>
      </c>
      <c r="N116">
        <v>35</v>
      </c>
    </row>
    <row r="117" spans="1:14" x14ac:dyDescent="0.15">
      <c r="A117" s="26" t="s">
        <v>32</v>
      </c>
      <c r="B117" s="4">
        <v>11008</v>
      </c>
      <c r="C117" s="3" t="str">
        <f ca="1">VLOOKUP($B117,OFFSET([1]quests!$A$1,0,0,COUNTA([1]quests!$A:$A),MATCH(C$1,[1]quests!$1:$1,0)-MATCH($B$1,[1]quests!$1:$1,0)+1),MATCH(C$1,[1]quests!$1:$1,0)-MATCH($B$1,[1]quests!$1:$1,0)+1,FALSE)</f>
        <v>【日曜限定】 青と黄の素材</v>
      </c>
      <c r="D117" s="3" t="str">
        <f ca="1">VLOOKUP($B117,OFFSET([1]quests!$A$1,0,0,COUNTA([1]quests!$A:$A),MATCH(D$1,[1]quests!$1:$1,0)-MATCH($B$1,[1]quests!$1:$1,0)+1),MATCH(D$1,[1]quests!$1:$1,0)-MATCH($B$1,[1]quests!$1:$1,0)+1,FALSE)</f>
        <v>日曜クエスト</v>
      </c>
      <c r="E117" s="5">
        <v>4</v>
      </c>
      <c r="F117" s="3" t="str">
        <f ca="1">VLOOKUP($B117&amp;"_"&amp;$E117,OFFSET([1]stages!$A$1,0,0,COUNTA([1]stages!$A:$A),MATCH(F$1,[1]stages!$2:$2,0)-MATCH("temp_stage",[1]stages!$2:$2,0)+1),MATCH(F$1,[1]stages!$2:$2,0)-MATCH("temp_stage",[1]stages!$2:$2,0)+1,FALSE)</f>
        <v xml:space="preserve">【超級】水と雷の帽子屋 </v>
      </c>
      <c r="G117" s="3" t="str">
        <f ca="1">VLOOKUP($B117&amp;"_"&amp;$E117,OFFSET([1]stages!$A$1,0,0,COUNTA([1]stages!$A:$A),MATCH(G$1,[1]stages!$2:$2,0)-MATCH("temp_stage",[1]stages!$2:$2,0)+1),MATCH(G$1,[1]stages!$2:$2,0)-MATCH("temp_stage",[1]stages!$2:$2,0)+1,FALSE)</f>
        <v>日曜クエスト</v>
      </c>
      <c r="H117" s="18">
        <v>0</v>
      </c>
      <c r="I117">
        <v>36</v>
      </c>
      <c r="J117" s="5" t="s">
        <v>16</v>
      </c>
      <c r="K117" s="34" t="str">
        <f>VLOOKUP(I117,[2]stage_hints!$A:$C,3,FALSE)</f>
        <v>タワーオブザクイーンのボス</v>
      </c>
      <c r="L117" s="35" t="str">
        <f>VLOOKUP(I117,[2]stage_hints!$A:$D,4,FALSE)</f>
        <v>「タワーオブザクイーン」最上階のボスは_x000D_15階の初回クリア報酬で獲得できるほか_x000D_その階にて低確率でドロップもします</v>
      </c>
      <c r="M117" s="21" t="s">
        <v>23</v>
      </c>
      <c r="N117">
        <v>36</v>
      </c>
    </row>
    <row r="118" spans="1:14" x14ac:dyDescent="0.15">
      <c r="A118" s="26" t="s">
        <v>32</v>
      </c>
      <c r="B118" s="4">
        <v>11008</v>
      </c>
      <c r="C118" s="3" t="str">
        <f ca="1">VLOOKUP($B118,OFFSET([1]quests!$A$1,0,0,COUNTA([1]quests!$A:$A),MATCH(C$1,[1]quests!$1:$1,0)-MATCH($B$1,[1]quests!$1:$1,0)+1),MATCH(C$1,[1]quests!$1:$1,0)-MATCH($B$1,[1]quests!$1:$1,0)+1,FALSE)</f>
        <v>【日曜限定】 青と黄の素材</v>
      </c>
      <c r="D118" s="3" t="str">
        <f ca="1">VLOOKUP($B118,OFFSET([1]quests!$A$1,0,0,COUNTA([1]quests!$A:$A),MATCH(D$1,[1]quests!$1:$1,0)-MATCH($B$1,[1]quests!$1:$1,0)+1),MATCH(D$1,[1]quests!$1:$1,0)-MATCH($B$1,[1]quests!$1:$1,0)+1,FALSE)</f>
        <v>日曜クエスト</v>
      </c>
      <c r="E118" s="5">
        <v>4</v>
      </c>
      <c r="F118" s="3" t="str">
        <f ca="1">VLOOKUP($B118&amp;"_"&amp;$E118,OFFSET([1]stages!$A$1,0,0,COUNTA([1]stages!$A:$A),MATCH(F$1,[1]stages!$2:$2,0)-MATCH("temp_stage",[1]stages!$2:$2,0)+1),MATCH(F$1,[1]stages!$2:$2,0)-MATCH("temp_stage",[1]stages!$2:$2,0)+1,FALSE)</f>
        <v xml:space="preserve">【超級】水と雷の帽子屋 </v>
      </c>
      <c r="G118" s="3" t="str">
        <f ca="1">VLOOKUP($B118&amp;"_"&amp;$E118,OFFSET([1]stages!$A$1,0,0,COUNTA([1]stages!$A:$A),MATCH(G$1,[1]stages!$2:$2,0)-MATCH("temp_stage",[1]stages!$2:$2,0)+1),MATCH(G$1,[1]stages!$2:$2,0)-MATCH("temp_stage",[1]stages!$2:$2,0)+1,FALSE)</f>
        <v>日曜クエスト</v>
      </c>
      <c r="H118" s="18">
        <v>0</v>
      </c>
      <c r="I118">
        <v>37</v>
      </c>
      <c r="J118" s="5" t="s">
        <v>16</v>
      </c>
      <c r="K118" s="34" t="str">
        <f>VLOOKUP(I118,[2]stage_hints!$A:$C,3,FALSE)</f>
        <v>限界突破値の引き継ぎ</v>
      </c>
      <c r="L118" s="35" t="str">
        <f>VLOOKUP(I118,[2]stage_hints!$A:$D,4,FALSE)</f>
        <v>同じユニットを強化で合成すると_x000D_限界突破値を引き継げます（覚醒前後も可）</v>
      </c>
      <c r="M118" s="21" t="s">
        <v>23</v>
      </c>
      <c r="N118">
        <v>37</v>
      </c>
    </row>
    <row r="119" spans="1:14" x14ac:dyDescent="0.15">
      <c r="A119" s="26" t="s">
        <v>32</v>
      </c>
      <c r="B119" s="4">
        <v>11105</v>
      </c>
      <c r="C119" s="3" t="str">
        <f ca="1">VLOOKUP($B119,OFFSET([1]quests!$A$1,0,0,COUNTA([1]quests!$A:$A),MATCH(C$1,[1]quests!$1:$1,0)-MATCH($B$1,[1]quests!$1:$1,0)+1),MATCH(C$1,[1]quests!$1:$1,0)-MATCH($B$1,[1]quests!$1:$1,0)+1,FALSE)</f>
        <v>【期間限定】 帽子屋を追え！</v>
      </c>
      <c r="D119" s="3" t="str">
        <f ca="1">VLOOKUP($B119,OFFSET([1]quests!$A$1,0,0,COUNTA([1]quests!$A:$A),MATCH(D$1,[1]quests!$1:$1,0)-MATCH($B$1,[1]quests!$1:$1,0)+1),MATCH(D$1,[1]quests!$1:$1,0)-MATCH($B$1,[1]quests!$1:$1,0)+1,FALSE)</f>
        <v>金曜クエスト</v>
      </c>
      <c r="E119" s="5">
        <v>1</v>
      </c>
      <c r="F119" s="3" t="str">
        <f ca="1">VLOOKUP($B119&amp;"_"&amp;$E119,OFFSET([1]stages!$A$1,0,0,COUNTA([1]stages!$A:$A),MATCH(F$1,[1]stages!$2:$2,0)-MATCH("temp_stage",[1]stages!$2:$2,0)+1),MATCH(F$1,[1]stages!$2:$2,0)-MATCH("temp_stage",[1]stages!$2:$2,0)+1,FALSE)</f>
        <v xml:space="preserve">【超級】火の帽子屋 </v>
      </c>
      <c r="G119" s="3" t="str">
        <f ca="1">VLOOKUP($B119&amp;"_"&amp;$E119,OFFSET([1]stages!$A$1,0,0,COUNTA([1]stages!$A:$A),MATCH(G$1,[1]stages!$2:$2,0)-MATCH("temp_stage",[1]stages!$2:$2,0)+1),MATCH(G$1,[1]stages!$2:$2,0)-MATCH("temp_stage",[1]stages!$2:$2,0)+1,FALSE)</f>
        <v>金曜クエスト</v>
      </c>
      <c r="H119" s="18">
        <v>0</v>
      </c>
      <c r="I119">
        <v>12</v>
      </c>
      <c r="J119" s="5" t="s">
        <v>16</v>
      </c>
      <c r="K119" s="34" t="str">
        <f>VLOOKUP(I119,[2]stage_hints!$A:$C,3,FALSE)</f>
        <v>ユニットのお気に入り登録</v>
      </c>
      <c r="L119" s="35" t="str">
        <f>VLOOKUP(I119,[2]stage_hints!$A:$D,4,FALSE)</f>
        <v>大事なユニットを誤って消さないように_x000D_フォルダから「お気に入り登録」しましょう</v>
      </c>
      <c r="M119" s="21" t="s">
        <v>23</v>
      </c>
      <c r="N119">
        <v>12</v>
      </c>
    </row>
    <row r="120" spans="1:14" x14ac:dyDescent="0.15">
      <c r="A120" s="26" t="s">
        <v>32</v>
      </c>
      <c r="B120" s="4">
        <v>11105</v>
      </c>
      <c r="C120" s="3" t="str">
        <f ca="1">VLOOKUP($B120,OFFSET([1]quests!$A$1,0,0,COUNTA([1]quests!$A:$A),MATCH(C$1,[1]quests!$1:$1,0)-MATCH($B$1,[1]quests!$1:$1,0)+1),MATCH(C$1,[1]quests!$1:$1,0)-MATCH($B$1,[1]quests!$1:$1,0)+1,FALSE)</f>
        <v>【期間限定】 帽子屋を追え！</v>
      </c>
      <c r="D120" s="3" t="str">
        <f ca="1">VLOOKUP($B120,OFFSET([1]quests!$A$1,0,0,COUNTA([1]quests!$A:$A),MATCH(D$1,[1]quests!$1:$1,0)-MATCH($B$1,[1]quests!$1:$1,0)+1),MATCH(D$1,[1]quests!$1:$1,0)-MATCH($B$1,[1]quests!$1:$1,0)+1,FALSE)</f>
        <v>金曜クエスト</v>
      </c>
      <c r="E120" s="5">
        <v>1</v>
      </c>
      <c r="F120" s="3" t="str">
        <f ca="1">VLOOKUP($B120&amp;"_"&amp;$E120,OFFSET([1]stages!$A$1,0,0,COUNTA([1]stages!$A:$A),MATCH(F$1,[1]stages!$2:$2,0)-MATCH("temp_stage",[1]stages!$2:$2,0)+1),MATCH(F$1,[1]stages!$2:$2,0)-MATCH("temp_stage",[1]stages!$2:$2,0)+1,FALSE)</f>
        <v xml:space="preserve">【超級】火の帽子屋 </v>
      </c>
      <c r="G120" s="3" t="str">
        <f ca="1">VLOOKUP($B120&amp;"_"&amp;$E120,OFFSET([1]stages!$A$1,0,0,COUNTA([1]stages!$A:$A),MATCH(G$1,[1]stages!$2:$2,0)-MATCH("temp_stage",[1]stages!$2:$2,0)+1),MATCH(G$1,[1]stages!$2:$2,0)-MATCH("temp_stage",[1]stages!$2:$2,0)+1,FALSE)</f>
        <v>金曜クエスト</v>
      </c>
      <c r="H120" s="18">
        <v>0</v>
      </c>
      <c r="I120">
        <v>17</v>
      </c>
      <c r="J120" s="5" t="s">
        <v>16</v>
      </c>
      <c r="K120" s="34" t="str">
        <f>VLOOKUP(I120,[2]stage_hints!$A:$C,3,FALSE)</f>
        <v>リンクガチャ</v>
      </c>
      <c r="L120" s="35" t="str">
        <f>VLOOKUP(I120,[2]stage_hints!$A:$D,4,FALSE)</f>
        <v>無料のリンクガチャを回して_x000D_経験値素材や売却素材を獲得しましょう</v>
      </c>
      <c r="M120" s="21" t="s">
        <v>23</v>
      </c>
      <c r="N120">
        <v>17</v>
      </c>
    </row>
    <row r="121" spans="1:14" x14ac:dyDescent="0.15">
      <c r="A121" s="26" t="s">
        <v>32</v>
      </c>
      <c r="B121" s="4">
        <v>11105</v>
      </c>
      <c r="C121" s="3" t="str">
        <f ca="1">VLOOKUP($B121,OFFSET([1]quests!$A$1,0,0,COUNTA([1]quests!$A:$A),MATCH(C$1,[1]quests!$1:$1,0)-MATCH($B$1,[1]quests!$1:$1,0)+1),MATCH(C$1,[1]quests!$1:$1,0)-MATCH($B$1,[1]quests!$1:$1,0)+1,FALSE)</f>
        <v>【期間限定】 帽子屋を追え！</v>
      </c>
      <c r="D121" s="3" t="str">
        <f ca="1">VLOOKUP($B121,OFFSET([1]quests!$A$1,0,0,COUNTA([1]quests!$A:$A),MATCH(D$1,[1]quests!$1:$1,0)-MATCH($B$1,[1]quests!$1:$1,0)+1),MATCH(D$1,[1]quests!$1:$1,0)-MATCH($B$1,[1]quests!$1:$1,0)+1,FALSE)</f>
        <v>金曜クエスト</v>
      </c>
      <c r="E121" s="5">
        <v>1</v>
      </c>
      <c r="F121" s="3" t="str">
        <f ca="1">VLOOKUP($B121&amp;"_"&amp;$E121,OFFSET([1]stages!$A$1,0,0,COUNTA([1]stages!$A:$A),MATCH(F$1,[1]stages!$2:$2,0)-MATCH("temp_stage",[1]stages!$2:$2,0)+1),MATCH(F$1,[1]stages!$2:$2,0)-MATCH("temp_stage",[1]stages!$2:$2,0)+1,FALSE)</f>
        <v xml:space="preserve">【超級】火の帽子屋 </v>
      </c>
      <c r="G121" s="3" t="str">
        <f ca="1">VLOOKUP($B121&amp;"_"&amp;$E121,OFFSET([1]stages!$A$1,0,0,COUNTA([1]stages!$A:$A),MATCH(G$1,[1]stages!$2:$2,0)-MATCH("temp_stage",[1]stages!$2:$2,0)+1),MATCH(G$1,[1]stages!$2:$2,0)-MATCH("temp_stage",[1]stages!$2:$2,0)+1,FALSE)</f>
        <v>金曜クエスト</v>
      </c>
      <c r="H121" s="18">
        <v>0</v>
      </c>
      <c r="I121">
        <v>19</v>
      </c>
      <c r="J121" s="5" t="s">
        <v>16</v>
      </c>
      <c r="K121" s="34" t="str">
        <f>VLOOKUP(I121,[2]stage_hints!$A:$C,3,FALSE)</f>
        <v>ソロ専用タワーオブザクイーン</v>
      </c>
      <c r="L121" s="35" t="str">
        <f>VLOOKUP(I121,[2]stage_hints!$A:$D,4,FALSE)</f>
        <v>ソロ専用の「タワーオブザクイーン」は_x000D_期間限定で定期的に開催されます_x000D_ここでしか獲得できない報酬もあるようです</v>
      </c>
      <c r="M121" s="21" t="s">
        <v>23</v>
      </c>
      <c r="N121">
        <v>19</v>
      </c>
    </row>
    <row r="122" spans="1:14" x14ac:dyDescent="0.15">
      <c r="A122" s="26" t="s">
        <v>32</v>
      </c>
      <c r="B122" s="4">
        <v>11105</v>
      </c>
      <c r="C122" s="3" t="str">
        <f ca="1">VLOOKUP($B122,OFFSET([1]quests!$A$1,0,0,COUNTA([1]quests!$A:$A),MATCH(C$1,[1]quests!$1:$1,0)-MATCH($B$1,[1]quests!$1:$1,0)+1),MATCH(C$1,[1]quests!$1:$1,0)-MATCH($B$1,[1]quests!$1:$1,0)+1,FALSE)</f>
        <v>【期間限定】 帽子屋を追え！</v>
      </c>
      <c r="D122" s="3" t="str">
        <f ca="1">VLOOKUP($B122,OFFSET([1]quests!$A$1,0,0,COUNTA([1]quests!$A:$A),MATCH(D$1,[1]quests!$1:$1,0)-MATCH($B$1,[1]quests!$1:$1,0)+1),MATCH(D$1,[1]quests!$1:$1,0)-MATCH($B$1,[1]quests!$1:$1,0)+1,FALSE)</f>
        <v>金曜クエスト</v>
      </c>
      <c r="E122" s="5">
        <v>1</v>
      </c>
      <c r="F122" s="3" t="str">
        <f ca="1">VLOOKUP($B122&amp;"_"&amp;$E122,OFFSET([1]stages!$A$1,0,0,COUNTA([1]stages!$A:$A),MATCH(F$1,[1]stages!$2:$2,0)-MATCH("temp_stage",[1]stages!$2:$2,0)+1),MATCH(F$1,[1]stages!$2:$2,0)-MATCH("temp_stage",[1]stages!$2:$2,0)+1,FALSE)</f>
        <v xml:space="preserve">【超級】火の帽子屋 </v>
      </c>
      <c r="G122" s="3" t="str">
        <f ca="1">VLOOKUP($B122&amp;"_"&amp;$E122,OFFSET([1]stages!$A$1,0,0,COUNTA([1]stages!$A:$A),MATCH(G$1,[1]stages!$2:$2,0)-MATCH("temp_stage",[1]stages!$2:$2,0)+1),MATCH(G$1,[1]stages!$2:$2,0)-MATCH("temp_stage",[1]stages!$2:$2,0)+1,FALSE)</f>
        <v>金曜クエスト</v>
      </c>
      <c r="H122" s="18">
        <v>0</v>
      </c>
      <c r="I122">
        <v>21</v>
      </c>
      <c r="J122" s="5" t="s">
        <v>16</v>
      </c>
      <c r="K122" s="34" t="str">
        <f>VLOOKUP(I122,[2]stage_hints!$A:$C,3,FALSE)</f>
        <v>スキルを有効に</v>
      </c>
      <c r="L122" s="35" t="str">
        <f>VLOOKUP(I122,[2]stage_hints!$A:$D,4,FALSE)</f>
        <v>ターン経過でユニットのスキルが使えます_x000D_強力スキルでバトルを有利に進めましょう</v>
      </c>
      <c r="M122" s="21" t="s">
        <v>23</v>
      </c>
      <c r="N122">
        <v>21</v>
      </c>
    </row>
    <row r="123" spans="1:14" x14ac:dyDescent="0.15">
      <c r="A123" s="26" t="s">
        <v>32</v>
      </c>
      <c r="B123" s="4">
        <v>11105</v>
      </c>
      <c r="C123" s="3" t="str">
        <f ca="1">VLOOKUP($B123,OFFSET([1]quests!$A$1,0,0,COUNTA([1]quests!$A:$A),MATCH(C$1,[1]quests!$1:$1,0)-MATCH($B$1,[1]quests!$1:$1,0)+1),MATCH(C$1,[1]quests!$1:$1,0)-MATCH($B$1,[1]quests!$1:$1,0)+1,FALSE)</f>
        <v>【期間限定】 帽子屋を追え！</v>
      </c>
      <c r="D123" s="3" t="str">
        <f ca="1">VLOOKUP($B123,OFFSET([1]quests!$A$1,0,0,COUNTA([1]quests!$A:$A),MATCH(D$1,[1]quests!$1:$1,0)-MATCH($B$1,[1]quests!$1:$1,0)+1),MATCH(D$1,[1]quests!$1:$1,0)-MATCH($B$1,[1]quests!$1:$1,0)+1,FALSE)</f>
        <v>金曜クエスト</v>
      </c>
      <c r="E123" s="5">
        <v>1</v>
      </c>
      <c r="F123" s="3" t="str">
        <f ca="1">VLOOKUP($B123&amp;"_"&amp;$E123,OFFSET([1]stages!$A$1,0,0,COUNTA([1]stages!$A:$A),MATCH(F$1,[1]stages!$2:$2,0)-MATCH("temp_stage",[1]stages!$2:$2,0)+1),MATCH(F$1,[1]stages!$2:$2,0)-MATCH("temp_stage",[1]stages!$2:$2,0)+1,FALSE)</f>
        <v xml:space="preserve">【超級】火の帽子屋 </v>
      </c>
      <c r="G123" s="3" t="str">
        <f ca="1">VLOOKUP($B123&amp;"_"&amp;$E123,OFFSET([1]stages!$A$1,0,0,COUNTA([1]stages!$A:$A),MATCH(G$1,[1]stages!$2:$2,0)-MATCH("temp_stage",[1]stages!$2:$2,0)+1),MATCH(G$1,[1]stages!$2:$2,0)-MATCH("temp_stage",[1]stages!$2:$2,0)+1,FALSE)</f>
        <v>金曜クエスト</v>
      </c>
      <c r="H123" s="18">
        <v>0</v>
      </c>
      <c r="I123">
        <v>27</v>
      </c>
      <c r="J123" s="5" t="s">
        <v>16</v>
      </c>
      <c r="K123" s="34" t="str">
        <f>VLOOKUP(I123,[2]stage_hints!$A:$C,3,FALSE)</f>
        <v>ホーム画面からデッキを編成</v>
      </c>
      <c r="L123" s="35" t="str">
        <f>VLOOKUP(I123,[2]stage_hints!$A:$D,4,FALSE)</f>
        <v>ホーム画面でユニットを長押しすると_x000D_すぐにパーティ編成に移動できます</v>
      </c>
      <c r="M123" s="21" t="s">
        <v>23</v>
      </c>
      <c r="N123">
        <v>27</v>
      </c>
    </row>
    <row r="124" spans="1:14" x14ac:dyDescent="0.15">
      <c r="A124" s="26" t="s">
        <v>32</v>
      </c>
      <c r="B124" s="4">
        <v>11105</v>
      </c>
      <c r="C124" s="3" t="str">
        <f ca="1">VLOOKUP($B124,OFFSET([1]quests!$A$1,0,0,COUNTA([1]quests!$A:$A),MATCH(C$1,[1]quests!$1:$1,0)-MATCH($B$1,[1]quests!$1:$1,0)+1),MATCH(C$1,[1]quests!$1:$1,0)-MATCH($B$1,[1]quests!$1:$1,0)+1,FALSE)</f>
        <v>【期間限定】 帽子屋を追え！</v>
      </c>
      <c r="D124" s="3" t="str">
        <f ca="1">VLOOKUP($B124,OFFSET([1]quests!$A$1,0,0,COUNTA([1]quests!$A:$A),MATCH(D$1,[1]quests!$1:$1,0)-MATCH($B$1,[1]quests!$1:$1,0)+1),MATCH(D$1,[1]quests!$1:$1,0)-MATCH($B$1,[1]quests!$1:$1,0)+1,FALSE)</f>
        <v>金曜クエスト</v>
      </c>
      <c r="E124" s="5">
        <v>1</v>
      </c>
      <c r="F124" s="3" t="str">
        <f ca="1">VLOOKUP($B124&amp;"_"&amp;$E124,OFFSET([1]stages!$A$1,0,0,COUNTA([1]stages!$A:$A),MATCH(F$1,[1]stages!$2:$2,0)-MATCH("temp_stage",[1]stages!$2:$2,0)+1),MATCH(F$1,[1]stages!$2:$2,0)-MATCH("temp_stage",[1]stages!$2:$2,0)+1,FALSE)</f>
        <v xml:space="preserve">【超級】火の帽子屋 </v>
      </c>
      <c r="G124" s="3" t="str">
        <f ca="1">VLOOKUP($B124&amp;"_"&amp;$E124,OFFSET([1]stages!$A$1,0,0,COUNTA([1]stages!$A:$A),MATCH(G$1,[1]stages!$2:$2,0)-MATCH("temp_stage",[1]stages!$2:$2,0)+1),MATCH(G$1,[1]stages!$2:$2,0)-MATCH("temp_stage",[1]stages!$2:$2,0)+1,FALSE)</f>
        <v>金曜クエスト</v>
      </c>
      <c r="H124" s="18">
        <v>0</v>
      </c>
      <c r="I124">
        <v>28</v>
      </c>
      <c r="J124" s="5" t="s">
        <v>16</v>
      </c>
      <c r="K124" s="34" t="str">
        <f>VLOOKUP(I124,[2]stage_hints!$A:$C,3,FALSE)</f>
        <v>ステータス情報は長押しで</v>
      </c>
      <c r="L124" s="35" t="str">
        <f>VLOOKUP(I124,[2]stage_hints!$A:$D,4,FALSE)</f>
        <v>ユニットのアイコンを長押しすると_x000D_ステータス情報を確認することができます</v>
      </c>
      <c r="M124" s="21" t="s">
        <v>23</v>
      </c>
      <c r="N124">
        <v>28</v>
      </c>
    </row>
    <row r="125" spans="1:14" x14ac:dyDescent="0.15">
      <c r="A125" s="26" t="s">
        <v>32</v>
      </c>
      <c r="B125" s="4">
        <v>11105</v>
      </c>
      <c r="C125" s="3" t="str">
        <f ca="1">VLOOKUP($B125,OFFSET([1]quests!$A$1,0,0,COUNTA([1]quests!$A:$A),MATCH(C$1,[1]quests!$1:$1,0)-MATCH($B$1,[1]quests!$1:$1,0)+1),MATCH(C$1,[1]quests!$1:$1,0)-MATCH($B$1,[1]quests!$1:$1,0)+1,FALSE)</f>
        <v>【期間限定】 帽子屋を追え！</v>
      </c>
      <c r="D125" s="3" t="str">
        <f ca="1">VLOOKUP($B125,OFFSET([1]quests!$A$1,0,0,COUNTA([1]quests!$A:$A),MATCH(D$1,[1]quests!$1:$1,0)-MATCH($B$1,[1]quests!$1:$1,0)+1),MATCH(D$1,[1]quests!$1:$1,0)-MATCH($B$1,[1]quests!$1:$1,0)+1,FALSE)</f>
        <v>金曜クエスト</v>
      </c>
      <c r="E125" s="5">
        <v>1</v>
      </c>
      <c r="F125" s="3" t="str">
        <f ca="1">VLOOKUP($B125&amp;"_"&amp;$E125,OFFSET([1]stages!$A$1,0,0,COUNTA([1]stages!$A:$A),MATCH(F$1,[1]stages!$2:$2,0)-MATCH("temp_stage",[1]stages!$2:$2,0)+1),MATCH(F$1,[1]stages!$2:$2,0)-MATCH("temp_stage",[1]stages!$2:$2,0)+1,FALSE)</f>
        <v xml:space="preserve">【超級】火の帽子屋 </v>
      </c>
      <c r="G125" s="3" t="str">
        <f ca="1">VLOOKUP($B125&amp;"_"&amp;$E125,OFFSET([1]stages!$A$1,0,0,COUNTA([1]stages!$A:$A),MATCH(G$1,[1]stages!$2:$2,0)-MATCH("temp_stage",[1]stages!$2:$2,0)+1),MATCH(G$1,[1]stages!$2:$2,0)-MATCH("temp_stage",[1]stages!$2:$2,0)+1,FALSE)</f>
        <v>金曜クエスト</v>
      </c>
      <c r="H125" s="18">
        <v>0</v>
      </c>
      <c r="I125">
        <v>29</v>
      </c>
      <c r="J125" s="5" t="s">
        <v>16</v>
      </c>
      <c r="K125" s="34" t="str">
        <f>VLOOKUP(I125,[2]stage_hints!$A:$C,3,FALSE)</f>
        <v>「バグ」のメリット</v>
      </c>
      <c r="L125" s="35" t="str">
        <f>VLOOKUP(I125,[2]stage_hints!$A:$D,4,FALSE)</f>
        <v>ユニットの「バグ」を増やすと_x000D_報酬をもらえる確率がアップします</v>
      </c>
      <c r="M125" s="21" t="s">
        <v>23</v>
      </c>
      <c r="N125">
        <v>29</v>
      </c>
    </row>
    <row r="126" spans="1:14" x14ac:dyDescent="0.15">
      <c r="A126" s="26" t="s">
        <v>32</v>
      </c>
      <c r="B126" s="4">
        <v>11105</v>
      </c>
      <c r="C126" s="3" t="str">
        <f ca="1">VLOOKUP($B126,OFFSET([1]quests!$A$1,0,0,COUNTA([1]quests!$A:$A),MATCH(C$1,[1]quests!$1:$1,0)-MATCH($B$1,[1]quests!$1:$1,0)+1),MATCH(C$1,[1]quests!$1:$1,0)-MATCH($B$1,[1]quests!$1:$1,0)+1,FALSE)</f>
        <v>【期間限定】 帽子屋を追え！</v>
      </c>
      <c r="D126" s="3" t="str">
        <f ca="1">VLOOKUP($B126,OFFSET([1]quests!$A$1,0,0,COUNTA([1]quests!$A:$A),MATCH(D$1,[1]quests!$1:$1,0)-MATCH($B$1,[1]quests!$1:$1,0)+1),MATCH(D$1,[1]quests!$1:$1,0)-MATCH($B$1,[1]quests!$1:$1,0)+1,FALSE)</f>
        <v>金曜クエスト</v>
      </c>
      <c r="E126" s="5">
        <v>1</v>
      </c>
      <c r="F126" s="3" t="str">
        <f ca="1">VLOOKUP($B126&amp;"_"&amp;$E126,OFFSET([1]stages!$A$1,0,0,COUNTA([1]stages!$A:$A),MATCH(F$1,[1]stages!$2:$2,0)-MATCH("temp_stage",[1]stages!$2:$2,0)+1),MATCH(F$1,[1]stages!$2:$2,0)-MATCH("temp_stage",[1]stages!$2:$2,0)+1,FALSE)</f>
        <v xml:space="preserve">【超級】火の帽子屋 </v>
      </c>
      <c r="G126" s="3" t="str">
        <f ca="1">VLOOKUP($B126&amp;"_"&amp;$E126,OFFSET([1]stages!$A$1,0,0,COUNTA([1]stages!$A:$A),MATCH(G$1,[1]stages!$2:$2,0)-MATCH("temp_stage",[1]stages!$2:$2,0)+1),MATCH(G$1,[1]stages!$2:$2,0)-MATCH("temp_stage",[1]stages!$2:$2,0)+1,FALSE)</f>
        <v>金曜クエスト</v>
      </c>
      <c r="H126" s="18">
        <v>0</v>
      </c>
      <c r="I126">
        <v>30</v>
      </c>
      <c r="J126" s="5" t="s">
        <v>16</v>
      </c>
      <c r="K126" s="34" t="str">
        <f>VLOOKUP(I126,[2]stage_hints!$A:$C,3,FALSE)</f>
        <v>「バグ」の増やし方</v>
      </c>
      <c r="L126" s="35" t="str">
        <f>VLOOKUP(I126,[2]stage_hints!$A:$D,4,FALSE)</f>
        <v>同じユニット同士を強化で合成すると_x000D_「バグ」を増やすことができます</v>
      </c>
      <c r="M126" s="21" t="s">
        <v>23</v>
      </c>
      <c r="N126">
        <v>30</v>
      </c>
    </row>
    <row r="127" spans="1:14" x14ac:dyDescent="0.15">
      <c r="A127" s="26" t="s">
        <v>32</v>
      </c>
      <c r="B127" s="4">
        <v>11105</v>
      </c>
      <c r="C127" s="3" t="str">
        <f ca="1">VLOOKUP($B127,OFFSET([1]quests!$A$1,0,0,COUNTA([1]quests!$A:$A),MATCH(C$1,[1]quests!$1:$1,0)-MATCH($B$1,[1]quests!$1:$1,0)+1),MATCH(C$1,[1]quests!$1:$1,0)-MATCH($B$1,[1]quests!$1:$1,0)+1,FALSE)</f>
        <v>【期間限定】 帽子屋を追え！</v>
      </c>
      <c r="D127" s="3" t="str">
        <f ca="1">VLOOKUP($B127,OFFSET([1]quests!$A$1,0,0,COUNTA([1]quests!$A:$A),MATCH(D$1,[1]quests!$1:$1,0)-MATCH($B$1,[1]quests!$1:$1,0)+1),MATCH(D$1,[1]quests!$1:$1,0)-MATCH($B$1,[1]quests!$1:$1,0)+1,FALSE)</f>
        <v>金曜クエスト</v>
      </c>
      <c r="E127" s="5">
        <v>1</v>
      </c>
      <c r="F127" s="3" t="str">
        <f ca="1">VLOOKUP($B127&amp;"_"&amp;$E127,OFFSET([1]stages!$A$1,0,0,COUNTA([1]stages!$A:$A),MATCH(F$1,[1]stages!$2:$2,0)-MATCH("temp_stage",[1]stages!$2:$2,0)+1),MATCH(F$1,[1]stages!$2:$2,0)-MATCH("temp_stage",[1]stages!$2:$2,0)+1,FALSE)</f>
        <v xml:space="preserve">【超級】火の帽子屋 </v>
      </c>
      <c r="G127" s="3" t="str">
        <f ca="1">VLOOKUP($B127&amp;"_"&amp;$E127,OFFSET([1]stages!$A$1,0,0,COUNTA([1]stages!$A:$A),MATCH(G$1,[1]stages!$2:$2,0)-MATCH("temp_stage",[1]stages!$2:$2,0)+1),MATCH(G$1,[1]stages!$2:$2,0)-MATCH("temp_stage",[1]stages!$2:$2,0)+1,FALSE)</f>
        <v>金曜クエスト</v>
      </c>
      <c r="H127" s="18">
        <v>0</v>
      </c>
      <c r="I127">
        <v>32</v>
      </c>
      <c r="J127" s="5" t="s">
        <v>16</v>
      </c>
      <c r="K127" s="34" t="str">
        <f>VLOOKUP(I127,[2]stage_hints!$A:$C,3,FALSE)</f>
        <v>敵の連続攻撃には</v>
      </c>
      <c r="L127" s="35" t="str">
        <f>VLOOKUP(I127,[2]stage_hints!$A:$D,4,FALSE)</f>
        <v>カウンタースキルを持つユニットがいれば_x000D_ダメージ回数分の反撃ができます</v>
      </c>
      <c r="M127" s="21" t="s">
        <v>23</v>
      </c>
      <c r="N127">
        <v>32</v>
      </c>
    </row>
    <row r="128" spans="1:14" x14ac:dyDescent="0.15">
      <c r="A128" s="26" t="s">
        <v>32</v>
      </c>
      <c r="B128" s="4">
        <v>11105</v>
      </c>
      <c r="C128" s="3" t="str">
        <f ca="1">VLOOKUP($B128,OFFSET([1]quests!$A$1,0,0,COUNTA([1]quests!$A:$A),MATCH(C$1,[1]quests!$1:$1,0)-MATCH($B$1,[1]quests!$1:$1,0)+1),MATCH(C$1,[1]quests!$1:$1,0)-MATCH($B$1,[1]quests!$1:$1,0)+1,FALSE)</f>
        <v>【期間限定】 帽子屋を追え！</v>
      </c>
      <c r="D128" s="3" t="str">
        <f ca="1">VLOOKUP($B128,OFFSET([1]quests!$A$1,0,0,COUNTA([1]quests!$A:$A),MATCH(D$1,[1]quests!$1:$1,0)-MATCH($B$1,[1]quests!$1:$1,0)+1),MATCH(D$1,[1]quests!$1:$1,0)-MATCH($B$1,[1]quests!$1:$1,0)+1,FALSE)</f>
        <v>金曜クエスト</v>
      </c>
      <c r="E128" s="5">
        <v>1</v>
      </c>
      <c r="F128" s="3" t="str">
        <f ca="1">VLOOKUP($B128&amp;"_"&amp;$E128,OFFSET([1]stages!$A$1,0,0,COUNTA([1]stages!$A:$A),MATCH(F$1,[1]stages!$2:$2,0)-MATCH("temp_stage",[1]stages!$2:$2,0)+1),MATCH(F$1,[1]stages!$2:$2,0)-MATCH("temp_stage",[1]stages!$2:$2,0)+1,FALSE)</f>
        <v xml:space="preserve">【超級】火の帽子屋 </v>
      </c>
      <c r="G128" s="3" t="str">
        <f ca="1">VLOOKUP($B128&amp;"_"&amp;$E128,OFFSET([1]stages!$A$1,0,0,COUNTA([1]stages!$A:$A),MATCH(G$1,[1]stages!$2:$2,0)-MATCH("temp_stage",[1]stages!$2:$2,0)+1),MATCH(G$1,[1]stages!$2:$2,0)-MATCH("temp_stage",[1]stages!$2:$2,0)+1,FALSE)</f>
        <v>金曜クエスト</v>
      </c>
      <c r="H128" s="18">
        <v>0</v>
      </c>
      <c r="I128">
        <v>33</v>
      </c>
      <c r="J128" s="5" t="s">
        <v>16</v>
      </c>
      <c r="K128" s="34" t="str">
        <f>VLOOKUP(I128,[2]stage_hints!$A:$C,3,FALSE)</f>
        <v>敵のカウンター攻撃には</v>
      </c>
      <c r="L128" s="35" t="str">
        <f>VLOOKUP(I128,[2]stage_hints!$A:$D,4,FALSE)</f>
        <v>カウンターブレイクスキルを持っていれば_x000D_敵のカウンターを解除して攻撃ができます</v>
      </c>
      <c r="M128" s="21" t="s">
        <v>23</v>
      </c>
      <c r="N128">
        <v>33</v>
      </c>
    </row>
    <row r="129" spans="1:14" x14ac:dyDescent="0.15">
      <c r="A129" s="26" t="s">
        <v>32</v>
      </c>
      <c r="B129" s="4">
        <v>11105</v>
      </c>
      <c r="C129" s="3" t="str">
        <f ca="1">VLOOKUP($B129,OFFSET([1]quests!$A$1,0,0,COUNTA([1]quests!$A:$A),MATCH(C$1,[1]quests!$1:$1,0)-MATCH($B$1,[1]quests!$1:$1,0)+1),MATCH(C$1,[1]quests!$1:$1,0)-MATCH($B$1,[1]quests!$1:$1,0)+1,FALSE)</f>
        <v>【期間限定】 帽子屋を追え！</v>
      </c>
      <c r="D129" s="3" t="str">
        <f ca="1">VLOOKUP($B129,OFFSET([1]quests!$A$1,0,0,COUNTA([1]quests!$A:$A),MATCH(D$1,[1]quests!$1:$1,0)-MATCH($B$1,[1]quests!$1:$1,0)+1),MATCH(D$1,[1]quests!$1:$1,0)-MATCH($B$1,[1]quests!$1:$1,0)+1,FALSE)</f>
        <v>金曜クエスト</v>
      </c>
      <c r="E129" s="5">
        <v>1</v>
      </c>
      <c r="F129" s="3" t="str">
        <f ca="1">VLOOKUP($B129&amp;"_"&amp;$E129,OFFSET([1]stages!$A$1,0,0,COUNTA([1]stages!$A:$A),MATCH(F$1,[1]stages!$2:$2,0)-MATCH("temp_stage",[1]stages!$2:$2,0)+1),MATCH(F$1,[1]stages!$2:$2,0)-MATCH("temp_stage",[1]stages!$2:$2,0)+1,FALSE)</f>
        <v xml:space="preserve">【超級】火の帽子屋 </v>
      </c>
      <c r="G129" s="3" t="str">
        <f ca="1">VLOOKUP($B129&amp;"_"&amp;$E129,OFFSET([1]stages!$A$1,0,0,COUNTA([1]stages!$A:$A),MATCH(G$1,[1]stages!$2:$2,0)-MATCH("temp_stage",[1]stages!$2:$2,0)+1),MATCH(G$1,[1]stages!$2:$2,0)-MATCH("temp_stage",[1]stages!$2:$2,0)+1,FALSE)</f>
        <v>金曜クエスト</v>
      </c>
      <c r="H129" s="18">
        <v>0</v>
      </c>
      <c r="I129">
        <v>34</v>
      </c>
      <c r="J129" s="5" t="s">
        <v>16</v>
      </c>
      <c r="K129" s="34" t="str">
        <f>VLOOKUP(I129,[2]stage_hints!$A:$C,3,FALSE)</f>
        <v>ステータスをスキルで下げられたら</v>
      </c>
      <c r="L129" s="35" t="str">
        <f>VLOOKUP(I129,[2]stage_hints!$A:$D,4,FALSE)</f>
        <v>ステータスダウンのスキルを受けたら_x000D_ステータスアップスキルで上書きしましょう</v>
      </c>
      <c r="M129" s="21" t="s">
        <v>23</v>
      </c>
      <c r="N129">
        <v>34</v>
      </c>
    </row>
    <row r="130" spans="1:14" x14ac:dyDescent="0.15">
      <c r="A130" s="26" t="s">
        <v>32</v>
      </c>
      <c r="B130" s="4">
        <v>11105</v>
      </c>
      <c r="C130" s="3" t="str">
        <f ca="1">VLOOKUP($B130,OFFSET([1]quests!$A$1,0,0,COUNTA([1]quests!$A:$A),MATCH(C$1,[1]quests!$1:$1,0)-MATCH($B$1,[1]quests!$1:$1,0)+1),MATCH(C$1,[1]quests!$1:$1,0)-MATCH($B$1,[1]quests!$1:$1,0)+1,FALSE)</f>
        <v>【期間限定】 帽子屋を追え！</v>
      </c>
      <c r="D130" s="3" t="str">
        <f ca="1">VLOOKUP($B130,OFFSET([1]quests!$A$1,0,0,COUNTA([1]quests!$A:$A),MATCH(D$1,[1]quests!$1:$1,0)-MATCH($B$1,[1]quests!$1:$1,0)+1),MATCH(D$1,[1]quests!$1:$1,0)-MATCH($B$1,[1]quests!$1:$1,0)+1,FALSE)</f>
        <v>金曜クエスト</v>
      </c>
      <c r="E130" s="5">
        <v>1</v>
      </c>
      <c r="F130" s="3" t="str">
        <f ca="1">VLOOKUP($B130&amp;"_"&amp;$E130,OFFSET([1]stages!$A$1,0,0,COUNTA([1]stages!$A:$A),MATCH(F$1,[1]stages!$2:$2,0)-MATCH("temp_stage",[1]stages!$2:$2,0)+1),MATCH(F$1,[1]stages!$2:$2,0)-MATCH("temp_stage",[1]stages!$2:$2,0)+1,FALSE)</f>
        <v xml:space="preserve">【超級】火の帽子屋 </v>
      </c>
      <c r="G130" s="3" t="str">
        <f ca="1">VLOOKUP($B130&amp;"_"&amp;$E130,OFFSET([1]stages!$A$1,0,0,COUNTA([1]stages!$A:$A),MATCH(G$1,[1]stages!$2:$2,0)-MATCH("temp_stage",[1]stages!$2:$2,0)+1),MATCH(G$1,[1]stages!$2:$2,0)-MATCH("temp_stage",[1]stages!$2:$2,0)+1,FALSE)</f>
        <v>金曜クエスト</v>
      </c>
      <c r="H130" s="18">
        <v>0</v>
      </c>
      <c r="I130">
        <v>35</v>
      </c>
      <c r="J130" s="5" t="s">
        <v>16</v>
      </c>
      <c r="K130" s="34" t="str">
        <f>VLOOKUP(I130,[2]stage_hints!$A:$C,3,FALSE)</f>
        <v>敵のステータスがスキルで上がったら</v>
      </c>
      <c r="L130" s="35" t="str">
        <f>VLOOKUP(I130,[2]stage_hints!$A:$D,4,FALSE)</f>
        <v>敵のステータスがスキルでアップしたときは_x000D_ステータスダウンスキルで上書きしましょう</v>
      </c>
      <c r="M130" s="21" t="s">
        <v>23</v>
      </c>
      <c r="N130">
        <v>35</v>
      </c>
    </row>
    <row r="131" spans="1:14" x14ac:dyDescent="0.15">
      <c r="A131" s="26" t="s">
        <v>32</v>
      </c>
      <c r="B131" s="4">
        <v>11105</v>
      </c>
      <c r="C131" s="3" t="str">
        <f ca="1">VLOOKUP($B131,OFFSET([1]quests!$A$1,0,0,COUNTA([1]quests!$A:$A),MATCH(C$1,[1]quests!$1:$1,0)-MATCH($B$1,[1]quests!$1:$1,0)+1),MATCH(C$1,[1]quests!$1:$1,0)-MATCH($B$1,[1]quests!$1:$1,0)+1,FALSE)</f>
        <v>【期間限定】 帽子屋を追え！</v>
      </c>
      <c r="D131" s="3" t="str">
        <f ca="1">VLOOKUP($B131,OFFSET([1]quests!$A$1,0,0,COUNTA([1]quests!$A:$A),MATCH(D$1,[1]quests!$1:$1,0)-MATCH($B$1,[1]quests!$1:$1,0)+1),MATCH(D$1,[1]quests!$1:$1,0)-MATCH($B$1,[1]quests!$1:$1,0)+1,FALSE)</f>
        <v>金曜クエスト</v>
      </c>
      <c r="E131" s="5">
        <v>1</v>
      </c>
      <c r="F131" s="3" t="str">
        <f ca="1">VLOOKUP($B131&amp;"_"&amp;$E131,OFFSET([1]stages!$A$1,0,0,COUNTA([1]stages!$A:$A),MATCH(F$1,[1]stages!$2:$2,0)-MATCH("temp_stage",[1]stages!$2:$2,0)+1),MATCH(F$1,[1]stages!$2:$2,0)-MATCH("temp_stage",[1]stages!$2:$2,0)+1,FALSE)</f>
        <v xml:space="preserve">【超級】火の帽子屋 </v>
      </c>
      <c r="G131" s="3" t="str">
        <f ca="1">VLOOKUP($B131&amp;"_"&amp;$E131,OFFSET([1]stages!$A$1,0,0,COUNTA([1]stages!$A:$A),MATCH(G$1,[1]stages!$2:$2,0)-MATCH("temp_stage",[1]stages!$2:$2,0)+1),MATCH(G$1,[1]stages!$2:$2,0)-MATCH("temp_stage",[1]stages!$2:$2,0)+1,FALSE)</f>
        <v>金曜クエスト</v>
      </c>
      <c r="H131" s="18">
        <v>0</v>
      </c>
      <c r="I131">
        <v>36</v>
      </c>
      <c r="J131" s="5" t="s">
        <v>16</v>
      </c>
      <c r="K131" s="34" t="str">
        <f>VLOOKUP(I131,[2]stage_hints!$A:$C,3,FALSE)</f>
        <v>タワーオブザクイーンのボス</v>
      </c>
      <c r="L131" s="35" t="str">
        <f>VLOOKUP(I131,[2]stage_hints!$A:$D,4,FALSE)</f>
        <v>「タワーオブザクイーン」最上階のボスは_x000D_15階の初回クリア報酬で獲得できるほか_x000D_その階にて低確率でドロップもします</v>
      </c>
      <c r="M131" s="21" t="s">
        <v>23</v>
      </c>
      <c r="N131">
        <v>36</v>
      </c>
    </row>
    <row r="132" spans="1:14" x14ac:dyDescent="0.15">
      <c r="A132" s="26" t="s">
        <v>32</v>
      </c>
      <c r="B132" s="4">
        <v>11105</v>
      </c>
      <c r="C132" s="3" t="str">
        <f ca="1">VLOOKUP($B132,OFFSET([1]quests!$A$1,0,0,COUNTA([1]quests!$A:$A),MATCH(C$1,[1]quests!$1:$1,0)-MATCH($B$1,[1]quests!$1:$1,0)+1),MATCH(C$1,[1]quests!$1:$1,0)-MATCH($B$1,[1]quests!$1:$1,0)+1,FALSE)</f>
        <v>【期間限定】 帽子屋を追え！</v>
      </c>
      <c r="D132" s="3" t="str">
        <f ca="1">VLOOKUP($B132,OFFSET([1]quests!$A$1,0,0,COUNTA([1]quests!$A:$A),MATCH(D$1,[1]quests!$1:$1,0)-MATCH($B$1,[1]quests!$1:$1,0)+1),MATCH(D$1,[1]quests!$1:$1,0)-MATCH($B$1,[1]quests!$1:$1,0)+1,FALSE)</f>
        <v>金曜クエスト</v>
      </c>
      <c r="E132" s="5">
        <v>1</v>
      </c>
      <c r="F132" s="3" t="str">
        <f ca="1">VLOOKUP($B132&amp;"_"&amp;$E132,OFFSET([1]stages!$A$1,0,0,COUNTA([1]stages!$A:$A),MATCH(F$1,[1]stages!$2:$2,0)-MATCH("temp_stage",[1]stages!$2:$2,0)+1),MATCH(F$1,[1]stages!$2:$2,0)-MATCH("temp_stage",[1]stages!$2:$2,0)+1,FALSE)</f>
        <v xml:space="preserve">【超級】火の帽子屋 </v>
      </c>
      <c r="G132" s="3" t="str">
        <f ca="1">VLOOKUP($B132&amp;"_"&amp;$E132,OFFSET([1]stages!$A$1,0,0,COUNTA([1]stages!$A:$A),MATCH(G$1,[1]stages!$2:$2,0)-MATCH("temp_stage",[1]stages!$2:$2,0)+1),MATCH(G$1,[1]stages!$2:$2,0)-MATCH("temp_stage",[1]stages!$2:$2,0)+1,FALSE)</f>
        <v>金曜クエスト</v>
      </c>
      <c r="H132" s="18">
        <v>0</v>
      </c>
      <c r="I132">
        <v>37</v>
      </c>
      <c r="J132" s="5" t="s">
        <v>16</v>
      </c>
      <c r="K132" s="34" t="str">
        <f>VLOOKUP(I132,[2]stage_hints!$A:$C,3,FALSE)</f>
        <v>限界突破値の引き継ぎ</v>
      </c>
      <c r="L132" s="35" t="str">
        <f>VLOOKUP(I132,[2]stage_hints!$A:$D,4,FALSE)</f>
        <v>同じユニットを強化で合成すると_x000D_限界突破値を引き継げます（覚醒前後も可）</v>
      </c>
      <c r="M132" s="21" t="s">
        <v>23</v>
      </c>
      <c r="N132">
        <v>37</v>
      </c>
    </row>
    <row r="133" spans="1:14" x14ac:dyDescent="0.15">
      <c r="A133" s="26" t="s">
        <v>32</v>
      </c>
      <c r="B133" s="4">
        <v>11105</v>
      </c>
      <c r="C133" s="3" t="str">
        <f ca="1">VLOOKUP($B133,OFFSET([1]quests!$A$1,0,0,COUNTA([1]quests!$A:$A),MATCH(C$1,[1]quests!$1:$1,0)-MATCH($B$1,[1]quests!$1:$1,0)+1),MATCH(C$1,[1]quests!$1:$1,0)-MATCH($B$1,[1]quests!$1:$1,0)+1,FALSE)</f>
        <v>【期間限定】 帽子屋を追え！</v>
      </c>
      <c r="D133" s="3" t="str">
        <f ca="1">VLOOKUP($B133,OFFSET([1]quests!$A$1,0,0,COUNTA([1]quests!$A:$A),MATCH(D$1,[1]quests!$1:$1,0)-MATCH($B$1,[1]quests!$1:$1,0)+1),MATCH(D$1,[1]quests!$1:$1,0)-MATCH($B$1,[1]quests!$1:$1,0)+1,FALSE)</f>
        <v>金曜クエスト</v>
      </c>
      <c r="E133" s="5">
        <v>2</v>
      </c>
      <c r="F133" s="3" t="str">
        <f ca="1">VLOOKUP($B133&amp;"_"&amp;$E133,OFFSET([1]stages!$A$1,0,0,COUNTA([1]stages!$A:$A),MATCH(F$1,[1]stages!$2:$2,0)-MATCH("temp_stage",[1]stages!$2:$2,0)+1),MATCH(F$1,[1]stages!$2:$2,0)-MATCH("temp_stage",[1]stages!$2:$2,0)+1,FALSE)</f>
        <v>【超級】樹の帽子屋</v>
      </c>
      <c r="G133" s="3" t="str">
        <f ca="1">VLOOKUP($B133&amp;"_"&amp;$E133,OFFSET([1]stages!$A$1,0,0,COUNTA([1]stages!$A:$A),MATCH(G$1,[1]stages!$2:$2,0)-MATCH("temp_stage",[1]stages!$2:$2,0)+1),MATCH(G$1,[1]stages!$2:$2,0)-MATCH("temp_stage",[1]stages!$2:$2,0)+1,FALSE)</f>
        <v>金曜クエスト</v>
      </c>
      <c r="H133" s="18">
        <v>0</v>
      </c>
      <c r="I133">
        <v>12</v>
      </c>
      <c r="J133" s="5" t="s">
        <v>16</v>
      </c>
      <c r="K133" s="34" t="str">
        <f>VLOOKUP(I133,[2]stage_hints!$A:$C,3,FALSE)</f>
        <v>ユニットのお気に入り登録</v>
      </c>
      <c r="L133" s="35" t="str">
        <f>VLOOKUP(I133,[2]stage_hints!$A:$D,4,FALSE)</f>
        <v>大事なユニットを誤って消さないように_x000D_フォルダから「お気に入り登録」しましょう</v>
      </c>
      <c r="M133" s="21" t="s">
        <v>23</v>
      </c>
      <c r="N133">
        <v>12</v>
      </c>
    </row>
    <row r="134" spans="1:14" x14ac:dyDescent="0.15">
      <c r="A134" s="26" t="s">
        <v>32</v>
      </c>
      <c r="B134" s="4">
        <v>11105</v>
      </c>
      <c r="C134" s="3" t="str">
        <f ca="1">VLOOKUP($B134,OFFSET([1]quests!$A$1,0,0,COUNTA([1]quests!$A:$A),MATCH(C$1,[1]quests!$1:$1,0)-MATCH($B$1,[1]quests!$1:$1,0)+1),MATCH(C$1,[1]quests!$1:$1,0)-MATCH($B$1,[1]quests!$1:$1,0)+1,FALSE)</f>
        <v>【期間限定】 帽子屋を追え！</v>
      </c>
      <c r="D134" s="3" t="str">
        <f ca="1">VLOOKUP($B134,OFFSET([1]quests!$A$1,0,0,COUNTA([1]quests!$A:$A),MATCH(D$1,[1]quests!$1:$1,0)-MATCH($B$1,[1]quests!$1:$1,0)+1),MATCH(D$1,[1]quests!$1:$1,0)-MATCH($B$1,[1]quests!$1:$1,0)+1,FALSE)</f>
        <v>金曜クエスト</v>
      </c>
      <c r="E134" s="5">
        <v>2</v>
      </c>
      <c r="F134" s="3" t="str">
        <f ca="1">VLOOKUP($B134&amp;"_"&amp;$E134,OFFSET([1]stages!$A$1,0,0,COUNTA([1]stages!$A:$A),MATCH(F$1,[1]stages!$2:$2,0)-MATCH("temp_stage",[1]stages!$2:$2,0)+1),MATCH(F$1,[1]stages!$2:$2,0)-MATCH("temp_stage",[1]stages!$2:$2,0)+1,FALSE)</f>
        <v>【超級】樹の帽子屋</v>
      </c>
      <c r="G134" s="3" t="str">
        <f ca="1">VLOOKUP($B134&amp;"_"&amp;$E134,OFFSET([1]stages!$A$1,0,0,COUNTA([1]stages!$A:$A),MATCH(G$1,[1]stages!$2:$2,0)-MATCH("temp_stage",[1]stages!$2:$2,0)+1),MATCH(G$1,[1]stages!$2:$2,0)-MATCH("temp_stage",[1]stages!$2:$2,0)+1,FALSE)</f>
        <v>金曜クエスト</v>
      </c>
      <c r="H134" s="18">
        <v>0</v>
      </c>
      <c r="I134">
        <v>17</v>
      </c>
      <c r="J134" s="5" t="s">
        <v>16</v>
      </c>
      <c r="K134" s="34" t="str">
        <f>VLOOKUP(I134,[2]stage_hints!$A:$C,3,FALSE)</f>
        <v>リンクガチャ</v>
      </c>
      <c r="L134" s="35" t="str">
        <f>VLOOKUP(I134,[2]stage_hints!$A:$D,4,FALSE)</f>
        <v>無料のリンクガチャを回して_x000D_経験値素材や売却素材を獲得しましょう</v>
      </c>
      <c r="M134" s="21" t="s">
        <v>23</v>
      </c>
      <c r="N134">
        <v>17</v>
      </c>
    </row>
    <row r="135" spans="1:14" x14ac:dyDescent="0.15">
      <c r="A135" s="26" t="s">
        <v>32</v>
      </c>
      <c r="B135" s="4">
        <v>11105</v>
      </c>
      <c r="C135" s="3" t="str">
        <f ca="1">VLOOKUP($B135,OFFSET([1]quests!$A$1,0,0,COUNTA([1]quests!$A:$A),MATCH(C$1,[1]quests!$1:$1,0)-MATCH($B$1,[1]quests!$1:$1,0)+1),MATCH(C$1,[1]quests!$1:$1,0)-MATCH($B$1,[1]quests!$1:$1,0)+1,FALSE)</f>
        <v>【期間限定】 帽子屋を追え！</v>
      </c>
      <c r="D135" s="3" t="str">
        <f ca="1">VLOOKUP($B135,OFFSET([1]quests!$A$1,0,0,COUNTA([1]quests!$A:$A),MATCH(D$1,[1]quests!$1:$1,0)-MATCH($B$1,[1]quests!$1:$1,0)+1),MATCH(D$1,[1]quests!$1:$1,0)-MATCH($B$1,[1]quests!$1:$1,0)+1,FALSE)</f>
        <v>金曜クエスト</v>
      </c>
      <c r="E135" s="5">
        <v>2</v>
      </c>
      <c r="F135" s="3" t="str">
        <f ca="1">VLOOKUP($B135&amp;"_"&amp;$E135,OFFSET([1]stages!$A$1,0,0,COUNTA([1]stages!$A:$A),MATCH(F$1,[1]stages!$2:$2,0)-MATCH("temp_stage",[1]stages!$2:$2,0)+1),MATCH(F$1,[1]stages!$2:$2,0)-MATCH("temp_stage",[1]stages!$2:$2,0)+1,FALSE)</f>
        <v>【超級】樹の帽子屋</v>
      </c>
      <c r="G135" s="3" t="str">
        <f ca="1">VLOOKUP($B135&amp;"_"&amp;$E135,OFFSET([1]stages!$A$1,0,0,COUNTA([1]stages!$A:$A),MATCH(G$1,[1]stages!$2:$2,0)-MATCH("temp_stage",[1]stages!$2:$2,0)+1),MATCH(G$1,[1]stages!$2:$2,0)-MATCH("temp_stage",[1]stages!$2:$2,0)+1,FALSE)</f>
        <v>金曜クエスト</v>
      </c>
      <c r="H135" s="18">
        <v>0</v>
      </c>
      <c r="I135">
        <v>19</v>
      </c>
      <c r="J135" s="5" t="s">
        <v>16</v>
      </c>
      <c r="K135" s="34" t="str">
        <f>VLOOKUP(I135,[2]stage_hints!$A:$C,3,FALSE)</f>
        <v>ソロ専用タワーオブザクイーン</v>
      </c>
      <c r="L135" s="35" t="str">
        <f>VLOOKUP(I135,[2]stage_hints!$A:$D,4,FALSE)</f>
        <v>ソロ専用の「タワーオブザクイーン」は_x000D_期間限定で定期的に開催されます_x000D_ここでしか獲得できない報酬もあるようです</v>
      </c>
      <c r="M135" s="21" t="s">
        <v>23</v>
      </c>
      <c r="N135">
        <v>19</v>
      </c>
    </row>
    <row r="136" spans="1:14" x14ac:dyDescent="0.15">
      <c r="A136" s="26" t="s">
        <v>32</v>
      </c>
      <c r="B136" s="4">
        <v>11105</v>
      </c>
      <c r="C136" s="3" t="str">
        <f ca="1">VLOOKUP($B136,OFFSET([1]quests!$A$1,0,0,COUNTA([1]quests!$A:$A),MATCH(C$1,[1]quests!$1:$1,0)-MATCH($B$1,[1]quests!$1:$1,0)+1),MATCH(C$1,[1]quests!$1:$1,0)-MATCH($B$1,[1]quests!$1:$1,0)+1,FALSE)</f>
        <v>【期間限定】 帽子屋を追え！</v>
      </c>
      <c r="D136" s="3" t="str">
        <f ca="1">VLOOKUP($B136,OFFSET([1]quests!$A$1,0,0,COUNTA([1]quests!$A:$A),MATCH(D$1,[1]quests!$1:$1,0)-MATCH($B$1,[1]quests!$1:$1,0)+1),MATCH(D$1,[1]quests!$1:$1,0)-MATCH($B$1,[1]quests!$1:$1,0)+1,FALSE)</f>
        <v>金曜クエスト</v>
      </c>
      <c r="E136" s="5">
        <v>2</v>
      </c>
      <c r="F136" s="3" t="str">
        <f ca="1">VLOOKUP($B136&amp;"_"&amp;$E136,OFFSET([1]stages!$A$1,0,0,COUNTA([1]stages!$A:$A),MATCH(F$1,[1]stages!$2:$2,0)-MATCH("temp_stage",[1]stages!$2:$2,0)+1),MATCH(F$1,[1]stages!$2:$2,0)-MATCH("temp_stage",[1]stages!$2:$2,0)+1,FALSE)</f>
        <v>【超級】樹の帽子屋</v>
      </c>
      <c r="G136" s="3" t="str">
        <f ca="1">VLOOKUP($B136&amp;"_"&amp;$E136,OFFSET([1]stages!$A$1,0,0,COUNTA([1]stages!$A:$A),MATCH(G$1,[1]stages!$2:$2,0)-MATCH("temp_stage",[1]stages!$2:$2,0)+1),MATCH(G$1,[1]stages!$2:$2,0)-MATCH("temp_stage",[1]stages!$2:$2,0)+1,FALSE)</f>
        <v>金曜クエスト</v>
      </c>
      <c r="H136" s="18">
        <v>0</v>
      </c>
      <c r="I136">
        <v>21</v>
      </c>
      <c r="J136" s="5" t="s">
        <v>16</v>
      </c>
      <c r="K136" s="34" t="str">
        <f>VLOOKUP(I136,[2]stage_hints!$A:$C,3,FALSE)</f>
        <v>スキルを有効に</v>
      </c>
      <c r="L136" s="35" t="str">
        <f>VLOOKUP(I136,[2]stage_hints!$A:$D,4,FALSE)</f>
        <v>ターン経過でユニットのスキルが使えます_x000D_強力スキルでバトルを有利に進めましょう</v>
      </c>
      <c r="M136" s="21" t="s">
        <v>23</v>
      </c>
      <c r="N136">
        <v>21</v>
      </c>
    </row>
    <row r="137" spans="1:14" x14ac:dyDescent="0.15">
      <c r="A137" s="26" t="s">
        <v>32</v>
      </c>
      <c r="B137" s="4">
        <v>11105</v>
      </c>
      <c r="C137" s="3" t="str">
        <f ca="1">VLOOKUP($B137,OFFSET([1]quests!$A$1,0,0,COUNTA([1]quests!$A:$A),MATCH(C$1,[1]quests!$1:$1,0)-MATCH($B$1,[1]quests!$1:$1,0)+1),MATCH(C$1,[1]quests!$1:$1,0)-MATCH($B$1,[1]quests!$1:$1,0)+1,FALSE)</f>
        <v>【期間限定】 帽子屋を追え！</v>
      </c>
      <c r="D137" s="3" t="str">
        <f ca="1">VLOOKUP($B137,OFFSET([1]quests!$A$1,0,0,COUNTA([1]quests!$A:$A),MATCH(D$1,[1]quests!$1:$1,0)-MATCH($B$1,[1]quests!$1:$1,0)+1),MATCH(D$1,[1]quests!$1:$1,0)-MATCH($B$1,[1]quests!$1:$1,0)+1,FALSE)</f>
        <v>金曜クエスト</v>
      </c>
      <c r="E137" s="5">
        <v>2</v>
      </c>
      <c r="F137" s="3" t="str">
        <f ca="1">VLOOKUP($B137&amp;"_"&amp;$E137,OFFSET([1]stages!$A$1,0,0,COUNTA([1]stages!$A:$A),MATCH(F$1,[1]stages!$2:$2,0)-MATCH("temp_stage",[1]stages!$2:$2,0)+1),MATCH(F$1,[1]stages!$2:$2,0)-MATCH("temp_stage",[1]stages!$2:$2,0)+1,FALSE)</f>
        <v>【超級】樹の帽子屋</v>
      </c>
      <c r="G137" s="3" t="str">
        <f ca="1">VLOOKUP($B137&amp;"_"&amp;$E137,OFFSET([1]stages!$A$1,0,0,COUNTA([1]stages!$A:$A),MATCH(G$1,[1]stages!$2:$2,0)-MATCH("temp_stage",[1]stages!$2:$2,0)+1),MATCH(G$1,[1]stages!$2:$2,0)-MATCH("temp_stage",[1]stages!$2:$2,0)+1,FALSE)</f>
        <v>金曜クエスト</v>
      </c>
      <c r="H137" s="18">
        <v>0</v>
      </c>
      <c r="I137">
        <v>27</v>
      </c>
      <c r="J137" s="5" t="s">
        <v>16</v>
      </c>
      <c r="K137" s="34" t="str">
        <f>VLOOKUP(I137,[2]stage_hints!$A:$C,3,FALSE)</f>
        <v>ホーム画面からデッキを編成</v>
      </c>
      <c r="L137" s="35" t="str">
        <f>VLOOKUP(I137,[2]stage_hints!$A:$D,4,FALSE)</f>
        <v>ホーム画面でユニットを長押しすると_x000D_すぐにパーティ編成に移動できます</v>
      </c>
      <c r="M137" s="21" t="s">
        <v>23</v>
      </c>
      <c r="N137">
        <v>27</v>
      </c>
    </row>
    <row r="138" spans="1:14" x14ac:dyDescent="0.15">
      <c r="A138" s="26" t="s">
        <v>32</v>
      </c>
      <c r="B138" s="4">
        <v>11105</v>
      </c>
      <c r="C138" s="3" t="str">
        <f ca="1">VLOOKUP($B138,OFFSET([1]quests!$A$1,0,0,COUNTA([1]quests!$A:$A),MATCH(C$1,[1]quests!$1:$1,0)-MATCH($B$1,[1]quests!$1:$1,0)+1),MATCH(C$1,[1]quests!$1:$1,0)-MATCH($B$1,[1]quests!$1:$1,0)+1,FALSE)</f>
        <v>【期間限定】 帽子屋を追え！</v>
      </c>
      <c r="D138" s="3" t="str">
        <f ca="1">VLOOKUP($B138,OFFSET([1]quests!$A$1,0,0,COUNTA([1]quests!$A:$A),MATCH(D$1,[1]quests!$1:$1,0)-MATCH($B$1,[1]quests!$1:$1,0)+1),MATCH(D$1,[1]quests!$1:$1,0)-MATCH($B$1,[1]quests!$1:$1,0)+1,FALSE)</f>
        <v>金曜クエスト</v>
      </c>
      <c r="E138" s="5">
        <v>2</v>
      </c>
      <c r="F138" s="3" t="str">
        <f ca="1">VLOOKUP($B138&amp;"_"&amp;$E138,OFFSET([1]stages!$A$1,0,0,COUNTA([1]stages!$A:$A),MATCH(F$1,[1]stages!$2:$2,0)-MATCH("temp_stage",[1]stages!$2:$2,0)+1),MATCH(F$1,[1]stages!$2:$2,0)-MATCH("temp_stage",[1]stages!$2:$2,0)+1,FALSE)</f>
        <v>【超級】樹の帽子屋</v>
      </c>
      <c r="G138" s="3" t="str">
        <f ca="1">VLOOKUP($B138&amp;"_"&amp;$E138,OFFSET([1]stages!$A$1,0,0,COUNTA([1]stages!$A:$A),MATCH(G$1,[1]stages!$2:$2,0)-MATCH("temp_stage",[1]stages!$2:$2,0)+1),MATCH(G$1,[1]stages!$2:$2,0)-MATCH("temp_stage",[1]stages!$2:$2,0)+1,FALSE)</f>
        <v>金曜クエスト</v>
      </c>
      <c r="H138" s="18">
        <v>0</v>
      </c>
      <c r="I138">
        <v>28</v>
      </c>
      <c r="J138" s="5" t="s">
        <v>16</v>
      </c>
      <c r="K138" s="34" t="str">
        <f>VLOOKUP(I138,[2]stage_hints!$A:$C,3,FALSE)</f>
        <v>ステータス情報は長押しで</v>
      </c>
      <c r="L138" s="35" t="str">
        <f>VLOOKUP(I138,[2]stage_hints!$A:$D,4,FALSE)</f>
        <v>ユニットのアイコンを長押しすると_x000D_ステータス情報を確認することができます</v>
      </c>
      <c r="M138" s="21" t="s">
        <v>23</v>
      </c>
      <c r="N138">
        <v>28</v>
      </c>
    </row>
    <row r="139" spans="1:14" x14ac:dyDescent="0.15">
      <c r="A139" s="26" t="s">
        <v>32</v>
      </c>
      <c r="B139" s="4">
        <v>11105</v>
      </c>
      <c r="C139" s="3" t="str">
        <f ca="1">VLOOKUP($B139,OFFSET([1]quests!$A$1,0,0,COUNTA([1]quests!$A:$A),MATCH(C$1,[1]quests!$1:$1,0)-MATCH($B$1,[1]quests!$1:$1,0)+1),MATCH(C$1,[1]quests!$1:$1,0)-MATCH($B$1,[1]quests!$1:$1,0)+1,FALSE)</f>
        <v>【期間限定】 帽子屋を追え！</v>
      </c>
      <c r="D139" s="3" t="str">
        <f ca="1">VLOOKUP($B139,OFFSET([1]quests!$A$1,0,0,COUNTA([1]quests!$A:$A),MATCH(D$1,[1]quests!$1:$1,0)-MATCH($B$1,[1]quests!$1:$1,0)+1),MATCH(D$1,[1]quests!$1:$1,0)-MATCH($B$1,[1]quests!$1:$1,0)+1,FALSE)</f>
        <v>金曜クエスト</v>
      </c>
      <c r="E139" s="5">
        <v>2</v>
      </c>
      <c r="F139" s="3" t="str">
        <f ca="1">VLOOKUP($B139&amp;"_"&amp;$E139,OFFSET([1]stages!$A$1,0,0,COUNTA([1]stages!$A:$A),MATCH(F$1,[1]stages!$2:$2,0)-MATCH("temp_stage",[1]stages!$2:$2,0)+1),MATCH(F$1,[1]stages!$2:$2,0)-MATCH("temp_stage",[1]stages!$2:$2,0)+1,FALSE)</f>
        <v>【超級】樹の帽子屋</v>
      </c>
      <c r="G139" s="3" t="str">
        <f ca="1">VLOOKUP($B139&amp;"_"&amp;$E139,OFFSET([1]stages!$A$1,0,0,COUNTA([1]stages!$A:$A),MATCH(G$1,[1]stages!$2:$2,0)-MATCH("temp_stage",[1]stages!$2:$2,0)+1),MATCH(G$1,[1]stages!$2:$2,0)-MATCH("temp_stage",[1]stages!$2:$2,0)+1,FALSE)</f>
        <v>金曜クエスト</v>
      </c>
      <c r="H139" s="18">
        <v>0</v>
      </c>
      <c r="I139">
        <v>29</v>
      </c>
      <c r="J139" s="5" t="s">
        <v>16</v>
      </c>
      <c r="K139" s="34" t="str">
        <f>VLOOKUP(I139,[2]stage_hints!$A:$C,3,FALSE)</f>
        <v>「バグ」のメリット</v>
      </c>
      <c r="L139" s="35" t="str">
        <f>VLOOKUP(I139,[2]stage_hints!$A:$D,4,FALSE)</f>
        <v>ユニットの「バグ」を増やすと_x000D_報酬をもらえる確率がアップします</v>
      </c>
      <c r="M139" s="21" t="s">
        <v>23</v>
      </c>
      <c r="N139">
        <v>29</v>
      </c>
    </row>
    <row r="140" spans="1:14" x14ac:dyDescent="0.15">
      <c r="A140" s="26" t="s">
        <v>32</v>
      </c>
      <c r="B140" s="4">
        <v>11105</v>
      </c>
      <c r="C140" s="3" t="str">
        <f ca="1">VLOOKUP($B140,OFFSET([1]quests!$A$1,0,0,COUNTA([1]quests!$A:$A),MATCH(C$1,[1]quests!$1:$1,0)-MATCH($B$1,[1]quests!$1:$1,0)+1),MATCH(C$1,[1]quests!$1:$1,0)-MATCH($B$1,[1]quests!$1:$1,0)+1,FALSE)</f>
        <v>【期間限定】 帽子屋を追え！</v>
      </c>
      <c r="D140" s="3" t="str">
        <f ca="1">VLOOKUP($B140,OFFSET([1]quests!$A$1,0,0,COUNTA([1]quests!$A:$A),MATCH(D$1,[1]quests!$1:$1,0)-MATCH($B$1,[1]quests!$1:$1,0)+1),MATCH(D$1,[1]quests!$1:$1,0)-MATCH($B$1,[1]quests!$1:$1,0)+1,FALSE)</f>
        <v>金曜クエスト</v>
      </c>
      <c r="E140" s="5">
        <v>2</v>
      </c>
      <c r="F140" s="3" t="str">
        <f ca="1">VLOOKUP($B140&amp;"_"&amp;$E140,OFFSET([1]stages!$A$1,0,0,COUNTA([1]stages!$A:$A),MATCH(F$1,[1]stages!$2:$2,0)-MATCH("temp_stage",[1]stages!$2:$2,0)+1),MATCH(F$1,[1]stages!$2:$2,0)-MATCH("temp_stage",[1]stages!$2:$2,0)+1,FALSE)</f>
        <v>【超級】樹の帽子屋</v>
      </c>
      <c r="G140" s="3" t="str">
        <f ca="1">VLOOKUP($B140&amp;"_"&amp;$E140,OFFSET([1]stages!$A$1,0,0,COUNTA([1]stages!$A:$A),MATCH(G$1,[1]stages!$2:$2,0)-MATCH("temp_stage",[1]stages!$2:$2,0)+1),MATCH(G$1,[1]stages!$2:$2,0)-MATCH("temp_stage",[1]stages!$2:$2,0)+1,FALSE)</f>
        <v>金曜クエスト</v>
      </c>
      <c r="H140" s="18">
        <v>0</v>
      </c>
      <c r="I140">
        <v>30</v>
      </c>
      <c r="J140" s="5" t="s">
        <v>16</v>
      </c>
      <c r="K140" s="34" t="str">
        <f>VLOOKUP(I140,[2]stage_hints!$A:$C,3,FALSE)</f>
        <v>「バグ」の増やし方</v>
      </c>
      <c r="L140" s="35" t="str">
        <f>VLOOKUP(I140,[2]stage_hints!$A:$D,4,FALSE)</f>
        <v>同じユニット同士を強化で合成すると_x000D_「バグ」を増やすことができます</v>
      </c>
      <c r="M140" s="21" t="s">
        <v>23</v>
      </c>
      <c r="N140">
        <v>30</v>
      </c>
    </row>
    <row r="141" spans="1:14" x14ac:dyDescent="0.15">
      <c r="A141" s="26" t="s">
        <v>32</v>
      </c>
      <c r="B141" s="4">
        <v>11105</v>
      </c>
      <c r="C141" s="3" t="str">
        <f ca="1">VLOOKUP($B141,OFFSET([1]quests!$A$1,0,0,COUNTA([1]quests!$A:$A),MATCH(C$1,[1]quests!$1:$1,0)-MATCH($B$1,[1]quests!$1:$1,0)+1),MATCH(C$1,[1]quests!$1:$1,0)-MATCH($B$1,[1]quests!$1:$1,0)+1,FALSE)</f>
        <v>【期間限定】 帽子屋を追え！</v>
      </c>
      <c r="D141" s="3" t="str">
        <f ca="1">VLOOKUP($B141,OFFSET([1]quests!$A$1,0,0,COUNTA([1]quests!$A:$A),MATCH(D$1,[1]quests!$1:$1,0)-MATCH($B$1,[1]quests!$1:$1,0)+1),MATCH(D$1,[1]quests!$1:$1,0)-MATCH($B$1,[1]quests!$1:$1,0)+1,FALSE)</f>
        <v>金曜クエスト</v>
      </c>
      <c r="E141" s="5">
        <v>2</v>
      </c>
      <c r="F141" s="3" t="str">
        <f ca="1">VLOOKUP($B141&amp;"_"&amp;$E141,OFFSET([1]stages!$A$1,0,0,COUNTA([1]stages!$A:$A),MATCH(F$1,[1]stages!$2:$2,0)-MATCH("temp_stage",[1]stages!$2:$2,0)+1),MATCH(F$1,[1]stages!$2:$2,0)-MATCH("temp_stage",[1]stages!$2:$2,0)+1,FALSE)</f>
        <v>【超級】樹の帽子屋</v>
      </c>
      <c r="G141" s="3" t="str">
        <f ca="1">VLOOKUP($B141&amp;"_"&amp;$E141,OFFSET([1]stages!$A$1,0,0,COUNTA([1]stages!$A:$A),MATCH(G$1,[1]stages!$2:$2,0)-MATCH("temp_stage",[1]stages!$2:$2,0)+1),MATCH(G$1,[1]stages!$2:$2,0)-MATCH("temp_stage",[1]stages!$2:$2,0)+1,FALSE)</f>
        <v>金曜クエスト</v>
      </c>
      <c r="H141" s="18">
        <v>0</v>
      </c>
      <c r="I141">
        <v>32</v>
      </c>
      <c r="J141" s="5" t="s">
        <v>16</v>
      </c>
      <c r="K141" s="34" t="str">
        <f>VLOOKUP(I141,[2]stage_hints!$A:$C,3,FALSE)</f>
        <v>敵の連続攻撃には</v>
      </c>
      <c r="L141" s="35" t="str">
        <f>VLOOKUP(I141,[2]stage_hints!$A:$D,4,FALSE)</f>
        <v>カウンタースキルを持つユニットがいれば_x000D_ダメージ回数分の反撃ができます</v>
      </c>
      <c r="M141" s="21" t="s">
        <v>23</v>
      </c>
      <c r="N141">
        <v>32</v>
      </c>
    </row>
    <row r="142" spans="1:14" x14ac:dyDescent="0.15">
      <c r="A142" s="26" t="s">
        <v>32</v>
      </c>
      <c r="B142" s="4">
        <v>11105</v>
      </c>
      <c r="C142" s="3" t="str">
        <f ca="1">VLOOKUP($B142,OFFSET([1]quests!$A$1,0,0,COUNTA([1]quests!$A:$A),MATCH(C$1,[1]quests!$1:$1,0)-MATCH($B$1,[1]quests!$1:$1,0)+1),MATCH(C$1,[1]quests!$1:$1,0)-MATCH($B$1,[1]quests!$1:$1,0)+1,FALSE)</f>
        <v>【期間限定】 帽子屋を追え！</v>
      </c>
      <c r="D142" s="3" t="str">
        <f ca="1">VLOOKUP($B142,OFFSET([1]quests!$A$1,0,0,COUNTA([1]quests!$A:$A),MATCH(D$1,[1]quests!$1:$1,0)-MATCH($B$1,[1]quests!$1:$1,0)+1),MATCH(D$1,[1]quests!$1:$1,0)-MATCH($B$1,[1]quests!$1:$1,0)+1,FALSE)</f>
        <v>金曜クエスト</v>
      </c>
      <c r="E142" s="5">
        <v>2</v>
      </c>
      <c r="F142" s="3" t="str">
        <f ca="1">VLOOKUP($B142&amp;"_"&amp;$E142,OFFSET([1]stages!$A$1,0,0,COUNTA([1]stages!$A:$A),MATCH(F$1,[1]stages!$2:$2,0)-MATCH("temp_stage",[1]stages!$2:$2,0)+1),MATCH(F$1,[1]stages!$2:$2,0)-MATCH("temp_stage",[1]stages!$2:$2,0)+1,FALSE)</f>
        <v>【超級】樹の帽子屋</v>
      </c>
      <c r="G142" s="3" t="str">
        <f ca="1">VLOOKUP($B142&amp;"_"&amp;$E142,OFFSET([1]stages!$A$1,0,0,COUNTA([1]stages!$A:$A),MATCH(G$1,[1]stages!$2:$2,0)-MATCH("temp_stage",[1]stages!$2:$2,0)+1),MATCH(G$1,[1]stages!$2:$2,0)-MATCH("temp_stage",[1]stages!$2:$2,0)+1,FALSE)</f>
        <v>金曜クエスト</v>
      </c>
      <c r="H142" s="18">
        <v>0</v>
      </c>
      <c r="I142">
        <v>33</v>
      </c>
      <c r="J142" s="5" t="s">
        <v>16</v>
      </c>
      <c r="K142" s="34" t="str">
        <f>VLOOKUP(I142,[2]stage_hints!$A:$C,3,FALSE)</f>
        <v>敵のカウンター攻撃には</v>
      </c>
      <c r="L142" s="35" t="str">
        <f>VLOOKUP(I142,[2]stage_hints!$A:$D,4,FALSE)</f>
        <v>カウンターブレイクスキルを持っていれば_x000D_敵のカウンターを解除して攻撃ができます</v>
      </c>
      <c r="M142" s="21" t="s">
        <v>23</v>
      </c>
      <c r="N142">
        <v>33</v>
      </c>
    </row>
    <row r="143" spans="1:14" x14ac:dyDescent="0.15">
      <c r="A143" s="26" t="s">
        <v>32</v>
      </c>
      <c r="B143" s="4">
        <v>11105</v>
      </c>
      <c r="C143" s="3" t="str">
        <f ca="1">VLOOKUP($B143,OFFSET([1]quests!$A$1,0,0,COUNTA([1]quests!$A:$A),MATCH(C$1,[1]quests!$1:$1,0)-MATCH($B$1,[1]quests!$1:$1,0)+1),MATCH(C$1,[1]quests!$1:$1,0)-MATCH($B$1,[1]quests!$1:$1,0)+1,FALSE)</f>
        <v>【期間限定】 帽子屋を追え！</v>
      </c>
      <c r="D143" s="3" t="str">
        <f ca="1">VLOOKUP($B143,OFFSET([1]quests!$A$1,0,0,COUNTA([1]quests!$A:$A),MATCH(D$1,[1]quests!$1:$1,0)-MATCH($B$1,[1]quests!$1:$1,0)+1),MATCH(D$1,[1]quests!$1:$1,0)-MATCH($B$1,[1]quests!$1:$1,0)+1,FALSE)</f>
        <v>金曜クエスト</v>
      </c>
      <c r="E143" s="5">
        <v>2</v>
      </c>
      <c r="F143" s="3" t="str">
        <f ca="1">VLOOKUP($B143&amp;"_"&amp;$E143,OFFSET([1]stages!$A$1,0,0,COUNTA([1]stages!$A:$A),MATCH(F$1,[1]stages!$2:$2,0)-MATCH("temp_stage",[1]stages!$2:$2,0)+1),MATCH(F$1,[1]stages!$2:$2,0)-MATCH("temp_stage",[1]stages!$2:$2,0)+1,FALSE)</f>
        <v>【超級】樹の帽子屋</v>
      </c>
      <c r="G143" s="3" t="str">
        <f ca="1">VLOOKUP($B143&amp;"_"&amp;$E143,OFFSET([1]stages!$A$1,0,0,COUNTA([1]stages!$A:$A),MATCH(G$1,[1]stages!$2:$2,0)-MATCH("temp_stage",[1]stages!$2:$2,0)+1),MATCH(G$1,[1]stages!$2:$2,0)-MATCH("temp_stage",[1]stages!$2:$2,0)+1,FALSE)</f>
        <v>金曜クエスト</v>
      </c>
      <c r="H143" s="18">
        <v>0</v>
      </c>
      <c r="I143">
        <v>34</v>
      </c>
      <c r="J143" s="5" t="s">
        <v>16</v>
      </c>
      <c r="K143" s="34" t="str">
        <f>VLOOKUP(I143,[2]stage_hints!$A:$C,3,FALSE)</f>
        <v>ステータスをスキルで下げられたら</v>
      </c>
      <c r="L143" s="35" t="str">
        <f>VLOOKUP(I143,[2]stage_hints!$A:$D,4,FALSE)</f>
        <v>ステータスダウンのスキルを受けたら_x000D_ステータスアップスキルで上書きしましょう</v>
      </c>
      <c r="M143" s="21" t="s">
        <v>23</v>
      </c>
      <c r="N143">
        <v>34</v>
      </c>
    </row>
    <row r="144" spans="1:14" x14ac:dyDescent="0.15">
      <c r="A144" s="26" t="s">
        <v>32</v>
      </c>
      <c r="B144" s="4">
        <v>11105</v>
      </c>
      <c r="C144" s="3" t="str">
        <f ca="1">VLOOKUP($B144,OFFSET([1]quests!$A$1,0,0,COUNTA([1]quests!$A:$A),MATCH(C$1,[1]quests!$1:$1,0)-MATCH($B$1,[1]quests!$1:$1,0)+1),MATCH(C$1,[1]quests!$1:$1,0)-MATCH($B$1,[1]quests!$1:$1,0)+1,FALSE)</f>
        <v>【期間限定】 帽子屋を追え！</v>
      </c>
      <c r="D144" s="3" t="str">
        <f ca="1">VLOOKUP($B144,OFFSET([1]quests!$A$1,0,0,COUNTA([1]quests!$A:$A),MATCH(D$1,[1]quests!$1:$1,0)-MATCH($B$1,[1]quests!$1:$1,0)+1),MATCH(D$1,[1]quests!$1:$1,0)-MATCH($B$1,[1]quests!$1:$1,0)+1,FALSE)</f>
        <v>金曜クエスト</v>
      </c>
      <c r="E144" s="5">
        <v>2</v>
      </c>
      <c r="F144" s="3" t="str">
        <f ca="1">VLOOKUP($B144&amp;"_"&amp;$E144,OFFSET([1]stages!$A$1,0,0,COUNTA([1]stages!$A:$A),MATCH(F$1,[1]stages!$2:$2,0)-MATCH("temp_stage",[1]stages!$2:$2,0)+1),MATCH(F$1,[1]stages!$2:$2,0)-MATCH("temp_stage",[1]stages!$2:$2,0)+1,FALSE)</f>
        <v>【超級】樹の帽子屋</v>
      </c>
      <c r="G144" s="3" t="str">
        <f ca="1">VLOOKUP($B144&amp;"_"&amp;$E144,OFFSET([1]stages!$A$1,0,0,COUNTA([1]stages!$A:$A),MATCH(G$1,[1]stages!$2:$2,0)-MATCH("temp_stage",[1]stages!$2:$2,0)+1),MATCH(G$1,[1]stages!$2:$2,0)-MATCH("temp_stage",[1]stages!$2:$2,0)+1,FALSE)</f>
        <v>金曜クエスト</v>
      </c>
      <c r="H144" s="18">
        <v>0</v>
      </c>
      <c r="I144">
        <v>35</v>
      </c>
      <c r="J144" s="5" t="s">
        <v>16</v>
      </c>
      <c r="K144" s="34" t="str">
        <f>VLOOKUP(I144,[2]stage_hints!$A:$C,3,FALSE)</f>
        <v>敵のステータスがスキルで上がったら</v>
      </c>
      <c r="L144" s="35" t="str">
        <f>VLOOKUP(I144,[2]stage_hints!$A:$D,4,FALSE)</f>
        <v>敵のステータスがスキルでアップしたときは_x000D_ステータスダウンスキルで上書きしましょう</v>
      </c>
      <c r="M144" s="21" t="s">
        <v>23</v>
      </c>
      <c r="N144">
        <v>35</v>
      </c>
    </row>
    <row r="145" spans="1:14" x14ac:dyDescent="0.15">
      <c r="A145" s="26" t="s">
        <v>32</v>
      </c>
      <c r="B145" s="4">
        <v>11105</v>
      </c>
      <c r="C145" s="3" t="str">
        <f ca="1">VLOOKUP($B145,OFFSET([1]quests!$A$1,0,0,COUNTA([1]quests!$A:$A),MATCH(C$1,[1]quests!$1:$1,0)-MATCH($B$1,[1]quests!$1:$1,0)+1),MATCH(C$1,[1]quests!$1:$1,0)-MATCH($B$1,[1]quests!$1:$1,0)+1,FALSE)</f>
        <v>【期間限定】 帽子屋を追え！</v>
      </c>
      <c r="D145" s="3" t="str">
        <f ca="1">VLOOKUP($B145,OFFSET([1]quests!$A$1,0,0,COUNTA([1]quests!$A:$A),MATCH(D$1,[1]quests!$1:$1,0)-MATCH($B$1,[1]quests!$1:$1,0)+1),MATCH(D$1,[1]quests!$1:$1,0)-MATCH($B$1,[1]quests!$1:$1,0)+1,FALSE)</f>
        <v>金曜クエスト</v>
      </c>
      <c r="E145" s="5">
        <v>2</v>
      </c>
      <c r="F145" s="3" t="str">
        <f ca="1">VLOOKUP($B145&amp;"_"&amp;$E145,OFFSET([1]stages!$A$1,0,0,COUNTA([1]stages!$A:$A),MATCH(F$1,[1]stages!$2:$2,0)-MATCH("temp_stage",[1]stages!$2:$2,0)+1),MATCH(F$1,[1]stages!$2:$2,0)-MATCH("temp_stage",[1]stages!$2:$2,0)+1,FALSE)</f>
        <v>【超級】樹の帽子屋</v>
      </c>
      <c r="G145" s="3" t="str">
        <f ca="1">VLOOKUP($B145&amp;"_"&amp;$E145,OFFSET([1]stages!$A$1,0,0,COUNTA([1]stages!$A:$A),MATCH(G$1,[1]stages!$2:$2,0)-MATCH("temp_stage",[1]stages!$2:$2,0)+1),MATCH(G$1,[1]stages!$2:$2,0)-MATCH("temp_stage",[1]stages!$2:$2,0)+1,FALSE)</f>
        <v>金曜クエスト</v>
      </c>
      <c r="H145" s="18">
        <v>0</v>
      </c>
      <c r="I145">
        <v>36</v>
      </c>
      <c r="J145" s="5" t="s">
        <v>16</v>
      </c>
      <c r="K145" s="34" t="str">
        <f>VLOOKUP(I145,[2]stage_hints!$A:$C,3,FALSE)</f>
        <v>タワーオブザクイーンのボス</v>
      </c>
      <c r="L145" s="35" t="str">
        <f>VLOOKUP(I145,[2]stage_hints!$A:$D,4,FALSE)</f>
        <v>「タワーオブザクイーン」最上階のボスは_x000D_15階の初回クリア報酬で獲得できるほか_x000D_その階にて低確率でドロップもします</v>
      </c>
      <c r="M145" s="21" t="s">
        <v>23</v>
      </c>
      <c r="N145">
        <v>36</v>
      </c>
    </row>
    <row r="146" spans="1:14" x14ac:dyDescent="0.15">
      <c r="A146" s="26" t="s">
        <v>32</v>
      </c>
      <c r="B146" s="4">
        <v>11105</v>
      </c>
      <c r="C146" s="3" t="str">
        <f ca="1">VLOOKUP($B146,OFFSET([1]quests!$A$1,0,0,COUNTA([1]quests!$A:$A),MATCH(C$1,[1]quests!$1:$1,0)-MATCH($B$1,[1]quests!$1:$1,0)+1),MATCH(C$1,[1]quests!$1:$1,0)-MATCH($B$1,[1]quests!$1:$1,0)+1,FALSE)</f>
        <v>【期間限定】 帽子屋を追え！</v>
      </c>
      <c r="D146" s="3" t="str">
        <f ca="1">VLOOKUP($B146,OFFSET([1]quests!$A$1,0,0,COUNTA([1]quests!$A:$A),MATCH(D$1,[1]quests!$1:$1,0)-MATCH($B$1,[1]quests!$1:$1,0)+1),MATCH(D$1,[1]quests!$1:$1,0)-MATCH($B$1,[1]quests!$1:$1,0)+1,FALSE)</f>
        <v>金曜クエスト</v>
      </c>
      <c r="E146" s="5">
        <v>2</v>
      </c>
      <c r="F146" s="3" t="str">
        <f ca="1">VLOOKUP($B146&amp;"_"&amp;$E146,OFFSET([1]stages!$A$1,0,0,COUNTA([1]stages!$A:$A),MATCH(F$1,[1]stages!$2:$2,0)-MATCH("temp_stage",[1]stages!$2:$2,0)+1),MATCH(F$1,[1]stages!$2:$2,0)-MATCH("temp_stage",[1]stages!$2:$2,0)+1,FALSE)</f>
        <v>【超級】樹の帽子屋</v>
      </c>
      <c r="G146" s="3" t="str">
        <f ca="1">VLOOKUP($B146&amp;"_"&amp;$E146,OFFSET([1]stages!$A$1,0,0,COUNTA([1]stages!$A:$A),MATCH(G$1,[1]stages!$2:$2,0)-MATCH("temp_stage",[1]stages!$2:$2,0)+1),MATCH(G$1,[1]stages!$2:$2,0)-MATCH("temp_stage",[1]stages!$2:$2,0)+1,FALSE)</f>
        <v>金曜クエスト</v>
      </c>
      <c r="H146" s="18">
        <v>0</v>
      </c>
      <c r="I146">
        <v>37</v>
      </c>
      <c r="J146" s="5" t="s">
        <v>16</v>
      </c>
      <c r="K146" s="34" t="str">
        <f>VLOOKUP(I146,[2]stage_hints!$A:$C,3,FALSE)</f>
        <v>限界突破値の引き継ぎ</v>
      </c>
      <c r="L146" s="35" t="str">
        <f>VLOOKUP(I146,[2]stage_hints!$A:$D,4,FALSE)</f>
        <v>同じユニットを強化で合成すると_x000D_限界突破値を引き継げます（覚醒前後も可）</v>
      </c>
      <c r="M146" s="21" t="s">
        <v>23</v>
      </c>
      <c r="N146">
        <v>37</v>
      </c>
    </row>
    <row r="147" spans="1:14" x14ac:dyDescent="0.15">
      <c r="A147" s="26" t="s">
        <v>32</v>
      </c>
      <c r="B147" s="4">
        <v>11105</v>
      </c>
      <c r="C147" s="3" t="str">
        <f ca="1">VLOOKUP($B147,OFFSET([1]quests!$A$1,0,0,COUNTA([1]quests!$A:$A),MATCH(C$1,[1]quests!$1:$1,0)-MATCH($B$1,[1]quests!$1:$1,0)+1),MATCH(C$1,[1]quests!$1:$1,0)-MATCH($B$1,[1]quests!$1:$1,0)+1,FALSE)</f>
        <v>【期間限定】 帽子屋を追え！</v>
      </c>
      <c r="D147" s="3" t="str">
        <f ca="1">VLOOKUP($B147,OFFSET([1]quests!$A$1,0,0,COUNTA([1]quests!$A:$A),MATCH(D$1,[1]quests!$1:$1,0)-MATCH($B$1,[1]quests!$1:$1,0)+1),MATCH(D$1,[1]quests!$1:$1,0)-MATCH($B$1,[1]quests!$1:$1,0)+1,FALSE)</f>
        <v>金曜クエスト</v>
      </c>
      <c r="E147" s="5">
        <v>3</v>
      </c>
      <c r="F147" s="3" t="str">
        <f ca="1">VLOOKUP($B147&amp;"_"&amp;$E147,OFFSET([1]stages!$A$1,0,0,COUNTA([1]stages!$A:$A),MATCH(F$1,[1]stages!$2:$2,0)-MATCH("temp_stage",[1]stages!$2:$2,0)+1),MATCH(F$1,[1]stages!$2:$2,0)-MATCH("temp_stage",[1]stages!$2:$2,0)+1,FALSE)</f>
        <v xml:space="preserve">【超級】水の帽子屋 </v>
      </c>
      <c r="G147" s="3" t="str">
        <f ca="1">VLOOKUP($B147&amp;"_"&amp;$E147,OFFSET([1]stages!$A$1,0,0,COUNTA([1]stages!$A:$A),MATCH(G$1,[1]stages!$2:$2,0)-MATCH("temp_stage",[1]stages!$2:$2,0)+1),MATCH(G$1,[1]stages!$2:$2,0)-MATCH("temp_stage",[1]stages!$2:$2,0)+1,FALSE)</f>
        <v>金曜クエスト</v>
      </c>
      <c r="H147" s="18">
        <v>0</v>
      </c>
      <c r="I147">
        <v>12</v>
      </c>
      <c r="J147" s="5" t="s">
        <v>16</v>
      </c>
      <c r="K147" s="34" t="str">
        <f>VLOOKUP(I147,[2]stage_hints!$A:$C,3,FALSE)</f>
        <v>ユニットのお気に入り登録</v>
      </c>
      <c r="L147" s="35" t="str">
        <f>VLOOKUP(I147,[2]stage_hints!$A:$D,4,FALSE)</f>
        <v>大事なユニットを誤って消さないように_x000D_フォルダから「お気に入り登録」しましょう</v>
      </c>
      <c r="M147" s="21" t="s">
        <v>23</v>
      </c>
      <c r="N147">
        <v>12</v>
      </c>
    </row>
    <row r="148" spans="1:14" x14ac:dyDescent="0.15">
      <c r="A148" s="26" t="s">
        <v>32</v>
      </c>
      <c r="B148" s="4">
        <v>11105</v>
      </c>
      <c r="C148" s="3" t="str">
        <f ca="1">VLOOKUP($B148,OFFSET([1]quests!$A$1,0,0,COUNTA([1]quests!$A:$A),MATCH(C$1,[1]quests!$1:$1,0)-MATCH($B$1,[1]quests!$1:$1,0)+1),MATCH(C$1,[1]quests!$1:$1,0)-MATCH($B$1,[1]quests!$1:$1,0)+1,FALSE)</f>
        <v>【期間限定】 帽子屋を追え！</v>
      </c>
      <c r="D148" s="3" t="str">
        <f ca="1">VLOOKUP($B148,OFFSET([1]quests!$A$1,0,0,COUNTA([1]quests!$A:$A),MATCH(D$1,[1]quests!$1:$1,0)-MATCH($B$1,[1]quests!$1:$1,0)+1),MATCH(D$1,[1]quests!$1:$1,0)-MATCH($B$1,[1]quests!$1:$1,0)+1,FALSE)</f>
        <v>金曜クエスト</v>
      </c>
      <c r="E148" s="5">
        <v>3</v>
      </c>
      <c r="F148" s="3" t="str">
        <f ca="1">VLOOKUP($B148&amp;"_"&amp;$E148,OFFSET([1]stages!$A$1,0,0,COUNTA([1]stages!$A:$A),MATCH(F$1,[1]stages!$2:$2,0)-MATCH("temp_stage",[1]stages!$2:$2,0)+1),MATCH(F$1,[1]stages!$2:$2,0)-MATCH("temp_stage",[1]stages!$2:$2,0)+1,FALSE)</f>
        <v xml:space="preserve">【超級】水の帽子屋 </v>
      </c>
      <c r="G148" s="3" t="str">
        <f ca="1">VLOOKUP($B148&amp;"_"&amp;$E148,OFFSET([1]stages!$A$1,0,0,COUNTA([1]stages!$A:$A),MATCH(G$1,[1]stages!$2:$2,0)-MATCH("temp_stage",[1]stages!$2:$2,0)+1),MATCH(G$1,[1]stages!$2:$2,0)-MATCH("temp_stage",[1]stages!$2:$2,0)+1,FALSE)</f>
        <v>金曜クエスト</v>
      </c>
      <c r="H148" s="18">
        <v>0</v>
      </c>
      <c r="I148">
        <v>17</v>
      </c>
      <c r="J148" s="5" t="s">
        <v>16</v>
      </c>
      <c r="K148" s="34" t="str">
        <f>VLOOKUP(I148,[2]stage_hints!$A:$C,3,FALSE)</f>
        <v>リンクガチャ</v>
      </c>
      <c r="L148" s="35" t="str">
        <f>VLOOKUP(I148,[2]stage_hints!$A:$D,4,FALSE)</f>
        <v>無料のリンクガチャを回して_x000D_経験値素材や売却素材を獲得しましょう</v>
      </c>
      <c r="M148" s="21" t="s">
        <v>23</v>
      </c>
      <c r="N148">
        <v>17</v>
      </c>
    </row>
    <row r="149" spans="1:14" x14ac:dyDescent="0.15">
      <c r="A149" s="26" t="s">
        <v>32</v>
      </c>
      <c r="B149" s="4">
        <v>11105</v>
      </c>
      <c r="C149" s="3" t="str">
        <f ca="1">VLOOKUP($B149,OFFSET([1]quests!$A$1,0,0,COUNTA([1]quests!$A:$A),MATCH(C$1,[1]quests!$1:$1,0)-MATCH($B$1,[1]quests!$1:$1,0)+1),MATCH(C$1,[1]quests!$1:$1,0)-MATCH($B$1,[1]quests!$1:$1,0)+1,FALSE)</f>
        <v>【期間限定】 帽子屋を追え！</v>
      </c>
      <c r="D149" s="3" t="str">
        <f ca="1">VLOOKUP($B149,OFFSET([1]quests!$A$1,0,0,COUNTA([1]quests!$A:$A),MATCH(D$1,[1]quests!$1:$1,0)-MATCH($B$1,[1]quests!$1:$1,0)+1),MATCH(D$1,[1]quests!$1:$1,0)-MATCH($B$1,[1]quests!$1:$1,0)+1,FALSE)</f>
        <v>金曜クエスト</v>
      </c>
      <c r="E149" s="5">
        <v>3</v>
      </c>
      <c r="F149" s="3" t="str">
        <f ca="1">VLOOKUP($B149&amp;"_"&amp;$E149,OFFSET([1]stages!$A$1,0,0,COUNTA([1]stages!$A:$A),MATCH(F$1,[1]stages!$2:$2,0)-MATCH("temp_stage",[1]stages!$2:$2,0)+1),MATCH(F$1,[1]stages!$2:$2,0)-MATCH("temp_stage",[1]stages!$2:$2,0)+1,FALSE)</f>
        <v xml:space="preserve">【超級】水の帽子屋 </v>
      </c>
      <c r="G149" s="3" t="str">
        <f ca="1">VLOOKUP($B149&amp;"_"&amp;$E149,OFFSET([1]stages!$A$1,0,0,COUNTA([1]stages!$A:$A),MATCH(G$1,[1]stages!$2:$2,0)-MATCH("temp_stage",[1]stages!$2:$2,0)+1),MATCH(G$1,[1]stages!$2:$2,0)-MATCH("temp_stage",[1]stages!$2:$2,0)+1,FALSE)</f>
        <v>金曜クエスト</v>
      </c>
      <c r="H149" s="18">
        <v>0</v>
      </c>
      <c r="I149">
        <v>19</v>
      </c>
      <c r="J149" s="5" t="s">
        <v>16</v>
      </c>
      <c r="K149" s="34" t="str">
        <f>VLOOKUP(I149,[2]stage_hints!$A:$C,3,FALSE)</f>
        <v>ソロ専用タワーオブザクイーン</v>
      </c>
      <c r="L149" s="35" t="str">
        <f>VLOOKUP(I149,[2]stage_hints!$A:$D,4,FALSE)</f>
        <v>ソロ専用の「タワーオブザクイーン」は_x000D_期間限定で定期的に開催されます_x000D_ここでしか獲得できない報酬もあるようです</v>
      </c>
      <c r="M149" s="21" t="s">
        <v>23</v>
      </c>
      <c r="N149">
        <v>19</v>
      </c>
    </row>
    <row r="150" spans="1:14" x14ac:dyDescent="0.15">
      <c r="A150" s="26" t="s">
        <v>32</v>
      </c>
      <c r="B150" s="4">
        <v>11105</v>
      </c>
      <c r="C150" s="3" t="str">
        <f ca="1">VLOOKUP($B150,OFFSET([1]quests!$A$1,0,0,COUNTA([1]quests!$A:$A),MATCH(C$1,[1]quests!$1:$1,0)-MATCH($B$1,[1]quests!$1:$1,0)+1),MATCH(C$1,[1]quests!$1:$1,0)-MATCH($B$1,[1]quests!$1:$1,0)+1,FALSE)</f>
        <v>【期間限定】 帽子屋を追え！</v>
      </c>
      <c r="D150" s="3" t="str">
        <f ca="1">VLOOKUP($B150,OFFSET([1]quests!$A$1,0,0,COUNTA([1]quests!$A:$A),MATCH(D$1,[1]quests!$1:$1,0)-MATCH($B$1,[1]quests!$1:$1,0)+1),MATCH(D$1,[1]quests!$1:$1,0)-MATCH($B$1,[1]quests!$1:$1,0)+1,FALSE)</f>
        <v>金曜クエスト</v>
      </c>
      <c r="E150" s="5">
        <v>3</v>
      </c>
      <c r="F150" s="3" t="str">
        <f ca="1">VLOOKUP($B150&amp;"_"&amp;$E150,OFFSET([1]stages!$A$1,0,0,COUNTA([1]stages!$A:$A),MATCH(F$1,[1]stages!$2:$2,0)-MATCH("temp_stage",[1]stages!$2:$2,0)+1),MATCH(F$1,[1]stages!$2:$2,0)-MATCH("temp_stage",[1]stages!$2:$2,0)+1,FALSE)</f>
        <v xml:space="preserve">【超級】水の帽子屋 </v>
      </c>
      <c r="G150" s="3" t="str">
        <f ca="1">VLOOKUP($B150&amp;"_"&amp;$E150,OFFSET([1]stages!$A$1,0,0,COUNTA([1]stages!$A:$A),MATCH(G$1,[1]stages!$2:$2,0)-MATCH("temp_stage",[1]stages!$2:$2,0)+1),MATCH(G$1,[1]stages!$2:$2,0)-MATCH("temp_stage",[1]stages!$2:$2,0)+1,FALSE)</f>
        <v>金曜クエスト</v>
      </c>
      <c r="H150" s="18">
        <v>0</v>
      </c>
      <c r="I150">
        <v>21</v>
      </c>
      <c r="J150" s="5" t="s">
        <v>16</v>
      </c>
      <c r="K150" s="34" t="str">
        <f>VLOOKUP(I150,[2]stage_hints!$A:$C,3,FALSE)</f>
        <v>スキルを有効に</v>
      </c>
      <c r="L150" s="35" t="str">
        <f>VLOOKUP(I150,[2]stage_hints!$A:$D,4,FALSE)</f>
        <v>ターン経過でユニットのスキルが使えます_x000D_強力スキルでバトルを有利に進めましょう</v>
      </c>
      <c r="M150" s="21" t="s">
        <v>23</v>
      </c>
      <c r="N150">
        <v>21</v>
      </c>
    </row>
    <row r="151" spans="1:14" x14ac:dyDescent="0.15">
      <c r="A151" s="26" t="s">
        <v>32</v>
      </c>
      <c r="B151" s="4">
        <v>11105</v>
      </c>
      <c r="C151" s="3" t="str">
        <f ca="1">VLOOKUP($B151,OFFSET([1]quests!$A$1,0,0,COUNTA([1]quests!$A:$A),MATCH(C$1,[1]quests!$1:$1,0)-MATCH($B$1,[1]quests!$1:$1,0)+1),MATCH(C$1,[1]quests!$1:$1,0)-MATCH($B$1,[1]quests!$1:$1,0)+1,FALSE)</f>
        <v>【期間限定】 帽子屋を追え！</v>
      </c>
      <c r="D151" s="3" t="str">
        <f ca="1">VLOOKUP($B151,OFFSET([1]quests!$A$1,0,0,COUNTA([1]quests!$A:$A),MATCH(D$1,[1]quests!$1:$1,0)-MATCH($B$1,[1]quests!$1:$1,0)+1),MATCH(D$1,[1]quests!$1:$1,0)-MATCH($B$1,[1]quests!$1:$1,0)+1,FALSE)</f>
        <v>金曜クエスト</v>
      </c>
      <c r="E151" s="5">
        <v>3</v>
      </c>
      <c r="F151" s="3" t="str">
        <f ca="1">VLOOKUP($B151&amp;"_"&amp;$E151,OFFSET([1]stages!$A$1,0,0,COUNTA([1]stages!$A:$A),MATCH(F$1,[1]stages!$2:$2,0)-MATCH("temp_stage",[1]stages!$2:$2,0)+1),MATCH(F$1,[1]stages!$2:$2,0)-MATCH("temp_stage",[1]stages!$2:$2,0)+1,FALSE)</f>
        <v xml:space="preserve">【超級】水の帽子屋 </v>
      </c>
      <c r="G151" s="3" t="str">
        <f ca="1">VLOOKUP($B151&amp;"_"&amp;$E151,OFFSET([1]stages!$A$1,0,0,COUNTA([1]stages!$A:$A),MATCH(G$1,[1]stages!$2:$2,0)-MATCH("temp_stage",[1]stages!$2:$2,0)+1),MATCH(G$1,[1]stages!$2:$2,0)-MATCH("temp_stage",[1]stages!$2:$2,0)+1,FALSE)</f>
        <v>金曜クエスト</v>
      </c>
      <c r="H151" s="18">
        <v>0</v>
      </c>
      <c r="I151">
        <v>27</v>
      </c>
      <c r="J151" s="5" t="s">
        <v>16</v>
      </c>
      <c r="K151" s="34" t="str">
        <f>VLOOKUP(I151,[2]stage_hints!$A:$C,3,FALSE)</f>
        <v>ホーム画面からデッキを編成</v>
      </c>
      <c r="L151" s="35" t="str">
        <f>VLOOKUP(I151,[2]stage_hints!$A:$D,4,FALSE)</f>
        <v>ホーム画面でユニットを長押しすると_x000D_すぐにパーティ編成に移動できます</v>
      </c>
      <c r="M151" s="21" t="s">
        <v>23</v>
      </c>
      <c r="N151">
        <v>27</v>
      </c>
    </row>
    <row r="152" spans="1:14" x14ac:dyDescent="0.15">
      <c r="A152" s="26" t="s">
        <v>32</v>
      </c>
      <c r="B152" s="4">
        <v>11105</v>
      </c>
      <c r="C152" s="3" t="str">
        <f ca="1">VLOOKUP($B152,OFFSET([1]quests!$A$1,0,0,COUNTA([1]quests!$A:$A),MATCH(C$1,[1]quests!$1:$1,0)-MATCH($B$1,[1]quests!$1:$1,0)+1),MATCH(C$1,[1]quests!$1:$1,0)-MATCH($B$1,[1]quests!$1:$1,0)+1,FALSE)</f>
        <v>【期間限定】 帽子屋を追え！</v>
      </c>
      <c r="D152" s="3" t="str">
        <f ca="1">VLOOKUP($B152,OFFSET([1]quests!$A$1,0,0,COUNTA([1]quests!$A:$A),MATCH(D$1,[1]quests!$1:$1,0)-MATCH($B$1,[1]quests!$1:$1,0)+1),MATCH(D$1,[1]quests!$1:$1,0)-MATCH($B$1,[1]quests!$1:$1,0)+1,FALSE)</f>
        <v>金曜クエスト</v>
      </c>
      <c r="E152" s="5">
        <v>3</v>
      </c>
      <c r="F152" s="3" t="str">
        <f ca="1">VLOOKUP($B152&amp;"_"&amp;$E152,OFFSET([1]stages!$A$1,0,0,COUNTA([1]stages!$A:$A),MATCH(F$1,[1]stages!$2:$2,0)-MATCH("temp_stage",[1]stages!$2:$2,0)+1),MATCH(F$1,[1]stages!$2:$2,0)-MATCH("temp_stage",[1]stages!$2:$2,0)+1,FALSE)</f>
        <v xml:space="preserve">【超級】水の帽子屋 </v>
      </c>
      <c r="G152" s="3" t="str">
        <f ca="1">VLOOKUP($B152&amp;"_"&amp;$E152,OFFSET([1]stages!$A$1,0,0,COUNTA([1]stages!$A:$A),MATCH(G$1,[1]stages!$2:$2,0)-MATCH("temp_stage",[1]stages!$2:$2,0)+1),MATCH(G$1,[1]stages!$2:$2,0)-MATCH("temp_stage",[1]stages!$2:$2,0)+1,FALSE)</f>
        <v>金曜クエスト</v>
      </c>
      <c r="H152" s="18">
        <v>0</v>
      </c>
      <c r="I152">
        <v>28</v>
      </c>
      <c r="J152" s="5" t="s">
        <v>16</v>
      </c>
      <c r="K152" s="34" t="str">
        <f>VLOOKUP(I152,[2]stage_hints!$A:$C,3,FALSE)</f>
        <v>ステータス情報は長押しで</v>
      </c>
      <c r="L152" s="35" t="str">
        <f>VLOOKUP(I152,[2]stage_hints!$A:$D,4,FALSE)</f>
        <v>ユニットのアイコンを長押しすると_x000D_ステータス情報を確認することができます</v>
      </c>
      <c r="M152" s="21" t="s">
        <v>23</v>
      </c>
      <c r="N152">
        <v>28</v>
      </c>
    </row>
    <row r="153" spans="1:14" x14ac:dyDescent="0.15">
      <c r="A153" s="26" t="s">
        <v>32</v>
      </c>
      <c r="B153" s="4">
        <v>11105</v>
      </c>
      <c r="C153" s="3" t="str">
        <f ca="1">VLOOKUP($B153,OFFSET([1]quests!$A$1,0,0,COUNTA([1]quests!$A:$A),MATCH(C$1,[1]quests!$1:$1,0)-MATCH($B$1,[1]quests!$1:$1,0)+1),MATCH(C$1,[1]quests!$1:$1,0)-MATCH($B$1,[1]quests!$1:$1,0)+1,FALSE)</f>
        <v>【期間限定】 帽子屋を追え！</v>
      </c>
      <c r="D153" s="3" t="str">
        <f ca="1">VLOOKUP($B153,OFFSET([1]quests!$A$1,0,0,COUNTA([1]quests!$A:$A),MATCH(D$1,[1]quests!$1:$1,0)-MATCH($B$1,[1]quests!$1:$1,0)+1),MATCH(D$1,[1]quests!$1:$1,0)-MATCH($B$1,[1]quests!$1:$1,0)+1,FALSE)</f>
        <v>金曜クエスト</v>
      </c>
      <c r="E153" s="5">
        <v>3</v>
      </c>
      <c r="F153" s="3" t="str">
        <f ca="1">VLOOKUP($B153&amp;"_"&amp;$E153,OFFSET([1]stages!$A$1,0,0,COUNTA([1]stages!$A:$A),MATCH(F$1,[1]stages!$2:$2,0)-MATCH("temp_stage",[1]stages!$2:$2,0)+1),MATCH(F$1,[1]stages!$2:$2,0)-MATCH("temp_stage",[1]stages!$2:$2,0)+1,FALSE)</f>
        <v xml:space="preserve">【超級】水の帽子屋 </v>
      </c>
      <c r="G153" s="3" t="str">
        <f ca="1">VLOOKUP($B153&amp;"_"&amp;$E153,OFFSET([1]stages!$A$1,0,0,COUNTA([1]stages!$A:$A),MATCH(G$1,[1]stages!$2:$2,0)-MATCH("temp_stage",[1]stages!$2:$2,0)+1),MATCH(G$1,[1]stages!$2:$2,0)-MATCH("temp_stage",[1]stages!$2:$2,0)+1,FALSE)</f>
        <v>金曜クエスト</v>
      </c>
      <c r="H153" s="18">
        <v>0</v>
      </c>
      <c r="I153">
        <v>29</v>
      </c>
      <c r="J153" s="5" t="s">
        <v>16</v>
      </c>
      <c r="K153" s="34" t="str">
        <f>VLOOKUP(I153,[2]stage_hints!$A:$C,3,FALSE)</f>
        <v>「バグ」のメリット</v>
      </c>
      <c r="L153" s="35" t="str">
        <f>VLOOKUP(I153,[2]stage_hints!$A:$D,4,FALSE)</f>
        <v>ユニットの「バグ」を増やすと_x000D_報酬をもらえる確率がアップします</v>
      </c>
      <c r="M153" s="21" t="s">
        <v>23</v>
      </c>
      <c r="N153">
        <v>29</v>
      </c>
    </row>
    <row r="154" spans="1:14" x14ac:dyDescent="0.15">
      <c r="A154" s="26" t="s">
        <v>32</v>
      </c>
      <c r="B154" s="4">
        <v>11105</v>
      </c>
      <c r="C154" s="3" t="str">
        <f ca="1">VLOOKUP($B154,OFFSET([1]quests!$A$1,0,0,COUNTA([1]quests!$A:$A),MATCH(C$1,[1]quests!$1:$1,0)-MATCH($B$1,[1]quests!$1:$1,0)+1),MATCH(C$1,[1]quests!$1:$1,0)-MATCH($B$1,[1]quests!$1:$1,0)+1,FALSE)</f>
        <v>【期間限定】 帽子屋を追え！</v>
      </c>
      <c r="D154" s="3" t="str">
        <f ca="1">VLOOKUP($B154,OFFSET([1]quests!$A$1,0,0,COUNTA([1]quests!$A:$A),MATCH(D$1,[1]quests!$1:$1,0)-MATCH($B$1,[1]quests!$1:$1,0)+1),MATCH(D$1,[1]quests!$1:$1,0)-MATCH($B$1,[1]quests!$1:$1,0)+1,FALSE)</f>
        <v>金曜クエスト</v>
      </c>
      <c r="E154" s="5">
        <v>3</v>
      </c>
      <c r="F154" s="3" t="str">
        <f ca="1">VLOOKUP($B154&amp;"_"&amp;$E154,OFFSET([1]stages!$A$1,0,0,COUNTA([1]stages!$A:$A),MATCH(F$1,[1]stages!$2:$2,0)-MATCH("temp_stage",[1]stages!$2:$2,0)+1),MATCH(F$1,[1]stages!$2:$2,0)-MATCH("temp_stage",[1]stages!$2:$2,0)+1,FALSE)</f>
        <v xml:space="preserve">【超級】水の帽子屋 </v>
      </c>
      <c r="G154" s="3" t="str">
        <f ca="1">VLOOKUP($B154&amp;"_"&amp;$E154,OFFSET([1]stages!$A$1,0,0,COUNTA([1]stages!$A:$A),MATCH(G$1,[1]stages!$2:$2,0)-MATCH("temp_stage",[1]stages!$2:$2,0)+1),MATCH(G$1,[1]stages!$2:$2,0)-MATCH("temp_stage",[1]stages!$2:$2,0)+1,FALSE)</f>
        <v>金曜クエスト</v>
      </c>
      <c r="H154" s="18">
        <v>0</v>
      </c>
      <c r="I154">
        <v>30</v>
      </c>
      <c r="J154" s="5" t="s">
        <v>16</v>
      </c>
      <c r="K154" s="34" t="str">
        <f>VLOOKUP(I154,[2]stage_hints!$A:$C,3,FALSE)</f>
        <v>「バグ」の増やし方</v>
      </c>
      <c r="L154" s="35" t="str">
        <f>VLOOKUP(I154,[2]stage_hints!$A:$D,4,FALSE)</f>
        <v>同じユニット同士を強化で合成すると_x000D_「バグ」を増やすことができます</v>
      </c>
      <c r="M154" s="21" t="s">
        <v>23</v>
      </c>
      <c r="N154">
        <v>30</v>
      </c>
    </row>
    <row r="155" spans="1:14" x14ac:dyDescent="0.15">
      <c r="A155" s="26" t="s">
        <v>32</v>
      </c>
      <c r="B155" s="4">
        <v>11105</v>
      </c>
      <c r="C155" s="3" t="str">
        <f ca="1">VLOOKUP($B155,OFFSET([1]quests!$A$1,0,0,COUNTA([1]quests!$A:$A),MATCH(C$1,[1]quests!$1:$1,0)-MATCH($B$1,[1]quests!$1:$1,0)+1),MATCH(C$1,[1]quests!$1:$1,0)-MATCH($B$1,[1]quests!$1:$1,0)+1,FALSE)</f>
        <v>【期間限定】 帽子屋を追え！</v>
      </c>
      <c r="D155" s="3" t="str">
        <f ca="1">VLOOKUP($B155,OFFSET([1]quests!$A$1,0,0,COUNTA([1]quests!$A:$A),MATCH(D$1,[1]quests!$1:$1,0)-MATCH($B$1,[1]quests!$1:$1,0)+1),MATCH(D$1,[1]quests!$1:$1,0)-MATCH($B$1,[1]quests!$1:$1,0)+1,FALSE)</f>
        <v>金曜クエスト</v>
      </c>
      <c r="E155" s="5">
        <v>3</v>
      </c>
      <c r="F155" s="3" t="str">
        <f ca="1">VLOOKUP($B155&amp;"_"&amp;$E155,OFFSET([1]stages!$A$1,0,0,COUNTA([1]stages!$A:$A),MATCH(F$1,[1]stages!$2:$2,0)-MATCH("temp_stage",[1]stages!$2:$2,0)+1),MATCH(F$1,[1]stages!$2:$2,0)-MATCH("temp_stage",[1]stages!$2:$2,0)+1,FALSE)</f>
        <v xml:space="preserve">【超級】水の帽子屋 </v>
      </c>
      <c r="G155" s="3" t="str">
        <f ca="1">VLOOKUP($B155&amp;"_"&amp;$E155,OFFSET([1]stages!$A$1,0,0,COUNTA([1]stages!$A:$A),MATCH(G$1,[1]stages!$2:$2,0)-MATCH("temp_stage",[1]stages!$2:$2,0)+1),MATCH(G$1,[1]stages!$2:$2,0)-MATCH("temp_stage",[1]stages!$2:$2,0)+1,FALSE)</f>
        <v>金曜クエスト</v>
      </c>
      <c r="H155" s="18">
        <v>0</v>
      </c>
      <c r="I155">
        <v>32</v>
      </c>
      <c r="J155" s="5" t="s">
        <v>16</v>
      </c>
      <c r="K155" s="34" t="str">
        <f>VLOOKUP(I155,[2]stage_hints!$A:$C,3,FALSE)</f>
        <v>敵の連続攻撃には</v>
      </c>
      <c r="L155" s="35" t="str">
        <f>VLOOKUP(I155,[2]stage_hints!$A:$D,4,FALSE)</f>
        <v>カウンタースキルを持つユニットがいれば_x000D_ダメージ回数分の反撃ができます</v>
      </c>
      <c r="M155" s="21" t="s">
        <v>23</v>
      </c>
      <c r="N155">
        <v>32</v>
      </c>
    </row>
    <row r="156" spans="1:14" x14ac:dyDescent="0.15">
      <c r="A156" s="26" t="s">
        <v>32</v>
      </c>
      <c r="B156" s="4">
        <v>11105</v>
      </c>
      <c r="C156" s="3" t="str">
        <f ca="1">VLOOKUP($B156,OFFSET([1]quests!$A$1,0,0,COUNTA([1]quests!$A:$A),MATCH(C$1,[1]quests!$1:$1,0)-MATCH($B$1,[1]quests!$1:$1,0)+1),MATCH(C$1,[1]quests!$1:$1,0)-MATCH($B$1,[1]quests!$1:$1,0)+1,FALSE)</f>
        <v>【期間限定】 帽子屋を追え！</v>
      </c>
      <c r="D156" s="3" t="str">
        <f ca="1">VLOOKUP($B156,OFFSET([1]quests!$A$1,0,0,COUNTA([1]quests!$A:$A),MATCH(D$1,[1]quests!$1:$1,0)-MATCH($B$1,[1]quests!$1:$1,0)+1),MATCH(D$1,[1]quests!$1:$1,0)-MATCH($B$1,[1]quests!$1:$1,0)+1,FALSE)</f>
        <v>金曜クエスト</v>
      </c>
      <c r="E156" s="5">
        <v>3</v>
      </c>
      <c r="F156" s="3" t="str">
        <f ca="1">VLOOKUP($B156&amp;"_"&amp;$E156,OFFSET([1]stages!$A$1,0,0,COUNTA([1]stages!$A:$A),MATCH(F$1,[1]stages!$2:$2,0)-MATCH("temp_stage",[1]stages!$2:$2,0)+1),MATCH(F$1,[1]stages!$2:$2,0)-MATCH("temp_stage",[1]stages!$2:$2,0)+1,FALSE)</f>
        <v xml:space="preserve">【超級】水の帽子屋 </v>
      </c>
      <c r="G156" s="3" t="str">
        <f ca="1">VLOOKUP($B156&amp;"_"&amp;$E156,OFFSET([1]stages!$A$1,0,0,COUNTA([1]stages!$A:$A),MATCH(G$1,[1]stages!$2:$2,0)-MATCH("temp_stage",[1]stages!$2:$2,0)+1),MATCH(G$1,[1]stages!$2:$2,0)-MATCH("temp_stage",[1]stages!$2:$2,0)+1,FALSE)</f>
        <v>金曜クエスト</v>
      </c>
      <c r="H156" s="18">
        <v>0</v>
      </c>
      <c r="I156">
        <v>33</v>
      </c>
      <c r="J156" s="5" t="s">
        <v>16</v>
      </c>
      <c r="K156" s="34" t="str">
        <f>VLOOKUP(I156,[2]stage_hints!$A:$C,3,FALSE)</f>
        <v>敵のカウンター攻撃には</v>
      </c>
      <c r="L156" s="35" t="str">
        <f>VLOOKUP(I156,[2]stage_hints!$A:$D,4,FALSE)</f>
        <v>カウンターブレイクスキルを持っていれば_x000D_敵のカウンターを解除して攻撃ができます</v>
      </c>
      <c r="M156" s="21" t="s">
        <v>23</v>
      </c>
      <c r="N156">
        <v>33</v>
      </c>
    </row>
    <row r="157" spans="1:14" x14ac:dyDescent="0.15">
      <c r="A157" s="26" t="s">
        <v>32</v>
      </c>
      <c r="B157" s="4">
        <v>11105</v>
      </c>
      <c r="C157" s="3" t="str">
        <f ca="1">VLOOKUP($B157,OFFSET([1]quests!$A$1,0,0,COUNTA([1]quests!$A:$A),MATCH(C$1,[1]quests!$1:$1,0)-MATCH($B$1,[1]quests!$1:$1,0)+1),MATCH(C$1,[1]quests!$1:$1,0)-MATCH($B$1,[1]quests!$1:$1,0)+1,FALSE)</f>
        <v>【期間限定】 帽子屋を追え！</v>
      </c>
      <c r="D157" s="3" t="str">
        <f ca="1">VLOOKUP($B157,OFFSET([1]quests!$A$1,0,0,COUNTA([1]quests!$A:$A),MATCH(D$1,[1]quests!$1:$1,0)-MATCH($B$1,[1]quests!$1:$1,0)+1),MATCH(D$1,[1]quests!$1:$1,0)-MATCH($B$1,[1]quests!$1:$1,0)+1,FALSE)</f>
        <v>金曜クエスト</v>
      </c>
      <c r="E157" s="5">
        <v>3</v>
      </c>
      <c r="F157" s="3" t="str">
        <f ca="1">VLOOKUP($B157&amp;"_"&amp;$E157,OFFSET([1]stages!$A$1,0,0,COUNTA([1]stages!$A:$A),MATCH(F$1,[1]stages!$2:$2,0)-MATCH("temp_stage",[1]stages!$2:$2,0)+1),MATCH(F$1,[1]stages!$2:$2,0)-MATCH("temp_stage",[1]stages!$2:$2,0)+1,FALSE)</f>
        <v xml:space="preserve">【超級】水の帽子屋 </v>
      </c>
      <c r="G157" s="3" t="str">
        <f ca="1">VLOOKUP($B157&amp;"_"&amp;$E157,OFFSET([1]stages!$A$1,0,0,COUNTA([1]stages!$A:$A),MATCH(G$1,[1]stages!$2:$2,0)-MATCH("temp_stage",[1]stages!$2:$2,0)+1),MATCH(G$1,[1]stages!$2:$2,0)-MATCH("temp_stage",[1]stages!$2:$2,0)+1,FALSE)</f>
        <v>金曜クエスト</v>
      </c>
      <c r="H157" s="18">
        <v>0</v>
      </c>
      <c r="I157">
        <v>34</v>
      </c>
      <c r="J157" s="5" t="s">
        <v>16</v>
      </c>
      <c r="K157" s="34" t="str">
        <f>VLOOKUP(I157,[2]stage_hints!$A:$C,3,FALSE)</f>
        <v>ステータスをスキルで下げられたら</v>
      </c>
      <c r="L157" s="35" t="str">
        <f>VLOOKUP(I157,[2]stage_hints!$A:$D,4,FALSE)</f>
        <v>ステータスダウンのスキルを受けたら_x000D_ステータスアップスキルで上書きしましょう</v>
      </c>
      <c r="M157" s="21" t="s">
        <v>23</v>
      </c>
      <c r="N157">
        <v>34</v>
      </c>
    </row>
    <row r="158" spans="1:14" x14ac:dyDescent="0.15">
      <c r="A158" s="26" t="s">
        <v>32</v>
      </c>
      <c r="B158" s="4">
        <v>11105</v>
      </c>
      <c r="C158" s="3" t="str">
        <f ca="1">VLOOKUP($B158,OFFSET([1]quests!$A$1,0,0,COUNTA([1]quests!$A:$A),MATCH(C$1,[1]quests!$1:$1,0)-MATCH($B$1,[1]quests!$1:$1,0)+1),MATCH(C$1,[1]quests!$1:$1,0)-MATCH($B$1,[1]quests!$1:$1,0)+1,FALSE)</f>
        <v>【期間限定】 帽子屋を追え！</v>
      </c>
      <c r="D158" s="3" t="str">
        <f ca="1">VLOOKUP($B158,OFFSET([1]quests!$A$1,0,0,COUNTA([1]quests!$A:$A),MATCH(D$1,[1]quests!$1:$1,0)-MATCH($B$1,[1]quests!$1:$1,0)+1),MATCH(D$1,[1]quests!$1:$1,0)-MATCH($B$1,[1]quests!$1:$1,0)+1,FALSE)</f>
        <v>金曜クエスト</v>
      </c>
      <c r="E158" s="5">
        <v>3</v>
      </c>
      <c r="F158" s="3" t="str">
        <f ca="1">VLOOKUP($B158&amp;"_"&amp;$E158,OFFSET([1]stages!$A$1,0,0,COUNTA([1]stages!$A:$A),MATCH(F$1,[1]stages!$2:$2,0)-MATCH("temp_stage",[1]stages!$2:$2,0)+1),MATCH(F$1,[1]stages!$2:$2,0)-MATCH("temp_stage",[1]stages!$2:$2,0)+1,FALSE)</f>
        <v xml:space="preserve">【超級】水の帽子屋 </v>
      </c>
      <c r="G158" s="3" t="str">
        <f ca="1">VLOOKUP($B158&amp;"_"&amp;$E158,OFFSET([1]stages!$A$1,0,0,COUNTA([1]stages!$A:$A),MATCH(G$1,[1]stages!$2:$2,0)-MATCH("temp_stage",[1]stages!$2:$2,0)+1),MATCH(G$1,[1]stages!$2:$2,0)-MATCH("temp_stage",[1]stages!$2:$2,0)+1,FALSE)</f>
        <v>金曜クエスト</v>
      </c>
      <c r="H158" s="18">
        <v>0</v>
      </c>
      <c r="I158">
        <v>35</v>
      </c>
      <c r="J158" s="5" t="s">
        <v>16</v>
      </c>
      <c r="K158" s="34" t="str">
        <f>VLOOKUP(I158,[2]stage_hints!$A:$C,3,FALSE)</f>
        <v>敵のステータスがスキルで上がったら</v>
      </c>
      <c r="L158" s="35" t="str">
        <f>VLOOKUP(I158,[2]stage_hints!$A:$D,4,FALSE)</f>
        <v>敵のステータスがスキルでアップしたときは_x000D_ステータスダウンスキルで上書きしましょう</v>
      </c>
      <c r="M158" s="21" t="s">
        <v>23</v>
      </c>
      <c r="N158">
        <v>35</v>
      </c>
    </row>
    <row r="159" spans="1:14" x14ac:dyDescent="0.15">
      <c r="A159" s="26" t="s">
        <v>32</v>
      </c>
      <c r="B159" s="4">
        <v>11105</v>
      </c>
      <c r="C159" s="3" t="str">
        <f ca="1">VLOOKUP($B159,OFFSET([1]quests!$A$1,0,0,COUNTA([1]quests!$A:$A),MATCH(C$1,[1]quests!$1:$1,0)-MATCH($B$1,[1]quests!$1:$1,0)+1),MATCH(C$1,[1]quests!$1:$1,0)-MATCH($B$1,[1]quests!$1:$1,0)+1,FALSE)</f>
        <v>【期間限定】 帽子屋を追え！</v>
      </c>
      <c r="D159" s="3" t="str">
        <f ca="1">VLOOKUP($B159,OFFSET([1]quests!$A$1,0,0,COUNTA([1]quests!$A:$A),MATCH(D$1,[1]quests!$1:$1,0)-MATCH($B$1,[1]quests!$1:$1,0)+1),MATCH(D$1,[1]quests!$1:$1,0)-MATCH($B$1,[1]quests!$1:$1,0)+1,FALSE)</f>
        <v>金曜クエスト</v>
      </c>
      <c r="E159" s="5">
        <v>3</v>
      </c>
      <c r="F159" s="3" t="str">
        <f ca="1">VLOOKUP($B159&amp;"_"&amp;$E159,OFFSET([1]stages!$A$1,0,0,COUNTA([1]stages!$A:$A),MATCH(F$1,[1]stages!$2:$2,0)-MATCH("temp_stage",[1]stages!$2:$2,0)+1),MATCH(F$1,[1]stages!$2:$2,0)-MATCH("temp_stage",[1]stages!$2:$2,0)+1,FALSE)</f>
        <v xml:space="preserve">【超級】水の帽子屋 </v>
      </c>
      <c r="G159" s="3" t="str">
        <f ca="1">VLOOKUP($B159&amp;"_"&amp;$E159,OFFSET([1]stages!$A$1,0,0,COUNTA([1]stages!$A:$A),MATCH(G$1,[1]stages!$2:$2,0)-MATCH("temp_stage",[1]stages!$2:$2,0)+1),MATCH(G$1,[1]stages!$2:$2,0)-MATCH("temp_stage",[1]stages!$2:$2,0)+1,FALSE)</f>
        <v>金曜クエスト</v>
      </c>
      <c r="H159" s="18">
        <v>0</v>
      </c>
      <c r="I159">
        <v>36</v>
      </c>
      <c r="J159" s="5" t="s">
        <v>16</v>
      </c>
      <c r="K159" s="34" t="str">
        <f>VLOOKUP(I159,[2]stage_hints!$A:$C,3,FALSE)</f>
        <v>タワーオブザクイーンのボス</v>
      </c>
      <c r="L159" s="35" t="str">
        <f>VLOOKUP(I159,[2]stage_hints!$A:$D,4,FALSE)</f>
        <v>「タワーオブザクイーン」最上階のボスは_x000D_15階の初回クリア報酬で獲得できるほか_x000D_その階にて低確率でドロップもします</v>
      </c>
      <c r="M159" s="21" t="s">
        <v>23</v>
      </c>
      <c r="N159">
        <v>36</v>
      </c>
    </row>
    <row r="160" spans="1:14" x14ac:dyDescent="0.15">
      <c r="A160" s="26" t="s">
        <v>32</v>
      </c>
      <c r="B160" s="4">
        <v>11105</v>
      </c>
      <c r="C160" s="3" t="str">
        <f ca="1">VLOOKUP($B160,OFFSET([1]quests!$A$1,0,0,COUNTA([1]quests!$A:$A),MATCH(C$1,[1]quests!$1:$1,0)-MATCH($B$1,[1]quests!$1:$1,0)+1),MATCH(C$1,[1]quests!$1:$1,0)-MATCH($B$1,[1]quests!$1:$1,0)+1,FALSE)</f>
        <v>【期間限定】 帽子屋を追え！</v>
      </c>
      <c r="D160" s="3" t="str">
        <f ca="1">VLOOKUP($B160,OFFSET([1]quests!$A$1,0,0,COUNTA([1]quests!$A:$A),MATCH(D$1,[1]quests!$1:$1,0)-MATCH($B$1,[1]quests!$1:$1,0)+1),MATCH(D$1,[1]quests!$1:$1,0)-MATCH($B$1,[1]quests!$1:$1,0)+1,FALSE)</f>
        <v>金曜クエスト</v>
      </c>
      <c r="E160" s="5">
        <v>3</v>
      </c>
      <c r="F160" s="3" t="str">
        <f ca="1">VLOOKUP($B160&amp;"_"&amp;$E160,OFFSET([1]stages!$A$1,0,0,COUNTA([1]stages!$A:$A),MATCH(F$1,[1]stages!$2:$2,0)-MATCH("temp_stage",[1]stages!$2:$2,0)+1),MATCH(F$1,[1]stages!$2:$2,0)-MATCH("temp_stage",[1]stages!$2:$2,0)+1,FALSE)</f>
        <v xml:space="preserve">【超級】水の帽子屋 </v>
      </c>
      <c r="G160" s="3" t="str">
        <f ca="1">VLOOKUP($B160&amp;"_"&amp;$E160,OFFSET([1]stages!$A$1,0,0,COUNTA([1]stages!$A:$A),MATCH(G$1,[1]stages!$2:$2,0)-MATCH("temp_stage",[1]stages!$2:$2,0)+1),MATCH(G$1,[1]stages!$2:$2,0)-MATCH("temp_stage",[1]stages!$2:$2,0)+1,FALSE)</f>
        <v>金曜クエスト</v>
      </c>
      <c r="H160" s="18">
        <v>0</v>
      </c>
      <c r="I160">
        <v>37</v>
      </c>
      <c r="J160" s="5" t="s">
        <v>16</v>
      </c>
      <c r="K160" s="34" t="str">
        <f>VLOOKUP(I160,[2]stage_hints!$A:$C,3,FALSE)</f>
        <v>限界突破値の引き継ぎ</v>
      </c>
      <c r="L160" s="35" t="str">
        <f>VLOOKUP(I160,[2]stage_hints!$A:$D,4,FALSE)</f>
        <v>同じユニットを強化で合成すると_x000D_限界突破値を引き継げます（覚醒前後も可）</v>
      </c>
      <c r="M160" s="21" t="s">
        <v>23</v>
      </c>
      <c r="N160">
        <v>37</v>
      </c>
    </row>
    <row r="161" spans="1:14" x14ac:dyDescent="0.15">
      <c r="A161" s="26" t="s">
        <v>32</v>
      </c>
      <c r="B161" s="4">
        <v>11105</v>
      </c>
      <c r="C161" s="3" t="str">
        <f ca="1">VLOOKUP($B161,OFFSET([1]quests!$A$1,0,0,COUNTA([1]quests!$A:$A),MATCH(C$1,[1]quests!$1:$1,0)-MATCH($B$1,[1]quests!$1:$1,0)+1),MATCH(C$1,[1]quests!$1:$1,0)-MATCH($B$1,[1]quests!$1:$1,0)+1,FALSE)</f>
        <v>【期間限定】 帽子屋を追え！</v>
      </c>
      <c r="D161" s="3" t="str">
        <f ca="1">VLOOKUP($B161,OFFSET([1]quests!$A$1,0,0,COUNTA([1]quests!$A:$A),MATCH(D$1,[1]quests!$1:$1,0)-MATCH($B$1,[1]quests!$1:$1,0)+1),MATCH(D$1,[1]quests!$1:$1,0)-MATCH($B$1,[1]quests!$1:$1,0)+1,FALSE)</f>
        <v>金曜クエスト</v>
      </c>
      <c r="E161" s="5">
        <v>4</v>
      </c>
      <c r="F161" s="3" t="str">
        <f ca="1">VLOOKUP($B161&amp;"_"&amp;$E161,OFFSET([1]stages!$A$1,0,0,COUNTA([1]stages!$A:$A),MATCH(F$1,[1]stages!$2:$2,0)-MATCH("temp_stage",[1]stages!$2:$2,0)+1),MATCH(F$1,[1]stages!$2:$2,0)-MATCH("temp_stage",[1]stages!$2:$2,0)+1,FALSE)</f>
        <v xml:space="preserve">【超級】雷の帽子屋 </v>
      </c>
      <c r="G161" s="3" t="str">
        <f ca="1">VLOOKUP($B161&amp;"_"&amp;$E161,OFFSET([1]stages!$A$1,0,0,COUNTA([1]stages!$A:$A),MATCH(G$1,[1]stages!$2:$2,0)-MATCH("temp_stage",[1]stages!$2:$2,0)+1),MATCH(G$1,[1]stages!$2:$2,0)-MATCH("temp_stage",[1]stages!$2:$2,0)+1,FALSE)</f>
        <v>金曜クエスト</v>
      </c>
      <c r="H161" s="18">
        <v>0</v>
      </c>
      <c r="I161">
        <v>12</v>
      </c>
      <c r="J161" s="5" t="s">
        <v>16</v>
      </c>
      <c r="K161" s="34" t="str">
        <f>VLOOKUP(I161,[2]stage_hints!$A:$C,3,FALSE)</f>
        <v>ユニットのお気に入り登録</v>
      </c>
      <c r="L161" s="35" t="str">
        <f>VLOOKUP(I161,[2]stage_hints!$A:$D,4,FALSE)</f>
        <v>大事なユニットを誤って消さないように_x000D_フォルダから「お気に入り登録」しましょう</v>
      </c>
      <c r="M161" s="21" t="s">
        <v>23</v>
      </c>
      <c r="N161">
        <v>12</v>
      </c>
    </row>
    <row r="162" spans="1:14" x14ac:dyDescent="0.15">
      <c r="A162" s="26" t="s">
        <v>32</v>
      </c>
      <c r="B162" s="4">
        <v>11105</v>
      </c>
      <c r="C162" s="3" t="str">
        <f ca="1">VLOOKUP($B162,OFFSET([1]quests!$A$1,0,0,COUNTA([1]quests!$A:$A),MATCH(C$1,[1]quests!$1:$1,0)-MATCH($B$1,[1]quests!$1:$1,0)+1),MATCH(C$1,[1]quests!$1:$1,0)-MATCH($B$1,[1]quests!$1:$1,0)+1,FALSE)</f>
        <v>【期間限定】 帽子屋を追え！</v>
      </c>
      <c r="D162" s="3" t="str">
        <f ca="1">VLOOKUP($B162,OFFSET([1]quests!$A$1,0,0,COUNTA([1]quests!$A:$A),MATCH(D$1,[1]quests!$1:$1,0)-MATCH($B$1,[1]quests!$1:$1,0)+1),MATCH(D$1,[1]quests!$1:$1,0)-MATCH($B$1,[1]quests!$1:$1,0)+1,FALSE)</f>
        <v>金曜クエスト</v>
      </c>
      <c r="E162" s="5">
        <v>4</v>
      </c>
      <c r="F162" s="3" t="str">
        <f ca="1">VLOOKUP($B162&amp;"_"&amp;$E162,OFFSET([1]stages!$A$1,0,0,COUNTA([1]stages!$A:$A),MATCH(F$1,[1]stages!$2:$2,0)-MATCH("temp_stage",[1]stages!$2:$2,0)+1),MATCH(F$1,[1]stages!$2:$2,0)-MATCH("temp_stage",[1]stages!$2:$2,0)+1,FALSE)</f>
        <v xml:space="preserve">【超級】雷の帽子屋 </v>
      </c>
      <c r="G162" s="3" t="str">
        <f ca="1">VLOOKUP($B162&amp;"_"&amp;$E162,OFFSET([1]stages!$A$1,0,0,COUNTA([1]stages!$A:$A),MATCH(G$1,[1]stages!$2:$2,0)-MATCH("temp_stage",[1]stages!$2:$2,0)+1),MATCH(G$1,[1]stages!$2:$2,0)-MATCH("temp_stage",[1]stages!$2:$2,0)+1,FALSE)</f>
        <v>金曜クエスト</v>
      </c>
      <c r="H162" s="18">
        <v>0</v>
      </c>
      <c r="I162">
        <v>17</v>
      </c>
      <c r="J162" s="5" t="s">
        <v>16</v>
      </c>
      <c r="K162" s="34" t="str">
        <f>VLOOKUP(I162,[2]stage_hints!$A:$C,3,FALSE)</f>
        <v>リンクガチャ</v>
      </c>
      <c r="L162" s="35" t="str">
        <f>VLOOKUP(I162,[2]stage_hints!$A:$D,4,FALSE)</f>
        <v>無料のリンクガチャを回して_x000D_経験値素材や売却素材を獲得しましょう</v>
      </c>
      <c r="M162" s="21" t="s">
        <v>23</v>
      </c>
      <c r="N162">
        <v>17</v>
      </c>
    </row>
    <row r="163" spans="1:14" x14ac:dyDescent="0.15">
      <c r="A163" s="26" t="s">
        <v>32</v>
      </c>
      <c r="B163" s="4">
        <v>11105</v>
      </c>
      <c r="C163" s="3" t="str">
        <f ca="1">VLOOKUP($B163,OFFSET([1]quests!$A$1,0,0,COUNTA([1]quests!$A:$A),MATCH(C$1,[1]quests!$1:$1,0)-MATCH($B$1,[1]quests!$1:$1,0)+1),MATCH(C$1,[1]quests!$1:$1,0)-MATCH($B$1,[1]quests!$1:$1,0)+1,FALSE)</f>
        <v>【期間限定】 帽子屋を追え！</v>
      </c>
      <c r="D163" s="3" t="str">
        <f ca="1">VLOOKUP($B163,OFFSET([1]quests!$A$1,0,0,COUNTA([1]quests!$A:$A),MATCH(D$1,[1]quests!$1:$1,0)-MATCH($B$1,[1]quests!$1:$1,0)+1),MATCH(D$1,[1]quests!$1:$1,0)-MATCH($B$1,[1]quests!$1:$1,0)+1,FALSE)</f>
        <v>金曜クエスト</v>
      </c>
      <c r="E163" s="5">
        <v>4</v>
      </c>
      <c r="F163" s="3" t="str">
        <f ca="1">VLOOKUP($B163&amp;"_"&amp;$E163,OFFSET([1]stages!$A$1,0,0,COUNTA([1]stages!$A:$A),MATCH(F$1,[1]stages!$2:$2,0)-MATCH("temp_stage",[1]stages!$2:$2,0)+1),MATCH(F$1,[1]stages!$2:$2,0)-MATCH("temp_stage",[1]stages!$2:$2,0)+1,FALSE)</f>
        <v xml:space="preserve">【超級】雷の帽子屋 </v>
      </c>
      <c r="G163" s="3" t="str">
        <f ca="1">VLOOKUP($B163&amp;"_"&amp;$E163,OFFSET([1]stages!$A$1,0,0,COUNTA([1]stages!$A:$A),MATCH(G$1,[1]stages!$2:$2,0)-MATCH("temp_stage",[1]stages!$2:$2,0)+1),MATCH(G$1,[1]stages!$2:$2,0)-MATCH("temp_stage",[1]stages!$2:$2,0)+1,FALSE)</f>
        <v>金曜クエスト</v>
      </c>
      <c r="H163" s="18">
        <v>0</v>
      </c>
      <c r="I163">
        <v>19</v>
      </c>
      <c r="J163" s="5" t="s">
        <v>16</v>
      </c>
      <c r="K163" s="34" t="str">
        <f>VLOOKUP(I163,[2]stage_hints!$A:$C,3,FALSE)</f>
        <v>ソロ専用タワーオブザクイーン</v>
      </c>
      <c r="L163" s="35" t="str">
        <f>VLOOKUP(I163,[2]stage_hints!$A:$D,4,FALSE)</f>
        <v>ソロ専用の「タワーオブザクイーン」は_x000D_期間限定で定期的に開催されます_x000D_ここでしか獲得できない報酬もあるようです</v>
      </c>
      <c r="M163" s="21" t="s">
        <v>23</v>
      </c>
      <c r="N163">
        <v>19</v>
      </c>
    </row>
    <row r="164" spans="1:14" x14ac:dyDescent="0.15">
      <c r="A164" s="26" t="s">
        <v>32</v>
      </c>
      <c r="B164" s="4">
        <v>11105</v>
      </c>
      <c r="C164" s="3" t="str">
        <f ca="1">VLOOKUP($B164,OFFSET([1]quests!$A$1,0,0,COUNTA([1]quests!$A:$A),MATCH(C$1,[1]quests!$1:$1,0)-MATCH($B$1,[1]quests!$1:$1,0)+1),MATCH(C$1,[1]quests!$1:$1,0)-MATCH($B$1,[1]quests!$1:$1,0)+1,FALSE)</f>
        <v>【期間限定】 帽子屋を追え！</v>
      </c>
      <c r="D164" s="3" t="str">
        <f ca="1">VLOOKUP($B164,OFFSET([1]quests!$A$1,0,0,COUNTA([1]quests!$A:$A),MATCH(D$1,[1]quests!$1:$1,0)-MATCH($B$1,[1]quests!$1:$1,0)+1),MATCH(D$1,[1]quests!$1:$1,0)-MATCH($B$1,[1]quests!$1:$1,0)+1,FALSE)</f>
        <v>金曜クエスト</v>
      </c>
      <c r="E164" s="5">
        <v>4</v>
      </c>
      <c r="F164" s="3" t="str">
        <f ca="1">VLOOKUP($B164&amp;"_"&amp;$E164,OFFSET([1]stages!$A$1,0,0,COUNTA([1]stages!$A:$A),MATCH(F$1,[1]stages!$2:$2,0)-MATCH("temp_stage",[1]stages!$2:$2,0)+1),MATCH(F$1,[1]stages!$2:$2,0)-MATCH("temp_stage",[1]stages!$2:$2,0)+1,FALSE)</f>
        <v xml:space="preserve">【超級】雷の帽子屋 </v>
      </c>
      <c r="G164" s="3" t="str">
        <f ca="1">VLOOKUP($B164&amp;"_"&amp;$E164,OFFSET([1]stages!$A$1,0,0,COUNTA([1]stages!$A:$A),MATCH(G$1,[1]stages!$2:$2,0)-MATCH("temp_stage",[1]stages!$2:$2,0)+1),MATCH(G$1,[1]stages!$2:$2,0)-MATCH("temp_stage",[1]stages!$2:$2,0)+1,FALSE)</f>
        <v>金曜クエスト</v>
      </c>
      <c r="H164" s="18">
        <v>0</v>
      </c>
      <c r="I164">
        <v>21</v>
      </c>
      <c r="J164" s="5" t="s">
        <v>16</v>
      </c>
      <c r="K164" s="34" t="str">
        <f>VLOOKUP(I164,[2]stage_hints!$A:$C,3,FALSE)</f>
        <v>スキルを有効に</v>
      </c>
      <c r="L164" s="35" t="str">
        <f>VLOOKUP(I164,[2]stage_hints!$A:$D,4,FALSE)</f>
        <v>ターン経過でユニットのスキルが使えます_x000D_強力スキルでバトルを有利に進めましょう</v>
      </c>
      <c r="M164" s="21" t="s">
        <v>23</v>
      </c>
      <c r="N164">
        <v>21</v>
      </c>
    </row>
    <row r="165" spans="1:14" x14ac:dyDescent="0.15">
      <c r="A165" s="26" t="s">
        <v>32</v>
      </c>
      <c r="B165" s="4">
        <v>11105</v>
      </c>
      <c r="C165" s="3" t="str">
        <f ca="1">VLOOKUP($B165,OFFSET([1]quests!$A$1,0,0,COUNTA([1]quests!$A:$A),MATCH(C$1,[1]quests!$1:$1,0)-MATCH($B$1,[1]quests!$1:$1,0)+1),MATCH(C$1,[1]quests!$1:$1,0)-MATCH($B$1,[1]quests!$1:$1,0)+1,FALSE)</f>
        <v>【期間限定】 帽子屋を追え！</v>
      </c>
      <c r="D165" s="3" t="str">
        <f ca="1">VLOOKUP($B165,OFFSET([1]quests!$A$1,0,0,COUNTA([1]quests!$A:$A),MATCH(D$1,[1]quests!$1:$1,0)-MATCH($B$1,[1]quests!$1:$1,0)+1),MATCH(D$1,[1]quests!$1:$1,0)-MATCH($B$1,[1]quests!$1:$1,0)+1,FALSE)</f>
        <v>金曜クエスト</v>
      </c>
      <c r="E165" s="5">
        <v>4</v>
      </c>
      <c r="F165" s="3" t="str">
        <f ca="1">VLOOKUP($B165&amp;"_"&amp;$E165,OFFSET([1]stages!$A$1,0,0,COUNTA([1]stages!$A:$A),MATCH(F$1,[1]stages!$2:$2,0)-MATCH("temp_stage",[1]stages!$2:$2,0)+1),MATCH(F$1,[1]stages!$2:$2,0)-MATCH("temp_stage",[1]stages!$2:$2,0)+1,FALSE)</f>
        <v xml:space="preserve">【超級】雷の帽子屋 </v>
      </c>
      <c r="G165" s="3" t="str">
        <f ca="1">VLOOKUP($B165&amp;"_"&amp;$E165,OFFSET([1]stages!$A$1,0,0,COUNTA([1]stages!$A:$A),MATCH(G$1,[1]stages!$2:$2,0)-MATCH("temp_stage",[1]stages!$2:$2,0)+1),MATCH(G$1,[1]stages!$2:$2,0)-MATCH("temp_stage",[1]stages!$2:$2,0)+1,FALSE)</f>
        <v>金曜クエスト</v>
      </c>
      <c r="H165" s="18">
        <v>0</v>
      </c>
      <c r="I165">
        <v>27</v>
      </c>
      <c r="J165" s="5" t="s">
        <v>16</v>
      </c>
      <c r="K165" s="34" t="str">
        <f>VLOOKUP(I165,[2]stage_hints!$A:$C,3,FALSE)</f>
        <v>ホーム画面からデッキを編成</v>
      </c>
      <c r="L165" s="35" t="str">
        <f>VLOOKUP(I165,[2]stage_hints!$A:$D,4,FALSE)</f>
        <v>ホーム画面でユニットを長押しすると_x000D_すぐにパーティ編成に移動できます</v>
      </c>
      <c r="M165" s="21" t="s">
        <v>23</v>
      </c>
      <c r="N165">
        <v>27</v>
      </c>
    </row>
    <row r="166" spans="1:14" x14ac:dyDescent="0.15">
      <c r="A166" s="26" t="s">
        <v>32</v>
      </c>
      <c r="B166" s="4">
        <v>11105</v>
      </c>
      <c r="C166" s="3" t="str">
        <f ca="1">VLOOKUP($B166,OFFSET([1]quests!$A$1,0,0,COUNTA([1]quests!$A:$A),MATCH(C$1,[1]quests!$1:$1,0)-MATCH($B$1,[1]quests!$1:$1,0)+1),MATCH(C$1,[1]quests!$1:$1,0)-MATCH($B$1,[1]quests!$1:$1,0)+1,FALSE)</f>
        <v>【期間限定】 帽子屋を追え！</v>
      </c>
      <c r="D166" s="3" t="str">
        <f ca="1">VLOOKUP($B166,OFFSET([1]quests!$A$1,0,0,COUNTA([1]quests!$A:$A),MATCH(D$1,[1]quests!$1:$1,0)-MATCH($B$1,[1]quests!$1:$1,0)+1),MATCH(D$1,[1]quests!$1:$1,0)-MATCH($B$1,[1]quests!$1:$1,0)+1,FALSE)</f>
        <v>金曜クエスト</v>
      </c>
      <c r="E166" s="5">
        <v>4</v>
      </c>
      <c r="F166" s="3" t="str">
        <f ca="1">VLOOKUP($B166&amp;"_"&amp;$E166,OFFSET([1]stages!$A$1,0,0,COUNTA([1]stages!$A:$A),MATCH(F$1,[1]stages!$2:$2,0)-MATCH("temp_stage",[1]stages!$2:$2,0)+1),MATCH(F$1,[1]stages!$2:$2,0)-MATCH("temp_stage",[1]stages!$2:$2,0)+1,FALSE)</f>
        <v xml:space="preserve">【超級】雷の帽子屋 </v>
      </c>
      <c r="G166" s="3" t="str">
        <f ca="1">VLOOKUP($B166&amp;"_"&amp;$E166,OFFSET([1]stages!$A$1,0,0,COUNTA([1]stages!$A:$A),MATCH(G$1,[1]stages!$2:$2,0)-MATCH("temp_stage",[1]stages!$2:$2,0)+1),MATCH(G$1,[1]stages!$2:$2,0)-MATCH("temp_stage",[1]stages!$2:$2,0)+1,FALSE)</f>
        <v>金曜クエスト</v>
      </c>
      <c r="H166" s="18">
        <v>0</v>
      </c>
      <c r="I166">
        <v>28</v>
      </c>
      <c r="J166" s="5" t="s">
        <v>16</v>
      </c>
      <c r="K166" s="34" t="str">
        <f>VLOOKUP(I166,[2]stage_hints!$A:$C,3,FALSE)</f>
        <v>ステータス情報は長押しで</v>
      </c>
      <c r="L166" s="35" t="str">
        <f>VLOOKUP(I166,[2]stage_hints!$A:$D,4,FALSE)</f>
        <v>ユニットのアイコンを長押しすると_x000D_ステータス情報を確認することができます</v>
      </c>
      <c r="M166" s="21" t="s">
        <v>23</v>
      </c>
      <c r="N166">
        <v>28</v>
      </c>
    </row>
    <row r="167" spans="1:14" x14ac:dyDescent="0.15">
      <c r="A167" s="26" t="s">
        <v>32</v>
      </c>
      <c r="B167" s="4">
        <v>11105</v>
      </c>
      <c r="C167" s="3" t="str">
        <f ca="1">VLOOKUP($B167,OFFSET([1]quests!$A$1,0,0,COUNTA([1]quests!$A:$A),MATCH(C$1,[1]quests!$1:$1,0)-MATCH($B$1,[1]quests!$1:$1,0)+1),MATCH(C$1,[1]quests!$1:$1,0)-MATCH($B$1,[1]quests!$1:$1,0)+1,FALSE)</f>
        <v>【期間限定】 帽子屋を追え！</v>
      </c>
      <c r="D167" s="3" t="str">
        <f ca="1">VLOOKUP($B167,OFFSET([1]quests!$A$1,0,0,COUNTA([1]quests!$A:$A),MATCH(D$1,[1]quests!$1:$1,0)-MATCH($B$1,[1]quests!$1:$1,0)+1),MATCH(D$1,[1]quests!$1:$1,0)-MATCH($B$1,[1]quests!$1:$1,0)+1,FALSE)</f>
        <v>金曜クエスト</v>
      </c>
      <c r="E167" s="5">
        <v>4</v>
      </c>
      <c r="F167" s="3" t="str">
        <f ca="1">VLOOKUP($B167&amp;"_"&amp;$E167,OFFSET([1]stages!$A$1,0,0,COUNTA([1]stages!$A:$A),MATCH(F$1,[1]stages!$2:$2,0)-MATCH("temp_stage",[1]stages!$2:$2,0)+1),MATCH(F$1,[1]stages!$2:$2,0)-MATCH("temp_stage",[1]stages!$2:$2,0)+1,FALSE)</f>
        <v xml:space="preserve">【超級】雷の帽子屋 </v>
      </c>
      <c r="G167" s="3" t="str">
        <f ca="1">VLOOKUP($B167&amp;"_"&amp;$E167,OFFSET([1]stages!$A$1,0,0,COUNTA([1]stages!$A:$A),MATCH(G$1,[1]stages!$2:$2,0)-MATCH("temp_stage",[1]stages!$2:$2,0)+1),MATCH(G$1,[1]stages!$2:$2,0)-MATCH("temp_stage",[1]stages!$2:$2,0)+1,FALSE)</f>
        <v>金曜クエスト</v>
      </c>
      <c r="H167" s="18">
        <v>0</v>
      </c>
      <c r="I167">
        <v>29</v>
      </c>
      <c r="J167" s="5" t="s">
        <v>16</v>
      </c>
      <c r="K167" s="34" t="str">
        <f>VLOOKUP(I167,[2]stage_hints!$A:$C,3,FALSE)</f>
        <v>「バグ」のメリット</v>
      </c>
      <c r="L167" s="35" t="str">
        <f>VLOOKUP(I167,[2]stage_hints!$A:$D,4,FALSE)</f>
        <v>ユニットの「バグ」を増やすと_x000D_報酬をもらえる確率がアップします</v>
      </c>
      <c r="M167" s="21" t="s">
        <v>23</v>
      </c>
      <c r="N167">
        <v>29</v>
      </c>
    </row>
    <row r="168" spans="1:14" x14ac:dyDescent="0.15">
      <c r="A168" s="26" t="s">
        <v>32</v>
      </c>
      <c r="B168" s="4">
        <v>11105</v>
      </c>
      <c r="C168" s="3" t="str">
        <f ca="1">VLOOKUP($B168,OFFSET([1]quests!$A$1,0,0,COUNTA([1]quests!$A:$A),MATCH(C$1,[1]quests!$1:$1,0)-MATCH($B$1,[1]quests!$1:$1,0)+1),MATCH(C$1,[1]quests!$1:$1,0)-MATCH($B$1,[1]quests!$1:$1,0)+1,FALSE)</f>
        <v>【期間限定】 帽子屋を追え！</v>
      </c>
      <c r="D168" s="3" t="str">
        <f ca="1">VLOOKUP($B168,OFFSET([1]quests!$A$1,0,0,COUNTA([1]quests!$A:$A),MATCH(D$1,[1]quests!$1:$1,0)-MATCH($B$1,[1]quests!$1:$1,0)+1),MATCH(D$1,[1]quests!$1:$1,0)-MATCH($B$1,[1]quests!$1:$1,0)+1,FALSE)</f>
        <v>金曜クエスト</v>
      </c>
      <c r="E168" s="5">
        <v>4</v>
      </c>
      <c r="F168" s="3" t="str">
        <f ca="1">VLOOKUP($B168&amp;"_"&amp;$E168,OFFSET([1]stages!$A$1,0,0,COUNTA([1]stages!$A:$A),MATCH(F$1,[1]stages!$2:$2,0)-MATCH("temp_stage",[1]stages!$2:$2,0)+1),MATCH(F$1,[1]stages!$2:$2,0)-MATCH("temp_stage",[1]stages!$2:$2,0)+1,FALSE)</f>
        <v xml:space="preserve">【超級】雷の帽子屋 </v>
      </c>
      <c r="G168" s="3" t="str">
        <f ca="1">VLOOKUP($B168&amp;"_"&amp;$E168,OFFSET([1]stages!$A$1,0,0,COUNTA([1]stages!$A:$A),MATCH(G$1,[1]stages!$2:$2,0)-MATCH("temp_stage",[1]stages!$2:$2,0)+1),MATCH(G$1,[1]stages!$2:$2,0)-MATCH("temp_stage",[1]stages!$2:$2,0)+1,FALSE)</f>
        <v>金曜クエスト</v>
      </c>
      <c r="H168" s="18">
        <v>0</v>
      </c>
      <c r="I168">
        <v>30</v>
      </c>
      <c r="J168" s="5" t="s">
        <v>16</v>
      </c>
      <c r="K168" s="34" t="str">
        <f>VLOOKUP(I168,[2]stage_hints!$A:$C,3,FALSE)</f>
        <v>「バグ」の増やし方</v>
      </c>
      <c r="L168" s="35" t="str">
        <f>VLOOKUP(I168,[2]stage_hints!$A:$D,4,FALSE)</f>
        <v>同じユニット同士を強化で合成すると_x000D_「バグ」を増やすことができます</v>
      </c>
      <c r="M168" s="21" t="s">
        <v>23</v>
      </c>
      <c r="N168">
        <v>30</v>
      </c>
    </row>
    <row r="169" spans="1:14" x14ac:dyDescent="0.15">
      <c r="A169" s="26" t="s">
        <v>32</v>
      </c>
      <c r="B169" s="4">
        <v>11105</v>
      </c>
      <c r="C169" s="3" t="str">
        <f ca="1">VLOOKUP($B169,OFFSET([1]quests!$A$1,0,0,COUNTA([1]quests!$A:$A),MATCH(C$1,[1]quests!$1:$1,0)-MATCH($B$1,[1]quests!$1:$1,0)+1),MATCH(C$1,[1]quests!$1:$1,0)-MATCH($B$1,[1]quests!$1:$1,0)+1,FALSE)</f>
        <v>【期間限定】 帽子屋を追え！</v>
      </c>
      <c r="D169" s="3" t="str">
        <f ca="1">VLOOKUP($B169,OFFSET([1]quests!$A$1,0,0,COUNTA([1]quests!$A:$A),MATCH(D$1,[1]quests!$1:$1,0)-MATCH($B$1,[1]quests!$1:$1,0)+1),MATCH(D$1,[1]quests!$1:$1,0)-MATCH($B$1,[1]quests!$1:$1,0)+1,FALSE)</f>
        <v>金曜クエスト</v>
      </c>
      <c r="E169" s="5">
        <v>4</v>
      </c>
      <c r="F169" s="3" t="str">
        <f ca="1">VLOOKUP($B169&amp;"_"&amp;$E169,OFFSET([1]stages!$A$1,0,0,COUNTA([1]stages!$A:$A),MATCH(F$1,[1]stages!$2:$2,0)-MATCH("temp_stage",[1]stages!$2:$2,0)+1),MATCH(F$1,[1]stages!$2:$2,0)-MATCH("temp_stage",[1]stages!$2:$2,0)+1,FALSE)</f>
        <v xml:space="preserve">【超級】雷の帽子屋 </v>
      </c>
      <c r="G169" s="3" t="str">
        <f ca="1">VLOOKUP($B169&amp;"_"&amp;$E169,OFFSET([1]stages!$A$1,0,0,COUNTA([1]stages!$A:$A),MATCH(G$1,[1]stages!$2:$2,0)-MATCH("temp_stage",[1]stages!$2:$2,0)+1),MATCH(G$1,[1]stages!$2:$2,0)-MATCH("temp_stage",[1]stages!$2:$2,0)+1,FALSE)</f>
        <v>金曜クエスト</v>
      </c>
      <c r="H169" s="18">
        <v>0</v>
      </c>
      <c r="I169">
        <v>32</v>
      </c>
      <c r="J169" s="5" t="s">
        <v>16</v>
      </c>
      <c r="K169" s="34" t="str">
        <f>VLOOKUP(I169,[2]stage_hints!$A:$C,3,FALSE)</f>
        <v>敵の連続攻撃には</v>
      </c>
      <c r="L169" s="35" t="str">
        <f>VLOOKUP(I169,[2]stage_hints!$A:$D,4,FALSE)</f>
        <v>カウンタースキルを持つユニットがいれば_x000D_ダメージ回数分の反撃ができます</v>
      </c>
      <c r="M169" s="21" t="s">
        <v>23</v>
      </c>
      <c r="N169">
        <v>32</v>
      </c>
    </row>
    <row r="170" spans="1:14" x14ac:dyDescent="0.15">
      <c r="A170" s="26" t="s">
        <v>32</v>
      </c>
      <c r="B170" s="4">
        <v>11105</v>
      </c>
      <c r="C170" s="3" t="str">
        <f ca="1">VLOOKUP($B170,OFFSET([1]quests!$A$1,0,0,COUNTA([1]quests!$A:$A),MATCH(C$1,[1]quests!$1:$1,0)-MATCH($B$1,[1]quests!$1:$1,0)+1),MATCH(C$1,[1]quests!$1:$1,0)-MATCH($B$1,[1]quests!$1:$1,0)+1,FALSE)</f>
        <v>【期間限定】 帽子屋を追え！</v>
      </c>
      <c r="D170" s="3" t="str">
        <f ca="1">VLOOKUP($B170,OFFSET([1]quests!$A$1,0,0,COUNTA([1]quests!$A:$A),MATCH(D$1,[1]quests!$1:$1,0)-MATCH($B$1,[1]quests!$1:$1,0)+1),MATCH(D$1,[1]quests!$1:$1,0)-MATCH($B$1,[1]quests!$1:$1,0)+1,FALSE)</f>
        <v>金曜クエスト</v>
      </c>
      <c r="E170" s="5">
        <v>4</v>
      </c>
      <c r="F170" s="3" t="str">
        <f ca="1">VLOOKUP($B170&amp;"_"&amp;$E170,OFFSET([1]stages!$A$1,0,0,COUNTA([1]stages!$A:$A),MATCH(F$1,[1]stages!$2:$2,0)-MATCH("temp_stage",[1]stages!$2:$2,0)+1),MATCH(F$1,[1]stages!$2:$2,0)-MATCH("temp_stage",[1]stages!$2:$2,0)+1,FALSE)</f>
        <v xml:space="preserve">【超級】雷の帽子屋 </v>
      </c>
      <c r="G170" s="3" t="str">
        <f ca="1">VLOOKUP($B170&amp;"_"&amp;$E170,OFFSET([1]stages!$A$1,0,0,COUNTA([1]stages!$A:$A),MATCH(G$1,[1]stages!$2:$2,0)-MATCH("temp_stage",[1]stages!$2:$2,0)+1),MATCH(G$1,[1]stages!$2:$2,0)-MATCH("temp_stage",[1]stages!$2:$2,0)+1,FALSE)</f>
        <v>金曜クエスト</v>
      </c>
      <c r="H170" s="18">
        <v>0</v>
      </c>
      <c r="I170">
        <v>33</v>
      </c>
      <c r="J170" s="5" t="s">
        <v>16</v>
      </c>
      <c r="K170" s="34" t="str">
        <f>VLOOKUP(I170,[2]stage_hints!$A:$C,3,FALSE)</f>
        <v>敵のカウンター攻撃には</v>
      </c>
      <c r="L170" s="35" t="str">
        <f>VLOOKUP(I170,[2]stage_hints!$A:$D,4,FALSE)</f>
        <v>カウンターブレイクスキルを持っていれば_x000D_敵のカウンターを解除して攻撃ができます</v>
      </c>
      <c r="M170" s="21" t="s">
        <v>23</v>
      </c>
      <c r="N170">
        <v>33</v>
      </c>
    </row>
    <row r="171" spans="1:14" x14ac:dyDescent="0.15">
      <c r="A171" s="26" t="s">
        <v>32</v>
      </c>
      <c r="B171" s="4">
        <v>11105</v>
      </c>
      <c r="C171" s="3" t="str">
        <f ca="1">VLOOKUP($B171,OFFSET([1]quests!$A$1,0,0,COUNTA([1]quests!$A:$A),MATCH(C$1,[1]quests!$1:$1,0)-MATCH($B$1,[1]quests!$1:$1,0)+1),MATCH(C$1,[1]quests!$1:$1,0)-MATCH($B$1,[1]quests!$1:$1,0)+1,FALSE)</f>
        <v>【期間限定】 帽子屋を追え！</v>
      </c>
      <c r="D171" s="3" t="str">
        <f ca="1">VLOOKUP($B171,OFFSET([1]quests!$A$1,0,0,COUNTA([1]quests!$A:$A),MATCH(D$1,[1]quests!$1:$1,0)-MATCH($B$1,[1]quests!$1:$1,0)+1),MATCH(D$1,[1]quests!$1:$1,0)-MATCH($B$1,[1]quests!$1:$1,0)+1,FALSE)</f>
        <v>金曜クエスト</v>
      </c>
      <c r="E171" s="5">
        <v>4</v>
      </c>
      <c r="F171" s="3" t="str">
        <f ca="1">VLOOKUP($B171&amp;"_"&amp;$E171,OFFSET([1]stages!$A$1,0,0,COUNTA([1]stages!$A:$A),MATCH(F$1,[1]stages!$2:$2,0)-MATCH("temp_stage",[1]stages!$2:$2,0)+1),MATCH(F$1,[1]stages!$2:$2,0)-MATCH("temp_stage",[1]stages!$2:$2,0)+1,FALSE)</f>
        <v xml:space="preserve">【超級】雷の帽子屋 </v>
      </c>
      <c r="G171" s="3" t="str">
        <f ca="1">VLOOKUP($B171&amp;"_"&amp;$E171,OFFSET([1]stages!$A$1,0,0,COUNTA([1]stages!$A:$A),MATCH(G$1,[1]stages!$2:$2,0)-MATCH("temp_stage",[1]stages!$2:$2,0)+1),MATCH(G$1,[1]stages!$2:$2,0)-MATCH("temp_stage",[1]stages!$2:$2,0)+1,FALSE)</f>
        <v>金曜クエスト</v>
      </c>
      <c r="H171" s="18">
        <v>0</v>
      </c>
      <c r="I171">
        <v>34</v>
      </c>
      <c r="J171" s="5" t="s">
        <v>16</v>
      </c>
      <c r="K171" s="34" t="str">
        <f>VLOOKUP(I171,[2]stage_hints!$A:$C,3,FALSE)</f>
        <v>ステータスをスキルで下げられたら</v>
      </c>
      <c r="L171" s="35" t="str">
        <f>VLOOKUP(I171,[2]stage_hints!$A:$D,4,FALSE)</f>
        <v>ステータスダウンのスキルを受けたら_x000D_ステータスアップスキルで上書きしましょう</v>
      </c>
      <c r="M171" s="21" t="s">
        <v>23</v>
      </c>
      <c r="N171">
        <v>34</v>
      </c>
    </row>
    <row r="172" spans="1:14" x14ac:dyDescent="0.15">
      <c r="A172" s="26" t="s">
        <v>32</v>
      </c>
      <c r="B172" s="4">
        <v>11105</v>
      </c>
      <c r="C172" s="3" t="str">
        <f ca="1">VLOOKUP($B172,OFFSET([1]quests!$A$1,0,0,COUNTA([1]quests!$A:$A),MATCH(C$1,[1]quests!$1:$1,0)-MATCH($B$1,[1]quests!$1:$1,0)+1),MATCH(C$1,[1]quests!$1:$1,0)-MATCH($B$1,[1]quests!$1:$1,0)+1,FALSE)</f>
        <v>【期間限定】 帽子屋を追え！</v>
      </c>
      <c r="D172" s="3" t="str">
        <f ca="1">VLOOKUP($B172,OFFSET([1]quests!$A$1,0,0,COUNTA([1]quests!$A:$A),MATCH(D$1,[1]quests!$1:$1,0)-MATCH($B$1,[1]quests!$1:$1,0)+1),MATCH(D$1,[1]quests!$1:$1,0)-MATCH($B$1,[1]quests!$1:$1,0)+1,FALSE)</f>
        <v>金曜クエスト</v>
      </c>
      <c r="E172" s="5">
        <v>4</v>
      </c>
      <c r="F172" s="3" t="str">
        <f ca="1">VLOOKUP($B172&amp;"_"&amp;$E172,OFFSET([1]stages!$A$1,0,0,COUNTA([1]stages!$A:$A),MATCH(F$1,[1]stages!$2:$2,0)-MATCH("temp_stage",[1]stages!$2:$2,0)+1),MATCH(F$1,[1]stages!$2:$2,0)-MATCH("temp_stage",[1]stages!$2:$2,0)+1,FALSE)</f>
        <v xml:space="preserve">【超級】雷の帽子屋 </v>
      </c>
      <c r="G172" s="3" t="str">
        <f ca="1">VLOOKUP($B172&amp;"_"&amp;$E172,OFFSET([1]stages!$A$1,0,0,COUNTA([1]stages!$A:$A),MATCH(G$1,[1]stages!$2:$2,0)-MATCH("temp_stage",[1]stages!$2:$2,0)+1),MATCH(G$1,[1]stages!$2:$2,0)-MATCH("temp_stage",[1]stages!$2:$2,0)+1,FALSE)</f>
        <v>金曜クエスト</v>
      </c>
      <c r="H172" s="18">
        <v>0</v>
      </c>
      <c r="I172">
        <v>35</v>
      </c>
      <c r="J172" s="5" t="s">
        <v>16</v>
      </c>
      <c r="K172" s="34" t="str">
        <f>VLOOKUP(I172,[2]stage_hints!$A:$C,3,FALSE)</f>
        <v>敵のステータスがスキルで上がったら</v>
      </c>
      <c r="L172" s="35" t="str">
        <f>VLOOKUP(I172,[2]stage_hints!$A:$D,4,FALSE)</f>
        <v>敵のステータスがスキルでアップしたときは_x000D_ステータスダウンスキルで上書きしましょう</v>
      </c>
      <c r="M172" s="21" t="s">
        <v>23</v>
      </c>
      <c r="N172">
        <v>35</v>
      </c>
    </row>
    <row r="173" spans="1:14" x14ac:dyDescent="0.15">
      <c r="A173" s="26" t="s">
        <v>32</v>
      </c>
      <c r="B173" s="4">
        <v>11105</v>
      </c>
      <c r="C173" s="3" t="str">
        <f ca="1">VLOOKUP($B173,OFFSET([1]quests!$A$1,0,0,COUNTA([1]quests!$A:$A),MATCH(C$1,[1]quests!$1:$1,0)-MATCH($B$1,[1]quests!$1:$1,0)+1),MATCH(C$1,[1]quests!$1:$1,0)-MATCH($B$1,[1]quests!$1:$1,0)+1,FALSE)</f>
        <v>【期間限定】 帽子屋を追え！</v>
      </c>
      <c r="D173" s="3" t="str">
        <f ca="1">VLOOKUP($B173,OFFSET([1]quests!$A$1,0,0,COUNTA([1]quests!$A:$A),MATCH(D$1,[1]quests!$1:$1,0)-MATCH($B$1,[1]quests!$1:$1,0)+1),MATCH(D$1,[1]quests!$1:$1,0)-MATCH($B$1,[1]quests!$1:$1,0)+1,FALSE)</f>
        <v>金曜クエスト</v>
      </c>
      <c r="E173" s="5">
        <v>4</v>
      </c>
      <c r="F173" s="3" t="str">
        <f ca="1">VLOOKUP($B173&amp;"_"&amp;$E173,OFFSET([1]stages!$A$1,0,0,COUNTA([1]stages!$A:$A),MATCH(F$1,[1]stages!$2:$2,0)-MATCH("temp_stage",[1]stages!$2:$2,0)+1),MATCH(F$1,[1]stages!$2:$2,0)-MATCH("temp_stage",[1]stages!$2:$2,0)+1,FALSE)</f>
        <v xml:space="preserve">【超級】雷の帽子屋 </v>
      </c>
      <c r="G173" s="3" t="str">
        <f ca="1">VLOOKUP($B173&amp;"_"&amp;$E173,OFFSET([1]stages!$A$1,0,0,COUNTA([1]stages!$A:$A),MATCH(G$1,[1]stages!$2:$2,0)-MATCH("temp_stage",[1]stages!$2:$2,0)+1),MATCH(G$1,[1]stages!$2:$2,0)-MATCH("temp_stage",[1]stages!$2:$2,0)+1,FALSE)</f>
        <v>金曜クエスト</v>
      </c>
      <c r="H173" s="18">
        <v>0</v>
      </c>
      <c r="I173">
        <v>36</v>
      </c>
      <c r="J173" s="5" t="s">
        <v>16</v>
      </c>
      <c r="K173" s="34" t="str">
        <f>VLOOKUP(I173,[2]stage_hints!$A:$C,3,FALSE)</f>
        <v>タワーオブザクイーンのボス</v>
      </c>
      <c r="L173" s="35" t="str">
        <f>VLOOKUP(I173,[2]stage_hints!$A:$D,4,FALSE)</f>
        <v>「タワーオブザクイーン」最上階のボスは_x000D_15階の初回クリア報酬で獲得できるほか_x000D_その階にて低確率でドロップもします</v>
      </c>
      <c r="M173" s="21" t="s">
        <v>23</v>
      </c>
      <c r="N173">
        <v>36</v>
      </c>
    </row>
    <row r="174" spans="1:14" x14ac:dyDescent="0.15">
      <c r="A174" s="26" t="s">
        <v>32</v>
      </c>
      <c r="B174" s="4">
        <v>11105</v>
      </c>
      <c r="C174" s="3" t="str">
        <f ca="1">VLOOKUP($B174,OFFSET([1]quests!$A$1,0,0,COUNTA([1]quests!$A:$A),MATCH(C$1,[1]quests!$1:$1,0)-MATCH($B$1,[1]quests!$1:$1,0)+1),MATCH(C$1,[1]quests!$1:$1,0)-MATCH($B$1,[1]quests!$1:$1,0)+1,FALSE)</f>
        <v>【期間限定】 帽子屋を追え！</v>
      </c>
      <c r="D174" s="3" t="str">
        <f ca="1">VLOOKUP($B174,OFFSET([1]quests!$A$1,0,0,COUNTA([1]quests!$A:$A),MATCH(D$1,[1]quests!$1:$1,0)-MATCH($B$1,[1]quests!$1:$1,0)+1),MATCH(D$1,[1]quests!$1:$1,0)-MATCH($B$1,[1]quests!$1:$1,0)+1,FALSE)</f>
        <v>金曜クエスト</v>
      </c>
      <c r="E174" s="5">
        <v>4</v>
      </c>
      <c r="F174" s="3" t="str">
        <f ca="1">VLOOKUP($B174&amp;"_"&amp;$E174,OFFSET([1]stages!$A$1,0,0,COUNTA([1]stages!$A:$A),MATCH(F$1,[1]stages!$2:$2,0)-MATCH("temp_stage",[1]stages!$2:$2,0)+1),MATCH(F$1,[1]stages!$2:$2,0)-MATCH("temp_stage",[1]stages!$2:$2,0)+1,FALSE)</f>
        <v xml:space="preserve">【超級】雷の帽子屋 </v>
      </c>
      <c r="G174" s="3" t="str">
        <f ca="1">VLOOKUP($B174&amp;"_"&amp;$E174,OFFSET([1]stages!$A$1,0,0,COUNTA([1]stages!$A:$A),MATCH(G$1,[1]stages!$2:$2,0)-MATCH("temp_stage",[1]stages!$2:$2,0)+1),MATCH(G$1,[1]stages!$2:$2,0)-MATCH("temp_stage",[1]stages!$2:$2,0)+1,FALSE)</f>
        <v>金曜クエスト</v>
      </c>
      <c r="H174" s="18">
        <v>0</v>
      </c>
      <c r="I174">
        <v>37</v>
      </c>
      <c r="J174" s="5" t="s">
        <v>16</v>
      </c>
      <c r="K174" s="34" t="str">
        <f>VLOOKUP(I174,[2]stage_hints!$A:$C,3,FALSE)</f>
        <v>限界突破値の引き継ぎ</v>
      </c>
      <c r="L174" s="35" t="str">
        <f>VLOOKUP(I174,[2]stage_hints!$A:$D,4,FALSE)</f>
        <v>同じユニットを強化で合成すると_x000D_限界突破値を引き継げます（覚醒前後も可）</v>
      </c>
      <c r="M174" s="21" t="s">
        <v>23</v>
      </c>
      <c r="N174">
        <v>37</v>
      </c>
    </row>
    <row r="175" spans="1:14" x14ac:dyDescent="0.15">
      <c r="A175" s="26" t="s">
        <v>32</v>
      </c>
      <c r="B175" s="4">
        <v>30001</v>
      </c>
      <c r="C175" s="3" t="str">
        <f ca="1">VLOOKUP($B175,OFFSET([1]quests!$A$1,0,0,COUNTA([1]quests!$A:$A),MATCH(C$1,[1]quests!$1:$1,0)-MATCH($B$1,[1]quests!$1:$1,0)+1),MATCH(C$1,[1]quests!$1:$1,0)-MATCH($B$1,[1]quests!$1:$1,0)+1,FALSE)</f>
        <v>ハンター・オブ・ハンター</v>
      </c>
      <c r="D175" s="3" t="str">
        <f ca="1">VLOOKUP($B175,OFFSET([1]quests!$A$1,0,0,COUNTA([1]quests!$A:$A),MATCH(D$1,[1]quests!$1:$1,0)-MATCH($B$1,[1]quests!$1:$1,0)+1),MATCH(D$1,[1]quests!$1:$1,0)-MATCH($B$1,[1]quests!$1:$1,0)+1,FALSE)</f>
        <v>ドロップイベント1-1（マルチ専用）</v>
      </c>
      <c r="E175" s="5">
        <v>3</v>
      </c>
      <c r="F175" s="3" t="str">
        <f ca="1">VLOOKUP($B175&amp;"_"&amp;$E175,OFFSET([1]stages!$A$1,0,0,COUNTA([1]stages!$A:$A),MATCH(F$1,[1]stages!$2:$2,0)-MATCH("temp_stage",[1]stages!$2:$2,0)+1),MATCH(F$1,[1]stages!$2:$2,0)-MATCH("temp_stage",[1]stages!$2:$2,0)+1,FALSE)</f>
        <v xml:space="preserve">【超級】ハンター・オブ・ハンター </v>
      </c>
      <c r="G175" s="3" t="str">
        <f ca="1">VLOOKUP($B175&amp;"_"&amp;$E175,OFFSET([1]stages!$A$1,0,0,COUNTA([1]stages!$A:$A),MATCH(G$1,[1]stages!$2:$2,0)-MATCH("temp_stage",[1]stages!$2:$2,0)+1),MATCH(G$1,[1]stages!$2:$2,0)-MATCH("temp_stage",[1]stages!$2:$2,0)+1,FALSE)</f>
        <v>ドロップイベント1-1（マルチ専用）</v>
      </c>
      <c r="H175" s="18">
        <v>0</v>
      </c>
      <c r="I175">
        <v>12</v>
      </c>
      <c r="J175" s="5" t="s">
        <v>16</v>
      </c>
      <c r="K175" s="34" t="str">
        <f>VLOOKUP(I175,[2]stage_hints!$A:$C,3,FALSE)</f>
        <v>ユニットのお気に入り登録</v>
      </c>
      <c r="L175" s="35" t="str">
        <f>VLOOKUP(I175,[2]stage_hints!$A:$D,4,FALSE)</f>
        <v>大事なユニットを誤って消さないように_x000D_フォルダから「お気に入り登録」しましょう</v>
      </c>
      <c r="M175" s="21" t="s">
        <v>23</v>
      </c>
      <c r="N175">
        <v>12</v>
      </c>
    </row>
    <row r="176" spans="1:14" x14ac:dyDescent="0.15">
      <c r="A176" s="26" t="s">
        <v>32</v>
      </c>
      <c r="B176" s="4">
        <v>30001</v>
      </c>
      <c r="C176" s="3" t="str">
        <f ca="1">VLOOKUP($B176,OFFSET([1]quests!$A$1,0,0,COUNTA([1]quests!$A:$A),MATCH(C$1,[1]quests!$1:$1,0)-MATCH($B$1,[1]quests!$1:$1,0)+1),MATCH(C$1,[1]quests!$1:$1,0)-MATCH($B$1,[1]quests!$1:$1,0)+1,FALSE)</f>
        <v>ハンター・オブ・ハンター</v>
      </c>
      <c r="D176" s="3" t="str">
        <f ca="1">VLOOKUP($B176,OFFSET([1]quests!$A$1,0,0,COUNTA([1]quests!$A:$A),MATCH(D$1,[1]quests!$1:$1,0)-MATCH($B$1,[1]quests!$1:$1,0)+1),MATCH(D$1,[1]quests!$1:$1,0)-MATCH($B$1,[1]quests!$1:$1,0)+1,FALSE)</f>
        <v>ドロップイベント1-1（マルチ専用）</v>
      </c>
      <c r="E176" s="5">
        <v>3</v>
      </c>
      <c r="F176" s="3" t="str">
        <f ca="1">VLOOKUP($B176&amp;"_"&amp;$E176,OFFSET([1]stages!$A$1,0,0,COUNTA([1]stages!$A:$A),MATCH(F$1,[1]stages!$2:$2,0)-MATCH("temp_stage",[1]stages!$2:$2,0)+1),MATCH(F$1,[1]stages!$2:$2,0)-MATCH("temp_stage",[1]stages!$2:$2,0)+1,FALSE)</f>
        <v xml:space="preserve">【超級】ハンター・オブ・ハンター </v>
      </c>
      <c r="G176" s="3" t="str">
        <f ca="1">VLOOKUP($B176&amp;"_"&amp;$E176,OFFSET([1]stages!$A$1,0,0,COUNTA([1]stages!$A:$A),MATCH(G$1,[1]stages!$2:$2,0)-MATCH("temp_stage",[1]stages!$2:$2,0)+1),MATCH(G$1,[1]stages!$2:$2,0)-MATCH("temp_stage",[1]stages!$2:$2,0)+1,FALSE)</f>
        <v>ドロップイベント1-1（マルチ専用）</v>
      </c>
      <c r="H176" s="18">
        <v>0</v>
      </c>
      <c r="I176">
        <v>17</v>
      </c>
      <c r="J176" s="5" t="s">
        <v>16</v>
      </c>
      <c r="K176" s="34" t="str">
        <f>VLOOKUP(I176,[2]stage_hints!$A:$C,3,FALSE)</f>
        <v>リンクガチャ</v>
      </c>
      <c r="L176" s="35" t="str">
        <f>VLOOKUP(I176,[2]stage_hints!$A:$D,4,FALSE)</f>
        <v>無料のリンクガチャを回して_x000D_経験値素材や売却素材を獲得しましょう</v>
      </c>
      <c r="M176" s="21" t="s">
        <v>23</v>
      </c>
      <c r="N176">
        <v>17</v>
      </c>
    </row>
    <row r="177" spans="1:14" x14ac:dyDescent="0.15">
      <c r="A177" s="26" t="s">
        <v>32</v>
      </c>
      <c r="B177" s="4">
        <v>30001</v>
      </c>
      <c r="C177" s="3" t="str">
        <f ca="1">VLOOKUP($B177,OFFSET([1]quests!$A$1,0,0,COUNTA([1]quests!$A:$A),MATCH(C$1,[1]quests!$1:$1,0)-MATCH($B$1,[1]quests!$1:$1,0)+1),MATCH(C$1,[1]quests!$1:$1,0)-MATCH($B$1,[1]quests!$1:$1,0)+1,FALSE)</f>
        <v>ハンター・オブ・ハンター</v>
      </c>
      <c r="D177" s="3" t="str">
        <f ca="1">VLOOKUP($B177,OFFSET([1]quests!$A$1,0,0,COUNTA([1]quests!$A:$A),MATCH(D$1,[1]quests!$1:$1,0)-MATCH($B$1,[1]quests!$1:$1,0)+1),MATCH(D$1,[1]quests!$1:$1,0)-MATCH($B$1,[1]quests!$1:$1,0)+1,FALSE)</f>
        <v>ドロップイベント1-1（マルチ専用）</v>
      </c>
      <c r="E177" s="5">
        <v>3</v>
      </c>
      <c r="F177" s="3" t="str">
        <f ca="1">VLOOKUP($B177&amp;"_"&amp;$E177,OFFSET([1]stages!$A$1,0,0,COUNTA([1]stages!$A:$A),MATCH(F$1,[1]stages!$2:$2,0)-MATCH("temp_stage",[1]stages!$2:$2,0)+1),MATCH(F$1,[1]stages!$2:$2,0)-MATCH("temp_stage",[1]stages!$2:$2,0)+1,FALSE)</f>
        <v xml:space="preserve">【超級】ハンター・オブ・ハンター </v>
      </c>
      <c r="G177" s="3" t="str">
        <f ca="1">VLOOKUP($B177&amp;"_"&amp;$E177,OFFSET([1]stages!$A$1,0,0,COUNTA([1]stages!$A:$A),MATCH(G$1,[1]stages!$2:$2,0)-MATCH("temp_stage",[1]stages!$2:$2,0)+1),MATCH(G$1,[1]stages!$2:$2,0)-MATCH("temp_stage",[1]stages!$2:$2,0)+1,FALSE)</f>
        <v>ドロップイベント1-1（マルチ専用）</v>
      </c>
      <c r="H177" s="18">
        <v>0</v>
      </c>
      <c r="I177">
        <v>19</v>
      </c>
      <c r="J177" s="5" t="s">
        <v>16</v>
      </c>
      <c r="K177" s="34" t="str">
        <f>VLOOKUP(I177,[2]stage_hints!$A:$C,3,FALSE)</f>
        <v>ソロ専用タワーオブザクイーン</v>
      </c>
      <c r="L177" s="35" t="str">
        <f>VLOOKUP(I177,[2]stage_hints!$A:$D,4,FALSE)</f>
        <v>ソロ専用の「タワーオブザクイーン」は_x000D_期間限定で定期的に開催されます_x000D_ここでしか獲得できない報酬もあるようです</v>
      </c>
      <c r="M177" s="21" t="s">
        <v>23</v>
      </c>
      <c r="N177">
        <v>19</v>
      </c>
    </row>
    <row r="178" spans="1:14" x14ac:dyDescent="0.15">
      <c r="A178" s="26" t="s">
        <v>32</v>
      </c>
      <c r="B178" s="4">
        <v>30001</v>
      </c>
      <c r="C178" s="3" t="str">
        <f ca="1">VLOOKUP($B178,OFFSET([1]quests!$A$1,0,0,COUNTA([1]quests!$A:$A),MATCH(C$1,[1]quests!$1:$1,0)-MATCH($B$1,[1]quests!$1:$1,0)+1),MATCH(C$1,[1]quests!$1:$1,0)-MATCH($B$1,[1]quests!$1:$1,0)+1,FALSE)</f>
        <v>ハンター・オブ・ハンター</v>
      </c>
      <c r="D178" s="3" t="str">
        <f ca="1">VLOOKUP($B178,OFFSET([1]quests!$A$1,0,0,COUNTA([1]quests!$A:$A),MATCH(D$1,[1]quests!$1:$1,0)-MATCH($B$1,[1]quests!$1:$1,0)+1),MATCH(D$1,[1]quests!$1:$1,0)-MATCH($B$1,[1]quests!$1:$1,0)+1,FALSE)</f>
        <v>ドロップイベント1-1（マルチ専用）</v>
      </c>
      <c r="E178" s="5">
        <v>3</v>
      </c>
      <c r="F178" s="3" t="str">
        <f ca="1">VLOOKUP($B178&amp;"_"&amp;$E178,OFFSET([1]stages!$A$1,0,0,COUNTA([1]stages!$A:$A),MATCH(F$1,[1]stages!$2:$2,0)-MATCH("temp_stage",[1]stages!$2:$2,0)+1),MATCH(F$1,[1]stages!$2:$2,0)-MATCH("temp_stage",[1]stages!$2:$2,0)+1,FALSE)</f>
        <v xml:space="preserve">【超級】ハンター・オブ・ハンター </v>
      </c>
      <c r="G178" s="3" t="str">
        <f ca="1">VLOOKUP($B178&amp;"_"&amp;$E178,OFFSET([1]stages!$A$1,0,0,COUNTA([1]stages!$A:$A),MATCH(G$1,[1]stages!$2:$2,0)-MATCH("temp_stage",[1]stages!$2:$2,0)+1),MATCH(G$1,[1]stages!$2:$2,0)-MATCH("temp_stage",[1]stages!$2:$2,0)+1,FALSE)</f>
        <v>ドロップイベント1-1（マルチ専用）</v>
      </c>
      <c r="H178" s="18">
        <v>0</v>
      </c>
      <c r="I178">
        <v>21</v>
      </c>
      <c r="J178" s="5" t="s">
        <v>16</v>
      </c>
      <c r="K178" s="34" t="str">
        <f>VLOOKUP(I178,[2]stage_hints!$A:$C,3,FALSE)</f>
        <v>スキルを有効に</v>
      </c>
      <c r="L178" s="35" t="str">
        <f>VLOOKUP(I178,[2]stage_hints!$A:$D,4,FALSE)</f>
        <v>ターン経過でユニットのスキルが使えます_x000D_強力スキルでバトルを有利に進めましょう</v>
      </c>
      <c r="M178" s="21" t="s">
        <v>23</v>
      </c>
      <c r="N178">
        <v>21</v>
      </c>
    </row>
    <row r="179" spans="1:14" x14ac:dyDescent="0.15">
      <c r="A179" s="26" t="s">
        <v>32</v>
      </c>
      <c r="B179" s="4">
        <v>30001</v>
      </c>
      <c r="C179" s="3" t="str">
        <f ca="1">VLOOKUP($B179,OFFSET([1]quests!$A$1,0,0,COUNTA([1]quests!$A:$A),MATCH(C$1,[1]quests!$1:$1,0)-MATCH($B$1,[1]quests!$1:$1,0)+1),MATCH(C$1,[1]quests!$1:$1,0)-MATCH($B$1,[1]quests!$1:$1,0)+1,FALSE)</f>
        <v>ハンター・オブ・ハンター</v>
      </c>
      <c r="D179" s="3" t="str">
        <f ca="1">VLOOKUP($B179,OFFSET([1]quests!$A$1,0,0,COUNTA([1]quests!$A:$A),MATCH(D$1,[1]quests!$1:$1,0)-MATCH($B$1,[1]quests!$1:$1,0)+1),MATCH(D$1,[1]quests!$1:$1,0)-MATCH($B$1,[1]quests!$1:$1,0)+1,FALSE)</f>
        <v>ドロップイベント1-1（マルチ専用）</v>
      </c>
      <c r="E179" s="5">
        <v>3</v>
      </c>
      <c r="F179" s="3" t="str">
        <f ca="1">VLOOKUP($B179&amp;"_"&amp;$E179,OFFSET([1]stages!$A$1,0,0,COUNTA([1]stages!$A:$A),MATCH(F$1,[1]stages!$2:$2,0)-MATCH("temp_stage",[1]stages!$2:$2,0)+1),MATCH(F$1,[1]stages!$2:$2,0)-MATCH("temp_stage",[1]stages!$2:$2,0)+1,FALSE)</f>
        <v xml:space="preserve">【超級】ハンター・オブ・ハンター </v>
      </c>
      <c r="G179" s="3" t="str">
        <f ca="1">VLOOKUP($B179&amp;"_"&amp;$E179,OFFSET([1]stages!$A$1,0,0,COUNTA([1]stages!$A:$A),MATCH(G$1,[1]stages!$2:$2,0)-MATCH("temp_stage",[1]stages!$2:$2,0)+1),MATCH(G$1,[1]stages!$2:$2,0)-MATCH("temp_stage",[1]stages!$2:$2,0)+1,FALSE)</f>
        <v>ドロップイベント1-1（マルチ専用）</v>
      </c>
      <c r="H179" s="18">
        <v>0</v>
      </c>
      <c r="I179">
        <v>27</v>
      </c>
      <c r="J179" s="5" t="s">
        <v>16</v>
      </c>
      <c r="K179" s="34" t="str">
        <f>VLOOKUP(I179,[2]stage_hints!$A:$C,3,FALSE)</f>
        <v>ホーム画面からデッキを編成</v>
      </c>
      <c r="L179" s="35" t="str">
        <f>VLOOKUP(I179,[2]stage_hints!$A:$D,4,FALSE)</f>
        <v>ホーム画面でユニットを長押しすると_x000D_すぐにパーティ編成に移動できます</v>
      </c>
      <c r="M179" s="21" t="s">
        <v>23</v>
      </c>
      <c r="N179">
        <v>27</v>
      </c>
    </row>
    <row r="180" spans="1:14" x14ac:dyDescent="0.15">
      <c r="A180" s="26" t="s">
        <v>32</v>
      </c>
      <c r="B180" s="4">
        <v>30001</v>
      </c>
      <c r="C180" s="3" t="str">
        <f ca="1">VLOOKUP($B180,OFFSET([1]quests!$A$1,0,0,COUNTA([1]quests!$A:$A),MATCH(C$1,[1]quests!$1:$1,0)-MATCH($B$1,[1]quests!$1:$1,0)+1),MATCH(C$1,[1]quests!$1:$1,0)-MATCH($B$1,[1]quests!$1:$1,0)+1,FALSE)</f>
        <v>ハンター・オブ・ハンター</v>
      </c>
      <c r="D180" s="3" t="str">
        <f ca="1">VLOOKUP($B180,OFFSET([1]quests!$A$1,0,0,COUNTA([1]quests!$A:$A),MATCH(D$1,[1]quests!$1:$1,0)-MATCH($B$1,[1]quests!$1:$1,0)+1),MATCH(D$1,[1]quests!$1:$1,0)-MATCH($B$1,[1]quests!$1:$1,0)+1,FALSE)</f>
        <v>ドロップイベント1-1（マルチ専用）</v>
      </c>
      <c r="E180" s="5">
        <v>3</v>
      </c>
      <c r="F180" s="3" t="str">
        <f ca="1">VLOOKUP($B180&amp;"_"&amp;$E180,OFFSET([1]stages!$A$1,0,0,COUNTA([1]stages!$A:$A),MATCH(F$1,[1]stages!$2:$2,0)-MATCH("temp_stage",[1]stages!$2:$2,0)+1),MATCH(F$1,[1]stages!$2:$2,0)-MATCH("temp_stage",[1]stages!$2:$2,0)+1,FALSE)</f>
        <v xml:space="preserve">【超級】ハンター・オブ・ハンター </v>
      </c>
      <c r="G180" s="3" t="str">
        <f ca="1">VLOOKUP($B180&amp;"_"&amp;$E180,OFFSET([1]stages!$A$1,0,0,COUNTA([1]stages!$A:$A),MATCH(G$1,[1]stages!$2:$2,0)-MATCH("temp_stage",[1]stages!$2:$2,0)+1),MATCH(G$1,[1]stages!$2:$2,0)-MATCH("temp_stage",[1]stages!$2:$2,0)+1,FALSE)</f>
        <v>ドロップイベント1-1（マルチ専用）</v>
      </c>
      <c r="H180" s="18">
        <v>0</v>
      </c>
      <c r="I180">
        <v>28</v>
      </c>
      <c r="J180" s="5" t="s">
        <v>16</v>
      </c>
      <c r="K180" s="34" t="str">
        <f>VLOOKUP(I180,[2]stage_hints!$A:$C,3,FALSE)</f>
        <v>ステータス情報は長押しで</v>
      </c>
      <c r="L180" s="35" t="str">
        <f>VLOOKUP(I180,[2]stage_hints!$A:$D,4,FALSE)</f>
        <v>ユニットのアイコンを長押しすると_x000D_ステータス情報を確認することができます</v>
      </c>
      <c r="M180" s="21" t="s">
        <v>23</v>
      </c>
      <c r="N180">
        <v>28</v>
      </c>
    </row>
    <row r="181" spans="1:14" x14ac:dyDescent="0.15">
      <c r="A181" s="26" t="s">
        <v>32</v>
      </c>
      <c r="B181" s="4">
        <v>30001</v>
      </c>
      <c r="C181" s="3" t="str">
        <f ca="1">VLOOKUP($B181,OFFSET([1]quests!$A$1,0,0,COUNTA([1]quests!$A:$A),MATCH(C$1,[1]quests!$1:$1,0)-MATCH($B$1,[1]quests!$1:$1,0)+1),MATCH(C$1,[1]quests!$1:$1,0)-MATCH($B$1,[1]quests!$1:$1,0)+1,FALSE)</f>
        <v>ハンター・オブ・ハンター</v>
      </c>
      <c r="D181" s="3" t="str">
        <f ca="1">VLOOKUP($B181,OFFSET([1]quests!$A$1,0,0,COUNTA([1]quests!$A:$A),MATCH(D$1,[1]quests!$1:$1,0)-MATCH($B$1,[1]quests!$1:$1,0)+1),MATCH(D$1,[1]quests!$1:$1,0)-MATCH($B$1,[1]quests!$1:$1,0)+1,FALSE)</f>
        <v>ドロップイベント1-1（マルチ専用）</v>
      </c>
      <c r="E181" s="5">
        <v>3</v>
      </c>
      <c r="F181" s="3" t="str">
        <f ca="1">VLOOKUP($B181&amp;"_"&amp;$E181,OFFSET([1]stages!$A$1,0,0,COUNTA([1]stages!$A:$A),MATCH(F$1,[1]stages!$2:$2,0)-MATCH("temp_stage",[1]stages!$2:$2,0)+1),MATCH(F$1,[1]stages!$2:$2,0)-MATCH("temp_stage",[1]stages!$2:$2,0)+1,FALSE)</f>
        <v xml:space="preserve">【超級】ハンター・オブ・ハンター </v>
      </c>
      <c r="G181" s="3" t="str">
        <f ca="1">VLOOKUP($B181&amp;"_"&amp;$E181,OFFSET([1]stages!$A$1,0,0,COUNTA([1]stages!$A:$A),MATCH(G$1,[1]stages!$2:$2,0)-MATCH("temp_stage",[1]stages!$2:$2,0)+1),MATCH(G$1,[1]stages!$2:$2,0)-MATCH("temp_stage",[1]stages!$2:$2,0)+1,FALSE)</f>
        <v>ドロップイベント1-1（マルチ専用）</v>
      </c>
      <c r="H181" s="18">
        <v>0</v>
      </c>
      <c r="I181">
        <v>29</v>
      </c>
      <c r="J181" s="5" t="s">
        <v>16</v>
      </c>
      <c r="K181" s="34" t="str">
        <f>VLOOKUP(I181,[2]stage_hints!$A:$C,3,FALSE)</f>
        <v>「バグ」のメリット</v>
      </c>
      <c r="L181" s="35" t="str">
        <f>VLOOKUP(I181,[2]stage_hints!$A:$D,4,FALSE)</f>
        <v>ユニットの「バグ」を増やすと_x000D_報酬をもらえる確率がアップします</v>
      </c>
      <c r="M181" s="21" t="s">
        <v>23</v>
      </c>
      <c r="N181">
        <v>29</v>
      </c>
    </row>
    <row r="182" spans="1:14" x14ac:dyDescent="0.15">
      <c r="A182" s="26" t="s">
        <v>32</v>
      </c>
      <c r="B182" s="4">
        <v>30001</v>
      </c>
      <c r="C182" s="3" t="str">
        <f ca="1">VLOOKUP($B182,OFFSET([1]quests!$A$1,0,0,COUNTA([1]quests!$A:$A),MATCH(C$1,[1]quests!$1:$1,0)-MATCH($B$1,[1]quests!$1:$1,0)+1),MATCH(C$1,[1]quests!$1:$1,0)-MATCH($B$1,[1]quests!$1:$1,0)+1,FALSE)</f>
        <v>ハンター・オブ・ハンター</v>
      </c>
      <c r="D182" s="3" t="str">
        <f ca="1">VLOOKUP($B182,OFFSET([1]quests!$A$1,0,0,COUNTA([1]quests!$A:$A),MATCH(D$1,[1]quests!$1:$1,0)-MATCH($B$1,[1]quests!$1:$1,0)+1),MATCH(D$1,[1]quests!$1:$1,0)-MATCH($B$1,[1]quests!$1:$1,0)+1,FALSE)</f>
        <v>ドロップイベント1-1（マルチ専用）</v>
      </c>
      <c r="E182" s="5">
        <v>3</v>
      </c>
      <c r="F182" s="3" t="str">
        <f ca="1">VLOOKUP($B182&amp;"_"&amp;$E182,OFFSET([1]stages!$A$1,0,0,COUNTA([1]stages!$A:$A),MATCH(F$1,[1]stages!$2:$2,0)-MATCH("temp_stage",[1]stages!$2:$2,0)+1),MATCH(F$1,[1]stages!$2:$2,0)-MATCH("temp_stage",[1]stages!$2:$2,0)+1,FALSE)</f>
        <v xml:space="preserve">【超級】ハンター・オブ・ハンター </v>
      </c>
      <c r="G182" s="3" t="str">
        <f ca="1">VLOOKUP($B182&amp;"_"&amp;$E182,OFFSET([1]stages!$A$1,0,0,COUNTA([1]stages!$A:$A),MATCH(G$1,[1]stages!$2:$2,0)-MATCH("temp_stage",[1]stages!$2:$2,0)+1),MATCH(G$1,[1]stages!$2:$2,0)-MATCH("temp_stage",[1]stages!$2:$2,0)+1,FALSE)</f>
        <v>ドロップイベント1-1（マルチ専用）</v>
      </c>
      <c r="H182" s="18">
        <v>0</v>
      </c>
      <c r="I182">
        <v>30</v>
      </c>
      <c r="J182" s="5" t="s">
        <v>16</v>
      </c>
      <c r="K182" s="34" t="str">
        <f>VLOOKUP(I182,[2]stage_hints!$A:$C,3,FALSE)</f>
        <v>「バグ」の増やし方</v>
      </c>
      <c r="L182" s="35" t="str">
        <f>VLOOKUP(I182,[2]stage_hints!$A:$D,4,FALSE)</f>
        <v>同じユニット同士を強化で合成すると_x000D_「バグ」を増やすことができます</v>
      </c>
      <c r="M182" s="21" t="s">
        <v>23</v>
      </c>
      <c r="N182">
        <v>30</v>
      </c>
    </row>
    <row r="183" spans="1:14" x14ac:dyDescent="0.15">
      <c r="A183" s="26" t="s">
        <v>32</v>
      </c>
      <c r="B183" s="4">
        <v>30001</v>
      </c>
      <c r="C183" s="3" t="str">
        <f ca="1">VLOOKUP($B183,OFFSET([1]quests!$A$1,0,0,COUNTA([1]quests!$A:$A),MATCH(C$1,[1]quests!$1:$1,0)-MATCH($B$1,[1]quests!$1:$1,0)+1),MATCH(C$1,[1]quests!$1:$1,0)-MATCH($B$1,[1]quests!$1:$1,0)+1,FALSE)</f>
        <v>ハンター・オブ・ハンター</v>
      </c>
      <c r="D183" s="3" t="str">
        <f ca="1">VLOOKUP($B183,OFFSET([1]quests!$A$1,0,0,COUNTA([1]quests!$A:$A),MATCH(D$1,[1]quests!$1:$1,0)-MATCH($B$1,[1]quests!$1:$1,0)+1),MATCH(D$1,[1]quests!$1:$1,0)-MATCH($B$1,[1]quests!$1:$1,0)+1,FALSE)</f>
        <v>ドロップイベント1-1（マルチ専用）</v>
      </c>
      <c r="E183" s="5">
        <v>3</v>
      </c>
      <c r="F183" s="3" t="str">
        <f ca="1">VLOOKUP($B183&amp;"_"&amp;$E183,OFFSET([1]stages!$A$1,0,0,COUNTA([1]stages!$A:$A),MATCH(F$1,[1]stages!$2:$2,0)-MATCH("temp_stage",[1]stages!$2:$2,0)+1),MATCH(F$1,[1]stages!$2:$2,0)-MATCH("temp_stage",[1]stages!$2:$2,0)+1,FALSE)</f>
        <v xml:space="preserve">【超級】ハンター・オブ・ハンター </v>
      </c>
      <c r="G183" s="3" t="str">
        <f ca="1">VLOOKUP($B183&amp;"_"&amp;$E183,OFFSET([1]stages!$A$1,0,0,COUNTA([1]stages!$A:$A),MATCH(G$1,[1]stages!$2:$2,0)-MATCH("temp_stage",[1]stages!$2:$2,0)+1),MATCH(G$1,[1]stages!$2:$2,0)-MATCH("temp_stage",[1]stages!$2:$2,0)+1,FALSE)</f>
        <v>ドロップイベント1-1（マルチ専用）</v>
      </c>
      <c r="H183" s="18">
        <v>0</v>
      </c>
      <c r="I183">
        <v>32</v>
      </c>
      <c r="J183" s="5" t="s">
        <v>16</v>
      </c>
      <c r="K183" s="34" t="str">
        <f>VLOOKUP(I183,[2]stage_hints!$A:$C,3,FALSE)</f>
        <v>敵の連続攻撃には</v>
      </c>
      <c r="L183" s="35" t="str">
        <f>VLOOKUP(I183,[2]stage_hints!$A:$D,4,FALSE)</f>
        <v>カウンタースキルを持つユニットがいれば_x000D_ダメージ回数分の反撃ができます</v>
      </c>
      <c r="M183" s="21" t="s">
        <v>23</v>
      </c>
      <c r="N183">
        <v>32</v>
      </c>
    </row>
    <row r="184" spans="1:14" x14ac:dyDescent="0.15">
      <c r="A184" s="26" t="s">
        <v>32</v>
      </c>
      <c r="B184" s="4">
        <v>30001</v>
      </c>
      <c r="C184" s="3" t="str">
        <f ca="1">VLOOKUP($B184,OFFSET([1]quests!$A$1,0,0,COUNTA([1]quests!$A:$A),MATCH(C$1,[1]quests!$1:$1,0)-MATCH($B$1,[1]quests!$1:$1,0)+1),MATCH(C$1,[1]quests!$1:$1,0)-MATCH($B$1,[1]quests!$1:$1,0)+1,FALSE)</f>
        <v>ハンター・オブ・ハンター</v>
      </c>
      <c r="D184" s="3" t="str">
        <f ca="1">VLOOKUP($B184,OFFSET([1]quests!$A$1,0,0,COUNTA([1]quests!$A:$A),MATCH(D$1,[1]quests!$1:$1,0)-MATCH($B$1,[1]quests!$1:$1,0)+1),MATCH(D$1,[1]quests!$1:$1,0)-MATCH($B$1,[1]quests!$1:$1,0)+1,FALSE)</f>
        <v>ドロップイベント1-1（マルチ専用）</v>
      </c>
      <c r="E184" s="5">
        <v>3</v>
      </c>
      <c r="F184" s="3" t="str">
        <f ca="1">VLOOKUP($B184&amp;"_"&amp;$E184,OFFSET([1]stages!$A$1,0,0,COUNTA([1]stages!$A:$A),MATCH(F$1,[1]stages!$2:$2,0)-MATCH("temp_stage",[1]stages!$2:$2,0)+1),MATCH(F$1,[1]stages!$2:$2,0)-MATCH("temp_stage",[1]stages!$2:$2,0)+1,FALSE)</f>
        <v xml:space="preserve">【超級】ハンター・オブ・ハンター </v>
      </c>
      <c r="G184" s="3" t="str">
        <f ca="1">VLOOKUP($B184&amp;"_"&amp;$E184,OFFSET([1]stages!$A$1,0,0,COUNTA([1]stages!$A:$A),MATCH(G$1,[1]stages!$2:$2,0)-MATCH("temp_stage",[1]stages!$2:$2,0)+1),MATCH(G$1,[1]stages!$2:$2,0)-MATCH("temp_stage",[1]stages!$2:$2,0)+1,FALSE)</f>
        <v>ドロップイベント1-1（マルチ専用）</v>
      </c>
      <c r="H184" s="18">
        <v>0</v>
      </c>
      <c r="I184">
        <v>33</v>
      </c>
      <c r="J184" s="5" t="s">
        <v>16</v>
      </c>
      <c r="K184" s="34" t="str">
        <f>VLOOKUP(I184,[2]stage_hints!$A:$C,3,FALSE)</f>
        <v>敵のカウンター攻撃には</v>
      </c>
      <c r="L184" s="35" t="str">
        <f>VLOOKUP(I184,[2]stage_hints!$A:$D,4,FALSE)</f>
        <v>カウンターブレイクスキルを持っていれば_x000D_敵のカウンターを解除して攻撃ができます</v>
      </c>
      <c r="M184" s="21" t="s">
        <v>23</v>
      </c>
      <c r="N184">
        <v>33</v>
      </c>
    </row>
    <row r="185" spans="1:14" x14ac:dyDescent="0.15">
      <c r="A185" s="26" t="s">
        <v>32</v>
      </c>
      <c r="B185" s="4">
        <v>30001</v>
      </c>
      <c r="C185" s="3" t="str">
        <f ca="1">VLOOKUP($B185,OFFSET([1]quests!$A$1,0,0,COUNTA([1]quests!$A:$A),MATCH(C$1,[1]quests!$1:$1,0)-MATCH($B$1,[1]quests!$1:$1,0)+1),MATCH(C$1,[1]quests!$1:$1,0)-MATCH($B$1,[1]quests!$1:$1,0)+1,FALSE)</f>
        <v>ハンター・オブ・ハンター</v>
      </c>
      <c r="D185" s="3" t="str">
        <f ca="1">VLOOKUP($B185,OFFSET([1]quests!$A$1,0,0,COUNTA([1]quests!$A:$A),MATCH(D$1,[1]quests!$1:$1,0)-MATCH($B$1,[1]quests!$1:$1,0)+1),MATCH(D$1,[1]quests!$1:$1,0)-MATCH($B$1,[1]quests!$1:$1,0)+1,FALSE)</f>
        <v>ドロップイベント1-1（マルチ専用）</v>
      </c>
      <c r="E185" s="5">
        <v>3</v>
      </c>
      <c r="F185" s="3" t="str">
        <f ca="1">VLOOKUP($B185&amp;"_"&amp;$E185,OFFSET([1]stages!$A$1,0,0,COUNTA([1]stages!$A:$A),MATCH(F$1,[1]stages!$2:$2,0)-MATCH("temp_stage",[1]stages!$2:$2,0)+1),MATCH(F$1,[1]stages!$2:$2,0)-MATCH("temp_stage",[1]stages!$2:$2,0)+1,FALSE)</f>
        <v xml:space="preserve">【超級】ハンター・オブ・ハンター </v>
      </c>
      <c r="G185" s="3" t="str">
        <f ca="1">VLOOKUP($B185&amp;"_"&amp;$E185,OFFSET([1]stages!$A$1,0,0,COUNTA([1]stages!$A:$A),MATCH(G$1,[1]stages!$2:$2,0)-MATCH("temp_stage",[1]stages!$2:$2,0)+1),MATCH(G$1,[1]stages!$2:$2,0)-MATCH("temp_stage",[1]stages!$2:$2,0)+1,FALSE)</f>
        <v>ドロップイベント1-1（マルチ専用）</v>
      </c>
      <c r="H185" s="18">
        <v>0</v>
      </c>
      <c r="I185">
        <v>34</v>
      </c>
      <c r="J185" s="5" t="s">
        <v>16</v>
      </c>
      <c r="K185" s="34" t="str">
        <f>VLOOKUP(I185,[2]stage_hints!$A:$C,3,FALSE)</f>
        <v>ステータスをスキルで下げられたら</v>
      </c>
      <c r="L185" s="35" t="str">
        <f>VLOOKUP(I185,[2]stage_hints!$A:$D,4,FALSE)</f>
        <v>ステータスダウンのスキルを受けたら_x000D_ステータスアップスキルで上書きしましょう</v>
      </c>
      <c r="M185" s="21" t="s">
        <v>23</v>
      </c>
      <c r="N185">
        <v>34</v>
      </c>
    </row>
    <row r="186" spans="1:14" x14ac:dyDescent="0.15">
      <c r="A186" s="26" t="s">
        <v>32</v>
      </c>
      <c r="B186" s="4">
        <v>30001</v>
      </c>
      <c r="C186" s="3" t="str">
        <f ca="1">VLOOKUP($B186,OFFSET([1]quests!$A$1,0,0,COUNTA([1]quests!$A:$A),MATCH(C$1,[1]quests!$1:$1,0)-MATCH($B$1,[1]quests!$1:$1,0)+1),MATCH(C$1,[1]quests!$1:$1,0)-MATCH($B$1,[1]quests!$1:$1,0)+1,FALSE)</f>
        <v>ハンター・オブ・ハンター</v>
      </c>
      <c r="D186" s="3" t="str">
        <f ca="1">VLOOKUP($B186,OFFSET([1]quests!$A$1,0,0,COUNTA([1]quests!$A:$A),MATCH(D$1,[1]quests!$1:$1,0)-MATCH($B$1,[1]quests!$1:$1,0)+1),MATCH(D$1,[1]quests!$1:$1,0)-MATCH($B$1,[1]quests!$1:$1,0)+1,FALSE)</f>
        <v>ドロップイベント1-1（マルチ専用）</v>
      </c>
      <c r="E186" s="5">
        <v>3</v>
      </c>
      <c r="F186" s="3" t="str">
        <f ca="1">VLOOKUP($B186&amp;"_"&amp;$E186,OFFSET([1]stages!$A$1,0,0,COUNTA([1]stages!$A:$A),MATCH(F$1,[1]stages!$2:$2,0)-MATCH("temp_stage",[1]stages!$2:$2,0)+1),MATCH(F$1,[1]stages!$2:$2,0)-MATCH("temp_stage",[1]stages!$2:$2,0)+1,FALSE)</f>
        <v xml:space="preserve">【超級】ハンター・オブ・ハンター </v>
      </c>
      <c r="G186" s="3" t="str">
        <f ca="1">VLOOKUP($B186&amp;"_"&amp;$E186,OFFSET([1]stages!$A$1,0,0,COUNTA([1]stages!$A:$A),MATCH(G$1,[1]stages!$2:$2,0)-MATCH("temp_stage",[1]stages!$2:$2,0)+1),MATCH(G$1,[1]stages!$2:$2,0)-MATCH("temp_stage",[1]stages!$2:$2,0)+1,FALSE)</f>
        <v>ドロップイベント1-1（マルチ専用）</v>
      </c>
      <c r="H186" s="18">
        <v>0</v>
      </c>
      <c r="I186">
        <v>35</v>
      </c>
      <c r="J186" s="5" t="s">
        <v>16</v>
      </c>
      <c r="K186" s="34" t="str">
        <f>VLOOKUP(I186,[2]stage_hints!$A:$C,3,FALSE)</f>
        <v>敵のステータスがスキルで上がったら</v>
      </c>
      <c r="L186" s="35" t="str">
        <f>VLOOKUP(I186,[2]stage_hints!$A:$D,4,FALSE)</f>
        <v>敵のステータスがスキルでアップしたときは_x000D_ステータスダウンスキルで上書きしましょう</v>
      </c>
      <c r="M186" s="21" t="s">
        <v>23</v>
      </c>
      <c r="N186">
        <v>35</v>
      </c>
    </row>
    <row r="187" spans="1:14" x14ac:dyDescent="0.15">
      <c r="A187" s="26" t="s">
        <v>32</v>
      </c>
      <c r="B187" s="4">
        <v>30001</v>
      </c>
      <c r="C187" s="3" t="str">
        <f ca="1">VLOOKUP($B187,OFFSET([1]quests!$A$1,0,0,COUNTA([1]quests!$A:$A),MATCH(C$1,[1]quests!$1:$1,0)-MATCH($B$1,[1]quests!$1:$1,0)+1),MATCH(C$1,[1]quests!$1:$1,0)-MATCH($B$1,[1]quests!$1:$1,0)+1,FALSE)</f>
        <v>ハンター・オブ・ハンター</v>
      </c>
      <c r="D187" s="3" t="str">
        <f ca="1">VLOOKUP($B187,OFFSET([1]quests!$A$1,0,0,COUNTA([1]quests!$A:$A),MATCH(D$1,[1]quests!$1:$1,0)-MATCH($B$1,[1]quests!$1:$1,0)+1),MATCH(D$1,[1]quests!$1:$1,0)-MATCH($B$1,[1]quests!$1:$1,0)+1,FALSE)</f>
        <v>ドロップイベント1-1（マルチ専用）</v>
      </c>
      <c r="E187" s="5">
        <v>3</v>
      </c>
      <c r="F187" s="3" t="str">
        <f ca="1">VLOOKUP($B187&amp;"_"&amp;$E187,OFFSET([1]stages!$A$1,0,0,COUNTA([1]stages!$A:$A),MATCH(F$1,[1]stages!$2:$2,0)-MATCH("temp_stage",[1]stages!$2:$2,0)+1),MATCH(F$1,[1]stages!$2:$2,0)-MATCH("temp_stage",[1]stages!$2:$2,0)+1,FALSE)</f>
        <v xml:space="preserve">【超級】ハンター・オブ・ハンター </v>
      </c>
      <c r="G187" s="3" t="str">
        <f ca="1">VLOOKUP($B187&amp;"_"&amp;$E187,OFFSET([1]stages!$A$1,0,0,COUNTA([1]stages!$A:$A),MATCH(G$1,[1]stages!$2:$2,0)-MATCH("temp_stage",[1]stages!$2:$2,0)+1),MATCH(G$1,[1]stages!$2:$2,0)-MATCH("temp_stage",[1]stages!$2:$2,0)+1,FALSE)</f>
        <v>ドロップイベント1-1（マルチ専用）</v>
      </c>
      <c r="H187" s="18">
        <v>0</v>
      </c>
      <c r="I187">
        <v>36</v>
      </c>
      <c r="J187" s="5" t="s">
        <v>16</v>
      </c>
      <c r="K187" s="34" t="str">
        <f>VLOOKUP(I187,[2]stage_hints!$A:$C,3,FALSE)</f>
        <v>タワーオブザクイーンのボス</v>
      </c>
      <c r="L187" s="35" t="str">
        <f>VLOOKUP(I187,[2]stage_hints!$A:$D,4,FALSE)</f>
        <v>「タワーオブザクイーン」最上階のボスは_x000D_15階の初回クリア報酬で獲得できるほか_x000D_その階にて低確率でドロップもします</v>
      </c>
      <c r="M187" s="21" t="s">
        <v>23</v>
      </c>
      <c r="N187">
        <v>36</v>
      </c>
    </row>
    <row r="188" spans="1:14" x14ac:dyDescent="0.15">
      <c r="A188" s="26" t="s">
        <v>32</v>
      </c>
      <c r="B188" s="4">
        <v>30001</v>
      </c>
      <c r="C188" s="3" t="str">
        <f ca="1">VLOOKUP($B188,OFFSET([1]quests!$A$1,0,0,COUNTA([1]quests!$A:$A),MATCH(C$1,[1]quests!$1:$1,0)-MATCH($B$1,[1]quests!$1:$1,0)+1),MATCH(C$1,[1]quests!$1:$1,0)-MATCH($B$1,[1]quests!$1:$1,0)+1,FALSE)</f>
        <v>ハンター・オブ・ハンター</v>
      </c>
      <c r="D188" s="3" t="str">
        <f ca="1">VLOOKUP($B188,OFFSET([1]quests!$A$1,0,0,COUNTA([1]quests!$A:$A),MATCH(D$1,[1]quests!$1:$1,0)-MATCH($B$1,[1]quests!$1:$1,0)+1),MATCH(D$1,[1]quests!$1:$1,0)-MATCH($B$1,[1]quests!$1:$1,0)+1,FALSE)</f>
        <v>ドロップイベント1-1（マルチ専用）</v>
      </c>
      <c r="E188" s="5">
        <v>3</v>
      </c>
      <c r="F188" s="3" t="str">
        <f ca="1">VLOOKUP($B188&amp;"_"&amp;$E188,OFFSET([1]stages!$A$1,0,0,COUNTA([1]stages!$A:$A),MATCH(F$1,[1]stages!$2:$2,0)-MATCH("temp_stage",[1]stages!$2:$2,0)+1),MATCH(F$1,[1]stages!$2:$2,0)-MATCH("temp_stage",[1]stages!$2:$2,0)+1,FALSE)</f>
        <v xml:space="preserve">【超級】ハンター・オブ・ハンター </v>
      </c>
      <c r="G188" s="3" t="str">
        <f ca="1">VLOOKUP($B188&amp;"_"&amp;$E188,OFFSET([1]stages!$A$1,0,0,COUNTA([1]stages!$A:$A),MATCH(G$1,[1]stages!$2:$2,0)-MATCH("temp_stage",[1]stages!$2:$2,0)+1),MATCH(G$1,[1]stages!$2:$2,0)-MATCH("temp_stage",[1]stages!$2:$2,0)+1,FALSE)</f>
        <v>ドロップイベント1-1（マルチ専用）</v>
      </c>
      <c r="H188" s="18">
        <v>0</v>
      </c>
      <c r="I188">
        <v>37</v>
      </c>
      <c r="J188" s="5" t="s">
        <v>16</v>
      </c>
      <c r="K188" s="34" t="str">
        <f>VLOOKUP(I188,[2]stage_hints!$A:$C,3,FALSE)</f>
        <v>限界突破値の引き継ぎ</v>
      </c>
      <c r="L188" s="35" t="str">
        <f>VLOOKUP(I188,[2]stage_hints!$A:$D,4,FALSE)</f>
        <v>同じユニットを強化で合成すると_x000D_限界突破値を引き継げます（覚醒前後も可）</v>
      </c>
      <c r="M188" s="21" t="s">
        <v>23</v>
      </c>
      <c r="N188">
        <v>37</v>
      </c>
    </row>
    <row r="189" spans="1:14" x14ac:dyDescent="0.15">
      <c r="A189" s="26" t="s">
        <v>32</v>
      </c>
      <c r="B189" s="4">
        <v>30002</v>
      </c>
      <c r="C189" s="3" t="str">
        <f ca="1">VLOOKUP($B189,OFFSET([1]quests!$A$1,0,0,COUNTA([1]quests!$A:$A),MATCH(C$1,[1]quests!$1:$1,0)-MATCH($B$1,[1]quests!$1:$1,0)+1),MATCH(C$1,[1]quests!$1:$1,0)-MATCH($B$1,[1]quests!$1:$1,0)+1,FALSE)</f>
        <v>トリックスター</v>
      </c>
      <c r="D189" s="3" t="str">
        <f ca="1">VLOOKUP($B189,OFFSET([1]quests!$A$1,0,0,COUNTA([1]quests!$A:$A),MATCH(D$1,[1]quests!$1:$1,0)-MATCH($B$1,[1]quests!$1:$1,0)+1),MATCH(D$1,[1]quests!$1:$1,0)-MATCH($B$1,[1]quests!$1:$1,0)+1,FALSE)</f>
        <v>ドロップイベント1-2（マルチ専用）</v>
      </c>
      <c r="E189" s="5">
        <v>3</v>
      </c>
      <c r="F189" s="3" t="str">
        <f ca="1">VLOOKUP($B189&amp;"_"&amp;$E189,OFFSET([1]stages!$A$1,0,0,COUNTA([1]stages!$A:$A),MATCH(F$1,[1]stages!$2:$2,0)-MATCH("temp_stage",[1]stages!$2:$2,0)+1),MATCH(F$1,[1]stages!$2:$2,0)-MATCH("temp_stage",[1]stages!$2:$2,0)+1,FALSE)</f>
        <v xml:space="preserve">【超級】トリックスター </v>
      </c>
      <c r="G189" s="3" t="str">
        <f ca="1">VLOOKUP($B189&amp;"_"&amp;$E189,OFFSET([1]stages!$A$1,0,0,COUNTA([1]stages!$A:$A),MATCH(G$1,[1]stages!$2:$2,0)-MATCH("temp_stage",[1]stages!$2:$2,0)+1),MATCH(G$1,[1]stages!$2:$2,0)-MATCH("temp_stage",[1]stages!$2:$2,0)+1,FALSE)</f>
        <v>ドロップイベント1-2（マルチ専用）</v>
      </c>
      <c r="H189" s="18">
        <v>0</v>
      </c>
      <c r="I189">
        <v>12</v>
      </c>
      <c r="J189" s="5" t="s">
        <v>16</v>
      </c>
      <c r="K189" s="34" t="str">
        <f>VLOOKUP(I189,[2]stage_hints!$A:$C,3,FALSE)</f>
        <v>ユニットのお気に入り登録</v>
      </c>
      <c r="L189" s="35" t="str">
        <f>VLOOKUP(I189,[2]stage_hints!$A:$D,4,FALSE)</f>
        <v>大事なユニットを誤って消さないように_x000D_フォルダから「お気に入り登録」しましょう</v>
      </c>
      <c r="M189" s="21" t="s">
        <v>23</v>
      </c>
      <c r="N189">
        <v>12</v>
      </c>
    </row>
    <row r="190" spans="1:14" x14ac:dyDescent="0.15">
      <c r="A190" s="26" t="s">
        <v>32</v>
      </c>
      <c r="B190" s="4">
        <v>30002</v>
      </c>
      <c r="C190" s="3" t="str">
        <f ca="1">VLOOKUP($B190,OFFSET([1]quests!$A$1,0,0,COUNTA([1]quests!$A:$A),MATCH(C$1,[1]quests!$1:$1,0)-MATCH($B$1,[1]quests!$1:$1,0)+1),MATCH(C$1,[1]quests!$1:$1,0)-MATCH($B$1,[1]quests!$1:$1,0)+1,FALSE)</f>
        <v>トリックスター</v>
      </c>
      <c r="D190" s="3" t="str">
        <f ca="1">VLOOKUP($B190,OFFSET([1]quests!$A$1,0,0,COUNTA([1]quests!$A:$A),MATCH(D$1,[1]quests!$1:$1,0)-MATCH($B$1,[1]quests!$1:$1,0)+1),MATCH(D$1,[1]quests!$1:$1,0)-MATCH($B$1,[1]quests!$1:$1,0)+1,FALSE)</f>
        <v>ドロップイベント1-2（マルチ専用）</v>
      </c>
      <c r="E190" s="5">
        <v>3</v>
      </c>
      <c r="F190" s="3" t="str">
        <f ca="1">VLOOKUP($B190&amp;"_"&amp;$E190,OFFSET([1]stages!$A$1,0,0,COUNTA([1]stages!$A:$A),MATCH(F$1,[1]stages!$2:$2,0)-MATCH("temp_stage",[1]stages!$2:$2,0)+1),MATCH(F$1,[1]stages!$2:$2,0)-MATCH("temp_stage",[1]stages!$2:$2,0)+1,FALSE)</f>
        <v xml:space="preserve">【超級】トリックスター </v>
      </c>
      <c r="G190" s="3" t="str">
        <f ca="1">VLOOKUP($B190&amp;"_"&amp;$E190,OFFSET([1]stages!$A$1,0,0,COUNTA([1]stages!$A:$A),MATCH(G$1,[1]stages!$2:$2,0)-MATCH("temp_stage",[1]stages!$2:$2,0)+1),MATCH(G$1,[1]stages!$2:$2,0)-MATCH("temp_stage",[1]stages!$2:$2,0)+1,FALSE)</f>
        <v>ドロップイベント1-2（マルチ専用）</v>
      </c>
      <c r="H190" s="18">
        <v>0</v>
      </c>
      <c r="I190">
        <v>17</v>
      </c>
      <c r="J190" s="5" t="s">
        <v>16</v>
      </c>
      <c r="K190" s="34" t="str">
        <f>VLOOKUP(I190,[2]stage_hints!$A:$C,3,FALSE)</f>
        <v>リンクガチャ</v>
      </c>
      <c r="L190" s="35" t="str">
        <f>VLOOKUP(I190,[2]stage_hints!$A:$D,4,FALSE)</f>
        <v>無料のリンクガチャを回して_x000D_経験値素材や売却素材を獲得しましょう</v>
      </c>
      <c r="M190" s="21" t="s">
        <v>23</v>
      </c>
      <c r="N190">
        <v>17</v>
      </c>
    </row>
    <row r="191" spans="1:14" x14ac:dyDescent="0.15">
      <c r="A191" s="26" t="s">
        <v>32</v>
      </c>
      <c r="B191" s="4">
        <v>30002</v>
      </c>
      <c r="C191" s="3" t="str">
        <f ca="1">VLOOKUP($B191,OFFSET([1]quests!$A$1,0,0,COUNTA([1]quests!$A:$A),MATCH(C$1,[1]quests!$1:$1,0)-MATCH($B$1,[1]quests!$1:$1,0)+1),MATCH(C$1,[1]quests!$1:$1,0)-MATCH($B$1,[1]quests!$1:$1,0)+1,FALSE)</f>
        <v>トリックスター</v>
      </c>
      <c r="D191" s="3" t="str">
        <f ca="1">VLOOKUP($B191,OFFSET([1]quests!$A$1,0,0,COUNTA([1]quests!$A:$A),MATCH(D$1,[1]quests!$1:$1,0)-MATCH($B$1,[1]quests!$1:$1,0)+1),MATCH(D$1,[1]quests!$1:$1,0)-MATCH($B$1,[1]quests!$1:$1,0)+1,FALSE)</f>
        <v>ドロップイベント1-2（マルチ専用）</v>
      </c>
      <c r="E191" s="5">
        <v>3</v>
      </c>
      <c r="F191" s="3" t="str">
        <f ca="1">VLOOKUP($B191&amp;"_"&amp;$E191,OFFSET([1]stages!$A$1,0,0,COUNTA([1]stages!$A:$A),MATCH(F$1,[1]stages!$2:$2,0)-MATCH("temp_stage",[1]stages!$2:$2,0)+1),MATCH(F$1,[1]stages!$2:$2,0)-MATCH("temp_stage",[1]stages!$2:$2,0)+1,FALSE)</f>
        <v xml:space="preserve">【超級】トリックスター </v>
      </c>
      <c r="G191" s="3" t="str">
        <f ca="1">VLOOKUP($B191&amp;"_"&amp;$E191,OFFSET([1]stages!$A$1,0,0,COUNTA([1]stages!$A:$A),MATCH(G$1,[1]stages!$2:$2,0)-MATCH("temp_stage",[1]stages!$2:$2,0)+1),MATCH(G$1,[1]stages!$2:$2,0)-MATCH("temp_stage",[1]stages!$2:$2,0)+1,FALSE)</f>
        <v>ドロップイベント1-2（マルチ専用）</v>
      </c>
      <c r="H191" s="18">
        <v>0</v>
      </c>
      <c r="I191">
        <v>19</v>
      </c>
      <c r="J191" s="5" t="s">
        <v>16</v>
      </c>
      <c r="K191" s="34" t="str">
        <f>VLOOKUP(I191,[2]stage_hints!$A:$C,3,FALSE)</f>
        <v>ソロ専用タワーオブザクイーン</v>
      </c>
      <c r="L191" s="35" t="str">
        <f>VLOOKUP(I191,[2]stage_hints!$A:$D,4,FALSE)</f>
        <v>ソロ専用の「タワーオブザクイーン」は_x000D_期間限定で定期的に開催されます_x000D_ここでしか獲得できない報酬もあるようです</v>
      </c>
      <c r="M191" s="21" t="s">
        <v>23</v>
      </c>
      <c r="N191">
        <v>19</v>
      </c>
    </row>
    <row r="192" spans="1:14" x14ac:dyDescent="0.15">
      <c r="A192" s="26" t="s">
        <v>32</v>
      </c>
      <c r="B192" s="4">
        <v>30002</v>
      </c>
      <c r="C192" s="3" t="str">
        <f ca="1">VLOOKUP($B192,OFFSET([1]quests!$A$1,0,0,COUNTA([1]quests!$A:$A),MATCH(C$1,[1]quests!$1:$1,0)-MATCH($B$1,[1]quests!$1:$1,0)+1),MATCH(C$1,[1]quests!$1:$1,0)-MATCH($B$1,[1]quests!$1:$1,0)+1,FALSE)</f>
        <v>トリックスター</v>
      </c>
      <c r="D192" s="3" t="str">
        <f ca="1">VLOOKUP($B192,OFFSET([1]quests!$A$1,0,0,COUNTA([1]quests!$A:$A),MATCH(D$1,[1]quests!$1:$1,0)-MATCH($B$1,[1]quests!$1:$1,0)+1),MATCH(D$1,[1]quests!$1:$1,0)-MATCH($B$1,[1]quests!$1:$1,0)+1,FALSE)</f>
        <v>ドロップイベント1-2（マルチ専用）</v>
      </c>
      <c r="E192" s="5">
        <v>3</v>
      </c>
      <c r="F192" s="3" t="str">
        <f ca="1">VLOOKUP($B192&amp;"_"&amp;$E192,OFFSET([1]stages!$A$1,0,0,COUNTA([1]stages!$A:$A),MATCH(F$1,[1]stages!$2:$2,0)-MATCH("temp_stage",[1]stages!$2:$2,0)+1),MATCH(F$1,[1]stages!$2:$2,0)-MATCH("temp_stage",[1]stages!$2:$2,0)+1,FALSE)</f>
        <v xml:space="preserve">【超級】トリックスター </v>
      </c>
      <c r="G192" s="3" t="str">
        <f ca="1">VLOOKUP($B192&amp;"_"&amp;$E192,OFFSET([1]stages!$A$1,0,0,COUNTA([1]stages!$A:$A),MATCH(G$1,[1]stages!$2:$2,0)-MATCH("temp_stage",[1]stages!$2:$2,0)+1),MATCH(G$1,[1]stages!$2:$2,0)-MATCH("temp_stage",[1]stages!$2:$2,0)+1,FALSE)</f>
        <v>ドロップイベント1-2（マルチ専用）</v>
      </c>
      <c r="H192" s="18">
        <v>0</v>
      </c>
      <c r="I192">
        <v>21</v>
      </c>
      <c r="J192" s="5" t="s">
        <v>16</v>
      </c>
      <c r="K192" s="34" t="str">
        <f>VLOOKUP(I192,[2]stage_hints!$A:$C,3,FALSE)</f>
        <v>スキルを有効に</v>
      </c>
      <c r="L192" s="35" t="str">
        <f>VLOOKUP(I192,[2]stage_hints!$A:$D,4,FALSE)</f>
        <v>ターン経過でユニットのスキルが使えます_x000D_強力スキルでバトルを有利に進めましょう</v>
      </c>
      <c r="M192" s="21" t="s">
        <v>23</v>
      </c>
      <c r="N192">
        <v>21</v>
      </c>
    </row>
    <row r="193" spans="1:14" x14ac:dyDescent="0.15">
      <c r="A193" s="26" t="s">
        <v>32</v>
      </c>
      <c r="B193" s="4">
        <v>30002</v>
      </c>
      <c r="C193" s="3" t="str">
        <f ca="1">VLOOKUP($B193,OFFSET([1]quests!$A$1,0,0,COUNTA([1]quests!$A:$A),MATCH(C$1,[1]quests!$1:$1,0)-MATCH($B$1,[1]quests!$1:$1,0)+1),MATCH(C$1,[1]quests!$1:$1,0)-MATCH($B$1,[1]quests!$1:$1,0)+1,FALSE)</f>
        <v>トリックスター</v>
      </c>
      <c r="D193" s="3" t="str">
        <f ca="1">VLOOKUP($B193,OFFSET([1]quests!$A$1,0,0,COUNTA([1]quests!$A:$A),MATCH(D$1,[1]quests!$1:$1,0)-MATCH($B$1,[1]quests!$1:$1,0)+1),MATCH(D$1,[1]quests!$1:$1,0)-MATCH($B$1,[1]quests!$1:$1,0)+1,FALSE)</f>
        <v>ドロップイベント1-2（マルチ専用）</v>
      </c>
      <c r="E193" s="5">
        <v>3</v>
      </c>
      <c r="F193" s="3" t="str">
        <f ca="1">VLOOKUP($B193&amp;"_"&amp;$E193,OFFSET([1]stages!$A$1,0,0,COUNTA([1]stages!$A:$A),MATCH(F$1,[1]stages!$2:$2,0)-MATCH("temp_stage",[1]stages!$2:$2,0)+1),MATCH(F$1,[1]stages!$2:$2,0)-MATCH("temp_stage",[1]stages!$2:$2,0)+1,FALSE)</f>
        <v xml:space="preserve">【超級】トリックスター </v>
      </c>
      <c r="G193" s="3" t="str">
        <f ca="1">VLOOKUP($B193&amp;"_"&amp;$E193,OFFSET([1]stages!$A$1,0,0,COUNTA([1]stages!$A:$A),MATCH(G$1,[1]stages!$2:$2,0)-MATCH("temp_stage",[1]stages!$2:$2,0)+1),MATCH(G$1,[1]stages!$2:$2,0)-MATCH("temp_stage",[1]stages!$2:$2,0)+1,FALSE)</f>
        <v>ドロップイベント1-2（マルチ専用）</v>
      </c>
      <c r="H193" s="18">
        <v>0</v>
      </c>
      <c r="I193">
        <v>27</v>
      </c>
      <c r="J193" s="5" t="s">
        <v>16</v>
      </c>
      <c r="K193" s="34" t="str">
        <f>VLOOKUP(I193,[2]stage_hints!$A:$C,3,FALSE)</f>
        <v>ホーム画面からデッキを編成</v>
      </c>
      <c r="L193" s="35" t="str">
        <f>VLOOKUP(I193,[2]stage_hints!$A:$D,4,FALSE)</f>
        <v>ホーム画面でユニットを長押しすると_x000D_すぐにパーティ編成に移動できます</v>
      </c>
      <c r="M193" s="21" t="s">
        <v>23</v>
      </c>
      <c r="N193">
        <v>27</v>
      </c>
    </row>
    <row r="194" spans="1:14" x14ac:dyDescent="0.15">
      <c r="A194" s="26" t="s">
        <v>32</v>
      </c>
      <c r="B194" s="4">
        <v>30002</v>
      </c>
      <c r="C194" s="3" t="str">
        <f ca="1">VLOOKUP($B194,OFFSET([1]quests!$A$1,0,0,COUNTA([1]quests!$A:$A),MATCH(C$1,[1]quests!$1:$1,0)-MATCH($B$1,[1]quests!$1:$1,0)+1),MATCH(C$1,[1]quests!$1:$1,0)-MATCH($B$1,[1]quests!$1:$1,0)+1,FALSE)</f>
        <v>トリックスター</v>
      </c>
      <c r="D194" s="3" t="str">
        <f ca="1">VLOOKUP($B194,OFFSET([1]quests!$A$1,0,0,COUNTA([1]quests!$A:$A),MATCH(D$1,[1]quests!$1:$1,0)-MATCH($B$1,[1]quests!$1:$1,0)+1),MATCH(D$1,[1]quests!$1:$1,0)-MATCH($B$1,[1]quests!$1:$1,0)+1,FALSE)</f>
        <v>ドロップイベント1-2（マルチ専用）</v>
      </c>
      <c r="E194" s="5">
        <v>3</v>
      </c>
      <c r="F194" s="3" t="str">
        <f ca="1">VLOOKUP($B194&amp;"_"&amp;$E194,OFFSET([1]stages!$A$1,0,0,COUNTA([1]stages!$A:$A),MATCH(F$1,[1]stages!$2:$2,0)-MATCH("temp_stage",[1]stages!$2:$2,0)+1),MATCH(F$1,[1]stages!$2:$2,0)-MATCH("temp_stage",[1]stages!$2:$2,0)+1,FALSE)</f>
        <v xml:space="preserve">【超級】トリックスター </v>
      </c>
      <c r="G194" s="3" t="str">
        <f ca="1">VLOOKUP($B194&amp;"_"&amp;$E194,OFFSET([1]stages!$A$1,0,0,COUNTA([1]stages!$A:$A),MATCH(G$1,[1]stages!$2:$2,0)-MATCH("temp_stage",[1]stages!$2:$2,0)+1),MATCH(G$1,[1]stages!$2:$2,0)-MATCH("temp_stage",[1]stages!$2:$2,0)+1,FALSE)</f>
        <v>ドロップイベント1-2（マルチ専用）</v>
      </c>
      <c r="H194" s="18">
        <v>0</v>
      </c>
      <c r="I194">
        <v>28</v>
      </c>
      <c r="J194" s="5" t="s">
        <v>16</v>
      </c>
      <c r="K194" s="34" t="str">
        <f>VLOOKUP(I194,[2]stage_hints!$A:$C,3,FALSE)</f>
        <v>ステータス情報は長押しで</v>
      </c>
      <c r="L194" s="35" t="str">
        <f>VLOOKUP(I194,[2]stage_hints!$A:$D,4,FALSE)</f>
        <v>ユニットのアイコンを長押しすると_x000D_ステータス情報を確認することができます</v>
      </c>
      <c r="M194" s="21" t="s">
        <v>23</v>
      </c>
      <c r="N194">
        <v>28</v>
      </c>
    </row>
    <row r="195" spans="1:14" x14ac:dyDescent="0.15">
      <c r="A195" s="26" t="s">
        <v>32</v>
      </c>
      <c r="B195" s="4">
        <v>30002</v>
      </c>
      <c r="C195" s="3" t="str">
        <f ca="1">VLOOKUP($B195,OFFSET([1]quests!$A$1,0,0,COUNTA([1]quests!$A:$A),MATCH(C$1,[1]quests!$1:$1,0)-MATCH($B$1,[1]quests!$1:$1,0)+1),MATCH(C$1,[1]quests!$1:$1,0)-MATCH($B$1,[1]quests!$1:$1,0)+1,FALSE)</f>
        <v>トリックスター</v>
      </c>
      <c r="D195" s="3" t="str">
        <f ca="1">VLOOKUP($B195,OFFSET([1]quests!$A$1,0,0,COUNTA([1]quests!$A:$A),MATCH(D$1,[1]quests!$1:$1,0)-MATCH($B$1,[1]quests!$1:$1,0)+1),MATCH(D$1,[1]quests!$1:$1,0)-MATCH($B$1,[1]quests!$1:$1,0)+1,FALSE)</f>
        <v>ドロップイベント1-2（マルチ専用）</v>
      </c>
      <c r="E195" s="5">
        <v>3</v>
      </c>
      <c r="F195" s="3" t="str">
        <f ca="1">VLOOKUP($B195&amp;"_"&amp;$E195,OFFSET([1]stages!$A$1,0,0,COUNTA([1]stages!$A:$A),MATCH(F$1,[1]stages!$2:$2,0)-MATCH("temp_stage",[1]stages!$2:$2,0)+1),MATCH(F$1,[1]stages!$2:$2,0)-MATCH("temp_stage",[1]stages!$2:$2,0)+1,FALSE)</f>
        <v xml:space="preserve">【超級】トリックスター </v>
      </c>
      <c r="G195" s="3" t="str">
        <f ca="1">VLOOKUP($B195&amp;"_"&amp;$E195,OFFSET([1]stages!$A$1,0,0,COUNTA([1]stages!$A:$A),MATCH(G$1,[1]stages!$2:$2,0)-MATCH("temp_stage",[1]stages!$2:$2,0)+1),MATCH(G$1,[1]stages!$2:$2,0)-MATCH("temp_stage",[1]stages!$2:$2,0)+1,FALSE)</f>
        <v>ドロップイベント1-2（マルチ専用）</v>
      </c>
      <c r="H195" s="18">
        <v>0</v>
      </c>
      <c r="I195">
        <v>29</v>
      </c>
      <c r="J195" s="5" t="s">
        <v>16</v>
      </c>
      <c r="K195" s="34" t="str">
        <f>VLOOKUP(I195,[2]stage_hints!$A:$C,3,FALSE)</f>
        <v>「バグ」のメリット</v>
      </c>
      <c r="L195" s="35" t="str">
        <f>VLOOKUP(I195,[2]stage_hints!$A:$D,4,FALSE)</f>
        <v>ユニットの「バグ」を増やすと_x000D_報酬をもらえる確率がアップします</v>
      </c>
      <c r="M195" s="21" t="s">
        <v>23</v>
      </c>
      <c r="N195">
        <v>29</v>
      </c>
    </row>
    <row r="196" spans="1:14" x14ac:dyDescent="0.15">
      <c r="A196" s="26" t="s">
        <v>32</v>
      </c>
      <c r="B196" s="4">
        <v>30002</v>
      </c>
      <c r="C196" s="3" t="str">
        <f ca="1">VLOOKUP($B196,OFFSET([1]quests!$A$1,0,0,COUNTA([1]quests!$A:$A),MATCH(C$1,[1]quests!$1:$1,0)-MATCH($B$1,[1]quests!$1:$1,0)+1),MATCH(C$1,[1]quests!$1:$1,0)-MATCH($B$1,[1]quests!$1:$1,0)+1,FALSE)</f>
        <v>トリックスター</v>
      </c>
      <c r="D196" s="3" t="str">
        <f ca="1">VLOOKUP($B196,OFFSET([1]quests!$A$1,0,0,COUNTA([1]quests!$A:$A),MATCH(D$1,[1]quests!$1:$1,0)-MATCH($B$1,[1]quests!$1:$1,0)+1),MATCH(D$1,[1]quests!$1:$1,0)-MATCH($B$1,[1]quests!$1:$1,0)+1,FALSE)</f>
        <v>ドロップイベント1-2（マルチ専用）</v>
      </c>
      <c r="E196" s="5">
        <v>3</v>
      </c>
      <c r="F196" s="3" t="str">
        <f ca="1">VLOOKUP($B196&amp;"_"&amp;$E196,OFFSET([1]stages!$A$1,0,0,COUNTA([1]stages!$A:$A),MATCH(F$1,[1]stages!$2:$2,0)-MATCH("temp_stage",[1]stages!$2:$2,0)+1),MATCH(F$1,[1]stages!$2:$2,0)-MATCH("temp_stage",[1]stages!$2:$2,0)+1,FALSE)</f>
        <v xml:space="preserve">【超級】トリックスター </v>
      </c>
      <c r="G196" s="3" t="str">
        <f ca="1">VLOOKUP($B196&amp;"_"&amp;$E196,OFFSET([1]stages!$A$1,0,0,COUNTA([1]stages!$A:$A),MATCH(G$1,[1]stages!$2:$2,0)-MATCH("temp_stage",[1]stages!$2:$2,0)+1),MATCH(G$1,[1]stages!$2:$2,0)-MATCH("temp_stage",[1]stages!$2:$2,0)+1,FALSE)</f>
        <v>ドロップイベント1-2（マルチ専用）</v>
      </c>
      <c r="H196" s="18">
        <v>0</v>
      </c>
      <c r="I196">
        <v>30</v>
      </c>
      <c r="J196" s="5" t="s">
        <v>16</v>
      </c>
      <c r="K196" s="34" t="str">
        <f>VLOOKUP(I196,[2]stage_hints!$A:$C,3,FALSE)</f>
        <v>「バグ」の増やし方</v>
      </c>
      <c r="L196" s="35" t="str">
        <f>VLOOKUP(I196,[2]stage_hints!$A:$D,4,FALSE)</f>
        <v>同じユニット同士を強化で合成すると_x000D_「バグ」を増やすことができます</v>
      </c>
      <c r="M196" s="21" t="s">
        <v>23</v>
      </c>
      <c r="N196">
        <v>30</v>
      </c>
    </row>
    <row r="197" spans="1:14" x14ac:dyDescent="0.15">
      <c r="A197" s="26" t="s">
        <v>32</v>
      </c>
      <c r="B197" s="4">
        <v>30002</v>
      </c>
      <c r="C197" s="3" t="str">
        <f ca="1">VLOOKUP($B197,OFFSET([1]quests!$A$1,0,0,COUNTA([1]quests!$A:$A),MATCH(C$1,[1]quests!$1:$1,0)-MATCH($B$1,[1]quests!$1:$1,0)+1),MATCH(C$1,[1]quests!$1:$1,0)-MATCH($B$1,[1]quests!$1:$1,0)+1,FALSE)</f>
        <v>トリックスター</v>
      </c>
      <c r="D197" s="3" t="str">
        <f ca="1">VLOOKUP($B197,OFFSET([1]quests!$A$1,0,0,COUNTA([1]quests!$A:$A),MATCH(D$1,[1]quests!$1:$1,0)-MATCH($B$1,[1]quests!$1:$1,0)+1),MATCH(D$1,[1]quests!$1:$1,0)-MATCH($B$1,[1]quests!$1:$1,0)+1,FALSE)</f>
        <v>ドロップイベント1-2（マルチ専用）</v>
      </c>
      <c r="E197" s="5">
        <v>3</v>
      </c>
      <c r="F197" s="3" t="str">
        <f ca="1">VLOOKUP($B197&amp;"_"&amp;$E197,OFFSET([1]stages!$A$1,0,0,COUNTA([1]stages!$A:$A),MATCH(F$1,[1]stages!$2:$2,0)-MATCH("temp_stage",[1]stages!$2:$2,0)+1),MATCH(F$1,[1]stages!$2:$2,0)-MATCH("temp_stage",[1]stages!$2:$2,0)+1,FALSE)</f>
        <v xml:space="preserve">【超級】トリックスター </v>
      </c>
      <c r="G197" s="3" t="str">
        <f ca="1">VLOOKUP($B197&amp;"_"&amp;$E197,OFFSET([1]stages!$A$1,0,0,COUNTA([1]stages!$A:$A),MATCH(G$1,[1]stages!$2:$2,0)-MATCH("temp_stage",[1]stages!$2:$2,0)+1),MATCH(G$1,[1]stages!$2:$2,0)-MATCH("temp_stage",[1]stages!$2:$2,0)+1,FALSE)</f>
        <v>ドロップイベント1-2（マルチ専用）</v>
      </c>
      <c r="H197" s="18">
        <v>0</v>
      </c>
      <c r="I197">
        <v>32</v>
      </c>
      <c r="J197" s="5" t="s">
        <v>16</v>
      </c>
      <c r="K197" s="34" t="str">
        <f>VLOOKUP(I197,[2]stage_hints!$A:$C,3,FALSE)</f>
        <v>敵の連続攻撃には</v>
      </c>
      <c r="L197" s="35" t="str">
        <f>VLOOKUP(I197,[2]stage_hints!$A:$D,4,FALSE)</f>
        <v>カウンタースキルを持つユニットがいれば_x000D_ダメージ回数分の反撃ができます</v>
      </c>
      <c r="M197" s="21" t="s">
        <v>23</v>
      </c>
      <c r="N197">
        <v>32</v>
      </c>
    </row>
    <row r="198" spans="1:14" x14ac:dyDescent="0.15">
      <c r="A198" s="26" t="s">
        <v>32</v>
      </c>
      <c r="B198" s="4">
        <v>30002</v>
      </c>
      <c r="C198" s="3" t="str">
        <f ca="1">VLOOKUP($B198,OFFSET([1]quests!$A$1,0,0,COUNTA([1]quests!$A:$A),MATCH(C$1,[1]quests!$1:$1,0)-MATCH($B$1,[1]quests!$1:$1,0)+1),MATCH(C$1,[1]quests!$1:$1,0)-MATCH($B$1,[1]quests!$1:$1,0)+1,FALSE)</f>
        <v>トリックスター</v>
      </c>
      <c r="D198" s="3" t="str">
        <f ca="1">VLOOKUP($B198,OFFSET([1]quests!$A$1,0,0,COUNTA([1]quests!$A:$A),MATCH(D$1,[1]quests!$1:$1,0)-MATCH($B$1,[1]quests!$1:$1,0)+1),MATCH(D$1,[1]quests!$1:$1,0)-MATCH($B$1,[1]quests!$1:$1,0)+1,FALSE)</f>
        <v>ドロップイベント1-2（マルチ専用）</v>
      </c>
      <c r="E198" s="5">
        <v>3</v>
      </c>
      <c r="F198" s="3" t="str">
        <f ca="1">VLOOKUP($B198&amp;"_"&amp;$E198,OFFSET([1]stages!$A$1,0,0,COUNTA([1]stages!$A:$A),MATCH(F$1,[1]stages!$2:$2,0)-MATCH("temp_stage",[1]stages!$2:$2,0)+1),MATCH(F$1,[1]stages!$2:$2,0)-MATCH("temp_stage",[1]stages!$2:$2,0)+1,FALSE)</f>
        <v xml:space="preserve">【超級】トリックスター </v>
      </c>
      <c r="G198" s="3" t="str">
        <f ca="1">VLOOKUP($B198&amp;"_"&amp;$E198,OFFSET([1]stages!$A$1,0,0,COUNTA([1]stages!$A:$A),MATCH(G$1,[1]stages!$2:$2,0)-MATCH("temp_stage",[1]stages!$2:$2,0)+1),MATCH(G$1,[1]stages!$2:$2,0)-MATCH("temp_stage",[1]stages!$2:$2,0)+1,FALSE)</f>
        <v>ドロップイベント1-2（マルチ専用）</v>
      </c>
      <c r="H198" s="18">
        <v>0</v>
      </c>
      <c r="I198">
        <v>33</v>
      </c>
      <c r="J198" s="5" t="s">
        <v>16</v>
      </c>
      <c r="K198" s="34" t="str">
        <f>VLOOKUP(I198,[2]stage_hints!$A:$C,3,FALSE)</f>
        <v>敵のカウンター攻撃には</v>
      </c>
      <c r="L198" s="35" t="str">
        <f>VLOOKUP(I198,[2]stage_hints!$A:$D,4,FALSE)</f>
        <v>カウンターブレイクスキルを持っていれば_x000D_敵のカウンターを解除して攻撃ができます</v>
      </c>
      <c r="M198" s="21" t="s">
        <v>23</v>
      </c>
      <c r="N198">
        <v>33</v>
      </c>
    </row>
    <row r="199" spans="1:14" x14ac:dyDescent="0.15">
      <c r="A199" s="26" t="s">
        <v>32</v>
      </c>
      <c r="B199" s="4">
        <v>30002</v>
      </c>
      <c r="C199" s="3" t="str">
        <f ca="1">VLOOKUP($B199,OFFSET([1]quests!$A$1,0,0,COUNTA([1]quests!$A:$A),MATCH(C$1,[1]quests!$1:$1,0)-MATCH($B$1,[1]quests!$1:$1,0)+1),MATCH(C$1,[1]quests!$1:$1,0)-MATCH($B$1,[1]quests!$1:$1,0)+1,FALSE)</f>
        <v>トリックスター</v>
      </c>
      <c r="D199" s="3" t="str">
        <f ca="1">VLOOKUP($B199,OFFSET([1]quests!$A$1,0,0,COUNTA([1]quests!$A:$A),MATCH(D$1,[1]quests!$1:$1,0)-MATCH($B$1,[1]quests!$1:$1,0)+1),MATCH(D$1,[1]quests!$1:$1,0)-MATCH($B$1,[1]quests!$1:$1,0)+1,FALSE)</f>
        <v>ドロップイベント1-2（マルチ専用）</v>
      </c>
      <c r="E199" s="5">
        <v>3</v>
      </c>
      <c r="F199" s="3" t="str">
        <f ca="1">VLOOKUP($B199&amp;"_"&amp;$E199,OFFSET([1]stages!$A$1,0,0,COUNTA([1]stages!$A:$A),MATCH(F$1,[1]stages!$2:$2,0)-MATCH("temp_stage",[1]stages!$2:$2,0)+1),MATCH(F$1,[1]stages!$2:$2,0)-MATCH("temp_stage",[1]stages!$2:$2,0)+1,FALSE)</f>
        <v xml:space="preserve">【超級】トリックスター </v>
      </c>
      <c r="G199" s="3" t="str">
        <f ca="1">VLOOKUP($B199&amp;"_"&amp;$E199,OFFSET([1]stages!$A$1,0,0,COUNTA([1]stages!$A:$A),MATCH(G$1,[1]stages!$2:$2,0)-MATCH("temp_stage",[1]stages!$2:$2,0)+1),MATCH(G$1,[1]stages!$2:$2,0)-MATCH("temp_stage",[1]stages!$2:$2,0)+1,FALSE)</f>
        <v>ドロップイベント1-2（マルチ専用）</v>
      </c>
      <c r="H199" s="18">
        <v>0</v>
      </c>
      <c r="I199">
        <v>34</v>
      </c>
      <c r="J199" s="5" t="s">
        <v>16</v>
      </c>
      <c r="K199" s="34" t="str">
        <f>VLOOKUP(I199,[2]stage_hints!$A:$C,3,FALSE)</f>
        <v>ステータスをスキルで下げられたら</v>
      </c>
      <c r="L199" s="35" t="str">
        <f>VLOOKUP(I199,[2]stage_hints!$A:$D,4,FALSE)</f>
        <v>ステータスダウンのスキルを受けたら_x000D_ステータスアップスキルで上書きしましょう</v>
      </c>
      <c r="M199" s="21" t="s">
        <v>23</v>
      </c>
      <c r="N199">
        <v>34</v>
      </c>
    </row>
    <row r="200" spans="1:14" x14ac:dyDescent="0.15">
      <c r="A200" s="26" t="s">
        <v>32</v>
      </c>
      <c r="B200" s="4">
        <v>30002</v>
      </c>
      <c r="C200" s="3" t="str">
        <f ca="1">VLOOKUP($B200,OFFSET([1]quests!$A$1,0,0,COUNTA([1]quests!$A:$A),MATCH(C$1,[1]quests!$1:$1,0)-MATCH($B$1,[1]quests!$1:$1,0)+1),MATCH(C$1,[1]quests!$1:$1,0)-MATCH($B$1,[1]quests!$1:$1,0)+1,FALSE)</f>
        <v>トリックスター</v>
      </c>
      <c r="D200" s="3" t="str">
        <f ca="1">VLOOKUP($B200,OFFSET([1]quests!$A$1,0,0,COUNTA([1]quests!$A:$A),MATCH(D$1,[1]quests!$1:$1,0)-MATCH($B$1,[1]quests!$1:$1,0)+1),MATCH(D$1,[1]quests!$1:$1,0)-MATCH($B$1,[1]quests!$1:$1,0)+1,FALSE)</f>
        <v>ドロップイベント1-2（マルチ専用）</v>
      </c>
      <c r="E200" s="5">
        <v>3</v>
      </c>
      <c r="F200" s="3" t="str">
        <f ca="1">VLOOKUP($B200&amp;"_"&amp;$E200,OFFSET([1]stages!$A$1,0,0,COUNTA([1]stages!$A:$A),MATCH(F$1,[1]stages!$2:$2,0)-MATCH("temp_stage",[1]stages!$2:$2,0)+1),MATCH(F$1,[1]stages!$2:$2,0)-MATCH("temp_stage",[1]stages!$2:$2,0)+1,FALSE)</f>
        <v xml:space="preserve">【超級】トリックスター </v>
      </c>
      <c r="G200" s="3" t="str">
        <f ca="1">VLOOKUP($B200&amp;"_"&amp;$E200,OFFSET([1]stages!$A$1,0,0,COUNTA([1]stages!$A:$A),MATCH(G$1,[1]stages!$2:$2,0)-MATCH("temp_stage",[1]stages!$2:$2,0)+1),MATCH(G$1,[1]stages!$2:$2,0)-MATCH("temp_stage",[1]stages!$2:$2,0)+1,FALSE)</f>
        <v>ドロップイベント1-2（マルチ専用）</v>
      </c>
      <c r="H200" s="18">
        <v>0</v>
      </c>
      <c r="I200">
        <v>35</v>
      </c>
      <c r="J200" s="5" t="s">
        <v>16</v>
      </c>
      <c r="K200" s="34" t="str">
        <f>VLOOKUP(I200,[2]stage_hints!$A:$C,3,FALSE)</f>
        <v>敵のステータスがスキルで上がったら</v>
      </c>
      <c r="L200" s="35" t="str">
        <f>VLOOKUP(I200,[2]stage_hints!$A:$D,4,FALSE)</f>
        <v>敵のステータスがスキルでアップしたときは_x000D_ステータスダウンスキルで上書きしましょう</v>
      </c>
      <c r="M200" s="21" t="s">
        <v>23</v>
      </c>
      <c r="N200">
        <v>35</v>
      </c>
    </row>
    <row r="201" spans="1:14" x14ac:dyDescent="0.15">
      <c r="A201" s="26" t="s">
        <v>32</v>
      </c>
      <c r="B201" s="4">
        <v>30002</v>
      </c>
      <c r="C201" s="3" t="str">
        <f ca="1">VLOOKUP($B201,OFFSET([1]quests!$A$1,0,0,COUNTA([1]quests!$A:$A),MATCH(C$1,[1]quests!$1:$1,0)-MATCH($B$1,[1]quests!$1:$1,0)+1),MATCH(C$1,[1]quests!$1:$1,0)-MATCH($B$1,[1]quests!$1:$1,0)+1,FALSE)</f>
        <v>トリックスター</v>
      </c>
      <c r="D201" s="3" t="str">
        <f ca="1">VLOOKUP($B201,OFFSET([1]quests!$A$1,0,0,COUNTA([1]quests!$A:$A),MATCH(D$1,[1]quests!$1:$1,0)-MATCH($B$1,[1]quests!$1:$1,0)+1),MATCH(D$1,[1]quests!$1:$1,0)-MATCH($B$1,[1]quests!$1:$1,0)+1,FALSE)</f>
        <v>ドロップイベント1-2（マルチ専用）</v>
      </c>
      <c r="E201" s="5">
        <v>3</v>
      </c>
      <c r="F201" s="3" t="str">
        <f ca="1">VLOOKUP($B201&amp;"_"&amp;$E201,OFFSET([1]stages!$A$1,0,0,COUNTA([1]stages!$A:$A),MATCH(F$1,[1]stages!$2:$2,0)-MATCH("temp_stage",[1]stages!$2:$2,0)+1),MATCH(F$1,[1]stages!$2:$2,0)-MATCH("temp_stage",[1]stages!$2:$2,0)+1,FALSE)</f>
        <v xml:space="preserve">【超級】トリックスター </v>
      </c>
      <c r="G201" s="3" t="str">
        <f ca="1">VLOOKUP($B201&amp;"_"&amp;$E201,OFFSET([1]stages!$A$1,0,0,COUNTA([1]stages!$A:$A),MATCH(G$1,[1]stages!$2:$2,0)-MATCH("temp_stage",[1]stages!$2:$2,0)+1),MATCH(G$1,[1]stages!$2:$2,0)-MATCH("temp_stage",[1]stages!$2:$2,0)+1,FALSE)</f>
        <v>ドロップイベント1-2（マルチ専用）</v>
      </c>
      <c r="H201" s="18">
        <v>0</v>
      </c>
      <c r="I201">
        <v>36</v>
      </c>
      <c r="J201" s="5" t="s">
        <v>16</v>
      </c>
      <c r="K201" s="34" t="str">
        <f>VLOOKUP(I201,[2]stage_hints!$A:$C,3,FALSE)</f>
        <v>タワーオブザクイーンのボス</v>
      </c>
      <c r="L201" s="35" t="str">
        <f>VLOOKUP(I201,[2]stage_hints!$A:$D,4,FALSE)</f>
        <v>「タワーオブザクイーン」最上階のボスは_x000D_15階の初回クリア報酬で獲得できるほか_x000D_その階にて低確率でドロップもします</v>
      </c>
      <c r="M201" s="21" t="s">
        <v>23</v>
      </c>
      <c r="N201">
        <v>36</v>
      </c>
    </row>
    <row r="202" spans="1:14" x14ac:dyDescent="0.15">
      <c r="A202" s="26" t="s">
        <v>32</v>
      </c>
      <c r="B202" s="4">
        <v>30002</v>
      </c>
      <c r="C202" s="3" t="str">
        <f ca="1">VLOOKUP($B202,OFFSET([1]quests!$A$1,0,0,COUNTA([1]quests!$A:$A),MATCH(C$1,[1]quests!$1:$1,0)-MATCH($B$1,[1]quests!$1:$1,0)+1),MATCH(C$1,[1]quests!$1:$1,0)-MATCH($B$1,[1]quests!$1:$1,0)+1,FALSE)</f>
        <v>トリックスター</v>
      </c>
      <c r="D202" s="3" t="str">
        <f ca="1">VLOOKUP($B202,OFFSET([1]quests!$A$1,0,0,COUNTA([1]quests!$A:$A),MATCH(D$1,[1]quests!$1:$1,0)-MATCH($B$1,[1]quests!$1:$1,0)+1),MATCH(D$1,[1]quests!$1:$1,0)-MATCH($B$1,[1]quests!$1:$1,0)+1,FALSE)</f>
        <v>ドロップイベント1-2（マルチ専用）</v>
      </c>
      <c r="E202" s="5">
        <v>3</v>
      </c>
      <c r="F202" s="3" t="str">
        <f ca="1">VLOOKUP($B202&amp;"_"&amp;$E202,OFFSET([1]stages!$A$1,0,0,COUNTA([1]stages!$A:$A),MATCH(F$1,[1]stages!$2:$2,0)-MATCH("temp_stage",[1]stages!$2:$2,0)+1),MATCH(F$1,[1]stages!$2:$2,0)-MATCH("temp_stage",[1]stages!$2:$2,0)+1,FALSE)</f>
        <v xml:space="preserve">【超級】トリックスター </v>
      </c>
      <c r="G202" s="3" t="str">
        <f ca="1">VLOOKUP($B202&amp;"_"&amp;$E202,OFFSET([1]stages!$A$1,0,0,COUNTA([1]stages!$A:$A),MATCH(G$1,[1]stages!$2:$2,0)-MATCH("temp_stage",[1]stages!$2:$2,0)+1),MATCH(G$1,[1]stages!$2:$2,0)-MATCH("temp_stage",[1]stages!$2:$2,0)+1,FALSE)</f>
        <v>ドロップイベント1-2（マルチ専用）</v>
      </c>
      <c r="H202" s="18">
        <v>0</v>
      </c>
      <c r="I202">
        <v>37</v>
      </c>
      <c r="J202" s="5" t="s">
        <v>16</v>
      </c>
      <c r="K202" s="34" t="str">
        <f>VLOOKUP(I202,[2]stage_hints!$A:$C,3,FALSE)</f>
        <v>限界突破値の引き継ぎ</v>
      </c>
      <c r="L202" s="35" t="str">
        <f>VLOOKUP(I202,[2]stage_hints!$A:$D,4,FALSE)</f>
        <v>同じユニットを強化で合成すると_x000D_限界突破値を引き継げます（覚醒前後も可）</v>
      </c>
      <c r="M202" s="21" t="s">
        <v>23</v>
      </c>
      <c r="N202">
        <v>37</v>
      </c>
    </row>
    <row r="203" spans="1:14" x14ac:dyDescent="0.15">
      <c r="A203" s="26" t="s">
        <v>32</v>
      </c>
      <c r="B203" s="4">
        <v>30003</v>
      </c>
      <c r="C203" s="3" t="str">
        <f ca="1">VLOOKUP($B203,OFFSET([1]quests!$A$1,0,0,COUNTA([1]quests!$A:$A),MATCH(C$1,[1]quests!$1:$1,0)-MATCH($B$1,[1]quests!$1:$1,0)+1),MATCH(C$1,[1]quests!$1:$1,0)-MATCH($B$1,[1]quests!$1:$1,0)+1,FALSE)</f>
        <v>打ち下ろされる砕棒</v>
      </c>
      <c r="D203" s="3" t="str">
        <f ca="1">VLOOKUP($B203,OFFSET([1]quests!$A$1,0,0,COUNTA([1]quests!$A:$A),MATCH(D$1,[1]quests!$1:$1,0)-MATCH($B$1,[1]quests!$1:$1,0)+1),MATCH(D$1,[1]quests!$1:$1,0)-MATCH($B$1,[1]quests!$1:$1,0)+1,FALSE)</f>
        <v>ドロップイベント1-3（マルチ専用）</v>
      </c>
      <c r="E203" s="5">
        <v>3</v>
      </c>
      <c r="F203" s="3" t="str">
        <f ca="1">VLOOKUP($B203&amp;"_"&amp;$E203,OFFSET([1]stages!$A$1,0,0,COUNTA([1]stages!$A:$A),MATCH(F$1,[1]stages!$2:$2,0)-MATCH("temp_stage",[1]stages!$2:$2,0)+1),MATCH(F$1,[1]stages!$2:$2,0)-MATCH("temp_stage",[1]stages!$2:$2,0)+1,FALSE)</f>
        <v xml:space="preserve">【超級】打ち下ろされる砕棒 </v>
      </c>
      <c r="G203" s="3" t="str">
        <f ca="1">VLOOKUP($B203&amp;"_"&amp;$E203,OFFSET([1]stages!$A$1,0,0,COUNTA([1]stages!$A:$A),MATCH(G$1,[1]stages!$2:$2,0)-MATCH("temp_stage",[1]stages!$2:$2,0)+1),MATCH(G$1,[1]stages!$2:$2,0)-MATCH("temp_stage",[1]stages!$2:$2,0)+1,FALSE)</f>
        <v>ドロップイベント1-3（マルチ専用）</v>
      </c>
      <c r="H203" s="18">
        <v>0</v>
      </c>
      <c r="I203">
        <v>12</v>
      </c>
      <c r="J203" s="5" t="s">
        <v>16</v>
      </c>
      <c r="K203" s="34" t="str">
        <f>VLOOKUP(I203,[2]stage_hints!$A:$C,3,FALSE)</f>
        <v>ユニットのお気に入り登録</v>
      </c>
      <c r="L203" s="35" t="str">
        <f>VLOOKUP(I203,[2]stage_hints!$A:$D,4,FALSE)</f>
        <v>大事なユニットを誤って消さないように_x000D_フォルダから「お気に入り登録」しましょう</v>
      </c>
      <c r="M203" s="21" t="s">
        <v>23</v>
      </c>
      <c r="N203">
        <v>12</v>
      </c>
    </row>
    <row r="204" spans="1:14" x14ac:dyDescent="0.15">
      <c r="A204" s="26" t="s">
        <v>32</v>
      </c>
      <c r="B204" s="4">
        <v>30003</v>
      </c>
      <c r="C204" s="3" t="str">
        <f ca="1">VLOOKUP($B204,OFFSET([1]quests!$A$1,0,0,COUNTA([1]quests!$A:$A),MATCH(C$1,[1]quests!$1:$1,0)-MATCH($B$1,[1]quests!$1:$1,0)+1),MATCH(C$1,[1]quests!$1:$1,0)-MATCH($B$1,[1]quests!$1:$1,0)+1,FALSE)</f>
        <v>打ち下ろされる砕棒</v>
      </c>
      <c r="D204" s="3" t="str">
        <f ca="1">VLOOKUP($B204,OFFSET([1]quests!$A$1,0,0,COUNTA([1]quests!$A:$A),MATCH(D$1,[1]quests!$1:$1,0)-MATCH($B$1,[1]quests!$1:$1,0)+1),MATCH(D$1,[1]quests!$1:$1,0)-MATCH($B$1,[1]quests!$1:$1,0)+1,FALSE)</f>
        <v>ドロップイベント1-3（マルチ専用）</v>
      </c>
      <c r="E204" s="5">
        <v>3</v>
      </c>
      <c r="F204" s="3" t="str">
        <f ca="1">VLOOKUP($B204&amp;"_"&amp;$E204,OFFSET([1]stages!$A$1,0,0,COUNTA([1]stages!$A:$A),MATCH(F$1,[1]stages!$2:$2,0)-MATCH("temp_stage",[1]stages!$2:$2,0)+1),MATCH(F$1,[1]stages!$2:$2,0)-MATCH("temp_stage",[1]stages!$2:$2,0)+1,FALSE)</f>
        <v xml:space="preserve">【超級】打ち下ろされる砕棒 </v>
      </c>
      <c r="G204" s="3" t="str">
        <f ca="1">VLOOKUP($B204&amp;"_"&amp;$E204,OFFSET([1]stages!$A$1,0,0,COUNTA([1]stages!$A:$A),MATCH(G$1,[1]stages!$2:$2,0)-MATCH("temp_stage",[1]stages!$2:$2,0)+1),MATCH(G$1,[1]stages!$2:$2,0)-MATCH("temp_stage",[1]stages!$2:$2,0)+1,FALSE)</f>
        <v>ドロップイベント1-3（マルチ専用）</v>
      </c>
      <c r="H204" s="18">
        <v>0</v>
      </c>
      <c r="I204">
        <v>17</v>
      </c>
      <c r="J204" s="5" t="s">
        <v>16</v>
      </c>
      <c r="K204" s="34" t="str">
        <f>VLOOKUP(I204,[2]stage_hints!$A:$C,3,FALSE)</f>
        <v>リンクガチャ</v>
      </c>
      <c r="L204" s="35" t="str">
        <f>VLOOKUP(I204,[2]stage_hints!$A:$D,4,FALSE)</f>
        <v>無料のリンクガチャを回して_x000D_経験値素材や売却素材を獲得しましょう</v>
      </c>
      <c r="M204" s="21" t="s">
        <v>23</v>
      </c>
      <c r="N204">
        <v>17</v>
      </c>
    </row>
    <row r="205" spans="1:14" x14ac:dyDescent="0.15">
      <c r="A205" s="26" t="s">
        <v>32</v>
      </c>
      <c r="B205" s="4">
        <v>30003</v>
      </c>
      <c r="C205" s="3" t="str">
        <f ca="1">VLOOKUP($B205,OFFSET([1]quests!$A$1,0,0,COUNTA([1]quests!$A:$A),MATCH(C$1,[1]quests!$1:$1,0)-MATCH($B$1,[1]quests!$1:$1,0)+1),MATCH(C$1,[1]quests!$1:$1,0)-MATCH($B$1,[1]quests!$1:$1,0)+1,FALSE)</f>
        <v>打ち下ろされる砕棒</v>
      </c>
      <c r="D205" s="3" t="str">
        <f ca="1">VLOOKUP($B205,OFFSET([1]quests!$A$1,0,0,COUNTA([1]quests!$A:$A),MATCH(D$1,[1]quests!$1:$1,0)-MATCH($B$1,[1]quests!$1:$1,0)+1),MATCH(D$1,[1]quests!$1:$1,0)-MATCH($B$1,[1]quests!$1:$1,0)+1,FALSE)</f>
        <v>ドロップイベント1-3（マルチ専用）</v>
      </c>
      <c r="E205" s="5">
        <v>3</v>
      </c>
      <c r="F205" s="3" t="str">
        <f ca="1">VLOOKUP($B205&amp;"_"&amp;$E205,OFFSET([1]stages!$A$1,0,0,COUNTA([1]stages!$A:$A),MATCH(F$1,[1]stages!$2:$2,0)-MATCH("temp_stage",[1]stages!$2:$2,0)+1),MATCH(F$1,[1]stages!$2:$2,0)-MATCH("temp_stage",[1]stages!$2:$2,0)+1,FALSE)</f>
        <v xml:space="preserve">【超級】打ち下ろされる砕棒 </v>
      </c>
      <c r="G205" s="3" t="str">
        <f ca="1">VLOOKUP($B205&amp;"_"&amp;$E205,OFFSET([1]stages!$A$1,0,0,COUNTA([1]stages!$A:$A),MATCH(G$1,[1]stages!$2:$2,0)-MATCH("temp_stage",[1]stages!$2:$2,0)+1),MATCH(G$1,[1]stages!$2:$2,0)-MATCH("temp_stage",[1]stages!$2:$2,0)+1,FALSE)</f>
        <v>ドロップイベント1-3（マルチ専用）</v>
      </c>
      <c r="H205" s="18">
        <v>0</v>
      </c>
      <c r="I205">
        <v>19</v>
      </c>
      <c r="J205" s="5" t="s">
        <v>16</v>
      </c>
      <c r="K205" s="34" t="str">
        <f>VLOOKUP(I205,[2]stage_hints!$A:$C,3,FALSE)</f>
        <v>ソロ専用タワーオブザクイーン</v>
      </c>
      <c r="L205" s="35" t="str">
        <f>VLOOKUP(I205,[2]stage_hints!$A:$D,4,FALSE)</f>
        <v>ソロ専用の「タワーオブザクイーン」は_x000D_期間限定で定期的に開催されます_x000D_ここでしか獲得できない報酬もあるようです</v>
      </c>
      <c r="M205" s="21" t="s">
        <v>23</v>
      </c>
      <c r="N205">
        <v>19</v>
      </c>
    </row>
    <row r="206" spans="1:14" x14ac:dyDescent="0.15">
      <c r="A206" s="26" t="s">
        <v>32</v>
      </c>
      <c r="B206" s="4">
        <v>30003</v>
      </c>
      <c r="C206" s="3" t="str">
        <f ca="1">VLOOKUP($B206,OFFSET([1]quests!$A$1,0,0,COUNTA([1]quests!$A:$A),MATCH(C$1,[1]quests!$1:$1,0)-MATCH($B$1,[1]quests!$1:$1,0)+1),MATCH(C$1,[1]quests!$1:$1,0)-MATCH($B$1,[1]quests!$1:$1,0)+1,FALSE)</f>
        <v>打ち下ろされる砕棒</v>
      </c>
      <c r="D206" s="3" t="str">
        <f ca="1">VLOOKUP($B206,OFFSET([1]quests!$A$1,0,0,COUNTA([1]quests!$A:$A),MATCH(D$1,[1]quests!$1:$1,0)-MATCH($B$1,[1]quests!$1:$1,0)+1),MATCH(D$1,[1]quests!$1:$1,0)-MATCH($B$1,[1]quests!$1:$1,0)+1,FALSE)</f>
        <v>ドロップイベント1-3（マルチ専用）</v>
      </c>
      <c r="E206" s="5">
        <v>3</v>
      </c>
      <c r="F206" s="3" t="str">
        <f ca="1">VLOOKUP($B206&amp;"_"&amp;$E206,OFFSET([1]stages!$A$1,0,0,COUNTA([1]stages!$A:$A),MATCH(F$1,[1]stages!$2:$2,0)-MATCH("temp_stage",[1]stages!$2:$2,0)+1),MATCH(F$1,[1]stages!$2:$2,0)-MATCH("temp_stage",[1]stages!$2:$2,0)+1,FALSE)</f>
        <v xml:space="preserve">【超級】打ち下ろされる砕棒 </v>
      </c>
      <c r="G206" s="3" t="str">
        <f ca="1">VLOOKUP($B206&amp;"_"&amp;$E206,OFFSET([1]stages!$A$1,0,0,COUNTA([1]stages!$A:$A),MATCH(G$1,[1]stages!$2:$2,0)-MATCH("temp_stage",[1]stages!$2:$2,0)+1),MATCH(G$1,[1]stages!$2:$2,0)-MATCH("temp_stage",[1]stages!$2:$2,0)+1,FALSE)</f>
        <v>ドロップイベント1-3（マルチ専用）</v>
      </c>
      <c r="H206" s="18">
        <v>0</v>
      </c>
      <c r="I206">
        <v>21</v>
      </c>
      <c r="J206" s="5" t="s">
        <v>16</v>
      </c>
      <c r="K206" s="34" t="str">
        <f>VLOOKUP(I206,[2]stage_hints!$A:$C,3,FALSE)</f>
        <v>スキルを有効に</v>
      </c>
      <c r="L206" s="35" t="str">
        <f>VLOOKUP(I206,[2]stage_hints!$A:$D,4,FALSE)</f>
        <v>ターン経過でユニットのスキルが使えます_x000D_強力スキルでバトルを有利に進めましょう</v>
      </c>
      <c r="M206" s="21" t="s">
        <v>23</v>
      </c>
      <c r="N206">
        <v>21</v>
      </c>
    </row>
    <row r="207" spans="1:14" x14ac:dyDescent="0.15">
      <c r="A207" s="26" t="s">
        <v>32</v>
      </c>
      <c r="B207" s="4">
        <v>30003</v>
      </c>
      <c r="C207" s="3" t="str">
        <f ca="1">VLOOKUP($B207,OFFSET([1]quests!$A$1,0,0,COUNTA([1]quests!$A:$A),MATCH(C$1,[1]quests!$1:$1,0)-MATCH($B$1,[1]quests!$1:$1,0)+1),MATCH(C$1,[1]quests!$1:$1,0)-MATCH($B$1,[1]quests!$1:$1,0)+1,FALSE)</f>
        <v>打ち下ろされる砕棒</v>
      </c>
      <c r="D207" s="3" t="str">
        <f ca="1">VLOOKUP($B207,OFFSET([1]quests!$A$1,0,0,COUNTA([1]quests!$A:$A),MATCH(D$1,[1]quests!$1:$1,0)-MATCH($B$1,[1]quests!$1:$1,0)+1),MATCH(D$1,[1]quests!$1:$1,0)-MATCH($B$1,[1]quests!$1:$1,0)+1,FALSE)</f>
        <v>ドロップイベント1-3（マルチ専用）</v>
      </c>
      <c r="E207" s="5">
        <v>3</v>
      </c>
      <c r="F207" s="3" t="str">
        <f ca="1">VLOOKUP($B207&amp;"_"&amp;$E207,OFFSET([1]stages!$A$1,0,0,COUNTA([1]stages!$A:$A),MATCH(F$1,[1]stages!$2:$2,0)-MATCH("temp_stage",[1]stages!$2:$2,0)+1),MATCH(F$1,[1]stages!$2:$2,0)-MATCH("temp_stage",[1]stages!$2:$2,0)+1,FALSE)</f>
        <v xml:space="preserve">【超級】打ち下ろされる砕棒 </v>
      </c>
      <c r="G207" s="3" t="str">
        <f ca="1">VLOOKUP($B207&amp;"_"&amp;$E207,OFFSET([1]stages!$A$1,0,0,COUNTA([1]stages!$A:$A),MATCH(G$1,[1]stages!$2:$2,0)-MATCH("temp_stage",[1]stages!$2:$2,0)+1),MATCH(G$1,[1]stages!$2:$2,0)-MATCH("temp_stage",[1]stages!$2:$2,0)+1,FALSE)</f>
        <v>ドロップイベント1-3（マルチ専用）</v>
      </c>
      <c r="H207" s="18">
        <v>0</v>
      </c>
      <c r="I207">
        <v>27</v>
      </c>
      <c r="J207" s="5" t="s">
        <v>16</v>
      </c>
      <c r="K207" s="34" t="str">
        <f>VLOOKUP(I207,[2]stage_hints!$A:$C,3,FALSE)</f>
        <v>ホーム画面からデッキを編成</v>
      </c>
      <c r="L207" s="35" t="str">
        <f>VLOOKUP(I207,[2]stage_hints!$A:$D,4,FALSE)</f>
        <v>ホーム画面でユニットを長押しすると_x000D_すぐにパーティ編成に移動できます</v>
      </c>
      <c r="M207" s="21" t="s">
        <v>23</v>
      </c>
      <c r="N207">
        <v>27</v>
      </c>
    </row>
    <row r="208" spans="1:14" x14ac:dyDescent="0.15">
      <c r="A208" s="26" t="s">
        <v>32</v>
      </c>
      <c r="B208" s="4">
        <v>30003</v>
      </c>
      <c r="C208" s="3" t="str">
        <f ca="1">VLOOKUP($B208,OFFSET([1]quests!$A$1,0,0,COUNTA([1]quests!$A:$A),MATCH(C$1,[1]quests!$1:$1,0)-MATCH($B$1,[1]quests!$1:$1,0)+1),MATCH(C$1,[1]quests!$1:$1,0)-MATCH($B$1,[1]quests!$1:$1,0)+1,FALSE)</f>
        <v>打ち下ろされる砕棒</v>
      </c>
      <c r="D208" s="3" t="str">
        <f ca="1">VLOOKUP($B208,OFFSET([1]quests!$A$1,0,0,COUNTA([1]quests!$A:$A),MATCH(D$1,[1]quests!$1:$1,0)-MATCH($B$1,[1]quests!$1:$1,0)+1),MATCH(D$1,[1]quests!$1:$1,0)-MATCH($B$1,[1]quests!$1:$1,0)+1,FALSE)</f>
        <v>ドロップイベント1-3（マルチ専用）</v>
      </c>
      <c r="E208" s="5">
        <v>3</v>
      </c>
      <c r="F208" s="3" t="str">
        <f ca="1">VLOOKUP($B208&amp;"_"&amp;$E208,OFFSET([1]stages!$A$1,0,0,COUNTA([1]stages!$A:$A),MATCH(F$1,[1]stages!$2:$2,0)-MATCH("temp_stage",[1]stages!$2:$2,0)+1),MATCH(F$1,[1]stages!$2:$2,0)-MATCH("temp_stage",[1]stages!$2:$2,0)+1,FALSE)</f>
        <v xml:space="preserve">【超級】打ち下ろされる砕棒 </v>
      </c>
      <c r="G208" s="3" t="str">
        <f ca="1">VLOOKUP($B208&amp;"_"&amp;$E208,OFFSET([1]stages!$A$1,0,0,COUNTA([1]stages!$A:$A),MATCH(G$1,[1]stages!$2:$2,0)-MATCH("temp_stage",[1]stages!$2:$2,0)+1),MATCH(G$1,[1]stages!$2:$2,0)-MATCH("temp_stage",[1]stages!$2:$2,0)+1,FALSE)</f>
        <v>ドロップイベント1-3（マルチ専用）</v>
      </c>
      <c r="H208" s="18">
        <v>0</v>
      </c>
      <c r="I208">
        <v>28</v>
      </c>
      <c r="J208" s="5" t="s">
        <v>16</v>
      </c>
      <c r="K208" s="34" t="str">
        <f>VLOOKUP(I208,[2]stage_hints!$A:$C,3,FALSE)</f>
        <v>ステータス情報は長押しで</v>
      </c>
      <c r="L208" s="35" t="str">
        <f>VLOOKUP(I208,[2]stage_hints!$A:$D,4,FALSE)</f>
        <v>ユニットのアイコンを長押しすると_x000D_ステータス情報を確認することができます</v>
      </c>
      <c r="M208" s="21" t="s">
        <v>23</v>
      </c>
      <c r="N208">
        <v>28</v>
      </c>
    </row>
    <row r="209" spans="1:14" x14ac:dyDescent="0.15">
      <c r="A209" s="26" t="s">
        <v>32</v>
      </c>
      <c r="B209" s="4">
        <v>30003</v>
      </c>
      <c r="C209" s="3" t="str">
        <f ca="1">VLOOKUP($B209,OFFSET([1]quests!$A$1,0,0,COUNTA([1]quests!$A:$A),MATCH(C$1,[1]quests!$1:$1,0)-MATCH($B$1,[1]quests!$1:$1,0)+1),MATCH(C$1,[1]quests!$1:$1,0)-MATCH($B$1,[1]quests!$1:$1,0)+1,FALSE)</f>
        <v>打ち下ろされる砕棒</v>
      </c>
      <c r="D209" s="3" t="str">
        <f ca="1">VLOOKUP($B209,OFFSET([1]quests!$A$1,0,0,COUNTA([1]quests!$A:$A),MATCH(D$1,[1]quests!$1:$1,0)-MATCH($B$1,[1]quests!$1:$1,0)+1),MATCH(D$1,[1]quests!$1:$1,0)-MATCH($B$1,[1]quests!$1:$1,0)+1,FALSE)</f>
        <v>ドロップイベント1-3（マルチ専用）</v>
      </c>
      <c r="E209" s="5">
        <v>3</v>
      </c>
      <c r="F209" s="3" t="str">
        <f ca="1">VLOOKUP($B209&amp;"_"&amp;$E209,OFFSET([1]stages!$A$1,0,0,COUNTA([1]stages!$A:$A),MATCH(F$1,[1]stages!$2:$2,0)-MATCH("temp_stage",[1]stages!$2:$2,0)+1),MATCH(F$1,[1]stages!$2:$2,0)-MATCH("temp_stage",[1]stages!$2:$2,0)+1,FALSE)</f>
        <v xml:space="preserve">【超級】打ち下ろされる砕棒 </v>
      </c>
      <c r="G209" s="3" t="str">
        <f ca="1">VLOOKUP($B209&amp;"_"&amp;$E209,OFFSET([1]stages!$A$1,0,0,COUNTA([1]stages!$A:$A),MATCH(G$1,[1]stages!$2:$2,0)-MATCH("temp_stage",[1]stages!$2:$2,0)+1),MATCH(G$1,[1]stages!$2:$2,0)-MATCH("temp_stage",[1]stages!$2:$2,0)+1,FALSE)</f>
        <v>ドロップイベント1-3（マルチ専用）</v>
      </c>
      <c r="H209" s="18">
        <v>0</v>
      </c>
      <c r="I209">
        <v>29</v>
      </c>
      <c r="J209" s="5" t="s">
        <v>16</v>
      </c>
      <c r="K209" s="34" t="str">
        <f>VLOOKUP(I209,[2]stage_hints!$A:$C,3,FALSE)</f>
        <v>「バグ」のメリット</v>
      </c>
      <c r="L209" s="35" t="str">
        <f>VLOOKUP(I209,[2]stage_hints!$A:$D,4,FALSE)</f>
        <v>ユニットの「バグ」を増やすと_x000D_報酬をもらえる確率がアップします</v>
      </c>
      <c r="M209" s="21" t="s">
        <v>23</v>
      </c>
      <c r="N209">
        <v>29</v>
      </c>
    </row>
    <row r="210" spans="1:14" x14ac:dyDescent="0.15">
      <c r="A210" s="26" t="s">
        <v>32</v>
      </c>
      <c r="B210" s="4">
        <v>30003</v>
      </c>
      <c r="C210" s="3" t="str">
        <f ca="1">VLOOKUP($B210,OFFSET([1]quests!$A$1,0,0,COUNTA([1]quests!$A:$A),MATCH(C$1,[1]quests!$1:$1,0)-MATCH($B$1,[1]quests!$1:$1,0)+1),MATCH(C$1,[1]quests!$1:$1,0)-MATCH($B$1,[1]quests!$1:$1,0)+1,FALSE)</f>
        <v>打ち下ろされる砕棒</v>
      </c>
      <c r="D210" s="3" t="str">
        <f ca="1">VLOOKUP($B210,OFFSET([1]quests!$A$1,0,0,COUNTA([1]quests!$A:$A),MATCH(D$1,[1]quests!$1:$1,0)-MATCH($B$1,[1]quests!$1:$1,0)+1),MATCH(D$1,[1]quests!$1:$1,0)-MATCH($B$1,[1]quests!$1:$1,0)+1,FALSE)</f>
        <v>ドロップイベント1-3（マルチ専用）</v>
      </c>
      <c r="E210" s="5">
        <v>3</v>
      </c>
      <c r="F210" s="3" t="str">
        <f ca="1">VLOOKUP($B210&amp;"_"&amp;$E210,OFFSET([1]stages!$A$1,0,0,COUNTA([1]stages!$A:$A),MATCH(F$1,[1]stages!$2:$2,0)-MATCH("temp_stage",[1]stages!$2:$2,0)+1),MATCH(F$1,[1]stages!$2:$2,0)-MATCH("temp_stage",[1]stages!$2:$2,0)+1,FALSE)</f>
        <v xml:space="preserve">【超級】打ち下ろされる砕棒 </v>
      </c>
      <c r="G210" s="3" t="str">
        <f ca="1">VLOOKUP($B210&amp;"_"&amp;$E210,OFFSET([1]stages!$A$1,0,0,COUNTA([1]stages!$A:$A),MATCH(G$1,[1]stages!$2:$2,0)-MATCH("temp_stage",[1]stages!$2:$2,0)+1),MATCH(G$1,[1]stages!$2:$2,0)-MATCH("temp_stage",[1]stages!$2:$2,0)+1,FALSE)</f>
        <v>ドロップイベント1-3（マルチ専用）</v>
      </c>
      <c r="H210" s="18">
        <v>0</v>
      </c>
      <c r="I210">
        <v>30</v>
      </c>
      <c r="J210" s="5" t="s">
        <v>16</v>
      </c>
      <c r="K210" s="34" t="str">
        <f>VLOOKUP(I210,[2]stage_hints!$A:$C,3,FALSE)</f>
        <v>「バグ」の増やし方</v>
      </c>
      <c r="L210" s="35" t="str">
        <f>VLOOKUP(I210,[2]stage_hints!$A:$D,4,FALSE)</f>
        <v>同じユニット同士を強化で合成すると_x000D_「バグ」を増やすことができます</v>
      </c>
      <c r="M210" s="21" t="s">
        <v>23</v>
      </c>
      <c r="N210">
        <v>30</v>
      </c>
    </row>
    <row r="211" spans="1:14" x14ac:dyDescent="0.15">
      <c r="A211" s="26" t="s">
        <v>32</v>
      </c>
      <c r="B211" s="4">
        <v>30003</v>
      </c>
      <c r="C211" s="3" t="str">
        <f ca="1">VLOOKUP($B211,OFFSET([1]quests!$A$1,0,0,COUNTA([1]quests!$A:$A),MATCH(C$1,[1]quests!$1:$1,0)-MATCH($B$1,[1]quests!$1:$1,0)+1),MATCH(C$1,[1]quests!$1:$1,0)-MATCH($B$1,[1]quests!$1:$1,0)+1,FALSE)</f>
        <v>打ち下ろされる砕棒</v>
      </c>
      <c r="D211" s="3" t="str">
        <f ca="1">VLOOKUP($B211,OFFSET([1]quests!$A$1,0,0,COUNTA([1]quests!$A:$A),MATCH(D$1,[1]quests!$1:$1,0)-MATCH($B$1,[1]quests!$1:$1,0)+1),MATCH(D$1,[1]quests!$1:$1,0)-MATCH($B$1,[1]quests!$1:$1,0)+1,FALSE)</f>
        <v>ドロップイベント1-3（マルチ専用）</v>
      </c>
      <c r="E211" s="5">
        <v>3</v>
      </c>
      <c r="F211" s="3" t="str">
        <f ca="1">VLOOKUP($B211&amp;"_"&amp;$E211,OFFSET([1]stages!$A$1,0,0,COUNTA([1]stages!$A:$A),MATCH(F$1,[1]stages!$2:$2,0)-MATCH("temp_stage",[1]stages!$2:$2,0)+1),MATCH(F$1,[1]stages!$2:$2,0)-MATCH("temp_stage",[1]stages!$2:$2,0)+1,FALSE)</f>
        <v xml:space="preserve">【超級】打ち下ろされる砕棒 </v>
      </c>
      <c r="G211" s="3" t="str">
        <f ca="1">VLOOKUP($B211&amp;"_"&amp;$E211,OFFSET([1]stages!$A$1,0,0,COUNTA([1]stages!$A:$A),MATCH(G$1,[1]stages!$2:$2,0)-MATCH("temp_stage",[1]stages!$2:$2,0)+1),MATCH(G$1,[1]stages!$2:$2,0)-MATCH("temp_stage",[1]stages!$2:$2,0)+1,FALSE)</f>
        <v>ドロップイベント1-3（マルチ専用）</v>
      </c>
      <c r="H211" s="18">
        <v>0</v>
      </c>
      <c r="I211">
        <v>32</v>
      </c>
      <c r="J211" s="5" t="s">
        <v>16</v>
      </c>
      <c r="K211" s="34" t="str">
        <f>VLOOKUP(I211,[2]stage_hints!$A:$C,3,FALSE)</f>
        <v>敵の連続攻撃には</v>
      </c>
      <c r="L211" s="35" t="str">
        <f>VLOOKUP(I211,[2]stage_hints!$A:$D,4,FALSE)</f>
        <v>カウンタースキルを持つユニットがいれば_x000D_ダメージ回数分の反撃ができます</v>
      </c>
      <c r="M211" s="21" t="s">
        <v>23</v>
      </c>
      <c r="N211">
        <v>32</v>
      </c>
    </row>
    <row r="212" spans="1:14" x14ac:dyDescent="0.15">
      <c r="A212" s="26" t="s">
        <v>32</v>
      </c>
      <c r="B212" s="4">
        <v>30003</v>
      </c>
      <c r="C212" s="3" t="str">
        <f ca="1">VLOOKUP($B212,OFFSET([1]quests!$A$1,0,0,COUNTA([1]quests!$A:$A),MATCH(C$1,[1]quests!$1:$1,0)-MATCH($B$1,[1]quests!$1:$1,0)+1),MATCH(C$1,[1]quests!$1:$1,0)-MATCH($B$1,[1]quests!$1:$1,0)+1,FALSE)</f>
        <v>打ち下ろされる砕棒</v>
      </c>
      <c r="D212" s="3" t="str">
        <f ca="1">VLOOKUP($B212,OFFSET([1]quests!$A$1,0,0,COUNTA([1]quests!$A:$A),MATCH(D$1,[1]quests!$1:$1,0)-MATCH($B$1,[1]quests!$1:$1,0)+1),MATCH(D$1,[1]quests!$1:$1,0)-MATCH($B$1,[1]quests!$1:$1,0)+1,FALSE)</f>
        <v>ドロップイベント1-3（マルチ専用）</v>
      </c>
      <c r="E212" s="5">
        <v>3</v>
      </c>
      <c r="F212" s="3" t="str">
        <f ca="1">VLOOKUP($B212&amp;"_"&amp;$E212,OFFSET([1]stages!$A$1,0,0,COUNTA([1]stages!$A:$A),MATCH(F$1,[1]stages!$2:$2,0)-MATCH("temp_stage",[1]stages!$2:$2,0)+1),MATCH(F$1,[1]stages!$2:$2,0)-MATCH("temp_stage",[1]stages!$2:$2,0)+1,FALSE)</f>
        <v xml:space="preserve">【超級】打ち下ろされる砕棒 </v>
      </c>
      <c r="G212" s="3" t="str">
        <f ca="1">VLOOKUP($B212&amp;"_"&amp;$E212,OFFSET([1]stages!$A$1,0,0,COUNTA([1]stages!$A:$A),MATCH(G$1,[1]stages!$2:$2,0)-MATCH("temp_stage",[1]stages!$2:$2,0)+1),MATCH(G$1,[1]stages!$2:$2,0)-MATCH("temp_stage",[1]stages!$2:$2,0)+1,FALSE)</f>
        <v>ドロップイベント1-3（マルチ専用）</v>
      </c>
      <c r="H212" s="18">
        <v>0</v>
      </c>
      <c r="I212">
        <v>33</v>
      </c>
      <c r="J212" s="5" t="s">
        <v>16</v>
      </c>
      <c r="K212" s="34" t="str">
        <f>VLOOKUP(I212,[2]stage_hints!$A:$C,3,FALSE)</f>
        <v>敵のカウンター攻撃には</v>
      </c>
      <c r="L212" s="35" t="str">
        <f>VLOOKUP(I212,[2]stage_hints!$A:$D,4,FALSE)</f>
        <v>カウンターブレイクスキルを持っていれば_x000D_敵のカウンターを解除して攻撃ができます</v>
      </c>
      <c r="M212" s="21" t="s">
        <v>23</v>
      </c>
      <c r="N212">
        <v>33</v>
      </c>
    </row>
    <row r="213" spans="1:14" x14ac:dyDescent="0.15">
      <c r="A213" s="26" t="s">
        <v>32</v>
      </c>
      <c r="B213" s="4">
        <v>30003</v>
      </c>
      <c r="C213" s="3" t="str">
        <f ca="1">VLOOKUP($B213,OFFSET([1]quests!$A$1,0,0,COUNTA([1]quests!$A:$A),MATCH(C$1,[1]quests!$1:$1,0)-MATCH($B$1,[1]quests!$1:$1,0)+1),MATCH(C$1,[1]quests!$1:$1,0)-MATCH($B$1,[1]quests!$1:$1,0)+1,FALSE)</f>
        <v>打ち下ろされる砕棒</v>
      </c>
      <c r="D213" s="3" t="str">
        <f ca="1">VLOOKUP($B213,OFFSET([1]quests!$A$1,0,0,COUNTA([1]quests!$A:$A),MATCH(D$1,[1]quests!$1:$1,0)-MATCH($B$1,[1]quests!$1:$1,0)+1),MATCH(D$1,[1]quests!$1:$1,0)-MATCH($B$1,[1]quests!$1:$1,0)+1,FALSE)</f>
        <v>ドロップイベント1-3（マルチ専用）</v>
      </c>
      <c r="E213" s="5">
        <v>3</v>
      </c>
      <c r="F213" s="3" t="str">
        <f ca="1">VLOOKUP($B213&amp;"_"&amp;$E213,OFFSET([1]stages!$A$1,0,0,COUNTA([1]stages!$A:$A),MATCH(F$1,[1]stages!$2:$2,0)-MATCH("temp_stage",[1]stages!$2:$2,0)+1),MATCH(F$1,[1]stages!$2:$2,0)-MATCH("temp_stage",[1]stages!$2:$2,0)+1,FALSE)</f>
        <v xml:space="preserve">【超級】打ち下ろされる砕棒 </v>
      </c>
      <c r="G213" s="3" t="str">
        <f ca="1">VLOOKUP($B213&amp;"_"&amp;$E213,OFFSET([1]stages!$A$1,0,0,COUNTA([1]stages!$A:$A),MATCH(G$1,[1]stages!$2:$2,0)-MATCH("temp_stage",[1]stages!$2:$2,0)+1),MATCH(G$1,[1]stages!$2:$2,0)-MATCH("temp_stage",[1]stages!$2:$2,0)+1,FALSE)</f>
        <v>ドロップイベント1-3（マルチ専用）</v>
      </c>
      <c r="H213" s="18">
        <v>0</v>
      </c>
      <c r="I213">
        <v>34</v>
      </c>
      <c r="J213" s="5" t="s">
        <v>16</v>
      </c>
      <c r="K213" s="34" t="str">
        <f>VLOOKUP(I213,[2]stage_hints!$A:$C,3,FALSE)</f>
        <v>ステータスをスキルで下げられたら</v>
      </c>
      <c r="L213" s="35" t="str">
        <f>VLOOKUP(I213,[2]stage_hints!$A:$D,4,FALSE)</f>
        <v>ステータスダウンのスキルを受けたら_x000D_ステータスアップスキルで上書きしましょう</v>
      </c>
      <c r="M213" s="21" t="s">
        <v>23</v>
      </c>
      <c r="N213">
        <v>34</v>
      </c>
    </row>
    <row r="214" spans="1:14" x14ac:dyDescent="0.15">
      <c r="A214" s="26" t="s">
        <v>32</v>
      </c>
      <c r="B214" s="4">
        <v>30003</v>
      </c>
      <c r="C214" s="3" t="str">
        <f ca="1">VLOOKUP($B214,OFFSET([1]quests!$A$1,0,0,COUNTA([1]quests!$A:$A),MATCH(C$1,[1]quests!$1:$1,0)-MATCH($B$1,[1]quests!$1:$1,0)+1),MATCH(C$1,[1]quests!$1:$1,0)-MATCH($B$1,[1]quests!$1:$1,0)+1,FALSE)</f>
        <v>打ち下ろされる砕棒</v>
      </c>
      <c r="D214" s="3" t="str">
        <f ca="1">VLOOKUP($B214,OFFSET([1]quests!$A$1,0,0,COUNTA([1]quests!$A:$A),MATCH(D$1,[1]quests!$1:$1,0)-MATCH($B$1,[1]quests!$1:$1,0)+1),MATCH(D$1,[1]quests!$1:$1,0)-MATCH($B$1,[1]quests!$1:$1,0)+1,FALSE)</f>
        <v>ドロップイベント1-3（マルチ専用）</v>
      </c>
      <c r="E214" s="5">
        <v>3</v>
      </c>
      <c r="F214" s="3" t="str">
        <f ca="1">VLOOKUP($B214&amp;"_"&amp;$E214,OFFSET([1]stages!$A$1,0,0,COUNTA([1]stages!$A:$A),MATCH(F$1,[1]stages!$2:$2,0)-MATCH("temp_stage",[1]stages!$2:$2,0)+1),MATCH(F$1,[1]stages!$2:$2,0)-MATCH("temp_stage",[1]stages!$2:$2,0)+1,FALSE)</f>
        <v xml:space="preserve">【超級】打ち下ろされる砕棒 </v>
      </c>
      <c r="G214" s="3" t="str">
        <f ca="1">VLOOKUP($B214&amp;"_"&amp;$E214,OFFSET([1]stages!$A$1,0,0,COUNTA([1]stages!$A:$A),MATCH(G$1,[1]stages!$2:$2,0)-MATCH("temp_stage",[1]stages!$2:$2,0)+1),MATCH(G$1,[1]stages!$2:$2,0)-MATCH("temp_stage",[1]stages!$2:$2,0)+1,FALSE)</f>
        <v>ドロップイベント1-3（マルチ専用）</v>
      </c>
      <c r="H214" s="18">
        <v>0</v>
      </c>
      <c r="I214">
        <v>35</v>
      </c>
      <c r="J214" s="5" t="s">
        <v>16</v>
      </c>
      <c r="K214" s="34" t="str">
        <f>VLOOKUP(I214,[2]stage_hints!$A:$C,3,FALSE)</f>
        <v>敵のステータスがスキルで上がったら</v>
      </c>
      <c r="L214" s="35" t="str">
        <f>VLOOKUP(I214,[2]stage_hints!$A:$D,4,FALSE)</f>
        <v>敵のステータスがスキルでアップしたときは_x000D_ステータスダウンスキルで上書きしましょう</v>
      </c>
      <c r="M214" s="21" t="s">
        <v>23</v>
      </c>
      <c r="N214">
        <v>35</v>
      </c>
    </row>
    <row r="215" spans="1:14" x14ac:dyDescent="0.15">
      <c r="A215" s="26" t="s">
        <v>32</v>
      </c>
      <c r="B215" s="4">
        <v>30003</v>
      </c>
      <c r="C215" s="3" t="str">
        <f ca="1">VLOOKUP($B215,OFFSET([1]quests!$A$1,0,0,COUNTA([1]quests!$A:$A),MATCH(C$1,[1]quests!$1:$1,0)-MATCH($B$1,[1]quests!$1:$1,0)+1),MATCH(C$1,[1]quests!$1:$1,0)-MATCH($B$1,[1]quests!$1:$1,0)+1,FALSE)</f>
        <v>打ち下ろされる砕棒</v>
      </c>
      <c r="D215" s="3" t="str">
        <f ca="1">VLOOKUP($B215,OFFSET([1]quests!$A$1,0,0,COUNTA([1]quests!$A:$A),MATCH(D$1,[1]quests!$1:$1,0)-MATCH($B$1,[1]quests!$1:$1,0)+1),MATCH(D$1,[1]quests!$1:$1,0)-MATCH($B$1,[1]quests!$1:$1,0)+1,FALSE)</f>
        <v>ドロップイベント1-3（マルチ専用）</v>
      </c>
      <c r="E215" s="5">
        <v>3</v>
      </c>
      <c r="F215" s="3" t="str">
        <f ca="1">VLOOKUP($B215&amp;"_"&amp;$E215,OFFSET([1]stages!$A$1,0,0,COUNTA([1]stages!$A:$A),MATCH(F$1,[1]stages!$2:$2,0)-MATCH("temp_stage",[1]stages!$2:$2,0)+1),MATCH(F$1,[1]stages!$2:$2,0)-MATCH("temp_stage",[1]stages!$2:$2,0)+1,FALSE)</f>
        <v xml:space="preserve">【超級】打ち下ろされる砕棒 </v>
      </c>
      <c r="G215" s="3" t="str">
        <f ca="1">VLOOKUP($B215&amp;"_"&amp;$E215,OFFSET([1]stages!$A$1,0,0,COUNTA([1]stages!$A:$A),MATCH(G$1,[1]stages!$2:$2,0)-MATCH("temp_stage",[1]stages!$2:$2,0)+1),MATCH(G$1,[1]stages!$2:$2,0)-MATCH("temp_stage",[1]stages!$2:$2,0)+1,FALSE)</f>
        <v>ドロップイベント1-3（マルチ専用）</v>
      </c>
      <c r="H215" s="18">
        <v>0</v>
      </c>
      <c r="I215">
        <v>36</v>
      </c>
      <c r="J215" s="5" t="s">
        <v>16</v>
      </c>
      <c r="K215" s="34" t="str">
        <f>VLOOKUP(I215,[2]stage_hints!$A:$C,3,FALSE)</f>
        <v>タワーオブザクイーンのボス</v>
      </c>
      <c r="L215" s="35" t="str">
        <f>VLOOKUP(I215,[2]stage_hints!$A:$D,4,FALSE)</f>
        <v>「タワーオブザクイーン」最上階のボスは_x000D_15階の初回クリア報酬で獲得できるほか_x000D_その階にて低確率でドロップもします</v>
      </c>
      <c r="M215" s="21" t="s">
        <v>23</v>
      </c>
      <c r="N215">
        <v>36</v>
      </c>
    </row>
    <row r="216" spans="1:14" x14ac:dyDescent="0.15">
      <c r="A216" s="26" t="s">
        <v>32</v>
      </c>
      <c r="B216" s="4">
        <v>30003</v>
      </c>
      <c r="C216" s="3" t="str">
        <f ca="1">VLOOKUP($B216,OFFSET([1]quests!$A$1,0,0,COUNTA([1]quests!$A:$A),MATCH(C$1,[1]quests!$1:$1,0)-MATCH($B$1,[1]quests!$1:$1,0)+1),MATCH(C$1,[1]quests!$1:$1,0)-MATCH($B$1,[1]quests!$1:$1,0)+1,FALSE)</f>
        <v>打ち下ろされる砕棒</v>
      </c>
      <c r="D216" s="3" t="str">
        <f ca="1">VLOOKUP($B216,OFFSET([1]quests!$A$1,0,0,COUNTA([1]quests!$A:$A),MATCH(D$1,[1]quests!$1:$1,0)-MATCH($B$1,[1]quests!$1:$1,0)+1),MATCH(D$1,[1]quests!$1:$1,0)-MATCH($B$1,[1]quests!$1:$1,0)+1,FALSE)</f>
        <v>ドロップイベント1-3（マルチ専用）</v>
      </c>
      <c r="E216" s="5">
        <v>3</v>
      </c>
      <c r="F216" s="3" t="str">
        <f ca="1">VLOOKUP($B216&amp;"_"&amp;$E216,OFFSET([1]stages!$A$1,0,0,COUNTA([1]stages!$A:$A),MATCH(F$1,[1]stages!$2:$2,0)-MATCH("temp_stage",[1]stages!$2:$2,0)+1),MATCH(F$1,[1]stages!$2:$2,0)-MATCH("temp_stage",[1]stages!$2:$2,0)+1,FALSE)</f>
        <v xml:space="preserve">【超級】打ち下ろされる砕棒 </v>
      </c>
      <c r="G216" s="3" t="str">
        <f ca="1">VLOOKUP($B216&amp;"_"&amp;$E216,OFFSET([1]stages!$A$1,0,0,COUNTA([1]stages!$A:$A),MATCH(G$1,[1]stages!$2:$2,0)-MATCH("temp_stage",[1]stages!$2:$2,0)+1),MATCH(G$1,[1]stages!$2:$2,0)-MATCH("temp_stage",[1]stages!$2:$2,0)+1,FALSE)</f>
        <v>ドロップイベント1-3（マルチ専用）</v>
      </c>
      <c r="H216" s="18">
        <v>0</v>
      </c>
      <c r="I216">
        <v>37</v>
      </c>
      <c r="J216" s="5" t="s">
        <v>16</v>
      </c>
      <c r="K216" s="34" t="str">
        <f>VLOOKUP(I216,[2]stage_hints!$A:$C,3,FALSE)</f>
        <v>限界突破値の引き継ぎ</v>
      </c>
      <c r="L216" s="35" t="str">
        <f>VLOOKUP(I216,[2]stage_hints!$A:$D,4,FALSE)</f>
        <v>同じユニットを強化で合成すると_x000D_限界突破値を引き継げます（覚醒前後も可）</v>
      </c>
      <c r="M216" s="21" t="s">
        <v>23</v>
      </c>
      <c r="N216">
        <v>37</v>
      </c>
    </row>
    <row r="217" spans="1:14" x14ac:dyDescent="0.15">
      <c r="A217" s="26" t="s">
        <v>32</v>
      </c>
      <c r="B217" s="4">
        <v>30004</v>
      </c>
      <c r="C217" s="3" t="str">
        <f ca="1">VLOOKUP($B217,OFFSET([1]quests!$A$1,0,0,COUNTA([1]quests!$A:$A),MATCH(C$1,[1]quests!$1:$1,0)-MATCH($B$1,[1]quests!$1:$1,0)+1),MATCH(C$1,[1]quests!$1:$1,0)-MATCH($B$1,[1]quests!$1:$1,0)+1,FALSE)</f>
        <v>危険な仲裁者</v>
      </c>
      <c r="D217" s="3" t="str">
        <f ca="1">VLOOKUP($B217,OFFSET([1]quests!$A$1,0,0,COUNTA([1]quests!$A:$A),MATCH(D$1,[1]quests!$1:$1,0)-MATCH($B$1,[1]quests!$1:$1,0)+1),MATCH(D$1,[1]quests!$1:$1,0)-MATCH($B$1,[1]quests!$1:$1,0)+1,FALSE)</f>
        <v>ドロップイベント1-4（マルチ専用）</v>
      </c>
      <c r="E217" s="5">
        <v>3</v>
      </c>
      <c r="F217" s="3" t="str">
        <f ca="1">VLOOKUP($B217&amp;"_"&amp;$E217,OFFSET([1]stages!$A$1,0,0,COUNTA([1]stages!$A:$A),MATCH(F$1,[1]stages!$2:$2,0)-MATCH("temp_stage",[1]stages!$2:$2,0)+1),MATCH(F$1,[1]stages!$2:$2,0)-MATCH("temp_stage",[1]stages!$2:$2,0)+1,FALSE)</f>
        <v xml:space="preserve">【超級】危険な仲裁者 </v>
      </c>
      <c r="G217" s="3" t="str">
        <f ca="1">VLOOKUP($B217&amp;"_"&amp;$E217,OFFSET([1]stages!$A$1,0,0,COUNTA([1]stages!$A:$A),MATCH(G$1,[1]stages!$2:$2,0)-MATCH("temp_stage",[1]stages!$2:$2,0)+1),MATCH(G$1,[1]stages!$2:$2,0)-MATCH("temp_stage",[1]stages!$2:$2,0)+1,FALSE)</f>
        <v>ドロップイベント1-4（マルチ専用）</v>
      </c>
      <c r="H217" s="18">
        <v>0</v>
      </c>
      <c r="I217">
        <v>12</v>
      </c>
      <c r="J217" s="5" t="s">
        <v>16</v>
      </c>
      <c r="K217" s="34" t="str">
        <f>VLOOKUP(I217,[2]stage_hints!$A:$C,3,FALSE)</f>
        <v>ユニットのお気に入り登録</v>
      </c>
      <c r="L217" s="35" t="str">
        <f>VLOOKUP(I217,[2]stage_hints!$A:$D,4,FALSE)</f>
        <v>大事なユニットを誤って消さないように_x000D_フォルダから「お気に入り登録」しましょう</v>
      </c>
      <c r="M217" s="21" t="s">
        <v>23</v>
      </c>
      <c r="N217">
        <v>12</v>
      </c>
    </row>
    <row r="218" spans="1:14" x14ac:dyDescent="0.15">
      <c r="A218" s="26" t="s">
        <v>32</v>
      </c>
      <c r="B218" s="4">
        <v>30004</v>
      </c>
      <c r="C218" s="3" t="str">
        <f ca="1">VLOOKUP($B218,OFFSET([1]quests!$A$1,0,0,COUNTA([1]quests!$A:$A),MATCH(C$1,[1]quests!$1:$1,0)-MATCH($B$1,[1]quests!$1:$1,0)+1),MATCH(C$1,[1]quests!$1:$1,0)-MATCH($B$1,[1]quests!$1:$1,0)+1,FALSE)</f>
        <v>危険な仲裁者</v>
      </c>
      <c r="D218" s="3" t="str">
        <f ca="1">VLOOKUP($B218,OFFSET([1]quests!$A$1,0,0,COUNTA([1]quests!$A:$A),MATCH(D$1,[1]quests!$1:$1,0)-MATCH($B$1,[1]quests!$1:$1,0)+1),MATCH(D$1,[1]quests!$1:$1,0)-MATCH($B$1,[1]quests!$1:$1,0)+1,FALSE)</f>
        <v>ドロップイベント1-4（マルチ専用）</v>
      </c>
      <c r="E218" s="5">
        <v>3</v>
      </c>
      <c r="F218" s="3" t="str">
        <f ca="1">VLOOKUP($B218&amp;"_"&amp;$E218,OFFSET([1]stages!$A$1,0,0,COUNTA([1]stages!$A:$A),MATCH(F$1,[1]stages!$2:$2,0)-MATCH("temp_stage",[1]stages!$2:$2,0)+1),MATCH(F$1,[1]stages!$2:$2,0)-MATCH("temp_stage",[1]stages!$2:$2,0)+1,FALSE)</f>
        <v xml:space="preserve">【超級】危険な仲裁者 </v>
      </c>
      <c r="G218" s="3" t="str">
        <f ca="1">VLOOKUP($B218&amp;"_"&amp;$E218,OFFSET([1]stages!$A$1,0,0,COUNTA([1]stages!$A:$A),MATCH(G$1,[1]stages!$2:$2,0)-MATCH("temp_stage",[1]stages!$2:$2,0)+1),MATCH(G$1,[1]stages!$2:$2,0)-MATCH("temp_stage",[1]stages!$2:$2,0)+1,FALSE)</f>
        <v>ドロップイベント1-4（マルチ専用）</v>
      </c>
      <c r="H218" s="18">
        <v>0</v>
      </c>
      <c r="I218">
        <v>17</v>
      </c>
      <c r="J218" s="5" t="s">
        <v>16</v>
      </c>
      <c r="K218" s="34" t="str">
        <f>VLOOKUP(I218,[2]stage_hints!$A:$C,3,FALSE)</f>
        <v>リンクガチャ</v>
      </c>
      <c r="L218" s="35" t="str">
        <f>VLOOKUP(I218,[2]stage_hints!$A:$D,4,FALSE)</f>
        <v>無料のリンクガチャを回して_x000D_経験値素材や売却素材を獲得しましょう</v>
      </c>
      <c r="M218" s="21" t="s">
        <v>23</v>
      </c>
      <c r="N218">
        <v>17</v>
      </c>
    </row>
    <row r="219" spans="1:14" x14ac:dyDescent="0.15">
      <c r="A219" s="26" t="s">
        <v>32</v>
      </c>
      <c r="B219" s="4">
        <v>30004</v>
      </c>
      <c r="C219" s="3" t="str">
        <f ca="1">VLOOKUP($B219,OFFSET([1]quests!$A$1,0,0,COUNTA([1]quests!$A:$A),MATCH(C$1,[1]quests!$1:$1,0)-MATCH($B$1,[1]quests!$1:$1,0)+1),MATCH(C$1,[1]quests!$1:$1,0)-MATCH($B$1,[1]quests!$1:$1,0)+1,FALSE)</f>
        <v>危険な仲裁者</v>
      </c>
      <c r="D219" s="3" t="str">
        <f ca="1">VLOOKUP($B219,OFFSET([1]quests!$A$1,0,0,COUNTA([1]quests!$A:$A),MATCH(D$1,[1]quests!$1:$1,0)-MATCH($B$1,[1]quests!$1:$1,0)+1),MATCH(D$1,[1]quests!$1:$1,0)-MATCH($B$1,[1]quests!$1:$1,0)+1,FALSE)</f>
        <v>ドロップイベント1-4（マルチ専用）</v>
      </c>
      <c r="E219" s="5">
        <v>3</v>
      </c>
      <c r="F219" s="3" t="str">
        <f ca="1">VLOOKUP($B219&amp;"_"&amp;$E219,OFFSET([1]stages!$A$1,0,0,COUNTA([1]stages!$A:$A),MATCH(F$1,[1]stages!$2:$2,0)-MATCH("temp_stage",[1]stages!$2:$2,0)+1),MATCH(F$1,[1]stages!$2:$2,0)-MATCH("temp_stage",[1]stages!$2:$2,0)+1,FALSE)</f>
        <v xml:space="preserve">【超級】危険な仲裁者 </v>
      </c>
      <c r="G219" s="3" t="str">
        <f ca="1">VLOOKUP($B219&amp;"_"&amp;$E219,OFFSET([1]stages!$A$1,0,0,COUNTA([1]stages!$A:$A),MATCH(G$1,[1]stages!$2:$2,0)-MATCH("temp_stage",[1]stages!$2:$2,0)+1),MATCH(G$1,[1]stages!$2:$2,0)-MATCH("temp_stage",[1]stages!$2:$2,0)+1,FALSE)</f>
        <v>ドロップイベント1-4（マルチ専用）</v>
      </c>
      <c r="H219" s="18">
        <v>0</v>
      </c>
      <c r="I219">
        <v>19</v>
      </c>
      <c r="J219" s="5" t="s">
        <v>16</v>
      </c>
      <c r="K219" s="34" t="str">
        <f>VLOOKUP(I219,[2]stage_hints!$A:$C,3,FALSE)</f>
        <v>ソロ専用タワーオブザクイーン</v>
      </c>
      <c r="L219" s="35" t="str">
        <f>VLOOKUP(I219,[2]stage_hints!$A:$D,4,FALSE)</f>
        <v>ソロ専用の「タワーオブザクイーン」は_x000D_期間限定で定期的に開催されます_x000D_ここでしか獲得できない報酬もあるようです</v>
      </c>
      <c r="M219" s="21" t="s">
        <v>23</v>
      </c>
      <c r="N219">
        <v>19</v>
      </c>
    </row>
    <row r="220" spans="1:14" x14ac:dyDescent="0.15">
      <c r="A220" s="26" t="s">
        <v>32</v>
      </c>
      <c r="B220" s="4">
        <v>30004</v>
      </c>
      <c r="C220" s="3" t="str">
        <f ca="1">VLOOKUP($B220,OFFSET([1]quests!$A$1,0,0,COUNTA([1]quests!$A:$A),MATCH(C$1,[1]quests!$1:$1,0)-MATCH($B$1,[1]quests!$1:$1,0)+1),MATCH(C$1,[1]quests!$1:$1,0)-MATCH($B$1,[1]quests!$1:$1,0)+1,FALSE)</f>
        <v>危険な仲裁者</v>
      </c>
      <c r="D220" s="3" t="str">
        <f ca="1">VLOOKUP($B220,OFFSET([1]quests!$A$1,0,0,COUNTA([1]quests!$A:$A),MATCH(D$1,[1]quests!$1:$1,0)-MATCH($B$1,[1]quests!$1:$1,0)+1),MATCH(D$1,[1]quests!$1:$1,0)-MATCH($B$1,[1]quests!$1:$1,0)+1,FALSE)</f>
        <v>ドロップイベント1-4（マルチ専用）</v>
      </c>
      <c r="E220" s="5">
        <v>3</v>
      </c>
      <c r="F220" s="3" t="str">
        <f ca="1">VLOOKUP($B220&amp;"_"&amp;$E220,OFFSET([1]stages!$A$1,0,0,COUNTA([1]stages!$A:$A),MATCH(F$1,[1]stages!$2:$2,0)-MATCH("temp_stage",[1]stages!$2:$2,0)+1),MATCH(F$1,[1]stages!$2:$2,0)-MATCH("temp_stage",[1]stages!$2:$2,0)+1,FALSE)</f>
        <v xml:space="preserve">【超級】危険な仲裁者 </v>
      </c>
      <c r="G220" s="3" t="str">
        <f ca="1">VLOOKUP($B220&amp;"_"&amp;$E220,OFFSET([1]stages!$A$1,0,0,COUNTA([1]stages!$A:$A),MATCH(G$1,[1]stages!$2:$2,0)-MATCH("temp_stage",[1]stages!$2:$2,0)+1),MATCH(G$1,[1]stages!$2:$2,0)-MATCH("temp_stage",[1]stages!$2:$2,0)+1,FALSE)</f>
        <v>ドロップイベント1-4（マルチ専用）</v>
      </c>
      <c r="H220" s="18">
        <v>0</v>
      </c>
      <c r="I220">
        <v>21</v>
      </c>
      <c r="J220" s="5" t="s">
        <v>16</v>
      </c>
      <c r="K220" s="34" t="str">
        <f>VLOOKUP(I220,[2]stage_hints!$A:$C,3,FALSE)</f>
        <v>スキルを有効に</v>
      </c>
      <c r="L220" s="35" t="str">
        <f>VLOOKUP(I220,[2]stage_hints!$A:$D,4,FALSE)</f>
        <v>ターン経過でユニットのスキルが使えます_x000D_強力スキルでバトルを有利に進めましょう</v>
      </c>
      <c r="M220" s="21" t="s">
        <v>23</v>
      </c>
      <c r="N220">
        <v>21</v>
      </c>
    </row>
    <row r="221" spans="1:14" x14ac:dyDescent="0.15">
      <c r="A221" s="26" t="s">
        <v>32</v>
      </c>
      <c r="B221" s="4">
        <v>30004</v>
      </c>
      <c r="C221" s="3" t="str">
        <f ca="1">VLOOKUP($B221,OFFSET([1]quests!$A$1,0,0,COUNTA([1]quests!$A:$A),MATCH(C$1,[1]quests!$1:$1,0)-MATCH($B$1,[1]quests!$1:$1,0)+1),MATCH(C$1,[1]quests!$1:$1,0)-MATCH($B$1,[1]quests!$1:$1,0)+1,FALSE)</f>
        <v>危険な仲裁者</v>
      </c>
      <c r="D221" s="3" t="str">
        <f ca="1">VLOOKUP($B221,OFFSET([1]quests!$A$1,0,0,COUNTA([1]quests!$A:$A),MATCH(D$1,[1]quests!$1:$1,0)-MATCH($B$1,[1]quests!$1:$1,0)+1),MATCH(D$1,[1]quests!$1:$1,0)-MATCH($B$1,[1]quests!$1:$1,0)+1,FALSE)</f>
        <v>ドロップイベント1-4（マルチ専用）</v>
      </c>
      <c r="E221" s="5">
        <v>3</v>
      </c>
      <c r="F221" s="3" t="str">
        <f ca="1">VLOOKUP($B221&amp;"_"&amp;$E221,OFFSET([1]stages!$A$1,0,0,COUNTA([1]stages!$A:$A),MATCH(F$1,[1]stages!$2:$2,0)-MATCH("temp_stage",[1]stages!$2:$2,0)+1),MATCH(F$1,[1]stages!$2:$2,0)-MATCH("temp_stage",[1]stages!$2:$2,0)+1,FALSE)</f>
        <v xml:space="preserve">【超級】危険な仲裁者 </v>
      </c>
      <c r="G221" s="3" t="str">
        <f ca="1">VLOOKUP($B221&amp;"_"&amp;$E221,OFFSET([1]stages!$A$1,0,0,COUNTA([1]stages!$A:$A),MATCH(G$1,[1]stages!$2:$2,0)-MATCH("temp_stage",[1]stages!$2:$2,0)+1),MATCH(G$1,[1]stages!$2:$2,0)-MATCH("temp_stage",[1]stages!$2:$2,0)+1,FALSE)</f>
        <v>ドロップイベント1-4（マルチ専用）</v>
      </c>
      <c r="H221" s="18">
        <v>0</v>
      </c>
      <c r="I221">
        <v>27</v>
      </c>
      <c r="J221" s="5" t="s">
        <v>16</v>
      </c>
      <c r="K221" s="34" t="str">
        <f>VLOOKUP(I221,[2]stage_hints!$A:$C,3,FALSE)</f>
        <v>ホーム画面からデッキを編成</v>
      </c>
      <c r="L221" s="35" t="str">
        <f>VLOOKUP(I221,[2]stage_hints!$A:$D,4,FALSE)</f>
        <v>ホーム画面でユニットを長押しすると_x000D_すぐにパーティ編成に移動できます</v>
      </c>
      <c r="M221" s="21" t="s">
        <v>23</v>
      </c>
      <c r="N221">
        <v>27</v>
      </c>
    </row>
    <row r="222" spans="1:14" x14ac:dyDescent="0.15">
      <c r="A222" s="26" t="s">
        <v>32</v>
      </c>
      <c r="B222" s="4">
        <v>30004</v>
      </c>
      <c r="C222" s="3" t="str">
        <f ca="1">VLOOKUP($B222,OFFSET([1]quests!$A$1,0,0,COUNTA([1]quests!$A:$A),MATCH(C$1,[1]quests!$1:$1,0)-MATCH($B$1,[1]quests!$1:$1,0)+1),MATCH(C$1,[1]quests!$1:$1,0)-MATCH($B$1,[1]quests!$1:$1,0)+1,FALSE)</f>
        <v>危険な仲裁者</v>
      </c>
      <c r="D222" s="3" t="str">
        <f ca="1">VLOOKUP($B222,OFFSET([1]quests!$A$1,0,0,COUNTA([1]quests!$A:$A),MATCH(D$1,[1]quests!$1:$1,0)-MATCH($B$1,[1]quests!$1:$1,0)+1),MATCH(D$1,[1]quests!$1:$1,0)-MATCH($B$1,[1]quests!$1:$1,0)+1,FALSE)</f>
        <v>ドロップイベント1-4（マルチ専用）</v>
      </c>
      <c r="E222" s="5">
        <v>3</v>
      </c>
      <c r="F222" s="3" t="str">
        <f ca="1">VLOOKUP($B222&amp;"_"&amp;$E222,OFFSET([1]stages!$A$1,0,0,COUNTA([1]stages!$A:$A),MATCH(F$1,[1]stages!$2:$2,0)-MATCH("temp_stage",[1]stages!$2:$2,0)+1),MATCH(F$1,[1]stages!$2:$2,0)-MATCH("temp_stage",[1]stages!$2:$2,0)+1,FALSE)</f>
        <v xml:space="preserve">【超級】危険な仲裁者 </v>
      </c>
      <c r="G222" s="3" t="str">
        <f ca="1">VLOOKUP($B222&amp;"_"&amp;$E222,OFFSET([1]stages!$A$1,0,0,COUNTA([1]stages!$A:$A),MATCH(G$1,[1]stages!$2:$2,0)-MATCH("temp_stage",[1]stages!$2:$2,0)+1),MATCH(G$1,[1]stages!$2:$2,0)-MATCH("temp_stage",[1]stages!$2:$2,0)+1,FALSE)</f>
        <v>ドロップイベント1-4（マルチ専用）</v>
      </c>
      <c r="H222" s="18">
        <v>0</v>
      </c>
      <c r="I222">
        <v>28</v>
      </c>
      <c r="J222" s="5" t="s">
        <v>16</v>
      </c>
      <c r="K222" s="34" t="str">
        <f>VLOOKUP(I222,[2]stage_hints!$A:$C,3,FALSE)</f>
        <v>ステータス情報は長押しで</v>
      </c>
      <c r="L222" s="35" t="str">
        <f>VLOOKUP(I222,[2]stage_hints!$A:$D,4,FALSE)</f>
        <v>ユニットのアイコンを長押しすると_x000D_ステータス情報を確認することができます</v>
      </c>
      <c r="M222" s="21" t="s">
        <v>23</v>
      </c>
      <c r="N222">
        <v>28</v>
      </c>
    </row>
    <row r="223" spans="1:14" x14ac:dyDescent="0.15">
      <c r="A223" s="26" t="s">
        <v>32</v>
      </c>
      <c r="B223" s="4">
        <v>30004</v>
      </c>
      <c r="C223" s="3" t="str">
        <f ca="1">VLOOKUP($B223,OFFSET([1]quests!$A$1,0,0,COUNTA([1]quests!$A:$A),MATCH(C$1,[1]quests!$1:$1,0)-MATCH($B$1,[1]quests!$1:$1,0)+1),MATCH(C$1,[1]quests!$1:$1,0)-MATCH($B$1,[1]quests!$1:$1,0)+1,FALSE)</f>
        <v>危険な仲裁者</v>
      </c>
      <c r="D223" s="3" t="str">
        <f ca="1">VLOOKUP($B223,OFFSET([1]quests!$A$1,0,0,COUNTA([1]quests!$A:$A),MATCH(D$1,[1]quests!$1:$1,0)-MATCH($B$1,[1]quests!$1:$1,0)+1),MATCH(D$1,[1]quests!$1:$1,0)-MATCH($B$1,[1]quests!$1:$1,0)+1,FALSE)</f>
        <v>ドロップイベント1-4（マルチ専用）</v>
      </c>
      <c r="E223" s="5">
        <v>3</v>
      </c>
      <c r="F223" s="3" t="str">
        <f ca="1">VLOOKUP($B223&amp;"_"&amp;$E223,OFFSET([1]stages!$A$1,0,0,COUNTA([1]stages!$A:$A),MATCH(F$1,[1]stages!$2:$2,0)-MATCH("temp_stage",[1]stages!$2:$2,0)+1),MATCH(F$1,[1]stages!$2:$2,0)-MATCH("temp_stage",[1]stages!$2:$2,0)+1,FALSE)</f>
        <v xml:space="preserve">【超級】危険な仲裁者 </v>
      </c>
      <c r="G223" s="3" t="str">
        <f ca="1">VLOOKUP($B223&amp;"_"&amp;$E223,OFFSET([1]stages!$A$1,0,0,COUNTA([1]stages!$A:$A),MATCH(G$1,[1]stages!$2:$2,0)-MATCH("temp_stage",[1]stages!$2:$2,0)+1),MATCH(G$1,[1]stages!$2:$2,0)-MATCH("temp_stage",[1]stages!$2:$2,0)+1,FALSE)</f>
        <v>ドロップイベント1-4（マルチ専用）</v>
      </c>
      <c r="H223" s="18">
        <v>0</v>
      </c>
      <c r="I223">
        <v>29</v>
      </c>
      <c r="J223" s="5" t="s">
        <v>16</v>
      </c>
      <c r="K223" s="34" t="str">
        <f>VLOOKUP(I223,[2]stage_hints!$A:$C,3,FALSE)</f>
        <v>「バグ」のメリット</v>
      </c>
      <c r="L223" s="35" t="str">
        <f>VLOOKUP(I223,[2]stage_hints!$A:$D,4,FALSE)</f>
        <v>ユニットの「バグ」を増やすと_x000D_報酬をもらえる確率がアップします</v>
      </c>
      <c r="M223" s="21" t="s">
        <v>23</v>
      </c>
      <c r="N223">
        <v>29</v>
      </c>
    </row>
    <row r="224" spans="1:14" x14ac:dyDescent="0.15">
      <c r="A224" s="26" t="s">
        <v>32</v>
      </c>
      <c r="B224" s="4">
        <v>30004</v>
      </c>
      <c r="C224" s="3" t="str">
        <f ca="1">VLOOKUP($B224,OFFSET([1]quests!$A$1,0,0,COUNTA([1]quests!$A:$A),MATCH(C$1,[1]quests!$1:$1,0)-MATCH($B$1,[1]quests!$1:$1,0)+1),MATCH(C$1,[1]quests!$1:$1,0)-MATCH($B$1,[1]quests!$1:$1,0)+1,FALSE)</f>
        <v>危険な仲裁者</v>
      </c>
      <c r="D224" s="3" t="str">
        <f ca="1">VLOOKUP($B224,OFFSET([1]quests!$A$1,0,0,COUNTA([1]quests!$A:$A),MATCH(D$1,[1]quests!$1:$1,0)-MATCH($B$1,[1]quests!$1:$1,0)+1),MATCH(D$1,[1]quests!$1:$1,0)-MATCH($B$1,[1]quests!$1:$1,0)+1,FALSE)</f>
        <v>ドロップイベント1-4（マルチ専用）</v>
      </c>
      <c r="E224" s="5">
        <v>3</v>
      </c>
      <c r="F224" s="3" t="str">
        <f ca="1">VLOOKUP($B224&amp;"_"&amp;$E224,OFFSET([1]stages!$A$1,0,0,COUNTA([1]stages!$A:$A),MATCH(F$1,[1]stages!$2:$2,0)-MATCH("temp_stage",[1]stages!$2:$2,0)+1),MATCH(F$1,[1]stages!$2:$2,0)-MATCH("temp_stage",[1]stages!$2:$2,0)+1,FALSE)</f>
        <v xml:space="preserve">【超級】危険な仲裁者 </v>
      </c>
      <c r="G224" s="3" t="str">
        <f ca="1">VLOOKUP($B224&amp;"_"&amp;$E224,OFFSET([1]stages!$A$1,0,0,COUNTA([1]stages!$A:$A),MATCH(G$1,[1]stages!$2:$2,0)-MATCH("temp_stage",[1]stages!$2:$2,0)+1),MATCH(G$1,[1]stages!$2:$2,0)-MATCH("temp_stage",[1]stages!$2:$2,0)+1,FALSE)</f>
        <v>ドロップイベント1-4（マルチ専用）</v>
      </c>
      <c r="H224" s="18">
        <v>0</v>
      </c>
      <c r="I224">
        <v>30</v>
      </c>
      <c r="J224" s="5" t="s">
        <v>16</v>
      </c>
      <c r="K224" s="34" t="str">
        <f>VLOOKUP(I224,[2]stage_hints!$A:$C,3,FALSE)</f>
        <v>「バグ」の増やし方</v>
      </c>
      <c r="L224" s="35" t="str">
        <f>VLOOKUP(I224,[2]stage_hints!$A:$D,4,FALSE)</f>
        <v>同じユニット同士を強化で合成すると_x000D_「バグ」を増やすことができます</v>
      </c>
      <c r="M224" s="21" t="s">
        <v>23</v>
      </c>
      <c r="N224">
        <v>30</v>
      </c>
    </row>
    <row r="225" spans="1:14" x14ac:dyDescent="0.15">
      <c r="A225" s="26" t="s">
        <v>32</v>
      </c>
      <c r="B225" s="4">
        <v>30004</v>
      </c>
      <c r="C225" s="3" t="str">
        <f ca="1">VLOOKUP($B225,OFFSET([1]quests!$A$1,0,0,COUNTA([1]quests!$A:$A),MATCH(C$1,[1]quests!$1:$1,0)-MATCH($B$1,[1]quests!$1:$1,0)+1),MATCH(C$1,[1]quests!$1:$1,0)-MATCH($B$1,[1]quests!$1:$1,0)+1,FALSE)</f>
        <v>危険な仲裁者</v>
      </c>
      <c r="D225" s="3" t="str">
        <f ca="1">VLOOKUP($B225,OFFSET([1]quests!$A$1,0,0,COUNTA([1]quests!$A:$A),MATCH(D$1,[1]quests!$1:$1,0)-MATCH($B$1,[1]quests!$1:$1,0)+1),MATCH(D$1,[1]quests!$1:$1,0)-MATCH($B$1,[1]quests!$1:$1,0)+1,FALSE)</f>
        <v>ドロップイベント1-4（マルチ専用）</v>
      </c>
      <c r="E225" s="5">
        <v>3</v>
      </c>
      <c r="F225" s="3" t="str">
        <f ca="1">VLOOKUP($B225&amp;"_"&amp;$E225,OFFSET([1]stages!$A$1,0,0,COUNTA([1]stages!$A:$A),MATCH(F$1,[1]stages!$2:$2,0)-MATCH("temp_stage",[1]stages!$2:$2,0)+1),MATCH(F$1,[1]stages!$2:$2,0)-MATCH("temp_stage",[1]stages!$2:$2,0)+1,FALSE)</f>
        <v xml:space="preserve">【超級】危険な仲裁者 </v>
      </c>
      <c r="G225" s="3" t="str">
        <f ca="1">VLOOKUP($B225&amp;"_"&amp;$E225,OFFSET([1]stages!$A$1,0,0,COUNTA([1]stages!$A:$A),MATCH(G$1,[1]stages!$2:$2,0)-MATCH("temp_stage",[1]stages!$2:$2,0)+1),MATCH(G$1,[1]stages!$2:$2,0)-MATCH("temp_stage",[1]stages!$2:$2,0)+1,FALSE)</f>
        <v>ドロップイベント1-4（マルチ専用）</v>
      </c>
      <c r="H225" s="18">
        <v>0</v>
      </c>
      <c r="I225">
        <v>32</v>
      </c>
      <c r="J225" s="5" t="s">
        <v>16</v>
      </c>
      <c r="K225" s="34" t="str">
        <f>VLOOKUP(I225,[2]stage_hints!$A:$C,3,FALSE)</f>
        <v>敵の連続攻撃には</v>
      </c>
      <c r="L225" s="35" t="str">
        <f>VLOOKUP(I225,[2]stage_hints!$A:$D,4,FALSE)</f>
        <v>カウンタースキルを持つユニットがいれば_x000D_ダメージ回数分の反撃ができます</v>
      </c>
      <c r="M225" s="21" t="s">
        <v>23</v>
      </c>
      <c r="N225">
        <v>32</v>
      </c>
    </row>
    <row r="226" spans="1:14" x14ac:dyDescent="0.15">
      <c r="A226" s="26" t="s">
        <v>32</v>
      </c>
      <c r="B226" s="4">
        <v>30004</v>
      </c>
      <c r="C226" s="3" t="str">
        <f ca="1">VLOOKUP($B226,OFFSET([1]quests!$A$1,0,0,COUNTA([1]quests!$A:$A),MATCH(C$1,[1]quests!$1:$1,0)-MATCH($B$1,[1]quests!$1:$1,0)+1),MATCH(C$1,[1]quests!$1:$1,0)-MATCH($B$1,[1]quests!$1:$1,0)+1,FALSE)</f>
        <v>危険な仲裁者</v>
      </c>
      <c r="D226" s="3" t="str">
        <f ca="1">VLOOKUP($B226,OFFSET([1]quests!$A$1,0,0,COUNTA([1]quests!$A:$A),MATCH(D$1,[1]quests!$1:$1,0)-MATCH($B$1,[1]quests!$1:$1,0)+1),MATCH(D$1,[1]quests!$1:$1,0)-MATCH($B$1,[1]quests!$1:$1,0)+1,FALSE)</f>
        <v>ドロップイベント1-4（マルチ専用）</v>
      </c>
      <c r="E226" s="5">
        <v>3</v>
      </c>
      <c r="F226" s="3" t="str">
        <f ca="1">VLOOKUP($B226&amp;"_"&amp;$E226,OFFSET([1]stages!$A$1,0,0,COUNTA([1]stages!$A:$A),MATCH(F$1,[1]stages!$2:$2,0)-MATCH("temp_stage",[1]stages!$2:$2,0)+1),MATCH(F$1,[1]stages!$2:$2,0)-MATCH("temp_stage",[1]stages!$2:$2,0)+1,FALSE)</f>
        <v xml:space="preserve">【超級】危険な仲裁者 </v>
      </c>
      <c r="G226" s="3" t="str">
        <f ca="1">VLOOKUP($B226&amp;"_"&amp;$E226,OFFSET([1]stages!$A$1,0,0,COUNTA([1]stages!$A:$A),MATCH(G$1,[1]stages!$2:$2,0)-MATCH("temp_stage",[1]stages!$2:$2,0)+1),MATCH(G$1,[1]stages!$2:$2,0)-MATCH("temp_stage",[1]stages!$2:$2,0)+1,FALSE)</f>
        <v>ドロップイベント1-4（マルチ専用）</v>
      </c>
      <c r="H226" s="18">
        <v>0</v>
      </c>
      <c r="I226">
        <v>33</v>
      </c>
      <c r="J226" s="5" t="s">
        <v>16</v>
      </c>
      <c r="K226" s="34" t="str">
        <f>VLOOKUP(I226,[2]stage_hints!$A:$C,3,FALSE)</f>
        <v>敵のカウンター攻撃には</v>
      </c>
      <c r="L226" s="35" t="str">
        <f>VLOOKUP(I226,[2]stage_hints!$A:$D,4,FALSE)</f>
        <v>カウンターブレイクスキルを持っていれば_x000D_敵のカウンターを解除して攻撃ができます</v>
      </c>
      <c r="M226" s="21" t="s">
        <v>23</v>
      </c>
      <c r="N226">
        <v>33</v>
      </c>
    </row>
    <row r="227" spans="1:14" x14ac:dyDescent="0.15">
      <c r="A227" s="26" t="s">
        <v>32</v>
      </c>
      <c r="B227" s="4">
        <v>30004</v>
      </c>
      <c r="C227" s="3" t="str">
        <f ca="1">VLOOKUP($B227,OFFSET([1]quests!$A$1,0,0,COUNTA([1]quests!$A:$A),MATCH(C$1,[1]quests!$1:$1,0)-MATCH($B$1,[1]quests!$1:$1,0)+1),MATCH(C$1,[1]quests!$1:$1,0)-MATCH($B$1,[1]quests!$1:$1,0)+1,FALSE)</f>
        <v>危険な仲裁者</v>
      </c>
      <c r="D227" s="3" t="str">
        <f ca="1">VLOOKUP($B227,OFFSET([1]quests!$A$1,0,0,COUNTA([1]quests!$A:$A),MATCH(D$1,[1]quests!$1:$1,0)-MATCH($B$1,[1]quests!$1:$1,0)+1),MATCH(D$1,[1]quests!$1:$1,0)-MATCH($B$1,[1]quests!$1:$1,0)+1,FALSE)</f>
        <v>ドロップイベント1-4（マルチ専用）</v>
      </c>
      <c r="E227" s="5">
        <v>3</v>
      </c>
      <c r="F227" s="3" t="str">
        <f ca="1">VLOOKUP($B227&amp;"_"&amp;$E227,OFFSET([1]stages!$A$1,0,0,COUNTA([1]stages!$A:$A),MATCH(F$1,[1]stages!$2:$2,0)-MATCH("temp_stage",[1]stages!$2:$2,0)+1),MATCH(F$1,[1]stages!$2:$2,0)-MATCH("temp_stage",[1]stages!$2:$2,0)+1,FALSE)</f>
        <v xml:space="preserve">【超級】危険な仲裁者 </v>
      </c>
      <c r="G227" s="3" t="str">
        <f ca="1">VLOOKUP($B227&amp;"_"&amp;$E227,OFFSET([1]stages!$A$1,0,0,COUNTA([1]stages!$A:$A),MATCH(G$1,[1]stages!$2:$2,0)-MATCH("temp_stage",[1]stages!$2:$2,0)+1),MATCH(G$1,[1]stages!$2:$2,0)-MATCH("temp_stage",[1]stages!$2:$2,0)+1,FALSE)</f>
        <v>ドロップイベント1-4（マルチ専用）</v>
      </c>
      <c r="H227" s="18">
        <v>0</v>
      </c>
      <c r="I227">
        <v>34</v>
      </c>
      <c r="J227" s="5" t="s">
        <v>16</v>
      </c>
      <c r="K227" s="34" t="str">
        <f>VLOOKUP(I227,[2]stage_hints!$A:$C,3,FALSE)</f>
        <v>ステータスをスキルで下げられたら</v>
      </c>
      <c r="L227" s="35" t="str">
        <f>VLOOKUP(I227,[2]stage_hints!$A:$D,4,FALSE)</f>
        <v>ステータスダウンのスキルを受けたら_x000D_ステータスアップスキルで上書きしましょう</v>
      </c>
      <c r="M227" s="21" t="s">
        <v>23</v>
      </c>
      <c r="N227">
        <v>34</v>
      </c>
    </row>
    <row r="228" spans="1:14" x14ac:dyDescent="0.15">
      <c r="A228" s="26" t="s">
        <v>32</v>
      </c>
      <c r="B228" s="4">
        <v>30004</v>
      </c>
      <c r="C228" s="3" t="str">
        <f ca="1">VLOOKUP($B228,OFFSET([1]quests!$A$1,0,0,COUNTA([1]quests!$A:$A),MATCH(C$1,[1]quests!$1:$1,0)-MATCH($B$1,[1]quests!$1:$1,0)+1),MATCH(C$1,[1]quests!$1:$1,0)-MATCH($B$1,[1]quests!$1:$1,0)+1,FALSE)</f>
        <v>危険な仲裁者</v>
      </c>
      <c r="D228" s="3" t="str">
        <f ca="1">VLOOKUP($B228,OFFSET([1]quests!$A$1,0,0,COUNTA([1]quests!$A:$A),MATCH(D$1,[1]quests!$1:$1,0)-MATCH($B$1,[1]quests!$1:$1,0)+1),MATCH(D$1,[1]quests!$1:$1,0)-MATCH($B$1,[1]quests!$1:$1,0)+1,FALSE)</f>
        <v>ドロップイベント1-4（マルチ専用）</v>
      </c>
      <c r="E228" s="5">
        <v>3</v>
      </c>
      <c r="F228" s="3" t="str">
        <f ca="1">VLOOKUP($B228&amp;"_"&amp;$E228,OFFSET([1]stages!$A$1,0,0,COUNTA([1]stages!$A:$A),MATCH(F$1,[1]stages!$2:$2,0)-MATCH("temp_stage",[1]stages!$2:$2,0)+1),MATCH(F$1,[1]stages!$2:$2,0)-MATCH("temp_stage",[1]stages!$2:$2,0)+1,FALSE)</f>
        <v xml:space="preserve">【超級】危険な仲裁者 </v>
      </c>
      <c r="G228" s="3" t="str">
        <f ca="1">VLOOKUP($B228&amp;"_"&amp;$E228,OFFSET([1]stages!$A$1,0,0,COUNTA([1]stages!$A:$A),MATCH(G$1,[1]stages!$2:$2,0)-MATCH("temp_stage",[1]stages!$2:$2,0)+1),MATCH(G$1,[1]stages!$2:$2,0)-MATCH("temp_stage",[1]stages!$2:$2,0)+1,FALSE)</f>
        <v>ドロップイベント1-4（マルチ専用）</v>
      </c>
      <c r="H228" s="18">
        <v>0</v>
      </c>
      <c r="I228">
        <v>35</v>
      </c>
      <c r="J228" s="5" t="s">
        <v>16</v>
      </c>
      <c r="K228" s="34" t="str">
        <f>VLOOKUP(I228,[2]stage_hints!$A:$C,3,FALSE)</f>
        <v>敵のステータスがスキルで上がったら</v>
      </c>
      <c r="L228" s="35" t="str">
        <f>VLOOKUP(I228,[2]stage_hints!$A:$D,4,FALSE)</f>
        <v>敵のステータスがスキルでアップしたときは_x000D_ステータスダウンスキルで上書きしましょう</v>
      </c>
      <c r="M228" s="21" t="s">
        <v>23</v>
      </c>
      <c r="N228">
        <v>35</v>
      </c>
    </row>
    <row r="229" spans="1:14" x14ac:dyDescent="0.15">
      <c r="A229" s="26" t="s">
        <v>32</v>
      </c>
      <c r="B229" s="4">
        <v>30004</v>
      </c>
      <c r="C229" s="3" t="str">
        <f ca="1">VLOOKUP($B229,OFFSET([1]quests!$A$1,0,0,COUNTA([1]quests!$A:$A),MATCH(C$1,[1]quests!$1:$1,0)-MATCH($B$1,[1]quests!$1:$1,0)+1),MATCH(C$1,[1]quests!$1:$1,0)-MATCH($B$1,[1]quests!$1:$1,0)+1,FALSE)</f>
        <v>危険な仲裁者</v>
      </c>
      <c r="D229" s="3" t="str">
        <f ca="1">VLOOKUP($B229,OFFSET([1]quests!$A$1,0,0,COUNTA([1]quests!$A:$A),MATCH(D$1,[1]quests!$1:$1,0)-MATCH($B$1,[1]quests!$1:$1,0)+1),MATCH(D$1,[1]quests!$1:$1,0)-MATCH($B$1,[1]quests!$1:$1,0)+1,FALSE)</f>
        <v>ドロップイベント1-4（マルチ専用）</v>
      </c>
      <c r="E229" s="5">
        <v>3</v>
      </c>
      <c r="F229" s="3" t="str">
        <f ca="1">VLOOKUP($B229&amp;"_"&amp;$E229,OFFSET([1]stages!$A$1,0,0,COUNTA([1]stages!$A:$A),MATCH(F$1,[1]stages!$2:$2,0)-MATCH("temp_stage",[1]stages!$2:$2,0)+1),MATCH(F$1,[1]stages!$2:$2,0)-MATCH("temp_stage",[1]stages!$2:$2,0)+1,FALSE)</f>
        <v xml:space="preserve">【超級】危険な仲裁者 </v>
      </c>
      <c r="G229" s="3" t="str">
        <f ca="1">VLOOKUP($B229&amp;"_"&amp;$E229,OFFSET([1]stages!$A$1,0,0,COUNTA([1]stages!$A:$A),MATCH(G$1,[1]stages!$2:$2,0)-MATCH("temp_stage",[1]stages!$2:$2,0)+1),MATCH(G$1,[1]stages!$2:$2,0)-MATCH("temp_stage",[1]stages!$2:$2,0)+1,FALSE)</f>
        <v>ドロップイベント1-4（マルチ専用）</v>
      </c>
      <c r="H229" s="18">
        <v>0</v>
      </c>
      <c r="I229">
        <v>36</v>
      </c>
      <c r="J229" s="5" t="s">
        <v>16</v>
      </c>
      <c r="K229" s="34" t="str">
        <f>VLOOKUP(I229,[2]stage_hints!$A:$C,3,FALSE)</f>
        <v>タワーオブザクイーンのボス</v>
      </c>
      <c r="L229" s="35" t="str">
        <f>VLOOKUP(I229,[2]stage_hints!$A:$D,4,FALSE)</f>
        <v>「タワーオブザクイーン」最上階のボスは_x000D_15階の初回クリア報酬で獲得できるほか_x000D_その階にて低確率でドロップもします</v>
      </c>
      <c r="M229" s="21" t="s">
        <v>23</v>
      </c>
      <c r="N229">
        <v>36</v>
      </c>
    </row>
    <row r="230" spans="1:14" x14ac:dyDescent="0.15">
      <c r="A230" s="26" t="s">
        <v>32</v>
      </c>
      <c r="B230" s="4">
        <v>30004</v>
      </c>
      <c r="C230" s="3" t="str">
        <f ca="1">VLOOKUP($B230,OFFSET([1]quests!$A$1,0,0,COUNTA([1]quests!$A:$A),MATCH(C$1,[1]quests!$1:$1,0)-MATCH($B$1,[1]quests!$1:$1,0)+1),MATCH(C$1,[1]quests!$1:$1,0)-MATCH($B$1,[1]quests!$1:$1,0)+1,FALSE)</f>
        <v>危険な仲裁者</v>
      </c>
      <c r="D230" s="3" t="str">
        <f ca="1">VLOOKUP($B230,OFFSET([1]quests!$A$1,0,0,COUNTA([1]quests!$A:$A),MATCH(D$1,[1]quests!$1:$1,0)-MATCH($B$1,[1]quests!$1:$1,0)+1),MATCH(D$1,[1]quests!$1:$1,0)-MATCH($B$1,[1]quests!$1:$1,0)+1,FALSE)</f>
        <v>ドロップイベント1-4（マルチ専用）</v>
      </c>
      <c r="E230" s="5">
        <v>3</v>
      </c>
      <c r="F230" s="3" t="str">
        <f ca="1">VLOOKUP($B230&amp;"_"&amp;$E230,OFFSET([1]stages!$A$1,0,0,COUNTA([1]stages!$A:$A),MATCH(F$1,[1]stages!$2:$2,0)-MATCH("temp_stage",[1]stages!$2:$2,0)+1),MATCH(F$1,[1]stages!$2:$2,0)-MATCH("temp_stage",[1]stages!$2:$2,0)+1,FALSE)</f>
        <v xml:space="preserve">【超級】危険な仲裁者 </v>
      </c>
      <c r="G230" s="3" t="str">
        <f ca="1">VLOOKUP($B230&amp;"_"&amp;$E230,OFFSET([1]stages!$A$1,0,0,COUNTA([1]stages!$A:$A),MATCH(G$1,[1]stages!$2:$2,0)-MATCH("temp_stage",[1]stages!$2:$2,0)+1),MATCH(G$1,[1]stages!$2:$2,0)-MATCH("temp_stage",[1]stages!$2:$2,0)+1,FALSE)</f>
        <v>ドロップイベント1-4（マルチ専用）</v>
      </c>
      <c r="H230" s="18">
        <v>0</v>
      </c>
      <c r="I230">
        <v>37</v>
      </c>
      <c r="J230" s="5" t="s">
        <v>16</v>
      </c>
      <c r="K230" s="34" t="str">
        <f>VLOOKUP(I230,[2]stage_hints!$A:$C,3,FALSE)</f>
        <v>限界突破値の引き継ぎ</v>
      </c>
      <c r="L230" s="35" t="str">
        <f>VLOOKUP(I230,[2]stage_hints!$A:$D,4,FALSE)</f>
        <v>同じユニットを強化で合成すると_x000D_限界突破値を引き継げます（覚醒前後も可）</v>
      </c>
      <c r="M230" s="21" t="s">
        <v>23</v>
      </c>
      <c r="N230">
        <v>37</v>
      </c>
    </row>
    <row r="231" spans="1:14" x14ac:dyDescent="0.15">
      <c r="A231" s="26" t="s">
        <v>32</v>
      </c>
      <c r="B231" s="4">
        <v>30005</v>
      </c>
      <c r="C231" s="3" t="str">
        <f ca="1">VLOOKUP($B231,OFFSET([1]quests!$A$1,0,0,COUNTA([1]quests!$A:$A),MATCH(C$1,[1]quests!$1:$1,0)-MATCH($B$1,[1]quests!$1:$1,0)+1),MATCH(C$1,[1]quests!$1:$1,0)-MATCH($B$1,[1]quests!$1:$1,0)+1,FALSE)</f>
        <v>ニンゲンにしてあげる☆</v>
      </c>
      <c r="D231" s="3" t="str">
        <f ca="1">VLOOKUP($B231,OFFSET([1]quests!$A$1,0,0,COUNTA([1]quests!$A:$A),MATCH(D$1,[1]quests!$1:$1,0)-MATCH($B$1,[1]quests!$1:$1,0)+1),MATCH(D$1,[1]quests!$1:$1,0)-MATCH($B$1,[1]quests!$1:$1,0)+1,FALSE)</f>
        <v>ドロップイベント2-1（マルチ専用）</v>
      </c>
      <c r="E231" s="5">
        <v>3</v>
      </c>
      <c r="F231" s="3" t="str">
        <f ca="1">VLOOKUP($B231&amp;"_"&amp;$E231,OFFSET([1]stages!$A$1,0,0,COUNTA([1]stages!$A:$A),MATCH(F$1,[1]stages!$2:$2,0)-MATCH("temp_stage",[1]stages!$2:$2,0)+1),MATCH(F$1,[1]stages!$2:$2,0)-MATCH("temp_stage",[1]stages!$2:$2,0)+1,FALSE)</f>
        <v>【超級】ニンゲンにしてあげる</v>
      </c>
      <c r="G231" s="3" t="str">
        <f ca="1">VLOOKUP($B231&amp;"_"&amp;$E231,OFFSET([1]stages!$A$1,0,0,COUNTA([1]stages!$A:$A),MATCH(G$1,[1]stages!$2:$2,0)-MATCH("temp_stage",[1]stages!$2:$2,0)+1),MATCH(G$1,[1]stages!$2:$2,0)-MATCH("temp_stage",[1]stages!$2:$2,0)+1,FALSE)</f>
        <v>ドロップイベント2-1（マルチ専用）</v>
      </c>
      <c r="H231" s="18">
        <v>0</v>
      </c>
      <c r="I231">
        <v>12</v>
      </c>
      <c r="J231" s="5" t="s">
        <v>16</v>
      </c>
      <c r="K231" s="34" t="str">
        <f>VLOOKUP(I231,[2]stage_hints!$A:$C,3,FALSE)</f>
        <v>ユニットのお気に入り登録</v>
      </c>
      <c r="L231" s="35" t="str">
        <f>VLOOKUP(I231,[2]stage_hints!$A:$D,4,FALSE)</f>
        <v>大事なユニットを誤って消さないように_x000D_フォルダから「お気に入り登録」しましょう</v>
      </c>
      <c r="M231" s="21" t="s">
        <v>23</v>
      </c>
      <c r="N231">
        <v>12</v>
      </c>
    </row>
    <row r="232" spans="1:14" x14ac:dyDescent="0.15">
      <c r="A232" s="26" t="s">
        <v>32</v>
      </c>
      <c r="B232" s="4">
        <v>30005</v>
      </c>
      <c r="C232" s="3" t="str">
        <f ca="1">VLOOKUP($B232,OFFSET([1]quests!$A$1,0,0,COUNTA([1]quests!$A:$A),MATCH(C$1,[1]quests!$1:$1,0)-MATCH($B$1,[1]quests!$1:$1,0)+1),MATCH(C$1,[1]quests!$1:$1,0)-MATCH($B$1,[1]quests!$1:$1,0)+1,FALSE)</f>
        <v>ニンゲンにしてあげる☆</v>
      </c>
      <c r="D232" s="3" t="str">
        <f ca="1">VLOOKUP($B232,OFFSET([1]quests!$A$1,0,0,COUNTA([1]quests!$A:$A),MATCH(D$1,[1]quests!$1:$1,0)-MATCH($B$1,[1]quests!$1:$1,0)+1),MATCH(D$1,[1]quests!$1:$1,0)-MATCH($B$1,[1]quests!$1:$1,0)+1,FALSE)</f>
        <v>ドロップイベント2-1（マルチ専用）</v>
      </c>
      <c r="E232" s="5">
        <v>3</v>
      </c>
      <c r="F232" s="3" t="str">
        <f ca="1">VLOOKUP($B232&amp;"_"&amp;$E232,OFFSET([1]stages!$A$1,0,0,COUNTA([1]stages!$A:$A),MATCH(F$1,[1]stages!$2:$2,0)-MATCH("temp_stage",[1]stages!$2:$2,0)+1),MATCH(F$1,[1]stages!$2:$2,0)-MATCH("temp_stage",[1]stages!$2:$2,0)+1,FALSE)</f>
        <v>【超級】ニンゲンにしてあげる</v>
      </c>
      <c r="G232" s="3" t="str">
        <f ca="1">VLOOKUP($B232&amp;"_"&amp;$E232,OFFSET([1]stages!$A$1,0,0,COUNTA([1]stages!$A:$A),MATCH(G$1,[1]stages!$2:$2,0)-MATCH("temp_stage",[1]stages!$2:$2,0)+1),MATCH(G$1,[1]stages!$2:$2,0)-MATCH("temp_stage",[1]stages!$2:$2,0)+1,FALSE)</f>
        <v>ドロップイベント2-1（マルチ専用）</v>
      </c>
      <c r="H232" s="18">
        <v>0</v>
      </c>
      <c r="I232">
        <v>17</v>
      </c>
      <c r="J232" s="5" t="s">
        <v>16</v>
      </c>
      <c r="K232" s="34" t="str">
        <f>VLOOKUP(I232,[2]stage_hints!$A:$C,3,FALSE)</f>
        <v>リンクガチャ</v>
      </c>
      <c r="L232" s="35" t="str">
        <f>VLOOKUP(I232,[2]stage_hints!$A:$D,4,FALSE)</f>
        <v>無料のリンクガチャを回して_x000D_経験値素材や売却素材を獲得しましょう</v>
      </c>
      <c r="M232" s="21" t="s">
        <v>23</v>
      </c>
      <c r="N232">
        <v>17</v>
      </c>
    </row>
    <row r="233" spans="1:14" x14ac:dyDescent="0.15">
      <c r="A233" s="26" t="s">
        <v>32</v>
      </c>
      <c r="B233" s="4">
        <v>30005</v>
      </c>
      <c r="C233" s="3" t="str">
        <f ca="1">VLOOKUP($B233,OFFSET([1]quests!$A$1,0,0,COUNTA([1]quests!$A:$A),MATCH(C$1,[1]quests!$1:$1,0)-MATCH($B$1,[1]quests!$1:$1,0)+1),MATCH(C$1,[1]quests!$1:$1,0)-MATCH($B$1,[1]quests!$1:$1,0)+1,FALSE)</f>
        <v>ニンゲンにしてあげる☆</v>
      </c>
      <c r="D233" s="3" t="str">
        <f ca="1">VLOOKUP($B233,OFFSET([1]quests!$A$1,0,0,COUNTA([1]quests!$A:$A),MATCH(D$1,[1]quests!$1:$1,0)-MATCH($B$1,[1]quests!$1:$1,0)+1),MATCH(D$1,[1]quests!$1:$1,0)-MATCH($B$1,[1]quests!$1:$1,0)+1,FALSE)</f>
        <v>ドロップイベント2-1（マルチ専用）</v>
      </c>
      <c r="E233" s="5">
        <v>3</v>
      </c>
      <c r="F233" s="3" t="str">
        <f ca="1">VLOOKUP($B233&amp;"_"&amp;$E233,OFFSET([1]stages!$A$1,0,0,COUNTA([1]stages!$A:$A),MATCH(F$1,[1]stages!$2:$2,0)-MATCH("temp_stage",[1]stages!$2:$2,0)+1),MATCH(F$1,[1]stages!$2:$2,0)-MATCH("temp_stage",[1]stages!$2:$2,0)+1,FALSE)</f>
        <v>【超級】ニンゲンにしてあげる</v>
      </c>
      <c r="G233" s="3" t="str">
        <f ca="1">VLOOKUP($B233&amp;"_"&amp;$E233,OFFSET([1]stages!$A$1,0,0,COUNTA([1]stages!$A:$A),MATCH(G$1,[1]stages!$2:$2,0)-MATCH("temp_stage",[1]stages!$2:$2,0)+1),MATCH(G$1,[1]stages!$2:$2,0)-MATCH("temp_stage",[1]stages!$2:$2,0)+1,FALSE)</f>
        <v>ドロップイベント2-1（マルチ専用）</v>
      </c>
      <c r="H233" s="18">
        <v>0</v>
      </c>
      <c r="I233">
        <v>19</v>
      </c>
      <c r="J233" s="5" t="s">
        <v>16</v>
      </c>
      <c r="K233" s="34" t="str">
        <f>VLOOKUP(I233,[2]stage_hints!$A:$C,3,FALSE)</f>
        <v>ソロ専用タワーオブザクイーン</v>
      </c>
      <c r="L233" s="35" t="str">
        <f>VLOOKUP(I233,[2]stage_hints!$A:$D,4,FALSE)</f>
        <v>ソロ専用の「タワーオブザクイーン」は_x000D_期間限定で定期的に開催されます_x000D_ここでしか獲得できない報酬もあるようです</v>
      </c>
      <c r="M233" s="21" t="s">
        <v>23</v>
      </c>
      <c r="N233">
        <v>19</v>
      </c>
    </row>
    <row r="234" spans="1:14" x14ac:dyDescent="0.15">
      <c r="A234" s="26" t="s">
        <v>32</v>
      </c>
      <c r="B234" s="4">
        <v>30005</v>
      </c>
      <c r="C234" s="3" t="str">
        <f ca="1">VLOOKUP($B234,OFFSET([1]quests!$A$1,0,0,COUNTA([1]quests!$A:$A),MATCH(C$1,[1]quests!$1:$1,0)-MATCH($B$1,[1]quests!$1:$1,0)+1),MATCH(C$1,[1]quests!$1:$1,0)-MATCH($B$1,[1]quests!$1:$1,0)+1,FALSE)</f>
        <v>ニンゲンにしてあげる☆</v>
      </c>
      <c r="D234" s="3" t="str">
        <f ca="1">VLOOKUP($B234,OFFSET([1]quests!$A$1,0,0,COUNTA([1]quests!$A:$A),MATCH(D$1,[1]quests!$1:$1,0)-MATCH($B$1,[1]quests!$1:$1,0)+1),MATCH(D$1,[1]quests!$1:$1,0)-MATCH($B$1,[1]quests!$1:$1,0)+1,FALSE)</f>
        <v>ドロップイベント2-1（マルチ専用）</v>
      </c>
      <c r="E234" s="5">
        <v>3</v>
      </c>
      <c r="F234" s="3" t="str">
        <f ca="1">VLOOKUP($B234&amp;"_"&amp;$E234,OFFSET([1]stages!$A$1,0,0,COUNTA([1]stages!$A:$A),MATCH(F$1,[1]stages!$2:$2,0)-MATCH("temp_stage",[1]stages!$2:$2,0)+1),MATCH(F$1,[1]stages!$2:$2,0)-MATCH("temp_stage",[1]stages!$2:$2,0)+1,FALSE)</f>
        <v>【超級】ニンゲンにしてあげる</v>
      </c>
      <c r="G234" s="3" t="str">
        <f ca="1">VLOOKUP($B234&amp;"_"&amp;$E234,OFFSET([1]stages!$A$1,0,0,COUNTA([1]stages!$A:$A),MATCH(G$1,[1]stages!$2:$2,0)-MATCH("temp_stage",[1]stages!$2:$2,0)+1),MATCH(G$1,[1]stages!$2:$2,0)-MATCH("temp_stage",[1]stages!$2:$2,0)+1,FALSE)</f>
        <v>ドロップイベント2-1（マルチ専用）</v>
      </c>
      <c r="H234" s="18">
        <v>0</v>
      </c>
      <c r="I234">
        <v>21</v>
      </c>
      <c r="J234" s="5" t="s">
        <v>16</v>
      </c>
      <c r="K234" s="34" t="str">
        <f>VLOOKUP(I234,[2]stage_hints!$A:$C,3,FALSE)</f>
        <v>スキルを有効に</v>
      </c>
      <c r="L234" s="35" t="str">
        <f>VLOOKUP(I234,[2]stage_hints!$A:$D,4,FALSE)</f>
        <v>ターン経過でユニットのスキルが使えます_x000D_強力スキルでバトルを有利に進めましょう</v>
      </c>
      <c r="M234" s="21" t="s">
        <v>23</v>
      </c>
      <c r="N234">
        <v>21</v>
      </c>
    </row>
    <row r="235" spans="1:14" x14ac:dyDescent="0.15">
      <c r="A235" s="26" t="s">
        <v>32</v>
      </c>
      <c r="B235" s="4">
        <v>30005</v>
      </c>
      <c r="C235" s="3" t="str">
        <f ca="1">VLOOKUP($B235,OFFSET([1]quests!$A$1,0,0,COUNTA([1]quests!$A:$A),MATCH(C$1,[1]quests!$1:$1,0)-MATCH($B$1,[1]quests!$1:$1,0)+1),MATCH(C$1,[1]quests!$1:$1,0)-MATCH($B$1,[1]quests!$1:$1,0)+1,FALSE)</f>
        <v>ニンゲンにしてあげる☆</v>
      </c>
      <c r="D235" s="3" t="str">
        <f ca="1">VLOOKUP($B235,OFFSET([1]quests!$A$1,0,0,COUNTA([1]quests!$A:$A),MATCH(D$1,[1]quests!$1:$1,0)-MATCH($B$1,[1]quests!$1:$1,0)+1),MATCH(D$1,[1]quests!$1:$1,0)-MATCH($B$1,[1]quests!$1:$1,0)+1,FALSE)</f>
        <v>ドロップイベント2-1（マルチ専用）</v>
      </c>
      <c r="E235" s="5">
        <v>3</v>
      </c>
      <c r="F235" s="3" t="str">
        <f ca="1">VLOOKUP($B235&amp;"_"&amp;$E235,OFFSET([1]stages!$A$1,0,0,COUNTA([1]stages!$A:$A),MATCH(F$1,[1]stages!$2:$2,0)-MATCH("temp_stage",[1]stages!$2:$2,0)+1),MATCH(F$1,[1]stages!$2:$2,0)-MATCH("temp_stage",[1]stages!$2:$2,0)+1,FALSE)</f>
        <v>【超級】ニンゲンにしてあげる</v>
      </c>
      <c r="G235" s="3" t="str">
        <f ca="1">VLOOKUP($B235&amp;"_"&amp;$E235,OFFSET([1]stages!$A$1,0,0,COUNTA([1]stages!$A:$A),MATCH(G$1,[1]stages!$2:$2,0)-MATCH("temp_stage",[1]stages!$2:$2,0)+1),MATCH(G$1,[1]stages!$2:$2,0)-MATCH("temp_stage",[1]stages!$2:$2,0)+1,FALSE)</f>
        <v>ドロップイベント2-1（マルチ専用）</v>
      </c>
      <c r="H235" s="18">
        <v>0</v>
      </c>
      <c r="I235">
        <v>27</v>
      </c>
      <c r="J235" s="5" t="s">
        <v>16</v>
      </c>
      <c r="K235" s="34" t="str">
        <f>VLOOKUP(I235,[2]stage_hints!$A:$C,3,FALSE)</f>
        <v>ホーム画面からデッキを編成</v>
      </c>
      <c r="L235" s="35" t="str">
        <f>VLOOKUP(I235,[2]stage_hints!$A:$D,4,FALSE)</f>
        <v>ホーム画面でユニットを長押しすると_x000D_すぐにパーティ編成に移動できます</v>
      </c>
      <c r="M235" s="21" t="s">
        <v>23</v>
      </c>
      <c r="N235">
        <v>27</v>
      </c>
    </row>
    <row r="236" spans="1:14" x14ac:dyDescent="0.15">
      <c r="A236" s="26" t="s">
        <v>32</v>
      </c>
      <c r="B236" s="4">
        <v>30005</v>
      </c>
      <c r="C236" s="3" t="str">
        <f ca="1">VLOOKUP($B236,OFFSET([1]quests!$A$1,0,0,COUNTA([1]quests!$A:$A),MATCH(C$1,[1]quests!$1:$1,0)-MATCH($B$1,[1]quests!$1:$1,0)+1),MATCH(C$1,[1]quests!$1:$1,0)-MATCH($B$1,[1]quests!$1:$1,0)+1,FALSE)</f>
        <v>ニンゲンにしてあげる☆</v>
      </c>
      <c r="D236" s="3" t="str">
        <f ca="1">VLOOKUP($B236,OFFSET([1]quests!$A$1,0,0,COUNTA([1]quests!$A:$A),MATCH(D$1,[1]quests!$1:$1,0)-MATCH($B$1,[1]quests!$1:$1,0)+1),MATCH(D$1,[1]quests!$1:$1,0)-MATCH($B$1,[1]quests!$1:$1,0)+1,FALSE)</f>
        <v>ドロップイベント2-1（マルチ専用）</v>
      </c>
      <c r="E236" s="5">
        <v>3</v>
      </c>
      <c r="F236" s="3" t="str">
        <f ca="1">VLOOKUP($B236&amp;"_"&amp;$E236,OFFSET([1]stages!$A$1,0,0,COUNTA([1]stages!$A:$A),MATCH(F$1,[1]stages!$2:$2,0)-MATCH("temp_stage",[1]stages!$2:$2,0)+1),MATCH(F$1,[1]stages!$2:$2,0)-MATCH("temp_stage",[1]stages!$2:$2,0)+1,FALSE)</f>
        <v>【超級】ニンゲンにしてあげる</v>
      </c>
      <c r="G236" s="3" t="str">
        <f ca="1">VLOOKUP($B236&amp;"_"&amp;$E236,OFFSET([1]stages!$A$1,0,0,COUNTA([1]stages!$A:$A),MATCH(G$1,[1]stages!$2:$2,0)-MATCH("temp_stage",[1]stages!$2:$2,0)+1),MATCH(G$1,[1]stages!$2:$2,0)-MATCH("temp_stage",[1]stages!$2:$2,0)+1,FALSE)</f>
        <v>ドロップイベント2-1（マルチ専用）</v>
      </c>
      <c r="H236" s="18">
        <v>0</v>
      </c>
      <c r="I236">
        <v>28</v>
      </c>
      <c r="J236" s="5" t="s">
        <v>16</v>
      </c>
      <c r="K236" s="34" t="str">
        <f>VLOOKUP(I236,[2]stage_hints!$A:$C,3,FALSE)</f>
        <v>ステータス情報は長押しで</v>
      </c>
      <c r="L236" s="35" t="str">
        <f>VLOOKUP(I236,[2]stage_hints!$A:$D,4,FALSE)</f>
        <v>ユニットのアイコンを長押しすると_x000D_ステータス情報を確認することができます</v>
      </c>
      <c r="M236" s="21" t="s">
        <v>23</v>
      </c>
      <c r="N236">
        <v>28</v>
      </c>
    </row>
    <row r="237" spans="1:14" x14ac:dyDescent="0.15">
      <c r="A237" s="26" t="s">
        <v>32</v>
      </c>
      <c r="B237" s="4">
        <v>30005</v>
      </c>
      <c r="C237" s="3" t="str">
        <f ca="1">VLOOKUP($B237,OFFSET([1]quests!$A$1,0,0,COUNTA([1]quests!$A:$A),MATCH(C$1,[1]quests!$1:$1,0)-MATCH($B$1,[1]quests!$1:$1,0)+1),MATCH(C$1,[1]quests!$1:$1,0)-MATCH($B$1,[1]quests!$1:$1,0)+1,FALSE)</f>
        <v>ニンゲンにしてあげる☆</v>
      </c>
      <c r="D237" s="3" t="str">
        <f ca="1">VLOOKUP($B237,OFFSET([1]quests!$A$1,0,0,COUNTA([1]quests!$A:$A),MATCH(D$1,[1]quests!$1:$1,0)-MATCH($B$1,[1]quests!$1:$1,0)+1),MATCH(D$1,[1]quests!$1:$1,0)-MATCH($B$1,[1]quests!$1:$1,0)+1,FALSE)</f>
        <v>ドロップイベント2-1（マルチ専用）</v>
      </c>
      <c r="E237" s="5">
        <v>3</v>
      </c>
      <c r="F237" s="3" t="str">
        <f ca="1">VLOOKUP($B237&amp;"_"&amp;$E237,OFFSET([1]stages!$A$1,0,0,COUNTA([1]stages!$A:$A),MATCH(F$1,[1]stages!$2:$2,0)-MATCH("temp_stage",[1]stages!$2:$2,0)+1),MATCH(F$1,[1]stages!$2:$2,0)-MATCH("temp_stage",[1]stages!$2:$2,0)+1,FALSE)</f>
        <v>【超級】ニンゲンにしてあげる</v>
      </c>
      <c r="G237" s="3" t="str">
        <f ca="1">VLOOKUP($B237&amp;"_"&amp;$E237,OFFSET([1]stages!$A$1,0,0,COUNTA([1]stages!$A:$A),MATCH(G$1,[1]stages!$2:$2,0)-MATCH("temp_stage",[1]stages!$2:$2,0)+1),MATCH(G$1,[1]stages!$2:$2,0)-MATCH("temp_stage",[1]stages!$2:$2,0)+1,FALSE)</f>
        <v>ドロップイベント2-1（マルチ専用）</v>
      </c>
      <c r="H237" s="18">
        <v>0</v>
      </c>
      <c r="I237">
        <v>29</v>
      </c>
      <c r="J237" s="5" t="s">
        <v>16</v>
      </c>
      <c r="K237" s="34" t="str">
        <f>VLOOKUP(I237,[2]stage_hints!$A:$C,3,FALSE)</f>
        <v>「バグ」のメリット</v>
      </c>
      <c r="L237" s="35" t="str">
        <f>VLOOKUP(I237,[2]stage_hints!$A:$D,4,FALSE)</f>
        <v>ユニットの「バグ」を増やすと_x000D_報酬をもらえる確率がアップします</v>
      </c>
      <c r="M237" s="21" t="s">
        <v>23</v>
      </c>
      <c r="N237">
        <v>29</v>
      </c>
    </row>
    <row r="238" spans="1:14" x14ac:dyDescent="0.15">
      <c r="A238" s="26" t="s">
        <v>32</v>
      </c>
      <c r="B238" s="4">
        <v>30005</v>
      </c>
      <c r="C238" s="3" t="str">
        <f ca="1">VLOOKUP($B238,OFFSET([1]quests!$A$1,0,0,COUNTA([1]quests!$A:$A),MATCH(C$1,[1]quests!$1:$1,0)-MATCH($B$1,[1]quests!$1:$1,0)+1),MATCH(C$1,[1]quests!$1:$1,0)-MATCH($B$1,[1]quests!$1:$1,0)+1,FALSE)</f>
        <v>ニンゲンにしてあげる☆</v>
      </c>
      <c r="D238" s="3" t="str">
        <f ca="1">VLOOKUP($B238,OFFSET([1]quests!$A$1,0,0,COUNTA([1]quests!$A:$A),MATCH(D$1,[1]quests!$1:$1,0)-MATCH($B$1,[1]quests!$1:$1,0)+1),MATCH(D$1,[1]quests!$1:$1,0)-MATCH($B$1,[1]quests!$1:$1,0)+1,FALSE)</f>
        <v>ドロップイベント2-1（マルチ専用）</v>
      </c>
      <c r="E238" s="5">
        <v>3</v>
      </c>
      <c r="F238" s="3" t="str">
        <f ca="1">VLOOKUP($B238&amp;"_"&amp;$E238,OFFSET([1]stages!$A$1,0,0,COUNTA([1]stages!$A:$A),MATCH(F$1,[1]stages!$2:$2,0)-MATCH("temp_stage",[1]stages!$2:$2,0)+1),MATCH(F$1,[1]stages!$2:$2,0)-MATCH("temp_stage",[1]stages!$2:$2,0)+1,FALSE)</f>
        <v>【超級】ニンゲンにしてあげる</v>
      </c>
      <c r="G238" s="3" t="str">
        <f ca="1">VLOOKUP($B238&amp;"_"&amp;$E238,OFFSET([1]stages!$A$1,0,0,COUNTA([1]stages!$A:$A),MATCH(G$1,[1]stages!$2:$2,0)-MATCH("temp_stage",[1]stages!$2:$2,0)+1),MATCH(G$1,[1]stages!$2:$2,0)-MATCH("temp_stage",[1]stages!$2:$2,0)+1,FALSE)</f>
        <v>ドロップイベント2-1（マルチ専用）</v>
      </c>
      <c r="H238" s="18">
        <v>0</v>
      </c>
      <c r="I238">
        <v>30</v>
      </c>
      <c r="J238" s="5" t="s">
        <v>16</v>
      </c>
      <c r="K238" s="34" t="str">
        <f>VLOOKUP(I238,[2]stage_hints!$A:$C,3,FALSE)</f>
        <v>「バグ」の増やし方</v>
      </c>
      <c r="L238" s="35" t="str">
        <f>VLOOKUP(I238,[2]stage_hints!$A:$D,4,FALSE)</f>
        <v>同じユニット同士を強化で合成すると_x000D_「バグ」を増やすことができます</v>
      </c>
      <c r="M238" s="21" t="s">
        <v>23</v>
      </c>
      <c r="N238">
        <v>30</v>
      </c>
    </row>
    <row r="239" spans="1:14" x14ac:dyDescent="0.15">
      <c r="A239" s="26" t="s">
        <v>32</v>
      </c>
      <c r="B239" s="4">
        <v>30005</v>
      </c>
      <c r="C239" s="3" t="str">
        <f ca="1">VLOOKUP($B239,OFFSET([1]quests!$A$1,0,0,COUNTA([1]quests!$A:$A),MATCH(C$1,[1]quests!$1:$1,0)-MATCH($B$1,[1]quests!$1:$1,0)+1),MATCH(C$1,[1]quests!$1:$1,0)-MATCH($B$1,[1]quests!$1:$1,0)+1,FALSE)</f>
        <v>ニンゲンにしてあげる☆</v>
      </c>
      <c r="D239" s="3" t="str">
        <f ca="1">VLOOKUP($B239,OFFSET([1]quests!$A$1,0,0,COUNTA([1]quests!$A:$A),MATCH(D$1,[1]quests!$1:$1,0)-MATCH($B$1,[1]quests!$1:$1,0)+1),MATCH(D$1,[1]quests!$1:$1,0)-MATCH($B$1,[1]quests!$1:$1,0)+1,FALSE)</f>
        <v>ドロップイベント2-1（マルチ専用）</v>
      </c>
      <c r="E239" s="5">
        <v>3</v>
      </c>
      <c r="F239" s="3" t="str">
        <f ca="1">VLOOKUP($B239&amp;"_"&amp;$E239,OFFSET([1]stages!$A$1,0,0,COUNTA([1]stages!$A:$A),MATCH(F$1,[1]stages!$2:$2,0)-MATCH("temp_stage",[1]stages!$2:$2,0)+1),MATCH(F$1,[1]stages!$2:$2,0)-MATCH("temp_stage",[1]stages!$2:$2,0)+1,FALSE)</f>
        <v>【超級】ニンゲンにしてあげる</v>
      </c>
      <c r="G239" s="3" t="str">
        <f ca="1">VLOOKUP($B239&amp;"_"&amp;$E239,OFFSET([1]stages!$A$1,0,0,COUNTA([1]stages!$A:$A),MATCH(G$1,[1]stages!$2:$2,0)-MATCH("temp_stage",[1]stages!$2:$2,0)+1),MATCH(G$1,[1]stages!$2:$2,0)-MATCH("temp_stage",[1]stages!$2:$2,0)+1,FALSE)</f>
        <v>ドロップイベント2-1（マルチ専用）</v>
      </c>
      <c r="H239" s="18">
        <v>0</v>
      </c>
      <c r="I239">
        <v>32</v>
      </c>
      <c r="J239" s="5" t="s">
        <v>16</v>
      </c>
      <c r="K239" s="34" t="str">
        <f>VLOOKUP(I239,[2]stage_hints!$A:$C,3,FALSE)</f>
        <v>敵の連続攻撃には</v>
      </c>
      <c r="L239" s="35" t="str">
        <f>VLOOKUP(I239,[2]stage_hints!$A:$D,4,FALSE)</f>
        <v>カウンタースキルを持つユニットがいれば_x000D_ダメージ回数分の反撃ができます</v>
      </c>
      <c r="M239" s="21" t="s">
        <v>23</v>
      </c>
      <c r="N239">
        <v>32</v>
      </c>
    </row>
    <row r="240" spans="1:14" x14ac:dyDescent="0.15">
      <c r="A240" s="26" t="s">
        <v>32</v>
      </c>
      <c r="B240" s="4">
        <v>30005</v>
      </c>
      <c r="C240" s="3" t="str">
        <f ca="1">VLOOKUP($B240,OFFSET([1]quests!$A$1,0,0,COUNTA([1]quests!$A:$A),MATCH(C$1,[1]quests!$1:$1,0)-MATCH($B$1,[1]quests!$1:$1,0)+1),MATCH(C$1,[1]quests!$1:$1,0)-MATCH($B$1,[1]quests!$1:$1,0)+1,FALSE)</f>
        <v>ニンゲンにしてあげる☆</v>
      </c>
      <c r="D240" s="3" t="str">
        <f ca="1">VLOOKUP($B240,OFFSET([1]quests!$A$1,0,0,COUNTA([1]quests!$A:$A),MATCH(D$1,[1]quests!$1:$1,0)-MATCH($B$1,[1]quests!$1:$1,0)+1),MATCH(D$1,[1]quests!$1:$1,0)-MATCH($B$1,[1]quests!$1:$1,0)+1,FALSE)</f>
        <v>ドロップイベント2-1（マルチ専用）</v>
      </c>
      <c r="E240" s="5">
        <v>3</v>
      </c>
      <c r="F240" s="3" t="str">
        <f ca="1">VLOOKUP($B240&amp;"_"&amp;$E240,OFFSET([1]stages!$A$1,0,0,COUNTA([1]stages!$A:$A),MATCH(F$1,[1]stages!$2:$2,0)-MATCH("temp_stage",[1]stages!$2:$2,0)+1),MATCH(F$1,[1]stages!$2:$2,0)-MATCH("temp_stage",[1]stages!$2:$2,0)+1,FALSE)</f>
        <v>【超級】ニンゲンにしてあげる</v>
      </c>
      <c r="G240" s="3" t="str">
        <f ca="1">VLOOKUP($B240&amp;"_"&amp;$E240,OFFSET([1]stages!$A$1,0,0,COUNTA([1]stages!$A:$A),MATCH(G$1,[1]stages!$2:$2,0)-MATCH("temp_stage",[1]stages!$2:$2,0)+1),MATCH(G$1,[1]stages!$2:$2,0)-MATCH("temp_stage",[1]stages!$2:$2,0)+1,FALSE)</f>
        <v>ドロップイベント2-1（マルチ専用）</v>
      </c>
      <c r="H240" s="18">
        <v>0</v>
      </c>
      <c r="I240">
        <v>33</v>
      </c>
      <c r="J240" s="5" t="s">
        <v>16</v>
      </c>
      <c r="K240" s="34" t="str">
        <f>VLOOKUP(I240,[2]stage_hints!$A:$C,3,FALSE)</f>
        <v>敵のカウンター攻撃には</v>
      </c>
      <c r="L240" s="35" t="str">
        <f>VLOOKUP(I240,[2]stage_hints!$A:$D,4,FALSE)</f>
        <v>カウンターブレイクスキルを持っていれば_x000D_敵のカウンターを解除して攻撃ができます</v>
      </c>
      <c r="M240" s="21" t="s">
        <v>23</v>
      </c>
      <c r="N240">
        <v>33</v>
      </c>
    </row>
    <row r="241" spans="1:14" x14ac:dyDescent="0.15">
      <c r="A241" s="26" t="s">
        <v>32</v>
      </c>
      <c r="B241" s="4">
        <v>30005</v>
      </c>
      <c r="C241" s="3" t="str">
        <f ca="1">VLOOKUP($B241,OFFSET([1]quests!$A$1,0,0,COUNTA([1]quests!$A:$A),MATCH(C$1,[1]quests!$1:$1,0)-MATCH($B$1,[1]quests!$1:$1,0)+1),MATCH(C$1,[1]quests!$1:$1,0)-MATCH($B$1,[1]quests!$1:$1,0)+1,FALSE)</f>
        <v>ニンゲンにしてあげる☆</v>
      </c>
      <c r="D241" s="3" t="str">
        <f ca="1">VLOOKUP($B241,OFFSET([1]quests!$A$1,0,0,COUNTA([1]quests!$A:$A),MATCH(D$1,[1]quests!$1:$1,0)-MATCH($B$1,[1]quests!$1:$1,0)+1),MATCH(D$1,[1]quests!$1:$1,0)-MATCH($B$1,[1]quests!$1:$1,0)+1,FALSE)</f>
        <v>ドロップイベント2-1（マルチ専用）</v>
      </c>
      <c r="E241" s="5">
        <v>3</v>
      </c>
      <c r="F241" s="3" t="str">
        <f ca="1">VLOOKUP($B241&amp;"_"&amp;$E241,OFFSET([1]stages!$A$1,0,0,COUNTA([1]stages!$A:$A),MATCH(F$1,[1]stages!$2:$2,0)-MATCH("temp_stage",[1]stages!$2:$2,0)+1),MATCH(F$1,[1]stages!$2:$2,0)-MATCH("temp_stage",[1]stages!$2:$2,0)+1,FALSE)</f>
        <v>【超級】ニンゲンにしてあげる</v>
      </c>
      <c r="G241" s="3" t="str">
        <f ca="1">VLOOKUP($B241&amp;"_"&amp;$E241,OFFSET([1]stages!$A$1,0,0,COUNTA([1]stages!$A:$A),MATCH(G$1,[1]stages!$2:$2,0)-MATCH("temp_stage",[1]stages!$2:$2,0)+1),MATCH(G$1,[1]stages!$2:$2,0)-MATCH("temp_stage",[1]stages!$2:$2,0)+1,FALSE)</f>
        <v>ドロップイベント2-1（マルチ専用）</v>
      </c>
      <c r="H241" s="18">
        <v>0</v>
      </c>
      <c r="I241">
        <v>34</v>
      </c>
      <c r="J241" s="5" t="s">
        <v>16</v>
      </c>
      <c r="K241" s="34" t="str">
        <f>VLOOKUP(I241,[2]stage_hints!$A:$C,3,FALSE)</f>
        <v>ステータスをスキルで下げられたら</v>
      </c>
      <c r="L241" s="35" t="str">
        <f>VLOOKUP(I241,[2]stage_hints!$A:$D,4,FALSE)</f>
        <v>ステータスダウンのスキルを受けたら_x000D_ステータスアップスキルで上書きしましょう</v>
      </c>
      <c r="M241" s="21" t="s">
        <v>23</v>
      </c>
      <c r="N241">
        <v>34</v>
      </c>
    </row>
    <row r="242" spans="1:14" x14ac:dyDescent="0.15">
      <c r="A242" s="26" t="s">
        <v>32</v>
      </c>
      <c r="B242" s="4">
        <v>30005</v>
      </c>
      <c r="C242" s="3" t="str">
        <f ca="1">VLOOKUP($B242,OFFSET([1]quests!$A$1,0,0,COUNTA([1]quests!$A:$A),MATCH(C$1,[1]quests!$1:$1,0)-MATCH($B$1,[1]quests!$1:$1,0)+1),MATCH(C$1,[1]quests!$1:$1,0)-MATCH($B$1,[1]quests!$1:$1,0)+1,FALSE)</f>
        <v>ニンゲンにしてあげる☆</v>
      </c>
      <c r="D242" s="3" t="str">
        <f ca="1">VLOOKUP($B242,OFFSET([1]quests!$A$1,0,0,COUNTA([1]quests!$A:$A),MATCH(D$1,[1]quests!$1:$1,0)-MATCH($B$1,[1]quests!$1:$1,0)+1),MATCH(D$1,[1]quests!$1:$1,0)-MATCH($B$1,[1]quests!$1:$1,0)+1,FALSE)</f>
        <v>ドロップイベント2-1（マルチ専用）</v>
      </c>
      <c r="E242" s="5">
        <v>3</v>
      </c>
      <c r="F242" s="3" t="str">
        <f ca="1">VLOOKUP($B242&amp;"_"&amp;$E242,OFFSET([1]stages!$A$1,0,0,COUNTA([1]stages!$A:$A),MATCH(F$1,[1]stages!$2:$2,0)-MATCH("temp_stage",[1]stages!$2:$2,0)+1),MATCH(F$1,[1]stages!$2:$2,0)-MATCH("temp_stage",[1]stages!$2:$2,0)+1,FALSE)</f>
        <v>【超級】ニンゲンにしてあげる</v>
      </c>
      <c r="G242" s="3" t="str">
        <f ca="1">VLOOKUP($B242&amp;"_"&amp;$E242,OFFSET([1]stages!$A$1,0,0,COUNTA([1]stages!$A:$A),MATCH(G$1,[1]stages!$2:$2,0)-MATCH("temp_stage",[1]stages!$2:$2,0)+1),MATCH(G$1,[1]stages!$2:$2,0)-MATCH("temp_stage",[1]stages!$2:$2,0)+1,FALSE)</f>
        <v>ドロップイベント2-1（マルチ専用）</v>
      </c>
      <c r="H242" s="18">
        <v>0</v>
      </c>
      <c r="I242">
        <v>35</v>
      </c>
      <c r="J242" s="5" t="s">
        <v>16</v>
      </c>
      <c r="K242" s="34" t="str">
        <f>VLOOKUP(I242,[2]stage_hints!$A:$C,3,FALSE)</f>
        <v>敵のステータスがスキルで上がったら</v>
      </c>
      <c r="L242" s="35" t="str">
        <f>VLOOKUP(I242,[2]stage_hints!$A:$D,4,FALSE)</f>
        <v>敵のステータスがスキルでアップしたときは_x000D_ステータスダウンスキルで上書きしましょう</v>
      </c>
      <c r="M242" s="21" t="s">
        <v>23</v>
      </c>
      <c r="N242">
        <v>35</v>
      </c>
    </row>
    <row r="243" spans="1:14" x14ac:dyDescent="0.15">
      <c r="A243" s="26" t="s">
        <v>32</v>
      </c>
      <c r="B243" s="4">
        <v>30005</v>
      </c>
      <c r="C243" s="3" t="str">
        <f ca="1">VLOOKUP($B243,OFFSET([1]quests!$A$1,0,0,COUNTA([1]quests!$A:$A),MATCH(C$1,[1]quests!$1:$1,0)-MATCH($B$1,[1]quests!$1:$1,0)+1),MATCH(C$1,[1]quests!$1:$1,0)-MATCH($B$1,[1]quests!$1:$1,0)+1,FALSE)</f>
        <v>ニンゲンにしてあげる☆</v>
      </c>
      <c r="D243" s="3" t="str">
        <f ca="1">VLOOKUP($B243,OFFSET([1]quests!$A$1,0,0,COUNTA([1]quests!$A:$A),MATCH(D$1,[1]quests!$1:$1,0)-MATCH($B$1,[1]quests!$1:$1,0)+1),MATCH(D$1,[1]quests!$1:$1,0)-MATCH($B$1,[1]quests!$1:$1,0)+1,FALSE)</f>
        <v>ドロップイベント2-1（マルチ専用）</v>
      </c>
      <c r="E243" s="5">
        <v>3</v>
      </c>
      <c r="F243" s="3" t="str">
        <f ca="1">VLOOKUP($B243&amp;"_"&amp;$E243,OFFSET([1]stages!$A$1,0,0,COUNTA([1]stages!$A:$A),MATCH(F$1,[1]stages!$2:$2,0)-MATCH("temp_stage",[1]stages!$2:$2,0)+1),MATCH(F$1,[1]stages!$2:$2,0)-MATCH("temp_stage",[1]stages!$2:$2,0)+1,FALSE)</f>
        <v>【超級】ニンゲンにしてあげる</v>
      </c>
      <c r="G243" s="3" t="str">
        <f ca="1">VLOOKUP($B243&amp;"_"&amp;$E243,OFFSET([1]stages!$A$1,0,0,COUNTA([1]stages!$A:$A),MATCH(G$1,[1]stages!$2:$2,0)-MATCH("temp_stage",[1]stages!$2:$2,0)+1),MATCH(G$1,[1]stages!$2:$2,0)-MATCH("temp_stage",[1]stages!$2:$2,0)+1,FALSE)</f>
        <v>ドロップイベント2-1（マルチ専用）</v>
      </c>
      <c r="H243" s="18">
        <v>0</v>
      </c>
      <c r="I243">
        <v>36</v>
      </c>
      <c r="J243" s="5" t="s">
        <v>16</v>
      </c>
      <c r="K243" s="34" t="str">
        <f>VLOOKUP(I243,[2]stage_hints!$A:$C,3,FALSE)</f>
        <v>タワーオブザクイーンのボス</v>
      </c>
      <c r="L243" s="35" t="str">
        <f>VLOOKUP(I243,[2]stage_hints!$A:$D,4,FALSE)</f>
        <v>「タワーオブザクイーン」最上階のボスは_x000D_15階の初回クリア報酬で獲得できるほか_x000D_その階にて低確率でドロップもします</v>
      </c>
      <c r="M243" s="21" t="s">
        <v>23</v>
      </c>
      <c r="N243">
        <v>36</v>
      </c>
    </row>
    <row r="244" spans="1:14" x14ac:dyDescent="0.15">
      <c r="A244" s="26" t="s">
        <v>32</v>
      </c>
      <c r="B244" s="4">
        <v>30005</v>
      </c>
      <c r="C244" s="3" t="str">
        <f ca="1">VLOOKUP($B244,OFFSET([1]quests!$A$1,0,0,COUNTA([1]quests!$A:$A),MATCH(C$1,[1]quests!$1:$1,0)-MATCH($B$1,[1]quests!$1:$1,0)+1),MATCH(C$1,[1]quests!$1:$1,0)-MATCH($B$1,[1]quests!$1:$1,0)+1,FALSE)</f>
        <v>ニンゲンにしてあげる☆</v>
      </c>
      <c r="D244" s="3" t="str">
        <f ca="1">VLOOKUP($B244,OFFSET([1]quests!$A$1,0,0,COUNTA([1]quests!$A:$A),MATCH(D$1,[1]quests!$1:$1,0)-MATCH($B$1,[1]quests!$1:$1,0)+1),MATCH(D$1,[1]quests!$1:$1,0)-MATCH($B$1,[1]quests!$1:$1,0)+1,FALSE)</f>
        <v>ドロップイベント2-1（マルチ専用）</v>
      </c>
      <c r="E244" s="5">
        <v>3</v>
      </c>
      <c r="F244" s="3" t="str">
        <f ca="1">VLOOKUP($B244&amp;"_"&amp;$E244,OFFSET([1]stages!$A$1,0,0,COUNTA([1]stages!$A:$A),MATCH(F$1,[1]stages!$2:$2,0)-MATCH("temp_stage",[1]stages!$2:$2,0)+1),MATCH(F$1,[1]stages!$2:$2,0)-MATCH("temp_stage",[1]stages!$2:$2,0)+1,FALSE)</f>
        <v>【超級】ニンゲンにしてあげる</v>
      </c>
      <c r="G244" s="3" t="str">
        <f ca="1">VLOOKUP($B244&amp;"_"&amp;$E244,OFFSET([1]stages!$A$1,0,0,COUNTA([1]stages!$A:$A),MATCH(G$1,[1]stages!$2:$2,0)-MATCH("temp_stage",[1]stages!$2:$2,0)+1),MATCH(G$1,[1]stages!$2:$2,0)-MATCH("temp_stage",[1]stages!$2:$2,0)+1,FALSE)</f>
        <v>ドロップイベント2-1（マルチ専用）</v>
      </c>
      <c r="H244" s="18">
        <v>0</v>
      </c>
      <c r="I244">
        <v>37</v>
      </c>
      <c r="J244" s="5" t="s">
        <v>16</v>
      </c>
      <c r="K244" s="34" t="str">
        <f>VLOOKUP(I244,[2]stage_hints!$A:$C,3,FALSE)</f>
        <v>限界突破値の引き継ぎ</v>
      </c>
      <c r="L244" s="35" t="str">
        <f>VLOOKUP(I244,[2]stage_hints!$A:$D,4,FALSE)</f>
        <v>同じユニットを強化で合成すると_x000D_限界突破値を引き継げます（覚醒前後も可）</v>
      </c>
      <c r="M244" s="21" t="s">
        <v>23</v>
      </c>
      <c r="N244">
        <v>37</v>
      </c>
    </row>
    <row r="245" spans="1:14" x14ac:dyDescent="0.15">
      <c r="A245" s="26" t="s">
        <v>32</v>
      </c>
      <c r="B245" s="4">
        <v>30006</v>
      </c>
      <c r="C245" s="3" t="str">
        <f ca="1">VLOOKUP($B245,OFFSET([1]quests!$A$1,0,0,COUNTA([1]quests!$A:$A),MATCH(C$1,[1]quests!$1:$1,0)-MATCH($B$1,[1]quests!$1:$1,0)+1),MATCH(C$1,[1]quests!$1:$1,0)-MATCH($B$1,[1]quests!$1:$1,0)+1,FALSE)</f>
        <v>それはお前を食べるためさ</v>
      </c>
      <c r="D245" s="3" t="str">
        <f ca="1">VLOOKUP($B245,OFFSET([1]quests!$A$1,0,0,COUNTA([1]quests!$A:$A),MATCH(D$1,[1]quests!$1:$1,0)-MATCH($B$1,[1]quests!$1:$1,0)+1),MATCH(D$1,[1]quests!$1:$1,0)-MATCH($B$1,[1]quests!$1:$1,0)+1,FALSE)</f>
        <v>ドロップイベント2-3（マルチ専用）</v>
      </c>
      <c r="E245" s="5">
        <v>3</v>
      </c>
      <c r="F245" s="3" t="str">
        <f ca="1">VLOOKUP($B245&amp;"_"&amp;$E245,OFFSET([1]stages!$A$1,0,0,COUNTA([1]stages!$A:$A),MATCH(F$1,[1]stages!$2:$2,0)-MATCH("temp_stage",[1]stages!$2:$2,0)+1),MATCH(F$1,[1]stages!$2:$2,0)-MATCH("temp_stage",[1]stages!$2:$2,0)+1,FALSE)</f>
        <v>【超級】それはお前を食べるためさ</v>
      </c>
      <c r="G245" s="3" t="str">
        <f ca="1">VLOOKUP($B245&amp;"_"&amp;$E245,OFFSET([1]stages!$A$1,0,0,COUNTA([1]stages!$A:$A),MATCH(G$1,[1]stages!$2:$2,0)-MATCH("temp_stage",[1]stages!$2:$2,0)+1),MATCH(G$1,[1]stages!$2:$2,0)-MATCH("temp_stage",[1]stages!$2:$2,0)+1,FALSE)</f>
        <v>ドロップイベント2-3（マルチ専用）</v>
      </c>
      <c r="H245" s="18">
        <v>0</v>
      </c>
      <c r="I245">
        <v>12</v>
      </c>
      <c r="J245" s="5" t="s">
        <v>16</v>
      </c>
      <c r="K245" s="34" t="str">
        <f>VLOOKUP(I245,[2]stage_hints!$A:$C,3,FALSE)</f>
        <v>ユニットのお気に入り登録</v>
      </c>
      <c r="L245" s="35" t="str">
        <f>VLOOKUP(I245,[2]stage_hints!$A:$D,4,FALSE)</f>
        <v>大事なユニットを誤って消さないように_x000D_フォルダから「お気に入り登録」しましょう</v>
      </c>
      <c r="M245" s="21" t="s">
        <v>23</v>
      </c>
      <c r="N245">
        <v>12</v>
      </c>
    </row>
    <row r="246" spans="1:14" x14ac:dyDescent="0.15">
      <c r="A246" s="26" t="s">
        <v>32</v>
      </c>
      <c r="B246" s="4">
        <v>30006</v>
      </c>
      <c r="C246" s="3" t="str">
        <f ca="1">VLOOKUP($B246,OFFSET([1]quests!$A$1,0,0,COUNTA([1]quests!$A:$A),MATCH(C$1,[1]quests!$1:$1,0)-MATCH($B$1,[1]quests!$1:$1,0)+1),MATCH(C$1,[1]quests!$1:$1,0)-MATCH($B$1,[1]quests!$1:$1,0)+1,FALSE)</f>
        <v>それはお前を食べるためさ</v>
      </c>
      <c r="D246" s="3" t="str">
        <f ca="1">VLOOKUP($B246,OFFSET([1]quests!$A$1,0,0,COUNTA([1]quests!$A:$A),MATCH(D$1,[1]quests!$1:$1,0)-MATCH($B$1,[1]quests!$1:$1,0)+1),MATCH(D$1,[1]quests!$1:$1,0)-MATCH($B$1,[1]quests!$1:$1,0)+1,FALSE)</f>
        <v>ドロップイベント2-3（マルチ専用）</v>
      </c>
      <c r="E246" s="5">
        <v>3</v>
      </c>
      <c r="F246" s="3" t="str">
        <f ca="1">VLOOKUP($B246&amp;"_"&amp;$E246,OFFSET([1]stages!$A$1,0,0,COUNTA([1]stages!$A:$A),MATCH(F$1,[1]stages!$2:$2,0)-MATCH("temp_stage",[1]stages!$2:$2,0)+1),MATCH(F$1,[1]stages!$2:$2,0)-MATCH("temp_stage",[1]stages!$2:$2,0)+1,FALSE)</f>
        <v>【超級】それはお前を食べるためさ</v>
      </c>
      <c r="G246" s="3" t="str">
        <f ca="1">VLOOKUP($B246&amp;"_"&amp;$E246,OFFSET([1]stages!$A$1,0,0,COUNTA([1]stages!$A:$A),MATCH(G$1,[1]stages!$2:$2,0)-MATCH("temp_stage",[1]stages!$2:$2,0)+1),MATCH(G$1,[1]stages!$2:$2,0)-MATCH("temp_stage",[1]stages!$2:$2,0)+1,FALSE)</f>
        <v>ドロップイベント2-3（マルチ専用）</v>
      </c>
      <c r="H246" s="18">
        <v>0</v>
      </c>
      <c r="I246">
        <v>17</v>
      </c>
      <c r="J246" s="5" t="s">
        <v>16</v>
      </c>
      <c r="K246" s="34" t="str">
        <f>VLOOKUP(I246,[2]stage_hints!$A:$C,3,FALSE)</f>
        <v>リンクガチャ</v>
      </c>
      <c r="L246" s="35" t="str">
        <f>VLOOKUP(I246,[2]stage_hints!$A:$D,4,FALSE)</f>
        <v>無料のリンクガチャを回して_x000D_経験値素材や売却素材を獲得しましょう</v>
      </c>
      <c r="M246" s="21" t="s">
        <v>23</v>
      </c>
      <c r="N246">
        <v>17</v>
      </c>
    </row>
    <row r="247" spans="1:14" x14ac:dyDescent="0.15">
      <c r="A247" s="26" t="s">
        <v>32</v>
      </c>
      <c r="B247" s="4">
        <v>30006</v>
      </c>
      <c r="C247" s="3" t="str">
        <f ca="1">VLOOKUP($B247,OFFSET([1]quests!$A$1,0,0,COUNTA([1]quests!$A:$A),MATCH(C$1,[1]quests!$1:$1,0)-MATCH($B$1,[1]quests!$1:$1,0)+1),MATCH(C$1,[1]quests!$1:$1,0)-MATCH($B$1,[1]quests!$1:$1,0)+1,FALSE)</f>
        <v>それはお前を食べるためさ</v>
      </c>
      <c r="D247" s="3" t="str">
        <f ca="1">VLOOKUP($B247,OFFSET([1]quests!$A$1,0,0,COUNTA([1]quests!$A:$A),MATCH(D$1,[1]quests!$1:$1,0)-MATCH($B$1,[1]quests!$1:$1,0)+1),MATCH(D$1,[1]quests!$1:$1,0)-MATCH($B$1,[1]quests!$1:$1,0)+1,FALSE)</f>
        <v>ドロップイベント2-3（マルチ専用）</v>
      </c>
      <c r="E247" s="5">
        <v>3</v>
      </c>
      <c r="F247" s="3" t="str">
        <f ca="1">VLOOKUP($B247&amp;"_"&amp;$E247,OFFSET([1]stages!$A$1,0,0,COUNTA([1]stages!$A:$A),MATCH(F$1,[1]stages!$2:$2,0)-MATCH("temp_stage",[1]stages!$2:$2,0)+1),MATCH(F$1,[1]stages!$2:$2,0)-MATCH("temp_stage",[1]stages!$2:$2,0)+1,FALSE)</f>
        <v>【超級】それはお前を食べるためさ</v>
      </c>
      <c r="G247" s="3" t="str">
        <f ca="1">VLOOKUP($B247&amp;"_"&amp;$E247,OFFSET([1]stages!$A$1,0,0,COUNTA([1]stages!$A:$A),MATCH(G$1,[1]stages!$2:$2,0)-MATCH("temp_stage",[1]stages!$2:$2,0)+1),MATCH(G$1,[1]stages!$2:$2,0)-MATCH("temp_stage",[1]stages!$2:$2,0)+1,FALSE)</f>
        <v>ドロップイベント2-3（マルチ専用）</v>
      </c>
      <c r="H247" s="18">
        <v>0</v>
      </c>
      <c r="I247">
        <v>19</v>
      </c>
      <c r="J247" s="5" t="s">
        <v>16</v>
      </c>
      <c r="K247" s="34" t="str">
        <f>VLOOKUP(I247,[2]stage_hints!$A:$C,3,FALSE)</f>
        <v>ソロ専用タワーオブザクイーン</v>
      </c>
      <c r="L247" s="35" t="str">
        <f>VLOOKUP(I247,[2]stage_hints!$A:$D,4,FALSE)</f>
        <v>ソロ専用の「タワーオブザクイーン」は_x000D_期間限定で定期的に開催されます_x000D_ここでしか獲得できない報酬もあるようです</v>
      </c>
      <c r="M247" s="21" t="s">
        <v>23</v>
      </c>
      <c r="N247">
        <v>19</v>
      </c>
    </row>
    <row r="248" spans="1:14" x14ac:dyDescent="0.15">
      <c r="A248" s="26" t="s">
        <v>32</v>
      </c>
      <c r="B248" s="4">
        <v>30006</v>
      </c>
      <c r="C248" s="3" t="str">
        <f ca="1">VLOOKUP($B248,OFFSET([1]quests!$A$1,0,0,COUNTA([1]quests!$A:$A),MATCH(C$1,[1]quests!$1:$1,0)-MATCH($B$1,[1]quests!$1:$1,0)+1),MATCH(C$1,[1]quests!$1:$1,0)-MATCH($B$1,[1]quests!$1:$1,0)+1,FALSE)</f>
        <v>それはお前を食べるためさ</v>
      </c>
      <c r="D248" s="3" t="str">
        <f ca="1">VLOOKUP($B248,OFFSET([1]quests!$A$1,0,0,COUNTA([1]quests!$A:$A),MATCH(D$1,[1]quests!$1:$1,0)-MATCH($B$1,[1]quests!$1:$1,0)+1),MATCH(D$1,[1]quests!$1:$1,0)-MATCH($B$1,[1]quests!$1:$1,0)+1,FALSE)</f>
        <v>ドロップイベント2-3（マルチ専用）</v>
      </c>
      <c r="E248" s="5">
        <v>3</v>
      </c>
      <c r="F248" s="3" t="str">
        <f ca="1">VLOOKUP($B248&amp;"_"&amp;$E248,OFFSET([1]stages!$A$1,0,0,COUNTA([1]stages!$A:$A),MATCH(F$1,[1]stages!$2:$2,0)-MATCH("temp_stage",[1]stages!$2:$2,0)+1),MATCH(F$1,[1]stages!$2:$2,0)-MATCH("temp_stage",[1]stages!$2:$2,0)+1,FALSE)</f>
        <v>【超級】それはお前を食べるためさ</v>
      </c>
      <c r="G248" s="3" t="str">
        <f ca="1">VLOOKUP($B248&amp;"_"&amp;$E248,OFFSET([1]stages!$A$1,0,0,COUNTA([1]stages!$A:$A),MATCH(G$1,[1]stages!$2:$2,0)-MATCH("temp_stage",[1]stages!$2:$2,0)+1),MATCH(G$1,[1]stages!$2:$2,0)-MATCH("temp_stage",[1]stages!$2:$2,0)+1,FALSE)</f>
        <v>ドロップイベント2-3（マルチ専用）</v>
      </c>
      <c r="H248" s="18">
        <v>0</v>
      </c>
      <c r="I248">
        <v>21</v>
      </c>
      <c r="J248" s="5" t="s">
        <v>16</v>
      </c>
      <c r="K248" s="34" t="str">
        <f>VLOOKUP(I248,[2]stage_hints!$A:$C,3,FALSE)</f>
        <v>スキルを有効に</v>
      </c>
      <c r="L248" s="35" t="str">
        <f>VLOOKUP(I248,[2]stage_hints!$A:$D,4,FALSE)</f>
        <v>ターン経過でユニットのスキルが使えます_x000D_強力スキルでバトルを有利に進めましょう</v>
      </c>
      <c r="M248" s="21" t="s">
        <v>23</v>
      </c>
      <c r="N248">
        <v>21</v>
      </c>
    </row>
    <row r="249" spans="1:14" x14ac:dyDescent="0.15">
      <c r="A249" s="26" t="s">
        <v>32</v>
      </c>
      <c r="B249" s="4">
        <v>30006</v>
      </c>
      <c r="C249" s="3" t="str">
        <f ca="1">VLOOKUP($B249,OFFSET([1]quests!$A$1,0,0,COUNTA([1]quests!$A:$A),MATCH(C$1,[1]quests!$1:$1,0)-MATCH($B$1,[1]quests!$1:$1,0)+1),MATCH(C$1,[1]quests!$1:$1,0)-MATCH($B$1,[1]quests!$1:$1,0)+1,FALSE)</f>
        <v>それはお前を食べるためさ</v>
      </c>
      <c r="D249" s="3" t="str">
        <f ca="1">VLOOKUP($B249,OFFSET([1]quests!$A$1,0,0,COUNTA([1]quests!$A:$A),MATCH(D$1,[1]quests!$1:$1,0)-MATCH($B$1,[1]quests!$1:$1,0)+1),MATCH(D$1,[1]quests!$1:$1,0)-MATCH($B$1,[1]quests!$1:$1,0)+1,FALSE)</f>
        <v>ドロップイベント2-3（マルチ専用）</v>
      </c>
      <c r="E249" s="5">
        <v>3</v>
      </c>
      <c r="F249" s="3" t="str">
        <f ca="1">VLOOKUP($B249&amp;"_"&amp;$E249,OFFSET([1]stages!$A$1,0,0,COUNTA([1]stages!$A:$A),MATCH(F$1,[1]stages!$2:$2,0)-MATCH("temp_stage",[1]stages!$2:$2,0)+1),MATCH(F$1,[1]stages!$2:$2,0)-MATCH("temp_stage",[1]stages!$2:$2,0)+1,FALSE)</f>
        <v>【超級】それはお前を食べるためさ</v>
      </c>
      <c r="G249" s="3" t="str">
        <f ca="1">VLOOKUP($B249&amp;"_"&amp;$E249,OFFSET([1]stages!$A$1,0,0,COUNTA([1]stages!$A:$A),MATCH(G$1,[1]stages!$2:$2,0)-MATCH("temp_stage",[1]stages!$2:$2,0)+1),MATCH(G$1,[1]stages!$2:$2,0)-MATCH("temp_stage",[1]stages!$2:$2,0)+1,FALSE)</f>
        <v>ドロップイベント2-3（マルチ専用）</v>
      </c>
      <c r="H249" s="18">
        <v>0</v>
      </c>
      <c r="I249">
        <v>27</v>
      </c>
      <c r="J249" s="5" t="s">
        <v>16</v>
      </c>
      <c r="K249" s="34" t="str">
        <f>VLOOKUP(I249,[2]stage_hints!$A:$C,3,FALSE)</f>
        <v>ホーム画面からデッキを編成</v>
      </c>
      <c r="L249" s="35" t="str">
        <f>VLOOKUP(I249,[2]stage_hints!$A:$D,4,FALSE)</f>
        <v>ホーム画面でユニットを長押しすると_x000D_すぐにパーティ編成に移動できます</v>
      </c>
      <c r="M249" s="21" t="s">
        <v>23</v>
      </c>
      <c r="N249">
        <v>27</v>
      </c>
    </row>
    <row r="250" spans="1:14" x14ac:dyDescent="0.15">
      <c r="A250" s="26" t="s">
        <v>32</v>
      </c>
      <c r="B250" s="4">
        <v>30006</v>
      </c>
      <c r="C250" s="3" t="str">
        <f ca="1">VLOOKUP($B250,OFFSET([1]quests!$A$1,0,0,COUNTA([1]quests!$A:$A),MATCH(C$1,[1]quests!$1:$1,0)-MATCH($B$1,[1]quests!$1:$1,0)+1),MATCH(C$1,[1]quests!$1:$1,0)-MATCH($B$1,[1]quests!$1:$1,0)+1,FALSE)</f>
        <v>それはお前を食べるためさ</v>
      </c>
      <c r="D250" s="3" t="str">
        <f ca="1">VLOOKUP($B250,OFFSET([1]quests!$A$1,0,0,COUNTA([1]quests!$A:$A),MATCH(D$1,[1]quests!$1:$1,0)-MATCH($B$1,[1]quests!$1:$1,0)+1),MATCH(D$1,[1]quests!$1:$1,0)-MATCH($B$1,[1]quests!$1:$1,0)+1,FALSE)</f>
        <v>ドロップイベント2-3（マルチ専用）</v>
      </c>
      <c r="E250" s="5">
        <v>3</v>
      </c>
      <c r="F250" s="3" t="str">
        <f ca="1">VLOOKUP($B250&amp;"_"&amp;$E250,OFFSET([1]stages!$A$1,0,0,COUNTA([1]stages!$A:$A),MATCH(F$1,[1]stages!$2:$2,0)-MATCH("temp_stage",[1]stages!$2:$2,0)+1),MATCH(F$1,[1]stages!$2:$2,0)-MATCH("temp_stage",[1]stages!$2:$2,0)+1,FALSE)</f>
        <v>【超級】それはお前を食べるためさ</v>
      </c>
      <c r="G250" s="3" t="str">
        <f ca="1">VLOOKUP($B250&amp;"_"&amp;$E250,OFFSET([1]stages!$A$1,0,0,COUNTA([1]stages!$A:$A),MATCH(G$1,[1]stages!$2:$2,0)-MATCH("temp_stage",[1]stages!$2:$2,0)+1),MATCH(G$1,[1]stages!$2:$2,0)-MATCH("temp_stage",[1]stages!$2:$2,0)+1,FALSE)</f>
        <v>ドロップイベント2-3（マルチ専用）</v>
      </c>
      <c r="H250" s="18">
        <v>0</v>
      </c>
      <c r="I250">
        <v>28</v>
      </c>
      <c r="J250" s="5" t="s">
        <v>16</v>
      </c>
      <c r="K250" s="34" t="str">
        <f>VLOOKUP(I250,[2]stage_hints!$A:$C,3,FALSE)</f>
        <v>ステータス情報は長押しで</v>
      </c>
      <c r="L250" s="35" t="str">
        <f>VLOOKUP(I250,[2]stage_hints!$A:$D,4,FALSE)</f>
        <v>ユニットのアイコンを長押しすると_x000D_ステータス情報を確認することができます</v>
      </c>
      <c r="M250" s="21" t="s">
        <v>23</v>
      </c>
      <c r="N250">
        <v>28</v>
      </c>
    </row>
    <row r="251" spans="1:14" x14ac:dyDescent="0.15">
      <c r="A251" s="26" t="s">
        <v>32</v>
      </c>
      <c r="B251" s="4">
        <v>30006</v>
      </c>
      <c r="C251" s="3" t="str">
        <f ca="1">VLOOKUP($B251,OFFSET([1]quests!$A$1,0,0,COUNTA([1]quests!$A:$A),MATCH(C$1,[1]quests!$1:$1,0)-MATCH($B$1,[1]quests!$1:$1,0)+1),MATCH(C$1,[1]quests!$1:$1,0)-MATCH($B$1,[1]quests!$1:$1,0)+1,FALSE)</f>
        <v>それはお前を食べるためさ</v>
      </c>
      <c r="D251" s="3" t="str">
        <f ca="1">VLOOKUP($B251,OFFSET([1]quests!$A$1,0,0,COUNTA([1]quests!$A:$A),MATCH(D$1,[1]quests!$1:$1,0)-MATCH($B$1,[1]quests!$1:$1,0)+1),MATCH(D$1,[1]quests!$1:$1,0)-MATCH($B$1,[1]quests!$1:$1,0)+1,FALSE)</f>
        <v>ドロップイベント2-3（マルチ専用）</v>
      </c>
      <c r="E251" s="5">
        <v>3</v>
      </c>
      <c r="F251" s="3" t="str">
        <f ca="1">VLOOKUP($B251&amp;"_"&amp;$E251,OFFSET([1]stages!$A$1,0,0,COUNTA([1]stages!$A:$A),MATCH(F$1,[1]stages!$2:$2,0)-MATCH("temp_stage",[1]stages!$2:$2,0)+1),MATCH(F$1,[1]stages!$2:$2,0)-MATCH("temp_stage",[1]stages!$2:$2,0)+1,FALSE)</f>
        <v>【超級】それはお前を食べるためさ</v>
      </c>
      <c r="G251" s="3" t="str">
        <f ca="1">VLOOKUP($B251&amp;"_"&amp;$E251,OFFSET([1]stages!$A$1,0,0,COUNTA([1]stages!$A:$A),MATCH(G$1,[1]stages!$2:$2,0)-MATCH("temp_stage",[1]stages!$2:$2,0)+1),MATCH(G$1,[1]stages!$2:$2,0)-MATCH("temp_stage",[1]stages!$2:$2,0)+1,FALSE)</f>
        <v>ドロップイベント2-3（マルチ専用）</v>
      </c>
      <c r="H251" s="18">
        <v>0</v>
      </c>
      <c r="I251">
        <v>29</v>
      </c>
      <c r="J251" s="5" t="s">
        <v>16</v>
      </c>
      <c r="K251" s="34" t="str">
        <f>VLOOKUP(I251,[2]stage_hints!$A:$C,3,FALSE)</f>
        <v>「バグ」のメリット</v>
      </c>
      <c r="L251" s="35" t="str">
        <f>VLOOKUP(I251,[2]stage_hints!$A:$D,4,FALSE)</f>
        <v>ユニットの「バグ」を増やすと_x000D_報酬をもらえる確率がアップします</v>
      </c>
      <c r="M251" s="21" t="s">
        <v>23</v>
      </c>
      <c r="N251">
        <v>29</v>
      </c>
    </row>
    <row r="252" spans="1:14" x14ac:dyDescent="0.15">
      <c r="A252" s="26" t="s">
        <v>32</v>
      </c>
      <c r="B252" s="4">
        <v>30006</v>
      </c>
      <c r="C252" s="3" t="str">
        <f ca="1">VLOOKUP($B252,OFFSET([1]quests!$A$1,0,0,COUNTA([1]quests!$A:$A),MATCH(C$1,[1]quests!$1:$1,0)-MATCH($B$1,[1]quests!$1:$1,0)+1),MATCH(C$1,[1]quests!$1:$1,0)-MATCH($B$1,[1]quests!$1:$1,0)+1,FALSE)</f>
        <v>それはお前を食べるためさ</v>
      </c>
      <c r="D252" s="3" t="str">
        <f ca="1">VLOOKUP($B252,OFFSET([1]quests!$A$1,0,0,COUNTA([1]quests!$A:$A),MATCH(D$1,[1]quests!$1:$1,0)-MATCH($B$1,[1]quests!$1:$1,0)+1),MATCH(D$1,[1]quests!$1:$1,0)-MATCH($B$1,[1]quests!$1:$1,0)+1,FALSE)</f>
        <v>ドロップイベント2-3（マルチ専用）</v>
      </c>
      <c r="E252" s="5">
        <v>3</v>
      </c>
      <c r="F252" s="3" t="str">
        <f ca="1">VLOOKUP($B252&amp;"_"&amp;$E252,OFFSET([1]stages!$A$1,0,0,COUNTA([1]stages!$A:$A),MATCH(F$1,[1]stages!$2:$2,0)-MATCH("temp_stage",[1]stages!$2:$2,0)+1),MATCH(F$1,[1]stages!$2:$2,0)-MATCH("temp_stage",[1]stages!$2:$2,0)+1,FALSE)</f>
        <v>【超級】それはお前を食べるためさ</v>
      </c>
      <c r="G252" s="3" t="str">
        <f ca="1">VLOOKUP($B252&amp;"_"&amp;$E252,OFFSET([1]stages!$A$1,0,0,COUNTA([1]stages!$A:$A),MATCH(G$1,[1]stages!$2:$2,0)-MATCH("temp_stage",[1]stages!$2:$2,0)+1),MATCH(G$1,[1]stages!$2:$2,0)-MATCH("temp_stage",[1]stages!$2:$2,0)+1,FALSE)</f>
        <v>ドロップイベント2-3（マルチ専用）</v>
      </c>
      <c r="H252" s="18">
        <v>0</v>
      </c>
      <c r="I252">
        <v>30</v>
      </c>
      <c r="J252" s="5" t="s">
        <v>16</v>
      </c>
      <c r="K252" s="34" t="str">
        <f>VLOOKUP(I252,[2]stage_hints!$A:$C,3,FALSE)</f>
        <v>「バグ」の増やし方</v>
      </c>
      <c r="L252" s="35" t="str">
        <f>VLOOKUP(I252,[2]stage_hints!$A:$D,4,FALSE)</f>
        <v>同じユニット同士を強化で合成すると_x000D_「バグ」を増やすことができます</v>
      </c>
      <c r="M252" s="21" t="s">
        <v>23</v>
      </c>
      <c r="N252">
        <v>30</v>
      </c>
    </row>
    <row r="253" spans="1:14" x14ac:dyDescent="0.15">
      <c r="A253" s="26" t="s">
        <v>32</v>
      </c>
      <c r="B253" s="4">
        <v>30006</v>
      </c>
      <c r="C253" s="3" t="str">
        <f ca="1">VLOOKUP($B253,OFFSET([1]quests!$A$1,0,0,COUNTA([1]quests!$A:$A),MATCH(C$1,[1]quests!$1:$1,0)-MATCH($B$1,[1]quests!$1:$1,0)+1),MATCH(C$1,[1]quests!$1:$1,0)-MATCH($B$1,[1]quests!$1:$1,0)+1,FALSE)</f>
        <v>それはお前を食べるためさ</v>
      </c>
      <c r="D253" s="3" t="str">
        <f ca="1">VLOOKUP($B253,OFFSET([1]quests!$A$1,0,0,COUNTA([1]quests!$A:$A),MATCH(D$1,[1]quests!$1:$1,0)-MATCH($B$1,[1]quests!$1:$1,0)+1),MATCH(D$1,[1]quests!$1:$1,0)-MATCH($B$1,[1]quests!$1:$1,0)+1,FALSE)</f>
        <v>ドロップイベント2-3（マルチ専用）</v>
      </c>
      <c r="E253" s="5">
        <v>3</v>
      </c>
      <c r="F253" s="3" t="str">
        <f ca="1">VLOOKUP($B253&amp;"_"&amp;$E253,OFFSET([1]stages!$A$1,0,0,COUNTA([1]stages!$A:$A),MATCH(F$1,[1]stages!$2:$2,0)-MATCH("temp_stage",[1]stages!$2:$2,0)+1),MATCH(F$1,[1]stages!$2:$2,0)-MATCH("temp_stage",[1]stages!$2:$2,0)+1,FALSE)</f>
        <v>【超級】それはお前を食べるためさ</v>
      </c>
      <c r="G253" s="3" t="str">
        <f ca="1">VLOOKUP($B253&amp;"_"&amp;$E253,OFFSET([1]stages!$A$1,0,0,COUNTA([1]stages!$A:$A),MATCH(G$1,[1]stages!$2:$2,0)-MATCH("temp_stage",[1]stages!$2:$2,0)+1),MATCH(G$1,[1]stages!$2:$2,0)-MATCH("temp_stage",[1]stages!$2:$2,0)+1,FALSE)</f>
        <v>ドロップイベント2-3（マルチ専用）</v>
      </c>
      <c r="H253" s="18">
        <v>0</v>
      </c>
      <c r="I253">
        <v>32</v>
      </c>
      <c r="J253" s="5" t="s">
        <v>16</v>
      </c>
      <c r="K253" s="34" t="str">
        <f>VLOOKUP(I253,[2]stage_hints!$A:$C,3,FALSE)</f>
        <v>敵の連続攻撃には</v>
      </c>
      <c r="L253" s="35" t="str">
        <f>VLOOKUP(I253,[2]stage_hints!$A:$D,4,FALSE)</f>
        <v>カウンタースキルを持つユニットがいれば_x000D_ダメージ回数分の反撃ができます</v>
      </c>
      <c r="M253" s="21" t="s">
        <v>23</v>
      </c>
      <c r="N253">
        <v>32</v>
      </c>
    </row>
    <row r="254" spans="1:14" x14ac:dyDescent="0.15">
      <c r="A254" s="26" t="s">
        <v>32</v>
      </c>
      <c r="B254" s="4">
        <v>30006</v>
      </c>
      <c r="C254" s="3" t="str">
        <f ca="1">VLOOKUP($B254,OFFSET([1]quests!$A$1,0,0,COUNTA([1]quests!$A:$A),MATCH(C$1,[1]quests!$1:$1,0)-MATCH($B$1,[1]quests!$1:$1,0)+1),MATCH(C$1,[1]quests!$1:$1,0)-MATCH($B$1,[1]quests!$1:$1,0)+1,FALSE)</f>
        <v>それはお前を食べるためさ</v>
      </c>
      <c r="D254" s="3" t="str">
        <f ca="1">VLOOKUP($B254,OFFSET([1]quests!$A$1,0,0,COUNTA([1]quests!$A:$A),MATCH(D$1,[1]quests!$1:$1,0)-MATCH($B$1,[1]quests!$1:$1,0)+1),MATCH(D$1,[1]quests!$1:$1,0)-MATCH($B$1,[1]quests!$1:$1,0)+1,FALSE)</f>
        <v>ドロップイベント2-3（マルチ専用）</v>
      </c>
      <c r="E254" s="5">
        <v>3</v>
      </c>
      <c r="F254" s="3" t="str">
        <f ca="1">VLOOKUP($B254&amp;"_"&amp;$E254,OFFSET([1]stages!$A$1,0,0,COUNTA([1]stages!$A:$A),MATCH(F$1,[1]stages!$2:$2,0)-MATCH("temp_stage",[1]stages!$2:$2,0)+1),MATCH(F$1,[1]stages!$2:$2,0)-MATCH("temp_stage",[1]stages!$2:$2,0)+1,FALSE)</f>
        <v>【超級】それはお前を食べるためさ</v>
      </c>
      <c r="G254" s="3" t="str">
        <f ca="1">VLOOKUP($B254&amp;"_"&amp;$E254,OFFSET([1]stages!$A$1,0,0,COUNTA([1]stages!$A:$A),MATCH(G$1,[1]stages!$2:$2,0)-MATCH("temp_stage",[1]stages!$2:$2,0)+1),MATCH(G$1,[1]stages!$2:$2,0)-MATCH("temp_stage",[1]stages!$2:$2,0)+1,FALSE)</f>
        <v>ドロップイベント2-3（マルチ専用）</v>
      </c>
      <c r="H254" s="18">
        <v>0</v>
      </c>
      <c r="I254">
        <v>33</v>
      </c>
      <c r="J254" s="5" t="s">
        <v>16</v>
      </c>
      <c r="K254" s="34" t="str">
        <f>VLOOKUP(I254,[2]stage_hints!$A:$C,3,FALSE)</f>
        <v>敵のカウンター攻撃には</v>
      </c>
      <c r="L254" s="35" t="str">
        <f>VLOOKUP(I254,[2]stage_hints!$A:$D,4,FALSE)</f>
        <v>カウンターブレイクスキルを持っていれば_x000D_敵のカウンターを解除して攻撃ができます</v>
      </c>
      <c r="M254" s="21" t="s">
        <v>23</v>
      </c>
      <c r="N254">
        <v>33</v>
      </c>
    </row>
    <row r="255" spans="1:14" x14ac:dyDescent="0.15">
      <c r="A255" s="26" t="s">
        <v>32</v>
      </c>
      <c r="B255" s="4">
        <v>30006</v>
      </c>
      <c r="C255" s="3" t="str">
        <f ca="1">VLOOKUP($B255,OFFSET([1]quests!$A$1,0,0,COUNTA([1]quests!$A:$A),MATCH(C$1,[1]quests!$1:$1,0)-MATCH($B$1,[1]quests!$1:$1,0)+1),MATCH(C$1,[1]quests!$1:$1,0)-MATCH($B$1,[1]quests!$1:$1,0)+1,FALSE)</f>
        <v>それはお前を食べるためさ</v>
      </c>
      <c r="D255" s="3" t="str">
        <f ca="1">VLOOKUP($B255,OFFSET([1]quests!$A$1,0,0,COUNTA([1]quests!$A:$A),MATCH(D$1,[1]quests!$1:$1,0)-MATCH($B$1,[1]quests!$1:$1,0)+1),MATCH(D$1,[1]quests!$1:$1,0)-MATCH($B$1,[1]quests!$1:$1,0)+1,FALSE)</f>
        <v>ドロップイベント2-3（マルチ専用）</v>
      </c>
      <c r="E255" s="5">
        <v>3</v>
      </c>
      <c r="F255" s="3" t="str">
        <f ca="1">VLOOKUP($B255&amp;"_"&amp;$E255,OFFSET([1]stages!$A$1,0,0,COUNTA([1]stages!$A:$A),MATCH(F$1,[1]stages!$2:$2,0)-MATCH("temp_stage",[1]stages!$2:$2,0)+1),MATCH(F$1,[1]stages!$2:$2,0)-MATCH("temp_stage",[1]stages!$2:$2,0)+1,FALSE)</f>
        <v>【超級】それはお前を食べるためさ</v>
      </c>
      <c r="G255" s="3" t="str">
        <f ca="1">VLOOKUP($B255&amp;"_"&amp;$E255,OFFSET([1]stages!$A$1,0,0,COUNTA([1]stages!$A:$A),MATCH(G$1,[1]stages!$2:$2,0)-MATCH("temp_stage",[1]stages!$2:$2,0)+1),MATCH(G$1,[1]stages!$2:$2,0)-MATCH("temp_stage",[1]stages!$2:$2,0)+1,FALSE)</f>
        <v>ドロップイベント2-3（マルチ専用）</v>
      </c>
      <c r="H255" s="18">
        <v>0</v>
      </c>
      <c r="I255">
        <v>34</v>
      </c>
      <c r="J255" s="5" t="s">
        <v>16</v>
      </c>
      <c r="K255" s="34" t="str">
        <f>VLOOKUP(I255,[2]stage_hints!$A:$C,3,FALSE)</f>
        <v>ステータスをスキルで下げられたら</v>
      </c>
      <c r="L255" s="35" t="str">
        <f>VLOOKUP(I255,[2]stage_hints!$A:$D,4,FALSE)</f>
        <v>ステータスダウンのスキルを受けたら_x000D_ステータスアップスキルで上書きしましょう</v>
      </c>
      <c r="M255" s="21" t="s">
        <v>23</v>
      </c>
      <c r="N255">
        <v>34</v>
      </c>
    </row>
    <row r="256" spans="1:14" x14ac:dyDescent="0.15">
      <c r="A256" s="26" t="s">
        <v>32</v>
      </c>
      <c r="B256" s="4">
        <v>30006</v>
      </c>
      <c r="C256" s="3" t="str">
        <f ca="1">VLOOKUP($B256,OFFSET([1]quests!$A$1,0,0,COUNTA([1]quests!$A:$A),MATCH(C$1,[1]quests!$1:$1,0)-MATCH($B$1,[1]quests!$1:$1,0)+1),MATCH(C$1,[1]quests!$1:$1,0)-MATCH($B$1,[1]quests!$1:$1,0)+1,FALSE)</f>
        <v>それはお前を食べるためさ</v>
      </c>
      <c r="D256" s="3" t="str">
        <f ca="1">VLOOKUP($B256,OFFSET([1]quests!$A$1,0,0,COUNTA([1]quests!$A:$A),MATCH(D$1,[1]quests!$1:$1,0)-MATCH($B$1,[1]quests!$1:$1,0)+1),MATCH(D$1,[1]quests!$1:$1,0)-MATCH($B$1,[1]quests!$1:$1,0)+1,FALSE)</f>
        <v>ドロップイベント2-3（マルチ専用）</v>
      </c>
      <c r="E256" s="5">
        <v>3</v>
      </c>
      <c r="F256" s="3" t="str">
        <f ca="1">VLOOKUP($B256&amp;"_"&amp;$E256,OFFSET([1]stages!$A$1,0,0,COUNTA([1]stages!$A:$A),MATCH(F$1,[1]stages!$2:$2,0)-MATCH("temp_stage",[1]stages!$2:$2,0)+1),MATCH(F$1,[1]stages!$2:$2,0)-MATCH("temp_stage",[1]stages!$2:$2,0)+1,FALSE)</f>
        <v>【超級】それはお前を食べるためさ</v>
      </c>
      <c r="G256" s="3" t="str">
        <f ca="1">VLOOKUP($B256&amp;"_"&amp;$E256,OFFSET([1]stages!$A$1,0,0,COUNTA([1]stages!$A:$A),MATCH(G$1,[1]stages!$2:$2,0)-MATCH("temp_stage",[1]stages!$2:$2,0)+1),MATCH(G$1,[1]stages!$2:$2,0)-MATCH("temp_stage",[1]stages!$2:$2,0)+1,FALSE)</f>
        <v>ドロップイベント2-3（マルチ専用）</v>
      </c>
      <c r="H256" s="18">
        <v>0</v>
      </c>
      <c r="I256">
        <v>35</v>
      </c>
      <c r="J256" s="5" t="s">
        <v>16</v>
      </c>
      <c r="K256" s="34" t="str">
        <f>VLOOKUP(I256,[2]stage_hints!$A:$C,3,FALSE)</f>
        <v>敵のステータスがスキルで上がったら</v>
      </c>
      <c r="L256" s="35" t="str">
        <f>VLOOKUP(I256,[2]stage_hints!$A:$D,4,FALSE)</f>
        <v>敵のステータスがスキルでアップしたときは_x000D_ステータスダウンスキルで上書きしましょう</v>
      </c>
      <c r="M256" s="21" t="s">
        <v>23</v>
      </c>
      <c r="N256">
        <v>35</v>
      </c>
    </row>
    <row r="257" spans="1:14" x14ac:dyDescent="0.15">
      <c r="A257" s="26" t="s">
        <v>32</v>
      </c>
      <c r="B257" s="4">
        <v>30006</v>
      </c>
      <c r="C257" s="3" t="str">
        <f ca="1">VLOOKUP($B257,OFFSET([1]quests!$A$1,0,0,COUNTA([1]quests!$A:$A),MATCH(C$1,[1]quests!$1:$1,0)-MATCH($B$1,[1]quests!$1:$1,0)+1),MATCH(C$1,[1]quests!$1:$1,0)-MATCH($B$1,[1]quests!$1:$1,0)+1,FALSE)</f>
        <v>それはお前を食べるためさ</v>
      </c>
      <c r="D257" s="3" t="str">
        <f ca="1">VLOOKUP($B257,OFFSET([1]quests!$A$1,0,0,COUNTA([1]quests!$A:$A),MATCH(D$1,[1]quests!$1:$1,0)-MATCH($B$1,[1]quests!$1:$1,0)+1),MATCH(D$1,[1]quests!$1:$1,0)-MATCH($B$1,[1]quests!$1:$1,0)+1,FALSE)</f>
        <v>ドロップイベント2-3（マルチ専用）</v>
      </c>
      <c r="E257" s="5">
        <v>3</v>
      </c>
      <c r="F257" s="3" t="str">
        <f ca="1">VLOOKUP($B257&amp;"_"&amp;$E257,OFFSET([1]stages!$A$1,0,0,COUNTA([1]stages!$A:$A),MATCH(F$1,[1]stages!$2:$2,0)-MATCH("temp_stage",[1]stages!$2:$2,0)+1),MATCH(F$1,[1]stages!$2:$2,0)-MATCH("temp_stage",[1]stages!$2:$2,0)+1,FALSE)</f>
        <v>【超級】それはお前を食べるためさ</v>
      </c>
      <c r="G257" s="3" t="str">
        <f ca="1">VLOOKUP($B257&amp;"_"&amp;$E257,OFFSET([1]stages!$A$1,0,0,COUNTA([1]stages!$A:$A),MATCH(G$1,[1]stages!$2:$2,0)-MATCH("temp_stage",[1]stages!$2:$2,0)+1),MATCH(G$1,[1]stages!$2:$2,0)-MATCH("temp_stage",[1]stages!$2:$2,0)+1,FALSE)</f>
        <v>ドロップイベント2-3（マルチ専用）</v>
      </c>
      <c r="H257" s="18">
        <v>0</v>
      </c>
      <c r="I257">
        <v>36</v>
      </c>
      <c r="J257" s="5" t="s">
        <v>16</v>
      </c>
      <c r="K257" s="34" t="str">
        <f>VLOOKUP(I257,[2]stage_hints!$A:$C,3,FALSE)</f>
        <v>タワーオブザクイーンのボス</v>
      </c>
      <c r="L257" s="35" t="str">
        <f>VLOOKUP(I257,[2]stage_hints!$A:$D,4,FALSE)</f>
        <v>「タワーオブザクイーン」最上階のボスは_x000D_15階の初回クリア報酬で獲得できるほか_x000D_その階にて低確率でドロップもします</v>
      </c>
      <c r="M257" s="21" t="s">
        <v>23</v>
      </c>
      <c r="N257">
        <v>36</v>
      </c>
    </row>
    <row r="258" spans="1:14" x14ac:dyDescent="0.15">
      <c r="A258" s="26" t="s">
        <v>32</v>
      </c>
      <c r="B258" s="4">
        <v>30006</v>
      </c>
      <c r="C258" s="3" t="str">
        <f ca="1">VLOOKUP($B258,OFFSET([1]quests!$A$1,0,0,COUNTA([1]quests!$A:$A),MATCH(C$1,[1]quests!$1:$1,0)-MATCH($B$1,[1]quests!$1:$1,0)+1),MATCH(C$1,[1]quests!$1:$1,0)-MATCH($B$1,[1]quests!$1:$1,0)+1,FALSE)</f>
        <v>それはお前を食べるためさ</v>
      </c>
      <c r="D258" s="3" t="str">
        <f ca="1">VLOOKUP($B258,OFFSET([1]quests!$A$1,0,0,COUNTA([1]quests!$A:$A),MATCH(D$1,[1]quests!$1:$1,0)-MATCH($B$1,[1]quests!$1:$1,0)+1),MATCH(D$1,[1]quests!$1:$1,0)-MATCH($B$1,[1]quests!$1:$1,0)+1,FALSE)</f>
        <v>ドロップイベント2-3（マルチ専用）</v>
      </c>
      <c r="E258" s="5">
        <v>3</v>
      </c>
      <c r="F258" s="3" t="str">
        <f ca="1">VLOOKUP($B258&amp;"_"&amp;$E258,OFFSET([1]stages!$A$1,0,0,COUNTA([1]stages!$A:$A),MATCH(F$1,[1]stages!$2:$2,0)-MATCH("temp_stage",[1]stages!$2:$2,0)+1),MATCH(F$1,[1]stages!$2:$2,0)-MATCH("temp_stage",[1]stages!$2:$2,0)+1,FALSE)</f>
        <v>【超級】それはお前を食べるためさ</v>
      </c>
      <c r="G258" s="3" t="str">
        <f ca="1">VLOOKUP($B258&amp;"_"&amp;$E258,OFFSET([1]stages!$A$1,0,0,COUNTA([1]stages!$A:$A),MATCH(G$1,[1]stages!$2:$2,0)-MATCH("temp_stage",[1]stages!$2:$2,0)+1),MATCH(G$1,[1]stages!$2:$2,0)-MATCH("temp_stage",[1]stages!$2:$2,0)+1,FALSE)</f>
        <v>ドロップイベント2-3（マルチ専用）</v>
      </c>
      <c r="H258" s="18">
        <v>0</v>
      </c>
      <c r="I258">
        <v>37</v>
      </c>
      <c r="J258" s="5" t="s">
        <v>16</v>
      </c>
      <c r="K258" s="34" t="str">
        <f>VLOOKUP(I258,[2]stage_hints!$A:$C,3,FALSE)</f>
        <v>限界突破値の引き継ぎ</v>
      </c>
      <c r="L258" s="35" t="str">
        <f>VLOOKUP(I258,[2]stage_hints!$A:$D,4,FALSE)</f>
        <v>同じユニットを強化で合成すると_x000D_限界突破値を引き継げます（覚醒前後も可）</v>
      </c>
      <c r="M258" s="21" t="s">
        <v>23</v>
      </c>
      <c r="N258">
        <v>37</v>
      </c>
    </row>
    <row r="259" spans="1:14" x14ac:dyDescent="0.15">
      <c r="A259" s="26" t="s">
        <v>32</v>
      </c>
      <c r="B259" s="4">
        <v>30007</v>
      </c>
      <c r="C259" s="3" t="str">
        <f ca="1">VLOOKUP($B259,OFFSET([1]quests!$A$1,0,0,COUNTA([1]quests!$A:$A),MATCH(C$1,[1]quests!$1:$1,0)-MATCH($B$1,[1]quests!$1:$1,0)+1),MATCH(C$1,[1]quests!$1:$1,0)-MATCH($B$1,[1]quests!$1:$1,0)+1,FALSE)</f>
        <v>ガラスの靴は私のもの</v>
      </c>
      <c r="D259" s="3" t="str">
        <f ca="1">VLOOKUP($B259,OFFSET([1]quests!$A$1,0,0,COUNTA([1]quests!$A:$A),MATCH(D$1,[1]quests!$1:$1,0)-MATCH($B$1,[1]quests!$1:$1,0)+1),MATCH(D$1,[1]quests!$1:$1,0)-MATCH($B$1,[1]quests!$1:$1,0)+1,FALSE)</f>
        <v>ドロップイベント2-2（マルチ専用）</v>
      </c>
      <c r="E259" s="5">
        <v>3</v>
      </c>
      <c r="F259" s="3" t="str">
        <f ca="1">VLOOKUP($B259&amp;"_"&amp;$E259,OFFSET([1]stages!$A$1,0,0,COUNTA([1]stages!$A:$A),MATCH(F$1,[1]stages!$2:$2,0)-MATCH("temp_stage",[1]stages!$2:$2,0)+1),MATCH(F$1,[1]stages!$2:$2,0)-MATCH("temp_stage",[1]stages!$2:$2,0)+1,FALSE)</f>
        <v xml:space="preserve">【超級】ガラスの靴は私のもの </v>
      </c>
      <c r="G259" s="3" t="str">
        <f ca="1">VLOOKUP($B259&amp;"_"&amp;$E259,OFFSET([1]stages!$A$1,0,0,COUNTA([1]stages!$A:$A),MATCH(G$1,[1]stages!$2:$2,0)-MATCH("temp_stage",[1]stages!$2:$2,0)+1),MATCH(G$1,[1]stages!$2:$2,0)-MATCH("temp_stage",[1]stages!$2:$2,0)+1,FALSE)</f>
        <v>ドロップイベント2-2（マルチ専用）</v>
      </c>
      <c r="H259" s="18">
        <v>0</v>
      </c>
      <c r="I259">
        <v>12</v>
      </c>
      <c r="J259" s="5" t="s">
        <v>16</v>
      </c>
      <c r="K259" s="34" t="str">
        <f>VLOOKUP(I259,[2]stage_hints!$A:$C,3,FALSE)</f>
        <v>ユニットのお気に入り登録</v>
      </c>
      <c r="L259" s="35" t="str">
        <f>VLOOKUP(I259,[2]stage_hints!$A:$D,4,FALSE)</f>
        <v>大事なユニットを誤って消さないように_x000D_フォルダから「お気に入り登録」しましょう</v>
      </c>
      <c r="M259" s="21" t="s">
        <v>23</v>
      </c>
      <c r="N259">
        <v>12</v>
      </c>
    </row>
    <row r="260" spans="1:14" x14ac:dyDescent="0.15">
      <c r="A260" s="26" t="s">
        <v>32</v>
      </c>
      <c r="B260" s="4">
        <v>30007</v>
      </c>
      <c r="C260" s="3" t="str">
        <f ca="1">VLOOKUP($B260,OFFSET([1]quests!$A$1,0,0,COUNTA([1]quests!$A:$A),MATCH(C$1,[1]quests!$1:$1,0)-MATCH($B$1,[1]quests!$1:$1,0)+1),MATCH(C$1,[1]quests!$1:$1,0)-MATCH($B$1,[1]quests!$1:$1,0)+1,FALSE)</f>
        <v>ガラスの靴は私のもの</v>
      </c>
      <c r="D260" s="3" t="str">
        <f ca="1">VLOOKUP($B260,OFFSET([1]quests!$A$1,0,0,COUNTA([1]quests!$A:$A),MATCH(D$1,[1]quests!$1:$1,0)-MATCH($B$1,[1]quests!$1:$1,0)+1),MATCH(D$1,[1]quests!$1:$1,0)-MATCH($B$1,[1]quests!$1:$1,0)+1,FALSE)</f>
        <v>ドロップイベント2-2（マルチ専用）</v>
      </c>
      <c r="E260" s="5">
        <v>3</v>
      </c>
      <c r="F260" s="3" t="str">
        <f ca="1">VLOOKUP($B260&amp;"_"&amp;$E260,OFFSET([1]stages!$A$1,0,0,COUNTA([1]stages!$A:$A),MATCH(F$1,[1]stages!$2:$2,0)-MATCH("temp_stage",[1]stages!$2:$2,0)+1),MATCH(F$1,[1]stages!$2:$2,0)-MATCH("temp_stage",[1]stages!$2:$2,0)+1,FALSE)</f>
        <v xml:space="preserve">【超級】ガラスの靴は私のもの </v>
      </c>
      <c r="G260" s="3" t="str">
        <f ca="1">VLOOKUP($B260&amp;"_"&amp;$E260,OFFSET([1]stages!$A$1,0,0,COUNTA([1]stages!$A:$A),MATCH(G$1,[1]stages!$2:$2,0)-MATCH("temp_stage",[1]stages!$2:$2,0)+1),MATCH(G$1,[1]stages!$2:$2,0)-MATCH("temp_stage",[1]stages!$2:$2,0)+1,FALSE)</f>
        <v>ドロップイベント2-2（マルチ専用）</v>
      </c>
      <c r="H260" s="18">
        <v>0</v>
      </c>
      <c r="I260">
        <v>17</v>
      </c>
      <c r="J260" s="5" t="s">
        <v>16</v>
      </c>
      <c r="K260" s="34" t="str">
        <f>VLOOKUP(I260,[2]stage_hints!$A:$C,3,FALSE)</f>
        <v>リンクガチャ</v>
      </c>
      <c r="L260" s="35" t="str">
        <f>VLOOKUP(I260,[2]stage_hints!$A:$D,4,FALSE)</f>
        <v>無料のリンクガチャを回して_x000D_経験値素材や売却素材を獲得しましょう</v>
      </c>
      <c r="M260" s="21" t="s">
        <v>23</v>
      </c>
      <c r="N260">
        <v>17</v>
      </c>
    </row>
    <row r="261" spans="1:14" x14ac:dyDescent="0.15">
      <c r="A261" s="26" t="s">
        <v>32</v>
      </c>
      <c r="B261" s="4">
        <v>30007</v>
      </c>
      <c r="C261" s="3" t="str">
        <f ca="1">VLOOKUP($B261,OFFSET([1]quests!$A$1,0,0,COUNTA([1]quests!$A:$A),MATCH(C$1,[1]quests!$1:$1,0)-MATCH($B$1,[1]quests!$1:$1,0)+1),MATCH(C$1,[1]quests!$1:$1,0)-MATCH($B$1,[1]quests!$1:$1,0)+1,FALSE)</f>
        <v>ガラスの靴は私のもの</v>
      </c>
      <c r="D261" s="3" t="str">
        <f ca="1">VLOOKUP($B261,OFFSET([1]quests!$A$1,0,0,COUNTA([1]quests!$A:$A),MATCH(D$1,[1]quests!$1:$1,0)-MATCH($B$1,[1]quests!$1:$1,0)+1),MATCH(D$1,[1]quests!$1:$1,0)-MATCH($B$1,[1]quests!$1:$1,0)+1,FALSE)</f>
        <v>ドロップイベント2-2（マルチ専用）</v>
      </c>
      <c r="E261" s="5">
        <v>3</v>
      </c>
      <c r="F261" s="3" t="str">
        <f ca="1">VLOOKUP($B261&amp;"_"&amp;$E261,OFFSET([1]stages!$A$1,0,0,COUNTA([1]stages!$A:$A),MATCH(F$1,[1]stages!$2:$2,0)-MATCH("temp_stage",[1]stages!$2:$2,0)+1),MATCH(F$1,[1]stages!$2:$2,0)-MATCH("temp_stage",[1]stages!$2:$2,0)+1,FALSE)</f>
        <v xml:space="preserve">【超級】ガラスの靴は私のもの </v>
      </c>
      <c r="G261" s="3" t="str">
        <f ca="1">VLOOKUP($B261&amp;"_"&amp;$E261,OFFSET([1]stages!$A$1,0,0,COUNTA([1]stages!$A:$A),MATCH(G$1,[1]stages!$2:$2,0)-MATCH("temp_stage",[1]stages!$2:$2,0)+1),MATCH(G$1,[1]stages!$2:$2,0)-MATCH("temp_stage",[1]stages!$2:$2,0)+1,FALSE)</f>
        <v>ドロップイベント2-2（マルチ専用）</v>
      </c>
      <c r="H261" s="18">
        <v>0</v>
      </c>
      <c r="I261">
        <v>19</v>
      </c>
      <c r="J261" s="5" t="s">
        <v>16</v>
      </c>
      <c r="K261" s="34" t="str">
        <f>VLOOKUP(I261,[2]stage_hints!$A:$C,3,FALSE)</f>
        <v>ソロ専用タワーオブザクイーン</v>
      </c>
      <c r="L261" s="35" t="str">
        <f>VLOOKUP(I261,[2]stage_hints!$A:$D,4,FALSE)</f>
        <v>ソロ専用の「タワーオブザクイーン」は_x000D_期間限定で定期的に開催されます_x000D_ここでしか獲得できない報酬もあるようです</v>
      </c>
      <c r="M261" s="21" t="s">
        <v>23</v>
      </c>
      <c r="N261">
        <v>19</v>
      </c>
    </row>
    <row r="262" spans="1:14" x14ac:dyDescent="0.15">
      <c r="A262" s="26" t="s">
        <v>32</v>
      </c>
      <c r="B262" s="4">
        <v>30007</v>
      </c>
      <c r="C262" s="3" t="str">
        <f ca="1">VLOOKUP($B262,OFFSET([1]quests!$A$1,0,0,COUNTA([1]quests!$A:$A),MATCH(C$1,[1]quests!$1:$1,0)-MATCH($B$1,[1]quests!$1:$1,0)+1),MATCH(C$1,[1]quests!$1:$1,0)-MATCH($B$1,[1]quests!$1:$1,0)+1,FALSE)</f>
        <v>ガラスの靴は私のもの</v>
      </c>
      <c r="D262" s="3" t="str">
        <f ca="1">VLOOKUP($B262,OFFSET([1]quests!$A$1,0,0,COUNTA([1]quests!$A:$A),MATCH(D$1,[1]quests!$1:$1,0)-MATCH($B$1,[1]quests!$1:$1,0)+1),MATCH(D$1,[1]quests!$1:$1,0)-MATCH($B$1,[1]quests!$1:$1,0)+1,FALSE)</f>
        <v>ドロップイベント2-2（マルチ専用）</v>
      </c>
      <c r="E262" s="5">
        <v>3</v>
      </c>
      <c r="F262" s="3" t="str">
        <f ca="1">VLOOKUP($B262&amp;"_"&amp;$E262,OFFSET([1]stages!$A$1,0,0,COUNTA([1]stages!$A:$A),MATCH(F$1,[1]stages!$2:$2,0)-MATCH("temp_stage",[1]stages!$2:$2,0)+1),MATCH(F$1,[1]stages!$2:$2,0)-MATCH("temp_stage",[1]stages!$2:$2,0)+1,FALSE)</f>
        <v xml:space="preserve">【超級】ガラスの靴は私のもの </v>
      </c>
      <c r="G262" s="3" t="str">
        <f ca="1">VLOOKUP($B262&amp;"_"&amp;$E262,OFFSET([1]stages!$A$1,0,0,COUNTA([1]stages!$A:$A),MATCH(G$1,[1]stages!$2:$2,0)-MATCH("temp_stage",[1]stages!$2:$2,0)+1),MATCH(G$1,[1]stages!$2:$2,0)-MATCH("temp_stage",[1]stages!$2:$2,0)+1,FALSE)</f>
        <v>ドロップイベント2-2（マルチ専用）</v>
      </c>
      <c r="H262" s="18">
        <v>0</v>
      </c>
      <c r="I262">
        <v>21</v>
      </c>
      <c r="J262" s="5" t="s">
        <v>16</v>
      </c>
      <c r="K262" s="34" t="str">
        <f>VLOOKUP(I262,[2]stage_hints!$A:$C,3,FALSE)</f>
        <v>スキルを有効に</v>
      </c>
      <c r="L262" s="35" t="str">
        <f>VLOOKUP(I262,[2]stage_hints!$A:$D,4,FALSE)</f>
        <v>ターン経過でユニットのスキルが使えます_x000D_強力スキルでバトルを有利に進めましょう</v>
      </c>
      <c r="M262" s="21" t="s">
        <v>23</v>
      </c>
      <c r="N262">
        <v>21</v>
      </c>
    </row>
    <row r="263" spans="1:14" x14ac:dyDescent="0.15">
      <c r="A263" s="26" t="s">
        <v>32</v>
      </c>
      <c r="B263" s="4">
        <v>30007</v>
      </c>
      <c r="C263" s="3" t="str">
        <f ca="1">VLOOKUP($B263,OFFSET([1]quests!$A$1,0,0,COUNTA([1]quests!$A:$A),MATCH(C$1,[1]quests!$1:$1,0)-MATCH($B$1,[1]quests!$1:$1,0)+1),MATCH(C$1,[1]quests!$1:$1,0)-MATCH($B$1,[1]quests!$1:$1,0)+1,FALSE)</f>
        <v>ガラスの靴は私のもの</v>
      </c>
      <c r="D263" s="3" t="str">
        <f ca="1">VLOOKUP($B263,OFFSET([1]quests!$A$1,0,0,COUNTA([1]quests!$A:$A),MATCH(D$1,[1]quests!$1:$1,0)-MATCH($B$1,[1]quests!$1:$1,0)+1),MATCH(D$1,[1]quests!$1:$1,0)-MATCH($B$1,[1]quests!$1:$1,0)+1,FALSE)</f>
        <v>ドロップイベント2-2（マルチ専用）</v>
      </c>
      <c r="E263" s="5">
        <v>3</v>
      </c>
      <c r="F263" s="3" t="str">
        <f ca="1">VLOOKUP($B263&amp;"_"&amp;$E263,OFFSET([1]stages!$A$1,0,0,COUNTA([1]stages!$A:$A),MATCH(F$1,[1]stages!$2:$2,0)-MATCH("temp_stage",[1]stages!$2:$2,0)+1),MATCH(F$1,[1]stages!$2:$2,0)-MATCH("temp_stage",[1]stages!$2:$2,0)+1,FALSE)</f>
        <v xml:space="preserve">【超級】ガラスの靴は私のもの </v>
      </c>
      <c r="G263" s="3" t="str">
        <f ca="1">VLOOKUP($B263&amp;"_"&amp;$E263,OFFSET([1]stages!$A$1,0,0,COUNTA([1]stages!$A:$A),MATCH(G$1,[1]stages!$2:$2,0)-MATCH("temp_stage",[1]stages!$2:$2,0)+1),MATCH(G$1,[1]stages!$2:$2,0)-MATCH("temp_stage",[1]stages!$2:$2,0)+1,FALSE)</f>
        <v>ドロップイベント2-2（マルチ専用）</v>
      </c>
      <c r="H263" s="18">
        <v>0</v>
      </c>
      <c r="I263">
        <v>27</v>
      </c>
      <c r="J263" s="5" t="s">
        <v>16</v>
      </c>
      <c r="K263" s="34" t="str">
        <f>VLOOKUP(I263,[2]stage_hints!$A:$C,3,FALSE)</f>
        <v>ホーム画面からデッキを編成</v>
      </c>
      <c r="L263" s="35" t="str">
        <f>VLOOKUP(I263,[2]stage_hints!$A:$D,4,FALSE)</f>
        <v>ホーム画面でユニットを長押しすると_x000D_すぐにパーティ編成に移動できます</v>
      </c>
      <c r="M263" s="21" t="s">
        <v>23</v>
      </c>
      <c r="N263">
        <v>27</v>
      </c>
    </row>
    <row r="264" spans="1:14" x14ac:dyDescent="0.15">
      <c r="A264" s="26" t="s">
        <v>32</v>
      </c>
      <c r="B264" s="4">
        <v>30007</v>
      </c>
      <c r="C264" s="3" t="str">
        <f ca="1">VLOOKUP($B264,OFFSET([1]quests!$A$1,0,0,COUNTA([1]quests!$A:$A),MATCH(C$1,[1]quests!$1:$1,0)-MATCH($B$1,[1]quests!$1:$1,0)+1),MATCH(C$1,[1]quests!$1:$1,0)-MATCH($B$1,[1]quests!$1:$1,0)+1,FALSE)</f>
        <v>ガラスの靴は私のもの</v>
      </c>
      <c r="D264" s="3" t="str">
        <f ca="1">VLOOKUP($B264,OFFSET([1]quests!$A$1,0,0,COUNTA([1]quests!$A:$A),MATCH(D$1,[1]quests!$1:$1,0)-MATCH($B$1,[1]quests!$1:$1,0)+1),MATCH(D$1,[1]quests!$1:$1,0)-MATCH($B$1,[1]quests!$1:$1,0)+1,FALSE)</f>
        <v>ドロップイベント2-2（マルチ専用）</v>
      </c>
      <c r="E264" s="5">
        <v>3</v>
      </c>
      <c r="F264" s="3" t="str">
        <f ca="1">VLOOKUP($B264&amp;"_"&amp;$E264,OFFSET([1]stages!$A$1,0,0,COUNTA([1]stages!$A:$A),MATCH(F$1,[1]stages!$2:$2,0)-MATCH("temp_stage",[1]stages!$2:$2,0)+1),MATCH(F$1,[1]stages!$2:$2,0)-MATCH("temp_stage",[1]stages!$2:$2,0)+1,FALSE)</f>
        <v xml:space="preserve">【超級】ガラスの靴は私のもの </v>
      </c>
      <c r="G264" s="3" t="str">
        <f ca="1">VLOOKUP($B264&amp;"_"&amp;$E264,OFFSET([1]stages!$A$1,0,0,COUNTA([1]stages!$A:$A),MATCH(G$1,[1]stages!$2:$2,0)-MATCH("temp_stage",[1]stages!$2:$2,0)+1),MATCH(G$1,[1]stages!$2:$2,0)-MATCH("temp_stage",[1]stages!$2:$2,0)+1,FALSE)</f>
        <v>ドロップイベント2-2（マルチ専用）</v>
      </c>
      <c r="H264" s="18">
        <v>0</v>
      </c>
      <c r="I264">
        <v>28</v>
      </c>
      <c r="J264" s="5" t="s">
        <v>16</v>
      </c>
      <c r="K264" s="34" t="str">
        <f>VLOOKUP(I264,[2]stage_hints!$A:$C,3,FALSE)</f>
        <v>ステータス情報は長押しで</v>
      </c>
      <c r="L264" s="35" t="str">
        <f>VLOOKUP(I264,[2]stage_hints!$A:$D,4,FALSE)</f>
        <v>ユニットのアイコンを長押しすると_x000D_ステータス情報を確認することができます</v>
      </c>
      <c r="M264" s="21" t="s">
        <v>23</v>
      </c>
      <c r="N264">
        <v>28</v>
      </c>
    </row>
    <row r="265" spans="1:14" x14ac:dyDescent="0.15">
      <c r="A265" s="26" t="s">
        <v>32</v>
      </c>
      <c r="B265" s="4">
        <v>30007</v>
      </c>
      <c r="C265" s="3" t="str">
        <f ca="1">VLOOKUP($B265,OFFSET([1]quests!$A$1,0,0,COUNTA([1]quests!$A:$A),MATCH(C$1,[1]quests!$1:$1,0)-MATCH($B$1,[1]quests!$1:$1,0)+1),MATCH(C$1,[1]quests!$1:$1,0)-MATCH($B$1,[1]quests!$1:$1,0)+1,FALSE)</f>
        <v>ガラスの靴は私のもの</v>
      </c>
      <c r="D265" s="3" t="str">
        <f ca="1">VLOOKUP($B265,OFFSET([1]quests!$A$1,0,0,COUNTA([1]quests!$A:$A),MATCH(D$1,[1]quests!$1:$1,0)-MATCH($B$1,[1]quests!$1:$1,0)+1),MATCH(D$1,[1]quests!$1:$1,0)-MATCH($B$1,[1]quests!$1:$1,0)+1,FALSE)</f>
        <v>ドロップイベント2-2（マルチ専用）</v>
      </c>
      <c r="E265" s="5">
        <v>3</v>
      </c>
      <c r="F265" s="3" t="str">
        <f ca="1">VLOOKUP($B265&amp;"_"&amp;$E265,OFFSET([1]stages!$A$1,0,0,COUNTA([1]stages!$A:$A),MATCH(F$1,[1]stages!$2:$2,0)-MATCH("temp_stage",[1]stages!$2:$2,0)+1),MATCH(F$1,[1]stages!$2:$2,0)-MATCH("temp_stage",[1]stages!$2:$2,0)+1,FALSE)</f>
        <v xml:space="preserve">【超級】ガラスの靴は私のもの </v>
      </c>
      <c r="G265" s="3" t="str">
        <f ca="1">VLOOKUP($B265&amp;"_"&amp;$E265,OFFSET([1]stages!$A$1,0,0,COUNTA([1]stages!$A:$A),MATCH(G$1,[1]stages!$2:$2,0)-MATCH("temp_stage",[1]stages!$2:$2,0)+1),MATCH(G$1,[1]stages!$2:$2,0)-MATCH("temp_stage",[1]stages!$2:$2,0)+1,FALSE)</f>
        <v>ドロップイベント2-2（マルチ専用）</v>
      </c>
      <c r="H265" s="18">
        <v>0</v>
      </c>
      <c r="I265">
        <v>29</v>
      </c>
      <c r="J265" s="5" t="s">
        <v>16</v>
      </c>
      <c r="K265" s="34" t="str">
        <f>VLOOKUP(I265,[2]stage_hints!$A:$C,3,FALSE)</f>
        <v>「バグ」のメリット</v>
      </c>
      <c r="L265" s="35" t="str">
        <f>VLOOKUP(I265,[2]stage_hints!$A:$D,4,FALSE)</f>
        <v>ユニットの「バグ」を増やすと_x000D_報酬をもらえる確率がアップします</v>
      </c>
      <c r="M265" s="21" t="s">
        <v>23</v>
      </c>
      <c r="N265">
        <v>29</v>
      </c>
    </row>
    <row r="266" spans="1:14" x14ac:dyDescent="0.15">
      <c r="A266" s="26" t="s">
        <v>32</v>
      </c>
      <c r="B266" s="4">
        <v>30007</v>
      </c>
      <c r="C266" s="3" t="str">
        <f ca="1">VLOOKUP($B266,OFFSET([1]quests!$A$1,0,0,COUNTA([1]quests!$A:$A),MATCH(C$1,[1]quests!$1:$1,0)-MATCH($B$1,[1]quests!$1:$1,0)+1),MATCH(C$1,[1]quests!$1:$1,0)-MATCH($B$1,[1]quests!$1:$1,0)+1,FALSE)</f>
        <v>ガラスの靴は私のもの</v>
      </c>
      <c r="D266" s="3" t="str">
        <f ca="1">VLOOKUP($B266,OFFSET([1]quests!$A$1,0,0,COUNTA([1]quests!$A:$A),MATCH(D$1,[1]quests!$1:$1,0)-MATCH($B$1,[1]quests!$1:$1,0)+1),MATCH(D$1,[1]quests!$1:$1,0)-MATCH($B$1,[1]quests!$1:$1,0)+1,FALSE)</f>
        <v>ドロップイベント2-2（マルチ専用）</v>
      </c>
      <c r="E266" s="5">
        <v>3</v>
      </c>
      <c r="F266" s="3" t="str">
        <f ca="1">VLOOKUP($B266&amp;"_"&amp;$E266,OFFSET([1]stages!$A$1,0,0,COUNTA([1]stages!$A:$A),MATCH(F$1,[1]stages!$2:$2,0)-MATCH("temp_stage",[1]stages!$2:$2,0)+1),MATCH(F$1,[1]stages!$2:$2,0)-MATCH("temp_stage",[1]stages!$2:$2,0)+1,FALSE)</f>
        <v xml:space="preserve">【超級】ガラスの靴は私のもの </v>
      </c>
      <c r="G266" s="3" t="str">
        <f ca="1">VLOOKUP($B266&amp;"_"&amp;$E266,OFFSET([1]stages!$A$1,0,0,COUNTA([1]stages!$A:$A),MATCH(G$1,[1]stages!$2:$2,0)-MATCH("temp_stage",[1]stages!$2:$2,0)+1),MATCH(G$1,[1]stages!$2:$2,0)-MATCH("temp_stage",[1]stages!$2:$2,0)+1,FALSE)</f>
        <v>ドロップイベント2-2（マルチ専用）</v>
      </c>
      <c r="H266" s="18">
        <v>0</v>
      </c>
      <c r="I266">
        <v>30</v>
      </c>
      <c r="J266" s="5" t="s">
        <v>16</v>
      </c>
      <c r="K266" s="34" t="str">
        <f>VLOOKUP(I266,[2]stage_hints!$A:$C,3,FALSE)</f>
        <v>「バグ」の増やし方</v>
      </c>
      <c r="L266" s="35" t="str">
        <f>VLOOKUP(I266,[2]stage_hints!$A:$D,4,FALSE)</f>
        <v>同じユニット同士を強化で合成すると_x000D_「バグ」を増やすことができます</v>
      </c>
      <c r="M266" s="21" t="s">
        <v>23</v>
      </c>
      <c r="N266">
        <v>30</v>
      </c>
    </row>
    <row r="267" spans="1:14" x14ac:dyDescent="0.15">
      <c r="A267" s="26" t="s">
        <v>32</v>
      </c>
      <c r="B267" s="4">
        <v>30007</v>
      </c>
      <c r="C267" s="3" t="str">
        <f ca="1">VLOOKUP($B267,OFFSET([1]quests!$A$1,0,0,COUNTA([1]quests!$A:$A),MATCH(C$1,[1]quests!$1:$1,0)-MATCH($B$1,[1]quests!$1:$1,0)+1),MATCH(C$1,[1]quests!$1:$1,0)-MATCH($B$1,[1]quests!$1:$1,0)+1,FALSE)</f>
        <v>ガラスの靴は私のもの</v>
      </c>
      <c r="D267" s="3" t="str">
        <f ca="1">VLOOKUP($B267,OFFSET([1]quests!$A$1,0,0,COUNTA([1]quests!$A:$A),MATCH(D$1,[1]quests!$1:$1,0)-MATCH($B$1,[1]quests!$1:$1,0)+1),MATCH(D$1,[1]quests!$1:$1,0)-MATCH($B$1,[1]quests!$1:$1,0)+1,FALSE)</f>
        <v>ドロップイベント2-2（マルチ専用）</v>
      </c>
      <c r="E267" s="5">
        <v>3</v>
      </c>
      <c r="F267" s="3" t="str">
        <f ca="1">VLOOKUP($B267&amp;"_"&amp;$E267,OFFSET([1]stages!$A$1,0,0,COUNTA([1]stages!$A:$A),MATCH(F$1,[1]stages!$2:$2,0)-MATCH("temp_stage",[1]stages!$2:$2,0)+1),MATCH(F$1,[1]stages!$2:$2,0)-MATCH("temp_stage",[1]stages!$2:$2,0)+1,FALSE)</f>
        <v xml:space="preserve">【超級】ガラスの靴は私のもの </v>
      </c>
      <c r="G267" s="3" t="str">
        <f ca="1">VLOOKUP($B267&amp;"_"&amp;$E267,OFFSET([1]stages!$A$1,0,0,COUNTA([1]stages!$A:$A),MATCH(G$1,[1]stages!$2:$2,0)-MATCH("temp_stage",[1]stages!$2:$2,0)+1),MATCH(G$1,[1]stages!$2:$2,0)-MATCH("temp_stage",[1]stages!$2:$2,0)+1,FALSE)</f>
        <v>ドロップイベント2-2（マルチ専用）</v>
      </c>
      <c r="H267" s="18">
        <v>0</v>
      </c>
      <c r="I267">
        <v>32</v>
      </c>
      <c r="J267" s="5" t="s">
        <v>16</v>
      </c>
      <c r="K267" s="34" t="str">
        <f>VLOOKUP(I267,[2]stage_hints!$A:$C,3,FALSE)</f>
        <v>敵の連続攻撃には</v>
      </c>
      <c r="L267" s="35" t="str">
        <f>VLOOKUP(I267,[2]stage_hints!$A:$D,4,FALSE)</f>
        <v>カウンタースキルを持つユニットがいれば_x000D_ダメージ回数分の反撃ができます</v>
      </c>
      <c r="M267" s="21" t="s">
        <v>23</v>
      </c>
      <c r="N267">
        <v>32</v>
      </c>
    </row>
    <row r="268" spans="1:14" x14ac:dyDescent="0.15">
      <c r="A268" s="26" t="s">
        <v>32</v>
      </c>
      <c r="B268" s="4">
        <v>30007</v>
      </c>
      <c r="C268" s="3" t="str">
        <f ca="1">VLOOKUP($B268,OFFSET([1]quests!$A$1,0,0,COUNTA([1]quests!$A:$A),MATCH(C$1,[1]quests!$1:$1,0)-MATCH($B$1,[1]quests!$1:$1,0)+1),MATCH(C$1,[1]quests!$1:$1,0)-MATCH($B$1,[1]quests!$1:$1,0)+1,FALSE)</f>
        <v>ガラスの靴は私のもの</v>
      </c>
      <c r="D268" s="3" t="str">
        <f ca="1">VLOOKUP($B268,OFFSET([1]quests!$A$1,0,0,COUNTA([1]quests!$A:$A),MATCH(D$1,[1]quests!$1:$1,0)-MATCH($B$1,[1]quests!$1:$1,0)+1),MATCH(D$1,[1]quests!$1:$1,0)-MATCH($B$1,[1]quests!$1:$1,0)+1,FALSE)</f>
        <v>ドロップイベント2-2（マルチ専用）</v>
      </c>
      <c r="E268" s="5">
        <v>3</v>
      </c>
      <c r="F268" s="3" t="str">
        <f ca="1">VLOOKUP($B268&amp;"_"&amp;$E268,OFFSET([1]stages!$A$1,0,0,COUNTA([1]stages!$A:$A),MATCH(F$1,[1]stages!$2:$2,0)-MATCH("temp_stage",[1]stages!$2:$2,0)+1),MATCH(F$1,[1]stages!$2:$2,0)-MATCH("temp_stage",[1]stages!$2:$2,0)+1,FALSE)</f>
        <v xml:space="preserve">【超級】ガラスの靴は私のもの </v>
      </c>
      <c r="G268" s="3" t="str">
        <f ca="1">VLOOKUP($B268&amp;"_"&amp;$E268,OFFSET([1]stages!$A$1,0,0,COUNTA([1]stages!$A:$A),MATCH(G$1,[1]stages!$2:$2,0)-MATCH("temp_stage",[1]stages!$2:$2,0)+1),MATCH(G$1,[1]stages!$2:$2,0)-MATCH("temp_stage",[1]stages!$2:$2,0)+1,FALSE)</f>
        <v>ドロップイベント2-2（マルチ専用）</v>
      </c>
      <c r="H268" s="18">
        <v>0</v>
      </c>
      <c r="I268">
        <v>33</v>
      </c>
      <c r="J268" s="5" t="s">
        <v>16</v>
      </c>
      <c r="K268" s="34" t="str">
        <f>VLOOKUP(I268,[2]stage_hints!$A:$C,3,FALSE)</f>
        <v>敵のカウンター攻撃には</v>
      </c>
      <c r="L268" s="35" t="str">
        <f>VLOOKUP(I268,[2]stage_hints!$A:$D,4,FALSE)</f>
        <v>カウンターブレイクスキルを持っていれば_x000D_敵のカウンターを解除して攻撃ができます</v>
      </c>
      <c r="M268" s="21" t="s">
        <v>23</v>
      </c>
      <c r="N268">
        <v>33</v>
      </c>
    </row>
    <row r="269" spans="1:14" x14ac:dyDescent="0.15">
      <c r="A269" s="26" t="s">
        <v>32</v>
      </c>
      <c r="B269" s="4">
        <v>30007</v>
      </c>
      <c r="C269" s="3" t="str">
        <f ca="1">VLOOKUP($B269,OFFSET([1]quests!$A$1,0,0,COUNTA([1]quests!$A:$A),MATCH(C$1,[1]quests!$1:$1,0)-MATCH($B$1,[1]quests!$1:$1,0)+1),MATCH(C$1,[1]quests!$1:$1,0)-MATCH($B$1,[1]quests!$1:$1,0)+1,FALSE)</f>
        <v>ガラスの靴は私のもの</v>
      </c>
      <c r="D269" s="3" t="str">
        <f ca="1">VLOOKUP($B269,OFFSET([1]quests!$A$1,0,0,COUNTA([1]quests!$A:$A),MATCH(D$1,[1]quests!$1:$1,0)-MATCH($B$1,[1]quests!$1:$1,0)+1),MATCH(D$1,[1]quests!$1:$1,0)-MATCH($B$1,[1]quests!$1:$1,0)+1,FALSE)</f>
        <v>ドロップイベント2-2（マルチ専用）</v>
      </c>
      <c r="E269" s="5">
        <v>3</v>
      </c>
      <c r="F269" s="3" t="str">
        <f ca="1">VLOOKUP($B269&amp;"_"&amp;$E269,OFFSET([1]stages!$A$1,0,0,COUNTA([1]stages!$A:$A),MATCH(F$1,[1]stages!$2:$2,0)-MATCH("temp_stage",[1]stages!$2:$2,0)+1),MATCH(F$1,[1]stages!$2:$2,0)-MATCH("temp_stage",[1]stages!$2:$2,0)+1,FALSE)</f>
        <v xml:space="preserve">【超級】ガラスの靴は私のもの </v>
      </c>
      <c r="G269" s="3" t="str">
        <f ca="1">VLOOKUP($B269&amp;"_"&amp;$E269,OFFSET([1]stages!$A$1,0,0,COUNTA([1]stages!$A:$A),MATCH(G$1,[1]stages!$2:$2,0)-MATCH("temp_stage",[1]stages!$2:$2,0)+1),MATCH(G$1,[1]stages!$2:$2,0)-MATCH("temp_stage",[1]stages!$2:$2,0)+1,FALSE)</f>
        <v>ドロップイベント2-2（マルチ専用）</v>
      </c>
      <c r="H269" s="18">
        <v>0</v>
      </c>
      <c r="I269">
        <v>34</v>
      </c>
      <c r="J269" s="5" t="s">
        <v>16</v>
      </c>
      <c r="K269" s="34" t="str">
        <f>VLOOKUP(I269,[2]stage_hints!$A:$C,3,FALSE)</f>
        <v>ステータスをスキルで下げられたら</v>
      </c>
      <c r="L269" s="35" t="str">
        <f>VLOOKUP(I269,[2]stage_hints!$A:$D,4,FALSE)</f>
        <v>ステータスダウンのスキルを受けたら_x000D_ステータスアップスキルで上書きしましょう</v>
      </c>
      <c r="M269" s="21" t="s">
        <v>23</v>
      </c>
      <c r="N269">
        <v>34</v>
      </c>
    </row>
    <row r="270" spans="1:14" x14ac:dyDescent="0.15">
      <c r="A270" s="26" t="s">
        <v>32</v>
      </c>
      <c r="B270" s="4">
        <v>30007</v>
      </c>
      <c r="C270" s="3" t="str">
        <f ca="1">VLOOKUP($B270,OFFSET([1]quests!$A$1,0,0,COUNTA([1]quests!$A:$A),MATCH(C$1,[1]quests!$1:$1,0)-MATCH($B$1,[1]quests!$1:$1,0)+1),MATCH(C$1,[1]quests!$1:$1,0)-MATCH($B$1,[1]quests!$1:$1,0)+1,FALSE)</f>
        <v>ガラスの靴は私のもの</v>
      </c>
      <c r="D270" s="3" t="str">
        <f ca="1">VLOOKUP($B270,OFFSET([1]quests!$A$1,0,0,COUNTA([1]quests!$A:$A),MATCH(D$1,[1]quests!$1:$1,0)-MATCH($B$1,[1]quests!$1:$1,0)+1),MATCH(D$1,[1]quests!$1:$1,0)-MATCH($B$1,[1]quests!$1:$1,0)+1,FALSE)</f>
        <v>ドロップイベント2-2（マルチ専用）</v>
      </c>
      <c r="E270" s="5">
        <v>3</v>
      </c>
      <c r="F270" s="3" t="str">
        <f ca="1">VLOOKUP($B270&amp;"_"&amp;$E270,OFFSET([1]stages!$A$1,0,0,COUNTA([1]stages!$A:$A),MATCH(F$1,[1]stages!$2:$2,0)-MATCH("temp_stage",[1]stages!$2:$2,0)+1),MATCH(F$1,[1]stages!$2:$2,0)-MATCH("temp_stage",[1]stages!$2:$2,0)+1,FALSE)</f>
        <v xml:space="preserve">【超級】ガラスの靴は私のもの </v>
      </c>
      <c r="G270" s="3" t="str">
        <f ca="1">VLOOKUP($B270&amp;"_"&amp;$E270,OFFSET([1]stages!$A$1,0,0,COUNTA([1]stages!$A:$A),MATCH(G$1,[1]stages!$2:$2,0)-MATCH("temp_stage",[1]stages!$2:$2,0)+1),MATCH(G$1,[1]stages!$2:$2,0)-MATCH("temp_stage",[1]stages!$2:$2,0)+1,FALSE)</f>
        <v>ドロップイベント2-2（マルチ専用）</v>
      </c>
      <c r="H270" s="18">
        <v>0</v>
      </c>
      <c r="I270">
        <v>35</v>
      </c>
      <c r="J270" s="5" t="s">
        <v>16</v>
      </c>
      <c r="K270" s="34" t="str">
        <f>VLOOKUP(I270,[2]stage_hints!$A:$C,3,FALSE)</f>
        <v>敵のステータスがスキルで上がったら</v>
      </c>
      <c r="L270" s="35" t="str">
        <f>VLOOKUP(I270,[2]stage_hints!$A:$D,4,FALSE)</f>
        <v>敵のステータスがスキルでアップしたときは_x000D_ステータスダウンスキルで上書きしましょう</v>
      </c>
      <c r="M270" s="21" t="s">
        <v>23</v>
      </c>
      <c r="N270">
        <v>35</v>
      </c>
    </row>
    <row r="271" spans="1:14" x14ac:dyDescent="0.15">
      <c r="A271" s="26" t="s">
        <v>32</v>
      </c>
      <c r="B271" s="4">
        <v>30007</v>
      </c>
      <c r="C271" s="3" t="str">
        <f ca="1">VLOOKUP($B271,OFFSET([1]quests!$A$1,0,0,COUNTA([1]quests!$A:$A),MATCH(C$1,[1]quests!$1:$1,0)-MATCH($B$1,[1]quests!$1:$1,0)+1),MATCH(C$1,[1]quests!$1:$1,0)-MATCH($B$1,[1]quests!$1:$1,0)+1,FALSE)</f>
        <v>ガラスの靴は私のもの</v>
      </c>
      <c r="D271" s="3" t="str">
        <f ca="1">VLOOKUP($B271,OFFSET([1]quests!$A$1,0,0,COUNTA([1]quests!$A:$A),MATCH(D$1,[1]quests!$1:$1,0)-MATCH($B$1,[1]quests!$1:$1,0)+1),MATCH(D$1,[1]quests!$1:$1,0)-MATCH($B$1,[1]quests!$1:$1,0)+1,FALSE)</f>
        <v>ドロップイベント2-2（マルチ専用）</v>
      </c>
      <c r="E271" s="5">
        <v>3</v>
      </c>
      <c r="F271" s="3" t="str">
        <f ca="1">VLOOKUP($B271&amp;"_"&amp;$E271,OFFSET([1]stages!$A$1,0,0,COUNTA([1]stages!$A:$A),MATCH(F$1,[1]stages!$2:$2,0)-MATCH("temp_stage",[1]stages!$2:$2,0)+1),MATCH(F$1,[1]stages!$2:$2,0)-MATCH("temp_stage",[1]stages!$2:$2,0)+1,FALSE)</f>
        <v xml:space="preserve">【超級】ガラスの靴は私のもの </v>
      </c>
      <c r="G271" s="3" t="str">
        <f ca="1">VLOOKUP($B271&amp;"_"&amp;$E271,OFFSET([1]stages!$A$1,0,0,COUNTA([1]stages!$A:$A),MATCH(G$1,[1]stages!$2:$2,0)-MATCH("temp_stage",[1]stages!$2:$2,0)+1),MATCH(G$1,[1]stages!$2:$2,0)-MATCH("temp_stage",[1]stages!$2:$2,0)+1,FALSE)</f>
        <v>ドロップイベント2-2（マルチ専用）</v>
      </c>
      <c r="H271" s="18">
        <v>0</v>
      </c>
      <c r="I271">
        <v>36</v>
      </c>
      <c r="J271" s="5" t="s">
        <v>16</v>
      </c>
      <c r="K271" s="34" t="str">
        <f>VLOOKUP(I271,[2]stage_hints!$A:$C,3,FALSE)</f>
        <v>タワーオブザクイーンのボス</v>
      </c>
      <c r="L271" s="35" t="str">
        <f>VLOOKUP(I271,[2]stage_hints!$A:$D,4,FALSE)</f>
        <v>「タワーオブザクイーン」最上階のボスは_x000D_15階の初回クリア報酬で獲得できるほか_x000D_その階にて低確率でドロップもします</v>
      </c>
      <c r="M271" s="21" t="s">
        <v>23</v>
      </c>
      <c r="N271">
        <v>36</v>
      </c>
    </row>
    <row r="272" spans="1:14" x14ac:dyDescent="0.15">
      <c r="A272" s="26" t="s">
        <v>32</v>
      </c>
      <c r="B272" s="4">
        <v>30007</v>
      </c>
      <c r="C272" s="3" t="str">
        <f ca="1">VLOOKUP($B272,OFFSET([1]quests!$A$1,0,0,COUNTA([1]quests!$A:$A),MATCH(C$1,[1]quests!$1:$1,0)-MATCH($B$1,[1]quests!$1:$1,0)+1),MATCH(C$1,[1]quests!$1:$1,0)-MATCH($B$1,[1]quests!$1:$1,0)+1,FALSE)</f>
        <v>ガラスの靴は私のもの</v>
      </c>
      <c r="D272" s="3" t="str">
        <f ca="1">VLOOKUP($B272,OFFSET([1]quests!$A$1,0,0,COUNTA([1]quests!$A:$A),MATCH(D$1,[1]quests!$1:$1,0)-MATCH($B$1,[1]quests!$1:$1,0)+1),MATCH(D$1,[1]quests!$1:$1,0)-MATCH($B$1,[1]quests!$1:$1,0)+1,FALSE)</f>
        <v>ドロップイベント2-2（マルチ専用）</v>
      </c>
      <c r="E272" s="5">
        <v>3</v>
      </c>
      <c r="F272" s="3" t="str">
        <f ca="1">VLOOKUP($B272&amp;"_"&amp;$E272,OFFSET([1]stages!$A$1,0,0,COUNTA([1]stages!$A:$A),MATCH(F$1,[1]stages!$2:$2,0)-MATCH("temp_stage",[1]stages!$2:$2,0)+1),MATCH(F$1,[1]stages!$2:$2,0)-MATCH("temp_stage",[1]stages!$2:$2,0)+1,FALSE)</f>
        <v xml:space="preserve">【超級】ガラスの靴は私のもの </v>
      </c>
      <c r="G272" s="3" t="str">
        <f ca="1">VLOOKUP($B272&amp;"_"&amp;$E272,OFFSET([1]stages!$A$1,0,0,COUNTA([1]stages!$A:$A),MATCH(G$1,[1]stages!$2:$2,0)-MATCH("temp_stage",[1]stages!$2:$2,0)+1),MATCH(G$1,[1]stages!$2:$2,0)-MATCH("temp_stage",[1]stages!$2:$2,0)+1,FALSE)</f>
        <v>ドロップイベント2-2（マルチ専用）</v>
      </c>
      <c r="H272" s="18">
        <v>0</v>
      </c>
      <c r="I272">
        <v>37</v>
      </c>
      <c r="J272" s="5" t="s">
        <v>16</v>
      </c>
      <c r="K272" s="34" t="str">
        <f>VLOOKUP(I272,[2]stage_hints!$A:$C,3,FALSE)</f>
        <v>限界突破値の引き継ぎ</v>
      </c>
      <c r="L272" s="35" t="str">
        <f>VLOOKUP(I272,[2]stage_hints!$A:$D,4,FALSE)</f>
        <v>同じユニットを強化で合成すると_x000D_限界突破値を引き継げます（覚醒前後も可）</v>
      </c>
      <c r="M272" s="21" t="s">
        <v>23</v>
      </c>
      <c r="N272">
        <v>37</v>
      </c>
    </row>
    <row r="273" spans="1:14" x14ac:dyDescent="0.15">
      <c r="A273" s="26" t="s">
        <v>32</v>
      </c>
      <c r="B273" s="4">
        <v>30008</v>
      </c>
      <c r="C273" s="3" t="str">
        <f ca="1">VLOOKUP($B273,OFFSET([1]quests!$A$1,0,0,COUNTA([1]quests!$A:$A),MATCH(C$1,[1]quests!$1:$1,0)-MATCH($B$1,[1]quests!$1:$1,0)+1),MATCH(C$1,[1]quests!$1:$1,0)-MATCH($B$1,[1]quests!$1:$1,0)+1,FALSE)</f>
        <v>わたしの嫁を返してもらおう</v>
      </c>
      <c r="D273" s="3" t="str">
        <f ca="1">VLOOKUP($B273,OFFSET([1]quests!$A$1,0,0,COUNTA([1]quests!$A:$A),MATCH(D$1,[1]quests!$1:$1,0)-MATCH($B$1,[1]quests!$1:$1,0)+1),MATCH(D$1,[1]quests!$1:$1,0)-MATCH($B$1,[1]quests!$1:$1,0)+1,FALSE)</f>
        <v>ドロップイベント2-4（マルチ専用）</v>
      </c>
      <c r="E273" s="5">
        <v>3</v>
      </c>
      <c r="F273" s="3" t="str">
        <f ca="1">VLOOKUP($B273&amp;"_"&amp;$E273,OFFSET([1]stages!$A$1,0,0,COUNTA([1]stages!$A:$A),MATCH(F$1,[1]stages!$2:$2,0)-MATCH("temp_stage",[1]stages!$2:$2,0)+1),MATCH(F$1,[1]stages!$2:$2,0)-MATCH("temp_stage",[1]stages!$2:$2,0)+1,FALSE)</f>
        <v>【超級】わたしの嫁を返してもらおう</v>
      </c>
      <c r="G273" s="3" t="str">
        <f ca="1">VLOOKUP($B273&amp;"_"&amp;$E273,OFFSET([1]stages!$A$1,0,0,COUNTA([1]stages!$A:$A),MATCH(G$1,[1]stages!$2:$2,0)-MATCH("temp_stage",[1]stages!$2:$2,0)+1),MATCH(G$1,[1]stages!$2:$2,0)-MATCH("temp_stage",[1]stages!$2:$2,0)+1,FALSE)</f>
        <v>ドロップイベント2-4（マルチ専用）</v>
      </c>
      <c r="H273" s="18">
        <v>0</v>
      </c>
      <c r="I273">
        <v>12</v>
      </c>
      <c r="J273" s="5" t="s">
        <v>16</v>
      </c>
      <c r="K273" s="34" t="str">
        <f>VLOOKUP(I273,[2]stage_hints!$A:$C,3,FALSE)</f>
        <v>ユニットのお気に入り登録</v>
      </c>
      <c r="L273" s="35" t="str">
        <f>VLOOKUP(I273,[2]stage_hints!$A:$D,4,FALSE)</f>
        <v>大事なユニットを誤って消さないように_x000D_フォルダから「お気に入り登録」しましょう</v>
      </c>
      <c r="M273" s="21" t="s">
        <v>23</v>
      </c>
      <c r="N273">
        <v>12</v>
      </c>
    </row>
    <row r="274" spans="1:14" x14ac:dyDescent="0.15">
      <c r="A274" s="26" t="s">
        <v>32</v>
      </c>
      <c r="B274" s="4">
        <v>30008</v>
      </c>
      <c r="C274" s="3" t="str">
        <f ca="1">VLOOKUP($B274,OFFSET([1]quests!$A$1,0,0,COUNTA([1]quests!$A:$A),MATCH(C$1,[1]quests!$1:$1,0)-MATCH($B$1,[1]quests!$1:$1,0)+1),MATCH(C$1,[1]quests!$1:$1,0)-MATCH($B$1,[1]quests!$1:$1,0)+1,FALSE)</f>
        <v>わたしの嫁を返してもらおう</v>
      </c>
      <c r="D274" s="3" t="str">
        <f ca="1">VLOOKUP($B274,OFFSET([1]quests!$A$1,0,0,COUNTA([1]quests!$A:$A),MATCH(D$1,[1]quests!$1:$1,0)-MATCH($B$1,[1]quests!$1:$1,0)+1),MATCH(D$1,[1]quests!$1:$1,0)-MATCH($B$1,[1]quests!$1:$1,0)+1,FALSE)</f>
        <v>ドロップイベント2-4（マルチ専用）</v>
      </c>
      <c r="E274" s="5">
        <v>3</v>
      </c>
      <c r="F274" s="3" t="str">
        <f ca="1">VLOOKUP($B274&amp;"_"&amp;$E274,OFFSET([1]stages!$A$1,0,0,COUNTA([1]stages!$A:$A),MATCH(F$1,[1]stages!$2:$2,0)-MATCH("temp_stage",[1]stages!$2:$2,0)+1),MATCH(F$1,[1]stages!$2:$2,0)-MATCH("temp_stage",[1]stages!$2:$2,0)+1,FALSE)</f>
        <v>【超級】わたしの嫁を返してもらおう</v>
      </c>
      <c r="G274" s="3" t="str">
        <f ca="1">VLOOKUP($B274&amp;"_"&amp;$E274,OFFSET([1]stages!$A$1,0,0,COUNTA([1]stages!$A:$A),MATCH(G$1,[1]stages!$2:$2,0)-MATCH("temp_stage",[1]stages!$2:$2,0)+1),MATCH(G$1,[1]stages!$2:$2,0)-MATCH("temp_stage",[1]stages!$2:$2,0)+1,FALSE)</f>
        <v>ドロップイベント2-4（マルチ専用）</v>
      </c>
      <c r="H274" s="18">
        <v>0</v>
      </c>
      <c r="I274">
        <v>17</v>
      </c>
      <c r="J274" s="5" t="s">
        <v>16</v>
      </c>
      <c r="K274" s="34" t="str">
        <f>VLOOKUP(I274,[2]stage_hints!$A:$C,3,FALSE)</f>
        <v>リンクガチャ</v>
      </c>
      <c r="L274" s="35" t="str">
        <f>VLOOKUP(I274,[2]stage_hints!$A:$D,4,FALSE)</f>
        <v>無料のリンクガチャを回して_x000D_経験値素材や売却素材を獲得しましょう</v>
      </c>
      <c r="M274" s="21" t="s">
        <v>23</v>
      </c>
      <c r="N274">
        <v>17</v>
      </c>
    </row>
    <row r="275" spans="1:14" x14ac:dyDescent="0.15">
      <c r="A275" s="26" t="s">
        <v>32</v>
      </c>
      <c r="B275" s="4">
        <v>30008</v>
      </c>
      <c r="C275" s="3" t="str">
        <f ca="1">VLOOKUP($B275,OFFSET([1]quests!$A$1,0,0,COUNTA([1]quests!$A:$A),MATCH(C$1,[1]quests!$1:$1,0)-MATCH($B$1,[1]quests!$1:$1,0)+1),MATCH(C$1,[1]quests!$1:$1,0)-MATCH($B$1,[1]quests!$1:$1,0)+1,FALSE)</f>
        <v>わたしの嫁を返してもらおう</v>
      </c>
      <c r="D275" s="3" t="str">
        <f ca="1">VLOOKUP($B275,OFFSET([1]quests!$A$1,0,0,COUNTA([1]quests!$A:$A),MATCH(D$1,[1]quests!$1:$1,0)-MATCH($B$1,[1]quests!$1:$1,0)+1),MATCH(D$1,[1]quests!$1:$1,0)-MATCH($B$1,[1]quests!$1:$1,0)+1,FALSE)</f>
        <v>ドロップイベント2-4（マルチ専用）</v>
      </c>
      <c r="E275" s="5">
        <v>3</v>
      </c>
      <c r="F275" s="3" t="str">
        <f ca="1">VLOOKUP($B275&amp;"_"&amp;$E275,OFFSET([1]stages!$A$1,0,0,COUNTA([1]stages!$A:$A),MATCH(F$1,[1]stages!$2:$2,0)-MATCH("temp_stage",[1]stages!$2:$2,0)+1),MATCH(F$1,[1]stages!$2:$2,0)-MATCH("temp_stage",[1]stages!$2:$2,0)+1,FALSE)</f>
        <v>【超級】わたしの嫁を返してもらおう</v>
      </c>
      <c r="G275" s="3" t="str">
        <f ca="1">VLOOKUP($B275&amp;"_"&amp;$E275,OFFSET([1]stages!$A$1,0,0,COUNTA([1]stages!$A:$A),MATCH(G$1,[1]stages!$2:$2,0)-MATCH("temp_stage",[1]stages!$2:$2,0)+1),MATCH(G$1,[1]stages!$2:$2,0)-MATCH("temp_stage",[1]stages!$2:$2,0)+1,FALSE)</f>
        <v>ドロップイベント2-4（マルチ専用）</v>
      </c>
      <c r="H275" s="18">
        <v>0</v>
      </c>
      <c r="I275">
        <v>19</v>
      </c>
      <c r="J275" s="5" t="s">
        <v>16</v>
      </c>
      <c r="K275" s="34" t="str">
        <f>VLOOKUP(I275,[2]stage_hints!$A:$C,3,FALSE)</f>
        <v>ソロ専用タワーオブザクイーン</v>
      </c>
      <c r="L275" s="35" t="str">
        <f>VLOOKUP(I275,[2]stage_hints!$A:$D,4,FALSE)</f>
        <v>ソロ専用の「タワーオブザクイーン」は_x000D_期間限定で定期的に開催されます_x000D_ここでしか獲得できない報酬もあるようです</v>
      </c>
      <c r="M275" s="21" t="s">
        <v>23</v>
      </c>
      <c r="N275">
        <v>19</v>
      </c>
    </row>
    <row r="276" spans="1:14" x14ac:dyDescent="0.15">
      <c r="A276" s="26" t="s">
        <v>32</v>
      </c>
      <c r="B276" s="4">
        <v>30008</v>
      </c>
      <c r="C276" s="3" t="str">
        <f ca="1">VLOOKUP($B276,OFFSET([1]quests!$A$1,0,0,COUNTA([1]quests!$A:$A),MATCH(C$1,[1]quests!$1:$1,0)-MATCH($B$1,[1]quests!$1:$1,0)+1),MATCH(C$1,[1]quests!$1:$1,0)-MATCH($B$1,[1]quests!$1:$1,0)+1,FALSE)</f>
        <v>わたしの嫁を返してもらおう</v>
      </c>
      <c r="D276" s="3" t="str">
        <f ca="1">VLOOKUP($B276,OFFSET([1]quests!$A$1,0,0,COUNTA([1]quests!$A:$A),MATCH(D$1,[1]quests!$1:$1,0)-MATCH($B$1,[1]quests!$1:$1,0)+1),MATCH(D$1,[1]quests!$1:$1,0)-MATCH($B$1,[1]quests!$1:$1,0)+1,FALSE)</f>
        <v>ドロップイベント2-4（マルチ専用）</v>
      </c>
      <c r="E276" s="5">
        <v>3</v>
      </c>
      <c r="F276" s="3" t="str">
        <f ca="1">VLOOKUP($B276&amp;"_"&amp;$E276,OFFSET([1]stages!$A$1,0,0,COUNTA([1]stages!$A:$A),MATCH(F$1,[1]stages!$2:$2,0)-MATCH("temp_stage",[1]stages!$2:$2,0)+1),MATCH(F$1,[1]stages!$2:$2,0)-MATCH("temp_stage",[1]stages!$2:$2,0)+1,FALSE)</f>
        <v>【超級】わたしの嫁を返してもらおう</v>
      </c>
      <c r="G276" s="3" t="str">
        <f ca="1">VLOOKUP($B276&amp;"_"&amp;$E276,OFFSET([1]stages!$A$1,0,0,COUNTA([1]stages!$A:$A),MATCH(G$1,[1]stages!$2:$2,0)-MATCH("temp_stage",[1]stages!$2:$2,0)+1),MATCH(G$1,[1]stages!$2:$2,0)-MATCH("temp_stage",[1]stages!$2:$2,0)+1,FALSE)</f>
        <v>ドロップイベント2-4（マルチ専用）</v>
      </c>
      <c r="H276" s="18">
        <v>0</v>
      </c>
      <c r="I276">
        <v>21</v>
      </c>
      <c r="J276" s="5" t="s">
        <v>16</v>
      </c>
      <c r="K276" s="34" t="str">
        <f>VLOOKUP(I276,[2]stage_hints!$A:$C,3,FALSE)</f>
        <v>スキルを有効に</v>
      </c>
      <c r="L276" s="35" t="str">
        <f>VLOOKUP(I276,[2]stage_hints!$A:$D,4,FALSE)</f>
        <v>ターン経過でユニットのスキルが使えます_x000D_強力スキルでバトルを有利に進めましょう</v>
      </c>
      <c r="M276" s="21" t="s">
        <v>23</v>
      </c>
      <c r="N276">
        <v>21</v>
      </c>
    </row>
    <row r="277" spans="1:14" x14ac:dyDescent="0.15">
      <c r="A277" s="26" t="s">
        <v>32</v>
      </c>
      <c r="B277" s="4">
        <v>30008</v>
      </c>
      <c r="C277" s="3" t="str">
        <f ca="1">VLOOKUP($B277,OFFSET([1]quests!$A$1,0,0,COUNTA([1]quests!$A:$A),MATCH(C$1,[1]quests!$1:$1,0)-MATCH($B$1,[1]quests!$1:$1,0)+1),MATCH(C$1,[1]quests!$1:$1,0)-MATCH($B$1,[1]quests!$1:$1,0)+1,FALSE)</f>
        <v>わたしの嫁を返してもらおう</v>
      </c>
      <c r="D277" s="3" t="str">
        <f ca="1">VLOOKUP($B277,OFFSET([1]quests!$A$1,0,0,COUNTA([1]quests!$A:$A),MATCH(D$1,[1]quests!$1:$1,0)-MATCH($B$1,[1]quests!$1:$1,0)+1),MATCH(D$1,[1]quests!$1:$1,0)-MATCH($B$1,[1]quests!$1:$1,0)+1,FALSE)</f>
        <v>ドロップイベント2-4（マルチ専用）</v>
      </c>
      <c r="E277" s="5">
        <v>3</v>
      </c>
      <c r="F277" s="3" t="str">
        <f ca="1">VLOOKUP($B277&amp;"_"&amp;$E277,OFFSET([1]stages!$A$1,0,0,COUNTA([1]stages!$A:$A),MATCH(F$1,[1]stages!$2:$2,0)-MATCH("temp_stage",[1]stages!$2:$2,0)+1),MATCH(F$1,[1]stages!$2:$2,0)-MATCH("temp_stage",[1]stages!$2:$2,0)+1,FALSE)</f>
        <v>【超級】わたしの嫁を返してもらおう</v>
      </c>
      <c r="G277" s="3" t="str">
        <f ca="1">VLOOKUP($B277&amp;"_"&amp;$E277,OFFSET([1]stages!$A$1,0,0,COUNTA([1]stages!$A:$A),MATCH(G$1,[1]stages!$2:$2,0)-MATCH("temp_stage",[1]stages!$2:$2,0)+1),MATCH(G$1,[1]stages!$2:$2,0)-MATCH("temp_stage",[1]stages!$2:$2,0)+1,FALSE)</f>
        <v>ドロップイベント2-4（マルチ専用）</v>
      </c>
      <c r="H277" s="18">
        <v>0</v>
      </c>
      <c r="I277">
        <v>27</v>
      </c>
      <c r="J277" s="5" t="s">
        <v>16</v>
      </c>
      <c r="K277" s="34" t="str">
        <f>VLOOKUP(I277,[2]stage_hints!$A:$C,3,FALSE)</f>
        <v>ホーム画面からデッキを編成</v>
      </c>
      <c r="L277" s="35" t="str">
        <f>VLOOKUP(I277,[2]stage_hints!$A:$D,4,FALSE)</f>
        <v>ホーム画面でユニットを長押しすると_x000D_すぐにパーティ編成に移動できます</v>
      </c>
      <c r="M277" s="21" t="s">
        <v>23</v>
      </c>
      <c r="N277">
        <v>27</v>
      </c>
    </row>
    <row r="278" spans="1:14" x14ac:dyDescent="0.15">
      <c r="A278" s="26" t="s">
        <v>32</v>
      </c>
      <c r="B278" s="4">
        <v>30008</v>
      </c>
      <c r="C278" s="3" t="str">
        <f ca="1">VLOOKUP($B278,OFFSET([1]quests!$A$1,0,0,COUNTA([1]quests!$A:$A),MATCH(C$1,[1]quests!$1:$1,0)-MATCH($B$1,[1]quests!$1:$1,0)+1),MATCH(C$1,[1]quests!$1:$1,0)-MATCH($B$1,[1]quests!$1:$1,0)+1,FALSE)</f>
        <v>わたしの嫁を返してもらおう</v>
      </c>
      <c r="D278" s="3" t="str">
        <f ca="1">VLOOKUP($B278,OFFSET([1]quests!$A$1,0,0,COUNTA([1]quests!$A:$A),MATCH(D$1,[1]quests!$1:$1,0)-MATCH($B$1,[1]quests!$1:$1,0)+1),MATCH(D$1,[1]quests!$1:$1,0)-MATCH($B$1,[1]quests!$1:$1,0)+1,FALSE)</f>
        <v>ドロップイベント2-4（マルチ専用）</v>
      </c>
      <c r="E278" s="5">
        <v>3</v>
      </c>
      <c r="F278" s="3" t="str">
        <f ca="1">VLOOKUP($B278&amp;"_"&amp;$E278,OFFSET([1]stages!$A$1,0,0,COUNTA([1]stages!$A:$A),MATCH(F$1,[1]stages!$2:$2,0)-MATCH("temp_stage",[1]stages!$2:$2,0)+1),MATCH(F$1,[1]stages!$2:$2,0)-MATCH("temp_stage",[1]stages!$2:$2,0)+1,FALSE)</f>
        <v>【超級】わたしの嫁を返してもらおう</v>
      </c>
      <c r="G278" s="3" t="str">
        <f ca="1">VLOOKUP($B278&amp;"_"&amp;$E278,OFFSET([1]stages!$A$1,0,0,COUNTA([1]stages!$A:$A),MATCH(G$1,[1]stages!$2:$2,0)-MATCH("temp_stage",[1]stages!$2:$2,0)+1),MATCH(G$1,[1]stages!$2:$2,0)-MATCH("temp_stage",[1]stages!$2:$2,0)+1,FALSE)</f>
        <v>ドロップイベント2-4（マルチ専用）</v>
      </c>
      <c r="H278" s="18">
        <v>0</v>
      </c>
      <c r="I278">
        <v>28</v>
      </c>
      <c r="J278" s="5" t="s">
        <v>16</v>
      </c>
      <c r="K278" s="34" t="str">
        <f>VLOOKUP(I278,[2]stage_hints!$A:$C,3,FALSE)</f>
        <v>ステータス情報は長押しで</v>
      </c>
      <c r="L278" s="35" t="str">
        <f>VLOOKUP(I278,[2]stage_hints!$A:$D,4,FALSE)</f>
        <v>ユニットのアイコンを長押しすると_x000D_ステータス情報を確認することができます</v>
      </c>
      <c r="M278" s="21" t="s">
        <v>23</v>
      </c>
      <c r="N278">
        <v>28</v>
      </c>
    </row>
    <row r="279" spans="1:14" x14ac:dyDescent="0.15">
      <c r="A279" s="26" t="s">
        <v>32</v>
      </c>
      <c r="B279" s="4">
        <v>30008</v>
      </c>
      <c r="C279" s="3" t="str">
        <f ca="1">VLOOKUP($B279,OFFSET([1]quests!$A$1,0,0,COUNTA([1]quests!$A:$A),MATCH(C$1,[1]quests!$1:$1,0)-MATCH($B$1,[1]quests!$1:$1,0)+1),MATCH(C$1,[1]quests!$1:$1,0)-MATCH($B$1,[1]quests!$1:$1,0)+1,FALSE)</f>
        <v>わたしの嫁を返してもらおう</v>
      </c>
      <c r="D279" s="3" t="str">
        <f ca="1">VLOOKUP($B279,OFFSET([1]quests!$A$1,0,0,COUNTA([1]quests!$A:$A),MATCH(D$1,[1]quests!$1:$1,0)-MATCH($B$1,[1]quests!$1:$1,0)+1),MATCH(D$1,[1]quests!$1:$1,0)-MATCH($B$1,[1]quests!$1:$1,0)+1,FALSE)</f>
        <v>ドロップイベント2-4（マルチ専用）</v>
      </c>
      <c r="E279" s="5">
        <v>3</v>
      </c>
      <c r="F279" s="3" t="str">
        <f ca="1">VLOOKUP($B279&amp;"_"&amp;$E279,OFFSET([1]stages!$A$1,0,0,COUNTA([1]stages!$A:$A),MATCH(F$1,[1]stages!$2:$2,0)-MATCH("temp_stage",[1]stages!$2:$2,0)+1),MATCH(F$1,[1]stages!$2:$2,0)-MATCH("temp_stage",[1]stages!$2:$2,0)+1,FALSE)</f>
        <v>【超級】わたしの嫁を返してもらおう</v>
      </c>
      <c r="G279" s="3" t="str">
        <f ca="1">VLOOKUP($B279&amp;"_"&amp;$E279,OFFSET([1]stages!$A$1,0,0,COUNTA([1]stages!$A:$A),MATCH(G$1,[1]stages!$2:$2,0)-MATCH("temp_stage",[1]stages!$2:$2,0)+1),MATCH(G$1,[1]stages!$2:$2,0)-MATCH("temp_stage",[1]stages!$2:$2,0)+1,FALSE)</f>
        <v>ドロップイベント2-4（マルチ専用）</v>
      </c>
      <c r="H279" s="18">
        <v>0</v>
      </c>
      <c r="I279">
        <v>29</v>
      </c>
      <c r="J279" s="5" t="s">
        <v>16</v>
      </c>
      <c r="K279" s="34" t="str">
        <f>VLOOKUP(I279,[2]stage_hints!$A:$C,3,FALSE)</f>
        <v>「バグ」のメリット</v>
      </c>
      <c r="L279" s="35" t="str">
        <f>VLOOKUP(I279,[2]stage_hints!$A:$D,4,FALSE)</f>
        <v>ユニットの「バグ」を増やすと_x000D_報酬をもらえる確率がアップします</v>
      </c>
      <c r="M279" s="21" t="s">
        <v>23</v>
      </c>
      <c r="N279">
        <v>29</v>
      </c>
    </row>
    <row r="280" spans="1:14" x14ac:dyDescent="0.15">
      <c r="A280" s="26" t="s">
        <v>32</v>
      </c>
      <c r="B280" s="4">
        <v>30008</v>
      </c>
      <c r="C280" s="3" t="str">
        <f ca="1">VLOOKUP($B280,OFFSET([1]quests!$A$1,0,0,COUNTA([1]quests!$A:$A),MATCH(C$1,[1]quests!$1:$1,0)-MATCH($B$1,[1]quests!$1:$1,0)+1),MATCH(C$1,[1]quests!$1:$1,0)-MATCH($B$1,[1]quests!$1:$1,0)+1,FALSE)</f>
        <v>わたしの嫁を返してもらおう</v>
      </c>
      <c r="D280" s="3" t="str">
        <f ca="1">VLOOKUP($B280,OFFSET([1]quests!$A$1,0,0,COUNTA([1]quests!$A:$A),MATCH(D$1,[1]quests!$1:$1,0)-MATCH($B$1,[1]quests!$1:$1,0)+1),MATCH(D$1,[1]quests!$1:$1,0)-MATCH($B$1,[1]quests!$1:$1,0)+1,FALSE)</f>
        <v>ドロップイベント2-4（マルチ専用）</v>
      </c>
      <c r="E280" s="5">
        <v>3</v>
      </c>
      <c r="F280" s="3" t="str">
        <f ca="1">VLOOKUP($B280&amp;"_"&amp;$E280,OFFSET([1]stages!$A$1,0,0,COUNTA([1]stages!$A:$A),MATCH(F$1,[1]stages!$2:$2,0)-MATCH("temp_stage",[1]stages!$2:$2,0)+1),MATCH(F$1,[1]stages!$2:$2,0)-MATCH("temp_stage",[1]stages!$2:$2,0)+1,FALSE)</f>
        <v>【超級】わたしの嫁を返してもらおう</v>
      </c>
      <c r="G280" s="3" t="str">
        <f ca="1">VLOOKUP($B280&amp;"_"&amp;$E280,OFFSET([1]stages!$A$1,0,0,COUNTA([1]stages!$A:$A),MATCH(G$1,[1]stages!$2:$2,0)-MATCH("temp_stage",[1]stages!$2:$2,0)+1),MATCH(G$1,[1]stages!$2:$2,0)-MATCH("temp_stage",[1]stages!$2:$2,0)+1,FALSE)</f>
        <v>ドロップイベント2-4（マルチ専用）</v>
      </c>
      <c r="H280" s="18">
        <v>0</v>
      </c>
      <c r="I280">
        <v>30</v>
      </c>
      <c r="J280" s="5" t="s">
        <v>16</v>
      </c>
      <c r="K280" s="34" t="str">
        <f>VLOOKUP(I280,[2]stage_hints!$A:$C,3,FALSE)</f>
        <v>「バグ」の増やし方</v>
      </c>
      <c r="L280" s="35" t="str">
        <f>VLOOKUP(I280,[2]stage_hints!$A:$D,4,FALSE)</f>
        <v>同じユニット同士を強化で合成すると_x000D_「バグ」を増やすことができます</v>
      </c>
      <c r="M280" s="21" t="s">
        <v>23</v>
      </c>
      <c r="N280">
        <v>30</v>
      </c>
    </row>
    <row r="281" spans="1:14" x14ac:dyDescent="0.15">
      <c r="A281" s="26" t="s">
        <v>32</v>
      </c>
      <c r="B281" s="4">
        <v>30008</v>
      </c>
      <c r="C281" s="3" t="str">
        <f ca="1">VLOOKUP($B281,OFFSET([1]quests!$A$1,0,0,COUNTA([1]quests!$A:$A),MATCH(C$1,[1]quests!$1:$1,0)-MATCH($B$1,[1]quests!$1:$1,0)+1),MATCH(C$1,[1]quests!$1:$1,0)-MATCH($B$1,[1]quests!$1:$1,0)+1,FALSE)</f>
        <v>わたしの嫁を返してもらおう</v>
      </c>
      <c r="D281" s="3" t="str">
        <f ca="1">VLOOKUP($B281,OFFSET([1]quests!$A$1,0,0,COUNTA([1]quests!$A:$A),MATCH(D$1,[1]quests!$1:$1,0)-MATCH($B$1,[1]quests!$1:$1,0)+1),MATCH(D$1,[1]quests!$1:$1,0)-MATCH($B$1,[1]quests!$1:$1,0)+1,FALSE)</f>
        <v>ドロップイベント2-4（マルチ専用）</v>
      </c>
      <c r="E281" s="5">
        <v>3</v>
      </c>
      <c r="F281" s="3" t="str">
        <f ca="1">VLOOKUP($B281&amp;"_"&amp;$E281,OFFSET([1]stages!$A$1,0,0,COUNTA([1]stages!$A:$A),MATCH(F$1,[1]stages!$2:$2,0)-MATCH("temp_stage",[1]stages!$2:$2,0)+1),MATCH(F$1,[1]stages!$2:$2,0)-MATCH("temp_stage",[1]stages!$2:$2,0)+1,FALSE)</f>
        <v>【超級】わたしの嫁を返してもらおう</v>
      </c>
      <c r="G281" s="3" t="str">
        <f ca="1">VLOOKUP($B281&amp;"_"&amp;$E281,OFFSET([1]stages!$A$1,0,0,COUNTA([1]stages!$A:$A),MATCH(G$1,[1]stages!$2:$2,0)-MATCH("temp_stage",[1]stages!$2:$2,0)+1),MATCH(G$1,[1]stages!$2:$2,0)-MATCH("temp_stage",[1]stages!$2:$2,0)+1,FALSE)</f>
        <v>ドロップイベント2-4（マルチ専用）</v>
      </c>
      <c r="H281" s="18">
        <v>0</v>
      </c>
      <c r="I281">
        <v>32</v>
      </c>
      <c r="J281" s="5" t="s">
        <v>16</v>
      </c>
      <c r="K281" s="34" t="str">
        <f>VLOOKUP(I281,[2]stage_hints!$A:$C,3,FALSE)</f>
        <v>敵の連続攻撃には</v>
      </c>
      <c r="L281" s="35" t="str">
        <f>VLOOKUP(I281,[2]stage_hints!$A:$D,4,FALSE)</f>
        <v>カウンタースキルを持つユニットがいれば_x000D_ダメージ回数分の反撃ができます</v>
      </c>
      <c r="M281" s="21" t="s">
        <v>23</v>
      </c>
      <c r="N281">
        <v>32</v>
      </c>
    </row>
    <row r="282" spans="1:14" x14ac:dyDescent="0.15">
      <c r="A282" s="26" t="s">
        <v>32</v>
      </c>
      <c r="B282" s="4">
        <v>30008</v>
      </c>
      <c r="C282" s="3" t="str">
        <f ca="1">VLOOKUP($B282,OFFSET([1]quests!$A$1,0,0,COUNTA([1]quests!$A:$A),MATCH(C$1,[1]quests!$1:$1,0)-MATCH($B$1,[1]quests!$1:$1,0)+1),MATCH(C$1,[1]quests!$1:$1,0)-MATCH($B$1,[1]quests!$1:$1,0)+1,FALSE)</f>
        <v>わたしの嫁を返してもらおう</v>
      </c>
      <c r="D282" s="3" t="str">
        <f ca="1">VLOOKUP($B282,OFFSET([1]quests!$A$1,0,0,COUNTA([1]quests!$A:$A),MATCH(D$1,[1]quests!$1:$1,0)-MATCH($B$1,[1]quests!$1:$1,0)+1),MATCH(D$1,[1]quests!$1:$1,0)-MATCH($B$1,[1]quests!$1:$1,0)+1,FALSE)</f>
        <v>ドロップイベント2-4（マルチ専用）</v>
      </c>
      <c r="E282" s="5">
        <v>3</v>
      </c>
      <c r="F282" s="3" t="str">
        <f ca="1">VLOOKUP($B282&amp;"_"&amp;$E282,OFFSET([1]stages!$A$1,0,0,COUNTA([1]stages!$A:$A),MATCH(F$1,[1]stages!$2:$2,0)-MATCH("temp_stage",[1]stages!$2:$2,0)+1),MATCH(F$1,[1]stages!$2:$2,0)-MATCH("temp_stage",[1]stages!$2:$2,0)+1,FALSE)</f>
        <v>【超級】わたしの嫁を返してもらおう</v>
      </c>
      <c r="G282" s="3" t="str">
        <f ca="1">VLOOKUP($B282&amp;"_"&amp;$E282,OFFSET([1]stages!$A$1,0,0,COUNTA([1]stages!$A:$A),MATCH(G$1,[1]stages!$2:$2,0)-MATCH("temp_stage",[1]stages!$2:$2,0)+1),MATCH(G$1,[1]stages!$2:$2,0)-MATCH("temp_stage",[1]stages!$2:$2,0)+1,FALSE)</f>
        <v>ドロップイベント2-4（マルチ専用）</v>
      </c>
      <c r="H282" s="18">
        <v>0</v>
      </c>
      <c r="I282">
        <v>33</v>
      </c>
      <c r="J282" s="5" t="s">
        <v>16</v>
      </c>
      <c r="K282" s="34" t="str">
        <f>VLOOKUP(I282,[2]stage_hints!$A:$C,3,FALSE)</f>
        <v>敵のカウンター攻撃には</v>
      </c>
      <c r="L282" s="35" t="str">
        <f>VLOOKUP(I282,[2]stage_hints!$A:$D,4,FALSE)</f>
        <v>カウンターブレイクスキルを持っていれば_x000D_敵のカウンターを解除して攻撃ができます</v>
      </c>
      <c r="M282" s="21" t="s">
        <v>23</v>
      </c>
      <c r="N282">
        <v>33</v>
      </c>
    </row>
    <row r="283" spans="1:14" x14ac:dyDescent="0.15">
      <c r="A283" s="26" t="s">
        <v>32</v>
      </c>
      <c r="B283" s="4">
        <v>30008</v>
      </c>
      <c r="C283" s="3" t="str">
        <f ca="1">VLOOKUP($B283,OFFSET([1]quests!$A$1,0,0,COUNTA([1]quests!$A:$A),MATCH(C$1,[1]quests!$1:$1,0)-MATCH($B$1,[1]quests!$1:$1,0)+1),MATCH(C$1,[1]quests!$1:$1,0)-MATCH($B$1,[1]quests!$1:$1,0)+1,FALSE)</f>
        <v>わたしの嫁を返してもらおう</v>
      </c>
      <c r="D283" s="3" t="str">
        <f ca="1">VLOOKUP($B283,OFFSET([1]quests!$A$1,0,0,COUNTA([1]quests!$A:$A),MATCH(D$1,[1]quests!$1:$1,0)-MATCH($B$1,[1]quests!$1:$1,0)+1),MATCH(D$1,[1]quests!$1:$1,0)-MATCH($B$1,[1]quests!$1:$1,0)+1,FALSE)</f>
        <v>ドロップイベント2-4（マルチ専用）</v>
      </c>
      <c r="E283" s="5">
        <v>3</v>
      </c>
      <c r="F283" s="3" t="str">
        <f ca="1">VLOOKUP($B283&amp;"_"&amp;$E283,OFFSET([1]stages!$A$1,0,0,COUNTA([1]stages!$A:$A),MATCH(F$1,[1]stages!$2:$2,0)-MATCH("temp_stage",[1]stages!$2:$2,0)+1),MATCH(F$1,[1]stages!$2:$2,0)-MATCH("temp_stage",[1]stages!$2:$2,0)+1,FALSE)</f>
        <v>【超級】わたしの嫁を返してもらおう</v>
      </c>
      <c r="G283" s="3" t="str">
        <f ca="1">VLOOKUP($B283&amp;"_"&amp;$E283,OFFSET([1]stages!$A$1,0,0,COUNTA([1]stages!$A:$A),MATCH(G$1,[1]stages!$2:$2,0)-MATCH("temp_stage",[1]stages!$2:$2,0)+1),MATCH(G$1,[1]stages!$2:$2,0)-MATCH("temp_stage",[1]stages!$2:$2,0)+1,FALSE)</f>
        <v>ドロップイベント2-4（マルチ専用）</v>
      </c>
      <c r="H283" s="18">
        <v>0</v>
      </c>
      <c r="I283">
        <v>34</v>
      </c>
      <c r="J283" s="5" t="s">
        <v>16</v>
      </c>
      <c r="K283" s="34" t="str">
        <f>VLOOKUP(I283,[2]stage_hints!$A:$C,3,FALSE)</f>
        <v>ステータスをスキルで下げられたら</v>
      </c>
      <c r="L283" s="35" t="str">
        <f>VLOOKUP(I283,[2]stage_hints!$A:$D,4,FALSE)</f>
        <v>ステータスダウンのスキルを受けたら_x000D_ステータスアップスキルで上書きしましょう</v>
      </c>
      <c r="M283" s="21" t="s">
        <v>23</v>
      </c>
      <c r="N283">
        <v>34</v>
      </c>
    </row>
    <row r="284" spans="1:14" x14ac:dyDescent="0.15">
      <c r="A284" s="26" t="s">
        <v>32</v>
      </c>
      <c r="B284" s="4">
        <v>30008</v>
      </c>
      <c r="C284" s="3" t="str">
        <f ca="1">VLOOKUP($B284,OFFSET([1]quests!$A$1,0,0,COUNTA([1]quests!$A:$A),MATCH(C$1,[1]quests!$1:$1,0)-MATCH($B$1,[1]quests!$1:$1,0)+1),MATCH(C$1,[1]quests!$1:$1,0)-MATCH($B$1,[1]quests!$1:$1,0)+1,FALSE)</f>
        <v>わたしの嫁を返してもらおう</v>
      </c>
      <c r="D284" s="3" t="str">
        <f ca="1">VLOOKUP($B284,OFFSET([1]quests!$A$1,0,0,COUNTA([1]quests!$A:$A),MATCH(D$1,[1]quests!$1:$1,0)-MATCH($B$1,[1]quests!$1:$1,0)+1),MATCH(D$1,[1]quests!$1:$1,0)-MATCH($B$1,[1]quests!$1:$1,0)+1,FALSE)</f>
        <v>ドロップイベント2-4（マルチ専用）</v>
      </c>
      <c r="E284" s="5">
        <v>3</v>
      </c>
      <c r="F284" s="3" t="str">
        <f ca="1">VLOOKUP($B284&amp;"_"&amp;$E284,OFFSET([1]stages!$A$1,0,0,COUNTA([1]stages!$A:$A),MATCH(F$1,[1]stages!$2:$2,0)-MATCH("temp_stage",[1]stages!$2:$2,0)+1),MATCH(F$1,[1]stages!$2:$2,0)-MATCH("temp_stage",[1]stages!$2:$2,0)+1,FALSE)</f>
        <v>【超級】わたしの嫁を返してもらおう</v>
      </c>
      <c r="G284" s="3" t="str">
        <f ca="1">VLOOKUP($B284&amp;"_"&amp;$E284,OFFSET([1]stages!$A$1,0,0,COUNTA([1]stages!$A:$A),MATCH(G$1,[1]stages!$2:$2,0)-MATCH("temp_stage",[1]stages!$2:$2,0)+1),MATCH(G$1,[1]stages!$2:$2,0)-MATCH("temp_stage",[1]stages!$2:$2,0)+1,FALSE)</f>
        <v>ドロップイベント2-4（マルチ専用）</v>
      </c>
      <c r="H284" s="18">
        <v>0</v>
      </c>
      <c r="I284">
        <v>35</v>
      </c>
      <c r="J284" s="5" t="s">
        <v>16</v>
      </c>
      <c r="K284" s="34" t="str">
        <f>VLOOKUP(I284,[2]stage_hints!$A:$C,3,FALSE)</f>
        <v>敵のステータスがスキルで上がったら</v>
      </c>
      <c r="L284" s="35" t="str">
        <f>VLOOKUP(I284,[2]stage_hints!$A:$D,4,FALSE)</f>
        <v>敵のステータスがスキルでアップしたときは_x000D_ステータスダウンスキルで上書きしましょう</v>
      </c>
      <c r="M284" s="21" t="s">
        <v>23</v>
      </c>
      <c r="N284">
        <v>35</v>
      </c>
    </row>
    <row r="285" spans="1:14" x14ac:dyDescent="0.15">
      <c r="A285" s="26" t="s">
        <v>32</v>
      </c>
      <c r="B285" s="4">
        <v>30008</v>
      </c>
      <c r="C285" s="3" t="str">
        <f ca="1">VLOOKUP($B285,OFFSET([1]quests!$A$1,0,0,COUNTA([1]quests!$A:$A),MATCH(C$1,[1]quests!$1:$1,0)-MATCH($B$1,[1]quests!$1:$1,0)+1),MATCH(C$1,[1]quests!$1:$1,0)-MATCH($B$1,[1]quests!$1:$1,0)+1,FALSE)</f>
        <v>わたしの嫁を返してもらおう</v>
      </c>
      <c r="D285" s="3" t="str">
        <f ca="1">VLOOKUP($B285,OFFSET([1]quests!$A$1,0,0,COUNTA([1]quests!$A:$A),MATCH(D$1,[1]quests!$1:$1,0)-MATCH($B$1,[1]quests!$1:$1,0)+1),MATCH(D$1,[1]quests!$1:$1,0)-MATCH($B$1,[1]quests!$1:$1,0)+1,FALSE)</f>
        <v>ドロップイベント2-4（マルチ専用）</v>
      </c>
      <c r="E285" s="5">
        <v>3</v>
      </c>
      <c r="F285" s="3" t="str">
        <f ca="1">VLOOKUP($B285&amp;"_"&amp;$E285,OFFSET([1]stages!$A$1,0,0,COUNTA([1]stages!$A:$A),MATCH(F$1,[1]stages!$2:$2,0)-MATCH("temp_stage",[1]stages!$2:$2,0)+1),MATCH(F$1,[1]stages!$2:$2,0)-MATCH("temp_stage",[1]stages!$2:$2,0)+1,FALSE)</f>
        <v>【超級】わたしの嫁を返してもらおう</v>
      </c>
      <c r="G285" s="3" t="str">
        <f ca="1">VLOOKUP($B285&amp;"_"&amp;$E285,OFFSET([1]stages!$A$1,0,0,COUNTA([1]stages!$A:$A),MATCH(G$1,[1]stages!$2:$2,0)-MATCH("temp_stage",[1]stages!$2:$2,0)+1),MATCH(G$1,[1]stages!$2:$2,0)-MATCH("temp_stage",[1]stages!$2:$2,0)+1,FALSE)</f>
        <v>ドロップイベント2-4（マルチ専用）</v>
      </c>
      <c r="H285" s="18">
        <v>0</v>
      </c>
      <c r="I285">
        <v>36</v>
      </c>
      <c r="J285" s="5" t="s">
        <v>16</v>
      </c>
      <c r="K285" s="34" t="str">
        <f>VLOOKUP(I285,[2]stage_hints!$A:$C,3,FALSE)</f>
        <v>タワーオブザクイーンのボス</v>
      </c>
      <c r="L285" s="35" t="str">
        <f>VLOOKUP(I285,[2]stage_hints!$A:$D,4,FALSE)</f>
        <v>「タワーオブザクイーン」最上階のボスは_x000D_15階の初回クリア報酬で獲得できるほか_x000D_その階にて低確率でドロップもします</v>
      </c>
      <c r="M285" s="21" t="s">
        <v>23</v>
      </c>
      <c r="N285">
        <v>36</v>
      </c>
    </row>
    <row r="286" spans="1:14" x14ac:dyDescent="0.15">
      <c r="A286" s="26" t="s">
        <v>32</v>
      </c>
      <c r="B286" s="4">
        <v>30008</v>
      </c>
      <c r="C286" s="3" t="str">
        <f ca="1">VLOOKUP($B286,OFFSET([1]quests!$A$1,0,0,COUNTA([1]quests!$A:$A),MATCH(C$1,[1]quests!$1:$1,0)-MATCH($B$1,[1]quests!$1:$1,0)+1),MATCH(C$1,[1]quests!$1:$1,0)-MATCH($B$1,[1]quests!$1:$1,0)+1,FALSE)</f>
        <v>わたしの嫁を返してもらおう</v>
      </c>
      <c r="D286" s="3" t="str">
        <f ca="1">VLOOKUP($B286,OFFSET([1]quests!$A$1,0,0,COUNTA([1]quests!$A:$A),MATCH(D$1,[1]quests!$1:$1,0)-MATCH($B$1,[1]quests!$1:$1,0)+1),MATCH(D$1,[1]quests!$1:$1,0)-MATCH($B$1,[1]quests!$1:$1,0)+1,FALSE)</f>
        <v>ドロップイベント2-4（マルチ専用）</v>
      </c>
      <c r="E286" s="5">
        <v>3</v>
      </c>
      <c r="F286" s="3" t="str">
        <f ca="1">VLOOKUP($B286&amp;"_"&amp;$E286,OFFSET([1]stages!$A$1,0,0,COUNTA([1]stages!$A:$A),MATCH(F$1,[1]stages!$2:$2,0)-MATCH("temp_stage",[1]stages!$2:$2,0)+1),MATCH(F$1,[1]stages!$2:$2,0)-MATCH("temp_stage",[1]stages!$2:$2,0)+1,FALSE)</f>
        <v>【超級】わたしの嫁を返してもらおう</v>
      </c>
      <c r="G286" s="3" t="str">
        <f ca="1">VLOOKUP($B286&amp;"_"&amp;$E286,OFFSET([1]stages!$A$1,0,0,COUNTA([1]stages!$A:$A),MATCH(G$1,[1]stages!$2:$2,0)-MATCH("temp_stage",[1]stages!$2:$2,0)+1),MATCH(G$1,[1]stages!$2:$2,0)-MATCH("temp_stage",[1]stages!$2:$2,0)+1,FALSE)</f>
        <v>ドロップイベント2-4（マルチ専用）</v>
      </c>
      <c r="H286" s="18">
        <v>0</v>
      </c>
      <c r="I286">
        <v>37</v>
      </c>
      <c r="J286" s="5" t="s">
        <v>16</v>
      </c>
      <c r="K286" s="34" t="str">
        <f>VLOOKUP(I286,[2]stage_hints!$A:$C,3,FALSE)</f>
        <v>限界突破値の引き継ぎ</v>
      </c>
      <c r="L286" s="35" t="str">
        <f>VLOOKUP(I286,[2]stage_hints!$A:$D,4,FALSE)</f>
        <v>同じユニットを強化で合成すると_x000D_限界突破値を引き継げます（覚醒前後も可）</v>
      </c>
      <c r="M286" s="21" t="s">
        <v>23</v>
      </c>
      <c r="N286">
        <v>37</v>
      </c>
    </row>
    <row r="287" spans="1:14" x14ac:dyDescent="0.15">
      <c r="A287" s="26" t="s">
        <v>32</v>
      </c>
      <c r="B287" s="4">
        <v>30009</v>
      </c>
      <c r="C287" s="3" t="str">
        <f ca="1">VLOOKUP($B287,OFFSET([1]quests!$A$1,0,0,COUNTA([1]quests!$A:$A),MATCH(C$1,[1]quests!$1:$1,0)-MATCH($B$1,[1]quests!$1:$1,0)+1),MATCH(C$1,[1]quests!$1:$1,0)-MATCH($B$1,[1]quests!$1:$1,0)+1,FALSE)</f>
        <v>復活の捕食者</v>
      </c>
      <c r="D287" s="3" t="str">
        <f ca="1">VLOOKUP($B287,OFFSET([1]quests!$A$1,0,0,COUNTA([1]quests!$A:$A),MATCH(D$1,[1]quests!$1:$1,0)-MATCH($B$1,[1]quests!$1:$1,0)+1),MATCH(D$1,[1]quests!$1:$1,0)-MATCH($B$1,[1]quests!$1:$1,0)+1,FALSE)</f>
        <v>ドロップイベント3（マルチ専用）</v>
      </c>
      <c r="E287" s="5">
        <v>1</v>
      </c>
      <c r="F287" s="3" t="str">
        <f ca="1">VLOOKUP($B287&amp;"_"&amp;$E287,OFFSET([1]stages!$A$1,0,0,COUNTA([1]stages!$A:$A),MATCH(F$1,[1]stages!$2:$2,0)-MATCH("temp_stage",[1]stages!$2:$2,0)+1),MATCH(F$1,[1]stages!$2:$2,0)-MATCH("temp_stage",[1]stages!$2:$2,0)+1,FALSE)</f>
        <v>【超級】復活の捕食者</v>
      </c>
      <c r="G287" s="3" t="str">
        <f ca="1">VLOOKUP($B287&amp;"_"&amp;$E287,OFFSET([1]stages!$A$1,0,0,COUNTA([1]stages!$A:$A),MATCH(G$1,[1]stages!$2:$2,0)-MATCH("temp_stage",[1]stages!$2:$2,0)+1),MATCH(G$1,[1]stages!$2:$2,0)-MATCH("temp_stage",[1]stages!$2:$2,0)+1,FALSE)</f>
        <v>ドロップイベント3（マルチ専用）</v>
      </c>
      <c r="H287" s="18">
        <v>0</v>
      </c>
      <c r="I287">
        <v>12</v>
      </c>
      <c r="J287" s="5" t="s">
        <v>16</v>
      </c>
      <c r="K287" s="34" t="str">
        <f>VLOOKUP(I287,[2]stage_hints!$A:$C,3,FALSE)</f>
        <v>ユニットのお気に入り登録</v>
      </c>
      <c r="L287" s="35" t="str">
        <f>VLOOKUP(I287,[2]stage_hints!$A:$D,4,FALSE)</f>
        <v>大事なユニットを誤って消さないように_x000D_フォルダから「お気に入り登録」しましょう</v>
      </c>
      <c r="M287" s="21" t="s">
        <v>23</v>
      </c>
      <c r="N287">
        <v>12</v>
      </c>
    </row>
    <row r="288" spans="1:14" x14ac:dyDescent="0.15">
      <c r="A288" s="26" t="s">
        <v>32</v>
      </c>
      <c r="B288" s="4">
        <v>30009</v>
      </c>
      <c r="C288" s="3" t="str">
        <f ca="1">VLOOKUP($B288,OFFSET([1]quests!$A$1,0,0,COUNTA([1]quests!$A:$A),MATCH(C$1,[1]quests!$1:$1,0)-MATCH($B$1,[1]quests!$1:$1,0)+1),MATCH(C$1,[1]quests!$1:$1,0)-MATCH($B$1,[1]quests!$1:$1,0)+1,FALSE)</f>
        <v>復活の捕食者</v>
      </c>
      <c r="D288" s="3" t="str">
        <f ca="1">VLOOKUP($B288,OFFSET([1]quests!$A$1,0,0,COUNTA([1]quests!$A:$A),MATCH(D$1,[1]quests!$1:$1,0)-MATCH($B$1,[1]quests!$1:$1,0)+1),MATCH(D$1,[1]quests!$1:$1,0)-MATCH($B$1,[1]quests!$1:$1,0)+1,FALSE)</f>
        <v>ドロップイベント3（マルチ専用）</v>
      </c>
      <c r="E288" s="5">
        <v>1</v>
      </c>
      <c r="F288" s="3" t="str">
        <f ca="1">VLOOKUP($B288&amp;"_"&amp;$E288,OFFSET([1]stages!$A$1,0,0,COUNTA([1]stages!$A:$A),MATCH(F$1,[1]stages!$2:$2,0)-MATCH("temp_stage",[1]stages!$2:$2,0)+1),MATCH(F$1,[1]stages!$2:$2,0)-MATCH("temp_stage",[1]stages!$2:$2,0)+1,FALSE)</f>
        <v>【超級】復活の捕食者</v>
      </c>
      <c r="G288" s="3" t="str">
        <f ca="1">VLOOKUP($B288&amp;"_"&amp;$E288,OFFSET([1]stages!$A$1,0,0,COUNTA([1]stages!$A:$A),MATCH(G$1,[1]stages!$2:$2,0)-MATCH("temp_stage",[1]stages!$2:$2,0)+1),MATCH(G$1,[1]stages!$2:$2,0)-MATCH("temp_stage",[1]stages!$2:$2,0)+1,FALSE)</f>
        <v>ドロップイベント3（マルチ専用）</v>
      </c>
      <c r="H288" s="18">
        <v>0</v>
      </c>
      <c r="I288">
        <v>17</v>
      </c>
      <c r="J288" s="5" t="s">
        <v>16</v>
      </c>
      <c r="K288" s="34" t="str">
        <f>VLOOKUP(I288,[2]stage_hints!$A:$C,3,FALSE)</f>
        <v>リンクガチャ</v>
      </c>
      <c r="L288" s="35" t="str">
        <f>VLOOKUP(I288,[2]stage_hints!$A:$D,4,FALSE)</f>
        <v>無料のリンクガチャを回して_x000D_経験値素材や売却素材を獲得しましょう</v>
      </c>
      <c r="M288" s="21" t="s">
        <v>23</v>
      </c>
      <c r="N288">
        <v>17</v>
      </c>
    </row>
    <row r="289" spans="1:14" x14ac:dyDescent="0.15">
      <c r="A289" s="26" t="s">
        <v>32</v>
      </c>
      <c r="B289" s="4">
        <v>30009</v>
      </c>
      <c r="C289" s="3" t="str">
        <f ca="1">VLOOKUP($B289,OFFSET([1]quests!$A$1,0,0,COUNTA([1]quests!$A:$A),MATCH(C$1,[1]quests!$1:$1,0)-MATCH($B$1,[1]quests!$1:$1,0)+1),MATCH(C$1,[1]quests!$1:$1,0)-MATCH($B$1,[1]quests!$1:$1,0)+1,FALSE)</f>
        <v>復活の捕食者</v>
      </c>
      <c r="D289" s="3" t="str">
        <f ca="1">VLOOKUP($B289,OFFSET([1]quests!$A$1,0,0,COUNTA([1]quests!$A:$A),MATCH(D$1,[1]quests!$1:$1,0)-MATCH($B$1,[1]quests!$1:$1,0)+1),MATCH(D$1,[1]quests!$1:$1,0)-MATCH($B$1,[1]quests!$1:$1,0)+1,FALSE)</f>
        <v>ドロップイベント3（マルチ専用）</v>
      </c>
      <c r="E289" s="5">
        <v>1</v>
      </c>
      <c r="F289" s="3" t="str">
        <f ca="1">VLOOKUP($B289&amp;"_"&amp;$E289,OFFSET([1]stages!$A$1,0,0,COUNTA([1]stages!$A:$A),MATCH(F$1,[1]stages!$2:$2,0)-MATCH("temp_stage",[1]stages!$2:$2,0)+1),MATCH(F$1,[1]stages!$2:$2,0)-MATCH("temp_stage",[1]stages!$2:$2,0)+1,FALSE)</f>
        <v>【超級】復活の捕食者</v>
      </c>
      <c r="G289" s="3" t="str">
        <f ca="1">VLOOKUP($B289&amp;"_"&amp;$E289,OFFSET([1]stages!$A$1,0,0,COUNTA([1]stages!$A:$A),MATCH(G$1,[1]stages!$2:$2,0)-MATCH("temp_stage",[1]stages!$2:$2,0)+1),MATCH(G$1,[1]stages!$2:$2,0)-MATCH("temp_stage",[1]stages!$2:$2,0)+1,FALSE)</f>
        <v>ドロップイベント3（マルチ専用）</v>
      </c>
      <c r="H289" s="18">
        <v>0</v>
      </c>
      <c r="I289">
        <v>19</v>
      </c>
      <c r="J289" s="5" t="s">
        <v>16</v>
      </c>
      <c r="K289" s="34" t="str">
        <f>VLOOKUP(I289,[2]stage_hints!$A:$C,3,FALSE)</f>
        <v>ソロ専用タワーオブザクイーン</v>
      </c>
      <c r="L289" s="35" t="str">
        <f>VLOOKUP(I289,[2]stage_hints!$A:$D,4,FALSE)</f>
        <v>ソロ専用の「タワーオブザクイーン」は_x000D_期間限定で定期的に開催されます_x000D_ここでしか獲得できない報酬もあるようです</v>
      </c>
      <c r="M289" s="21" t="s">
        <v>23</v>
      </c>
      <c r="N289">
        <v>19</v>
      </c>
    </row>
    <row r="290" spans="1:14" x14ac:dyDescent="0.15">
      <c r="A290" s="26" t="s">
        <v>32</v>
      </c>
      <c r="B290" s="4">
        <v>30009</v>
      </c>
      <c r="C290" s="3" t="str">
        <f ca="1">VLOOKUP($B290,OFFSET([1]quests!$A$1,0,0,COUNTA([1]quests!$A:$A),MATCH(C$1,[1]quests!$1:$1,0)-MATCH($B$1,[1]quests!$1:$1,0)+1),MATCH(C$1,[1]quests!$1:$1,0)-MATCH($B$1,[1]quests!$1:$1,0)+1,FALSE)</f>
        <v>復活の捕食者</v>
      </c>
      <c r="D290" s="3" t="str">
        <f ca="1">VLOOKUP($B290,OFFSET([1]quests!$A$1,0,0,COUNTA([1]quests!$A:$A),MATCH(D$1,[1]quests!$1:$1,0)-MATCH($B$1,[1]quests!$1:$1,0)+1),MATCH(D$1,[1]quests!$1:$1,0)-MATCH($B$1,[1]quests!$1:$1,0)+1,FALSE)</f>
        <v>ドロップイベント3（マルチ専用）</v>
      </c>
      <c r="E290" s="5">
        <v>1</v>
      </c>
      <c r="F290" s="3" t="str">
        <f ca="1">VLOOKUP($B290&amp;"_"&amp;$E290,OFFSET([1]stages!$A$1,0,0,COUNTA([1]stages!$A:$A),MATCH(F$1,[1]stages!$2:$2,0)-MATCH("temp_stage",[1]stages!$2:$2,0)+1),MATCH(F$1,[1]stages!$2:$2,0)-MATCH("temp_stage",[1]stages!$2:$2,0)+1,FALSE)</f>
        <v>【超級】復活の捕食者</v>
      </c>
      <c r="G290" s="3" t="str">
        <f ca="1">VLOOKUP($B290&amp;"_"&amp;$E290,OFFSET([1]stages!$A$1,0,0,COUNTA([1]stages!$A:$A),MATCH(G$1,[1]stages!$2:$2,0)-MATCH("temp_stage",[1]stages!$2:$2,0)+1),MATCH(G$1,[1]stages!$2:$2,0)-MATCH("temp_stage",[1]stages!$2:$2,0)+1,FALSE)</f>
        <v>ドロップイベント3（マルチ専用）</v>
      </c>
      <c r="H290" s="18">
        <v>0</v>
      </c>
      <c r="I290">
        <v>21</v>
      </c>
      <c r="J290" s="5" t="s">
        <v>16</v>
      </c>
      <c r="K290" s="34" t="str">
        <f>VLOOKUP(I290,[2]stage_hints!$A:$C,3,FALSE)</f>
        <v>スキルを有効に</v>
      </c>
      <c r="L290" s="35" t="str">
        <f>VLOOKUP(I290,[2]stage_hints!$A:$D,4,FALSE)</f>
        <v>ターン経過でユニットのスキルが使えます_x000D_強力スキルでバトルを有利に進めましょう</v>
      </c>
      <c r="M290" s="21" t="s">
        <v>23</v>
      </c>
      <c r="N290">
        <v>21</v>
      </c>
    </row>
    <row r="291" spans="1:14" x14ac:dyDescent="0.15">
      <c r="A291" s="26" t="s">
        <v>32</v>
      </c>
      <c r="B291" s="4">
        <v>30009</v>
      </c>
      <c r="C291" s="3" t="str">
        <f ca="1">VLOOKUP($B291,OFFSET([1]quests!$A$1,0,0,COUNTA([1]quests!$A:$A),MATCH(C$1,[1]quests!$1:$1,0)-MATCH($B$1,[1]quests!$1:$1,0)+1),MATCH(C$1,[1]quests!$1:$1,0)-MATCH($B$1,[1]quests!$1:$1,0)+1,FALSE)</f>
        <v>復活の捕食者</v>
      </c>
      <c r="D291" s="3" t="str">
        <f ca="1">VLOOKUP($B291,OFFSET([1]quests!$A$1,0,0,COUNTA([1]quests!$A:$A),MATCH(D$1,[1]quests!$1:$1,0)-MATCH($B$1,[1]quests!$1:$1,0)+1),MATCH(D$1,[1]quests!$1:$1,0)-MATCH($B$1,[1]quests!$1:$1,0)+1,FALSE)</f>
        <v>ドロップイベント3（マルチ専用）</v>
      </c>
      <c r="E291" s="5">
        <v>1</v>
      </c>
      <c r="F291" s="3" t="str">
        <f ca="1">VLOOKUP($B291&amp;"_"&amp;$E291,OFFSET([1]stages!$A$1,0,0,COUNTA([1]stages!$A:$A),MATCH(F$1,[1]stages!$2:$2,0)-MATCH("temp_stage",[1]stages!$2:$2,0)+1),MATCH(F$1,[1]stages!$2:$2,0)-MATCH("temp_stage",[1]stages!$2:$2,0)+1,FALSE)</f>
        <v>【超級】復活の捕食者</v>
      </c>
      <c r="G291" s="3" t="str">
        <f ca="1">VLOOKUP($B291&amp;"_"&amp;$E291,OFFSET([1]stages!$A$1,0,0,COUNTA([1]stages!$A:$A),MATCH(G$1,[1]stages!$2:$2,0)-MATCH("temp_stage",[1]stages!$2:$2,0)+1),MATCH(G$1,[1]stages!$2:$2,0)-MATCH("temp_stage",[1]stages!$2:$2,0)+1,FALSE)</f>
        <v>ドロップイベント3（マルチ専用）</v>
      </c>
      <c r="H291" s="18">
        <v>0</v>
      </c>
      <c r="I291">
        <v>27</v>
      </c>
      <c r="J291" s="5" t="s">
        <v>16</v>
      </c>
      <c r="K291" s="34" t="str">
        <f>VLOOKUP(I291,[2]stage_hints!$A:$C,3,FALSE)</f>
        <v>ホーム画面からデッキを編成</v>
      </c>
      <c r="L291" s="35" t="str">
        <f>VLOOKUP(I291,[2]stage_hints!$A:$D,4,FALSE)</f>
        <v>ホーム画面でユニットを長押しすると_x000D_すぐにパーティ編成に移動できます</v>
      </c>
      <c r="M291" s="21" t="s">
        <v>23</v>
      </c>
      <c r="N291">
        <v>27</v>
      </c>
    </row>
    <row r="292" spans="1:14" x14ac:dyDescent="0.15">
      <c r="A292" s="26" t="s">
        <v>32</v>
      </c>
      <c r="B292" s="4">
        <v>30009</v>
      </c>
      <c r="C292" s="3" t="str">
        <f ca="1">VLOOKUP($B292,OFFSET([1]quests!$A$1,0,0,COUNTA([1]quests!$A:$A),MATCH(C$1,[1]quests!$1:$1,0)-MATCH($B$1,[1]quests!$1:$1,0)+1),MATCH(C$1,[1]quests!$1:$1,0)-MATCH($B$1,[1]quests!$1:$1,0)+1,FALSE)</f>
        <v>復活の捕食者</v>
      </c>
      <c r="D292" s="3" t="str">
        <f ca="1">VLOOKUP($B292,OFFSET([1]quests!$A$1,0,0,COUNTA([1]quests!$A:$A),MATCH(D$1,[1]quests!$1:$1,0)-MATCH($B$1,[1]quests!$1:$1,0)+1),MATCH(D$1,[1]quests!$1:$1,0)-MATCH($B$1,[1]quests!$1:$1,0)+1,FALSE)</f>
        <v>ドロップイベント3（マルチ専用）</v>
      </c>
      <c r="E292" s="5">
        <v>1</v>
      </c>
      <c r="F292" s="3" t="str">
        <f ca="1">VLOOKUP($B292&amp;"_"&amp;$E292,OFFSET([1]stages!$A$1,0,0,COUNTA([1]stages!$A:$A),MATCH(F$1,[1]stages!$2:$2,0)-MATCH("temp_stage",[1]stages!$2:$2,0)+1),MATCH(F$1,[1]stages!$2:$2,0)-MATCH("temp_stage",[1]stages!$2:$2,0)+1,FALSE)</f>
        <v>【超級】復活の捕食者</v>
      </c>
      <c r="G292" s="3" t="str">
        <f ca="1">VLOOKUP($B292&amp;"_"&amp;$E292,OFFSET([1]stages!$A$1,0,0,COUNTA([1]stages!$A:$A),MATCH(G$1,[1]stages!$2:$2,0)-MATCH("temp_stage",[1]stages!$2:$2,0)+1),MATCH(G$1,[1]stages!$2:$2,0)-MATCH("temp_stage",[1]stages!$2:$2,0)+1,FALSE)</f>
        <v>ドロップイベント3（マルチ専用）</v>
      </c>
      <c r="H292" s="18">
        <v>0</v>
      </c>
      <c r="I292">
        <v>28</v>
      </c>
      <c r="J292" s="5" t="s">
        <v>16</v>
      </c>
      <c r="K292" s="34" t="str">
        <f>VLOOKUP(I292,[2]stage_hints!$A:$C,3,FALSE)</f>
        <v>ステータス情報は長押しで</v>
      </c>
      <c r="L292" s="35" t="str">
        <f>VLOOKUP(I292,[2]stage_hints!$A:$D,4,FALSE)</f>
        <v>ユニットのアイコンを長押しすると_x000D_ステータス情報を確認することができます</v>
      </c>
      <c r="M292" s="21" t="s">
        <v>23</v>
      </c>
      <c r="N292">
        <v>28</v>
      </c>
    </row>
    <row r="293" spans="1:14" x14ac:dyDescent="0.15">
      <c r="A293" s="26" t="s">
        <v>32</v>
      </c>
      <c r="B293" s="4">
        <v>30009</v>
      </c>
      <c r="C293" s="3" t="str">
        <f ca="1">VLOOKUP($B293,OFFSET([1]quests!$A$1,0,0,COUNTA([1]quests!$A:$A),MATCH(C$1,[1]quests!$1:$1,0)-MATCH($B$1,[1]quests!$1:$1,0)+1),MATCH(C$1,[1]quests!$1:$1,0)-MATCH($B$1,[1]quests!$1:$1,0)+1,FALSE)</f>
        <v>復活の捕食者</v>
      </c>
      <c r="D293" s="3" t="str">
        <f ca="1">VLOOKUP($B293,OFFSET([1]quests!$A$1,0,0,COUNTA([1]quests!$A:$A),MATCH(D$1,[1]quests!$1:$1,0)-MATCH($B$1,[1]quests!$1:$1,0)+1),MATCH(D$1,[1]quests!$1:$1,0)-MATCH($B$1,[1]quests!$1:$1,0)+1,FALSE)</f>
        <v>ドロップイベント3（マルチ専用）</v>
      </c>
      <c r="E293" s="5">
        <v>1</v>
      </c>
      <c r="F293" s="3" t="str">
        <f ca="1">VLOOKUP($B293&amp;"_"&amp;$E293,OFFSET([1]stages!$A$1,0,0,COUNTA([1]stages!$A:$A),MATCH(F$1,[1]stages!$2:$2,0)-MATCH("temp_stage",[1]stages!$2:$2,0)+1),MATCH(F$1,[1]stages!$2:$2,0)-MATCH("temp_stage",[1]stages!$2:$2,0)+1,FALSE)</f>
        <v>【超級】復活の捕食者</v>
      </c>
      <c r="G293" s="3" t="str">
        <f ca="1">VLOOKUP($B293&amp;"_"&amp;$E293,OFFSET([1]stages!$A$1,0,0,COUNTA([1]stages!$A:$A),MATCH(G$1,[1]stages!$2:$2,0)-MATCH("temp_stage",[1]stages!$2:$2,0)+1),MATCH(G$1,[1]stages!$2:$2,0)-MATCH("temp_stage",[1]stages!$2:$2,0)+1,FALSE)</f>
        <v>ドロップイベント3（マルチ専用）</v>
      </c>
      <c r="H293" s="18">
        <v>0</v>
      </c>
      <c r="I293">
        <v>29</v>
      </c>
      <c r="J293" s="5" t="s">
        <v>16</v>
      </c>
      <c r="K293" s="34" t="str">
        <f>VLOOKUP(I293,[2]stage_hints!$A:$C,3,FALSE)</f>
        <v>「バグ」のメリット</v>
      </c>
      <c r="L293" s="35" t="str">
        <f>VLOOKUP(I293,[2]stage_hints!$A:$D,4,FALSE)</f>
        <v>ユニットの「バグ」を増やすと_x000D_報酬をもらえる確率がアップします</v>
      </c>
      <c r="M293" s="21" t="s">
        <v>23</v>
      </c>
      <c r="N293">
        <v>29</v>
      </c>
    </row>
    <row r="294" spans="1:14" x14ac:dyDescent="0.15">
      <c r="A294" s="26" t="s">
        <v>32</v>
      </c>
      <c r="B294" s="4">
        <v>30009</v>
      </c>
      <c r="C294" s="3" t="str">
        <f ca="1">VLOOKUP($B294,OFFSET([1]quests!$A$1,0,0,COUNTA([1]quests!$A:$A),MATCH(C$1,[1]quests!$1:$1,0)-MATCH($B$1,[1]quests!$1:$1,0)+1),MATCH(C$1,[1]quests!$1:$1,0)-MATCH($B$1,[1]quests!$1:$1,0)+1,FALSE)</f>
        <v>復活の捕食者</v>
      </c>
      <c r="D294" s="3" t="str">
        <f ca="1">VLOOKUP($B294,OFFSET([1]quests!$A$1,0,0,COUNTA([1]quests!$A:$A),MATCH(D$1,[1]quests!$1:$1,0)-MATCH($B$1,[1]quests!$1:$1,0)+1),MATCH(D$1,[1]quests!$1:$1,0)-MATCH($B$1,[1]quests!$1:$1,0)+1,FALSE)</f>
        <v>ドロップイベント3（マルチ専用）</v>
      </c>
      <c r="E294" s="5">
        <v>1</v>
      </c>
      <c r="F294" s="3" t="str">
        <f ca="1">VLOOKUP($B294&amp;"_"&amp;$E294,OFFSET([1]stages!$A$1,0,0,COUNTA([1]stages!$A:$A),MATCH(F$1,[1]stages!$2:$2,0)-MATCH("temp_stage",[1]stages!$2:$2,0)+1),MATCH(F$1,[1]stages!$2:$2,0)-MATCH("temp_stage",[1]stages!$2:$2,0)+1,FALSE)</f>
        <v>【超級】復活の捕食者</v>
      </c>
      <c r="G294" s="3" t="str">
        <f ca="1">VLOOKUP($B294&amp;"_"&amp;$E294,OFFSET([1]stages!$A$1,0,0,COUNTA([1]stages!$A:$A),MATCH(G$1,[1]stages!$2:$2,0)-MATCH("temp_stage",[1]stages!$2:$2,0)+1),MATCH(G$1,[1]stages!$2:$2,0)-MATCH("temp_stage",[1]stages!$2:$2,0)+1,FALSE)</f>
        <v>ドロップイベント3（マルチ専用）</v>
      </c>
      <c r="H294" s="18">
        <v>0</v>
      </c>
      <c r="I294">
        <v>30</v>
      </c>
      <c r="J294" s="5" t="s">
        <v>16</v>
      </c>
      <c r="K294" s="34" t="str">
        <f>VLOOKUP(I294,[2]stage_hints!$A:$C,3,FALSE)</f>
        <v>「バグ」の増やし方</v>
      </c>
      <c r="L294" s="35" t="str">
        <f>VLOOKUP(I294,[2]stage_hints!$A:$D,4,FALSE)</f>
        <v>同じユニット同士を強化で合成すると_x000D_「バグ」を増やすことができます</v>
      </c>
      <c r="M294" s="21" t="s">
        <v>23</v>
      </c>
      <c r="N294">
        <v>30</v>
      </c>
    </row>
    <row r="295" spans="1:14" x14ac:dyDescent="0.15">
      <c r="A295" s="26" t="s">
        <v>32</v>
      </c>
      <c r="B295" s="4">
        <v>30009</v>
      </c>
      <c r="C295" s="3" t="str">
        <f ca="1">VLOOKUP($B295,OFFSET([1]quests!$A$1,0,0,COUNTA([1]quests!$A:$A),MATCH(C$1,[1]quests!$1:$1,0)-MATCH($B$1,[1]quests!$1:$1,0)+1),MATCH(C$1,[1]quests!$1:$1,0)-MATCH($B$1,[1]quests!$1:$1,0)+1,FALSE)</f>
        <v>復活の捕食者</v>
      </c>
      <c r="D295" s="3" t="str">
        <f ca="1">VLOOKUP($B295,OFFSET([1]quests!$A$1,0,0,COUNTA([1]quests!$A:$A),MATCH(D$1,[1]quests!$1:$1,0)-MATCH($B$1,[1]quests!$1:$1,0)+1),MATCH(D$1,[1]quests!$1:$1,0)-MATCH($B$1,[1]quests!$1:$1,0)+1,FALSE)</f>
        <v>ドロップイベント3（マルチ専用）</v>
      </c>
      <c r="E295" s="5">
        <v>1</v>
      </c>
      <c r="F295" s="3" t="str">
        <f ca="1">VLOOKUP($B295&amp;"_"&amp;$E295,OFFSET([1]stages!$A$1,0,0,COUNTA([1]stages!$A:$A),MATCH(F$1,[1]stages!$2:$2,0)-MATCH("temp_stage",[1]stages!$2:$2,0)+1),MATCH(F$1,[1]stages!$2:$2,0)-MATCH("temp_stage",[1]stages!$2:$2,0)+1,FALSE)</f>
        <v>【超級】復活の捕食者</v>
      </c>
      <c r="G295" s="3" t="str">
        <f ca="1">VLOOKUP($B295&amp;"_"&amp;$E295,OFFSET([1]stages!$A$1,0,0,COUNTA([1]stages!$A:$A),MATCH(G$1,[1]stages!$2:$2,0)-MATCH("temp_stage",[1]stages!$2:$2,0)+1),MATCH(G$1,[1]stages!$2:$2,0)-MATCH("temp_stage",[1]stages!$2:$2,0)+1,FALSE)</f>
        <v>ドロップイベント3（マルチ専用）</v>
      </c>
      <c r="H295" s="18">
        <v>0</v>
      </c>
      <c r="I295">
        <v>32</v>
      </c>
      <c r="J295" s="5" t="s">
        <v>16</v>
      </c>
      <c r="K295" s="34" t="str">
        <f>VLOOKUP(I295,[2]stage_hints!$A:$C,3,FALSE)</f>
        <v>敵の連続攻撃には</v>
      </c>
      <c r="L295" s="35" t="str">
        <f>VLOOKUP(I295,[2]stage_hints!$A:$D,4,FALSE)</f>
        <v>カウンタースキルを持つユニットがいれば_x000D_ダメージ回数分の反撃ができます</v>
      </c>
      <c r="M295" s="21" t="s">
        <v>23</v>
      </c>
      <c r="N295">
        <v>32</v>
      </c>
    </row>
    <row r="296" spans="1:14" x14ac:dyDescent="0.15">
      <c r="A296" s="26" t="s">
        <v>32</v>
      </c>
      <c r="B296" s="4">
        <v>30009</v>
      </c>
      <c r="C296" s="3" t="str">
        <f ca="1">VLOOKUP($B296,OFFSET([1]quests!$A$1,0,0,COUNTA([1]quests!$A:$A),MATCH(C$1,[1]quests!$1:$1,0)-MATCH($B$1,[1]quests!$1:$1,0)+1),MATCH(C$1,[1]quests!$1:$1,0)-MATCH($B$1,[1]quests!$1:$1,0)+1,FALSE)</f>
        <v>復活の捕食者</v>
      </c>
      <c r="D296" s="3" t="str">
        <f ca="1">VLOOKUP($B296,OFFSET([1]quests!$A$1,0,0,COUNTA([1]quests!$A:$A),MATCH(D$1,[1]quests!$1:$1,0)-MATCH($B$1,[1]quests!$1:$1,0)+1),MATCH(D$1,[1]quests!$1:$1,0)-MATCH($B$1,[1]quests!$1:$1,0)+1,FALSE)</f>
        <v>ドロップイベント3（マルチ専用）</v>
      </c>
      <c r="E296" s="5">
        <v>1</v>
      </c>
      <c r="F296" s="3" t="str">
        <f ca="1">VLOOKUP($B296&amp;"_"&amp;$E296,OFFSET([1]stages!$A$1,0,0,COUNTA([1]stages!$A:$A),MATCH(F$1,[1]stages!$2:$2,0)-MATCH("temp_stage",[1]stages!$2:$2,0)+1),MATCH(F$1,[1]stages!$2:$2,0)-MATCH("temp_stage",[1]stages!$2:$2,0)+1,FALSE)</f>
        <v>【超級】復活の捕食者</v>
      </c>
      <c r="G296" s="3" t="str">
        <f ca="1">VLOOKUP($B296&amp;"_"&amp;$E296,OFFSET([1]stages!$A$1,0,0,COUNTA([1]stages!$A:$A),MATCH(G$1,[1]stages!$2:$2,0)-MATCH("temp_stage",[1]stages!$2:$2,0)+1),MATCH(G$1,[1]stages!$2:$2,0)-MATCH("temp_stage",[1]stages!$2:$2,0)+1,FALSE)</f>
        <v>ドロップイベント3（マルチ専用）</v>
      </c>
      <c r="H296" s="18">
        <v>0</v>
      </c>
      <c r="I296">
        <v>33</v>
      </c>
      <c r="J296" s="5" t="s">
        <v>16</v>
      </c>
      <c r="K296" s="34" t="str">
        <f>VLOOKUP(I296,[2]stage_hints!$A:$C,3,FALSE)</f>
        <v>敵のカウンター攻撃には</v>
      </c>
      <c r="L296" s="35" t="str">
        <f>VLOOKUP(I296,[2]stage_hints!$A:$D,4,FALSE)</f>
        <v>カウンターブレイクスキルを持っていれば_x000D_敵のカウンターを解除して攻撃ができます</v>
      </c>
      <c r="M296" s="21" t="s">
        <v>23</v>
      </c>
      <c r="N296">
        <v>33</v>
      </c>
    </row>
    <row r="297" spans="1:14" x14ac:dyDescent="0.15">
      <c r="A297" s="26" t="s">
        <v>32</v>
      </c>
      <c r="B297" s="4">
        <v>30009</v>
      </c>
      <c r="C297" s="3" t="str">
        <f ca="1">VLOOKUP($B297,OFFSET([1]quests!$A$1,0,0,COUNTA([1]quests!$A:$A),MATCH(C$1,[1]quests!$1:$1,0)-MATCH($B$1,[1]quests!$1:$1,0)+1),MATCH(C$1,[1]quests!$1:$1,0)-MATCH($B$1,[1]quests!$1:$1,0)+1,FALSE)</f>
        <v>復活の捕食者</v>
      </c>
      <c r="D297" s="3" t="str">
        <f ca="1">VLOOKUP($B297,OFFSET([1]quests!$A$1,0,0,COUNTA([1]quests!$A:$A),MATCH(D$1,[1]quests!$1:$1,0)-MATCH($B$1,[1]quests!$1:$1,0)+1),MATCH(D$1,[1]quests!$1:$1,0)-MATCH($B$1,[1]quests!$1:$1,0)+1,FALSE)</f>
        <v>ドロップイベント3（マルチ専用）</v>
      </c>
      <c r="E297" s="5">
        <v>1</v>
      </c>
      <c r="F297" s="3" t="str">
        <f ca="1">VLOOKUP($B297&amp;"_"&amp;$E297,OFFSET([1]stages!$A$1,0,0,COUNTA([1]stages!$A:$A),MATCH(F$1,[1]stages!$2:$2,0)-MATCH("temp_stage",[1]stages!$2:$2,0)+1),MATCH(F$1,[1]stages!$2:$2,0)-MATCH("temp_stage",[1]stages!$2:$2,0)+1,FALSE)</f>
        <v>【超級】復活の捕食者</v>
      </c>
      <c r="G297" s="3" t="str">
        <f ca="1">VLOOKUP($B297&amp;"_"&amp;$E297,OFFSET([1]stages!$A$1,0,0,COUNTA([1]stages!$A:$A),MATCH(G$1,[1]stages!$2:$2,0)-MATCH("temp_stage",[1]stages!$2:$2,0)+1),MATCH(G$1,[1]stages!$2:$2,0)-MATCH("temp_stage",[1]stages!$2:$2,0)+1,FALSE)</f>
        <v>ドロップイベント3（マルチ専用）</v>
      </c>
      <c r="H297" s="18">
        <v>0</v>
      </c>
      <c r="I297">
        <v>34</v>
      </c>
      <c r="J297" s="5" t="s">
        <v>16</v>
      </c>
      <c r="K297" s="34" t="str">
        <f>VLOOKUP(I297,[2]stage_hints!$A:$C,3,FALSE)</f>
        <v>ステータスをスキルで下げられたら</v>
      </c>
      <c r="L297" s="35" t="str">
        <f>VLOOKUP(I297,[2]stage_hints!$A:$D,4,FALSE)</f>
        <v>ステータスダウンのスキルを受けたら_x000D_ステータスアップスキルで上書きしましょう</v>
      </c>
      <c r="M297" s="21" t="s">
        <v>23</v>
      </c>
      <c r="N297">
        <v>34</v>
      </c>
    </row>
    <row r="298" spans="1:14" x14ac:dyDescent="0.15">
      <c r="A298" s="26" t="s">
        <v>32</v>
      </c>
      <c r="B298" s="4">
        <v>30009</v>
      </c>
      <c r="C298" s="3" t="str">
        <f ca="1">VLOOKUP($B298,OFFSET([1]quests!$A$1,0,0,COUNTA([1]quests!$A:$A),MATCH(C$1,[1]quests!$1:$1,0)-MATCH($B$1,[1]quests!$1:$1,0)+1),MATCH(C$1,[1]quests!$1:$1,0)-MATCH($B$1,[1]quests!$1:$1,0)+1,FALSE)</f>
        <v>復活の捕食者</v>
      </c>
      <c r="D298" s="3" t="str">
        <f ca="1">VLOOKUP($B298,OFFSET([1]quests!$A$1,0,0,COUNTA([1]quests!$A:$A),MATCH(D$1,[1]quests!$1:$1,0)-MATCH($B$1,[1]quests!$1:$1,0)+1),MATCH(D$1,[1]quests!$1:$1,0)-MATCH($B$1,[1]quests!$1:$1,0)+1,FALSE)</f>
        <v>ドロップイベント3（マルチ専用）</v>
      </c>
      <c r="E298" s="5">
        <v>1</v>
      </c>
      <c r="F298" s="3" t="str">
        <f ca="1">VLOOKUP($B298&amp;"_"&amp;$E298,OFFSET([1]stages!$A$1,0,0,COUNTA([1]stages!$A:$A),MATCH(F$1,[1]stages!$2:$2,0)-MATCH("temp_stage",[1]stages!$2:$2,0)+1),MATCH(F$1,[1]stages!$2:$2,0)-MATCH("temp_stage",[1]stages!$2:$2,0)+1,FALSE)</f>
        <v>【超級】復活の捕食者</v>
      </c>
      <c r="G298" s="3" t="str">
        <f ca="1">VLOOKUP($B298&amp;"_"&amp;$E298,OFFSET([1]stages!$A$1,0,0,COUNTA([1]stages!$A:$A),MATCH(G$1,[1]stages!$2:$2,0)-MATCH("temp_stage",[1]stages!$2:$2,0)+1),MATCH(G$1,[1]stages!$2:$2,0)-MATCH("temp_stage",[1]stages!$2:$2,0)+1,FALSE)</f>
        <v>ドロップイベント3（マルチ専用）</v>
      </c>
      <c r="H298" s="18">
        <v>0</v>
      </c>
      <c r="I298">
        <v>35</v>
      </c>
      <c r="J298" s="5" t="s">
        <v>16</v>
      </c>
      <c r="K298" s="34" t="str">
        <f>VLOOKUP(I298,[2]stage_hints!$A:$C,3,FALSE)</f>
        <v>敵のステータスがスキルで上がったら</v>
      </c>
      <c r="L298" s="35" t="str">
        <f>VLOOKUP(I298,[2]stage_hints!$A:$D,4,FALSE)</f>
        <v>敵のステータスがスキルでアップしたときは_x000D_ステータスダウンスキルで上書きしましょう</v>
      </c>
      <c r="M298" s="21" t="s">
        <v>23</v>
      </c>
      <c r="N298">
        <v>35</v>
      </c>
    </row>
    <row r="299" spans="1:14" x14ac:dyDescent="0.15">
      <c r="A299" s="26" t="s">
        <v>32</v>
      </c>
      <c r="B299" s="4">
        <v>30009</v>
      </c>
      <c r="C299" s="3" t="str">
        <f ca="1">VLOOKUP($B299,OFFSET([1]quests!$A$1,0,0,COUNTA([1]quests!$A:$A),MATCH(C$1,[1]quests!$1:$1,0)-MATCH($B$1,[1]quests!$1:$1,0)+1),MATCH(C$1,[1]quests!$1:$1,0)-MATCH($B$1,[1]quests!$1:$1,0)+1,FALSE)</f>
        <v>復活の捕食者</v>
      </c>
      <c r="D299" s="3" t="str">
        <f ca="1">VLOOKUP($B299,OFFSET([1]quests!$A$1,0,0,COUNTA([1]quests!$A:$A),MATCH(D$1,[1]quests!$1:$1,0)-MATCH($B$1,[1]quests!$1:$1,0)+1),MATCH(D$1,[1]quests!$1:$1,0)-MATCH($B$1,[1]quests!$1:$1,0)+1,FALSE)</f>
        <v>ドロップイベント3（マルチ専用）</v>
      </c>
      <c r="E299" s="5">
        <v>1</v>
      </c>
      <c r="F299" s="3" t="str">
        <f ca="1">VLOOKUP($B299&amp;"_"&amp;$E299,OFFSET([1]stages!$A$1,0,0,COUNTA([1]stages!$A:$A),MATCH(F$1,[1]stages!$2:$2,0)-MATCH("temp_stage",[1]stages!$2:$2,0)+1),MATCH(F$1,[1]stages!$2:$2,0)-MATCH("temp_stage",[1]stages!$2:$2,0)+1,FALSE)</f>
        <v>【超級】復活の捕食者</v>
      </c>
      <c r="G299" s="3" t="str">
        <f ca="1">VLOOKUP($B299&amp;"_"&amp;$E299,OFFSET([1]stages!$A$1,0,0,COUNTA([1]stages!$A:$A),MATCH(G$1,[1]stages!$2:$2,0)-MATCH("temp_stage",[1]stages!$2:$2,0)+1),MATCH(G$1,[1]stages!$2:$2,0)-MATCH("temp_stage",[1]stages!$2:$2,0)+1,FALSE)</f>
        <v>ドロップイベント3（マルチ専用）</v>
      </c>
      <c r="H299" s="18">
        <v>0</v>
      </c>
      <c r="I299">
        <v>36</v>
      </c>
      <c r="J299" s="5" t="s">
        <v>16</v>
      </c>
      <c r="K299" s="34" t="str">
        <f>VLOOKUP(I299,[2]stage_hints!$A:$C,3,FALSE)</f>
        <v>タワーオブザクイーンのボス</v>
      </c>
      <c r="L299" s="35" t="str">
        <f>VLOOKUP(I299,[2]stage_hints!$A:$D,4,FALSE)</f>
        <v>「タワーオブザクイーン」最上階のボスは_x000D_15階の初回クリア報酬で獲得できるほか_x000D_その階にて低確率でドロップもします</v>
      </c>
      <c r="M299" s="21" t="s">
        <v>23</v>
      </c>
      <c r="N299">
        <v>36</v>
      </c>
    </row>
    <row r="300" spans="1:14" x14ac:dyDescent="0.15">
      <c r="A300" s="26" t="s">
        <v>32</v>
      </c>
      <c r="B300" s="4">
        <v>30009</v>
      </c>
      <c r="C300" s="3" t="str">
        <f ca="1">VLOOKUP($B300,OFFSET([1]quests!$A$1,0,0,COUNTA([1]quests!$A:$A),MATCH(C$1,[1]quests!$1:$1,0)-MATCH($B$1,[1]quests!$1:$1,0)+1),MATCH(C$1,[1]quests!$1:$1,0)-MATCH($B$1,[1]quests!$1:$1,0)+1,FALSE)</f>
        <v>復活の捕食者</v>
      </c>
      <c r="D300" s="3" t="str">
        <f ca="1">VLOOKUP($B300,OFFSET([1]quests!$A$1,0,0,COUNTA([1]quests!$A:$A),MATCH(D$1,[1]quests!$1:$1,0)-MATCH($B$1,[1]quests!$1:$1,0)+1),MATCH(D$1,[1]quests!$1:$1,0)-MATCH($B$1,[1]quests!$1:$1,0)+1,FALSE)</f>
        <v>ドロップイベント3（マルチ専用）</v>
      </c>
      <c r="E300" s="5">
        <v>1</v>
      </c>
      <c r="F300" s="3" t="str">
        <f ca="1">VLOOKUP($B300&amp;"_"&amp;$E300,OFFSET([1]stages!$A$1,0,0,COUNTA([1]stages!$A:$A),MATCH(F$1,[1]stages!$2:$2,0)-MATCH("temp_stage",[1]stages!$2:$2,0)+1),MATCH(F$1,[1]stages!$2:$2,0)-MATCH("temp_stage",[1]stages!$2:$2,0)+1,FALSE)</f>
        <v>【超級】復活の捕食者</v>
      </c>
      <c r="G300" s="3" t="str">
        <f ca="1">VLOOKUP($B300&amp;"_"&amp;$E300,OFFSET([1]stages!$A$1,0,0,COUNTA([1]stages!$A:$A),MATCH(G$1,[1]stages!$2:$2,0)-MATCH("temp_stage",[1]stages!$2:$2,0)+1),MATCH(G$1,[1]stages!$2:$2,0)-MATCH("temp_stage",[1]stages!$2:$2,0)+1,FALSE)</f>
        <v>ドロップイベント3（マルチ専用）</v>
      </c>
      <c r="H300" s="18">
        <v>0</v>
      </c>
      <c r="I300">
        <v>37</v>
      </c>
      <c r="J300" s="5" t="s">
        <v>16</v>
      </c>
      <c r="K300" s="34" t="str">
        <f>VLOOKUP(I300,[2]stage_hints!$A:$C,3,FALSE)</f>
        <v>限界突破値の引き継ぎ</v>
      </c>
      <c r="L300" s="35" t="str">
        <f>VLOOKUP(I300,[2]stage_hints!$A:$D,4,FALSE)</f>
        <v>同じユニットを強化で合成すると_x000D_限界突破値を引き継げます（覚醒前後も可）</v>
      </c>
      <c r="M300" s="21" t="s">
        <v>23</v>
      </c>
      <c r="N300">
        <v>37</v>
      </c>
    </row>
    <row r="301" spans="1:14" x14ac:dyDescent="0.15">
      <c r="A301" s="26" t="s">
        <v>32</v>
      </c>
      <c r="B301" s="4">
        <v>30010</v>
      </c>
      <c r="C301" s="3" t="str">
        <f ca="1">VLOOKUP($B301,OFFSET([1]quests!$A$1,0,0,COUNTA([1]quests!$A:$A),MATCH(C$1,[1]quests!$1:$1,0)-MATCH($B$1,[1]quests!$1:$1,0)+1),MATCH(C$1,[1]quests!$1:$1,0)-MATCH($B$1,[1]quests!$1:$1,0)+1,FALSE)</f>
        <v>最大最凶</v>
      </c>
      <c r="D301" s="3" t="str">
        <f ca="1">VLOOKUP($B301,OFFSET([1]quests!$A$1,0,0,COUNTA([1]quests!$A:$A),MATCH(D$1,[1]quests!$1:$1,0)-MATCH($B$1,[1]quests!$1:$1,0)+1),MATCH(D$1,[1]quests!$1:$1,0)-MATCH($B$1,[1]quests!$1:$1,0)+1,FALSE)</f>
        <v>ドロップイベント3（マルチ専用）</v>
      </c>
      <c r="E301" s="5">
        <v>2</v>
      </c>
      <c r="F301" s="3" t="str">
        <f ca="1">VLOOKUP($B301&amp;"_"&amp;$E301,OFFSET([1]stages!$A$1,0,0,COUNTA([1]stages!$A:$A),MATCH(F$1,[1]stages!$2:$2,0)-MATCH("temp_stage",[1]stages!$2:$2,0)+1),MATCH(F$1,[1]stages!$2:$2,0)-MATCH("temp_stage",[1]stages!$2:$2,0)+1,FALSE)</f>
        <v>【超級】最大最凶</v>
      </c>
      <c r="G301" s="3" t="str">
        <f ca="1">VLOOKUP($B301&amp;"_"&amp;$E301,OFFSET([1]stages!$A$1,0,0,COUNTA([1]stages!$A:$A),MATCH(G$1,[1]stages!$2:$2,0)-MATCH("temp_stage",[1]stages!$2:$2,0)+1),MATCH(G$1,[1]stages!$2:$2,0)-MATCH("temp_stage",[1]stages!$2:$2,0)+1,FALSE)</f>
        <v>ドロップイベント3（マルチ専用）</v>
      </c>
      <c r="H301" s="18">
        <v>0</v>
      </c>
      <c r="I301">
        <v>12</v>
      </c>
      <c r="J301" s="5" t="s">
        <v>16</v>
      </c>
      <c r="K301" s="34" t="str">
        <f>VLOOKUP(I301,[2]stage_hints!$A:$C,3,FALSE)</f>
        <v>ユニットのお気に入り登録</v>
      </c>
      <c r="L301" s="35" t="str">
        <f>VLOOKUP(I301,[2]stage_hints!$A:$D,4,FALSE)</f>
        <v>大事なユニットを誤って消さないように_x000D_フォルダから「お気に入り登録」しましょう</v>
      </c>
      <c r="M301" s="21" t="s">
        <v>23</v>
      </c>
      <c r="N301">
        <v>12</v>
      </c>
    </row>
    <row r="302" spans="1:14" x14ac:dyDescent="0.15">
      <c r="A302" s="26" t="s">
        <v>32</v>
      </c>
      <c r="B302" s="4">
        <v>30010</v>
      </c>
      <c r="C302" s="3" t="str">
        <f ca="1">VLOOKUP($B302,OFFSET([1]quests!$A$1,0,0,COUNTA([1]quests!$A:$A),MATCH(C$1,[1]quests!$1:$1,0)-MATCH($B$1,[1]quests!$1:$1,0)+1),MATCH(C$1,[1]quests!$1:$1,0)-MATCH($B$1,[1]quests!$1:$1,0)+1,FALSE)</f>
        <v>最大最凶</v>
      </c>
      <c r="D302" s="3" t="str">
        <f ca="1">VLOOKUP($B302,OFFSET([1]quests!$A$1,0,0,COUNTA([1]quests!$A:$A),MATCH(D$1,[1]quests!$1:$1,0)-MATCH($B$1,[1]quests!$1:$1,0)+1),MATCH(D$1,[1]quests!$1:$1,0)-MATCH($B$1,[1]quests!$1:$1,0)+1,FALSE)</f>
        <v>ドロップイベント3（マルチ専用）</v>
      </c>
      <c r="E302" s="5">
        <v>2</v>
      </c>
      <c r="F302" s="3" t="str">
        <f ca="1">VLOOKUP($B302&amp;"_"&amp;$E302,OFFSET([1]stages!$A$1,0,0,COUNTA([1]stages!$A:$A),MATCH(F$1,[1]stages!$2:$2,0)-MATCH("temp_stage",[1]stages!$2:$2,0)+1),MATCH(F$1,[1]stages!$2:$2,0)-MATCH("temp_stage",[1]stages!$2:$2,0)+1,FALSE)</f>
        <v>【超級】最大最凶</v>
      </c>
      <c r="G302" s="3" t="str">
        <f ca="1">VLOOKUP($B302&amp;"_"&amp;$E302,OFFSET([1]stages!$A$1,0,0,COUNTA([1]stages!$A:$A),MATCH(G$1,[1]stages!$2:$2,0)-MATCH("temp_stage",[1]stages!$2:$2,0)+1),MATCH(G$1,[1]stages!$2:$2,0)-MATCH("temp_stage",[1]stages!$2:$2,0)+1,FALSE)</f>
        <v>ドロップイベント3（マルチ専用）</v>
      </c>
      <c r="H302" s="18">
        <v>0</v>
      </c>
      <c r="I302">
        <v>17</v>
      </c>
      <c r="J302" s="5" t="s">
        <v>16</v>
      </c>
      <c r="K302" s="34" t="str">
        <f>VLOOKUP(I302,[2]stage_hints!$A:$C,3,FALSE)</f>
        <v>リンクガチャ</v>
      </c>
      <c r="L302" s="35" t="str">
        <f>VLOOKUP(I302,[2]stage_hints!$A:$D,4,FALSE)</f>
        <v>無料のリンクガチャを回して_x000D_経験値素材や売却素材を獲得しましょう</v>
      </c>
      <c r="M302" s="21" t="s">
        <v>23</v>
      </c>
      <c r="N302">
        <v>17</v>
      </c>
    </row>
    <row r="303" spans="1:14" x14ac:dyDescent="0.15">
      <c r="A303" s="26" t="s">
        <v>32</v>
      </c>
      <c r="B303" s="4">
        <v>30010</v>
      </c>
      <c r="C303" s="3" t="str">
        <f ca="1">VLOOKUP($B303,OFFSET([1]quests!$A$1,0,0,COUNTA([1]quests!$A:$A),MATCH(C$1,[1]quests!$1:$1,0)-MATCH($B$1,[1]quests!$1:$1,0)+1),MATCH(C$1,[1]quests!$1:$1,0)-MATCH($B$1,[1]quests!$1:$1,0)+1,FALSE)</f>
        <v>最大最凶</v>
      </c>
      <c r="D303" s="3" t="str">
        <f ca="1">VLOOKUP($B303,OFFSET([1]quests!$A$1,0,0,COUNTA([1]quests!$A:$A),MATCH(D$1,[1]quests!$1:$1,0)-MATCH($B$1,[1]quests!$1:$1,0)+1),MATCH(D$1,[1]quests!$1:$1,0)-MATCH($B$1,[1]quests!$1:$1,0)+1,FALSE)</f>
        <v>ドロップイベント3（マルチ専用）</v>
      </c>
      <c r="E303" s="5">
        <v>2</v>
      </c>
      <c r="F303" s="3" t="str">
        <f ca="1">VLOOKUP($B303&amp;"_"&amp;$E303,OFFSET([1]stages!$A$1,0,0,COUNTA([1]stages!$A:$A),MATCH(F$1,[1]stages!$2:$2,0)-MATCH("temp_stage",[1]stages!$2:$2,0)+1),MATCH(F$1,[1]stages!$2:$2,0)-MATCH("temp_stage",[1]stages!$2:$2,0)+1,FALSE)</f>
        <v>【超級】最大最凶</v>
      </c>
      <c r="G303" s="3" t="str">
        <f ca="1">VLOOKUP($B303&amp;"_"&amp;$E303,OFFSET([1]stages!$A$1,0,0,COUNTA([1]stages!$A:$A),MATCH(G$1,[1]stages!$2:$2,0)-MATCH("temp_stage",[1]stages!$2:$2,0)+1),MATCH(G$1,[1]stages!$2:$2,0)-MATCH("temp_stage",[1]stages!$2:$2,0)+1,FALSE)</f>
        <v>ドロップイベント3（マルチ専用）</v>
      </c>
      <c r="H303" s="18">
        <v>0</v>
      </c>
      <c r="I303">
        <v>19</v>
      </c>
      <c r="J303" s="5" t="s">
        <v>16</v>
      </c>
      <c r="K303" s="34" t="str">
        <f>VLOOKUP(I303,[2]stage_hints!$A:$C,3,FALSE)</f>
        <v>ソロ専用タワーオブザクイーン</v>
      </c>
      <c r="L303" s="35" t="str">
        <f>VLOOKUP(I303,[2]stage_hints!$A:$D,4,FALSE)</f>
        <v>ソロ専用の「タワーオブザクイーン」は_x000D_期間限定で定期的に開催されます_x000D_ここでしか獲得できない報酬もあるようです</v>
      </c>
      <c r="M303" s="21" t="s">
        <v>23</v>
      </c>
      <c r="N303">
        <v>19</v>
      </c>
    </row>
    <row r="304" spans="1:14" x14ac:dyDescent="0.15">
      <c r="A304" s="26" t="s">
        <v>32</v>
      </c>
      <c r="B304" s="4">
        <v>30010</v>
      </c>
      <c r="C304" s="3" t="str">
        <f ca="1">VLOOKUP($B304,OFFSET([1]quests!$A$1,0,0,COUNTA([1]quests!$A:$A),MATCH(C$1,[1]quests!$1:$1,0)-MATCH($B$1,[1]quests!$1:$1,0)+1),MATCH(C$1,[1]quests!$1:$1,0)-MATCH($B$1,[1]quests!$1:$1,0)+1,FALSE)</f>
        <v>最大最凶</v>
      </c>
      <c r="D304" s="3" t="str">
        <f ca="1">VLOOKUP($B304,OFFSET([1]quests!$A$1,0,0,COUNTA([1]quests!$A:$A),MATCH(D$1,[1]quests!$1:$1,0)-MATCH($B$1,[1]quests!$1:$1,0)+1),MATCH(D$1,[1]quests!$1:$1,0)-MATCH($B$1,[1]quests!$1:$1,0)+1,FALSE)</f>
        <v>ドロップイベント3（マルチ専用）</v>
      </c>
      <c r="E304" s="5">
        <v>2</v>
      </c>
      <c r="F304" s="3" t="str">
        <f ca="1">VLOOKUP($B304&amp;"_"&amp;$E304,OFFSET([1]stages!$A$1,0,0,COUNTA([1]stages!$A:$A),MATCH(F$1,[1]stages!$2:$2,0)-MATCH("temp_stage",[1]stages!$2:$2,0)+1),MATCH(F$1,[1]stages!$2:$2,0)-MATCH("temp_stage",[1]stages!$2:$2,0)+1,FALSE)</f>
        <v>【超級】最大最凶</v>
      </c>
      <c r="G304" s="3" t="str">
        <f ca="1">VLOOKUP($B304&amp;"_"&amp;$E304,OFFSET([1]stages!$A$1,0,0,COUNTA([1]stages!$A:$A),MATCH(G$1,[1]stages!$2:$2,0)-MATCH("temp_stage",[1]stages!$2:$2,0)+1),MATCH(G$1,[1]stages!$2:$2,0)-MATCH("temp_stage",[1]stages!$2:$2,0)+1,FALSE)</f>
        <v>ドロップイベント3（マルチ専用）</v>
      </c>
      <c r="H304" s="18">
        <v>0</v>
      </c>
      <c r="I304">
        <v>21</v>
      </c>
      <c r="J304" s="5" t="s">
        <v>16</v>
      </c>
      <c r="K304" s="34" t="str">
        <f>VLOOKUP(I304,[2]stage_hints!$A:$C,3,FALSE)</f>
        <v>スキルを有効に</v>
      </c>
      <c r="L304" s="35" t="str">
        <f>VLOOKUP(I304,[2]stage_hints!$A:$D,4,FALSE)</f>
        <v>ターン経過でユニットのスキルが使えます_x000D_強力スキルでバトルを有利に進めましょう</v>
      </c>
      <c r="M304" s="21" t="s">
        <v>23</v>
      </c>
      <c r="N304">
        <v>21</v>
      </c>
    </row>
    <row r="305" spans="1:14" x14ac:dyDescent="0.15">
      <c r="A305" s="26" t="s">
        <v>32</v>
      </c>
      <c r="B305" s="4">
        <v>30010</v>
      </c>
      <c r="C305" s="3" t="str">
        <f ca="1">VLOOKUP($B305,OFFSET([1]quests!$A$1,0,0,COUNTA([1]quests!$A:$A),MATCH(C$1,[1]quests!$1:$1,0)-MATCH($B$1,[1]quests!$1:$1,0)+1),MATCH(C$1,[1]quests!$1:$1,0)-MATCH($B$1,[1]quests!$1:$1,0)+1,FALSE)</f>
        <v>最大最凶</v>
      </c>
      <c r="D305" s="3" t="str">
        <f ca="1">VLOOKUP($B305,OFFSET([1]quests!$A$1,0,0,COUNTA([1]quests!$A:$A),MATCH(D$1,[1]quests!$1:$1,0)-MATCH($B$1,[1]quests!$1:$1,0)+1),MATCH(D$1,[1]quests!$1:$1,0)-MATCH($B$1,[1]quests!$1:$1,0)+1,FALSE)</f>
        <v>ドロップイベント3（マルチ専用）</v>
      </c>
      <c r="E305" s="5">
        <v>2</v>
      </c>
      <c r="F305" s="3" t="str">
        <f ca="1">VLOOKUP($B305&amp;"_"&amp;$E305,OFFSET([1]stages!$A$1,0,0,COUNTA([1]stages!$A:$A),MATCH(F$1,[1]stages!$2:$2,0)-MATCH("temp_stage",[1]stages!$2:$2,0)+1),MATCH(F$1,[1]stages!$2:$2,0)-MATCH("temp_stage",[1]stages!$2:$2,0)+1,FALSE)</f>
        <v>【超級】最大最凶</v>
      </c>
      <c r="G305" s="3" t="str">
        <f ca="1">VLOOKUP($B305&amp;"_"&amp;$E305,OFFSET([1]stages!$A$1,0,0,COUNTA([1]stages!$A:$A),MATCH(G$1,[1]stages!$2:$2,0)-MATCH("temp_stage",[1]stages!$2:$2,0)+1),MATCH(G$1,[1]stages!$2:$2,0)-MATCH("temp_stage",[1]stages!$2:$2,0)+1,FALSE)</f>
        <v>ドロップイベント3（マルチ専用）</v>
      </c>
      <c r="H305" s="18">
        <v>0</v>
      </c>
      <c r="I305">
        <v>27</v>
      </c>
      <c r="J305" s="5" t="s">
        <v>16</v>
      </c>
      <c r="K305" s="34" t="str">
        <f>VLOOKUP(I305,[2]stage_hints!$A:$C,3,FALSE)</f>
        <v>ホーム画面からデッキを編成</v>
      </c>
      <c r="L305" s="35" t="str">
        <f>VLOOKUP(I305,[2]stage_hints!$A:$D,4,FALSE)</f>
        <v>ホーム画面でユニットを長押しすると_x000D_すぐにパーティ編成に移動できます</v>
      </c>
      <c r="M305" s="21" t="s">
        <v>23</v>
      </c>
      <c r="N305">
        <v>27</v>
      </c>
    </row>
    <row r="306" spans="1:14" x14ac:dyDescent="0.15">
      <c r="A306" s="26" t="s">
        <v>32</v>
      </c>
      <c r="B306" s="4">
        <v>30010</v>
      </c>
      <c r="C306" s="3" t="str">
        <f ca="1">VLOOKUP($B306,OFFSET([1]quests!$A$1,0,0,COUNTA([1]quests!$A:$A),MATCH(C$1,[1]quests!$1:$1,0)-MATCH($B$1,[1]quests!$1:$1,0)+1),MATCH(C$1,[1]quests!$1:$1,0)-MATCH($B$1,[1]quests!$1:$1,0)+1,FALSE)</f>
        <v>最大最凶</v>
      </c>
      <c r="D306" s="3" t="str">
        <f ca="1">VLOOKUP($B306,OFFSET([1]quests!$A$1,0,0,COUNTA([1]quests!$A:$A),MATCH(D$1,[1]quests!$1:$1,0)-MATCH($B$1,[1]quests!$1:$1,0)+1),MATCH(D$1,[1]quests!$1:$1,0)-MATCH($B$1,[1]quests!$1:$1,0)+1,FALSE)</f>
        <v>ドロップイベント3（マルチ専用）</v>
      </c>
      <c r="E306" s="5">
        <v>2</v>
      </c>
      <c r="F306" s="3" t="str">
        <f ca="1">VLOOKUP($B306&amp;"_"&amp;$E306,OFFSET([1]stages!$A$1,0,0,COUNTA([1]stages!$A:$A),MATCH(F$1,[1]stages!$2:$2,0)-MATCH("temp_stage",[1]stages!$2:$2,0)+1),MATCH(F$1,[1]stages!$2:$2,0)-MATCH("temp_stage",[1]stages!$2:$2,0)+1,FALSE)</f>
        <v>【超級】最大最凶</v>
      </c>
      <c r="G306" s="3" t="str">
        <f ca="1">VLOOKUP($B306&amp;"_"&amp;$E306,OFFSET([1]stages!$A$1,0,0,COUNTA([1]stages!$A:$A),MATCH(G$1,[1]stages!$2:$2,0)-MATCH("temp_stage",[1]stages!$2:$2,0)+1),MATCH(G$1,[1]stages!$2:$2,0)-MATCH("temp_stage",[1]stages!$2:$2,0)+1,FALSE)</f>
        <v>ドロップイベント3（マルチ専用）</v>
      </c>
      <c r="H306" s="18">
        <v>0</v>
      </c>
      <c r="I306">
        <v>28</v>
      </c>
      <c r="J306" s="5" t="s">
        <v>16</v>
      </c>
      <c r="K306" s="34" t="str">
        <f>VLOOKUP(I306,[2]stage_hints!$A:$C,3,FALSE)</f>
        <v>ステータス情報は長押しで</v>
      </c>
      <c r="L306" s="35" t="str">
        <f>VLOOKUP(I306,[2]stage_hints!$A:$D,4,FALSE)</f>
        <v>ユニットのアイコンを長押しすると_x000D_ステータス情報を確認することができます</v>
      </c>
      <c r="M306" s="21" t="s">
        <v>23</v>
      </c>
      <c r="N306">
        <v>28</v>
      </c>
    </row>
    <row r="307" spans="1:14" x14ac:dyDescent="0.15">
      <c r="A307" s="26" t="s">
        <v>32</v>
      </c>
      <c r="B307" s="4">
        <v>30010</v>
      </c>
      <c r="C307" s="3" t="str">
        <f ca="1">VLOOKUP($B307,OFFSET([1]quests!$A$1,0,0,COUNTA([1]quests!$A:$A),MATCH(C$1,[1]quests!$1:$1,0)-MATCH($B$1,[1]quests!$1:$1,0)+1),MATCH(C$1,[1]quests!$1:$1,0)-MATCH($B$1,[1]quests!$1:$1,0)+1,FALSE)</f>
        <v>最大最凶</v>
      </c>
      <c r="D307" s="3" t="str">
        <f ca="1">VLOOKUP($B307,OFFSET([1]quests!$A$1,0,0,COUNTA([1]quests!$A:$A),MATCH(D$1,[1]quests!$1:$1,0)-MATCH($B$1,[1]quests!$1:$1,0)+1),MATCH(D$1,[1]quests!$1:$1,0)-MATCH($B$1,[1]quests!$1:$1,0)+1,FALSE)</f>
        <v>ドロップイベント3（マルチ専用）</v>
      </c>
      <c r="E307" s="5">
        <v>2</v>
      </c>
      <c r="F307" s="3" t="str">
        <f ca="1">VLOOKUP($B307&amp;"_"&amp;$E307,OFFSET([1]stages!$A$1,0,0,COUNTA([1]stages!$A:$A),MATCH(F$1,[1]stages!$2:$2,0)-MATCH("temp_stage",[1]stages!$2:$2,0)+1),MATCH(F$1,[1]stages!$2:$2,0)-MATCH("temp_stage",[1]stages!$2:$2,0)+1,FALSE)</f>
        <v>【超級】最大最凶</v>
      </c>
      <c r="G307" s="3" t="str">
        <f ca="1">VLOOKUP($B307&amp;"_"&amp;$E307,OFFSET([1]stages!$A$1,0,0,COUNTA([1]stages!$A:$A),MATCH(G$1,[1]stages!$2:$2,0)-MATCH("temp_stage",[1]stages!$2:$2,0)+1),MATCH(G$1,[1]stages!$2:$2,0)-MATCH("temp_stage",[1]stages!$2:$2,0)+1,FALSE)</f>
        <v>ドロップイベント3（マルチ専用）</v>
      </c>
      <c r="H307" s="18">
        <v>0</v>
      </c>
      <c r="I307">
        <v>29</v>
      </c>
      <c r="J307" s="5" t="s">
        <v>16</v>
      </c>
      <c r="K307" s="34" t="str">
        <f>VLOOKUP(I307,[2]stage_hints!$A:$C,3,FALSE)</f>
        <v>「バグ」のメリット</v>
      </c>
      <c r="L307" s="35" t="str">
        <f>VLOOKUP(I307,[2]stage_hints!$A:$D,4,FALSE)</f>
        <v>ユニットの「バグ」を増やすと_x000D_報酬をもらえる確率がアップします</v>
      </c>
      <c r="M307" s="21" t="s">
        <v>23</v>
      </c>
      <c r="N307">
        <v>29</v>
      </c>
    </row>
    <row r="308" spans="1:14" x14ac:dyDescent="0.15">
      <c r="A308" s="26" t="s">
        <v>32</v>
      </c>
      <c r="B308" s="4">
        <v>30010</v>
      </c>
      <c r="C308" s="3" t="str">
        <f ca="1">VLOOKUP($B308,OFFSET([1]quests!$A$1,0,0,COUNTA([1]quests!$A:$A),MATCH(C$1,[1]quests!$1:$1,0)-MATCH($B$1,[1]quests!$1:$1,0)+1),MATCH(C$1,[1]quests!$1:$1,0)-MATCH($B$1,[1]quests!$1:$1,0)+1,FALSE)</f>
        <v>最大最凶</v>
      </c>
      <c r="D308" s="3" t="str">
        <f ca="1">VLOOKUP($B308,OFFSET([1]quests!$A$1,0,0,COUNTA([1]quests!$A:$A),MATCH(D$1,[1]quests!$1:$1,0)-MATCH($B$1,[1]quests!$1:$1,0)+1),MATCH(D$1,[1]quests!$1:$1,0)-MATCH($B$1,[1]quests!$1:$1,0)+1,FALSE)</f>
        <v>ドロップイベント3（マルチ専用）</v>
      </c>
      <c r="E308" s="5">
        <v>2</v>
      </c>
      <c r="F308" s="3" t="str">
        <f ca="1">VLOOKUP($B308&amp;"_"&amp;$E308,OFFSET([1]stages!$A$1,0,0,COUNTA([1]stages!$A:$A),MATCH(F$1,[1]stages!$2:$2,0)-MATCH("temp_stage",[1]stages!$2:$2,0)+1),MATCH(F$1,[1]stages!$2:$2,0)-MATCH("temp_stage",[1]stages!$2:$2,0)+1,FALSE)</f>
        <v>【超級】最大最凶</v>
      </c>
      <c r="G308" s="3" t="str">
        <f ca="1">VLOOKUP($B308&amp;"_"&amp;$E308,OFFSET([1]stages!$A$1,0,0,COUNTA([1]stages!$A:$A),MATCH(G$1,[1]stages!$2:$2,0)-MATCH("temp_stage",[1]stages!$2:$2,0)+1),MATCH(G$1,[1]stages!$2:$2,0)-MATCH("temp_stage",[1]stages!$2:$2,0)+1,FALSE)</f>
        <v>ドロップイベント3（マルチ専用）</v>
      </c>
      <c r="H308" s="18">
        <v>0</v>
      </c>
      <c r="I308">
        <v>30</v>
      </c>
      <c r="J308" s="5" t="s">
        <v>16</v>
      </c>
      <c r="K308" s="34" t="str">
        <f>VLOOKUP(I308,[2]stage_hints!$A:$C,3,FALSE)</f>
        <v>「バグ」の増やし方</v>
      </c>
      <c r="L308" s="35" t="str">
        <f>VLOOKUP(I308,[2]stage_hints!$A:$D,4,FALSE)</f>
        <v>同じユニット同士を強化で合成すると_x000D_「バグ」を増やすことができます</v>
      </c>
      <c r="M308" s="21" t="s">
        <v>23</v>
      </c>
      <c r="N308">
        <v>30</v>
      </c>
    </row>
    <row r="309" spans="1:14" x14ac:dyDescent="0.15">
      <c r="A309" s="26" t="s">
        <v>32</v>
      </c>
      <c r="B309" s="4">
        <v>30010</v>
      </c>
      <c r="C309" s="3" t="str">
        <f ca="1">VLOOKUP($B309,OFFSET([1]quests!$A$1,0,0,COUNTA([1]quests!$A:$A),MATCH(C$1,[1]quests!$1:$1,0)-MATCH($B$1,[1]quests!$1:$1,0)+1),MATCH(C$1,[1]quests!$1:$1,0)-MATCH($B$1,[1]quests!$1:$1,0)+1,FALSE)</f>
        <v>最大最凶</v>
      </c>
      <c r="D309" s="3" t="str">
        <f ca="1">VLOOKUP($B309,OFFSET([1]quests!$A$1,0,0,COUNTA([1]quests!$A:$A),MATCH(D$1,[1]quests!$1:$1,0)-MATCH($B$1,[1]quests!$1:$1,0)+1),MATCH(D$1,[1]quests!$1:$1,0)-MATCH($B$1,[1]quests!$1:$1,0)+1,FALSE)</f>
        <v>ドロップイベント3（マルチ専用）</v>
      </c>
      <c r="E309" s="5">
        <v>2</v>
      </c>
      <c r="F309" s="3" t="str">
        <f ca="1">VLOOKUP($B309&amp;"_"&amp;$E309,OFFSET([1]stages!$A$1,0,0,COUNTA([1]stages!$A:$A),MATCH(F$1,[1]stages!$2:$2,0)-MATCH("temp_stage",[1]stages!$2:$2,0)+1),MATCH(F$1,[1]stages!$2:$2,0)-MATCH("temp_stage",[1]stages!$2:$2,0)+1,FALSE)</f>
        <v>【超級】最大最凶</v>
      </c>
      <c r="G309" s="3" t="str">
        <f ca="1">VLOOKUP($B309&amp;"_"&amp;$E309,OFFSET([1]stages!$A$1,0,0,COUNTA([1]stages!$A:$A),MATCH(G$1,[1]stages!$2:$2,0)-MATCH("temp_stage",[1]stages!$2:$2,0)+1),MATCH(G$1,[1]stages!$2:$2,0)-MATCH("temp_stage",[1]stages!$2:$2,0)+1,FALSE)</f>
        <v>ドロップイベント3（マルチ専用）</v>
      </c>
      <c r="H309" s="18">
        <v>0</v>
      </c>
      <c r="I309">
        <v>32</v>
      </c>
      <c r="J309" s="5" t="s">
        <v>16</v>
      </c>
      <c r="K309" s="34" t="str">
        <f>VLOOKUP(I309,[2]stage_hints!$A:$C,3,FALSE)</f>
        <v>敵の連続攻撃には</v>
      </c>
      <c r="L309" s="35" t="str">
        <f>VLOOKUP(I309,[2]stage_hints!$A:$D,4,FALSE)</f>
        <v>カウンタースキルを持つユニットがいれば_x000D_ダメージ回数分の反撃ができます</v>
      </c>
      <c r="M309" s="21" t="s">
        <v>23</v>
      </c>
      <c r="N309">
        <v>32</v>
      </c>
    </row>
    <row r="310" spans="1:14" x14ac:dyDescent="0.15">
      <c r="A310" s="26" t="s">
        <v>32</v>
      </c>
      <c r="B310" s="4">
        <v>30010</v>
      </c>
      <c r="C310" s="3" t="str">
        <f ca="1">VLOOKUP($B310,OFFSET([1]quests!$A$1,0,0,COUNTA([1]quests!$A:$A),MATCH(C$1,[1]quests!$1:$1,0)-MATCH($B$1,[1]quests!$1:$1,0)+1),MATCH(C$1,[1]quests!$1:$1,0)-MATCH($B$1,[1]quests!$1:$1,0)+1,FALSE)</f>
        <v>最大最凶</v>
      </c>
      <c r="D310" s="3" t="str">
        <f ca="1">VLOOKUP($B310,OFFSET([1]quests!$A$1,0,0,COUNTA([1]quests!$A:$A),MATCH(D$1,[1]quests!$1:$1,0)-MATCH($B$1,[1]quests!$1:$1,0)+1),MATCH(D$1,[1]quests!$1:$1,0)-MATCH($B$1,[1]quests!$1:$1,0)+1,FALSE)</f>
        <v>ドロップイベント3（マルチ専用）</v>
      </c>
      <c r="E310" s="5">
        <v>2</v>
      </c>
      <c r="F310" s="3" t="str">
        <f ca="1">VLOOKUP($B310&amp;"_"&amp;$E310,OFFSET([1]stages!$A$1,0,0,COUNTA([1]stages!$A:$A),MATCH(F$1,[1]stages!$2:$2,0)-MATCH("temp_stage",[1]stages!$2:$2,0)+1),MATCH(F$1,[1]stages!$2:$2,0)-MATCH("temp_stage",[1]stages!$2:$2,0)+1,FALSE)</f>
        <v>【超級】最大最凶</v>
      </c>
      <c r="G310" s="3" t="str">
        <f ca="1">VLOOKUP($B310&amp;"_"&amp;$E310,OFFSET([1]stages!$A$1,0,0,COUNTA([1]stages!$A:$A),MATCH(G$1,[1]stages!$2:$2,0)-MATCH("temp_stage",[1]stages!$2:$2,0)+1),MATCH(G$1,[1]stages!$2:$2,0)-MATCH("temp_stage",[1]stages!$2:$2,0)+1,FALSE)</f>
        <v>ドロップイベント3（マルチ専用）</v>
      </c>
      <c r="H310" s="18">
        <v>0</v>
      </c>
      <c r="I310">
        <v>33</v>
      </c>
      <c r="J310" s="5" t="s">
        <v>16</v>
      </c>
      <c r="K310" s="34" t="str">
        <f>VLOOKUP(I310,[2]stage_hints!$A:$C,3,FALSE)</f>
        <v>敵のカウンター攻撃には</v>
      </c>
      <c r="L310" s="35" t="str">
        <f>VLOOKUP(I310,[2]stage_hints!$A:$D,4,FALSE)</f>
        <v>カウンターブレイクスキルを持っていれば_x000D_敵のカウンターを解除して攻撃ができます</v>
      </c>
      <c r="M310" s="21" t="s">
        <v>23</v>
      </c>
      <c r="N310">
        <v>33</v>
      </c>
    </row>
    <row r="311" spans="1:14" x14ac:dyDescent="0.15">
      <c r="A311" s="26" t="s">
        <v>32</v>
      </c>
      <c r="B311" s="4">
        <v>30010</v>
      </c>
      <c r="C311" s="3" t="str">
        <f ca="1">VLOOKUP($B311,OFFSET([1]quests!$A$1,0,0,COUNTA([1]quests!$A:$A),MATCH(C$1,[1]quests!$1:$1,0)-MATCH($B$1,[1]quests!$1:$1,0)+1),MATCH(C$1,[1]quests!$1:$1,0)-MATCH($B$1,[1]quests!$1:$1,0)+1,FALSE)</f>
        <v>最大最凶</v>
      </c>
      <c r="D311" s="3" t="str">
        <f ca="1">VLOOKUP($B311,OFFSET([1]quests!$A$1,0,0,COUNTA([1]quests!$A:$A),MATCH(D$1,[1]quests!$1:$1,0)-MATCH($B$1,[1]quests!$1:$1,0)+1),MATCH(D$1,[1]quests!$1:$1,0)-MATCH($B$1,[1]quests!$1:$1,0)+1,FALSE)</f>
        <v>ドロップイベント3（マルチ専用）</v>
      </c>
      <c r="E311" s="5">
        <v>2</v>
      </c>
      <c r="F311" s="3" t="str">
        <f ca="1">VLOOKUP($B311&amp;"_"&amp;$E311,OFFSET([1]stages!$A$1,0,0,COUNTA([1]stages!$A:$A),MATCH(F$1,[1]stages!$2:$2,0)-MATCH("temp_stage",[1]stages!$2:$2,0)+1),MATCH(F$1,[1]stages!$2:$2,0)-MATCH("temp_stage",[1]stages!$2:$2,0)+1,FALSE)</f>
        <v>【超級】最大最凶</v>
      </c>
      <c r="G311" s="3" t="str">
        <f ca="1">VLOOKUP($B311&amp;"_"&amp;$E311,OFFSET([1]stages!$A$1,0,0,COUNTA([1]stages!$A:$A),MATCH(G$1,[1]stages!$2:$2,0)-MATCH("temp_stage",[1]stages!$2:$2,0)+1),MATCH(G$1,[1]stages!$2:$2,0)-MATCH("temp_stage",[1]stages!$2:$2,0)+1,FALSE)</f>
        <v>ドロップイベント3（マルチ専用）</v>
      </c>
      <c r="H311" s="18">
        <v>0</v>
      </c>
      <c r="I311">
        <v>34</v>
      </c>
      <c r="J311" s="5" t="s">
        <v>16</v>
      </c>
      <c r="K311" s="34" t="str">
        <f>VLOOKUP(I311,[2]stage_hints!$A:$C,3,FALSE)</f>
        <v>ステータスをスキルで下げられたら</v>
      </c>
      <c r="L311" s="35" t="str">
        <f>VLOOKUP(I311,[2]stage_hints!$A:$D,4,FALSE)</f>
        <v>ステータスダウンのスキルを受けたら_x000D_ステータスアップスキルで上書きしましょう</v>
      </c>
      <c r="M311" s="21" t="s">
        <v>23</v>
      </c>
      <c r="N311">
        <v>34</v>
      </c>
    </row>
    <row r="312" spans="1:14" x14ac:dyDescent="0.15">
      <c r="A312" s="26" t="s">
        <v>32</v>
      </c>
      <c r="B312" s="4">
        <v>30010</v>
      </c>
      <c r="C312" s="3" t="str">
        <f ca="1">VLOOKUP($B312,OFFSET([1]quests!$A$1,0,0,COUNTA([1]quests!$A:$A),MATCH(C$1,[1]quests!$1:$1,0)-MATCH($B$1,[1]quests!$1:$1,0)+1),MATCH(C$1,[1]quests!$1:$1,0)-MATCH($B$1,[1]quests!$1:$1,0)+1,FALSE)</f>
        <v>最大最凶</v>
      </c>
      <c r="D312" s="3" t="str">
        <f ca="1">VLOOKUP($B312,OFFSET([1]quests!$A$1,0,0,COUNTA([1]quests!$A:$A),MATCH(D$1,[1]quests!$1:$1,0)-MATCH($B$1,[1]quests!$1:$1,0)+1),MATCH(D$1,[1]quests!$1:$1,0)-MATCH($B$1,[1]quests!$1:$1,0)+1,FALSE)</f>
        <v>ドロップイベント3（マルチ専用）</v>
      </c>
      <c r="E312" s="5">
        <v>2</v>
      </c>
      <c r="F312" s="3" t="str">
        <f ca="1">VLOOKUP($B312&amp;"_"&amp;$E312,OFFSET([1]stages!$A$1,0,0,COUNTA([1]stages!$A:$A),MATCH(F$1,[1]stages!$2:$2,0)-MATCH("temp_stage",[1]stages!$2:$2,0)+1),MATCH(F$1,[1]stages!$2:$2,0)-MATCH("temp_stage",[1]stages!$2:$2,0)+1,FALSE)</f>
        <v>【超級】最大最凶</v>
      </c>
      <c r="G312" s="3" t="str">
        <f ca="1">VLOOKUP($B312&amp;"_"&amp;$E312,OFFSET([1]stages!$A$1,0,0,COUNTA([1]stages!$A:$A),MATCH(G$1,[1]stages!$2:$2,0)-MATCH("temp_stage",[1]stages!$2:$2,0)+1),MATCH(G$1,[1]stages!$2:$2,0)-MATCH("temp_stage",[1]stages!$2:$2,0)+1,FALSE)</f>
        <v>ドロップイベント3（マルチ専用）</v>
      </c>
      <c r="H312" s="18">
        <v>0</v>
      </c>
      <c r="I312">
        <v>35</v>
      </c>
      <c r="J312" s="5" t="s">
        <v>16</v>
      </c>
      <c r="K312" s="34" t="str">
        <f>VLOOKUP(I312,[2]stage_hints!$A:$C,3,FALSE)</f>
        <v>敵のステータスがスキルで上がったら</v>
      </c>
      <c r="L312" s="35" t="str">
        <f>VLOOKUP(I312,[2]stage_hints!$A:$D,4,FALSE)</f>
        <v>敵のステータスがスキルでアップしたときは_x000D_ステータスダウンスキルで上書きしましょう</v>
      </c>
      <c r="M312" s="21" t="s">
        <v>23</v>
      </c>
      <c r="N312">
        <v>35</v>
      </c>
    </row>
    <row r="313" spans="1:14" x14ac:dyDescent="0.15">
      <c r="A313" s="26" t="s">
        <v>32</v>
      </c>
      <c r="B313" s="4">
        <v>30010</v>
      </c>
      <c r="C313" s="3" t="str">
        <f ca="1">VLOOKUP($B313,OFFSET([1]quests!$A$1,0,0,COUNTA([1]quests!$A:$A),MATCH(C$1,[1]quests!$1:$1,0)-MATCH($B$1,[1]quests!$1:$1,0)+1),MATCH(C$1,[1]quests!$1:$1,0)-MATCH($B$1,[1]quests!$1:$1,0)+1,FALSE)</f>
        <v>最大最凶</v>
      </c>
      <c r="D313" s="3" t="str">
        <f ca="1">VLOOKUP($B313,OFFSET([1]quests!$A$1,0,0,COUNTA([1]quests!$A:$A),MATCH(D$1,[1]quests!$1:$1,0)-MATCH($B$1,[1]quests!$1:$1,0)+1),MATCH(D$1,[1]quests!$1:$1,0)-MATCH($B$1,[1]quests!$1:$1,0)+1,FALSE)</f>
        <v>ドロップイベント3（マルチ専用）</v>
      </c>
      <c r="E313" s="5">
        <v>2</v>
      </c>
      <c r="F313" s="3" t="str">
        <f ca="1">VLOOKUP($B313&amp;"_"&amp;$E313,OFFSET([1]stages!$A$1,0,0,COUNTA([1]stages!$A:$A),MATCH(F$1,[1]stages!$2:$2,0)-MATCH("temp_stage",[1]stages!$2:$2,0)+1),MATCH(F$1,[1]stages!$2:$2,0)-MATCH("temp_stage",[1]stages!$2:$2,0)+1,FALSE)</f>
        <v>【超級】最大最凶</v>
      </c>
      <c r="G313" s="3" t="str">
        <f ca="1">VLOOKUP($B313&amp;"_"&amp;$E313,OFFSET([1]stages!$A$1,0,0,COUNTA([1]stages!$A:$A),MATCH(G$1,[1]stages!$2:$2,0)-MATCH("temp_stage",[1]stages!$2:$2,0)+1),MATCH(G$1,[1]stages!$2:$2,0)-MATCH("temp_stage",[1]stages!$2:$2,0)+1,FALSE)</f>
        <v>ドロップイベント3（マルチ専用）</v>
      </c>
      <c r="H313" s="18">
        <v>0</v>
      </c>
      <c r="I313">
        <v>36</v>
      </c>
      <c r="J313" s="5" t="s">
        <v>16</v>
      </c>
      <c r="K313" s="34" t="str">
        <f>VLOOKUP(I313,[2]stage_hints!$A:$C,3,FALSE)</f>
        <v>タワーオブザクイーンのボス</v>
      </c>
      <c r="L313" s="35" t="str">
        <f>VLOOKUP(I313,[2]stage_hints!$A:$D,4,FALSE)</f>
        <v>「タワーオブザクイーン」最上階のボスは_x000D_15階の初回クリア報酬で獲得できるほか_x000D_その階にて低確率でドロップもします</v>
      </c>
      <c r="M313" s="21" t="s">
        <v>23</v>
      </c>
      <c r="N313">
        <v>36</v>
      </c>
    </row>
    <row r="314" spans="1:14" x14ac:dyDescent="0.15">
      <c r="A314" s="26" t="s">
        <v>32</v>
      </c>
      <c r="B314" s="4">
        <v>30010</v>
      </c>
      <c r="C314" s="3" t="str">
        <f ca="1">VLOOKUP($B314,OFFSET([1]quests!$A$1,0,0,COUNTA([1]quests!$A:$A),MATCH(C$1,[1]quests!$1:$1,0)-MATCH($B$1,[1]quests!$1:$1,0)+1),MATCH(C$1,[1]quests!$1:$1,0)-MATCH($B$1,[1]quests!$1:$1,0)+1,FALSE)</f>
        <v>最大最凶</v>
      </c>
      <c r="D314" s="3" t="str">
        <f ca="1">VLOOKUP($B314,OFFSET([1]quests!$A$1,0,0,COUNTA([1]quests!$A:$A),MATCH(D$1,[1]quests!$1:$1,0)-MATCH($B$1,[1]quests!$1:$1,0)+1),MATCH(D$1,[1]quests!$1:$1,0)-MATCH($B$1,[1]quests!$1:$1,0)+1,FALSE)</f>
        <v>ドロップイベント3（マルチ専用）</v>
      </c>
      <c r="E314" s="5">
        <v>2</v>
      </c>
      <c r="F314" s="3" t="str">
        <f ca="1">VLOOKUP($B314&amp;"_"&amp;$E314,OFFSET([1]stages!$A$1,0,0,COUNTA([1]stages!$A:$A),MATCH(F$1,[1]stages!$2:$2,0)-MATCH("temp_stage",[1]stages!$2:$2,0)+1),MATCH(F$1,[1]stages!$2:$2,0)-MATCH("temp_stage",[1]stages!$2:$2,0)+1,FALSE)</f>
        <v>【超級】最大最凶</v>
      </c>
      <c r="G314" s="3" t="str">
        <f ca="1">VLOOKUP($B314&amp;"_"&amp;$E314,OFFSET([1]stages!$A$1,0,0,COUNTA([1]stages!$A:$A),MATCH(G$1,[1]stages!$2:$2,0)-MATCH("temp_stage",[1]stages!$2:$2,0)+1),MATCH(G$1,[1]stages!$2:$2,0)-MATCH("temp_stage",[1]stages!$2:$2,0)+1,FALSE)</f>
        <v>ドロップイベント3（マルチ専用）</v>
      </c>
      <c r="H314" s="18">
        <v>0</v>
      </c>
      <c r="I314">
        <v>37</v>
      </c>
      <c r="J314" s="5" t="s">
        <v>16</v>
      </c>
      <c r="K314" s="34" t="str">
        <f>VLOOKUP(I314,[2]stage_hints!$A:$C,3,FALSE)</f>
        <v>限界突破値の引き継ぎ</v>
      </c>
      <c r="L314" s="35" t="str">
        <f>VLOOKUP(I314,[2]stage_hints!$A:$D,4,FALSE)</f>
        <v>同じユニットを強化で合成すると_x000D_限界突破値を引き継げます（覚醒前後も可）</v>
      </c>
      <c r="M314" s="21" t="s">
        <v>23</v>
      </c>
      <c r="N314">
        <v>37</v>
      </c>
    </row>
    <row r="315" spans="1:14" x14ac:dyDescent="0.15">
      <c r="A315" s="26" t="s">
        <v>32</v>
      </c>
      <c r="B315" s="4">
        <v>30011</v>
      </c>
      <c r="C315" s="3" t="str">
        <f ca="1">VLOOKUP($B315,OFFSET([1]quests!$A$1,0,0,COUNTA([1]quests!$A:$A),MATCH(C$1,[1]quests!$1:$1,0)-MATCH($B$1,[1]quests!$1:$1,0)+1),MATCH(C$1,[1]quests!$1:$1,0)-MATCH($B$1,[1]quests!$1:$1,0)+1,FALSE)</f>
        <v>気怠い巨読者</v>
      </c>
      <c r="D315" s="3" t="str">
        <f ca="1">VLOOKUP($B315,OFFSET([1]quests!$A$1,0,0,COUNTA([1]quests!$A:$A),MATCH(D$1,[1]quests!$1:$1,0)-MATCH($B$1,[1]quests!$1:$1,0)+1),MATCH(D$1,[1]quests!$1:$1,0)-MATCH($B$1,[1]quests!$1:$1,0)+1,FALSE)</f>
        <v>ドロップイベント3（マルチ専用）</v>
      </c>
      <c r="E315" s="5">
        <v>2</v>
      </c>
      <c r="F315" s="3" t="str">
        <f ca="1">VLOOKUP($B315&amp;"_"&amp;$E315,OFFSET([1]stages!$A$1,0,0,COUNTA([1]stages!$A:$A),MATCH(F$1,[1]stages!$2:$2,0)-MATCH("temp_stage",[1]stages!$2:$2,0)+1),MATCH(F$1,[1]stages!$2:$2,0)-MATCH("temp_stage",[1]stages!$2:$2,0)+1,FALSE)</f>
        <v>【超級】気怠い巨読者</v>
      </c>
      <c r="G315" s="3" t="str">
        <f ca="1">VLOOKUP($B315&amp;"_"&amp;$E315,OFFSET([1]stages!$A$1,0,0,COUNTA([1]stages!$A:$A),MATCH(G$1,[1]stages!$2:$2,0)-MATCH("temp_stage",[1]stages!$2:$2,0)+1),MATCH(G$1,[1]stages!$2:$2,0)-MATCH("temp_stage",[1]stages!$2:$2,0)+1,FALSE)</f>
        <v>ドロップイベント3（マルチ専用）</v>
      </c>
      <c r="H315" s="18">
        <v>0</v>
      </c>
      <c r="I315">
        <v>12</v>
      </c>
      <c r="J315" s="5" t="s">
        <v>16</v>
      </c>
      <c r="K315" s="34" t="str">
        <f>VLOOKUP(I315,[2]stage_hints!$A:$C,3,FALSE)</f>
        <v>ユニットのお気に入り登録</v>
      </c>
      <c r="L315" s="35" t="str">
        <f>VLOOKUP(I315,[2]stage_hints!$A:$D,4,FALSE)</f>
        <v>大事なユニットを誤って消さないように_x000D_フォルダから「お気に入り登録」しましょう</v>
      </c>
      <c r="M315" s="21" t="s">
        <v>23</v>
      </c>
      <c r="N315">
        <v>12</v>
      </c>
    </row>
    <row r="316" spans="1:14" x14ac:dyDescent="0.15">
      <c r="A316" s="26" t="s">
        <v>32</v>
      </c>
      <c r="B316" s="4">
        <v>30011</v>
      </c>
      <c r="C316" s="3" t="str">
        <f ca="1">VLOOKUP($B316,OFFSET([1]quests!$A$1,0,0,COUNTA([1]quests!$A:$A),MATCH(C$1,[1]quests!$1:$1,0)-MATCH($B$1,[1]quests!$1:$1,0)+1),MATCH(C$1,[1]quests!$1:$1,0)-MATCH($B$1,[1]quests!$1:$1,0)+1,FALSE)</f>
        <v>気怠い巨読者</v>
      </c>
      <c r="D316" s="3" t="str">
        <f ca="1">VLOOKUP($B316,OFFSET([1]quests!$A$1,0,0,COUNTA([1]quests!$A:$A),MATCH(D$1,[1]quests!$1:$1,0)-MATCH($B$1,[1]quests!$1:$1,0)+1),MATCH(D$1,[1]quests!$1:$1,0)-MATCH($B$1,[1]quests!$1:$1,0)+1,FALSE)</f>
        <v>ドロップイベント3（マルチ専用）</v>
      </c>
      <c r="E316" s="5">
        <v>2</v>
      </c>
      <c r="F316" s="3" t="str">
        <f ca="1">VLOOKUP($B316&amp;"_"&amp;$E316,OFFSET([1]stages!$A$1,0,0,COUNTA([1]stages!$A:$A),MATCH(F$1,[1]stages!$2:$2,0)-MATCH("temp_stage",[1]stages!$2:$2,0)+1),MATCH(F$1,[1]stages!$2:$2,0)-MATCH("temp_stage",[1]stages!$2:$2,0)+1,FALSE)</f>
        <v>【超級】気怠い巨読者</v>
      </c>
      <c r="G316" s="3" t="str">
        <f ca="1">VLOOKUP($B316&amp;"_"&amp;$E316,OFFSET([1]stages!$A$1,0,0,COUNTA([1]stages!$A:$A),MATCH(G$1,[1]stages!$2:$2,0)-MATCH("temp_stage",[1]stages!$2:$2,0)+1),MATCH(G$1,[1]stages!$2:$2,0)-MATCH("temp_stage",[1]stages!$2:$2,0)+1,FALSE)</f>
        <v>ドロップイベント3（マルチ専用）</v>
      </c>
      <c r="H316" s="18">
        <v>0</v>
      </c>
      <c r="I316">
        <v>17</v>
      </c>
      <c r="J316" s="5" t="s">
        <v>16</v>
      </c>
      <c r="K316" s="34" t="str">
        <f>VLOOKUP(I316,[2]stage_hints!$A:$C,3,FALSE)</f>
        <v>リンクガチャ</v>
      </c>
      <c r="L316" s="35" t="str">
        <f>VLOOKUP(I316,[2]stage_hints!$A:$D,4,FALSE)</f>
        <v>無料のリンクガチャを回して_x000D_経験値素材や売却素材を獲得しましょう</v>
      </c>
      <c r="M316" s="21" t="s">
        <v>23</v>
      </c>
      <c r="N316">
        <v>17</v>
      </c>
    </row>
    <row r="317" spans="1:14" x14ac:dyDescent="0.15">
      <c r="A317" s="26" t="s">
        <v>32</v>
      </c>
      <c r="B317" s="4">
        <v>30011</v>
      </c>
      <c r="C317" s="3" t="str">
        <f ca="1">VLOOKUP($B317,OFFSET([1]quests!$A$1,0,0,COUNTA([1]quests!$A:$A),MATCH(C$1,[1]quests!$1:$1,0)-MATCH($B$1,[1]quests!$1:$1,0)+1),MATCH(C$1,[1]quests!$1:$1,0)-MATCH($B$1,[1]quests!$1:$1,0)+1,FALSE)</f>
        <v>気怠い巨読者</v>
      </c>
      <c r="D317" s="3" t="str">
        <f ca="1">VLOOKUP($B317,OFFSET([1]quests!$A$1,0,0,COUNTA([1]quests!$A:$A),MATCH(D$1,[1]quests!$1:$1,0)-MATCH($B$1,[1]quests!$1:$1,0)+1),MATCH(D$1,[1]quests!$1:$1,0)-MATCH($B$1,[1]quests!$1:$1,0)+1,FALSE)</f>
        <v>ドロップイベント3（マルチ専用）</v>
      </c>
      <c r="E317" s="5">
        <v>2</v>
      </c>
      <c r="F317" s="3" t="str">
        <f ca="1">VLOOKUP($B317&amp;"_"&amp;$E317,OFFSET([1]stages!$A$1,0,0,COUNTA([1]stages!$A:$A),MATCH(F$1,[1]stages!$2:$2,0)-MATCH("temp_stage",[1]stages!$2:$2,0)+1),MATCH(F$1,[1]stages!$2:$2,0)-MATCH("temp_stage",[1]stages!$2:$2,0)+1,FALSE)</f>
        <v>【超級】気怠い巨読者</v>
      </c>
      <c r="G317" s="3" t="str">
        <f ca="1">VLOOKUP($B317&amp;"_"&amp;$E317,OFFSET([1]stages!$A$1,0,0,COUNTA([1]stages!$A:$A),MATCH(G$1,[1]stages!$2:$2,0)-MATCH("temp_stage",[1]stages!$2:$2,0)+1),MATCH(G$1,[1]stages!$2:$2,0)-MATCH("temp_stage",[1]stages!$2:$2,0)+1,FALSE)</f>
        <v>ドロップイベント3（マルチ専用）</v>
      </c>
      <c r="H317" s="18">
        <v>0</v>
      </c>
      <c r="I317">
        <v>19</v>
      </c>
      <c r="J317" s="5" t="s">
        <v>16</v>
      </c>
      <c r="K317" s="34" t="str">
        <f>VLOOKUP(I317,[2]stage_hints!$A:$C,3,FALSE)</f>
        <v>ソロ専用タワーオブザクイーン</v>
      </c>
      <c r="L317" s="35" t="str">
        <f>VLOOKUP(I317,[2]stage_hints!$A:$D,4,FALSE)</f>
        <v>ソロ専用の「タワーオブザクイーン」は_x000D_期間限定で定期的に開催されます_x000D_ここでしか獲得できない報酬もあるようです</v>
      </c>
      <c r="M317" s="21" t="s">
        <v>23</v>
      </c>
      <c r="N317">
        <v>19</v>
      </c>
    </row>
    <row r="318" spans="1:14" x14ac:dyDescent="0.15">
      <c r="A318" s="26" t="s">
        <v>32</v>
      </c>
      <c r="B318" s="4">
        <v>30011</v>
      </c>
      <c r="C318" s="3" t="str">
        <f ca="1">VLOOKUP($B318,OFFSET([1]quests!$A$1,0,0,COUNTA([1]quests!$A:$A),MATCH(C$1,[1]quests!$1:$1,0)-MATCH($B$1,[1]quests!$1:$1,0)+1),MATCH(C$1,[1]quests!$1:$1,0)-MATCH($B$1,[1]quests!$1:$1,0)+1,FALSE)</f>
        <v>気怠い巨読者</v>
      </c>
      <c r="D318" s="3" t="str">
        <f ca="1">VLOOKUP($B318,OFFSET([1]quests!$A$1,0,0,COUNTA([1]quests!$A:$A),MATCH(D$1,[1]quests!$1:$1,0)-MATCH($B$1,[1]quests!$1:$1,0)+1),MATCH(D$1,[1]quests!$1:$1,0)-MATCH($B$1,[1]quests!$1:$1,0)+1,FALSE)</f>
        <v>ドロップイベント3（マルチ専用）</v>
      </c>
      <c r="E318" s="5">
        <v>2</v>
      </c>
      <c r="F318" s="3" t="str">
        <f ca="1">VLOOKUP($B318&amp;"_"&amp;$E318,OFFSET([1]stages!$A$1,0,0,COUNTA([1]stages!$A:$A),MATCH(F$1,[1]stages!$2:$2,0)-MATCH("temp_stage",[1]stages!$2:$2,0)+1),MATCH(F$1,[1]stages!$2:$2,0)-MATCH("temp_stage",[1]stages!$2:$2,0)+1,FALSE)</f>
        <v>【超級】気怠い巨読者</v>
      </c>
      <c r="G318" s="3" t="str">
        <f ca="1">VLOOKUP($B318&amp;"_"&amp;$E318,OFFSET([1]stages!$A$1,0,0,COUNTA([1]stages!$A:$A),MATCH(G$1,[1]stages!$2:$2,0)-MATCH("temp_stage",[1]stages!$2:$2,0)+1),MATCH(G$1,[1]stages!$2:$2,0)-MATCH("temp_stage",[1]stages!$2:$2,0)+1,FALSE)</f>
        <v>ドロップイベント3（マルチ専用）</v>
      </c>
      <c r="H318" s="18">
        <v>0</v>
      </c>
      <c r="I318">
        <v>21</v>
      </c>
      <c r="J318" s="5" t="s">
        <v>16</v>
      </c>
      <c r="K318" s="34" t="str">
        <f>VLOOKUP(I318,[2]stage_hints!$A:$C,3,FALSE)</f>
        <v>スキルを有効に</v>
      </c>
      <c r="L318" s="35" t="str">
        <f>VLOOKUP(I318,[2]stage_hints!$A:$D,4,FALSE)</f>
        <v>ターン経過でユニットのスキルが使えます_x000D_強力スキルでバトルを有利に進めましょう</v>
      </c>
      <c r="M318" s="21" t="s">
        <v>23</v>
      </c>
      <c r="N318">
        <v>21</v>
      </c>
    </row>
    <row r="319" spans="1:14" x14ac:dyDescent="0.15">
      <c r="A319" s="26" t="s">
        <v>32</v>
      </c>
      <c r="B319" s="4">
        <v>30011</v>
      </c>
      <c r="C319" s="3" t="str">
        <f ca="1">VLOOKUP($B319,OFFSET([1]quests!$A$1,0,0,COUNTA([1]quests!$A:$A),MATCH(C$1,[1]quests!$1:$1,0)-MATCH($B$1,[1]quests!$1:$1,0)+1),MATCH(C$1,[1]quests!$1:$1,0)-MATCH($B$1,[1]quests!$1:$1,0)+1,FALSE)</f>
        <v>気怠い巨読者</v>
      </c>
      <c r="D319" s="3" t="str">
        <f ca="1">VLOOKUP($B319,OFFSET([1]quests!$A$1,0,0,COUNTA([1]quests!$A:$A),MATCH(D$1,[1]quests!$1:$1,0)-MATCH($B$1,[1]quests!$1:$1,0)+1),MATCH(D$1,[1]quests!$1:$1,0)-MATCH($B$1,[1]quests!$1:$1,0)+1,FALSE)</f>
        <v>ドロップイベント3（マルチ専用）</v>
      </c>
      <c r="E319" s="5">
        <v>2</v>
      </c>
      <c r="F319" s="3" t="str">
        <f ca="1">VLOOKUP($B319&amp;"_"&amp;$E319,OFFSET([1]stages!$A$1,0,0,COUNTA([1]stages!$A:$A),MATCH(F$1,[1]stages!$2:$2,0)-MATCH("temp_stage",[1]stages!$2:$2,0)+1),MATCH(F$1,[1]stages!$2:$2,0)-MATCH("temp_stage",[1]stages!$2:$2,0)+1,FALSE)</f>
        <v>【超級】気怠い巨読者</v>
      </c>
      <c r="G319" s="3" t="str">
        <f ca="1">VLOOKUP($B319&amp;"_"&amp;$E319,OFFSET([1]stages!$A$1,0,0,COUNTA([1]stages!$A:$A),MATCH(G$1,[1]stages!$2:$2,0)-MATCH("temp_stage",[1]stages!$2:$2,0)+1),MATCH(G$1,[1]stages!$2:$2,0)-MATCH("temp_stage",[1]stages!$2:$2,0)+1,FALSE)</f>
        <v>ドロップイベント3（マルチ専用）</v>
      </c>
      <c r="H319" s="18">
        <v>0</v>
      </c>
      <c r="I319">
        <v>27</v>
      </c>
      <c r="J319" s="5" t="s">
        <v>16</v>
      </c>
      <c r="K319" s="34" t="str">
        <f>VLOOKUP(I319,[2]stage_hints!$A:$C,3,FALSE)</f>
        <v>ホーム画面からデッキを編成</v>
      </c>
      <c r="L319" s="35" t="str">
        <f>VLOOKUP(I319,[2]stage_hints!$A:$D,4,FALSE)</f>
        <v>ホーム画面でユニットを長押しすると_x000D_すぐにパーティ編成に移動できます</v>
      </c>
      <c r="M319" s="21" t="s">
        <v>23</v>
      </c>
      <c r="N319">
        <v>27</v>
      </c>
    </row>
    <row r="320" spans="1:14" x14ac:dyDescent="0.15">
      <c r="A320" s="26" t="s">
        <v>32</v>
      </c>
      <c r="B320" s="4">
        <v>30011</v>
      </c>
      <c r="C320" s="3" t="str">
        <f ca="1">VLOOKUP($B320,OFFSET([1]quests!$A$1,0,0,COUNTA([1]quests!$A:$A),MATCH(C$1,[1]quests!$1:$1,0)-MATCH($B$1,[1]quests!$1:$1,0)+1),MATCH(C$1,[1]quests!$1:$1,0)-MATCH($B$1,[1]quests!$1:$1,0)+1,FALSE)</f>
        <v>気怠い巨読者</v>
      </c>
      <c r="D320" s="3" t="str">
        <f ca="1">VLOOKUP($B320,OFFSET([1]quests!$A$1,0,0,COUNTA([1]quests!$A:$A),MATCH(D$1,[1]quests!$1:$1,0)-MATCH($B$1,[1]quests!$1:$1,0)+1),MATCH(D$1,[1]quests!$1:$1,0)-MATCH($B$1,[1]quests!$1:$1,0)+1,FALSE)</f>
        <v>ドロップイベント3（マルチ専用）</v>
      </c>
      <c r="E320" s="5">
        <v>2</v>
      </c>
      <c r="F320" s="3" t="str">
        <f ca="1">VLOOKUP($B320&amp;"_"&amp;$E320,OFFSET([1]stages!$A$1,0,0,COUNTA([1]stages!$A:$A),MATCH(F$1,[1]stages!$2:$2,0)-MATCH("temp_stage",[1]stages!$2:$2,0)+1),MATCH(F$1,[1]stages!$2:$2,0)-MATCH("temp_stage",[1]stages!$2:$2,0)+1,FALSE)</f>
        <v>【超級】気怠い巨読者</v>
      </c>
      <c r="G320" s="3" t="str">
        <f ca="1">VLOOKUP($B320&amp;"_"&amp;$E320,OFFSET([1]stages!$A$1,0,0,COUNTA([1]stages!$A:$A),MATCH(G$1,[1]stages!$2:$2,0)-MATCH("temp_stage",[1]stages!$2:$2,0)+1),MATCH(G$1,[1]stages!$2:$2,0)-MATCH("temp_stage",[1]stages!$2:$2,0)+1,FALSE)</f>
        <v>ドロップイベント3（マルチ専用）</v>
      </c>
      <c r="H320" s="18">
        <v>0</v>
      </c>
      <c r="I320">
        <v>28</v>
      </c>
      <c r="J320" s="5" t="s">
        <v>16</v>
      </c>
      <c r="K320" s="34" t="str">
        <f>VLOOKUP(I320,[2]stage_hints!$A:$C,3,FALSE)</f>
        <v>ステータス情報は長押しで</v>
      </c>
      <c r="L320" s="35" t="str">
        <f>VLOOKUP(I320,[2]stage_hints!$A:$D,4,FALSE)</f>
        <v>ユニットのアイコンを長押しすると_x000D_ステータス情報を確認することができます</v>
      </c>
      <c r="M320" s="21" t="s">
        <v>23</v>
      </c>
      <c r="N320">
        <v>28</v>
      </c>
    </row>
    <row r="321" spans="1:14" x14ac:dyDescent="0.15">
      <c r="A321" s="26" t="s">
        <v>32</v>
      </c>
      <c r="B321" s="4">
        <v>30011</v>
      </c>
      <c r="C321" s="3" t="str">
        <f ca="1">VLOOKUP($B321,OFFSET([1]quests!$A$1,0,0,COUNTA([1]quests!$A:$A),MATCH(C$1,[1]quests!$1:$1,0)-MATCH($B$1,[1]quests!$1:$1,0)+1),MATCH(C$1,[1]quests!$1:$1,0)-MATCH($B$1,[1]quests!$1:$1,0)+1,FALSE)</f>
        <v>気怠い巨読者</v>
      </c>
      <c r="D321" s="3" t="str">
        <f ca="1">VLOOKUP($B321,OFFSET([1]quests!$A$1,0,0,COUNTA([1]quests!$A:$A),MATCH(D$1,[1]quests!$1:$1,0)-MATCH($B$1,[1]quests!$1:$1,0)+1),MATCH(D$1,[1]quests!$1:$1,0)-MATCH($B$1,[1]quests!$1:$1,0)+1,FALSE)</f>
        <v>ドロップイベント3（マルチ専用）</v>
      </c>
      <c r="E321" s="5">
        <v>2</v>
      </c>
      <c r="F321" s="3" t="str">
        <f ca="1">VLOOKUP($B321&amp;"_"&amp;$E321,OFFSET([1]stages!$A$1,0,0,COUNTA([1]stages!$A:$A),MATCH(F$1,[1]stages!$2:$2,0)-MATCH("temp_stage",[1]stages!$2:$2,0)+1),MATCH(F$1,[1]stages!$2:$2,0)-MATCH("temp_stage",[1]stages!$2:$2,0)+1,FALSE)</f>
        <v>【超級】気怠い巨読者</v>
      </c>
      <c r="G321" s="3" t="str">
        <f ca="1">VLOOKUP($B321&amp;"_"&amp;$E321,OFFSET([1]stages!$A$1,0,0,COUNTA([1]stages!$A:$A),MATCH(G$1,[1]stages!$2:$2,0)-MATCH("temp_stage",[1]stages!$2:$2,0)+1),MATCH(G$1,[1]stages!$2:$2,0)-MATCH("temp_stage",[1]stages!$2:$2,0)+1,FALSE)</f>
        <v>ドロップイベント3（マルチ専用）</v>
      </c>
      <c r="H321" s="18">
        <v>0</v>
      </c>
      <c r="I321">
        <v>29</v>
      </c>
      <c r="J321" s="5" t="s">
        <v>16</v>
      </c>
      <c r="K321" s="34" t="str">
        <f>VLOOKUP(I321,[2]stage_hints!$A:$C,3,FALSE)</f>
        <v>「バグ」のメリット</v>
      </c>
      <c r="L321" s="35" t="str">
        <f>VLOOKUP(I321,[2]stage_hints!$A:$D,4,FALSE)</f>
        <v>ユニットの「バグ」を増やすと_x000D_報酬をもらえる確率がアップします</v>
      </c>
      <c r="M321" s="21" t="s">
        <v>23</v>
      </c>
      <c r="N321">
        <v>29</v>
      </c>
    </row>
    <row r="322" spans="1:14" x14ac:dyDescent="0.15">
      <c r="A322" s="26" t="s">
        <v>32</v>
      </c>
      <c r="B322" s="4">
        <v>30011</v>
      </c>
      <c r="C322" s="3" t="str">
        <f ca="1">VLOOKUP($B322,OFFSET([1]quests!$A$1,0,0,COUNTA([1]quests!$A:$A),MATCH(C$1,[1]quests!$1:$1,0)-MATCH($B$1,[1]quests!$1:$1,0)+1),MATCH(C$1,[1]quests!$1:$1,0)-MATCH($B$1,[1]quests!$1:$1,0)+1,FALSE)</f>
        <v>気怠い巨読者</v>
      </c>
      <c r="D322" s="3" t="str">
        <f ca="1">VLOOKUP($B322,OFFSET([1]quests!$A$1,0,0,COUNTA([1]quests!$A:$A),MATCH(D$1,[1]quests!$1:$1,0)-MATCH($B$1,[1]quests!$1:$1,0)+1),MATCH(D$1,[1]quests!$1:$1,0)-MATCH($B$1,[1]quests!$1:$1,0)+1,FALSE)</f>
        <v>ドロップイベント3（マルチ専用）</v>
      </c>
      <c r="E322" s="5">
        <v>2</v>
      </c>
      <c r="F322" s="3" t="str">
        <f ca="1">VLOOKUP($B322&amp;"_"&amp;$E322,OFFSET([1]stages!$A$1,0,0,COUNTA([1]stages!$A:$A),MATCH(F$1,[1]stages!$2:$2,0)-MATCH("temp_stage",[1]stages!$2:$2,0)+1),MATCH(F$1,[1]stages!$2:$2,0)-MATCH("temp_stage",[1]stages!$2:$2,0)+1,FALSE)</f>
        <v>【超級】気怠い巨読者</v>
      </c>
      <c r="G322" s="3" t="str">
        <f ca="1">VLOOKUP($B322&amp;"_"&amp;$E322,OFFSET([1]stages!$A$1,0,0,COUNTA([1]stages!$A:$A),MATCH(G$1,[1]stages!$2:$2,0)-MATCH("temp_stage",[1]stages!$2:$2,0)+1),MATCH(G$1,[1]stages!$2:$2,0)-MATCH("temp_stage",[1]stages!$2:$2,0)+1,FALSE)</f>
        <v>ドロップイベント3（マルチ専用）</v>
      </c>
      <c r="H322" s="18">
        <v>0</v>
      </c>
      <c r="I322">
        <v>30</v>
      </c>
      <c r="J322" s="5" t="s">
        <v>16</v>
      </c>
      <c r="K322" s="34" t="str">
        <f>VLOOKUP(I322,[2]stage_hints!$A:$C,3,FALSE)</f>
        <v>「バグ」の増やし方</v>
      </c>
      <c r="L322" s="35" t="str">
        <f>VLOOKUP(I322,[2]stage_hints!$A:$D,4,FALSE)</f>
        <v>同じユニット同士を強化で合成すると_x000D_「バグ」を増やすことができます</v>
      </c>
      <c r="M322" s="21" t="s">
        <v>23</v>
      </c>
      <c r="N322">
        <v>30</v>
      </c>
    </row>
    <row r="323" spans="1:14" x14ac:dyDescent="0.15">
      <c r="A323" s="26" t="s">
        <v>32</v>
      </c>
      <c r="B323" s="4">
        <v>30011</v>
      </c>
      <c r="C323" s="3" t="str">
        <f ca="1">VLOOKUP($B323,OFFSET([1]quests!$A$1,0,0,COUNTA([1]quests!$A:$A),MATCH(C$1,[1]quests!$1:$1,0)-MATCH($B$1,[1]quests!$1:$1,0)+1),MATCH(C$1,[1]quests!$1:$1,0)-MATCH($B$1,[1]quests!$1:$1,0)+1,FALSE)</f>
        <v>気怠い巨読者</v>
      </c>
      <c r="D323" s="3" t="str">
        <f ca="1">VLOOKUP($B323,OFFSET([1]quests!$A$1,0,0,COUNTA([1]quests!$A:$A),MATCH(D$1,[1]quests!$1:$1,0)-MATCH($B$1,[1]quests!$1:$1,0)+1),MATCH(D$1,[1]quests!$1:$1,0)-MATCH($B$1,[1]quests!$1:$1,0)+1,FALSE)</f>
        <v>ドロップイベント3（マルチ専用）</v>
      </c>
      <c r="E323" s="5">
        <v>2</v>
      </c>
      <c r="F323" s="3" t="str">
        <f ca="1">VLOOKUP($B323&amp;"_"&amp;$E323,OFFSET([1]stages!$A$1,0,0,COUNTA([1]stages!$A:$A),MATCH(F$1,[1]stages!$2:$2,0)-MATCH("temp_stage",[1]stages!$2:$2,0)+1),MATCH(F$1,[1]stages!$2:$2,0)-MATCH("temp_stage",[1]stages!$2:$2,0)+1,FALSE)</f>
        <v>【超級】気怠い巨読者</v>
      </c>
      <c r="G323" s="3" t="str">
        <f ca="1">VLOOKUP($B323&amp;"_"&amp;$E323,OFFSET([1]stages!$A$1,0,0,COUNTA([1]stages!$A:$A),MATCH(G$1,[1]stages!$2:$2,0)-MATCH("temp_stage",[1]stages!$2:$2,0)+1),MATCH(G$1,[1]stages!$2:$2,0)-MATCH("temp_stage",[1]stages!$2:$2,0)+1,FALSE)</f>
        <v>ドロップイベント3（マルチ専用）</v>
      </c>
      <c r="H323" s="18">
        <v>0</v>
      </c>
      <c r="I323">
        <v>32</v>
      </c>
      <c r="J323" s="5" t="s">
        <v>16</v>
      </c>
      <c r="K323" s="34" t="str">
        <f>VLOOKUP(I323,[2]stage_hints!$A:$C,3,FALSE)</f>
        <v>敵の連続攻撃には</v>
      </c>
      <c r="L323" s="35" t="str">
        <f>VLOOKUP(I323,[2]stage_hints!$A:$D,4,FALSE)</f>
        <v>カウンタースキルを持つユニットがいれば_x000D_ダメージ回数分の反撃ができます</v>
      </c>
      <c r="M323" s="21" t="s">
        <v>23</v>
      </c>
      <c r="N323">
        <v>32</v>
      </c>
    </row>
    <row r="324" spans="1:14" x14ac:dyDescent="0.15">
      <c r="A324" s="26" t="s">
        <v>32</v>
      </c>
      <c r="B324" s="4">
        <v>30011</v>
      </c>
      <c r="C324" s="3" t="str">
        <f ca="1">VLOOKUP($B324,OFFSET([1]quests!$A$1,0,0,COUNTA([1]quests!$A:$A),MATCH(C$1,[1]quests!$1:$1,0)-MATCH($B$1,[1]quests!$1:$1,0)+1),MATCH(C$1,[1]quests!$1:$1,0)-MATCH($B$1,[1]quests!$1:$1,0)+1,FALSE)</f>
        <v>気怠い巨読者</v>
      </c>
      <c r="D324" s="3" t="str">
        <f ca="1">VLOOKUP($B324,OFFSET([1]quests!$A$1,0,0,COUNTA([1]quests!$A:$A),MATCH(D$1,[1]quests!$1:$1,0)-MATCH($B$1,[1]quests!$1:$1,0)+1),MATCH(D$1,[1]quests!$1:$1,0)-MATCH($B$1,[1]quests!$1:$1,0)+1,FALSE)</f>
        <v>ドロップイベント3（マルチ専用）</v>
      </c>
      <c r="E324" s="5">
        <v>2</v>
      </c>
      <c r="F324" s="3" t="str">
        <f ca="1">VLOOKUP($B324&amp;"_"&amp;$E324,OFFSET([1]stages!$A$1,0,0,COUNTA([1]stages!$A:$A),MATCH(F$1,[1]stages!$2:$2,0)-MATCH("temp_stage",[1]stages!$2:$2,0)+1),MATCH(F$1,[1]stages!$2:$2,0)-MATCH("temp_stage",[1]stages!$2:$2,0)+1,FALSE)</f>
        <v>【超級】気怠い巨読者</v>
      </c>
      <c r="G324" s="3" t="str">
        <f ca="1">VLOOKUP($B324&amp;"_"&amp;$E324,OFFSET([1]stages!$A$1,0,0,COUNTA([1]stages!$A:$A),MATCH(G$1,[1]stages!$2:$2,0)-MATCH("temp_stage",[1]stages!$2:$2,0)+1),MATCH(G$1,[1]stages!$2:$2,0)-MATCH("temp_stage",[1]stages!$2:$2,0)+1,FALSE)</f>
        <v>ドロップイベント3（マルチ専用）</v>
      </c>
      <c r="H324" s="18">
        <v>0</v>
      </c>
      <c r="I324">
        <v>33</v>
      </c>
      <c r="J324" s="5" t="s">
        <v>16</v>
      </c>
      <c r="K324" s="34" t="str">
        <f>VLOOKUP(I324,[2]stage_hints!$A:$C,3,FALSE)</f>
        <v>敵のカウンター攻撃には</v>
      </c>
      <c r="L324" s="35" t="str">
        <f>VLOOKUP(I324,[2]stage_hints!$A:$D,4,FALSE)</f>
        <v>カウンターブレイクスキルを持っていれば_x000D_敵のカウンターを解除して攻撃ができます</v>
      </c>
      <c r="M324" s="21" t="s">
        <v>23</v>
      </c>
      <c r="N324">
        <v>33</v>
      </c>
    </row>
    <row r="325" spans="1:14" x14ac:dyDescent="0.15">
      <c r="A325" s="26" t="s">
        <v>32</v>
      </c>
      <c r="B325" s="4">
        <v>30011</v>
      </c>
      <c r="C325" s="3" t="str">
        <f ca="1">VLOOKUP($B325,OFFSET([1]quests!$A$1,0,0,COUNTA([1]quests!$A:$A),MATCH(C$1,[1]quests!$1:$1,0)-MATCH($B$1,[1]quests!$1:$1,0)+1),MATCH(C$1,[1]quests!$1:$1,0)-MATCH($B$1,[1]quests!$1:$1,0)+1,FALSE)</f>
        <v>気怠い巨読者</v>
      </c>
      <c r="D325" s="3" t="str">
        <f ca="1">VLOOKUP($B325,OFFSET([1]quests!$A$1,0,0,COUNTA([1]quests!$A:$A),MATCH(D$1,[1]quests!$1:$1,0)-MATCH($B$1,[1]quests!$1:$1,0)+1),MATCH(D$1,[1]quests!$1:$1,0)-MATCH($B$1,[1]quests!$1:$1,0)+1,FALSE)</f>
        <v>ドロップイベント3（マルチ専用）</v>
      </c>
      <c r="E325" s="5">
        <v>2</v>
      </c>
      <c r="F325" s="3" t="str">
        <f ca="1">VLOOKUP($B325&amp;"_"&amp;$E325,OFFSET([1]stages!$A$1,0,0,COUNTA([1]stages!$A:$A),MATCH(F$1,[1]stages!$2:$2,0)-MATCH("temp_stage",[1]stages!$2:$2,0)+1),MATCH(F$1,[1]stages!$2:$2,0)-MATCH("temp_stage",[1]stages!$2:$2,0)+1,FALSE)</f>
        <v>【超級】気怠い巨読者</v>
      </c>
      <c r="G325" s="3" t="str">
        <f ca="1">VLOOKUP($B325&amp;"_"&amp;$E325,OFFSET([1]stages!$A$1,0,0,COUNTA([1]stages!$A:$A),MATCH(G$1,[1]stages!$2:$2,0)-MATCH("temp_stage",[1]stages!$2:$2,0)+1),MATCH(G$1,[1]stages!$2:$2,0)-MATCH("temp_stage",[1]stages!$2:$2,0)+1,FALSE)</f>
        <v>ドロップイベント3（マルチ専用）</v>
      </c>
      <c r="H325" s="18">
        <v>0</v>
      </c>
      <c r="I325">
        <v>34</v>
      </c>
      <c r="J325" s="5" t="s">
        <v>16</v>
      </c>
      <c r="K325" s="34" t="str">
        <f>VLOOKUP(I325,[2]stage_hints!$A:$C,3,FALSE)</f>
        <v>ステータスをスキルで下げられたら</v>
      </c>
      <c r="L325" s="35" t="str">
        <f>VLOOKUP(I325,[2]stage_hints!$A:$D,4,FALSE)</f>
        <v>ステータスダウンのスキルを受けたら_x000D_ステータスアップスキルで上書きしましょう</v>
      </c>
      <c r="M325" s="21" t="s">
        <v>23</v>
      </c>
      <c r="N325">
        <v>34</v>
      </c>
    </row>
    <row r="326" spans="1:14" x14ac:dyDescent="0.15">
      <c r="A326" s="26" t="s">
        <v>32</v>
      </c>
      <c r="B326" s="4">
        <v>30011</v>
      </c>
      <c r="C326" s="3" t="str">
        <f ca="1">VLOOKUP($B326,OFFSET([1]quests!$A$1,0,0,COUNTA([1]quests!$A:$A),MATCH(C$1,[1]quests!$1:$1,0)-MATCH($B$1,[1]quests!$1:$1,0)+1),MATCH(C$1,[1]quests!$1:$1,0)-MATCH($B$1,[1]quests!$1:$1,0)+1,FALSE)</f>
        <v>気怠い巨読者</v>
      </c>
      <c r="D326" s="3" t="str">
        <f ca="1">VLOOKUP($B326,OFFSET([1]quests!$A$1,0,0,COUNTA([1]quests!$A:$A),MATCH(D$1,[1]quests!$1:$1,0)-MATCH($B$1,[1]quests!$1:$1,0)+1),MATCH(D$1,[1]quests!$1:$1,0)-MATCH($B$1,[1]quests!$1:$1,0)+1,FALSE)</f>
        <v>ドロップイベント3（マルチ専用）</v>
      </c>
      <c r="E326" s="5">
        <v>2</v>
      </c>
      <c r="F326" s="3" t="str">
        <f ca="1">VLOOKUP($B326&amp;"_"&amp;$E326,OFFSET([1]stages!$A$1,0,0,COUNTA([1]stages!$A:$A),MATCH(F$1,[1]stages!$2:$2,0)-MATCH("temp_stage",[1]stages!$2:$2,0)+1),MATCH(F$1,[1]stages!$2:$2,0)-MATCH("temp_stage",[1]stages!$2:$2,0)+1,FALSE)</f>
        <v>【超級】気怠い巨読者</v>
      </c>
      <c r="G326" s="3" t="str">
        <f ca="1">VLOOKUP($B326&amp;"_"&amp;$E326,OFFSET([1]stages!$A$1,0,0,COUNTA([1]stages!$A:$A),MATCH(G$1,[1]stages!$2:$2,0)-MATCH("temp_stage",[1]stages!$2:$2,0)+1),MATCH(G$1,[1]stages!$2:$2,0)-MATCH("temp_stage",[1]stages!$2:$2,0)+1,FALSE)</f>
        <v>ドロップイベント3（マルチ専用）</v>
      </c>
      <c r="H326" s="18">
        <v>0</v>
      </c>
      <c r="I326">
        <v>35</v>
      </c>
      <c r="J326" s="5" t="s">
        <v>16</v>
      </c>
      <c r="K326" s="34" t="str">
        <f>VLOOKUP(I326,[2]stage_hints!$A:$C,3,FALSE)</f>
        <v>敵のステータスがスキルで上がったら</v>
      </c>
      <c r="L326" s="35" t="str">
        <f>VLOOKUP(I326,[2]stage_hints!$A:$D,4,FALSE)</f>
        <v>敵のステータスがスキルでアップしたときは_x000D_ステータスダウンスキルで上書きしましょう</v>
      </c>
      <c r="M326" s="21" t="s">
        <v>23</v>
      </c>
      <c r="N326">
        <v>35</v>
      </c>
    </row>
    <row r="327" spans="1:14" x14ac:dyDescent="0.15">
      <c r="A327" s="26" t="s">
        <v>32</v>
      </c>
      <c r="B327" s="4">
        <v>30011</v>
      </c>
      <c r="C327" s="3" t="str">
        <f ca="1">VLOOKUP($B327,OFFSET([1]quests!$A$1,0,0,COUNTA([1]quests!$A:$A),MATCH(C$1,[1]quests!$1:$1,0)-MATCH($B$1,[1]quests!$1:$1,0)+1),MATCH(C$1,[1]quests!$1:$1,0)-MATCH($B$1,[1]quests!$1:$1,0)+1,FALSE)</f>
        <v>気怠い巨読者</v>
      </c>
      <c r="D327" s="3" t="str">
        <f ca="1">VLOOKUP($B327,OFFSET([1]quests!$A$1,0,0,COUNTA([1]quests!$A:$A),MATCH(D$1,[1]quests!$1:$1,0)-MATCH($B$1,[1]quests!$1:$1,0)+1),MATCH(D$1,[1]quests!$1:$1,0)-MATCH($B$1,[1]quests!$1:$1,0)+1,FALSE)</f>
        <v>ドロップイベント3（マルチ専用）</v>
      </c>
      <c r="E327" s="5">
        <v>2</v>
      </c>
      <c r="F327" s="3" t="str">
        <f ca="1">VLOOKUP($B327&amp;"_"&amp;$E327,OFFSET([1]stages!$A$1,0,0,COUNTA([1]stages!$A:$A),MATCH(F$1,[1]stages!$2:$2,0)-MATCH("temp_stage",[1]stages!$2:$2,0)+1),MATCH(F$1,[1]stages!$2:$2,0)-MATCH("temp_stage",[1]stages!$2:$2,0)+1,FALSE)</f>
        <v>【超級】気怠い巨読者</v>
      </c>
      <c r="G327" s="3" t="str">
        <f ca="1">VLOOKUP($B327&amp;"_"&amp;$E327,OFFSET([1]stages!$A$1,0,0,COUNTA([1]stages!$A:$A),MATCH(G$1,[1]stages!$2:$2,0)-MATCH("temp_stage",[1]stages!$2:$2,0)+1),MATCH(G$1,[1]stages!$2:$2,0)-MATCH("temp_stage",[1]stages!$2:$2,0)+1,FALSE)</f>
        <v>ドロップイベント3（マルチ専用）</v>
      </c>
      <c r="H327" s="18">
        <v>0</v>
      </c>
      <c r="I327">
        <v>36</v>
      </c>
      <c r="J327" s="5" t="s">
        <v>16</v>
      </c>
      <c r="K327" s="34" t="str">
        <f>VLOOKUP(I327,[2]stage_hints!$A:$C,3,FALSE)</f>
        <v>タワーオブザクイーンのボス</v>
      </c>
      <c r="L327" s="35" t="str">
        <f>VLOOKUP(I327,[2]stage_hints!$A:$D,4,FALSE)</f>
        <v>「タワーオブザクイーン」最上階のボスは_x000D_15階の初回クリア報酬で獲得できるほか_x000D_その階にて低確率でドロップもします</v>
      </c>
      <c r="M327" s="21" t="s">
        <v>23</v>
      </c>
      <c r="N327">
        <v>36</v>
      </c>
    </row>
    <row r="328" spans="1:14" x14ac:dyDescent="0.15">
      <c r="A328" s="26" t="s">
        <v>32</v>
      </c>
      <c r="B328" s="4">
        <v>30011</v>
      </c>
      <c r="C328" s="3" t="str">
        <f ca="1">VLOOKUP($B328,OFFSET([1]quests!$A$1,0,0,COUNTA([1]quests!$A:$A),MATCH(C$1,[1]quests!$1:$1,0)-MATCH($B$1,[1]quests!$1:$1,0)+1),MATCH(C$1,[1]quests!$1:$1,0)-MATCH($B$1,[1]quests!$1:$1,0)+1,FALSE)</f>
        <v>気怠い巨読者</v>
      </c>
      <c r="D328" s="3" t="str">
        <f ca="1">VLOOKUP($B328,OFFSET([1]quests!$A$1,0,0,COUNTA([1]quests!$A:$A),MATCH(D$1,[1]quests!$1:$1,0)-MATCH($B$1,[1]quests!$1:$1,0)+1),MATCH(D$1,[1]quests!$1:$1,0)-MATCH($B$1,[1]quests!$1:$1,0)+1,FALSE)</f>
        <v>ドロップイベント3（マルチ専用）</v>
      </c>
      <c r="E328" s="5">
        <v>2</v>
      </c>
      <c r="F328" s="3" t="str">
        <f ca="1">VLOOKUP($B328&amp;"_"&amp;$E328,OFFSET([1]stages!$A$1,0,0,COUNTA([1]stages!$A:$A),MATCH(F$1,[1]stages!$2:$2,0)-MATCH("temp_stage",[1]stages!$2:$2,0)+1),MATCH(F$1,[1]stages!$2:$2,0)-MATCH("temp_stage",[1]stages!$2:$2,0)+1,FALSE)</f>
        <v>【超級】気怠い巨読者</v>
      </c>
      <c r="G328" s="3" t="str">
        <f ca="1">VLOOKUP($B328&amp;"_"&amp;$E328,OFFSET([1]stages!$A$1,0,0,COUNTA([1]stages!$A:$A),MATCH(G$1,[1]stages!$2:$2,0)-MATCH("temp_stage",[1]stages!$2:$2,0)+1),MATCH(G$1,[1]stages!$2:$2,0)-MATCH("temp_stage",[1]stages!$2:$2,0)+1,FALSE)</f>
        <v>ドロップイベント3（マルチ専用）</v>
      </c>
      <c r="H328" s="18">
        <v>0</v>
      </c>
      <c r="I328">
        <v>37</v>
      </c>
      <c r="J328" s="5" t="s">
        <v>16</v>
      </c>
      <c r="K328" s="34" t="str">
        <f>VLOOKUP(I328,[2]stage_hints!$A:$C,3,FALSE)</f>
        <v>限界突破値の引き継ぎ</v>
      </c>
      <c r="L328" s="35" t="str">
        <f>VLOOKUP(I328,[2]stage_hints!$A:$D,4,FALSE)</f>
        <v>同じユニットを強化で合成すると_x000D_限界突破値を引き継げます（覚醒前後も可）</v>
      </c>
      <c r="M328" s="21" t="s">
        <v>23</v>
      </c>
      <c r="N328">
        <v>37</v>
      </c>
    </row>
    <row r="329" spans="1:14" x14ac:dyDescent="0.15">
      <c r="A329" s="26" t="s">
        <v>32</v>
      </c>
      <c r="B329" s="4">
        <v>30012</v>
      </c>
      <c r="C329" s="3" t="str">
        <f ca="1">VLOOKUP($B329,OFFSET([1]quests!$A$1,0,0,COUNTA([1]quests!$A:$A),MATCH(C$1,[1]quests!$1:$1,0)-MATCH($B$1,[1]quests!$1:$1,0)+1),MATCH(C$1,[1]quests!$1:$1,0)-MATCH($B$1,[1]quests!$1:$1,0)+1,FALSE)</f>
        <v>底なしの胃袋</v>
      </c>
      <c r="D329" s="3" t="str">
        <f ca="1">VLOOKUP($B329,OFFSET([1]quests!$A$1,0,0,COUNTA([1]quests!$A:$A),MATCH(D$1,[1]quests!$1:$1,0)-MATCH($B$1,[1]quests!$1:$1,0)+1),MATCH(D$1,[1]quests!$1:$1,0)-MATCH($B$1,[1]quests!$1:$1,0)+1,FALSE)</f>
        <v>ドロップイベント3（マルチ専用）</v>
      </c>
      <c r="E329" s="5">
        <v>2</v>
      </c>
      <c r="F329" s="3" t="str">
        <f ca="1">VLOOKUP($B329&amp;"_"&amp;$E329,OFFSET([1]stages!$A$1,0,0,COUNTA([1]stages!$A:$A),MATCH(F$1,[1]stages!$2:$2,0)-MATCH("temp_stage",[1]stages!$2:$2,0)+1),MATCH(F$1,[1]stages!$2:$2,0)-MATCH("temp_stage",[1]stages!$2:$2,0)+1,FALSE)</f>
        <v>【超級】底なしの胃袋</v>
      </c>
      <c r="G329" s="3" t="str">
        <f ca="1">VLOOKUP($B329&amp;"_"&amp;$E329,OFFSET([1]stages!$A$1,0,0,COUNTA([1]stages!$A:$A),MATCH(G$1,[1]stages!$2:$2,0)-MATCH("temp_stage",[1]stages!$2:$2,0)+1),MATCH(G$1,[1]stages!$2:$2,0)-MATCH("temp_stage",[1]stages!$2:$2,0)+1,FALSE)</f>
        <v>ドロップイベント3（マルチ専用）</v>
      </c>
      <c r="H329" s="18">
        <v>0</v>
      </c>
      <c r="I329">
        <v>12</v>
      </c>
      <c r="J329" s="5" t="s">
        <v>16</v>
      </c>
      <c r="K329" s="34" t="str">
        <f>VLOOKUP(I329,[2]stage_hints!$A:$C,3,FALSE)</f>
        <v>ユニットのお気に入り登録</v>
      </c>
      <c r="L329" s="35" t="str">
        <f>VLOOKUP(I329,[2]stage_hints!$A:$D,4,FALSE)</f>
        <v>大事なユニットを誤って消さないように_x000D_フォルダから「お気に入り登録」しましょう</v>
      </c>
      <c r="M329" s="21" t="s">
        <v>23</v>
      </c>
      <c r="N329">
        <v>12</v>
      </c>
    </row>
    <row r="330" spans="1:14" x14ac:dyDescent="0.15">
      <c r="A330" s="26" t="s">
        <v>32</v>
      </c>
      <c r="B330" s="4">
        <v>30012</v>
      </c>
      <c r="C330" s="3" t="str">
        <f ca="1">VLOOKUP($B330,OFFSET([1]quests!$A$1,0,0,COUNTA([1]quests!$A:$A),MATCH(C$1,[1]quests!$1:$1,0)-MATCH($B$1,[1]quests!$1:$1,0)+1),MATCH(C$1,[1]quests!$1:$1,0)-MATCH($B$1,[1]quests!$1:$1,0)+1,FALSE)</f>
        <v>底なしの胃袋</v>
      </c>
      <c r="D330" s="3" t="str">
        <f ca="1">VLOOKUP($B330,OFFSET([1]quests!$A$1,0,0,COUNTA([1]quests!$A:$A),MATCH(D$1,[1]quests!$1:$1,0)-MATCH($B$1,[1]quests!$1:$1,0)+1),MATCH(D$1,[1]quests!$1:$1,0)-MATCH($B$1,[1]quests!$1:$1,0)+1,FALSE)</f>
        <v>ドロップイベント3（マルチ専用）</v>
      </c>
      <c r="E330" s="5">
        <v>2</v>
      </c>
      <c r="F330" s="3" t="str">
        <f ca="1">VLOOKUP($B330&amp;"_"&amp;$E330,OFFSET([1]stages!$A$1,0,0,COUNTA([1]stages!$A:$A),MATCH(F$1,[1]stages!$2:$2,0)-MATCH("temp_stage",[1]stages!$2:$2,0)+1),MATCH(F$1,[1]stages!$2:$2,0)-MATCH("temp_stage",[1]stages!$2:$2,0)+1,FALSE)</f>
        <v>【超級】底なしの胃袋</v>
      </c>
      <c r="G330" s="3" t="str">
        <f ca="1">VLOOKUP($B330&amp;"_"&amp;$E330,OFFSET([1]stages!$A$1,0,0,COUNTA([1]stages!$A:$A),MATCH(G$1,[1]stages!$2:$2,0)-MATCH("temp_stage",[1]stages!$2:$2,0)+1),MATCH(G$1,[1]stages!$2:$2,0)-MATCH("temp_stage",[1]stages!$2:$2,0)+1,FALSE)</f>
        <v>ドロップイベント3（マルチ専用）</v>
      </c>
      <c r="H330" s="18">
        <v>0</v>
      </c>
      <c r="I330">
        <v>17</v>
      </c>
      <c r="J330" s="5" t="s">
        <v>16</v>
      </c>
      <c r="K330" s="34" t="str">
        <f>VLOOKUP(I330,[2]stage_hints!$A:$C,3,FALSE)</f>
        <v>リンクガチャ</v>
      </c>
      <c r="L330" s="35" t="str">
        <f>VLOOKUP(I330,[2]stage_hints!$A:$D,4,FALSE)</f>
        <v>無料のリンクガチャを回して_x000D_経験値素材や売却素材を獲得しましょう</v>
      </c>
      <c r="M330" s="21" t="s">
        <v>23</v>
      </c>
      <c r="N330">
        <v>17</v>
      </c>
    </row>
    <row r="331" spans="1:14" x14ac:dyDescent="0.15">
      <c r="A331" s="26" t="s">
        <v>32</v>
      </c>
      <c r="B331" s="4">
        <v>30012</v>
      </c>
      <c r="C331" s="3" t="str">
        <f ca="1">VLOOKUP($B331,OFFSET([1]quests!$A$1,0,0,COUNTA([1]quests!$A:$A),MATCH(C$1,[1]quests!$1:$1,0)-MATCH($B$1,[1]quests!$1:$1,0)+1),MATCH(C$1,[1]quests!$1:$1,0)-MATCH($B$1,[1]quests!$1:$1,0)+1,FALSE)</f>
        <v>底なしの胃袋</v>
      </c>
      <c r="D331" s="3" t="str">
        <f ca="1">VLOOKUP($B331,OFFSET([1]quests!$A$1,0,0,COUNTA([1]quests!$A:$A),MATCH(D$1,[1]quests!$1:$1,0)-MATCH($B$1,[1]quests!$1:$1,0)+1),MATCH(D$1,[1]quests!$1:$1,0)-MATCH($B$1,[1]quests!$1:$1,0)+1,FALSE)</f>
        <v>ドロップイベント3（マルチ専用）</v>
      </c>
      <c r="E331" s="5">
        <v>2</v>
      </c>
      <c r="F331" s="3" t="str">
        <f ca="1">VLOOKUP($B331&amp;"_"&amp;$E331,OFFSET([1]stages!$A$1,0,0,COUNTA([1]stages!$A:$A),MATCH(F$1,[1]stages!$2:$2,0)-MATCH("temp_stage",[1]stages!$2:$2,0)+1),MATCH(F$1,[1]stages!$2:$2,0)-MATCH("temp_stage",[1]stages!$2:$2,0)+1,FALSE)</f>
        <v>【超級】底なしの胃袋</v>
      </c>
      <c r="G331" s="3" t="str">
        <f ca="1">VLOOKUP($B331&amp;"_"&amp;$E331,OFFSET([1]stages!$A$1,0,0,COUNTA([1]stages!$A:$A),MATCH(G$1,[1]stages!$2:$2,0)-MATCH("temp_stage",[1]stages!$2:$2,0)+1),MATCH(G$1,[1]stages!$2:$2,0)-MATCH("temp_stage",[1]stages!$2:$2,0)+1,FALSE)</f>
        <v>ドロップイベント3（マルチ専用）</v>
      </c>
      <c r="H331" s="18">
        <v>0</v>
      </c>
      <c r="I331">
        <v>19</v>
      </c>
      <c r="J331" s="5" t="s">
        <v>16</v>
      </c>
      <c r="K331" s="34" t="str">
        <f>VLOOKUP(I331,[2]stage_hints!$A:$C,3,FALSE)</f>
        <v>ソロ専用タワーオブザクイーン</v>
      </c>
      <c r="L331" s="35" t="str">
        <f>VLOOKUP(I331,[2]stage_hints!$A:$D,4,FALSE)</f>
        <v>ソロ専用の「タワーオブザクイーン」は_x000D_期間限定で定期的に開催されます_x000D_ここでしか獲得できない報酬もあるようです</v>
      </c>
      <c r="M331" s="21" t="s">
        <v>23</v>
      </c>
      <c r="N331">
        <v>19</v>
      </c>
    </row>
    <row r="332" spans="1:14" x14ac:dyDescent="0.15">
      <c r="A332" s="26" t="s">
        <v>32</v>
      </c>
      <c r="B332" s="4">
        <v>30012</v>
      </c>
      <c r="C332" s="3" t="str">
        <f ca="1">VLOOKUP($B332,OFFSET([1]quests!$A$1,0,0,COUNTA([1]quests!$A:$A),MATCH(C$1,[1]quests!$1:$1,0)-MATCH($B$1,[1]quests!$1:$1,0)+1),MATCH(C$1,[1]quests!$1:$1,0)-MATCH($B$1,[1]quests!$1:$1,0)+1,FALSE)</f>
        <v>底なしの胃袋</v>
      </c>
      <c r="D332" s="3" t="str">
        <f ca="1">VLOOKUP($B332,OFFSET([1]quests!$A$1,0,0,COUNTA([1]quests!$A:$A),MATCH(D$1,[1]quests!$1:$1,0)-MATCH($B$1,[1]quests!$1:$1,0)+1),MATCH(D$1,[1]quests!$1:$1,0)-MATCH($B$1,[1]quests!$1:$1,0)+1,FALSE)</f>
        <v>ドロップイベント3（マルチ専用）</v>
      </c>
      <c r="E332" s="5">
        <v>2</v>
      </c>
      <c r="F332" s="3" t="str">
        <f ca="1">VLOOKUP($B332&amp;"_"&amp;$E332,OFFSET([1]stages!$A$1,0,0,COUNTA([1]stages!$A:$A),MATCH(F$1,[1]stages!$2:$2,0)-MATCH("temp_stage",[1]stages!$2:$2,0)+1),MATCH(F$1,[1]stages!$2:$2,0)-MATCH("temp_stage",[1]stages!$2:$2,0)+1,FALSE)</f>
        <v>【超級】底なしの胃袋</v>
      </c>
      <c r="G332" s="3" t="str">
        <f ca="1">VLOOKUP($B332&amp;"_"&amp;$E332,OFFSET([1]stages!$A$1,0,0,COUNTA([1]stages!$A:$A),MATCH(G$1,[1]stages!$2:$2,0)-MATCH("temp_stage",[1]stages!$2:$2,0)+1),MATCH(G$1,[1]stages!$2:$2,0)-MATCH("temp_stage",[1]stages!$2:$2,0)+1,FALSE)</f>
        <v>ドロップイベント3（マルチ専用）</v>
      </c>
      <c r="H332" s="18">
        <v>0</v>
      </c>
      <c r="I332">
        <v>21</v>
      </c>
      <c r="J332" s="5" t="s">
        <v>16</v>
      </c>
      <c r="K332" s="34" t="str">
        <f>VLOOKUP(I332,[2]stage_hints!$A:$C,3,FALSE)</f>
        <v>スキルを有効に</v>
      </c>
      <c r="L332" s="35" t="str">
        <f>VLOOKUP(I332,[2]stage_hints!$A:$D,4,FALSE)</f>
        <v>ターン経過でユニットのスキルが使えます_x000D_強力スキルでバトルを有利に進めましょう</v>
      </c>
      <c r="M332" s="21" t="s">
        <v>23</v>
      </c>
      <c r="N332">
        <v>21</v>
      </c>
    </row>
    <row r="333" spans="1:14" x14ac:dyDescent="0.15">
      <c r="A333" s="26" t="s">
        <v>32</v>
      </c>
      <c r="B333" s="4">
        <v>30012</v>
      </c>
      <c r="C333" s="3" t="str">
        <f ca="1">VLOOKUP($B333,OFFSET([1]quests!$A$1,0,0,COUNTA([1]quests!$A:$A),MATCH(C$1,[1]quests!$1:$1,0)-MATCH($B$1,[1]quests!$1:$1,0)+1),MATCH(C$1,[1]quests!$1:$1,0)-MATCH($B$1,[1]quests!$1:$1,0)+1,FALSE)</f>
        <v>底なしの胃袋</v>
      </c>
      <c r="D333" s="3" t="str">
        <f ca="1">VLOOKUP($B333,OFFSET([1]quests!$A$1,0,0,COUNTA([1]quests!$A:$A),MATCH(D$1,[1]quests!$1:$1,0)-MATCH($B$1,[1]quests!$1:$1,0)+1),MATCH(D$1,[1]quests!$1:$1,0)-MATCH($B$1,[1]quests!$1:$1,0)+1,FALSE)</f>
        <v>ドロップイベント3（マルチ専用）</v>
      </c>
      <c r="E333" s="5">
        <v>2</v>
      </c>
      <c r="F333" s="3" t="str">
        <f ca="1">VLOOKUP($B333&amp;"_"&amp;$E333,OFFSET([1]stages!$A$1,0,0,COUNTA([1]stages!$A:$A),MATCH(F$1,[1]stages!$2:$2,0)-MATCH("temp_stage",[1]stages!$2:$2,0)+1),MATCH(F$1,[1]stages!$2:$2,0)-MATCH("temp_stage",[1]stages!$2:$2,0)+1,FALSE)</f>
        <v>【超級】底なしの胃袋</v>
      </c>
      <c r="G333" s="3" t="str">
        <f ca="1">VLOOKUP($B333&amp;"_"&amp;$E333,OFFSET([1]stages!$A$1,0,0,COUNTA([1]stages!$A:$A),MATCH(G$1,[1]stages!$2:$2,0)-MATCH("temp_stage",[1]stages!$2:$2,0)+1),MATCH(G$1,[1]stages!$2:$2,0)-MATCH("temp_stage",[1]stages!$2:$2,0)+1,FALSE)</f>
        <v>ドロップイベント3（マルチ専用）</v>
      </c>
      <c r="H333" s="18">
        <v>0</v>
      </c>
      <c r="I333">
        <v>27</v>
      </c>
      <c r="J333" s="5" t="s">
        <v>16</v>
      </c>
      <c r="K333" s="34" t="str">
        <f>VLOOKUP(I333,[2]stage_hints!$A:$C,3,FALSE)</f>
        <v>ホーム画面からデッキを編成</v>
      </c>
      <c r="L333" s="35" t="str">
        <f>VLOOKUP(I333,[2]stage_hints!$A:$D,4,FALSE)</f>
        <v>ホーム画面でユニットを長押しすると_x000D_すぐにパーティ編成に移動できます</v>
      </c>
      <c r="M333" s="21" t="s">
        <v>23</v>
      </c>
      <c r="N333">
        <v>27</v>
      </c>
    </row>
    <row r="334" spans="1:14" x14ac:dyDescent="0.15">
      <c r="A334" s="26" t="s">
        <v>32</v>
      </c>
      <c r="B334" s="4">
        <v>30012</v>
      </c>
      <c r="C334" s="3" t="str">
        <f ca="1">VLOOKUP($B334,OFFSET([1]quests!$A$1,0,0,COUNTA([1]quests!$A:$A),MATCH(C$1,[1]quests!$1:$1,0)-MATCH($B$1,[1]quests!$1:$1,0)+1),MATCH(C$1,[1]quests!$1:$1,0)-MATCH($B$1,[1]quests!$1:$1,0)+1,FALSE)</f>
        <v>底なしの胃袋</v>
      </c>
      <c r="D334" s="3" t="str">
        <f ca="1">VLOOKUP($B334,OFFSET([1]quests!$A$1,0,0,COUNTA([1]quests!$A:$A),MATCH(D$1,[1]quests!$1:$1,0)-MATCH($B$1,[1]quests!$1:$1,0)+1),MATCH(D$1,[1]quests!$1:$1,0)-MATCH($B$1,[1]quests!$1:$1,0)+1,FALSE)</f>
        <v>ドロップイベント3（マルチ専用）</v>
      </c>
      <c r="E334" s="5">
        <v>2</v>
      </c>
      <c r="F334" s="3" t="str">
        <f ca="1">VLOOKUP($B334&amp;"_"&amp;$E334,OFFSET([1]stages!$A$1,0,0,COUNTA([1]stages!$A:$A),MATCH(F$1,[1]stages!$2:$2,0)-MATCH("temp_stage",[1]stages!$2:$2,0)+1),MATCH(F$1,[1]stages!$2:$2,0)-MATCH("temp_stage",[1]stages!$2:$2,0)+1,FALSE)</f>
        <v>【超級】底なしの胃袋</v>
      </c>
      <c r="G334" s="3" t="str">
        <f ca="1">VLOOKUP($B334&amp;"_"&amp;$E334,OFFSET([1]stages!$A$1,0,0,COUNTA([1]stages!$A:$A),MATCH(G$1,[1]stages!$2:$2,0)-MATCH("temp_stage",[1]stages!$2:$2,0)+1),MATCH(G$1,[1]stages!$2:$2,0)-MATCH("temp_stage",[1]stages!$2:$2,0)+1,FALSE)</f>
        <v>ドロップイベント3（マルチ専用）</v>
      </c>
      <c r="H334" s="18">
        <v>0</v>
      </c>
      <c r="I334">
        <v>28</v>
      </c>
      <c r="J334" s="5" t="s">
        <v>16</v>
      </c>
      <c r="K334" s="34" t="str">
        <f>VLOOKUP(I334,[2]stage_hints!$A:$C,3,FALSE)</f>
        <v>ステータス情報は長押しで</v>
      </c>
      <c r="L334" s="35" t="str">
        <f>VLOOKUP(I334,[2]stage_hints!$A:$D,4,FALSE)</f>
        <v>ユニットのアイコンを長押しすると_x000D_ステータス情報を確認することができます</v>
      </c>
      <c r="M334" s="21" t="s">
        <v>23</v>
      </c>
      <c r="N334">
        <v>28</v>
      </c>
    </row>
    <row r="335" spans="1:14" x14ac:dyDescent="0.15">
      <c r="A335" s="26" t="s">
        <v>32</v>
      </c>
      <c r="B335" s="4">
        <v>30012</v>
      </c>
      <c r="C335" s="3" t="str">
        <f ca="1">VLOOKUP($B335,OFFSET([1]quests!$A$1,0,0,COUNTA([1]quests!$A:$A),MATCH(C$1,[1]quests!$1:$1,0)-MATCH($B$1,[1]quests!$1:$1,0)+1),MATCH(C$1,[1]quests!$1:$1,0)-MATCH($B$1,[1]quests!$1:$1,0)+1,FALSE)</f>
        <v>底なしの胃袋</v>
      </c>
      <c r="D335" s="3" t="str">
        <f ca="1">VLOOKUP($B335,OFFSET([1]quests!$A$1,0,0,COUNTA([1]quests!$A:$A),MATCH(D$1,[1]quests!$1:$1,0)-MATCH($B$1,[1]quests!$1:$1,0)+1),MATCH(D$1,[1]quests!$1:$1,0)-MATCH($B$1,[1]quests!$1:$1,0)+1,FALSE)</f>
        <v>ドロップイベント3（マルチ専用）</v>
      </c>
      <c r="E335" s="5">
        <v>2</v>
      </c>
      <c r="F335" s="3" t="str">
        <f ca="1">VLOOKUP($B335&amp;"_"&amp;$E335,OFFSET([1]stages!$A$1,0,0,COUNTA([1]stages!$A:$A),MATCH(F$1,[1]stages!$2:$2,0)-MATCH("temp_stage",[1]stages!$2:$2,0)+1),MATCH(F$1,[1]stages!$2:$2,0)-MATCH("temp_stage",[1]stages!$2:$2,0)+1,FALSE)</f>
        <v>【超級】底なしの胃袋</v>
      </c>
      <c r="G335" s="3" t="str">
        <f ca="1">VLOOKUP($B335&amp;"_"&amp;$E335,OFFSET([1]stages!$A$1,0,0,COUNTA([1]stages!$A:$A),MATCH(G$1,[1]stages!$2:$2,0)-MATCH("temp_stage",[1]stages!$2:$2,0)+1),MATCH(G$1,[1]stages!$2:$2,0)-MATCH("temp_stage",[1]stages!$2:$2,0)+1,FALSE)</f>
        <v>ドロップイベント3（マルチ専用）</v>
      </c>
      <c r="H335" s="18">
        <v>0</v>
      </c>
      <c r="I335">
        <v>29</v>
      </c>
      <c r="J335" s="5" t="s">
        <v>16</v>
      </c>
      <c r="K335" s="34" t="str">
        <f>VLOOKUP(I335,[2]stage_hints!$A:$C,3,FALSE)</f>
        <v>「バグ」のメリット</v>
      </c>
      <c r="L335" s="35" t="str">
        <f>VLOOKUP(I335,[2]stage_hints!$A:$D,4,FALSE)</f>
        <v>ユニットの「バグ」を増やすと_x000D_報酬をもらえる確率がアップします</v>
      </c>
      <c r="M335" s="21" t="s">
        <v>23</v>
      </c>
      <c r="N335">
        <v>29</v>
      </c>
    </row>
    <row r="336" spans="1:14" x14ac:dyDescent="0.15">
      <c r="A336" s="26" t="s">
        <v>32</v>
      </c>
      <c r="B336" s="4">
        <v>30012</v>
      </c>
      <c r="C336" s="3" t="str">
        <f ca="1">VLOOKUP($B336,OFFSET([1]quests!$A$1,0,0,COUNTA([1]quests!$A:$A),MATCH(C$1,[1]quests!$1:$1,0)-MATCH($B$1,[1]quests!$1:$1,0)+1),MATCH(C$1,[1]quests!$1:$1,0)-MATCH($B$1,[1]quests!$1:$1,0)+1,FALSE)</f>
        <v>底なしの胃袋</v>
      </c>
      <c r="D336" s="3" t="str">
        <f ca="1">VLOOKUP($B336,OFFSET([1]quests!$A$1,0,0,COUNTA([1]quests!$A:$A),MATCH(D$1,[1]quests!$1:$1,0)-MATCH($B$1,[1]quests!$1:$1,0)+1),MATCH(D$1,[1]quests!$1:$1,0)-MATCH($B$1,[1]quests!$1:$1,0)+1,FALSE)</f>
        <v>ドロップイベント3（マルチ専用）</v>
      </c>
      <c r="E336" s="5">
        <v>2</v>
      </c>
      <c r="F336" s="3" t="str">
        <f ca="1">VLOOKUP($B336&amp;"_"&amp;$E336,OFFSET([1]stages!$A$1,0,0,COUNTA([1]stages!$A:$A),MATCH(F$1,[1]stages!$2:$2,0)-MATCH("temp_stage",[1]stages!$2:$2,0)+1),MATCH(F$1,[1]stages!$2:$2,0)-MATCH("temp_stage",[1]stages!$2:$2,0)+1,FALSE)</f>
        <v>【超級】底なしの胃袋</v>
      </c>
      <c r="G336" s="3" t="str">
        <f ca="1">VLOOKUP($B336&amp;"_"&amp;$E336,OFFSET([1]stages!$A$1,0,0,COUNTA([1]stages!$A:$A),MATCH(G$1,[1]stages!$2:$2,0)-MATCH("temp_stage",[1]stages!$2:$2,0)+1),MATCH(G$1,[1]stages!$2:$2,0)-MATCH("temp_stage",[1]stages!$2:$2,0)+1,FALSE)</f>
        <v>ドロップイベント3（マルチ専用）</v>
      </c>
      <c r="H336" s="18">
        <v>0</v>
      </c>
      <c r="I336">
        <v>30</v>
      </c>
      <c r="J336" s="5" t="s">
        <v>16</v>
      </c>
      <c r="K336" s="34" t="str">
        <f>VLOOKUP(I336,[2]stage_hints!$A:$C,3,FALSE)</f>
        <v>「バグ」の増やし方</v>
      </c>
      <c r="L336" s="35" t="str">
        <f>VLOOKUP(I336,[2]stage_hints!$A:$D,4,FALSE)</f>
        <v>同じユニット同士を強化で合成すると_x000D_「バグ」を増やすことができます</v>
      </c>
      <c r="M336" s="21" t="s">
        <v>23</v>
      </c>
      <c r="N336">
        <v>30</v>
      </c>
    </row>
    <row r="337" spans="1:14" x14ac:dyDescent="0.15">
      <c r="A337" s="26" t="s">
        <v>32</v>
      </c>
      <c r="B337" s="4">
        <v>30012</v>
      </c>
      <c r="C337" s="3" t="str">
        <f ca="1">VLOOKUP($B337,OFFSET([1]quests!$A$1,0,0,COUNTA([1]quests!$A:$A),MATCH(C$1,[1]quests!$1:$1,0)-MATCH($B$1,[1]quests!$1:$1,0)+1),MATCH(C$1,[1]quests!$1:$1,0)-MATCH($B$1,[1]quests!$1:$1,0)+1,FALSE)</f>
        <v>底なしの胃袋</v>
      </c>
      <c r="D337" s="3" t="str">
        <f ca="1">VLOOKUP($B337,OFFSET([1]quests!$A$1,0,0,COUNTA([1]quests!$A:$A),MATCH(D$1,[1]quests!$1:$1,0)-MATCH($B$1,[1]quests!$1:$1,0)+1),MATCH(D$1,[1]quests!$1:$1,0)-MATCH($B$1,[1]quests!$1:$1,0)+1,FALSE)</f>
        <v>ドロップイベント3（マルチ専用）</v>
      </c>
      <c r="E337" s="5">
        <v>2</v>
      </c>
      <c r="F337" s="3" t="str">
        <f ca="1">VLOOKUP($B337&amp;"_"&amp;$E337,OFFSET([1]stages!$A$1,0,0,COUNTA([1]stages!$A:$A),MATCH(F$1,[1]stages!$2:$2,0)-MATCH("temp_stage",[1]stages!$2:$2,0)+1),MATCH(F$1,[1]stages!$2:$2,0)-MATCH("temp_stage",[1]stages!$2:$2,0)+1,FALSE)</f>
        <v>【超級】底なしの胃袋</v>
      </c>
      <c r="G337" s="3" t="str">
        <f ca="1">VLOOKUP($B337&amp;"_"&amp;$E337,OFFSET([1]stages!$A$1,0,0,COUNTA([1]stages!$A:$A),MATCH(G$1,[1]stages!$2:$2,0)-MATCH("temp_stage",[1]stages!$2:$2,0)+1),MATCH(G$1,[1]stages!$2:$2,0)-MATCH("temp_stage",[1]stages!$2:$2,0)+1,FALSE)</f>
        <v>ドロップイベント3（マルチ専用）</v>
      </c>
      <c r="H337" s="18">
        <v>0</v>
      </c>
      <c r="I337">
        <v>32</v>
      </c>
      <c r="J337" s="5" t="s">
        <v>16</v>
      </c>
      <c r="K337" s="34" t="str">
        <f>VLOOKUP(I337,[2]stage_hints!$A:$C,3,FALSE)</f>
        <v>敵の連続攻撃には</v>
      </c>
      <c r="L337" s="35" t="str">
        <f>VLOOKUP(I337,[2]stage_hints!$A:$D,4,FALSE)</f>
        <v>カウンタースキルを持つユニットがいれば_x000D_ダメージ回数分の反撃ができます</v>
      </c>
      <c r="M337" s="21" t="s">
        <v>23</v>
      </c>
      <c r="N337">
        <v>32</v>
      </c>
    </row>
    <row r="338" spans="1:14" x14ac:dyDescent="0.15">
      <c r="A338" s="26" t="s">
        <v>32</v>
      </c>
      <c r="B338" s="4">
        <v>30012</v>
      </c>
      <c r="C338" s="3" t="str">
        <f ca="1">VLOOKUP($B338,OFFSET([1]quests!$A$1,0,0,COUNTA([1]quests!$A:$A),MATCH(C$1,[1]quests!$1:$1,0)-MATCH($B$1,[1]quests!$1:$1,0)+1),MATCH(C$1,[1]quests!$1:$1,0)-MATCH($B$1,[1]quests!$1:$1,0)+1,FALSE)</f>
        <v>底なしの胃袋</v>
      </c>
      <c r="D338" s="3" t="str">
        <f ca="1">VLOOKUP($B338,OFFSET([1]quests!$A$1,0,0,COUNTA([1]quests!$A:$A),MATCH(D$1,[1]quests!$1:$1,0)-MATCH($B$1,[1]quests!$1:$1,0)+1),MATCH(D$1,[1]quests!$1:$1,0)-MATCH($B$1,[1]quests!$1:$1,0)+1,FALSE)</f>
        <v>ドロップイベント3（マルチ専用）</v>
      </c>
      <c r="E338" s="5">
        <v>2</v>
      </c>
      <c r="F338" s="3" t="str">
        <f ca="1">VLOOKUP($B338&amp;"_"&amp;$E338,OFFSET([1]stages!$A$1,0,0,COUNTA([1]stages!$A:$A),MATCH(F$1,[1]stages!$2:$2,0)-MATCH("temp_stage",[1]stages!$2:$2,0)+1),MATCH(F$1,[1]stages!$2:$2,0)-MATCH("temp_stage",[1]stages!$2:$2,0)+1,FALSE)</f>
        <v>【超級】底なしの胃袋</v>
      </c>
      <c r="G338" s="3" t="str">
        <f ca="1">VLOOKUP($B338&amp;"_"&amp;$E338,OFFSET([1]stages!$A$1,0,0,COUNTA([1]stages!$A:$A),MATCH(G$1,[1]stages!$2:$2,0)-MATCH("temp_stage",[1]stages!$2:$2,0)+1),MATCH(G$1,[1]stages!$2:$2,0)-MATCH("temp_stage",[1]stages!$2:$2,0)+1,FALSE)</f>
        <v>ドロップイベント3（マルチ専用）</v>
      </c>
      <c r="H338" s="18">
        <v>0</v>
      </c>
      <c r="I338">
        <v>33</v>
      </c>
      <c r="J338" s="5" t="s">
        <v>16</v>
      </c>
      <c r="K338" s="34" t="str">
        <f>VLOOKUP(I338,[2]stage_hints!$A:$C,3,FALSE)</f>
        <v>敵のカウンター攻撃には</v>
      </c>
      <c r="L338" s="35" t="str">
        <f>VLOOKUP(I338,[2]stage_hints!$A:$D,4,FALSE)</f>
        <v>カウンターブレイクスキルを持っていれば_x000D_敵のカウンターを解除して攻撃ができます</v>
      </c>
      <c r="M338" s="21" t="s">
        <v>23</v>
      </c>
      <c r="N338">
        <v>33</v>
      </c>
    </row>
    <row r="339" spans="1:14" x14ac:dyDescent="0.15">
      <c r="A339" s="26" t="s">
        <v>32</v>
      </c>
      <c r="B339" s="4">
        <v>30012</v>
      </c>
      <c r="C339" s="3" t="str">
        <f ca="1">VLOOKUP($B339,OFFSET([1]quests!$A$1,0,0,COUNTA([1]quests!$A:$A),MATCH(C$1,[1]quests!$1:$1,0)-MATCH($B$1,[1]quests!$1:$1,0)+1),MATCH(C$1,[1]quests!$1:$1,0)-MATCH($B$1,[1]quests!$1:$1,0)+1,FALSE)</f>
        <v>底なしの胃袋</v>
      </c>
      <c r="D339" s="3" t="str">
        <f ca="1">VLOOKUP($B339,OFFSET([1]quests!$A$1,0,0,COUNTA([1]quests!$A:$A),MATCH(D$1,[1]quests!$1:$1,0)-MATCH($B$1,[1]quests!$1:$1,0)+1),MATCH(D$1,[1]quests!$1:$1,0)-MATCH($B$1,[1]quests!$1:$1,0)+1,FALSE)</f>
        <v>ドロップイベント3（マルチ専用）</v>
      </c>
      <c r="E339" s="5">
        <v>2</v>
      </c>
      <c r="F339" s="3" t="str">
        <f ca="1">VLOOKUP($B339&amp;"_"&amp;$E339,OFFSET([1]stages!$A$1,0,0,COUNTA([1]stages!$A:$A),MATCH(F$1,[1]stages!$2:$2,0)-MATCH("temp_stage",[1]stages!$2:$2,0)+1),MATCH(F$1,[1]stages!$2:$2,0)-MATCH("temp_stage",[1]stages!$2:$2,0)+1,FALSE)</f>
        <v>【超級】底なしの胃袋</v>
      </c>
      <c r="G339" s="3" t="str">
        <f ca="1">VLOOKUP($B339&amp;"_"&amp;$E339,OFFSET([1]stages!$A$1,0,0,COUNTA([1]stages!$A:$A),MATCH(G$1,[1]stages!$2:$2,0)-MATCH("temp_stage",[1]stages!$2:$2,0)+1),MATCH(G$1,[1]stages!$2:$2,0)-MATCH("temp_stage",[1]stages!$2:$2,0)+1,FALSE)</f>
        <v>ドロップイベント3（マルチ専用）</v>
      </c>
      <c r="H339" s="18">
        <v>0</v>
      </c>
      <c r="I339">
        <v>34</v>
      </c>
      <c r="J339" s="5" t="s">
        <v>16</v>
      </c>
      <c r="K339" s="34" t="str">
        <f>VLOOKUP(I339,[2]stage_hints!$A:$C,3,FALSE)</f>
        <v>ステータスをスキルで下げられたら</v>
      </c>
      <c r="L339" s="35" t="str">
        <f>VLOOKUP(I339,[2]stage_hints!$A:$D,4,FALSE)</f>
        <v>ステータスダウンのスキルを受けたら_x000D_ステータスアップスキルで上書きしましょう</v>
      </c>
      <c r="M339" s="21" t="s">
        <v>23</v>
      </c>
      <c r="N339">
        <v>34</v>
      </c>
    </row>
    <row r="340" spans="1:14" x14ac:dyDescent="0.15">
      <c r="A340" s="26" t="s">
        <v>32</v>
      </c>
      <c r="B340" s="4">
        <v>30012</v>
      </c>
      <c r="C340" s="3" t="str">
        <f ca="1">VLOOKUP($B340,OFFSET([1]quests!$A$1,0,0,COUNTA([1]quests!$A:$A),MATCH(C$1,[1]quests!$1:$1,0)-MATCH($B$1,[1]quests!$1:$1,0)+1),MATCH(C$1,[1]quests!$1:$1,0)-MATCH($B$1,[1]quests!$1:$1,0)+1,FALSE)</f>
        <v>底なしの胃袋</v>
      </c>
      <c r="D340" s="3" t="str">
        <f ca="1">VLOOKUP($B340,OFFSET([1]quests!$A$1,0,0,COUNTA([1]quests!$A:$A),MATCH(D$1,[1]quests!$1:$1,0)-MATCH($B$1,[1]quests!$1:$1,0)+1),MATCH(D$1,[1]quests!$1:$1,0)-MATCH($B$1,[1]quests!$1:$1,0)+1,FALSE)</f>
        <v>ドロップイベント3（マルチ専用）</v>
      </c>
      <c r="E340" s="5">
        <v>2</v>
      </c>
      <c r="F340" s="3" t="str">
        <f ca="1">VLOOKUP($B340&amp;"_"&amp;$E340,OFFSET([1]stages!$A$1,0,0,COUNTA([1]stages!$A:$A),MATCH(F$1,[1]stages!$2:$2,0)-MATCH("temp_stage",[1]stages!$2:$2,0)+1),MATCH(F$1,[1]stages!$2:$2,0)-MATCH("temp_stage",[1]stages!$2:$2,0)+1,FALSE)</f>
        <v>【超級】底なしの胃袋</v>
      </c>
      <c r="G340" s="3" t="str">
        <f ca="1">VLOOKUP($B340&amp;"_"&amp;$E340,OFFSET([1]stages!$A$1,0,0,COUNTA([1]stages!$A:$A),MATCH(G$1,[1]stages!$2:$2,0)-MATCH("temp_stage",[1]stages!$2:$2,0)+1),MATCH(G$1,[1]stages!$2:$2,0)-MATCH("temp_stage",[1]stages!$2:$2,0)+1,FALSE)</f>
        <v>ドロップイベント3（マルチ専用）</v>
      </c>
      <c r="H340" s="18">
        <v>0</v>
      </c>
      <c r="I340">
        <v>35</v>
      </c>
      <c r="J340" s="5" t="s">
        <v>16</v>
      </c>
      <c r="K340" s="34" t="str">
        <f>VLOOKUP(I340,[2]stage_hints!$A:$C,3,FALSE)</f>
        <v>敵のステータスがスキルで上がったら</v>
      </c>
      <c r="L340" s="35" t="str">
        <f>VLOOKUP(I340,[2]stage_hints!$A:$D,4,FALSE)</f>
        <v>敵のステータスがスキルでアップしたときは_x000D_ステータスダウンスキルで上書きしましょう</v>
      </c>
      <c r="M340" s="21" t="s">
        <v>23</v>
      </c>
      <c r="N340">
        <v>35</v>
      </c>
    </row>
    <row r="341" spans="1:14" x14ac:dyDescent="0.15">
      <c r="A341" s="26" t="s">
        <v>32</v>
      </c>
      <c r="B341" s="4">
        <v>30012</v>
      </c>
      <c r="C341" s="3" t="str">
        <f ca="1">VLOOKUP($B341,OFFSET([1]quests!$A$1,0,0,COUNTA([1]quests!$A:$A),MATCH(C$1,[1]quests!$1:$1,0)-MATCH($B$1,[1]quests!$1:$1,0)+1),MATCH(C$1,[1]quests!$1:$1,0)-MATCH($B$1,[1]quests!$1:$1,0)+1,FALSE)</f>
        <v>底なしの胃袋</v>
      </c>
      <c r="D341" s="3" t="str">
        <f ca="1">VLOOKUP($B341,OFFSET([1]quests!$A$1,0,0,COUNTA([1]quests!$A:$A),MATCH(D$1,[1]quests!$1:$1,0)-MATCH($B$1,[1]quests!$1:$1,0)+1),MATCH(D$1,[1]quests!$1:$1,0)-MATCH($B$1,[1]quests!$1:$1,0)+1,FALSE)</f>
        <v>ドロップイベント3（マルチ専用）</v>
      </c>
      <c r="E341" s="5">
        <v>2</v>
      </c>
      <c r="F341" s="3" t="str">
        <f ca="1">VLOOKUP($B341&amp;"_"&amp;$E341,OFFSET([1]stages!$A$1,0,0,COUNTA([1]stages!$A:$A),MATCH(F$1,[1]stages!$2:$2,0)-MATCH("temp_stage",[1]stages!$2:$2,0)+1),MATCH(F$1,[1]stages!$2:$2,0)-MATCH("temp_stage",[1]stages!$2:$2,0)+1,FALSE)</f>
        <v>【超級】底なしの胃袋</v>
      </c>
      <c r="G341" s="3" t="str">
        <f ca="1">VLOOKUP($B341&amp;"_"&amp;$E341,OFFSET([1]stages!$A$1,0,0,COUNTA([1]stages!$A:$A),MATCH(G$1,[1]stages!$2:$2,0)-MATCH("temp_stage",[1]stages!$2:$2,0)+1),MATCH(G$1,[1]stages!$2:$2,0)-MATCH("temp_stage",[1]stages!$2:$2,0)+1,FALSE)</f>
        <v>ドロップイベント3（マルチ専用）</v>
      </c>
      <c r="H341" s="18">
        <v>0</v>
      </c>
      <c r="I341">
        <v>36</v>
      </c>
      <c r="J341" s="5" t="s">
        <v>16</v>
      </c>
      <c r="K341" s="34" t="str">
        <f>VLOOKUP(I341,[2]stage_hints!$A:$C,3,FALSE)</f>
        <v>タワーオブザクイーンのボス</v>
      </c>
      <c r="L341" s="35" t="str">
        <f>VLOOKUP(I341,[2]stage_hints!$A:$D,4,FALSE)</f>
        <v>「タワーオブザクイーン」最上階のボスは_x000D_15階の初回クリア報酬で獲得できるほか_x000D_その階にて低確率でドロップもします</v>
      </c>
      <c r="M341" s="21" t="s">
        <v>23</v>
      </c>
      <c r="N341">
        <v>36</v>
      </c>
    </row>
    <row r="342" spans="1:14" x14ac:dyDescent="0.15">
      <c r="A342" s="26" t="s">
        <v>32</v>
      </c>
      <c r="B342" s="4">
        <v>30012</v>
      </c>
      <c r="C342" s="3" t="str">
        <f ca="1">VLOOKUP($B342,OFFSET([1]quests!$A$1,0,0,COUNTA([1]quests!$A:$A),MATCH(C$1,[1]quests!$1:$1,0)-MATCH($B$1,[1]quests!$1:$1,0)+1),MATCH(C$1,[1]quests!$1:$1,0)-MATCH($B$1,[1]quests!$1:$1,0)+1,FALSE)</f>
        <v>底なしの胃袋</v>
      </c>
      <c r="D342" s="3" t="str">
        <f ca="1">VLOOKUP($B342,OFFSET([1]quests!$A$1,0,0,COUNTA([1]quests!$A:$A),MATCH(D$1,[1]quests!$1:$1,0)-MATCH($B$1,[1]quests!$1:$1,0)+1),MATCH(D$1,[1]quests!$1:$1,0)-MATCH($B$1,[1]quests!$1:$1,0)+1,FALSE)</f>
        <v>ドロップイベント3（マルチ専用）</v>
      </c>
      <c r="E342" s="5">
        <v>2</v>
      </c>
      <c r="F342" s="3" t="str">
        <f ca="1">VLOOKUP($B342&amp;"_"&amp;$E342,OFFSET([1]stages!$A$1,0,0,COUNTA([1]stages!$A:$A),MATCH(F$1,[1]stages!$2:$2,0)-MATCH("temp_stage",[1]stages!$2:$2,0)+1),MATCH(F$1,[1]stages!$2:$2,0)-MATCH("temp_stage",[1]stages!$2:$2,0)+1,FALSE)</f>
        <v>【超級】底なしの胃袋</v>
      </c>
      <c r="G342" s="3" t="str">
        <f ca="1">VLOOKUP($B342&amp;"_"&amp;$E342,OFFSET([1]stages!$A$1,0,0,COUNTA([1]stages!$A:$A),MATCH(G$1,[1]stages!$2:$2,0)-MATCH("temp_stage",[1]stages!$2:$2,0)+1),MATCH(G$1,[1]stages!$2:$2,0)-MATCH("temp_stage",[1]stages!$2:$2,0)+1,FALSE)</f>
        <v>ドロップイベント3（マルチ専用）</v>
      </c>
      <c r="H342" s="18">
        <v>0</v>
      </c>
      <c r="I342">
        <v>37</v>
      </c>
      <c r="J342" s="5" t="s">
        <v>16</v>
      </c>
      <c r="K342" s="34" t="str">
        <f>VLOOKUP(I342,[2]stage_hints!$A:$C,3,FALSE)</f>
        <v>限界突破値の引き継ぎ</v>
      </c>
      <c r="L342" s="35" t="str">
        <f>VLOOKUP(I342,[2]stage_hints!$A:$D,4,FALSE)</f>
        <v>同じユニットを強化で合成すると_x000D_限界突破値を引き継げます（覚醒前後も可）</v>
      </c>
      <c r="M342" s="21" t="s">
        <v>23</v>
      </c>
      <c r="N342">
        <v>37</v>
      </c>
    </row>
    <row r="343" spans="1:14" x14ac:dyDescent="0.15">
      <c r="A343" s="26" t="s">
        <v>32</v>
      </c>
      <c r="B343" s="4">
        <v>30013</v>
      </c>
      <c r="C343" s="3" t="str">
        <f ca="1">VLOOKUP($B343,OFFSET([1]quests!$A$1,0,0,COUNTA([1]quests!$A:$A),MATCH(C$1,[1]quests!$1:$1,0)-MATCH($B$1,[1]quests!$1:$1,0)+1),MATCH(C$1,[1]quests!$1:$1,0)-MATCH($B$1,[1]quests!$1:$1,0)+1,FALSE)</f>
        <v>決戦・竜宮城</v>
      </c>
      <c r="D343" s="3" t="str">
        <f ca="1">VLOOKUP($B343,OFFSET([1]quests!$A$1,0,0,COUNTA([1]quests!$A:$A),MATCH(D$1,[1]quests!$1:$1,0)-MATCH($B$1,[1]quests!$1:$1,0)+1),MATCH(D$1,[1]quests!$1:$1,0)-MATCH($B$1,[1]quests!$1:$1,0)+1,FALSE)</f>
        <v>ドロップイベント4（マルチ専用）</v>
      </c>
      <c r="E343" s="5">
        <v>1</v>
      </c>
      <c r="F343" s="3" t="str">
        <f ca="1">VLOOKUP($B343&amp;"_"&amp;$E343,OFFSET([1]stages!$A$1,0,0,COUNTA([1]stages!$A:$A),MATCH(F$1,[1]stages!$2:$2,0)-MATCH("temp_stage",[1]stages!$2:$2,0)+1),MATCH(F$1,[1]stages!$2:$2,0)-MATCH("temp_stage",[1]stages!$2:$2,0)+1,FALSE)</f>
        <v>【超級】決戦・竜宮城</v>
      </c>
      <c r="G343" s="3" t="str">
        <f ca="1">VLOOKUP($B343&amp;"_"&amp;$E343,OFFSET([1]stages!$A$1,0,0,COUNTA([1]stages!$A:$A),MATCH(G$1,[1]stages!$2:$2,0)-MATCH("temp_stage",[1]stages!$2:$2,0)+1),MATCH(G$1,[1]stages!$2:$2,0)-MATCH("temp_stage",[1]stages!$2:$2,0)+1,FALSE)</f>
        <v>ドロップイベント4（マルチ専用）</v>
      </c>
      <c r="H343" s="18">
        <v>0</v>
      </c>
      <c r="I343">
        <v>12</v>
      </c>
      <c r="J343" s="5" t="s">
        <v>16</v>
      </c>
      <c r="K343" s="34" t="str">
        <f>VLOOKUP(I343,[2]stage_hints!$A:$C,3,FALSE)</f>
        <v>ユニットのお気に入り登録</v>
      </c>
      <c r="L343" s="35" t="str">
        <f>VLOOKUP(I343,[2]stage_hints!$A:$D,4,FALSE)</f>
        <v>大事なユニットを誤って消さないように_x000D_フォルダから「お気に入り登録」しましょう</v>
      </c>
      <c r="M343" s="21" t="s">
        <v>23</v>
      </c>
      <c r="N343">
        <v>12</v>
      </c>
    </row>
    <row r="344" spans="1:14" x14ac:dyDescent="0.15">
      <c r="A344" s="26" t="s">
        <v>32</v>
      </c>
      <c r="B344" s="4">
        <v>30013</v>
      </c>
      <c r="C344" s="3" t="str">
        <f ca="1">VLOOKUP($B344,OFFSET([1]quests!$A$1,0,0,COUNTA([1]quests!$A:$A),MATCH(C$1,[1]quests!$1:$1,0)-MATCH($B$1,[1]quests!$1:$1,0)+1),MATCH(C$1,[1]quests!$1:$1,0)-MATCH($B$1,[1]quests!$1:$1,0)+1,FALSE)</f>
        <v>決戦・竜宮城</v>
      </c>
      <c r="D344" s="3" t="str">
        <f ca="1">VLOOKUP($B344,OFFSET([1]quests!$A$1,0,0,COUNTA([1]quests!$A:$A),MATCH(D$1,[1]quests!$1:$1,0)-MATCH($B$1,[1]quests!$1:$1,0)+1),MATCH(D$1,[1]quests!$1:$1,0)-MATCH($B$1,[1]quests!$1:$1,0)+1,FALSE)</f>
        <v>ドロップイベント4（マルチ専用）</v>
      </c>
      <c r="E344" s="5">
        <v>1</v>
      </c>
      <c r="F344" s="3" t="str">
        <f ca="1">VLOOKUP($B344&amp;"_"&amp;$E344,OFFSET([1]stages!$A$1,0,0,COUNTA([1]stages!$A:$A),MATCH(F$1,[1]stages!$2:$2,0)-MATCH("temp_stage",[1]stages!$2:$2,0)+1),MATCH(F$1,[1]stages!$2:$2,0)-MATCH("temp_stage",[1]stages!$2:$2,0)+1,FALSE)</f>
        <v>【超級】決戦・竜宮城</v>
      </c>
      <c r="G344" s="3" t="str">
        <f ca="1">VLOOKUP($B344&amp;"_"&amp;$E344,OFFSET([1]stages!$A$1,0,0,COUNTA([1]stages!$A:$A),MATCH(G$1,[1]stages!$2:$2,0)-MATCH("temp_stage",[1]stages!$2:$2,0)+1),MATCH(G$1,[1]stages!$2:$2,0)-MATCH("temp_stage",[1]stages!$2:$2,0)+1,FALSE)</f>
        <v>ドロップイベント4（マルチ専用）</v>
      </c>
      <c r="H344" s="18">
        <v>0</v>
      </c>
      <c r="I344">
        <v>17</v>
      </c>
      <c r="J344" s="5" t="s">
        <v>16</v>
      </c>
      <c r="K344" s="34" t="str">
        <f>VLOOKUP(I344,[2]stage_hints!$A:$C,3,FALSE)</f>
        <v>リンクガチャ</v>
      </c>
      <c r="L344" s="35" t="str">
        <f>VLOOKUP(I344,[2]stage_hints!$A:$D,4,FALSE)</f>
        <v>無料のリンクガチャを回して_x000D_経験値素材や売却素材を獲得しましょう</v>
      </c>
      <c r="M344" s="21" t="s">
        <v>23</v>
      </c>
      <c r="N344">
        <v>17</v>
      </c>
    </row>
    <row r="345" spans="1:14" x14ac:dyDescent="0.15">
      <c r="A345" s="26" t="s">
        <v>32</v>
      </c>
      <c r="B345" s="4">
        <v>30013</v>
      </c>
      <c r="C345" s="3" t="str">
        <f ca="1">VLOOKUP($B345,OFFSET([1]quests!$A$1,0,0,COUNTA([1]quests!$A:$A),MATCH(C$1,[1]quests!$1:$1,0)-MATCH($B$1,[1]quests!$1:$1,0)+1),MATCH(C$1,[1]quests!$1:$1,0)-MATCH($B$1,[1]quests!$1:$1,0)+1,FALSE)</f>
        <v>決戦・竜宮城</v>
      </c>
      <c r="D345" s="3" t="str">
        <f ca="1">VLOOKUP($B345,OFFSET([1]quests!$A$1,0,0,COUNTA([1]quests!$A:$A),MATCH(D$1,[1]quests!$1:$1,0)-MATCH($B$1,[1]quests!$1:$1,0)+1),MATCH(D$1,[1]quests!$1:$1,0)-MATCH($B$1,[1]quests!$1:$1,0)+1,FALSE)</f>
        <v>ドロップイベント4（マルチ専用）</v>
      </c>
      <c r="E345" s="5">
        <v>1</v>
      </c>
      <c r="F345" s="3" t="str">
        <f ca="1">VLOOKUP($B345&amp;"_"&amp;$E345,OFFSET([1]stages!$A$1,0,0,COUNTA([1]stages!$A:$A),MATCH(F$1,[1]stages!$2:$2,0)-MATCH("temp_stage",[1]stages!$2:$2,0)+1),MATCH(F$1,[1]stages!$2:$2,0)-MATCH("temp_stage",[1]stages!$2:$2,0)+1,FALSE)</f>
        <v>【超級】決戦・竜宮城</v>
      </c>
      <c r="G345" s="3" t="str">
        <f ca="1">VLOOKUP($B345&amp;"_"&amp;$E345,OFFSET([1]stages!$A$1,0,0,COUNTA([1]stages!$A:$A),MATCH(G$1,[1]stages!$2:$2,0)-MATCH("temp_stage",[1]stages!$2:$2,0)+1),MATCH(G$1,[1]stages!$2:$2,0)-MATCH("temp_stage",[1]stages!$2:$2,0)+1,FALSE)</f>
        <v>ドロップイベント4（マルチ専用）</v>
      </c>
      <c r="H345" s="18">
        <v>0</v>
      </c>
      <c r="I345">
        <v>19</v>
      </c>
      <c r="J345" s="5" t="s">
        <v>16</v>
      </c>
      <c r="K345" s="34" t="str">
        <f>VLOOKUP(I345,[2]stage_hints!$A:$C,3,FALSE)</f>
        <v>ソロ専用タワーオブザクイーン</v>
      </c>
      <c r="L345" s="35" t="str">
        <f>VLOOKUP(I345,[2]stage_hints!$A:$D,4,FALSE)</f>
        <v>ソロ専用の「タワーオブザクイーン」は_x000D_期間限定で定期的に開催されます_x000D_ここでしか獲得できない報酬もあるようです</v>
      </c>
      <c r="M345" s="21" t="s">
        <v>23</v>
      </c>
      <c r="N345">
        <v>19</v>
      </c>
    </row>
    <row r="346" spans="1:14" x14ac:dyDescent="0.15">
      <c r="A346" s="26" t="s">
        <v>32</v>
      </c>
      <c r="B346" s="4">
        <v>30013</v>
      </c>
      <c r="C346" s="3" t="str">
        <f ca="1">VLOOKUP($B346,OFFSET([1]quests!$A$1,0,0,COUNTA([1]quests!$A:$A),MATCH(C$1,[1]quests!$1:$1,0)-MATCH($B$1,[1]quests!$1:$1,0)+1),MATCH(C$1,[1]quests!$1:$1,0)-MATCH($B$1,[1]quests!$1:$1,0)+1,FALSE)</f>
        <v>決戦・竜宮城</v>
      </c>
      <c r="D346" s="3" t="str">
        <f ca="1">VLOOKUP($B346,OFFSET([1]quests!$A$1,0,0,COUNTA([1]quests!$A:$A),MATCH(D$1,[1]quests!$1:$1,0)-MATCH($B$1,[1]quests!$1:$1,0)+1),MATCH(D$1,[1]quests!$1:$1,0)-MATCH($B$1,[1]quests!$1:$1,0)+1,FALSE)</f>
        <v>ドロップイベント4（マルチ専用）</v>
      </c>
      <c r="E346" s="5">
        <v>1</v>
      </c>
      <c r="F346" s="3" t="str">
        <f ca="1">VLOOKUP($B346&amp;"_"&amp;$E346,OFFSET([1]stages!$A$1,0,0,COUNTA([1]stages!$A:$A),MATCH(F$1,[1]stages!$2:$2,0)-MATCH("temp_stage",[1]stages!$2:$2,0)+1),MATCH(F$1,[1]stages!$2:$2,0)-MATCH("temp_stage",[1]stages!$2:$2,0)+1,FALSE)</f>
        <v>【超級】決戦・竜宮城</v>
      </c>
      <c r="G346" s="3" t="str">
        <f ca="1">VLOOKUP($B346&amp;"_"&amp;$E346,OFFSET([1]stages!$A$1,0,0,COUNTA([1]stages!$A:$A),MATCH(G$1,[1]stages!$2:$2,0)-MATCH("temp_stage",[1]stages!$2:$2,0)+1),MATCH(G$1,[1]stages!$2:$2,0)-MATCH("temp_stage",[1]stages!$2:$2,0)+1,FALSE)</f>
        <v>ドロップイベント4（マルチ専用）</v>
      </c>
      <c r="H346" s="18">
        <v>0</v>
      </c>
      <c r="I346">
        <v>21</v>
      </c>
      <c r="J346" s="5" t="s">
        <v>16</v>
      </c>
      <c r="K346" s="34" t="str">
        <f>VLOOKUP(I346,[2]stage_hints!$A:$C,3,FALSE)</f>
        <v>スキルを有効に</v>
      </c>
      <c r="L346" s="35" t="str">
        <f>VLOOKUP(I346,[2]stage_hints!$A:$D,4,FALSE)</f>
        <v>ターン経過でユニットのスキルが使えます_x000D_強力スキルでバトルを有利に進めましょう</v>
      </c>
      <c r="M346" s="21" t="s">
        <v>23</v>
      </c>
      <c r="N346">
        <v>21</v>
      </c>
    </row>
    <row r="347" spans="1:14" x14ac:dyDescent="0.15">
      <c r="A347" s="26" t="s">
        <v>32</v>
      </c>
      <c r="B347" s="4">
        <v>30013</v>
      </c>
      <c r="C347" s="3" t="str">
        <f ca="1">VLOOKUP($B347,OFFSET([1]quests!$A$1,0,0,COUNTA([1]quests!$A:$A),MATCH(C$1,[1]quests!$1:$1,0)-MATCH($B$1,[1]quests!$1:$1,0)+1),MATCH(C$1,[1]quests!$1:$1,0)-MATCH($B$1,[1]quests!$1:$1,0)+1,FALSE)</f>
        <v>決戦・竜宮城</v>
      </c>
      <c r="D347" s="3" t="str">
        <f ca="1">VLOOKUP($B347,OFFSET([1]quests!$A$1,0,0,COUNTA([1]quests!$A:$A),MATCH(D$1,[1]quests!$1:$1,0)-MATCH($B$1,[1]quests!$1:$1,0)+1),MATCH(D$1,[1]quests!$1:$1,0)-MATCH($B$1,[1]quests!$1:$1,0)+1,FALSE)</f>
        <v>ドロップイベント4（マルチ専用）</v>
      </c>
      <c r="E347" s="5">
        <v>1</v>
      </c>
      <c r="F347" s="3" t="str">
        <f ca="1">VLOOKUP($B347&amp;"_"&amp;$E347,OFFSET([1]stages!$A$1,0,0,COUNTA([1]stages!$A:$A),MATCH(F$1,[1]stages!$2:$2,0)-MATCH("temp_stage",[1]stages!$2:$2,0)+1),MATCH(F$1,[1]stages!$2:$2,0)-MATCH("temp_stage",[1]stages!$2:$2,0)+1,FALSE)</f>
        <v>【超級】決戦・竜宮城</v>
      </c>
      <c r="G347" s="3" t="str">
        <f ca="1">VLOOKUP($B347&amp;"_"&amp;$E347,OFFSET([1]stages!$A$1,0,0,COUNTA([1]stages!$A:$A),MATCH(G$1,[1]stages!$2:$2,0)-MATCH("temp_stage",[1]stages!$2:$2,0)+1),MATCH(G$1,[1]stages!$2:$2,0)-MATCH("temp_stage",[1]stages!$2:$2,0)+1,FALSE)</f>
        <v>ドロップイベント4（マルチ専用）</v>
      </c>
      <c r="H347" s="18">
        <v>0</v>
      </c>
      <c r="I347">
        <v>27</v>
      </c>
      <c r="J347" s="5" t="s">
        <v>16</v>
      </c>
      <c r="K347" s="34" t="str">
        <f>VLOOKUP(I347,[2]stage_hints!$A:$C,3,FALSE)</f>
        <v>ホーム画面からデッキを編成</v>
      </c>
      <c r="L347" s="35" t="str">
        <f>VLOOKUP(I347,[2]stage_hints!$A:$D,4,FALSE)</f>
        <v>ホーム画面でユニットを長押しすると_x000D_すぐにパーティ編成に移動できます</v>
      </c>
      <c r="M347" s="21" t="s">
        <v>23</v>
      </c>
      <c r="N347">
        <v>27</v>
      </c>
    </row>
    <row r="348" spans="1:14" x14ac:dyDescent="0.15">
      <c r="A348" s="26" t="s">
        <v>32</v>
      </c>
      <c r="B348" s="4">
        <v>30013</v>
      </c>
      <c r="C348" s="3" t="str">
        <f ca="1">VLOOKUP($B348,OFFSET([1]quests!$A$1,0,0,COUNTA([1]quests!$A:$A),MATCH(C$1,[1]quests!$1:$1,0)-MATCH($B$1,[1]quests!$1:$1,0)+1),MATCH(C$1,[1]quests!$1:$1,0)-MATCH($B$1,[1]quests!$1:$1,0)+1,FALSE)</f>
        <v>決戦・竜宮城</v>
      </c>
      <c r="D348" s="3" t="str">
        <f ca="1">VLOOKUP($B348,OFFSET([1]quests!$A$1,0,0,COUNTA([1]quests!$A:$A),MATCH(D$1,[1]quests!$1:$1,0)-MATCH($B$1,[1]quests!$1:$1,0)+1),MATCH(D$1,[1]quests!$1:$1,0)-MATCH($B$1,[1]quests!$1:$1,0)+1,FALSE)</f>
        <v>ドロップイベント4（マルチ専用）</v>
      </c>
      <c r="E348" s="5">
        <v>1</v>
      </c>
      <c r="F348" s="3" t="str">
        <f ca="1">VLOOKUP($B348&amp;"_"&amp;$E348,OFFSET([1]stages!$A$1,0,0,COUNTA([1]stages!$A:$A),MATCH(F$1,[1]stages!$2:$2,0)-MATCH("temp_stage",[1]stages!$2:$2,0)+1),MATCH(F$1,[1]stages!$2:$2,0)-MATCH("temp_stage",[1]stages!$2:$2,0)+1,FALSE)</f>
        <v>【超級】決戦・竜宮城</v>
      </c>
      <c r="G348" s="3" t="str">
        <f ca="1">VLOOKUP($B348&amp;"_"&amp;$E348,OFFSET([1]stages!$A$1,0,0,COUNTA([1]stages!$A:$A),MATCH(G$1,[1]stages!$2:$2,0)-MATCH("temp_stage",[1]stages!$2:$2,0)+1),MATCH(G$1,[1]stages!$2:$2,0)-MATCH("temp_stage",[1]stages!$2:$2,0)+1,FALSE)</f>
        <v>ドロップイベント4（マルチ専用）</v>
      </c>
      <c r="H348" s="18">
        <v>0</v>
      </c>
      <c r="I348">
        <v>28</v>
      </c>
      <c r="J348" s="5" t="s">
        <v>16</v>
      </c>
      <c r="K348" s="34" t="str">
        <f>VLOOKUP(I348,[2]stage_hints!$A:$C,3,FALSE)</f>
        <v>ステータス情報は長押しで</v>
      </c>
      <c r="L348" s="35" t="str">
        <f>VLOOKUP(I348,[2]stage_hints!$A:$D,4,FALSE)</f>
        <v>ユニットのアイコンを長押しすると_x000D_ステータス情報を確認することができます</v>
      </c>
      <c r="M348" s="21" t="s">
        <v>23</v>
      </c>
      <c r="N348">
        <v>28</v>
      </c>
    </row>
    <row r="349" spans="1:14" x14ac:dyDescent="0.15">
      <c r="A349" s="26" t="s">
        <v>32</v>
      </c>
      <c r="B349" s="4">
        <v>30013</v>
      </c>
      <c r="C349" s="3" t="str">
        <f ca="1">VLOOKUP($B349,OFFSET([1]quests!$A$1,0,0,COUNTA([1]quests!$A:$A),MATCH(C$1,[1]quests!$1:$1,0)-MATCH($B$1,[1]quests!$1:$1,0)+1),MATCH(C$1,[1]quests!$1:$1,0)-MATCH($B$1,[1]quests!$1:$1,0)+1,FALSE)</f>
        <v>決戦・竜宮城</v>
      </c>
      <c r="D349" s="3" t="str">
        <f ca="1">VLOOKUP($B349,OFFSET([1]quests!$A$1,0,0,COUNTA([1]quests!$A:$A),MATCH(D$1,[1]quests!$1:$1,0)-MATCH($B$1,[1]quests!$1:$1,0)+1),MATCH(D$1,[1]quests!$1:$1,0)-MATCH($B$1,[1]quests!$1:$1,0)+1,FALSE)</f>
        <v>ドロップイベント4（マルチ専用）</v>
      </c>
      <c r="E349" s="5">
        <v>1</v>
      </c>
      <c r="F349" s="3" t="str">
        <f ca="1">VLOOKUP($B349&amp;"_"&amp;$E349,OFFSET([1]stages!$A$1,0,0,COUNTA([1]stages!$A:$A),MATCH(F$1,[1]stages!$2:$2,0)-MATCH("temp_stage",[1]stages!$2:$2,0)+1),MATCH(F$1,[1]stages!$2:$2,0)-MATCH("temp_stage",[1]stages!$2:$2,0)+1,FALSE)</f>
        <v>【超級】決戦・竜宮城</v>
      </c>
      <c r="G349" s="3" t="str">
        <f ca="1">VLOOKUP($B349&amp;"_"&amp;$E349,OFFSET([1]stages!$A$1,0,0,COUNTA([1]stages!$A:$A),MATCH(G$1,[1]stages!$2:$2,0)-MATCH("temp_stage",[1]stages!$2:$2,0)+1),MATCH(G$1,[1]stages!$2:$2,0)-MATCH("temp_stage",[1]stages!$2:$2,0)+1,FALSE)</f>
        <v>ドロップイベント4（マルチ専用）</v>
      </c>
      <c r="H349" s="18">
        <v>0</v>
      </c>
      <c r="I349">
        <v>29</v>
      </c>
      <c r="J349" s="5" t="s">
        <v>16</v>
      </c>
      <c r="K349" s="34" t="str">
        <f>VLOOKUP(I349,[2]stage_hints!$A:$C,3,FALSE)</f>
        <v>「バグ」のメリット</v>
      </c>
      <c r="L349" s="35" t="str">
        <f>VLOOKUP(I349,[2]stage_hints!$A:$D,4,FALSE)</f>
        <v>ユニットの「バグ」を増やすと_x000D_報酬をもらえる確率がアップします</v>
      </c>
      <c r="M349" s="21" t="s">
        <v>23</v>
      </c>
      <c r="N349">
        <v>29</v>
      </c>
    </row>
    <row r="350" spans="1:14" x14ac:dyDescent="0.15">
      <c r="A350" s="26" t="s">
        <v>32</v>
      </c>
      <c r="B350" s="4">
        <v>30013</v>
      </c>
      <c r="C350" s="3" t="str">
        <f ca="1">VLOOKUP($B350,OFFSET([1]quests!$A$1,0,0,COUNTA([1]quests!$A:$A),MATCH(C$1,[1]quests!$1:$1,0)-MATCH($B$1,[1]quests!$1:$1,0)+1),MATCH(C$1,[1]quests!$1:$1,0)-MATCH($B$1,[1]quests!$1:$1,0)+1,FALSE)</f>
        <v>決戦・竜宮城</v>
      </c>
      <c r="D350" s="3" t="str">
        <f ca="1">VLOOKUP($B350,OFFSET([1]quests!$A$1,0,0,COUNTA([1]quests!$A:$A),MATCH(D$1,[1]quests!$1:$1,0)-MATCH($B$1,[1]quests!$1:$1,0)+1),MATCH(D$1,[1]quests!$1:$1,0)-MATCH($B$1,[1]quests!$1:$1,0)+1,FALSE)</f>
        <v>ドロップイベント4（マルチ専用）</v>
      </c>
      <c r="E350" s="5">
        <v>1</v>
      </c>
      <c r="F350" s="3" t="str">
        <f ca="1">VLOOKUP($B350&amp;"_"&amp;$E350,OFFSET([1]stages!$A$1,0,0,COUNTA([1]stages!$A:$A),MATCH(F$1,[1]stages!$2:$2,0)-MATCH("temp_stage",[1]stages!$2:$2,0)+1),MATCH(F$1,[1]stages!$2:$2,0)-MATCH("temp_stage",[1]stages!$2:$2,0)+1,FALSE)</f>
        <v>【超級】決戦・竜宮城</v>
      </c>
      <c r="G350" s="3" t="str">
        <f ca="1">VLOOKUP($B350&amp;"_"&amp;$E350,OFFSET([1]stages!$A$1,0,0,COUNTA([1]stages!$A:$A),MATCH(G$1,[1]stages!$2:$2,0)-MATCH("temp_stage",[1]stages!$2:$2,0)+1),MATCH(G$1,[1]stages!$2:$2,0)-MATCH("temp_stage",[1]stages!$2:$2,0)+1,FALSE)</f>
        <v>ドロップイベント4（マルチ専用）</v>
      </c>
      <c r="H350" s="18">
        <v>0</v>
      </c>
      <c r="I350">
        <v>30</v>
      </c>
      <c r="J350" s="5" t="s">
        <v>16</v>
      </c>
      <c r="K350" s="34" t="str">
        <f>VLOOKUP(I350,[2]stage_hints!$A:$C,3,FALSE)</f>
        <v>「バグ」の増やし方</v>
      </c>
      <c r="L350" s="35" t="str">
        <f>VLOOKUP(I350,[2]stage_hints!$A:$D,4,FALSE)</f>
        <v>同じユニット同士を強化で合成すると_x000D_「バグ」を増やすことができます</v>
      </c>
      <c r="M350" s="21" t="s">
        <v>23</v>
      </c>
      <c r="N350">
        <v>30</v>
      </c>
    </row>
    <row r="351" spans="1:14" x14ac:dyDescent="0.15">
      <c r="A351" s="26" t="s">
        <v>32</v>
      </c>
      <c r="B351" s="4">
        <v>30013</v>
      </c>
      <c r="C351" s="3" t="str">
        <f ca="1">VLOOKUP($B351,OFFSET([1]quests!$A$1,0,0,COUNTA([1]quests!$A:$A),MATCH(C$1,[1]quests!$1:$1,0)-MATCH($B$1,[1]quests!$1:$1,0)+1),MATCH(C$1,[1]quests!$1:$1,0)-MATCH($B$1,[1]quests!$1:$1,0)+1,FALSE)</f>
        <v>決戦・竜宮城</v>
      </c>
      <c r="D351" s="3" t="str">
        <f ca="1">VLOOKUP($B351,OFFSET([1]quests!$A$1,0,0,COUNTA([1]quests!$A:$A),MATCH(D$1,[1]quests!$1:$1,0)-MATCH($B$1,[1]quests!$1:$1,0)+1),MATCH(D$1,[1]quests!$1:$1,0)-MATCH($B$1,[1]quests!$1:$1,0)+1,FALSE)</f>
        <v>ドロップイベント4（マルチ専用）</v>
      </c>
      <c r="E351" s="5">
        <v>1</v>
      </c>
      <c r="F351" s="3" t="str">
        <f ca="1">VLOOKUP($B351&amp;"_"&amp;$E351,OFFSET([1]stages!$A$1,0,0,COUNTA([1]stages!$A:$A),MATCH(F$1,[1]stages!$2:$2,0)-MATCH("temp_stage",[1]stages!$2:$2,0)+1),MATCH(F$1,[1]stages!$2:$2,0)-MATCH("temp_stage",[1]stages!$2:$2,0)+1,FALSE)</f>
        <v>【超級】決戦・竜宮城</v>
      </c>
      <c r="G351" s="3" t="str">
        <f ca="1">VLOOKUP($B351&amp;"_"&amp;$E351,OFFSET([1]stages!$A$1,0,0,COUNTA([1]stages!$A:$A),MATCH(G$1,[1]stages!$2:$2,0)-MATCH("temp_stage",[1]stages!$2:$2,0)+1),MATCH(G$1,[1]stages!$2:$2,0)-MATCH("temp_stage",[1]stages!$2:$2,0)+1,FALSE)</f>
        <v>ドロップイベント4（マルチ専用）</v>
      </c>
      <c r="H351" s="18">
        <v>0</v>
      </c>
      <c r="I351">
        <v>32</v>
      </c>
      <c r="J351" s="5" t="s">
        <v>16</v>
      </c>
      <c r="K351" s="34" t="str">
        <f>VLOOKUP(I351,[2]stage_hints!$A:$C,3,FALSE)</f>
        <v>敵の連続攻撃には</v>
      </c>
      <c r="L351" s="35" t="str">
        <f>VLOOKUP(I351,[2]stage_hints!$A:$D,4,FALSE)</f>
        <v>カウンタースキルを持つユニットがいれば_x000D_ダメージ回数分の反撃ができます</v>
      </c>
      <c r="M351" s="21" t="s">
        <v>23</v>
      </c>
      <c r="N351">
        <v>32</v>
      </c>
    </row>
    <row r="352" spans="1:14" x14ac:dyDescent="0.15">
      <c r="A352" s="26" t="s">
        <v>32</v>
      </c>
      <c r="B352" s="4">
        <v>30013</v>
      </c>
      <c r="C352" s="3" t="str">
        <f ca="1">VLOOKUP($B352,OFFSET([1]quests!$A$1,0,0,COUNTA([1]quests!$A:$A),MATCH(C$1,[1]quests!$1:$1,0)-MATCH($B$1,[1]quests!$1:$1,0)+1),MATCH(C$1,[1]quests!$1:$1,0)-MATCH($B$1,[1]quests!$1:$1,0)+1,FALSE)</f>
        <v>決戦・竜宮城</v>
      </c>
      <c r="D352" s="3" t="str">
        <f ca="1">VLOOKUP($B352,OFFSET([1]quests!$A$1,0,0,COUNTA([1]quests!$A:$A),MATCH(D$1,[1]quests!$1:$1,0)-MATCH($B$1,[1]quests!$1:$1,0)+1),MATCH(D$1,[1]quests!$1:$1,0)-MATCH($B$1,[1]quests!$1:$1,0)+1,FALSE)</f>
        <v>ドロップイベント4（マルチ専用）</v>
      </c>
      <c r="E352" s="5">
        <v>1</v>
      </c>
      <c r="F352" s="3" t="str">
        <f ca="1">VLOOKUP($B352&amp;"_"&amp;$E352,OFFSET([1]stages!$A$1,0,0,COUNTA([1]stages!$A:$A),MATCH(F$1,[1]stages!$2:$2,0)-MATCH("temp_stage",[1]stages!$2:$2,0)+1),MATCH(F$1,[1]stages!$2:$2,0)-MATCH("temp_stage",[1]stages!$2:$2,0)+1,FALSE)</f>
        <v>【超級】決戦・竜宮城</v>
      </c>
      <c r="G352" s="3" t="str">
        <f ca="1">VLOOKUP($B352&amp;"_"&amp;$E352,OFFSET([1]stages!$A$1,0,0,COUNTA([1]stages!$A:$A),MATCH(G$1,[1]stages!$2:$2,0)-MATCH("temp_stage",[1]stages!$2:$2,0)+1),MATCH(G$1,[1]stages!$2:$2,0)-MATCH("temp_stage",[1]stages!$2:$2,0)+1,FALSE)</f>
        <v>ドロップイベント4（マルチ専用）</v>
      </c>
      <c r="H352" s="18">
        <v>0</v>
      </c>
      <c r="I352">
        <v>33</v>
      </c>
      <c r="J352" s="5" t="s">
        <v>16</v>
      </c>
      <c r="K352" s="34" t="str">
        <f>VLOOKUP(I352,[2]stage_hints!$A:$C,3,FALSE)</f>
        <v>敵のカウンター攻撃には</v>
      </c>
      <c r="L352" s="35" t="str">
        <f>VLOOKUP(I352,[2]stage_hints!$A:$D,4,FALSE)</f>
        <v>カウンターブレイクスキルを持っていれば_x000D_敵のカウンターを解除して攻撃ができます</v>
      </c>
      <c r="M352" s="21" t="s">
        <v>23</v>
      </c>
      <c r="N352">
        <v>33</v>
      </c>
    </row>
    <row r="353" spans="1:14" x14ac:dyDescent="0.15">
      <c r="A353" s="26" t="s">
        <v>32</v>
      </c>
      <c r="B353" s="4">
        <v>30013</v>
      </c>
      <c r="C353" s="3" t="str">
        <f ca="1">VLOOKUP($B353,OFFSET([1]quests!$A$1,0,0,COUNTA([1]quests!$A:$A),MATCH(C$1,[1]quests!$1:$1,0)-MATCH($B$1,[1]quests!$1:$1,0)+1),MATCH(C$1,[1]quests!$1:$1,0)-MATCH($B$1,[1]quests!$1:$1,0)+1,FALSE)</f>
        <v>決戦・竜宮城</v>
      </c>
      <c r="D353" s="3" t="str">
        <f ca="1">VLOOKUP($B353,OFFSET([1]quests!$A$1,0,0,COUNTA([1]quests!$A:$A),MATCH(D$1,[1]quests!$1:$1,0)-MATCH($B$1,[1]quests!$1:$1,0)+1),MATCH(D$1,[1]quests!$1:$1,0)-MATCH($B$1,[1]quests!$1:$1,0)+1,FALSE)</f>
        <v>ドロップイベント4（マルチ専用）</v>
      </c>
      <c r="E353" s="5">
        <v>1</v>
      </c>
      <c r="F353" s="3" t="str">
        <f ca="1">VLOOKUP($B353&amp;"_"&amp;$E353,OFFSET([1]stages!$A$1,0,0,COUNTA([1]stages!$A:$A),MATCH(F$1,[1]stages!$2:$2,0)-MATCH("temp_stage",[1]stages!$2:$2,0)+1),MATCH(F$1,[1]stages!$2:$2,0)-MATCH("temp_stage",[1]stages!$2:$2,0)+1,FALSE)</f>
        <v>【超級】決戦・竜宮城</v>
      </c>
      <c r="G353" s="3" t="str">
        <f ca="1">VLOOKUP($B353&amp;"_"&amp;$E353,OFFSET([1]stages!$A$1,0,0,COUNTA([1]stages!$A:$A),MATCH(G$1,[1]stages!$2:$2,0)-MATCH("temp_stage",[1]stages!$2:$2,0)+1),MATCH(G$1,[1]stages!$2:$2,0)-MATCH("temp_stage",[1]stages!$2:$2,0)+1,FALSE)</f>
        <v>ドロップイベント4（マルチ専用）</v>
      </c>
      <c r="H353" s="18">
        <v>0</v>
      </c>
      <c r="I353">
        <v>34</v>
      </c>
      <c r="J353" s="5" t="s">
        <v>16</v>
      </c>
      <c r="K353" s="34" t="str">
        <f>VLOOKUP(I353,[2]stage_hints!$A:$C,3,FALSE)</f>
        <v>ステータスをスキルで下げられたら</v>
      </c>
      <c r="L353" s="35" t="str">
        <f>VLOOKUP(I353,[2]stage_hints!$A:$D,4,FALSE)</f>
        <v>ステータスダウンのスキルを受けたら_x000D_ステータスアップスキルで上書きしましょう</v>
      </c>
      <c r="M353" s="21" t="s">
        <v>23</v>
      </c>
      <c r="N353">
        <v>34</v>
      </c>
    </row>
    <row r="354" spans="1:14" x14ac:dyDescent="0.15">
      <c r="A354" s="26" t="s">
        <v>32</v>
      </c>
      <c r="B354" s="4">
        <v>30013</v>
      </c>
      <c r="C354" s="3" t="str">
        <f ca="1">VLOOKUP($B354,OFFSET([1]quests!$A$1,0,0,COUNTA([1]quests!$A:$A),MATCH(C$1,[1]quests!$1:$1,0)-MATCH($B$1,[1]quests!$1:$1,0)+1),MATCH(C$1,[1]quests!$1:$1,0)-MATCH($B$1,[1]quests!$1:$1,0)+1,FALSE)</f>
        <v>決戦・竜宮城</v>
      </c>
      <c r="D354" s="3" t="str">
        <f ca="1">VLOOKUP($B354,OFFSET([1]quests!$A$1,0,0,COUNTA([1]quests!$A:$A),MATCH(D$1,[1]quests!$1:$1,0)-MATCH($B$1,[1]quests!$1:$1,0)+1),MATCH(D$1,[1]quests!$1:$1,0)-MATCH($B$1,[1]quests!$1:$1,0)+1,FALSE)</f>
        <v>ドロップイベント4（マルチ専用）</v>
      </c>
      <c r="E354" s="5">
        <v>1</v>
      </c>
      <c r="F354" s="3" t="str">
        <f ca="1">VLOOKUP($B354&amp;"_"&amp;$E354,OFFSET([1]stages!$A$1,0,0,COUNTA([1]stages!$A:$A),MATCH(F$1,[1]stages!$2:$2,0)-MATCH("temp_stage",[1]stages!$2:$2,0)+1),MATCH(F$1,[1]stages!$2:$2,0)-MATCH("temp_stage",[1]stages!$2:$2,0)+1,FALSE)</f>
        <v>【超級】決戦・竜宮城</v>
      </c>
      <c r="G354" s="3" t="str">
        <f ca="1">VLOOKUP($B354&amp;"_"&amp;$E354,OFFSET([1]stages!$A$1,0,0,COUNTA([1]stages!$A:$A),MATCH(G$1,[1]stages!$2:$2,0)-MATCH("temp_stage",[1]stages!$2:$2,0)+1),MATCH(G$1,[1]stages!$2:$2,0)-MATCH("temp_stage",[1]stages!$2:$2,0)+1,FALSE)</f>
        <v>ドロップイベント4（マルチ専用）</v>
      </c>
      <c r="H354" s="18">
        <v>0</v>
      </c>
      <c r="I354">
        <v>35</v>
      </c>
      <c r="J354" s="5" t="s">
        <v>16</v>
      </c>
      <c r="K354" s="34" t="str">
        <f>VLOOKUP(I354,[2]stage_hints!$A:$C,3,FALSE)</f>
        <v>敵のステータスがスキルで上がったら</v>
      </c>
      <c r="L354" s="35" t="str">
        <f>VLOOKUP(I354,[2]stage_hints!$A:$D,4,FALSE)</f>
        <v>敵のステータスがスキルでアップしたときは_x000D_ステータスダウンスキルで上書きしましょう</v>
      </c>
      <c r="M354" s="21" t="s">
        <v>23</v>
      </c>
      <c r="N354">
        <v>35</v>
      </c>
    </row>
    <row r="355" spans="1:14" x14ac:dyDescent="0.15">
      <c r="A355" s="26" t="s">
        <v>32</v>
      </c>
      <c r="B355" s="4">
        <v>30013</v>
      </c>
      <c r="C355" s="3" t="str">
        <f ca="1">VLOOKUP($B355,OFFSET([1]quests!$A$1,0,0,COUNTA([1]quests!$A:$A),MATCH(C$1,[1]quests!$1:$1,0)-MATCH($B$1,[1]quests!$1:$1,0)+1),MATCH(C$1,[1]quests!$1:$1,0)-MATCH($B$1,[1]quests!$1:$1,0)+1,FALSE)</f>
        <v>決戦・竜宮城</v>
      </c>
      <c r="D355" s="3" t="str">
        <f ca="1">VLOOKUP($B355,OFFSET([1]quests!$A$1,0,0,COUNTA([1]quests!$A:$A),MATCH(D$1,[1]quests!$1:$1,0)-MATCH($B$1,[1]quests!$1:$1,0)+1),MATCH(D$1,[1]quests!$1:$1,0)-MATCH($B$1,[1]quests!$1:$1,0)+1,FALSE)</f>
        <v>ドロップイベント4（マルチ専用）</v>
      </c>
      <c r="E355" s="5">
        <v>1</v>
      </c>
      <c r="F355" s="3" t="str">
        <f ca="1">VLOOKUP($B355&amp;"_"&amp;$E355,OFFSET([1]stages!$A$1,0,0,COUNTA([1]stages!$A:$A),MATCH(F$1,[1]stages!$2:$2,0)-MATCH("temp_stage",[1]stages!$2:$2,0)+1),MATCH(F$1,[1]stages!$2:$2,0)-MATCH("temp_stage",[1]stages!$2:$2,0)+1,FALSE)</f>
        <v>【超級】決戦・竜宮城</v>
      </c>
      <c r="G355" s="3" t="str">
        <f ca="1">VLOOKUP($B355&amp;"_"&amp;$E355,OFFSET([1]stages!$A$1,0,0,COUNTA([1]stages!$A:$A),MATCH(G$1,[1]stages!$2:$2,0)-MATCH("temp_stage",[1]stages!$2:$2,0)+1),MATCH(G$1,[1]stages!$2:$2,0)-MATCH("temp_stage",[1]stages!$2:$2,0)+1,FALSE)</f>
        <v>ドロップイベント4（マルチ専用）</v>
      </c>
      <c r="H355" s="18">
        <v>0</v>
      </c>
      <c r="I355">
        <v>36</v>
      </c>
      <c r="J355" s="5" t="s">
        <v>16</v>
      </c>
      <c r="K355" s="34" t="str">
        <f>VLOOKUP(I355,[2]stage_hints!$A:$C,3,FALSE)</f>
        <v>タワーオブザクイーンのボス</v>
      </c>
      <c r="L355" s="35" t="str">
        <f>VLOOKUP(I355,[2]stage_hints!$A:$D,4,FALSE)</f>
        <v>「タワーオブザクイーン」最上階のボスは_x000D_15階の初回クリア報酬で獲得できるほか_x000D_その階にて低確率でドロップもします</v>
      </c>
      <c r="M355" s="21" t="s">
        <v>23</v>
      </c>
      <c r="N355">
        <v>36</v>
      </c>
    </row>
    <row r="356" spans="1:14" x14ac:dyDescent="0.15">
      <c r="A356" s="26" t="s">
        <v>32</v>
      </c>
      <c r="B356" s="4">
        <v>30013</v>
      </c>
      <c r="C356" s="3" t="str">
        <f ca="1">VLOOKUP($B356,OFFSET([1]quests!$A$1,0,0,COUNTA([1]quests!$A:$A),MATCH(C$1,[1]quests!$1:$1,0)-MATCH($B$1,[1]quests!$1:$1,0)+1),MATCH(C$1,[1]quests!$1:$1,0)-MATCH($B$1,[1]quests!$1:$1,0)+1,FALSE)</f>
        <v>決戦・竜宮城</v>
      </c>
      <c r="D356" s="3" t="str">
        <f ca="1">VLOOKUP($B356,OFFSET([1]quests!$A$1,0,0,COUNTA([1]quests!$A:$A),MATCH(D$1,[1]quests!$1:$1,0)-MATCH($B$1,[1]quests!$1:$1,0)+1),MATCH(D$1,[1]quests!$1:$1,0)-MATCH($B$1,[1]quests!$1:$1,0)+1,FALSE)</f>
        <v>ドロップイベント4（マルチ専用）</v>
      </c>
      <c r="E356" s="5">
        <v>1</v>
      </c>
      <c r="F356" s="3" t="str">
        <f ca="1">VLOOKUP($B356&amp;"_"&amp;$E356,OFFSET([1]stages!$A$1,0,0,COUNTA([1]stages!$A:$A),MATCH(F$1,[1]stages!$2:$2,0)-MATCH("temp_stage",[1]stages!$2:$2,0)+1),MATCH(F$1,[1]stages!$2:$2,0)-MATCH("temp_stage",[1]stages!$2:$2,0)+1,FALSE)</f>
        <v>【超級】決戦・竜宮城</v>
      </c>
      <c r="G356" s="3" t="str">
        <f ca="1">VLOOKUP($B356&amp;"_"&amp;$E356,OFFSET([1]stages!$A$1,0,0,COUNTA([1]stages!$A:$A),MATCH(G$1,[1]stages!$2:$2,0)-MATCH("temp_stage",[1]stages!$2:$2,0)+1),MATCH(G$1,[1]stages!$2:$2,0)-MATCH("temp_stage",[1]stages!$2:$2,0)+1,FALSE)</f>
        <v>ドロップイベント4（マルチ専用）</v>
      </c>
      <c r="H356" s="18">
        <v>0</v>
      </c>
      <c r="I356">
        <v>37</v>
      </c>
      <c r="J356" s="5" t="s">
        <v>16</v>
      </c>
      <c r="K356" s="34" t="str">
        <f>VLOOKUP(I356,[2]stage_hints!$A:$C,3,FALSE)</f>
        <v>限界突破値の引き継ぎ</v>
      </c>
      <c r="L356" s="35" t="str">
        <f>VLOOKUP(I356,[2]stage_hints!$A:$D,4,FALSE)</f>
        <v>同じユニットを強化で合成すると_x000D_限界突破値を引き継げます（覚醒前後も可）</v>
      </c>
      <c r="M356" s="21" t="s">
        <v>23</v>
      </c>
      <c r="N356">
        <v>37</v>
      </c>
    </row>
    <row r="357" spans="1:14" x14ac:dyDescent="0.15">
      <c r="A357" s="26" t="s">
        <v>32</v>
      </c>
      <c r="B357" s="4">
        <v>30014</v>
      </c>
      <c r="C357" s="3" t="str">
        <f ca="1">VLOOKUP($B357,OFFSET([1]quests!$A$1,0,0,COUNTA([1]quests!$A:$A),MATCH(C$1,[1]quests!$1:$1,0)-MATCH($B$1,[1]quests!$1:$1,0)+1),MATCH(C$1,[1]quests!$1:$1,0)-MATCH($B$1,[1]quests!$1:$1,0)+1,FALSE)</f>
        <v>親指を突き立てろ！</v>
      </c>
      <c r="D357" s="3" t="str">
        <f ca="1">VLOOKUP($B357,OFFSET([1]quests!$A$1,0,0,COUNTA([1]quests!$A:$A),MATCH(D$1,[1]quests!$1:$1,0)-MATCH($B$1,[1]quests!$1:$1,0)+1),MATCH(D$1,[1]quests!$1:$1,0)-MATCH($B$1,[1]quests!$1:$1,0)+1,FALSE)</f>
        <v>ドロップイベント4（マルチ専用）</v>
      </c>
      <c r="E357" s="5">
        <v>1</v>
      </c>
      <c r="F357" s="3" t="str">
        <f ca="1">VLOOKUP($B357&amp;"_"&amp;$E357,OFFSET([1]stages!$A$1,0,0,COUNTA([1]stages!$A:$A),MATCH(F$1,[1]stages!$2:$2,0)-MATCH("temp_stage",[1]stages!$2:$2,0)+1),MATCH(F$1,[1]stages!$2:$2,0)-MATCH("temp_stage",[1]stages!$2:$2,0)+1,FALSE)</f>
        <v>【超級】親指を突き立てろ！</v>
      </c>
      <c r="G357" s="3" t="str">
        <f ca="1">VLOOKUP($B357&amp;"_"&amp;$E357,OFFSET([1]stages!$A$1,0,0,COUNTA([1]stages!$A:$A),MATCH(G$1,[1]stages!$2:$2,0)-MATCH("temp_stage",[1]stages!$2:$2,0)+1),MATCH(G$1,[1]stages!$2:$2,0)-MATCH("temp_stage",[1]stages!$2:$2,0)+1,FALSE)</f>
        <v>ドロップイベント4（マルチ専用）</v>
      </c>
      <c r="H357" s="18">
        <v>0</v>
      </c>
      <c r="I357">
        <v>12</v>
      </c>
      <c r="J357" s="5" t="s">
        <v>16</v>
      </c>
      <c r="K357" s="34" t="str">
        <f>VLOOKUP(I357,[2]stage_hints!$A:$C,3,FALSE)</f>
        <v>ユニットのお気に入り登録</v>
      </c>
      <c r="L357" s="35" t="str">
        <f>VLOOKUP(I357,[2]stage_hints!$A:$D,4,FALSE)</f>
        <v>大事なユニットを誤って消さないように_x000D_フォルダから「お気に入り登録」しましょう</v>
      </c>
      <c r="M357" s="21" t="s">
        <v>23</v>
      </c>
      <c r="N357">
        <v>12</v>
      </c>
    </row>
    <row r="358" spans="1:14" x14ac:dyDescent="0.15">
      <c r="A358" s="26" t="s">
        <v>32</v>
      </c>
      <c r="B358" s="4">
        <v>30014</v>
      </c>
      <c r="C358" s="3" t="str">
        <f ca="1">VLOOKUP($B358,OFFSET([1]quests!$A$1,0,0,COUNTA([1]quests!$A:$A),MATCH(C$1,[1]quests!$1:$1,0)-MATCH($B$1,[1]quests!$1:$1,0)+1),MATCH(C$1,[1]quests!$1:$1,0)-MATCH($B$1,[1]quests!$1:$1,0)+1,FALSE)</f>
        <v>親指を突き立てろ！</v>
      </c>
      <c r="D358" s="3" t="str">
        <f ca="1">VLOOKUP($B358,OFFSET([1]quests!$A$1,0,0,COUNTA([1]quests!$A:$A),MATCH(D$1,[1]quests!$1:$1,0)-MATCH($B$1,[1]quests!$1:$1,0)+1),MATCH(D$1,[1]quests!$1:$1,0)-MATCH($B$1,[1]quests!$1:$1,0)+1,FALSE)</f>
        <v>ドロップイベント4（マルチ専用）</v>
      </c>
      <c r="E358" s="5">
        <v>1</v>
      </c>
      <c r="F358" s="3" t="str">
        <f ca="1">VLOOKUP($B358&amp;"_"&amp;$E358,OFFSET([1]stages!$A$1,0,0,COUNTA([1]stages!$A:$A),MATCH(F$1,[1]stages!$2:$2,0)-MATCH("temp_stage",[1]stages!$2:$2,0)+1),MATCH(F$1,[1]stages!$2:$2,0)-MATCH("temp_stage",[1]stages!$2:$2,0)+1,FALSE)</f>
        <v>【超級】親指を突き立てろ！</v>
      </c>
      <c r="G358" s="3" t="str">
        <f ca="1">VLOOKUP($B358&amp;"_"&amp;$E358,OFFSET([1]stages!$A$1,0,0,COUNTA([1]stages!$A:$A),MATCH(G$1,[1]stages!$2:$2,0)-MATCH("temp_stage",[1]stages!$2:$2,0)+1),MATCH(G$1,[1]stages!$2:$2,0)-MATCH("temp_stage",[1]stages!$2:$2,0)+1,FALSE)</f>
        <v>ドロップイベント4（マルチ専用）</v>
      </c>
      <c r="H358" s="18">
        <v>0</v>
      </c>
      <c r="I358">
        <v>17</v>
      </c>
      <c r="J358" s="5" t="s">
        <v>16</v>
      </c>
      <c r="K358" s="34" t="str">
        <f>VLOOKUP(I358,[2]stage_hints!$A:$C,3,FALSE)</f>
        <v>リンクガチャ</v>
      </c>
      <c r="L358" s="35" t="str">
        <f>VLOOKUP(I358,[2]stage_hints!$A:$D,4,FALSE)</f>
        <v>無料のリンクガチャを回して_x000D_経験値素材や売却素材を獲得しましょう</v>
      </c>
      <c r="M358" s="21" t="s">
        <v>23</v>
      </c>
      <c r="N358">
        <v>17</v>
      </c>
    </row>
    <row r="359" spans="1:14" x14ac:dyDescent="0.15">
      <c r="A359" s="26" t="s">
        <v>32</v>
      </c>
      <c r="B359" s="4">
        <v>30014</v>
      </c>
      <c r="C359" s="3" t="str">
        <f ca="1">VLOOKUP($B359,OFFSET([1]quests!$A$1,0,0,COUNTA([1]quests!$A:$A),MATCH(C$1,[1]quests!$1:$1,0)-MATCH($B$1,[1]quests!$1:$1,0)+1),MATCH(C$1,[1]quests!$1:$1,0)-MATCH($B$1,[1]quests!$1:$1,0)+1,FALSE)</f>
        <v>親指を突き立てろ！</v>
      </c>
      <c r="D359" s="3" t="str">
        <f ca="1">VLOOKUP($B359,OFFSET([1]quests!$A$1,0,0,COUNTA([1]quests!$A:$A),MATCH(D$1,[1]quests!$1:$1,0)-MATCH($B$1,[1]quests!$1:$1,0)+1),MATCH(D$1,[1]quests!$1:$1,0)-MATCH($B$1,[1]quests!$1:$1,0)+1,FALSE)</f>
        <v>ドロップイベント4（マルチ専用）</v>
      </c>
      <c r="E359" s="5">
        <v>1</v>
      </c>
      <c r="F359" s="3" t="str">
        <f ca="1">VLOOKUP($B359&amp;"_"&amp;$E359,OFFSET([1]stages!$A$1,0,0,COUNTA([1]stages!$A:$A),MATCH(F$1,[1]stages!$2:$2,0)-MATCH("temp_stage",[1]stages!$2:$2,0)+1),MATCH(F$1,[1]stages!$2:$2,0)-MATCH("temp_stage",[1]stages!$2:$2,0)+1,FALSE)</f>
        <v>【超級】親指を突き立てろ！</v>
      </c>
      <c r="G359" s="3" t="str">
        <f ca="1">VLOOKUP($B359&amp;"_"&amp;$E359,OFFSET([1]stages!$A$1,0,0,COUNTA([1]stages!$A:$A),MATCH(G$1,[1]stages!$2:$2,0)-MATCH("temp_stage",[1]stages!$2:$2,0)+1),MATCH(G$1,[1]stages!$2:$2,0)-MATCH("temp_stage",[1]stages!$2:$2,0)+1,FALSE)</f>
        <v>ドロップイベント4（マルチ専用）</v>
      </c>
      <c r="H359" s="18">
        <v>0</v>
      </c>
      <c r="I359">
        <v>19</v>
      </c>
      <c r="J359" s="5" t="s">
        <v>16</v>
      </c>
      <c r="K359" s="34" t="str">
        <f>VLOOKUP(I359,[2]stage_hints!$A:$C,3,FALSE)</f>
        <v>ソロ専用タワーオブザクイーン</v>
      </c>
      <c r="L359" s="35" t="str">
        <f>VLOOKUP(I359,[2]stage_hints!$A:$D,4,FALSE)</f>
        <v>ソロ専用の「タワーオブザクイーン」は_x000D_期間限定で定期的に開催されます_x000D_ここでしか獲得できない報酬もあるようです</v>
      </c>
      <c r="M359" s="21" t="s">
        <v>23</v>
      </c>
      <c r="N359">
        <v>19</v>
      </c>
    </row>
    <row r="360" spans="1:14" x14ac:dyDescent="0.15">
      <c r="A360" s="26" t="s">
        <v>32</v>
      </c>
      <c r="B360" s="4">
        <v>30014</v>
      </c>
      <c r="C360" s="3" t="str">
        <f ca="1">VLOOKUP($B360,OFFSET([1]quests!$A$1,0,0,COUNTA([1]quests!$A:$A),MATCH(C$1,[1]quests!$1:$1,0)-MATCH($B$1,[1]quests!$1:$1,0)+1),MATCH(C$1,[1]quests!$1:$1,0)-MATCH($B$1,[1]quests!$1:$1,0)+1,FALSE)</f>
        <v>親指を突き立てろ！</v>
      </c>
      <c r="D360" s="3" t="str">
        <f ca="1">VLOOKUP($B360,OFFSET([1]quests!$A$1,0,0,COUNTA([1]quests!$A:$A),MATCH(D$1,[1]quests!$1:$1,0)-MATCH($B$1,[1]quests!$1:$1,0)+1),MATCH(D$1,[1]quests!$1:$1,0)-MATCH($B$1,[1]quests!$1:$1,0)+1,FALSE)</f>
        <v>ドロップイベント4（マルチ専用）</v>
      </c>
      <c r="E360" s="5">
        <v>1</v>
      </c>
      <c r="F360" s="3" t="str">
        <f ca="1">VLOOKUP($B360&amp;"_"&amp;$E360,OFFSET([1]stages!$A$1,0,0,COUNTA([1]stages!$A:$A),MATCH(F$1,[1]stages!$2:$2,0)-MATCH("temp_stage",[1]stages!$2:$2,0)+1),MATCH(F$1,[1]stages!$2:$2,0)-MATCH("temp_stage",[1]stages!$2:$2,0)+1,FALSE)</f>
        <v>【超級】親指を突き立てろ！</v>
      </c>
      <c r="G360" s="3" t="str">
        <f ca="1">VLOOKUP($B360&amp;"_"&amp;$E360,OFFSET([1]stages!$A$1,0,0,COUNTA([1]stages!$A:$A),MATCH(G$1,[1]stages!$2:$2,0)-MATCH("temp_stage",[1]stages!$2:$2,0)+1),MATCH(G$1,[1]stages!$2:$2,0)-MATCH("temp_stage",[1]stages!$2:$2,0)+1,FALSE)</f>
        <v>ドロップイベント4（マルチ専用）</v>
      </c>
      <c r="H360" s="18">
        <v>0</v>
      </c>
      <c r="I360">
        <v>21</v>
      </c>
      <c r="J360" s="5" t="s">
        <v>16</v>
      </c>
      <c r="K360" s="34" t="str">
        <f>VLOOKUP(I360,[2]stage_hints!$A:$C,3,FALSE)</f>
        <v>スキルを有効に</v>
      </c>
      <c r="L360" s="35" t="str">
        <f>VLOOKUP(I360,[2]stage_hints!$A:$D,4,FALSE)</f>
        <v>ターン経過でユニットのスキルが使えます_x000D_強力スキルでバトルを有利に進めましょう</v>
      </c>
      <c r="M360" s="21" t="s">
        <v>23</v>
      </c>
      <c r="N360">
        <v>21</v>
      </c>
    </row>
    <row r="361" spans="1:14" x14ac:dyDescent="0.15">
      <c r="A361" s="26" t="s">
        <v>32</v>
      </c>
      <c r="B361" s="4">
        <v>30014</v>
      </c>
      <c r="C361" s="3" t="str">
        <f ca="1">VLOOKUP($B361,OFFSET([1]quests!$A$1,0,0,COUNTA([1]quests!$A:$A),MATCH(C$1,[1]quests!$1:$1,0)-MATCH($B$1,[1]quests!$1:$1,0)+1),MATCH(C$1,[1]quests!$1:$1,0)-MATCH($B$1,[1]quests!$1:$1,0)+1,FALSE)</f>
        <v>親指を突き立てろ！</v>
      </c>
      <c r="D361" s="3" t="str">
        <f ca="1">VLOOKUP($B361,OFFSET([1]quests!$A$1,0,0,COUNTA([1]quests!$A:$A),MATCH(D$1,[1]quests!$1:$1,0)-MATCH($B$1,[1]quests!$1:$1,0)+1),MATCH(D$1,[1]quests!$1:$1,0)-MATCH($B$1,[1]quests!$1:$1,0)+1,FALSE)</f>
        <v>ドロップイベント4（マルチ専用）</v>
      </c>
      <c r="E361" s="5">
        <v>1</v>
      </c>
      <c r="F361" s="3" t="str">
        <f ca="1">VLOOKUP($B361&amp;"_"&amp;$E361,OFFSET([1]stages!$A$1,0,0,COUNTA([1]stages!$A:$A),MATCH(F$1,[1]stages!$2:$2,0)-MATCH("temp_stage",[1]stages!$2:$2,0)+1),MATCH(F$1,[1]stages!$2:$2,0)-MATCH("temp_stage",[1]stages!$2:$2,0)+1,FALSE)</f>
        <v>【超級】親指を突き立てろ！</v>
      </c>
      <c r="G361" s="3" t="str">
        <f ca="1">VLOOKUP($B361&amp;"_"&amp;$E361,OFFSET([1]stages!$A$1,0,0,COUNTA([1]stages!$A:$A),MATCH(G$1,[1]stages!$2:$2,0)-MATCH("temp_stage",[1]stages!$2:$2,0)+1),MATCH(G$1,[1]stages!$2:$2,0)-MATCH("temp_stage",[1]stages!$2:$2,0)+1,FALSE)</f>
        <v>ドロップイベント4（マルチ専用）</v>
      </c>
      <c r="H361" s="18">
        <v>0</v>
      </c>
      <c r="I361">
        <v>27</v>
      </c>
      <c r="J361" s="5" t="s">
        <v>16</v>
      </c>
      <c r="K361" s="34" t="str">
        <f>VLOOKUP(I361,[2]stage_hints!$A:$C,3,FALSE)</f>
        <v>ホーム画面からデッキを編成</v>
      </c>
      <c r="L361" s="35" t="str">
        <f>VLOOKUP(I361,[2]stage_hints!$A:$D,4,FALSE)</f>
        <v>ホーム画面でユニットを長押しすると_x000D_すぐにパーティ編成に移動できます</v>
      </c>
      <c r="M361" s="21" t="s">
        <v>23</v>
      </c>
      <c r="N361">
        <v>27</v>
      </c>
    </row>
    <row r="362" spans="1:14" x14ac:dyDescent="0.15">
      <c r="A362" s="26" t="s">
        <v>32</v>
      </c>
      <c r="B362" s="4">
        <v>30014</v>
      </c>
      <c r="C362" s="3" t="str">
        <f ca="1">VLOOKUP($B362,OFFSET([1]quests!$A$1,0,0,COUNTA([1]quests!$A:$A),MATCH(C$1,[1]quests!$1:$1,0)-MATCH($B$1,[1]quests!$1:$1,0)+1),MATCH(C$1,[1]quests!$1:$1,0)-MATCH($B$1,[1]quests!$1:$1,0)+1,FALSE)</f>
        <v>親指を突き立てろ！</v>
      </c>
      <c r="D362" s="3" t="str">
        <f ca="1">VLOOKUP($B362,OFFSET([1]quests!$A$1,0,0,COUNTA([1]quests!$A:$A),MATCH(D$1,[1]quests!$1:$1,0)-MATCH($B$1,[1]quests!$1:$1,0)+1),MATCH(D$1,[1]quests!$1:$1,0)-MATCH($B$1,[1]quests!$1:$1,0)+1,FALSE)</f>
        <v>ドロップイベント4（マルチ専用）</v>
      </c>
      <c r="E362" s="5">
        <v>1</v>
      </c>
      <c r="F362" s="3" t="str">
        <f ca="1">VLOOKUP($B362&amp;"_"&amp;$E362,OFFSET([1]stages!$A$1,0,0,COUNTA([1]stages!$A:$A),MATCH(F$1,[1]stages!$2:$2,0)-MATCH("temp_stage",[1]stages!$2:$2,0)+1),MATCH(F$1,[1]stages!$2:$2,0)-MATCH("temp_stage",[1]stages!$2:$2,0)+1,FALSE)</f>
        <v>【超級】親指を突き立てろ！</v>
      </c>
      <c r="G362" s="3" t="str">
        <f ca="1">VLOOKUP($B362&amp;"_"&amp;$E362,OFFSET([1]stages!$A$1,0,0,COUNTA([1]stages!$A:$A),MATCH(G$1,[1]stages!$2:$2,0)-MATCH("temp_stage",[1]stages!$2:$2,0)+1),MATCH(G$1,[1]stages!$2:$2,0)-MATCH("temp_stage",[1]stages!$2:$2,0)+1,FALSE)</f>
        <v>ドロップイベント4（マルチ専用）</v>
      </c>
      <c r="H362" s="18">
        <v>0</v>
      </c>
      <c r="I362">
        <v>28</v>
      </c>
      <c r="J362" s="5" t="s">
        <v>16</v>
      </c>
      <c r="K362" s="34" t="str">
        <f>VLOOKUP(I362,[2]stage_hints!$A:$C,3,FALSE)</f>
        <v>ステータス情報は長押しで</v>
      </c>
      <c r="L362" s="35" t="str">
        <f>VLOOKUP(I362,[2]stage_hints!$A:$D,4,FALSE)</f>
        <v>ユニットのアイコンを長押しすると_x000D_ステータス情報を確認することができます</v>
      </c>
      <c r="M362" s="21" t="s">
        <v>23</v>
      </c>
      <c r="N362">
        <v>28</v>
      </c>
    </row>
    <row r="363" spans="1:14" x14ac:dyDescent="0.15">
      <c r="A363" s="26" t="s">
        <v>32</v>
      </c>
      <c r="B363" s="4">
        <v>30014</v>
      </c>
      <c r="C363" s="3" t="str">
        <f ca="1">VLOOKUP($B363,OFFSET([1]quests!$A$1,0,0,COUNTA([1]quests!$A:$A),MATCH(C$1,[1]quests!$1:$1,0)-MATCH($B$1,[1]quests!$1:$1,0)+1),MATCH(C$1,[1]quests!$1:$1,0)-MATCH($B$1,[1]quests!$1:$1,0)+1,FALSE)</f>
        <v>親指を突き立てろ！</v>
      </c>
      <c r="D363" s="3" t="str">
        <f ca="1">VLOOKUP($B363,OFFSET([1]quests!$A$1,0,0,COUNTA([1]quests!$A:$A),MATCH(D$1,[1]quests!$1:$1,0)-MATCH($B$1,[1]quests!$1:$1,0)+1),MATCH(D$1,[1]quests!$1:$1,0)-MATCH($B$1,[1]quests!$1:$1,0)+1,FALSE)</f>
        <v>ドロップイベント4（マルチ専用）</v>
      </c>
      <c r="E363" s="5">
        <v>1</v>
      </c>
      <c r="F363" s="3" t="str">
        <f ca="1">VLOOKUP($B363&amp;"_"&amp;$E363,OFFSET([1]stages!$A$1,0,0,COUNTA([1]stages!$A:$A),MATCH(F$1,[1]stages!$2:$2,0)-MATCH("temp_stage",[1]stages!$2:$2,0)+1),MATCH(F$1,[1]stages!$2:$2,0)-MATCH("temp_stage",[1]stages!$2:$2,0)+1,FALSE)</f>
        <v>【超級】親指を突き立てろ！</v>
      </c>
      <c r="G363" s="3" t="str">
        <f ca="1">VLOOKUP($B363&amp;"_"&amp;$E363,OFFSET([1]stages!$A$1,0,0,COUNTA([1]stages!$A:$A),MATCH(G$1,[1]stages!$2:$2,0)-MATCH("temp_stage",[1]stages!$2:$2,0)+1),MATCH(G$1,[1]stages!$2:$2,0)-MATCH("temp_stage",[1]stages!$2:$2,0)+1,FALSE)</f>
        <v>ドロップイベント4（マルチ専用）</v>
      </c>
      <c r="H363" s="18">
        <v>0</v>
      </c>
      <c r="I363">
        <v>29</v>
      </c>
      <c r="J363" s="5" t="s">
        <v>16</v>
      </c>
      <c r="K363" s="34" t="str">
        <f>VLOOKUP(I363,[2]stage_hints!$A:$C,3,FALSE)</f>
        <v>「バグ」のメリット</v>
      </c>
      <c r="L363" s="35" t="str">
        <f>VLOOKUP(I363,[2]stage_hints!$A:$D,4,FALSE)</f>
        <v>ユニットの「バグ」を増やすと_x000D_報酬をもらえる確率がアップします</v>
      </c>
      <c r="M363" s="21" t="s">
        <v>23</v>
      </c>
      <c r="N363">
        <v>29</v>
      </c>
    </row>
    <row r="364" spans="1:14" x14ac:dyDescent="0.15">
      <c r="A364" s="26" t="s">
        <v>32</v>
      </c>
      <c r="B364" s="4">
        <v>30014</v>
      </c>
      <c r="C364" s="3" t="str">
        <f ca="1">VLOOKUP($B364,OFFSET([1]quests!$A$1,0,0,COUNTA([1]quests!$A:$A),MATCH(C$1,[1]quests!$1:$1,0)-MATCH($B$1,[1]quests!$1:$1,0)+1),MATCH(C$1,[1]quests!$1:$1,0)-MATCH($B$1,[1]quests!$1:$1,0)+1,FALSE)</f>
        <v>親指を突き立てろ！</v>
      </c>
      <c r="D364" s="3" t="str">
        <f ca="1">VLOOKUP($B364,OFFSET([1]quests!$A$1,0,0,COUNTA([1]quests!$A:$A),MATCH(D$1,[1]quests!$1:$1,0)-MATCH($B$1,[1]quests!$1:$1,0)+1),MATCH(D$1,[1]quests!$1:$1,0)-MATCH($B$1,[1]quests!$1:$1,0)+1,FALSE)</f>
        <v>ドロップイベント4（マルチ専用）</v>
      </c>
      <c r="E364" s="5">
        <v>1</v>
      </c>
      <c r="F364" s="3" t="str">
        <f ca="1">VLOOKUP($B364&amp;"_"&amp;$E364,OFFSET([1]stages!$A$1,0,0,COUNTA([1]stages!$A:$A),MATCH(F$1,[1]stages!$2:$2,0)-MATCH("temp_stage",[1]stages!$2:$2,0)+1),MATCH(F$1,[1]stages!$2:$2,0)-MATCH("temp_stage",[1]stages!$2:$2,0)+1,FALSE)</f>
        <v>【超級】親指を突き立てろ！</v>
      </c>
      <c r="G364" s="3" t="str">
        <f ca="1">VLOOKUP($B364&amp;"_"&amp;$E364,OFFSET([1]stages!$A$1,0,0,COUNTA([1]stages!$A:$A),MATCH(G$1,[1]stages!$2:$2,0)-MATCH("temp_stage",[1]stages!$2:$2,0)+1),MATCH(G$1,[1]stages!$2:$2,0)-MATCH("temp_stage",[1]stages!$2:$2,0)+1,FALSE)</f>
        <v>ドロップイベント4（マルチ専用）</v>
      </c>
      <c r="H364" s="18">
        <v>0</v>
      </c>
      <c r="I364">
        <v>30</v>
      </c>
      <c r="J364" s="5" t="s">
        <v>16</v>
      </c>
      <c r="K364" s="34" t="str">
        <f>VLOOKUP(I364,[2]stage_hints!$A:$C,3,FALSE)</f>
        <v>「バグ」の増やし方</v>
      </c>
      <c r="L364" s="35" t="str">
        <f>VLOOKUP(I364,[2]stage_hints!$A:$D,4,FALSE)</f>
        <v>同じユニット同士を強化で合成すると_x000D_「バグ」を増やすことができます</v>
      </c>
      <c r="M364" s="21" t="s">
        <v>23</v>
      </c>
      <c r="N364">
        <v>30</v>
      </c>
    </row>
    <row r="365" spans="1:14" x14ac:dyDescent="0.15">
      <c r="A365" s="26" t="s">
        <v>32</v>
      </c>
      <c r="B365" s="4">
        <v>30014</v>
      </c>
      <c r="C365" s="3" t="str">
        <f ca="1">VLOOKUP($B365,OFFSET([1]quests!$A$1,0,0,COUNTA([1]quests!$A:$A),MATCH(C$1,[1]quests!$1:$1,0)-MATCH($B$1,[1]quests!$1:$1,0)+1),MATCH(C$1,[1]quests!$1:$1,0)-MATCH($B$1,[1]quests!$1:$1,0)+1,FALSE)</f>
        <v>親指を突き立てろ！</v>
      </c>
      <c r="D365" s="3" t="str">
        <f ca="1">VLOOKUP($B365,OFFSET([1]quests!$A$1,0,0,COUNTA([1]quests!$A:$A),MATCH(D$1,[1]quests!$1:$1,0)-MATCH($B$1,[1]quests!$1:$1,0)+1),MATCH(D$1,[1]quests!$1:$1,0)-MATCH($B$1,[1]quests!$1:$1,0)+1,FALSE)</f>
        <v>ドロップイベント4（マルチ専用）</v>
      </c>
      <c r="E365" s="5">
        <v>1</v>
      </c>
      <c r="F365" s="3" t="str">
        <f ca="1">VLOOKUP($B365&amp;"_"&amp;$E365,OFFSET([1]stages!$A$1,0,0,COUNTA([1]stages!$A:$A),MATCH(F$1,[1]stages!$2:$2,0)-MATCH("temp_stage",[1]stages!$2:$2,0)+1),MATCH(F$1,[1]stages!$2:$2,0)-MATCH("temp_stage",[1]stages!$2:$2,0)+1,FALSE)</f>
        <v>【超級】親指を突き立てろ！</v>
      </c>
      <c r="G365" s="3" t="str">
        <f ca="1">VLOOKUP($B365&amp;"_"&amp;$E365,OFFSET([1]stages!$A$1,0,0,COUNTA([1]stages!$A:$A),MATCH(G$1,[1]stages!$2:$2,0)-MATCH("temp_stage",[1]stages!$2:$2,0)+1),MATCH(G$1,[1]stages!$2:$2,0)-MATCH("temp_stage",[1]stages!$2:$2,0)+1,FALSE)</f>
        <v>ドロップイベント4（マルチ専用）</v>
      </c>
      <c r="H365" s="18">
        <v>0</v>
      </c>
      <c r="I365">
        <v>32</v>
      </c>
      <c r="J365" s="5" t="s">
        <v>16</v>
      </c>
      <c r="K365" s="34" t="str">
        <f>VLOOKUP(I365,[2]stage_hints!$A:$C,3,FALSE)</f>
        <v>敵の連続攻撃には</v>
      </c>
      <c r="L365" s="35" t="str">
        <f>VLOOKUP(I365,[2]stage_hints!$A:$D,4,FALSE)</f>
        <v>カウンタースキルを持つユニットがいれば_x000D_ダメージ回数分の反撃ができます</v>
      </c>
      <c r="M365" s="21" t="s">
        <v>23</v>
      </c>
      <c r="N365">
        <v>32</v>
      </c>
    </row>
    <row r="366" spans="1:14" x14ac:dyDescent="0.15">
      <c r="A366" s="26" t="s">
        <v>32</v>
      </c>
      <c r="B366" s="4">
        <v>30014</v>
      </c>
      <c r="C366" s="3" t="str">
        <f ca="1">VLOOKUP($B366,OFFSET([1]quests!$A$1,0,0,COUNTA([1]quests!$A:$A),MATCH(C$1,[1]quests!$1:$1,0)-MATCH($B$1,[1]quests!$1:$1,0)+1),MATCH(C$1,[1]quests!$1:$1,0)-MATCH($B$1,[1]quests!$1:$1,0)+1,FALSE)</f>
        <v>親指を突き立てろ！</v>
      </c>
      <c r="D366" s="3" t="str">
        <f ca="1">VLOOKUP($B366,OFFSET([1]quests!$A$1,0,0,COUNTA([1]quests!$A:$A),MATCH(D$1,[1]quests!$1:$1,0)-MATCH($B$1,[1]quests!$1:$1,0)+1),MATCH(D$1,[1]quests!$1:$1,0)-MATCH($B$1,[1]quests!$1:$1,0)+1,FALSE)</f>
        <v>ドロップイベント4（マルチ専用）</v>
      </c>
      <c r="E366" s="5">
        <v>1</v>
      </c>
      <c r="F366" s="3" t="str">
        <f ca="1">VLOOKUP($B366&amp;"_"&amp;$E366,OFFSET([1]stages!$A$1,0,0,COUNTA([1]stages!$A:$A),MATCH(F$1,[1]stages!$2:$2,0)-MATCH("temp_stage",[1]stages!$2:$2,0)+1),MATCH(F$1,[1]stages!$2:$2,0)-MATCH("temp_stage",[1]stages!$2:$2,0)+1,FALSE)</f>
        <v>【超級】親指を突き立てろ！</v>
      </c>
      <c r="G366" s="3" t="str">
        <f ca="1">VLOOKUP($B366&amp;"_"&amp;$E366,OFFSET([1]stages!$A$1,0,0,COUNTA([1]stages!$A:$A),MATCH(G$1,[1]stages!$2:$2,0)-MATCH("temp_stage",[1]stages!$2:$2,0)+1),MATCH(G$1,[1]stages!$2:$2,0)-MATCH("temp_stage",[1]stages!$2:$2,0)+1,FALSE)</f>
        <v>ドロップイベント4（マルチ専用）</v>
      </c>
      <c r="H366" s="18">
        <v>0</v>
      </c>
      <c r="I366">
        <v>33</v>
      </c>
      <c r="J366" s="5" t="s">
        <v>16</v>
      </c>
      <c r="K366" s="34" t="str">
        <f>VLOOKUP(I366,[2]stage_hints!$A:$C,3,FALSE)</f>
        <v>敵のカウンター攻撃には</v>
      </c>
      <c r="L366" s="35" t="str">
        <f>VLOOKUP(I366,[2]stage_hints!$A:$D,4,FALSE)</f>
        <v>カウンターブレイクスキルを持っていれば_x000D_敵のカウンターを解除して攻撃ができます</v>
      </c>
      <c r="M366" s="21" t="s">
        <v>23</v>
      </c>
      <c r="N366">
        <v>33</v>
      </c>
    </row>
    <row r="367" spans="1:14" x14ac:dyDescent="0.15">
      <c r="A367" s="26" t="s">
        <v>32</v>
      </c>
      <c r="B367" s="4">
        <v>30014</v>
      </c>
      <c r="C367" s="3" t="str">
        <f ca="1">VLOOKUP($B367,OFFSET([1]quests!$A$1,0,0,COUNTA([1]quests!$A:$A),MATCH(C$1,[1]quests!$1:$1,0)-MATCH($B$1,[1]quests!$1:$1,0)+1),MATCH(C$1,[1]quests!$1:$1,0)-MATCH($B$1,[1]quests!$1:$1,0)+1,FALSE)</f>
        <v>親指を突き立てろ！</v>
      </c>
      <c r="D367" s="3" t="str">
        <f ca="1">VLOOKUP($B367,OFFSET([1]quests!$A$1,0,0,COUNTA([1]quests!$A:$A),MATCH(D$1,[1]quests!$1:$1,0)-MATCH($B$1,[1]quests!$1:$1,0)+1),MATCH(D$1,[1]quests!$1:$1,0)-MATCH($B$1,[1]quests!$1:$1,0)+1,FALSE)</f>
        <v>ドロップイベント4（マルチ専用）</v>
      </c>
      <c r="E367" s="5">
        <v>1</v>
      </c>
      <c r="F367" s="3" t="str">
        <f ca="1">VLOOKUP($B367&amp;"_"&amp;$E367,OFFSET([1]stages!$A$1,0,0,COUNTA([1]stages!$A:$A),MATCH(F$1,[1]stages!$2:$2,0)-MATCH("temp_stage",[1]stages!$2:$2,0)+1),MATCH(F$1,[1]stages!$2:$2,0)-MATCH("temp_stage",[1]stages!$2:$2,0)+1,FALSE)</f>
        <v>【超級】親指を突き立てろ！</v>
      </c>
      <c r="G367" s="3" t="str">
        <f ca="1">VLOOKUP($B367&amp;"_"&amp;$E367,OFFSET([1]stages!$A$1,0,0,COUNTA([1]stages!$A:$A),MATCH(G$1,[1]stages!$2:$2,0)-MATCH("temp_stage",[1]stages!$2:$2,0)+1),MATCH(G$1,[1]stages!$2:$2,0)-MATCH("temp_stage",[1]stages!$2:$2,0)+1,FALSE)</f>
        <v>ドロップイベント4（マルチ専用）</v>
      </c>
      <c r="H367" s="18">
        <v>0</v>
      </c>
      <c r="I367">
        <v>34</v>
      </c>
      <c r="J367" s="5" t="s">
        <v>16</v>
      </c>
      <c r="K367" s="34" t="str">
        <f>VLOOKUP(I367,[2]stage_hints!$A:$C,3,FALSE)</f>
        <v>ステータスをスキルで下げられたら</v>
      </c>
      <c r="L367" s="35" t="str">
        <f>VLOOKUP(I367,[2]stage_hints!$A:$D,4,FALSE)</f>
        <v>ステータスダウンのスキルを受けたら_x000D_ステータスアップスキルで上書きしましょう</v>
      </c>
      <c r="M367" s="21" t="s">
        <v>23</v>
      </c>
      <c r="N367">
        <v>34</v>
      </c>
    </row>
    <row r="368" spans="1:14" x14ac:dyDescent="0.15">
      <c r="A368" s="26" t="s">
        <v>32</v>
      </c>
      <c r="B368" s="4">
        <v>30014</v>
      </c>
      <c r="C368" s="3" t="str">
        <f ca="1">VLOOKUP($B368,OFFSET([1]quests!$A$1,0,0,COUNTA([1]quests!$A:$A),MATCH(C$1,[1]quests!$1:$1,0)-MATCH($B$1,[1]quests!$1:$1,0)+1),MATCH(C$1,[1]quests!$1:$1,0)-MATCH($B$1,[1]quests!$1:$1,0)+1,FALSE)</f>
        <v>親指を突き立てろ！</v>
      </c>
      <c r="D368" s="3" t="str">
        <f ca="1">VLOOKUP($B368,OFFSET([1]quests!$A$1,0,0,COUNTA([1]quests!$A:$A),MATCH(D$1,[1]quests!$1:$1,0)-MATCH($B$1,[1]quests!$1:$1,0)+1),MATCH(D$1,[1]quests!$1:$1,0)-MATCH($B$1,[1]quests!$1:$1,0)+1,FALSE)</f>
        <v>ドロップイベント4（マルチ専用）</v>
      </c>
      <c r="E368" s="5">
        <v>1</v>
      </c>
      <c r="F368" s="3" t="str">
        <f ca="1">VLOOKUP($B368&amp;"_"&amp;$E368,OFFSET([1]stages!$A$1,0,0,COUNTA([1]stages!$A:$A),MATCH(F$1,[1]stages!$2:$2,0)-MATCH("temp_stage",[1]stages!$2:$2,0)+1),MATCH(F$1,[1]stages!$2:$2,0)-MATCH("temp_stage",[1]stages!$2:$2,0)+1,FALSE)</f>
        <v>【超級】親指を突き立てろ！</v>
      </c>
      <c r="G368" s="3" t="str">
        <f ca="1">VLOOKUP($B368&amp;"_"&amp;$E368,OFFSET([1]stages!$A$1,0,0,COUNTA([1]stages!$A:$A),MATCH(G$1,[1]stages!$2:$2,0)-MATCH("temp_stage",[1]stages!$2:$2,0)+1),MATCH(G$1,[1]stages!$2:$2,0)-MATCH("temp_stage",[1]stages!$2:$2,0)+1,FALSE)</f>
        <v>ドロップイベント4（マルチ専用）</v>
      </c>
      <c r="H368" s="18">
        <v>0</v>
      </c>
      <c r="I368">
        <v>35</v>
      </c>
      <c r="J368" s="5" t="s">
        <v>16</v>
      </c>
      <c r="K368" s="34" t="str">
        <f>VLOOKUP(I368,[2]stage_hints!$A:$C,3,FALSE)</f>
        <v>敵のステータスがスキルで上がったら</v>
      </c>
      <c r="L368" s="35" t="str">
        <f>VLOOKUP(I368,[2]stage_hints!$A:$D,4,FALSE)</f>
        <v>敵のステータスがスキルでアップしたときは_x000D_ステータスダウンスキルで上書きしましょう</v>
      </c>
      <c r="M368" s="21" t="s">
        <v>23</v>
      </c>
      <c r="N368">
        <v>35</v>
      </c>
    </row>
    <row r="369" spans="1:14" x14ac:dyDescent="0.15">
      <c r="A369" s="26" t="s">
        <v>32</v>
      </c>
      <c r="B369" s="4">
        <v>30014</v>
      </c>
      <c r="C369" s="3" t="str">
        <f ca="1">VLOOKUP($B369,OFFSET([1]quests!$A$1,0,0,COUNTA([1]quests!$A:$A),MATCH(C$1,[1]quests!$1:$1,0)-MATCH($B$1,[1]quests!$1:$1,0)+1),MATCH(C$1,[1]quests!$1:$1,0)-MATCH($B$1,[1]quests!$1:$1,0)+1,FALSE)</f>
        <v>親指を突き立てろ！</v>
      </c>
      <c r="D369" s="3" t="str">
        <f ca="1">VLOOKUP($B369,OFFSET([1]quests!$A$1,0,0,COUNTA([1]quests!$A:$A),MATCH(D$1,[1]quests!$1:$1,0)-MATCH($B$1,[1]quests!$1:$1,0)+1),MATCH(D$1,[1]quests!$1:$1,0)-MATCH($B$1,[1]quests!$1:$1,0)+1,FALSE)</f>
        <v>ドロップイベント4（マルチ専用）</v>
      </c>
      <c r="E369" s="5">
        <v>1</v>
      </c>
      <c r="F369" s="3" t="str">
        <f ca="1">VLOOKUP($B369&amp;"_"&amp;$E369,OFFSET([1]stages!$A$1,0,0,COUNTA([1]stages!$A:$A),MATCH(F$1,[1]stages!$2:$2,0)-MATCH("temp_stage",[1]stages!$2:$2,0)+1),MATCH(F$1,[1]stages!$2:$2,0)-MATCH("temp_stage",[1]stages!$2:$2,0)+1,FALSE)</f>
        <v>【超級】親指を突き立てろ！</v>
      </c>
      <c r="G369" s="3" t="str">
        <f ca="1">VLOOKUP($B369&amp;"_"&amp;$E369,OFFSET([1]stages!$A$1,0,0,COUNTA([1]stages!$A:$A),MATCH(G$1,[1]stages!$2:$2,0)-MATCH("temp_stage",[1]stages!$2:$2,0)+1),MATCH(G$1,[1]stages!$2:$2,0)-MATCH("temp_stage",[1]stages!$2:$2,0)+1,FALSE)</f>
        <v>ドロップイベント4（マルチ専用）</v>
      </c>
      <c r="H369" s="18">
        <v>0</v>
      </c>
      <c r="I369">
        <v>36</v>
      </c>
      <c r="J369" s="5" t="s">
        <v>16</v>
      </c>
      <c r="K369" s="34" t="str">
        <f>VLOOKUP(I369,[2]stage_hints!$A:$C,3,FALSE)</f>
        <v>タワーオブザクイーンのボス</v>
      </c>
      <c r="L369" s="35" t="str">
        <f>VLOOKUP(I369,[2]stage_hints!$A:$D,4,FALSE)</f>
        <v>「タワーオブザクイーン」最上階のボスは_x000D_15階の初回クリア報酬で獲得できるほか_x000D_その階にて低確率でドロップもします</v>
      </c>
      <c r="M369" s="21" t="s">
        <v>23</v>
      </c>
      <c r="N369">
        <v>36</v>
      </c>
    </row>
    <row r="370" spans="1:14" x14ac:dyDescent="0.15">
      <c r="A370" s="26" t="s">
        <v>32</v>
      </c>
      <c r="B370" s="4">
        <v>30014</v>
      </c>
      <c r="C370" s="3" t="str">
        <f ca="1">VLOOKUP($B370,OFFSET([1]quests!$A$1,0,0,COUNTA([1]quests!$A:$A),MATCH(C$1,[1]quests!$1:$1,0)-MATCH($B$1,[1]quests!$1:$1,0)+1),MATCH(C$1,[1]quests!$1:$1,0)-MATCH($B$1,[1]quests!$1:$1,0)+1,FALSE)</f>
        <v>親指を突き立てろ！</v>
      </c>
      <c r="D370" s="3" t="str">
        <f ca="1">VLOOKUP($B370,OFFSET([1]quests!$A$1,0,0,COUNTA([1]quests!$A:$A),MATCH(D$1,[1]quests!$1:$1,0)-MATCH($B$1,[1]quests!$1:$1,0)+1),MATCH(D$1,[1]quests!$1:$1,0)-MATCH($B$1,[1]quests!$1:$1,0)+1,FALSE)</f>
        <v>ドロップイベント4（マルチ専用）</v>
      </c>
      <c r="E370" s="5">
        <v>1</v>
      </c>
      <c r="F370" s="3" t="str">
        <f ca="1">VLOOKUP($B370&amp;"_"&amp;$E370,OFFSET([1]stages!$A$1,0,0,COUNTA([1]stages!$A:$A),MATCH(F$1,[1]stages!$2:$2,0)-MATCH("temp_stage",[1]stages!$2:$2,0)+1),MATCH(F$1,[1]stages!$2:$2,0)-MATCH("temp_stage",[1]stages!$2:$2,0)+1,FALSE)</f>
        <v>【超級】親指を突き立てろ！</v>
      </c>
      <c r="G370" s="3" t="str">
        <f ca="1">VLOOKUP($B370&amp;"_"&amp;$E370,OFFSET([1]stages!$A$1,0,0,COUNTA([1]stages!$A:$A),MATCH(G$1,[1]stages!$2:$2,0)-MATCH("temp_stage",[1]stages!$2:$2,0)+1),MATCH(G$1,[1]stages!$2:$2,0)-MATCH("temp_stage",[1]stages!$2:$2,0)+1,FALSE)</f>
        <v>ドロップイベント4（マルチ専用）</v>
      </c>
      <c r="H370" s="18">
        <v>0</v>
      </c>
      <c r="I370">
        <v>37</v>
      </c>
      <c r="J370" s="5" t="s">
        <v>16</v>
      </c>
      <c r="K370" s="34" t="str">
        <f>VLOOKUP(I370,[2]stage_hints!$A:$C,3,FALSE)</f>
        <v>限界突破値の引き継ぎ</v>
      </c>
      <c r="L370" s="35" t="str">
        <f>VLOOKUP(I370,[2]stage_hints!$A:$D,4,FALSE)</f>
        <v>同じユニットを強化で合成すると_x000D_限界突破値を引き継げます（覚醒前後も可）</v>
      </c>
      <c r="M370" s="21" t="s">
        <v>23</v>
      </c>
      <c r="N370">
        <v>37</v>
      </c>
    </row>
    <row r="371" spans="1:14" x14ac:dyDescent="0.15">
      <c r="A371" s="26" t="s">
        <v>32</v>
      </c>
      <c r="B371" s="4">
        <v>30015</v>
      </c>
      <c r="C371" s="3" t="str">
        <f ca="1">VLOOKUP($B371,OFFSET([1]quests!$A$1,0,0,COUNTA([1]quests!$A:$A),MATCH(C$1,[1]quests!$1:$1,0)-MATCH($B$1,[1]quests!$1:$1,0)+1),MATCH(C$1,[1]quests!$1:$1,0)-MATCH($B$1,[1]quests!$1:$1,0)+1,FALSE)</f>
        <v>兄妹の大冒険</v>
      </c>
      <c r="D371" s="3" t="str">
        <f ca="1">VLOOKUP($B371,OFFSET([1]quests!$A$1,0,0,COUNTA([1]quests!$A:$A),MATCH(D$1,[1]quests!$1:$1,0)-MATCH($B$1,[1]quests!$1:$1,0)+1),MATCH(D$1,[1]quests!$1:$1,0)-MATCH($B$1,[1]quests!$1:$1,0)+1,FALSE)</f>
        <v>ドロップイベント4（マルチ専用）</v>
      </c>
      <c r="E371" s="5">
        <v>1</v>
      </c>
      <c r="F371" s="3" t="str">
        <f ca="1">VLOOKUP($B371&amp;"_"&amp;$E371,OFFSET([1]stages!$A$1,0,0,COUNTA([1]stages!$A:$A),MATCH(F$1,[1]stages!$2:$2,0)-MATCH("temp_stage",[1]stages!$2:$2,0)+1),MATCH(F$1,[1]stages!$2:$2,0)-MATCH("temp_stage",[1]stages!$2:$2,0)+1,FALSE)</f>
        <v>【超級】兄妹の大冒険</v>
      </c>
      <c r="G371" s="3" t="str">
        <f ca="1">VLOOKUP($B371&amp;"_"&amp;$E371,OFFSET([1]stages!$A$1,0,0,COUNTA([1]stages!$A:$A),MATCH(G$1,[1]stages!$2:$2,0)-MATCH("temp_stage",[1]stages!$2:$2,0)+1),MATCH(G$1,[1]stages!$2:$2,0)-MATCH("temp_stage",[1]stages!$2:$2,0)+1,FALSE)</f>
        <v>ドロップイベント4（マルチ専用）</v>
      </c>
      <c r="H371" s="18">
        <v>0</v>
      </c>
      <c r="I371">
        <v>12</v>
      </c>
      <c r="J371" s="5" t="s">
        <v>16</v>
      </c>
      <c r="K371" s="34" t="str">
        <f>VLOOKUP(I371,[2]stage_hints!$A:$C,3,FALSE)</f>
        <v>ユニットのお気に入り登録</v>
      </c>
      <c r="L371" s="35" t="str">
        <f>VLOOKUP(I371,[2]stage_hints!$A:$D,4,FALSE)</f>
        <v>大事なユニットを誤って消さないように_x000D_フォルダから「お気に入り登録」しましょう</v>
      </c>
      <c r="M371" s="21" t="s">
        <v>23</v>
      </c>
      <c r="N371">
        <v>12</v>
      </c>
    </row>
    <row r="372" spans="1:14" x14ac:dyDescent="0.15">
      <c r="A372" s="26" t="s">
        <v>32</v>
      </c>
      <c r="B372" s="4">
        <v>30015</v>
      </c>
      <c r="C372" s="3" t="str">
        <f ca="1">VLOOKUP($B372,OFFSET([1]quests!$A$1,0,0,COUNTA([1]quests!$A:$A),MATCH(C$1,[1]quests!$1:$1,0)-MATCH($B$1,[1]quests!$1:$1,0)+1),MATCH(C$1,[1]quests!$1:$1,0)-MATCH($B$1,[1]quests!$1:$1,0)+1,FALSE)</f>
        <v>兄妹の大冒険</v>
      </c>
      <c r="D372" s="3" t="str">
        <f ca="1">VLOOKUP($B372,OFFSET([1]quests!$A$1,0,0,COUNTA([1]quests!$A:$A),MATCH(D$1,[1]quests!$1:$1,0)-MATCH($B$1,[1]quests!$1:$1,0)+1),MATCH(D$1,[1]quests!$1:$1,0)-MATCH($B$1,[1]quests!$1:$1,0)+1,FALSE)</f>
        <v>ドロップイベント4（マルチ専用）</v>
      </c>
      <c r="E372" s="5">
        <v>1</v>
      </c>
      <c r="F372" s="3" t="str">
        <f ca="1">VLOOKUP($B372&amp;"_"&amp;$E372,OFFSET([1]stages!$A$1,0,0,COUNTA([1]stages!$A:$A),MATCH(F$1,[1]stages!$2:$2,0)-MATCH("temp_stage",[1]stages!$2:$2,0)+1),MATCH(F$1,[1]stages!$2:$2,0)-MATCH("temp_stage",[1]stages!$2:$2,0)+1,FALSE)</f>
        <v>【超級】兄妹の大冒険</v>
      </c>
      <c r="G372" s="3" t="str">
        <f ca="1">VLOOKUP($B372&amp;"_"&amp;$E372,OFFSET([1]stages!$A$1,0,0,COUNTA([1]stages!$A:$A),MATCH(G$1,[1]stages!$2:$2,0)-MATCH("temp_stage",[1]stages!$2:$2,0)+1),MATCH(G$1,[1]stages!$2:$2,0)-MATCH("temp_stage",[1]stages!$2:$2,0)+1,FALSE)</f>
        <v>ドロップイベント4（マルチ専用）</v>
      </c>
      <c r="H372" s="18">
        <v>0</v>
      </c>
      <c r="I372">
        <v>17</v>
      </c>
      <c r="J372" s="5" t="s">
        <v>16</v>
      </c>
      <c r="K372" s="34" t="str">
        <f>VLOOKUP(I372,[2]stage_hints!$A:$C,3,FALSE)</f>
        <v>リンクガチャ</v>
      </c>
      <c r="L372" s="35" t="str">
        <f>VLOOKUP(I372,[2]stage_hints!$A:$D,4,FALSE)</f>
        <v>無料のリンクガチャを回して_x000D_経験値素材や売却素材を獲得しましょう</v>
      </c>
      <c r="M372" s="21" t="s">
        <v>23</v>
      </c>
      <c r="N372">
        <v>17</v>
      </c>
    </row>
    <row r="373" spans="1:14" x14ac:dyDescent="0.15">
      <c r="A373" s="26" t="s">
        <v>32</v>
      </c>
      <c r="B373" s="4">
        <v>30015</v>
      </c>
      <c r="C373" s="3" t="str">
        <f ca="1">VLOOKUP($B373,OFFSET([1]quests!$A$1,0,0,COUNTA([1]quests!$A:$A),MATCH(C$1,[1]quests!$1:$1,0)-MATCH($B$1,[1]quests!$1:$1,0)+1),MATCH(C$1,[1]quests!$1:$1,0)-MATCH($B$1,[1]quests!$1:$1,0)+1,FALSE)</f>
        <v>兄妹の大冒険</v>
      </c>
      <c r="D373" s="3" t="str">
        <f ca="1">VLOOKUP($B373,OFFSET([1]quests!$A$1,0,0,COUNTA([1]quests!$A:$A),MATCH(D$1,[1]quests!$1:$1,0)-MATCH($B$1,[1]quests!$1:$1,0)+1),MATCH(D$1,[1]quests!$1:$1,0)-MATCH($B$1,[1]quests!$1:$1,0)+1,FALSE)</f>
        <v>ドロップイベント4（マルチ専用）</v>
      </c>
      <c r="E373" s="5">
        <v>1</v>
      </c>
      <c r="F373" s="3" t="str">
        <f ca="1">VLOOKUP($B373&amp;"_"&amp;$E373,OFFSET([1]stages!$A$1,0,0,COUNTA([1]stages!$A:$A),MATCH(F$1,[1]stages!$2:$2,0)-MATCH("temp_stage",[1]stages!$2:$2,0)+1),MATCH(F$1,[1]stages!$2:$2,0)-MATCH("temp_stage",[1]stages!$2:$2,0)+1,FALSE)</f>
        <v>【超級】兄妹の大冒険</v>
      </c>
      <c r="G373" s="3" t="str">
        <f ca="1">VLOOKUP($B373&amp;"_"&amp;$E373,OFFSET([1]stages!$A$1,0,0,COUNTA([1]stages!$A:$A),MATCH(G$1,[1]stages!$2:$2,0)-MATCH("temp_stage",[1]stages!$2:$2,0)+1),MATCH(G$1,[1]stages!$2:$2,0)-MATCH("temp_stage",[1]stages!$2:$2,0)+1,FALSE)</f>
        <v>ドロップイベント4（マルチ専用）</v>
      </c>
      <c r="H373" s="18">
        <v>0</v>
      </c>
      <c r="I373">
        <v>19</v>
      </c>
      <c r="J373" s="5" t="s">
        <v>16</v>
      </c>
      <c r="K373" s="34" t="str">
        <f>VLOOKUP(I373,[2]stage_hints!$A:$C,3,FALSE)</f>
        <v>ソロ専用タワーオブザクイーン</v>
      </c>
      <c r="L373" s="35" t="str">
        <f>VLOOKUP(I373,[2]stage_hints!$A:$D,4,FALSE)</f>
        <v>ソロ専用の「タワーオブザクイーン」は_x000D_期間限定で定期的に開催されます_x000D_ここでしか獲得できない報酬もあるようです</v>
      </c>
      <c r="M373" s="21" t="s">
        <v>23</v>
      </c>
      <c r="N373">
        <v>19</v>
      </c>
    </row>
    <row r="374" spans="1:14" x14ac:dyDescent="0.15">
      <c r="A374" s="26" t="s">
        <v>32</v>
      </c>
      <c r="B374" s="4">
        <v>30015</v>
      </c>
      <c r="C374" s="3" t="str">
        <f ca="1">VLOOKUP($B374,OFFSET([1]quests!$A$1,0,0,COUNTA([1]quests!$A:$A),MATCH(C$1,[1]quests!$1:$1,0)-MATCH($B$1,[1]quests!$1:$1,0)+1),MATCH(C$1,[1]quests!$1:$1,0)-MATCH($B$1,[1]quests!$1:$1,0)+1,FALSE)</f>
        <v>兄妹の大冒険</v>
      </c>
      <c r="D374" s="3" t="str">
        <f ca="1">VLOOKUP($B374,OFFSET([1]quests!$A$1,0,0,COUNTA([1]quests!$A:$A),MATCH(D$1,[1]quests!$1:$1,0)-MATCH($B$1,[1]quests!$1:$1,0)+1),MATCH(D$1,[1]quests!$1:$1,0)-MATCH($B$1,[1]quests!$1:$1,0)+1,FALSE)</f>
        <v>ドロップイベント4（マルチ専用）</v>
      </c>
      <c r="E374" s="5">
        <v>1</v>
      </c>
      <c r="F374" s="3" t="str">
        <f ca="1">VLOOKUP($B374&amp;"_"&amp;$E374,OFFSET([1]stages!$A$1,0,0,COUNTA([1]stages!$A:$A),MATCH(F$1,[1]stages!$2:$2,0)-MATCH("temp_stage",[1]stages!$2:$2,0)+1),MATCH(F$1,[1]stages!$2:$2,0)-MATCH("temp_stage",[1]stages!$2:$2,0)+1,FALSE)</f>
        <v>【超級】兄妹の大冒険</v>
      </c>
      <c r="G374" s="3" t="str">
        <f ca="1">VLOOKUP($B374&amp;"_"&amp;$E374,OFFSET([1]stages!$A$1,0,0,COUNTA([1]stages!$A:$A),MATCH(G$1,[1]stages!$2:$2,0)-MATCH("temp_stage",[1]stages!$2:$2,0)+1),MATCH(G$1,[1]stages!$2:$2,0)-MATCH("temp_stage",[1]stages!$2:$2,0)+1,FALSE)</f>
        <v>ドロップイベント4（マルチ専用）</v>
      </c>
      <c r="H374" s="18">
        <v>0</v>
      </c>
      <c r="I374">
        <v>21</v>
      </c>
      <c r="J374" s="5" t="s">
        <v>16</v>
      </c>
      <c r="K374" s="34" t="str">
        <f>VLOOKUP(I374,[2]stage_hints!$A:$C,3,FALSE)</f>
        <v>スキルを有効に</v>
      </c>
      <c r="L374" s="35" t="str">
        <f>VLOOKUP(I374,[2]stage_hints!$A:$D,4,FALSE)</f>
        <v>ターン経過でユニットのスキルが使えます_x000D_強力スキルでバトルを有利に進めましょう</v>
      </c>
      <c r="M374" s="21" t="s">
        <v>23</v>
      </c>
      <c r="N374">
        <v>21</v>
      </c>
    </row>
    <row r="375" spans="1:14" x14ac:dyDescent="0.15">
      <c r="A375" s="26" t="s">
        <v>32</v>
      </c>
      <c r="B375" s="4">
        <v>30015</v>
      </c>
      <c r="C375" s="3" t="str">
        <f ca="1">VLOOKUP($B375,OFFSET([1]quests!$A$1,0,0,COUNTA([1]quests!$A:$A),MATCH(C$1,[1]quests!$1:$1,0)-MATCH($B$1,[1]quests!$1:$1,0)+1),MATCH(C$1,[1]quests!$1:$1,0)-MATCH($B$1,[1]quests!$1:$1,0)+1,FALSE)</f>
        <v>兄妹の大冒険</v>
      </c>
      <c r="D375" s="3" t="str">
        <f ca="1">VLOOKUP($B375,OFFSET([1]quests!$A$1,0,0,COUNTA([1]quests!$A:$A),MATCH(D$1,[1]quests!$1:$1,0)-MATCH($B$1,[1]quests!$1:$1,0)+1),MATCH(D$1,[1]quests!$1:$1,0)-MATCH($B$1,[1]quests!$1:$1,0)+1,FALSE)</f>
        <v>ドロップイベント4（マルチ専用）</v>
      </c>
      <c r="E375" s="5">
        <v>1</v>
      </c>
      <c r="F375" s="3" t="str">
        <f ca="1">VLOOKUP($B375&amp;"_"&amp;$E375,OFFSET([1]stages!$A$1,0,0,COUNTA([1]stages!$A:$A),MATCH(F$1,[1]stages!$2:$2,0)-MATCH("temp_stage",[1]stages!$2:$2,0)+1),MATCH(F$1,[1]stages!$2:$2,0)-MATCH("temp_stage",[1]stages!$2:$2,0)+1,FALSE)</f>
        <v>【超級】兄妹の大冒険</v>
      </c>
      <c r="G375" s="3" t="str">
        <f ca="1">VLOOKUP($B375&amp;"_"&amp;$E375,OFFSET([1]stages!$A$1,0,0,COUNTA([1]stages!$A:$A),MATCH(G$1,[1]stages!$2:$2,0)-MATCH("temp_stage",[1]stages!$2:$2,0)+1),MATCH(G$1,[1]stages!$2:$2,0)-MATCH("temp_stage",[1]stages!$2:$2,0)+1,FALSE)</f>
        <v>ドロップイベント4（マルチ専用）</v>
      </c>
      <c r="H375" s="18">
        <v>0</v>
      </c>
      <c r="I375">
        <v>27</v>
      </c>
      <c r="J375" s="5" t="s">
        <v>16</v>
      </c>
      <c r="K375" s="34" t="str">
        <f>VLOOKUP(I375,[2]stage_hints!$A:$C,3,FALSE)</f>
        <v>ホーム画面からデッキを編成</v>
      </c>
      <c r="L375" s="35" t="str">
        <f>VLOOKUP(I375,[2]stage_hints!$A:$D,4,FALSE)</f>
        <v>ホーム画面でユニットを長押しすると_x000D_すぐにパーティ編成に移動できます</v>
      </c>
      <c r="M375" s="21" t="s">
        <v>23</v>
      </c>
      <c r="N375">
        <v>27</v>
      </c>
    </row>
    <row r="376" spans="1:14" x14ac:dyDescent="0.15">
      <c r="A376" s="26" t="s">
        <v>32</v>
      </c>
      <c r="B376" s="4">
        <v>30015</v>
      </c>
      <c r="C376" s="3" t="str">
        <f ca="1">VLOOKUP($B376,OFFSET([1]quests!$A$1,0,0,COUNTA([1]quests!$A:$A),MATCH(C$1,[1]quests!$1:$1,0)-MATCH($B$1,[1]quests!$1:$1,0)+1),MATCH(C$1,[1]quests!$1:$1,0)-MATCH($B$1,[1]quests!$1:$1,0)+1,FALSE)</f>
        <v>兄妹の大冒険</v>
      </c>
      <c r="D376" s="3" t="str">
        <f ca="1">VLOOKUP($B376,OFFSET([1]quests!$A$1,0,0,COUNTA([1]quests!$A:$A),MATCH(D$1,[1]quests!$1:$1,0)-MATCH($B$1,[1]quests!$1:$1,0)+1),MATCH(D$1,[1]quests!$1:$1,0)-MATCH($B$1,[1]quests!$1:$1,0)+1,FALSE)</f>
        <v>ドロップイベント4（マルチ専用）</v>
      </c>
      <c r="E376" s="5">
        <v>1</v>
      </c>
      <c r="F376" s="3" t="str">
        <f ca="1">VLOOKUP($B376&amp;"_"&amp;$E376,OFFSET([1]stages!$A$1,0,0,COUNTA([1]stages!$A:$A),MATCH(F$1,[1]stages!$2:$2,0)-MATCH("temp_stage",[1]stages!$2:$2,0)+1),MATCH(F$1,[1]stages!$2:$2,0)-MATCH("temp_stage",[1]stages!$2:$2,0)+1,FALSE)</f>
        <v>【超級】兄妹の大冒険</v>
      </c>
      <c r="G376" s="3" t="str">
        <f ca="1">VLOOKUP($B376&amp;"_"&amp;$E376,OFFSET([1]stages!$A$1,0,0,COUNTA([1]stages!$A:$A),MATCH(G$1,[1]stages!$2:$2,0)-MATCH("temp_stage",[1]stages!$2:$2,0)+1),MATCH(G$1,[1]stages!$2:$2,0)-MATCH("temp_stage",[1]stages!$2:$2,0)+1,FALSE)</f>
        <v>ドロップイベント4（マルチ専用）</v>
      </c>
      <c r="H376" s="18">
        <v>0</v>
      </c>
      <c r="I376">
        <v>28</v>
      </c>
      <c r="J376" s="5" t="s">
        <v>16</v>
      </c>
      <c r="K376" s="34" t="str">
        <f>VLOOKUP(I376,[2]stage_hints!$A:$C,3,FALSE)</f>
        <v>ステータス情報は長押しで</v>
      </c>
      <c r="L376" s="35" t="str">
        <f>VLOOKUP(I376,[2]stage_hints!$A:$D,4,FALSE)</f>
        <v>ユニットのアイコンを長押しすると_x000D_ステータス情報を確認することができます</v>
      </c>
      <c r="M376" s="21" t="s">
        <v>23</v>
      </c>
      <c r="N376">
        <v>28</v>
      </c>
    </row>
    <row r="377" spans="1:14" x14ac:dyDescent="0.15">
      <c r="A377" s="26" t="s">
        <v>32</v>
      </c>
      <c r="B377" s="4">
        <v>30015</v>
      </c>
      <c r="C377" s="3" t="str">
        <f ca="1">VLOOKUP($B377,OFFSET([1]quests!$A$1,0,0,COUNTA([1]quests!$A:$A),MATCH(C$1,[1]quests!$1:$1,0)-MATCH($B$1,[1]quests!$1:$1,0)+1),MATCH(C$1,[1]quests!$1:$1,0)-MATCH($B$1,[1]quests!$1:$1,0)+1,FALSE)</f>
        <v>兄妹の大冒険</v>
      </c>
      <c r="D377" s="3" t="str">
        <f ca="1">VLOOKUP($B377,OFFSET([1]quests!$A$1,0,0,COUNTA([1]quests!$A:$A),MATCH(D$1,[1]quests!$1:$1,0)-MATCH($B$1,[1]quests!$1:$1,0)+1),MATCH(D$1,[1]quests!$1:$1,0)-MATCH($B$1,[1]quests!$1:$1,0)+1,FALSE)</f>
        <v>ドロップイベント4（マルチ専用）</v>
      </c>
      <c r="E377" s="5">
        <v>1</v>
      </c>
      <c r="F377" s="3" t="str">
        <f ca="1">VLOOKUP($B377&amp;"_"&amp;$E377,OFFSET([1]stages!$A$1,0,0,COUNTA([1]stages!$A:$A),MATCH(F$1,[1]stages!$2:$2,0)-MATCH("temp_stage",[1]stages!$2:$2,0)+1),MATCH(F$1,[1]stages!$2:$2,0)-MATCH("temp_stage",[1]stages!$2:$2,0)+1,FALSE)</f>
        <v>【超級】兄妹の大冒険</v>
      </c>
      <c r="G377" s="3" t="str">
        <f ca="1">VLOOKUP($B377&amp;"_"&amp;$E377,OFFSET([1]stages!$A$1,0,0,COUNTA([1]stages!$A:$A),MATCH(G$1,[1]stages!$2:$2,0)-MATCH("temp_stage",[1]stages!$2:$2,0)+1),MATCH(G$1,[1]stages!$2:$2,0)-MATCH("temp_stage",[1]stages!$2:$2,0)+1,FALSE)</f>
        <v>ドロップイベント4（マルチ専用）</v>
      </c>
      <c r="H377" s="18">
        <v>0</v>
      </c>
      <c r="I377">
        <v>29</v>
      </c>
      <c r="J377" s="5" t="s">
        <v>16</v>
      </c>
      <c r="K377" s="34" t="str">
        <f>VLOOKUP(I377,[2]stage_hints!$A:$C,3,FALSE)</f>
        <v>「バグ」のメリット</v>
      </c>
      <c r="L377" s="35" t="str">
        <f>VLOOKUP(I377,[2]stage_hints!$A:$D,4,FALSE)</f>
        <v>ユニットの「バグ」を増やすと_x000D_報酬をもらえる確率がアップします</v>
      </c>
      <c r="M377" s="21" t="s">
        <v>23</v>
      </c>
      <c r="N377">
        <v>29</v>
      </c>
    </row>
    <row r="378" spans="1:14" x14ac:dyDescent="0.15">
      <c r="A378" s="26" t="s">
        <v>32</v>
      </c>
      <c r="B378" s="4">
        <v>30015</v>
      </c>
      <c r="C378" s="3" t="str">
        <f ca="1">VLOOKUP($B378,OFFSET([1]quests!$A$1,0,0,COUNTA([1]quests!$A:$A),MATCH(C$1,[1]quests!$1:$1,0)-MATCH($B$1,[1]quests!$1:$1,0)+1),MATCH(C$1,[1]quests!$1:$1,0)-MATCH($B$1,[1]quests!$1:$1,0)+1,FALSE)</f>
        <v>兄妹の大冒険</v>
      </c>
      <c r="D378" s="3" t="str">
        <f ca="1">VLOOKUP($B378,OFFSET([1]quests!$A$1,0,0,COUNTA([1]quests!$A:$A),MATCH(D$1,[1]quests!$1:$1,0)-MATCH($B$1,[1]quests!$1:$1,0)+1),MATCH(D$1,[1]quests!$1:$1,0)-MATCH($B$1,[1]quests!$1:$1,0)+1,FALSE)</f>
        <v>ドロップイベント4（マルチ専用）</v>
      </c>
      <c r="E378" s="5">
        <v>1</v>
      </c>
      <c r="F378" s="3" t="str">
        <f ca="1">VLOOKUP($B378&amp;"_"&amp;$E378,OFFSET([1]stages!$A$1,0,0,COUNTA([1]stages!$A:$A),MATCH(F$1,[1]stages!$2:$2,0)-MATCH("temp_stage",[1]stages!$2:$2,0)+1),MATCH(F$1,[1]stages!$2:$2,0)-MATCH("temp_stage",[1]stages!$2:$2,0)+1,FALSE)</f>
        <v>【超級】兄妹の大冒険</v>
      </c>
      <c r="G378" s="3" t="str">
        <f ca="1">VLOOKUP($B378&amp;"_"&amp;$E378,OFFSET([1]stages!$A$1,0,0,COUNTA([1]stages!$A:$A),MATCH(G$1,[1]stages!$2:$2,0)-MATCH("temp_stage",[1]stages!$2:$2,0)+1),MATCH(G$1,[1]stages!$2:$2,0)-MATCH("temp_stage",[1]stages!$2:$2,0)+1,FALSE)</f>
        <v>ドロップイベント4（マルチ専用）</v>
      </c>
      <c r="H378" s="18">
        <v>0</v>
      </c>
      <c r="I378">
        <v>30</v>
      </c>
      <c r="J378" s="5" t="s">
        <v>16</v>
      </c>
      <c r="K378" s="34" t="str">
        <f>VLOOKUP(I378,[2]stage_hints!$A:$C,3,FALSE)</f>
        <v>「バグ」の増やし方</v>
      </c>
      <c r="L378" s="35" t="str">
        <f>VLOOKUP(I378,[2]stage_hints!$A:$D,4,FALSE)</f>
        <v>同じユニット同士を強化で合成すると_x000D_「バグ」を増やすことができます</v>
      </c>
      <c r="M378" s="21" t="s">
        <v>23</v>
      </c>
      <c r="N378">
        <v>30</v>
      </c>
    </row>
    <row r="379" spans="1:14" x14ac:dyDescent="0.15">
      <c r="A379" s="26" t="s">
        <v>32</v>
      </c>
      <c r="B379" s="4">
        <v>30015</v>
      </c>
      <c r="C379" s="3" t="str">
        <f ca="1">VLOOKUP($B379,OFFSET([1]quests!$A$1,0,0,COUNTA([1]quests!$A:$A),MATCH(C$1,[1]quests!$1:$1,0)-MATCH($B$1,[1]quests!$1:$1,0)+1),MATCH(C$1,[1]quests!$1:$1,0)-MATCH($B$1,[1]quests!$1:$1,0)+1,FALSE)</f>
        <v>兄妹の大冒険</v>
      </c>
      <c r="D379" s="3" t="str">
        <f ca="1">VLOOKUP($B379,OFFSET([1]quests!$A$1,0,0,COUNTA([1]quests!$A:$A),MATCH(D$1,[1]quests!$1:$1,0)-MATCH($B$1,[1]quests!$1:$1,0)+1),MATCH(D$1,[1]quests!$1:$1,0)-MATCH($B$1,[1]quests!$1:$1,0)+1,FALSE)</f>
        <v>ドロップイベント4（マルチ専用）</v>
      </c>
      <c r="E379" s="5">
        <v>1</v>
      </c>
      <c r="F379" s="3" t="str">
        <f ca="1">VLOOKUP($B379&amp;"_"&amp;$E379,OFFSET([1]stages!$A$1,0,0,COUNTA([1]stages!$A:$A),MATCH(F$1,[1]stages!$2:$2,0)-MATCH("temp_stage",[1]stages!$2:$2,0)+1),MATCH(F$1,[1]stages!$2:$2,0)-MATCH("temp_stage",[1]stages!$2:$2,0)+1,FALSE)</f>
        <v>【超級】兄妹の大冒険</v>
      </c>
      <c r="G379" s="3" t="str">
        <f ca="1">VLOOKUP($B379&amp;"_"&amp;$E379,OFFSET([1]stages!$A$1,0,0,COUNTA([1]stages!$A:$A),MATCH(G$1,[1]stages!$2:$2,0)-MATCH("temp_stage",[1]stages!$2:$2,0)+1),MATCH(G$1,[1]stages!$2:$2,0)-MATCH("temp_stage",[1]stages!$2:$2,0)+1,FALSE)</f>
        <v>ドロップイベント4（マルチ専用）</v>
      </c>
      <c r="H379" s="18">
        <v>0</v>
      </c>
      <c r="I379">
        <v>32</v>
      </c>
      <c r="J379" s="5" t="s">
        <v>16</v>
      </c>
      <c r="K379" s="34" t="str">
        <f>VLOOKUP(I379,[2]stage_hints!$A:$C,3,FALSE)</f>
        <v>敵の連続攻撃には</v>
      </c>
      <c r="L379" s="35" t="str">
        <f>VLOOKUP(I379,[2]stage_hints!$A:$D,4,FALSE)</f>
        <v>カウンタースキルを持つユニットがいれば_x000D_ダメージ回数分の反撃ができます</v>
      </c>
      <c r="M379" s="21" t="s">
        <v>23</v>
      </c>
      <c r="N379">
        <v>32</v>
      </c>
    </row>
    <row r="380" spans="1:14" x14ac:dyDescent="0.15">
      <c r="A380" s="26" t="s">
        <v>32</v>
      </c>
      <c r="B380" s="4">
        <v>30015</v>
      </c>
      <c r="C380" s="3" t="str">
        <f ca="1">VLOOKUP($B380,OFFSET([1]quests!$A$1,0,0,COUNTA([1]quests!$A:$A),MATCH(C$1,[1]quests!$1:$1,0)-MATCH($B$1,[1]quests!$1:$1,0)+1),MATCH(C$1,[1]quests!$1:$1,0)-MATCH($B$1,[1]quests!$1:$1,0)+1,FALSE)</f>
        <v>兄妹の大冒険</v>
      </c>
      <c r="D380" s="3" t="str">
        <f ca="1">VLOOKUP($B380,OFFSET([1]quests!$A$1,0,0,COUNTA([1]quests!$A:$A),MATCH(D$1,[1]quests!$1:$1,0)-MATCH($B$1,[1]quests!$1:$1,0)+1),MATCH(D$1,[1]quests!$1:$1,0)-MATCH($B$1,[1]quests!$1:$1,0)+1,FALSE)</f>
        <v>ドロップイベント4（マルチ専用）</v>
      </c>
      <c r="E380" s="5">
        <v>1</v>
      </c>
      <c r="F380" s="3" t="str">
        <f ca="1">VLOOKUP($B380&amp;"_"&amp;$E380,OFFSET([1]stages!$A$1,0,0,COUNTA([1]stages!$A:$A),MATCH(F$1,[1]stages!$2:$2,0)-MATCH("temp_stage",[1]stages!$2:$2,0)+1),MATCH(F$1,[1]stages!$2:$2,0)-MATCH("temp_stage",[1]stages!$2:$2,0)+1,FALSE)</f>
        <v>【超級】兄妹の大冒険</v>
      </c>
      <c r="G380" s="3" t="str">
        <f ca="1">VLOOKUP($B380&amp;"_"&amp;$E380,OFFSET([1]stages!$A$1,0,0,COUNTA([1]stages!$A:$A),MATCH(G$1,[1]stages!$2:$2,0)-MATCH("temp_stage",[1]stages!$2:$2,0)+1),MATCH(G$1,[1]stages!$2:$2,0)-MATCH("temp_stage",[1]stages!$2:$2,0)+1,FALSE)</f>
        <v>ドロップイベント4（マルチ専用）</v>
      </c>
      <c r="H380" s="18">
        <v>0</v>
      </c>
      <c r="I380">
        <v>33</v>
      </c>
      <c r="J380" s="5" t="s">
        <v>16</v>
      </c>
      <c r="K380" s="34" t="str">
        <f>VLOOKUP(I380,[2]stage_hints!$A:$C,3,FALSE)</f>
        <v>敵のカウンター攻撃には</v>
      </c>
      <c r="L380" s="35" t="str">
        <f>VLOOKUP(I380,[2]stage_hints!$A:$D,4,FALSE)</f>
        <v>カウンターブレイクスキルを持っていれば_x000D_敵のカウンターを解除して攻撃ができます</v>
      </c>
      <c r="M380" s="21" t="s">
        <v>23</v>
      </c>
      <c r="N380">
        <v>33</v>
      </c>
    </row>
    <row r="381" spans="1:14" x14ac:dyDescent="0.15">
      <c r="A381" s="26" t="s">
        <v>32</v>
      </c>
      <c r="B381" s="4">
        <v>30015</v>
      </c>
      <c r="C381" s="3" t="str">
        <f ca="1">VLOOKUP($B381,OFFSET([1]quests!$A$1,0,0,COUNTA([1]quests!$A:$A),MATCH(C$1,[1]quests!$1:$1,0)-MATCH($B$1,[1]quests!$1:$1,0)+1),MATCH(C$1,[1]quests!$1:$1,0)-MATCH($B$1,[1]quests!$1:$1,0)+1,FALSE)</f>
        <v>兄妹の大冒険</v>
      </c>
      <c r="D381" s="3" t="str">
        <f ca="1">VLOOKUP($B381,OFFSET([1]quests!$A$1,0,0,COUNTA([1]quests!$A:$A),MATCH(D$1,[1]quests!$1:$1,0)-MATCH($B$1,[1]quests!$1:$1,0)+1),MATCH(D$1,[1]quests!$1:$1,0)-MATCH($B$1,[1]quests!$1:$1,0)+1,FALSE)</f>
        <v>ドロップイベント4（マルチ専用）</v>
      </c>
      <c r="E381" s="5">
        <v>1</v>
      </c>
      <c r="F381" s="3" t="str">
        <f ca="1">VLOOKUP($B381&amp;"_"&amp;$E381,OFFSET([1]stages!$A$1,0,0,COUNTA([1]stages!$A:$A),MATCH(F$1,[1]stages!$2:$2,0)-MATCH("temp_stage",[1]stages!$2:$2,0)+1),MATCH(F$1,[1]stages!$2:$2,0)-MATCH("temp_stage",[1]stages!$2:$2,0)+1,FALSE)</f>
        <v>【超級】兄妹の大冒険</v>
      </c>
      <c r="G381" s="3" t="str">
        <f ca="1">VLOOKUP($B381&amp;"_"&amp;$E381,OFFSET([1]stages!$A$1,0,0,COUNTA([1]stages!$A:$A),MATCH(G$1,[1]stages!$2:$2,0)-MATCH("temp_stage",[1]stages!$2:$2,0)+1),MATCH(G$1,[1]stages!$2:$2,0)-MATCH("temp_stage",[1]stages!$2:$2,0)+1,FALSE)</f>
        <v>ドロップイベント4（マルチ専用）</v>
      </c>
      <c r="H381" s="18">
        <v>0</v>
      </c>
      <c r="I381">
        <v>34</v>
      </c>
      <c r="J381" s="5" t="s">
        <v>16</v>
      </c>
      <c r="K381" s="34" t="str">
        <f>VLOOKUP(I381,[2]stage_hints!$A:$C,3,FALSE)</f>
        <v>ステータスをスキルで下げられたら</v>
      </c>
      <c r="L381" s="35" t="str">
        <f>VLOOKUP(I381,[2]stage_hints!$A:$D,4,FALSE)</f>
        <v>ステータスダウンのスキルを受けたら_x000D_ステータスアップスキルで上書きしましょう</v>
      </c>
      <c r="M381" s="21" t="s">
        <v>23</v>
      </c>
      <c r="N381">
        <v>34</v>
      </c>
    </row>
    <row r="382" spans="1:14" x14ac:dyDescent="0.15">
      <c r="A382" s="26" t="s">
        <v>32</v>
      </c>
      <c r="B382" s="4">
        <v>30015</v>
      </c>
      <c r="C382" s="3" t="str">
        <f ca="1">VLOOKUP($B382,OFFSET([1]quests!$A$1,0,0,COUNTA([1]quests!$A:$A),MATCH(C$1,[1]quests!$1:$1,0)-MATCH($B$1,[1]quests!$1:$1,0)+1),MATCH(C$1,[1]quests!$1:$1,0)-MATCH($B$1,[1]quests!$1:$1,0)+1,FALSE)</f>
        <v>兄妹の大冒険</v>
      </c>
      <c r="D382" s="3" t="str">
        <f ca="1">VLOOKUP($B382,OFFSET([1]quests!$A$1,0,0,COUNTA([1]quests!$A:$A),MATCH(D$1,[1]quests!$1:$1,0)-MATCH($B$1,[1]quests!$1:$1,0)+1),MATCH(D$1,[1]quests!$1:$1,0)-MATCH($B$1,[1]quests!$1:$1,0)+1,FALSE)</f>
        <v>ドロップイベント4（マルチ専用）</v>
      </c>
      <c r="E382" s="5">
        <v>1</v>
      </c>
      <c r="F382" s="3" t="str">
        <f ca="1">VLOOKUP($B382&amp;"_"&amp;$E382,OFFSET([1]stages!$A$1,0,0,COUNTA([1]stages!$A:$A),MATCH(F$1,[1]stages!$2:$2,0)-MATCH("temp_stage",[1]stages!$2:$2,0)+1),MATCH(F$1,[1]stages!$2:$2,0)-MATCH("temp_stage",[1]stages!$2:$2,0)+1,FALSE)</f>
        <v>【超級】兄妹の大冒険</v>
      </c>
      <c r="G382" s="3" t="str">
        <f ca="1">VLOOKUP($B382&amp;"_"&amp;$E382,OFFSET([1]stages!$A$1,0,0,COUNTA([1]stages!$A:$A),MATCH(G$1,[1]stages!$2:$2,0)-MATCH("temp_stage",[1]stages!$2:$2,0)+1),MATCH(G$1,[1]stages!$2:$2,0)-MATCH("temp_stage",[1]stages!$2:$2,0)+1,FALSE)</f>
        <v>ドロップイベント4（マルチ専用）</v>
      </c>
      <c r="H382" s="18">
        <v>0</v>
      </c>
      <c r="I382">
        <v>35</v>
      </c>
      <c r="J382" s="5" t="s">
        <v>16</v>
      </c>
      <c r="K382" s="34" t="str">
        <f>VLOOKUP(I382,[2]stage_hints!$A:$C,3,FALSE)</f>
        <v>敵のステータスがスキルで上がったら</v>
      </c>
      <c r="L382" s="35" t="str">
        <f>VLOOKUP(I382,[2]stage_hints!$A:$D,4,FALSE)</f>
        <v>敵のステータスがスキルでアップしたときは_x000D_ステータスダウンスキルで上書きしましょう</v>
      </c>
      <c r="M382" s="21" t="s">
        <v>23</v>
      </c>
      <c r="N382">
        <v>35</v>
      </c>
    </row>
    <row r="383" spans="1:14" x14ac:dyDescent="0.15">
      <c r="A383" s="26" t="s">
        <v>32</v>
      </c>
      <c r="B383" s="4">
        <v>30015</v>
      </c>
      <c r="C383" s="3" t="str">
        <f ca="1">VLOOKUP($B383,OFFSET([1]quests!$A$1,0,0,COUNTA([1]quests!$A:$A),MATCH(C$1,[1]quests!$1:$1,0)-MATCH($B$1,[1]quests!$1:$1,0)+1),MATCH(C$1,[1]quests!$1:$1,0)-MATCH($B$1,[1]quests!$1:$1,0)+1,FALSE)</f>
        <v>兄妹の大冒険</v>
      </c>
      <c r="D383" s="3" t="str">
        <f ca="1">VLOOKUP($B383,OFFSET([1]quests!$A$1,0,0,COUNTA([1]quests!$A:$A),MATCH(D$1,[1]quests!$1:$1,0)-MATCH($B$1,[1]quests!$1:$1,0)+1),MATCH(D$1,[1]quests!$1:$1,0)-MATCH($B$1,[1]quests!$1:$1,0)+1,FALSE)</f>
        <v>ドロップイベント4（マルチ専用）</v>
      </c>
      <c r="E383" s="5">
        <v>1</v>
      </c>
      <c r="F383" s="3" t="str">
        <f ca="1">VLOOKUP($B383&amp;"_"&amp;$E383,OFFSET([1]stages!$A$1,0,0,COUNTA([1]stages!$A:$A),MATCH(F$1,[1]stages!$2:$2,0)-MATCH("temp_stage",[1]stages!$2:$2,0)+1),MATCH(F$1,[1]stages!$2:$2,0)-MATCH("temp_stage",[1]stages!$2:$2,0)+1,FALSE)</f>
        <v>【超級】兄妹の大冒険</v>
      </c>
      <c r="G383" s="3" t="str">
        <f ca="1">VLOOKUP($B383&amp;"_"&amp;$E383,OFFSET([1]stages!$A$1,0,0,COUNTA([1]stages!$A:$A),MATCH(G$1,[1]stages!$2:$2,0)-MATCH("temp_stage",[1]stages!$2:$2,0)+1),MATCH(G$1,[1]stages!$2:$2,0)-MATCH("temp_stage",[1]stages!$2:$2,0)+1,FALSE)</f>
        <v>ドロップイベント4（マルチ専用）</v>
      </c>
      <c r="H383" s="18">
        <v>0</v>
      </c>
      <c r="I383">
        <v>36</v>
      </c>
      <c r="J383" s="5" t="s">
        <v>16</v>
      </c>
      <c r="K383" s="34" t="str">
        <f>VLOOKUP(I383,[2]stage_hints!$A:$C,3,FALSE)</f>
        <v>タワーオブザクイーンのボス</v>
      </c>
      <c r="L383" s="35" t="str">
        <f>VLOOKUP(I383,[2]stage_hints!$A:$D,4,FALSE)</f>
        <v>「タワーオブザクイーン」最上階のボスは_x000D_15階の初回クリア報酬で獲得できるほか_x000D_その階にて低確率でドロップもします</v>
      </c>
      <c r="M383" s="21" t="s">
        <v>23</v>
      </c>
      <c r="N383">
        <v>36</v>
      </c>
    </row>
    <row r="384" spans="1:14" x14ac:dyDescent="0.15">
      <c r="A384" s="26" t="s">
        <v>32</v>
      </c>
      <c r="B384" s="4">
        <v>30015</v>
      </c>
      <c r="C384" s="3" t="str">
        <f ca="1">VLOOKUP($B384,OFFSET([1]quests!$A$1,0,0,COUNTA([1]quests!$A:$A),MATCH(C$1,[1]quests!$1:$1,0)-MATCH($B$1,[1]quests!$1:$1,0)+1),MATCH(C$1,[1]quests!$1:$1,0)-MATCH($B$1,[1]quests!$1:$1,0)+1,FALSE)</f>
        <v>兄妹の大冒険</v>
      </c>
      <c r="D384" s="3" t="str">
        <f ca="1">VLOOKUP($B384,OFFSET([1]quests!$A$1,0,0,COUNTA([1]quests!$A:$A),MATCH(D$1,[1]quests!$1:$1,0)-MATCH($B$1,[1]quests!$1:$1,0)+1),MATCH(D$1,[1]quests!$1:$1,0)-MATCH($B$1,[1]quests!$1:$1,0)+1,FALSE)</f>
        <v>ドロップイベント4（マルチ専用）</v>
      </c>
      <c r="E384" s="5">
        <v>1</v>
      </c>
      <c r="F384" s="3" t="str">
        <f ca="1">VLOOKUP($B384&amp;"_"&amp;$E384,OFFSET([1]stages!$A$1,0,0,COUNTA([1]stages!$A:$A),MATCH(F$1,[1]stages!$2:$2,0)-MATCH("temp_stage",[1]stages!$2:$2,0)+1),MATCH(F$1,[1]stages!$2:$2,0)-MATCH("temp_stage",[1]stages!$2:$2,0)+1,FALSE)</f>
        <v>【超級】兄妹の大冒険</v>
      </c>
      <c r="G384" s="3" t="str">
        <f ca="1">VLOOKUP($B384&amp;"_"&amp;$E384,OFFSET([1]stages!$A$1,0,0,COUNTA([1]stages!$A:$A),MATCH(G$1,[1]stages!$2:$2,0)-MATCH("temp_stage",[1]stages!$2:$2,0)+1),MATCH(G$1,[1]stages!$2:$2,0)-MATCH("temp_stage",[1]stages!$2:$2,0)+1,FALSE)</f>
        <v>ドロップイベント4（マルチ専用）</v>
      </c>
      <c r="H384" s="18">
        <v>0</v>
      </c>
      <c r="I384">
        <v>37</v>
      </c>
      <c r="J384" s="5" t="s">
        <v>16</v>
      </c>
      <c r="K384" s="34" t="str">
        <f>VLOOKUP(I384,[2]stage_hints!$A:$C,3,FALSE)</f>
        <v>限界突破値の引き継ぎ</v>
      </c>
      <c r="L384" s="35" t="str">
        <f>VLOOKUP(I384,[2]stage_hints!$A:$D,4,FALSE)</f>
        <v>同じユニットを強化で合成すると_x000D_限界突破値を引き継げます（覚醒前後も可）</v>
      </c>
      <c r="M384" s="21" t="s">
        <v>23</v>
      </c>
      <c r="N384">
        <v>37</v>
      </c>
    </row>
    <row r="385" spans="1:14" x14ac:dyDescent="0.15">
      <c r="A385" s="26" t="s">
        <v>32</v>
      </c>
      <c r="B385" s="4">
        <v>30016</v>
      </c>
      <c r="C385" s="3" t="str">
        <f ca="1">VLOOKUP($B385,OFFSET([1]quests!$A$1,0,0,COUNTA([1]quests!$A:$A),MATCH(C$1,[1]quests!$1:$1,0)-MATCH($B$1,[1]quests!$1:$1,0)+1),MATCH(C$1,[1]quests!$1:$1,0)-MATCH($B$1,[1]quests!$1:$1,0)+1,FALSE)</f>
        <v>私がワニの天敵よ？</v>
      </c>
      <c r="D385" s="3" t="str">
        <f ca="1">VLOOKUP($B385,OFFSET([1]quests!$A$1,0,0,COUNTA([1]quests!$A:$A),MATCH(D$1,[1]quests!$1:$1,0)-MATCH($B$1,[1]quests!$1:$1,0)+1),MATCH(D$1,[1]quests!$1:$1,0)-MATCH($B$1,[1]quests!$1:$1,0)+1,FALSE)</f>
        <v>ドロップイベント4（マルチ専用）</v>
      </c>
      <c r="E385" s="5">
        <v>1</v>
      </c>
      <c r="F385" s="3" t="str">
        <f ca="1">VLOOKUP($B385&amp;"_"&amp;$E385,OFFSET([1]stages!$A$1,0,0,COUNTA([1]stages!$A:$A),MATCH(F$1,[1]stages!$2:$2,0)-MATCH("temp_stage",[1]stages!$2:$2,0)+1),MATCH(F$1,[1]stages!$2:$2,0)-MATCH("temp_stage",[1]stages!$2:$2,0)+1,FALSE)</f>
        <v>【超級】私がワニの天敵よ？</v>
      </c>
      <c r="G385" s="3" t="str">
        <f ca="1">VLOOKUP($B385&amp;"_"&amp;$E385,OFFSET([1]stages!$A$1,0,0,COUNTA([1]stages!$A:$A),MATCH(G$1,[1]stages!$2:$2,0)-MATCH("temp_stage",[1]stages!$2:$2,0)+1),MATCH(G$1,[1]stages!$2:$2,0)-MATCH("temp_stage",[1]stages!$2:$2,0)+1,FALSE)</f>
        <v>ドロップイベント4（マルチ専用）</v>
      </c>
      <c r="H385" s="18">
        <v>0</v>
      </c>
      <c r="I385">
        <v>12</v>
      </c>
      <c r="J385" s="5" t="s">
        <v>16</v>
      </c>
      <c r="K385" s="34" t="str">
        <f>VLOOKUP(I385,[2]stage_hints!$A:$C,3,FALSE)</f>
        <v>ユニットのお気に入り登録</v>
      </c>
      <c r="L385" s="35" t="str">
        <f>VLOOKUP(I385,[2]stage_hints!$A:$D,4,FALSE)</f>
        <v>大事なユニットを誤って消さないように_x000D_フォルダから「お気に入り登録」しましょう</v>
      </c>
      <c r="M385" s="21" t="s">
        <v>23</v>
      </c>
      <c r="N385">
        <v>12</v>
      </c>
    </row>
    <row r="386" spans="1:14" x14ac:dyDescent="0.15">
      <c r="A386" s="26" t="s">
        <v>32</v>
      </c>
      <c r="B386" s="4">
        <v>30016</v>
      </c>
      <c r="C386" s="3" t="str">
        <f ca="1">VLOOKUP($B386,OFFSET([1]quests!$A$1,0,0,COUNTA([1]quests!$A:$A),MATCH(C$1,[1]quests!$1:$1,0)-MATCH($B$1,[1]quests!$1:$1,0)+1),MATCH(C$1,[1]quests!$1:$1,0)-MATCH($B$1,[1]quests!$1:$1,0)+1,FALSE)</f>
        <v>私がワニの天敵よ？</v>
      </c>
      <c r="D386" s="3" t="str">
        <f ca="1">VLOOKUP($B386,OFFSET([1]quests!$A$1,0,0,COUNTA([1]quests!$A:$A),MATCH(D$1,[1]quests!$1:$1,0)-MATCH($B$1,[1]quests!$1:$1,0)+1),MATCH(D$1,[1]quests!$1:$1,0)-MATCH($B$1,[1]quests!$1:$1,0)+1,FALSE)</f>
        <v>ドロップイベント4（マルチ専用）</v>
      </c>
      <c r="E386" s="5">
        <v>1</v>
      </c>
      <c r="F386" s="3" t="str">
        <f ca="1">VLOOKUP($B386&amp;"_"&amp;$E386,OFFSET([1]stages!$A$1,0,0,COUNTA([1]stages!$A:$A),MATCH(F$1,[1]stages!$2:$2,0)-MATCH("temp_stage",[1]stages!$2:$2,0)+1),MATCH(F$1,[1]stages!$2:$2,0)-MATCH("temp_stage",[1]stages!$2:$2,0)+1,FALSE)</f>
        <v>【超級】私がワニの天敵よ？</v>
      </c>
      <c r="G386" s="3" t="str">
        <f ca="1">VLOOKUP($B386&amp;"_"&amp;$E386,OFFSET([1]stages!$A$1,0,0,COUNTA([1]stages!$A:$A),MATCH(G$1,[1]stages!$2:$2,0)-MATCH("temp_stage",[1]stages!$2:$2,0)+1),MATCH(G$1,[1]stages!$2:$2,0)-MATCH("temp_stage",[1]stages!$2:$2,0)+1,FALSE)</f>
        <v>ドロップイベント4（マルチ専用）</v>
      </c>
      <c r="H386" s="18">
        <v>0</v>
      </c>
      <c r="I386">
        <v>17</v>
      </c>
      <c r="J386" s="5" t="s">
        <v>16</v>
      </c>
      <c r="K386" s="34" t="str">
        <f>VLOOKUP(I386,[2]stage_hints!$A:$C,3,FALSE)</f>
        <v>リンクガチャ</v>
      </c>
      <c r="L386" s="35" t="str">
        <f>VLOOKUP(I386,[2]stage_hints!$A:$D,4,FALSE)</f>
        <v>無料のリンクガチャを回して_x000D_経験値素材や売却素材を獲得しましょう</v>
      </c>
      <c r="M386" s="21" t="s">
        <v>23</v>
      </c>
      <c r="N386">
        <v>17</v>
      </c>
    </row>
    <row r="387" spans="1:14" x14ac:dyDescent="0.15">
      <c r="A387" s="26" t="s">
        <v>32</v>
      </c>
      <c r="B387" s="4">
        <v>30016</v>
      </c>
      <c r="C387" s="3" t="str">
        <f ca="1">VLOOKUP($B387,OFFSET([1]quests!$A$1,0,0,COUNTA([1]quests!$A:$A),MATCH(C$1,[1]quests!$1:$1,0)-MATCH($B$1,[1]quests!$1:$1,0)+1),MATCH(C$1,[1]quests!$1:$1,0)-MATCH($B$1,[1]quests!$1:$1,0)+1,FALSE)</f>
        <v>私がワニの天敵よ？</v>
      </c>
      <c r="D387" s="3" t="str">
        <f ca="1">VLOOKUP($B387,OFFSET([1]quests!$A$1,0,0,COUNTA([1]quests!$A:$A),MATCH(D$1,[1]quests!$1:$1,0)-MATCH($B$1,[1]quests!$1:$1,0)+1),MATCH(D$1,[1]quests!$1:$1,0)-MATCH($B$1,[1]quests!$1:$1,0)+1,FALSE)</f>
        <v>ドロップイベント4（マルチ専用）</v>
      </c>
      <c r="E387" s="5">
        <v>1</v>
      </c>
      <c r="F387" s="3" t="str">
        <f ca="1">VLOOKUP($B387&amp;"_"&amp;$E387,OFFSET([1]stages!$A$1,0,0,COUNTA([1]stages!$A:$A),MATCH(F$1,[1]stages!$2:$2,0)-MATCH("temp_stage",[1]stages!$2:$2,0)+1),MATCH(F$1,[1]stages!$2:$2,0)-MATCH("temp_stage",[1]stages!$2:$2,0)+1,FALSE)</f>
        <v>【超級】私がワニの天敵よ？</v>
      </c>
      <c r="G387" s="3" t="str">
        <f ca="1">VLOOKUP($B387&amp;"_"&amp;$E387,OFFSET([1]stages!$A$1,0,0,COUNTA([1]stages!$A:$A),MATCH(G$1,[1]stages!$2:$2,0)-MATCH("temp_stage",[1]stages!$2:$2,0)+1),MATCH(G$1,[1]stages!$2:$2,0)-MATCH("temp_stage",[1]stages!$2:$2,0)+1,FALSE)</f>
        <v>ドロップイベント4（マルチ専用）</v>
      </c>
      <c r="H387" s="18">
        <v>0</v>
      </c>
      <c r="I387">
        <v>19</v>
      </c>
      <c r="J387" s="5" t="s">
        <v>16</v>
      </c>
      <c r="K387" s="34" t="str">
        <f>VLOOKUP(I387,[2]stage_hints!$A:$C,3,FALSE)</f>
        <v>ソロ専用タワーオブザクイーン</v>
      </c>
      <c r="L387" s="35" t="str">
        <f>VLOOKUP(I387,[2]stage_hints!$A:$D,4,FALSE)</f>
        <v>ソロ専用の「タワーオブザクイーン」は_x000D_期間限定で定期的に開催されます_x000D_ここでしか獲得できない報酬もあるようです</v>
      </c>
      <c r="M387" s="21" t="s">
        <v>23</v>
      </c>
      <c r="N387">
        <v>19</v>
      </c>
    </row>
    <row r="388" spans="1:14" x14ac:dyDescent="0.15">
      <c r="A388" s="26" t="s">
        <v>32</v>
      </c>
      <c r="B388" s="4">
        <v>30016</v>
      </c>
      <c r="C388" s="3" t="str">
        <f ca="1">VLOOKUP($B388,OFFSET([1]quests!$A$1,0,0,COUNTA([1]quests!$A:$A),MATCH(C$1,[1]quests!$1:$1,0)-MATCH($B$1,[1]quests!$1:$1,0)+1),MATCH(C$1,[1]quests!$1:$1,0)-MATCH($B$1,[1]quests!$1:$1,0)+1,FALSE)</f>
        <v>私がワニの天敵よ？</v>
      </c>
      <c r="D388" s="3" t="str">
        <f ca="1">VLOOKUP($B388,OFFSET([1]quests!$A$1,0,0,COUNTA([1]quests!$A:$A),MATCH(D$1,[1]quests!$1:$1,0)-MATCH($B$1,[1]quests!$1:$1,0)+1),MATCH(D$1,[1]quests!$1:$1,0)-MATCH($B$1,[1]quests!$1:$1,0)+1,FALSE)</f>
        <v>ドロップイベント4（マルチ専用）</v>
      </c>
      <c r="E388" s="5">
        <v>1</v>
      </c>
      <c r="F388" s="3" t="str">
        <f ca="1">VLOOKUP($B388&amp;"_"&amp;$E388,OFFSET([1]stages!$A$1,0,0,COUNTA([1]stages!$A:$A),MATCH(F$1,[1]stages!$2:$2,0)-MATCH("temp_stage",[1]stages!$2:$2,0)+1),MATCH(F$1,[1]stages!$2:$2,0)-MATCH("temp_stage",[1]stages!$2:$2,0)+1,FALSE)</f>
        <v>【超級】私がワニの天敵よ？</v>
      </c>
      <c r="G388" s="3" t="str">
        <f ca="1">VLOOKUP($B388&amp;"_"&amp;$E388,OFFSET([1]stages!$A$1,0,0,COUNTA([1]stages!$A:$A),MATCH(G$1,[1]stages!$2:$2,0)-MATCH("temp_stage",[1]stages!$2:$2,0)+1),MATCH(G$1,[1]stages!$2:$2,0)-MATCH("temp_stage",[1]stages!$2:$2,0)+1,FALSE)</f>
        <v>ドロップイベント4（マルチ専用）</v>
      </c>
      <c r="H388" s="18">
        <v>0</v>
      </c>
      <c r="I388">
        <v>21</v>
      </c>
      <c r="J388" s="5" t="s">
        <v>16</v>
      </c>
      <c r="K388" s="34" t="str">
        <f>VLOOKUP(I388,[2]stage_hints!$A:$C,3,FALSE)</f>
        <v>スキルを有効に</v>
      </c>
      <c r="L388" s="35" t="str">
        <f>VLOOKUP(I388,[2]stage_hints!$A:$D,4,FALSE)</f>
        <v>ターン経過でユニットのスキルが使えます_x000D_強力スキルでバトルを有利に進めましょう</v>
      </c>
      <c r="M388" s="21" t="s">
        <v>23</v>
      </c>
      <c r="N388">
        <v>21</v>
      </c>
    </row>
    <row r="389" spans="1:14" x14ac:dyDescent="0.15">
      <c r="A389" s="26" t="s">
        <v>32</v>
      </c>
      <c r="B389" s="4">
        <v>30016</v>
      </c>
      <c r="C389" s="3" t="str">
        <f ca="1">VLOOKUP($B389,OFFSET([1]quests!$A$1,0,0,COUNTA([1]quests!$A:$A),MATCH(C$1,[1]quests!$1:$1,0)-MATCH($B$1,[1]quests!$1:$1,0)+1),MATCH(C$1,[1]quests!$1:$1,0)-MATCH($B$1,[1]quests!$1:$1,0)+1,FALSE)</f>
        <v>私がワニの天敵よ？</v>
      </c>
      <c r="D389" s="3" t="str">
        <f ca="1">VLOOKUP($B389,OFFSET([1]quests!$A$1,0,0,COUNTA([1]quests!$A:$A),MATCH(D$1,[1]quests!$1:$1,0)-MATCH($B$1,[1]quests!$1:$1,0)+1),MATCH(D$1,[1]quests!$1:$1,0)-MATCH($B$1,[1]quests!$1:$1,0)+1,FALSE)</f>
        <v>ドロップイベント4（マルチ専用）</v>
      </c>
      <c r="E389" s="5">
        <v>1</v>
      </c>
      <c r="F389" s="3" t="str">
        <f ca="1">VLOOKUP($B389&amp;"_"&amp;$E389,OFFSET([1]stages!$A$1,0,0,COUNTA([1]stages!$A:$A),MATCH(F$1,[1]stages!$2:$2,0)-MATCH("temp_stage",[1]stages!$2:$2,0)+1),MATCH(F$1,[1]stages!$2:$2,0)-MATCH("temp_stage",[1]stages!$2:$2,0)+1,FALSE)</f>
        <v>【超級】私がワニの天敵よ？</v>
      </c>
      <c r="G389" s="3" t="str">
        <f ca="1">VLOOKUP($B389&amp;"_"&amp;$E389,OFFSET([1]stages!$A$1,0,0,COUNTA([1]stages!$A:$A),MATCH(G$1,[1]stages!$2:$2,0)-MATCH("temp_stage",[1]stages!$2:$2,0)+1),MATCH(G$1,[1]stages!$2:$2,0)-MATCH("temp_stage",[1]stages!$2:$2,0)+1,FALSE)</f>
        <v>ドロップイベント4（マルチ専用）</v>
      </c>
      <c r="H389" s="18">
        <v>0</v>
      </c>
      <c r="I389">
        <v>27</v>
      </c>
      <c r="J389" s="5" t="s">
        <v>16</v>
      </c>
      <c r="K389" s="34" t="str">
        <f>VLOOKUP(I389,[2]stage_hints!$A:$C,3,FALSE)</f>
        <v>ホーム画面からデッキを編成</v>
      </c>
      <c r="L389" s="35" t="str">
        <f>VLOOKUP(I389,[2]stage_hints!$A:$D,4,FALSE)</f>
        <v>ホーム画面でユニットを長押しすると_x000D_すぐにパーティ編成に移動できます</v>
      </c>
      <c r="M389" s="21" t="s">
        <v>23</v>
      </c>
      <c r="N389">
        <v>27</v>
      </c>
    </row>
    <row r="390" spans="1:14" x14ac:dyDescent="0.15">
      <c r="A390" s="26" t="s">
        <v>32</v>
      </c>
      <c r="B390" s="4">
        <v>30016</v>
      </c>
      <c r="C390" s="3" t="str">
        <f ca="1">VLOOKUP($B390,OFFSET([1]quests!$A$1,0,0,COUNTA([1]quests!$A:$A),MATCH(C$1,[1]quests!$1:$1,0)-MATCH($B$1,[1]quests!$1:$1,0)+1),MATCH(C$1,[1]quests!$1:$1,0)-MATCH($B$1,[1]quests!$1:$1,0)+1,FALSE)</f>
        <v>私がワニの天敵よ？</v>
      </c>
      <c r="D390" s="3" t="str">
        <f ca="1">VLOOKUP($B390,OFFSET([1]quests!$A$1,0,0,COUNTA([1]quests!$A:$A),MATCH(D$1,[1]quests!$1:$1,0)-MATCH($B$1,[1]quests!$1:$1,0)+1),MATCH(D$1,[1]quests!$1:$1,0)-MATCH($B$1,[1]quests!$1:$1,0)+1,FALSE)</f>
        <v>ドロップイベント4（マルチ専用）</v>
      </c>
      <c r="E390" s="5">
        <v>1</v>
      </c>
      <c r="F390" s="3" t="str">
        <f ca="1">VLOOKUP($B390&amp;"_"&amp;$E390,OFFSET([1]stages!$A$1,0,0,COUNTA([1]stages!$A:$A),MATCH(F$1,[1]stages!$2:$2,0)-MATCH("temp_stage",[1]stages!$2:$2,0)+1),MATCH(F$1,[1]stages!$2:$2,0)-MATCH("temp_stage",[1]stages!$2:$2,0)+1,FALSE)</f>
        <v>【超級】私がワニの天敵よ？</v>
      </c>
      <c r="G390" s="3" t="str">
        <f ca="1">VLOOKUP($B390&amp;"_"&amp;$E390,OFFSET([1]stages!$A$1,0,0,COUNTA([1]stages!$A:$A),MATCH(G$1,[1]stages!$2:$2,0)-MATCH("temp_stage",[1]stages!$2:$2,0)+1),MATCH(G$1,[1]stages!$2:$2,0)-MATCH("temp_stage",[1]stages!$2:$2,0)+1,FALSE)</f>
        <v>ドロップイベント4（マルチ専用）</v>
      </c>
      <c r="H390" s="18">
        <v>0</v>
      </c>
      <c r="I390">
        <v>28</v>
      </c>
      <c r="J390" s="5" t="s">
        <v>16</v>
      </c>
      <c r="K390" s="34" t="str">
        <f>VLOOKUP(I390,[2]stage_hints!$A:$C,3,FALSE)</f>
        <v>ステータス情報は長押しで</v>
      </c>
      <c r="L390" s="35" t="str">
        <f>VLOOKUP(I390,[2]stage_hints!$A:$D,4,FALSE)</f>
        <v>ユニットのアイコンを長押しすると_x000D_ステータス情報を確認することができます</v>
      </c>
      <c r="M390" s="21" t="s">
        <v>23</v>
      </c>
      <c r="N390">
        <v>28</v>
      </c>
    </row>
    <row r="391" spans="1:14" x14ac:dyDescent="0.15">
      <c r="A391" s="26" t="s">
        <v>32</v>
      </c>
      <c r="B391" s="4">
        <v>30016</v>
      </c>
      <c r="C391" s="3" t="str">
        <f ca="1">VLOOKUP($B391,OFFSET([1]quests!$A$1,0,0,COUNTA([1]quests!$A:$A),MATCH(C$1,[1]quests!$1:$1,0)-MATCH($B$1,[1]quests!$1:$1,0)+1),MATCH(C$1,[1]quests!$1:$1,0)-MATCH($B$1,[1]quests!$1:$1,0)+1,FALSE)</f>
        <v>私がワニの天敵よ？</v>
      </c>
      <c r="D391" s="3" t="str">
        <f ca="1">VLOOKUP($B391,OFFSET([1]quests!$A$1,0,0,COUNTA([1]quests!$A:$A),MATCH(D$1,[1]quests!$1:$1,0)-MATCH($B$1,[1]quests!$1:$1,0)+1),MATCH(D$1,[1]quests!$1:$1,0)-MATCH($B$1,[1]quests!$1:$1,0)+1,FALSE)</f>
        <v>ドロップイベント4（マルチ専用）</v>
      </c>
      <c r="E391" s="5">
        <v>1</v>
      </c>
      <c r="F391" s="3" t="str">
        <f ca="1">VLOOKUP($B391&amp;"_"&amp;$E391,OFFSET([1]stages!$A$1,0,0,COUNTA([1]stages!$A:$A),MATCH(F$1,[1]stages!$2:$2,0)-MATCH("temp_stage",[1]stages!$2:$2,0)+1),MATCH(F$1,[1]stages!$2:$2,0)-MATCH("temp_stage",[1]stages!$2:$2,0)+1,FALSE)</f>
        <v>【超級】私がワニの天敵よ？</v>
      </c>
      <c r="G391" s="3" t="str">
        <f ca="1">VLOOKUP($B391&amp;"_"&amp;$E391,OFFSET([1]stages!$A$1,0,0,COUNTA([1]stages!$A:$A),MATCH(G$1,[1]stages!$2:$2,0)-MATCH("temp_stage",[1]stages!$2:$2,0)+1),MATCH(G$1,[1]stages!$2:$2,0)-MATCH("temp_stage",[1]stages!$2:$2,0)+1,FALSE)</f>
        <v>ドロップイベント4（マルチ専用）</v>
      </c>
      <c r="H391" s="18">
        <v>0</v>
      </c>
      <c r="I391">
        <v>29</v>
      </c>
      <c r="J391" s="5" t="s">
        <v>16</v>
      </c>
      <c r="K391" s="34" t="str">
        <f>VLOOKUP(I391,[2]stage_hints!$A:$C,3,FALSE)</f>
        <v>「バグ」のメリット</v>
      </c>
      <c r="L391" s="35" t="str">
        <f>VLOOKUP(I391,[2]stage_hints!$A:$D,4,FALSE)</f>
        <v>ユニットの「バグ」を増やすと_x000D_報酬をもらえる確率がアップします</v>
      </c>
      <c r="M391" s="21" t="s">
        <v>23</v>
      </c>
      <c r="N391">
        <v>29</v>
      </c>
    </row>
    <row r="392" spans="1:14" x14ac:dyDescent="0.15">
      <c r="A392" s="26" t="s">
        <v>32</v>
      </c>
      <c r="B392" s="4">
        <v>30016</v>
      </c>
      <c r="C392" s="3" t="str">
        <f ca="1">VLOOKUP($B392,OFFSET([1]quests!$A$1,0,0,COUNTA([1]quests!$A:$A),MATCH(C$1,[1]quests!$1:$1,0)-MATCH($B$1,[1]quests!$1:$1,0)+1),MATCH(C$1,[1]quests!$1:$1,0)-MATCH($B$1,[1]quests!$1:$1,0)+1,FALSE)</f>
        <v>私がワニの天敵よ？</v>
      </c>
      <c r="D392" s="3" t="str">
        <f ca="1">VLOOKUP($B392,OFFSET([1]quests!$A$1,0,0,COUNTA([1]quests!$A:$A),MATCH(D$1,[1]quests!$1:$1,0)-MATCH($B$1,[1]quests!$1:$1,0)+1),MATCH(D$1,[1]quests!$1:$1,0)-MATCH($B$1,[1]quests!$1:$1,0)+1,FALSE)</f>
        <v>ドロップイベント4（マルチ専用）</v>
      </c>
      <c r="E392" s="5">
        <v>1</v>
      </c>
      <c r="F392" s="3" t="str">
        <f ca="1">VLOOKUP($B392&amp;"_"&amp;$E392,OFFSET([1]stages!$A$1,0,0,COUNTA([1]stages!$A:$A),MATCH(F$1,[1]stages!$2:$2,0)-MATCH("temp_stage",[1]stages!$2:$2,0)+1),MATCH(F$1,[1]stages!$2:$2,0)-MATCH("temp_stage",[1]stages!$2:$2,0)+1,FALSE)</f>
        <v>【超級】私がワニの天敵よ？</v>
      </c>
      <c r="G392" s="3" t="str">
        <f ca="1">VLOOKUP($B392&amp;"_"&amp;$E392,OFFSET([1]stages!$A$1,0,0,COUNTA([1]stages!$A:$A),MATCH(G$1,[1]stages!$2:$2,0)-MATCH("temp_stage",[1]stages!$2:$2,0)+1),MATCH(G$1,[1]stages!$2:$2,0)-MATCH("temp_stage",[1]stages!$2:$2,0)+1,FALSE)</f>
        <v>ドロップイベント4（マルチ専用）</v>
      </c>
      <c r="H392" s="18">
        <v>0</v>
      </c>
      <c r="I392">
        <v>30</v>
      </c>
      <c r="J392" s="5" t="s">
        <v>16</v>
      </c>
      <c r="K392" s="34" t="str">
        <f>VLOOKUP(I392,[2]stage_hints!$A:$C,3,FALSE)</f>
        <v>「バグ」の増やし方</v>
      </c>
      <c r="L392" s="35" t="str">
        <f>VLOOKUP(I392,[2]stage_hints!$A:$D,4,FALSE)</f>
        <v>同じユニット同士を強化で合成すると_x000D_「バグ」を増やすことができます</v>
      </c>
      <c r="M392" s="21" t="s">
        <v>23</v>
      </c>
      <c r="N392">
        <v>30</v>
      </c>
    </row>
    <row r="393" spans="1:14" x14ac:dyDescent="0.15">
      <c r="A393" s="26" t="s">
        <v>32</v>
      </c>
      <c r="B393" s="4">
        <v>30016</v>
      </c>
      <c r="C393" s="3" t="str">
        <f ca="1">VLOOKUP($B393,OFFSET([1]quests!$A$1,0,0,COUNTA([1]quests!$A:$A),MATCH(C$1,[1]quests!$1:$1,0)-MATCH($B$1,[1]quests!$1:$1,0)+1),MATCH(C$1,[1]quests!$1:$1,0)-MATCH($B$1,[1]quests!$1:$1,0)+1,FALSE)</f>
        <v>私がワニの天敵よ？</v>
      </c>
      <c r="D393" s="3" t="str">
        <f ca="1">VLOOKUP($B393,OFFSET([1]quests!$A$1,0,0,COUNTA([1]quests!$A:$A),MATCH(D$1,[1]quests!$1:$1,0)-MATCH($B$1,[1]quests!$1:$1,0)+1),MATCH(D$1,[1]quests!$1:$1,0)-MATCH($B$1,[1]quests!$1:$1,0)+1,FALSE)</f>
        <v>ドロップイベント4（マルチ専用）</v>
      </c>
      <c r="E393" s="5">
        <v>1</v>
      </c>
      <c r="F393" s="3" t="str">
        <f ca="1">VLOOKUP($B393&amp;"_"&amp;$E393,OFFSET([1]stages!$A$1,0,0,COUNTA([1]stages!$A:$A),MATCH(F$1,[1]stages!$2:$2,0)-MATCH("temp_stage",[1]stages!$2:$2,0)+1),MATCH(F$1,[1]stages!$2:$2,0)-MATCH("temp_stage",[1]stages!$2:$2,0)+1,FALSE)</f>
        <v>【超級】私がワニの天敵よ？</v>
      </c>
      <c r="G393" s="3" t="str">
        <f ca="1">VLOOKUP($B393&amp;"_"&amp;$E393,OFFSET([1]stages!$A$1,0,0,COUNTA([1]stages!$A:$A),MATCH(G$1,[1]stages!$2:$2,0)-MATCH("temp_stage",[1]stages!$2:$2,0)+1),MATCH(G$1,[1]stages!$2:$2,0)-MATCH("temp_stage",[1]stages!$2:$2,0)+1,FALSE)</f>
        <v>ドロップイベント4（マルチ専用）</v>
      </c>
      <c r="H393" s="18">
        <v>0</v>
      </c>
      <c r="I393">
        <v>32</v>
      </c>
      <c r="J393" s="5" t="s">
        <v>16</v>
      </c>
      <c r="K393" s="34" t="str">
        <f>VLOOKUP(I393,[2]stage_hints!$A:$C,3,FALSE)</f>
        <v>敵の連続攻撃には</v>
      </c>
      <c r="L393" s="35" t="str">
        <f>VLOOKUP(I393,[2]stage_hints!$A:$D,4,FALSE)</f>
        <v>カウンタースキルを持つユニットがいれば_x000D_ダメージ回数分の反撃ができます</v>
      </c>
      <c r="M393" s="21" t="s">
        <v>23</v>
      </c>
      <c r="N393">
        <v>32</v>
      </c>
    </row>
    <row r="394" spans="1:14" x14ac:dyDescent="0.15">
      <c r="A394" s="26" t="s">
        <v>32</v>
      </c>
      <c r="B394" s="4">
        <v>30016</v>
      </c>
      <c r="C394" s="3" t="str">
        <f ca="1">VLOOKUP($B394,OFFSET([1]quests!$A$1,0,0,COUNTA([1]quests!$A:$A),MATCH(C$1,[1]quests!$1:$1,0)-MATCH($B$1,[1]quests!$1:$1,0)+1),MATCH(C$1,[1]quests!$1:$1,0)-MATCH($B$1,[1]quests!$1:$1,0)+1,FALSE)</f>
        <v>私がワニの天敵よ？</v>
      </c>
      <c r="D394" s="3" t="str">
        <f ca="1">VLOOKUP($B394,OFFSET([1]quests!$A$1,0,0,COUNTA([1]quests!$A:$A),MATCH(D$1,[1]quests!$1:$1,0)-MATCH($B$1,[1]quests!$1:$1,0)+1),MATCH(D$1,[1]quests!$1:$1,0)-MATCH($B$1,[1]quests!$1:$1,0)+1,FALSE)</f>
        <v>ドロップイベント4（マルチ専用）</v>
      </c>
      <c r="E394" s="5">
        <v>1</v>
      </c>
      <c r="F394" s="3" t="str">
        <f ca="1">VLOOKUP($B394&amp;"_"&amp;$E394,OFFSET([1]stages!$A$1,0,0,COUNTA([1]stages!$A:$A),MATCH(F$1,[1]stages!$2:$2,0)-MATCH("temp_stage",[1]stages!$2:$2,0)+1),MATCH(F$1,[1]stages!$2:$2,0)-MATCH("temp_stage",[1]stages!$2:$2,0)+1,FALSE)</f>
        <v>【超級】私がワニの天敵よ？</v>
      </c>
      <c r="G394" s="3" t="str">
        <f ca="1">VLOOKUP($B394&amp;"_"&amp;$E394,OFFSET([1]stages!$A$1,0,0,COUNTA([1]stages!$A:$A),MATCH(G$1,[1]stages!$2:$2,0)-MATCH("temp_stage",[1]stages!$2:$2,0)+1),MATCH(G$1,[1]stages!$2:$2,0)-MATCH("temp_stage",[1]stages!$2:$2,0)+1,FALSE)</f>
        <v>ドロップイベント4（マルチ専用）</v>
      </c>
      <c r="H394" s="18">
        <v>0</v>
      </c>
      <c r="I394">
        <v>33</v>
      </c>
      <c r="J394" s="5" t="s">
        <v>16</v>
      </c>
      <c r="K394" s="34" t="str">
        <f>VLOOKUP(I394,[2]stage_hints!$A:$C,3,FALSE)</f>
        <v>敵のカウンター攻撃には</v>
      </c>
      <c r="L394" s="35" t="str">
        <f>VLOOKUP(I394,[2]stage_hints!$A:$D,4,FALSE)</f>
        <v>カウンターブレイクスキルを持っていれば_x000D_敵のカウンターを解除して攻撃ができます</v>
      </c>
      <c r="M394" s="21" t="s">
        <v>23</v>
      </c>
      <c r="N394">
        <v>33</v>
      </c>
    </row>
    <row r="395" spans="1:14" x14ac:dyDescent="0.15">
      <c r="A395" s="26" t="s">
        <v>32</v>
      </c>
      <c r="B395" s="4">
        <v>30016</v>
      </c>
      <c r="C395" s="3" t="str">
        <f ca="1">VLOOKUP($B395,OFFSET([1]quests!$A$1,0,0,COUNTA([1]quests!$A:$A),MATCH(C$1,[1]quests!$1:$1,0)-MATCH($B$1,[1]quests!$1:$1,0)+1),MATCH(C$1,[1]quests!$1:$1,0)-MATCH($B$1,[1]quests!$1:$1,0)+1,FALSE)</f>
        <v>私がワニの天敵よ？</v>
      </c>
      <c r="D395" s="3" t="str">
        <f ca="1">VLOOKUP($B395,OFFSET([1]quests!$A$1,0,0,COUNTA([1]quests!$A:$A),MATCH(D$1,[1]quests!$1:$1,0)-MATCH($B$1,[1]quests!$1:$1,0)+1),MATCH(D$1,[1]quests!$1:$1,0)-MATCH($B$1,[1]quests!$1:$1,0)+1,FALSE)</f>
        <v>ドロップイベント4（マルチ専用）</v>
      </c>
      <c r="E395" s="5">
        <v>1</v>
      </c>
      <c r="F395" s="3" t="str">
        <f ca="1">VLOOKUP($B395&amp;"_"&amp;$E395,OFFSET([1]stages!$A$1,0,0,COUNTA([1]stages!$A:$A),MATCH(F$1,[1]stages!$2:$2,0)-MATCH("temp_stage",[1]stages!$2:$2,0)+1),MATCH(F$1,[1]stages!$2:$2,0)-MATCH("temp_stage",[1]stages!$2:$2,0)+1,FALSE)</f>
        <v>【超級】私がワニの天敵よ？</v>
      </c>
      <c r="G395" s="3" t="str">
        <f ca="1">VLOOKUP($B395&amp;"_"&amp;$E395,OFFSET([1]stages!$A$1,0,0,COUNTA([1]stages!$A:$A),MATCH(G$1,[1]stages!$2:$2,0)-MATCH("temp_stage",[1]stages!$2:$2,0)+1),MATCH(G$1,[1]stages!$2:$2,0)-MATCH("temp_stage",[1]stages!$2:$2,0)+1,FALSE)</f>
        <v>ドロップイベント4（マルチ専用）</v>
      </c>
      <c r="H395" s="18">
        <v>0</v>
      </c>
      <c r="I395">
        <v>34</v>
      </c>
      <c r="J395" s="5" t="s">
        <v>16</v>
      </c>
      <c r="K395" s="34" t="str">
        <f>VLOOKUP(I395,[2]stage_hints!$A:$C,3,FALSE)</f>
        <v>ステータスをスキルで下げられたら</v>
      </c>
      <c r="L395" s="35" t="str">
        <f>VLOOKUP(I395,[2]stage_hints!$A:$D,4,FALSE)</f>
        <v>ステータスダウンのスキルを受けたら_x000D_ステータスアップスキルで上書きしましょう</v>
      </c>
      <c r="M395" s="21" t="s">
        <v>23</v>
      </c>
      <c r="N395">
        <v>34</v>
      </c>
    </row>
    <row r="396" spans="1:14" x14ac:dyDescent="0.15">
      <c r="A396" s="26" t="s">
        <v>32</v>
      </c>
      <c r="B396" s="4">
        <v>30016</v>
      </c>
      <c r="C396" s="3" t="str">
        <f ca="1">VLOOKUP($B396,OFFSET([1]quests!$A$1,0,0,COUNTA([1]quests!$A:$A),MATCH(C$1,[1]quests!$1:$1,0)-MATCH($B$1,[1]quests!$1:$1,0)+1),MATCH(C$1,[1]quests!$1:$1,0)-MATCH($B$1,[1]quests!$1:$1,0)+1,FALSE)</f>
        <v>私がワニの天敵よ？</v>
      </c>
      <c r="D396" s="3" t="str">
        <f ca="1">VLOOKUP($B396,OFFSET([1]quests!$A$1,0,0,COUNTA([1]quests!$A:$A),MATCH(D$1,[1]quests!$1:$1,0)-MATCH($B$1,[1]quests!$1:$1,0)+1),MATCH(D$1,[1]quests!$1:$1,0)-MATCH($B$1,[1]quests!$1:$1,0)+1,FALSE)</f>
        <v>ドロップイベント4（マルチ専用）</v>
      </c>
      <c r="E396" s="5">
        <v>1</v>
      </c>
      <c r="F396" s="3" t="str">
        <f ca="1">VLOOKUP($B396&amp;"_"&amp;$E396,OFFSET([1]stages!$A$1,0,0,COUNTA([1]stages!$A:$A),MATCH(F$1,[1]stages!$2:$2,0)-MATCH("temp_stage",[1]stages!$2:$2,0)+1),MATCH(F$1,[1]stages!$2:$2,0)-MATCH("temp_stage",[1]stages!$2:$2,0)+1,FALSE)</f>
        <v>【超級】私がワニの天敵よ？</v>
      </c>
      <c r="G396" s="3" t="str">
        <f ca="1">VLOOKUP($B396&amp;"_"&amp;$E396,OFFSET([1]stages!$A$1,0,0,COUNTA([1]stages!$A:$A),MATCH(G$1,[1]stages!$2:$2,0)-MATCH("temp_stage",[1]stages!$2:$2,0)+1),MATCH(G$1,[1]stages!$2:$2,0)-MATCH("temp_stage",[1]stages!$2:$2,0)+1,FALSE)</f>
        <v>ドロップイベント4（マルチ専用）</v>
      </c>
      <c r="H396" s="18">
        <v>0</v>
      </c>
      <c r="I396">
        <v>35</v>
      </c>
      <c r="J396" s="5" t="s">
        <v>16</v>
      </c>
      <c r="K396" s="34" t="str">
        <f>VLOOKUP(I396,[2]stage_hints!$A:$C,3,FALSE)</f>
        <v>敵のステータスがスキルで上がったら</v>
      </c>
      <c r="L396" s="35" t="str">
        <f>VLOOKUP(I396,[2]stage_hints!$A:$D,4,FALSE)</f>
        <v>敵のステータスがスキルでアップしたときは_x000D_ステータスダウンスキルで上書きしましょう</v>
      </c>
      <c r="M396" s="21" t="s">
        <v>23</v>
      </c>
      <c r="N396">
        <v>35</v>
      </c>
    </row>
    <row r="397" spans="1:14" x14ac:dyDescent="0.15">
      <c r="A397" s="26" t="s">
        <v>32</v>
      </c>
      <c r="B397" s="4">
        <v>30016</v>
      </c>
      <c r="C397" s="3" t="str">
        <f ca="1">VLOOKUP($B397,OFFSET([1]quests!$A$1,0,0,COUNTA([1]quests!$A:$A),MATCH(C$1,[1]quests!$1:$1,0)-MATCH($B$1,[1]quests!$1:$1,0)+1),MATCH(C$1,[1]quests!$1:$1,0)-MATCH($B$1,[1]quests!$1:$1,0)+1,FALSE)</f>
        <v>私がワニの天敵よ？</v>
      </c>
      <c r="D397" s="3" t="str">
        <f ca="1">VLOOKUP($B397,OFFSET([1]quests!$A$1,0,0,COUNTA([1]quests!$A:$A),MATCH(D$1,[1]quests!$1:$1,0)-MATCH($B$1,[1]quests!$1:$1,0)+1),MATCH(D$1,[1]quests!$1:$1,0)-MATCH($B$1,[1]quests!$1:$1,0)+1,FALSE)</f>
        <v>ドロップイベント4（マルチ専用）</v>
      </c>
      <c r="E397" s="5">
        <v>1</v>
      </c>
      <c r="F397" s="3" t="str">
        <f ca="1">VLOOKUP($B397&amp;"_"&amp;$E397,OFFSET([1]stages!$A$1,0,0,COUNTA([1]stages!$A:$A),MATCH(F$1,[1]stages!$2:$2,0)-MATCH("temp_stage",[1]stages!$2:$2,0)+1),MATCH(F$1,[1]stages!$2:$2,0)-MATCH("temp_stage",[1]stages!$2:$2,0)+1,FALSE)</f>
        <v>【超級】私がワニの天敵よ？</v>
      </c>
      <c r="G397" s="3" t="str">
        <f ca="1">VLOOKUP($B397&amp;"_"&amp;$E397,OFFSET([1]stages!$A$1,0,0,COUNTA([1]stages!$A:$A),MATCH(G$1,[1]stages!$2:$2,0)-MATCH("temp_stage",[1]stages!$2:$2,0)+1),MATCH(G$1,[1]stages!$2:$2,0)-MATCH("temp_stage",[1]stages!$2:$2,0)+1,FALSE)</f>
        <v>ドロップイベント4（マルチ専用）</v>
      </c>
      <c r="H397" s="18">
        <v>0</v>
      </c>
      <c r="I397">
        <v>36</v>
      </c>
      <c r="J397" s="5" t="s">
        <v>16</v>
      </c>
      <c r="K397" s="34" t="str">
        <f>VLOOKUP(I397,[2]stage_hints!$A:$C,3,FALSE)</f>
        <v>タワーオブザクイーンのボス</v>
      </c>
      <c r="L397" s="35" t="str">
        <f>VLOOKUP(I397,[2]stage_hints!$A:$D,4,FALSE)</f>
        <v>「タワーオブザクイーン」最上階のボスは_x000D_15階の初回クリア報酬で獲得できるほか_x000D_その階にて低確率でドロップもします</v>
      </c>
      <c r="M397" s="21" t="s">
        <v>23</v>
      </c>
      <c r="N397">
        <v>36</v>
      </c>
    </row>
    <row r="398" spans="1:14" x14ac:dyDescent="0.15">
      <c r="A398" s="26" t="s">
        <v>32</v>
      </c>
      <c r="B398" s="4">
        <v>30016</v>
      </c>
      <c r="C398" s="3" t="str">
        <f ca="1">VLOOKUP($B398,OFFSET([1]quests!$A$1,0,0,COUNTA([1]quests!$A:$A),MATCH(C$1,[1]quests!$1:$1,0)-MATCH($B$1,[1]quests!$1:$1,0)+1),MATCH(C$1,[1]quests!$1:$1,0)-MATCH($B$1,[1]quests!$1:$1,0)+1,FALSE)</f>
        <v>私がワニの天敵よ？</v>
      </c>
      <c r="D398" s="3" t="str">
        <f ca="1">VLOOKUP($B398,OFFSET([1]quests!$A$1,0,0,COUNTA([1]quests!$A:$A),MATCH(D$1,[1]quests!$1:$1,0)-MATCH($B$1,[1]quests!$1:$1,0)+1),MATCH(D$1,[1]quests!$1:$1,0)-MATCH($B$1,[1]quests!$1:$1,0)+1,FALSE)</f>
        <v>ドロップイベント4（マルチ専用）</v>
      </c>
      <c r="E398" s="5">
        <v>1</v>
      </c>
      <c r="F398" s="3" t="str">
        <f ca="1">VLOOKUP($B398&amp;"_"&amp;$E398,OFFSET([1]stages!$A$1,0,0,COUNTA([1]stages!$A:$A),MATCH(F$1,[1]stages!$2:$2,0)-MATCH("temp_stage",[1]stages!$2:$2,0)+1),MATCH(F$1,[1]stages!$2:$2,0)-MATCH("temp_stage",[1]stages!$2:$2,0)+1,FALSE)</f>
        <v>【超級】私がワニの天敵よ？</v>
      </c>
      <c r="G398" s="3" t="str">
        <f ca="1">VLOOKUP($B398&amp;"_"&amp;$E398,OFFSET([1]stages!$A$1,0,0,COUNTA([1]stages!$A:$A),MATCH(G$1,[1]stages!$2:$2,0)-MATCH("temp_stage",[1]stages!$2:$2,0)+1),MATCH(G$1,[1]stages!$2:$2,0)-MATCH("temp_stage",[1]stages!$2:$2,0)+1,FALSE)</f>
        <v>ドロップイベント4（マルチ専用）</v>
      </c>
      <c r="H398" s="18">
        <v>0</v>
      </c>
      <c r="I398">
        <v>37</v>
      </c>
      <c r="J398" s="5" t="s">
        <v>16</v>
      </c>
      <c r="K398" s="34" t="str">
        <f>VLOOKUP(I398,[2]stage_hints!$A:$C,3,FALSE)</f>
        <v>限界突破値の引き継ぎ</v>
      </c>
      <c r="L398" s="35" t="str">
        <f>VLOOKUP(I398,[2]stage_hints!$A:$D,4,FALSE)</f>
        <v>同じユニットを強化で合成すると_x000D_限界突破値を引き継げます（覚醒前後も可）</v>
      </c>
      <c r="M398" s="21" t="s">
        <v>23</v>
      </c>
      <c r="N398">
        <v>37</v>
      </c>
    </row>
    <row r="399" spans="1:14" x14ac:dyDescent="0.15">
      <c r="A399" s="26" t="s">
        <v>32</v>
      </c>
      <c r="B399" s="4">
        <v>30017</v>
      </c>
      <c r="C399" s="3" t="str">
        <f ca="1">VLOOKUP($B399,OFFSET([1]quests!$A$1,0,0,COUNTA([1]quests!$A:$A),MATCH(C$1,[1]quests!$1:$1,0)-MATCH($B$1,[1]quests!$1:$1,0)+1),MATCH(C$1,[1]quests!$1:$1,0)-MATCH($B$1,[1]quests!$1:$1,0)+1,FALSE)</f>
        <v>狩人の挽歌</v>
      </c>
      <c r="D399" s="3" t="str">
        <f ca="1">VLOOKUP($B399,OFFSET([1]quests!$A$1,0,0,COUNTA([1]quests!$A:$A),MATCH(D$1,[1]quests!$1:$1,0)-MATCH($B$1,[1]quests!$1:$1,0)+1),MATCH(D$1,[1]quests!$1:$1,0)-MATCH($B$1,[1]quests!$1:$1,0)+1,FALSE)</f>
        <v>ドロップイベント5（マルチ専用）</v>
      </c>
      <c r="E399" s="5">
        <v>1</v>
      </c>
      <c r="F399" s="3" t="str">
        <f ca="1">VLOOKUP($B399&amp;"_"&amp;$E399,OFFSET([1]stages!$A$1,0,0,COUNTA([1]stages!$A:$A),MATCH(F$1,[1]stages!$2:$2,0)-MATCH("temp_stage",[1]stages!$2:$2,0)+1),MATCH(F$1,[1]stages!$2:$2,0)-MATCH("temp_stage",[1]stages!$2:$2,0)+1,FALSE)</f>
        <v>【超級】狩人の挽歌</v>
      </c>
      <c r="G399" s="3" t="str">
        <f ca="1">VLOOKUP($B399&amp;"_"&amp;$E399,OFFSET([1]stages!$A$1,0,0,COUNTA([1]stages!$A:$A),MATCH(G$1,[1]stages!$2:$2,0)-MATCH("temp_stage",[1]stages!$2:$2,0)+1),MATCH(G$1,[1]stages!$2:$2,0)-MATCH("temp_stage",[1]stages!$2:$2,0)+1,FALSE)</f>
        <v>ドロップイベント5（マルチ専用）</v>
      </c>
      <c r="H399" s="18">
        <v>0</v>
      </c>
      <c r="I399">
        <v>12</v>
      </c>
      <c r="J399" s="5" t="s">
        <v>16</v>
      </c>
      <c r="K399" s="34" t="str">
        <f>VLOOKUP(I399,[2]stage_hints!$A:$C,3,FALSE)</f>
        <v>ユニットのお気に入り登録</v>
      </c>
      <c r="L399" s="35" t="str">
        <f>VLOOKUP(I399,[2]stage_hints!$A:$D,4,FALSE)</f>
        <v>大事なユニットを誤って消さないように_x000D_フォルダから「お気に入り登録」しましょう</v>
      </c>
      <c r="M399" s="21" t="s">
        <v>23</v>
      </c>
      <c r="N399">
        <v>12</v>
      </c>
    </row>
    <row r="400" spans="1:14" x14ac:dyDescent="0.15">
      <c r="A400" s="26" t="s">
        <v>32</v>
      </c>
      <c r="B400" s="4">
        <v>30017</v>
      </c>
      <c r="C400" s="3" t="str">
        <f ca="1">VLOOKUP($B400,OFFSET([1]quests!$A$1,0,0,COUNTA([1]quests!$A:$A),MATCH(C$1,[1]quests!$1:$1,0)-MATCH($B$1,[1]quests!$1:$1,0)+1),MATCH(C$1,[1]quests!$1:$1,0)-MATCH($B$1,[1]quests!$1:$1,0)+1,FALSE)</f>
        <v>狩人の挽歌</v>
      </c>
      <c r="D400" s="3" t="str">
        <f ca="1">VLOOKUP($B400,OFFSET([1]quests!$A$1,0,0,COUNTA([1]quests!$A:$A),MATCH(D$1,[1]quests!$1:$1,0)-MATCH($B$1,[1]quests!$1:$1,0)+1),MATCH(D$1,[1]quests!$1:$1,0)-MATCH($B$1,[1]quests!$1:$1,0)+1,FALSE)</f>
        <v>ドロップイベント5（マルチ専用）</v>
      </c>
      <c r="E400" s="5">
        <v>1</v>
      </c>
      <c r="F400" s="3" t="str">
        <f ca="1">VLOOKUP($B400&amp;"_"&amp;$E400,OFFSET([1]stages!$A$1,0,0,COUNTA([1]stages!$A:$A),MATCH(F$1,[1]stages!$2:$2,0)-MATCH("temp_stage",[1]stages!$2:$2,0)+1),MATCH(F$1,[1]stages!$2:$2,0)-MATCH("temp_stage",[1]stages!$2:$2,0)+1,FALSE)</f>
        <v>【超級】狩人の挽歌</v>
      </c>
      <c r="G400" s="3" t="str">
        <f ca="1">VLOOKUP($B400&amp;"_"&amp;$E400,OFFSET([1]stages!$A$1,0,0,COUNTA([1]stages!$A:$A),MATCH(G$1,[1]stages!$2:$2,0)-MATCH("temp_stage",[1]stages!$2:$2,0)+1),MATCH(G$1,[1]stages!$2:$2,0)-MATCH("temp_stage",[1]stages!$2:$2,0)+1,FALSE)</f>
        <v>ドロップイベント5（マルチ専用）</v>
      </c>
      <c r="H400" s="18">
        <v>0</v>
      </c>
      <c r="I400">
        <v>17</v>
      </c>
      <c r="J400" s="5" t="s">
        <v>16</v>
      </c>
      <c r="K400" s="34" t="str">
        <f>VLOOKUP(I400,[2]stage_hints!$A:$C,3,FALSE)</f>
        <v>リンクガチャ</v>
      </c>
      <c r="L400" s="35" t="str">
        <f>VLOOKUP(I400,[2]stage_hints!$A:$D,4,FALSE)</f>
        <v>無料のリンクガチャを回して_x000D_経験値素材や売却素材を獲得しましょう</v>
      </c>
      <c r="M400" s="21" t="s">
        <v>23</v>
      </c>
      <c r="N400">
        <v>17</v>
      </c>
    </row>
    <row r="401" spans="1:14" x14ac:dyDescent="0.15">
      <c r="A401" s="26" t="s">
        <v>32</v>
      </c>
      <c r="B401" s="4">
        <v>30017</v>
      </c>
      <c r="C401" s="3" t="str">
        <f ca="1">VLOOKUP($B401,OFFSET([1]quests!$A$1,0,0,COUNTA([1]quests!$A:$A),MATCH(C$1,[1]quests!$1:$1,0)-MATCH($B$1,[1]quests!$1:$1,0)+1),MATCH(C$1,[1]quests!$1:$1,0)-MATCH($B$1,[1]quests!$1:$1,0)+1,FALSE)</f>
        <v>狩人の挽歌</v>
      </c>
      <c r="D401" s="3" t="str">
        <f ca="1">VLOOKUP($B401,OFFSET([1]quests!$A$1,0,0,COUNTA([1]quests!$A:$A),MATCH(D$1,[1]quests!$1:$1,0)-MATCH($B$1,[1]quests!$1:$1,0)+1),MATCH(D$1,[1]quests!$1:$1,0)-MATCH($B$1,[1]quests!$1:$1,0)+1,FALSE)</f>
        <v>ドロップイベント5（マルチ専用）</v>
      </c>
      <c r="E401" s="5">
        <v>1</v>
      </c>
      <c r="F401" s="3" t="str">
        <f ca="1">VLOOKUP($B401&amp;"_"&amp;$E401,OFFSET([1]stages!$A$1,0,0,COUNTA([1]stages!$A:$A),MATCH(F$1,[1]stages!$2:$2,0)-MATCH("temp_stage",[1]stages!$2:$2,0)+1),MATCH(F$1,[1]stages!$2:$2,0)-MATCH("temp_stage",[1]stages!$2:$2,0)+1,FALSE)</f>
        <v>【超級】狩人の挽歌</v>
      </c>
      <c r="G401" s="3" t="str">
        <f ca="1">VLOOKUP($B401&amp;"_"&amp;$E401,OFFSET([1]stages!$A$1,0,0,COUNTA([1]stages!$A:$A),MATCH(G$1,[1]stages!$2:$2,0)-MATCH("temp_stage",[1]stages!$2:$2,0)+1),MATCH(G$1,[1]stages!$2:$2,0)-MATCH("temp_stage",[1]stages!$2:$2,0)+1,FALSE)</f>
        <v>ドロップイベント5（マルチ専用）</v>
      </c>
      <c r="H401" s="18">
        <v>0</v>
      </c>
      <c r="I401">
        <v>19</v>
      </c>
      <c r="J401" s="5" t="s">
        <v>16</v>
      </c>
      <c r="K401" s="34" t="str">
        <f>VLOOKUP(I401,[2]stage_hints!$A:$C,3,FALSE)</f>
        <v>ソロ専用タワーオブザクイーン</v>
      </c>
      <c r="L401" s="35" t="str">
        <f>VLOOKUP(I401,[2]stage_hints!$A:$D,4,FALSE)</f>
        <v>ソロ専用の「タワーオブザクイーン」は_x000D_期間限定で定期的に開催されます_x000D_ここでしか獲得できない報酬もあるようです</v>
      </c>
      <c r="M401" s="21" t="s">
        <v>23</v>
      </c>
      <c r="N401">
        <v>19</v>
      </c>
    </row>
    <row r="402" spans="1:14" x14ac:dyDescent="0.15">
      <c r="A402" s="26" t="s">
        <v>32</v>
      </c>
      <c r="B402" s="4">
        <v>30017</v>
      </c>
      <c r="C402" s="3" t="str">
        <f ca="1">VLOOKUP($B402,OFFSET([1]quests!$A$1,0,0,COUNTA([1]quests!$A:$A),MATCH(C$1,[1]quests!$1:$1,0)-MATCH($B$1,[1]quests!$1:$1,0)+1),MATCH(C$1,[1]quests!$1:$1,0)-MATCH($B$1,[1]quests!$1:$1,0)+1,FALSE)</f>
        <v>狩人の挽歌</v>
      </c>
      <c r="D402" s="3" t="str">
        <f ca="1">VLOOKUP($B402,OFFSET([1]quests!$A$1,0,0,COUNTA([1]quests!$A:$A),MATCH(D$1,[1]quests!$1:$1,0)-MATCH($B$1,[1]quests!$1:$1,0)+1),MATCH(D$1,[1]quests!$1:$1,0)-MATCH($B$1,[1]quests!$1:$1,0)+1,FALSE)</f>
        <v>ドロップイベント5（マルチ専用）</v>
      </c>
      <c r="E402" s="5">
        <v>1</v>
      </c>
      <c r="F402" s="3" t="str">
        <f ca="1">VLOOKUP($B402&amp;"_"&amp;$E402,OFFSET([1]stages!$A$1,0,0,COUNTA([1]stages!$A:$A),MATCH(F$1,[1]stages!$2:$2,0)-MATCH("temp_stage",[1]stages!$2:$2,0)+1),MATCH(F$1,[1]stages!$2:$2,0)-MATCH("temp_stage",[1]stages!$2:$2,0)+1,FALSE)</f>
        <v>【超級】狩人の挽歌</v>
      </c>
      <c r="G402" s="3" t="str">
        <f ca="1">VLOOKUP($B402&amp;"_"&amp;$E402,OFFSET([1]stages!$A$1,0,0,COUNTA([1]stages!$A:$A),MATCH(G$1,[1]stages!$2:$2,0)-MATCH("temp_stage",[1]stages!$2:$2,0)+1),MATCH(G$1,[1]stages!$2:$2,0)-MATCH("temp_stage",[1]stages!$2:$2,0)+1,FALSE)</f>
        <v>ドロップイベント5（マルチ専用）</v>
      </c>
      <c r="H402" s="18">
        <v>0</v>
      </c>
      <c r="I402">
        <v>21</v>
      </c>
      <c r="J402" s="5" t="s">
        <v>16</v>
      </c>
      <c r="K402" s="34" t="str">
        <f>VLOOKUP(I402,[2]stage_hints!$A:$C,3,FALSE)</f>
        <v>スキルを有効に</v>
      </c>
      <c r="L402" s="35" t="str">
        <f>VLOOKUP(I402,[2]stage_hints!$A:$D,4,FALSE)</f>
        <v>ターン経過でユニットのスキルが使えます_x000D_強力スキルでバトルを有利に進めましょう</v>
      </c>
      <c r="M402" s="21" t="s">
        <v>23</v>
      </c>
      <c r="N402">
        <v>21</v>
      </c>
    </row>
    <row r="403" spans="1:14" x14ac:dyDescent="0.15">
      <c r="A403" s="26" t="s">
        <v>32</v>
      </c>
      <c r="B403" s="4">
        <v>30017</v>
      </c>
      <c r="C403" s="3" t="str">
        <f ca="1">VLOOKUP($B403,OFFSET([1]quests!$A$1,0,0,COUNTA([1]quests!$A:$A),MATCH(C$1,[1]quests!$1:$1,0)-MATCH($B$1,[1]quests!$1:$1,0)+1),MATCH(C$1,[1]quests!$1:$1,0)-MATCH($B$1,[1]quests!$1:$1,0)+1,FALSE)</f>
        <v>狩人の挽歌</v>
      </c>
      <c r="D403" s="3" t="str">
        <f ca="1">VLOOKUP($B403,OFFSET([1]quests!$A$1,0,0,COUNTA([1]quests!$A:$A),MATCH(D$1,[1]quests!$1:$1,0)-MATCH($B$1,[1]quests!$1:$1,0)+1),MATCH(D$1,[1]quests!$1:$1,0)-MATCH($B$1,[1]quests!$1:$1,0)+1,FALSE)</f>
        <v>ドロップイベント5（マルチ専用）</v>
      </c>
      <c r="E403" s="5">
        <v>1</v>
      </c>
      <c r="F403" s="3" t="str">
        <f ca="1">VLOOKUP($B403&amp;"_"&amp;$E403,OFFSET([1]stages!$A$1,0,0,COUNTA([1]stages!$A:$A),MATCH(F$1,[1]stages!$2:$2,0)-MATCH("temp_stage",[1]stages!$2:$2,0)+1),MATCH(F$1,[1]stages!$2:$2,0)-MATCH("temp_stage",[1]stages!$2:$2,0)+1,FALSE)</f>
        <v>【超級】狩人の挽歌</v>
      </c>
      <c r="G403" s="3" t="str">
        <f ca="1">VLOOKUP($B403&amp;"_"&amp;$E403,OFFSET([1]stages!$A$1,0,0,COUNTA([1]stages!$A:$A),MATCH(G$1,[1]stages!$2:$2,0)-MATCH("temp_stage",[1]stages!$2:$2,0)+1),MATCH(G$1,[1]stages!$2:$2,0)-MATCH("temp_stage",[1]stages!$2:$2,0)+1,FALSE)</f>
        <v>ドロップイベント5（マルチ専用）</v>
      </c>
      <c r="H403" s="18">
        <v>0</v>
      </c>
      <c r="I403">
        <v>27</v>
      </c>
      <c r="J403" s="5" t="s">
        <v>16</v>
      </c>
      <c r="K403" s="34" t="str">
        <f>VLOOKUP(I403,[2]stage_hints!$A:$C,3,FALSE)</f>
        <v>ホーム画面からデッキを編成</v>
      </c>
      <c r="L403" s="35" t="str">
        <f>VLOOKUP(I403,[2]stage_hints!$A:$D,4,FALSE)</f>
        <v>ホーム画面でユニットを長押しすると_x000D_すぐにパーティ編成に移動できます</v>
      </c>
      <c r="M403" s="21" t="s">
        <v>23</v>
      </c>
      <c r="N403">
        <v>27</v>
      </c>
    </row>
    <row r="404" spans="1:14" x14ac:dyDescent="0.15">
      <c r="A404" s="26" t="s">
        <v>32</v>
      </c>
      <c r="B404" s="4">
        <v>30017</v>
      </c>
      <c r="C404" s="3" t="str">
        <f ca="1">VLOOKUP($B404,OFFSET([1]quests!$A$1,0,0,COUNTA([1]quests!$A:$A),MATCH(C$1,[1]quests!$1:$1,0)-MATCH($B$1,[1]quests!$1:$1,0)+1),MATCH(C$1,[1]quests!$1:$1,0)-MATCH($B$1,[1]quests!$1:$1,0)+1,FALSE)</f>
        <v>狩人の挽歌</v>
      </c>
      <c r="D404" s="3" t="str">
        <f ca="1">VLOOKUP($B404,OFFSET([1]quests!$A$1,0,0,COUNTA([1]quests!$A:$A),MATCH(D$1,[1]quests!$1:$1,0)-MATCH($B$1,[1]quests!$1:$1,0)+1),MATCH(D$1,[1]quests!$1:$1,0)-MATCH($B$1,[1]quests!$1:$1,0)+1,FALSE)</f>
        <v>ドロップイベント5（マルチ専用）</v>
      </c>
      <c r="E404" s="5">
        <v>1</v>
      </c>
      <c r="F404" s="3" t="str">
        <f ca="1">VLOOKUP($B404&amp;"_"&amp;$E404,OFFSET([1]stages!$A$1,0,0,COUNTA([1]stages!$A:$A),MATCH(F$1,[1]stages!$2:$2,0)-MATCH("temp_stage",[1]stages!$2:$2,0)+1),MATCH(F$1,[1]stages!$2:$2,0)-MATCH("temp_stage",[1]stages!$2:$2,0)+1,FALSE)</f>
        <v>【超級】狩人の挽歌</v>
      </c>
      <c r="G404" s="3" t="str">
        <f ca="1">VLOOKUP($B404&amp;"_"&amp;$E404,OFFSET([1]stages!$A$1,0,0,COUNTA([1]stages!$A:$A),MATCH(G$1,[1]stages!$2:$2,0)-MATCH("temp_stage",[1]stages!$2:$2,0)+1),MATCH(G$1,[1]stages!$2:$2,0)-MATCH("temp_stage",[1]stages!$2:$2,0)+1,FALSE)</f>
        <v>ドロップイベント5（マルチ専用）</v>
      </c>
      <c r="H404" s="18">
        <v>0</v>
      </c>
      <c r="I404">
        <v>28</v>
      </c>
      <c r="J404" s="5" t="s">
        <v>16</v>
      </c>
      <c r="K404" s="34" t="str">
        <f>VLOOKUP(I404,[2]stage_hints!$A:$C,3,FALSE)</f>
        <v>ステータス情報は長押しで</v>
      </c>
      <c r="L404" s="35" t="str">
        <f>VLOOKUP(I404,[2]stage_hints!$A:$D,4,FALSE)</f>
        <v>ユニットのアイコンを長押しすると_x000D_ステータス情報を確認することができます</v>
      </c>
      <c r="M404" s="21" t="s">
        <v>23</v>
      </c>
      <c r="N404">
        <v>28</v>
      </c>
    </row>
    <row r="405" spans="1:14" x14ac:dyDescent="0.15">
      <c r="A405" s="26" t="s">
        <v>32</v>
      </c>
      <c r="B405" s="4">
        <v>30017</v>
      </c>
      <c r="C405" s="3" t="str">
        <f ca="1">VLOOKUP($B405,OFFSET([1]quests!$A$1,0,0,COUNTA([1]quests!$A:$A),MATCH(C$1,[1]quests!$1:$1,0)-MATCH($B$1,[1]quests!$1:$1,0)+1),MATCH(C$1,[1]quests!$1:$1,0)-MATCH($B$1,[1]quests!$1:$1,0)+1,FALSE)</f>
        <v>狩人の挽歌</v>
      </c>
      <c r="D405" s="3" t="str">
        <f ca="1">VLOOKUP($B405,OFFSET([1]quests!$A$1,0,0,COUNTA([1]quests!$A:$A),MATCH(D$1,[1]quests!$1:$1,0)-MATCH($B$1,[1]quests!$1:$1,0)+1),MATCH(D$1,[1]quests!$1:$1,0)-MATCH($B$1,[1]quests!$1:$1,0)+1,FALSE)</f>
        <v>ドロップイベント5（マルチ専用）</v>
      </c>
      <c r="E405" s="5">
        <v>1</v>
      </c>
      <c r="F405" s="3" t="str">
        <f ca="1">VLOOKUP($B405&amp;"_"&amp;$E405,OFFSET([1]stages!$A$1,0,0,COUNTA([1]stages!$A:$A),MATCH(F$1,[1]stages!$2:$2,0)-MATCH("temp_stage",[1]stages!$2:$2,0)+1),MATCH(F$1,[1]stages!$2:$2,0)-MATCH("temp_stage",[1]stages!$2:$2,0)+1,FALSE)</f>
        <v>【超級】狩人の挽歌</v>
      </c>
      <c r="G405" s="3" t="str">
        <f ca="1">VLOOKUP($B405&amp;"_"&amp;$E405,OFFSET([1]stages!$A$1,0,0,COUNTA([1]stages!$A:$A),MATCH(G$1,[1]stages!$2:$2,0)-MATCH("temp_stage",[1]stages!$2:$2,0)+1),MATCH(G$1,[1]stages!$2:$2,0)-MATCH("temp_stage",[1]stages!$2:$2,0)+1,FALSE)</f>
        <v>ドロップイベント5（マルチ専用）</v>
      </c>
      <c r="H405" s="18">
        <v>0</v>
      </c>
      <c r="I405">
        <v>29</v>
      </c>
      <c r="J405" s="5" t="s">
        <v>16</v>
      </c>
      <c r="K405" s="34" t="str">
        <f>VLOOKUP(I405,[2]stage_hints!$A:$C,3,FALSE)</f>
        <v>「バグ」のメリット</v>
      </c>
      <c r="L405" s="35" t="str">
        <f>VLOOKUP(I405,[2]stage_hints!$A:$D,4,FALSE)</f>
        <v>ユニットの「バグ」を増やすと_x000D_報酬をもらえる確率がアップします</v>
      </c>
      <c r="M405" s="21" t="s">
        <v>23</v>
      </c>
      <c r="N405">
        <v>29</v>
      </c>
    </row>
    <row r="406" spans="1:14" x14ac:dyDescent="0.15">
      <c r="A406" s="26" t="s">
        <v>32</v>
      </c>
      <c r="B406" s="4">
        <v>30017</v>
      </c>
      <c r="C406" s="3" t="str">
        <f ca="1">VLOOKUP($B406,OFFSET([1]quests!$A$1,0,0,COUNTA([1]quests!$A:$A),MATCH(C$1,[1]quests!$1:$1,0)-MATCH($B$1,[1]quests!$1:$1,0)+1),MATCH(C$1,[1]quests!$1:$1,0)-MATCH($B$1,[1]quests!$1:$1,0)+1,FALSE)</f>
        <v>狩人の挽歌</v>
      </c>
      <c r="D406" s="3" t="str">
        <f ca="1">VLOOKUP($B406,OFFSET([1]quests!$A$1,0,0,COUNTA([1]quests!$A:$A),MATCH(D$1,[1]quests!$1:$1,0)-MATCH($B$1,[1]quests!$1:$1,0)+1),MATCH(D$1,[1]quests!$1:$1,0)-MATCH($B$1,[1]quests!$1:$1,0)+1,FALSE)</f>
        <v>ドロップイベント5（マルチ専用）</v>
      </c>
      <c r="E406" s="5">
        <v>1</v>
      </c>
      <c r="F406" s="3" t="str">
        <f ca="1">VLOOKUP($B406&amp;"_"&amp;$E406,OFFSET([1]stages!$A$1,0,0,COUNTA([1]stages!$A:$A),MATCH(F$1,[1]stages!$2:$2,0)-MATCH("temp_stage",[1]stages!$2:$2,0)+1),MATCH(F$1,[1]stages!$2:$2,0)-MATCH("temp_stage",[1]stages!$2:$2,0)+1,FALSE)</f>
        <v>【超級】狩人の挽歌</v>
      </c>
      <c r="G406" s="3" t="str">
        <f ca="1">VLOOKUP($B406&amp;"_"&amp;$E406,OFFSET([1]stages!$A$1,0,0,COUNTA([1]stages!$A:$A),MATCH(G$1,[1]stages!$2:$2,0)-MATCH("temp_stage",[1]stages!$2:$2,0)+1),MATCH(G$1,[1]stages!$2:$2,0)-MATCH("temp_stage",[1]stages!$2:$2,0)+1,FALSE)</f>
        <v>ドロップイベント5（マルチ専用）</v>
      </c>
      <c r="H406" s="18">
        <v>0</v>
      </c>
      <c r="I406">
        <v>30</v>
      </c>
      <c r="J406" s="5" t="s">
        <v>16</v>
      </c>
      <c r="K406" s="34" t="str">
        <f>VLOOKUP(I406,[2]stage_hints!$A:$C,3,FALSE)</f>
        <v>「バグ」の増やし方</v>
      </c>
      <c r="L406" s="35" t="str">
        <f>VLOOKUP(I406,[2]stage_hints!$A:$D,4,FALSE)</f>
        <v>同じユニット同士を強化で合成すると_x000D_「バグ」を増やすことができます</v>
      </c>
      <c r="M406" s="21" t="s">
        <v>23</v>
      </c>
      <c r="N406">
        <v>30</v>
      </c>
    </row>
    <row r="407" spans="1:14" x14ac:dyDescent="0.15">
      <c r="A407" s="26" t="s">
        <v>32</v>
      </c>
      <c r="B407" s="4">
        <v>30017</v>
      </c>
      <c r="C407" s="3" t="str">
        <f ca="1">VLOOKUP($B407,OFFSET([1]quests!$A$1,0,0,COUNTA([1]quests!$A:$A),MATCH(C$1,[1]quests!$1:$1,0)-MATCH($B$1,[1]quests!$1:$1,0)+1),MATCH(C$1,[1]quests!$1:$1,0)-MATCH($B$1,[1]quests!$1:$1,0)+1,FALSE)</f>
        <v>狩人の挽歌</v>
      </c>
      <c r="D407" s="3" t="str">
        <f ca="1">VLOOKUP($B407,OFFSET([1]quests!$A$1,0,0,COUNTA([1]quests!$A:$A),MATCH(D$1,[1]quests!$1:$1,0)-MATCH($B$1,[1]quests!$1:$1,0)+1),MATCH(D$1,[1]quests!$1:$1,0)-MATCH($B$1,[1]quests!$1:$1,0)+1,FALSE)</f>
        <v>ドロップイベント5（マルチ専用）</v>
      </c>
      <c r="E407" s="5">
        <v>1</v>
      </c>
      <c r="F407" s="3" t="str">
        <f ca="1">VLOOKUP($B407&amp;"_"&amp;$E407,OFFSET([1]stages!$A$1,0,0,COUNTA([1]stages!$A:$A),MATCH(F$1,[1]stages!$2:$2,0)-MATCH("temp_stage",[1]stages!$2:$2,0)+1),MATCH(F$1,[1]stages!$2:$2,0)-MATCH("temp_stage",[1]stages!$2:$2,0)+1,FALSE)</f>
        <v>【超級】狩人の挽歌</v>
      </c>
      <c r="G407" s="3" t="str">
        <f ca="1">VLOOKUP($B407&amp;"_"&amp;$E407,OFFSET([1]stages!$A$1,0,0,COUNTA([1]stages!$A:$A),MATCH(G$1,[1]stages!$2:$2,0)-MATCH("temp_stage",[1]stages!$2:$2,0)+1),MATCH(G$1,[1]stages!$2:$2,0)-MATCH("temp_stage",[1]stages!$2:$2,0)+1,FALSE)</f>
        <v>ドロップイベント5（マルチ専用）</v>
      </c>
      <c r="H407" s="18">
        <v>0</v>
      </c>
      <c r="I407">
        <v>32</v>
      </c>
      <c r="J407" s="5" t="s">
        <v>16</v>
      </c>
      <c r="K407" s="34" t="str">
        <f>VLOOKUP(I407,[2]stage_hints!$A:$C,3,FALSE)</f>
        <v>敵の連続攻撃には</v>
      </c>
      <c r="L407" s="35" t="str">
        <f>VLOOKUP(I407,[2]stage_hints!$A:$D,4,FALSE)</f>
        <v>カウンタースキルを持つユニットがいれば_x000D_ダメージ回数分の反撃ができます</v>
      </c>
      <c r="M407" s="21" t="s">
        <v>23</v>
      </c>
      <c r="N407">
        <v>32</v>
      </c>
    </row>
    <row r="408" spans="1:14" x14ac:dyDescent="0.15">
      <c r="A408" s="26" t="s">
        <v>32</v>
      </c>
      <c r="B408" s="4">
        <v>30017</v>
      </c>
      <c r="C408" s="3" t="str">
        <f ca="1">VLOOKUP($B408,OFFSET([1]quests!$A$1,0,0,COUNTA([1]quests!$A:$A),MATCH(C$1,[1]quests!$1:$1,0)-MATCH($B$1,[1]quests!$1:$1,0)+1),MATCH(C$1,[1]quests!$1:$1,0)-MATCH($B$1,[1]quests!$1:$1,0)+1,FALSE)</f>
        <v>狩人の挽歌</v>
      </c>
      <c r="D408" s="3" t="str">
        <f ca="1">VLOOKUP($B408,OFFSET([1]quests!$A$1,0,0,COUNTA([1]quests!$A:$A),MATCH(D$1,[1]quests!$1:$1,0)-MATCH($B$1,[1]quests!$1:$1,0)+1),MATCH(D$1,[1]quests!$1:$1,0)-MATCH($B$1,[1]quests!$1:$1,0)+1,FALSE)</f>
        <v>ドロップイベント5（マルチ専用）</v>
      </c>
      <c r="E408" s="5">
        <v>1</v>
      </c>
      <c r="F408" s="3" t="str">
        <f ca="1">VLOOKUP($B408&amp;"_"&amp;$E408,OFFSET([1]stages!$A$1,0,0,COUNTA([1]stages!$A:$A),MATCH(F$1,[1]stages!$2:$2,0)-MATCH("temp_stage",[1]stages!$2:$2,0)+1),MATCH(F$1,[1]stages!$2:$2,0)-MATCH("temp_stage",[1]stages!$2:$2,0)+1,FALSE)</f>
        <v>【超級】狩人の挽歌</v>
      </c>
      <c r="G408" s="3" t="str">
        <f ca="1">VLOOKUP($B408&amp;"_"&amp;$E408,OFFSET([1]stages!$A$1,0,0,COUNTA([1]stages!$A:$A),MATCH(G$1,[1]stages!$2:$2,0)-MATCH("temp_stage",[1]stages!$2:$2,0)+1),MATCH(G$1,[1]stages!$2:$2,0)-MATCH("temp_stage",[1]stages!$2:$2,0)+1,FALSE)</f>
        <v>ドロップイベント5（マルチ専用）</v>
      </c>
      <c r="H408" s="18">
        <v>0</v>
      </c>
      <c r="I408">
        <v>33</v>
      </c>
      <c r="J408" s="5" t="s">
        <v>16</v>
      </c>
      <c r="K408" s="34" t="str">
        <f>VLOOKUP(I408,[2]stage_hints!$A:$C,3,FALSE)</f>
        <v>敵のカウンター攻撃には</v>
      </c>
      <c r="L408" s="35" t="str">
        <f>VLOOKUP(I408,[2]stage_hints!$A:$D,4,FALSE)</f>
        <v>カウンターブレイクスキルを持っていれば_x000D_敵のカウンターを解除して攻撃ができます</v>
      </c>
      <c r="M408" s="21" t="s">
        <v>23</v>
      </c>
      <c r="N408">
        <v>33</v>
      </c>
    </row>
    <row r="409" spans="1:14" x14ac:dyDescent="0.15">
      <c r="A409" s="26" t="s">
        <v>32</v>
      </c>
      <c r="B409" s="4">
        <v>30017</v>
      </c>
      <c r="C409" s="3" t="str">
        <f ca="1">VLOOKUP($B409,OFFSET([1]quests!$A$1,0,0,COUNTA([1]quests!$A:$A),MATCH(C$1,[1]quests!$1:$1,0)-MATCH($B$1,[1]quests!$1:$1,0)+1),MATCH(C$1,[1]quests!$1:$1,0)-MATCH($B$1,[1]quests!$1:$1,0)+1,FALSE)</f>
        <v>狩人の挽歌</v>
      </c>
      <c r="D409" s="3" t="str">
        <f ca="1">VLOOKUP($B409,OFFSET([1]quests!$A$1,0,0,COUNTA([1]quests!$A:$A),MATCH(D$1,[1]quests!$1:$1,0)-MATCH($B$1,[1]quests!$1:$1,0)+1),MATCH(D$1,[1]quests!$1:$1,0)-MATCH($B$1,[1]quests!$1:$1,0)+1,FALSE)</f>
        <v>ドロップイベント5（マルチ専用）</v>
      </c>
      <c r="E409" s="5">
        <v>1</v>
      </c>
      <c r="F409" s="3" t="str">
        <f ca="1">VLOOKUP($B409&amp;"_"&amp;$E409,OFFSET([1]stages!$A$1,0,0,COUNTA([1]stages!$A:$A),MATCH(F$1,[1]stages!$2:$2,0)-MATCH("temp_stage",[1]stages!$2:$2,0)+1),MATCH(F$1,[1]stages!$2:$2,0)-MATCH("temp_stage",[1]stages!$2:$2,0)+1,FALSE)</f>
        <v>【超級】狩人の挽歌</v>
      </c>
      <c r="G409" s="3" t="str">
        <f ca="1">VLOOKUP($B409&amp;"_"&amp;$E409,OFFSET([1]stages!$A$1,0,0,COUNTA([1]stages!$A:$A),MATCH(G$1,[1]stages!$2:$2,0)-MATCH("temp_stage",[1]stages!$2:$2,0)+1),MATCH(G$1,[1]stages!$2:$2,0)-MATCH("temp_stage",[1]stages!$2:$2,0)+1,FALSE)</f>
        <v>ドロップイベント5（マルチ専用）</v>
      </c>
      <c r="H409" s="18">
        <v>0</v>
      </c>
      <c r="I409">
        <v>34</v>
      </c>
      <c r="J409" s="5" t="s">
        <v>16</v>
      </c>
      <c r="K409" s="34" t="str">
        <f>VLOOKUP(I409,[2]stage_hints!$A:$C,3,FALSE)</f>
        <v>ステータスをスキルで下げられたら</v>
      </c>
      <c r="L409" s="35" t="str">
        <f>VLOOKUP(I409,[2]stage_hints!$A:$D,4,FALSE)</f>
        <v>ステータスダウンのスキルを受けたら_x000D_ステータスアップスキルで上書きしましょう</v>
      </c>
      <c r="M409" s="21" t="s">
        <v>23</v>
      </c>
      <c r="N409">
        <v>34</v>
      </c>
    </row>
    <row r="410" spans="1:14" x14ac:dyDescent="0.15">
      <c r="A410" s="26" t="s">
        <v>32</v>
      </c>
      <c r="B410" s="4">
        <v>30017</v>
      </c>
      <c r="C410" s="3" t="str">
        <f ca="1">VLOOKUP($B410,OFFSET([1]quests!$A$1,0,0,COUNTA([1]quests!$A:$A),MATCH(C$1,[1]quests!$1:$1,0)-MATCH($B$1,[1]quests!$1:$1,0)+1),MATCH(C$1,[1]quests!$1:$1,0)-MATCH($B$1,[1]quests!$1:$1,0)+1,FALSE)</f>
        <v>狩人の挽歌</v>
      </c>
      <c r="D410" s="3" t="str">
        <f ca="1">VLOOKUP($B410,OFFSET([1]quests!$A$1,0,0,COUNTA([1]quests!$A:$A),MATCH(D$1,[1]quests!$1:$1,0)-MATCH($B$1,[1]quests!$1:$1,0)+1),MATCH(D$1,[1]quests!$1:$1,0)-MATCH($B$1,[1]quests!$1:$1,0)+1,FALSE)</f>
        <v>ドロップイベント5（マルチ専用）</v>
      </c>
      <c r="E410" s="5">
        <v>1</v>
      </c>
      <c r="F410" s="3" t="str">
        <f ca="1">VLOOKUP($B410&amp;"_"&amp;$E410,OFFSET([1]stages!$A$1,0,0,COUNTA([1]stages!$A:$A),MATCH(F$1,[1]stages!$2:$2,0)-MATCH("temp_stage",[1]stages!$2:$2,0)+1),MATCH(F$1,[1]stages!$2:$2,0)-MATCH("temp_stage",[1]stages!$2:$2,0)+1,FALSE)</f>
        <v>【超級】狩人の挽歌</v>
      </c>
      <c r="G410" s="3" t="str">
        <f ca="1">VLOOKUP($B410&amp;"_"&amp;$E410,OFFSET([1]stages!$A$1,0,0,COUNTA([1]stages!$A:$A),MATCH(G$1,[1]stages!$2:$2,0)-MATCH("temp_stage",[1]stages!$2:$2,0)+1),MATCH(G$1,[1]stages!$2:$2,0)-MATCH("temp_stage",[1]stages!$2:$2,0)+1,FALSE)</f>
        <v>ドロップイベント5（マルチ専用）</v>
      </c>
      <c r="H410" s="18">
        <v>0</v>
      </c>
      <c r="I410">
        <v>35</v>
      </c>
      <c r="J410" s="5" t="s">
        <v>16</v>
      </c>
      <c r="K410" s="34" t="str">
        <f>VLOOKUP(I410,[2]stage_hints!$A:$C,3,FALSE)</f>
        <v>敵のステータスがスキルで上がったら</v>
      </c>
      <c r="L410" s="35" t="str">
        <f>VLOOKUP(I410,[2]stage_hints!$A:$D,4,FALSE)</f>
        <v>敵のステータスがスキルでアップしたときは_x000D_ステータスダウンスキルで上書きしましょう</v>
      </c>
      <c r="M410" s="21" t="s">
        <v>23</v>
      </c>
      <c r="N410">
        <v>35</v>
      </c>
    </row>
    <row r="411" spans="1:14" x14ac:dyDescent="0.15">
      <c r="A411" s="26" t="s">
        <v>32</v>
      </c>
      <c r="B411" s="4">
        <v>30017</v>
      </c>
      <c r="C411" s="3" t="str">
        <f ca="1">VLOOKUP($B411,OFFSET([1]quests!$A$1,0,0,COUNTA([1]quests!$A:$A),MATCH(C$1,[1]quests!$1:$1,0)-MATCH($B$1,[1]quests!$1:$1,0)+1),MATCH(C$1,[1]quests!$1:$1,0)-MATCH($B$1,[1]quests!$1:$1,0)+1,FALSE)</f>
        <v>狩人の挽歌</v>
      </c>
      <c r="D411" s="3" t="str">
        <f ca="1">VLOOKUP($B411,OFFSET([1]quests!$A$1,0,0,COUNTA([1]quests!$A:$A),MATCH(D$1,[1]quests!$1:$1,0)-MATCH($B$1,[1]quests!$1:$1,0)+1),MATCH(D$1,[1]quests!$1:$1,0)-MATCH($B$1,[1]quests!$1:$1,0)+1,FALSE)</f>
        <v>ドロップイベント5（マルチ専用）</v>
      </c>
      <c r="E411" s="5">
        <v>1</v>
      </c>
      <c r="F411" s="3" t="str">
        <f ca="1">VLOOKUP($B411&amp;"_"&amp;$E411,OFFSET([1]stages!$A$1,0,0,COUNTA([1]stages!$A:$A),MATCH(F$1,[1]stages!$2:$2,0)-MATCH("temp_stage",[1]stages!$2:$2,0)+1),MATCH(F$1,[1]stages!$2:$2,0)-MATCH("temp_stage",[1]stages!$2:$2,0)+1,FALSE)</f>
        <v>【超級】狩人の挽歌</v>
      </c>
      <c r="G411" s="3" t="str">
        <f ca="1">VLOOKUP($B411&amp;"_"&amp;$E411,OFFSET([1]stages!$A$1,0,0,COUNTA([1]stages!$A:$A),MATCH(G$1,[1]stages!$2:$2,0)-MATCH("temp_stage",[1]stages!$2:$2,0)+1),MATCH(G$1,[1]stages!$2:$2,0)-MATCH("temp_stage",[1]stages!$2:$2,0)+1,FALSE)</f>
        <v>ドロップイベント5（マルチ専用）</v>
      </c>
      <c r="H411" s="18">
        <v>0</v>
      </c>
      <c r="I411">
        <v>36</v>
      </c>
      <c r="J411" s="5" t="s">
        <v>16</v>
      </c>
      <c r="K411" s="34" t="str">
        <f>VLOOKUP(I411,[2]stage_hints!$A:$C,3,FALSE)</f>
        <v>タワーオブザクイーンのボス</v>
      </c>
      <c r="L411" s="35" t="str">
        <f>VLOOKUP(I411,[2]stage_hints!$A:$D,4,FALSE)</f>
        <v>「タワーオブザクイーン」最上階のボスは_x000D_15階の初回クリア報酬で獲得できるほか_x000D_その階にて低確率でドロップもします</v>
      </c>
      <c r="M411" s="21" t="s">
        <v>23</v>
      </c>
      <c r="N411">
        <v>36</v>
      </c>
    </row>
    <row r="412" spans="1:14" x14ac:dyDescent="0.15">
      <c r="A412" s="26" t="s">
        <v>32</v>
      </c>
      <c r="B412" s="4">
        <v>30017</v>
      </c>
      <c r="C412" s="3" t="str">
        <f ca="1">VLOOKUP($B412,OFFSET([1]quests!$A$1,0,0,COUNTA([1]quests!$A:$A),MATCH(C$1,[1]quests!$1:$1,0)-MATCH($B$1,[1]quests!$1:$1,0)+1),MATCH(C$1,[1]quests!$1:$1,0)-MATCH($B$1,[1]quests!$1:$1,0)+1,FALSE)</f>
        <v>狩人の挽歌</v>
      </c>
      <c r="D412" s="3" t="str">
        <f ca="1">VLOOKUP($B412,OFFSET([1]quests!$A$1,0,0,COUNTA([1]quests!$A:$A),MATCH(D$1,[1]quests!$1:$1,0)-MATCH($B$1,[1]quests!$1:$1,0)+1),MATCH(D$1,[1]quests!$1:$1,0)-MATCH($B$1,[1]quests!$1:$1,0)+1,FALSE)</f>
        <v>ドロップイベント5（マルチ専用）</v>
      </c>
      <c r="E412" s="5">
        <v>1</v>
      </c>
      <c r="F412" s="3" t="str">
        <f ca="1">VLOOKUP($B412&amp;"_"&amp;$E412,OFFSET([1]stages!$A$1,0,0,COUNTA([1]stages!$A:$A),MATCH(F$1,[1]stages!$2:$2,0)-MATCH("temp_stage",[1]stages!$2:$2,0)+1),MATCH(F$1,[1]stages!$2:$2,0)-MATCH("temp_stage",[1]stages!$2:$2,0)+1,FALSE)</f>
        <v>【超級】狩人の挽歌</v>
      </c>
      <c r="G412" s="3" t="str">
        <f ca="1">VLOOKUP($B412&amp;"_"&amp;$E412,OFFSET([1]stages!$A$1,0,0,COUNTA([1]stages!$A:$A),MATCH(G$1,[1]stages!$2:$2,0)-MATCH("temp_stage",[1]stages!$2:$2,0)+1),MATCH(G$1,[1]stages!$2:$2,0)-MATCH("temp_stage",[1]stages!$2:$2,0)+1,FALSE)</f>
        <v>ドロップイベント5（マルチ専用）</v>
      </c>
      <c r="H412" s="18">
        <v>0</v>
      </c>
      <c r="I412">
        <v>37</v>
      </c>
      <c r="J412" s="5" t="s">
        <v>16</v>
      </c>
      <c r="K412" s="34" t="str">
        <f>VLOOKUP(I412,[2]stage_hints!$A:$C,3,FALSE)</f>
        <v>限界突破値の引き継ぎ</v>
      </c>
      <c r="L412" s="35" t="str">
        <f>VLOOKUP(I412,[2]stage_hints!$A:$D,4,FALSE)</f>
        <v>同じユニットを強化で合成すると_x000D_限界突破値を引き継げます（覚醒前後も可）</v>
      </c>
      <c r="M412" s="21" t="s">
        <v>23</v>
      </c>
      <c r="N412">
        <v>37</v>
      </c>
    </row>
    <row r="413" spans="1:14" x14ac:dyDescent="0.15">
      <c r="A413" s="26" t="s">
        <v>32</v>
      </c>
      <c r="B413" s="4">
        <v>30018</v>
      </c>
      <c r="C413" s="3" t="str">
        <f ca="1">VLOOKUP($B413,OFFSET([1]quests!$A$1,0,0,COUNTA([1]quests!$A:$A),MATCH(C$1,[1]quests!$1:$1,0)-MATCH($B$1,[1]quests!$1:$1,0)+1),MATCH(C$1,[1]quests!$1:$1,0)-MATCH($B$1,[1]quests!$1:$1,0)+1,FALSE)</f>
        <v>バックストリートファイト</v>
      </c>
      <c r="D413" s="3" t="str">
        <f ca="1">VLOOKUP($B413,OFFSET([1]quests!$A$1,0,0,COUNTA([1]quests!$A:$A),MATCH(D$1,[1]quests!$1:$1,0)-MATCH($B$1,[1]quests!$1:$1,0)+1),MATCH(D$1,[1]quests!$1:$1,0)-MATCH($B$1,[1]quests!$1:$1,0)+1,FALSE)</f>
        <v>ドロップイベント5（マルチ専用）</v>
      </c>
      <c r="E413" s="5">
        <v>1</v>
      </c>
      <c r="F413" s="3" t="str">
        <f ca="1">VLOOKUP($B413&amp;"_"&amp;$E413,OFFSET([1]stages!$A$1,0,0,COUNTA([1]stages!$A:$A),MATCH(F$1,[1]stages!$2:$2,0)-MATCH("temp_stage",[1]stages!$2:$2,0)+1),MATCH(F$1,[1]stages!$2:$2,0)-MATCH("temp_stage",[1]stages!$2:$2,0)+1,FALSE)</f>
        <v>【超級】バックストリートファイト</v>
      </c>
      <c r="G413" s="3" t="str">
        <f ca="1">VLOOKUP($B413&amp;"_"&amp;$E413,OFFSET([1]stages!$A$1,0,0,COUNTA([1]stages!$A:$A),MATCH(G$1,[1]stages!$2:$2,0)-MATCH("temp_stage",[1]stages!$2:$2,0)+1),MATCH(G$1,[1]stages!$2:$2,0)-MATCH("temp_stage",[1]stages!$2:$2,0)+1,FALSE)</f>
        <v>ドロップイベント5（マルチ専用）</v>
      </c>
      <c r="H413" s="18">
        <v>0</v>
      </c>
      <c r="I413">
        <v>12</v>
      </c>
      <c r="J413" s="5" t="s">
        <v>16</v>
      </c>
      <c r="K413" s="34" t="str">
        <f>VLOOKUP(I413,[2]stage_hints!$A:$C,3,FALSE)</f>
        <v>ユニットのお気に入り登録</v>
      </c>
      <c r="L413" s="35" t="str">
        <f>VLOOKUP(I413,[2]stage_hints!$A:$D,4,FALSE)</f>
        <v>大事なユニットを誤って消さないように_x000D_フォルダから「お気に入り登録」しましょう</v>
      </c>
      <c r="M413" s="21" t="s">
        <v>23</v>
      </c>
      <c r="N413">
        <v>12</v>
      </c>
    </row>
    <row r="414" spans="1:14" x14ac:dyDescent="0.15">
      <c r="A414" s="26" t="s">
        <v>32</v>
      </c>
      <c r="B414" s="4">
        <v>30018</v>
      </c>
      <c r="C414" s="3" t="str">
        <f ca="1">VLOOKUP($B414,OFFSET([1]quests!$A$1,0,0,COUNTA([1]quests!$A:$A),MATCH(C$1,[1]quests!$1:$1,0)-MATCH($B$1,[1]quests!$1:$1,0)+1),MATCH(C$1,[1]quests!$1:$1,0)-MATCH($B$1,[1]quests!$1:$1,0)+1,FALSE)</f>
        <v>バックストリートファイト</v>
      </c>
      <c r="D414" s="3" t="str">
        <f ca="1">VLOOKUP($B414,OFFSET([1]quests!$A$1,0,0,COUNTA([1]quests!$A:$A),MATCH(D$1,[1]quests!$1:$1,0)-MATCH($B$1,[1]quests!$1:$1,0)+1),MATCH(D$1,[1]quests!$1:$1,0)-MATCH($B$1,[1]quests!$1:$1,0)+1,FALSE)</f>
        <v>ドロップイベント5（マルチ専用）</v>
      </c>
      <c r="E414" s="5">
        <v>1</v>
      </c>
      <c r="F414" s="3" t="str">
        <f ca="1">VLOOKUP($B414&amp;"_"&amp;$E414,OFFSET([1]stages!$A$1,0,0,COUNTA([1]stages!$A:$A),MATCH(F$1,[1]stages!$2:$2,0)-MATCH("temp_stage",[1]stages!$2:$2,0)+1),MATCH(F$1,[1]stages!$2:$2,0)-MATCH("temp_stage",[1]stages!$2:$2,0)+1,FALSE)</f>
        <v>【超級】バックストリートファイト</v>
      </c>
      <c r="G414" s="3" t="str">
        <f ca="1">VLOOKUP($B414&amp;"_"&amp;$E414,OFFSET([1]stages!$A$1,0,0,COUNTA([1]stages!$A:$A),MATCH(G$1,[1]stages!$2:$2,0)-MATCH("temp_stage",[1]stages!$2:$2,0)+1),MATCH(G$1,[1]stages!$2:$2,0)-MATCH("temp_stage",[1]stages!$2:$2,0)+1,FALSE)</f>
        <v>ドロップイベント5（マルチ専用）</v>
      </c>
      <c r="H414" s="18">
        <v>0</v>
      </c>
      <c r="I414">
        <v>17</v>
      </c>
      <c r="J414" s="5" t="s">
        <v>16</v>
      </c>
      <c r="K414" s="34" t="str">
        <f>VLOOKUP(I414,[2]stage_hints!$A:$C,3,FALSE)</f>
        <v>リンクガチャ</v>
      </c>
      <c r="L414" s="35" t="str">
        <f>VLOOKUP(I414,[2]stage_hints!$A:$D,4,FALSE)</f>
        <v>無料のリンクガチャを回して_x000D_経験値素材や売却素材を獲得しましょう</v>
      </c>
      <c r="M414" s="21" t="s">
        <v>23</v>
      </c>
      <c r="N414">
        <v>17</v>
      </c>
    </row>
    <row r="415" spans="1:14" x14ac:dyDescent="0.15">
      <c r="A415" s="26" t="s">
        <v>32</v>
      </c>
      <c r="B415" s="4">
        <v>30018</v>
      </c>
      <c r="C415" s="3" t="str">
        <f ca="1">VLOOKUP($B415,OFFSET([1]quests!$A$1,0,0,COUNTA([1]quests!$A:$A),MATCH(C$1,[1]quests!$1:$1,0)-MATCH($B$1,[1]quests!$1:$1,0)+1),MATCH(C$1,[1]quests!$1:$1,0)-MATCH($B$1,[1]quests!$1:$1,0)+1,FALSE)</f>
        <v>バックストリートファイト</v>
      </c>
      <c r="D415" s="3" t="str">
        <f ca="1">VLOOKUP($B415,OFFSET([1]quests!$A$1,0,0,COUNTA([1]quests!$A:$A),MATCH(D$1,[1]quests!$1:$1,0)-MATCH($B$1,[1]quests!$1:$1,0)+1),MATCH(D$1,[1]quests!$1:$1,0)-MATCH($B$1,[1]quests!$1:$1,0)+1,FALSE)</f>
        <v>ドロップイベント5（マルチ専用）</v>
      </c>
      <c r="E415" s="5">
        <v>1</v>
      </c>
      <c r="F415" s="3" t="str">
        <f ca="1">VLOOKUP($B415&amp;"_"&amp;$E415,OFFSET([1]stages!$A$1,0,0,COUNTA([1]stages!$A:$A),MATCH(F$1,[1]stages!$2:$2,0)-MATCH("temp_stage",[1]stages!$2:$2,0)+1),MATCH(F$1,[1]stages!$2:$2,0)-MATCH("temp_stage",[1]stages!$2:$2,0)+1,FALSE)</f>
        <v>【超級】バックストリートファイト</v>
      </c>
      <c r="G415" s="3" t="str">
        <f ca="1">VLOOKUP($B415&amp;"_"&amp;$E415,OFFSET([1]stages!$A$1,0,0,COUNTA([1]stages!$A:$A),MATCH(G$1,[1]stages!$2:$2,0)-MATCH("temp_stage",[1]stages!$2:$2,0)+1),MATCH(G$1,[1]stages!$2:$2,0)-MATCH("temp_stage",[1]stages!$2:$2,0)+1,FALSE)</f>
        <v>ドロップイベント5（マルチ専用）</v>
      </c>
      <c r="H415" s="18">
        <v>0</v>
      </c>
      <c r="I415">
        <v>19</v>
      </c>
      <c r="J415" s="5" t="s">
        <v>16</v>
      </c>
      <c r="K415" s="34" t="str">
        <f>VLOOKUP(I415,[2]stage_hints!$A:$C,3,FALSE)</f>
        <v>ソロ専用タワーオブザクイーン</v>
      </c>
      <c r="L415" s="35" t="str">
        <f>VLOOKUP(I415,[2]stage_hints!$A:$D,4,FALSE)</f>
        <v>ソロ専用の「タワーオブザクイーン」は_x000D_期間限定で定期的に開催されます_x000D_ここでしか獲得できない報酬もあるようです</v>
      </c>
      <c r="M415" s="21" t="s">
        <v>23</v>
      </c>
      <c r="N415">
        <v>19</v>
      </c>
    </row>
    <row r="416" spans="1:14" x14ac:dyDescent="0.15">
      <c r="A416" s="26" t="s">
        <v>32</v>
      </c>
      <c r="B416" s="4">
        <v>30018</v>
      </c>
      <c r="C416" s="3" t="str">
        <f ca="1">VLOOKUP($B416,OFFSET([1]quests!$A$1,0,0,COUNTA([1]quests!$A:$A),MATCH(C$1,[1]quests!$1:$1,0)-MATCH($B$1,[1]quests!$1:$1,0)+1),MATCH(C$1,[1]quests!$1:$1,0)-MATCH($B$1,[1]quests!$1:$1,0)+1,FALSE)</f>
        <v>バックストリートファイト</v>
      </c>
      <c r="D416" s="3" t="str">
        <f ca="1">VLOOKUP($B416,OFFSET([1]quests!$A$1,0,0,COUNTA([1]quests!$A:$A),MATCH(D$1,[1]quests!$1:$1,0)-MATCH($B$1,[1]quests!$1:$1,0)+1),MATCH(D$1,[1]quests!$1:$1,0)-MATCH($B$1,[1]quests!$1:$1,0)+1,FALSE)</f>
        <v>ドロップイベント5（マルチ専用）</v>
      </c>
      <c r="E416" s="5">
        <v>1</v>
      </c>
      <c r="F416" s="3" t="str">
        <f ca="1">VLOOKUP($B416&amp;"_"&amp;$E416,OFFSET([1]stages!$A$1,0,0,COUNTA([1]stages!$A:$A),MATCH(F$1,[1]stages!$2:$2,0)-MATCH("temp_stage",[1]stages!$2:$2,0)+1),MATCH(F$1,[1]stages!$2:$2,0)-MATCH("temp_stage",[1]stages!$2:$2,0)+1,FALSE)</f>
        <v>【超級】バックストリートファイト</v>
      </c>
      <c r="G416" s="3" t="str">
        <f ca="1">VLOOKUP($B416&amp;"_"&amp;$E416,OFFSET([1]stages!$A$1,0,0,COUNTA([1]stages!$A:$A),MATCH(G$1,[1]stages!$2:$2,0)-MATCH("temp_stage",[1]stages!$2:$2,0)+1),MATCH(G$1,[1]stages!$2:$2,0)-MATCH("temp_stage",[1]stages!$2:$2,0)+1,FALSE)</f>
        <v>ドロップイベント5（マルチ専用）</v>
      </c>
      <c r="H416" s="18">
        <v>0</v>
      </c>
      <c r="I416">
        <v>21</v>
      </c>
      <c r="J416" s="5" t="s">
        <v>16</v>
      </c>
      <c r="K416" s="34" t="str">
        <f>VLOOKUP(I416,[2]stage_hints!$A:$C,3,FALSE)</f>
        <v>スキルを有効に</v>
      </c>
      <c r="L416" s="35" t="str">
        <f>VLOOKUP(I416,[2]stage_hints!$A:$D,4,FALSE)</f>
        <v>ターン経過でユニットのスキルが使えます_x000D_強力スキルでバトルを有利に進めましょう</v>
      </c>
      <c r="M416" s="21" t="s">
        <v>23</v>
      </c>
      <c r="N416">
        <v>21</v>
      </c>
    </row>
    <row r="417" spans="1:14" x14ac:dyDescent="0.15">
      <c r="A417" s="26" t="s">
        <v>32</v>
      </c>
      <c r="B417" s="4">
        <v>30018</v>
      </c>
      <c r="C417" s="3" t="str">
        <f ca="1">VLOOKUP($B417,OFFSET([1]quests!$A$1,0,0,COUNTA([1]quests!$A:$A),MATCH(C$1,[1]quests!$1:$1,0)-MATCH($B$1,[1]quests!$1:$1,0)+1),MATCH(C$1,[1]quests!$1:$1,0)-MATCH($B$1,[1]quests!$1:$1,0)+1,FALSE)</f>
        <v>バックストリートファイト</v>
      </c>
      <c r="D417" s="3" t="str">
        <f ca="1">VLOOKUP($B417,OFFSET([1]quests!$A$1,0,0,COUNTA([1]quests!$A:$A),MATCH(D$1,[1]quests!$1:$1,0)-MATCH($B$1,[1]quests!$1:$1,0)+1),MATCH(D$1,[1]quests!$1:$1,0)-MATCH($B$1,[1]quests!$1:$1,0)+1,FALSE)</f>
        <v>ドロップイベント5（マルチ専用）</v>
      </c>
      <c r="E417" s="5">
        <v>1</v>
      </c>
      <c r="F417" s="3" t="str">
        <f ca="1">VLOOKUP($B417&amp;"_"&amp;$E417,OFFSET([1]stages!$A$1,0,0,COUNTA([1]stages!$A:$A),MATCH(F$1,[1]stages!$2:$2,0)-MATCH("temp_stage",[1]stages!$2:$2,0)+1),MATCH(F$1,[1]stages!$2:$2,0)-MATCH("temp_stage",[1]stages!$2:$2,0)+1,FALSE)</f>
        <v>【超級】バックストリートファイト</v>
      </c>
      <c r="G417" s="3" t="str">
        <f ca="1">VLOOKUP($B417&amp;"_"&amp;$E417,OFFSET([1]stages!$A$1,0,0,COUNTA([1]stages!$A:$A),MATCH(G$1,[1]stages!$2:$2,0)-MATCH("temp_stage",[1]stages!$2:$2,0)+1),MATCH(G$1,[1]stages!$2:$2,0)-MATCH("temp_stage",[1]stages!$2:$2,0)+1,FALSE)</f>
        <v>ドロップイベント5（マルチ専用）</v>
      </c>
      <c r="H417" s="18">
        <v>0</v>
      </c>
      <c r="I417">
        <v>27</v>
      </c>
      <c r="J417" s="5" t="s">
        <v>16</v>
      </c>
      <c r="K417" s="34" t="str">
        <f>VLOOKUP(I417,[2]stage_hints!$A:$C,3,FALSE)</f>
        <v>ホーム画面からデッキを編成</v>
      </c>
      <c r="L417" s="35" t="str">
        <f>VLOOKUP(I417,[2]stage_hints!$A:$D,4,FALSE)</f>
        <v>ホーム画面でユニットを長押しすると_x000D_すぐにパーティ編成に移動できます</v>
      </c>
      <c r="M417" s="21" t="s">
        <v>23</v>
      </c>
      <c r="N417">
        <v>27</v>
      </c>
    </row>
    <row r="418" spans="1:14" x14ac:dyDescent="0.15">
      <c r="A418" s="26" t="s">
        <v>32</v>
      </c>
      <c r="B418" s="4">
        <v>30018</v>
      </c>
      <c r="C418" s="3" t="str">
        <f ca="1">VLOOKUP($B418,OFFSET([1]quests!$A$1,0,0,COUNTA([1]quests!$A:$A),MATCH(C$1,[1]quests!$1:$1,0)-MATCH($B$1,[1]quests!$1:$1,0)+1),MATCH(C$1,[1]quests!$1:$1,0)-MATCH($B$1,[1]quests!$1:$1,0)+1,FALSE)</f>
        <v>バックストリートファイト</v>
      </c>
      <c r="D418" s="3" t="str">
        <f ca="1">VLOOKUP($B418,OFFSET([1]quests!$A$1,0,0,COUNTA([1]quests!$A:$A),MATCH(D$1,[1]quests!$1:$1,0)-MATCH($B$1,[1]quests!$1:$1,0)+1),MATCH(D$1,[1]quests!$1:$1,0)-MATCH($B$1,[1]quests!$1:$1,0)+1,FALSE)</f>
        <v>ドロップイベント5（マルチ専用）</v>
      </c>
      <c r="E418" s="5">
        <v>1</v>
      </c>
      <c r="F418" s="3" t="str">
        <f ca="1">VLOOKUP($B418&amp;"_"&amp;$E418,OFFSET([1]stages!$A$1,0,0,COUNTA([1]stages!$A:$A),MATCH(F$1,[1]stages!$2:$2,0)-MATCH("temp_stage",[1]stages!$2:$2,0)+1),MATCH(F$1,[1]stages!$2:$2,0)-MATCH("temp_stage",[1]stages!$2:$2,0)+1,FALSE)</f>
        <v>【超級】バックストリートファイト</v>
      </c>
      <c r="G418" s="3" t="str">
        <f ca="1">VLOOKUP($B418&amp;"_"&amp;$E418,OFFSET([1]stages!$A$1,0,0,COUNTA([1]stages!$A:$A),MATCH(G$1,[1]stages!$2:$2,0)-MATCH("temp_stage",[1]stages!$2:$2,0)+1),MATCH(G$1,[1]stages!$2:$2,0)-MATCH("temp_stage",[1]stages!$2:$2,0)+1,FALSE)</f>
        <v>ドロップイベント5（マルチ専用）</v>
      </c>
      <c r="H418" s="18">
        <v>0</v>
      </c>
      <c r="I418">
        <v>28</v>
      </c>
      <c r="J418" s="5" t="s">
        <v>16</v>
      </c>
      <c r="K418" s="34" t="str">
        <f>VLOOKUP(I418,[2]stage_hints!$A:$C,3,FALSE)</f>
        <v>ステータス情報は長押しで</v>
      </c>
      <c r="L418" s="35" t="str">
        <f>VLOOKUP(I418,[2]stage_hints!$A:$D,4,FALSE)</f>
        <v>ユニットのアイコンを長押しすると_x000D_ステータス情報を確認することができます</v>
      </c>
      <c r="M418" s="21" t="s">
        <v>23</v>
      </c>
      <c r="N418">
        <v>28</v>
      </c>
    </row>
    <row r="419" spans="1:14" x14ac:dyDescent="0.15">
      <c r="A419" s="26" t="s">
        <v>32</v>
      </c>
      <c r="B419" s="4">
        <v>30018</v>
      </c>
      <c r="C419" s="3" t="str">
        <f ca="1">VLOOKUP($B419,OFFSET([1]quests!$A$1,0,0,COUNTA([1]quests!$A:$A),MATCH(C$1,[1]quests!$1:$1,0)-MATCH($B$1,[1]quests!$1:$1,0)+1),MATCH(C$1,[1]quests!$1:$1,0)-MATCH($B$1,[1]quests!$1:$1,0)+1,FALSE)</f>
        <v>バックストリートファイト</v>
      </c>
      <c r="D419" s="3" t="str">
        <f ca="1">VLOOKUP($B419,OFFSET([1]quests!$A$1,0,0,COUNTA([1]quests!$A:$A),MATCH(D$1,[1]quests!$1:$1,0)-MATCH($B$1,[1]quests!$1:$1,0)+1),MATCH(D$1,[1]quests!$1:$1,0)-MATCH($B$1,[1]quests!$1:$1,0)+1,FALSE)</f>
        <v>ドロップイベント5（マルチ専用）</v>
      </c>
      <c r="E419" s="5">
        <v>1</v>
      </c>
      <c r="F419" s="3" t="str">
        <f ca="1">VLOOKUP($B419&amp;"_"&amp;$E419,OFFSET([1]stages!$A$1,0,0,COUNTA([1]stages!$A:$A),MATCH(F$1,[1]stages!$2:$2,0)-MATCH("temp_stage",[1]stages!$2:$2,0)+1),MATCH(F$1,[1]stages!$2:$2,0)-MATCH("temp_stage",[1]stages!$2:$2,0)+1,FALSE)</f>
        <v>【超級】バックストリートファイト</v>
      </c>
      <c r="G419" s="3" t="str">
        <f ca="1">VLOOKUP($B419&amp;"_"&amp;$E419,OFFSET([1]stages!$A$1,0,0,COUNTA([1]stages!$A:$A),MATCH(G$1,[1]stages!$2:$2,0)-MATCH("temp_stage",[1]stages!$2:$2,0)+1),MATCH(G$1,[1]stages!$2:$2,0)-MATCH("temp_stage",[1]stages!$2:$2,0)+1,FALSE)</f>
        <v>ドロップイベント5（マルチ専用）</v>
      </c>
      <c r="H419" s="18">
        <v>0</v>
      </c>
      <c r="I419">
        <v>29</v>
      </c>
      <c r="J419" s="5" t="s">
        <v>16</v>
      </c>
      <c r="K419" s="34" t="str">
        <f>VLOOKUP(I419,[2]stage_hints!$A:$C,3,FALSE)</f>
        <v>「バグ」のメリット</v>
      </c>
      <c r="L419" s="35" t="str">
        <f>VLOOKUP(I419,[2]stage_hints!$A:$D,4,FALSE)</f>
        <v>ユニットの「バグ」を増やすと_x000D_報酬をもらえる確率がアップします</v>
      </c>
      <c r="M419" s="21" t="s">
        <v>23</v>
      </c>
      <c r="N419">
        <v>29</v>
      </c>
    </row>
    <row r="420" spans="1:14" x14ac:dyDescent="0.15">
      <c r="A420" s="26" t="s">
        <v>32</v>
      </c>
      <c r="B420" s="4">
        <v>30018</v>
      </c>
      <c r="C420" s="3" t="str">
        <f ca="1">VLOOKUP($B420,OFFSET([1]quests!$A$1,0,0,COUNTA([1]quests!$A:$A),MATCH(C$1,[1]quests!$1:$1,0)-MATCH($B$1,[1]quests!$1:$1,0)+1),MATCH(C$1,[1]quests!$1:$1,0)-MATCH($B$1,[1]quests!$1:$1,0)+1,FALSE)</f>
        <v>バックストリートファイト</v>
      </c>
      <c r="D420" s="3" t="str">
        <f ca="1">VLOOKUP($B420,OFFSET([1]quests!$A$1,0,0,COUNTA([1]quests!$A:$A),MATCH(D$1,[1]quests!$1:$1,0)-MATCH($B$1,[1]quests!$1:$1,0)+1),MATCH(D$1,[1]quests!$1:$1,0)-MATCH($B$1,[1]quests!$1:$1,0)+1,FALSE)</f>
        <v>ドロップイベント5（マルチ専用）</v>
      </c>
      <c r="E420" s="5">
        <v>1</v>
      </c>
      <c r="F420" s="3" t="str">
        <f ca="1">VLOOKUP($B420&amp;"_"&amp;$E420,OFFSET([1]stages!$A$1,0,0,COUNTA([1]stages!$A:$A),MATCH(F$1,[1]stages!$2:$2,0)-MATCH("temp_stage",[1]stages!$2:$2,0)+1),MATCH(F$1,[1]stages!$2:$2,0)-MATCH("temp_stage",[1]stages!$2:$2,0)+1,FALSE)</f>
        <v>【超級】バックストリートファイト</v>
      </c>
      <c r="G420" s="3" t="str">
        <f ca="1">VLOOKUP($B420&amp;"_"&amp;$E420,OFFSET([1]stages!$A$1,0,0,COUNTA([1]stages!$A:$A),MATCH(G$1,[1]stages!$2:$2,0)-MATCH("temp_stage",[1]stages!$2:$2,0)+1),MATCH(G$1,[1]stages!$2:$2,0)-MATCH("temp_stage",[1]stages!$2:$2,0)+1,FALSE)</f>
        <v>ドロップイベント5（マルチ専用）</v>
      </c>
      <c r="H420" s="18">
        <v>0</v>
      </c>
      <c r="I420">
        <v>30</v>
      </c>
      <c r="J420" s="5" t="s">
        <v>16</v>
      </c>
      <c r="K420" s="34" t="str">
        <f>VLOOKUP(I420,[2]stage_hints!$A:$C,3,FALSE)</f>
        <v>「バグ」の増やし方</v>
      </c>
      <c r="L420" s="35" t="str">
        <f>VLOOKUP(I420,[2]stage_hints!$A:$D,4,FALSE)</f>
        <v>同じユニット同士を強化で合成すると_x000D_「バグ」を増やすことができます</v>
      </c>
      <c r="M420" s="21" t="s">
        <v>23</v>
      </c>
      <c r="N420">
        <v>30</v>
      </c>
    </row>
    <row r="421" spans="1:14" x14ac:dyDescent="0.15">
      <c r="A421" s="26" t="s">
        <v>32</v>
      </c>
      <c r="B421" s="4">
        <v>30018</v>
      </c>
      <c r="C421" s="3" t="str">
        <f ca="1">VLOOKUP($B421,OFFSET([1]quests!$A$1,0,0,COUNTA([1]quests!$A:$A),MATCH(C$1,[1]quests!$1:$1,0)-MATCH($B$1,[1]quests!$1:$1,0)+1),MATCH(C$1,[1]quests!$1:$1,0)-MATCH($B$1,[1]quests!$1:$1,0)+1,FALSE)</f>
        <v>バックストリートファイト</v>
      </c>
      <c r="D421" s="3" t="str">
        <f ca="1">VLOOKUP($B421,OFFSET([1]quests!$A$1,0,0,COUNTA([1]quests!$A:$A),MATCH(D$1,[1]quests!$1:$1,0)-MATCH($B$1,[1]quests!$1:$1,0)+1),MATCH(D$1,[1]quests!$1:$1,0)-MATCH($B$1,[1]quests!$1:$1,0)+1,FALSE)</f>
        <v>ドロップイベント5（マルチ専用）</v>
      </c>
      <c r="E421" s="5">
        <v>1</v>
      </c>
      <c r="F421" s="3" t="str">
        <f ca="1">VLOOKUP($B421&amp;"_"&amp;$E421,OFFSET([1]stages!$A$1,0,0,COUNTA([1]stages!$A:$A),MATCH(F$1,[1]stages!$2:$2,0)-MATCH("temp_stage",[1]stages!$2:$2,0)+1),MATCH(F$1,[1]stages!$2:$2,0)-MATCH("temp_stage",[1]stages!$2:$2,0)+1,FALSE)</f>
        <v>【超級】バックストリートファイト</v>
      </c>
      <c r="G421" s="3" t="str">
        <f ca="1">VLOOKUP($B421&amp;"_"&amp;$E421,OFFSET([1]stages!$A$1,0,0,COUNTA([1]stages!$A:$A),MATCH(G$1,[1]stages!$2:$2,0)-MATCH("temp_stage",[1]stages!$2:$2,0)+1),MATCH(G$1,[1]stages!$2:$2,0)-MATCH("temp_stage",[1]stages!$2:$2,0)+1,FALSE)</f>
        <v>ドロップイベント5（マルチ専用）</v>
      </c>
      <c r="H421" s="18">
        <v>0</v>
      </c>
      <c r="I421">
        <v>32</v>
      </c>
      <c r="J421" s="5" t="s">
        <v>16</v>
      </c>
      <c r="K421" s="34" t="str">
        <f>VLOOKUP(I421,[2]stage_hints!$A:$C,3,FALSE)</f>
        <v>敵の連続攻撃には</v>
      </c>
      <c r="L421" s="35" t="str">
        <f>VLOOKUP(I421,[2]stage_hints!$A:$D,4,FALSE)</f>
        <v>カウンタースキルを持つユニットがいれば_x000D_ダメージ回数分の反撃ができます</v>
      </c>
      <c r="M421" s="21" t="s">
        <v>23</v>
      </c>
      <c r="N421">
        <v>32</v>
      </c>
    </row>
    <row r="422" spans="1:14" x14ac:dyDescent="0.15">
      <c r="A422" s="26" t="s">
        <v>32</v>
      </c>
      <c r="B422" s="4">
        <v>30018</v>
      </c>
      <c r="C422" s="3" t="str">
        <f ca="1">VLOOKUP($B422,OFFSET([1]quests!$A$1,0,0,COUNTA([1]quests!$A:$A),MATCH(C$1,[1]quests!$1:$1,0)-MATCH($B$1,[1]quests!$1:$1,0)+1),MATCH(C$1,[1]quests!$1:$1,0)-MATCH($B$1,[1]quests!$1:$1,0)+1,FALSE)</f>
        <v>バックストリートファイト</v>
      </c>
      <c r="D422" s="3" t="str">
        <f ca="1">VLOOKUP($B422,OFFSET([1]quests!$A$1,0,0,COUNTA([1]quests!$A:$A),MATCH(D$1,[1]quests!$1:$1,0)-MATCH($B$1,[1]quests!$1:$1,0)+1),MATCH(D$1,[1]quests!$1:$1,0)-MATCH($B$1,[1]quests!$1:$1,0)+1,FALSE)</f>
        <v>ドロップイベント5（マルチ専用）</v>
      </c>
      <c r="E422" s="5">
        <v>1</v>
      </c>
      <c r="F422" s="3" t="str">
        <f ca="1">VLOOKUP($B422&amp;"_"&amp;$E422,OFFSET([1]stages!$A$1,0,0,COUNTA([1]stages!$A:$A),MATCH(F$1,[1]stages!$2:$2,0)-MATCH("temp_stage",[1]stages!$2:$2,0)+1),MATCH(F$1,[1]stages!$2:$2,0)-MATCH("temp_stage",[1]stages!$2:$2,0)+1,FALSE)</f>
        <v>【超級】バックストリートファイト</v>
      </c>
      <c r="G422" s="3" t="str">
        <f ca="1">VLOOKUP($B422&amp;"_"&amp;$E422,OFFSET([1]stages!$A$1,0,0,COUNTA([1]stages!$A:$A),MATCH(G$1,[1]stages!$2:$2,0)-MATCH("temp_stage",[1]stages!$2:$2,0)+1),MATCH(G$1,[1]stages!$2:$2,0)-MATCH("temp_stage",[1]stages!$2:$2,0)+1,FALSE)</f>
        <v>ドロップイベント5（マルチ専用）</v>
      </c>
      <c r="H422" s="18">
        <v>0</v>
      </c>
      <c r="I422">
        <v>33</v>
      </c>
      <c r="J422" s="5" t="s">
        <v>16</v>
      </c>
      <c r="K422" s="34" t="str">
        <f>VLOOKUP(I422,[2]stage_hints!$A:$C,3,FALSE)</f>
        <v>敵のカウンター攻撃には</v>
      </c>
      <c r="L422" s="35" t="str">
        <f>VLOOKUP(I422,[2]stage_hints!$A:$D,4,FALSE)</f>
        <v>カウンターブレイクスキルを持っていれば_x000D_敵のカウンターを解除して攻撃ができます</v>
      </c>
      <c r="M422" s="21" t="s">
        <v>23</v>
      </c>
      <c r="N422">
        <v>33</v>
      </c>
    </row>
    <row r="423" spans="1:14" x14ac:dyDescent="0.15">
      <c r="A423" s="26" t="s">
        <v>32</v>
      </c>
      <c r="B423" s="4">
        <v>30018</v>
      </c>
      <c r="C423" s="3" t="str">
        <f ca="1">VLOOKUP($B423,OFFSET([1]quests!$A$1,0,0,COUNTA([1]quests!$A:$A),MATCH(C$1,[1]quests!$1:$1,0)-MATCH($B$1,[1]quests!$1:$1,0)+1),MATCH(C$1,[1]quests!$1:$1,0)-MATCH($B$1,[1]quests!$1:$1,0)+1,FALSE)</f>
        <v>バックストリートファイト</v>
      </c>
      <c r="D423" s="3" t="str">
        <f ca="1">VLOOKUP($B423,OFFSET([1]quests!$A$1,0,0,COUNTA([1]quests!$A:$A),MATCH(D$1,[1]quests!$1:$1,0)-MATCH($B$1,[1]quests!$1:$1,0)+1),MATCH(D$1,[1]quests!$1:$1,0)-MATCH($B$1,[1]quests!$1:$1,0)+1,FALSE)</f>
        <v>ドロップイベント5（マルチ専用）</v>
      </c>
      <c r="E423" s="5">
        <v>1</v>
      </c>
      <c r="F423" s="3" t="str">
        <f ca="1">VLOOKUP($B423&amp;"_"&amp;$E423,OFFSET([1]stages!$A$1,0,0,COUNTA([1]stages!$A:$A),MATCH(F$1,[1]stages!$2:$2,0)-MATCH("temp_stage",[1]stages!$2:$2,0)+1),MATCH(F$1,[1]stages!$2:$2,0)-MATCH("temp_stage",[1]stages!$2:$2,0)+1,FALSE)</f>
        <v>【超級】バックストリートファイト</v>
      </c>
      <c r="G423" s="3" t="str">
        <f ca="1">VLOOKUP($B423&amp;"_"&amp;$E423,OFFSET([1]stages!$A$1,0,0,COUNTA([1]stages!$A:$A),MATCH(G$1,[1]stages!$2:$2,0)-MATCH("temp_stage",[1]stages!$2:$2,0)+1),MATCH(G$1,[1]stages!$2:$2,0)-MATCH("temp_stage",[1]stages!$2:$2,0)+1,FALSE)</f>
        <v>ドロップイベント5（マルチ専用）</v>
      </c>
      <c r="H423" s="18">
        <v>0</v>
      </c>
      <c r="I423">
        <v>34</v>
      </c>
      <c r="J423" s="5" t="s">
        <v>16</v>
      </c>
      <c r="K423" s="34" t="str">
        <f>VLOOKUP(I423,[2]stage_hints!$A:$C,3,FALSE)</f>
        <v>ステータスをスキルで下げられたら</v>
      </c>
      <c r="L423" s="35" t="str">
        <f>VLOOKUP(I423,[2]stage_hints!$A:$D,4,FALSE)</f>
        <v>ステータスダウンのスキルを受けたら_x000D_ステータスアップスキルで上書きしましょう</v>
      </c>
      <c r="M423" s="21" t="s">
        <v>23</v>
      </c>
      <c r="N423">
        <v>34</v>
      </c>
    </row>
    <row r="424" spans="1:14" x14ac:dyDescent="0.15">
      <c r="A424" s="26" t="s">
        <v>32</v>
      </c>
      <c r="B424" s="4">
        <v>30018</v>
      </c>
      <c r="C424" s="3" t="str">
        <f ca="1">VLOOKUP($B424,OFFSET([1]quests!$A$1,0,0,COUNTA([1]quests!$A:$A),MATCH(C$1,[1]quests!$1:$1,0)-MATCH($B$1,[1]quests!$1:$1,0)+1),MATCH(C$1,[1]quests!$1:$1,0)-MATCH($B$1,[1]quests!$1:$1,0)+1,FALSE)</f>
        <v>バックストリートファイト</v>
      </c>
      <c r="D424" s="3" t="str">
        <f ca="1">VLOOKUP($B424,OFFSET([1]quests!$A$1,0,0,COUNTA([1]quests!$A:$A),MATCH(D$1,[1]quests!$1:$1,0)-MATCH($B$1,[1]quests!$1:$1,0)+1),MATCH(D$1,[1]quests!$1:$1,0)-MATCH($B$1,[1]quests!$1:$1,0)+1,FALSE)</f>
        <v>ドロップイベント5（マルチ専用）</v>
      </c>
      <c r="E424" s="5">
        <v>1</v>
      </c>
      <c r="F424" s="3" t="str">
        <f ca="1">VLOOKUP($B424&amp;"_"&amp;$E424,OFFSET([1]stages!$A$1,0,0,COUNTA([1]stages!$A:$A),MATCH(F$1,[1]stages!$2:$2,0)-MATCH("temp_stage",[1]stages!$2:$2,0)+1),MATCH(F$1,[1]stages!$2:$2,0)-MATCH("temp_stage",[1]stages!$2:$2,0)+1,FALSE)</f>
        <v>【超級】バックストリートファイト</v>
      </c>
      <c r="G424" s="3" t="str">
        <f ca="1">VLOOKUP($B424&amp;"_"&amp;$E424,OFFSET([1]stages!$A$1,0,0,COUNTA([1]stages!$A:$A),MATCH(G$1,[1]stages!$2:$2,0)-MATCH("temp_stage",[1]stages!$2:$2,0)+1),MATCH(G$1,[1]stages!$2:$2,0)-MATCH("temp_stage",[1]stages!$2:$2,0)+1,FALSE)</f>
        <v>ドロップイベント5（マルチ専用）</v>
      </c>
      <c r="H424" s="18">
        <v>0</v>
      </c>
      <c r="I424">
        <v>35</v>
      </c>
      <c r="J424" s="5" t="s">
        <v>16</v>
      </c>
      <c r="K424" s="34" t="str">
        <f>VLOOKUP(I424,[2]stage_hints!$A:$C,3,FALSE)</f>
        <v>敵のステータスがスキルで上がったら</v>
      </c>
      <c r="L424" s="35" t="str">
        <f>VLOOKUP(I424,[2]stage_hints!$A:$D,4,FALSE)</f>
        <v>敵のステータスがスキルでアップしたときは_x000D_ステータスダウンスキルで上書きしましょう</v>
      </c>
      <c r="M424" s="21" t="s">
        <v>23</v>
      </c>
      <c r="N424">
        <v>35</v>
      </c>
    </row>
    <row r="425" spans="1:14" x14ac:dyDescent="0.15">
      <c r="A425" s="26" t="s">
        <v>32</v>
      </c>
      <c r="B425" s="4">
        <v>30018</v>
      </c>
      <c r="C425" s="3" t="str">
        <f ca="1">VLOOKUP($B425,OFFSET([1]quests!$A$1,0,0,COUNTA([1]quests!$A:$A),MATCH(C$1,[1]quests!$1:$1,0)-MATCH($B$1,[1]quests!$1:$1,0)+1),MATCH(C$1,[1]quests!$1:$1,0)-MATCH($B$1,[1]quests!$1:$1,0)+1,FALSE)</f>
        <v>バックストリートファイト</v>
      </c>
      <c r="D425" s="3" t="str">
        <f ca="1">VLOOKUP($B425,OFFSET([1]quests!$A$1,0,0,COUNTA([1]quests!$A:$A),MATCH(D$1,[1]quests!$1:$1,0)-MATCH($B$1,[1]quests!$1:$1,0)+1),MATCH(D$1,[1]quests!$1:$1,0)-MATCH($B$1,[1]quests!$1:$1,0)+1,FALSE)</f>
        <v>ドロップイベント5（マルチ専用）</v>
      </c>
      <c r="E425" s="5">
        <v>1</v>
      </c>
      <c r="F425" s="3" t="str">
        <f ca="1">VLOOKUP($B425&amp;"_"&amp;$E425,OFFSET([1]stages!$A$1,0,0,COUNTA([1]stages!$A:$A),MATCH(F$1,[1]stages!$2:$2,0)-MATCH("temp_stage",[1]stages!$2:$2,0)+1),MATCH(F$1,[1]stages!$2:$2,0)-MATCH("temp_stage",[1]stages!$2:$2,0)+1,FALSE)</f>
        <v>【超級】バックストリートファイト</v>
      </c>
      <c r="G425" s="3" t="str">
        <f ca="1">VLOOKUP($B425&amp;"_"&amp;$E425,OFFSET([1]stages!$A$1,0,0,COUNTA([1]stages!$A:$A),MATCH(G$1,[1]stages!$2:$2,0)-MATCH("temp_stage",[1]stages!$2:$2,0)+1),MATCH(G$1,[1]stages!$2:$2,0)-MATCH("temp_stage",[1]stages!$2:$2,0)+1,FALSE)</f>
        <v>ドロップイベント5（マルチ専用）</v>
      </c>
      <c r="H425" s="18">
        <v>0</v>
      </c>
      <c r="I425">
        <v>36</v>
      </c>
      <c r="J425" s="5" t="s">
        <v>16</v>
      </c>
      <c r="K425" s="34" t="str">
        <f>VLOOKUP(I425,[2]stage_hints!$A:$C,3,FALSE)</f>
        <v>タワーオブザクイーンのボス</v>
      </c>
      <c r="L425" s="35" t="str">
        <f>VLOOKUP(I425,[2]stage_hints!$A:$D,4,FALSE)</f>
        <v>「タワーオブザクイーン」最上階のボスは_x000D_15階の初回クリア報酬で獲得できるほか_x000D_その階にて低確率でドロップもします</v>
      </c>
      <c r="M425" s="21" t="s">
        <v>23</v>
      </c>
      <c r="N425">
        <v>36</v>
      </c>
    </row>
    <row r="426" spans="1:14" x14ac:dyDescent="0.15">
      <c r="A426" s="26" t="s">
        <v>32</v>
      </c>
      <c r="B426" s="4">
        <v>30018</v>
      </c>
      <c r="C426" s="3" t="str">
        <f ca="1">VLOOKUP($B426,OFFSET([1]quests!$A$1,0,0,COUNTA([1]quests!$A:$A),MATCH(C$1,[1]quests!$1:$1,0)-MATCH($B$1,[1]quests!$1:$1,0)+1),MATCH(C$1,[1]quests!$1:$1,0)-MATCH($B$1,[1]quests!$1:$1,0)+1,FALSE)</f>
        <v>バックストリートファイト</v>
      </c>
      <c r="D426" s="3" t="str">
        <f ca="1">VLOOKUP($B426,OFFSET([1]quests!$A$1,0,0,COUNTA([1]quests!$A:$A),MATCH(D$1,[1]quests!$1:$1,0)-MATCH($B$1,[1]quests!$1:$1,0)+1),MATCH(D$1,[1]quests!$1:$1,0)-MATCH($B$1,[1]quests!$1:$1,0)+1,FALSE)</f>
        <v>ドロップイベント5（マルチ専用）</v>
      </c>
      <c r="E426" s="5">
        <v>1</v>
      </c>
      <c r="F426" s="3" t="str">
        <f ca="1">VLOOKUP($B426&amp;"_"&amp;$E426,OFFSET([1]stages!$A$1,0,0,COUNTA([1]stages!$A:$A),MATCH(F$1,[1]stages!$2:$2,0)-MATCH("temp_stage",[1]stages!$2:$2,0)+1),MATCH(F$1,[1]stages!$2:$2,0)-MATCH("temp_stage",[1]stages!$2:$2,0)+1,FALSE)</f>
        <v>【超級】バックストリートファイト</v>
      </c>
      <c r="G426" s="3" t="str">
        <f ca="1">VLOOKUP($B426&amp;"_"&amp;$E426,OFFSET([1]stages!$A$1,0,0,COUNTA([1]stages!$A:$A),MATCH(G$1,[1]stages!$2:$2,0)-MATCH("temp_stage",[1]stages!$2:$2,0)+1),MATCH(G$1,[1]stages!$2:$2,0)-MATCH("temp_stage",[1]stages!$2:$2,0)+1,FALSE)</f>
        <v>ドロップイベント5（マルチ専用）</v>
      </c>
      <c r="H426" s="18">
        <v>0</v>
      </c>
      <c r="I426">
        <v>37</v>
      </c>
      <c r="J426" s="5" t="s">
        <v>16</v>
      </c>
      <c r="K426" s="34" t="str">
        <f>VLOOKUP(I426,[2]stage_hints!$A:$C,3,FALSE)</f>
        <v>限界突破値の引き継ぎ</v>
      </c>
      <c r="L426" s="35" t="str">
        <f>VLOOKUP(I426,[2]stage_hints!$A:$D,4,FALSE)</f>
        <v>同じユニットを強化で合成すると_x000D_限界突破値を引き継げます（覚醒前後も可）</v>
      </c>
      <c r="M426" s="21" t="s">
        <v>23</v>
      </c>
      <c r="N426">
        <v>37</v>
      </c>
    </row>
    <row r="427" spans="1:14" x14ac:dyDescent="0.15">
      <c r="A427" s="26" t="s">
        <v>32</v>
      </c>
      <c r="B427" s="4">
        <v>40002</v>
      </c>
      <c r="C427" s="3" t="str">
        <f ca="1">VLOOKUP($B427,OFFSET([1]quests!$A$1,0,0,COUNTA([1]quests!$A:$A),MATCH(C$1,[1]quests!$1:$1,0)-MATCH($B$1,[1]quests!$1:$1,0)+1),MATCH(C$1,[1]quests!$1:$1,0)-MATCH($B$1,[1]quests!$1:$1,0)+1,FALSE)</f>
        <v>アザゼル襲来！</v>
      </c>
      <c r="D427" s="3" t="str">
        <f ca="1">VLOOKUP($B427,OFFSET([1]quests!$A$1,0,0,COUNTA([1]quests!$A:$A),MATCH(D$1,[1]quests!$1:$1,0)-MATCH($B$1,[1]quests!$1:$1,0)+1),MATCH(D$1,[1]quests!$1:$1,0)-MATCH($B$1,[1]quests!$1:$1,0)+1,FALSE)</f>
        <v>降臨2</v>
      </c>
      <c r="E427" s="5">
        <v>1</v>
      </c>
      <c r="F427" s="3" t="str">
        <f ca="1">VLOOKUP($B427&amp;"_"&amp;$E427,OFFSET([1]stages!$A$1,0,0,COUNTA([1]stages!$A:$A),MATCH(F$1,[1]stages!$2:$2,0)-MATCH("temp_stage",[1]stages!$2:$2,0)+1),MATCH(F$1,[1]stages!$2:$2,0)-MATCH("temp_stage",[1]stages!$2:$2,0)+1,FALSE)</f>
        <v xml:space="preserve">【超級】アザゼル襲来 </v>
      </c>
      <c r="G427" s="3" t="str">
        <f ca="1">VLOOKUP($B427&amp;"_"&amp;$E427,OFFSET([1]stages!$A$1,0,0,COUNTA([1]stages!$A:$A),MATCH(G$1,[1]stages!$2:$2,0)-MATCH("temp_stage",[1]stages!$2:$2,0)+1),MATCH(G$1,[1]stages!$2:$2,0)-MATCH("temp_stage",[1]stages!$2:$2,0)+1,FALSE)</f>
        <v>降臨2</v>
      </c>
      <c r="H427" s="18">
        <v>0</v>
      </c>
      <c r="I427">
        <v>12</v>
      </c>
      <c r="J427" s="5" t="s">
        <v>16</v>
      </c>
      <c r="K427" s="34" t="str">
        <f>VLOOKUP(I427,[2]stage_hints!$A:$C,3,FALSE)</f>
        <v>ユニットのお気に入り登録</v>
      </c>
      <c r="L427" s="35" t="str">
        <f>VLOOKUP(I427,[2]stage_hints!$A:$D,4,FALSE)</f>
        <v>大事なユニットを誤って消さないように_x000D_フォルダから「お気に入り登録」しましょう</v>
      </c>
      <c r="M427" s="21" t="s">
        <v>23</v>
      </c>
      <c r="N427">
        <v>12</v>
      </c>
    </row>
    <row r="428" spans="1:14" x14ac:dyDescent="0.15">
      <c r="A428" s="26" t="s">
        <v>32</v>
      </c>
      <c r="B428" s="4">
        <v>40002</v>
      </c>
      <c r="C428" s="3" t="str">
        <f ca="1">VLOOKUP($B428,OFFSET([1]quests!$A$1,0,0,COUNTA([1]quests!$A:$A),MATCH(C$1,[1]quests!$1:$1,0)-MATCH($B$1,[1]quests!$1:$1,0)+1),MATCH(C$1,[1]quests!$1:$1,0)-MATCH($B$1,[1]quests!$1:$1,0)+1,FALSE)</f>
        <v>アザゼル襲来！</v>
      </c>
      <c r="D428" s="3" t="str">
        <f ca="1">VLOOKUP($B428,OFFSET([1]quests!$A$1,0,0,COUNTA([1]quests!$A:$A),MATCH(D$1,[1]quests!$1:$1,0)-MATCH($B$1,[1]quests!$1:$1,0)+1),MATCH(D$1,[1]quests!$1:$1,0)-MATCH($B$1,[1]quests!$1:$1,0)+1,FALSE)</f>
        <v>降臨2</v>
      </c>
      <c r="E428" s="5">
        <v>1</v>
      </c>
      <c r="F428" s="3" t="str">
        <f ca="1">VLOOKUP($B428&amp;"_"&amp;$E428,OFFSET([1]stages!$A$1,0,0,COUNTA([1]stages!$A:$A),MATCH(F$1,[1]stages!$2:$2,0)-MATCH("temp_stage",[1]stages!$2:$2,0)+1),MATCH(F$1,[1]stages!$2:$2,0)-MATCH("temp_stage",[1]stages!$2:$2,0)+1,FALSE)</f>
        <v xml:space="preserve">【超級】アザゼル襲来 </v>
      </c>
      <c r="G428" s="3" t="str">
        <f ca="1">VLOOKUP($B428&amp;"_"&amp;$E428,OFFSET([1]stages!$A$1,0,0,COUNTA([1]stages!$A:$A),MATCH(G$1,[1]stages!$2:$2,0)-MATCH("temp_stage",[1]stages!$2:$2,0)+1),MATCH(G$1,[1]stages!$2:$2,0)-MATCH("temp_stage",[1]stages!$2:$2,0)+1,FALSE)</f>
        <v>降臨2</v>
      </c>
      <c r="H428" s="18">
        <v>0</v>
      </c>
      <c r="I428">
        <v>17</v>
      </c>
      <c r="J428" s="5" t="s">
        <v>16</v>
      </c>
      <c r="K428" s="34" t="str">
        <f>VLOOKUP(I428,[2]stage_hints!$A:$C,3,FALSE)</f>
        <v>リンクガチャ</v>
      </c>
      <c r="L428" s="35" t="str">
        <f>VLOOKUP(I428,[2]stage_hints!$A:$D,4,FALSE)</f>
        <v>無料のリンクガチャを回して_x000D_経験値素材や売却素材を獲得しましょう</v>
      </c>
      <c r="M428" s="21" t="s">
        <v>23</v>
      </c>
      <c r="N428">
        <v>17</v>
      </c>
    </row>
    <row r="429" spans="1:14" x14ac:dyDescent="0.15">
      <c r="A429" s="26" t="s">
        <v>32</v>
      </c>
      <c r="B429" s="4">
        <v>40002</v>
      </c>
      <c r="C429" s="3" t="str">
        <f ca="1">VLOOKUP($B429,OFFSET([1]quests!$A$1,0,0,COUNTA([1]quests!$A:$A),MATCH(C$1,[1]quests!$1:$1,0)-MATCH($B$1,[1]quests!$1:$1,0)+1),MATCH(C$1,[1]quests!$1:$1,0)-MATCH($B$1,[1]quests!$1:$1,0)+1,FALSE)</f>
        <v>アザゼル襲来！</v>
      </c>
      <c r="D429" s="3" t="str">
        <f ca="1">VLOOKUP($B429,OFFSET([1]quests!$A$1,0,0,COUNTA([1]quests!$A:$A),MATCH(D$1,[1]quests!$1:$1,0)-MATCH($B$1,[1]quests!$1:$1,0)+1),MATCH(D$1,[1]quests!$1:$1,0)-MATCH($B$1,[1]quests!$1:$1,0)+1,FALSE)</f>
        <v>降臨2</v>
      </c>
      <c r="E429" s="5">
        <v>1</v>
      </c>
      <c r="F429" s="3" t="str">
        <f ca="1">VLOOKUP($B429&amp;"_"&amp;$E429,OFFSET([1]stages!$A$1,0,0,COUNTA([1]stages!$A:$A),MATCH(F$1,[1]stages!$2:$2,0)-MATCH("temp_stage",[1]stages!$2:$2,0)+1),MATCH(F$1,[1]stages!$2:$2,0)-MATCH("temp_stage",[1]stages!$2:$2,0)+1,FALSE)</f>
        <v xml:space="preserve">【超級】アザゼル襲来 </v>
      </c>
      <c r="G429" s="3" t="str">
        <f ca="1">VLOOKUP($B429&amp;"_"&amp;$E429,OFFSET([1]stages!$A$1,0,0,COUNTA([1]stages!$A:$A),MATCH(G$1,[1]stages!$2:$2,0)-MATCH("temp_stage",[1]stages!$2:$2,0)+1),MATCH(G$1,[1]stages!$2:$2,0)-MATCH("temp_stage",[1]stages!$2:$2,0)+1,FALSE)</f>
        <v>降臨2</v>
      </c>
      <c r="H429" s="18">
        <v>0</v>
      </c>
      <c r="I429">
        <v>19</v>
      </c>
      <c r="J429" s="5" t="s">
        <v>16</v>
      </c>
      <c r="K429" s="34" t="str">
        <f>VLOOKUP(I429,[2]stage_hints!$A:$C,3,FALSE)</f>
        <v>ソロ専用タワーオブザクイーン</v>
      </c>
      <c r="L429" s="35" t="str">
        <f>VLOOKUP(I429,[2]stage_hints!$A:$D,4,FALSE)</f>
        <v>ソロ専用の「タワーオブザクイーン」は_x000D_期間限定で定期的に開催されます_x000D_ここでしか獲得できない報酬もあるようです</v>
      </c>
      <c r="M429" s="21" t="s">
        <v>23</v>
      </c>
      <c r="N429">
        <v>19</v>
      </c>
    </row>
    <row r="430" spans="1:14" x14ac:dyDescent="0.15">
      <c r="A430" s="26" t="s">
        <v>32</v>
      </c>
      <c r="B430" s="4">
        <v>40002</v>
      </c>
      <c r="C430" s="3" t="str">
        <f ca="1">VLOOKUP($B430,OFFSET([1]quests!$A$1,0,0,COUNTA([1]quests!$A:$A),MATCH(C$1,[1]quests!$1:$1,0)-MATCH($B$1,[1]quests!$1:$1,0)+1),MATCH(C$1,[1]quests!$1:$1,0)-MATCH($B$1,[1]quests!$1:$1,0)+1,FALSE)</f>
        <v>アザゼル襲来！</v>
      </c>
      <c r="D430" s="3" t="str">
        <f ca="1">VLOOKUP($B430,OFFSET([1]quests!$A$1,0,0,COUNTA([1]quests!$A:$A),MATCH(D$1,[1]quests!$1:$1,0)-MATCH($B$1,[1]quests!$1:$1,0)+1),MATCH(D$1,[1]quests!$1:$1,0)-MATCH($B$1,[1]quests!$1:$1,0)+1,FALSE)</f>
        <v>降臨2</v>
      </c>
      <c r="E430" s="5">
        <v>1</v>
      </c>
      <c r="F430" s="3" t="str">
        <f ca="1">VLOOKUP($B430&amp;"_"&amp;$E430,OFFSET([1]stages!$A$1,0,0,COUNTA([1]stages!$A:$A),MATCH(F$1,[1]stages!$2:$2,0)-MATCH("temp_stage",[1]stages!$2:$2,0)+1),MATCH(F$1,[1]stages!$2:$2,0)-MATCH("temp_stage",[1]stages!$2:$2,0)+1,FALSE)</f>
        <v xml:space="preserve">【超級】アザゼル襲来 </v>
      </c>
      <c r="G430" s="3" t="str">
        <f ca="1">VLOOKUP($B430&amp;"_"&amp;$E430,OFFSET([1]stages!$A$1,0,0,COUNTA([1]stages!$A:$A),MATCH(G$1,[1]stages!$2:$2,0)-MATCH("temp_stage",[1]stages!$2:$2,0)+1),MATCH(G$1,[1]stages!$2:$2,0)-MATCH("temp_stage",[1]stages!$2:$2,0)+1,FALSE)</f>
        <v>降臨2</v>
      </c>
      <c r="H430" s="18">
        <v>0</v>
      </c>
      <c r="I430">
        <v>21</v>
      </c>
      <c r="J430" s="5" t="s">
        <v>16</v>
      </c>
      <c r="K430" s="34" t="str">
        <f>VLOOKUP(I430,[2]stage_hints!$A:$C,3,FALSE)</f>
        <v>スキルを有効に</v>
      </c>
      <c r="L430" s="35" t="str">
        <f>VLOOKUP(I430,[2]stage_hints!$A:$D,4,FALSE)</f>
        <v>ターン経過でユニットのスキルが使えます_x000D_強力スキルでバトルを有利に進めましょう</v>
      </c>
      <c r="M430" s="21" t="s">
        <v>23</v>
      </c>
      <c r="N430">
        <v>21</v>
      </c>
    </row>
    <row r="431" spans="1:14" x14ac:dyDescent="0.15">
      <c r="A431" s="26" t="s">
        <v>32</v>
      </c>
      <c r="B431" s="4">
        <v>40002</v>
      </c>
      <c r="C431" s="3" t="str">
        <f ca="1">VLOOKUP($B431,OFFSET([1]quests!$A$1,0,0,COUNTA([1]quests!$A:$A),MATCH(C$1,[1]quests!$1:$1,0)-MATCH($B$1,[1]quests!$1:$1,0)+1),MATCH(C$1,[1]quests!$1:$1,0)-MATCH($B$1,[1]quests!$1:$1,0)+1,FALSE)</f>
        <v>アザゼル襲来！</v>
      </c>
      <c r="D431" s="3" t="str">
        <f ca="1">VLOOKUP($B431,OFFSET([1]quests!$A$1,0,0,COUNTA([1]quests!$A:$A),MATCH(D$1,[1]quests!$1:$1,0)-MATCH($B$1,[1]quests!$1:$1,0)+1),MATCH(D$1,[1]quests!$1:$1,0)-MATCH($B$1,[1]quests!$1:$1,0)+1,FALSE)</f>
        <v>降臨2</v>
      </c>
      <c r="E431" s="5">
        <v>1</v>
      </c>
      <c r="F431" s="3" t="str">
        <f ca="1">VLOOKUP($B431&amp;"_"&amp;$E431,OFFSET([1]stages!$A$1,0,0,COUNTA([1]stages!$A:$A),MATCH(F$1,[1]stages!$2:$2,0)-MATCH("temp_stage",[1]stages!$2:$2,0)+1),MATCH(F$1,[1]stages!$2:$2,0)-MATCH("temp_stage",[1]stages!$2:$2,0)+1,FALSE)</f>
        <v xml:space="preserve">【超級】アザゼル襲来 </v>
      </c>
      <c r="G431" s="3" t="str">
        <f ca="1">VLOOKUP($B431&amp;"_"&amp;$E431,OFFSET([1]stages!$A$1,0,0,COUNTA([1]stages!$A:$A),MATCH(G$1,[1]stages!$2:$2,0)-MATCH("temp_stage",[1]stages!$2:$2,0)+1),MATCH(G$1,[1]stages!$2:$2,0)-MATCH("temp_stage",[1]stages!$2:$2,0)+1,FALSE)</f>
        <v>降臨2</v>
      </c>
      <c r="H431" s="18">
        <v>0</v>
      </c>
      <c r="I431">
        <v>27</v>
      </c>
      <c r="J431" s="5" t="s">
        <v>16</v>
      </c>
      <c r="K431" s="34" t="str">
        <f>VLOOKUP(I431,[2]stage_hints!$A:$C,3,FALSE)</f>
        <v>ホーム画面からデッキを編成</v>
      </c>
      <c r="L431" s="35" t="str">
        <f>VLOOKUP(I431,[2]stage_hints!$A:$D,4,FALSE)</f>
        <v>ホーム画面でユニットを長押しすると_x000D_すぐにパーティ編成に移動できます</v>
      </c>
      <c r="M431" s="21" t="s">
        <v>23</v>
      </c>
      <c r="N431">
        <v>27</v>
      </c>
    </row>
    <row r="432" spans="1:14" x14ac:dyDescent="0.15">
      <c r="A432" s="26" t="s">
        <v>32</v>
      </c>
      <c r="B432" s="4">
        <v>40002</v>
      </c>
      <c r="C432" s="3" t="str">
        <f ca="1">VLOOKUP($B432,OFFSET([1]quests!$A$1,0,0,COUNTA([1]quests!$A:$A),MATCH(C$1,[1]quests!$1:$1,0)-MATCH($B$1,[1]quests!$1:$1,0)+1),MATCH(C$1,[1]quests!$1:$1,0)-MATCH($B$1,[1]quests!$1:$1,0)+1,FALSE)</f>
        <v>アザゼル襲来！</v>
      </c>
      <c r="D432" s="3" t="str">
        <f ca="1">VLOOKUP($B432,OFFSET([1]quests!$A$1,0,0,COUNTA([1]quests!$A:$A),MATCH(D$1,[1]quests!$1:$1,0)-MATCH($B$1,[1]quests!$1:$1,0)+1),MATCH(D$1,[1]quests!$1:$1,0)-MATCH($B$1,[1]quests!$1:$1,0)+1,FALSE)</f>
        <v>降臨2</v>
      </c>
      <c r="E432" s="5">
        <v>1</v>
      </c>
      <c r="F432" s="3" t="str">
        <f ca="1">VLOOKUP($B432&amp;"_"&amp;$E432,OFFSET([1]stages!$A$1,0,0,COUNTA([1]stages!$A:$A),MATCH(F$1,[1]stages!$2:$2,0)-MATCH("temp_stage",[1]stages!$2:$2,0)+1),MATCH(F$1,[1]stages!$2:$2,0)-MATCH("temp_stage",[1]stages!$2:$2,0)+1,FALSE)</f>
        <v xml:space="preserve">【超級】アザゼル襲来 </v>
      </c>
      <c r="G432" s="3" t="str">
        <f ca="1">VLOOKUP($B432&amp;"_"&amp;$E432,OFFSET([1]stages!$A$1,0,0,COUNTA([1]stages!$A:$A),MATCH(G$1,[1]stages!$2:$2,0)-MATCH("temp_stage",[1]stages!$2:$2,0)+1),MATCH(G$1,[1]stages!$2:$2,0)-MATCH("temp_stage",[1]stages!$2:$2,0)+1,FALSE)</f>
        <v>降臨2</v>
      </c>
      <c r="H432" s="18">
        <v>0</v>
      </c>
      <c r="I432">
        <v>28</v>
      </c>
      <c r="J432" s="5" t="s">
        <v>16</v>
      </c>
      <c r="K432" s="34" t="str">
        <f>VLOOKUP(I432,[2]stage_hints!$A:$C,3,FALSE)</f>
        <v>ステータス情報は長押しで</v>
      </c>
      <c r="L432" s="35" t="str">
        <f>VLOOKUP(I432,[2]stage_hints!$A:$D,4,FALSE)</f>
        <v>ユニットのアイコンを長押しすると_x000D_ステータス情報を確認することができます</v>
      </c>
      <c r="M432" s="21" t="s">
        <v>23</v>
      </c>
      <c r="N432">
        <v>28</v>
      </c>
    </row>
    <row r="433" spans="1:14" x14ac:dyDescent="0.15">
      <c r="A433" s="26" t="s">
        <v>32</v>
      </c>
      <c r="B433" s="4">
        <v>40002</v>
      </c>
      <c r="C433" s="3" t="str">
        <f ca="1">VLOOKUP($B433,OFFSET([1]quests!$A$1,0,0,COUNTA([1]quests!$A:$A),MATCH(C$1,[1]quests!$1:$1,0)-MATCH($B$1,[1]quests!$1:$1,0)+1),MATCH(C$1,[1]quests!$1:$1,0)-MATCH($B$1,[1]quests!$1:$1,0)+1,FALSE)</f>
        <v>アザゼル襲来！</v>
      </c>
      <c r="D433" s="3" t="str">
        <f ca="1">VLOOKUP($B433,OFFSET([1]quests!$A$1,0,0,COUNTA([1]quests!$A:$A),MATCH(D$1,[1]quests!$1:$1,0)-MATCH($B$1,[1]quests!$1:$1,0)+1),MATCH(D$1,[1]quests!$1:$1,0)-MATCH($B$1,[1]quests!$1:$1,0)+1,FALSE)</f>
        <v>降臨2</v>
      </c>
      <c r="E433" s="5">
        <v>1</v>
      </c>
      <c r="F433" s="3" t="str">
        <f ca="1">VLOOKUP($B433&amp;"_"&amp;$E433,OFFSET([1]stages!$A$1,0,0,COUNTA([1]stages!$A:$A),MATCH(F$1,[1]stages!$2:$2,0)-MATCH("temp_stage",[1]stages!$2:$2,0)+1),MATCH(F$1,[1]stages!$2:$2,0)-MATCH("temp_stage",[1]stages!$2:$2,0)+1,FALSE)</f>
        <v xml:space="preserve">【超級】アザゼル襲来 </v>
      </c>
      <c r="G433" s="3" t="str">
        <f ca="1">VLOOKUP($B433&amp;"_"&amp;$E433,OFFSET([1]stages!$A$1,0,0,COUNTA([1]stages!$A:$A),MATCH(G$1,[1]stages!$2:$2,0)-MATCH("temp_stage",[1]stages!$2:$2,0)+1),MATCH(G$1,[1]stages!$2:$2,0)-MATCH("temp_stage",[1]stages!$2:$2,0)+1,FALSE)</f>
        <v>降臨2</v>
      </c>
      <c r="H433" s="18">
        <v>0</v>
      </c>
      <c r="I433">
        <v>29</v>
      </c>
      <c r="J433" s="5" t="s">
        <v>16</v>
      </c>
      <c r="K433" s="34" t="str">
        <f>VLOOKUP(I433,[2]stage_hints!$A:$C,3,FALSE)</f>
        <v>「バグ」のメリット</v>
      </c>
      <c r="L433" s="35" t="str">
        <f>VLOOKUP(I433,[2]stage_hints!$A:$D,4,FALSE)</f>
        <v>ユニットの「バグ」を増やすと_x000D_報酬をもらえる確率がアップします</v>
      </c>
      <c r="M433" s="21" t="s">
        <v>23</v>
      </c>
      <c r="N433">
        <v>29</v>
      </c>
    </row>
    <row r="434" spans="1:14" x14ac:dyDescent="0.15">
      <c r="A434" s="26" t="s">
        <v>32</v>
      </c>
      <c r="B434" s="4">
        <v>40002</v>
      </c>
      <c r="C434" s="3" t="str">
        <f ca="1">VLOOKUP($B434,OFFSET([1]quests!$A$1,0,0,COUNTA([1]quests!$A:$A),MATCH(C$1,[1]quests!$1:$1,0)-MATCH($B$1,[1]quests!$1:$1,0)+1),MATCH(C$1,[1]quests!$1:$1,0)-MATCH($B$1,[1]quests!$1:$1,0)+1,FALSE)</f>
        <v>アザゼル襲来！</v>
      </c>
      <c r="D434" s="3" t="str">
        <f ca="1">VLOOKUP($B434,OFFSET([1]quests!$A$1,0,0,COUNTA([1]quests!$A:$A),MATCH(D$1,[1]quests!$1:$1,0)-MATCH($B$1,[1]quests!$1:$1,0)+1),MATCH(D$1,[1]quests!$1:$1,0)-MATCH($B$1,[1]quests!$1:$1,0)+1,FALSE)</f>
        <v>降臨2</v>
      </c>
      <c r="E434" s="5">
        <v>1</v>
      </c>
      <c r="F434" s="3" t="str">
        <f ca="1">VLOOKUP($B434&amp;"_"&amp;$E434,OFFSET([1]stages!$A$1,0,0,COUNTA([1]stages!$A:$A),MATCH(F$1,[1]stages!$2:$2,0)-MATCH("temp_stage",[1]stages!$2:$2,0)+1),MATCH(F$1,[1]stages!$2:$2,0)-MATCH("temp_stage",[1]stages!$2:$2,0)+1,FALSE)</f>
        <v xml:space="preserve">【超級】アザゼル襲来 </v>
      </c>
      <c r="G434" s="3" t="str">
        <f ca="1">VLOOKUP($B434&amp;"_"&amp;$E434,OFFSET([1]stages!$A$1,0,0,COUNTA([1]stages!$A:$A),MATCH(G$1,[1]stages!$2:$2,0)-MATCH("temp_stage",[1]stages!$2:$2,0)+1),MATCH(G$1,[1]stages!$2:$2,0)-MATCH("temp_stage",[1]stages!$2:$2,0)+1,FALSE)</f>
        <v>降臨2</v>
      </c>
      <c r="H434" s="18">
        <v>0</v>
      </c>
      <c r="I434">
        <v>30</v>
      </c>
      <c r="J434" s="5" t="s">
        <v>16</v>
      </c>
      <c r="K434" s="34" t="str">
        <f>VLOOKUP(I434,[2]stage_hints!$A:$C,3,FALSE)</f>
        <v>「バグ」の増やし方</v>
      </c>
      <c r="L434" s="35" t="str">
        <f>VLOOKUP(I434,[2]stage_hints!$A:$D,4,FALSE)</f>
        <v>同じユニット同士を強化で合成すると_x000D_「バグ」を増やすことができます</v>
      </c>
      <c r="M434" s="21" t="s">
        <v>23</v>
      </c>
      <c r="N434">
        <v>30</v>
      </c>
    </row>
    <row r="435" spans="1:14" x14ac:dyDescent="0.15">
      <c r="A435" s="26" t="s">
        <v>32</v>
      </c>
      <c r="B435" s="4">
        <v>40002</v>
      </c>
      <c r="C435" s="3" t="str">
        <f ca="1">VLOOKUP($B435,OFFSET([1]quests!$A$1,0,0,COUNTA([1]quests!$A:$A),MATCH(C$1,[1]quests!$1:$1,0)-MATCH($B$1,[1]quests!$1:$1,0)+1),MATCH(C$1,[1]quests!$1:$1,0)-MATCH($B$1,[1]quests!$1:$1,0)+1,FALSE)</f>
        <v>アザゼル襲来！</v>
      </c>
      <c r="D435" s="3" t="str">
        <f ca="1">VLOOKUP($B435,OFFSET([1]quests!$A$1,0,0,COUNTA([1]quests!$A:$A),MATCH(D$1,[1]quests!$1:$1,0)-MATCH($B$1,[1]quests!$1:$1,0)+1),MATCH(D$1,[1]quests!$1:$1,0)-MATCH($B$1,[1]quests!$1:$1,0)+1,FALSE)</f>
        <v>降臨2</v>
      </c>
      <c r="E435" s="5">
        <v>1</v>
      </c>
      <c r="F435" s="3" t="str">
        <f ca="1">VLOOKUP($B435&amp;"_"&amp;$E435,OFFSET([1]stages!$A$1,0,0,COUNTA([1]stages!$A:$A),MATCH(F$1,[1]stages!$2:$2,0)-MATCH("temp_stage",[1]stages!$2:$2,0)+1),MATCH(F$1,[1]stages!$2:$2,0)-MATCH("temp_stage",[1]stages!$2:$2,0)+1,FALSE)</f>
        <v xml:space="preserve">【超級】アザゼル襲来 </v>
      </c>
      <c r="G435" s="3" t="str">
        <f ca="1">VLOOKUP($B435&amp;"_"&amp;$E435,OFFSET([1]stages!$A$1,0,0,COUNTA([1]stages!$A:$A),MATCH(G$1,[1]stages!$2:$2,0)-MATCH("temp_stage",[1]stages!$2:$2,0)+1),MATCH(G$1,[1]stages!$2:$2,0)-MATCH("temp_stage",[1]stages!$2:$2,0)+1,FALSE)</f>
        <v>降臨2</v>
      </c>
      <c r="H435" s="18">
        <v>0</v>
      </c>
      <c r="I435">
        <v>32</v>
      </c>
      <c r="J435" s="5" t="s">
        <v>16</v>
      </c>
      <c r="K435" s="34" t="str">
        <f>VLOOKUP(I435,[2]stage_hints!$A:$C,3,FALSE)</f>
        <v>敵の連続攻撃には</v>
      </c>
      <c r="L435" s="35" t="str">
        <f>VLOOKUP(I435,[2]stage_hints!$A:$D,4,FALSE)</f>
        <v>カウンタースキルを持つユニットがいれば_x000D_ダメージ回数分の反撃ができます</v>
      </c>
      <c r="M435" s="21" t="s">
        <v>23</v>
      </c>
      <c r="N435">
        <v>32</v>
      </c>
    </row>
    <row r="436" spans="1:14" x14ac:dyDescent="0.15">
      <c r="A436" s="26" t="s">
        <v>32</v>
      </c>
      <c r="B436" s="4">
        <v>40002</v>
      </c>
      <c r="C436" s="3" t="str">
        <f ca="1">VLOOKUP($B436,OFFSET([1]quests!$A$1,0,0,COUNTA([1]quests!$A:$A),MATCH(C$1,[1]quests!$1:$1,0)-MATCH($B$1,[1]quests!$1:$1,0)+1),MATCH(C$1,[1]quests!$1:$1,0)-MATCH($B$1,[1]quests!$1:$1,0)+1,FALSE)</f>
        <v>アザゼル襲来！</v>
      </c>
      <c r="D436" s="3" t="str">
        <f ca="1">VLOOKUP($B436,OFFSET([1]quests!$A$1,0,0,COUNTA([1]quests!$A:$A),MATCH(D$1,[1]quests!$1:$1,0)-MATCH($B$1,[1]quests!$1:$1,0)+1),MATCH(D$1,[1]quests!$1:$1,0)-MATCH($B$1,[1]quests!$1:$1,0)+1,FALSE)</f>
        <v>降臨2</v>
      </c>
      <c r="E436" s="5">
        <v>1</v>
      </c>
      <c r="F436" s="3" t="str">
        <f ca="1">VLOOKUP($B436&amp;"_"&amp;$E436,OFFSET([1]stages!$A$1,0,0,COUNTA([1]stages!$A:$A),MATCH(F$1,[1]stages!$2:$2,0)-MATCH("temp_stage",[1]stages!$2:$2,0)+1),MATCH(F$1,[1]stages!$2:$2,0)-MATCH("temp_stage",[1]stages!$2:$2,0)+1,FALSE)</f>
        <v xml:space="preserve">【超級】アザゼル襲来 </v>
      </c>
      <c r="G436" s="3" t="str">
        <f ca="1">VLOOKUP($B436&amp;"_"&amp;$E436,OFFSET([1]stages!$A$1,0,0,COUNTA([1]stages!$A:$A),MATCH(G$1,[1]stages!$2:$2,0)-MATCH("temp_stage",[1]stages!$2:$2,0)+1),MATCH(G$1,[1]stages!$2:$2,0)-MATCH("temp_stage",[1]stages!$2:$2,0)+1,FALSE)</f>
        <v>降臨2</v>
      </c>
      <c r="H436" s="18">
        <v>0</v>
      </c>
      <c r="I436">
        <v>33</v>
      </c>
      <c r="J436" s="5" t="s">
        <v>16</v>
      </c>
      <c r="K436" s="34" t="str">
        <f>VLOOKUP(I436,[2]stage_hints!$A:$C,3,FALSE)</f>
        <v>敵のカウンター攻撃には</v>
      </c>
      <c r="L436" s="35" t="str">
        <f>VLOOKUP(I436,[2]stage_hints!$A:$D,4,FALSE)</f>
        <v>カウンターブレイクスキルを持っていれば_x000D_敵のカウンターを解除して攻撃ができます</v>
      </c>
      <c r="M436" s="21" t="s">
        <v>23</v>
      </c>
      <c r="N436">
        <v>33</v>
      </c>
    </row>
    <row r="437" spans="1:14" x14ac:dyDescent="0.15">
      <c r="A437" s="26" t="s">
        <v>32</v>
      </c>
      <c r="B437" s="4">
        <v>40002</v>
      </c>
      <c r="C437" s="3" t="str">
        <f ca="1">VLOOKUP($B437,OFFSET([1]quests!$A$1,0,0,COUNTA([1]quests!$A:$A),MATCH(C$1,[1]quests!$1:$1,0)-MATCH($B$1,[1]quests!$1:$1,0)+1),MATCH(C$1,[1]quests!$1:$1,0)-MATCH($B$1,[1]quests!$1:$1,0)+1,FALSE)</f>
        <v>アザゼル襲来！</v>
      </c>
      <c r="D437" s="3" t="str">
        <f ca="1">VLOOKUP($B437,OFFSET([1]quests!$A$1,0,0,COUNTA([1]quests!$A:$A),MATCH(D$1,[1]quests!$1:$1,0)-MATCH($B$1,[1]quests!$1:$1,0)+1),MATCH(D$1,[1]quests!$1:$1,0)-MATCH($B$1,[1]quests!$1:$1,0)+1,FALSE)</f>
        <v>降臨2</v>
      </c>
      <c r="E437" s="5">
        <v>1</v>
      </c>
      <c r="F437" s="3" t="str">
        <f ca="1">VLOOKUP($B437&amp;"_"&amp;$E437,OFFSET([1]stages!$A$1,0,0,COUNTA([1]stages!$A:$A),MATCH(F$1,[1]stages!$2:$2,0)-MATCH("temp_stage",[1]stages!$2:$2,0)+1),MATCH(F$1,[1]stages!$2:$2,0)-MATCH("temp_stage",[1]stages!$2:$2,0)+1,FALSE)</f>
        <v xml:space="preserve">【超級】アザゼル襲来 </v>
      </c>
      <c r="G437" s="3" t="str">
        <f ca="1">VLOOKUP($B437&amp;"_"&amp;$E437,OFFSET([1]stages!$A$1,0,0,COUNTA([1]stages!$A:$A),MATCH(G$1,[1]stages!$2:$2,0)-MATCH("temp_stage",[1]stages!$2:$2,0)+1),MATCH(G$1,[1]stages!$2:$2,0)-MATCH("temp_stage",[1]stages!$2:$2,0)+1,FALSE)</f>
        <v>降臨2</v>
      </c>
      <c r="H437" s="18">
        <v>0</v>
      </c>
      <c r="I437">
        <v>34</v>
      </c>
      <c r="J437" s="5" t="s">
        <v>16</v>
      </c>
      <c r="K437" s="34" t="str">
        <f>VLOOKUP(I437,[2]stage_hints!$A:$C,3,FALSE)</f>
        <v>ステータスをスキルで下げられたら</v>
      </c>
      <c r="L437" s="35" t="str">
        <f>VLOOKUP(I437,[2]stage_hints!$A:$D,4,FALSE)</f>
        <v>ステータスダウンのスキルを受けたら_x000D_ステータスアップスキルで上書きしましょう</v>
      </c>
      <c r="M437" s="21" t="s">
        <v>23</v>
      </c>
      <c r="N437">
        <v>34</v>
      </c>
    </row>
    <row r="438" spans="1:14" x14ac:dyDescent="0.15">
      <c r="A438" s="26" t="s">
        <v>32</v>
      </c>
      <c r="B438" s="4">
        <v>40002</v>
      </c>
      <c r="C438" s="3" t="str">
        <f ca="1">VLOOKUP($B438,OFFSET([1]quests!$A$1,0,0,COUNTA([1]quests!$A:$A),MATCH(C$1,[1]quests!$1:$1,0)-MATCH($B$1,[1]quests!$1:$1,0)+1),MATCH(C$1,[1]quests!$1:$1,0)-MATCH($B$1,[1]quests!$1:$1,0)+1,FALSE)</f>
        <v>アザゼル襲来！</v>
      </c>
      <c r="D438" s="3" t="str">
        <f ca="1">VLOOKUP($B438,OFFSET([1]quests!$A$1,0,0,COUNTA([1]quests!$A:$A),MATCH(D$1,[1]quests!$1:$1,0)-MATCH($B$1,[1]quests!$1:$1,0)+1),MATCH(D$1,[1]quests!$1:$1,0)-MATCH($B$1,[1]quests!$1:$1,0)+1,FALSE)</f>
        <v>降臨2</v>
      </c>
      <c r="E438" s="5">
        <v>1</v>
      </c>
      <c r="F438" s="3" t="str">
        <f ca="1">VLOOKUP($B438&amp;"_"&amp;$E438,OFFSET([1]stages!$A$1,0,0,COUNTA([1]stages!$A:$A),MATCH(F$1,[1]stages!$2:$2,0)-MATCH("temp_stage",[1]stages!$2:$2,0)+1),MATCH(F$1,[1]stages!$2:$2,0)-MATCH("temp_stage",[1]stages!$2:$2,0)+1,FALSE)</f>
        <v xml:space="preserve">【超級】アザゼル襲来 </v>
      </c>
      <c r="G438" s="3" t="str">
        <f ca="1">VLOOKUP($B438&amp;"_"&amp;$E438,OFFSET([1]stages!$A$1,0,0,COUNTA([1]stages!$A:$A),MATCH(G$1,[1]stages!$2:$2,0)-MATCH("temp_stage",[1]stages!$2:$2,0)+1),MATCH(G$1,[1]stages!$2:$2,0)-MATCH("temp_stage",[1]stages!$2:$2,0)+1,FALSE)</f>
        <v>降臨2</v>
      </c>
      <c r="H438" s="18">
        <v>0</v>
      </c>
      <c r="I438">
        <v>35</v>
      </c>
      <c r="J438" s="5" t="s">
        <v>16</v>
      </c>
      <c r="K438" s="34" t="str">
        <f>VLOOKUP(I438,[2]stage_hints!$A:$C,3,FALSE)</f>
        <v>敵のステータスがスキルで上がったら</v>
      </c>
      <c r="L438" s="35" t="str">
        <f>VLOOKUP(I438,[2]stage_hints!$A:$D,4,FALSE)</f>
        <v>敵のステータスがスキルでアップしたときは_x000D_ステータスダウンスキルで上書きしましょう</v>
      </c>
      <c r="M438" s="21" t="s">
        <v>23</v>
      </c>
      <c r="N438">
        <v>35</v>
      </c>
    </row>
    <row r="439" spans="1:14" x14ac:dyDescent="0.15">
      <c r="A439" s="26" t="s">
        <v>32</v>
      </c>
      <c r="B439" s="4">
        <v>40002</v>
      </c>
      <c r="C439" s="3" t="str">
        <f ca="1">VLOOKUP($B439,OFFSET([1]quests!$A$1,0,0,COUNTA([1]quests!$A:$A),MATCH(C$1,[1]quests!$1:$1,0)-MATCH($B$1,[1]quests!$1:$1,0)+1),MATCH(C$1,[1]quests!$1:$1,0)-MATCH($B$1,[1]quests!$1:$1,0)+1,FALSE)</f>
        <v>アザゼル襲来！</v>
      </c>
      <c r="D439" s="3" t="str">
        <f ca="1">VLOOKUP($B439,OFFSET([1]quests!$A$1,0,0,COUNTA([1]quests!$A:$A),MATCH(D$1,[1]quests!$1:$1,0)-MATCH($B$1,[1]quests!$1:$1,0)+1),MATCH(D$1,[1]quests!$1:$1,0)-MATCH($B$1,[1]quests!$1:$1,0)+1,FALSE)</f>
        <v>降臨2</v>
      </c>
      <c r="E439" s="5">
        <v>1</v>
      </c>
      <c r="F439" s="3" t="str">
        <f ca="1">VLOOKUP($B439&amp;"_"&amp;$E439,OFFSET([1]stages!$A$1,0,0,COUNTA([1]stages!$A:$A),MATCH(F$1,[1]stages!$2:$2,0)-MATCH("temp_stage",[1]stages!$2:$2,0)+1),MATCH(F$1,[1]stages!$2:$2,0)-MATCH("temp_stage",[1]stages!$2:$2,0)+1,FALSE)</f>
        <v xml:space="preserve">【超級】アザゼル襲来 </v>
      </c>
      <c r="G439" s="3" t="str">
        <f ca="1">VLOOKUP($B439&amp;"_"&amp;$E439,OFFSET([1]stages!$A$1,0,0,COUNTA([1]stages!$A:$A),MATCH(G$1,[1]stages!$2:$2,0)-MATCH("temp_stage",[1]stages!$2:$2,0)+1),MATCH(G$1,[1]stages!$2:$2,0)-MATCH("temp_stage",[1]stages!$2:$2,0)+1,FALSE)</f>
        <v>降臨2</v>
      </c>
      <c r="H439" s="18">
        <v>0</v>
      </c>
      <c r="I439">
        <v>36</v>
      </c>
      <c r="J439" s="5" t="s">
        <v>16</v>
      </c>
      <c r="K439" s="34" t="str">
        <f>VLOOKUP(I439,[2]stage_hints!$A:$C,3,FALSE)</f>
        <v>タワーオブザクイーンのボス</v>
      </c>
      <c r="L439" s="35" t="str">
        <f>VLOOKUP(I439,[2]stage_hints!$A:$D,4,FALSE)</f>
        <v>「タワーオブザクイーン」最上階のボスは_x000D_15階の初回クリア報酬で獲得できるほか_x000D_その階にて低確率でドロップもします</v>
      </c>
      <c r="M439" s="21" t="s">
        <v>23</v>
      </c>
      <c r="N439">
        <v>36</v>
      </c>
    </row>
    <row r="440" spans="1:14" x14ac:dyDescent="0.15">
      <c r="A440" s="26" t="s">
        <v>32</v>
      </c>
      <c r="B440" s="4">
        <v>40002</v>
      </c>
      <c r="C440" s="3" t="str">
        <f ca="1">VLOOKUP($B440,OFFSET([1]quests!$A$1,0,0,COUNTA([1]quests!$A:$A),MATCH(C$1,[1]quests!$1:$1,0)-MATCH($B$1,[1]quests!$1:$1,0)+1),MATCH(C$1,[1]quests!$1:$1,0)-MATCH($B$1,[1]quests!$1:$1,0)+1,FALSE)</f>
        <v>アザゼル襲来！</v>
      </c>
      <c r="D440" s="3" t="str">
        <f ca="1">VLOOKUP($B440,OFFSET([1]quests!$A$1,0,0,COUNTA([1]quests!$A:$A),MATCH(D$1,[1]quests!$1:$1,0)-MATCH($B$1,[1]quests!$1:$1,0)+1),MATCH(D$1,[1]quests!$1:$1,0)-MATCH($B$1,[1]quests!$1:$1,0)+1,FALSE)</f>
        <v>降臨2</v>
      </c>
      <c r="E440" s="5">
        <v>1</v>
      </c>
      <c r="F440" s="3" t="str">
        <f ca="1">VLOOKUP($B440&amp;"_"&amp;$E440,OFFSET([1]stages!$A$1,0,0,COUNTA([1]stages!$A:$A),MATCH(F$1,[1]stages!$2:$2,0)-MATCH("temp_stage",[1]stages!$2:$2,0)+1),MATCH(F$1,[1]stages!$2:$2,0)-MATCH("temp_stage",[1]stages!$2:$2,0)+1,FALSE)</f>
        <v xml:space="preserve">【超級】アザゼル襲来 </v>
      </c>
      <c r="G440" s="3" t="str">
        <f ca="1">VLOOKUP($B440&amp;"_"&amp;$E440,OFFSET([1]stages!$A$1,0,0,COUNTA([1]stages!$A:$A),MATCH(G$1,[1]stages!$2:$2,0)-MATCH("temp_stage",[1]stages!$2:$2,0)+1),MATCH(G$1,[1]stages!$2:$2,0)-MATCH("temp_stage",[1]stages!$2:$2,0)+1,FALSE)</f>
        <v>降臨2</v>
      </c>
      <c r="H440" s="18">
        <v>0</v>
      </c>
      <c r="I440">
        <v>37</v>
      </c>
      <c r="J440" s="5" t="s">
        <v>16</v>
      </c>
      <c r="K440" s="34" t="str">
        <f>VLOOKUP(I440,[2]stage_hints!$A:$C,3,FALSE)</f>
        <v>限界突破値の引き継ぎ</v>
      </c>
      <c r="L440" s="35" t="str">
        <f>VLOOKUP(I440,[2]stage_hints!$A:$D,4,FALSE)</f>
        <v>同じユニットを強化で合成すると_x000D_限界突破値を引き継げます（覚醒前後も可）</v>
      </c>
      <c r="M440" s="21" t="s">
        <v>23</v>
      </c>
      <c r="N440">
        <v>37</v>
      </c>
    </row>
    <row r="441" spans="1:14" x14ac:dyDescent="0.15">
      <c r="A441" s="26" t="s">
        <v>32</v>
      </c>
      <c r="B441" s="4">
        <v>11207</v>
      </c>
      <c r="C441" s="3" t="str">
        <f ca="1">VLOOKUP($B441,OFFSET([1]quests!$A$1,0,0,COUNTA([1]quests!$A:$A),MATCH(C$1,[1]quests!$1:$1,0)-MATCH($B$1,[1]quests!$1:$1,0)+1),MATCH(C$1,[1]quests!$1:$1,0)-MATCH($B$1,[1]quests!$1:$1,0)+1,FALSE)</f>
        <v>果実達の大宴会</v>
      </c>
      <c r="D441" s="3">
        <f ca="1">VLOOKUP($B441,OFFSET([1]quests!$A$1,0,0,COUNTA([1]quests!$A:$A),MATCH(D$1,[1]quests!$1:$1,0)-MATCH($B$1,[1]quests!$1:$1,0)+1),MATCH(D$1,[1]quests!$1:$1,0)-MATCH($B$1,[1]quests!$1:$1,0)+1,FALSE)</f>
        <v>0</v>
      </c>
      <c r="E441" s="5">
        <v>2</v>
      </c>
      <c r="F441" s="3" t="str">
        <f ca="1">VLOOKUP($B441&amp;"_"&amp;$E441,OFFSET([1]stages!$A$1,0,0,COUNTA([1]stages!$A:$A),MATCH(F$1,[1]stages!$2:$2,0)-MATCH("temp_stage",[1]stages!$2:$2,0)+1),MATCH(F$1,[1]stages!$2:$2,0)-MATCH("temp_stage",[1]stages!$2:$2,0)+1,FALSE)</f>
        <v>【超級】果実達の大宴会</v>
      </c>
      <c r="G441" s="3">
        <f ca="1">VLOOKUP($B441&amp;"_"&amp;$E441,OFFSET([1]stages!$A$1,0,0,COUNTA([1]stages!$A:$A),MATCH(G$1,[1]stages!$2:$2,0)-MATCH("temp_stage",[1]stages!$2:$2,0)+1),MATCH(G$1,[1]stages!$2:$2,0)-MATCH("temp_stage",[1]stages!$2:$2,0)+1,FALSE)</f>
        <v>0</v>
      </c>
      <c r="H441" s="18">
        <v>0</v>
      </c>
      <c r="I441">
        <v>12</v>
      </c>
      <c r="J441" s="5" t="s">
        <v>16</v>
      </c>
      <c r="K441" s="34" t="str">
        <f>VLOOKUP(I441,[2]stage_hints!$A:$C,3,FALSE)</f>
        <v>ユニットのお気に入り登録</v>
      </c>
      <c r="L441" s="35" t="str">
        <f>VLOOKUP(I441,[2]stage_hints!$A:$D,4,FALSE)</f>
        <v>大事なユニットを誤って消さないように_x000D_フォルダから「お気に入り登録」しましょう</v>
      </c>
      <c r="M441" s="21" t="s">
        <v>23</v>
      </c>
      <c r="N441">
        <v>12</v>
      </c>
    </row>
    <row r="442" spans="1:14" x14ac:dyDescent="0.15">
      <c r="A442" s="26" t="s">
        <v>32</v>
      </c>
      <c r="B442" s="4">
        <v>11207</v>
      </c>
      <c r="C442" s="3" t="str">
        <f ca="1">VLOOKUP($B442,OFFSET([1]quests!$A$1,0,0,COUNTA([1]quests!$A:$A),MATCH(C$1,[1]quests!$1:$1,0)-MATCH($B$1,[1]quests!$1:$1,0)+1),MATCH(C$1,[1]quests!$1:$1,0)-MATCH($B$1,[1]quests!$1:$1,0)+1,FALSE)</f>
        <v>果実達の大宴会</v>
      </c>
      <c r="D442" s="3">
        <f ca="1">VLOOKUP($B442,OFFSET([1]quests!$A$1,0,0,COUNTA([1]quests!$A:$A),MATCH(D$1,[1]quests!$1:$1,0)-MATCH($B$1,[1]quests!$1:$1,0)+1),MATCH(D$1,[1]quests!$1:$1,0)-MATCH($B$1,[1]quests!$1:$1,0)+1,FALSE)</f>
        <v>0</v>
      </c>
      <c r="E442" s="5">
        <v>2</v>
      </c>
      <c r="F442" s="3" t="str">
        <f ca="1">VLOOKUP($B442&amp;"_"&amp;$E442,OFFSET([1]stages!$A$1,0,0,COUNTA([1]stages!$A:$A),MATCH(F$1,[1]stages!$2:$2,0)-MATCH("temp_stage",[1]stages!$2:$2,0)+1),MATCH(F$1,[1]stages!$2:$2,0)-MATCH("temp_stage",[1]stages!$2:$2,0)+1,FALSE)</f>
        <v>【超級】果実達の大宴会</v>
      </c>
      <c r="G442" s="3">
        <f ca="1">VLOOKUP($B442&amp;"_"&amp;$E442,OFFSET([1]stages!$A$1,0,0,COUNTA([1]stages!$A:$A),MATCH(G$1,[1]stages!$2:$2,0)-MATCH("temp_stage",[1]stages!$2:$2,0)+1),MATCH(G$1,[1]stages!$2:$2,0)-MATCH("temp_stage",[1]stages!$2:$2,0)+1,FALSE)</f>
        <v>0</v>
      </c>
      <c r="H442" s="18">
        <v>0</v>
      </c>
      <c r="I442">
        <v>17</v>
      </c>
      <c r="J442" s="5" t="s">
        <v>16</v>
      </c>
      <c r="K442" s="34" t="str">
        <f>VLOOKUP(I442,[2]stage_hints!$A:$C,3,FALSE)</f>
        <v>リンクガチャ</v>
      </c>
      <c r="L442" s="35" t="str">
        <f>VLOOKUP(I442,[2]stage_hints!$A:$D,4,FALSE)</f>
        <v>無料のリンクガチャを回して_x000D_経験値素材や売却素材を獲得しましょう</v>
      </c>
      <c r="M442" s="21" t="s">
        <v>23</v>
      </c>
      <c r="N442">
        <v>17</v>
      </c>
    </row>
    <row r="443" spans="1:14" x14ac:dyDescent="0.15">
      <c r="A443" s="26" t="s">
        <v>32</v>
      </c>
      <c r="B443" s="4">
        <v>11207</v>
      </c>
      <c r="C443" s="3" t="str">
        <f ca="1">VLOOKUP($B443,OFFSET([1]quests!$A$1,0,0,COUNTA([1]quests!$A:$A),MATCH(C$1,[1]quests!$1:$1,0)-MATCH($B$1,[1]quests!$1:$1,0)+1),MATCH(C$1,[1]quests!$1:$1,0)-MATCH($B$1,[1]quests!$1:$1,0)+1,FALSE)</f>
        <v>果実達の大宴会</v>
      </c>
      <c r="D443" s="3">
        <f ca="1">VLOOKUP($B443,OFFSET([1]quests!$A$1,0,0,COUNTA([1]quests!$A:$A),MATCH(D$1,[1]quests!$1:$1,0)-MATCH($B$1,[1]quests!$1:$1,0)+1),MATCH(D$1,[1]quests!$1:$1,0)-MATCH($B$1,[1]quests!$1:$1,0)+1,FALSE)</f>
        <v>0</v>
      </c>
      <c r="E443" s="5">
        <v>2</v>
      </c>
      <c r="F443" s="3" t="str">
        <f ca="1">VLOOKUP($B443&amp;"_"&amp;$E443,OFFSET([1]stages!$A$1,0,0,COUNTA([1]stages!$A:$A),MATCH(F$1,[1]stages!$2:$2,0)-MATCH("temp_stage",[1]stages!$2:$2,0)+1),MATCH(F$1,[1]stages!$2:$2,0)-MATCH("temp_stage",[1]stages!$2:$2,0)+1,FALSE)</f>
        <v>【超級】果実達の大宴会</v>
      </c>
      <c r="G443" s="3">
        <f ca="1">VLOOKUP($B443&amp;"_"&amp;$E443,OFFSET([1]stages!$A$1,0,0,COUNTA([1]stages!$A:$A),MATCH(G$1,[1]stages!$2:$2,0)-MATCH("temp_stage",[1]stages!$2:$2,0)+1),MATCH(G$1,[1]stages!$2:$2,0)-MATCH("temp_stage",[1]stages!$2:$2,0)+1,FALSE)</f>
        <v>0</v>
      </c>
      <c r="H443" s="18">
        <v>0</v>
      </c>
      <c r="I443">
        <v>19</v>
      </c>
      <c r="J443" s="5" t="s">
        <v>16</v>
      </c>
      <c r="K443" s="34" t="str">
        <f>VLOOKUP(I443,[2]stage_hints!$A:$C,3,FALSE)</f>
        <v>ソロ専用タワーオブザクイーン</v>
      </c>
      <c r="L443" s="35" t="str">
        <f>VLOOKUP(I443,[2]stage_hints!$A:$D,4,FALSE)</f>
        <v>ソロ専用の「タワーオブザクイーン」は_x000D_期間限定で定期的に開催されます_x000D_ここでしか獲得できない報酬もあるようです</v>
      </c>
      <c r="M443" s="21" t="s">
        <v>23</v>
      </c>
      <c r="N443">
        <v>19</v>
      </c>
    </row>
    <row r="444" spans="1:14" x14ac:dyDescent="0.15">
      <c r="A444" s="26" t="s">
        <v>32</v>
      </c>
      <c r="B444" s="4">
        <v>11207</v>
      </c>
      <c r="C444" s="3" t="str">
        <f ca="1">VLOOKUP($B444,OFFSET([1]quests!$A$1,0,0,COUNTA([1]quests!$A:$A),MATCH(C$1,[1]quests!$1:$1,0)-MATCH($B$1,[1]quests!$1:$1,0)+1),MATCH(C$1,[1]quests!$1:$1,0)-MATCH($B$1,[1]quests!$1:$1,0)+1,FALSE)</f>
        <v>果実達の大宴会</v>
      </c>
      <c r="D444" s="3">
        <f ca="1">VLOOKUP($B444,OFFSET([1]quests!$A$1,0,0,COUNTA([1]quests!$A:$A),MATCH(D$1,[1]quests!$1:$1,0)-MATCH($B$1,[1]quests!$1:$1,0)+1),MATCH(D$1,[1]quests!$1:$1,0)-MATCH($B$1,[1]quests!$1:$1,0)+1,FALSE)</f>
        <v>0</v>
      </c>
      <c r="E444" s="5">
        <v>2</v>
      </c>
      <c r="F444" s="3" t="str">
        <f ca="1">VLOOKUP($B444&amp;"_"&amp;$E444,OFFSET([1]stages!$A$1,0,0,COUNTA([1]stages!$A:$A),MATCH(F$1,[1]stages!$2:$2,0)-MATCH("temp_stage",[1]stages!$2:$2,0)+1),MATCH(F$1,[1]stages!$2:$2,0)-MATCH("temp_stage",[1]stages!$2:$2,0)+1,FALSE)</f>
        <v>【超級】果実達の大宴会</v>
      </c>
      <c r="G444" s="3">
        <f ca="1">VLOOKUP($B444&amp;"_"&amp;$E444,OFFSET([1]stages!$A$1,0,0,COUNTA([1]stages!$A:$A),MATCH(G$1,[1]stages!$2:$2,0)-MATCH("temp_stage",[1]stages!$2:$2,0)+1),MATCH(G$1,[1]stages!$2:$2,0)-MATCH("temp_stage",[1]stages!$2:$2,0)+1,FALSE)</f>
        <v>0</v>
      </c>
      <c r="H444" s="18">
        <v>0</v>
      </c>
      <c r="I444">
        <v>21</v>
      </c>
      <c r="J444" s="5" t="s">
        <v>16</v>
      </c>
      <c r="K444" s="34" t="str">
        <f>VLOOKUP(I444,[2]stage_hints!$A:$C,3,FALSE)</f>
        <v>スキルを有効に</v>
      </c>
      <c r="L444" s="35" t="str">
        <f>VLOOKUP(I444,[2]stage_hints!$A:$D,4,FALSE)</f>
        <v>ターン経過でユニットのスキルが使えます_x000D_強力スキルでバトルを有利に進めましょう</v>
      </c>
      <c r="M444" s="21" t="s">
        <v>23</v>
      </c>
      <c r="N444">
        <v>21</v>
      </c>
    </row>
    <row r="445" spans="1:14" x14ac:dyDescent="0.15">
      <c r="A445" s="26" t="s">
        <v>32</v>
      </c>
      <c r="B445" s="4">
        <v>11207</v>
      </c>
      <c r="C445" s="3" t="str">
        <f ca="1">VLOOKUP($B445,OFFSET([1]quests!$A$1,0,0,COUNTA([1]quests!$A:$A),MATCH(C$1,[1]quests!$1:$1,0)-MATCH($B$1,[1]quests!$1:$1,0)+1),MATCH(C$1,[1]quests!$1:$1,0)-MATCH($B$1,[1]quests!$1:$1,0)+1,FALSE)</f>
        <v>果実達の大宴会</v>
      </c>
      <c r="D445" s="3">
        <f ca="1">VLOOKUP($B445,OFFSET([1]quests!$A$1,0,0,COUNTA([1]quests!$A:$A),MATCH(D$1,[1]quests!$1:$1,0)-MATCH($B$1,[1]quests!$1:$1,0)+1),MATCH(D$1,[1]quests!$1:$1,0)-MATCH($B$1,[1]quests!$1:$1,0)+1,FALSE)</f>
        <v>0</v>
      </c>
      <c r="E445" s="5">
        <v>2</v>
      </c>
      <c r="F445" s="3" t="str">
        <f ca="1">VLOOKUP($B445&amp;"_"&amp;$E445,OFFSET([1]stages!$A$1,0,0,COUNTA([1]stages!$A:$A),MATCH(F$1,[1]stages!$2:$2,0)-MATCH("temp_stage",[1]stages!$2:$2,0)+1),MATCH(F$1,[1]stages!$2:$2,0)-MATCH("temp_stage",[1]stages!$2:$2,0)+1,FALSE)</f>
        <v>【超級】果実達の大宴会</v>
      </c>
      <c r="G445" s="3">
        <f ca="1">VLOOKUP($B445&amp;"_"&amp;$E445,OFFSET([1]stages!$A$1,0,0,COUNTA([1]stages!$A:$A),MATCH(G$1,[1]stages!$2:$2,0)-MATCH("temp_stage",[1]stages!$2:$2,0)+1),MATCH(G$1,[1]stages!$2:$2,0)-MATCH("temp_stage",[1]stages!$2:$2,0)+1,FALSE)</f>
        <v>0</v>
      </c>
      <c r="H445" s="18">
        <v>0</v>
      </c>
      <c r="I445">
        <v>27</v>
      </c>
      <c r="J445" s="5" t="s">
        <v>16</v>
      </c>
      <c r="K445" s="34" t="str">
        <f>VLOOKUP(I445,[2]stage_hints!$A:$C,3,FALSE)</f>
        <v>ホーム画面からデッキを編成</v>
      </c>
      <c r="L445" s="35" t="str">
        <f>VLOOKUP(I445,[2]stage_hints!$A:$D,4,FALSE)</f>
        <v>ホーム画面でユニットを長押しすると_x000D_すぐにパーティ編成に移動できます</v>
      </c>
      <c r="M445" s="21" t="s">
        <v>23</v>
      </c>
      <c r="N445">
        <v>27</v>
      </c>
    </row>
    <row r="446" spans="1:14" x14ac:dyDescent="0.15">
      <c r="A446" s="26" t="s">
        <v>32</v>
      </c>
      <c r="B446" s="4">
        <v>11207</v>
      </c>
      <c r="C446" s="3" t="str">
        <f ca="1">VLOOKUP($B446,OFFSET([1]quests!$A$1,0,0,COUNTA([1]quests!$A:$A),MATCH(C$1,[1]quests!$1:$1,0)-MATCH($B$1,[1]quests!$1:$1,0)+1),MATCH(C$1,[1]quests!$1:$1,0)-MATCH($B$1,[1]quests!$1:$1,0)+1,FALSE)</f>
        <v>果実達の大宴会</v>
      </c>
      <c r="D446" s="3">
        <f ca="1">VLOOKUP($B446,OFFSET([1]quests!$A$1,0,0,COUNTA([1]quests!$A:$A),MATCH(D$1,[1]quests!$1:$1,0)-MATCH($B$1,[1]quests!$1:$1,0)+1),MATCH(D$1,[1]quests!$1:$1,0)-MATCH($B$1,[1]quests!$1:$1,0)+1,FALSE)</f>
        <v>0</v>
      </c>
      <c r="E446" s="5">
        <v>2</v>
      </c>
      <c r="F446" s="3" t="str">
        <f ca="1">VLOOKUP($B446&amp;"_"&amp;$E446,OFFSET([1]stages!$A$1,0,0,COUNTA([1]stages!$A:$A),MATCH(F$1,[1]stages!$2:$2,0)-MATCH("temp_stage",[1]stages!$2:$2,0)+1),MATCH(F$1,[1]stages!$2:$2,0)-MATCH("temp_stage",[1]stages!$2:$2,0)+1,FALSE)</f>
        <v>【超級】果実達の大宴会</v>
      </c>
      <c r="G446" s="3">
        <f ca="1">VLOOKUP($B446&amp;"_"&amp;$E446,OFFSET([1]stages!$A$1,0,0,COUNTA([1]stages!$A:$A),MATCH(G$1,[1]stages!$2:$2,0)-MATCH("temp_stage",[1]stages!$2:$2,0)+1),MATCH(G$1,[1]stages!$2:$2,0)-MATCH("temp_stage",[1]stages!$2:$2,0)+1,FALSE)</f>
        <v>0</v>
      </c>
      <c r="H446" s="18">
        <v>0</v>
      </c>
      <c r="I446">
        <v>28</v>
      </c>
      <c r="J446" s="5" t="s">
        <v>16</v>
      </c>
      <c r="K446" s="34" t="str">
        <f>VLOOKUP(I446,[2]stage_hints!$A:$C,3,FALSE)</f>
        <v>ステータス情報は長押しで</v>
      </c>
      <c r="L446" s="35" t="str">
        <f>VLOOKUP(I446,[2]stage_hints!$A:$D,4,FALSE)</f>
        <v>ユニットのアイコンを長押しすると_x000D_ステータス情報を確認することができます</v>
      </c>
      <c r="M446" s="21" t="s">
        <v>23</v>
      </c>
      <c r="N446">
        <v>28</v>
      </c>
    </row>
    <row r="447" spans="1:14" x14ac:dyDescent="0.15">
      <c r="A447" s="26" t="s">
        <v>32</v>
      </c>
      <c r="B447" s="4">
        <v>11207</v>
      </c>
      <c r="C447" s="3" t="str">
        <f ca="1">VLOOKUP($B447,OFFSET([1]quests!$A$1,0,0,COUNTA([1]quests!$A:$A),MATCH(C$1,[1]quests!$1:$1,0)-MATCH($B$1,[1]quests!$1:$1,0)+1),MATCH(C$1,[1]quests!$1:$1,0)-MATCH($B$1,[1]quests!$1:$1,0)+1,FALSE)</f>
        <v>果実達の大宴会</v>
      </c>
      <c r="D447" s="3">
        <f ca="1">VLOOKUP($B447,OFFSET([1]quests!$A$1,0,0,COUNTA([1]quests!$A:$A),MATCH(D$1,[1]quests!$1:$1,0)-MATCH($B$1,[1]quests!$1:$1,0)+1),MATCH(D$1,[1]quests!$1:$1,0)-MATCH($B$1,[1]quests!$1:$1,0)+1,FALSE)</f>
        <v>0</v>
      </c>
      <c r="E447" s="5">
        <v>2</v>
      </c>
      <c r="F447" s="3" t="str">
        <f ca="1">VLOOKUP($B447&amp;"_"&amp;$E447,OFFSET([1]stages!$A$1,0,0,COUNTA([1]stages!$A:$A),MATCH(F$1,[1]stages!$2:$2,0)-MATCH("temp_stage",[1]stages!$2:$2,0)+1),MATCH(F$1,[1]stages!$2:$2,0)-MATCH("temp_stage",[1]stages!$2:$2,0)+1,FALSE)</f>
        <v>【超級】果実達の大宴会</v>
      </c>
      <c r="G447" s="3">
        <f ca="1">VLOOKUP($B447&amp;"_"&amp;$E447,OFFSET([1]stages!$A$1,0,0,COUNTA([1]stages!$A:$A),MATCH(G$1,[1]stages!$2:$2,0)-MATCH("temp_stage",[1]stages!$2:$2,0)+1),MATCH(G$1,[1]stages!$2:$2,0)-MATCH("temp_stage",[1]stages!$2:$2,0)+1,FALSE)</f>
        <v>0</v>
      </c>
      <c r="H447" s="18">
        <v>0</v>
      </c>
      <c r="I447">
        <v>29</v>
      </c>
      <c r="J447" s="5" t="s">
        <v>16</v>
      </c>
      <c r="K447" s="34" t="str">
        <f>VLOOKUP(I447,[2]stage_hints!$A:$C,3,FALSE)</f>
        <v>「バグ」のメリット</v>
      </c>
      <c r="L447" s="35" t="str">
        <f>VLOOKUP(I447,[2]stage_hints!$A:$D,4,FALSE)</f>
        <v>ユニットの「バグ」を増やすと_x000D_報酬をもらえる確率がアップします</v>
      </c>
      <c r="M447" s="21" t="s">
        <v>23</v>
      </c>
      <c r="N447">
        <v>29</v>
      </c>
    </row>
    <row r="448" spans="1:14" x14ac:dyDescent="0.15">
      <c r="A448" s="26" t="s">
        <v>32</v>
      </c>
      <c r="B448" s="4">
        <v>11207</v>
      </c>
      <c r="C448" s="3" t="str">
        <f ca="1">VLOOKUP($B448,OFFSET([1]quests!$A$1,0,0,COUNTA([1]quests!$A:$A),MATCH(C$1,[1]quests!$1:$1,0)-MATCH($B$1,[1]quests!$1:$1,0)+1),MATCH(C$1,[1]quests!$1:$1,0)-MATCH($B$1,[1]quests!$1:$1,0)+1,FALSE)</f>
        <v>果実達の大宴会</v>
      </c>
      <c r="D448" s="3">
        <f ca="1">VLOOKUP($B448,OFFSET([1]quests!$A$1,0,0,COUNTA([1]quests!$A:$A),MATCH(D$1,[1]quests!$1:$1,0)-MATCH($B$1,[1]quests!$1:$1,0)+1),MATCH(D$1,[1]quests!$1:$1,0)-MATCH($B$1,[1]quests!$1:$1,0)+1,FALSE)</f>
        <v>0</v>
      </c>
      <c r="E448" s="5">
        <v>2</v>
      </c>
      <c r="F448" s="3" t="str">
        <f ca="1">VLOOKUP($B448&amp;"_"&amp;$E448,OFFSET([1]stages!$A$1,0,0,COUNTA([1]stages!$A:$A),MATCH(F$1,[1]stages!$2:$2,0)-MATCH("temp_stage",[1]stages!$2:$2,0)+1),MATCH(F$1,[1]stages!$2:$2,0)-MATCH("temp_stage",[1]stages!$2:$2,0)+1,FALSE)</f>
        <v>【超級】果実達の大宴会</v>
      </c>
      <c r="G448" s="3">
        <f ca="1">VLOOKUP($B448&amp;"_"&amp;$E448,OFFSET([1]stages!$A$1,0,0,COUNTA([1]stages!$A:$A),MATCH(G$1,[1]stages!$2:$2,0)-MATCH("temp_stage",[1]stages!$2:$2,0)+1),MATCH(G$1,[1]stages!$2:$2,0)-MATCH("temp_stage",[1]stages!$2:$2,0)+1,FALSE)</f>
        <v>0</v>
      </c>
      <c r="H448" s="18">
        <v>0</v>
      </c>
      <c r="I448">
        <v>30</v>
      </c>
      <c r="J448" s="5" t="s">
        <v>16</v>
      </c>
      <c r="K448" s="34" t="str">
        <f>VLOOKUP(I448,[2]stage_hints!$A:$C,3,FALSE)</f>
        <v>「バグ」の増やし方</v>
      </c>
      <c r="L448" s="35" t="str">
        <f>VLOOKUP(I448,[2]stage_hints!$A:$D,4,FALSE)</f>
        <v>同じユニット同士を強化で合成すると_x000D_「バグ」を増やすことができます</v>
      </c>
      <c r="M448" s="21" t="s">
        <v>23</v>
      </c>
      <c r="N448">
        <v>30</v>
      </c>
    </row>
    <row r="449" spans="1:14" x14ac:dyDescent="0.15">
      <c r="A449" s="26" t="s">
        <v>32</v>
      </c>
      <c r="B449" s="4">
        <v>11207</v>
      </c>
      <c r="C449" s="3" t="str">
        <f ca="1">VLOOKUP($B449,OFFSET([1]quests!$A$1,0,0,COUNTA([1]quests!$A:$A),MATCH(C$1,[1]quests!$1:$1,0)-MATCH($B$1,[1]quests!$1:$1,0)+1),MATCH(C$1,[1]quests!$1:$1,0)-MATCH($B$1,[1]quests!$1:$1,0)+1,FALSE)</f>
        <v>果実達の大宴会</v>
      </c>
      <c r="D449" s="3">
        <f ca="1">VLOOKUP($B449,OFFSET([1]quests!$A$1,0,0,COUNTA([1]quests!$A:$A),MATCH(D$1,[1]quests!$1:$1,0)-MATCH($B$1,[1]quests!$1:$1,0)+1),MATCH(D$1,[1]quests!$1:$1,0)-MATCH($B$1,[1]quests!$1:$1,0)+1,FALSE)</f>
        <v>0</v>
      </c>
      <c r="E449" s="5">
        <v>2</v>
      </c>
      <c r="F449" s="3" t="str">
        <f ca="1">VLOOKUP($B449&amp;"_"&amp;$E449,OFFSET([1]stages!$A$1,0,0,COUNTA([1]stages!$A:$A),MATCH(F$1,[1]stages!$2:$2,0)-MATCH("temp_stage",[1]stages!$2:$2,0)+1),MATCH(F$1,[1]stages!$2:$2,0)-MATCH("temp_stage",[1]stages!$2:$2,0)+1,FALSE)</f>
        <v>【超級】果実達の大宴会</v>
      </c>
      <c r="G449" s="3">
        <f ca="1">VLOOKUP($B449&amp;"_"&amp;$E449,OFFSET([1]stages!$A$1,0,0,COUNTA([1]stages!$A:$A),MATCH(G$1,[1]stages!$2:$2,0)-MATCH("temp_stage",[1]stages!$2:$2,0)+1),MATCH(G$1,[1]stages!$2:$2,0)-MATCH("temp_stage",[1]stages!$2:$2,0)+1,FALSE)</f>
        <v>0</v>
      </c>
      <c r="H449" s="18">
        <v>0</v>
      </c>
      <c r="I449">
        <v>32</v>
      </c>
      <c r="J449" s="5" t="s">
        <v>16</v>
      </c>
      <c r="K449" s="34" t="str">
        <f>VLOOKUP(I449,[2]stage_hints!$A:$C,3,FALSE)</f>
        <v>敵の連続攻撃には</v>
      </c>
      <c r="L449" s="35" t="str">
        <f>VLOOKUP(I449,[2]stage_hints!$A:$D,4,FALSE)</f>
        <v>カウンタースキルを持つユニットがいれば_x000D_ダメージ回数分の反撃ができます</v>
      </c>
      <c r="M449" s="21" t="s">
        <v>23</v>
      </c>
      <c r="N449">
        <v>32</v>
      </c>
    </row>
    <row r="450" spans="1:14" x14ac:dyDescent="0.15">
      <c r="A450" s="26" t="s">
        <v>32</v>
      </c>
      <c r="B450" s="4">
        <v>11207</v>
      </c>
      <c r="C450" s="3" t="str">
        <f ca="1">VLOOKUP($B450,OFFSET([1]quests!$A$1,0,0,COUNTA([1]quests!$A:$A),MATCH(C$1,[1]quests!$1:$1,0)-MATCH($B$1,[1]quests!$1:$1,0)+1),MATCH(C$1,[1]quests!$1:$1,0)-MATCH($B$1,[1]quests!$1:$1,0)+1,FALSE)</f>
        <v>果実達の大宴会</v>
      </c>
      <c r="D450" s="3">
        <f ca="1">VLOOKUP($B450,OFFSET([1]quests!$A$1,0,0,COUNTA([1]quests!$A:$A),MATCH(D$1,[1]quests!$1:$1,0)-MATCH($B$1,[1]quests!$1:$1,0)+1),MATCH(D$1,[1]quests!$1:$1,0)-MATCH($B$1,[1]quests!$1:$1,0)+1,FALSE)</f>
        <v>0</v>
      </c>
      <c r="E450" s="5">
        <v>2</v>
      </c>
      <c r="F450" s="3" t="str">
        <f ca="1">VLOOKUP($B450&amp;"_"&amp;$E450,OFFSET([1]stages!$A$1,0,0,COUNTA([1]stages!$A:$A),MATCH(F$1,[1]stages!$2:$2,0)-MATCH("temp_stage",[1]stages!$2:$2,0)+1),MATCH(F$1,[1]stages!$2:$2,0)-MATCH("temp_stage",[1]stages!$2:$2,0)+1,FALSE)</f>
        <v>【超級】果実達の大宴会</v>
      </c>
      <c r="G450" s="3">
        <f ca="1">VLOOKUP($B450&amp;"_"&amp;$E450,OFFSET([1]stages!$A$1,0,0,COUNTA([1]stages!$A:$A),MATCH(G$1,[1]stages!$2:$2,0)-MATCH("temp_stage",[1]stages!$2:$2,0)+1),MATCH(G$1,[1]stages!$2:$2,0)-MATCH("temp_stage",[1]stages!$2:$2,0)+1,FALSE)</f>
        <v>0</v>
      </c>
      <c r="H450" s="18">
        <v>0</v>
      </c>
      <c r="I450">
        <v>33</v>
      </c>
      <c r="J450" s="5" t="s">
        <v>16</v>
      </c>
      <c r="K450" s="34" t="str">
        <f>VLOOKUP(I450,[2]stage_hints!$A:$C,3,FALSE)</f>
        <v>敵のカウンター攻撃には</v>
      </c>
      <c r="L450" s="35" t="str">
        <f>VLOOKUP(I450,[2]stage_hints!$A:$D,4,FALSE)</f>
        <v>カウンターブレイクスキルを持っていれば_x000D_敵のカウンターを解除して攻撃ができます</v>
      </c>
      <c r="M450" s="21" t="s">
        <v>23</v>
      </c>
      <c r="N450">
        <v>33</v>
      </c>
    </row>
    <row r="451" spans="1:14" x14ac:dyDescent="0.15">
      <c r="A451" s="26" t="s">
        <v>32</v>
      </c>
      <c r="B451" s="4">
        <v>11207</v>
      </c>
      <c r="C451" s="3" t="str">
        <f ca="1">VLOOKUP($B451,OFFSET([1]quests!$A$1,0,0,COUNTA([1]quests!$A:$A),MATCH(C$1,[1]quests!$1:$1,0)-MATCH($B$1,[1]quests!$1:$1,0)+1),MATCH(C$1,[1]quests!$1:$1,0)-MATCH($B$1,[1]quests!$1:$1,0)+1,FALSE)</f>
        <v>果実達の大宴会</v>
      </c>
      <c r="D451" s="3">
        <f ca="1">VLOOKUP($B451,OFFSET([1]quests!$A$1,0,0,COUNTA([1]quests!$A:$A),MATCH(D$1,[1]quests!$1:$1,0)-MATCH($B$1,[1]quests!$1:$1,0)+1),MATCH(D$1,[1]quests!$1:$1,0)-MATCH($B$1,[1]quests!$1:$1,0)+1,FALSE)</f>
        <v>0</v>
      </c>
      <c r="E451" s="5">
        <v>2</v>
      </c>
      <c r="F451" s="3" t="str">
        <f ca="1">VLOOKUP($B451&amp;"_"&amp;$E451,OFFSET([1]stages!$A$1,0,0,COUNTA([1]stages!$A:$A),MATCH(F$1,[1]stages!$2:$2,0)-MATCH("temp_stage",[1]stages!$2:$2,0)+1),MATCH(F$1,[1]stages!$2:$2,0)-MATCH("temp_stage",[1]stages!$2:$2,0)+1,FALSE)</f>
        <v>【超級】果実達の大宴会</v>
      </c>
      <c r="G451" s="3">
        <f ca="1">VLOOKUP($B451&amp;"_"&amp;$E451,OFFSET([1]stages!$A$1,0,0,COUNTA([1]stages!$A:$A),MATCH(G$1,[1]stages!$2:$2,0)-MATCH("temp_stage",[1]stages!$2:$2,0)+1),MATCH(G$1,[1]stages!$2:$2,0)-MATCH("temp_stage",[1]stages!$2:$2,0)+1,FALSE)</f>
        <v>0</v>
      </c>
      <c r="H451" s="18">
        <v>0</v>
      </c>
      <c r="I451">
        <v>34</v>
      </c>
      <c r="J451" s="5" t="s">
        <v>16</v>
      </c>
      <c r="K451" s="34" t="str">
        <f>VLOOKUP(I451,[2]stage_hints!$A:$C,3,FALSE)</f>
        <v>ステータスをスキルで下げられたら</v>
      </c>
      <c r="L451" s="35" t="str">
        <f>VLOOKUP(I451,[2]stage_hints!$A:$D,4,FALSE)</f>
        <v>ステータスダウンのスキルを受けたら_x000D_ステータスアップスキルで上書きしましょう</v>
      </c>
      <c r="M451" s="21" t="s">
        <v>23</v>
      </c>
      <c r="N451">
        <v>34</v>
      </c>
    </row>
    <row r="452" spans="1:14" x14ac:dyDescent="0.15">
      <c r="A452" s="26" t="s">
        <v>32</v>
      </c>
      <c r="B452" s="4">
        <v>11207</v>
      </c>
      <c r="C452" s="3" t="str">
        <f ca="1">VLOOKUP($B452,OFFSET([1]quests!$A$1,0,0,COUNTA([1]quests!$A:$A),MATCH(C$1,[1]quests!$1:$1,0)-MATCH($B$1,[1]quests!$1:$1,0)+1),MATCH(C$1,[1]quests!$1:$1,0)-MATCH($B$1,[1]quests!$1:$1,0)+1,FALSE)</f>
        <v>果実達の大宴会</v>
      </c>
      <c r="D452" s="3">
        <f ca="1">VLOOKUP($B452,OFFSET([1]quests!$A$1,0,0,COUNTA([1]quests!$A:$A),MATCH(D$1,[1]quests!$1:$1,0)-MATCH($B$1,[1]quests!$1:$1,0)+1),MATCH(D$1,[1]quests!$1:$1,0)-MATCH($B$1,[1]quests!$1:$1,0)+1,FALSE)</f>
        <v>0</v>
      </c>
      <c r="E452" s="5">
        <v>2</v>
      </c>
      <c r="F452" s="3" t="str">
        <f ca="1">VLOOKUP($B452&amp;"_"&amp;$E452,OFFSET([1]stages!$A$1,0,0,COUNTA([1]stages!$A:$A),MATCH(F$1,[1]stages!$2:$2,0)-MATCH("temp_stage",[1]stages!$2:$2,0)+1),MATCH(F$1,[1]stages!$2:$2,0)-MATCH("temp_stage",[1]stages!$2:$2,0)+1,FALSE)</f>
        <v>【超級】果実達の大宴会</v>
      </c>
      <c r="G452" s="3">
        <f ca="1">VLOOKUP($B452&amp;"_"&amp;$E452,OFFSET([1]stages!$A$1,0,0,COUNTA([1]stages!$A:$A),MATCH(G$1,[1]stages!$2:$2,0)-MATCH("temp_stage",[1]stages!$2:$2,0)+1),MATCH(G$1,[1]stages!$2:$2,0)-MATCH("temp_stage",[1]stages!$2:$2,0)+1,FALSE)</f>
        <v>0</v>
      </c>
      <c r="H452" s="18">
        <v>0</v>
      </c>
      <c r="I452">
        <v>35</v>
      </c>
      <c r="J452" s="5" t="s">
        <v>16</v>
      </c>
      <c r="K452" s="34" t="str">
        <f>VLOOKUP(I452,[2]stage_hints!$A:$C,3,FALSE)</f>
        <v>敵のステータスがスキルで上がったら</v>
      </c>
      <c r="L452" s="35" t="str">
        <f>VLOOKUP(I452,[2]stage_hints!$A:$D,4,FALSE)</f>
        <v>敵のステータスがスキルでアップしたときは_x000D_ステータスダウンスキルで上書きしましょう</v>
      </c>
      <c r="M452" s="21" t="s">
        <v>23</v>
      </c>
      <c r="N452">
        <v>35</v>
      </c>
    </row>
    <row r="453" spans="1:14" x14ac:dyDescent="0.15">
      <c r="A453" s="26" t="s">
        <v>32</v>
      </c>
      <c r="B453" s="4">
        <v>11207</v>
      </c>
      <c r="C453" s="3" t="str">
        <f ca="1">VLOOKUP($B453,OFFSET([1]quests!$A$1,0,0,COUNTA([1]quests!$A:$A),MATCH(C$1,[1]quests!$1:$1,0)-MATCH($B$1,[1]quests!$1:$1,0)+1),MATCH(C$1,[1]quests!$1:$1,0)-MATCH($B$1,[1]quests!$1:$1,0)+1,FALSE)</f>
        <v>果実達の大宴会</v>
      </c>
      <c r="D453" s="3">
        <f ca="1">VLOOKUP($B453,OFFSET([1]quests!$A$1,0,0,COUNTA([1]quests!$A:$A),MATCH(D$1,[1]quests!$1:$1,0)-MATCH($B$1,[1]quests!$1:$1,0)+1),MATCH(D$1,[1]quests!$1:$1,0)-MATCH($B$1,[1]quests!$1:$1,0)+1,FALSE)</f>
        <v>0</v>
      </c>
      <c r="E453" s="5">
        <v>2</v>
      </c>
      <c r="F453" s="3" t="str">
        <f ca="1">VLOOKUP($B453&amp;"_"&amp;$E453,OFFSET([1]stages!$A$1,0,0,COUNTA([1]stages!$A:$A),MATCH(F$1,[1]stages!$2:$2,0)-MATCH("temp_stage",[1]stages!$2:$2,0)+1),MATCH(F$1,[1]stages!$2:$2,0)-MATCH("temp_stage",[1]stages!$2:$2,0)+1,FALSE)</f>
        <v>【超級】果実達の大宴会</v>
      </c>
      <c r="G453" s="3">
        <f ca="1">VLOOKUP($B453&amp;"_"&amp;$E453,OFFSET([1]stages!$A$1,0,0,COUNTA([1]stages!$A:$A),MATCH(G$1,[1]stages!$2:$2,0)-MATCH("temp_stage",[1]stages!$2:$2,0)+1),MATCH(G$1,[1]stages!$2:$2,0)-MATCH("temp_stage",[1]stages!$2:$2,0)+1,FALSE)</f>
        <v>0</v>
      </c>
      <c r="H453" s="18">
        <v>0</v>
      </c>
      <c r="I453">
        <v>36</v>
      </c>
      <c r="J453" s="5" t="s">
        <v>16</v>
      </c>
      <c r="K453" s="34" t="str">
        <f>VLOOKUP(I453,[2]stage_hints!$A:$C,3,FALSE)</f>
        <v>タワーオブザクイーンのボス</v>
      </c>
      <c r="L453" s="35" t="str">
        <f>VLOOKUP(I453,[2]stage_hints!$A:$D,4,FALSE)</f>
        <v>「タワーオブザクイーン」最上階のボスは_x000D_15階の初回クリア報酬で獲得できるほか_x000D_その階にて低確率でドロップもします</v>
      </c>
      <c r="M453" s="21" t="s">
        <v>23</v>
      </c>
      <c r="N453">
        <v>36</v>
      </c>
    </row>
    <row r="454" spans="1:14" x14ac:dyDescent="0.15">
      <c r="A454" s="26" t="s">
        <v>32</v>
      </c>
      <c r="B454" s="4">
        <v>11207</v>
      </c>
      <c r="C454" s="3" t="str">
        <f ca="1">VLOOKUP($B454,OFFSET([1]quests!$A$1,0,0,COUNTA([1]quests!$A:$A),MATCH(C$1,[1]quests!$1:$1,0)-MATCH($B$1,[1]quests!$1:$1,0)+1),MATCH(C$1,[1]quests!$1:$1,0)-MATCH($B$1,[1]quests!$1:$1,0)+1,FALSE)</f>
        <v>果実達の大宴会</v>
      </c>
      <c r="D454" s="3">
        <f ca="1">VLOOKUP($B454,OFFSET([1]quests!$A$1,0,0,COUNTA([1]quests!$A:$A),MATCH(D$1,[1]quests!$1:$1,0)-MATCH($B$1,[1]quests!$1:$1,0)+1),MATCH(D$1,[1]quests!$1:$1,0)-MATCH($B$1,[1]quests!$1:$1,0)+1,FALSE)</f>
        <v>0</v>
      </c>
      <c r="E454" s="5">
        <v>2</v>
      </c>
      <c r="F454" s="3" t="str">
        <f ca="1">VLOOKUP($B454&amp;"_"&amp;$E454,OFFSET([1]stages!$A$1,0,0,COUNTA([1]stages!$A:$A),MATCH(F$1,[1]stages!$2:$2,0)-MATCH("temp_stage",[1]stages!$2:$2,0)+1),MATCH(F$1,[1]stages!$2:$2,0)-MATCH("temp_stage",[1]stages!$2:$2,0)+1,FALSE)</f>
        <v>【超級】果実達の大宴会</v>
      </c>
      <c r="G454" s="3">
        <f ca="1">VLOOKUP($B454&amp;"_"&amp;$E454,OFFSET([1]stages!$A$1,0,0,COUNTA([1]stages!$A:$A),MATCH(G$1,[1]stages!$2:$2,0)-MATCH("temp_stage",[1]stages!$2:$2,0)+1),MATCH(G$1,[1]stages!$2:$2,0)-MATCH("temp_stage",[1]stages!$2:$2,0)+1,FALSE)</f>
        <v>0</v>
      </c>
      <c r="H454" s="18">
        <v>0</v>
      </c>
      <c r="I454">
        <v>37</v>
      </c>
      <c r="J454" s="5" t="s">
        <v>16</v>
      </c>
      <c r="K454" s="34" t="str">
        <f>VLOOKUP(I454,[2]stage_hints!$A:$C,3,FALSE)</f>
        <v>限界突破値の引き継ぎ</v>
      </c>
      <c r="L454" s="35" t="str">
        <f>VLOOKUP(I454,[2]stage_hints!$A:$D,4,FALSE)</f>
        <v>同じユニットを強化で合成すると_x000D_限界突破値を引き継げます（覚醒前後も可）</v>
      </c>
      <c r="M454" s="21" t="s">
        <v>23</v>
      </c>
      <c r="N454">
        <v>37</v>
      </c>
    </row>
    <row r="455" spans="1:14" x14ac:dyDescent="0.15">
      <c r="A455" s="26" t="s">
        <v>32</v>
      </c>
      <c r="B455" s="4">
        <v>12003</v>
      </c>
      <c r="C455" s="3" t="str">
        <f ca="1">VLOOKUP($B455,OFFSET([1]quests!$A$1,0,0,COUNTA([1]quests!$A:$A),MATCH(C$1,[1]quests!$1:$1,0)-MATCH($B$1,[1]quests!$1:$1,0)+1),MATCH(C$1,[1]quests!$1:$1,0)-MATCH($B$1,[1]quests!$1:$1,0)+1,FALSE)</f>
        <v>【超緊急！！】メタルジェントルを追え</v>
      </c>
      <c r="D455" s="3" t="str">
        <f ca="1">VLOOKUP($B455,OFFSET([1]quests!$A$1,0,0,COUNTA([1]quests!$A:$A),MATCH(D$1,[1]quests!$1:$1,0)-MATCH($B$1,[1]quests!$1:$1,0)+1),MATCH(D$1,[1]quests!$1:$1,0)-MATCH($B$1,[1]quests!$1:$1,0)+1,FALSE)</f>
        <v>ゲリラ【超級】</v>
      </c>
      <c r="E455" s="5">
        <v>1</v>
      </c>
      <c r="F455" s="3" t="str">
        <f ca="1">VLOOKUP($B455&amp;"_"&amp;$E455,OFFSET([1]stages!$A$1,0,0,COUNTA([1]stages!$A:$A),MATCH(F$1,[1]stages!$2:$2,0)-MATCH("temp_stage",[1]stages!$2:$2,0)+1),MATCH(F$1,[1]stages!$2:$2,0)-MATCH("temp_stage",[1]stages!$2:$2,0)+1,FALSE)</f>
        <v>【超級】雷のジェントルを追え！</v>
      </c>
      <c r="G455" s="3" t="str">
        <f ca="1">VLOOKUP($B455&amp;"_"&amp;$E455,OFFSET([1]stages!$A$1,0,0,COUNTA([1]stages!$A:$A),MATCH(G$1,[1]stages!$2:$2,0)-MATCH("temp_stage",[1]stages!$2:$2,0)+1),MATCH(G$1,[1]stages!$2:$2,0)-MATCH("temp_stage",[1]stages!$2:$2,0)+1,FALSE)</f>
        <v>ゲリラ【超級】</v>
      </c>
      <c r="H455" s="18">
        <v>0</v>
      </c>
      <c r="I455">
        <v>12</v>
      </c>
      <c r="J455" s="5" t="s">
        <v>16</v>
      </c>
      <c r="K455" s="34" t="str">
        <f>VLOOKUP(I455,[2]stage_hints!$A:$C,3,FALSE)</f>
        <v>ユニットのお気に入り登録</v>
      </c>
      <c r="L455" s="35" t="str">
        <f>VLOOKUP(I455,[2]stage_hints!$A:$D,4,FALSE)</f>
        <v>大事なユニットを誤って消さないように_x000D_フォルダから「お気に入り登録」しましょう</v>
      </c>
      <c r="M455" s="21" t="s">
        <v>23</v>
      </c>
      <c r="N455">
        <v>12</v>
      </c>
    </row>
    <row r="456" spans="1:14" x14ac:dyDescent="0.15">
      <c r="A456" s="26" t="s">
        <v>32</v>
      </c>
      <c r="B456" s="4">
        <v>12003</v>
      </c>
      <c r="C456" s="3" t="str">
        <f ca="1">VLOOKUP($B456,OFFSET([1]quests!$A$1,0,0,COUNTA([1]quests!$A:$A),MATCH(C$1,[1]quests!$1:$1,0)-MATCH($B$1,[1]quests!$1:$1,0)+1),MATCH(C$1,[1]quests!$1:$1,0)-MATCH($B$1,[1]quests!$1:$1,0)+1,FALSE)</f>
        <v>【超緊急！！】メタルジェントルを追え</v>
      </c>
      <c r="D456" s="3" t="str">
        <f ca="1">VLOOKUP($B456,OFFSET([1]quests!$A$1,0,0,COUNTA([1]quests!$A:$A),MATCH(D$1,[1]quests!$1:$1,0)-MATCH($B$1,[1]quests!$1:$1,0)+1),MATCH(D$1,[1]quests!$1:$1,0)-MATCH($B$1,[1]quests!$1:$1,0)+1,FALSE)</f>
        <v>ゲリラ【超級】</v>
      </c>
      <c r="E456" s="5">
        <v>1</v>
      </c>
      <c r="F456" s="3" t="str">
        <f ca="1">VLOOKUP($B456&amp;"_"&amp;$E456,OFFSET([1]stages!$A$1,0,0,COUNTA([1]stages!$A:$A),MATCH(F$1,[1]stages!$2:$2,0)-MATCH("temp_stage",[1]stages!$2:$2,0)+1),MATCH(F$1,[1]stages!$2:$2,0)-MATCH("temp_stage",[1]stages!$2:$2,0)+1,FALSE)</f>
        <v>【超級】雷のジェントルを追え！</v>
      </c>
      <c r="G456" s="3" t="str">
        <f ca="1">VLOOKUP($B456&amp;"_"&amp;$E456,OFFSET([1]stages!$A$1,0,0,COUNTA([1]stages!$A:$A),MATCH(G$1,[1]stages!$2:$2,0)-MATCH("temp_stage",[1]stages!$2:$2,0)+1),MATCH(G$1,[1]stages!$2:$2,0)-MATCH("temp_stage",[1]stages!$2:$2,0)+1,FALSE)</f>
        <v>ゲリラ【超級】</v>
      </c>
      <c r="H456" s="18">
        <v>0</v>
      </c>
      <c r="I456">
        <v>17</v>
      </c>
      <c r="J456" s="5" t="s">
        <v>16</v>
      </c>
      <c r="K456" s="34" t="str">
        <f>VLOOKUP(I456,[2]stage_hints!$A:$C,3,FALSE)</f>
        <v>リンクガチャ</v>
      </c>
      <c r="L456" s="35" t="str">
        <f>VLOOKUP(I456,[2]stage_hints!$A:$D,4,FALSE)</f>
        <v>無料のリンクガチャを回して_x000D_経験値素材や売却素材を獲得しましょう</v>
      </c>
      <c r="M456" s="21" t="s">
        <v>23</v>
      </c>
      <c r="N456">
        <v>17</v>
      </c>
    </row>
    <row r="457" spans="1:14" x14ac:dyDescent="0.15">
      <c r="A457" s="26" t="s">
        <v>32</v>
      </c>
      <c r="B457" s="4">
        <v>12003</v>
      </c>
      <c r="C457" s="3" t="str">
        <f ca="1">VLOOKUP($B457,OFFSET([1]quests!$A$1,0,0,COUNTA([1]quests!$A:$A),MATCH(C$1,[1]quests!$1:$1,0)-MATCH($B$1,[1]quests!$1:$1,0)+1),MATCH(C$1,[1]quests!$1:$1,0)-MATCH($B$1,[1]quests!$1:$1,0)+1,FALSE)</f>
        <v>【超緊急！！】メタルジェントルを追え</v>
      </c>
      <c r="D457" s="3" t="str">
        <f ca="1">VLOOKUP($B457,OFFSET([1]quests!$A$1,0,0,COUNTA([1]quests!$A:$A),MATCH(D$1,[1]quests!$1:$1,0)-MATCH($B$1,[1]quests!$1:$1,0)+1),MATCH(D$1,[1]quests!$1:$1,0)-MATCH($B$1,[1]quests!$1:$1,0)+1,FALSE)</f>
        <v>ゲリラ【超級】</v>
      </c>
      <c r="E457" s="5">
        <v>1</v>
      </c>
      <c r="F457" s="3" t="str">
        <f ca="1">VLOOKUP($B457&amp;"_"&amp;$E457,OFFSET([1]stages!$A$1,0,0,COUNTA([1]stages!$A:$A),MATCH(F$1,[1]stages!$2:$2,0)-MATCH("temp_stage",[1]stages!$2:$2,0)+1),MATCH(F$1,[1]stages!$2:$2,0)-MATCH("temp_stage",[1]stages!$2:$2,0)+1,FALSE)</f>
        <v>【超級】雷のジェントルを追え！</v>
      </c>
      <c r="G457" s="3" t="str">
        <f ca="1">VLOOKUP($B457&amp;"_"&amp;$E457,OFFSET([1]stages!$A$1,0,0,COUNTA([1]stages!$A:$A),MATCH(G$1,[1]stages!$2:$2,0)-MATCH("temp_stage",[1]stages!$2:$2,0)+1),MATCH(G$1,[1]stages!$2:$2,0)-MATCH("temp_stage",[1]stages!$2:$2,0)+1,FALSE)</f>
        <v>ゲリラ【超級】</v>
      </c>
      <c r="H457" s="18">
        <v>0</v>
      </c>
      <c r="I457">
        <v>19</v>
      </c>
      <c r="J457" s="5" t="s">
        <v>16</v>
      </c>
      <c r="K457" s="34" t="str">
        <f>VLOOKUP(I457,[2]stage_hints!$A:$C,3,FALSE)</f>
        <v>ソロ専用タワーオブザクイーン</v>
      </c>
      <c r="L457" s="35" t="str">
        <f>VLOOKUP(I457,[2]stage_hints!$A:$D,4,FALSE)</f>
        <v>ソロ専用の「タワーオブザクイーン」は_x000D_期間限定で定期的に開催されます_x000D_ここでしか獲得できない報酬もあるようです</v>
      </c>
      <c r="M457" s="21" t="s">
        <v>23</v>
      </c>
      <c r="N457">
        <v>19</v>
      </c>
    </row>
    <row r="458" spans="1:14" x14ac:dyDescent="0.15">
      <c r="A458" s="26" t="s">
        <v>32</v>
      </c>
      <c r="B458" s="4">
        <v>12003</v>
      </c>
      <c r="C458" s="3" t="str">
        <f ca="1">VLOOKUP($B458,OFFSET([1]quests!$A$1,0,0,COUNTA([1]quests!$A:$A),MATCH(C$1,[1]quests!$1:$1,0)-MATCH($B$1,[1]quests!$1:$1,0)+1),MATCH(C$1,[1]quests!$1:$1,0)-MATCH($B$1,[1]quests!$1:$1,0)+1,FALSE)</f>
        <v>【超緊急！！】メタルジェントルを追え</v>
      </c>
      <c r="D458" s="3" t="str">
        <f ca="1">VLOOKUP($B458,OFFSET([1]quests!$A$1,0,0,COUNTA([1]quests!$A:$A),MATCH(D$1,[1]quests!$1:$1,0)-MATCH($B$1,[1]quests!$1:$1,0)+1),MATCH(D$1,[1]quests!$1:$1,0)-MATCH($B$1,[1]quests!$1:$1,0)+1,FALSE)</f>
        <v>ゲリラ【超級】</v>
      </c>
      <c r="E458" s="5">
        <v>1</v>
      </c>
      <c r="F458" s="3" t="str">
        <f ca="1">VLOOKUP($B458&amp;"_"&amp;$E458,OFFSET([1]stages!$A$1,0,0,COUNTA([1]stages!$A:$A),MATCH(F$1,[1]stages!$2:$2,0)-MATCH("temp_stage",[1]stages!$2:$2,0)+1),MATCH(F$1,[1]stages!$2:$2,0)-MATCH("temp_stage",[1]stages!$2:$2,0)+1,FALSE)</f>
        <v>【超級】雷のジェントルを追え！</v>
      </c>
      <c r="G458" s="3" t="str">
        <f ca="1">VLOOKUP($B458&amp;"_"&amp;$E458,OFFSET([1]stages!$A$1,0,0,COUNTA([1]stages!$A:$A),MATCH(G$1,[1]stages!$2:$2,0)-MATCH("temp_stage",[1]stages!$2:$2,0)+1),MATCH(G$1,[1]stages!$2:$2,0)-MATCH("temp_stage",[1]stages!$2:$2,0)+1,FALSE)</f>
        <v>ゲリラ【超級】</v>
      </c>
      <c r="H458" s="18">
        <v>0</v>
      </c>
      <c r="I458">
        <v>21</v>
      </c>
      <c r="J458" s="5" t="s">
        <v>16</v>
      </c>
      <c r="K458" s="34" t="str">
        <f>VLOOKUP(I458,[2]stage_hints!$A:$C,3,FALSE)</f>
        <v>スキルを有効に</v>
      </c>
      <c r="L458" s="35" t="str">
        <f>VLOOKUP(I458,[2]stage_hints!$A:$D,4,FALSE)</f>
        <v>ターン経過でユニットのスキルが使えます_x000D_強力スキルでバトルを有利に進めましょう</v>
      </c>
      <c r="M458" s="21" t="s">
        <v>23</v>
      </c>
      <c r="N458">
        <v>21</v>
      </c>
    </row>
    <row r="459" spans="1:14" x14ac:dyDescent="0.15">
      <c r="A459" s="26" t="s">
        <v>32</v>
      </c>
      <c r="B459" s="4">
        <v>12003</v>
      </c>
      <c r="C459" s="3" t="str">
        <f ca="1">VLOOKUP($B459,OFFSET([1]quests!$A$1,0,0,COUNTA([1]quests!$A:$A),MATCH(C$1,[1]quests!$1:$1,0)-MATCH($B$1,[1]quests!$1:$1,0)+1),MATCH(C$1,[1]quests!$1:$1,0)-MATCH($B$1,[1]quests!$1:$1,0)+1,FALSE)</f>
        <v>【超緊急！！】メタルジェントルを追え</v>
      </c>
      <c r="D459" s="3" t="str">
        <f ca="1">VLOOKUP($B459,OFFSET([1]quests!$A$1,0,0,COUNTA([1]quests!$A:$A),MATCH(D$1,[1]quests!$1:$1,0)-MATCH($B$1,[1]quests!$1:$1,0)+1),MATCH(D$1,[1]quests!$1:$1,0)-MATCH($B$1,[1]quests!$1:$1,0)+1,FALSE)</f>
        <v>ゲリラ【超級】</v>
      </c>
      <c r="E459" s="5">
        <v>1</v>
      </c>
      <c r="F459" s="3" t="str">
        <f ca="1">VLOOKUP($B459&amp;"_"&amp;$E459,OFFSET([1]stages!$A$1,0,0,COUNTA([1]stages!$A:$A),MATCH(F$1,[1]stages!$2:$2,0)-MATCH("temp_stage",[1]stages!$2:$2,0)+1),MATCH(F$1,[1]stages!$2:$2,0)-MATCH("temp_stage",[1]stages!$2:$2,0)+1,FALSE)</f>
        <v>【超級】雷のジェントルを追え！</v>
      </c>
      <c r="G459" s="3" t="str">
        <f ca="1">VLOOKUP($B459&amp;"_"&amp;$E459,OFFSET([1]stages!$A$1,0,0,COUNTA([1]stages!$A:$A),MATCH(G$1,[1]stages!$2:$2,0)-MATCH("temp_stage",[1]stages!$2:$2,0)+1),MATCH(G$1,[1]stages!$2:$2,0)-MATCH("temp_stage",[1]stages!$2:$2,0)+1,FALSE)</f>
        <v>ゲリラ【超級】</v>
      </c>
      <c r="H459" s="18">
        <v>0</v>
      </c>
      <c r="I459">
        <v>27</v>
      </c>
      <c r="J459" s="5" t="s">
        <v>16</v>
      </c>
      <c r="K459" s="34" t="str">
        <f>VLOOKUP(I459,[2]stage_hints!$A:$C,3,FALSE)</f>
        <v>ホーム画面からデッキを編成</v>
      </c>
      <c r="L459" s="35" t="str">
        <f>VLOOKUP(I459,[2]stage_hints!$A:$D,4,FALSE)</f>
        <v>ホーム画面でユニットを長押しすると_x000D_すぐにパーティ編成に移動できます</v>
      </c>
      <c r="M459" s="21" t="s">
        <v>23</v>
      </c>
      <c r="N459">
        <v>27</v>
      </c>
    </row>
    <row r="460" spans="1:14" x14ac:dyDescent="0.15">
      <c r="A460" s="26" t="s">
        <v>32</v>
      </c>
      <c r="B460" s="4">
        <v>12003</v>
      </c>
      <c r="C460" s="3" t="str">
        <f ca="1">VLOOKUP($B460,OFFSET([1]quests!$A$1,0,0,COUNTA([1]quests!$A:$A),MATCH(C$1,[1]quests!$1:$1,0)-MATCH($B$1,[1]quests!$1:$1,0)+1),MATCH(C$1,[1]quests!$1:$1,0)-MATCH($B$1,[1]quests!$1:$1,0)+1,FALSE)</f>
        <v>【超緊急！！】メタルジェントルを追え</v>
      </c>
      <c r="D460" s="3" t="str">
        <f ca="1">VLOOKUP($B460,OFFSET([1]quests!$A$1,0,0,COUNTA([1]quests!$A:$A),MATCH(D$1,[1]quests!$1:$1,0)-MATCH($B$1,[1]quests!$1:$1,0)+1),MATCH(D$1,[1]quests!$1:$1,0)-MATCH($B$1,[1]quests!$1:$1,0)+1,FALSE)</f>
        <v>ゲリラ【超級】</v>
      </c>
      <c r="E460" s="5">
        <v>1</v>
      </c>
      <c r="F460" s="3" t="str">
        <f ca="1">VLOOKUP($B460&amp;"_"&amp;$E460,OFFSET([1]stages!$A$1,0,0,COUNTA([1]stages!$A:$A),MATCH(F$1,[1]stages!$2:$2,0)-MATCH("temp_stage",[1]stages!$2:$2,0)+1),MATCH(F$1,[1]stages!$2:$2,0)-MATCH("temp_stage",[1]stages!$2:$2,0)+1,FALSE)</f>
        <v>【超級】雷のジェントルを追え！</v>
      </c>
      <c r="G460" s="3" t="str">
        <f ca="1">VLOOKUP($B460&amp;"_"&amp;$E460,OFFSET([1]stages!$A$1,0,0,COUNTA([1]stages!$A:$A),MATCH(G$1,[1]stages!$2:$2,0)-MATCH("temp_stage",[1]stages!$2:$2,0)+1),MATCH(G$1,[1]stages!$2:$2,0)-MATCH("temp_stage",[1]stages!$2:$2,0)+1,FALSE)</f>
        <v>ゲリラ【超級】</v>
      </c>
      <c r="H460" s="18">
        <v>0</v>
      </c>
      <c r="I460">
        <v>28</v>
      </c>
      <c r="J460" s="5" t="s">
        <v>16</v>
      </c>
      <c r="K460" s="34" t="str">
        <f>VLOOKUP(I460,[2]stage_hints!$A:$C,3,FALSE)</f>
        <v>ステータス情報は長押しで</v>
      </c>
      <c r="L460" s="35" t="str">
        <f>VLOOKUP(I460,[2]stage_hints!$A:$D,4,FALSE)</f>
        <v>ユニットのアイコンを長押しすると_x000D_ステータス情報を確認することができます</v>
      </c>
      <c r="M460" s="21" t="s">
        <v>23</v>
      </c>
      <c r="N460">
        <v>28</v>
      </c>
    </row>
    <row r="461" spans="1:14" x14ac:dyDescent="0.15">
      <c r="A461" s="26" t="s">
        <v>32</v>
      </c>
      <c r="B461" s="4">
        <v>12003</v>
      </c>
      <c r="C461" s="3" t="str">
        <f ca="1">VLOOKUP($B461,OFFSET([1]quests!$A$1,0,0,COUNTA([1]quests!$A:$A),MATCH(C$1,[1]quests!$1:$1,0)-MATCH($B$1,[1]quests!$1:$1,0)+1),MATCH(C$1,[1]quests!$1:$1,0)-MATCH($B$1,[1]quests!$1:$1,0)+1,FALSE)</f>
        <v>【超緊急！！】メタルジェントルを追え</v>
      </c>
      <c r="D461" s="3" t="str">
        <f ca="1">VLOOKUP($B461,OFFSET([1]quests!$A$1,0,0,COUNTA([1]quests!$A:$A),MATCH(D$1,[1]quests!$1:$1,0)-MATCH($B$1,[1]quests!$1:$1,0)+1),MATCH(D$1,[1]quests!$1:$1,0)-MATCH($B$1,[1]quests!$1:$1,0)+1,FALSE)</f>
        <v>ゲリラ【超級】</v>
      </c>
      <c r="E461" s="5">
        <v>1</v>
      </c>
      <c r="F461" s="3" t="str">
        <f ca="1">VLOOKUP($B461&amp;"_"&amp;$E461,OFFSET([1]stages!$A$1,0,0,COUNTA([1]stages!$A:$A),MATCH(F$1,[1]stages!$2:$2,0)-MATCH("temp_stage",[1]stages!$2:$2,0)+1),MATCH(F$1,[1]stages!$2:$2,0)-MATCH("temp_stage",[1]stages!$2:$2,0)+1,FALSE)</f>
        <v>【超級】雷のジェントルを追え！</v>
      </c>
      <c r="G461" s="3" t="str">
        <f ca="1">VLOOKUP($B461&amp;"_"&amp;$E461,OFFSET([1]stages!$A$1,0,0,COUNTA([1]stages!$A:$A),MATCH(G$1,[1]stages!$2:$2,0)-MATCH("temp_stage",[1]stages!$2:$2,0)+1),MATCH(G$1,[1]stages!$2:$2,0)-MATCH("temp_stage",[1]stages!$2:$2,0)+1,FALSE)</f>
        <v>ゲリラ【超級】</v>
      </c>
      <c r="H461" s="18">
        <v>0</v>
      </c>
      <c r="I461">
        <v>29</v>
      </c>
      <c r="J461" s="5" t="s">
        <v>16</v>
      </c>
      <c r="K461" s="34" t="str">
        <f>VLOOKUP(I461,[2]stage_hints!$A:$C,3,FALSE)</f>
        <v>「バグ」のメリット</v>
      </c>
      <c r="L461" s="35" t="str">
        <f>VLOOKUP(I461,[2]stage_hints!$A:$D,4,FALSE)</f>
        <v>ユニットの「バグ」を増やすと_x000D_報酬をもらえる確率がアップします</v>
      </c>
      <c r="M461" s="21" t="s">
        <v>23</v>
      </c>
      <c r="N461">
        <v>29</v>
      </c>
    </row>
    <row r="462" spans="1:14" x14ac:dyDescent="0.15">
      <c r="A462" s="26" t="s">
        <v>32</v>
      </c>
      <c r="B462" s="4">
        <v>12003</v>
      </c>
      <c r="C462" s="3" t="str">
        <f ca="1">VLOOKUP($B462,OFFSET([1]quests!$A$1,0,0,COUNTA([1]quests!$A:$A),MATCH(C$1,[1]quests!$1:$1,0)-MATCH($B$1,[1]quests!$1:$1,0)+1),MATCH(C$1,[1]quests!$1:$1,0)-MATCH($B$1,[1]quests!$1:$1,0)+1,FALSE)</f>
        <v>【超緊急！！】メタルジェントルを追え</v>
      </c>
      <c r="D462" s="3" t="str">
        <f ca="1">VLOOKUP($B462,OFFSET([1]quests!$A$1,0,0,COUNTA([1]quests!$A:$A),MATCH(D$1,[1]quests!$1:$1,0)-MATCH($B$1,[1]quests!$1:$1,0)+1),MATCH(D$1,[1]quests!$1:$1,0)-MATCH($B$1,[1]quests!$1:$1,0)+1,FALSE)</f>
        <v>ゲリラ【超級】</v>
      </c>
      <c r="E462" s="5">
        <v>1</v>
      </c>
      <c r="F462" s="3" t="str">
        <f ca="1">VLOOKUP($B462&amp;"_"&amp;$E462,OFFSET([1]stages!$A$1,0,0,COUNTA([1]stages!$A:$A),MATCH(F$1,[1]stages!$2:$2,0)-MATCH("temp_stage",[1]stages!$2:$2,0)+1),MATCH(F$1,[1]stages!$2:$2,0)-MATCH("temp_stage",[1]stages!$2:$2,0)+1,FALSE)</f>
        <v>【超級】雷のジェントルを追え！</v>
      </c>
      <c r="G462" s="3" t="str">
        <f ca="1">VLOOKUP($B462&amp;"_"&amp;$E462,OFFSET([1]stages!$A$1,0,0,COUNTA([1]stages!$A:$A),MATCH(G$1,[1]stages!$2:$2,0)-MATCH("temp_stage",[1]stages!$2:$2,0)+1),MATCH(G$1,[1]stages!$2:$2,0)-MATCH("temp_stage",[1]stages!$2:$2,0)+1,FALSE)</f>
        <v>ゲリラ【超級】</v>
      </c>
      <c r="H462" s="18">
        <v>0</v>
      </c>
      <c r="I462">
        <v>30</v>
      </c>
      <c r="J462" s="5" t="s">
        <v>16</v>
      </c>
      <c r="K462" s="34" t="str">
        <f>VLOOKUP(I462,[2]stage_hints!$A:$C,3,FALSE)</f>
        <v>「バグ」の増やし方</v>
      </c>
      <c r="L462" s="35" t="str">
        <f>VLOOKUP(I462,[2]stage_hints!$A:$D,4,FALSE)</f>
        <v>同じユニット同士を強化で合成すると_x000D_「バグ」を増やすことができます</v>
      </c>
      <c r="M462" s="21" t="s">
        <v>23</v>
      </c>
      <c r="N462">
        <v>30</v>
      </c>
    </row>
    <row r="463" spans="1:14" x14ac:dyDescent="0.15">
      <c r="A463" s="26" t="s">
        <v>32</v>
      </c>
      <c r="B463" s="4">
        <v>12003</v>
      </c>
      <c r="C463" s="3" t="str">
        <f ca="1">VLOOKUP($B463,OFFSET([1]quests!$A$1,0,0,COUNTA([1]quests!$A:$A),MATCH(C$1,[1]quests!$1:$1,0)-MATCH($B$1,[1]quests!$1:$1,0)+1),MATCH(C$1,[1]quests!$1:$1,0)-MATCH($B$1,[1]quests!$1:$1,0)+1,FALSE)</f>
        <v>【超緊急！！】メタルジェントルを追え</v>
      </c>
      <c r="D463" s="3" t="str">
        <f ca="1">VLOOKUP($B463,OFFSET([1]quests!$A$1,0,0,COUNTA([1]quests!$A:$A),MATCH(D$1,[1]quests!$1:$1,0)-MATCH($B$1,[1]quests!$1:$1,0)+1),MATCH(D$1,[1]quests!$1:$1,0)-MATCH($B$1,[1]quests!$1:$1,0)+1,FALSE)</f>
        <v>ゲリラ【超級】</v>
      </c>
      <c r="E463" s="5">
        <v>1</v>
      </c>
      <c r="F463" s="3" t="str">
        <f ca="1">VLOOKUP($B463&amp;"_"&amp;$E463,OFFSET([1]stages!$A$1,0,0,COUNTA([1]stages!$A:$A),MATCH(F$1,[1]stages!$2:$2,0)-MATCH("temp_stage",[1]stages!$2:$2,0)+1),MATCH(F$1,[1]stages!$2:$2,0)-MATCH("temp_stage",[1]stages!$2:$2,0)+1,FALSE)</f>
        <v>【超級】雷のジェントルを追え！</v>
      </c>
      <c r="G463" s="3" t="str">
        <f ca="1">VLOOKUP($B463&amp;"_"&amp;$E463,OFFSET([1]stages!$A$1,0,0,COUNTA([1]stages!$A:$A),MATCH(G$1,[1]stages!$2:$2,0)-MATCH("temp_stage",[1]stages!$2:$2,0)+1),MATCH(G$1,[1]stages!$2:$2,0)-MATCH("temp_stage",[1]stages!$2:$2,0)+1,FALSE)</f>
        <v>ゲリラ【超級】</v>
      </c>
      <c r="H463" s="18">
        <v>0</v>
      </c>
      <c r="I463">
        <v>32</v>
      </c>
      <c r="J463" s="5" t="s">
        <v>16</v>
      </c>
      <c r="K463" s="34" t="str">
        <f>VLOOKUP(I463,[2]stage_hints!$A:$C,3,FALSE)</f>
        <v>敵の連続攻撃には</v>
      </c>
      <c r="L463" s="35" t="str">
        <f>VLOOKUP(I463,[2]stage_hints!$A:$D,4,FALSE)</f>
        <v>カウンタースキルを持つユニットがいれば_x000D_ダメージ回数分の反撃ができます</v>
      </c>
      <c r="M463" s="21" t="s">
        <v>23</v>
      </c>
      <c r="N463">
        <v>32</v>
      </c>
    </row>
    <row r="464" spans="1:14" x14ac:dyDescent="0.15">
      <c r="A464" s="26" t="s">
        <v>32</v>
      </c>
      <c r="B464" s="4">
        <v>12003</v>
      </c>
      <c r="C464" s="3" t="str">
        <f ca="1">VLOOKUP($B464,OFFSET([1]quests!$A$1,0,0,COUNTA([1]quests!$A:$A),MATCH(C$1,[1]quests!$1:$1,0)-MATCH($B$1,[1]quests!$1:$1,0)+1),MATCH(C$1,[1]quests!$1:$1,0)-MATCH($B$1,[1]quests!$1:$1,0)+1,FALSE)</f>
        <v>【超緊急！！】メタルジェントルを追え</v>
      </c>
      <c r="D464" s="3" t="str">
        <f ca="1">VLOOKUP($B464,OFFSET([1]quests!$A$1,0,0,COUNTA([1]quests!$A:$A),MATCH(D$1,[1]quests!$1:$1,0)-MATCH($B$1,[1]quests!$1:$1,0)+1),MATCH(D$1,[1]quests!$1:$1,0)-MATCH($B$1,[1]quests!$1:$1,0)+1,FALSE)</f>
        <v>ゲリラ【超級】</v>
      </c>
      <c r="E464" s="5">
        <v>1</v>
      </c>
      <c r="F464" s="3" t="str">
        <f ca="1">VLOOKUP($B464&amp;"_"&amp;$E464,OFFSET([1]stages!$A$1,0,0,COUNTA([1]stages!$A:$A),MATCH(F$1,[1]stages!$2:$2,0)-MATCH("temp_stage",[1]stages!$2:$2,0)+1),MATCH(F$1,[1]stages!$2:$2,0)-MATCH("temp_stage",[1]stages!$2:$2,0)+1,FALSE)</f>
        <v>【超級】雷のジェントルを追え！</v>
      </c>
      <c r="G464" s="3" t="str">
        <f ca="1">VLOOKUP($B464&amp;"_"&amp;$E464,OFFSET([1]stages!$A$1,0,0,COUNTA([1]stages!$A:$A),MATCH(G$1,[1]stages!$2:$2,0)-MATCH("temp_stage",[1]stages!$2:$2,0)+1),MATCH(G$1,[1]stages!$2:$2,0)-MATCH("temp_stage",[1]stages!$2:$2,0)+1,FALSE)</f>
        <v>ゲリラ【超級】</v>
      </c>
      <c r="H464" s="18">
        <v>0</v>
      </c>
      <c r="I464">
        <v>33</v>
      </c>
      <c r="J464" s="5" t="s">
        <v>16</v>
      </c>
      <c r="K464" s="34" t="str">
        <f>VLOOKUP(I464,[2]stage_hints!$A:$C,3,FALSE)</f>
        <v>敵のカウンター攻撃には</v>
      </c>
      <c r="L464" s="35" t="str">
        <f>VLOOKUP(I464,[2]stage_hints!$A:$D,4,FALSE)</f>
        <v>カウンターブレイクスキルを持っていれば_x000D_敵のカウンターを解除して攻撃ができます</v>
      </c>
      <c r="M464" s="21" t="s">
        <v>23</v>
      </c>
      <c r="N464">
        <v>33</v>
      </c>
    </row>
    <row r="465" spans="1:14" x14ac:dyDescent="0.15">
      <c r="A465" s="26" t="s">
        <v>32</v>
      </c>
      <c r="B465" s="4">
        <v>12003</v>
      </c>
      <c r="C465" s="3" t="str">
        <f ca="1">VLOOKUP($B465,OFFSET([1]quests!$A$1,0,0,COUNTA([1]quests!$A:$A),MATCH(C$1,[1]quests!$1:$1,0)-MATCH($B$1,[1]quests!$1:$1,0)+1),MATCH(C$1,[1]quests!$1:$1,0)-MATCH($B$1,[1]quests!$1:$1,0)+1,FALSE)</f>
        <v>【超緊急！！】メタルジェントルを追え</v>
      </c>
      <c r="D465" s="3" t="str">
        <f ca="1">VLOOKUP($B465,OFFSET([1]quests!$A$1,0,0,COUNTA([1]quests!$A:$A),MATCH(D$1,[1]quests!$1:$1,0)-MATCH($B$1,[1]quests!$1:$1,0)+1),MATCH(D$1,[1]quests!$1:$1,0)-MATCH($B$1,[1]quests!$1:$1,0)+1,FALSE)</f>
        <v>ゲリラ【超級】</v>
      </c>
      <c r="E465" s="5">
        <v>1</v>
      </c>
      <c r="F465" s="3" t="str">
        <f ca="1">VLOOKUP($B465&amp;"_"&amp;$E465,OFFSET([1]stages!$A$1,0,0,COUNTA([1]stages!$A:$A),MATCH(F$1,[1]stages!$2:$2,0)-MATCH("temp_stage",[1]stages!$2:$2,0)+1),MATCH(F$1,[1]stages!$2:$2,0)-MATCH("temp_stage",[1]stages!$2:$2,0)+1,FALSE)</f>
        <v>【超級】雷のジェントルを追え！</v>
      </c>
      <c r="G465" s="3" t="str">
        <f ca="1">VLOOKUP($B465&amp;"_"&amp;$E465,OFFSET([1]stages!$A$1,0,0,COUNTA([1]stages!$A:$A),MATCH(G$1,[1]stages!$2:$2,0)-MATCH("temp_stage",[1]stages!$2:$2,0)+1),MATCH(G$1,[1]stages!$2:$2,0)-MATCH("temp_stage",[1]stages!$2:$2,0)+1,FALSE)</f>
        <v>ゲリラ【超級】</v>
      </c>
      <c r="H465" s="18">
        <v>0</v>
      </c>
      <c r="I465">
        <v>34</v>
      </c>
      <c r="J465" s="5" t="s">
        <v>16</v>
      </c>
      <c r="K465" s="34" t="str">
        <f>VLOOKUP(I465,[2]stage_hints!$A:$C,3,FALSE)</f>
        <v>ステータスをスキルで下げられたら</v>
      </c>
      <c r="L465" s="35" t="str">
        <f>VLOOKUP(I465,[2]stage_hints!$A:$D,4,FALSE)</f>
        <v>ステータスダウンのスキルを受けたら_x000D_ステータスアップスキルで上書きしましょう</v>
      </c>
      <c r="M465" s="21" t="s">
        <v>23</v>
      </c>
      <c r="N465">
        <v>34</v>
      </c>
    </row>
    <row r="466" spans="1:14" x14ac:dyDescent="0.15">
      <c r="A466" s="26" t="s">
        <v>32</v>
      </c>
      <c r="B466" s="4">
        <v>12003</v>
      </c>
      <c r="C466" s="3" t="str">
        <f ca="1">VLOOKUP($B466,OFFSET([1]quests!$A$1,0,0,COUNTA([1]quests!$A:$A),MATCH(C$1,[1]quests!$1:$1,0)-MATCH($B$1,[1]quests!$1:$1,0)+1),MATCH(C$1,[1]quests!$1:$1,0)-MATCH($B$1,[1]quests!$1:$1,0)+1,FALSE)</f>
        <v>【超緊急！！】メタルジェントルを追え</v>
      </c>
      <c r="D466" s="3" t="str">
        <f ca="1">VLOOKUP($B466,OFFSET([1]quests!$A$1,0,0,COUNTA([1]quests!$A:$A),MATCH(D$1,[1]quests!$1:$1,0)-MATCH($B$1,[1]quests!$1:$1,0)+1),MATCH(D$1,[1]quests!$1:$1,0)-MATCH($B$1,[1]quests!$1:$1,0)+1,FALSE)</f>
        <v>ゲリラ【超級】</v>
      </c>
      <c r="E466" s="5">
        <v>1</v>
      </c>
      <c r="F466" s="3" t="str">
        <f ca="1">VLOOKUP($B466&amp;"_"&amp;$E466,OFFSET([1]stages!$A$1,0,0,COUNTA([1]stages!$A:$A),MATCH(F$1,[1]stages!$2:$2,0)-MATCH("temp_stage",[1]stages!$2:$2,0)+1),MATCH(F$1,[1]stages!$2:$2,0)-MATCH("temp_stage",[1]stages!$2:$2,0)+1,FALSE)</f>
        <v>【超級】雷のジェントルを追え！</v>
      </c>
      <c r="G466" s="3" t="str">
        <f ca="1">VLOOKUP($B466&amp;"_"&amp;$E466,OFFSET([1]stages!$A$1,0,0,COUNTA([1]stages!$A:$A),MATCH(G$1,[1]stages!$2:$2,0)-MATCH("temp_stage",[1]stages!$2:$2,0)+1),MATCH(G$1,[1]stages!$2:$2,0)-MATCH("temp_stage",[1]stages!$2:$2,0)+1,FALSE)</f>
        <v>ゲリラ【超級】</v>
      </c>
      <c r="H466" s="18">
        <v>0</v>
      </c>
      <c r="I466">
        <v>35</v>
      </c>
      <c r="J466" s="5" t="s">
        <v>16</v>
      </c>
      <c r="K466" s="34" t="str">
        <f>VLOOKUP(I466,[2]stage_hints!$A:$C,3,FALSE)</f>
        <v>敵のステータスがスキルで上がったら</v>
      </c>
      <c r="L466" s="35" t="str">
        <f>VLOOKUP(I466,[2]stage_hints!$A:$D,4,FALSE)</f>
        <v>敵のステータスがスキルでアップしたときは_x000D_ステータスダウンスキルで上書きしましょう</v>
      </c>
      <c r="M466" s="21" t="s">
        <v>23</v>
      </c>
      <c r="N466">
        <v>35</v>
      </c>
    </row>
    <row r="467" spans="1:14" x14ac:dyDescent="0.15">
      <c r="A467" s="26" t="s">
        <v>32</v>
      </c>
      <c r="B467" s="4">
        <v>12003</v>
      </c>
      <c r="C467" s="3" t="str">
        <f ca="1">VLOOKUP($B467,OFFSET([1]quests!$A$1,0,0,COUNTA([1]quests!$A:$A),MATCH(C$1,[1]quests!$1:$1,0)-MATCH($B$1,[1]quests!$1:$1,0)+1),MATCH(C$1,[1]quests!$1:$1,0)-MATCH($B$1,[1]quests!$1:$1,0)+1,FALSE)</f>
        <v>【超緊急！！】メタルジェントルを追え</v>
      </c>
      <c r="D467" s="3" t="str">
        <f ca="1">VLOOKUP($B467,OFFSET([1]quests!$A$1,0,0,COUNTA([1]quests!$A:$A),MATCH(D$1,[1]quests!$1:$1,0)-MATCH($B$1,[1]quests!$1:$1,0)+1),MATCH(D$1,[1]quests!$1:$1,0)-MATCH($B$1,[1]quests!$1:$1,0)+1,FALSE)</f>
        <v>ゲリラ【超級】</v>
      </c>
      <c r="E467" s="5">
        <v>1</v>
      </c>
      <c r="F467" s="3" t="str">
        <f ca="1">VLOOKUP($B467&amp;"_"&amp;$E467,OFFSET([1]stages!$A$1,0,0,COUNTA([1]stages!$A:$A),MATCH(F$1,[1]stages!$2:$2,0)-MATCH("temp_stage",[1]stages!$2:$2,0)+1),MATCH(F$1,[1]stages!$2:$2,0)-MATCH("temp_stage",[1]stages!$2:$2,0)+1,FALSE)</f>
        <v>【超級】雷のジェントルを追え！</v>
      </c>
      <c r="G467" s="3" t="str">
        <f ca="1">VLOOKUP($B467&amp;"_"&amp;$E467,OFFSET([1]stages!$A$1,0,0,COUNTA([1]stages!$A:$A),MATCH(G$1,[1]stages!$2:$2,0)-MATCH("temp_stage",[1]stages!$2:$2,0)+1),MATCH(G$1,[1]stages!$2:$2,0)-MATCH("temp_stage",[1]stages!$2:$2,0)+1,FALSE)</f>
        <v>ゲリラ【超級】</v>
      </c>
      <c r="H467" s="18">
        <v>0</v>
      </c>
      <c r="I467">
        <v>36</v>
      </c>
      <c r="J467" s="5" t="s">
        <v>16</v>
      </c>
      <c r="K467" s="34" t="str">
        <f>VLOOKUP(I467,[2]stage_hints!$A:$C,3,FALSE)</f>
        <v>タワーオブザクイーンのボス</v>
      </c>
      <c r="L467" s="35" t="str">
        <f>VLOOKUP(I467,[2]stage_hints!$A:$D,4,FALSE)</f>
        <v>「タワーオブザクイーン」最上階のボスは_x000D_15階の初回クリア報酬で獲得できるほか_x000D_その階にて低確率でドロップもします</v>
      </c>
      <c r="M467" s="21" t="s">
        <v>23</v>
      </c>
      <c r="N467">
        <v>36</v>
      </c>
    </row>
    <row r="468" spans="1:14" x14ac:dyDescent="0.15">
      <c r="A468" s="26" t="s">
        <v>32</v>
      </c>
      <c r="B468" s="4">
        <v>12003</v>
      </c>
      <c r="C468" s="3" t="str">
        <f ca="1">VLOOKUP($B468,OFFSET([1]quests!$A$1,0,0,COUNTA([1]quests!$A:$A),MATCH(C$1,[1]quests!$1:$1,0)-MATCH($B$1,[1]quests!$1:$1,0)+1),MATCH(C$1,[1]quests!$1:$1,0)-MATCH($B$1,[1]quests!$1:$1,0)+1,FALSE)</f>
        <v>【超緊急！！】メタルジェントルを追え</v>
      </c>
      <c r="D468" s="3" t="str">
        <f ca="1">VLOOKUP($B468,OFFSET([1]quests!$A$1,0,0,COUNTA([1]quests!$A:$A),MATCH(D$1,[1]quests!$1:$1,0)-MATCH($B$1,[1]quests!$1:$1,0)+1),MATCH(D$1,[1]quests!$1:$1,0)-MATCH($B$1,[1]quests!$1:$1,0)+1,FALSE)</f>
        <v>ゲリラ【超級】</v>
      </c>
      <c r="E468" s="5">
        <v>1</v>
      </c>
      <c r="F468" s="3" t="str">
        <f ca="1">VLOOKUP($B468&amp;"_"&amp;$E468,OFFSET([1]stages!$A$1,0,0,COUNTA([1]stages!$A:$A),MATCH(F$1,[1]stages!$2:$2,0)-MATCH("temp_stage",[1]stages!$2:$2,0)+1),MATCH(F$1,[1]stages!$2:$2,0)-MATCH("temp_stage",[1]stages!$2:$2,0)+1,FALSE)</f>
        <v>【超級】雷のジェントルを追え！</v>
      </c>
      <c r="G468" s="3" t="str">
        <f ca="1">VLOOKUP($B468&amp;"_"&amp;$E468,OFFSET([1]stages!$A$1,0,0,COUNTA([1]stages!$A:$A),MATCH(G$1,[1]stages!$2:$2,0)-MATCH("temp_stage",[1]stages!$2:$2,0)+1),MATCH(G$1,[1]stages!$2:$2,0)-MATCH("temp_stage",[1]stages!$2:$2,0)+1,FALSE)</f>
        <v>ゲリラ【超級】</v>
      </c>
      <c r="H468" s="18">
        <v>0</v>
      </c>
      <c r="I468">
        <v>37</v>
      </c>
      <c r="J468" s="5" t="s">
        <v>16</v>
      </c>
      <c r="K468" s="34" t="str">
        <f>VLOOKUP(I468,[2]stage_hints!$A:$C,3,FALSE)</f>
        <v>限界突破値の引き継ぎ</v>
      </c>
      <c r="L468" s="35" t="str">
        <f>VLOOKUP(I468,[2]stage_hints!$A:$D,4,FALSE)</f>
        <v>同じユニットを強化で合成すると_x000D_限界突破値を引き継げます（覚醒前後も可）</v>
      </c>
      <c r="M468" s="21" t="s">
        <v>23</v>
      </c>
      <c r="N468">
        <v>37</v>
      </c>
    </row>
    <row r="469" spans="1:14" x14ac:dyDescent="0.15">
      <c r="A469" s="26" t="s">
        <v>32</v>
      </c>
      <c r="B469" s="4">
        <v>12003</v>
      </c>
      <c r="C469" s="3" t="str">
        <f ca="1">VLOOKUP($B469,OFFSET([1]quests!$A$1,0,0,COUNTA([1]quests!$A:$A),MATCH(C$1,[1]quests!$1:$1,0)-MATCH($B$1,[1]quests!$1:$1,0)+1),MATCH(C$1,[1]quests!$1:$1,0)-MATCH($B$1,[1]quests!$1:$1,0)+1,FALSE)</f>
        <v>【超緊急！！】メタルジェントルを追え</v>
      </c>
      <c r="D469" s="3" t="str">
        <f ca="1">VLOOKUP($B469,OFFSET([1]quests!$A$1,0,0,COUNTA([1]quests!$A:$A),MATCH(D$1,[1]quests!$1:$1,0)-MATCH($B$1,[1]quests!$1:$1,0)+1),MATCH(D$1,[1]quests!$1:$1,0)-MATCH($B$1,[1]quests!$1:$1,0)+1,FALSE)</f>
        <v>ゲリラ【超級】</v>
      </c>
      <c r="E469" s="5">
        <v>2</v>
      </c>
      <c r="F469" s="3" t="str">
        <f ca="1">VLOOKUP($B469&amp;"_"&amp;$E469,OFFSET([1]stages!$A$1,0,0,COUNTA([1]stages!$A:$A),MATCH(F$1,[1]stages!$2:$2,0)-MATCH("temp_stage",[1]stages!$2:$2,0)+1),MATCH(F$1,[1]stages!$2:$2,0)-MATCH("temp_stage",[1]stages!$2:$2,0)+1,FALSE)</f>
        <v>【超級】水のジェントルを追え！</v>
      </c>
      <c r="G469" s="3" t="str">
        <f ca="1">VLOOKUP($B469&amp;"_"&amp;$E469,OFFSET([1]stages!$A$1,0,0,COUNTA([1]stages!$A:$A),MATCH(G$1,[1]stages!$2:$2,0)-MATCH("temp_stage",[1]stages!$2:$2,0)+1),MATCH(G$1,[1]stages!$2:$2,0)-MATCH("temp_stage",[1]stages!$2:$2,0)+1,FALSE)</f>
        <v>ゲリラ【超級】</v>
      </c>
      <c r="H469" s="18">
        <v>0</v>
      </c>
      <c r="I469">
        <v>12</v>
      </c>
      <c r="J469" s="5" t="s">
        <v>16</v>
      </c>
      <c r="K469" s="34" t="str">
        <f>VLOOKUP(I469,[2]stage_hints!$A:$C,3,FALSE)</f>
        <v>ユニットのお気に入り登録</v>
      </c>
      <c r="L469" s="35" t="str">
        <f>VLOOKUP(I469,[2]stage_hints!$A:$D,4,FALSE)</f>
        <v>大事なユニットを誤って消さないように_x000D_フォルダから「お気に入り登録」しましょう</v>
      </c>
      <c r="M469" s="21" t="s">
        <v>23</v>
      </c>
      <c r="N469">
        <v>12</v>
      </c>
    </row>
    <row r="470" spans="1:14" x14ac:dyDescent="0.15">
      <c r="A470" s="26" t="s">
        <v>32</v>
      </c>
      <c r="B470" s="4">
        <v>12003</v>
      </c>
      <c r="C470" s="3" t="str">
        <f ca="1">VLOOKUP($B470,OFFSET([1]quests!$A$1,0,0,COUNTA([1]quests!$A:$A),MATCH(C$1,[1]quests!$1:$1,0)-MATCH($B$1,[1]quests!$1:$1,0)+1),MATCH(C$1,[1]quests!$1:$1,0)-MATCH($B$1,[1]quests!$1:$1,0)+1,FALSE)</f>
        <v>【超緊急！！】メタルジェントルを追え</v>
      </c>
      <c r="D470" s="3" t="str">
        <f ca="1">VLOOKUP($B470,OFFSET([1]quests!$A$1,0,0,COUNTA([1]quests!$A:$A),MATCH(D$1,[1]quests!$1:$1,0)-MATCH($B$1,[1]quests!$1:$1,0)+1),MATCH(D$1,[1]quests!$1:$1,0)-MATCH($B$1,[1]quests!$1:$1,0)+1,FALSE)</f>
        <v>ゲリラ【超級】</v>
      </c>
      <c r="E470" s="5">
        <v>2</v>
      </c>
      <c r="F470" s="3" t="str">
        <f ca="1">VLOOKUP($B470&amp;"_"&amp;$E470,OFFSET([1]stages!$A$1,0,0,COUNTA([1]stages!$A:$A),MATCH(F$1,[1]stages!$2:$2,0)-MATCH("temp_stage",[1]stages!$2:$2,0)+1),MATCH(F$1,[1]stages!$2:$2,0)-MATCH("temp_stage",[1]stages!$2:$2,0)+1,FALSE)</f>
        <v>【超級】水のジェントルを追え！</v>
      </c>
      <c r="G470" s="3" t="str">
        <f ca="1">VLOOKUP($B470&amp;"_"&amp;$E470,OFFSET([1]stages!$A$1,0,0,COUNTA([1]stages!$A:$A),MATCH(G$1,[1]stages!$2:$2,0)-MATCH("temp_stage",[1]stages!$2:$2,0)+1),MATCH(G$1,[1]stages!$2:$2,0)-MATCH("temp_stage",[1]stages!$2:$2,0)+1,FALSE)</f>
        <v>ゲリラ【超級】</v>
      </c>
      <c r="H470" s="18">
        <v>0</v>
      </c>
      <c r="I470">
        <v>17</v>
      </c>
      <c r="J470" s="5" t="s">
        <v>16</v>
      </c>
      <c r="K470" s="34" t="str">
        <f>VLOOKUP(I470,[2]stage_hints!$A:$C,3,FALSE)</f>
        <v>リンクガチャ</v>
      </c>
      <c r="L470" s="35" t="str">
        <f>VLOOKUP(I470,[2]stage_hints!$A:$D,4,FALSE)</f>
        <v>無料のリンクガチャを回して_x000D_経験値素材や売却素材を獲得しましょう</v>
      </c>
      <c r="M470" s="21" t="s">
        <v>23</v>
      </c>
      <c r="N470">
        <v>17</v>
      </c>
    </row>
    <row r="471" spans="1:14" x14ac:dyDescent="0.15">
      <c r="A471" s="26" t="s">
        <v>32</v>
      </c>
      <c r="B471" s="4">
        <v>12003</v>
      </c>
      <c r="C471" s="3" t="str">
        <f ca="1">VLOOKUP($B471,OFFSET([1]quests!$A$1,0,0,COUNTA([1]quests!$A:$A),MATCH(C$1,[1]quests!$1:$1,0)-MATCH($B$1,[1]quests!$1:$1,0)+1),MATCH(C$1,[1]quests!$1:$1,0)-MATCH($B$1,[1]quests!$1:$1,0)+1,FALSE)</f>
        <v>【超緊急！！】メタルジェントルを追え</v>
      </c>
      <c r="D471" s="3" t="str">
        <f ca="1">VLOOKUP($B471,OFFSET([1]quests!$A$1,0,0,COUNTA([1]quests!$A:$A),MATCH(D$1,[1]quests!$1:$1,0)-MATCH($B$1,[1]quests!$1:$1,0)+1),MATCH(D$1,[1]quests!$1:$1,0)-MATCH($B$1,[1]quests!$1:$1,0)+1,FALSE)</f>
        <v>ゲリラ【超級】</v>
      </c>
      <c r="E471" s="5">
        <v>2</v>
      </c>
      <c r="F471" s="3" t="str">
        <f ca="1">VLOOKUP($B471&amp;"_"&amp;$E471,OFFSET([1]stages!$A$1,0,0,COUNTA([1]stages!$A:$A),MATCH(F$1,[1]stages!$2:$2,0)-MATCH("temp_stage",[1]stages!$2:$2,0)+1),MATCH(F$1,[1]stages!$2:$2,0)-MATCH("temp_stage",[1]stages!$2:$2,0)+1,FALSE)</f>
        <v>【超級】水のジェントルを追え！</v>
      </c>
      <c r="G471" s="3" t="str">
        <f ca="1">VLOOKUP($B471&amp;"_"&amp;$E471,OFFSET([1]stages!$A$1,0,0,COUNTA([1]stages!$A:$A),MATCH(G$1,[1]stages!$2:$2,0)-MATCH("temp_stage",[1]stages!$2:$2,0)+1),MATCH(G$1,[1]stages!$2:$2,0)-MATCH("temp_stage",[1]stages!$2:$2,0)+1,FALSE)</f>
        <v>ゲリラ【超級】</v>
      </c>
      <c r="H471" s="18">
        <v>0</v>
      </c>
      <c r="I471">
        <v>19</v>
      </c>
      <c r="J471" s="5" t="s">
        <v>16</v>
      </c>
      <c r="K471" s="34" t="str">
        <f>VLOOKUP(I471,[2]stage_hints!$A:$C,3,FALSE)</f>
        <v>ソロ専用タワーオブザクイーン</v>
      </c>
      <c r="L471" s="35" t="str">
        <f>VLOOKUP(I471,[2]stage_hints!$A:$D,4,FALSE)</f>
        <v>ソロ専用の「タワーオブザクイーン」は_x000D_期間限定で定期的に開催されます_x000D_ここでしか獲得できない報酬もあるようです</v>
      </c>
      <c r="M471" s="21" t="s">
        <v>23</v>
      </c>
      <c r="N471">
        <v>19</v>
      </c>
    </row>
    <row r="472" spans="1:14" x14ac:dyDescent="0.15">
      <c r="A472" s="26" t="s">
        <v>32</v>
      </c>
      <c r="B472" s="4">
        <v>12003</v>
      </c>
      <c r="C472" s="3" t="str">
        <f ca="1">VLOOKUP($B472,OFFSET([1]quests!$A$1,0,0,COUNTA([1]quests!$A:$A),MATCH(C$1,[1]quests!$1:$1,0)-MATCH($B$1,[1]quests!$1:$1,0)+1),MATCH(C$1,[1]quests!$1:$1,0)-MATCH($B$1,[1]quests!$1:$1,0)+1,FALSE)</f>
        <v>【超緊急！！】メタルジェントルを追え</v>
      </c>
      <c r="D472" s="3" t="str">
        <f ca="1">VLOOKUP($B472,OFFSET([1]quests!$A$1,0,0,COUNTA([1]quests!$A:$A),MATCH(D$1,[1]quests!$1:$1,0)-MATCH($B$1,[1]quests!$1:$1,0)+1),MATCH(D$1,[1]quests!$1:$1,0)-MATCH($B$1,[1]quests!$1:$1,0)+1,FALSE)</f>
        <v>ゲリラ【超級】</v>
      </c>
      <c r="E472" s="5">
        <v>2</v>
      </c>
      <c r="F472" s="3" t="str">
        <f ca="1">VLOOKUP($B472&amp;"_"&amp;$E472,OFFSET([1]stages!$A$1,0,0,COUNTA([1]stages!$A:$A),MATCH(F$1,[1]stages!$2:$2,0)-MATCH("temp_stage",[1]stages!$2:$2,0)+1),MATCH(F$1,[1]stages!$2:$2,0)-MATCH("temp_stage",[1]stages!$2:$2,0)+1,FALSE)</f>
        <v>【超級】水のジェントルを追え！</v>
      </c>
      <c r="G472" s="3" t="str">
        <f ca="1">VLOOKUP($B472&amp;"_"&amp;$E472,OFFSET([1]stages!$A$1,0,0,COUNTA([1]stages!$A:$A),MATCH(G$1,[1]stages!$2:$2,0)-MATCH("temp_stage",[1]stages!$2:$2,0)+1),MATCH(G$1,[1]stages!$2:$2,0)-MATCH("temp_stage",[1]stages!$2:$2,0)+1,FALSE)</f>
        <v>ゲリラ【超級】</v>
      </c>
      <c r="H472" s="18">
        <v>0</v>
      </c>
      <c r="I472">
        <v>21</v>
      </c>
      <c r="J472" s="5" t="s">
        <v>16</v>
      </c>
      <c r="K472" s="34" t="str">
        <f>VLOOKUP(I472,[2]stage_hints!$A:$C,3,FALSE)</f>
        <v>スキルを有効に</v>
      </c>
      <c r="L472" s="35" t="str">
        <f>VLOOKUP(I472,[2]stage_hints!$A:$D,4,FALSE)</f>
        <v>ターン経過でユニットのスキルが使えます_x000D_強力スキルでバトルを有利に進めましょう</v>
      </c>
      <c r="M472" s="21" t="s">
        <v>23</v>
      </c>
      <c r="N472">
        <v>21</v>
      </c>
    </row>
    <row r="473" spans="1:14" x14ac:dyDescent="0.15">
      <c r="A473" s="26" t="s">
        <v>32</v>
      </c>
      <c r="B473" s="4">
        <v>12003</v>
      </c>
      <c r="C473" s="3" t="str">
        <f ca="1">VLOOKUP($B473,OFFSET([1]quests!$A$1,0,0,COUNTA([1]quests!$A:$A),MATCH(C$1,[1]quests!$1:$1,0)-MATCH($B$1,[1]quests!$1:$1,0)+1),MATCH(C$1,[1]quests!$1:$1,0)-MATCH($B$1,[1]quests!$1:$1,0)+1,FALSE)</f>
        <v>【超緊急！！】メタルジェントルを追え</v>
      </c>
      <c r="D473" s="3" t="str">
        <f ca="1">VLOOKUP($B473,OFFSET([1]quests!$A$1,0,0,COUNTA([1]quests!$A:$A),MATCH(D$1,[1]quests!$1:$1,0)-MATCH($B$1,[1]quests!$1:$1,0)+1),MATCH(D$1,[1]quests!$1:$1,0)-MATCH($B$1,[1]quests!$1:$1,0)+1,FALSE)</f>
        <v>ゲリラ【超級】</v>
      </c>
      <c r="E473" s="5">
        <v>2</v>
      </c>
      <c r="F473" s="3" t="str">
        <f ca="1">VLOOKUP($B473&amp;"_"&amp;$E473,OFFSET([1]stages!$A$1,0,0,COUNTA([1]stages!$A:$A),MATCH(F$1,[1]stages!$2:$2,0)-MATCH("temp_stage",[1]stages!$2:$2,0)+1),MATCH(F$1,[1]stages!$2:$2,0)-MATCH("temp_stage",[1]stages!$2:$2,0)+1,FALSE)</f>
        <v>【超級】水のジェントルを追え！</v>
      </c>
      <c r="G473" s="3" t="str">
        <f ca="1">VLOOKUP($B473&amp;"_"&amp;$E473,OFFSET([1]stages!$A$1,0,0,COUNTA([1]stages!$A:$A),MATCH(G$1,[1]stages!$2:$2,0)-MATCH("temp_stage",[1]stages!$2:$2,0)+1),MATCH(G$1,[1]stages!$2:$2,0)-MATCH("temp_stage",[1]stages!$2:$2,0)+1,FALSE)</f>
        <v>ゲリラ【超級】</v>
      </c>
      <c r="H473" s="18">
        <v>0</v>
      </c>
      <c r="I473">
        <v>27</v>
      </c>
      <c r="J473" s="5" t="s">
        <v>16</v>
      </c>
      <c r="K473" s="34" t="str">
        <f>VLOOKUP(I473,[2]stage_hints!$A:$C,3,FALSE)</f>
        <v>ホーム画面からデッキを編成</v>
      </c>
      <c r="L473" s="35" t="str">
        <f>VLOOKUP(I473,[2]stage_hints!$A:$D,4,FALSE)</f>
        <v>ホーム画面でユニットを長押しすると_x000D_すぐにパーティ編成に移動できます</v>
      </c>
      <c r="M473" s="21" t="s">
        <v>23</v>
      </c>
      <c r="N473">
        <v>27</v>
      </c>
    </row>
    <row r="474" spans="1:14" x14ac:dyDescent="0.15">
      <c r="A474" s="26" t="s">
        <v>32</v>
      </c>
      <c r="B474" s="4">
        <v>12003</v>
      </c>
      <c r="C474" s="3" t="str">
        <f ca="1">VLOOKUP($B474,OFFSET([1]quests!$A$1,0,0,COUNTA([1]quests!$A:$A),MATCH(C$1,[1]quests!$1:$1,0)-MATCH($B$1,[1]quests!$1:$1,0)+1),MATCH(C$1,[1]quests!$1:$1,0)-MATCH($B$1,[1]quests!$1:$1,0)+1,FALSE)</f>
        <v>【超緊急！！】メタルジェントルを追え</v>
      </c>
      <c r="D474" s="3" t="str">
        <f ca="1">VLOOKUP($B474,OFFSET([1]quests!$A$1,0,0,COUNTA([1]quests!$A:$A),MATCH(D$1,[1]quests!$1:$1,0)-MATCH($B$1,[1]quests!$1:$1,0)+1),MATCH(D$1,[1]quests!$1:$1,0)-MATCH($B$1,[1]quests!$1:$1,0)+1,FALSE)</f>
        <v>ゲリラ【超級】</v>
      </c>
      <c r="E474" s="5">
        <v>2</v>
      </c>
      <c r="F474" s="3" t="str">
        <f ca="1">VLOOKUP($B474&amp;"_"&amp;$E474,OFFSET([1]stages!$A$1,0,0,COUNTA([1]stages!$A:$A),MATCH(F$1,[1]stages!$2:$2,0)-MATCH("temp_stage",[1]stages!$2:$2,0)+1),MATCH(F$1,[1]stages!$2:$2,0)-MATCH("temp_stage",[1]stages!$2:$2,0)+1,FALSE)</f>
        <v>【超級】水のジェントルを追え！</v>
      </c>
      <c r="G474" s="3" t="str">
        <f ca="1">VLOOKUP($B474&amp;"_"&amp;$E474,OFFSET([1]stages!$A$1,0,0,COUNTA([1]stages!$A:$A),MATCH(G$1,[1]stages!$2:$2,0)-MATCH("temp_stage",[1]stages!$2:$2,0)+1),MATCH(G$1,[1]stages!$2:$2,0)-MATCH("temp_stage",[1]stages!$2:$2,0)+1,FALSE)</f>
        <v>ゲリラ【超級】</v>
      </c>
      <c r="H474" s="18">
        <v>0</v>
      </c>
      <c r="I474">
        <v>28</v>
      </c>
      <c r="J474" s="5" t="s">
        <v>16</v>
      </c>
      <c r="K474" s="34" t="str">
        <f>VLOOKUP(I474,[2]stage_hints!$A:$C,3,FALSE)</f>
        <v>ステータス情報は長押しで</v>
      </c>
      <c r="L474" s="35" t="str">
        <f>VLOOKUP(I474,[2]stage_hints!$A:$D,4,FALSE)</f>
        <v>ユニットのアイコンを長押しすると_x000D_ステータス情報を確認することができます</v>
      </c>
      <c r="M474" s="21" t="s">
        <v>23</v>
      </c>
      <c r="N474">
        <v>28</v>
      </c>
    </row>
    <row r="475" spans="1:14" x14ac:dyDescent="0.15">
      <c r="A475" s="26" t="s">
        <v>32</v>
      </c>
      <c r="B475" s="4">
        <v>12003</v>
      </c>
      <c r="C475" s="3" t="str">
        <f ca="1">VLOOKUP($B475,OFFSET([1]quests!$A$1,0,0,COUNTA([1]quests!$A:$A),MATCH(C$1,[1]quests!$1:$1,0)-MATCH($B$1,[1]quests!$1:$1,0)+1),MATCH(C$1,[1]quests!$1:$1,0)-MATCH($B$1,[1]quests!$1:$1,0)+1,FALSE)</f>
        <v>【超緊急！！】メタルジェントルを追え</v>
      </c>
      <c r="D475" s="3" t="str">
        <f ca="1">VLOOKUP($B475,OFFSET([1]quests!$A$1,0,0,COUNTA([1]quests!$A:$A),MATCH(D$1,[1]quests!$1:$1,0)-MATCH($B$1,[1]quests!$1:$1,0)+1),MATCH(D$1,[1]quests!$1:$1,0)-MATCH($B$1,[1]quests!$1:$1,0)+1,FALSE)</f>
        <v>ゲリラ【超級】</v>
      </c>
      <c r="E475" s="5">
        <v>2</v>
      </c>
      <c r="F475" s="3" t="str">
        <f ca="1">VLOOKUP($B475&amp;"_"&amp;$E475,OFFSET([1]stages!$A$1,0,0,COUNTA([1]stages!$A:$A),MATCH(F$1,[1]stages!$2:$2,0)-MATCH("temp_stage",[1]stages!$2:$2,0)+1),MATCH(F$1,[1]stages!$2:$2,0)-MATCH("temp_stage",[1]stages!$2:$2,0)+1,FALSE)</f>
        <v>【超級】水のジェントルを追え！</v>
      </c>
      <c r="G475" s="3" t="str">
        <f ca="1">VLOOKUP($B475&amp;"_"&amp;$E475,OFFSET([1]stages!$A$1,0,0,COUNTA([1]stages!$A:$A),MATCH(G$1,[1]stages!$2:$2,0)-MATCH("temp_stage",[1]stages!$2:$2,0)+1),MATCH(G$1,[1]stages!$2:$2,0)-MATCH("temp_stage",[1]stages!$2:$2,0)+1,FALSE)</f>
        <v>ゲリラ【超級】</v>
      </c>
      <c r="H475" s="18">
        <v>0</v>
      </c>
      <c r="I475">
        <v>29</v>
      </c>
      <c r="J475" s="5" t="s">
        <v>16</v>
      </c>
      <c r="K475" s="34" t="str">
        <f>VLOOKUP(I475,[2]stage_hints!$A:$C,3,FALSE)</f>
        <v>「バグ」のメリット</v>
      </c>
      <c r="L475" s="35" t="str">
        <f>VLOOKUP(I475,[2]stage_hints!$A:$D,4,FALSE)</f>
        <v>ユニットの「バグ」を増やすと_x000D_報酬をもらえる確率がアップします</v>
      </c>
      <c r="M475" s="21" t="s">
        <v>23</v>
      </c>
      <c r="N475">
        <v>29</v>
      </c>
    </row>
    <row r="476" spans="1:14" x14ac:dyDescent="0.15">
      <c r="A476" s="26" t="s">
        <v>32</v>
      </c>
      <c r="B476" s="4">
        <v>12003</v>
      </c>
      <c r="C476" s="3" t="str">
        <f ca="1">VLOOKUP($B476,OFFSET([1]quests!$A$1,0,0,COUNTA([1]quests!$A:$A),MATCH(C$1,[1]quests!$1:$1,0)-MATCH($B$1,[1]quests!$1:$1,0)+1),MATCH(C$1,[1]quests!$1:$1,0)-MATCH($B$1,[1]quests!$1:$1,0)+1,FALSE)</f>
        <v>【超緊急！！】メタルジェントルを追え</v>
      </c>
      <c r="D476" s="3" t="str">
        <f ca="1">VLOOKUP($B476,OFFSET([1]quests!$A$1,0,0,COUNTA([1]quests!$A:$A),MATCH(D$1,[1]quests!$1:$1,0)-MATCH($B$1,[1]quests!$1:$1,0)+1),MATCH(D$1,[1]quests!$1:$1,0)-MATCH($B$1,[1]quests!$1:$1,0)+1,FALSE)</f>
        <v>ゲリラ【超級】</v>
      </c>
      <c r="E476" s="5">
        <v>2</v>
      </c>
      <c r="F476" s="3" t="str">
        <f ca="1">VLOOKUP($B476&amp;"_"&amp;$E476,OFFSET([1]stages!$A$1,0,0,COUNTA([1]stages!$A:$A),MATCH(F$1,[1]stages!$2:$2,0)-MATCH("temp_stage",[1]stages!$2:$2,0)+1),MATCH(F$1,[1]stages!$2:$2,0)-MATCH("temp_stage",[1]stages!$2:$2,0)+1,FALSE)</f>
        <v>【超級】水のジェントルを追え！</v>
      </c>
      <c r="G476" s="3" t="str">
        <f ca="1">VLOOKUP($B476&amp;"_"&amp;$E476,OFFSET([1]stages!$A$1,0,0,COUNTA([1]stages!$A:$A),MATCH(G$1,[1]stages!$2:$2,0)-MATCH("temp_stage",[1]stages!$2:$2,0)+1),MATCH(G$1,[1]stages!$2:$2,0)-MATCH("temp_stage",[1]stages!$2:$2,0)+1,FALSE)</f>
        <v>ゲリラ【超級】</v>
      </c>
      <c r="H476" s="18">
        <v>0</v>
      </c>
      <c r="I476">
        <v>30</v>
      </c>
      <c r="J476" s="5" t="s">
        <v>16</v>
      </c>
      <c r="K476" s="34" t="str">
        <f>VLOOKUP(I476,[2]stage_hints!$A:$C,3,FALSE)</f>
        <v>「バグ」の増やし方</v>
      </c>
      <c r="L476" s="35" t="str">
        <f>VLOOKUP(I476,[2]stage_hints!$A:$D,4,FALSE)</f>
        <v>同じユニット同士を強化で合成すると_x000D_「バグ」を増やすことができます</v>
      </c>
      <c r="M476" s="21" t="s">
        <v>23</v>
      </c>
      <c r="N476">
        <v>30</v>
      </c>
    </row>
    <row r="477" spans="1:14" x14ac:dyDescent="0.15">
      <c r="A477" s="26" t="s">
        <v>32</v>
      </c>
      <c r="B477" s="4">
        <v>12003</v>
      </c>
      <c r="C477" s="3" t="str">
        <f ca="1">VLOOKUP($B477,OFFSET([1]quests!$A$1,0,0,COUNTA([1]quests!$A:$A),MATCH(C$1,[1]quests!$1:$1,0)-MATCH($B$1,[1]quests!$1:$1,0)+1),MATCH(C$1,[1]quests!$1:$1,0)-MATCH($B$1,[1]quests!$1:$1,0)+1,FALSE)</f>
        <v>【超緊急！！】メタルジェントルを追え</v>
      </c>
      <c r="D477" s="3" t="str">
        <f ca="1">VLOOKUP($B477,OFFSET([1]quests!$A$1,0,0,COUNTA([1]quests!$A:$A),MATCH(D$1,[1]quests!$1:$1,0)-MATCH($B$1,[1]quests!$1:$1,0)+1),MATCH(D$1,[1]quests!$1:$1,0)-MATCH($B$1,[1]quests!$1:$1,0)+1,FALSE)</f>
        <v>ゲリラ【超級】</v>
      </c>
      <c r="E477" s="5">
        <v>2</v>
      </c>
      <c r="F477" s="3" t="str">
        <f ca="1">VLOOKUP($B477&amp;"_"&amp;$E477,OFFSET([1]stages!$A$1,0,0,COUNTA([1]stages!$A:$A),MATCH(F$1,[1]stages!$2:$2,0)-MATCH("temp_stage",[1]stages!$2:$2,0)+1),MATCH(F$1,[1]stages!$2:$2,0)-MATCH("temp_stage",[1]stages!$2:$2,0)+1,FALSE)</f>
        <v>【超級】水のジェントルを追え！</v>
      </c>
      <c r="G477" s="3" t="str">
        <f ca="1">VLOOKUP($B477&amp;"_"&amp;$E477,OFFSET([1]stages!$A$1,0,0,COUNTA([1]stages!$A:$A),MATCH(G$1,[1]stages!$2:$2,0)-MATCH("temp_stage",[1]stages!$2:$2,0)+1),MATCH(G$1,[1]stages!$2:$2,0)-MATCH("temp_stage",[1]stages!$2:$2,0)+1,FALSE)</f>
        <v>ゲリラ【超級】</v>
      </c>
      <c r="H477" s="18">
        <v>0</v>
      </c>
      <c r="I477">
        <v>32</v>
      </c>
      <c r="J477" s="5" t="s">
        <v>16</v>
      </c>
      <c r="K477" s="34" t="str">
        <f>VLOOKUP(I477,[2]stage_hints!$A:$C,3,FALSE)</f>
        <v>敵の連続攻撃には</v>
      </c>
      <c r="L477" s="35" t="str">
        <f>VLOOKUP(I477,[2]stage_hints!$A:$D,4,FALSE)</f>
        <v>カウンタースキルを持つユニットがいれば_x000D_ダメージ回数分の反撃ができます</v>
      </c>
      <c r="M477" s="21" t="s">
        <v>23</v>
      </c>
      <c r="N477">
        <v>32</v>
      </c>
    </row>
    <row r="478" spans="1:14" x14ac:dyDescent="0.15">
      <c r="A478" s="26" t="s">
        <v>32</v>
      </c>
      <c r="B478" s="4">
        <v>12003</v>
      </c>
      <c r="C478" s="3" t="str">
        <f ca="1">VLOOKUP($B478,OFFSET([1]quests!$A$1,0,0,COUNTA([1]quests!$A:$A),MATCH(C$1,[1]quests!$1:$1,0)-MATCH($B$1,[1]quests!$1:$1,0)+1),MATCH(C$1,[1]quests!$1:$1,0)-MATCH($B$1,[1]quests!$1:$1,0)+1,FALSE)</f>
        <v>【超緊急！！】メタルジェントルを追え</v>
      </c>
      <c r="D478" s="3" t="str">
        <f ca="1">VLOOKUP($B478,OFFSET([1]quests!$A$1,0,0,COUNTA([1]quests!$A:$A),MATCH(D$1,[1]quests!$1:$1,0)-MATCH($B$1,[1]quests!$1:$1,0)+1),MATCH(D$1,[1]quests!$1:$1,0)-MATCH($B$1,[1]quests!$1:$1,0)+1,FALSE)</f>
        <v>ゲリラ【超級】</v>
      </c>
      <c r="E478" s="5">
        <v>2</v>
      </c>
      <c r="F478" s="3" t="str">
        <f ca="1">VLOOKUP($B478&amp;"_"&amp;$E478,OFFSET([1]stages!$A$1,0,0,COUNTA([1]stages!$A:$A),MATCH(F$1,[1]stages!$2:$2,0)-MATCH("temp_stage",[1]stages!$2:$2,0)+1),MATCH(F$1,[1]stages!$2:$2,0)-MATCH("temp_stage",[1]stages!$2:$2,0)+1,FALSE)</f>
        <v>【超級】水のジェントルを追え！</v>
      </c>
      <c r="G478" s="3" t="str">
        <f ca="1">VLOOKUP($B478&amp;"_"&amp;$E478,OFFSET([1]stages!$A$1,0,0,COUNTA([1]stages!$A:$A),MATCH(G$1,[1]stages!$2:$2,0)-MATCH("temp_stage",[1]stages!$2:$2,0)+1),MATCH(G$1,[1]stages!$2:$2,0)-MATCH("temp_stage",[1]stages!$2:$2,0)+1,FALSE)</f>
        <v>ゲリラ【超級】</v>
      </c>
      <c r="H478" s="18">
        <v>0</v>
      </c>
      <c r="I478">
        <v>33</v>
      </c>
      <c r="J478" s="5" t="s">
        <v>16</v>
      </c>
      <c r="K478" s="34" t="str">
        <f>VLOOKUP(I478,[2]stage_hints!$A:$C,3,FALSE)</f>
        <v>敵のカウンター攻撃には</v>
      </c>
      <c r="L478" s="35" t="str">
        <f>VLOOKUP(I478,[2]stage_hints!$A:$D,4,FALSE)</f>
        <v>カウンターブレイクスキルを持っていれば_x000D_敵のカウンターを解除して攻撃ができます</v>
      </c>
      <c r="M478" s="21" t="s">
        <v>23</v>
      </c>
      <c r="N478">
        <v>33</v>
      </c>
    </row>
    <row r="479" spans="1:14" x14ac:dyDescent="0.15">
      <c r="A479" s="26" t="s">
        <v>32</v>
      </c>
      <c r="B479" s="4">
        <v>12003</v>
      </c>
      <c r="C479" s="3" t="str">
        <f ca="1">VLOOKUP($B479,OFFSET([1]quests!$A$1,0,0,COUNTA([1]quests!$A:$A),MATCH(C$1,[1]quests!$1:$1,0)-MATCH($B$1,[1]quests!$1:$1,0)+1),MATCH(C$1,[1]quests!$1:$1,0)-MATCH($B$1,[1]quests!$1:$1,0)+1,FALSE)</f>
        <v>【超緊急！！】メタルジェントルを追え</v>
      </c>
      <c r="D479" s="3" t="str">
        <f ca="1">VLOOKUP($B479,OFFSET([1]quests!$A$1,0,0,COUNTA([1]quests!$A:$A),MATCH(D$1,[1]quests!$1:$1,0)-MATCH($B$1,[1]quests!$1:$1,0)+1),MATCH(D$1,[1]quests!$1:$1,0)-MATCH($B$1,[1]quests!$1:$1,0)+1,FALSE)</f>
        <v>ゲリラ【超級】</v>
      </c>
      <c r="E479" s="5">
        <v>2</v>
      </c>
      <c r="F479" s="3" t="str">
        <f ca="1">VLOOKUP($B479&amp;"_"&amp;$E479,OFFSET([1]stages!$A$1,0,0,COUNTA([1]stages!$A:$A),MATCH(F$1,[1]stages!$2:$2,0)-MATCH("temp_stage",[1]stages!$2:$2,0)+1),MATCH(F$1,[1]stages!$2:$2,0)-MATCH("temp_stage",[1]stages!$2:$2,0)+1,FALSE)</f>
        <v>【超級】水のジェントルを追え！</v>
      </c>
      <c r="G479" s="3" t="str">
        <f ca="1">VLOOKUP($B479&amp;"_"&amp;$E479,OFFSET([1]stages!$A$1,0,0,COUNTA([1]stages!$A:$A),MATCH(G$1,[1]stages!$2:$2,0)-MATCH("temp_stage",[1]stages!$2:$2,0)+1),MATCH(G$1,[1]stages!$2:$2,0)-MATCH("temp_stage",[1]stages!$2:$2,0)+1,FALSE)</f>
        <v>ゲリラ【超級】</v>
      </c>
      <c r="H479" s="18">
        <v>0</v>
      </c>
      <c r="I479">
        <v>34</v>
      </c>
      <c r="J479" s="5" t="s">
        <v>16</v>
      </c>
      <c r="K479" s="34" t="str">
        <f>VLOOKUP(I479,[2]stage_hints!$A:$C,3,FALSE)</f>
        <v>ステータスをスキルで下げられたら</v>
      </c>
      <c r="L479" s="35" t="str">
        <f>VLOOKUP(I479,[2]stage_hints!$A:$D,4,FALSE)</f>
        <v>ステータスダウンのスキルを受けたら_x000D_ステータスアップスキルで上書きしましょう</v>
      </c>
      <c r="M479" s="21" t="s">
        <v>23</v>
      </c>
      <c r="N479">
        <v>34</v>
      </c>
    </row>
    <row r="480" spans="1:14" x14ac:dyDescent="0.15">
      <c r="A480" s="26" t="s">
        <v>32</v>
      </c>
      <c r="B480" s="4">
        <v>12003</v>
      </c>
      <c r="C480" s="3" t="str">
        <f ca="1">VLOOKUP($B480,OFFSET([1]quests!$A$1,0,0,COUNTA([1]quests!$A:$A),MATCH(C$1,[1]quests!$1:$1,0)-MATCH($B$1,[1]quests!$1:$1,0)+1),MATCH(C$1,[1]quests!$1:$1,0)-MATCH($B$1,[1]quests!$1:$1,0)+1,FALSE)</f>
        <v>【超緊急！！】メタルジェントルを追え</v>
      </c>
      <c r="D480" s="3" t="str">
        <f ca="1">VLOOKUP($B480,OFFSET([1]quests!$A$1,0,0,COUNTA([1]quests!$A:$A),MATCH(D$1,[1]quests!$1:$1,0)-MATCH($B$1,[1]quests!$1:$1,0)+1),MATCH(D$1,[1]quests!$1:$1,0)-MATCH($B$1,[1]quests!$1:$1,0)+1,FALSE)</f>
        <v>ゲリラ【超級】</v>
      </c>
      <c r="E480" s="5">
        <v>2</v>
      </c>
      <c r="F480" s="3" t="str">
        <f ca="1">VLOOKUP($B480&amp;"_"&amp;$E480,OFFSET([1]stages!$A$1,0,0,COUNTA([1]stages!$A:$A),MATCH(F$1,[1]stages!$2:$2,0)-MATCH("temp_stage",[1]stages!$2:$2,0)+1),MATCH(F$1,[1]stages!$2:$2,0)-MATCH("temp_stage",[1]stages!$2:$2,0)+1,FALSE)</f>
        <v>【超級】水のジェントルを追え！</v>
      </c>
      <c r="G480" s="3" t="str">
        <f ca="1">VLOOKUP($B480&amp;"_"&amp;$E480,OFFSET([1]stages!$A$1,0,0,COUNTA([1]stages!$A:$A),MATCH(G$1,[1]stages!$2:$2,0)-MATCH("temp_stage",[1]stages!$2:$2,0)+1),MATCH(G$1,[1]stages!$2:$2,0)-MATCH("temp_stage",[1]stages!$2:$2,0)+1,FALSE)</f>
        <v>ゲリラ【超級】</v>
      </c>
      <c r="H480" s="18">
        <v>0</v>
      </c>
      <c r="I480">
        <v>35</v>
      </c>
      <c r="J480" s="5" t="s">
        <v>16</v>
      </c>
      <c r="K480" s="34" t="str">
        <f>VLOOKUP(I480,[2]stage_hints!$A:$C,3,FALSE)</f>
        <v>敵のステータスがスキルで上がったら</v>
      </c>
      <c r="L480" s="35" t="str">
        <f>VLOOKUP(I480,[2]stage_hints!$A:$D,4,FALSE)</f>
        <v>敵のステータスがスキルでアップしたときは_x000D_ステータスダウンスキルで上書きしましょう</v>
      </c>
      <c r="M480" s="21" t="s">
        <v>23</v>
      </c>
      <c r="N480">
        <v>35</v>
      </c>
    </row>
    <row r="481" spans="1:14" x14ac:dyDescent="0.15">
      <c r="A481" s="26" t="s">
        <v>32</v>
      </c>
      <c r="B481" s="4">
        <v>12003</v>
      </c>
      <c r="C481" s="3" t="str">
        <f ca="1">VLOOKUP($B481,OFFSET([1]quests!$A$1,0,0,COUNTA([1]quests!$A:$A),MATCH(C$1,[1]quests!$1:$1,0)-MATCH($B$1,[1]quests!$1:$1,0)+1),MATCH(C$1,[1]quests!$1:$1,0)-MATCH($B$1,[1]quests!$1:$1,0)+1,FALSE)</f>
        <v>【超緊急！！】メタルジェントルを追え</v>
      </c>
      <c r="D481" s="3" t="str">
        <f ca="1">VLOOKUP($B481,OFFSET([1]quests!$A$1,0,0,COUNTA([1]quests!$A:$A),MATCH(D$1,[1]quests!$1:$1,0)-MATCH($B$1,[1]quests!$1:$1,0)+1),MATCH(D$1,[1]quests!$1:$1,0)-MATCH($B$1,[1]quests!$1:$1,0)+1,FALSE)</f>
        <v>ゲリラ【超級】</v>
      </c>
      <c r="E481" s="5">
        <v>2</v>
      </c>
      <c r="F481" s="3" t="str">
        <f ca="1">VLOOKUP($B481&amp;"_"&amp;$E481,OFFSET([1]stages!$A$1,0,0,COUNTA([1]stages!$A:$A),MATCH(F$1,[1]stages!$2:$2,0)-MATCH("temp_stage",[1]stages!$2:$2,0)+1),MATCH(F$1,[1]stages!$2:$2,0)-MATCH("temp_stage",[1]stages!$2:$2,0)+1,FALSE)</f>
        <v>【超級】水のジェントルを追え！</v>
      </c>
      <c r="G481" s="3" t="str">
        <f ca="1">VLOOKUP($B481&amp;"_"&amp;$E481,OFFSET([1]stages!$A$1,0,0,COUNTA([1]stages!$A:$A),MATCH(G$1,[1]stages!$2:$2,0)-MATCH("temp_stage",[1]stages!$2:$2,0)+1),MATCH(G$1,[1]stages!$2:$2,0)-MATCH("temp_stage",[1]stages!$2:$2,0)+1,FALSE)</f>
        <v>ゲリラ【超級】</v>
      </c>
      <c r="H481" s="18">
        <v>0</v>
      </c>
      <c r="I481">
        <v>36</v>
      </c>
      <c r="J481" s="5" t="s">
        <v>16</v>
      </c>
      <c r="K481" s="34" t="str">
        <f>VLOOKUP(I481,[2]stage_hints!$A:$C,3,FALSE)</f>
        <v>タワーオブザクイーンのボス</v>
      </c>
      <c r="L481" s="35" t="str">
        <f>VLOOKUP(I481,[2]stage_hints!$A:$D,4,FALSE)</f>
        <v>「タワーオブザクイーン」最上階のボスは_x000D_15階の初回クリア報酬で獲得できるほか_x000D_その階にて低確率でドロップもします</v>
      </c>
      <c r="M481" s="21" t="s">
        <v>23</v>
      </c>
      <c r="N481">
        <v>36</v>
      </c>
    </row>
    <row r="482" spans="1:14" x14ac:dyDescent="0.15">
      <c r="A482" s="26" t="s">
        <v>32</v>
      </c>
      <c r="B482" s="4">
        <v>12003</v>
      </c>
      <c r="C482" s="3" t="str">
        <f ca="1">VLOOKUP($B482,OFFSET([1]quests!$A$1,0,0,COUNTA([1]quests!$A:$A),MATCH(C$1,[1]quests!$1:$1,0)-MATCH($B$1,[1]quests!$1:$1,0)+1),MATCH(C$1,[1]quests!$1:$1,0)-MATCH($B$1,[1]quests!$1:$1,0)+1,FALSE)</f>
        <v>【超緊急！！】メタルジェントルを追え</v>
      </c>
      <c r="D482" s="3" t="str">
        <f ca="1">VLOOKUP($B482,OFFSET([1]quests!$A$1,0,0,COUNTA([1]quests!$A:$A),MATCH(D$1,[1]quests!$1:$1,0)-MATCH($B$1,[1]quests!$1:$1,0)+1),MATCH(D$1,[1]quests!$1:$1,0)-MATCH($B$1,[1]quests!$1:$1,0)+1,FALSE)</f>
        <v>ゲリラ【超級】</v>
      </c>
      <c r="E482" s="5">
        <v>2</v>
      </c>
      <c r="F482" s="3" t="str">
        <f ca="1">VLOOKUP($B482&amp;"_"&amp;$E482,OFFSET([1]stages!$A$1,0,0,COUNTA([1]stages!$A:$A),MATCH(F$1,[1]stages!$2:$2,0)-MATCH("temp_stage",[1]stages!$2:$2,0)+1),MATCH(F$1,[1]stages!$2:$2,0)-MATCH("temp_stage",[1]stages!$2:$2,0)+1,FALSE)</f>
        <v>【超級】水のジェントルを追え！</v>
      </c>
      <c r="G482" s="3" t="str">
        <f ca="1">VLOOKUP($B482&amp;"_"&amp;$E482,OFFSET([1]stages!$A$1,0,0,COUNTA([1]stages!$A:$A),MATCH(G$1,[1]stages!$2:$2,0)-MATCH("temp_stage",[1]stages!$2:$2,0)+1),MATCH(G$1,[1]stages!$2:$2,0)-MATCH("temp_stage",[1]stages!$2:$2,0)+1,FALSE)</f>
        <v>ゲリラ【超級】</v>
      </c>
      <c r="H482" s="18">
        <v>0</v>
      </c>
      <c r="I482">
        <v>37</v>
      </c>
      <c r="J482" s="5" t="s">
        <v>16</v>
      </c>
      <c r="K482" s="34" t="str">
        <f>VLOOKUP(I482,[2]stage_hints!$A:$C,3,FALSE)</f>
        <v>限界突破値の引き継ぎ</v>
      </c>
      <c r="L482" s="35" t="str">
        <f>VLOOKUP(I482,[2]stage_hints!$A:$D,4,FALSE)</f>
        <v>同じユニットを強化で合成すると_x000D_限界突破値を引き継げます（覚醒前後も可）</v>
      </c>
      <c r="M482" s="21" t="s">
        <v>23</v>
      </c>
      <c r="N482">
        <v>37</v>
      </c>
    </row>
    <row r="483" spans="1:14" x14ac:dyDescent="0.15">
      <c r="A483" s="26" t="s">
        <v>32</v>
      </c>
      <c r="B483" s="4">
        <v>12003</v>
      </c>
      <c r="C483" s="3" t="str">
        <f ca="1">VLOOKUP($B483,OFFSET([1]quests!$A$1,0,0,COUNTA([1]quests!$A:$A),MATCH(C$1,[1]quests!$1:$1,0)-MATCH($B$1,[1]quests!$1:$1,0)+1),MATCH(C$1,[1]quests!$1:$1,0)-MATCH($B$1,[1]quests!$1:$1,0)+1,FALSE)</f>
        <v>【超緊急！！】メタルジェントルを追え</v>
      </c>
      <c r="D483" s="3" t="str">
        <f ca="1">VLOOKUP($B483,OFFSET([1]quests!$A$1,0,0,COUNTA([1]quests!$A:$A),MATCH(D$1,[1]quests!$1:$1,0)-MATCH($B$1,[1]quests!$1:$1,0)+1),MATCH(D$1,[1]quests!$1:$1,0)-MATCH($B$1,[1]quests!$1:$1,0)+1,FALSE)</f>
        <v>ゲリラ【超級】</v>
      </c>
      <c r="E483" s="5">
        <v>3</v>
      </c>
      <c r="F483" s="3" t="str">
        <f ca="1">VLOOKUP($B483&amp;"_"&amp;$E483,OFFSET([1]stages!$A$1,0,0,COUNTA([1]stages!$A:$A),MATCH(F$1,[1]stages!$2:$2,0)-MATCH("temp_stage",[1]stages!$2:$2,0)+1),MATCH(F$1,[1]stages!$2:$2,0)-MATCH("temp_stage",[1]stages!$2:$2,0)+1,FALSE)</f>
        <v>【超級】森のジェントルを追え！</v>
      </c>
      <c r="G483" s="3" t="str">
        <f ca="1">VLOOKUP($B483&amp;"_"&amp;$E483,OFFSET([1]stages!$A$1,0,0,COUNTA([1]stages!$A:$A),MATCH(G$1,[1]stages!$2:$2,0)-MATCH("temp_stage",[1]stages!$2:$2,0)+1),MATCH(G$1,[1]stages!$2:$2,0)-MATCH("temp_stage",[1]stages!$2:$2,0)+1,FALSE)</f>
        <v>ゲリラ【超級】</v>
      </c>
      <c r="H483" s="18">
        <v>0</v>
      </c>
      <c r="I483">
        <v>12</v>
      </c>
      <c r="J483" s="5" t="s">
        <v>16</v>
      </c>
      <c r="K483" s="34" t="str">
        <f>VLOOKUP(I483,[2]stage_hints!$A:$C,3,FALSE)</f>
        <v>ユニットのお気に入り登録</v>
      </c>
      <c r="L483" s="35" t="str">
        <f>VLOOKUP(I483,[2]stage_hints!$A:$D,4,FALSE)</f>
        <v>大事なユニットを誤って消さないように_x000D_フォルダから「お気に入り登録」しましょう</v>
      </c>
      <c r="M483" s="21" t="s">
        <v>23</v>
      </c>
      <c r="N483">
        <v>12</v>
      </c>
    </row>
    <row r="484" spans="1:14" x14ac:dyDescent="0.15">
      <c r="A484" s="26" t="s">
        <v>32</v>
      </c>
      <c r="B484" s="4">
        <v>12003</v>
      </c>
      <c r="C484" s="3" t="str">
        <f ca="1">VLOOKUP($B484,OFFSET([1]quests!$A$1,0,0,COUNTA([1]quests!$A:$A),MATCH(C$1,[1]quests!$1:$1,0)-MATCH($B$1,[1]quests!$1:$1,0)+1),MATCH(C$1,[1]quests!$1:$1,0)-MATCH($B$1,[1]quests!$1:$1,0)+1,FALSE)</f>
        <v>【超緊急！！】メタルジェントルを追え</v>
      </c>
      <c r="D484" s="3" t="str">
        <f ca="1">VLOOKUP($B484,OFFSET([1]quests!$A$1,0,0,COUNTA([1]quests!$A:$A),MATCH(D$1,[1]quests!$1:$1,0)-MATCH($B$1,[1]quests!$1:$1,0)+1),MATCH(D$1,[1]quests!$1:$1,0)-MATCH($B$1,[1]quests!$1:$1,0)+1,FALSE)</f>
        <v>ゲリラ【超級】</v>
      </c>
      <c r="E484" s="5">
        <v>3</v>
      </c>
      <c r="F484" s="3" t="str">
        <f ca="1">VLOOKUP($B484&amp;"_"&amp;$E484,OFFSET([1]stages!$A$1,0,0,COUNTA([1]stages!$A:$A),MATCH(F$1,[1]stages!$2:$2,0)-MATCH("temp_stage",[1]stages!$2:$2,0)+1),MATCH(F$1,[1]stages!$2:$2,0)-MATCH("temp_stage",[1]stages!$2:$2,0)+1,FALSE)</f>
        <v>【超級】森のジェントルを追え！</v>
      </c>
      <c r="G484" s="3" t="str">
        <f ca="1">VLOOKUP($B484&amp;"_"&amp;$E484,OFFSET([1]stages!$A$1,0,0,COUNTA([1]stages!$A:$A),MATCH(G$1,[1]stages!$2:$2,0)-MATCH("temp_stage",[1]stages!$2:$2,0)+1),MATCH(G$1,[1]stages!$2:$2,0)-MATCH("temp_stage",[1]stages!$2:$2,0)+1,FALSE)</f>
        <v>ゲリラ【超級】</v>
      </c>
      <c r="H484" s="18">
        <v>0</v>
      </c>
      <c r="I484">
        <v>17</v>
      </c>
      <c r="J484" s="5" t="s">
        <v>16</v>
      </c>
      <c r="K484" s="34" t="str">
        <f>VLOOKUP(I484,[2]stage_hints!$A:$C,3,FALSE)</f>
        <v>リンクガチャ</v>
      </c>
      <c r="L484" s="35" t="str">
        <f>VLOOKUP(I484,[2]stage_hints!$A:$D,4,FALSE)</f>
        <v>無料のリンクガチャを回して_x000D_経験値素材や売却素材を獲得しましょう</v>
      </c>
      <c r="M484" s="21" t="s">
        <v>23</v>
      </c>
      <c r="N484">
        <v>17</v>
      </c>
    </row>
    <row r="485" spans="1:14" x14ac:dyDescent="0.15">
      <c r="A485" s="26" t="s">
        <v>32</v>
      </c>
      <c r="B485" s="4">
        <v>12003</v>
      </c>
      <c r="C485" s="3" t="str">
        <f ca="1">VLOOKUP($B485,OFFSET([1]quests!$A$1,0,0,COUNTA([1]quests!$A:$A),MATCH(C$1,[1]quests!$1:$1,0)-MATCH($B$1,[1]quests!$1:$1,0)+1),MATCH(C$1,[1]quests!$1:$1,0)-MATCH($B$1,[1]quests!$1:$1,0)+1,FALSE)</f>
        <v>【超緊急！！】メタルジェントルを追え</v>
      </c>
      <c r="D485" s="3" t="str">
        <f ca="1">VLOOKUP($B485,OFFSET([1]quests!$A$1,0,0,COUNTA([1]quests!$A:$A),MATCH(D$1,[1]quests!$1:$1,0)-MATCH($B$1,[1]quests!$1:$1,0)+1),MATCH(D$1,[1]quests!$1:$1,0)-MATCH($B$1,[1]quests!$1:$1,0)+1,FALSE)</f>
        <v>ゲリラ【超級】</v>
      </c>
      <c r="E485" s="5">
        <v>3</v>
      </c>
      <c r="F485" s="3" t="str">
        <f ca="1">VLOOKUP($B485&amp;"_"&amp;$E485,OFFSET([1]stages!$A$1,0,0,COUNTA([1]stages!$A:$A),MATCH(F$1,[1]stages!$2:$2,0)-MATCH("temp_stage",[1]stages!$2:$2,0)+1),MATCH(F$1,[1]stages!$2:$2,0)-MATCH("temp_stage",[1]stages!$2:$2,0)+1,FALSE)</f>
        <v>【超級】森のジェントルを追え！</v>
      </c>
      <c r="G485" s="3" t="str">
        <f ca="1">VLOOKUP($B485&amp;"_"&amp;$E485,OFFSET([1]stages!$A$1,0,0,COUNTA([1]stages!$A:$A),MATCH(G$1,[1]stages!$2:$2,0)-MATCH("temp_stage",[1]stages!$2:$2,0)+1),MATCH(G$1,[1]stages!$2:$2,0)-MATCH("temp_stage",[1]stages!$2:$2,0)+1,FALSE)</f>
        <v>ゲリラ【超級】</v>
      </c>
      <c r="H485" s="18">
        <v>0</v>
      </c>
      <c r="I485">
        <v>19</v>
      </c>
      <c r="J485" s="5" t="s">
        <v>16</v>
      </c>
      <c r="K485" s="34" t="str">
        <f>VLOOKUP(I485,[2]stage_hints!$A:$C,3,FALSE)</f>
        <v>ソロ専用タワーオブザクイーン</v>
      </c>
      <c r="L485" s="35" t="str">
        <f>VLOOKUP(I485,[2]stage_hints!$A:$D,4,FALSE)</f>
        <v>ソロ専用の「タワーオブザクイーン」は_x000D_期間限定で定期的に開催されます_x000D_ここでしか獲得できない報酬もあるようです</v>
      </c>
      <c r="M485" s="21" t="s">
        <v>23</v>
      </c>
      <c r="N485">
        <v>19</v>
      </c>
    </row>
    <row r="486" spans="1:14" x14ac:dyDescent="0.15">
      <c r="A486" s="26" t="s">
        <v>32</v>
      </c>
      <c r="B486" s="4">
        <v>12003</v>
      </c>
      <c r="C486" s="3" t="str">
        <f ca="1">VLOOKUP($B486,OFFSET([1]quests!$A$1,0,0,COUNTA([1]quests!$A:$A),MATCH(C$1,[1]quests!$1:$1,0)-MATCH($B$1,[1]quests!$1:$1,0)+1),MATCH(C$1,[1]quests!$1:$1,0)-MATCH($B$1,[1]quests!$1:$1,0)+1,FALSE)</f>
        <v>【超緊急！！】メタルジェントルを追え</v>
      </c>
      <c r="D486" s="3" t="str">
        <f ca="1">VLOOKUP($B486,OFFSET([1]quests!$A$1,0,0,COUNTA([1]quests!$A:$A),MATCH(D$1,[1]quests!$1:$1,0)-MATCH($B$1,[1]quests!$1:$1,0)+1),MATCH(D$1,[1]quests!$1:$1,0)-MATCH($B$1,[1]quests!$1:$1,0)+1,FALSE)</f>
        <v>ゲリラ【超級】</v>
      </c>
      <c r="E486" s="5">
        <v>3</v>
      </c>
      <c r="F486" s="3" t="str">
        <f ca="1">VLOOKUP($B486&amp;"_"&amp;$E486,OFFSET([1]stages!$A$1,0,0,COUNTA([1]stages!$A:$A),MATCH(F$1,[1]stages!$2:$2,0)-MATCH("temp_stage",[1]stages!$2:$2,0)+1),MATCH(F$1,[1]stages!$2:$2,0)-MATCH("temp_stage",[1]stages!$2:$2,0)+1,FALSE)</f>
        <v>【超級】森のジェントルを追え！</v>
      </c>
      <c r="G486" s="3" t="str">
        <f ca="1">VLOOKUP($B486&amp;"_"&amp;$E486,OFFSET([1]stages!$A$1,0,0,COUNTA([1]stages!$A:$A),MATCH(G$1,[1]stages!$2:$2,0)-MATCH("temp_stage",[1]stages!$2:$2,0)+1),MATCH(G$1,[1]stages!$2:$2,0)-MATCH("temp_stage",[1]stages!$2:$2,0)+1,FALSE)</f>
        <v>ゲリラ【超級】</v>
      </c>
      <c r="H486" s="18">
        <v>0</v>
      </c>
      <c r="I486">
        <v>21</v>
      </c>
      <c r="J486" s="5" t="s">
        <v>16</v>
      </c>
      <c r="K486" s="34" t="str">
        <f>VLOOKUP(I486,[2]stage_hints!$A:$C,3,FALSE)</f>
        <v>スキルを有効に</v>
      </c>
      <c r="L486" s="35" t="str">
        <f>VLOOKUP(I486,[2]stage_hints!$A:$D,4,FALSE)</f>
        <v>ターン経過でユニットのスキルが使えます_x000D_強力スキルでバトルを有利に進めましょう</v>
      </c>
      <c r="M486" s="21" t="s">
        <v>23</v>
      </c>
      <c r="N486">
        <v>21</v>
      </c>
    </row>
    <row r="487" spans="1:14" x14ac:dyDescent="0.15">
      <c r="A487" s="26" t="s">
        <v>32</v>
      </c>
      <c r="B487" s="4">
        <v>12003</v>
      </c>
      <c r="C487" s="3" t="str">
        <f ca="1">VLOOKUP($B487,OFFSET([1]quests!$A$1,0,0,COUNTA([1]quests!$A:$A),MATCH(C$1,[1]quests!$1:$1,0)-MATCH($B$1,[1]quests!$1:$1,0)+1),MATCH(C$1,[1]quests!$1:$1,0)-MATCH($B$1,[1]quests!$1:$1,0)+1,FALSE)</f>
        <v>【超緊急！！】メタルジェントルを追え</v>
      </c>
      <c r="D487" s="3" t="str">
        <f ca="1">VLOOKUP($B487,OFFSET([1]quests!$A$1,0,0,COUNTA([1]quests!$A:$A),MATCH(D$1,[1]quests!$1:$1,0)-MATCH($B$1,[1]quests!$1:$1,0)+1),MATCH(D$1,[1]quests!$1:$1,0)-MATCH($B$1,[1]quests!$1:$1,0)+1,FALSE)</f>
        <v>ゲリラ【超級】</v>
      </c>
      <c r="E487" s="5">
        <v>3</v>
      </c>
      <c r="F487" s="3" t="str">
        <f ca="1">VLOOKUP($B487&amp;"_"&amp;$E487,OFFSET([1]stages!$A$1,0,0,COUNTA([1]stages!$A:$A),MATCH(F$1,[1]stages!$2:$2,0)-MATCH("temp_stage",[1]stages!$2:$2,0)+1),MATCH(F$1,[1]stages!$2:$2,0)-MATCH("temp_stage",[1]stages!$2:$2,0)+1,FALSE)</f>
        <v>【超級】森のジェントルを追え！</v>
      </c>
      <c r="G487" s="3" t="str">
        <f ca="1">VLOOKUP($B487&amp;"_"&amp;$E487,OFFSET([1]stages!$A$1,0,0,COUNTA([1]stages!$A:$A),MATCH(G$1,[1]stages!$2:$2,0)-MATCH("temp_stage",[1]stages!$2:$2,0)+1),MATCH(G$1,[1]stages!$2:$2,0)-MATCH("temp_stage",[1]stages!$2:$2,0)+1,FALSE)</f>
        <v>ゲリラ【超級】</v>
      </c>
      <c r="H487" s="18">
        <v>0</v>
      </c>
      <c r="I487">
        <v>27</v>
      </c>
      <c r="J487" s="5" t="s">
        <v>16</v>
      </c>
      <c r="K487" s="34" t="str">
        <f>VLOOKUP(I487,[2]stage_hints!$A:$C,3,FALSE)</f>
        <v>ホーム画面からデッキを編成</v>
      </c>
      <c r="L487" s="35" t="str">
        <f>VLOOKUP(I487,[2]stage_hints!$A:$D,4,FALSE)</f>
        <v>ホーム画面でユニットを長押しすると_x000D_すぐにパーティ編成に移動できます</v>
      </c>
      <c r="M487" s="21" t="s">
        <v>23</v>
      </c>
      <c r="N487">
        <v>27</v>
      </c>
    </row>
    <row r="488" spans="1:14" x14ac:dyDescent="0.15">
      <c r="A488" s="26" t="s">
        <v>32</v>
      </c>
      <c r="B488" s="4">
        <v>12003</v>
      </c>
      <c r="C488" s="3" t="str">
        <f ca="1">VLOOKUP($B488,OFFSET([1]quests!$A$1,0,0,COUNTA([1]quests!$A:$A),MATCH(C$1,[1]quests!$1:$1,0)-MATCH($B$1,[1]quests!$1:$1,0)+1),MATCH(C$1,[1]quests!$1:$1,0)-MATCH($B$1,[1]quests!$1:$1,0)+1,FALSE)</f>
        <v>【超緊急！！】メタルジェントルを追え</v>
      </c>
      <c r="D488" s="3" t="str">
        <f ca="1">VLOOKUP($B488,OFFSET([1]quests!$A$1,0,0,COUNTA([1]quests!$A:$A),MATCH(D$1,[1]quests!$1:$1,0)-MATCH($B$1,[1]quests!$1:$1,0)+1),MATCH(D$1,[1]quests!$1:$1,0)-MATCH($B$1,[1]quests!$1:$1,0)+1,FALSE)</f>
        <v>ゲリラ【超級】</v>
      </c>
      <c r="E488" s="5">
        <v>3</v>
      </c>
      <c r="F488" s="3" t="str">
        <f ca="1">VLOOKUP($B488&amp;"_"&amp;$E488,OFFSET([1]stages!$A$1,0,0,COUNTA([1]stages!$A:$A),MATCH(F$1,[1]stages!$2:$2,0)-MATCH("temp_stage",[1]stages!$2:$2,0)+1),MATCH(F$1,[1]stages!$2:$2,0)-MATCH("temp_stage",[1]stages!$2:$2,0)+1,FALSE)</f>
        <v>【超級】森のジェントルを追え！</v>
      </c>
      <c r="G488" s="3" t="str">
        <f ca="1">VLOOKUP($B488&amp;"_"&amp;$E488,OFFSET([1]stages!$A$1,0,0,COUNTA([1]stages!$A:$A),MATCH(G$1,[1]stages!$2:$2,0)-MATCH("temp_stage",[1]stages!$2:$2,0)+1),MATCH(G$1,[1]stages!$2:$2,0)-MATCH("temp_stage",[1]stages!$2:$2,0)+1,FALSE)</f>
        <v>ゲリラ【超級】</v>
      </c>
      <c r="H488" s="18">
        <v>0</v>
      </c>
      <c r="I488">
        <v>28</v>
      </c>
      <c r="J488" s="5" t="s">
        <v>16</v>
      </c>
      <c r="K488" s="34" t="str">
        <f>VLOOKUP(I488,[2]stage_hints!$A:$C,3,FALSE)</f>
        <v>ステータス情報は長押しで</v>
      </c>
      <c r="L488" s="35" t="str">
        <f>VLOOKUP(I488,[2]stage_hints!$A:$D,4,FALSE)</f>
        <v>ユニットのアイコンを長押しすると_x000D_ステータス情報を確認することができます</v>
      </c>
      <c r="M488" s="21" t="s">
        <v>23</v>
      </c>
      <c r="N488">
        <v>28</v>
      </c>
    </row>
    <row r="489" spans="1:14" x14ac:dyDescent="0.15">
      <c r="A489" s="26" t="s">
        <v>32</v>
      </c>
      <c r="B489" s="4">
        <v>12003</v>
      </c>
      <c r="C489" s="3" t="str">
        <f ca="1">VLOOKUP($B489,OFFSET([1]quests!$A$1,0,0,COUNTA([1]quests!$A:$A),MATCH(C$1,[1]quests!$1:$1,0)-MATCH($B$1,[1]quests!$1:$1,0)+1),MATCH(C$1,[1]quests!$1:$1,0)-MATCH($B$1,[1]quests!$1:$1,0)+1,FALSE)</f>
        <v>【超緊急！！】メタルジェントルを追え</v>
      </c>
      <c r="D489" s="3" t="str">
        <f ca="1">VLOOKUP($B489,OFFSET([1]quests!$A$1,0,0,COUNTA([1]quests!$A:$A),MATCH(D$1,[1]quests!$1:$1,0)-MATCH($B$1,[1]quests!$1:$1,0)+1),MATCH(D$1,[1]quests!$1:$1,0)-MATCH($B$1,[1]quests!$1:$1,0)+1,FALSE)</f>
        <v>ゲリラ【超級】</v>
      </c>
      <c r="E489" s="5">
        <v>3</v>
      </c>
      <c r="F489" s="3" t="str">
        <f ca="1">VLOOKUP($B489&amp;"_"&amp;$E489,OFFSET([1]stages!$A$1,0,0,COUNTA([1]stages!$A:$A),MATCH(F$1,[1]stages!$2:$2,0)-MATCH("temp_stage",[1]stages!$2:$2,0)+1),MATCH(F$1,[1]stages!$2:$2,0)-MATCH("temp_stage",[1]stages!$2:$2,0)+1,FALSE)</f>
        <v>【超級】森のジェントルを追え！</v>
      </c>
      <c r="G489" s="3" t="str">
        <f ca="1">VLOOKUP($B489&amp;"_"&amp;$E489,OFFSET([1]stages!$A$1,0,0,COUNTA([1]stages!$A:$A),MATCH(G$1,[1]stages!$2:$2,0)-MATCH("temp_stage",[1]stages!$2:$2,0)+1),MATCH(G$1,[1]stages!$2:$2,0)-MATCH("temp_stage",[1]stages!$2:$2,0)+1,FALSE)</f>
        <v>ゲリラ【超級】</v>
      </c>
      <c r="H489" s="18">
        <v>0</v>
      </c>
      <c r="I489">
        <v>29</v>
      </c>
      <c r="J489" s="5" t="s">
        <v>16</v>
      </c>
      <c r="K489" s="34" t="str">
        <f>VLOOKUP(I489,[2]stage_hints!$A:$C,3,FALSE)</f>
        <v>「バグ」のメリット</v>
      </c>
      <c r="L489" s="35" t="str">
        <f>VLOOKUP(I489,[2]stage_hints!$A:$D,4,FALSE)</f>
        <v>ユニットの「バグ」を増やすと_x000D_報酬をもらえる確率がアップします</v>
      </c>
      <c r="M489" s="21" t="s">
        <v>23</v>
      </c>
      <c r="N489">
        <v>29</v>
      </c>
    </row>
    <row r="490" spans="1:14" x14ac:dyDescent="0.15">
      <c r="A490" s="26" t="s">
        <v>32</v>
      </c>
      <c r="B490" s="4">
        <v>12003</v>
      </c>
      <c r="C490" s="3" t="str">
        <f ca="1">VLOOKUP($B490,OFFSET([1]quests!$A$1,0,0,COUNTA([1]quests!$A:$A),MATCH(C$1,[1]quests!$1:$1,0)-MATCH($B$1,[1]quests!$1:$1,0)+1),MATCH(C$1,[1]quests!$1:$1,0)-MATCH($B$1,[1]quests!$1:$1,0)+1,FALSE)</f>
        <v>【超緊急！！】メタルジェントルを追え</v>
      </c>
      <c r="D490" s="3" t="str">
        <f ca="1">VLOOKUP($B490,OFFSET([1]quests!$A$1,0,0,COUNTA([1]quests!$A:$A),MATCH(D$1,[1]quests!$1:$1,0)-MATCH($B$1,[1]quests!$1:$1,0)+1),MATCH(D$1,[1]quests!$1:$1,0)-MATCH($B$1,[1]quests!$1:$1,0)+1,FALSE)</f>
        <v>ゲリラ【超級】</v>
      </c>
      <c r="E490" s="5">
        <v>3</v>
      </c>
      <c r="F490" s="3" t="str">
        <f ca="1">VLOOKUP($B490&amp;"_"&amp;$E490,OFFSET([1]stages!$A$1,0,0,COUNTA([1]stages!$A:$A),MATCH(F$1,[1]stages!$2:$2,0)-MATCH("temp_stage",[1]stages!$2:$2,0)+1),MATCH(F$1,[1]stages!$2:$2,0)-MATCH("temp_stage",[1]stages!$2:$2,0)+1,FALSE)</f>
        <v>【超級】森のジェントルを追え！</v>
      </c>
      <c r="G490" s="3" t="str">
        <f ca="1">VLOOKUP($B490&amp;"_"&amp;$E490,OFFSET([1]stages!$A$1,0,0,COUNTA([1]stages!$A:$A),MATCH(G$1,[1]stages!$2:$2,0)-MATCH("temp_stage",[1]stages!$2:$2,0)+1),MATCH(G$1,[1]stages!$2:$2,0)-MATCH("temp_stage",[1]stages!$2:$2,0)+1,FALSE)</f>
        <v>ゲリラ【超級】</v>
      </c>
      <c r="H490" s="18">
        <v>0</v>
      </c>
      <c r="I490">
        <v>30</v>
      </c>
      <c r="J490" s="5" t="s">
        <v>16</v>
      </c>
      <c r="K490" s="34" t="str">
        <f>VLOOKUP(I490,[2]stage_hints!$A:$C,3,FALSE)</f>
        <v>「バグ」の増やし方</v>
      </c>
      <c r="L490" s="35" t="str">
        <f>VLOOKUP(I490,[2]stage_hints!$A:$D,4,FALSE)</f>
        <v>同じユニット同士を強化で合成すると_x000D_「バグ」を増やすことができます</v>
      </c>
      <c r="M490" s="21" t="s">
        <v>23</v>
      </c>
      <c r="N490">
        <v>30</v>
      </c>
    </row>
    <row r="491" spans="1:14" x14ac:dyDescent="0.15">
      <c r="A491" s="26" t="s">
        <v>32</v>
      </c>
      <c r="B491" s="4">
        <v>12003</v>
      </c>
      <c r="C491" s="3" t="str">
        <f ca="1">VLOOKUP($B491,OFFSET([1]quests!$A$1,0,0,COUNTA([1]quests!$A:$A),MATCH(C$1,[1]quests!$1:$1,0)-MATCH($B$1,[1]quests!$1:$1,0)+1),MATCH(C$1,[1]quests!$1:$1,0)-MATCH($B$1,[1]quests!$1:$1,0)+1,FALSE)</f>
        <v>【超緊急！！】メタルジェントルを追え</v>
      </c>
      <c r="D491" s="3" t="str">
        <f ca="1">VLOOKUP($B491,OFFSET([1]quests!$A$1,0,0,COUNTA([1]quests!$A:$A),MATCH(D$1,[1]quests!$1:$1,0)-MATCH($B$1,[1]quests!$1:$1,0)+1),MATCH(D$1,[1]quests!$1:$1,0)-MATCH($B$1,[1]quests!$1:$1,0)+1,FALSE)</f>
        <v>ゲリラ【超級】</v>
      </c>
      <c r="E491" s="5">
        <v>3</v>
      </c>
      <c r="F491" s="3" t="str">
        <f ca="1">VLOOKUP($B491&amp;"_"&amp;$E491,OFFSET([1]stages!$A$1,0,0,COUNTA([1]stages!$A:$A),MATCH(F$1,[1]stages!$2:$2,0)-MATCH("temp_stage",[1]stages!$2:$2,0)+1),MATCH(F$1,[1]stages!$2:$2,0)-MATCH("temp_stage",[1]stages!$2:$2,0)+1,FALSE)</f>
        <v>【超級】森のジェントルを追え！</v>
      </c>
      <c r="G491" s="3" t="str">
        <f ca="1">VLOOKUP($B491&amp;"_"&amp;$E491,OFFSET([1]stages!$A$1,0,0,COUNTA([1]stages!$A:$A),MATCH(G$1,[1]stages!$2:$2,0)-MATCH("temp_stage",[1]stages!$2:$2,0)+1),MATCH(G$1,[1]stages!$2:$2,0)-MATCH("temp_stage",[1]stages!$2:$2,0)+1,FALSE)</f>
        <v>ゲリラ【超級】</v>
      </c>
      <c r="H491" s="18">
        <v>0</v>
      </c>
      <c r="I491">
        <v>32</v>
      </c>
      <c r="J491" s="5" t="s">
        <v>16</v>
      </c>
      <c r="K491" s="34" t="str">
        <f>VLOOKUP(I491,[2]stage_hints!$A:$C,3,FALSE)</f>
        <v>敵の連続攻撃には</v>
      </c>
      <c r="L491" s="35" t="str">
        <f>VLOOKUP(I491,[2]stage_hints!$A:$D,4,FALSE)</f>
        <v>カウンタースキルを持つユニットがいれば_x000D_ダメージ回数分の反撃ができます</v>
      </c>
      <c r="M491" s="21" t="s">
        <v>23</v>
      </c>
      <c r="N491">
        <v>32</v>
      </c>
    </row>
    <row r="492" spans="1:14" x14ac:dyDescent="0.15">
      <c r="A492" s="26" t="s">
        <v>32</v>
      </c>
      <c r="B492" s="4">
        <v>12003</v>
      </c>
      <c r="C492" s="3" t="str">
        <f ca="1">VLOOKUP($B492,OFFSET([1]quests!$A$1,0,0,COUNTA([1]quests!$A:$A),MATCH(C$1,[1]quests!$1:$1,0)-MATCH($B$1,[1]quests!$1:$1,0)+1),MATCH(C$1,[1]quests!$1:$1,0)-MATCH($B$1,[1]quests!$1:$1,0)+1,FALSE)</f>
        <v>【超緊急！！】メタルジェントルを追え</v>
      </c>
      <c r="D492" s="3" t="str">
        <f ca="1">VLOOKUP($B492,OFFSET([1]quests!$A$1,0,0,COUNTA([1]quests!$A:$A),MATCH(D$1,[1]quests!$1:$1,0)-MATCH($B$1,[1]quests!$1:$1,0)+1),MATCH(D$1,[1]quests!$1:$1,0)-MATCH($B$1,[1]quests!$1:$1,0)+1,FALSE)</f>
        <v>ゲリラ【超級】</v>
      </c>
      <c r="E492" s="5">
        <v>3</v>
      </c>
      <c r="F492" s="3" t="str">
        <f ca="1">VLOOKUP($B492&amp;"_"&amp;$E492,OFFSET([1]stages!$A$1,0,0,COUNTA([1]stages!$A:$A),MATCH(F$1,[1]stages!$2:$2,0)-MATCH("temp_stage",[1]stages!$2:$2,0)+1),MATCH(F$1,[1]stages!$2:$2,0)-MATCH("temp_stage",[1]stages!$2:$2,0)+1,FALSE)</f>
        <v>【超級】森のジェントルを追え！</v>
      </c>
      <c r="G492" s="3" t="str">
        <f ca="1">VLOOKUP($B492&amp;"_"&amp;$E492,OFFSET([1]stages!$A$1,0,0,COUNTA([1]stages!$A:$A),MATCH(G$1,[1]stages!$2:$2,0)-MATCH("temp_stage",[1]stages!$2:$2,0)+1),MATCH(G$1,[1]stages!$2:$2,0)-MATCH("temp_stage",[1]stages!$2:$2,0)+1,FALSE)</f>
        <v>ゲリラ【超級】</v>
      </c>
      <c r="H492" s="18">
        <v>0</v>
      </c>
      <c r="I492">
        <v>33</v>
      </c>
      <c r="J492" s="5" t="s">
        <v>16</v>
      </c>
      <c r="K492" s="34" t="str">
        <f>VLOOKUP(I492,[2]stage_hints!$A:$C,3,FALSE)</f>
        <v>敵のカウンター攻撃には</v>
      </c>
      <c r="L492" s="35" t="str">
        <f>VLOOKUP(I492,[2]stage_hints!$A:$D,4,FALSE)</f>
        <v>カウンターブレイクスキルを持っていれば_x000D_敵のカウンターを解除して攻撃ができます</v>
      </c>
      <c r="M492" s="21" t="s">
        <v>23</v>
      </c>
      <c r="N492">
        <v>33</v>
      </c>
    </row>
    <row r="493" spans="1:14" x14ac:dyDescent="0.15">
      <c r="A493" s="26" t="s">
        <v>32</v>
      </c>
      <c r="B493" s="4">
        <v>12003</v>
      </c>
      <c r="C493" s="3" t="str">
        <f ca="1">VLOOKUP($B493,OFFSET([1]quests!$A$1,0,0,COUNTA([1]quests!$A:$A),MATCH(C$1,[1]quests!$1:$1,0)-MATCH($B$1,[1]quests!$1:$1,0)+1),MATCH(C$1,[1]quests!$1:$1,0)-MATCH($B$1,[1]quests!$1:$1,0)+1,FALSE)</f>
        <v>【超緊急！！】メタルジェントルを追え</v>
      </c>
      <c r="D493" s="3" t="str">
        <f ca="1">VLOOKUP($B493,OFFSET([1]quests!$A$1,0,0,COUNTA([1]quests!$A:$A),MATCH(D$1,[1]quests!$1:$1,0)-MATCH($B$1,[1]quests!$1:$1,0)+1),MATCH(D$1,[1]quests!$1:$1,0)-MATCH($B$1,[1]quests!$1:$1,0)+1,FALSE)</f>
        <v>ゲリラ【超級】</v>
      </c>
      <c r="E493" s="5">
        <v>3</v>
      </c>
      <c r="F493" s="3" t="str">
        <f ca="1">VLOOKUP($B493&amp;"_"&amp;$E493,OFFSET([1]stages!$A$1,0,0,COUNTA([1]stages!$A:$A),MATCH(F$1,[1]stages!$2:$2,0)-MATCH("temp_stage",[1]stages!$2:$2,0)+1),MATCH(F$1,[1]stages!$2:$2,0)-MATCH("temp_stage",[1]stages!$2:$2,0)+1,FALSE)</f>
        <v>【超級】森のジェントルを追え！</v>
      </c>
      <c r="G493" s="3" t="str">
        <f ca="1">VLOOKUP($B493&amp;"_"&amp;$E493,OFFSET([1]stages!$A$1,0,0,COUNTA([1]stages!$A:$A),MATCH(G$1,[1]stages!$2:$2,0)-MATCH("temp_stage",[1]stages!$2:$2,0)+1),MATCH(G$1,[1]stages!$2:$2,0)-MATCH("temp_stage",[1]stages!$2:$2,0)+1,FALSE)</f>
        <v>ゲリラ【超級】</v>
      </c>
      <c r="H493" s="18">
        <v>0</v>
      </c>
      <c r="I493">
        <v>34</v>
      </c>
      <c r="J493" s="5" t="s">
        <v>16</v>
      </c>
      <c r="K493" s="34" t="str">
        <f>VLOOKUP(I493,[2]stage_hints!$A:$C,3,FALSE)</f>
        <v>ステータスをスキルで下げられたら</v>
      </c>
      <c r="L493" s="35" t="str">
        <f>VLOOKUP(I493,[2]stage_hints!$A:$D,4,FALSE)</f>
        <v>ステータスダウンのスキルを受けたら_x000D_ステータスアップスキルで上書きしましょう</v>
      </c>
      <c r="M493" s="21" t="s">
        <v>23</v>
      </c>
      <c r="N493">
        <v>34</v>
      </c>
    </row>
    <row r="494" spans="1:14" x14ac:dyDescent="0.15">
      <c r="A494" s="26" t="s">
        <v>32</v>
      </c>
      <c r="B494" s="4">
        <v>12003</v>
      </c>
      <c r="C494" s="3" t="str">
        <f ca="1">VLOOKUP($B494,OFFSET([1]quests!$A$1,0,0,COUNTA([1]quests!$A:$A),MATCH(C$1,[1]quests!$1:$1,0)-MATCH($B$1,[1]quests!$1:$1,0)+1),MATCH(C$1,[1]quests!$1:$1,0)-MATCH($B$1,[1]quests!$1:$1,0)+1,FALSE)</f>
        <v>【超緊急！！】メタルジェントルを追え</v>
      </c>
      <c r="D494" s="3" t="str">
        <f ca="1">VLOOKUP($B494,OFFSET([1]quests!$A$1,0,0,COUNTA([1]quests!$A:$A),MATCH(D$1,[1]quests!$1:$1,0)-MATCH($B$1,[1]quests!$1:$1,0)+1),MATCH(D$1,[1]quests!$1:$1,0)-MATCH($B$1,[1]quests!$1:$1,0)+1,FALSE)</f>
        <v>ゲリラ【超級】</v>
      </c>
      <c r="E494" s="5">
        <v>3</v>
      </c>
      <c r="F494" s="3" t="str">
        <f ca="1">VLOOKUP($B494&amp;"_"&amp;$E494,OFFSET([1]stages!$A$1,0,0,COUNTA([1]stages!$A:$A),MATCH(F$1,[1]stages!$2:$2,0)-MATCH("temp_stage",[1]stages!$2:$2,0)+1),MATCH(F$1,[1]stages!$2:$2,0)-MATCH("temp_stage",[1]stages!$2:$2,0)+1,FALSE)</f>
        <v>【超級】森のジェントルを追え！</v>
      </c>
      <c r="G494" s="3" t="str">
        <f ca="1">VLOOKUP($B494&amp;"_"&amp;$E494,OFFSET([1]stages!$A$1,0,0,COUNTA([1]stages!$A:$A),MATCH(G$1,[1]stages!$2:$2,0)-MATCH("temp_stage",[1]stages!$2:$2,0)+1),MATCH(G$1,[1]stages!$2:$2,0)-MATCH("temp_stage",[1]stages!$2:$2,0)+1,FALSE)</f>
        <v>ゲリラ【超級】</v>
      </c>
      <c r="H494" s="18">
        <v>0</v>
      </c>
      <c r="I494">
        <v>35</v>
      </c>
      <c r="J494" s="5" t="s">
        <v>16</v>
      </c>
      <c r="K494" s="34" t="str">
        <f>VLOOKUP(I494,[2]stage_hints!$A:$C,3,FALSE)</f>
        <v>敵のステータスがスキルで上がったら</v>
      </c>
      <c r="L494" s="35" t="str">
        <f>VLOOKUP(I494,[2]stage_hints!$A:$D,4,FALSE)</f>
        <v>敵のステータスがスキルでアップしたときは_x000D_ステータスダウンスキルで上書きしましょう</v>
      </c>
      <c r="M494" s="21" t="s">
        <v>23</v>
      </c>
      <c r="N494">
        <v>35</v>
      </c>
    </row>
    <row r="495" spans="1:14" x14ac:dyDescent="0.15">
      <c r="A495" s="26" t="s">
        <v>32</v>
      </c>
      <c r="B495" s="4">
        <v>12003</v>
      </c>
      <c r="C495" s="3" t="str">
        <f ca="1">VLOOKUP($B495,OFFSET([1]quests!$A$1,0,0,COUNTA([1]quests!$A:$A),MATCH(C$1,[1]quests!$1:$1,0)-MATCH($B$1,[1]quests!$1:$1,0)+1),MATCH(C$1,[1]quests!$1:$1,0)-MATCH($B$1,[1]quests!$1:$1,0)+1,FALSE)</f>
        <v>【超緊急！！】メタルジェントルを追え</v>
      </c>
      <c r="D495" s="3" t="str">
        <f ca="1">VLOOKUP($B495,OFFSET([1]quests!$A$1,0,0,COUNTA([1]quests!$A:$A),MATCH(D$1,[1]quests!$1:$1,0)-MATCH($B$1,[1]quests!$1:$1,0)+1),MATCH(D$1,[1]quests!$1:$1,0)-MATCH($B$1,[1]quests!$1:$1,0)+1,FALSE)</f>
        <v>ゲリラ【超級】</v>
      </c>
      <c r="E495" s="5">
        <v>3</v>
      </c>
      <c r="F495" s="3" t="str">
        <f ca="1">VLOOKUP($B495&amp;"_"&amp;$E495,OFFSET([1]stages!$A$1,0,0,COUNTA([1]stages!$A:$A),MATCH(F$1,[1]stages!$2:$2,0)-MATCH("temp_stage",[1]stages!$2:$2,0)+1),MATCH(F$1,[1]stages!$2:$2,0)-MATCH("temp_stage",[1]stages!$2:$2,0)+1,FALSE)</f>
        <v>【超級】森のジェントルを追え！</v>
      </c>
      <c r="G495" s="3" t="str">
        <f ca="1">VLOOKUP($B495&amp;"_"&amp;$E495,OFFSET([1]stages!$A$1,0,0,COUNTA([1]stages!$A:$A),MATCH(G$1,[1]stages!$2:$2,0)-MATCH("temp_stage",[1]stages!$2:$2,0)+1),MATCH(G$1,[1]stages!$2:$2,0)-MATCH("temp_stage",[1]stages!$2:$2,0)+1,FALSE)</f>
        <v>ゲリラ【超級】</v>
      </c>
      <c r="H495" s="18">
        <v>0</v>
      </c>
      <c r="I495">
        <v>36</v>
      </c>
      <c r="J495" s="5" t="s">
        <v>16</v>
      </c>
      <c r="K495" s="34" t="str">
        <f>VLOOKUP(I495,[2]stage_hints!$A:$C,3,FALSE)</f>
        <v>タワーオブザクイーンのボス</v>
      </c>
      <c r="L495" s="35" t="str">
        <f>VLOOKUP(I495,[2]stage_hints!$A:$D,4,FALSE)</f>
        <v>「タワーオブザクイーン」最上階のボスは_x000D_15階の初回クリア報酬で獲得できるほか_x000D_その階にて低確率でドロップもします</v>
      </c>
      <c r="M495" s="21" t="s">
        <v>23</v>
      </c>
      <c r="N495">
        <v>36</v>
      </c>
    </row>
    <row r="496" spans="1:14" x14ac:dyDescent="0.15">
      <c r="A496" s="26" t="s">
        <v>32</v>
      </c>
      <c r="B496" s="4">
        <v>12003</v>
      </c>
      <c r="C496" s="3" t="str">
        <f ca="1">VLOOKUP($B496,OFFSET([1]quests!$A$1,0,0,COUNTA([1]quests!$A:$A),MATCH(C$1,[1]quests!$1:$1,0)-MATCH($B$1,[1]quests!$1:$1,0)+1),MATCH(C$1,[1]quests!$1:$1,0)-MATCH($B$1,[1]quests!$1:$1,0)+1,FALSE)</f>
        <v>【超緊急！！】メタルジェントルを追え</v>
      </c>
      <c r="D496" s="3" t="str">
        <f ca="1">VLOOKUP($B496,OFFSET([1]quests!$A$1,0,0,COUNTA([1]quests!$A:$A),MATCH(D$1,[1]quests!$1:$1,0)-MATCH($B$1,[1]quests!$1:$1,0)+1),MATCH(D$1,[1]quests!$1:$1,0)-MATCH($B$1,[1]quests!$1:$1,0)+1,FALSE)</f>
        <v>ゲリラ【超級】</v>
      </c>
      <c r="E496" s="5">
        <v>3</v>
      </c>
      <c r="F496" s="3" t="str">
        <f ca="1">VLOOKUP($B496&amp;"_"&amp;$E496,OFFSET([1]stages!$A$1,0,0,COUNTA([1]stages!$A:$A),MATCH(F$1,[1]stages!$2:$2,0)-MATCH("temp_stage",[1]stages!$2:$2,0)+1),MATCH(F$1,[1]stages!$2:$2,0)-MATCH("temp_stage",[1]stages!$2:$2,0)+1,FALSE)</f>
        <v>【超級】森のジェントルを追え！</v>
      </c>
      <c r="G496" s="3" t="str">
        <f ca="1">VLOOKUP($B496&amp;"_"&amp;$E496,OFFSET([1]stages!$A$1,0,0,COUNTA([1]stages!$A:$A),MATCH(G$1,[1]stages!$2:$2,0)-MATCH("temp_stage",[1]stages!$2:$2,0)+1),MATCH(G$1,[1]stages!$2:$2,0)-MATCH("temp_stage",[1]stages!$2:$2,0)+1,FALSE)</f>
        <v>ゲリラ【超級】</v>
      </c>
      <c r="H496" s="18">
        <v>0</v>
      </c>
      <c r="I496">
        <v>37</v>
      </c>
      <c r="J496" s="5" t="s">
        <v>16</v>
      </c>
      <c r="K496" s="34" t="str">
        <f>VLOOKUP(I496,[2]stage_hints!$A:$C,3,FALSE)</f>
        <v>限界突破値の引き継ぎ</v>
      </c>
      <c r="L496" s="35" t="str">
        <f>VLOOKUP(I496,[2]stage_hints!$A:$D,4,FALSE)</f>
        <v>同じユニットを強化で合成すると_x000D_限界突破値を引き継げます（覚醒前後も可）</v>
      </c>
      <c r="M496" s="21" t="s">
        <v>23</v>
      </c>
      <c r="N496">
        <v>37</v>
      </c>
    </row>
    <row r="497" spans="1:14" x14ac:dyDescent="0.15">
      <c r="A497" s="26" t="s">
        <v>32</v>
      </c>
      <c r="B497" s="4">
        <v>12003</v>
      </c>
      <c r="C497" s="3" t="str">
        <f ca="1">VLOOKUP($B497,OFFSET([1]quests!$A$1,0,0,COUNTA([1]quests!$A:$A),MATCH(C$1,[1]quests!$1:$1,0)-MATCH($B$1,[1]quests!$1:$1,0)+1),MATCH(C$1,[1]quests!$1:$1,0)-MATCH($B$1,[1]quests!$1:$1,0)+1,FALSE)</f>
        <v>【超緊急！！】メタルジェントルを追え</v>
      </c>
      <c r="D497" s="3" t="str">
        <f ca="1">VLOOKUP($B497,OFFSET([1]quests!$A$1,0,0,COUNTA([1]quests!$A:$A),MATCH(D$1,[1]quests!$1:$1,0)-MATCH($B$1,[1]quests!$1:$1,0)+1),MATCH(D$1,[1]quests!$1:$1,0)-MATCH($B$1,[1]quests!$1:$1,0)+1,FALSE)</f>
        <v>ゲリラ【超級】</v>
      </c>
      <c r="E497" s="5">
        <v>4</v>
      </c>
      <c r="F497" s="3" t="str">
        <f ca="1">VLOOKUP($B497&amp;"_"&amp;$E497,OFFSET([1]stages!$A$1,0,0,COUNTA([1]stages!$A:$A),MATCH(F$1,[1]stages!$2:$2,0)-MATCH("temp_stage",[1]stages!$2:$2,0)+1),MATCH(F$1,[1]stages!$2:$2,0)-MATCH("temp_stage",[1]stages!$2:$2,0)+1,FALSE)</f>
        <v>【超級】炎のジェントルを追え！</v>
      </c>
      <c r="G497" s="3" t="str">
        <f ca="1">VLOOKUP($B497&amp;"_"&amp;$E497,OFFSET([1]stages!$A$1,0,0,COUNTA([1]stages!$A:$A),MATCH(G$1,[1]stages!$2:$2,0)-MATCH("temp_stage",[1]stages!$2:$2,0)+1),MATCH(G$1,[1]stages!$2:$2,0)-MATCH("temp_stage",[1]stages!$2:$2,0)+1,FALSE)</f>
        <v>ゲリラ【超級】</v>
      </c>
      <c r="H497" s="18">
        <v>0</v>
      </c>
      <c r="I497">
        <v>12</v>
      </c>
      <c r="J497" s="5" t="s">
        <v>16</v>
      </c>
      <c r="K497" s="34" t="str">
        <f>VLOOKUP(I497,[2]stage_hints!$A:$C,3,FALSE)</f>
        <v>ユニットのお気に入り登録</v>
      </c>
      <c r="L497" s="35" t="str">
        <f>VLOOKUP(I497,[2]stage_hints!$A:$D,4,FALSE)</f>
        <v>大事なユニットを誤って消さないように_x000D_フォルダから「お気に入り登録」しましょう</v>
      </c>
      <c r="M497" s="21" t="s">
        <v>23</v>
      </c>
      <c r="N497">
        <v>12</v>
      </c>
    </row>
    <row r="498" spans="1:14" x14ac:dyDescent="0.15">
      <c r="A498" s="26" t="s">
        <v>32</v>
      </c>
      <c r="B498" s="4">
        <v>12003</v>
      </c>
      <c r="C498" s="3" t="str">
        <f ca="1">VLOOKUP($B498,OFFSET([1]quests!$A$1,0,0,COUNTA([1]quests!$A:$A),MATCH(C$1,[1]quests!$1:$1,0)-MATCH($B$1,[1]quests!$1:$1,0)+1),MATCH(C$1,[1]quests!$1:$1,0)-MATCH($B$1,[1]quests!$1:$1,0)+1,FALSE)</f>
        <v>【超緊急！！】メタルジェントルを追え</v>
      </c>
      <c r="D498" s="3" t="str">
        <f ca="1">VLOOKUP($B498,OFFSET([1]quests!$A$1,0,0,COUNTA([1]quests!$A:$A),MATCH(D$1,[1]quests!$1:$1,0)-MATCH($B$1,[1]quests!$1:$1,0)+1),MATCH(D$1,[1]quests!$1:$1,0)-MATCH($B$1,[1]quests!$1:$1,0)+1,FALSE)</f>
        <v>ゲリラ【超級】</v>
      </c>
      <c r="E498" s="5">
        <v>4</v>
      </c>
      <c r="F498" s="3" t="str">
        <f ca="1">VLOOKUP($B498&amp;"_"&amp;$E498,OFFSET([1]stages!$A$1,0,0,COUNTA([1]stages!$A:$A),MATCH(F$1,[1]stages!$2:$2,0)-MATCH("temp_stage",[1]stages!$2:$2,0)+1),MATCH(F$1,[1]stages!$2:$2,0)-MATCH("temp_stage",[1]stages!$2:$2,0)+1,FALSE)</f>
        <v>【超級】炎のジェントルを追え！</v>
      </c>
      <c r="G498" s="3" t="str">
        <f ca="1">VLOOKUP($B498&amp;"_"&amp;$E498,OFFSET([1]stages!$A$1,0,0,COUNTA([1]stages!$A:$A),MATCH(G$1,[1]stages!$2:$2,0)-MATCH("temp_stage",[1]stages!$2:$2,0)+1),MATCH(G$1,[1]stages!$2:$2,0)-MATCH("temp_stage",[1]stages!$2:$2,0)+1,FALSE)</f>
        <v>ゲリラ【超級】</v>
      </c>
      <c r="H498" s="18">
        <v>0</v>
      </c>
      <c r="I498">
        <v>17</v>
      </c>
      <c r="J498" s="5" t="s">
        <v>16</v>
      </c>
      <c r="K498" s="34" t="str">
        <f>VLOOKUP(I498,[2]stage_hints!$A:$C,3,FALSE)</f>
        <v>リンクガチャ</v>
      </c>
      <c r="L498" s="35" t="str">
        <f>VLOOKUP(I498,[2]stage_hints!$A:$D,4,FALSE)</f>
        <v>無料のリンクガチャを回して_x000D_経験値素材や売却素材を獲得しましょう</v>
      </c>
      <c r="M498" s="21" t="s">
        <v>23</v>
      </c>
      <c r="N498">
        <v>17</v>
      </c>
    </row>
    <row r="499" spans="1:14" x14ac:dyDescent="0.15">
      <c r="A499" s="26" t="s">
        <v>32</v>
      </c>
      <c r="B499" s="4">
        <v>12003</v>
      </c>
      <c r="C499" s="3" t="str">
        <f ca="1">VLOOKUP($B499,OFFSET([1]quests!$A$1,0,0,COUNTA([1]quests!$A:$A),MATCH(C$1,[1]quests!$1:$1,0)-MATCH($B$1,[1]quests!$1:$1,0)+1),MATCH(C$1,[1]quests!$1:$1,0)-MATCH($B$1,[1]quests!$1:$1,0)+1,FALSE)</f>
        <v>【超緊急！！】メタルジェントルを追え</v>
      </c>
      <c r="D499" s="3" t="str">
        <f ca="1">VLOOKUP($B499,OFFSET([1]quests!$A$1,0,0,COUNTA([1]quests!$A:$A),MATCH(D$1,[1]quests!$1:$1,0)-MATCH($B$1,[1]quests!$1:$1,0)+1),MATCH(D$1,[1]quests!$1:$1,0)-MATCH($B$1,[1]quests!$1:$1,0)+1,FALSE)</f>
        <v>ゲリラ【超級】</v>
      </c>
      <c r="E499" s="5">
        <v>4</v>
      </c>
      <c r="F499" s="3" t="str">
        <f ca="1">VLOOKUP($B499&amp;"_"&amp;$E499,OFFSET([1]stages!$A$1,0,0,COUNTA([1]stages!$A:$A),MATCH(F$1,[1]stages!$2:$2,0)-MATCH("temp_stage",[1]stages!$2:$2,0)+1),MATCH(F$1,[1]stages!$2:$2,0)-MATCH("temp_stage",[1]stages!$2:$2,0)+1,FALSE)</f>
        <v>【超級】炎のジェントルを追え！</v>
      </c>
      <c r="G499" s="3" t="str">
        <f ca="1">VLOOKUP($B499&amp;"_"&amp;$E499,OFFSET([1]stages!$A$1,0,0,COUNTA([1]stages!$A:$A),MATCH(G$1,[1]stages!$2:$2,0)-MATCH("temp_stage",[1]stages!$2:$2,0)+1),MATCH(G$1,[1]stages!$2:$2,0)-MATCH("temp_stage",[1]stages!$2:$2,0)+1,FALSE)</f>
        <v>ゲリラ【超級】</v>
      </c>
      <c r="H499" s="18">
        <v>0</v>
      </c>
      <c r="I499">
        <v>19</v>
      </c>
      <c r="J499" s="5" t="s">
        <v>16</v>
      </c>
      <c r="K499" s="34" t="str">
        <f>VLOOKUP(I499,[2]stage_hints!$A:$C,3,FALSE)</f>
        <v>ソロ専用タワーオブザクイーン</v>
      </c>
      <c r="L499" s="35" t="str">
        <f>VLOOKUP(I499,[2]stage_hints!$A:$D,4,FALSE)</f>
        <v>ソロ専用の「タワーオブザクイーン」は_x000D_期間限定で定期的に開催されます_x000D_ここでしか獲得できない報酬もあるようです</v>
      </c>
      <c r="M499" s="21" t="s">
        <v>23</v>
      </c>
      <c r="N499">
        <v>19</v>
      </c>
    </row>
    <row r="500" spans="1:14" x14ac:dyDescent="0.15">
      <c r="A500" s="26" t="s">
        <v>32</v>
      </c>
      <c r="B500" s="4">
        <v>12003</v>
      </c>
      <c r="C500" s="3" t="str">
        <f ca="1">VLOOKUP($B500,OFFSET([1]quests!$A$1,0,0,COUNTA([1]quests!$A:$A),MATCH(C$1,[1]quests!$1:$1,0)-MATCH($B$1,[1]quests!$1:$1,0)+1),MATCH(C$1,[1]quests!$1:$1,0)-MATCH($B$1,[1]quests!$1:$1,0)+1,FALSE)</f>
        <v>【超緊急！！】メタルジェントルを追え</v>
      </c>
      <c r="D500" s="3" t="str">
        <f ca="1">VLOOKUP($B500,OFFSET([1]quests!$A$1,0,0,COUNTA([1]quests!$A:$A),MATCH(D$1,[1]quests!$1:$1,0)-MATCH($B$1,[1]quests!$1:$1,0)+1),MATCH(D$1,[1]quests!$1:$1,0)-MATCH($B$1,[1]quests!$1:$1,0)+1,FALSE)</f>
        <v>ゲリラ【超級】</v>
      </c>
      <c r="E500" s="5">
        <v>4</v>
      </c>
      <c r="F500" s="3" t="str">
        <f ca="1">VLOOKUP($B500&amp;"_"&amp;$E500,OFFSET([1]stages!$A$1,0,0,COUNTA([1]stages!$A:$A),MATCH(F$1,[1]stages!$2:$2,0)-MATCH("temp_stage",[1]stages!$2:$2,0)+1),MATCH(F$1,[1]stages!$2:$2,0)-MATCH("temp_stage",[1]stages!$2:$2,0)+1,FALSE)</f>
        <v>【超級】炎のジェントルを追え！</v>
      </c>
      <c r="G500" s="3" t="str">
        <f ca="1">VLOOKUP($B500&amp;"_"&amp;$E500,OFFSET([1]stages!$A$1,0,0,COUNTA([1]stages!$A:$A),MATCH(G$1,[1]stages!$2:$2,0)-MATCH("temp_stage",[1]stages!$2:$2,0)+1),MATCH(G$1,[1]stages!$2:$2,0)-MATCH("temp_stage",[1]stages!$2:$2,0)+1,FALSE)</f>
        <v>ゲリラ【超級】</v>
      </c>
      <c r="H500" s="18">
        <v>0</v>
      </c>
      <c r="I500">
        <v>21</v>
      </c>
      <c r="J500" s="5" t="s">
        <v>16</v>
      </c>
      <c r="K500" s="34" t="str">
        <f>VLOOKUP(I500,[2]stage_hints!$A:$C,3,FALSE)</f>
        <v>スキルを有効に</v>
      </c>
      <c r="L500" s="35" t="str">
        <f>VLOOKUP(I500,[2]stage_hints!$A:$D,4,FALSE)</f>
        <v>ターン経過でユニットのスキルが使えます_x000D_強力スキルでバトルを有利に進めましょう</v>
      </c>
      <c r="M500" s="21" t="s">
        <v>23</v>
      </c>
      <c r="N500">
        <v>21</v>
      </c>
    </row>
    <row r="501" spans="1:14" x14ac:dyDescent="0.15">
      <c r="A501" s="26" t="s">
        <v>32</v>
      </c>
      <c r="B501" s="4">
        <v>12003</v>
      </c>
      <c r="C501" s="3" t="str">
        <f ca="1">VLOOKUP($B501,OFFSET([1]quests!$A$1,0,0,COUNTA([1]quests!$A:$A),MATCH(C$1,[1]quests!$1:$1,0)-MATCH($B$1,[1]quests!$1:$1,0)+1),MATCH(C$1,[1]quests!$1:$1,0)-MATCH($B$1,[1]quests!$1:$1,0)+1,FALSE)</f>
        <v>【超緊急！！】メタルジェントルを追え</v>
      </c>
      <c r="D501" s="3" t="str">
        <f ca="1">VLOOKUP($B501,OFFSET([1]quests!$A$1,0,0,COUNTA([1]quests!$A:$A),MATCH(D$1,[1]quests!$1:$1,0)-MATCH($B$1,[1]quests!$1:$1,0)+1),MATCH(D$1,[1]quests!$1:$1,0)-MATCH($B$1,[1]quests!$1:$1,0)+1,FALSE)</f>
        <v>ゲリラ【超級】</v>
      </c>
      <c r="E501" s="5">
        <v>4</v>
      </c>
      <c r="F501" s="3" t="str">
        <f ca="1">VLOOKUP($B501&amp;"_"&amp;$E501,OFFSET([1]stages!$A$1,0,0,COUNTA([1]stages!$A:$A),MATCH(F$1,[1]stages!$2:$2,0)-MATCH("temp_stage",[1]stages!$2:$2,0)+1),MATCH(F$1,[1]stages!$2:$2,0)-MATCH("temp_stage",[1]stages!$2:$2,0)+1,FALSE)</f>
        <v>【超級】炎のジェントルを追え！</v>
      </c>
      <c r="G501" s="3" t="str">
        <f ca="1">VLOOKUP($B501&amp;"_"&amp;$E501,OFFSET([1]stages!$A$1,0,0,COUNTA([1]stages!$A:$A),MATCH(G$1,[1]stages!$2:$2,0)-MATCH("temp_stage",[1]stages!$2:$2,0)+1),MATCH(G$1,[1]stages!$2:$2,0)-MATCH("temp_stage",[1]stages!$2:$2,0)+1,FALSE)</f>
        <v>ゲリラ【超級】</v>
      </c>
      <c r="H501" s="18">
        <v>0</v>
      </c>
      <c r="I501">
        <v>27</v>
      </c>
      <c r="J501" s="5" t="s">
        <v>16</v>
      </c>
      <c r="K501" s="34" t="str">
        <f>VLOOKUP(I501,[2]stage_hints!$A:$C,3,FALSE)</f>
        <v>ホーム画面からデッキを編成</v>
      </c>
      <c r="L501" s="35" t="str">
        <f>VLOOKUP(I501,[2]stage_hints!$A:$D,4,FALSE)</f>
        <v>ホーム画面でユニットを長押しすると_x000D_すぐにパーティ編成に移動できます</v>
      </c>
      <c r="M501" s="21" t="s">
        <v>23</v>
      </c>
      <c r="N501">
        <v>27</v>
      </c>
    </row>
    <row r="502" spans="1:14" x14ac:dyDescent="0.15">
      <c r="A502" s="26" t="s">
        <v>32</v>
      </c>
      <c r="B502" s="4">
        <v>12003</v>
      </c>
      <c r="C502" s="3" t="str">
        <f ca="1">VLOOKUP($B502,OFFSET([1]quests!$A$1,0,0,COUNTA([1]quests!$A:$A),MATCH(C$1,[1]quests!$1:$1,0)-MATCH($B$1,[1]quests!$1:$1,0)+1),MATCH(C$1,[1]quests!$1:$1,0)-MATCH($B$1,[1]quests!$1:$1,0)+1,FALSE)</f>
        <v>【超緊急！！】メタルジェントルを追え</v>
      </c>
      <c r="D502" s="3" t="str">
        <f ca="1">VLOOKUP($B502,OFFSET([1]quests!$A$1,0,0,COUNTA([1]quests!$A:$A),MATCH(D$1,[1]quests!$1:$1,0)-MATCH($B$1,[1]quests!$1:$1,0)+1),MATCH(D$1,[1]quests!$1:$1,0)-MATCH($B$1,[1]quests!$1:$1,0)+1,FALSE)</f>
        <v>ゲリラ【超級】</v>
      </c>
      <c r="E502" s="5">
        <v>4</v>
      </c>
      <c r="F502" s="3" t="str">
        <f ca="1">VLOOKUP($B502&amp;"_"&amp;$E502,OFFSET([1]stages!$A$1,0,0,COUNTA([1]stages!$A:$A),MATCH(F$1,[1]stages!$2:$2,0)-MATCH("temp_stage",[1]stages!$2:$2,0)+1),MATCH(F$1,[1]stages!$2:$2,0)-MATCH("temp_stage",[1]stages!$2:$2,0)+1,FALSE)</f>
        <v>【超級】炎のジェントルを追え！</v>
      </c>
      <c r="G502" s="3" t="str">
        <f ca="1">VLOOKUP($B502&amp;"_"&amp;$E502,OFFSET([1]stages!$A$1,0,0,COUNTA([1]stages!$A:$A),MATCH(G$1,[1]stages!$2:$2,0)-MATCH("temp_stage",[1]stages!$2:$2,0)+1),MATCH(G$1,[1]stages!$2:$2,0)-MATCH("temp_stage",[1]stages!$2:$2,0)+1,FALSE)</f>
        <v>ゲリラ【超級】</v>
      </c>
      <c r="H502" s="18">
        <v>0</v>
      </c>
      <c r="I502">
        <v>28</v>
      </c>
      <c r="J502" s="5" t="s">
        <v>16</v>
      </c>
      <c r="K502" s="34" t="str">
        <f>VLOOKUP(I502,[2]stage_hints!$A:$C,3,FALSE)</f>
        <v>ステータス情報は長押しで</v>
      </c>
      <c r="L502" s="35" t="str">
        <f>VLOOKUP(I502,[2]stage_hints!$A:$D,4,FALSE)</f>
        <v>ユニットのアイコンを長押しすると_x000D_ステータス情報を確認することができます</v>
      </c>
      <c r="M502" s="21" t="s">
        <v>23</v>
      </c>
      <c r="N502">
        <v>28</v>
      </c>
    </row>
    <row r="503" spans="1:14" x14ac:dyDescent="0.15">
      <c r="A503" s="26" t="s">
        <v>32</v>
      </c>
      <c r="B503" s="4">
        <v>12003</v>
      </c>
      <c r="C503" s="3" t="str">
        <f ca="1">VLOOKUP($B503,OFFSET([1]quests!$A$1,0,0,COUNTA([1]quests!$A:$A),MATCH(C$1,[1]quests!$1:$1,0)-MATCH($B$1,[1]quests!$1:$1,0)+1),MATCH(C$1,[1]quests!$1:$1,0)-MATCH($B$1,[1]quests!$1:$1,0)+1,FALSE)</f>
        <v>【超緊急！！】メタルジェントルを追え</v>
      </c>
      <c r="D503" s="3" t="str">
        <f ca="1">VLOOKUP($B503,OFFSET([1]quests!$A$1,0,0,COUNTA([1]quests!$A:$A),MATCH(D$1,[1]quests!$1:$1,0)-MATCH($B$1,[1]quests!$1:$1,0)+1),MATCH(D$1,[1]quests!$1:$1,0)-MATCH($B$1,[1]quests!$1:$1,0)+1,FALSE)</f>
        <v>ゲリラ【超級】</v>
      </c>
      <c r="E503" s="5">
        <v>4</v>
      </c>
      <c r="F503" s="3" t="str">
        <f ca="1">VLOOKUP($B503&amp;"_"&amp;$E503,OFFSET([1]stages!$A$1,0,0,COUNTA([1]stages!$A:$A),MATCH(F$1,[1]stages!$2:$2,0)-MATCH("temp_stage",[1]stages!$2:$2,0)+1),MATCH(F$1,[1]stages!$2:$2,0)-MATCH("temp_stage",[1]stages!$2:$2,0)+1,FALSE)</f>
        <v>【超級】炎のジェントルを追え！</v>
      </c>
      <c r="G503" s="3" t="str">
        <f ca="1">VLOOKUP($B503&amp;"_"&amp;$E503,OFFSET([1]stages!$A$1,0,0,COUNTA([1]stages!$A:$A),MATCH(G$1,[1]stages!$2:$2,0)-MATCH("temp_stage",[1]stages!$2:$2,0)+1),MATCH(G$1,[1]stages!$2:$2,0)-MATCH("temp_stage",[1]stages!$2:$2,0)+1,FALSE)</f>
        <v>ゲリラ【超級】</v>
      </c>
      <c r="H503" s="18">
        <v>0</v>
      </c>
      <c r="I503">
        <v>29</v>
      </c>
      <c r="J503" s="5" t="s">
        <v>16</v>
      </c>
      <c r="K503" s="34" t="str">
        <f>VLOOKUP(I503,[2]stage_hints!$A:$C,3,FALSE)</f>
        <v>「バグ」のメリット</v>
      </c>
      <c r="L503" s="35" t="str">
        <f>VLOOKUP(I503,[2]stage_hints!$A:$D,4,FALSE)</f>
        <v>ユニットの「バグ」を増やすと_x000D_報酬をもらえる確率がアップします</v>
      </c>
      <c r="M503" s="21" t="s">
        <v>23</v>
      </c>
      <c r="N503">
        <v>29</v>
      </c>
    </row>
    <row r="504" spans="1:14" x14ac:dyDescent="0.15">
      <c r="A504" s="26" t="s">
        <v>32</v>
      </c>
      <c r="B504" s="4">
        <v>12003</v>
      </c>
      <c r="C504" s="3" t="str">
        <f ca="1">VLOOKUP($B504,OFFSET([1]quests!$A$1,0,0,COUNTA([1]quests!$A:$A),MATCH(C$1,[1]quests!$1:$1,0)-MATCH($B$1,[1]quests!$1:$1,0)+1),MATCH(C$1,[1]quests!$1:$1,0)-MATCH($B$1,[1]quests!$1:$1,0)+1,FALSE)</f>
        <v>【超緊急！！】メタルジェントルを追え</v>
      </c>
      <c r="D504" s="3" t="str">
        <f ca="1">VLOOKUP($B504,OFFSET([1]quests!$A$1,0,0,COUNTA([1]quests!$A:$A),MATCH(D$1,[1]quests!$1:$1,0)-MATCH($B$1,[1]quests!$1:$1,0)+1),MATCH(D$1,[1]quests!$1:$1,0)-MATCH($B$1,[1]quests!$1:$1,0)+1,FALSE)</f>
        <v>ゲリラ【超級】</v>
      </c>
      <c r="E504" s="5">
        <v>4</v>
      </c>
      <c r="F504" s="3" t="str">
        <f ca="1">VLOOKUP($B504&amp;"_"&amp;$E504,OFFSET([1]stages!$A$1,0,0,COUNTA([1]stages!$A:$A),MATCH(F$1,[1]stages!$2:$2,0)-MATCH("temp_stage",[1]stages!$2:$2,0)+1),MATCH(F$1,[1]stages!$2:$2,0)-MATCH("temp_stage",[1]stages!$2:$2,0)+1,FALSE)</f>
        <v>【超級】炎のジェントルを追え！</v>
      </c>
      <c r="G504" s="3" t="str">
        <f ca="1">VLOOKUP($B504&amp;"_"&amp;$E504,OFFSET([1]stages!$A$1,0,0,COUNTA([1]stages!$A:$A),MATCH(G$1,[1]stages!$2:$2,0)-MATCH("temp_stage",[1]stages!$2:$2,0)+1),MATCH(G$1,[1]stages!$2:$2,0)-MATCH("temp_stage",[1]stages!$2:$2,0)+1,FALSE)</f>
        <v>ゲリラ【超級】</v>
      </c>
      <c r="H504" s="18">
        <v>0</v>
      </c>
      <c r="I504">
        <v>30</v>
      </c>
      <c r="J504" s="5" t="s">
        <v>16</v>
      </c>
      <c r="K504" s="34" t="str">
        <f>VLOOKUP(I504,[2]stage_hints!$A:$C,3,FALSE)</f>
        <v>「バグ」の増やし方</v>
      </c>
      <c r="L504" s="35" t="str">
        <f>VLOOKUP(I504,[2]stage_hints!$A:$D,4,FALSE)</f>
        <v>同じユニット同士を強化で合成すると_x000D_「バグ」を増やすことができます</v>
      </c>
      <c r="M504" s="21" t="s">
        <v>23</v>
      </c>
      <c r="N504">
        <v>30</v>
      </c>
    </row>
    <row r="505" spans="1:14" x14ac:dyDescent="0.15">
      <c r="A505" s="26" t="s">
        <v>32</v>
      </c>
      <c r="B505" s="4">
        <v>12003</v>
      </c>
      <c r="C505" s="3" t="str">
        <f ca="1">VLOOKUP($B505,OFFSET([1]quests!$A$1,0,0,COUNTA([1]quests!$A:$A),MATCH(C$1,[1]quests!$1:$1,0)-MATCH($B$1,[1]quests!$1:$1,0)+1),MATCH(C$1,[1]quests!$1:$1,0)-MATCH($B$1,[1]quests!$1:$1,0)+1,FALSE)</f>
        <v>【超緊急！！】メタルジェントルを追え</v>
      </c>
      <c r="D505" s="3" t="str">
        <f ca="1">VLOOKUP($B505,OFFSET([1]quests!$A$1,0,0,COUNTA([1]quests!$A:$A),MATCH(D$1,[1]quests!$1:$1,0)-MATCH($B$1,[1]quests!$1:$1,0)+1),MATCH(D$1,[1]quests!$1:$1,0)-MATCH($B$1,[1]quests!$1:$1,0)+1,FALSE)</f>
        <v>ゲリラ【超級】</v>
      </c>
      <c r="E505" s="5">
        <v>4</v>
      </c>
      <c r="F505" s="3" t="str">
        <f ca="1">VLOOKUP($B505&amp;"_"&amp;$E505,OFFSET([1]stages!$A$1,0,0,COUNTA([1]stages!$A:$A),MATCH(F$1,[1]stages!$2:$2,0)-MATCH("temp_stage",[1]stages!$2:$2,0)+1),MATCH(F$1,[1]stages!$2:$2,0)-MATCH("temp_stage",[1]stages!$2:$2,0)+1,FALSE)</f>
        <v>【超級】炎のジェントルを追え！</v>
      </c>
      <c r="G505" s="3" t="str">
        <f ca="1">VLOOKUP($B505&amp;"_"&amp;$E505,OFFSET([1]stages!$A$1,0,0,COUNTA([1]stages!$A:$A),MATCH(G$1,[1]stages!$2:$2,0)-MATCH("temp_stage",[1]stages!$2:$2,0)+1),MATCH(G$1,[1]stages!$2:$2,0)-MATCH("temp_stage",[1]stages!$2:$2,0)+1,FALSE)</f>
        <v>ゲリラ【超級】</v>
      </c>
      <c r="H505" s="18">
        <v>0</v>
      </c>
      <c r="I505">
        <v>32</v>
      </c>
      <c r="J505" s="5" t="s">
        <v>16</v>
      </c>
      <c r="K505" s="34" t="str">
        <f>VLOOKUP(I505,[2]stage_hints!$A:$C,3,FALSE)</f>
        <v>敵の連続攻撃には</v>
      </c>
      <c r="L505" s="35" t="str">
        <f>VLOOKUP(I505,[2]stage_hints!$A:$D,4,FALSE)</f>
        <v>カウンタースキルを持つユニットがいれば_x000D_ダメージ回数分の反撃ができます</v>
      </c>
      <c r="M505" s="21" t="s">
        <v>23</v>
      </c>
      <c r="N505">
        <v>32</v>
      </c>
    </row>
    <row r="506" spans="1:14" x14ac:dyDescent="0.15">
      <c r="A506" s="26" t="s">
        <v>32</v>
      </c>
      <c r="B506" s="4">
        <v>12003</v>
      </c>
      <c r="C506" s="3" t="str">
        <f ca="1">VLOOKUP($B506,OFFSET([1]quests!$A$1,0,0,COUNTA([1]quests!$A:$A),MATCH(C$1,[1]quests!$1:$1,0)-MATCH($B$1,[1]quests!$1:$1,0)+1),MATCH(C$1,[1]quests!$1:$1,0)-MATCH($B$1,[1]quests!$1:$1,0)+1,FALSE)</f>
        <v>【超緊急！！】メタルジェントルを追え</v>
      </c>
      <c r="D506" s="3" t="str">
        <f ca="1">VLOOKUP($B506,OFFSET([1]quests!$A$1,0,0,COUNTA([1]quests!$A:$A),MATCH(D$1,[1]quests!$1:$1,0)-MATCH($B$1,[1]quests!$1:$1,0)+1),MATCH(D$1,[1]quests!$1:$1,0)-MATCH($B$1,[1]quests!$1:$1,0)+1,FALSE)</f>
        <v>ゲリラ【超級】</v>
      </c>
      <c r="E506" s="5">
        <v>4</v>
      </c>
      <c r="F506" s="3" t="str">
        <f ca="1">VLOOKUP($B506&amp;"_"&amp;$E506,OFFSET([1]stages!$A$1,0,0,COUNTA([1]stages!$A:$A),MATCH(F$1,[1]stages!$2:$2,0)-MATCH("temp_stage",[1]stages!$2:$2,0)+1),MATCH(F$1,[1]stages!$2:$2,0)-MATCH("temp_stage",[1]stages!$2:$2,0)+1,FALSE)</f>
        <v>【超級】炎のジェントルを追え！</v>
      </c>
      <c r="G506" s="3" t="str">
        <f ca="1">VLOOKUP($B506&amp;"_"&amp;$E506,OFFSET([1]stages!$A$1,0,0,COUNTA([1]stages!$A:$A),MATCH(G$1,[1]stages!$2:$2,0)-MATCH("temp_stage",[1]stages!$2:$2,0)+1),MATCH(G$1,[1]stages!$2:$2,0)-MATCH("temp_stage",[1]stages!$2:$2,0)+1,FALSE)</f>
        <v>ゲリラ【超級】</v>
      </c>
      <c r="H506" s="18">
        <v>0</v>
      </c>
      <c r="I506">
        <v>33</v>
      </c>
      <c r="J506" s="5" t="s">
        <v>16</v>
      </c>
      <c r="K506" s="34" t="str">
        <f>VLOOKUP(I506,[2]stage_hints!$A:$C,3,FALSE)</f>
        <v>敵のカウンター攻撃には</v>
      </c>
      <c r="L506" s="35" t="str">
        <f>VLOOKUP(I506,[2]stage_hints!$A:$D,4,FALSE)</f>
        <v>カウンターブレイクスキルを持っていれば_x000D_敵のカウンターを解除して攻撃ができます</v>
      </c>
      <c r="M506" s="21" t="s">
        <v>23</v>
      </c>
      <c r="N506">
        <v>33</v>
      </c>
    </row>
    <row r="507" spans="1:14" x14ac:dyDescent="0.15">
      <c r="A507" s="26" t="s">
        <v>32</v>
      </c>
      <c r="B507" s="4">
        <v>12003</v>
      </c>
      <c r="C507" s="3" t="str">
        <f ca="1">VLOOKUP($B507,OFFSET([1]quests!$A$1,0,0,COUNTA([1]quests!$A:$A),MATCH(C$1,[1]quests!$1:$1,0)-MATCH($B$1,[1]quests!$1:$1,0)+1),MATCH(C$1,[1]quests!$1:$1,0)-MATCH($B$1,[1]quests!$1:$1,0)+1,FALSE)</f>
        <v>【超緊急！！】メタルジェントルを追え</v>
      </c>
      <c r="D507" s="3" t="str">
        <f ca="1">VLOOKUP($B507,OFFSET([1]quests!$A$1,0,0,COUNTA([1]quests!$A:$A),MATCH(D$1,[1]quests!$1:$1,0)-MATCH($B$1,[1]quests!$1:$1,0)+1),MATCH(D$1,[1]quests!$1:$1,0)-MATCH($B$1,[1]quests!$1:$1,0)+1,FALSE)</f>
        <v>ゲリラ【超級】</v>
      </c>
      <c r="E507" s="5">
        <v>4</v>
      </c>
      <c r="F507" s="3" t="str">
        <f ca="1">VLOOKUP($B507&amp;"_"&amp;$E507,OFFSET([1]stages!$A$1,0,0,COUNTA([1]stages!$A:$A),MATCH(F$1,[1]stages!$2:$2,0)-MATCH("temp_stage",[1]stages!$2:$2,0)+1),MATCH(F$1,[1]stages!$2:$2,0)-MATCH("temp_stage",[1]stages!$2:$2,0)+1,FALSE)</f>
        <v>【超級】炎のジェントルを追え！</v>
      </c>
      <c r="G507" s="3" t="str">
        <f ca="1">VLOOKUP($B507&amp;"_"&amp;$E507,OFFSET([1]stages!$A$1,0,0,COUNTA([1]stages!$A:$A),MATCH(G$1,[1]stages!$2:$2,0)-MATCH("temp_stage",[1]stages!$2:$2,0)+1),MATCH(G$1,[1]stages!$2:$2,0)-MATCH("temp_stage",[1]stages!$2:$2,0)+1,FALSE)</f>
        <v>ゲリラ【超級】</v>
      </c>
      <c r="H507" s="18">
        <v>0</v>
      </c>
      <c r="I507">
        <v>34</v>
      </c>
      <c r="J507" s="5" t="s">
        <v>16</v>
      </c>
      <c r="K507" s="34" t="str">
        <f>VLOOKUP(I507,[2]stage_hints!$A:$C,3,FALSE)</f>
        <v>ステータスをスキルで下げられたら</v>
      </c>
      <c r="L507" s="35" t="str">
        <f>VLOOKUP(I507,[2]stage_hints!$A:$D,4,FALSE)</f>
        <v>ステータスダウンのスキルを受けたら_x000D_ステータスアップスキルで上書きしましょう</v>
      </c>
      <c r="M507" s="21" t="s">
        <v>23</v>
      </c>
      <c r="N507">
        <v>34</v>
      </c>
    </row>
    <row r="508" spans="1:14" x14ac:dyDescent="0.15">
      <c r="A508" s="26" t="s">
        <v>32</v>
      </c>
      <c r="B508" s="4">
        <v>12003</v>
      </c>
      <c r="C508" s="3" t="str">
        <f ca="1">VLOOKUP($B508,OFFSET([1]quests!$A$1,0,0,COUNTA([1]quests!$A:$A),MATCH(C$1,[1]quests!$1:$1,0)-MATCH($B$1,[1]quests!$1:$1,0)+1),MATCH(C$1,[1]quests!$1:$1,0)-MATCH($B$1,[1]quests!$1:$1,0)+1,FALSE)</f>
        <v>【超緊急！！】メタルジェントルを追え</v>
      </c>
      <c r="D508" s="3" t="str">
        <f ca="1">VLOOKUP($B508,OFFSET([1]quests!$A$1,0,0,COUNTA([1]quests!$A:$A),MATCH(D$1,[1]quests!$1:$1,0)-MATCH($B$1,[1]quests!$1:$1,0)+1),MATCH(D$1,[1]quests!$1:$1,0)-MATCH($B$1,[1]quests!$1:$1,0)+1,FALSE)</f>
        <v>ゲリラ【超級】</v>
      </c>
      <c r="E508" s="5">
        <v>4</v>
      </c>
      <c r="F508" s="3" t="str">
        <f ca="1">VLOOKUP($B508&amp;"_"&amp;$E508,OFFSET([1]stages!$A$1,0,0,COUNTA([1]stages!$A:$A),MATCH(F$1,[1]stages!$2:$2,0)-MATCH("temp_stage",[1]stages!$2:$2,0)+1),MATCH(F$1,[1]stages!$2:$2,0)-MATCH("temp_stage",[1]stages!$2:$2,0)+1,FALSE)</f>
        <v>【超級】炎のジェントルを追え！</v>
      </c>
      <c r="G508" s="3" t="str">
        <f ca="1">VLOOKUP($B508&amp;"_"&amp;$E508,OFFSET([1]stages!$A$1,0,0,COUNTA([1]stages!$A:$A),MATCH(G$1,[1]stages!$2:$2,0)-MATCH("temp_stage",[1]stages!$2:$2,0)+1),MATCH(G$1,[1]stages!$2:$2,0)-MATCH("temp_stage",[1]stages!$2:$2,0)+1,FALSE)</f>
        <v>ゲリラ【超級】</v>
      </c>
      <c r="H508" s="18">
        <v>0</v>
      </c>
      <c r="I508">
        <v>35</v>
      </c>
      <c r="J508" s="5" t="s">
        <v>16</v>
      </c>
      <c r="K508" s="34" t="str">
        <f>VLOOKUP(I508,[2]stage_hints!$A:$C,3,FALSE)</f>
        <v>敵のステータスがスキルで上がったら</v>
      </c>
      <c r="L508" s="35" t="str">
        <f>VLOOKUP(I508,[2]stage_hints!$A:$D,4,FALSE)</f>
        <v>敵のステータスがスキルでアップしたときは_x000D_ステータスダウンスキルで上書きしましょう</v>
      </c>
      <c r="M508" s="21" t="s">
        <v>23</v>
      </c>
      <c r="N508">
        <v>35</v>
      </c>
    </row>
    <row r="509" spans="1:14" x14ac:dyDescent="0.15">
      <c r="A509" s="26" t="s">
        <v>32</v>
      </c>
      <c r="B509" s="4">
        <v>12003</v>
      </c>
      <c r="C509" s="3" t="str">
        <f ca="1">VLOOKUP($B509,OFFSET([1]quests!$A$1,0,0,COUNTA([1]quests!$A:$A),MATCH(C$1,[1]quests!$1:$1,0)-MATCH($B$1,[1]quests!$1:$1,0)+1),MATCH(C$1,[1]quests!$1:$1,0)-MATCH($B$1,[1]quests!$1:$1,0)+1,FALSE)</f>
        <v>【超緊急！！】メタルジェントルを追え</v>
      </c>
      <c r="D509" s="3" t="str">
        <f ca="1">VLOOKUP($B509,OFFSET([1]quests!$A$1,0,0,COUNTA([1]quests!$A:$A),MATCH(D$1,[1]quests!$1:$1,0)-MATCH($B$1,[1]quests!$1:$1,0)+1),MATCH(D$1,[1]quests!$1:$1,0)-MATCH($B$1,[1]quests!$1:$1,0)+1,FALSE)</f>
        <v>ゲリラ【超級】</v>
      </c>
      <c r="E509" s="5">
        <v>4</v>
      </c>
      <c r="F509" s="3" t="str">
        <f ca="1">VLOOKUP($B509&amp;"_"&amp;$E509,OFFSET([1]stages!$A$1,0,0,COUNTA([1]stages!$A:$A),MATCH(F$1,[1]stages!$2:$2,0)-MATCH("temp_stage",[1]stages!$2:$2,0)+1),MATCH(F$1,[1]stages!$2:$2,0)-MATCH("temp_stage",[1]stages!$2:$2,0)+1,FALSE)</f>
        <v>【超級】炎のジェントルを追え！</v>
      </c>
      <c r="G509" s="3" t="str">
        <f ca="1">VLOOKUP($B509&amp;"_"&amp;$E509,OFFSET([1]stages!$A$1,0,0,COUNTA([1]stages!$A:$A),MATCH(G$1,[1]stages!$2:$2,0)-MATCH("temp_stage",[1]stages!$2:$2,0)+1),MATCH(G$1,[1]stages!$2:$2,0)-MATCH("temp_stage",[1]stages!$2:$2,0)+1,FALSE)</f>
        <v>ゲリラ【超級】</v>
      </c>
      <c r="H509" s="18">
        <v>0</v>
      </c>
      <c r="I509">
        <v>36</v>
      </c>
      <c r="J509" s="5" t="s">
        <v>16</v>
      </c>
      <c r="K509" s="34" t="str">
        <f>VLOOKUP(I509,[2]stage_hints!$A:$C,3,FALSE)</f>
        <v>タワーオブザクイーンのボス</v>
      </c>
      <c r="L509" s="35" t="str">
        <f>VLOOKUP(I509,[2]stage_hints!$A:$D,4,FALSE)</f>
        <v>「タワーオブザクイーン」最上階のボスは_x000D_15階の初回クリア報酬で獲得できるほか_x000D_その階にて低確率でドロップもします</v>
      </c>
      <c r="M509" s="21" t="s">
        <v>23</v>
      </c>
      <c r="N509">
        <v>36</v>
      </c>
    </row>
    <row r="510" spans="1:14" x14ac:dyDescent="0.15">
      <c r="A510" s="26" t="s">
        <v>32</v>
      </c>
      <c r="B510" s="4">
        <v>12003</v>
      </c>
      <c r="C510" s="3" t="str">
        <f ca="1">VLOOKUP($B510,OFFSET([1]quests!$A$1,0,0,COUNTA([1]quests!$A:$A),MATCH(C$1,[1]quests!$1:$1,0)-MATCH($B$1,[1]quests!$1:$1,0)+1),MATCH(C$1,[1]quests!$1:$1,0)-MATCH($B$1,[1]quests!$1:$1,0)+1,FALSE)</f>
        <v>【超緊急！！】メタルジェントルを追え</v>
      </c>
      <c r="D510" s="3" t="str">
        <f ca="1">VLOOKUP($B510,OFFSET([1]quests!$A$1,0,0,COUNTA([1]quests!$A:$A),MATCH(D$1,[1]quests!$1:$1,0)-MATCH($B$1,[1]quests!$1:$1,0)+1),MATCH(D$1,[1]quests!$1:$1,0)-MATCH($B$1,[1]quests!$1:$1,0)+1,FALSE)</f>
        <v>ゲリラ【超級】</v>
      </c>
      <c r="E510" s="5">
        <v>4</v>
      </c>
      <c r="F510" s="3" t="str">
        <f ca="1">VLOOKUP($B510&amp;"_"&amp;$E510,OFFSET([1]stages!$A$1,0,0,COUNTA([1]stages!$A:$A),MATCH(F$1,[1]stages!$2:$2,0)-MATCH("temp_stage",[1]stages!$2:$2,0)+1),MATCH(F$1,[1]stages!$2:$2,0)-MATCH("temp_stage",[1]stages!$2:$2,0)+1,FALSE)</f>
        <v>【超級】炎のジェントルを追え！</v>
      </c>
      <c r="G510" s="3" t="str">
        <f ca="1">VLOOKUP($B510&amp;"_"&amp;$E510,OFFSET([1]stages!$A$1,0,0,COUNTA([1]stages!$A:$A),MATCH(G$1,[1]stages!$2:$2,0)-MATCH("temp_stage",[1]stages!$2:$2,0)+1),MATCH(G$1,[1]stages!$2:$2,0)-MATCH("temp_stage",[1]stages!$2:$2,0)+1,FALSE)</f>
        <v>ゲリラ【超級】</v>
      </c>
      <c r="H510" s="18">
        <v>0</v>
      </c>
      <c r="I510">
        <v>37</v>
      </c>
      <c r="J510" s="5" t="s">
        <v>16</v>
      </c>
      <c r="K510" s="34" t="str">
        <f>VLOOKUP(I510,[2]stage_hints!$A:$C,3,FALSE)</f>
        <v>限界突破値の引き継ぎ</v>
      </c>
      <c r="L510" s="35" t="str">
        <f>VLOOKUP(I510,[2]stage_hints!$A:$D,4,FALSE)</f>
        <v>同じユニットを強化で合成すると_x000D_限界突破値を引き継げます（覚醒前後も可）</v>
      </c>
      <c r="M510" s="21" t="s">
        <v>23</v>
      </c>
      <c r="N510">
        <v>37</v>
      </c>
    </row>
    <row r="511" spans="1:14" x14ac:dyDescent="0.15">
      <c r="A511" s="26" t="s">
        <v>32</v>
      </c>
      <c r="B511" s="4">
        <v>12001</v>
      </c>
      <c r="C511" s="3" t="str">
        <f ca="1">VLOOKUP($B511,OFFSET([1]quests!$A$1,0,0,COUNTA([1]quests!$A:$A),MATCH(C$1,[1]quests!$1:$1,0)-MATCH($B$1,[1]quests!$1:$1,0)+1),MATCH(C$1,[1]quests!$1:$1,0)-MATCH($B$1,[1]quests!$1:$1,0)+1,FALSE)</f>
        <v>【緊急！！】 アヒル捕獲作戦</v>
      </c>
      <c r="D511" s="3" t="str">
        <f ca="1">VLOOKUP($B511,OFFSET([1]quests!$A$1,0,0,COUNTA([1]quests!$A:$A),MATCH(D$1,[1]quests!$1:$1,0)-MATCH($B$1,[1]quests!$1:$1,0)+1),MATCH(D$1,[1]quests!$1:$1,0)-MATCH($B$1,[1]quests!$1:$1,0)+1,FALSE)</f>
        <v>ゲリラクエスト</v>
      </c>
      <c r="E511" s="5">
        <v>3</v>
      </c>
      <c r="F511" s="3" t="str">
        <f ca="1">VLOOKUP($B511&amp;"_"&amp;$E511,OFFSET([1]stages!$A$1,0,0,COUNTA([1]stages!$A:$A),MATCH(F$1,[1]stages!$2:$2,0)-MATCH("temp_stage",[1]stages!$2:$2,0)+1),MATCH(F$1,[1]stages!$2:$2,0)-MATCH("temp_stage",[1]stages!$2:$2,0)+1,FALSE)</f>
        <v xml:space="preserve">【超級】メタルダックを捕獲せよ！ </v>
      </c>
      <c r="G511" s="3" t="str">
        <f ca="1">VLOOKUP($B511&amp;"_"&amp;$E511,OFFSET([1]stages!$A$1,0,0,COUNTA([1]stages!$A:$A),MATCH(G$1,[1]stages!$2:$2,0)-MATCH("temp_stage",[1]stages!$2:$2,0)+1),MATCH(G$1,[1]stages!$2:$2,0)-MATCH("temp_stage",[1]stages!$2:$2,0)+1,FALSE)</f>
        <v>ゲリラクエスト</v>
      </c>
      <c r="H511" s="18">
        <v>0</v>
      </c>
      <c r="I511">
        <v>12</v>
      </c>
      <c r="J511" s="5" t="s">
        <v>16</v>
      </c>
      <c r="K511" s="34" t="str">
        <f>VLOOKUP(I511,[2]stage_hints!$A:$C,3,FALSE)</f>
        <v>ユニットのお気に入り登録</v>
      </c>
      <c r="L511" s="35" t="str">
        <f>VLOOKUP(I511,[2]stage_hints!$A:$D,4,FALSE)</f>
        <v>大事なユニットを誤って消さないように_x000D_フォルダから「お気に入り登録」しましょう</v>
      </c>
      <c r="M511" s="21" t="s">
        <v>23</v>
      </c>
      <c r="N511">
        <v>12</v>
      </c>
    </row>
    <row r="512" spans="1:14" x14ac:dyDescent="0.15">
      <c r="A512" s="26" t="s">
        <v>32</v>
      </c>
      <c r="B512" s="4">
        <v>12001</v>
      </c>
      <c r="C512" s="3" t="str">
        <f ca="1">VLOOKUP($B512,OFFSET([1]quests!$A$1,0,0,COUNTA([1]quests!$A:$A),MATCH(C$1,[1]quests!$1:$1,0)-MATCH($B$1,[1]quests!$1:$1,0)+1),MATCH(C$1,[1]quests!$1:$1,0)-MATCH($B$1,[1]quests!$1:$1,0)+1,FALSE)</f>
        <v>【緊急！！】 アヒル捕獲作戦</v>
      </c>
      <c r="D512" s="3" t="str">
        <f ca="1">VLOOKUP($B512,OFFSET([1]quests!$A$1,0,0,COUNTA([1]quests!$A:$A),MATCH(D$1,[1]quests!$1:$1,0)-MATCH($B$1,[1]quests!$1:$1,0)+1),MATCH(D$1,[1]quests!$1:$1,0)-MATCH($B$1,[1]quests!$1:$1,0)+1,FALSE)</f>
        <v>ゲリラクエスト</v>
      </c>
      <c r="E512" s="5">
        <v>3</v>
      </c>
      <c r="F512" s="3" t="str">
        <f ca="1">VLOOKUP($B512&amp;"_"&amp;$E512,OFFSET([1]stages!$A$1,0,0,COUNTA([1]stages!$A:$A),MATCH(F$1,[1]stages!$2:$2,0)-MATCH("temp_stage",[1]stages!$2:$2,0)+1),MATCH(F$1,[1]stages!$2:$2,0)-MATCH("temp_stage",[1]stages!$2:$2,0)+1,FALSE)</f>
        <v xml:space="preserve">【超級】メタルダックを捕獲せよ！ </v>
      </c>
      <c r="G512" s="3" t="str">
        <f ca="1">VLOOKUP($B512&amp;"_"&amp;$E512,OFFSET([1]stages!$A$1,0,0,COUNTA([1]stages!$A:$A),MATCH(G$1,[1]stages!$2:$2,0)-MATCH("temp_stage",[1]stages!$2:$2,0)+1),MATCH(G$1,[1]stages!$2:$2,0)-MATCH("temp_stage",[1]stages!$2:$2,0)+1,FALSE)</f>
        <v>ゲリラクエスト</v>
      </c>
      <c r="H512" s="18">
        <v>0</v>
      </c>
      <c r="I512">
        <v>17</v>
      </c>
      <c r="J512" s="5" t="s">
        <v>16</v>
      </c>
      <c r="K512" s="34" t="str">
        <f>VLOOKUP(I512,[2]stage_hints!$A:$C,3,FALSE)</f>
        <v>リンクガチャ</v>
      </c>
      <c r="L512" s="35" t="str">
        <f>VLOOKUP(I512,[2]stage_hints!$A:$D,4,FALSE)</f>
        <v>無料のリンクガチャを回して_x000D_経験値素材や売却素材を獲得しましょう</v>
      </c>
      <c r="M512" s="21" t="s">
        <v>23</v>
      </c>
      <c r="N512">
        <v>17</v>
      </c>
    </row>
    <row r="513" spans="1:14" x14ac:dyDescent="0.15">
      <c r="A513" s="26" t="s">
        <v>32</v>
      </c>
      <c r="B513" s="4">
        <v>12001</v>
      </c>
      <c r="C513" s="3" t="str">
        <f ca="1">VLOOKUP($B513,OFFSET([1]quests!$A$1,0,0,COUNTA([1]quests!$A:$A),MATCH(C$1,[1]quests!$1:$1,0)-MATCH($B$1,[1]quests!$1:$1,0)+1),MATCH(C$1,[1]quests!$1:$1,0)-MATCH($B$1,[1]quests!$1:$1,0)+1,FALSE)</f>
        <v>【緊急！！】 アヒル捕獲作戦</v>
      </c>
      <c r="D513" s="3" t="str">
        <f ca="1">VLOOKUP($B513,OFFSET([1]quests!$A$1,0,0,COUNTA([1]quests!$A:$A),MATCH(D$1,[1]quests!$1:$1,0)-MATCH($B$1,[1]quests!$1:$1,0)+1),MATCH(D$1,[1]quests!$1:$1,0)-MATCH($B$1,[1]quests!$1:$1,0)+1,FALSE)</f>
        <v>ゲリラクエスト</v>
      </c>
      <c r="E513" s="5">
        <v>3</v>
      </c>
      <c r="F513" s="3" t="str">
        <f ca="1">VLOOKUP($B513&amp;"_"&amp;$E513,OFFSET([1]stages!$A$1,0,0,COUNTA([1]stages!$A:$A),MATCH(F$1,[1]stages!$2:$2,0)-MATCH("temp_stage",[1]stages!$2:$2,0)+1),MATCH(F$1,[1]stages!$2:$2,0)-MATCH("temp_stage",[1]stages!$2:$2,0)+1,FALSE)</f>
        <v xml:space="preserve">【超級】メタルダックを捕獲せよ！ </v>
      </c>
      <c r="G513" s="3" t="str">
        <f ca="1">VLOOKUP($B513&amp;"_"&amp;$E513,OFFSET([1]stages!$A$1,0,0,COUNTA([1]stages!$A:$A),MATCH(G$1,[1]stages!$2:$2,0)-MATCH("temp_stage",[1]stages!$2:$2,0)+1),MATCH(G$1,[1]stages!$2:$2,0)-MATCH("temp_stage",[1]stages!$2:$2,0)+1,FALSE)</f>
        <v>ゲリラクエスト</v>
      </c>
      <c r="H513" s="18">
        <v>0</v>
      </c>
      <c r="I513">
        <v>19</v>
      </c>
      <c r="J513" s="5" t="s">
        <v>16</v>
      </c>
      <c r="K513" s="34" t="str">
        <f>VLOOKUP(I513,[2]stage_hints!$A:$C,3,FALSE)</f>
        <v>ソロ専用タワーオブザクイーン</v>
      </c>
      <c r="L513" s="35" t="str">
        <f>VLOOKUP(I513,[2]stage_hints!$A:$D,4,FALSE)</f>
        <v>ソロ専用の「タワーオブザクイーン」は_x000D_期間限定で定期的に開催されます_x000D_ここでしか獲得できない報酬もあるようです</v>
      </c>
      <c r="M513" s="21" t="s">
        <v>23</v>
      </c>
      <c r="N513">
        <v>19</v>
      </c>
    </row>
    <row r="514" spans="1:14" x14ac:dyDescent="0.15">
      <c r="A514" s="26" t="s">
        <v>32</v>
      </c>
      <c r="B514" s="4">
        <v>12001</v>
      </c>
      <c r="C514" s="3" t="str">
        <f ca="1">VLOOKUP($B514,OFFSET([1]quests!$A$1,0,0,COUNTA([1]quests!$A:$A),MATCH(C$1,[1]quests!$1:$1,0)-MATCH($B$1,[1]quests!$1:$1,0)+1),MATCH(C$1,[1]quests!$1:$1,0)-MATCH($B$1,[1]quests!$1:$1,0)+1,FALSE)</f>
        <v>【緊急！！】 アヒル捕獲作戦</v>
      </c>
      <c r="D514" s="3" t="str">
        <f ca="1">VLOOKUP($B514,OFFSET([1]quests!$A$1,0,0,COUNTA([1]quests!$A:$A),MATCH(D$1,[1]quests!$1:$1,0)-MATCH($B$1,[1]quests!$1:$1,0)+1),MATCH(D$1,[1]quests!$1:$1,0)-MATCH($B$1,[1]quests!$1:$1,0)+1,FALSE)</f>
        <v>ゲリラクエスト</v>
      </c>
      <c r="E514" s="5">
        <v>3</v>
      </c>
      <c r="F514" s="3" t="str">
        <f ca="1">VLOOKUP($B514&amp;"_"&amp;$E514,OFFSET([1]stages!$A$1,0,0,COUNTA([1]stages!$A:$A),MATCH(F$1,[1]stages!$2:$2,0)-MATCH("temp_stage",[1]stages!$2:$2,0)+1),MATCH(F$1,[1]stages!$2:$2,0)-MATCH("temp_stage",[1]stages!$2:$2,0)+1,FALSE)</f>
        <v xml:space="preserve">【超級】メタルダックを捕獲せよ！ </v>
      </c>
      <c r="G514" s="3" t="str">
        <f ca="1">VLOOKUP($B514&amp;"_"&amp;$E514,OFFSET([1]stages!$A$1,0,0,COUNTA([1]stages!$A:$A),MATCH(G$1,[1]stages!$2:$2,0)-MATCH("temp_stage",[1]stages!$2:$2,0)+1),MATCH(G$1,[1]stages!$2:$2,0)-MATCH("temp_stage",[1]stages!$2:$2,0)+1,FALSE)</f>
        <v>ゲリラクエスト</v>
      </c>
      <c r="H514" s="18">
        <v>0</v>
      </c>
      <c r="I514">
        <v>21</v>
      </c>
      <c r="J514" s="5" t="s">
        <v>16</v>
      </c>
      <c r="K514" s="34" t="str">
        <f>VLOOKUP(I514,[2]stage_hints!$A:$C,3,FALSE)</f>
        <v>スキルを有効に</v>
      </c>
      <c r="L514" s="35" t="str">
        <f>VLOOKUP(I514,[2]stage_hints!$A:$D,4,FALSE)</f>
        <v>ターン経過でユニットのスキルが使えます_x000D_強力スキルでバトルを有利に進めましょう</v>
      </c>
      <c r="M514" s="21" t="s">
        <v>23</v>
      </c>
      <c r="N514">
        <v>21</v>
      </c>
    </row>
    <row r="515" spans="1:14" x14ac:dyDescent="0.15">
      <c r="A515" s="26" t="s">
        <v>32</v>
      </c>
      <c r="B515" s="4">
        <v>12001</v>
      </c>
      <c r="C515" s="3" t="str">
        <f ca="1">VLOOKUP($B515,OFFSET([1]quests!$A$1,0,0,COUNTA([1]quests!$A:$A),MATCH(C$1,[1]quests!$1:$1,0)-MATCH($B$1,[1]quests!$1:$1,0)+1),MATCH(C$1,[1]quests!$1:$1,0)-MATCH($B$1,[1]quests!$1:$1,0)+1,FALSE)</f>
        <v>【緊急！！】 アヒル捕獲作戦</v>
      </c>
      <c r="D515" s="3" t="str">
        <f ca="1">VLOOKUP($B515,OFFSET([1]quests!$A$1,0,0,COUNTA([1]quests!$A:$A),MATCH(D$1,[1]quests!$1:$1,0)-MATCH($B$1,[1]quests!$1:$1,0)+1),MATCH(D$1,[1]quests!$1:$1,0)-MATCH($B$1,[1]quests!$1:$1,0)+1,FALSE)</f>
        <v>ゲリラクエスト</v>
      </c>
      <c r="E515" s="5">
        <v>3</v>
      </c>
      <c r="F515" s="3" t="str">
        <f ca="1">VLOOKUP($B515&amp;"_"&amp;$E515,OFFSET([1]stages!$A$1,0,0,COUNTA([1]stages!$A:$A),MATCH(F$1,[1]stages!$2:$2,0)-MATCH("temp_stage",[1]stages!$2:$2,0)+1),MATCH(F$1,[1]stages!$2:$2,0)-MATCH("temp_stage",[1]stages!$2:$2,0)+1,FALSE)</f>
        <v xml:space="preserve">【超級】メタルダックを捕獲せよ！ </v>
      </c>
      <c r="G515" s="3" t="str">
        <f ca="1">VLOOKUP($B515&amp;"_"&amp;$E515,OFFSET([1]stages!$A$1,0,0,COUNTA([1]stages!$A:$A),MATCH(G$1,[1]stages!$2:$2,0)-MATCH("temp_stage",[1]stages!$2:$2,0)+1),MATCH(G$1,[1]stages!$2:$2,0)-MATCH("temp_stage",[1]stages!$2:$2,0)+1,FALSE)</f>
        <v>ゲリラクエスト</v>
      </c>
      <c r="H515" s="18">
        <v>0</v>
      </c>
      <c r="I515">
        <v>27</v>
      </c>
      <c r="J515" s="5" t="s">
        <v>16</v>
      </c>
      <c r="K515" s="34" t="str">
        <f>VLOOKUP(I515,[2]stage_hints!$A:$C,3,FALSE)</f>
        <v>ホーム画面からデッキを編成</v>
      </c>
      <c r="L515" s="35" t="str">
        <f>VLOOKUP(I515,[2]stage_hints!$A:$D,4,FALSE)</f>
        <v>ホーム画面でユニットを長押しすると_x000D_すぐにパーティ編成に移動できます</v>
      </c>
      <c r="M515" s="21" t="s">
        <v>23</v>
      </c>
      <c r="N515">
        <v>27</v>
      </c>
    </row>
    <row r="516" spans="1:14" x14ac:dyDescent="0.15">
      <c r="A516" s="26" t="s">
        <v>32</v>
      </c>
      <c r="B516" s="4">
        <v>12001</v>
      </c>
      <c r="C516" s="3" t="str">
        <f ca="1">VLOOKUP($B516,OFFSET([1]quests!$A$1,0,0,COUNTA([1]quests!$A:$A),MATCH(C$1,[1]quests!$1:$1,0)-MATCH($B$1,[1]quests!$1:$1,0)+1),MATCH(C$1,[1]quests!$1:$1,0)-MATCH($B$1,[1]quests!$1:$1,0)+1,FALSE)</f>
        <v>【緊急！！】 アヒル捕獲作戦</v>
      </c>
      <c r="D516" s="3" t="str">
        <f ca="1">VLOOKUP($B516,OFFSET([1]quests!$A$1,0,0,COUNTA([1]quests!$A:$A),MATCH(D$1,[1]quests!$1:$1,0)-MATCH($B$1,[1]quests!$1:$1,0)+1),MATCH(D$1,[1]quests!$1:$1,0)-MATCH($B$1,[1]quests!$1:$1,0)+1,FALSE)</f>
        <v>ゲリラクエスト</v>
      </c>
      <c r="E516" s="5">
        <v>3</v>
      </c>
      <c r="F516" s="3" t="str">
        <f ca="1">VLOOKUP($B516&amp;"_"&amp;$E516,OFFSET([1]stages!$A$1,0,0,COUNTA([1]stages!$A:$A),MATCH(F$1,[1]stages!$2:$2,0)-MATCH("temp_stage",[1]stages!$2:$2,0)+1),MATCH(F$1,[1]stages!$2:$2,0)-MATCH("temp_stage",[1]stages!$2:$2,0)+1,FALSE)</f>
        <v xml:space="preserve">【超級】メタルダックを捕獲せよ！ </v>
      </c>
      <c r="G516" s="3" t="str">
        <f ca="1">VLOOKUP($B516&amp;"_"&amp;$E516,OFFSET([1]stages!$A$1,0,0,COUNTA([1]stages!$A:$A),MATCH(G$1,[1]stages!$2:$2,0)-MATCH("temp_stage",[1]stages!$2:$2,0)+1),MATCH(G$1,[1]stages!$2:$2,0)-MATCH("temp_stage",[1]stages!$2:$2,0)+1,FALSE)</f>
        <v>ゲリラクエスト</v>
      </c>
      <c r="H516" s="18">
        <v>0</v>
      </c>
      <c r="I516">
        <v>28</v>
      </c>
      <c r="J516" s="5" t="s">
        <v>16</v>
      </c>
      <c r="K516" s="34" t="str">
        <f>VLOOKUP(I516,[2]stage_hints!$A:$C,3,FALSE)</f>
        <v>ステータス情報は長押しで</v>
      </c>
      <c r="L516" s="35" t="str">
        <f>VLOOKUP(I516,[2]stage_hints!$A:$D,4,FALSE)</f>
        <v>ユニットのアイコンを長押しすると_x000D_ステータス情報を確認することができます</v>
      </c>
      <c r="M516" s="21" t="s">
        <v>23</v>
      </c>
      <c r="N516">
        <v>28</v>
      </c>
    </row>
    <row r="517" spans="1:14" x14ac:dyDescent="0.15">
      <c r="A517" s="26" t="s">
        <v>32</v>
      </c>
      <c r="B517" s="4">
        <v>12001</v>
      </c>
      <c r="C517" s="3" t="str">
        <f ca="1">VLOOKUP($B517,OFFSET([1]quests!$A$1,0,0,COUNTA([1]quests!$A:$A),MATCH(C$1,[1]quests!$1:$1,0)-MATCH($B$1,[1]quests!$1:$1,0)+1),MATCH(C$1,[1]quests!$1:$1,0)-MATCH($B$1,[1]quests!$1:$1,0)+1,FALSE)</f>
        <v>【緊急！！】 アヒル捕獲作戦</v>
      </c>
      <c r="D517" s="3" t="str">
        <f ca="1">VLOOKUP($B517,OFFSET([1]quests!$A$1,0,0,COUNTA([1]quests!$A:$A),MATCH(D$1,[1]quests!$1:$1,0)-MATCH($B$1,[1]quests!$1:$1,0)+1),MATCH(D$1,[1]quests!$1:$1,0)-MATCH($B$1,[1]quests!$1:$1,0)+1,FALSE)</f>
        <v>ゲリラクエスト</v>
      </c>
      <c r="E517" s="5">
        <v>3</v>
      </c>
      <c r="F517" s="3" t="str">
        <f ca="1">VLOOKUP($B517&amp;"_"&amp;$E517,OFFSET([1]stages!$A$1,0,0,COUNTA([1]stages!$A:$A),MATCH(F$1,[1]stages!$2:$2,0)-MATCH("temp_stage",[1]stages!$2:$2,0)+1),MATCH(F$1,[1]stages!$2:$2,0)-MATCH("temp_stage",[1]stages!$2:$2,0)+1,FALSE)</f>
        <v xml:space="preserve">【超級】メタルダックを捕獲せよ！ </v>
      </c>
      <c r="G517" s="3" t="str">
        <f ca="1">VLOOKUP($B517&amp;"_"&amp;$E517,OFFSET([1]stages!$A$1,0,0,COUNTA([1]stages!$A:$A),MATCH(G$1,[1]stages!$2:$2,0)-MATCH("temp_stage",[1]stages!$2:$2,0)+1),MATCH(G$1,[1]stages!$2:$2,0)-MATCH("temp_stage",[1]stages!$2:$2,0)+1,FALSE)</f>
        <v>ゲリラクエスト</v>
      </c>
      <c r="H517" s="18">
        <v>0</v>
      </c>
      <c r="I517">
        <v>29</v>
      </c>
      <c r="J517" s="5" t="s">
        <v>16</v>
      </c>
      <c r="K517" s="34" t="str">
        <f>VLOOKUP(I517,[2]stage_hints!$A:$C,3,FALSE)</f>
        <v>「バグ」のメリット</v>
      </c>
      <c r="L517" s="35" t="str">
        <f>VLOOKUP(I517,[2]stage_hints!$A:$D,4,FALSE)</f>
        <v>ユニットの「バグ」を増やすと_x000D_報酬をもらえる確率がアップします</v>
      </c>
      <c r="M517" s="21" t="s">
        <v>23</v>
      </c>
      <c r="N517">
        <v>29</v>
      </c>
    </row>
    <row r="518" spans="1:14" x14ac:dyDescent="0.15">
      <c r="A518" s="26" t="s">
        <v>32</v>
      </c>
      <c r="B518" s="4">
        <v>12001</v>
      </c>
      <c r="C518" s="3" t="str">
        <f ca="1">VLOOKUP($B518,OFFSET([1]quests!$A$1,0,0,COUNTA([1]quests!$A:$A),MATCH(C$1,[1]quests!$1:$1,0)-MATCH($B$1,[1]quests!$1:$1,0)+1),MATCH(C$1,[1]quests!$1:$1,0)-MATCH($B$1,[1]quests!$1:$1,0)+1,FALSE)</f>
        <v>【緊急！！】 アヒル捕獲作戦</v>
      </c>
      <c r="D518" s="3" t="str">
        <f ca="1">VLOOKUP($B518,OFFSET([1]quests!$A$1,0,0,COUNTA([1]quests!$A:$A),MATCH(D$1,[1]quests!$1:$1,0)-MATCH($B$1,[1]quests!$1:$1,0)+1),MATCH(D$1,[1]quests!$1:$1,0)-MATCH($B$1,[1]quests!$1:$1,0)+1,FALSE)</f>
        <v>ゲリラクエスト</v>
      </c>
      <c r="E518" s="5">
        <v>3</v>
      </c>
      <c r="F518" s="3" t="str">
        <f ca="1">VLOOKUP($B518&amp;"_"&amp;$E518,OFFSET([1]stages!$A$1,0,0,COUNTA([1]stages!$A:$A),MATCH(F$1,[1]stages!$2:$2,0)-MATCH("temp_stage",[1]stages!$2:$2,0)+1),MATCH(F$1,[1]stages!$2:$2,0)-MATCH("temp_stage",[1]stages!$2:$2,0)+1,FALSE)</f>
        <v xml:space="preserve">【超級】メタルダックを捕獲せよ！ </v>
      </c>
      <c r="G518" s="3" t="str">
        <f ca="1">VLOOKUP($B518&amp;"_"&amp;$E518,OFFSET([1]stages!$A$1,0,0,COUNTA([1]stages!$A:$A),MATCH(G$1,[1]stages!$2:$2,0)-MATCH("temp_stage",[1]stages!$2:$2,0)+1),MATCH(G$1,[1]stages!$2:$2,0)-MATCH("temp_stage",[1]stages!$2:$2,0)+1,FALSE)</f>
        <v>ゲリラクエスト</v>
      </c>
      <c r="H518" s="18">
        <v>0</v>
      </c>
      <c r="I518">
        <v>30</v>
      </c>
      <c r="J518" s="5" t="s">
        <v>16</v>
      </c>
      <c r="K518" s="34" t="str">
        <f>VLOOKUP(I518,[2]stage_hints!$A:$C,3,FALSE)</f>
        <v>「バグ」の増やし方</v>
      </c>
      <c r="L518" s="35" t="str">
        <f>VLOOKUP(I518,[2]stage_hints!$A:$D,4,FALSE)</f>
        <v>同じユニット同士を強化で合成すると_x000D_「バグ」を増やすことができます</v>
      </c>
      <c r="M518" s="21" t="s">
        <v>23</v>
      </c>
      <c r="N518">
        <v>30</v>
      </c>
    </row>
    <row r="519" spans="1:14" x14ac:dyDescent="0.15">
      <c r="A519" s="26" t="s">
        <v>32</v>
      </c>
      <c r="B519" s="4">
        <v>12001</v>
      </c>
      <c r="C519" s="3" t="str">
        <f ca="1">VLOOKUP($B519,OFFSET([1]quests!$A$1,0,0,COUNTA([1]quests!$A:$A),MATCH(C$1,[1]quests!$1:$1,0)-MATCH($B$1,[1]quests!$1:$1,0)+1),MATCH(C$1,[1]quests!$1:$1,0)-MATCH($B$1,[1]quests!$1:$1,0)+1,FALSE)</f>
        <v>【緊急！！】 アヒル捕獲作戦</v>
      </c>
      <c r="D519" s="3" t="str">
        <f ca="1">VLOOKUP($B519,OFFSET([1]quests!$A$1,0,0,COUNTA([1]quests!$A:$A),MATCH(D$1,[1]quests!$1:$1,0)-MATCH($B$1,[1]quests!$1:$1,0)+1),MATCH(D$1,[1]quests!$1:$1,0)-MATCH($B$1,[1]quests!$1:$1,0)+1,FALSE)</f>
        <v>ゲリラクエスト</v>
      </c>
      <c r="E519" s="5">
        <v>3</v>
      </c>
      <c r="F519" s="3" t="str">
        <f ca="1">VLOOKUP($B519&amp;"_"&amp;$E519,OFFSET([1]stages!$A$1,0,0,COUNTA([1]stages!$A:$A),MATCH(F$1,[1]stages!$2:$2,0)-MATCH("temp_stage",[1]stages!$2:$2,0)+1),MATCH(F$1,[1]stages!$2:$2,0)-MATCH("temp_stage",[1]stages!$2:$2,0)+1,FALSE)</f>
        <v xml:space="preserve">【超級】メタルダックを捕獲せよ！ </v>
      </c>
      <c r="G519" s="3" t="str">
        <f ca="1">VLOOKUP($B519&amp;"_"&amp;$E519,OFFSET([1]stages!$A$1,0,0,COUNTA([1]stages!$A:$A),MATCH(G$1,[1]stages!$2:$2,0)-MATCH("temp_stage",[1]stages!$2:$2,0)+1),MATCH(G$1,[1]stages!$2:$2,0)-MATCH("temp_stage",[1]stages!$2:$2,0)+1,FALSE)</f>
        <v>ゲリラクエスト</v>
      </c>
      <c r="H519" s="18">
        <v>0</v>
      </c>
      <c r="I519">
        <v>32</v>
      </c>
      <c r="J519" s="5" t="s">
        <v>16</v>
      </c>
      <c r="K519" s="34" t="str">
        <f>VLOOKUP(I519,[2]stage_hints!$A:$C,3,FALSE)</f>
        <v>敵の連続攻撃には</v>
      </c>
      <c r="L519" s="35" t="str">
        <f>VLOOKUP(I519,[2]stage_hints!$A:$D,4,FALSE)</f>
        <v>カウンタースキルを持つユニットがいれば_x000D_ダメージ回数分の反撃ができます</v>
      </c>
      <c r="M519" s="21" t="s">
        <v>23</v>
      </c>
      <c r="N519">
        <v>32</v>
      </c>
    </row>
    <row r="520" spans="1:14" x14ac:dyDescent="0.15">
      <c r="A520" s="26" t="s">
        <v>32</v>
      </c>
      <c r="B520" s="4">
        <v>12001</v>
      </c>
      <c r="C520" s="3" t="str">
        <f ca="1">VLOOKUP($B520,OFFSET([1]quests!$A$1,0,0,COUNTA([1]quests!$A:$A),MATCH(C$1,[1]quests!$1:$1,0)-MATCH($B$1,[1]quests!$1:$1,0)+1),MATCH(C$1,[1]quests!$1:$1,0)-MATCH($B$1,[1]quests!$1:$1,0)+1,FALSE)</f>
        <v>【緊急！！】 アヒル捕獲作戦</v>
      </c>
      <c r="D520" s="3" t="str">
        <f ca="1">VLOOKUP($B520,OFFSET([1]quests!$A$1,0,0,COUNTA([1]quests!$A:$A),MATCH(D$1,[1]quests!$1:$1,0)-MATCH($B$1,[1]quests!$1:$1,0)+1),MATCH(D$1,[1]quests!$1:$1,0)-MATCH($B$1,[1]quests!$1:$1,0)+1,FALSE)</f>
        <v>ゲリラクエスト</v>
      </c>
      <c r="E520" s="5">
        <v>3</v>
      </c>
      <c r="F520" s="3" t="str">
        <f ca="1">VLOOKUP($B520&amp;"_"&amp;$E520,OFFSET([1]stages!$A$1,0,0,COUNTA([1]stages!$A:$A),MATCH(F$1,[1]stages!$2:$2,0)-MATCH("temp_stage",[1]stages!$2:$2,0)+1),MATCH(F$1,[1]stages!$2:$2,0)-MATCH("temp_stage",[1]stages!$2:$2,0)+1,FALSE)</f>
        <v xml:space="preserve">【超級】メタルダックを捕獲せよ！ </v>
      </c>
      <c r="G520" s="3" t="str">
        <f ca="1">VLOOKUP($B520&amp;"_"&amp;$E520,OFFSET([1]stages!$A$1,0,0,COUNTA([1]stages!$A:$A),MATCH(G$1,[1]stages!$2:$2,0)-MATCH("temp_stage",[1]stages!$2:$2,0)+1),MATCH(G$1,[1]stages!$2:$2,0)-MATCH("temp_stage",[1]stages!$2:$2,0)+1,FALSE)</f>
        <v>ゲリラクエスト</v>
      </c>
      <c r="H520" s="18">
        <v>0</v>
      </c>
      <c r="I520">
        <v>33</v>
      </c>
      <c r="J520" s="5" t="s">
        <v>16</v>
      </c>
      <c r="K520" s="34" t="str">
        <f>VLOOKUP(I520,[2]stage_hints!$A:$C,3,FALSE)</f>
        <v>敵のカウンター攻撃には</v>
      </c>
      <c r="L520" s="35" t="str">
        <f>VLOOKUP(I520,[2]stage_hints!$A:$D,4,FALSE)</f>
        <v>カウンターブレイクスキルを持っていれば_x000D_敵のカウンターを解除して攻撃ができます</v>
      </c>
      <c r="M520" s="21" t="s">
        <v>23</v>
      </c>
      <c r="N520">
        <v>33</v>
      </c>
    </row>
    <row r="521" spans="1:14" x14ac:dyDescent="0.15">
      <c r="A521" s="26" t="s">
        <v>32</v>
      </c>
      <c r="B521" s="4">
        <v>12001</v>
      </c>
      <c r="C521" s="3" t="str">
        <f ca="1">VLOOKUP($B521,OFFSET([1]quests!$A$1,0,0,COUNTA([1]quests!$A:$A),MATCH(C$1,[1]quests!$1:$1,0)-MATCH($B$1,[1]quests!$1:$1,0)+1),MATCH(C$1,[1]quests!$1:$1,0)-MATCH($B$1,[1]quests!$1:$1,0)+1,FALSE)</f>
        <v>【緊急！！】 アヒル捕獲作戦</v>
      </c>
      <c r="D521" s="3" t="str">
        <f ca="1">VLOOKUP($B521,OFFSET([1]quests!$A$1,0,0,COUNTA([1]quests!$A:$A),MATCH(D$1,[1]quests!$1:$1,0)-MATCH($B$1,[1]quests!$1:$1,0)+1),MATCH(D$1,[1]quests!$1:$1,0)-MATCH($B$1,[1]quests!$1:$1,0)+1,FALSE)</f>
        <v>ゲリラクエスト</v>
      </c>
      <c r="E521" s="5">
        <v>3</v>
      </c>
      <c r="F521" s="3" t="str">
        <f ca="1">VLOOKUP($B521&amp;"_"&amp;$E521,OFFSET([1]stages!$A$1,0,0,COUNTA([1]stages!$A:$A),MATCH(F$1,[1]stages!$2:$2,0)-MATCH("temp_stage",[1]stages!$2:$2,0)+1),MATCH(F$1,[1]stages!$2:$2,0)-MATCH("temp_stage",[1]stages!$2:$2,0)+1,FALSE)</f>
        <v xml:space="preserve">【超級】メタルダックを捕獲せよ！ </v>
      </c>
      <c r="G521" s="3" t="str">
        <f ca="1">VLOOKUP($B521&amp;"_"&amp;$E521,OFFSET([1]stages!$A$1,0,0,COUNTA([1]stages!$A:$A),MATCH(G$1,[1]stages!$2:$2,0)-MATCH("temp_stage",[1]stages!$2:$2,0)+1),MATCH(G$1,[1]stages!$2:$2,0)-MATCH("temp_stage",[1]stages!$2:$2,0)+1,FALSE)</f>
        <v>ゲリラクエスト</v>
      </c>
      <c r="H521" s="18">
        <v>0</v>
      </c>
      <c r="I521">
        <v>34</v>
      </c>
      <c r="J521" s="5" t="s">
        <v>16</v>
      </c>
      <c r="K521" s="34" t="str">
        <f>VLOOKUP(I521,[2]stage_hints!$A:$C,3,FALSE)</f>
        <v>ステータスをスキルで下げられたら</v>
      </c>
      <c r="L521" s="35" t="str">
        <f>VLOOKUP(I521,[2]stage_hints!$A:$D,4,FALSE)</f>
        <v>ステータスダウンのスキルを受けたら_x000D_ステータスアップスキルで上書きしましょう</v>
      </c>
      <c r="M521" s="21" t="s">
        <v>23</v>
      </c>
      <c r="N521">
        <v>34</v>
      </c>
    </row>
    <row r="522" spans="1:14" x14ac:dyDescent="0.15">
      <c r="A522" s="26" t="s">
        <v>32</v>
      </c>
      <c r="B522" s="4">
        <v>12001</v>
      </c>
      <c r="C522" s="3" t="str">
        <f ca="1">VLOOKUP($B522,OFFSET([1]quests!$A$1,0,0,COUNTA([1]quests!$A:$A),MATCH(C$1,[1]quests!$1:$1,0)-MATCH($B$1,[1]quests!$1:$1,0)+1),MATCH(C$1,[1]quests!$1:$1,0)-MATCH($B$1,[1]quests!$1:$1,0)+1,FALSE)</f>
        <v>【緊急！！】 アヒル捕獲作戦</v>
      </c>
      <c r="D522" s="3" t="str">
        <f ca="1">VLOOKUP($B522,OFFSET([1]quests!$A$1,0,0,COUNTA([1]quests!$A:$A),MATCH(D$1,[1]quests!$1:$1,0)-MATCH($B$1,[1]quests!$1:$1,0)+1),MATCH(D$1,[1]quests!$1:$1,0)-MATCH($B$1,[1]quests!$1:$1,0)+1,FALSE)</f>
        <v>ゲリラクエスト</v>
      </c>
      <c r="E522" s="5">
        <v>3</v>
      </c>
      <c r="F522" s="3" t="str">
        <f ca="1">VLOOKUP($B522&amp;"_"&amp;$E522,OFFSET([1]stages!$A$1,0,0,COUNTA([1]stages!$A:$A),MATCH(F$1,[1]stages!$2:$2,0)-MATCH("temp_stage",[1]stages!$2:$2,0)+1),MATCH(F$1,[1]stages!$2:$2,0)-MATCH("temp_stage",[1]stages!$2:$2,0)+1,FALSE)</f>
        <v xml:space="preserve">【超級】メタルダックを捕獲せよ！ </v>
      </c>
      <c r="G522" s="3" t="str">
        <f ca="1">VLOOKUP($B522&amp;"_"&amp;$E522,OFFSET([1]stages!$A$1,0,0,COUNTA([1]stages!$A:$A),MATCH(G$1,[1]stages!$2:$2,0)-MATCH("temp_stage",[1]stages!$2:$2,0)+1),MATCH(G$1,[1]stages!$2:$2,0)-MATCH("temp_stage",[1]stages!$2:$2,0)+1,FALSE)</f>
        <v>ゲリラクエスト</v>
      </c>
      <c r="H522" s="18">
        <v>0</v>
      </c>
      <c r="I522">
        <v>35</v>
      </c>
      <c r="J522" s="5" t="s">
        <v>16</v>
      </c>
      <c r="K522" s="34" t="str">
        <f>VLOOKUP(I522,[2]stage_hints!$A:$C,3,FALSE)</f>
        <v>敵のステータスがスキルで上がったら</v>
      </c>
      <c r="L522" s="35" t="str">
        <f>VLOOKUP(I522,[2]stage_hints!$A:$D,4,FALSE)</f>
        <v>敵のステータスがスキルでアップしたときは_x000D_ステータスダウンスキルで上書きしましょう</v>
      </c>
      <c r="M522" s="21" t="s">
        <v>23</v>
      </c>
      <c r="N522">
        <v>35</v>
      </c>
    </row>
    <row r="523" spans="1:14" x14ac:dyDescent="0.15">
      <c r="A523" s="26" t="s">
        <v>32</v>
      </c>
      <c r="B523" s="4">
        <v>12001</v>
      </c>
      <c r="C523" s="3" t="str">
        <f ca="1">VLOOKUP($B523,OFFSET([1]quests!$A$1,0,0,COUNTA([1]quests!$A:$A),MATCH(C$1,[1]quests!$1:$1,0)-MATCH($B$1,[1]quests!$1:$1,0)+1),MATCH(C$1,[1]quests!$1:$1,0)-MATCH($B$1,[1]quests!$1:$1,0)+1,FALSE)</f>
        <v>【緊急！！】 アヒル捕獲作戦</v>
      </c>
      <c r="D523" s="3" t="str">
        <f ca="1">VLOOKUP($B523,OFFSET([1]quests!$A$1,0,0,COUNTA([1]quests!$A:$A),MATCH(D$1,[1]quests!$1:$1,0)-MATCH($B$1,[1]quests!$1:$1,0)+1),MATCH(D$1,[1]quests!$1:$1,0)-MATCH($B$1,[1]quests!$1:$1,0)+1,FALSE)</f>
        <v>ゲリラクエスト</v>
      </c>
      <c r="E523" s="5">
        <v>3</v>
      </c>
      <c r="F523" s="3" t="str">
        <f ca="1">VLOOKUP($B523&amp;"_"&amp;$E523,OFFSET([1]stages!$A$1,0,0,COUNTA([1]stages!$A:$A),MATCH(F$1,[1]stages!$2:$2,0)-MATCH("temp_stage",[1]stages!$2:$2,0)+1),MATCH(F$1,[1]stages!$2:$2,0)-MATCH("temp_stage",[1]stages!$2:$2,0)+1,FALSE)</f>
        <v xml:space="preserve">【超級】メタルダックを捕獲せよ！ </v>
      </c>
      <c r="G523" s="3" t="str">
        <f ca="1">VLOOKUP($B523&amp;"_"&amp;$E523,OFFSET([1]stages!$A$1,0,0,COUNTA([1]stages!$A:$A),MATCH(G$1,[1]stages!$2:$2,0)-MATCH("temp_stage",[1]stages!$2:$2,0)+1),MATCH(G$1,[1]stages!$2:$2,0)-MATCH("temp_stage",[1]stages!$2:$2,0)+1,FALSE)</f>
        <v>ゲリラクエスト</v>
      </c>
      <c r="H523" s="18">
        <v>0</v>
      </c>
      <c r="I523">
        <v>36</v>
      </c>
      <c r="J523" s="5" t="s">
        <v>16</v>
      </c>
      <c r="K523" s="34" t="str">
        <f>VLOOKUP(I523,[2]stage_hints!$A:$C,3,FALSE)</f>
        <v>タワーオブザクイーンのボス</v>
      </c>
      <c r="L523" s="35" t="str">
        <f>VLOOKUP(I523,[2]stage_hints!$A:$D,4,FALSE)</f>
        <v>「タワーオブザクイーン」最上階のボスは_x000D_15階の初回クリア報酬で獲得できるほか_x000D_その階にて低確率でドロップもします</v>
      </c>
      <c r="M523" s="21" t="s">
        <v>23</v>
      </c>
      <c r="N523">
        <v>36</v>
      </c>
    </row>
    <row r="524" spans="1:14" x14ac:dyDescent="0.15">
      <c r="A524" s="26" t="s">
        <v>32</v>
      </c>
      <c r="B524" s="4">
        <v>12001</v>
      </c>
      <c r="C524" s="3" t="str">
        <f ca="1">VLOOKUP($B524,OFFSET([1]quests!$A$1,0,0,COUNTA([1]quests!$A:$A),MATCH(C$1,[1]quests!$1:$1,0)-MATCH($B$1,[1]quests!$1:$1,0)+1),MATCH(C$1,[1]quests!$1:$1,0)-MATCH($B$1,[1]quests!$1:$1,0)+1,FALSE)</f>
        <v>【緊急！！】 アヒル捕獲作戦</v>
      </c>
      <c r="D524" s="3" t="str">
        <f ca="1">VLOOKUP($B524,OFFSET([1]quests!$A$1,0,0,COUNTA([1]quests!$A:$A),MATCH(D$1,[1]quests!$1:$1,0)-MATCH($B$1,[1]quests!$1:$1,0)+1),MATCH(D$1,[1]quests!$1:$1,0)-MATCH($B$1,[1]quests!$1:$1,0)+1,FALSE)</f>
        <v>ゲリラクエスト</v>
      </c>
      <c r="E524" s="5">
        <v>3</v>
      </c>
      <c r="F524" s="3" t="str">
        <f ca="1">VLOOKUP($B524&amp;"_"&amp;$E524,OFFSET([1]stages!$A$1,0,0,COUNTA([1]stages!$A:$A),MATCH(F$1,[1]stages!$2:$2,0)-MATCH("temp_stage",[1]stages!$2:$2,0)+1),MATCH(F$1,[1]stages!$2:$2,0)-MATCH("temp_stage",[1]stages!$2:$2,0)+1,FALSE)</f>
        <v xml:space="preserve">【超級】メタルダックを捕獲せよ！ </v>
      </c>
      <c r="G524" s="3" t="str">
        <f ca="1">VLOOKUP($B524&amp;"_"&amp;$E524,OFFSET([1]stages!$A$1,0,0,COUNTA([1]stages!$A:$A),MATCH(G$1,[1]stages!$2:$2,0)-MATCH("temp_stage",[1]stages!$2:$2,0)+1),MATCH(G$1,[1]stages!$2:$2,0)-MATCH("temp_stage",[1]stages!$2:$2,0)+1,FALSE)</f>
        <v>ゲリラクエスト</v>
      </c>
      <c r="H524" s="18">
        <v>0</v>
      </c>
      <c r="I524">
        <v>37</v>
      </c>
      <c r="J524" s="5" t="s">
        <v>16</v>
      </c>
      <c r="K524" s="34" t="str">
        <f>VLOOKUP(I524,[2]stage_hints!$A:$C,3,FALSE)</f>
        <v>限界突破値の引き継ぎ</v>
      </c>
      <c r="L524" s="35" t="str">
        <f>VLOOKUP(I524,[2]stage_hints!$A:$D,4,FALSE)</f>
        <v>同じユニットを強化で合成すると_x000D_限界突破値を引き継げます（覚醒前後も可）</v>
      </c>
      <c r="M524" s="21" t="s">
        <v>23</v>
      </c>
      <c r="N524">
        <v>37</v>
      </c>
    </row>
  </sheetData>
  <phoneticPr fontId="5"/>
  <dataValidations count="1">
    <dataValidation type="list" allowBlank="1" showInputMessage="1" showErrorMessage="1" sqref="A2:A524">
      <formula1>"complete,failure"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C38"/>
  <sheetViews>
    <sheetView topLeftCell="A11" workbookViewId="0">
      <selection activeCell="C16" sqref="C16"/>
    </sheetView>
  </sheetViews>
  <sheetFormatPr baseColWidth="12" defaultRowHeight="15" x14ac:dyDescent="0.15"/>
  <cols>
    <col min="3" max="3" width="75.33203125" customWidth="1"/>
  </cols>
  <sheetData>
    <row r="1" spans="1:3" x14ac:dyDescent="0.15">
      <c r="A1" t="s">
        <v>71</v>
      </c>
      <c r="B1" t="s">
        <v>35</v>
      </c>
      <c r="C1" t="s">
        <v>36</v>
      </c>
    </row>
    <row r="2" spans="1:3" ht="28" x14ac:dyDescent="0.15">
      <c r="A2">
        <v>1</v>
      </c>
      <c r="B2" t="s">
        <v>37</v>
      </c>
      <c r="C2" s="28" t="s">
        <v>77</v>
      </c>
    </row>
    <row r="3" spans="1:3" ht="28" x14ac:dyDescent="0.15">
      <c r="A3">
        <v>2</v>
      </c>
      <c r="B3" t="s">
        <v>38</v>
      </c>
      <c r="C3" s="28" t="s">
        <v>78</v>
      </c>
    </row>
    <row r="4" spans="1:3" ht="28" x14ac:dyDescent="0.15">
      <c r="A4">
        <v>3</v>
      </c>
      <c r="B4" t="s">
        <v>39</v>
      </c>
      <c r="C4" s="28" t="s">
        <v>79</v>
      </c>
    </row>
    <row r="5" spans="1:3" ht="42" x14ac:dyDescent="0.15">
      <c r="A5">
        <v>4</v>
      </c>
      <c r="B5" t="s">
        <v>40</v>
      </c>
      <c r="C5" s="28" t="s">
        <v>80</v>
      </c>
    </row>
    <row r="6" spans="1:3" ht="42" x14ac:dyDescent="0.15">
      <c r="A6">
        <v>5</v>
      </c>
      <c r="B6" t="s">
        <v>41</v>
      </c>
      <c r="C6" s="28" t="s">
        <v>107</v>
      </c>
    </row>
    <row r="7" spans="1:3" ht="42" x14ac:dyDescent="0.15">
      <c r="A7">
        <v>6</v>
      </c>
      <c r="B7" t="s">
        <v>42</v>
      </c>
      <c r="C7" s="28" t="s">
        <v>81</v>
      </c>
    </row>
    <row r="8" spans="1:3" ht="42" x14ac:dyDescent="0.15">
      <c r="A8">
        <v>7</v>
      </c>
      <c r="B8" t="s">
        <v>43</v>
      </c>
      <c r="C8" s="28" t="s">
        <v>82</v>
      </c>
    </row>
    <row r="9" spans="1:3" ht="42" x14ac:dyDescent="0.15">
      <c r="A9">
        <v>8</v>
      </c>
      <c r="B9" t="s">
        <v>44</v>
      </c>
      <c r="C9" s="28" t="s">
        <v>83</v>
      </c>
    </row>
    <row r="10" spans="1:3" ht="42" x14ac:dyDescent="0.15">
      <c r="A10">
        <v>9</v>
      </c>
      <c r="B10" t="s">
        <v>45</v>
      </c>
      <c r="C10" s="28" t="s">
        <v>84</v>
      </c>
    </row>
    <row r="11" spans="1:3" ht="42" x14ac:dyDescent="0.15">
      <c r="A11">
        <v>10</v>
      </c>
      <c r="B11" t="s">
        <v>46</v>
      </c>
      <c r="C11" s="28" t="s">
        <v>85</v>
      </c>
    </row>
    <row r="12" spans="1:3" ht="42" x14ac:dyDescent="0.15">
      <c r="A12">
        <v>11</v>
      </c>
      <c r="B12" t="s">
        <v>47</v>
      </c>
      <c r="C12" s="29" t="s">
        <v>86</v>
      </c>
    </row>
    <row r="13" spans="1:3" ht="28" x14ac:dyDescent="0.15">
      <c r="A13">
        <v>12</v>
      </c>
      <c r="B13" t="s">
        <v>33</v>
      </c>
      <c r="C13" s="28" t="s">
        <v>87</v>
      </c>
    </row>
    <row r="14" spans="1:3" ht="28" x14ac:dyDescent="0.15">
      <c r="A14">
        <v>13</v>
      </c>
      <c r="B14" t="s">
        <v>48</v>
      </c>
      <c r="C14" s="28" t="s">
        <v>88</v>
      </c>
    </row>
    <row r="15" spans="1:3" ht="42" x14ac:dyDescent="0.15">
      <c r="A15">
        <v>14</v>
      </c>
      <c r="B15" t="s">
        <v>49</v>
      </c>
      <c r="C15" s="28" t="s">
        <v>89</v>
      </c>
    </row>
    <row r="16" spans="1:3" ht="28" x14ac:dyDescent="0.15">
      <c r="A16">
        <v>15</v>
      </c>
      <c r="B16" t="s">
        <v>50</v>
      </c>
      <c r="C16" s="28" t="s">
        <v>90</v>
      </c>
    </row>
    <row r="17" spans="1:3" ht="42" x14ac:dyDescent="0.15">
      <c r="A17">
        <v>16</v>
      </c>
      <c r="B17" t="s">
        <v>51</v>
      </c>
      <c r="C17" s="28" t="s">
        <v>91</v>
      </c>
    </row>
    <row r="18" spans="1:3" ht="42" x14ac:dyDescent="0.15">
      <c r="A18">
        <v>17</v>
      </c>
      <c r="B18" t="s">
        <v>52</v>
      </c>
      <c r="C18" s="29" t="s">
        <v>92</v>
      </c>
    </row>
    <row r="19" spans="1:3" ht="28" x14ac:dyDescent="0.15">
      <c r="A19">
        <v>18</v>
      </c>
      <c r="B19" t="s">
        <v>53</v>
      </c>
      <c r="C19" s="28" t="s">
        <v>93</v>
      </c>
    </row>
    <row r="20" spans="1:3" ht="42" x14ac:dyDescent="0.15">
      <c r="A20">
        <v>19</v>
      </c>
      <c r="B20" t="s">
        <v>54</v>
      </c>
      <c r="C20" s="29" t="s">
        <v>94</v>
      </c>
    </row>
    <row r="21" spans="1:3" ht="28" x14ac:dyDescent="0.15">
      <c r="A21">
        <v>20</v>
      </c>
      <c r="B21" t="s">
        <v>34</v>
      </c>
      <c r="C21" s="30" t="s">
        <v>112</v>
      </c>
    </row>
    <row r="22" spans="1:3" ht="56" x14ac:dyDescent="0.15">
      <c r="A22">
        <v>21</v>
      </c>
      <c r="B22" t="s">
        <v>55</v>
      </c>
      <c r="C22" s="29" t="s">
        <v>113</v>
      </c>
    </row>
    <row r="23" spans="1:3" x14ac:dyDescent="0.15">
      <c r="A23">
        <v>22</v>
      </c>
      <c r="B23" t="s">
        <v>56</v>
      </c>
      <c r="C23" s="29" t="s">
        <v>95</v>
      </c>
    </row>
    <row r="24" spans="1:3" ht="42" x14ac:dyDescent="0.15">
      <c r="A24">
        <v>23</v>
      </c>
      <c r="B24" t="s">
        <v>57</v>
      </c>
      <c r="C24" s="29" t="s">
        <v>96</v>
      </c>
    </row>
    <row r="25" spans="1:3" ht="56" x14ac:dyDescent="0.15">
      <c r="A25">
        <v>24</v>
      </c>
      <c r="B25" t="s">
        <v>58</v>
      </c>
      <c r="C25" s="29" t="s">
        <v>108</v>
      </c>
    </row>
    <row r="26" spans="1:3" ht="42" x14ac:dyDescent="0.15">
      <c r="A26">
        <v>25</v>
      </c>
      <c r="B26" t="s">
        <v>59</v>
      </c>
      <c r="C26" s="29" t="s">
        <v>97</v>
      </c>
    </row>
    <row r="27" spans="1:3" ht="28" x14ac:dyDescent="0.15">
      <c r="A27">
        <v>26</v>
      </c>
      <c r="B27" t="s">
        <v>60</v>
      </c>
      <c r="C27" s="29" t="s">
        <v>98</v>
      </c>
    </row>
    <row r="28" spans="1:3" ht="42" x14ac:dyDescent="0.15">
      <c r="A28">
        <v>27</v>
      </c>
      <c r="B28" t="s">
        <v>61</v>
      </c>
      <c r="C28" s="28" t="s">
        <v>99</v>
      </c>
    </row>
    <row r="29" spans="1:3" ht="42" x14ac:dyDescent="0.15">
      <c r="A29">
        <v>28</v>
      </c>
      <c r="B29" t="s">
        <v>62</v>
      </c>
      <c r="C29" s="28" t="s">
        <v>100</v>
      </c>
    </row>
    <row r="30" spans="1:3" x14ac:dyDescent="0.15">
      <c r="A30">
        <v>29</v>
      </c>
      <c r="B30" t="s">
        <v>63</v>
      </c>
      <c r="C30" s="31" t="s">
        <v>101</v>
      </c>
    </row>
    <row r="31" spans="1:3" ht="28" x14ac:dyDescent="0.15">
      <c r="A31">
        <v>30</v>
      </c>
      <c r="B31" t="s">
        <v>64</v>
      </c>
      <c r="C31" s="32" t="s">
        <v>102</v>
      </c>
    </row>
    <row r="32" spans="1:3" ht="28" x14ac:dyDescent="0.15">
      <c r="A32">
        <v>31</v>
      </c>
      <c r="B32" t="s">
        <v>72</v>
      </c>
      <c r="C32" s="33" t="s">
        <v>109</v>
      </c>
    </row>
    <row r="33" spans="1:3" ht="28" x14ac:dyDescent="0.15">
      <c r="A33">
        <v>32</v>
      </c>
      <c r="B33" t="s">
        <v>65</v>
      </c>
      <c r="C33" s="29" t="s">
        <v>110</v>
      </c>
    </row>
    <row r="34" spans="1:3" ht="56" x14ac:dyDescent="0.15">
      <c r="A34">
        <v>33</v>
      </c>
      <c r="B34" t="s">
        <v>66</v>
      </c>
      <c r="C34" s="28" t="s">
        <v>111</v>
      </c>
    </row>
    <row r="35" spans="1:3" ht="28" x14ac:dyDescent="0.15">
      <c r="A35">
        <v>34</v>
      </c>
      <c r="B35" t="s">
        <v>67</v>
      </c>
      <c r="C35" s="28" t="s">
        <v>103</v>
      </c>
    </row>
    <row r="36" spans="1:3" ht="42" x14ac:dyDescent="0.15">
      <c r="A36">
        <v>35</v>
      </c>
      <c r="B36" t="s">
        <v>68</v>
      </c>
      <c r="C36" s="28" t="s">
        <v>104</v>
      </c>
    </row>
    <row r="37" spans="1:3" ht="42" x14ac:dyDescent="0.15">
      <c r="A37">
        <v>36</v>
      </c>
      <c r="B37" t="s">
        <v>69</v>
      </c>
      <c r="C37" s="29" t="s">
        <v>105</v>
      </c>
    </row>
    <row r="38" spans="1:3" ht="42" x14ac:dyDescent="0.15">
      <c r="A38">
        <v>37</v>
      </c>
      <c r="B38" t="s">
        <v>70</v>
      </c>
      <c r="C38" s="29" t="s">
        <v>106</v>
      </c>
    </row>
  </sheetData>
  <phoneticPr fontId="5"/>
  <pageMargins left="0.7" right="0.7" top="0.75" bottom="0.75" header="0.3" footer="0.3"/>
  <pageSetup paperSize="9" orientation="portrait" horizontalDpi="4294967292" verticalDpi="429496729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output</vt:lpstr>
      <vt:lpstr>stage_hints</vt:lpstr>
      <vt:lpstr>Sheet1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¥98</dc:creator>
  <cp:lastModifiedBy>Microsoft Office ユーザー</cp:lastModifiedBy>
  <dcterms:created xsi:type="dcterms:W3CDTF">2013-10-07T08:00:17Z</dcterms:created>
  <dcterms:modified xsi:type="dcterms:W3CDTF">2017-02-16T10:06:32Z</dcterms:modified>
</cp:coreProperties>
</file>