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showInkAnnotation="0" codeName="ThisWorkbook" autoCompressPictures="0"/>
  <bookViews>
    <workbookView xWindow="0" yWindow="0" windowWidth="27600" windowHeight="16060" tabRatio="943" activeTab="4"/>
  </bookViews>
  <sheets>
    <sheet name="output" sheetId="103" r:id="rId1"/>
    <sheet name="gacha_148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gacha_148_base!$A$37:$B$63</definedName>
    <definedName name="_xlnm._FilterDatabase" localSheetId="4" hidden="1">gacha_bonus_tables!$B$1:$G$2</definedName>
    <definedName name="_xlnm._FilterDatabase" localSheetId="2" hidden="1">gacha_select_tables!$B$1:$M$189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98" l="1"/>
  <c r="H181" i="82"/>
  <c r="I181" i="82"/>
  <c r="D181" i="82"/>
  <c r="H183" i="82"/>
  <c r="I183" i="82"/>
  <c r="D183" i="82"/>
  <c r="H187" i="82"/>
  <c r="I187" i="82"/>
  <c r="D187" i="82"/>
  <c r="H188" i="82"/>
  <c r="I188" i="82"/>
  <c r="D188" i="82"/>
  <c r="H184" i="82"/>
  <c r="I184" i="82"/>
  <c r="D184" i="82"/>
  <c r="H182" i="82"/>
  <c r="I182" i="82"/>
  <c r="D182" i="82"/>
  <c r="H67" i="82"/>
  <c r="I67" i="82"/>
  <c r="D67" i="82"/>
  <c r="H66" i="82"/>
  <c r="I66" i="82"/>
  <c r="D66" i="82"/>
  <c r="H63" i="82"/>
  <c r="I63" i="82"/>
  <c r="D63" i="82"/>
  <c r="H64" i="82"/>
  <c r="I64" i="82"/>
  <c r="D64" i="82"/>
  <c r="H62" i="82"/>
  <c r="I62" i="82"/>
  <c r="D62" i="82"/>
  <c r="H61" i="82"/>
  <c r="I61" i="82"/>
  <c r="D61" i="82"/>
  <c r="H2" i="82"/>
  <c r="I2" i="82"/>
  <c r="D2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5" i="82"/>
  <c r="I65" i="82"/>
  <c r="D65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5" i="82"/>
  <c r="I185" i="82"/>
  <c r="D185" i="82"/>
  <c r="H186" i="82"/>
  <c r="I186" i="82"/>
  <c r="D186" i="82"/>
  <c r="H189" i="82"/>
  <c r="I189" i="82"/>
  <c r="D189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70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3" i="82"/>
  <c r="N189" i="82"/>
  <c r="L189" i="82"/>
  <c r="K189" i="82"/>
  <c r="J189" i="82"/>
  <c r="G189" i="82"/>
  <c r="C189" i="82"/>
  <c r="A189" i="82"/>
  <c r="N188" i="82"/>
  <c r="L188" i="82"/>
  <c r="K188" i="82"/>
  <c r="J188" i="82"/>
  <c r="G188" i="82"/>
  <c r="C188" i="82"/>
  <c r="A188" i="82"/>
  <c r="N187" i="82"/>
  <c r="L187" i="82"/>
  <c r="K187" i="82"/>
  <c r="J187" i="82"/>
  <c r="G187" i="82"/>
  <c r="C187" i="82"/>
  <c r="A187" i="82"/>
  <c r="N186" i="82"/>
  <c r="L186" i="82"/>
  <c r="K186" i="82"/>
  <c r="J186" i="82"/>
  <c r="G186" i="82"/>
  <c r="C186" i="82"/>
  <c r="A186" i="82"/>
  <c r="N185" i="82"/>
  <c r="L185" i="82"/>
  <c r="K185" i="82"/>
  <c r="J185" i="82"/>
  <c r="G185" i="82"/>
  <c r="C185" i="82"/>
  <c r="A185" i="82"/>
  <c r="N184" i="82"/>
  <c r="L184" i="82"/>
  <c r="K184" i="82"/>
  <c r="J184" i="82"/>
  <c r="G184" i="82"/>
  <c r="C184" i="82"/>
  <c r="A184" i="82"/>
  <c r="N183" i="82"/>
  <c r="L183" i="82"/>
  <c r="K183" i="82"/>
  <c r="J183" i="82"/>
  <c r="G183" i="82"/>
  <c r="C183" i="82"/>
  <c r="A183" i="82"/>
  <c r="N182" i="82"/>
  <c r="L182" i="82"/>
  <c r="K182" i="82"/>
  <c r="J182" i="82"/>
  <c r="G182" i="82"/>
  <c r="C182" i="82"/>
  <c r="A182" i="82"/>
  <c r="N181" i="82"/>
  <c r="L181" i="82"/>
  <c r="K181" i="82"/>
  <c r="J181" i="82"/>
  <c r="G181" i="82"/>
  <c r="C181" i="82"/>
  <c r="A181" i="82"/>
  <c r="N180" i="82"/>
  <c r="L180" i="82"/>
  <c r="K180" i="82"/>
  <c r="J180" i="82"/>
  <c r="G180" i="82"/>
  <c r="C180" i="82"/>
  <c r="A180" i="82"/>
  <c r="N179" i="82"/>
  <c r="L179" i="82"/>
  <c r="K179" i="82"/>
  <c r="J179" i="82"/>
  <c r="G179" i="82"/>
  <c r="C179" i="82"/>
  <c r="A179" i="82"/>
  <c r="N178" i="82"/>
  <c r="L178" i="82"/>
  <c r="K178" i="82"/>
  <c r="J178" i="82"/>
  <c r="G178" i="82"/>
  <c r="C178" i="82"/>
  <c r="A178" i="82"/>
  <c r="N177" i="82"/>
  <c r="L177" i="82"/>
  <c r="K177" i="82"/>
  <c r="J177" i="82"/>
  <c r="G177" i="82"/>
  <c r="C177" i="82"/>
  <c r="A177" i="82"/>
  <c r="N176" i="82"/>
  <c r="L176" i="82"/>
  <c r="K176" i="82"/>
  <c r="J176" i="82"/>
  <c r="G176" i="82"/>
  <c r="C176" i="82"/>
  <c r="A176" i="82"/>
  <c r="N175" i="82"/>
  <c r="L175" i="82"/>
  <c r="K175" i="82"/>
  <c r="J175" i="82"/>
  <c r="G175" i="82"/>
  <c r="C175" i="82"/>
  <c r="A175" i="82"/>
  <c r="N174" i="82"/>
  <c r="L174" i="82"/>
  <c r="K174" i="82"/>
  <c r="J174" i="82"/>
  <c r="G174" i="82"/>
  <c r="C174" i="82"/>
  <c r="A174" i="82"/>
  <c r="N173" i="82"/>
  <c r="L173" i="82"/>
  <c r="K173" i="82"/>
  <c r="J173" i="82"/>
  <c r="G173" i="82"/>
  <c r="C173" i="82"/>
  <c r="A173" i="82"/>
  <c r="N172" i="82"/>
  <c r="L172" i="82"/>
  <c r="K172" i="82"/>
  <c r="J172" i="82"/>
  <c r="G172" i="82"/>
  <c r="C172" i="82"/>
  <c r="A172" i="82"/>
  <c r="N171" i="82"/>
  <c r="L171" i="82"/>
  <c r="K171" i="82"/>
  <c r="J171" i="82"/>
  <c r="G171" i="82"/>
  <c r="C171" i="82"/>
  <c r="A171" i="82"/>
  <c r="N170" i="82"/>
  <c r="L170" i="82"/>
  <c r="K170" i="82"/>
  <c r="J170" i="82"/>
  <c r="G170" i="82"/>
  <c r="C170" i="82"/>
  <c r="A170" i="82"/>
  <c r="N169" i="82"/>
  <c r="L169" i="82"/>
  <c r="K169" i="82"/>
  <c r="J169" i="82"/>
  <c r="G169" i="82"/>
  <c r="C169" i="82"/>
  <c r="A169" i="82"/>
  <c r="N168" i="82"/>
  <c r="L168" i="82"/>
  <c r="K168" i="82"/>
  <c r="J168" i="82"/>
  <c r="G168" i="82"/>
  <c r="C168" i="82"/>
  <c r="A168" i="82"/>
  <c r="N167" i="82"/>
  <c r="L167" i="82"/>
  <c r="K167" i="82"/>
  <c r="J167" i="82"/>
  <c r="G167" i="82"/>
  <c r="C167" i="82"/>
  <c r="A167" i="82"/>
  <c r="N166" i="82"/>
  <c r="L166" i="82"/>
  <c r="K166" i="82"/>
  <c r="J166" i="82"/>
  <c r="G166" i="82"/>
  <c r="C166" i="82"/>
  <c r="A166" i="82"/>
  <c r="N165" i="82"/>
  <c r="L165" i="82"/>
  <c r="K165" i="82"/>
  <c r="J165" i="82"/>
  <c r="G165" i="82"/>
  <c r="C165" i="82"/>
  <c r="A165" i="82"/>
  <c r="N164" i="82"/>
  <c r="L164" i="82"/>
  <c r="K164" i="82"/>
  <c r="J164" i="82"/>
  <c r="G164" i="82"/>
  <c r="C164" i="82"/>
  <c r="A164" i="82"/>
  <c r="N163" i="82"/>
  <c r="L163" i="82"/>
  <c r="K163" i="82"/>
  <c r="J163" i="82"/>
  <c r="G163" i="82"/>
  <c r="C163" i="82"/>
  <c r="A163" i="82"/>
  <c r="N162" i="82"/>
  <c r="L162" i="82"/>
  <c r="K162" i="82"/>
  <c r="J162" i="82"/>
  <c r="G162" i="82"/>
  <c r="C162" i="82"/>
  <c r="A162" i="82"/>
  <c r="N161" i="82"/>
  <c r="L161" i="82"/>
  <c r="K161" i="82"/>
  <c r="J161" i="82"/>
  <c r="G161" i="82"/>
  <c r="C161" i="82"/>
  <c r="A161" i="82"/>
  <c r="N160" i="82"/>
  <c r="L160" i="82"/>
  <c r="K160" i="82"/>
  <c r="J160" i="82"/>
  <c r="G160" i="82"/>
  <c r="C160" i="82"/>
  <c r="A160" i="82"/>
  <c r="N159" i="82"/>
  <c r="L159" i="82"/>
  <c r="K159" i="82"/>
  <c r="J159" i="82"/>
  <c r="G159" i="82"/>
  <c r="C159" i="82"/>
  <c r="A159" i="82"/>
  <c r="N158" i="82"/>
  <c r="L158" i="82"/>
  <c r="K158" i="82"/>
  <c r="J158" i="82"/>
  <c r="G158" i="82"/>
  <c r="C158" i="82"/>
  <c r="A158" i="82"/>
  <c r="N157" i="82"/>
  <c r="L157" i="82"/>
  <c r="K157" i="82"/>
  <c r="J157" i="82"/>
  <c r="G157" i="82"/>
  <c r="C157" i="82"/>
  <c r="A157" i="82"/>
  <c r="N156" i="82"/>
  <c r="L156" i="82"/>
  <c r="K156" i="82"/>
  <c r="J156" i="82"/>
  <c r="G156" i="82"/>
  <c r="C156" i="82"/>
  <c r="A156" i="82"/>
  <c r="N155" i="82"/>
  <c r="L155" i="82"/>
  <c r="K155" i="82"/>
  <c r="J155" i="82"/>
  <c r="G155" i="82"/>
  <c r="C155" i="82"/>
  <c r="A155" i="82"/>
  <c r="N154" i="82"/>
  <c r="L154" i="82"/>
  <c r="K154" i="82"/>
  <c r="J154" i="82"/>
  <c r="G154" i="82"/>
  <c r="C154" i="82"/>
  <c r="A154" i="82"/>
  <c r="N153" i="82"/>
  <c r="L153" i="82"/>
  <c r="K153" i="82"/>
  <c r="J153" i="82"/>
  <c r="G153" i="82"/>
  <c r="C153" i="82"/>
  <c r="A153" i="82"/>
  <c r="N152" i="82"/>
  <c r="L152" i="82"/>
  <c r="K152" i="82"/>
  <c r="J152" i="82"/>
  <c r="G152" i="82"/>
  <c r="C152" i="82"/>
  <c r="A152" i="82"/>
  <c r="N151" i="82"/>
  <c r="L151" i="82"/>
  <c r="K151" i="82"/>
  <c r="J151" i="82"/>
  <c r="G151" i="82"/>
  <c r="C151" i="82"/>
  <c r="A151" i="82"/>
  <c r="N150" i="82"/>
  <c r="L150" i="82"/>
  <c r="K150" i="82"/>
  <c r="J150" i="82"/>
  <c r="G150" i="82"/>
  <c r="C150" i="82"/>
  <c r="A150" i="82"/>
  <c r="N149" i="82"/>
  <c r="L149" i="82"/>
  <c r="K149" i="82"/>
  <c r="J149" i="82"/>
  <c r="G149" i="82"/>
  <c r="C149" i="82"/>
  <c r="A149" i="82"/>
  <c r="N148" i="82"/>
  <c r="L148" i="82"/>
  <c r="K148" i="82"/>
  <c r="J148" i="82"/>
  <c r="G148" i="82"/>
  <c r="C148" i="82"/>
  <c r="A148" i="82"/>
  <c r="N147" i="82"/>
  <c r="L147" i="82"/>
  <c r="K147" i="82"/>
  <c r="J147" i="82"/>
  <c r="G147" i="82"/>
  <c r="C147" i="82"/>
  <c r="A147" i="82"/>
  <c r="N146" i="82"/>
  <c r="L146" i="82"/>
  <c r="K146" i="82"/>
  <c r="J146" i="82"/>
  <c r="G146" i="82"/>
  <c r="C146" i="82"/>
  <c r="A146" i="82"/>
  <c r="N145" i="82"/>
  <c r="L145" i="82"/>
  <c r="K145" i="82"/>
  <c r="J145" i="82"/>
  <c r="G145" i="82"/>
  <c r="C145" i="82"/>
  <c r="A145" i="82"/>
  <c r="N144" i="82"/>
  <c r="L144" i="82"/>
  <c r="K144" i="82"/>
  <c r="J144" i="82"/>
  <c r="G144" i="82"/>
  <c r="C144" i="82"/>
  <c r="A144" i="82"/>
  <c r="N143" i="82"/>
  <c r="L143" i="82"/>
  <c r="K143" i="82"/>
  <c r="J143" i="82"/>
  <c r="G143" i="82"/>
  <c r="C143" i="82"/>
  <c r="A143" i="82"/>
  <c r="N142" i="82"/>
  <c r="L142" i="82"/>
  <c r="K142" i="82"/>
  <c r="J142" i="82"/>
  <c r="G142" i="82"/>
  <c r="C142" i="82"/>
  <c r="A142" i="82"/>
  <c r="N141" i="82"/>
  <c r="L141" i="82"/>
  <c r="K141" i="82"/>
  <c r="J141" i="82"/>
  <c r="G141" i="82"/>
  <c r="C141" i="82"/>
  <c r="A141" i="82"/>
  <c r="N140" i="82"/>
  <c r="L140" i="82"/>
  <c r="K140" i="82"/>
  <c r="J140" i="82"/>
  <c r="G140" i="82"/>
  <c r="C140" i="82"/>
  <c r="A140" i="82"/>
  <c r="N139" i="82"/>
  <c r="L139" i="82"/>
  <c r="K139" i="82"/>
  <c r="J139" i="82"/>
  <c r="G139" i="82"/>
  <c r="C139" i="82"/>
  <c r="A139" i="82"/>
  <c r="N138" i="82"/>
  <c r="L138" i="82"/>
  <c r="K138" i="82"/>
  <c r="J138" i="82"/>
  <c r="G138" i="82"/>
  <c r="C138" i="82"/>
  <c r="A138" i="82"/>
  <c r="N137" i="82"/>
  <c r="L137" i="82"/>
  <c r="K137" i="82"/>
  <c r="J137" i="82"/>
  <c r="G137" i="82"/>
  <c r="C137" i="82"/>
  <c r="A137" i="82"/>
  <c r="N136" i="82"/>
  <c r="L136" i="82"/>
  <c r="K136" i="82"/>
  <c r="J136" i="82"/>
  <c r="G136" i="82"/>
  <c r="C136" i="82"/>
  <c r="A136" i="82"/>
  <c r="N135" i="82"/>
  <c r="L135" i="82"/>
  <c r="K135" i="82"/>
  <c r="J135" i="82"/>
  <c r="G135" i="82"/>
  <c r="C135" i="82"/>
  <c r="A135" i="82"/>
  <c r="N134" i="82"/>
  <c r="L134" i="82"/>
  <c r="K134" i="82"/>
  <c r="J134" i="82"/>
  <c r="G134" i="82"/>
  <c r="C134" i="82"/>
  <c r="A134" i="82"/>
  <c r="N133" i="82"/>
  <c r="L133" i="82"/>
  <c r="K133" i="82"/>
  <c r="J133" i="82"/>
  <c r="G133" i="82"/>
  <c r="C133" i="82"/>
  <c r="A133" i="82"/>
  <c r="N132" i="82"/>
  <c r="L132" i="82"/>
  <c r="K132" i="82"/>
  <c r="J132" i="82"/>
  <c r="G132" i="82"/>
  <c r="C132" i="82"/>
  <c r="A132" i="82"/>
  <c r="N131" i="82"/>
  <c r="L131" i="82"/>
  <c r="K131" i="82"/>
  <c r="J131" i="82"/>
  <c r="G131" i="82"/>
  <c r="C131" i="82"/>
  <c r="A131" i="82"/>
  <c r="N130" i="82"/>
  <c r="L130" i="82"/>
  <c r="K130" i="82"/>
  <c r="J130" i="82"/>
  <c r="G130" i="82"/>
  <c r="C130" i="82"/>
  <c r="A130" i="82"/>
  <c r="N129" i="82"/>
  <c r="L129" i="82"/>
  <c r="K129" i="82"/>
  <c r="J129" i="82"/>
  <c r="G129" i="82"/>
  <c r="C129" i="82"/>
  <c r="A129" i="82"/>
  <c r="N128" i="82"/>
  <c r="L128" i="82"/>
  <c r="K128" i="82"/>
  <c r="J128" i="82"/>
  <c r="G128" i="82"/>
  <c r="C128" i="82"/>
  <c r="A128" i="82"/>
  <c r="N127" i="82"/>
  <c r="L127" i="82"/>
  <c r="K127" i="82"/>
  <c r="J127" i="82"/>
  <c r="G127" i="82"/>
  <c r="C127" i="82"/>
  <c r="A127" i="82"/>
  <c r="N126" i="82"/>
  <c r="L126" i="82"/>
  <c r="K126" i="82"/>
  <c r="J126" i="82"/>
  <c r="G126" i="82"/>
  <c r="C126" i="82"/>
  <c r="A126" i="82"/>
  <c r="N125" i="82"/>
  <c r="L125" i="82"/>
  <c r="K125" i="82"/>
  <c r="J125" i="82"/>
  <c r="G125" i="82"/>
  <c r="C125" i="82"/>
  <c r="A125" i="82"/>
  <c r="N124" i="82"/>
  <c r="L124" i="82"/>
  <c r="K124" i="82"/>
  <c r="J124" i="82"/>
  <c r="G124" i="82"/>
  <c r="C124" i="82"/>
  <c r="A124" i="82"/>
  <c r="N123" i="82"/>
  <c r="L123" i="82"/>
  <c r="K123" i="82"/>
  <c r="J123" i="82"/>
  <c r="G123" i="82"/>
  <c r="C123" i="82"/>
  <c r="A123" i="82"/>
  <c r="N122" i="82"/>
  <c r="L122" i="82"/>
  <c r="K122" i="82"/>
  <c r="J122" i="82"/>
  <c r="G122" i="82"/>
  <c r="C122" i="82"/>
  <c r="A122" i="82"/>
  <c r="N121" i="82"/>
  <c r="L121" i="82"/>
  <c r="K121" i="82"/>
  <c r="J121" i="82"/>
  <c r="G121" i="82"/>
  <c r="C121" i="82"/>
  <c r="A121" i="82"/>
  <c r="N120" i="82"/>
  <c r="L120" i="82"/>
  <c r="K120" i="82"/>
  <c r="J120" i="82"/>
  <c r="G120" i="82"/>
  <c r="C120" i="82"/>
  <c r="A120" i="82"/>
  <c r="N119" i="82"/>
  <c r="L119" i="82"/>
  <c r="K119" i="82"/>
  <c r="J119" i="82"/>
  <c r="G119" i="82"/>
  <c r="C119" i="82"/>
  <c r="A119" i="82"/>
  <c r="N118" i="82"/>
  <c r="L118" i="82"/>
  <c r="K118" i="82"/>
  <c r="J118" i="82"/>
  <c r="G118" i="82"/>
  <c r="C118" i="82"/>
  <c r="A118" i="82"/>
  <c r="N117" i="82"/>
  <c r="L117" i="82"/>
  <c r="K117" i="82"/>
  <c r="J117" i="82"/>
  <c r="G117" i="82"/>
  <c r="C117" i="82"/>
  <c r="A117" i="82"/>
  <c r="N116" i="82"/>
  <c r="L116" i="82"/>
  <c r="K116" i="82"/>
  <c r="J116" i="82"/>
  <c r="G116" i="82"/>
  <c r="C116" i="82"/>
  <c r="A116" i="82"/>
  <c r="N115" i="82"/>
  <c r="L115" i="82"/>
  <c r="K115" i="82"/>
  <c r="J115" i="82"/>
  <c r="G115" i="82"/>
  <c r="C115" i="82"/>
  <c r="A115" i="82"/>
  <c r="N114" i="82"/>
  <c r="L114" i="82"/>
  <c r="K114" i="82"/>
  <c r="J114" i="82"/>
  <c r="G114" i="82"/>
  <c r="C114" i="82"/>
  <c r="A114" i="82"/>
  <c r="N113" i="82"/>
  <c r="L113" i="82"/>
  <c r="K113" i="82"/>
  <c r="J113" i="82"/>
  <c r="G113" i="82"/>
  <c r="C113" i="82"/>
  <c r="A113" i="82"/>
  <c r="N112" i="82"/>
  <c r="L112" i="82"/>
  <c r="K112" i="82"/>
  <c r="J112" i="82"/>
  <c r="G112" i="82"/>
  <c r="C112" i="82"/>
  <c r="A112" i="82"/>
  <c r="N111" i="82"/>
  <c r="L111" i="82"/>
  <c r="K111" i="82"/>
  <c r="J111" i="82"/>
  <c r="G111" i="82"/>
  <c r="C111" i="82"/>
  <c r="A111" i="82"/>
  <c r="N110" i="82"/>
  <c r="L110" i="82"/>
  <c r="K110" i="82"/>
  <c r="J110" i="82"/>
  <c r="G110" i="82"/>
  <c r="C110" i="82"/>
  <c r="A110" i="82"/>
  <c r="N109" i="82"/>
  <c r="L109" i="82"/>
  <c r="K109" i="82"/>
  <c r="J109" i="82"/>
  <c r="G109" i="82"/>
  <c r="C109" i="82"/>
  <c r="A109" i="82"/>
  <c r="N108" i="82"/>
  <c r="L108" i="82"/>
  <c r="K108" i="82"/>
  <c r="J108" i="82"/>
  <c r="G108" i="82"/>
  <c r="C108" i="82"/>
  <c r="A108" i="82"/>
  <c r="N107" i="82"/>
  <c r="L107" i="82"/>
  <c r="K107" i="82"/>
  <c r="J107" i="82"/>
  <c r="G107" i="82"/>
  <c r="C107" i="82"/>
  <c r="A107" i="82"/>
  <c r="N106" i="82"/>
  <c r="L106" i="82"/>
  <c r="K106" i="82"/>
  <c r="J106" i="82"/>
  <c r="G106" i="82"/>
  <c r="C106" i="82"/>
  <c r="A106" i="82"/>
  <c r="N105" i="82"/>
  <c r="L105" i="82"/>
  <c r="K105" i="82"/>
  <c r="J105" i="82"/>
  <c r="G105" i="82"/>
  <c r="C105" i="82"/>
  <c r="A105" i="82"/>
  <c r="N104" i="82"/>
  <c r="L104" i="82"/>
  <c r="K104" i="82"/>
  <c r="J104" i="82"/>
  <c r="G104" i="82"/>
  <c r="C104" i="82"/>
  <c r="A104" i="82"/>
  <c r="N103" i="82"/>
  <c r="L103" i="82"/>
  <c r="K103" i="82"/>
  <c r="J103" i="82"/>
  <c r="G103" i="82"/>
  <c r="C103" i="82"/>
  <c r="A103" i="82"/>
  <c r="N102" i="82"/>
  <c r="L102" i="82"/>
  <c r="K102" i="82"/>
  <c r="J102" i="82"/>
  <c r="G102" i="82"/>
  <c r="C102" i="82"/>
  <c r="A102" i="82"/>
  <c r="N101" i="82"/>
  <c r="L101" i="82"/>
  <c r="K101" i="82"/>
  <c r="J101" i="82"/>
  <c r="G101" i="82"/>
  <c r="C101" i="82"/>
  <c r="A101" i="82"/>
  <c r="N100" i="82"/>
  <c r="L100" i="82"/>
  <c r="K100" i="82"/>
  <c r="J100" i="82"/>
  <c r="G100" i="82"/>
  <c r="C100" i="82"/>
  <c r="A100" i="82"/>
  <c r="N99" i="82"/>
  <c r="L99" i="82"/>
  <c r="K99" i="82"/>
  <c r="J99" i="82"/>
  <c r="G99" i="82"/>
  <c r="C99" i="82"/>
  <c r="A99" i="82"/>
  <c r="N98" i="82"/>
  <c r="L98" i="82"/>
  <c r="K98" i="82"/>
  <c r="J98" i="82"/>
  <c r="G98" i="82"/>
  <c r="C98" i="82"/>
  <c r="A98" i="82"/>
  <c r="N97" i="82"/>
  <c r="L97" i="82"/>
  <c r="K97" i="82"/>
  <c r="J97" i="82"/>
  <c r="G97" i="82"/>
  <c r="C97" i="82"/>
  <c r="A97" i="82"/>
  <c r="N96" i="82"/>
  <c r="L96" i="82"/>
  <c r="K96" i="82"/>
  <c r="J96" i="82"/>
  <c r="G96" i="82"/>
  <c r="C96" i="82"/>
  <c r="A96" i="82"/>
  <c r="N95" i="82"/>
  <c r="L95" i="82"/>
  <c r="K95" i="82"/>
  <c r="J95" i="82"/>
  <c r="G95" i="82"/>
  <c r="C95" i="82"/>
  <c r="A95" i="82"/>
  <c r="N94" i="82"/>
  <c r="L94" i="82"/>
  <c r="K94" i="82"/>
  <c r="J94" i="82"/>
  <c r="G94" i="82"/>
  <c r="C94" i="82"/>
  <c r="A94" i="82"/>
  <c r="N93" i="82"/>
  <c r="L93" i="82"/>
  <c r="K93" i="82"/>
  <c r="J93" i="82"/>
  <c r="G93" i="82"/>
  <c r="C93" i="82"/>
  <c r="A93" i="82"/>
  <c r="N92" i="82"/>
  <c r="L92" i="82"/>
  <c r="K92" i="82"/>
  <c r="J92" i="82"/>
  <c r="G92" i="82"/>
  <c r="C92" i="82"/>
  <c r="A92" i="82"/>
  <c r="N91" i="82"/>
  <c r="L91" i="82"/>
  <c r="K91" i="82"/>
  <c r="J91" i="82"/>
  <c r="G91" i="82"/>
  <c r="C91" i="82"/>
  <c r="A91" i="82"/>
  <c r="N90" i="82"/>
  <c r="L90" i="82"/>
  <c r="K90" i="82"/>
  <c r="J90" i="82"/>
  <c r="G90" i="82"/>
  <c r="C90" i="82"/>
  <c r="A90" i="82"/>
  <c r="N89" i="82"/>
  <c r="L89" i="82"/>
  <c r="K89" i="82"/>
  <c r="J89" i="82"/>
  <c r="G89" i="82"/>
  <c r="C89" i="82"/>
  <c r="A89" i="82"/>
  <c r="N88" i="82"/>
  <c r="L88" i="82"/>
  <c r="K88" i="82"/>
  <c r="J88" i="82"/>
  <c r="G88" i="82"/>
  <c r="C88" i="82"/>
  <c r="A88" i="82"/>
  <c r="N87" i="82"/>
  <c r="L87" i="82"/>
  <c r="K87" i="82"/>
  <c r="J87" i="82"/>
  <c r="G87" i="82"/>
  <c r="C87" i="82"/>
  <c r="A87" i="82"/>
  <c r="N86" i="82"/>
  <c r="L86" i="82"/>
  <c r="K86" i="82"/>
  <c r="J86" i="82"/>
  <c r="G86" i="82"/>
  <c r="C86" i="82"/>
  <c r="A86" i="82"/>
  <c r="N85" i="82"/>
  <c r="L85" i="82"/>
  <c r="K85" i="82"/>
  <c r="J85" i="82"/>
  <c r="G85" i="82"/>
  <c r="C85" i="82"/>
  <c r="A85" i="82"/>
  <c r="N84" i="82"/>
  <c r="L84" i="82"/>
  <c r="K84" i="82"/>
  <c r="J84" i="82"/>
  <c r="G84" i="82"/>
  <c r="C84" i="82"/>
  <c r="A84" i="82"/>
  <c r="N83" i="82"/>
  <c r="L83" i="82"/>
  <c r="K83" i="82"/>
  <c r="J83" i="82"/>
  <c r="G83" i="82"/>
  <c r="C83" i="82"/>
  <c r="A83" i="82"/>
  <c r="N82" i="82"/>
  <c r="L82" i="82"/>
  <c r="K82" i="82"/>
  <c r="J82" i="82"/>
  <c r="G82" i="82"/>
  <c r="C82" i="82"/>
  <c r="A82" i="82"/>
  <c r="N81" i="82"/>
  <c r="L81" i="82"/>
  <c r="K81" i="82"/>
  <c r="J81" i="82"/>
  <c r="G81" i="82"/>
  <c r="C81" i="82"/>
  <c r="A81" i="82"/>
  <c r="N80" i="82"/>
  <c r="L80" i="82"/>
  <c r="K80" i="82"/>
  <c r="J80" i="82"/>
  <c r="G80" i="82"/>
  <c r="C80" i="82"/>
  <c r="A80" i="82"/>
  <c r="N79" i="82"/>
  <c r="L79" i="82"/>
  <c r="K79" i="82"/>
  <c r="J79" i="82"/>
  <c r="G79" i="82"/>
  <c r="C79" i="82"/>
  <c r="A79" i="82"/>
  <c r="N78" i="82"/>
  <c r="L78" i="82"/>
  <c r="K78" i="82"/>
  <c r="J78" i="82"/>
  <c r="G78" i="82"/>
  <c r="C78" i="82"/>
  <c r="A78" i="82"/>
  <c r="N77" i="82"/>
  <c r="L77" i="82"/>
  <c r="K77" i="82"/>
  <c r="J77" i="82"/>
  <c r="G77" i="82"/>
  <c r="C77" i="82"/>
  <c r="A77" i="82"/>
  <c r="N76" i="82"/>
  <c r="L76" i="82"/>
  <c r="K76" i="82"/>
  <c r="J76" i="82"/>
  <c r="G76" i="82"/>
  <c r="C76" i="82"/>
  <c r="A76" i="82"/>
  <c r="N75" i="82"/>
  <c r="L75" i="82"/>
  <c r="K75" i="82"/>
  <c r="J75" i="82"/>
  <c r="G75" i="82"/>
  <c r="C75" i="82"/>
  <c r="A75" i="82"/>
  <c r="N74" i="82"/>
  <c r="L74" i="82"/>
  <c r="K74" i="82"/>
  <c r="J74" i="82"/>
  <c r="G74" i="82"/>
  <c r="C74" i="82"/>
  <c r="A74" i="82"/>
  <c r="N73" i="82"/>
  <c r="L73" i="82"/>
  <c r="K73" i="82"/>
  <c r="J73" i="82"/>
  <c r="G73" i="82"/>
  <c r="C73" i="82"/>
  <c r="A73" i="82"/>
  <c r="N72" i="82"/>
  <c r="L72" i="82"/>
  <c r="K72" i="82"/>
  <c r="J72" i="82"/>
  <c r="G72" i="82"/>
  <c r="C72" i="82"/>
  <c r="A72" i="82"/>
  <c r="N71" i="82"/>
  <c r="L71" i="82"/>
  <c r="K71" i="82"/>
  <c r="J71" i="82"/>
  <c r="G71" i="82"/>
  <c r="C71" i="82"/>
  <c r="A71" i="82"/>
  <c r="N70" i="82"/>
  <c r="L70" i="82"/>
  <c r="K70" i="82"/>
  <c r="J70" i="82"/>
  <c r="G70" i="82"/>
  <c r="C70" i="82"/>
  <c r="A70" i="82"/>
  <c r="N69" i="82"/>
  <c r="L69" i="82"/>
  <c r="K69" i="82"/>
  <c r="J69" i="82"/>
  <c r="G69" i="82"/>
  <c r="C69" i="82"/>
  <c r="A69" i="82"/>
  <c r="N68" i="82"/>
  <c r="L68" i="82"/>
  <c r="K68" i="82"/>
  <c r="J68" i="82"/>
  <c r="G68" i="82"/>
  <c r="C68" i="82"/>
  <c r="A68" i="82"/>
  <c r="N67" i="82"/>
  <c r="L67" i="82"/>
  <c r="K67" i="82"/>
  <c r="J67" i="82"/>
  <c r="G67" i="82"/>
  <c r="C67" i="82"/>
  <c r="A67" i="82"/>
  <c r="N66" i="82"/>
  <c r="L66" i="82"/>
  <c r="K66" i="82"/>
  <c r="J66" i="82"/>
  <c r="G66" i="82"/>
  <c r="C66" i="82"/>
  <c r="A66" i="82"/>
  <c r="N65" i="82"/>
  <c r="L65" i="82"/>
  <c r="K65" i="82"/>
  <c r="J65" i="82"/>
  <c r="G65" i="82"/>
  <c r="C65" i="82"/>
  <c r="A65" i="82"/>
  <c r="N64" i="82"/>
  <c r="L64" i="82"/>
  <c r="K64" i="82"/>
  <c r="J64" i="82"/>
  <c r="G64" i="82"/>
  <c r="C64" i="82"/>
  <c r="A64" i="82"/>
  <c r="N63" i="82"/>
  <c r="L63" i="82"/>
  <c r="K63" i="82"/>
  <c r="J63" i="82"/>
  <c r="G63" i="82"/>
  <c r="C63" i="82"/>
  <c r="A63" i="82"/>
  <c r="N62" i="82"/>
  <c r="L62" i="82"/>
  <c r="K62" i="82"/>
  <c r="J62" i="82"/>
  <c r="G62" i="82"/>
  <c r="C62" i="82"/>
  <c r="A62" i="82"/>
  <c r="N61" i="82"/>
  <c r="L61" i="82"/>
  <c r="K61" i="82"/>
  <c r="J61" i="82"/>
  <c r="G61" i="82"/>
  <c r="C61" i="82"/>
  <c r="A61" i="82"/>
  <c r="N60" i="82"/>
  <c r="L60" i="82"/>
  <c r="K60" i="82"/>
  <c r="J60" i="82"/>
  <c r="G60" i="82"/>
  <c r="C60" i="82"/>
  <c r="A60" i="82"/>
  <c r="N59" i="82"/>
  <c r="L59" i="82"/>
  <c r="K59" i="82"/>
  <c r="J59" i="82"/>
  <c r="G59" i="82"/>
  <c r="C59" i="82"/>
  <c r="A59" i="82"/>
  <c r="N58" i="82"/>
  <c r="L58" i="82"/>
  <c r="K58" i="82"/>
  <c r="J58" i="82"/>
  <c r="G58" i="82"/>
  <c r="C58" i="82"/>
  <c r="A58" i="82"/>
  <c r="N57" i="82"/>
  <c r="L57" i="82"/>
  <c r="K57" i="82"/>
  <c r="J57" i="82"/>
  <c r="G57" i="82"/>
  <c r="C57" i="82"/>
  <c r="A57" i="82"/>
  <c r="N56" i="82"/>
  <c r="L56" i="82"/>
  <c r="K56" i="82"/>
  <c r="J56" i="82"/>
  <c r="G56" i="82"/>
  <c r="C56" i="82"/>
  <c r="A56" i="82"/>
  <c r="N55" i="82"/>
  <c r="L55" i="82"/>
  <c r="K55" i="82"/>
  <c r="J55" i="82"/>
  <c r="G55" i="82"/>
  <c r="C55" i="82"/>
  <c r="A55" i="82"/>
  <c r="N54" i="82"/>
  <c r="L54" i="82"/>
  <c r="K54" i="82"/>
  <c r="J54" i="82"/>
  <c r="G54" i="82"/>
  <c r="C54" i="82"/>
  <c r="A54" i="82"/>
  <c r="N53" i="82"/>
  <c r="L53" i="82"/>
  <c r="K53" i="82"/>
  <c r="J53" i="82"/>
  <c r="G53" i="82"/>
  <c r="C53" i="82"/>
  <c r="A53" i="82"/>
  <c r="N52" i="82"/>
  <c r="L52" i="82"/>
  <c r="K52" i="82"/>
  <c r="J52" i="82"/>
  <c r="G52" i="82"/>
  <c r="C52" i="82"/>
  <c r="A52" i="82"/>
  <c r="N51" i="82"/>
  <c r="L51" i="82"/>
  <c r="K51" i="82"/>
  <c r="J51" i="82"/>
  <c r="G51" i="82"/>
  <c r="C51" i="82"/>
  <c r="A51" i="82"/>
  <c r="N50" i="82"/>
  <c r="L50" i="82"/>
  <c r="K50" i="82"/>
  <c r="J50" i="82"/>
  <c r="G50" i="82"/>
  <c r="C50" i="82"/>
  <c r="A50" i="82"/>
  <c r="N49" i="82"/>
  <c r="L49" i="82"/>
  <c r="K49" i="82"/>
  <c r="J49" i="82"/>
  <c r="G49" i="82"/>
  <c r="C49" i="82"/>
  <c r="A49" i="82"/>
  <c r="N48" i="82"/>
  <c r="L48" i="82"/>
  <c r="K48" i="82"/>
  <c r="J48" i="82"/>
  <c r="G48" i="82"/>
  <c r="C48" i="82"/>
  <c r="A48" i="82"/>
  <c r="N47" i="82"/>
  <c r="L47" i="82"/>
  <c r="K47" i="82"/>
  <c r="J47" i="82"/>
  <c r="G47" i="82"/>
  <c r="C47" i="82"/>
  <c r="A47" i="82"/>
  <c r="N46" i="82"/>
  <c r="L46" i="82"/>
  <c r="K46" i="82"/>
  <c r="J46" i="82"/>
  <c r="G46" i="82"/>
  <c r="C46" i="82"/>
  <c r="A46" i="82"/>
  <c r="N45" i="82"/>
  <c r="L45" i="82"/>
  <c r="K45" i="82"/>
  <c r="J45" i="82"/>
  <c r="G45" i="82"/>
  <c r="C45" i="82"/>
  <c r="A45" i="82"/>
  <c r="N44" i="82"/>
  <c r="L44" i="82"/>
  <c r="K44" i="82"/>
  <c r="J44" i="82"/>
  <c r="G44" i="82"/>
  <c r="C44" i="82"/>
  <c r="A44" i="82"/>
  <c r="N43" i="82"/>
  <c r="L43" i="82"/>
  <c r="K43" i="82"/>
  <c r="J43" i="82"/>
  <c r="G43" i="82"/>
  <c r="C43" i="82"/>
  <c r="A43" i="82"/>
  <c r="N42" i="82"/>
  <c r="L42" i="82"/>
  <c r="K42" i="82"/>
  <c r="J42" i="82"/>
  <c r="G42" i="82"/>
  <c r="C42" i="82"/>
  <c r="A42" i="82"/>
  <c r="N41" i="82"/>
  <c r="L41" i="82"/>
  <c r="K41" i="82"/>
  <c r="J41" i="82"/>
  <c r="G41" i="82"/>
  <c r="C41" i="82"/>
  <c r="A41" i="82"/>
  <c r="N40" i="82"/>
  <c r="L40" i="82"/>
  <c r="K40" i="82"/>
  <c r="J40" i="82"/>
  <c r="G40" i="82"/>
  <c r="C40" i="82"/>
  <c r="A40" i="82"/>
  <c r="N39" i="82"/>
  <c r="L39" i="82"/>
  <c r="K39" i="82"/>
  <c r="J39" i="82"/>
  <c r="G39" i="82"/>
  <c r="C39" i="82"/>
  <c r="A39" i="82"/>
  <c r="N38" i="82"/>
  <c r="L38" i="82"/>
  <c r="K38" i="82"/>
  <c r="J38" i="82"/>
  <c r="G38" i="82"/>
  <c r="C38" i="82"/>
  <c r="A38" i="82"/>
  <c r="N37" i="82"/>
  <c r="L37" i="82"/>
  <c r="K37" i="82"/>
  <c r="J37" i="82"/>
  <c r="G37" i="82"/>
  <c r="C37" i="82"/>
  <c r="A37" i="82"/>
  <c r="N36" i="82"/>
  <c r="L36" i="82"/>
  <c r="K36" i="82"/>
  <c r="J36" i="82"/>
  <c r="G36" i="82"/>
  <c r="C36" i="82"/>
  <c r="A36" i="82"/>
  <c r="N35" i="82"/>
  <c r="L35" i="82"/>
  <c r="K35" i="82"/>
  <c r="J35" i="82"/>
  <c r="G35" i="82"/>
  <c r="C35" i="82"/>
  <c r="A35" i="82"/>
  <c r="N34" i="82"/>
  <c r="L34" i="82"/>
  <c r="K34" i="82"/>
  <c r="J34" i="82"/>
  <c r="G34" i="82"/>
  <c r="C34" i="82"/>
  <c r="A34" i="82"/>
  <c r="N33" i="82"/>
  <c r="L33" i="82"/>
  <c r="K33" i="82"/>
  <c r="J33" i="82"/>
  <c r="G33" i="82"/>
  <c r="C33" i="82"/>
  <c r="A33" i="82"/>
  <c r="N32" i="82"/>
  <c r="L32" i="82"/>
  <c r="K32" i="82"/>
  <c r="J32" i="82"/>
  <c r="G32" i="82"/>
  <c r="C32" i="82"/>
  <c r="A32" i="82"/>
  <c r="N31" i="82"/>
  <c r="L31" i="82"/>
  <c r="K31" i="82"/>
  <c r="J31" i="82"/>
  <c r="G31" i="82"/>
  <c r="C31" i="82"/>
  <c r="A31" i="82"/>
  <c r="N30" i="82"/>
  <c r="L30" i="82"/>
  <c r="K30" i="82"/>
  <c r="J30" i="82"/>
  <c r="G30" i="82"/>
  <c r="C30" i="82"/>
  <c r="A30" i="82"/>
  <c r="N29" i="82"/>
  <c r="L29" i="82"/>
  <c r="K29" i="82"/>
  <c r="J29" i="82"/>
  <c r="G29" i="82"/>
  <c r="C29" i="82"/>
  <c r="A29" i="82"/>
  <c r="N28" i="82"/>
  <c r="L28" i="82"/>
  <c r="K28" i="82"/>
  <c r="J28" i="82"/>
  <c r="G28" i="82"/>
  <c r="C28" i="82"/>
  <c r="A28" i="82"/>
  <c r="N27" i="82"/>
  <c r="L27" i="82"/>
  <c r="K27" i="82"/>
  <c r="J27" i="82"/>
  <c r="G27" i="82"/>
  <c r="C27" i="82"/>
  <c r="A27" i="82"/>
  <c r="N26" i="82"/>
  <c r="L26" i="82"/>
  <c r="K26" i="82"/>
  <c r="J26" i="82"/>
  <c r="G26" i="82"/>
  <c r="C26" i="82"/>
  <c r="A26" i="82"/>
  <c r="N25" i="82"/>
  <c r="L25" i="82"/>
  <c r="K25" i="82"/>
  <c r="J25" i="82"/>
  <c r="G25" i="82"/>
  <c r="C25" i="82"/>
  <c r="A25" i="82"/>
  <c r="N24" i="82"/>
  <c r="L24" i="82"/>
  <c r="K24" i="82"/>
  <c r="J24" i="82"/>
  <c r="G24" i="82"/>
  <c r="C24" i="82"/>
  <c r="A24" i="82"/>
  <c r="N23" i="82"/>
  <c r="L23" i="82"/>
  <c r="K23" i="82"/>
  <c r="J23" i="82"/>
  <c r="G23" i="82"/>
  <c r="C23" i="82"/>
  <c r="A23" i="82"/>
  <c r="N22" i="82"/>
  <c r="L22" i="82"/>
  <c r="K22" i="82"/>
  <c r="J22" i="82"/>
  <c r="G22" i="82"/>
  <c r="C22" i="82"/>
  <c r="A22" i="82"/>
  <c r="N21" i="82"/>
  <c r="L21" i="82"/>
  <c r="K21" i="82"/>
  <c r="J21" i="82"/>
  <c r="G21" i="82"/>
  <c r="C21" i="82"/>
  <c r="A21" i="82"/>
  <c r="N20" i="82"/>
  <c r="L20" i="82"/>
  <c r="K20" i="82"/>
  <c r="J20" i="82"/>
  <c r="G20" i="82"/>
  <c r="C20" i="82"/>
  <c r="A20" i="82"/>
  <c r="N19" i="82"/>
  <c r="L19" i="82"/>
  <c r="K19" i="82"/>
  <c r="J19" i="82"/>
  <c r="G19" i="82"/>
  <c r="C19" i="82"/>
  <c r="A19" i="82"/>
  <c r="N18" i="82"/>
  <c r="L18" i="82"/>
  <c r="K18" i="82"/>
  <c r="J18" i="82"/>
  <c r="G18" i="82"/>
  <c r="C18" i="82"/>
  <c r="A18" i="82"/>
  <c r="N17" i="82"/>
  <c r="L17" i="82"/>
  <c r="K17" i="82"/>
  <c r="J17" i="82"/>
  <c r="G17" i="82"/>
  <c r="C17" i="82"/>
  <c r="A17" i="82"/>
  <c r="N16" i="82"/>
  <c r="L16" i="82"/>
  <c r="K16" i="82"/>
  <c r="J16" i="82"/>
  <c r="G16" i="82"/>
  <c r="C16" i="82"/>
  <c r="A16" i="82"/>
  <c r="N15" i="82"/>
  <c r="L15" i="82"/>
  <c r="K15" i="82"/>
  <c r="J15" i="82"/>
  <c r="G15" i="82"/>
  <c r="C15" i="82"/>
  <c r="A15" i="82"/>
  <c r="N14" i="82"/>
  <c r="L14" i="82"/>
  <c r="K14" i="82"/>
  <c r="J14" i="82"/>
  <c r="G14" i="82"/>
  <c r="C14" i="82"/>
  <c r="A14" i="82"/>
  <c r="N13" i="82"/>
  <c r="L13" i="82"/>
  <c r="K13" i="82"/>
  <c r="J13" i="82"/>
  <c r="G13" i="82"/>
  <c r="C13" i="82"/>
  <c r="A13" i="82"/>
  <c r="N12" i="82"/>
  <c r="L12" i="82"/>
  <c r="K12" i="82"/>
  <c r="J12" i="82"/>
  <c r="G12" i="82"/>
  <c r="C12" i="82"/>
  <c r="A12" i="82"/>
  <c r="N11" i="82"/>
  <c r="L11" i="82"/>
  <c r="K11" i="82"/>
  <c r="J11" i="82"/>
  <c r="G11" i="82"/>
  <c r="C11" i="82"/>
  <c r="A11" i="82"/>
  <c r="N10" i="82"/>
  <c r="L10" i="82"/>
  <c r="K10" i="82"/>
  <c r="J10" i="82"/>
  <c r="G10" i="82"/>
  <c r="C10" i="82"/>
  <c r="A10" i="82"/>
  <c r="N9" i="82"/>
  <c r="L9" i="82"/>
  <c r="K9" i="82"/>
  <c r="J9" i="82"/>
  <c r="G9" i="82"/>
  <c r="C9" i="82"/>
  <c r="A9" i="82"/>
  <c r="N8" i="82"/>
  <c r="L8" i="82"/>
  <c r="K8" i="82"/>
  <c r="J8" i="82"/>
  <c r="G8" i="82"/>
  <c r="C8" i="82"/>
  <c r="A8" i="82"/>
  <c r="N7" i="82"/>
  <c r="L7" i="82"/>
  <c r="K7" i="82"/>
  <c r="J7" i="82"/>
  <c r="G7" i="82"/>
  <c r="C7" i="82"/>
  <c r="A7" i="82"/>
  <c r="N6" i="82"/>
  <c r="L6" i="82"/>
  <c r="K6" i="82"/>
  <c r="J6" i="82"/>
  <c r="G6" i="82"/>
  <c r="C6" i="82"/>
  <c r="A6" i="82"/>
  <c r="N5" i="82"/>
  <c r="L5" i="82"/>
  <c r="K5" i="82"/>
  <c r="J5" i="82"/>
  <c r="G5" i="82"/>
  <c r="C5" i="82"/>
  <c r="A5" i="82"/>
  <c r="N4" i="82"/>
  <c r="L4" i="82"/>
  <c r="K4" i="82"/>
  <c r="J4" i="82"/>
  <c r="G4" i="82"/>
  <c r="C4" i="82"/>
  <c r="A4" i="82"/>
  <c r="N3" i="82"/>
  <c r="L3" i="82"/>
  <c r="K3" i="82"/>
  <c r="J3" i="82"/>
  <c r="G3" i="82"/>
  <c r="C3" i="82"/>
  <c r="A3" i="82"/>
  <c r="N2" i="82"/>
  <c r="L2" i="82"/>
  <c r="K2" i="82"/>
  <c r="J2" i="82"/>
  <c r="G2" i="82"/>
  <c r="C2" i="82"/>
  <c r="A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<sst xmlns="http://schemas.openxmlformats.org/spreadsheetml/2006/main" count="136" uniqueCount="98">
  <si>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</si>
  <si>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</si>
  <si>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</si>
  <si>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</si>
  <si>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</si>
  <si>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</si>
  <si>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</si>
  <si>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</si>
  <si>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</si>
  <si>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</si>
  <si>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</si>
  <si>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</si>
  <si>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</si>
  <si>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</si>
  <si>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</si>
  <si>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</si>
  <si>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</si>
  <si>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</si>
  <si>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</si>
  <si>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</si>
  <si>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</si>
  <si>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</si>
  <si>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</si>
  <si>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</si>
  <si>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</si>
  <si>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</si>
  <si>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</si>
  <si>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</si>
  <si>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</si>
  <si>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</si>
  <si>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</si>
  <si>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</si>
  <si>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</si>
  <si>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</si>
  <si>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</si>
  <si>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</si>
  <si>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</si>
  <si>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</si>
  <si>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</si>
  <si>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</si>
  <si>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</si>
  <si>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</si>
  <si>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</si>
  <si>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0PremiumW3</t>
    <phoneticPr fontId="11"/>
  </si>
  <si>
    <t>0PremiumN3</t>
    <phoneticPr fontId="11"/>
  </si>
  <si>
    <t>0PremiumS3</t>
    <phoneticPr fontId="11"/>
  </si>
  <si>
    <t>0PremiumW4</t>
    <phoneticPr fontId="11"/>
  </si>
  <si>
    <t>0PremiumN4</t>
    <phoneticPr fontId="11"/>
  </si>
  <si>
    <t>0PremiumS4</t>
    <phoneticPr fontId="11"/>
  </si>
  <si>
    <t>0PremiumSS4</t>
    <phoneticPr fontId="11"/>
  </si>
  <si>
    <t>1PremiumW4</t>
    <phoneticPr fontId="11"/>
  </si>
  <si>
    <t>1PremiumN4</t>
    <phoneticPr fontId="11"/>
  </si>
  <si>
    <t>1PremiumS4</t>
    <phoneticPr fontId="11"/>
  </si>
  <si>
    <t>1PremiumSS4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</si>
  <si>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</si>
  <si>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</si>
  <si>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</si>
  <si>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</si>
  <si>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</si>
  <si>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</si>
  <si>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</si>
  <si>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</si>
  <si>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</si>
  <si>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</si>
  <si>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</si>
  <si>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</si>
  <si>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</si>
  <si>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</si>
  <si>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</si>
  <si>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</si>
  <si>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</si>
  <si>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</si>
  <si>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</si>
  <si>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</si>
  <si>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</si>
  <si>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</si>
  <si>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</si>
  <si>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</si>
  <si>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</si>
  <si>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</si>
  <si>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</si>
  <si>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</si>
  <si>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</si>
  <si>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</si>
  <si>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0PremiumS4pick</t>
    <phoneticPr fontId="11"/>
  </si>
  <si>
    <t>0PremiumS5pick</t>
    <phoneticPr fontId="11"/>
  </si>
  <si>
    <t>0PremiumSS5pick</t>
    <phoneticPr fontId="11"/>
  </si>
  <si>
    <t>1PremiumS4pick</t>
    <phoneticPr fontId="11"/>
  </si>
  <si>
    <t>1PremiumSS4pick</t>
    <phoneticPr fontId="11"/>
  </si>
  <si>
    <t>1PremiumS5pick</t>
    <phoneticPr fontId="11"/>
  </si>
  <si>
    <t>1PremiumSS5pick</t>
    <phoneticPr fontId="11"/>
  </si>
  <si>
    <t>0PremiumSS4pick</t>
    <phoneticPr fontId="11"/>
  </si>
  <si>
    <t>bit</t>
  </si>
  <si>
    <t>ja</t>
    <phoneticPr fontId="11"/>
  </si>
  <si>
    <t>NULL</t>
    <phoneticPr fontId="11"/>
  </si>
  <si>
    <t>10連ガチャのおまけ</t>
    <rPh sb="2" eb="3">
      <t>レン</t>
    </rPh>
    <phoneticPr fontId="11"/>
  </si>
  <si>
    <t>100万ビット</t>
    <rPh sb="3" eb="4">
      <t>マン</t>
    </rPh>
    <phoneticPr fontId="11"/>
  </si>
  <si>
    <t>10連ガチャを引いてくれたおまけに
【100万ビット】をプレゼント</t>
    <rPh sb="2" eb="3">
      <t>レン</t>
    </rPh>
    <rPh sb="7" eb="8">
      <t>ヒ</t>
    </rPh>
    <rPh sb="22" eb="23">
      <t>マン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</si>
</sst>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5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3" borderId="12" xfId="2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3" borderId="14" xfId="2" applyFont="1" applyFill="1" applyBorder="1" applyAlignment="1">
      <alignment vertical="center"/>
    </xf>
    <xf numFmtId="0" fontId="16" fillId="4" borderId="14" xfId="2" applyFont="1" applyFill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4" xfId="0" applyFont="1" applyBorder="1" applyAlignment="1">
      <alignment vertical="center"/>
    </xf>
    <xf numFmtId="0" fontId="15" fillId="4" borderId="15" xfId="0" applyFont="1" applyFill="1" applyBorder="1" applyAlignment="1">
      <alignment horizontal="right" vertical="center"/>
    </xf>
    <xf numFmtId="0" fontId="16" fillId="4" borderId="16" xfId="2" applyFont="1" applyFill="1" applyBorder="1" applyAlignment="1">
      <alignment vertical="center"/>
    </xf>
    <xf numFmtId="0" fontId="15" fillId="4" borderId="16" xfId="0" applyFont="1" applyFill="1" applyBorder="1" applyAlignment="1">
      <alignment horizontal="right" vertical="center"/>
    </xf>
    <xf numFmtId="0" fontId="16" fillId="3" borderId="16" xfId="2" applyFont="1" applyFill="1" applyBorder="1" applyAlignment="1">
      <alignment vertical="center"/>
    </xf>
    <xf numFmtId="0" fontId="44" fillId="0" borderId="16" xfId="0" applyFont="1" applyBorder="1" applyAlignment="1">
      <alignment vertical="center"/>
    </xf>
    <xf numFmtId="0" fontId="16" fillId="0" borderId="17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0" fillId="0" borderId="1" xfId="0" applyFill="1" applyBorder="1"/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6" fillId="0" borderId="12" xfId="2" applyFont="1" applyBorder="1" applyAlignment="1">
      <alignment vertical="center"/>
    </xf>
    <xf numFmtId="0" fontId="16" fillId="4" borderId="18" xfId="2" applyFont="1" applyFill="1" applyBorder="1" applyAlignment="1">
      <alignment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0" fillId="4" borderId="12" xfId="0" applyFill="1" applyBorder="1"/>
    <xf numFmtId="0" fontId="18" fillId="24" borderId="1" xfId="0" applyFont="1" applyFill="1" applyBorder="1"/>
    <xf numFmtId="0" fontId="2" fillId="0" borderId="1" xfId="3036" applyFont="1" applyBorder="1"/>
    <xf numFmtId="0" fontId="0" fillId="0" borderId="1" xfId="0" applyFill="1" applyBorder="1" applyAlignment="1">
      <alignment wrapText="1"/>
    </xf>
  </cellXfs>
  <cellStyles count="305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守りの果実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god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god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animal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animal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5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animal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animal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attack</v>
          </cell>
          <cell r="L463" t="str">
            <v>攻撃タイプ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attack</v>
          </cell>
          <cell r="L464" t="str">
            <v>攻撃タイプ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attack</v>
          </cell>
          <cell r="L465" t="str">
            <v>攻撃タイプ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hp</v>
          </cell>
          <cell r="L470" t="str">
            <v>体力タイプ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hp</v>
          </cell>
          <cell r="L471" t="str">
            <v>体力タイプ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blue</v>
          </cell>
          <cell r="I472">
            <v>5</v>
          </cell>
          <cell r="J472" t="str">
            <v>PremiumS</v>
          </cell>
          <cell r="K472" t="str">
            <v>hp</v>
          </cell>
          <cell r="L472" t="str">
            <v>体力タイプ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technical</v>
          </cell>
          <cell r="L478" t="str">
            <v>テクニカルタイプ</v>
          </cell>
          <cell r="M478" t="str">
            <v>human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hp</v>
          </cell>
          <cell r="L480" t="str">
            <v>体力タイプ</v>
          </cell>
          <cell r="M480" t="str">
            <v>human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opLeftCell="E1" workbookViewId="0">
      <selection activeCell="L18" sqref="L18"/>
    </sheetView>
  </sheetViews>
  <sheetFormatPr baseColWidth="12" defaultRowHeight="18" x14ac:dyDescent="0"/>
  <cols>
    <col min="1" max="1" width="12.83203125" style="40"/>
    <col min="2" max="2" width="14.83203125" style="40" bestFit="1" customWidth="1"/>
    <col min="3" max="4" width="12.83203125" style="40"/>
    <col min="5" max="5" width="17.6640625" style="40" bestFit="1" customWidth="1"/>
    <col min="6" max="6" width="22.1640625" style="40" bestFit="1" customWidth="1"/>
    <col min="7" max="16384" width="12.83203125" style="40"/>
  </cols>
  <sheetData>
    <row r="1" spans="1:15">
      <c r="A1" s="51" t="s">
        <v>82</v>
      </c>
      <c r="B1" s="38" t="s">
        <v>66</v>
      </c>
      <c r="C1" s="38" t="s">
        <v>67</v>
      </c>
      <c r="D1" s="38" t="s">
        <v>68</v>
      </c>
      <c r="E1" s="38" t="s">
        <v>69</v>
      </c>
      <c r="F1" s="38" t="s">
        <v>70</v>
      </c>
      <c r="G1" s="38" t="s">
        <v>71</v>
      </c>
      <c r="H1" s="38"/>
      <c r="I1" s="38"/>
      <c r="J1" s="38"/>
      <c r="K1" s="38"/>
      <c r="L1" s="39"/>
      <c r="M1" s="39"/>
      <c r="N1" s="39"/>
      <c r="O1" s="39"/>
    </row>
    <row r="2" spans="1:15">
      <c r="A2" s="52" t="s">
        <v>83</v>
      </c>
      <c r="B2" s="41" t="s">
        <v>79</v>
      </c>
      <c r="C2" s="41" t="str">
        <f ca="1">MID(
  CELL("filename",B1),
  FIND("New_",CELL("filename",B1))+4,
  FIND(".xlsm",CELL("filename",B1))-FIND("New_",CELL("filename",B1))-4
)</f>
        <v>148</v>
      </c>
      <c r="D2" s="41" t="s">
        <v>72</v>
      </c>
      <c r="E2" s="39" t="str">
        <f ca="1">B2&amp;C2&amp;D2</f>
        <v>gacha_select_tables_148.tmp</v>
      </c>
      <c r="F2" s="41" t="s">
        <v>74</v>
      </c>
      <c r="G2" s="43" t="s">
        <v>21</v>
      </c>
      <c r="H2" s="44" t="s">
        <v>0</v>
      </c>
      <c r="I2" s="44" t="s">
        <v>11</v>
      </c>
      <c r="J2" s="44" t="s">
        <v>12</v>
      </c>
      <c r="K2" s="44" t="s">
        <v>13</v>
      </c>
      <c r="L2" s="44" t="s">
        <v>14</v>
      </c>
      <c r="M2" s="44" t="s">
        <v>15</v>
      </c>
      <c r="N2" s="44" t="s">
        <v>16</v>
      </c>
      <c r="O2" s="44" t="s">
        <v>17</v>
      </c>
    </row>
    <row r="3" spans="1:15">
      <c r="A3" s="52" t="s">
        <v>83</v>
      </c>
      <c r="B3" s="49" t="s">
        <v>80</v>
      </c>
      <c r="C3" s="41" t="str">
        <f ca="1">MID(
  CELL("filename",B2),
  FIND("New_",CELL("filename",B2))+4,
  FIND(".xlsm",CELL("filename",B2))-FIND("New_",CELL("filename",B2))-4
)</f>
        <v>148</v>
      </c>
      <c r="D3" s="41" t="s">
        <v>73</v>
      </c>
      <c r="E3" s="39" t="str">
        <f ca="1">B3&amp;C3&amp;D3</f>
        <v>gacha_settle_tables_148.tmp</v>
      </c>
      <c r="F3" s="41" t="s">
        <v>75</v>
      </c>
      <c r="G3" s="43" t="s">
        <v>21</v>
      </c>
      <c r="H3" s="44" t="s">
        <v>0</v>
      </c>
      <c r="I3" s="44" t="s">
        <v>11</v>
      </c>
      <c r="J3" s="44" t="s">
        <v>12</v>
      </c>
      <c r="K3" s="44" t="s">
        <v>13</v>
      </c>
      <c r="L3" s="44" t="s">
        <v>14</v>
      </c>
      <c r="M3" s="44" t="s">
        <v>15</v>
      </c>
      <c r="N3" s="44" t="s">
        <v>16</v>
      </c>
      <c r="O3" s="44" t="s">
        <v>17</v>
      </c>
    </row>
    <row r="4" spans="1:15">
      <c r="A4" s="52" t="s">
        <v>83</v>
      </c>
      <c r="B4" s="49" t="s">
        <v>81</v>
      </c>
      <c r="C4" s="41" t="str">
        <f ca="1">MID(
  CELL("filename",B3),
  FIND("New_",CELL("filename",B3))+4,
  FIND(".xlsm",CELL("filename",B3))-FIND("New_",CELL("filename",B3))-4
)</f>
        <v>148</v>
      </c>
      <c r="D4" s="41" t="s">
        <v>73</v>
      </c>
      <c r="E4" s="39" t="str">
        <f ca="1">B4&amp;C4&amp;D4</f>
        <v>gacha_bonus_tables_148.tmp</v>
      </c>
      <c r="F4" s="41" t="s">
        <v>76</v>
      </c>
      <c r="G4" s="43" t="s">
        <v>23</v>
      </c>
      <c r="H4" s="45" t="s">
        <v>26</v>
      </c>
      <c r="I4" s="43" t="s">
        <v>24</v>
      </c>
      <c r="J4" s="42"/>
      <c r="K4" s="42"/>
      <c r="L4" s="42"/>
      <c r="M4" s="42"/>
      <c r="N4" s="42"/>
      <c r="O4" s="42"/>
    </row>
    <row r="5" spans="1:15">
      <c r="A5" s="52" t="s">
        <v>83</v>
      </c>
      <c r="B5" s="41" t="s">
        <v>77</v>
      </c>
      <c r="C5" s="41" t="str">
        <f ca="1">MID(
  CELL("filename",B4),
  FIND("New_",CELL("filename",B4))+4,
  FIND(".xlsm",CELL("filename",B4))-FIND("New_",CELL("filename",B4))-4
)</f>
        <v>148</v>
      </c>
      <c r="D5" s="41" t="s">
        <v>73</v>
      </c>
      <c r="E5" s="39" t="str">
        <f ca="1">B5&amp;C5&amp;D5</f>
        <v>gifts_tmp_148.tmp</v>
      </c>
      <c r="F5" s="41" t="s">
        <v>76</v>
      </c>
      <c r="G5" s="45" t="s">
        <v>34</v>
      </c>
      <c r="H5" s="46" t="s">
        <v>42</v>
      </c>
      <c r="I5" s="45" t="s">
        <v>35</v>
      </c>
      <c r="J5" s="45" t="s">
        <v>36</v>
      </c>
      <c r="K5" s="45" t="s">
        <v>36</v>
      </c>
      <c r="L5" s="45" t="s">
        <v>37</v>
      </c>
      <c r="M5" s="45" t="s">
        <v>37</v>
      </c>
      <c r="N5" s="45" t="s">
        <v>37</v>
      </c>
      <c r="O5" s="41"/>
    </row>
    <row r="6" spans="1:15">
      <c r="A6" s="52" t="s">
        <v>83</v>
      </c>
      <c r="B6" s="41" t="s">
        <v>78</v>
      </c>
      <c r="C6" s="41" t="str">
        <f ca="1">MID(
  CELL("filename",B5),
  FIND("New_",CELL("filename",B5))+4,
  FIND(".xlsm",CELL("filename",B5))-FIND("New_",CELL("filename",B5))-4
)</f>
        <v>148</v>
      </c>
      <c r="D6" s="41" t="s">
        <v>73</v>
      </c>
      <c r="E6" s="39" t="str">
        <f ca="1">B6&amp;C6&amp;D6</f>
        <v>gifts_i18n_148.tmp</v>
      </c>
      <c r="F6" s="41" t="s">
        <v>76</v>
      </c>
      <c r="G6" s="45" t="s">
        <v>25</v>
      </c>
      <c r="H6" s="47" t="s">
        <v>38</v>
      </c>
      <c r="I6" s="47" t="s">
        <v>39</v>
      </c>
      <c r="J6" s="47" t="s">
        <v>40</v>
      </c>
      <c r="K6" s="47" t="s">
        <v>41</v>
      </c>
      <c r="L6" s="48"/>
      <c r="M6" s="45"/>
      <c r="N6" s="45"/>
      <c r="O6" s="41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B20"/>
  <sheetViews>
    <sheetView workbookViewId="0">
      <selection activeCell="G28" sqref="G28"/>
    </sheetView>
  </sheetViews>
  <sheetFormatPr baseColWidth="12" defaultRowHeight="14" x14ac:dyDescent="0"/>
  <cols>
    <col min="1" max="1" width="15.1640625" customWidth="1"/>
  </cols>
  <sheetData>
    <row r="1" spans="1:2">
      <c r="A1" t="s">
        <v>18</v>
      </c>
      <c r="B1" t="s">
        <v>12</v>
      </c>
    </row>
    <row r="2" spans="1:2">
      <c r="A2" s="27" t="s">
        <v>43</v>
      </c>
      <c r="B2">
        <v>1856</v>
      </c>
    </row>
    <row r="3" spans="1:2">
      <c r="A3" s="27" t="s">
        <v>44</v>
      </c>
      <c r="B3">
        <v>2471</v>
      </c>
    </row>
    <row r="4" spans="1:2">
      <c r="A4" s="27" t="s">
        <v>45</v>
      </c>
      <c r="B4">
        <v>123</v>
      </c>
    </row>
    <row r="5" spans="1:2">
      <c r="A5" s="27" t="s">
        <v>46</v>
      </c>
      <c r="B5">
        <v>623</v>
      </c>
    </row>
    <row r="6" spans="1:2">
      <c r="A6" s="27" t="s">
        <v>47</v>
      </c>
      <c r="B6">
        <v>525</v>
      </c>
    </row>
    <row r="7" spans="1:2">
      <c r="A7" s="27" t="s">
        <v>48</v>
      </c>
      <c r="B7">
        <v>36</v>
      </c>
    </row>
    <row r="8" spans="1:2">
      <c r="A8" s="27" t="s">
        <v>84</v>
      </c>
      <c r="B8">
        <v>2664</v>
      </c>
    </row>
    <row r="9" spans="1:2">
      <c r="A9" s="27" t="s">
        <v>49</v>
      </c>
      <c r="B9">
        <v>86</v>
      </c>
    </row>
    <row r="10" spans="1:2">
      <c r="A10" s="27" t="s">
        <v>91</v>
      </c>
      <c r="B10">
        <v>1331</v>
      </c>
    </row>
    <row r="11" spans="1:2">
      <c r="A11" s="27" t="s">
        <v>85</v>
      </c>
      <c r="B11">
        <v>2178</v>
      </c>
    </row>
    <row r="12" spans="1:2">
      <c r="A12" s="27" t="s">
        <v>86</v>
      </c>
      <c r="B12">
        <v>484</v>
      </c>
    </row>
    <row r="13" spans="1:2">
      <c r="A13" s="11" t="s">
        <v>50</v>
      </c>
      <c r="B13">
        <v>1334</v>
      </c>
    </row>
    <row r="14" spans="1:2">
      <c r="A14" s="11" t="s">
        <v>51</v>
      </c>
      <c r="B14">
        <v>1607</v>
      </c>
    </row>
    <row r="15" spans="1:2">
      <c r="A15" s="11" t="s">
        <v>52</v>
      </c>
      <c r="B15">
        <v>85</v>
      </c>
    </row>
    <row r="16" spans="1:2">
      <c r="A16" s="11" t="s">
        <v>87</v>
      </c>
      <c r="B16">
        <v>2864</v>
      </c>
    </row>
    <row r="17" spans="1:2">
      <c r="A17" s="11" t="s">
        <v>53</v>
      </c>
      <c r="B17">
        <v>46</v>
      </c>
    </row>
    <row r="18" spans="1:2">
      <c r="A18" s="11" t="s">
        <v>88</v>
      </c>
      <c r="B18">
        <v>715</v>
      </c>
    </row>
    <row r="19" spans="1:2">
      <c r="A19" s="11" t="s">
        <v>89</v>
      </c>
      <c r="B19">
        <v>2340</v>
      </c>
    </row>
    <row r="20" spans="1:2">
      <c r="A20" s="11" t="s">
        <v>90</v>
      </c>
      <c r="B20">
        <v>260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189"/>
  <sheetViews>
    <sheetView showGridLines="0" zoomScale="75" zoomScaleNormal="75" zoomScalePageLayoutView="75" workbookViewId="0">
      <pane ySplit="1" topLeftCell="A171" activePane="bottomLeft" state="frozen"/>
      <selection activeCell="M24" sqref="M24"/>
      <selection pane="bottomLeft" activeCell="N187" sqref="N187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29" t="s">
        <v>20</v>
      </c>
      <c r="C1" s="3" t="s">
        <v>54</v>
      </c>
      <c r="D1" s="3" t="s">
        <v>55</v>
      </c>
      <c r="E1" s="35" t="s">
        <v>56</v>
      </c>
      <c r="F1" s="35" t="s">
        <v>57</v>
      </c>
      <c r="G1" s="3" t="s">
        <v>58</v>
      </c>
      <c r="H1" s="3" t="s">
        <v>59</v>
      </c>
      <c r="I1" s="3" t="s">
        <v>60</v>
      </c>
      <c r="J1" s="3" t="s">
        <v>61</v>
      </c>
      <c r="K1" s="3" t="s">
        <v>62</v>
      </c>
      <c r="L1" s="3" t="s">
        <v>63</v>
      </c>
      <c r="M1" s="35" t="s">
        <v>64</v>
      </c>
      <c r="N1" s="35" t="s">
        <v>65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>B2&amp;F2</f>
        <v>148127</v>
      </c>
      <c r="B2" s="36">
        <v>148</v>
      </c>
      <c r="C2" s="12" t="str">
        <f>E2&amp;H2&amp;I2</f>
        <v>1PremiumW4</v>
      </c>
      <c r="D2" s="8" t="str">
        <f t="shared" ref="D2:D32" si="0">E2&amp;H2&amp;I2</f>
        <v>1PremiumW4</v>
      </c>
      <c r="E2" s="13">
        <v>1</v>
      </c>
      <c r="F2" s="18">
        <v>127</v>
      </c>
      <c r="G2" s="12" t="str">
        <f>VLOOKUP(F2,[1]characters!$A:$C,3,FALSE)</f>
        <v>狂喜の賢者 ユノ</v>
      </c>
      <c r="H2" s="12" t="str">
        <f>VLOOKUP(F2,[1]characters!$A:$J,10,FALSE)</f>
        <v>PremiumW</v>
      </c>
      <c r="I2" s="12">
        <f>VLOOKUP(F2,[1]characters!$A:$I,9,FALSE)</f>
        <v>4</v>
      </c>
      <c r="J2" s="12" t="str">
        <f>VLOOKUP(F2,[1]characters!$A:$H,8,FALSE)</f>
        <v>red</v>
      </c>
      <c r="K2" s="12" t="str">
        <f>VLOOKUP(F2,[1]characters!$A:$K,11,FALSE)</f>
        <v>attack</v>
      </c>
      <c r="L2" s="12" t="str">
        <f>VLOOKUP(F2,[1]characters!$A:$M,13,FALSE)</f>
        <v>human</v>
      </c>
      <c r="M2" s="13">
        <v>1</v>
      </c>
      <c r="N2" s="50">
        <f>VLOOKUP(D2,gacha_148_base!A:B,2,FALSE)</f>
        <v>1334</v>
      </c>
      <c r="O2" s="10">
        <v>0</v>
      </c>
      <c r="P2" s="19">
        <v>0</v>
      </c>
      <c r="Q2" s="10">
        <v>0</v>
      </c>
      <c r="R2" s="10">
        <v>0</v>
      </c>
      <c r="S2" s="10">
        <v>1</v>
      </c>
    </row>
    <row r="3" spans="1:19" ht="21" customHeight="1">
      <c r="A3" s="7" t="str">
        <f t="shared" ref="A3:A45" si="1">B3&amp;F3</f>
        <v>148129</v>
      </c>
      <c r="B3" s="2">
        <f>$B$2</f>
        <v>148</v>
      </c>
      <c r="C3" s="8" t="str">
        <f t="shared" ref="C3:C19" si="2">E3&amp;H3&amp;I3</f>
        <v>1PremiumW4</v>
      </c>
      <c r="D3" s="8" t="str">
        <f t="shared" si="0"/>
        <v>1PremiumW4</v>
      </c>
      <c r="E3" s="5">
        <v>1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28">
        <f>VLOOKUP(D3,gacha_148_base!A:B,2,FALSE)</f>
        <v>1334</v>
      </c>
      <c r="O3" s="19">
        <v>0</v>
      </c>
      <c r="P3" s="19">
        <v>0</v>
      </c>
      <c r="Q3" s="19">
        <v>0</v>
      </c>
      <c r="R3" s="19">
        <v>0</v>
      </c>
      <c r="S3" s="19">
        <v>1</v>
      </c>
    </row>
    <row r="4" spans="1:19" ht="21" customHeight="1">
      <c r="A4" s="7" t="str">
        <f t="shared" si="1"/>
        <v>148131</v>
      </c>
      <c r="B4" s="2">
        <f t="shared" ref="B4:B45" si="3">$B$2</f>
        <v>148</v>
      </c>
      <c r="C4" s="8" t="str">
        <f t="shared" si="2"/>
        <v>1PremiumW4</v>
      </c>
      <c r="D4" s="8" t="str">
        <f t="shared" si="0"/>
        <v>1PremiumW4</v>
      </c>
      <c r="E4" s="5">
        <v>1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5">
        <v>1</v>
      </c>
      <c r="N4" s="28">
        <f>VLOOKUP(D4,gacha_148_base!A:B,2,FALSE)</f>
        <v>1334</v>
      </c>
      <c r="O4" s="19">
        <v>0</v>
      </c>
      <c r="P4" s="19">
        <v>0</v>
      </c>
      <c r="Q4" s="19">
        <v>0</v>
      </c>
      <c r="R4" s="19">
        <v>0</v>
      </c>
      <c r="S4" s="19">
        <v>1</v>
      </c>
    </row>
    <row r="5" spans="1:19" ht="21" customHeight="1">
      <c r="A5" s="7" t="str">
        <f t="shared" si="1"/>
        <v>148133</v>
      </c>
      <c r="B5" s="2">
        <f t="shared" si="3"/>
        <v>148</v>
      </c>
      <c r="C5" s="8" t="str">
        <f t="shared" si="2"/>
        <v>1PremiumW4</v>
      </c>
      <c r="D5" s="8" t="str">
        <f t="shared" si="0"/>
        <v>1PremiumW4</v>
      </c>
      <c r="E5" s="5">
        <v>1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28">
        <f>VLOOKUP(D5,gacha_148_base!A:B,2,FALSE)</f>
        <v>1334</v>
      </c>
      <c r="O5" s="19">
        <v>0</v>
      </c>
      <c r="P5" s="19">
        <v>0</v>
      </c>
      <c r="Q5" s="19">
        <v>0</v>
      </c>
      <c r="R5" s="19">
        <v>0</v>
      </c>
      <c r="S5" s="19">
        <v>1</v>
      </c>
    </row>
    <row r="6" spans="1:19" ht="21" customHeight="1">
      <c r="A6" s="7" t="str">
        <f t="shared" si="1"/>
        <v>148135</v>
      </c>
      <c r="B6" s="2">
        <f t="shared" si="3"/>
        <v>148</v>
      </c>
      <c r="C6" s="8" t="str">
        <f t="shared" si="2"/>
        <v>1PremiumW4</v>
      </c>
      <c r="D6" s="8" t="str">
        <f t="shared" si="0"/>
        <v>1PremiumW4</v>
      </c>
      <c r="E6" s="5">
        <v>1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5">
        <v>1</v>
      </c>
      <c r="N6" s="28">
        <f>VLOOKUP(D6,gacha_148_base!A:B,2,FALSE)</f>
        <v>1334</v>
      </c>
      <c r="O6" s="19">
        <v>0</v>
      </c>
      <c r="P6" s="19">
        <v>0</v>
      </c>
      <c r="Q6" s="19">
        <v>0</v>
      </c>
      <c r="R6" s="19">
        <v>0</v>
      </c>
      <c r="S6" s="19">
        <v>1</v>
      </c>
    </row>
    <row r="7" spans="1:19" ht="21" customHeight="1">
      <c r="A7" s="7" t="str">
        <f t="shared" si="1"/>
        <v>148137</v>
      </c>
      <c r="B7" s="2">
        <f t="shared" si="3"/>
        <v>148</v>
      </c>
      <c r="C7" s="8" t="str">
        <f t="shared" si="2"/>
        <v>1PremiumW4</v>
      </c>
      <c r="D7" s="8" t="str">
        <f t="shared" si="0"/>
        <v>1PremiumW4</v>
      </c>
      <c r="E7" s="5">
        <v>1</v>
      </c>
      <c r="F7" s="6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5">
        <v>1</v>
      </c>
      <c r="N7" s="28">
        <f>VLOOKUP(D7,gacha_148_base!A:B,2,FALSE)</f>
        <v>1334</v>
      </c>
      <c r="O7" s="19">
        <v>0</v>
      </c>
      <c r="P7" s="19">
        <v>0</v>
      </c>
      <c r="Q7" s="19">
        <v>0</v>
      </c>
      <c r="R7" s="19">
        <v>0</v>
      </c>
      <c r="S7" s="19">
        <v>1</v>
      </c>
    </row>
    <row r="8" spans="1:19" ht="21" customHeight="1">
      <c r="A8" s="7" t="str">
        <f t="shared" si="1"/>
        <v>148139</v>
      </c>
      <c r="B8" s="2">
        <f t="shared" si="3"/>
        <v>148</v>
      </c>
      <c r="C8" s="8" t="str">
        <f t="shared" si="2"/>
        <v>1PremiumW4</v>
      </c>
      <c r="D8" s="8" t="str">
        <f t="shared" si="0"/>
        <v>1PremiumW4</v>
      </c>
      <c r="E8" s="5">
        <v>1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5">
        <v>1</v>
      </c>
      <c r="N8" s="28">
        <f>VLOOKUP(D8,gacha_148_base!A:B,2,FALSE)</f>
        <v>1334</v>
      </c>
      <c r="O8" s="19">
        <v>0</v>
      </c>
      <c r="P8" s="19">
        <v>0</v>
      </c>
      <c r="Q8" s="19">
        <v>0</v>
      </c>
      <c r="R8" s="19">
        <v>0</v>
      </c>
      <c r="S8" s="19">
        <v>1</v>
      </c>
    </row>
    <row r="9" spans="1:19" ht="21" customHeight="1">
      <c r="A9" s="7" t="str">
        <f t="shared" si="1"/>
        <v>148141</v>
      </c>
      <c r="B9" s="2">
        <f t="shared" si="3"/>
        <v>148</v>
      </c>
      <c r="C9" s="8" t="str">
        <f t="shared" si="2"/>
        <v>1PremiumW4</v>
      </c>
      <c r="D9" s="8" t="str">
        <f t="shared" si="0"/>
        <v>1PremiumW4</v>
      </c>
      <c r="E9" s="5">
        <v>1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5">
        <v>1</v>
      </c>
      <c r="N9" s="28">
        <f>VLOOKUP(D9,gacha_148_base!A:B,2,FALSE)</f>
        <v>1334</v>
      </c>
      <c r="O9" s="19">
        <v>0</v>
      </c>
      <c r="P9" s="19">
        <v>0</v>
      </c>
      <c r="Q9" s="19">
        <v>0</v>
      </c>
      <c r="R9" s="19">
        <v>0</v>
      </c>
      <c r="S9" s="19">
        <v>1</v>
      </c>
    </row>
    <row r="10" spans="1:19" ht="21" customHeight="1">
      <c r="A10" s="7" t="str">
        <f t="shared" si="1"/>
        <v>148143</v>
      </c>
      <c r="B10" s="2">
        <f t="shared" si="3"/>
        <v>148</v>
      </c>
      <c r="C10" s="8" t="str">
        <f t="shared" si="2"/>
        <v>1PremiumW4</v>
      </c>
      <c r="D10" s="8" t="str">
        <f t="shared" si="0"/>
        <v>1PremiumW4</v>
      </c>
      <c r="E10" s="5">
        <v>1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28">
        <f>VLOOKUP(D10,gacha_148_base!A:B,2,FALSE)</f>
        <v>1334</v>
      </c>
      <c r="O10" s="19">
        <v>0</v>
      </c>
      <c r="P10" s="19">
        <v>0</v>
      </c>
      <c r="Q10" s="19">
        <v>0</v>
      </c>
      <c r="R10" s="19">
        <v>0</v>
      </c>
      <c r="S10" s="19">
        <v>1</v>
      </c>
    </row>
    <row r="11" spans="1:19" ht="21" customHeight="1">
      <c r="A11" s="7" t="str">
        <f t="shared" si="1"/>
        <v>148145</v>
      </c>
      <c r="B11" s="2">
        <f t="shared" si="3"/>
        <v>148</v>
      </c>
      <c r="C11" s="8" t="str">
        <f t="shared" si="2"/>
        <v>1PremiumW4</v>
      </c>
      <c r="D11" s="8" t="str">
        <f t="shared" si="0"/>
        <v>1PremiumW4</v>
      </c>
      <c r="E11" s="5">
        <v>1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5">
        <v>1</v>
      </c>
      <c r="N11" s="28">
        <f>VLOOKUP(D11,gacha_148_base!A:B,2,FALSE)</f>
        <v>1334</v>
      </c>
      <c r="O11" s="19">
        <v>0</v>
      </c>
      <c r="P11" s="19">
        <v>0</v>
      </c>
      <c r="Q11" s="19">
        <v>0</v>
      </c>
      <c r="R11" s="19">
        <v>0</v>
      </c>
      <c r="S11" s="19">
        <v>1</v>
      </c>
    </row>
    <row r="12" spans="1:19" ht="21" customHeight="1">
      <c r="A12" s="7" t="str">
        <f t="shared" si="1"/>
        <v>148147</v>
      </c>
      <c r="B12" s="2">
        <f t="shared" si="3"/>
        <v>148</v>
      </c>
      <c r="C12" s="8" t="str">
        <f t="shared" si="2"/>
        <v>1PremiumW4</v>
      </c>
      <c r="D12" s="8" t="str">
        <f t="shared" si="0"/>
        <v>1PremiumW4</v>
      </c>
      <c r="E12" s="5">
        <v>1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5">
        <v>1</v>
      </c>
      <c r="N12" s="28">
        <f>VLOOKUP(D12,gacha_148_base!A:B,2,FALSE)</f>
        <v>1334</v>
      </c>
      <c r="O12" s="19">
        <v>0</v>
      </c>
      <c r="P12" s="19">
        <v>0</v>
      </c>
      <c r="Q12" s="19">
        <v>0</v>
      </c>
      <c r="R12" s="19">
        <v>0</v>
      </c>
      <c r="S12" s="19">
        <v>1</v>
      </c>
    </row>
    <row r="13" spans="1:19" ht="21" customHeight="1">
      <c r="A13" s="7" t="str">
        <f t="shared" si="1"/>
        <v>148149</v>
      </c>
      <c r="B13" s="2">
        <f t="shared" si="3"/>
        <v>148</v>
      </c>
      <c r="C13" s="8" t="str">
        <f t="shared" si="2"/>
        <v>1PremiumW4</v>
      </c>
      <c r="D13" s="8" t="str">
        <f t="shared" si="0"/>
        <v>1PremiumW4</v>
      </c>
      <c r="E13" s="5">
        <v>1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28">
        <f>VLOOKUP(D13,gacha_148_base!A:B,2,FALSE)</f>
        <v>1334</v>
      </c>
      <c r="O13" s="19">
        <v>0</v>
      </c>
      <c r="P13" s="19">
        <v>0</v>
      </c>
      <c r="Q13" s="19">
        <v>0</v>
      </c>
      <c r="R13" s="19">
        <v>0</v>
      </c>
      <c r="S13" s="19">
        <v>1</v>
      </c>
    </row>
    <row r="14" spans="1:19" ht="21" customHeight="1">
      <c r="A14" s="7" t="str">
        <f t="shared" si="1"/>
        <v>148151</v>
      </c>
      <c r="B14" s="2">
        <f t="shared" si="3"/>
        <v>148</v>
      </c>
      <c r="C14" s="8" t="str">
        <f t="shared" si="2"/>
        <v>1PremiumW4</v>
      </c>
      <c r="D14" s="8" t="str">
        <f t="shared" si="0"/>
        <v>1PremiumW4</v>
      </c>
      <c r="E14" s="5">
        <v>1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5">
        <v>1</v>
      </c>
      <c r="N14" s="28">
        <f>VLOOKUP(D14,gacha_148_base!A:B,2,FALSE)</f>
        <v>1334</v>
      </c>
      <c r="O14" s="19">
        <v>0</v>
      </c>
      <c r="P14" s="19">
        <v>0</v>
      </c>
      <c r="Q14" s="19">
        <v>0</v>
      </c>
      <c r="R14" s="19">
        <v>0</v>
      </c>
      <c r="S14" s="19">
        <v>1</v>
      </c>
    </row>
    <row r="15" spans="1:19" ht="21" customHeight="1">
      <c r="A15" s="7" t="str">
        <f t="shared" si="1"/>
        <v>148153</v>
      </c>
      <c r="B15" s="2">
        <f t="shared" si="3"/>
        <v>148</v>
      </c>
      <c r="C15" s="8" t="str">
        <f t="shared" si="2"/>
        <v>1PremiumW4</v>
      </c>
      <c r="D15" s="8" t="str">
        <f t="shared" si="0"/>
        <v>1PremiumW4</v>
      </c>
      <c r="E15" s="5">
        <v>1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5">
        <v>1</v>
      </c>
      <c r="N15" s="28">
        <f>VLOOKUP(D15,gacha_148_base!A:B,2,FALSE)</f>
        <v>1334</v>
      </c>
      <c r="O15" s="19">
        <v>0</v>
      </c>
      <c r="P15" s="19">
        <v>0</v>
      </c>
      <c r="Q15" s="19">
        <v>0</v>
      </c>
      <c r="R15" s="19">
        <v>0</v>
      </c>
      <c r="S15" s="19">
        <v>1</v>
      </c>
    </row>
    <row r="16" spans="1:19" ht="21" customHeight="1">
      <c r="A16" s="7" t="str">
        <f t="shared" si="1"/>
        <v>148155</v>
      </c>
      <c r="B16" s="2">
        <f t="shared" si="3"/>
        <v>148</v>
      </c>
      <c r="C16" s="8" t="str">
        <f t="shared" si="2"/>
        <v>1PremiumW4</v>
      </c>
      <c r="D16" s="8" t="str">
        <f t="shared" si="0"/>
        <v>1PremiumW4</v>
      </c>
      <c r="E16" s="5">
        <v>1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5">
        <v>1</v>
      </c>
      <c r="N16" s="28">
        <f>VLOOKUP(D16,gacha_148_base!A:B,2,FALSE)</f>
        <v>1334</v>
      </c>
      <c r="O16" s="19">
        <v>0</v>
      </c>
      <c r="P16" s="19">
        <v>0</v>
      </c>
      <c r="Q16" s="19">
        <v>0</v>
      </c>
      <c r="R16" s="19">
        <v>0</v>
      </c>
      <c r="S16" s="19">
        <v>1</v>
      </c>
    </row>
    <row r="17" spans="1:19" ht="21" customHeight="1">
      <c r="A17" s="7" t="str">
        <f t="shared" si="1"/>
        <v>148157</v>
      </c>
      <c r="B17" s="2">
        <f t="shared" si="3"/>
        <v>148</v>
      </c>
      <c r="C17" s="8" t="str">
        <f t="shared" si="2"/>
        <v>1PremiumW4</v>
      </c>
      <c r="D17" s="8" t="str">
        <f t="shared" si="0"/>
        <v>1PremiumW4</v>
      </c>
      <c r="E17" s="5">
        <v>1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5">
        <v>1</v>
      </c>
      <c r="N17" s="28">
        <f>VLOOKUP(D17,gacha_148_base!A:B,2,FALSE)</f>
        <v>1334</v>
      </c>
      <c r="O17" s="19">
        <v>0</v>
      </c>
      <c r="P17" s="19">
        <v>0</v>
      </c>
      <c r="Q17" s="19">
        <v>0</v>
      </c>
      <c r="R17" s="19">
        <v>0</v>
      </c>
      <c r="S17" s="19">
        <v>1</v>
      </c>
    </row>
    <row r="18" spans="1:19" ht="21" customHeight="1">
      <c r="A18" s="7" t="str">
        <f t="shared" si="1"/>
        <v>148159</v>
      </c>
      <c r="B18" s="2">
        <f t="shared" si="3"/>
        <v>148</v>
      </c>
      <c r="C18" s="8" t="str">
        <f t="shared" si="2"/>
        <v>1PremiumW4</v>
      </c>
      <c r="D18" s="8" t="str">
        <f t="shared" si="0"/>
        <v>1PremiumW4</v>
      </c>
      <c r="E18" s="5">
        <v>1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5">
        <v>1</v>
      </c>
      <c r="N18" s="28">
        <f>VLOOKUP(D18,gacha_148_base!A:B,2,FALSE)</f>
        <v>1334</v>
      </c>
      <c r="O18" s="19">
        <v>0</v>
      </c>
      <c r="P18" s="19">
        <v>0</v>
      </c>
      <c r="Q18" s="19">
        <v>0</v>
      </c>
      <c r="R18" s="19">
        <v>0</v>
      </c>
      <c r="S18" s="19">
        <v>1</v>
      </c>
    </row>
    <row r="19" spans="1:19" ht="21" customHeight="1">
      <c r="A19" s="7" t="str">
        <f t="shared" si="1"/>
        <v>148161</v>
      </c>
      <c r="B19" s="2">
        <f t="shared" si="3"/>
        <v>148</v>
      </c>
      <c r="C19" s="8" t="str">
        <f t="shared" si="2"/>
        <v>1PremiumW4</v>
      </c>
      <c r="D19" s="8" t="str">
        <f t="shared" si="0"/>
        <v>1PremiumW4</v>
      </c>
      <c r="E19" s="5">
        <v>1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28">
        <f>VLOOKUP(D19,gacha_148_base!A:B,2,FALSE)</f>
        <v>1334</v>
      </c>
      <c r="O19" s="19">
        <v>0</v>
      </c>
      <c r="P19" s="19">
        <v>0</v>
      </c>
      <c r="Q19" s="19">
        <v>0</v>
      </c>
      <c r="R19" s="19">
        <v>0</v>
      </c>
      <c r="S19" s="19">
        <v>1</v>
      </c>
    </row>
    <row r="20" spans="1:19" ht="21" customHeight="1">
      <c r="A20" s="7" t="str">
        <f t="shared" si="1"/>
        <v>148163</v>
      </c>
      <c r="B20" s="2">
        <f t="shared" si="3"/>
        <v>148</v>
      </c>
      <c r="C20" s="8" t="str">
        <f>E20&amp;H20&amp;I20</f>
        <v>1PremiumW4</v>
      </c>
      <c r="D20" s="8" t="str">
        <f t="shared" si="0"/>
        <v>1PremiumW4</v>
      </c>
      <c r="E20" s="5">
        <v>1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5">
        <v>1</v>
      </c>
      <c r="N20" s="28">
        <f>VLOOKUP(D20,gacha_148_base!A:B,2,FALSE)</f>
        <v>1334</v>
      </c>
      <c r="O20" s="19">
        <v>0</v>
      </c>
      <c r="P20" s="19">
        <v>0</v>
      </c>
      <c r="Q20" s="19">
        <v>0</v>
      </c>
      <c r="R20" s="19">
        <v>0</v>
      </c>
      <c r="S20" s="19">
        <v>1</v>
      </c>
    </row>
    <row r="21" spans="1:19" ht="21" customHeight="1">
      <c r="A21" s="7" t="str">
        <f t="shared" si="1"/>
        <v>148165</v>
      </c>
      <c r="B21" s="2">
        <f t="shared" si="3"/>
        <v>148</v>
      </c>
      <c r="C21" s="8" t="str">
        <f t="shared" ref="C21:C45" si="4">E21&amp;H21&amp;I21</f>
        <v>1PremiumW4</v>
      </c>
      <c r="D21" s="8" t="str">
        <f t="shared" si="0"/>
        <v>1PremiumW4</v>
      </c>
      <c r="E21" s="5">
        <v>1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5">
        <v>1</v>
      </c>
      <c r="N21" s="28">
        <f>VLOOKUP(D21,gacha_148_base!A:B,2,FALSE)</f>
        <v>1334</v>
      </c>
      <c r="O21" s="19">
        <v>0</v>
      </c>
      <c r="P21" s="19">
        <v>0</v>
      </c>
      <c r="Q21" s="19">
        <v>0</v>
      </c>
      <c r="R21" s="19">
        <v>0</v>
      </c>
      <c r="S21" s="19">
        <v>1</v>
      </c>
    </row>
    <row r="22" spans="1:19" ht="21" customHeight="1">
      <c r="A22" s="7" t="str">
        <f t="shared" si="1"/>
        <v>148167</v>
      </c>
      <c r="B22" s="2">
        <f t="shared" si="3"/>
        <v>148</v>
      </c>
      <c r="C22" s="8" t="str">
        <f t="shared" si="4"/>
        <v>1PremiumN4</v>
      </c>
      <c r="D22" s="8" t="str">
        <f t="shared" si="0"/>
        <v>1PremiumN4</v>
      </c>
      <c r="E22" s="5">
        <v>1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5">
        <v>1</v>
      </c>
      <c r="N22" s="28">
        <f>VLOOKUP(D22,gacha_148_base!A:B,2,FALSE)</f>
        <v>1607</v>
      </c>
      <c r="O22" s="19">
        <v>0</v>
      </c>
      <c r="P22" s="19">
        <v>0</v>
      </c>
      <c r="Q22" s="19">
        <v>0</v>
      </c>
      <c r="R22" s="19">
        <v>0</v>
      </c>
      <c r="S22" s="19">
        <v>1</v>
      </c>
    </row>
    <row r="23" spans="1:19" ht="21" customHeight="1">
      <c r="A23" s="7" t="str">
        <f t="shared" si="1"/>
        <v>148170</v>
      </c>
      <c r="B23" s="2">
        <f t="shared" si="3"/>
        <v>148</v>
      </c>
      <c r="C23" s="8" t="str">
        <f t="shared" si="4"/>
        <v>1PremiumN4</v>
      </c>
      <c r="D23" s="8" t="str">
        <f t="shared" si="0"/>
        <v>1PremiumN4</v>
      </c>
      <c r="E23" s="5">
        <v>1</v>
      </c>
      <c r="F23" s="6">
        <v>170</v>
      </c>
      <c r="G23" s="8" t="str">
        <f>VLOOKUP(F23,[1]characters!$A:$C,3,FALSE)</f>
        <v>識徒 オセ</v>
      </c>
      <c r="H23" s="8" t="str">
        <f>VLOOKUP(F23,[1]characters!$A:$J,10,FALSE)</f>
        <v>PremiumN</v>
      </c>
      <c r="I23" s="8">
        <f>VLOOKUP(F23,[1]characters!$A:$I,9,FALSE)</f>
        <v>4</v>
      </c>
      <c r="J23" s="8" t="str">
        <f>VLOOKUP(F23,[1]characters!$A:$H,8,FALSE)</f>
        <v>green</v>
      </c>
      <c r="K23" s="8" t="str">
        <f>VLOOKUP(F23,[1]characters!$A:$K,11,FALSE)</f>
        <v>attack</v>
      </c>
      <c r="L23" s="8" t="str">
        <f>VLOOKUP(F23,[1]characters!$A:$M,13,FALSE)</f>
        <v>god</v>
      </c>
      <c r="M23" s="5">
        <v>1</v>
      </c>
      <c r="N23" s="28">
        <f>VLOOKUP(D23,gacha_148_base!A:B,2,FALSE)</f>
        <v>1607</v>
      </c>
      <c r="O23" s="19">
        <v>0</v>
      </c>
      <c r="P23" s="19">
        <v>0</v>
      </c>
      <c r="Q23" s="19">
        <v>0</v>
      </c>
      <c r="R23" s="19">
        <v>0</v>
      </c>
      <c r="S23" s="19">
        <v>1</v>
      </c>
    </row>
    <row r="24" spans="1:19" ht="21" customHeight="1">
      <c r="A24" s="7" t="str">
        <f t="shared" si="1"/>
        <v>148173</v>
      </c>
      <c r="B24" s="2">
        <f t="shared" si="3"/>
        <v>148</v>
      </c>
      <c r="C24" s="8" t="str">
        <f t="shared" si="4"/>
        <v>1PremiumN4</v>
      </c>
      <c r="D24" s="8" t="str">
        <f t="shared" si="0"/>
        <v>1PremiumN4</v>
      </c>
      <c r="E24" s="5">
        <v>1</v>
      </c>
      <c r="F24" s="6">
        <v>173</v>
      </c>
      <c r="G24" s="8" t="str">
        <f>VLOOKUP(F24,[1]characters!$A:$C,3,FALSE)</f>
        <v>公爵 フォルネウス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blue</v>
      </c>
      <c r="K24" s="8" t="str">
        <f>VLOOKUP(F24,[1]characters!$A:$K,11,FALSE)</f>
        <v>attack</v>
      </c>
      <c r="L24" s="8" t="str">
        <f>VLOOKUP(F24,[1]characters!$A:$M,13,FALSE)</f>
        <v>god</v>
      </c>
      <c r="M24" s="5">
        <v>1</v>
      </c>
      <c r="N24" s="28">
        <f>VLOOKUP(D24,gacha_148_base!A:B,2,FALSE)</f>
        <v>1607</v>
      </c>
      <c r="O24" s="19">
        <v>0</v>
      </c>
      <c r="P24" s="19">
        <v>0</v>
      </c>
      <c r="Q24" s="19">
        <v>0</v>
      </c>
      <c r="R24" s="19">
        <v>0</v>
      </c>
      <c r="S24" s="19">
        <v>1</v>
      </c>
    </row>
    <row r="25" spans="1:19" ht="21" customHeight="1">
      <c r="A25" s="7" t="str">
        <f t="shared" si="1"/>
        <v>148176</v>
      </c>
      <c r="B25" s="2">
        <f t="shared" si="3"/>
        <v>148</v>
      </c>
      <c r="C25" s="8" t="str">
        <f t="shared" si="4"/>
        <v>1PremiumN4</v>
      </c>
      <c r="D25" s="8" t="str">
        <f t="shared" si="0"/>
        <v>1PremiumN4</v>
      </c>
      <c r="E25" s="5">
        <v>1</v>
      </c>
      <c r="F25" s="6">
        <v>176</v>
      </c>
      <c r="G25" s="8" t="str">
        <f>VLOOKUP(F25,[1]characters!$A:$C,3,FALSE)</f>
        <v>異教徒 バフォメット</v>
      </c>
      <c r="H25" s="8" t="str">
        <f>VLOOKUP(F25,[1]characters!$A:$J,10,FALSE)</f>
        <v>PremiumN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attack</v>
      </c>
      <c r="L25" s="8" t="str">
        <f>VLOOKUP(F25,[1]characters!$A:$M,13,FALSE)</f>
        <v>god</v>
      </c>
      <c r="M25" s="5">
        <v>1</v>
      </c>
      <c r="N25" s="28">
        <f>VLOOKUP(D25,gacha_148_base!A:B,2,FALSE)</f>
        <v>1607</v>
      </c>
      <c r="O25" s="19">
        <v>0</v>
      </c>
      <c r="P25" s="19">
        <v>0</v>
      </c>
      <c r="Q25" s="19">
        <v>0</v>
      </c>
      <c r="R25" s="19">
        <v>0</v>
      </c>
      <c r="S25" s="19">
        <v>1</v>
      </c>
    </row>
    <row r="26" spans="1:19" ht="21" customHeight="1">
      <c r="A26" s="7" t="str">
        <f t="shared" si="1"/>
        <v>148179</v>
      </c>
      <c r="B26" s="2">
        <f t="shared" si="3"/>
        <v>148</v>
      </c>
      <c r="C26" s="8" t="str">
        <f t="shared" si="4"/>
        <v>1PremiumN4</v>
      </c>
      <c r="D26" s="8" t="str">
        <f t="shared" si="0"/>
        <v>1PremiumN4</v>
      </c>
      <c r="E26" s="5">
        <v>1</v>
      </c>
      <c r="F26" s="6">
        <v>179</v>
      </c>
      <c r="G26" s="8" t="str">
        <f>VLOOKUP(F26,[1]characters!$A:$C,3,FALSE)</f>
        <v>番犬 ケルベロス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red</v>
      </c>
      <c r="K26" s="8" t="str">
        <f>VLOOKUP(F26,[1]characters!$A:$K,11,FALSE)</f>
        <v>balance</v>
      </c>
      <c r="L26" s="8" t="str">
        <f>VLOOKUP(F26,[1]characters!$A:$M,13,FALSE)</f>
        <v>animal</v>
      </c>
      <c r="M26" s="5">
        <v>1</v>
      </c>
      <c r="N26" s="28">
        <f>VLOOKUP(D26,gacha_148_base!A:B,2,FALSE)</f>
        <v>1607</v>
      </c>
      <c r="O26" s="19">
        <v>0</v>
      </c>
      <c r="P26" s="19">
        <v>0</v>
      </c>
      <c r="Q26" s="19">
        <v>0</v>
      </c>
      <c r="R26" s="19">
        <v>0</v>
      </c>
      <c r="S26" s="19">
        <v>1</v>
      </c>
    </row>
    <row r="27" spans="1:19" ht="21" customHeight="1">
      <c r="A27" s="7" t="str">
        <f t="shared" si="1"/>
        <v>148182</v>
      </c>
      <c r="B27" s="2">
        <f t="shared" si="3"/>
        <v>148</v>
      </c>
      <c r="C27" s="8" t="str">
        <f t="shared" si="4"/>
        <v>1PremiumN4</v>
      </c>
      <c r="D27" s="8" t="str">
        <f t="shared" si="0"/>
        <v>1PremiumN4</v>
      </c>
      <c r="E27" s="5">
        <v>1</v>
      </c>
      <c r="F27" s="6">
        <v>182</v>
      </c>
      <c r="G27" s="8" t="str">
        <f>VLOOKUP(F27,[1]characters!$A:$C,3,FALSE)</f>
        <v>放蕩者 ベヒモス</v>
      </c>
      <c r="H27" s="8" t="str">
        <f>VLOOKUP(F27,[1]characters!$A:$J,10,FALSE)</f>
        <v>PremiumN</v>
      </c>
      <c r="I27" s="8">
        <f>VLOOKUP(F27,[1]characters!$A:$I,9,FALSE)</f>
        <v>4</v>
      </c>
      <c r="J27" s="8" t="str">
        <f>VLOOKUP(F27,[1]characters!$A:$H,8,FALSE)</f>
        <v>green</v>
      </c>
      <c r="K27" s="8" t="str">
        <f>VLOOKUP(F27,[1]characters!$A:$K,11,FALSE)</f>
        <v>hp</v>
      </c>
      <c r="L27" s="8" t="str">
        <f>VLOOKUP(F27,[1]characters!$A:$M,13,FALSE)</f>
        <v>animal</v>
      </c>
      <c r="M27" s="5">
        <v>1</v>
      </c>
      <c r="N27" s="28">
        <f>VLOOKUP(D27,gacha_148_base!A:B,2,FALSE)</f>
        <v>1607</v>
      </c>
      <c r="O27" s="19">
        <v>0</v>
      </c>
      <c r="P27" s="19">
        <v>0</v>
      </c>
      <c r="Q27" s="19">
        <v>0</v>
      </c>
      <c r="R27" s="19">
        <v>0</v>
      </c>
      <c r="S27" s="19">
        <v>1</v>
      </c>
    </row>
    <row r="28" spans="1:19" ht="21" customHeight="1">
      <c r="A28" s="7" t="str">
        <f t="shared" si="1"/>
        <v>148185</v>
      </c>
      <c r="B28" s="2">
        <f t="shared" si="3"/>
        <v>148</v>
      </c>
      <c r="C28" s="8" t="str">
        <f t="shared" si="4"/>
        <v>1PremiumN4</v>
      </c>
      <c r="D28" s="8" t="str">
        <f t="shared" si="0"/>
        <v>1PremiumN4</v>
      </c>
      <c r="E28" s="5">
        <v>1</v>
      </c>
      <c r="F28" s="6">
        <v>185</v>
      </c>
      <c r="G28" s="8" t="str">
        <f>VLOOKUP(F28,[1]characters!$A:$C,3,FALSE)</f>
        <v>海姫 クラーケン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blue</v>
      </c>
      <c r="K28" s="8" t="str">
        <f>VLOOKUP(F28,[1]characters!$A:$K,11,FALSE)</f>
        <v>heal</v>
      </c>
      <c r="L28" s="8" t="str">
        <f>VLOOKUP(F28,[1]characters!$A:$M,13,FALSE)</f>
        <v>animal</v>
      </c>
      <c r="M28" s="5">
        <v>1</v>
      </c>
      <c r="N28" s="28">
        <f>VLOOKUP(D28,gacha_148_base!A:B,2,FALSE)</f>
        <v>1607</v>
      </c>
      <c r="O28" s="19">
        <v>0</v>
      </c>
      <c r="P28" s="19">
        <v>0</v>
      </c>
      <c r="Q28" s="19">
        <v>0</v>
      </c>
      <c r="R28" s="19">
        <v>0</v>
      </c>
      <c r="S28" s="19">
        <v>1</v>
      </c>
    </row>
    <row r="29" spans="1:19" ht="21" customHeight="1">
      <c r="A29" s="7" t="str">
        <f t="shared" si="1"/>
        <v>148188</v>
      </c>
      <c r="B29" s="2">
        <f t="shared" si="3"/>
        <v>148</v>
      </c>
      <c r="C29" s="8" t="str">
        <f t="shared" si="4"/>
        <v>1PremiumN4</v>
      </c>
      <c r="D29" s="8" t="str">
        <f t="shared" si="0"/>
        <v>1PremiumN4</v>
      </c>
      <c r="E29" s="5">
        <v>1</v>
      </c>
      <c r="F29" s="6">
        <v>188</v>
      </c>
      <c r="G29" s="8" t="str">
        <f>VLOOKUP(F29,[1]characters!$A:$C,3,FALSE)</f>
        <v>猛禽 ホルス</v>
      </c>
      <c r="H29" s="8" t="str">
        <f>VLOOKUP(F29,[1]characters!$A:$J,10,FALSE)</f>
        <v>PremiumN</v>
      </c>
      <c r="I29" s="8">
        <f>VLOOKUP(F29,[1]characters!$A:$I,9,FALSE)</f>
        <v>4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animal</v>
      </c>
      <c r="M29" s="5">
        <v>1</v>
      </c>
      <c r="N29" s="28">
        <f>VLOOKUP(D29,gacha_148_base!A:B,2,FALSE)</f>
        <v>1607</v>
      </c>
      <c r="O29" s="19">
        <v>0</v>
      </c>
      <c r="P29" s="19">
        <v>0</v>
      </c>
      <c r="Q29" s="19">
        <v>0</v>
      </c>
      <c r="R29" s="19">
        <v>0</v>
      </c>
      <c r="S29" s="19">
        <v>1</v>
      </c>
    </row>
    <row r="30" spans="1:19" ht="21" customHeight="1">
      <c r="A30" s="7" t="str">
        <f t="shared" si="1"/>
        <v>148191</v>
      </c>
      <c r="B30" s="2">
        <f t="shared" si="3"/>
        <v>148</v>
      </c>
      <c r="C30" s="8" t="str">
        <f t="shared" si="4"/>
        <v>1PremiumN4</v>
      </c>
      <c r="D30" s="8" t="str">
        <f t="shared" si="0"/>
        <v>1PremiumN4</v>
      </c>
      <c r="E30" s="5">
        <v>1</v>
      </c>
      <c r="F30" s="6">
        <v>191</v>
      </c>
      <c r="G30" s="8" t="str">
        <f>VLOOKUP(F30,[1]characters!$A:$C,3,FALSE)</f>
        <v>始祖 卑弥呼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human</v>
      </c>
      <c r="M30" s="5">
        <v>1</v>
      </c>
      <c r="N30" s="28">
        <f>VLOOKUP(D30,gacha_148_base!A:B,2,FALSE)</f>
        <v>1607</v>
      </c>
      <c r="O30" s="19">
        <v>0</v>
      </c>
      <c r="P30" s="19">
        <v>0</v>
      </c>
      <c r="Q30" s="19">
        <v>0</v>
      </c>
      <c r="R30" s="19">
        <v>0</v>
      </c>
      <c r="S30" s="19">
        <v>1</v>
      </c>
    </row>
    <row r="31" spans="1:19" ht="21" customHeight="1">
      <c r="A31" s="7" t="str">
        <f t="shared" si="1"/>
        <v>148194</v>
      </c>
      <c r="B31" s="2">
        <f t="shared" si="3"/>
        <v>148</v>
      </c>
      <c r="C31" s="8" t="str">
        <f t="shared" si="4"/>
        <v>1PremiumN4</v>
      </c>
      <c r="D31" s="8" t="str">
        <f t="shared" si="0"/>
        <v>1PremiumN4</v>
      </c>
      <c r="E31" s="5">
        <v>1</v>
      </c>
      <c r="F31" s="6">
        <v>194</v>
      </c>
      <c r="G31" s="8" t="str">
        <f>VLOOKUP(F31,[1]characters!$A:$C,3,FALSE)</f>
        <v>スナイパー ロビンフッド</v>
      </c>
      <c r="H31" s="8" t="str">
        <f>VLOOKUP(F31,[1]characters!$A:$J,10,FALSE)</f>
        <v>PremiumN</v>
      </c>
      <c r="I31" s="8">
        <f>VLOOKUP(F31,[1]characters!$A:$I,9,FALSE)</f>
        <v>4</v>
      </c>
      <c r="J31" s="8" t="str">
        <f>VLOOKUP(F31,[1]characters!$A:$H,8,FALSE)</f>
        <v>green</v>
      </c>
      <c r="K31" s="8" t="str">
        <f>VLOOKUP(F31,[1]characters!$A:$K,11,FALSE)</f>
        <v>balance</v>
      </c>
      <c r="L31" s="8" t="str">
        <f>VLOOKUP(F31,[1]characters!$A:$M,13,FALSE)</f>
        <v>human</v>
      </c>
      <c r="M31" s="5">
        <v>1</v>
      </c>
      <c r="N31" s="28">
        <f>VLOOKUP(D31,gacha_148_base!A:B,2,FALSE)</f>
        <v>1607</v>
      </c>
      <c r="O31" s="19">
        <v>0</v>
      </c>
      <c r="P31" s="19">
        <v>0</v>
      </c>
      <c r="Q31" s="19">
        <v>0</v>
      </c>
      <c r="R31" s="19">
        <v>0</v>
      </c>
      <c r="S31" s="19">
        <v>1</v>
      </c>
    </row>
    <row r="32" spans="1:19" ht="21" customHeight="1">
      <c r="A32" s="7" t="str">
        <f t="shared" si="1"/>
        <v>148197</v>
      </c>
      <c r="B32" s="2">
        <f t="shared" si="3"/>
        <v>148</v>
      </c>
      <c r="C32" s="8" t="str">
        <f t="shared" si="4"/>
        <v>1PremiumN4</v>
      </c>
      <c r="D32" s="8" t="str">
        <f t="shared" si="0"/>
        <v>1PremiumN4</v>
      </c>
      <c r="E32" s="5">
        <v>1</v>
      </c>
      <c r="F32" s="6">
        <v>197</v>
      </c>
      <c r="G32" s="8" t="str">
        <f>VLOOKUP(F32,[1]characters!$A:$C,3,FALSE)</f>
        <v>鉄腕 アキレス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yellow</v>
      </c>
      <c r="K32" s="8" t="str">
        <f>VLOOKUP(F32,[1]characters!$A:$K,11,FALSE)</f>
        <v>balance</v>
      </c>
      <c r="L32" s="8" t="str">
        <f>VLOOKUP(F32,[1]characters!$A:$M,13,FALSE)</f>
        <v>human</v>
      </c>
      <c r="M32" s="5">
        <v>1</v>
      </c>
      <c r="N32" s="28">
        <f>VLOOKUP(D32,gacha_148_base!A:B,2,FALSE)</f>
        <v>1607</v>
      </c>
      <c r="O32" s="19">
        <v>0</v>
      </c>
      <c r="P32" s="19">
        <v>0</v>
      </c>
      <c r="Q32" s="19">
        <v>0</v>
      </c>
      <c r="R32" s="19">
        <v>0</v>
      </c>
      <c r="S32" s="19">
        <v>1</v>
      </c>
    </row>
    <row r="33" spans="1:19" ht="21" customHeight="1">
      <c r="A33" s="7" t="str">
        <f t="shared" si="1"/>
        <v>148200</v>
      </c>
      <c r="B33" s="2">
        <f t="shared" si="3"/>
        <v>148</v>
      </c>
      <c r="C33" s="8" t="str">
        <f t="shared" si="4"/>
        <v>1PremiumN4</v>
      </c>
      <c r="D33" s="8" t="str">
        <f t="shared" ref="D33:D59" si="5">E33&amp;H33&amp;I33</f>
        <v>1PremiumN4</v>
      </c>
      <c r="E33" s="5">
        <v>1</v>
      </c>
      <c r="F33" s="6">
        <v>200</v>
      </c>
      <c r="G33" s="8" t="str">
        <f>VLOOKUP(F33,[1]characters!$A:$C,3,FALSE)</f>
        <v>大剣士 ジークフリート</v>
      </c>
      <c r="H33" s="8" t="str">
        <f>VLOOKUP(F33,[1]characters!$A:$J,10,FALSE)</f>
        <v>PremiumN</v>
      </c>
      <c r="I33" s="8">
        <f>VLOOKUP(F33,[1]characters!$A:$I,9,FALSE)</f>
        <v>4</v>
      </c>
      <c r="J33" s="8" t="str">
        <f>VLOOKUP(F33,[1]characters!$A:$H,8,FALSE)</f>
        <v>blue</v>
      </c>
      <c r="K33" s="8" t="str">
        <f>VLOOKUP(F33,[1]characters!$A:$K,11,FALSE)</f>
        <v>balance</v>
      </c>
      <c r="L33" s="8" t="str">
        <f>VLOOKUP(F33,[1]characters!$A:$M,13,FALSE)</f>
        <v>human</v>
      </c>
      <c r="M33" s="5">
        <v>1</v>
      </c>
      <c r="N33" s="28">
        <f>VLOOKUP(D33,gacha_148_base!A:B,2,FALSE)</f>
        <v>1607</v>
      </c>
      <c r="O33" s="19">
        <v>0</v>
      </c>
      <c r="P33" s="19">
        <v>0</v>
      </c>
      <c r="Q33" s="19">
        <v>0</v>
      </c>
      <c r="R33" s="19">
        <v>0</v>
      </c>
      <c r="S33" s="19">
        <v>1</v>
      </c>
    </row>
    <row r="34" spans="1:19" ht="21" customHeight="1">
      <c r="A34" s="7" t="str">
        <f t="shared" si="1"/>
        <v>148203</v>
      </c>
      <c r="B34" s="2">
        <f t="shared" si="3"/>
        <v>148</v>
      </c>
      <c r="C34" s="8" t="str">
        <f t="shared" si="4"/>
        <v>1PremiumN4</v>
      </c>
      <c r="D34" s="8" t="str">
        <f t="shared" si="5"/>
        <v>1PremiumN4</v>
      </c>
      <c r="E34" s="5">
        <v>1</v>
      </c>
      <c r="F34" s="6">
        <v>203</v>
      </c>
      <c r="G34" s="8" t="str">
        <f>VLOOKUP(F34,[1]characters!$A:$C,3,FALSE)</f>
        <v>焔神 プロメテウス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red</v>
      </c>
      <c r="K34" s="8" t="str">
        <f>VLOOKUP(F34,[1]characters!$A:$K,11,FALSE)</f>
        <v>hp</v>
      </c>
      <c r="L34" s="8" t="str">
        <f>VLOOKUP(F34,[1]characters!$A:$M,13,FALSE)</f>
        <v>god</v>
      </c>
      <c r="M34" s="5">
        <v>1</v>
      </c>
      <c r="N34" s="28">
        <f>VLOOKUP(D34,gacha_148_base!A:B,2,FALSE)</f>
        <v>1607</v>
      </c>
      <c r="O34" s="19">
        <v>0</v>
      </c>
      <c r="P34" s="19">
        <v>0</v>
      </c>
      <c r="Q34" s="19">
        <v>0</v>
      </c>
      <c r="R34" s="19">
        <v>0</v>
      </c>
      <c r="S34" s="19">
        <v>1</v>
      </c>
    </row>
    <row r="35" spans="1:19" ht="21" customHeight="1">
      <c r="A35" s="7" t="str">
        <f t="shared" si="1"/>
        <v>148206</v>
      </c>
      <c r="B35" s="2">
        <f t="shared" si="3"/>
        <v>148</v>
      </c>
      <c r="C35" s="8" t="str">
        <f t="shared" si="4"/>
        <v>1PremiumN4</v>
      </c>
      <c r="D35" s="8" t="str">
        <f t="shared" si="5"/>
        <v>1PremiumN4</v>
      </c>
      <c r="E35" s="5">
        <v>1</v>
      </c>
      <c r="F35" s="6">
        <v>206</v>
      </c>
      <c r="G35" s="8" t="str">
        <f>VLOOKUP(F35,[1]characters!$A:$C,3,FALSE)</f>
        <v>美神 アフロディーテ</v>
      </c>
      <c r="H35" s="8" t="str">
        <f>VLOOKUP(F35,[1]characters!$A:$J,10,FALSE)</f>
        <v>PremiumN</v>
      </c>
      <c r="I35" s="8">
        <f>VLOOKUP(F35,[1]characters!$A:$I,9,FALSE)</f>
        <v>4</v>
      </c>
      <c r="J35" s="8" t="str">
        <f>VLOOKUP(F35,[1]characters!$A:$H,8,FALSE)</f>
        <v>green</v>
      </c>
      <c r="K35" s="8" t="str">
        <f>VLOOKUP(F35,[1]characters!$A:$K,11,FALSE)</f>
        <v>hp</v>
      </c>
      <c r="L35" s="8" t="str">
        <f>VLOOKUP(F35,[1]characters!$A:$M,13,FALSE)</f>
        <v>god</v>
      </c>
      <c r="M35" s="5">
        <v>1</v>
      </c>
      <c r="N35" s="28">
        <f>VLOOKUP(D35,gacha_148_base!A:B,2,FALSE)</f>
        <v>1607</v>
      </c>
      <c r="O35" s="19">
        <v>0</v>
      </c>
      <c r="P35" s="19">
        <v>0</v>
      </c>
      <c r="Q35" s="19">
        <v>0</v>
      </c>
      <c r="R35" s="19">
        <v>0</v>
      </c>
      <c r="S35" s="19">
        <v>1</v>
      </c>
    </row>
    <row r="36" spans="1:19" ht="21" customHeight="1">
      <c r="A36" s="7" t="str">
        <f t="shared" si="1"/>
        <v>148209</v>
      </c>
      <c r="B36" s="2">
        <f t="shared" si="3"/>
        <v>148</v>
      </c>
      <c r="C36" s="8" t="str">
        <f t="shared" si="4"/>
        <v>1PremiumN4</v>
      </c>
      <c r="D36" s="8" t="str">
        <f t="shared" si="5"/>
        <v>1PremiumN4</v>
      </c>
      <c r="E36" s="5">
        <v>1</v>
      </c>
      <c r="F36" s="6">
        <v>209</v>
      </c>
      <c r="G36" s="8" t="str">
        <f>VLOOKUP(F36,[1]characters!$A:$C,3,FALSE)</f>
        <v>孤神 テティス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blue</v>
      </c>
      <c r="K36" s="8" t="str">
        <f>VLOOKUP(F36,[1]characters!$A:$K,11,FALSE)</f>
        <v>hp</v>
      </c>
      <c r="L36" s="8" t="str">
        <f>VLOOKUP(F36,[1]characters!$A:$M,13,FALSE)</f>
        <v>god</v>
      </c>
      <c r="M36" s="5">
        <v>1</v>
      </c>
      <c r="N36" s="28">
        <f>VLOOKUP(D36,gacha_148_base!A:B,2,FALSE)</f>
        <v>1607</v>
      </c>
      <c r="O36" s="19">
        <v>0</v>
      </c>
      <c r="P36" s="19">
        <v>0</v>
      </c>
      <c r="Q36" s="19">
        <v>0</v>
      </c>
      <c r="R36" s="19">
        <v>0</v>
      </c>
      <c r="S36" s="19">
        <v>1</v>
      </c>
    </row>
    <row r="37" spans="1:19" ht="21" customHeight="1">
      <c r="A37" s="7" t="str">
        <f t="shared" si="1"/>
        <v>148212</v>
      </c>
      <c r="B37" s="2">
        <f t="shared" si="3"/>
        <v>148</v>
      </c>
      <c r="C37" s="8" t="str">
        <f t="shared" si="4"/>
        <v>1PremiumN4</v>
      </c>
      <c r="D37" s="8" t="str">
        <f t="shared" si="5"/>
        <v>1PremiumN4</v>
      </c>
      <c r="E37" s="5">
        <v>1</v>
      </c>
      <c r="F37" s="6">
        <v>212</v>
      </c>
      <c r="G37" s="8" t="str">
        <f>VLOOKUP(F37,[1]characters!$A:$C,3,FALSE)</f>
        <v>星神 アストライアー</v>
      </c>
      <c r="H37" s="8" t="str">
        <f>VLOOKUP(F37,[1]characters!$A:$J,10,FALSE)</f>
        <v>PremiumN</v>
      </c>
      <c r="I37" s="8">
        <f>VLOOKUP(F37,[1]characters!$A:$I,9,FALSE)</f>
        <v>4</v>
      </c>
      <c r="J37" s="8" t="str">
        <f>VLOOKUP(F37,[1]characters!$A:$H,8,FALSE)</f>
        <v>yellow</v>
      </c>
      <c r="K37" s="8" t="str">
        <f>VLOOKUP(F37,[1]characters!$A:$K,11,FALSE)</f>
        <v>balance</v>
      </c>
      <c r="L37" s="8" t="str">
        <f>VLOOKUP(F37,[1]characters!$A:$M,13,FALSE)</f>
        <v>god</v>
      </c>
      <c r="M37" s="5">
        <v>1</v>
      </c>
      <c r="N37" s="28">
        <f>VLOOKUP(D37,gacha_148_base!A:B,2,FALSE)</f>
        <v>1607</v>
      </c>
      <c r="O37" s="19">
        <v>0</v>
      </c>
      <c r="P37" s="19">
        <v>0</v>
      </c>
      <c r="Q37" s="19">
        <v>0</v>
      </c>
      <c r="R37" s="19">
        <v>0</v>
      </c>
      <c r="S37" s="19">
        <v>1</v>
      </c>
    </row>
    <row r="38" spans="1:19" ht="21" customHeight="1">
      <c r="A38" s="7" t="str">
        <f t="shared" si="1"/>
        <v>148215</v>
      </c>
      <c r="B38" s="2">
        <f t="shared" si="3"/>
        <v>148</v>
      </c>
      <c r="C38" s="8" t="str">
        <f t="shared" si="4"/>
        <v>1PremiumN4</v>
      </c>
      <c r="D38" s="8" t="str">
        <f t="shared" si="5"/>
        <v>1PremiumN4</v>
      </c>
      <c r="E38" s="5">
        <v>1</v>
      </c>
      <c r="F38" s="6">
        <v>215</v>
      </c>
      <c r="G38" s="8" t="str">
        <f>VLOOKUP(F38,[1]characters!$A:$C,3,FALSE)</f>
        <v>死導者 アズラエル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god</v>
      </c>
      <c r="M38" s="5">
        <v>1</v>
      </c>
      <c r="N38" s="28">
        <f>VLOOKUP(D38,gacha_148_base!A:B,2,FALSE)</f>
        <v>1607</v>
      </c>
      <c r="O38" s="19">
        <v>0</v>
      </c>
      <c r="P38" s="19">
        <v>0</v>
      </c>
      <c r="Q38" s="19">
        <v>0</v>
      </c>
      <c r="R38" s="19">
        <v>0</v>
      </c>
      <c r="S38" s="19">
        <v>1</v>
      </c>
    </row>
    <row r="39" spans="1:19" ht="21" customHeight="1">
      <c r="A39" s="7" t="str">
        <f t="shared" si="1"/>
        <v>148218</v>
      </c>
      <c r="B39" s="2">
        <f t="shared" si="3"/>
        <v>148</v>
      </c>
      <c r="C39" s="8" t="str">
        <f t="shared" si="4"/>
        <v>1PremiumN4</v>
      </c>
      <c r="D39" s="8" t="str">
        <f t="shared" si="5"/>
        <v>1PremiumN4</v>
      </c>
      <c r="E39" s="5">
        <v>1</v>
      </c>
      <c r="F39" s="6">
        <v>218</v>
      </c>
      <c r="G39" s="8" t="str">
        <f>VLOOKUP(F39,[1]characters!$A:$C,3,FALSE)</f>
        <v>聖蛇 ケツァクアトル</v>
      </c>
      <c r="H39" s="8" t="str">
        <f>VLOOKUP(F39,[1]characters!$A:$J,10,FALSE)</f>
        <v>PremiumN</v>
      </c>
      <c r="I39" s="8">
        <f>VLOOKUP(F39,[1]characters!$A:$I,9,FALSE)</f>
        <v>4</v>
      </c>
      <c r="J39" s="8" t="str">
        <f>VLOOKUP(F39,[1]characters!$A:$H,8,FALSE)</f>
        <v>green</v>
      </c>
      <c r="K39" s="8" t="str">
        <f>VLOOKUP(F39,[1]characters!$A:$K,11,FALSE)</f>
        <v>hp</v>
      </c>
      <c r="L39" s="8" t="str">
        <f>VLOOKUP(F39,[1]characters!$A:$M,13,FALSE)</f>
        <v>dragon</v>
      </c>
      <c r="M39" s="5">
        <v>1</v>
      </c>
      <c r="N39" s="28">
        <f>VLOOKUP(D39,gacha_148_base!A:B,2,FALSE)</f>
        <v>1607</v>
      </c>
      <c r="O39" s="19">
        <v>0</v>
      </c>
      <c r="P39" s="19">
        <v>0</v>
      </c>
      <c r="Q39" s="19">
        <v>0</v>
      </c>
      <c r="R39" s="19">
        <v>0</v>
      </c>
      <c r="S39" s="19">
        <v>1</v>
      </c>
    </row>
    <row r="40" spans="1:19" ht="21" customHeight="1">
      <c r="A40" s="7" t="str">
        <f t="shared" si="1"/>
        <v>148221</v>
      </c>
      <c r="B40" s="2">
        <f t="shared" si="3"/>
        <v>148</v>
      </c>
      <c r="C40" s="8" t="str">
        <f t="shared" si="4"/>
        <v>1PremiumN4</v>
      </c>
      <c r="D40" s="8" t="str">
        <f t="shared" si="5"/>
        <v>1PremiumN4</v>
      </c>
      <c r="E40" s="5">
        <v>1</v>
      </c>
      <c r="F40" s="6">
        <v>221</v>
      </c>
      <c r="G40" s="8" t="str">
        <f>VLOOKUP(F40,[1]characters!$A:$C,3,FALSE)</f>
        <v>宰相 ルキフグス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blue</v>
      </c>
      <c r="K40" s="8" t="str">
        <f>VLOOKUP(F40,[1]characters!$A:$K,11,FALSE)</f>
        <v>balance</v>
      </c>
      <c r="L40" s="8" t="str">
        <f>VLOOKUP(F40,[1]characters!$A:$M,13,FALSE)</f>
        <v>god</v>
      </c>
      <c r="M40" s="5">
        <v>1</v>
      </c>
      <c r="N40" s="28">
        <f>VLOOKUP(D40,gacha_148_base!A:B,2,FALSE)</f>
        <v>1607</v>
      </c>
      <c r="O40" s="19">
        <v>0</v>
      </c>
      <c r="P40" s="19">
        <v>0</v>
      </c>
      <c r="Q40" s="19">
        <v>0</v>
      </c>
      <c r="R40" s="19">
        <v>0</v>
      </c>
      <c r="S40" s="19">
        <v>1</v>
      </c>
    </row>
    <row r="41" spans="1:19" ht="21" customHeight="1">
      <c r="A41" s="7" t="str">
        <f t="shared" si="1"/>
        <v>148224</v>
      </c>
      <c r="B41" s="2">
        <f t="shared" si="3"/>
        <v>148</v>
      </c>
      <c r="C41" s="8" t="str">
        <f t="shared" si="4"/>
        <v>1PremiumN4</v>
      </c>
      <c r="D41" s="8" t="str">
        <f t="shared" si="5"/>
        <v>1PremiumN4</v>
      </c>
      <c r="E41" s="5">
        <v>1</v>
      </c>
      <c r="F41" s="6">
        <v>224</v>
      </c>
      <c r="G41" s="8" t="str">
        <f>VLOOKUP(F41,[1]characters!$A:$C,3,FALSE)</f>
        <v>巨腕 ヘラクレス</v>
      </c>
      <c r="H41" s="8" t="str">
        <f>VLOOKUP(F41,[1]characters!$A:$J,10,FALSE)</f>
        <v>PremiumN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5">
        <v>1</v>
      </c>
      <c r="N41" s="28">
        <f>VLOOKUP(D41,gacha_148_base!A:B,2,FALSE)</f>
        <v>1607</v>
      </c>
      <c r="O41" s="19">
        <v>0</v>
      </c>
      <c r="P41" s="19">
        <v>0</v>
      </c>
      <c r="Q41" s="19">
        <v>0</v>
      </c>
      <c r="R41" s="19">
        <v>0</v>
      </c>
      <c r="S41" s="19">
        <v>1</v>
      </c>
    </row>
    <row r="42" spans="1:19" ht="21" customHeight="1">
      <c r="A42" s="7" t="str">
        <f t="shared" si="1"/>
        <v>148227</v>
      </c>
      <c r="B42" s="2">
        <f t="shared" si="3"/>
        <v>148</v>
      </c>
      <c r="C42" s="8" t="str">
        <f t="shared" si="4"/>
        <v>1PremiumS4</v>
      </c>
      <c r="D42" s="8" t="str">
        <f t="shared" si="5"/>
        <v>1PremiumS4</v>
      </c>
      <c r="E42" s="5">
        <v>1</v>
      </c>
      <c r="F42" s="6">
        <v>227</v>
      </c>
      <c r="G42" s="8" t="str">
        <f>VLOOKUP(F42,[1]characters!$A:$C,3,FALSE)</f>
        <v>滅弾 アレス</v>
      </c>
      <c r="H42" s="8" t="str">
        <f>VLOOKUP(F42,[1]characters!$A:$J,10,FALSE)</f>
        <v>PremiumS</v>
      </c>
      <c r="I42" s="8">
        <f>VLOOKUP(F42,[1]characters!$A:$I,9,FALSE)</f>
        <v>4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28">
        <f>VLOOKUP(D42,gacha_148_base!A:B,2,FALSE)</f>
        <v>85</v>
      </c>
      <c r="O42" s="19">
        <v>0</v>
      </c>
      <c r="P42" s="19">
        <v>0</v>
      </c>
      <c r="Q42" s="19">
        <v>0</v>
      </c>
      <c r="R42" s="19">
        <v>0</v>
      </c>
      <c r="S42" s="19">
        <v>1</v>
      </c>
    </row>
    <row r="43" spans="1:19" ht="21" customHeight="1">
      <c r="A43" s="7" t="str">
        <f t="shared" si="1"/>
        <v>148230</v>
      </c>
      <c r="B43" s="2">
        <f t="shared" si="3"/>
        <v>148</v>
      </c>
      <c r="C43" s="8" t="str">
        <f t="shared" si="4"/>
        <v>1PremiumS4</v>
      </c>
      <c r="D43" s="8" t="str">
        <f t="shared" si="5"/>
        <v>1PremiumS4</v>
      </c>
      <c r="E43" s="5">
        <v>1</v>
      </c>
      <c r="F43" s="6">
        <v>230</v>
      </c>
      <c r="G43" s="8" t="str">
        <f>VLOOKUP(F43,[1]characters!$A:$C,3,FALSE)</f>
        <v>毒銃 ヨルムンガンド</v>
      </c>
      <c r="H43" s="8" t="str">
        <f>VLOOKUP(F43,[1]characters!$A:$J,10,FALSE)</f>
        <v>PremiumS</v>
      </c>
      <c r="I43" s="8">
        <f>VLOOKUP(F43,[1]characters!$A:$I,9,FALSE)</f>
        <v>4</v>
      </c>
      <c r="J43" s="8" t="str">
        <f>VLOOKUP(F43,[1]characters!$A:$H,8,FALSE)</f>
        <v>green</v>
      </c>
      <c r="K43" s="8" t="str">
        <f>VLOOKUP(F43,[1]characters!$A:$K,11,FALSE)</f>
        <v>technical</v>
      </c>
      <c r="L43" s="8" t="str">
        <f>VLOOKUP(F43,[1]characters!$A:$M,13,FALSE)</f>
        <v>dragon</v>
      </c>
      <c r="M43" s="5">
        <v>1</v>
      </c>
      <c r="N43" s="28">
        <f>VLOOKUP(D43,gacha_148_base!A:B,2,FALSE)</f>
        <v>85</v>
      </c>
      <c r="O43" s="19">
        <v>0</v>
      </c>
      <c r="P43" s="19">
        <v>0</v>
      </c>
      <c r="Q43" s="19">
        <v>0</v>
      </c>
      <c r="R43" s="19">
        <v>0</v>
      </c>
      <c r="S43" s="19">
        <v>1</v>
      </c>
    </row>
    <row r="44" spans="1:19" ht="21" customHeight="1">
      <c r="A44" s="7" t="str">
        <f t="shared" si="1"/>
        <v>148233</v>
      </c>
      <c r="B44" s="2">
        <f t="shared" si="3"/>
        <v>148</v>
      </c>
      <c r="C44" s="8" t="str">
        <f t="shared" si="4"/>
        <v>1PremiumS4</v>
      </c>
      <c r="D44" s="8" t="str">
        <f t="shared" si="5"/>
        <v>1PremiumS4</v>
      </c>
      <c r="E44" s="5">
        <v>1</v>
      </c>
      <c r="F44" s="6">
        <v>233</v>
      </c>
      <c r="G44" s="8" t="str">
        <f>VLOOKUP(F44,[1]characters!$A:$C,3,FALSE)</f>
        <v>遂行 パーシヴァル</v>
      </c>
      <c r="H44" s="8" t="str">
        <f>VLOOKUP(F44,[1]characters!$A:$J,10,FALSE)</f>
        <v>PremiumS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technical</v>
      </c>
      <c r="L44" s="8" t="str">
        <f>VLOOKUP(F44,[1]characters!$A:$M,13,FALSE)</f>
        <v>human</v>
      </c>
      <c r="M44" s="5">
        <v>1</v>
      </c>
      <c r="N44" s="28">
        <f>VLOOKUP(D44,gacha_148_base!A:B,2,FALSE)</f>
        <v>85</v>
      </c>
      <c r="O44" s="19">
        <v>0</v>
      </c>
      <c r="P44" s="19">
        <v>0</v>
      </c>
      <c r="Q44" s="19">
        <v>0</v>
      </c>
      <c r="R44" s="19">
        <v>0</v>
      </c>
      <c r="S44" s="19">
        <v>1</v>
      </c>
    </row>
    <row r="45" spans="1:19" ht="21" customHeight="1">
      <c r="A45" s="7" t="str">
        <f t="shared" si="1"/>
        <v>148236</v>
      </c>
      <c r="B45" s="2">
        <f t="shared" si="3"/>
        <v>148</v>
      </c>
      <c r="C45" s="8" t="str">
        <f t="shared" si="4"/>
        <v>1PremiumS4</v>
      </c>
      <c r="D45" s="8" t="str">
        <f t="shared" si="5"/>
        <v>1PremiumS4</v>
      </c>
      <c r="E45" s="5">
        <v>1</v>
      </c>
      <c r="F45" s="6">
        <v>236</v>
      </c>
      <c r="G45" s="8" t="str">
        <f>VLOOKUP(F45,[1]characters!$A:$C,3,FALSE)</f>
        <v>神産 イザナミ</v>
      </c>
      <c r="H45" s="8" t="str">
        <f>VLOOKUP(F45,[1]characters!$A:$J,10,FALSE)</f>
        <v>PremiumS</v>
      </c>
      <c r="I45" s="8">
        <f>VLOOKUP(F45,[1]characters!$A:$I,9,FALSE)</f>
        <v>4</v>
      </c>
      <c r="J45" s="8" t="str">
        <f>VLOOKUP(F45,[1]characters!$A:$H,8,FALSE)</f>
        <v>yellow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28">
        <f>VLOOKUP(D45,gacha_148_base!A:B,2,FALSE)</f>
        <v>85</v>
      </c>
      <c r="O45" s="19">
        <v>0</v>
      </c>
      <c r="P45" s="19">
        <v>0</v>
      </c>
      <c r="Q45" s="19">
        <v>0</v>
      </c>
      <c r="R45" s="19">
        <v>0</v>
      </c>
      <c r="S45" s="19">
        <v>1</v>
      </c>
    </row>
    <row r="46" spans="1:19" ht="21" customHeight="1">
      <c r="A46" s="7" t="str">
        <f t="shared" ref="A46:A89" si="6">B46&amp;F46</f>
        <v>148239</v>
      </c>
      <c r="B46" s="2">
        <f t="shared" ref="B46:B68" si="7">$B$2</f>
        <v>148</v>
      </c>
      <c r="C46" s="8" t="str">
        <f t="shared" ref="C46:C97" si="8">E46&amp;H46&amp;I46</f>
        <v>1PremiumS4</v>
      </c>
      <c r="D46" s="8" t="str">
        <f t="shared" si="5"/>
        <v>1PremiumS4</v>
      </c>
      <c r="E46" s="5">
        <v>1</v>
      </c>
      <c r="F46" s="11">
        <v>239</v>
      </c>
      <c r="G46" s="8" t="str">
        <f>VLOOKUP(F46,[1]characters!$A:$C,3,FALSE)</f>
        <v>豪炎の天使 ウリエル</v>
      </c>
      <c r="H46" s="8" t="str">
        <f>VLOOKUP(F46,[1]characters!$A:$J,10,FALSE)</f>
        <v>PremiumS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machine</v>
      </c>
      <c r="M46" s="5">
        <v>1</v>
      </c>
      <c r="N46" s="28">
        <f>VLOOKUP(D46,gacha_148_base!A:B,2,FALSE)</f>
        <v>85</v>
      </c>
      <c r="O46" s="19">
        <v>0</v>
      </c>
      <c r="P46" s="19">
        <v>0</v>
      </c>
      <c r="Q46" s="19">
        <v>0</v>
      </c>
      <c r="R46" s="19">
        <v>0</v>
      </c>
      <c r="S46" s="19">
        <v>1</v>
      </c>
    </row>
    <row r="47" spans="1:19" ht="21" customHeight="1">
      <c r="A47" s="7" t="str">
        <f t="shared" si="6"/>
        <v>148242</v>
      </c>
      <c r="B47" s="2">
        <f t="shared" si="7"/>
        <v>148</v>
      </c>
      <c r="C47" s="8" t="str">
        <f t="shared" si="8"/>
        <v>1PremiumS4</v>
      </c>
      <c r="D47" s="8" t="str">
        <f t="shared" si="5"/>
        <v>1PremiumS4</v>
      </c>
      <c r="E47" s="5">
        <v>1</v>
      </c>
      <c r="F47" s="11">
        <v>242</v>
      </c>
      <c r="G47" s="8" t="str">
        <f>VLOOKUP(F47,[1]characters!$A:$C,3,FALSE)</f>
        <v>百花の天使 ガブリエル</v>
      </c>
      <c r="H47" s="8" t="str">
        <f>VLOOKUP(F47,[1]characters!$A:$J,10,FALSE)</f>
        <v>PremiumS</v>
      </c>
      <c r="I47" s="8">
        <f>VLOOKUP(F47,[1]characters!$A:$I,9,FALSE)</f>
        <v>4</v>
      </c>
      <c r="J47" s="8" t="str">
        <f>VLOOKUP(F47,[1]characters!$A:$H,8,FALSE)</f>
        <v>green</v>
      </c>
      <c r="K47" s="8" t="str">
        <f>VLOOKUP(F47,[1]characters!$A:$K,11,FALSE)</f>
        <v>balance</v>
      </c>
      <c r="L47" s="8" t="str">
        <f>VLOOKUP(F47,[1]characters!$A:$M,13,FALSE)</f>
        <v>machine</v>
      </c>
      <c r="M47" s="5">
        <v>1</v>
      </c>
      <c r="N47" s="28">
        <f>VLOOKUP(D47,gacha_148_base!A:B,2,FALSE)</f>
        <v>85</v>
      </c>
      <c r="O47" s="19">
        <v>0</v>
      </c>
      <c r="P47" s="19">
        <v>0</v>
      </c>
      <c r="Q47" s="19">
        <v>0</v>
      </c>
      <c r="R47" s="19">
        <v>0</v>
      </c>
      <c r="S47" s="19">
        <v>1</v>
      </c>
    </row>
    <row r="48" spans="1:19" ht="21" customHeight="1">
      <c r="A48" s="7" t="str">
        <f t="shared" si="6"/>
        <v>148245</v>
      </c>
      <c r="B48" s="2">
        <f t="shared" si="7"/>
        <v>148</v>
      </c>
      <c r="C48" s="8" t="str">
        <f t="shared" si="8"/>
        <v>1PremiumS4</v>
      </c>
      <c r="D48" s="8" t="str">
        <f t="shared" si="5"/>
        <v>1PremiumS4</v>
      </c>
      <c r="E48" s="5">
        <v>1</v>
      </c>
      <c r="F48" s="11">
        <v>245</v>
      </c>
      <c r="G48" s="8" t="str">
        <f>VLOOKUP(F48,[1]characters!$A:$C,3,FALSE)</f>
        <v>鎮癒の天使 ラファエル</v>
      </c>
      <c r="H48" s="8" t="str">
        <f>VLOOKUP(F48,[1]characters!$A:$J,10,FALSE)</f>
        <v>PremiumS</v>
      </c>
      <c r="I48" s="8">
        <f>VLOOKUP(F48,[1]characters!$A:$I,9,FALSE)</f>
        <v>4</v>
      </c>
      <c r="J48" s="8" t="str">
        <f>VLOOKUP(F48,[1]characters!$A:$H,8,FALSE)</f>
        <v>blue</v>
      </c>
      <c r="K48" s="8" t="str">
        <f>VLOOKUP(F48,[1]characters!$A:$K,11,FALSE)</f>
        <v>balance</v>
      </c>
      <c r="L48" s="8" t="str">
        <f>VLOOKUP(F48,[1]characters!$A:$M,13,FALSE)</f>
        <v>machine</v>
      </c>
      <c r="M48" s="5">
        <v>1</v>
      </c>
      <c r="N48" s="28">
        <f>VLOOKUP(D48,gacha_148_base!A:B,2,FALSE)</f>
        <v>85</v>
      </c>
      <c r="O48" s="19">
        <v>0</v>
      </c>
      <c r="P48" s="19">
        <v>0</v>
      </c>
      <c r="Q48" s="19">
        <v>0</v>
      </c>
      <c r="R48" s="19">
        <v>0</v>
      </c>
      <c r="S48" s="19">
        <v>1</v>
      </c>
    </row>
    <row r="49" spans="1:19" ht="21" customHeight="1">
      <c r="A49" s="7" t="str">
        <f t="shared" si="6"/>
        <v>148248</v>
      </c>
      <c r="B49" s="2">
        <f t="shared" si="7"/>
        <v>148</v>
      </c>
      <c r="C49" s="8" t="str">
        <f t="shared" si="8"/>
        <v>1PremiumS4</v>
      </c>
      <c r="D49" s="8" t="str">
        <f t="shared" si="5"/>
        <v>1PremiumS4</v>
      </c>
      <c r="E49" s="5">
        <v>1</v>
      </c>
      <c r="F49" s="11">
        <v>248</v>
      </c>
      <c r="G49" s="8" t="str">
        <f>VLOOKUP(F49,[1]characters!$A:$C,3,FALSE)</f>
        <v>彩電の天使 ミカエル</v>
      </c>
      <c r="H49" s="8" t="str">
        <f>VLOOKUP(F49,[1]characters!$A:$J,10,FALSE)</f>
        <v>PremiumS</v>
      </c>
      <c r="I49" s="8">
        <f>VLOOKUP(F49,[1]characters!$A:$I,9,FALSE)</f>
        <v>4</v>
      </c>
      <c r="J49" s="8" t="str">
        <f>VLOOKUP(F49,[1]characters!$A:$H,8,FALSE)</f>
        <v>yellow</v>
      </c>
      <c r="K49" s="8" t="str">
        <f>VLOOKUP(F49,[1]characters!$A:$K,11,FALSE)</f>
        <v>attack</v>
      </c>
      <c r="L49" s="8" t="str">
        <f>VLOOKUP(F49,[1]characters!$A:$M,13,FALSE)</f>
        <v>machine</v>
      </c>
      <c r="M49" s="5">
        <v>1</v>
      </c>
      <c r="N49" s="28">
        <f>VLOOKUP(D49,gacha_148_base!A:B,2,FALSE)</f>
        <v>85</v>
      </c>
      <c r="O49" s="19">
        <v>0</v>
      </c>
      <c r="P49" s="19">
        <v>0</v>
      </c>
      <c r="Q49" s="19">
        <v>0</v>
      </c>
      <c r="R49" s="19">
        <v>0</v>
      </c>
      <c r="S49" s="19">
        <v>1</v>
      </c>
    </row>
    <row r="50" spans="1:19" ht="21" customHeight="1">
      <c r="A50" s="7" t="str">
        <f t="shared" si="6"/>
        <v>148251</v>
      </c>
      <c r="B50" s="2">
        <f t="shared" si="7"/>
        <v>148</v>
      </c>
      <c r="C50" s="8" t="str">
        <f t="shared" si="8"/>
        <v>1PremiumS4</v>
      </c>
      <c r="D50" s="8" t="str">
        <f t="shared" si="5"/>
        <v>1PremiumS4</v>
      </c>
      <c r="E50" s="5">
        <v>1</v>
      </c>
      <c r="F50" s="6">
        <v>251</v>
      </c>
      <c r="G50" s="8" t="str">
        <f>VLOOKUP(F50,[1]characters!$A:$C,3,FALSE)</f>
        <v>強欲 マンモン</v>
      </c>
      <c r="H50" s="8" t="str">
        <f>VLOOKUP(F50,[1]characters!$A:$J,10,FALSE)</f>
        <v>PremiumS</v>
      </c>
      <c r="I50" s="8">
        <f>VLOOKUP(F50,[1]characters!$A:$I,9,FALSE)</f>
        <v>4</v>
      </c>
      <c r="J50" s="8" t="str">
        <f>VLOOKUP(F50,[1]characters!$A:$H,8,FALSE)</f>
        <v>red</v>
      </c>
      <c r="K50" s="8" t="str">
        <f>VLOOKUP(F50,[1]characters!$A:$K,11,FALSE)</f>
        <v>balance</v>
      </c>
      <c r="L50" s="8" t="str">
        <f>VLOOKUP(F50,[1]characters!$A:$M,13,FALSE)</f>
        <v>god</v>
      </c>
      <c r="M50" s="5">
        <v>1</v>
      </c>
      <c r="N50" s="28">
        <f>VLOOKUP(D50,gacha_148_base!A:B,2,FALSE)</f>
        <v>85</v>
      </c>
      <c r="O50" s="19">
        <v>0</v>
      </c>
      <c r="P50" s="19">
        <v>0</v>
      </c>
      <c r="Q50" s="19">
        <v>0</v>
      </c>
      <c r="R50" s="19">
        <v>0</v>
      </c>
      <c r="S50" s="19">
        <v>1</v>
      </c>
    </row>
    <row r="51" spans="1:19" ht="21" customHeight="1">
      <c r="A51" s="7" t="str">
        <f t="shared" si="6"/>
        <v>148254</v>
      </c>
      <c r="B51" s="2">
        <f t="shared" si="7"/>
        <v>148</v>
      </c>
      <c r="C51" s="8" t="str">
        <f t="shared" si="8"/>
        <v>1PremiumS4</v>
      </c>
      <c r="D51" s="8" t="str">
        <f t="shared" si="5"/>
        <v>1PremiumS4</v>
      </c>
      <c r="E51" s="5">
        <v>1</v>
      </c>
      <c r="F51" s="6">
        <v>254</v>
      </c>
      <c r="G51" s="8" t="str">
        <f>VLOOKUP(F51,[1]characters!$A:$C,3,FALSE)</f>
        <v>怠惰 ベルフェゴール</v>
      </c>
      <c r="H51" s="8" t="str">
        <f>VLOOKUP(F51,[1]characters!$A:$J,10,FALSE)</f>
        <v>PremiumS</v>
      </c>
      <c r="I51" s="8">
        <f>VLOOKUP(F51,[1]characters!$A:$I,9,FALSE)</f>
        <v>4</v>
      </c>
      <c r="J51" s="8" t="str">
        <f>VLOOKUP(F51,[1]characters!$A:$H,8,FALSE)</f>
        <v>green</v>
      </c>
      <c r="K51" s="8" t="str">
        <f>VLOOKUP(F51,[1]characters!$A:$K,11,FALSE)</f>
        <v>technical</v>
      </c>
      <c r="L51" s="8" t="str">
        <f>VLOOKUP(F51,[1]characters!$A:$M,13,FALSE)</f>
        <v>god</v>
      </c>
      <c r="M51" s="5">
        <v>1</v>
      </c>
      <c r="N51" s="28">
        <f>VLOOKUP(D51,gacha_148_base!A:B,2,FALSE)</f>
        <v>85</v>
      </c>
      <c r="O51" s="19">
        <v>0</v>
      </c>
      <c r="P51" s="19">
        <v>0</v>
      </c>
      <c r="Q51" s="19">
        <v>0</v>
      </c>
      <c r="R51" s="19">
        <v>0</v>
      </c>
      <c r="S51" s="19">
        <v>1</v>
      </c>
    </row>
    <row r="52" spans="1:19" ht="21" customHeight="1">
      <c r="A52" s="7" t="str">
        <f t="shared" si="6"/>
        <v>148257</v>
      </c>
      <c r="B52" s="2">
        <f t="shared" si="7"/>
        <v>148</v>
      </c>
      <c r="C52" s="8" t="str">
        <f t="shared" si="8"/>
        <v>1PremiumS4</v>
      </c>
      <c r="D52" s="8" t="str">
        <f t="shared" si="5"/>
        <v>1PremiumS4</v>
      </c>
      <c r="E52" s="5">
        <v>1</v>
      </c>
      <c r="F52" s="6">
        <v>257</v>
      </c>
      <c r="G52" s="8" t="str">
        <f>VLOOKUP(F52,[1]characters!$A:$C,3,FALSE)</f>
        <v>色欲 アスモデウス</v>
      </c>
      <c r="H52" s="8" t="str">
        <f>VLOOKUP(F52,[1]characters!$A:$J,10,FALSE)</f>
        <v>PremiumS</v>
      </c>
      <c r="I52" s="8">
        <f>VLOOKUP(F52,[1]characters!$A:$I,9,FALSE)</f>
        <v>4</v>
      </c>
      <c r="J52" s="8" t="str">
        <f>VLOOKUP(F52,[1]characters!$A:$H,8,FALSE)</f>
        <v>blue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28">
        <f>VLOOKUP(D52,gacha_148_base!A:B,2,FALSE)</f>
        <v>85</v>
      </c>
      <c r="O52" s="19">
        <v>0</v>
      </c>
      <c r="P52" s="19">
        <v>0</v>
      </c>
      <c r="Q52" s="19">
        <v>0</v>
      </c>
      <c r="R52" s="19">
        <v>0</v>
      </c>
      <c r="S52" s="19">
        <v>1</v>
      </c>
    </row>
    <row r="53" spans="1:19" ht="21" customHeight="1">
      <c r="A53" s="7" t="str">
        <f t="shared" si="6"/>
        <v>148260</v>
      </c>
      <c r="B53" s="2">
        <f t="shared" si="7"/>
        <v>148</v>
      </c>
      <c r="C53" s="8" t="str">
        <f t="shared" si="8"/>
        <v>1PremiumS4</v>
      </c>
      <c r="D53" s="8" t="str">
        <f t="shared" si="5"/>
        <v>1PremiumS4</v>
      </c>
      <c r="E53" s="5">
        <v>1</v>
      </c>
      <c r="F53" s="6">
        <v>260</v>
      </c>
      <c r="G53" s="8" t="str">
        <f>VLOOKUP(F53,[1]characters!$A:$C,3,FALSE)</f>
        <v>輪廻 ウロボロス</v>
      </c>
      <c r="H53" s="8" t="str">
        <f>VLOOKUP(F53,[1]characters!$A:$J,10,FALSE)</f>
        <v>PremiumS</v>
      </c>
      <c r="I53" s="8">
        <f>VLOOKUP(F53,[1]characters!$A:$I,9,FALSE)</f>
        <v>4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dragon</v>
      </c>
      <c r="M53" s="5">
        <v>1</v>
      </c>
      <c r="N53" s="28">
        <f>VLOOKUP(D53,gacha_148_base!A:B,2,FALSE)</f>
        <v>85</v>
      </c>
      <c r="O53" s="19">
        <v>0</v>
      </c>
      <c r="P53" s="19">
        <v>0</v>
      </c>
      <c r="Q53" s="19">
        <v>0</v>
      </c>
      <c r="R53" s="19">
        <v>0</v>
      </c>
      <c r="S53" s="19">
        <v>1</v>
      </c>
    </row>
    <row r="54" spans="1:19" ht="21" customHeight="1">
      <c r="A54" s="7" t="str">
        <f t="shared" si="6"/>
        <v>148320</v>
      </c>
      <c r="B54" s="2">
        <f t="shared" si="7"/>
        <v>148</v>
      </c>
      <c r="C54" s="8" t="str">
        <f t="shared" si="8"/>
        <v>1PremiumSS4</v>
      </c>
      <c r="D54" s="8" t="str">
        <f t="shared" si="5"/>
        <v>1PremiumSS4</v>
      </c>
      <c r="E54" s="13">
        <v>1</v>
      </c>
      <c r="F54" s="18">
        <v>320</v>
      </c>
      <c r="G54" s="8" t="str">
        <f>VLOOKUP(F54,[1]characters!$A:$C,3,FALSE)</f>
        <v>烈志士 近藤勇</v>
      </c>
      <c r="H54" s="8" t="str">
        <f>VLOOKUP(F54,[1]characters!$A:$J,10,FALSE)</f>
        <v>PremiumSS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hp</v>
      </c>
      <c r="L54" s="8" t="str">
        <f>VLOOKUP(F54,[1]characters!$A:$M,13,FALSE)</f>
        <v>human</v>
      </c>
      <c r="M54" s="13">
        <v>1</v>
      </c>
      <c r="N54" s="28">
        <f>VLOOKUP(D54,gacha_148_base!A:B,2,FALSE)</f>
        <v>46</v>
      </c>
      <c r="O54" s="10">
        <v>0</v>
      </c>
      <c r="P54" s="19">
        <v>0</v>
      </c>
      <c r="Q54" s="10">
        <v>0</v>
      </c>
      <c r="R54" s="10">
        <v>0</v>
      </c>
      <c r="S54" s="10">
        <v>1</v>
      </c>
    </row>
    <row r="55" spans="1:19" ht="21" customHeight="1">
      <c r="A55" s="7" t="str">
        <f t="shared" si="6"/>
        <v>148322</v>
      </c>
      <c r="B55" s="2">
        <f t="shared" si="7"/>
        <v>148</v>
      </c>
      <c r="C55" s="8" t="str">
        <f t="shared" si="8"/>
        <v>1PremiumSS4</v>
      </c>
      <c r="D55" s="8" t="str">
        <f t="shared" si="5"/>
        <v>1PremiumSS4</v>
      </c>
      <c r="E55" s="5">
        <v>1</v>
      </c>
      <c r="F55" s="6">
        <v>322</v>
      </c>
      <c r="G55" s="8" t="str">
        <f>VLOOKUP(F55,[1]characters!$A:$C,3,FALSE)</f>
        <v>愛志士 土方歳三</v>
      </c>
      <c r="H55" s="8" t="str">
        <f>VLOOKUP(F55,[1]characters!$A:$J,10,FALSE)</f>
        <v>PremiumSS</v>
      </c>
      <c r="I55" s="8">
        <f>VLOOKUP(F55,[1]characters!$A:$I,9,FALSE)</f>
        <v>4</v>
      </c>
      <c r="J55" s="8" t="str">
        <f>VLOOKUP(F55,[1]characters!$A:$H,8,FALSE)</f>
        <v>green</v>
      </c>
      <c r="K55" s="8" t="str">
        <f>VLOOKUP(F55,[1]characters!$A:$K,11,FALSE)</f>
        <v>attack</v>
      </c>
      <c r="L55" s="8" t="str">
        <f>VLOOKUP(F55,[1]characters!$A:$M,13,FALSE)</f>
        <v>human</v>
      </c>
      <c r="M55" s="5">
        <v>1</v>
      </c>
      <c r="N55" s="28">
        <f>VLOOKUP(D55,gacha_148_base!A:B,2,FALSE)</f>
        <v>46</v>
      </c>
      <c r="O55" s="19">
        <v>0</v>
      </c>
      <c r="P55" s="19">
        <v>0</v>
      </c>
      <c r="Q55" s="19">
        <v>0</v>
      </c>
      <c r="R55" s="19">
        <v>0</v>
      </c>
      <c r="S55" s="19">
        <v>1</v>
      </c>
    </row>
    <row r="56" spans="1:19" ht="21" customHeight="1">
      <c r="A56" s="7" t="str">
        <f t="shared" si="6"/>
        <v>148324</v>
      </c>
      <c r="B56" s="2">
        <f t="shared" si="7"/>
        <v>148</v>
      </c>
      <c r="C56" s="8" t="str">
        <f t="shared" si="8"/>
        <v>1PremiumSS4</v>
      </c>
      <c r="D56" s="8" t="str">
        <f t="shared" si="5"/>
        <v>1PremiumSS4</v>
      </c>
      <c r="E56" s="5">
        <v>1</v>
      </c>
      <c r="F56" s="6">
        <v>324</v>
      </c>
      <c r="G56" s="8" t="str">
        <f>VLOOKUP(F56,[1]characters!$A:$C,3,FALSE)</f>
        <v>凛志士 沖田総司</v>
      </c>
      <c r="H56" s="8" t="str">
        <f>VLOOKUP(F56,[1]characters!$A:$J,10,FALSE)</f>
        <v>PremiumSS</v>
      </c>
      <c r="I56" s="8">
        <f>VLOOKUP(F56,[1]characters!$A:$I,9,FALSE)</f>
        <v>4</v>
      </c>
      <c r="J56" s="8" t="str">
        <f>VLOOKUP(F56,[1]characters!$A:$H,8,FALSE)</f>
        <v>blue</v>
      </c>
      <c r="K56" s="8" t="str">
        <f>VLOOKUP(F56,[1]characters!$A:$K,11,FALSE)</f>
        <v>balance</v>
      </c>
      <c r="L56" s="8" t="str">
        <f>VLOOKUP(F56,[1]characters!$A:$M,13,FALSE)</f>
        <v>human</v>
      </c>
      <c r="M56" s="5">
        <v>1</v>
      </c>
      <c r="N56" s="28">
        <f>VLOOKUP(D56,gacha_148_base!A:B,2,FALSE)</f>
        <v>46</v>
      </c>
      <c r="O56" s="19">
        <v>0</v>
      </c>
      <c r="P56" s="19">
        <v>0</v>
      </c>
      <c r="Q56" s="19">
        <v>0</v>
      </c>
      <c r="R56" s="19">
        <v>0</v>
      </c>
      <c r="S56" s="19">
        <v>1</v>
      </c>
    </row>
    <row r="57" spans="1:19" ht="21" customHeight="1">
      <c r="A57" s="7" t="str">
        <f t="shared" si="6"/>
        <v>148326</v>
      </c>
      <c r="B57" s="2">
        <f t="shared" si="7"/>
        <v>148</v>
      </c>
      <c r="C57" s="8" t="str">
        <f t="shared" si="8"/>
        <v>1PremiumSS4</v>
      </c>
      <c r="D57" s="8" t="str">
        <f t="shared" si="5"/>
        <v>1PremiumSS4</v>
      </c>
      <c r="E57" s="22">
        <v>1</v>
      </c>
      <c r="F57" s="23">
        <v>326</v>
      </c>
      <c r="G57" s="8" t="str">
        <f>VLOOKUP(F57,[1]characters!$A:$C,3,FALSE)</f>
        <v>妖志士 斎藤一</v>
      </c>
      <c r="H57" s="8" t="str">
        <f>VLOOKUP(F57,[1]characters!$A:$J,10,FALSE)</f>
        <v>PremiumSS</v>
      </c>
      <c r="I57" s="8">
        <f>VLOOKUP(F57,[1]characters!$A:$I,9,FALSE)</f>
        <v>4</v>
      </c>
      <c r="J57" s="8" t="str">
        <f>VLOOKUP(F57,[1]characters!$A:$H,8,FALSE)</f>
        <v>yellow</v>
      </c>
      <c r="K57" s="8" t="str">
        <f>VLOOKUP(F57,[1]characters!$A:$K,11,FALSE)</f>
        <v>technical</v>
      </c>
      <c r="L57" s="8" t="str">
        <f>VLOOKUP(F57,[1]characters!$A:$M,13,FALSE)</f>
        <v>human</v>
      </c>
      <c r="M57" s="22">
        <v>1</v>
      </c>
      <c r="N57" s="28">
        <f>VLOOKUP(D57,gacha_148_base!A:B,2,FALSE)</f>
        <v>46</v>
      </c>
      <c r="O57" s="25">
        <v>0</v>
      </c>
      <c r="P57" s="19">
        <v>0</v>
      </c>
      <c r="Q57" s="25">
        <v>0</v>
      </c>
      <c r="R57" s="25">
        <v>0</v>
      </c>
      <c r="S57" s="25">
        <v>1</v>
      </c>
    </row>
    <row r="58" spans="1:19" ht="21" customHeight="1">
      <c r="A58" s="7" t="str">
        <f t="shared" si="6"/>
        <v>148381</v>
      </c>
      <c r="B58" s="2">
        <f t="shared" si="7"/>
        <v>148</v>
      </c>
      <c r="C58" s="8" t="str">
        <f t="shared" si="8"/>
        <v>1PremiumS4</v>
      </c>
      <c r="D58" s="8" t="str">
        <f t="shared" si="5"/>
        <v>1PremiumS4</v>
      </c>
      <c r="E58" s="5">
        <v>1</v>
      </c>
      <c r="F58" s="18">
        <v>381</v>
      </c>
      <c r="G58" s="8" t="str">
        <f>VLOOKUP(F58,[1]characters!$A:$C,3,FALSE)</f>
        <v>肉食の恋火 バハムート</v>
      </c>
      <c r="H58" s="8" t="str">
        <f>VLOOKUP(F58,[1]characters!$A:$J,10,FALSE)</f>
        <v>PremiumS</v>
      </c>
      <c r="I58" s="8">
        <f>VLOOKUP(F58,[1]characters!$A:$I,9,FALSE)</f>
        <v>4</v>
      </c>
      <c r="J58" s="8" t="str">
        <f>VLOOKUP(F58,[1]characters!$A:$H,8,FALSE)</f>
        <v>red</v>
      </c>
      <c r="K58" s="8" t="str">
        <f>VLOOKUP(F58,[1]characters!$A:$K,11,FALSE)</f>
        <v>technical</v>
      </c>
      <c r="L58" s="8" t="str">
        <f>VLOOKUP(F58,[1]characters!$A:$M,13,FALSE)</f>
        <v>dragon</v>
      </c>
      <c r="M58" s="5">
        <v>1</v>
      </c>
      <c r="N58" s="28">
        <f>VLOOKUP(D58,gacha_148_base!A:B,2,FALSE)</f>
        <v>85</v>
      </c>
      <c r="O58" s="19">
        <v>0</v>
      </c>
      <c r="P58" s="19">
        <v>0</v>
      </c>
      <c r="Q58" s="19">
        <v>0</v>
      </c>
      <c r="R58" s="19">
        <v>0</v>
      </c>
      <c r="S58" s="19">
        <v>1</v>
      </c>
    </row>
    <row r="59" spans="1:19" ht="21" customHeight="1">
      <c r="A59" s="7" t="str">
        <f t="shared" si="6"/>
        <v>148383</v>
      </c>
      <c r="B59" s="2">
        <f t="shared" si="7"/>
        <v>148</v>
      </c>
      <c r="C59" s="8" t="str">
        <f t="shared" si="8"/>
        <v>1PremiumSS4</v>
      </c>
      <c r="D59" s="8" t="str">
        <f t="shared" si="5"/>
        <v>1PremiumSS4</v>
      </c>
      <c r="E59" s="5">
        <v>1</v>
      </c>
      <c r="F59" s="18">
        <v>383</v>
      </c>
      <c r="G59" s="8" t="str">
        <f>VLOOKUP(F59,[1]characters!$A:$C,3,FALSE)</f>
        <v>酒宴の蟒蛇 ヤマタノオロチ</v>
      </c>
      <c r="H59" s="8" t="str">
        <f>VLOOKUP(F59,[1]characters!$A:$J,10,FALSE)</f>
        <v>PremiumSS</v>
      </c>
      <c r="I59" s="8">
        <f>VLOOKUP(F59,[1]characters!$A:$I,9,FALSE)</f>
        <v>4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dragon</v>
      </c>
      <c r="M59" s="5">
        <v>1</v>
      </c>
      <c r="N59" s="28">
        <f>VLOOKUP(D59,gacha_148_base!A:B,2,FALSE)</f>
        <v>46</v>
      </c>
      <c r="O59" s="19">
        <v>0</v>
      </c>
      <c r="P59" s="19">
        <v>0</v>
      </c>
      <c r="Q59" s="19">
        <v>0</v>
      </c>
      <c r="R59" s="19">
        <v>0</v>
      </c>
      <c r="S59" s="19">
        <v>1</v>
      </c>
    </row>
    <row r="60" spans="1:19" ht="21" customHeight="1">
      <c r="A60" s="7" t="str">
        <f t="shared" si="6"/>
        <v>148385</v>
      </c>
      <c r="B60" s="2">
        <f t="shared" si="7"/>
        <v>148</v>
      </c>
      <c r="C60" s="8" t="str">
        <f t="shared" si="8"/>
        <v>1PremiumSS4</v>
      </c>
      <c r="D60" s="8" t="str">
        <f t="shared" ref="D60:D111" si="9">E60&amp;H60&amp;I60</f>
        <v>1PremiumSS4</v>
      </c>
      <c r="E60" s="5">
        <v>1</v>
      </c>
      <c r="F60" s="18">
        <v>385</v>
      </c>
      <c r="G60" s="8" t="str">
        <f>VLOOKUP(F60,[1]characters!$A:$C,3,FALSE)</f>
        <v>波烈の出奔 リヴァイアサン</v>
      </c>
      <c r="H60" s="8" t="str">
        <f>VLOOKUP(F60,[1]characters!$A:$J,10,FALSE)</f>
        <v>PremiumSS</v>
      </c>
      <c r="I60" s="8">
        <f>VLOOKUP(F60,[1]characters!$A:$I,9,FALSE)</f>
        <v>4</v>
      </c>
      <c r="J60" s="8" t="str">
        <f>VLOOKUP(F60,[1]characters!$A:$H,8,FALSE)</f>
        <v>blue</v>
      </c>
      <c r="K60" s="8" t="str">
        <f>VLOOKUP(F60,[1]characters!$A:$K,11,FALSE)</f>
        <v>balance</v>
      </c>
      <c r="L60" s="8" t="str">
        <f>VLOOKUP(F60,[1]characters!$A:$M,13,FALSE)</f>
        <v>dragon</v>
      </c>
      <c r="M60" s="5">
        <v>1</v>
      </c>
      <c r="N60" s="28">
        <f>VLOOKUP(D60,gacha_148_base!A:B,2,FALSE)</f>
        <v>46</v>
      </c>
      <c r="O60" s="19">
        <v>0</v>
      </c>
      <c r="P60" s="19">
        <v>0</v>
      </c>
      <c r="Q60" s="19">
        <v>0</v>
      </c>
      <c r="R60" s="19">
        <v>0</v>
      </c>
      <c r="S60" s="19">
        <v>1</v>
      </c>
    </row>
    <row r="61" spans="1:19" ht="21" customHeight="1">
      <c r="A61" s="7" t="str">
        <f t="shared" si="6"/>
        <v>148388</v>
      </c>
      <c r="B61" s="2">
        <f t="shared" si="7"/>
        <v>148</v>
      </c>
      <c r="C61" s="8" t="str">
        <f t="shared" si="8"/>
        <v>1PremiumS4</v>
      </c>
      <c r="D61" s="8" t="str">
        <f>E61&amp;H61&amp;I61&amp;"pick"</f>
        <v>1PremiumS4pick</v>
      </c>
      <c r="E61" s="22">
        <v>1</v>
      </c>
      <c r="F61" s="23">
        <v>388</v>
      </c>
      <c r="G61" s="8" t="str">
        <f>VLOOKUP(F61,[1]characters!$A:$C,3,FALSE)</f>
        <v>神円の恋姫 スフィンクス</v>
      </c>
      <c r="H61" s="8" t="str">
        <f>VLOOKUP(F61,[1]characters!$A:$J,10,FALSE)</f>
        <v>PremiumS</v>
      </c>
      <c r="I61" s="8">
        <f>VLOOKUP(F61,[1]characters!$A:$I,9,FALSE)</f>
        <v>4</v>
      </c>
      <c r="J61" s="8" t="str">
        <f>VLOOKUP(F61,[1]characters!$A:$H,8,FALSE)</f>
        <v>yellow</v>
      </c>
      <c r="K61" s="8" t="str">
        <f>VLOOKUP(F61,[1]characters!$A:$K,11,FALSE)</f>
        <v>heal</v>
      </c>
      <c r="L61" s="8" t="str">
        <f>VLOOKUP(F61,[1]characters!$A:$M,13,FALSE)</f>
        <v>animal</v>
      </c>
      <c r="M61" s="22">
        <v>1</v>
      </c>
      <c r="N61" s="28">
        <f>VLOOKUP(D61,gacha_148_base!A:B,2,FALSE)</f>
        <v>2864</v>
      </c>
      <c r="O61" s="25">
        <v>0</v>
      </c>
      <c r="P61" s="19">
        <v>0</v>
      </c>
      <c r="Q61" s="25">
        <v>0</v>
      </c>
      <c r="R61" s="25">
        <v>0</v>
      </c>
      <c r="S61" s="25">
        <v>1</v>
      </c>
    </row>
    <row r="62" spans="1:19" s="26" customFormat="1" ht="21" customHeight="1" thickBot="1">
      <c r="A62" s="7" t="str">
        <f t="shared" si="6"/>
        <v>148389</v>
      </c>
      <c r="B62" s="2">
        <f t="shared" si="7"/>
        <v>148</v>
      </c>
      <c r="C62" s="8" t="str">
        <f t="shared" si="8"/>
        <v>1PremiumS5</v>
      </c>
      <c r="D62" s="8" t="str">
        <f>E62&amp;H62&amp;I62&amp;"pick"</f>
        <v>1PremiumS5pick</v>
      </c>
      <c r="E62" s="5">
        <v>1</v>
      </c>
      <c r="F62" s="6">
        <v>389</v>
      </c>
      <c r="G62" s="8" t="str">
        <f>VLOOKUP(F62,[1]characters!$A:$C,3,FALSE)</f>
        <v>操神の愛姫 スフィンクス</v>
      </c>
      <c r="H62" s="8" t="str">
        <f>VLOOKUP(F62,[1]characters!$A:$J,10,FALSE)</f>
        <v>PremiumS</v>
      </c>
      <c r="I62" s="8">
        <f>VLOOKUP(F62,[1]characters!$A:$I,9,FALSE)</f>
        <v>5</v>
      </c>
      <c r="J62" s="8" t="str">
        <f>VLOOKUP(F62,[1]characters!$A:$H,8,FALSE)</f>
        <v>yellow</v>
      </c>
      <c r="K62" s="8" t="str">
        <f>VLOOKUP(F62,[1]characters!$A:$K,11,FALSE)</f>
        <v>heal</v>
      </c>
      <c r="L62" s="8" t="str">
        <f>VLOOKUP(F62,[1]characters!$A:$M,13,FALSE)</f>
        <v>animal</v>
      </c>
      <c r="M62" s="5">
        <v>1</v>
      </c>
      <c r="N62" s="28">
        <f>VLOOKUP(D62,gacha_148_base!A:B,2,FALSE)</f>
        <v>2340</v>
      </c>
      <c r="O62" s="19">
        <v>0</v>
      </c>
      <c r="P62" s="19">
        <v>0</v>
      </c>
      <c r="Q62" s="19">
        <v>0</v>
      </c>
      <c r="R62" s="19">
        <v>0</v>
      </c>
      <c r="S62" s="19">
        <v>1</v>
      </c>
    </row>
    <row r="63" spans="1:19" ht="21" customHeight="1">
      <c r="A63" s="7" t="str">
        <f t="shared" si="6"/>
        <v>148390</v>
      </c>
      <c r="B63" s="2">
        <f t="shared" si="7"/>
        <v>148</v>
      </c>
      <c r="C63" s="8" t="str">
        <f t="shared" si="8"/>
        <v>1PremiumSS4</v>
      </c>
      <c r="D63" s="8" t="str">
        <f>E63&amp;H63&amp;I63&amp;"pick"</f>
        <v>1PremiumSS4pick</v>
      </c>
      <c r="E63" s="13">
        <v>1</v>
      </c>
      <c r="F63" s="21">
        <v>390</v>
      </c>
      <c r="G63" s="8" t="str">
        <f>VLOOKUP(F63,[1]characters!$A:$C,3,FALSE)</f>
        <v>華環の旅客 親指姫</v>
      </c>
      <c r="H63" s="8" t="str">
        <f>VLOOKUP(F63,[1]characters!$A:$J,10,FALSE)</f>
        <v>PremiumSS</v>
      </c>
      <c r="I63" s="8">
        <f>VLOOKUP(F63,[1]characters!$A:$I,9,FALSE)</f>
        <v>4</v>
      </c>
      <c r="J63" s="8" t="str">
        <f>VLOOKUP(F63,[1]characters!$A:$H,8,FALSE)</f>
        <v>red</v>
      </c>
      <c r="K63" s="8" t="str">
        <f>VLOOKUP(F63,[1]characters!$A:$K,11,FALSE)</f>
        <v>heal</v>
      </c>
      <c r="L63" s="8" t="str">
        <f>VLOOKUP(F63,[1]characters!$A:$M,13,FALSE)</f>
        <v>human</v>
      </c>
      <c r="M63" s="13">
        <v>1</v>
      </c>
      <c r="N63" s="28">
        <f>VLOOKUP(D63,gacha_148_base!A:B,2,FALSE)</f>
        <v>715</v>
      </c>
      <c r="O63" s="10">
        <v>0</v>
      </c>
      <c r="P63" s="19">
        <v>0</v>
      </c>
      <c r="Q63" s="10">
        <v>0</v>
      </c>
      <c r="R63" s="10">
        <v>0</v>
      </c>
      <c r="S63" s="10">
        <v>1</v>
      </c>
    </row>
    <row r="64" spans="1:19" ht="21" customHeight="1">
      <c r="A64" s="7" t="str">
        <f t="shared" si="6"/>
        <v>148391</v>
      </c>
      <c r="B64" s="2">
        <f t="shared" si="7"/>
        <v>148</v>
      </c>
      <c r="C64" s="8" t="str">
        <f t="shared" si="8"/>
        <v>1PremiumSS5</v>
      </c>
      <c r="D64" s="8" t="str">
        <f>E64&amp;H64&amp;I64&amp;"pick"</f>
        <v>1PremiumSS5pick</v>
      </c>
      <c r="E64" s="5">
        <v>1</v>
      </c>
      <c r="F64" s="6">
        <v>391</v>
      </c>
      <c r="G64" s="8" t="str">
        <f>VLOOKUP(F64,[1]characters!$A:$C,3,FALSE)</f>
        <v>燕翼の旅人 親指姫</v>
      </c>
      <c r="H64" s="8" t="str">
        <f>VLOOKUP(F64,[1]characters!$A:$J,10,FALSE)</f>
        <v>PremiumSS</v>
      </c>
      <c r="I64" s="8">
        <f>VLOOKUP(F64,[1]characters!$A:$I,9,FALSE)</f>
        <v>5</v>
      </c>
      <c r="J64" s="8" t="str">
        <f>VLOOKUP(F64,[1]characters!$A:$H,8,FALSE)</f>
        <v>red</v>
      </c>
      <c r="K64" s="8" t="str">
        <f>VLOOKUP(F64,[1]characters!$A:$K,11,FALSE)</f>
        <v>heal</v>
      </c>
      <c r="L64" s="8" t="str">
        <f>VLOOKUP(F64,[1]characters!$A:$M,13,FALSE)</f>
        <v>human</v>
      </c>
      <c r="M64" s="5">
        <v>1</v>
      </c>
      <c r="N64" s="28">
        <f>VLOOKUP(D64,gacha_148_base!A:B,2,FALSE)</f>
        <v>260</v>
      </c>
      <c r="O64" s="19">
        <v>0</v>
      </c>
      <c r="P64" s="19">
        <v>0</v>
      </c>
      <c r="Q64" s="19">
        <v>0</v>
      </c>
      <c r="R64" s="19">
        <v>0</v>
      </c>
      <c r="S64" s="19">
        <v>1</v>
      </c>
    </row>
    <row r="65" spans="1:19" ht="21" customHeight="1">
      <c r="A65" s="7" t="str">
        <f t="shared" si="6"/>
        <v>148393</v>
      </c>
      <c r="B65" s="2">
        <f t="shared" si="7"/>
        <v>148</v>
      </c>
      <c r="C65" s="8" t="str">
        <f t="shared" si="8"/>
        <v>1PremiumS4</v>
      </c>
      <c r="D65" s="8" t="str">
        <f t="shared" si="9"/>
        <v>1PremiumS4</v>
      </c>
      <c r="E65" s="5">
        <v>1</v>
      </c>
      <c r="F65" s="6">
        <v>393</v>
      </c>
      <c r="G65" s="8" t="str">
        <f>VLOOKUP(F65,[1]characters!$A:$C,3,FALSE)</f>
        <v>影縫い ピーターパン</v>
      </c>
      <c r="H65" s="8" t="str">
        <f>VLOOKUP(F65,[1]characters!$A:$J,10,FALSE)</f>
        <v>PremiumS</v>
      </c>
      <c r="I65" s="8">
        <f>VLOOKUP(F65,[1]characters!$A:$I,9,FALSE)</f>
        <v>4</v>
      </c>
      <c r="J65" s="8" t="str">
        <f>VLOOKUP(F65,[1]characters!$A:$H,8,FALSE)</f>
        <v>green</v>
      </c>
      <c r="K65" s="8" t="str">
        <f>VLOOKUP(F65,[1]characters!$A:$K,11,FALSE)</f>
        <v>attack</v>
      </c>
      <c r="L65" s="8" t="str">
        <f>VLOOKUP(F65,[1]characters!$A:$M,13,FALSE)</f>
        <v>human</v>
      </c>
      <c r="M65" s="5">
        <v>1</v>
      </c>
      <c r="N65" s="28">
        <f>VLOOKUP(D65,gacha_148_base!A:B,2,FALSE)</f>
        <v>85</v>
      </c>
      <c r="O65" s="19">
        <v>0</v>
      </c>
      <c r="P65" s="19">
        <v>0</v>
      </c>
      <c r="Q65" s="19">
        <v>0</v>
      </c>
      <c r="R65" s="19">
        <v>0</v>
      </c>
      <c r="S65" s="19">
        <v>1</v>
      </c>
    </row>
    <row r="66" spans="1:19" ht="21" customHeight="1">
      <c r="A66" s="7" t="str">
        <f t="shared" si="6"/>
        <v>148396</v>
      </c>
      <c r="B66" s="2">
        <f t="shared" si="7"/>
        <v>148</v>
      </c>
      <c r="C66" s="8" t="str">
        <f t="shared" si="8"/>
        <v>1PremiumS4</v>
      </c>
      <c r="D66" s="8" t="str">
        <f>E66&amp;H66&amp;I66&amp;"pick"</f>
        <v>1PremiumS4pick</v>
      </c>
      <c r="E66" s="5">
        <v>1</v>
      </c>
      <c r="F66" s="6">
        <v>396</v>
      </c>
      <c r="G66" s="8" t="str">
        <f>VLOOKUP(F66,[1]characters!$A:$C,3,FALSE)</f>
        <v>竜宮の水雷 乙姫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hp</v>
      </c>
      <c r="L66" s="8" t="str">
        <f>VLOOKUP(F66,[1]characters!$A:$M,13,FALSE)</f>
        <v>human</v>
      </c>
      <c r="M66" s="5">
        <v>1</v>
      </c>
      <c r="N66" s="28">
        <f>VLOOKUP(D66,gacha_148_base!A:B,2,FALSE)</f>
        <v>2864</v>
      </c>
      <c r="O66" s="19">
        <v>0</v>
      </c>
      <c r="P66" s="19">
        <v>0</v>
      </c>
      <c r="Q66" s="19">
        <v>0</v>
      </c>
      <c r="R66" s="19">
        <v>0</v>
      </c>
      <c r="S66" s="19">
        <v>1</v>
      </c>
    </row>
    <row r="67" spans="1:19" s="26" customFormat="1" ht="21" customHeight="1" thickBot="1">
      <c r="A67" s="7" t="str">
        <f t="shared" si="6"/>
        <v>148397</v>
      </c>
      <c r="B67" s="2">
        <f t="shared" si="7"/>
        <v>148</v>
      </c>
      <c r="C67" s="8" t="str">
        <f t="shared" si="8"/>
        <v>1PremiumS5</v>
      </c>
      <c r="D67" s="8" t="str">
        <f>E67&amp;H67&amp;I67&amp;"pick"</f>
        <v>1PremiumS5pick</v>
      </c>
      <c r="E67" s="5">
        <v>1</v>
      </c>
      <c r="F67" s="6">
        <v>397</v>
      </c>
      <c r="G67" s="8" t="str">
        <f>VLOOKUP(F67,[1]characters!$A:$C,3,FALSE)</f>
        <v>禁断の追箱 乙姫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hp</v>
      </c>
      <c r="L67" s="8" t="str">
        <f>VLOOKUP(F67,[1]characters!$A:$M,13,FALSE)</f>
        <v>human</v>
      </c>
      <c r="M67" s="5">
        <v>1</v>
      </c>
      <c r="N67" s="28">
        <f>VLOOKUP(D67,gacha_148_base!A:B,2,FALSE)</f>
        <v>2340</v>
      </c>
      <c r="O67" s="19">
        <v>0</v>
      </c>
      <c r="P67" s="19">
        <v>0</v>
      </c>
      <c r="Q67" s="19">
        <v>0</v>
      </c>
      <c r="R67" s="19">
        <v>0</v>
      </c>
      <c r="S67" s="19">
        <v>1</v>
      </c>
    </row>
    <row r="68" spans="1:19" ht="21" customHeight="1">
      <c r="A68" s="7" t="str">
        <f t="shared" si="6"/>
        <v>148398</v>
      </c>
      <c r="B68" s="2">
        <f t="shared" si="7"/>
        <v>148</v>
      </c>
      <c r="C68" s="8" t="str">
        <f t="shared" si="8"/>
        <v>1PremiumSS4</v>
      </c>
      <c r="D68" s="8" t="str">
        <f t="shared" si="9"/>
        <v>1PremiumSS4</v>
      </c>
      <c r="E68" s="5">
        <v>1</v>
      </c>
      <c r="F68" s="6">
        <v>398</v>
      </c>
      <c r="G68" s="8" t="str">
        <f>VLOOKUP(F68,[1]characters!$A:$C,3,FALSE)</f>
        <v>ヘンゼル＆グレーテル</v>
      </c>
      <c r="H68" s="8" t="str">
        <f>VLOOKUP(F68,[1]characters!$A:$J,10,FALSE)</f>
        <v>PremiumSS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5">
        <v>1</v>
      </c>
      <c r="N68" s="28">
        <f>VLOOKUP(D68,gacha_148_base!A:B,2,FALSE)</f>
        <v>46</v>
      </c>
      <c r="O68" s="19">
        <v>0</v>
      </c>
      <c r="P68" s="19">
        <v>0</v>
      </c>
      <c r="Q68" s="19">
        <v>0</v>
      </c>
      <c r="R68" s="19">
        <v>0</v>
      </c>
      <c r="S68" s="19">
        <v>1</v>
      </c>
    </row>
    <row r="69" spans="1:19" ht="21" customHeight="1">
      <c r="A69" s="7" t="str">
        <f t="shared" si="6"/>
        <v>149126</v>
      </c>
      <c r="B69" s="36">
        <v>149</v>
      </c>
      <c r="C69" s="12" t="str">
        <f t="shared" si="8"/>
        <v>0PremiumW3</v>
      </c>
      <c r="D69" s="12" t="str">
        <f t="shared" si="9"/>
        <v>0PremiumW3</v>
      </c>
      <c r="E69" s="13">
        <v>0</v>
      </c>
      <c r="F69" s="18">
        <v>126</v>
      </c>
      <c r="G69" s="12" t="str">
        <f>VLOOKUP(F69,[1]characters!$A:$C,3,FALSE)</f>
        <v>骨器使い ユノ</v>
      </c>
      <c r="H69" s="12" t="str">
        <f>VLOOKUP(F69,[1]characters!$A:$J,10,FALSE)</f>
        <v>PremiumW</v>
      </c>
      <c r="I69" s="12">
        <f>VLOOKUP(F69,[1]characters!$A:$I,9,FALSE)</f>
        <v>3</v>
      </c>
      <c r="J69" s="12" t="str">
        <f>VLOOKUP(F69,[1]characters!$A:$H,8,FALSE)</f>
        <v>red</v>
      </c>
      <c r="K69" s="12" t="str">
        <f>VLOOKUP(F69,[1]characters!$A:$K,11,FALSE)</f>
        <v>attack</v>
      </c>
      <c r="L69" s="12" t="str">
        <f>VLOOKUP(F69,[1]characters!$A:$M,13,FALSE)</f>
        <v>human</v>
      </c>
      <c r="M69" s="13">
        <v>1</v>
      </c>
      <c r="N69" s="50">
        <f>VLOOKUP(D69,gacha_148_base!A:B,2,FALSE)</f>
        <v>1856</v>
      </c>
      <c r="O69" s="10">
        <v>0</v>
      </c>
      <c r="P69" s="10">
        <v>0</v>
      </c>
      <c r="Q69" s="10">
        <v>0</v>
      </c>
      <c r="R69" s="10">
        <v>0</v>
      </c>
      <c r="S69" s="10">
        <v>1</v>
      </c>
    </row>
    <row r="70" spans="1:19" ht="21" customHeight="1">
      <c r="A70" s="7" t="str">
        <f t="shared" si="6"/>
        <v>149128</v>
      </c>
      <c r="B70" s="2">
        <f>$B$69</f>
        <v>149</v>
      </c>
      <c r="C70" s="8" t="str">
        <f t="shared" si="8"/>
        <v>0PremiumW3</v>
      </c>
      <c r="D70" s="8" t="str">
        <f t="shared" si="9"/>
        <v>0PremiumW3</v>
      </c>
      <c r="E70" s="13">
        <v>0</v>
      </c>
      <c r="F70" s="18">
        <v>128</v>
      </c>
      <c r="G70" s="8" t="str">
        <f>VLOOKUP(F70,[1]characters!$A:$C,3,FALSE)</f>
        <v>野生児 アマラ</v>
      </c>
      <c r="H70" s="8" t="str">
        <f>VLOOKUP(F70,[1]characters!$A:$J,10,FALSE)</f>
        <v>PremiumW</v>
      </c>
      <c r="I70" s="8">
        <f>VLOOKUP(F70,[1]characters!$A:$I,9,FALSE)</f>
        <v>3</v>
      </c>
      <c r="J70" s="8" t="str">
        <f>VLOOKUP(F70,[1]characters!$A:$H,8,FALSE)</f>
        <v>green</v>
      </c>
      <c r="K70" s="8" t="str">
        <f>VLOOKUP(F70,[1]characters!$A:$K,11,FALSE)</f>
        <v>attack</v>
      </c>
      <c r="L70" s="8" t="str">
        <f>VLOOKUP(F70,[1]characters!$A:$M,13,FALSE)</f>
        <v>human</v>
      </c>
      <c r="M70" s="13">
        <v>1</v>
      </c>
      <c r="N70" s="28">
        <f>VLOOKUP(D70,gacha_148_base!A:B,2,FALSE)</f>
        <v>1856</v>
      </c>
      <c r="O70" s="10">
        <v>0</v>
      </c>
      <c r="P70" s="19">
        <v>0</v>
      </c>
      <c r="Q70" s="10">
        <v>0</v>
      </c>
      <c r="R70" s="10">
        <v>0</v>
      </c>
      <c r="S70" s="10">
        <v>1</v>
      </c>
    </row>
    <row r="71" spans="1:19" ht="21" customHeight="1">
      <c r="A71" s="7" t="str">
        <f t="shared" si="6"/>
        <v>149130</v>
      </c>
      <c r="B71" s="2">
        <f t="shared" ref="B71:B134" si="10">$B$69</f>
        <v>149</v>
      </c>
      <c r="C71" s="8" t="str">
        <f t="shared" si="8"/>
        <v>0PremiumW3</v>
      </c>
      <c r="D71" s="8" t="str">
        <f t="shared" si="9"/>
        <v>0PremiumW3</v>
      </c>
      <c r="E71" s="5">
        <v>0</v>
      </c>
      <c r="F71" s="6">
        <v>130</v>
      </c>
      <c r="G71" s="8" t="str">
        <f>VLOOKUP(F71,[1]characters!$A:$C,3,FALSE)</f>
        <v>狼男 ローレンス</v>
      </c>
      <c r="H71" s="8" t="str">
        <f>VLOOKUP(F71,[1]characters!$A:$J,10,FALSE)</f>
        <v>PremiumW</v>
      </c>
      <c r="I71" s="8">
        <f>VLOOKUP(F71,[1]characters!$A:$I,9,FALSE)</f>
        <v>3</v>
      </c>
      <c r="J71" s="8" t="str">
        <f>VLOOKUP(F71,[1]characters!$A:$H,8,FALSE)</f>
        <v>blue</v>
      </c>
      <c r="K71" s="8" t="str">
        <f>VLOOKUP(F71,[1]characters!$A:$K,11,FALSE)</f>
        <v>attack</v>
      </c>
      <c r="L71" s="8" t="str">
        <f>VLOOKUP(F71,[1]characters!$A:$M,13,FALSE)</f>
        <v>animal</v>
      </c>
      <c r="M71" s="5">
        <v>1</v>
      </c>
      <c r="N71" s="28">
        <f>VLOOKUP(D71,gacha_148_base!A:B,2,FALSE)</f>
        <v>1856</v>
      </c>
      <c r="O71" s="19">
        <v>0</v>
      </c>
      <c r="P71" s="19">
        <v>0</v>
      </c>
      <c r="Q71" s="19">
        <v>0</v>
      </c>
      <c r="R71" s="19">
        <v>0</v>
      </c>
      <c r="S71" s="19">
        <v>1</v>
      </c>
    </row>
    <row r="72" spans="1:19" ht="21" customHeight="1">
      <c r="A72" s="7" t="str">
        <f t="shared" si="6"/>
        <v>149132</v>
      </c>
      <c r="B72" s="2">
        <f t="shared" si="10"/>
        <v>149</v>
      </c>
      <c r="C72" s="8" t="str">
        <f t="shared" si="8"/>
        <v>0PremiumW3</v>
      </c>
      <c r="D72" s="8" t="str">
        <f t="shared" si="9"/>
        <v>0PremiumW3</v>
      </c>
      <c r="E72" s="5">
        <v>0</v>
      </c>
      <c r="F72" s="6">
        <v>132</v>
      </c>
      <c r="G72" s="8" t="str">
        <f>VLOOKUP(F72,[1]characters!$A:$C,3,FALSE)</f>
        <v>鳥人ハヤト</v>
      </c>
      <c r="H72" s="8" t="str">
        <f>VLOOKUP(F72,[1]characters!$A:$J,10,FALSE)</f>
        <v>PremiumW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attack</v>
      </c>
      <c r="L72" s="8" t="str">
        <f>VLOOKUP(F72,[1]characters!$A:$M,13,FALSE)</f>
        <v>human</v>
      </c>
      <c r="M72" s="5">
        <v>1</v>
      </c>
      <c r="N72" s="28">
        <f>VLOOKUP(D72,gacha_148_base!A:B,2,FALSE)</f>
        <v>1856</v>
      </c>
      <c r="O72" s="19">
        <v>0</v>
      </c>
      <c r="P72" s="19">
        <v>0</v>
      </c>
      <c r="Q72" s="19">
        <v>0</v>
      </c>
      <c r="R72" s="19">
        <v>0</v>
      </c>
      <c r="S72" s="19">
        <v>1</v>
      </c>
    </row>
    <row r="73" spans="1:19" ht="21" customHeight="1">
      <c r="A73" s="7" t="str">
        <f t="shared" si="6"/>
        <v>149134</v>
      </c>
      <c r="B73" s="2">
        <f t="shared" si="10"/>
        <v>149</v>
      </c>
      <c r="C73" s="8" t="str">
        <f t="shared" si="8"/>
        <v>0PremiumW3</v>
      </c>
      <c r="D73" s="8" t="str">
        <f t="shared" si="9"/>
        <v>0PremiumW3</v>
      </c>
      <c r="E73" s="5">
        <v>0</v>
      </c>
      <c r="F73" s="6">
        <v>134</v>
      </c>
      <c r="G73" s="8" t="str">
        <f>VLOOKUP(F73,[1]characters!$A:$C,3,FALSE)</f>
        <v>妖炎の夕霧</v>
      </c>
      <c r="H73" s="8" t="str">
        <f>VLOOKUP(F73,[1]characters!$A:$J,10,FALSE)</f>
        <v>PremiumW</v>
      </c>
      <c r="I73" s="8">
        <f>VLOOKUP(F73,[1]characters!$A:$I,9,FALSE)</f>
        <v>3</v>
      </c>
      <c r="J73" s="8" t="str">
        <f>VLOOKUP(F73,[1]characters!$A:$H,8,FALSE)</f>
        <v>red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5">
        <v>1</v>
      </c>
      <c r="N73" s="28">
        <f>VLOOKUP(D73,gacha_148_base!A:B,2,FALSE)</f>
        <v>1856</v>
      </c>
      <c r="O73" s="19">
        <v>0</v>
      </c>
      <c r="P73" s="19">
        <v>0</v>
      </c>
      <c r="Q73" s="19">
        <v>0</v>
      </c>
      <c r="R73" s="19">
        <v>0</v>
      </c>
      <c r="S73" s="19">
        <v>1</v>
      </c>
    </row>
    <row r="74" spans="1:19" ht="21" customHeight="1">
      <c r="A74" s="7" t="str">
        <f t="shared" si="6"/>
        <v>149136</v>
      </c>
      <c r="B74" s="2">
        <f t="shared" si="10"/>
        <v>149</v>
      </c>
      <c r="C74" s="8" t="str">
        <f t="shared" si="8"/>
        <v>0PremiumW3</v>
      </c>
      <c r="D74" s="8" t="str">
        <f t="shared" si="9"/>
        <v>0PremiumW3</v>
      </c>
      <c r="E74" s="5">
        <v>0</v>
      </c>
      <c r="F74" s="6">
        <v>136</v>
      </c>
      <c r="G74" s="8" t="str">
        <f>VLOOKUP(F74,[1]characters!$A:$C,3,FALSE)</f>
        <v>お針子チハヤ</v>
      </c>
      <c r="H74" s="8" t="str">
        <f>VLOOKUP(F74,[1]characters!$A:$J,10,FALSE)</f>
        <v>PremiumW</v>
      </c>
      <c r="I74" s="8">
        <f>VLOOKUP(F74,[1]characters!$A:$I,9,FALSE)</f>
        <v>3</v>
      </c>
      <c r="J74" s="8" t="str">
        <f>VLOOKUP(F74,[1]characters!$A:$H,8,FALSE)</f>
        <v>green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5">
        <v>1</v>
      </c>
      <c r="N74" s="28">
        <f>VLOOKUP(D74,gacha_148_base!A:B,2,FALSE)</f>
        <v>1856</v>
      </c>
      <c r="O74" s="19">
        <v>0</v>
      </c>
      <c r="P74" s="19">
        <v>0</v>
      </c>
      <c r="Q74" s="19">
        <v>0</v>
      </c>
      <c r="R74" s="19">
        <v>0</v>
      </c>
      <c r="S74" s="19">
        <v>1</v>
      </c>
    </row>
    <row r="75" spans="1:19" ht="21" customHeight="1">
      <c r="A75" s="7" t="str">
        <f t="shared" si="6"/>
        <v>149138</v>
      </c>
      <c r="B75" s="2">
        <f t="shared" si="10"/>
        <v>149</v>
      </c>
      <c r="C75" s="8" t="str">
        <f t="shared" si="8"/>
        <v>0PremiumW3</v>
      </c>
      <c r="D75" s="8" t="str">
        <f t="shared" si="9"/>
        <v>0PremiumW3</v>
      </c>
      <c r="E75" s="5">
        <v>0</v>
      </c>
      <c r="F75" s="6">
        <v>138</v>
      </c>
      <c r="G75" s="8" t="str">
        <f>VLOOKUP(F75,[1]characters!$A:$C,3,FALSE)</f>
        <v>蒼薙のトモエ</v>
      </c>
      <c r="H75" s="8" t="str">
        <f>VLOOKUP(F75,[1]characters!$A:$J,10,FALSE)</f>
        <v>PremiumW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5">
        <v>1</v>
      </c>
      <c r="N75" s="28">
        <f>VLOOKUP(D75,gacha_148_base!A:B,2,FALSE)</f>
        <v>1856</v>
      </c>
      <c r="O75" s="19">
        <v>0</v>
      </c>
      <c r="P75" s="19">
        <v>0</v>
      </c>
      <c r="Q75" s="19">
        <v>0</v>
      </c>
      <c r="R75" s="19">
        <v>0</v>
      </c>
      <c r="S75" s="19">
        <v>1</v>
      </c>
    </row>
    <row r="76" spans="1:19" ht="21" customHeight="1">
      <c r="A76" s="7" t="str">
        <f t="shared" si="6"/>
        <v>149140</v>
      </c>
      <c r="B76" s="2">
        <f t="shared" si="10"/>
        <v>149</v>
      </c>
      <c r="C76" s="8" t="str">
        <f t="shared" si="8"/>
        <v>0PremiumW3</v>
      </c>
      <c r="D76" s="8" t="str">
        <f t="shared" si="9"/>
        <v>0PremiumW3</v>
      </c>
      <c r="E76" s="5">
        <v>0</v>
      </c>
      <c r="F76" s="6">
        <v>140</v>
      </c>
      <c r="G76" s="8" t="str">
        <f>VLOOKUP(F76,[1]characters!$A:$C,3,FALSE)</f>
        <v>秋祭のタマモ</v>
      </c>
      <c r="H76" s="8" t="str">
        <f>VLOOKUP(F76,[1]characters!$A:$J,10,FALSE)</f>
        <v>PremiumW</v>
      </c>
      <c r="I76" s="8">
        <f>VLOOKUP(F76,[1]characters!$A:$I,9,FALSE)</f>
        <v>3</v>
      </c>
      <c r="J76" s="8" t="str">
        <f>VLOOKUP(F76,[1]characters!$A:$H,8,FALSE)</f>
        <v>yellow</v>
      </c>
      <c r="K76" s="8" t="str">
        <f>VLOOKUP(F76,[1]characters!$A:$K,11,FALSE)</f>
        <v>balance</v>
      </c>
      <c r="L76" s="8" t="str">
        <f>VLOOKUP(F76,[1]characters!$A:$M,13,FALSE)</f>
        <v>animal</v>
      </c>
      <c r="M76" s="5">
        <v>1</v>
      </c>
      <c r="N76" s="28">
        <f>VLOOKUP(D76,gacha_148_base!A:B,2,FALSE)</f>
        <v>1856</v>
      </c>
      <c r="O76" s="19">
        <v>0</v>
      </c>
      <c r="P76" s="19">
        <v>0</v>
      </c>
      <c r="Q76" s="19">
        <v>0</v>
      </c>
      <c r="R76" s="19">
        <v>0</v>
      </c>
      <c r="S76" s="19">
        <v>1</v>
      </c>
    </row>
    <row r="77" spans="1:19" ht="21" customHeight="1">
      <c r="A77" s="7" t="str">
        <f t="shared" si="6"/>
        <v>149142</v>
      </c>
      <c r="B77" s="2">
        <f t="shared" si="10"/>
        <v>149</v>
      </c>
      <c r="C77" s="8" t="str">
        <f t="shared" si="8"/>
        <v>0PremiumW3</v>
      </c>
      <c r="D77" s="8" t="str">
        <f t="shared" si="9"/>
        <v>0PremiumW3</v>
      </c>
      <c r="E77" s="5">
        <v>0</v>
      </c>
      <c r="F77" s="6">
        <v>142</v>
      </c>
      <c r="G77" s="8" t="str">
        <f>VLOOKUP(F77,[1]characters!$A:$C,3,FALSE)</f>
        <v>赤ずきん</v>
      </c>
      <c r="H77" s="8" t="str">
        <f>VLOOKUP(F77,[1]characters!$A:$J,10,FALSE)</f>
        <v>PremiumW</v>
      </c>
      <c r="I77" s="8">
        <f>VLOOKUP(F77,[1]characters!$A:$I,9,FALSE)</f>
        <v>3</v>
      </c>
      <c r="J77" s="8" t="str">
        <f>VLOOKUP(F77,[1]characters!$A:$H,8,FALSE)</f>
        <v>red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5">
        <v>1</v>
      </c>
      <c r="N77" s="28">
        <f>VLOOKUP(D77,gacha_148_base!A:B,2,FALSE)</f>
        <v>1856</v>
      </c>
      <c r="O77" s="19">
        <v>0</v>
      </c>
      <c r="P77" s="19">
        <v>0</v>
      </c>
      <c r="Q77" s="19">
        <v>0</v>
      </c>
      <c r="R77" s="19">
        <v>0</v>
      </c>
      <c r="S77" s="19">
        <v>1</v>
      </c>
    </row>
    <row r="78" spans="1:19" ht="21" customHeight="1">
      <c r="A78" s="7" t="str">
        <f t="shared" si="6"/>
        <v>149144</v>
      </c>
      <c r="B78" s="2">
        <f t="shared" si="10"/>
        <v>149</v>
      </c>
      <c r="C78" s="8" t="str">
        <f t="shared" si="8"/>
        <v>0PremiumW3</v>
      </c>
      <c r="D78" s="8" t="str">
        <f t="shared" si="9"/>
        <v>0PremiumW3</v>
      </c>
      <c r="E78" s="5">
        <v>0</v>
      </c>
      <c r="F78" s="6">
        <v>144</v>
      </c>
      <c r="G78" s="8" t="str">
        <f>VLOOKUP(F78,[1]characters!$A:$C,3,FALSE)</f>
        <v>かぐや</v>
      </c>
      <c r="H78" s="8" t="str">
        <f>VLOOKUP(F78,[1]characters!$A:$J,10,FALSE)</f>
        <v>PremiumW</v>
      </c>
      <c r="I78" s="8">
        <f>VLOOKUP(F78,[1]characters!$A:$I,9,FALSE)</f>
        <v>3</v>
      </c>
      <c r="J78" s="8" t="str">
        <f>VLOOKUP(F78,[1]characters!$A:$H,8,FALSE)</f>
        <v>green</v>
      </c>
      <c r="K78" s="8" t="str">
        <f>VLOOKUP(F78,[1]characters!$A:$K,11,FALSE)</f>
        <v>hp</v>
      </c>
      <c r="L78" s="8" t="str">
        <f>VLOOKUP(F78,[1]characters!$A:$M,13,FALSE)</f>
        <v>human</v>
      </c>
      <c r="M78" s="5">
        <v>1</v>
      </c>
      <c r="N78" s="28">
        <f>VLOOKUP(D78,gacha_148_base!A:B,2,FALSE)</f>
        <v>1856</v>
      </c>
      <c r="O78" s="19">
        <v>0</v>
      </c>
      <c r="P78" s="19">
        <v>0</v>
      </c>
      <c r="Q78" s="19">
        <v>0</v>
      </c>
      <c r="R78" s="19">
        <v>0</v>
      </c>
      <c r="S78" s="19">
        <v>1</v>
      </c>
    </row>
    <row r="79" spans="1:19" ht="21" customHeight="1">
      <c r="A79" s="7" t="str">
        <f t="shared" si="6"/>
        <v>149146</v>
      </c>
      <c r="B79" s="2">
        <f t="shared" si="10"/>
        <v>149</v>
      </c>
      <c r="C79" s="8" t="str">
        <f t="shared" si="8"/>
        <v>0PremiumW3</v>
      </c>
      <c r="D79" s="8" t="str">
        <f t="shared" si="9"/>
        <v>0PremiumW3</v>
      </c>
      <c r="E79" s="5">
        <v>0</v>
      </c>
      <c r="F79" s="6">
        <v>146</v>
      </c>
      <c r="G79" s="8" t="str">
        <f>VLOOKUP(F79,[1]characters!$A:$C,3,FALSE)</f>
        <v>マーメイド</v>
      </c>
      <c r="H79" s="8" t="str">
        <f>VLOOKUP(F79,[1]characters!$A:$J,10,FALSE)</f>
        <v>PremiumW</v>
      </c>
      <c r="I79" s="8">
        <f>VLOOKUP(F79,[1]characters!$A:$I,9,FALSE)</f>
        <v>3</v>
      </c>
      <c r="J79" s="8" t="str">
        <f>VLOOKUP(F79,[1]characters!$A:$H,8,FALSE)</f>
        <v>blue</v>
      </c>
      <c r="K79" s="8" t="str">
        <f>VLOOKUP(F79,[1]characters!$A:$K,11,FALSE)</f>
        <v>hp</v>
      </c>
      <c r="L79" s="8" t="str">
        <f>VLOOKUP(F79,[1]characters!$A:$M,13,FALSE)</f>
        <v>human</v>
      </c>
      <c r="M79" s="5">
        <v>1</v>
      </c>
      <c r="N79" s="28">
        <f>VLOOKUP(D79,gacha_148_base!A:B,2,FALSE)</f>
        <v>1856</v>
      </c>
      <c r="O79" s="19">
        <v>0</v>
      </c>
      <c r="P79" s="19">
        <v>0</v>
      </c>
      <c r="Q79" s="19">
        <v>0</v>
      </c>
      <c r="R79" s="19">
        <v>0</v>
      </c>
      <c r="S79" s="19">
        <v>1</v>
      </c>
    </row>
    <row r="80" spans="1:19" ht="21" customHeight="1">
      <c r="A80" s="7" t="str">
        <f t="shared" si="6"/>
        <v>149148</v>
      </c>
      <c r="B80" s="2">
        <f t="shared" si="10"/>
        <v>149</v>
      </c>
      <c r="C80" s="8" t="str">
        <f t="shared" si="8"/>
        <v>0PremiumW3</v>
      </c>
      <c r="D80" s="8" t="str">
        <f t="shared" si="9"/>
        <v>0PremiumW3</v>
      </c>
      <c r="E80" s="5">
        <v>0</v>
      </c>
      <c r="F80" s="6">
        <v>148</v>
      </c>
      <c r="G80" s="8" t="str">
        <f>VLOOKUP(F80,[1]characters!$A:$C,3,FALSE)</f>
        <v>シンデレラ</v>
      </c>
      <c r="H80" s="8" t="str">
        <f>VLOOKUP(F80,[1]characters!$A:$J,10,FALSE)</f>
        <v>PremiumW</v>
      </c>
      <c r="I80" s="8">
        <f>VLOOKUP(F80,[1]characters!$A:$I,9,FALSE)</f>
        <v>3</v>
      </c>
      <c r="J80" s="8" t="str">
        <f>VLOOKUP(F80,[1]characters!$A:$H,8,FALSE)</f>
        <v>yellow</v>
      </c>
      <c r="K80" s="8" t="str">
        <f>VLOOKUP(F80,[1]characters!$A:$K,11,FALSE)</f>
        <v>balance</v>
      </c>
      <c r="L80" s="8" t="str">
        <f>VLOOKUP(F80,[1]characters!$A:$M,13,FALSE)</f>
        <v>human</v>
      </c>
      <c r="M80" s="5">
        <v>1</v>
      </c>
      <c r="N80" s="28">
        <f>VLOOKUP(D80,gacha_148_base!A:B,2,FALSE)</f>
        <v>1856</v>
      </c>
      <c r="O80" s="19">
        <v>0</v>
      </c>
      <c r="P80" s="19">
        <v>0</v>
      </c>
      <c r="Q80" s="19">
        <v>0</v>
      </c>
      <c r="R80" s="19">
        <v>0</v>
      </c>
      <c r="S80" s="19">
        <v>1</v>
      </c>
    </row>
    <row r="81" spans="1:19" ht="21" customHeight="1">
      <c r="A81" s="7" t="str">
        <f t="shared" si="6"/>
        <v>149150</v>
      </c>
      <c r="B81" s="2">
        <f t="shared" si="10"/>
        <v>149</v>
      </c>
      <c r="C81" s="8" t="str">
        <f t="shared" si="8"/>
        <v>0PremiumW3</v>
      </c>
      <c r="D81" s="8" t="str">
        <f t="shared" si="9"/>
        <v>0PremiumW3</v>
      </c>
      <c r="E81" s="5">
        <v>0</v>
      </c>
      <c r="F81" s="6">
        <v>150</v>
      </c>
      <c r="G81" s="8" t="str">
        <f>VLOOKUP(F81,[1]characters!$A:$C,3,FALSE)</f>
        <v>ポイズンマスターサキ</v>
      </c>
      <c r="H81" s="8" t="str">
        <f>VLOOKUP(F81,[1]characters!$A:$J,10,FALSE)</f>
        <v>PremiumW</v>
      </c>
      <c r="I81" s="8">
        <f>VLOOKUP(F81,[1]characters!$A:$I,9,FALSE)</f>
        <v>3</v>
      </c>
      <c r="J81" s="8" t="str">
        <f>VLOOKUP(F81,[1]characters!$A:$H,8,FALSE)</f>
        <v>red</v>
      </c>
      <c r="K81" s="8" t="str">
        <f>VLOOKUP(F81,[1]characters!$A:$K,11,FALSE)</f>
        <v>technical</v>
      </c>
      <c r="L81" s="8" t="str">
        <f>VLOOKUP(F81,[1]characters!$A:$M,13,FALSE)</f>
        <v>human</v>
      </c>
      <c r="M81" s="5">
        <v>1</v>
      </c>
      <c r="N81" s="28">
        <f>VLOOKUP(D81,gacha_148_base!A:B,2,FALSE)</f>
        <v>1856</v>
      </c>
      <c r="O81" s="19">
        <v>0</v>
      </c>
      <c r="P81" s="19">
        <v>0</v>
      </c>
      <c r="Q81" s="19">
        <v>0</v>
      </c>
      <c r="R81" s="19">
        <v>0</v>
      </c>
      <c r="S81" s="19">
        <v>1</v>
      </c>
    </row>
    <row r="82" spans="1:19" ht="21" customHeight="1">
      <c r="A82" s="7" t="str">
        <f t="shared" si="6"/>
        <v>149152</v>
      </c>
      <c r="B82" s="2">
        <f t="shared" si="10"/>
        <v>149</v>
      </c>
      <c r="C82" s="8" t="str">
        <f t="shared" si="8"/>
        <v>0PremiumW3</v>
      </c>
      <c r="D82" s="8" t="str">
        <f t="shared" si="9"/>
        <v>0PremiumW3</v>
      </c>
      <c r="E82" s="5">
        <v>0</v>
      </c>
      <c r="F82" s="6">
        <v>152</v>
      </c>
      <c r="G82" s="8" t="str">
        <f>VLOOKUP(F82,[1]characters!$A:$C,3,FALSE)</f>
        <v>功夫少女ランラン</v>
      </c>
      <c r="H82" s="8" t="str">
        <f>VLOOKUP(F82,[1]characters!$A:$J,10,FALSE)</f>
        <v>PremiumW</v>
      </c>
      <c r="I82" s="8">
        <f>VLOOKUP(F82,[1]characters!$A:$I,9,FALSE)</f>
        <v>3</v>
      </c>
      <c r="J82" s="8" t="str">
        <f>VLOOKUP(F82,[1]characters!$A:$H,8,FALSE)</f>
        <v>green</v>
      </c>
      <c r="K82" s="8" t="str">
        <f>VLOOKUP(F82,[1]characters!$A:$K,11,FALSE)</f>
        <v>heal</v>
      </c>
      <c r="L82" s="8" t="str">
        <f>VLOOKUP(F82,[1]characters!$A:$M,13,FALSE)</f>
        <v>human</v>
      </c>
      <c r="M82" s="5">
        <v>1</v>
      </c>
      <c r="N82" s="28">
        <f>VLOOKUP(D82,gacha_148_base!A:B,2,FALSE)</f>
        <v>1856</v>
      </c>
      <c r="O82" s="19">
        <v>0</v>
      </c>
      <c r="P82" s="19">
        <v>0</v>
      </c>
      <c r="Q82" s="19">
        <v>0</v>
      </c>
      <c r="R82" s="19">
        <v>0</v>
      </c>
      <c r="S82" s="19">
        <v>1</v>
      </c>
    </row>
    <row r="83" spans="1:19" ht="21" customHeight="1">
      <c r="A83" s="7" t="str">
        <f t="shared" si="6"/>
        <v>149154</v>
      </c>
      <c r="B83" s="2">
        <f t="shared" si="10"/>
        <v>149</v>
      </c>
      <c r="C83" s="8" t="str">
        <f t="shared" si="8"/>
        <v>0PremiumW3</v>
      </c>
      <c r="D83" s="8" t="str">
        <f t="shared" si="9"/>
        <v>0PremiumW3</v>
      </c>
      <c r="E83" s="5">
        <v>0</v>
      </c>
      <c r="F83" s="6">
        <v>154</v>
      </c>
      <c r="G83" s="8" t="str">
        <f>VLOOKUP(F83,[1]characters!$A:$C,3,FALSE)</f>
        <v>始末屋 ハンナ</v>
      </c>
      <c r="H83" s="8" t="str">
        <f>VLOOKUP(F83,[1]characters!$A:$J,10,FALSE)</f>
        <v>PremiumW</v>
      </c>
      <c r="I83" s="8">
        <f>VLOOKUP(F83,[1]characters!$A:$I,9,FALSE)</f>
        <v>3</v>
      </c>
      <c r="J83" s="8" t="str">
        <f>VLOOKUP(F83,[1]characters!$A:$H,8,FALSE)</f>
        <v>blue</v>
      </c>
      <c r="K83" s="8" t="str">
        <f>VLOOKUP(F83,[1]characters!$A:$K,11,FALSE)</f>
        <v>heal</v>
      </c>
      <c r="L83" s="8" t="str">
        <f>VLOOKUP(F83,[1]characters!$A:$M,13,FALSE)</f>
        <v>human</v>
      </c>
      <c r="M83" s="5">
        <v>1</v>
      </c>
      <c r="N83" s="28">
        <f>VLOOKUP(D83,gacha_148_base!A:B,2,FALSE)</f>
        <v>1856</v>
      </c>
      <c r="O83" s="19">
        <v>0</v>
      </c>
      <c r="P83" s="19">
        <v>0</v>
      </c>
      <c r="Q83" s="19">
        <v>0</v>
      </c>
      <c r="R83" s="19">
        <v>0</v>
      </c>
      <c r="S83" s="19">
        <v>1</v>
      </c>
    </row>
    <row r="84" spans="1:19" ht="21" customHeight="1">
      <c r="A84" s="7" t="str">
        <f t="shared" si="6"/>
        <v>149156</v>
      </c>
      <c r="B84" s="2">
        <f t="shared" si="10"/>
        <v>149</v>
      </c>
      <c r="C84" s="8" t="str">
        <f t="shared" si="8"/>
        <v>0PremiumW3</v>
      </c>
      <c r="D84" s="8" t="str">
        <f t="shared" si="9"/>
        <v>0PremiumW3</v>
      </c>
      <c r="E84" s="5">
        <v>0</v>
      </c>
      <c r="F84" s="6">
        <v>156</v>
      </c>
      <c r="G84" s="8" t="str">
        <f>VLOOKUP(F84,[1]characters!$A:$C,3,FALSE)</f>
        <v>踊り子 エレナ</v>
      </c>
      <c r="H84" s="8" t="str">
        <f>VLOOKUP(F84,[1]characters!$A:$J,10,FALSE)</f>
        <v>PremiumW</v>
      </c>
      <c r="I84" s="8">
        <f>VLOOKUP(F84,[1]characters!$A:$I,9,FALSE)</f>
        <v>3</v>
      </c>
      <c r="J84" s="8" t="str">
        <f>VLOOKUP(F84,[1]characters!$A:$H,8,FALSE)</f>
        <v>yellow</v>
      </c>
      <c r="K84" s="8" t="str">
        <f>VLOOKUP(F84,[1]characters!$A:$K,11,FALSE)</f>
        <v>heal</v>
      </c>
      <c r="L84" s="8" t="str">
        <f>VLOOKUP(F84,[1]characters!$A:$M,13,FALSE)</f>
        <v>human</v>
      </c>
      <c r="M84" s="5">
        <v>1</v>
      </c>
      <c r="N84" s="28">
        <f>VLOOKUP(D84,gacha_148_base!A:B,2,FALSE)</f>
        <v>1856</v>
      </c>
      <c r="O84" s="19">
        <v>0</v>
      </c>
      <c r="P84" s="19">
        <v>0</v>
      </c>
      <c r="Q84" s="19">
        <v>0</v>
      </c>
      <c r="R84" s="19">
        <v>0</v>
      </c>
      <c r="S84" s="19">
        <v>1</v>
      </c>
    </row>
    <row r="85" spans="1:19" ht="21" customHeight="1">
      <c r="A85" s="7" t="str">
        <f t="shared" si="6"/>
        <v>149158</v>
      </c>
      <c r="B85" s="2">
        <f t="shared" si="10"/>
        <v>149</v>
      </c>
      <c r="C85" s="8" t="str">
        <f t="shared" si="8"/>
        <v>0PremiumW3</v>
      </c>
      <c r="D85" s="8" t="str">
        <f t="shared" si="9"/>
        <v>0PremiumW3</v>
      </c>
      <c r="E85" s="5">
        <v>0</v>
      </c>
      <c r="F85" s="6">
        <v>158</v>
      </c>
      <c r="G85" s="8" t="str">
        <f>VLOOKUP(F85,[1]characters!$A:$C,3,FALSE)</f>
        <v>シスター シャルロッテ</v>
      </c>
      <c r="H85" s="8" t="str">
        <f>VLOOKUP(F85,[1]characters!$A:$J,10,FALSE)</f>
        <v>PremiumW</v>
      </c>
      <c r="I85" s="8">
        <f>VLOOKUP(F85,[1]characters!$A:$I,9,FALSE)</f>
        <v>3</v>
      </c>
      <c r="J85" s="8" t="str">
        <f>VLOOKUP(F85,[1]characters!$A:$H,8,FALSE)</f>
        <v>red</v>
      </c>
      <c r="K85" s="8" t="str">
        <f>VLOOKUP(F85,[1]characters!$A:$K,11,FALSE)</f>
        <v>heal</v>
      </c>
      <c r="L85" s="8" t="str">
        <f>VLOOKUP(F85,[1]characters!$A:$M,13,FALSE)</f>
        <v>human</v>
      </c>
      <c r="M85" s="5">
        <v>1</v>
      </c>
      <c r="N85" s="28">
        <f>VLOOKUP(D85,gacha_148_base!A:B,2,FALSE)</f>
        <v>1856</v>
      </c>
      <c r="O85" s="19">
        <v>0</v>
      </c>
      <c r="P85" s="19">
        <v>0</v>
      </c>
      <c r="Q85" s="19">
        <v>0</v>
      </c>
      <c r="R85" s="19">
        <v>0</v>
      </c>
      <c r="S85" s="19">
        <v>1</v>
      </c>
    </row>
    <row r="86" spans="1:19" ht="21" customHeight="1">
      <c r="A86" s="7" t="str">
        <f t="shared" si="6"/>
        <v>149160</v>
      </c>
      <c r="B86" s="2">
        <f t="shared" si="10"/>
        <v>149</v>
      </c>
      <c r="C86" s="8" t="str">
        <f t="shared" si="8"/>
        <v>0PremiumW3</v>
      </c>
      <c r="D86" s="8" t="str">
        <f t="shared" si="9"/>
        <v>0PremiumW3</v>
      </c>
      <c r="E86" s="5">
        <v>0</v>
      </c>
      <c r="F86" s="6">
        <v>160</v>
      </c>
      <c r="G86" s="8" t="str">
        <f>VLOOKUP(F86,[1]characters!$A:$C,3,FALSE)</f>
        <v>反逆者 クリエ</v>
      </c>
      <c r="H86" s="8" t="str">
        <f>VLOOKUP(F86,[1]characters!$A:$J,10,FALSE)</f>
        <v>PremiumW</v>
      </c>
      <c r="I86" s="8">
        <f>VLOOKUP(F86,[1]characters!$A:$I,9,FALSE)</f>
        <v>3</v>
      </c>
      <c r="J86" s="8" t="str">
        <f>VLOOKUP(F86,[1]characters!$A:$H,8,FALSE)</f>
        <v>green</v>
      </c>
      <c r="K86" s="8" t="str">
        <f>VLOOKUP(F86,[1]characters!$A:$K,11,FALSE)</f>
        <v>balance</v>
      </c>
      <c r="L86" s="8" t="str">
        <f>VLOOKUP(F86,[1]characters!$A:$M,13,FALSE)</f>
        <v>human</v>
      </c>
      <c r="M86" s="5">
        <v>1</v>
      </c>
      <c r="N86" s="28">
        <f>VLOOKUP(D86,gacha_148_base!A:B,2,FALSE)</f>
        <v>1856</v>
      </c>
      <c r="O86" s="19">
        <v>0</v>
      </c>
      <c r="P86" s="19">
        <v>0</v>
      </c>
      <c r="Q86" s="19">
        <v>0</v>
      </c>
      <c r="R86" s="19">
        <v>0</v>
      </c>
      <c r="S86" s="19">
        <v>1</v>
      </c>
    </row>
    <row r="87" spans="1:19" ht="21" customHeight="1">
      <c r="A87" s="7" t="str">
        <f t="shared" si="6"/>
        <v>149162</v>
      </c>
      <c r="B87" s="2">
        <f t="shared" si="10"/>
        <v>149</v>
      </c>
      <c r="C87" s="8" t="str">
        <f t="shared" si="8"/>
        <v>0PremiumW3</v>
      </c>
      <c r="D87" s="8" t="str">
        <f t="shared" si="9"/>
        <v>0PremiumW3</v>
      </c>
      <c r="E87" s="5">
        <v>0</v>
      </c>
      <c r="F87" s="6">
        <v>162</v>
      </c>
      <c r="G87" s="8" t="str">
        <f>VLOOKUP(F87,[1]characters!$A:$C,3,FALSE)</f>
        <v>狂女 クララ</v>
      </c>
      <c r="H87" s="8" t="str">
        <f>VLOOKUP(F87,[1]characters!$A:$J,10,FALSE)</f>
        <v>PremiumW</v>
      </c>
      <c r="I87" s="8">
        <f>VLOOKUP(F87,[1]characters!$A:$I,9,FALSE)</f>
        <v>3</v>
      </c>
      <c r="J87" s="8" t="str">
        <f>VLOOKUP(F87,[1]characters!$A:$H,8,FALSE)</f>
        <v>blue</v>
      </c>
      <c r="K87" s="8" t="str">
        <f>VLOOKUP(F87,[1]characters!$A:$K,11,FALSE)</f>
        <v>attack</v>
      </c>
      <c r="L87" s="8" t="str">
        <f>VLOOKUP(F87,[1]characters!$A:$M,13,FALSE)</f>
        <v>human</v>
      </c>
      <c r="M87" s="5">
        <v>1</v>
      </c>
      <c r="N87" s="28">
        <f>VLOOKUP(D87,gacha_148_base!A:B,2,FALSE)</f>
        <v>1856</v>
      </c>
      <c r="O87" s="19">
        <v>0</v>
      </c>
      <c r="P87" s="19">
        <v>0</v>
      </c>
      <c r="Q87" s="19">
        <v>0</v>
      </c>
      <c r="R87" s="19">
        <v>0</v>
      </c>
      <c r="S87" s="19">
        <v>1</v>
      </c>
    </row>
    <row r="88" spans="1:19" ht="21" customHeight="1">
      <c r="A88" s="7" t="str">
        <f t="shared" si="6"/>
        <v>149164</v>
      </c>
      <c r="B88" s="2">
        <f t="shared" si="10"/>
        <v>149</v>
      </c>
      <c r="C88" s="8" t="str">
        <f t="shared" si="8"/>
        <v>0PremiumW3</v>
      </c>
      <c r="D88" s="8" t="str">
        <f t="shared" si="9"/>
        <v>0PremiumW3</v>
      </c>
      <c r="E88" s="5">
        <v>0</v>
      </c>
      <c r="F88" s="6">
        <v>164</v>
      </c>
      <c r="G88" s="8" t="str">
        <f>VLOOKUP(F88,[1]characters!$A:$C,3,FALSE)</f>
        <v>イブとトモダチ</v>
      </c>
      <c r="H88" s="8" t="str">
        <f>VLOOKUP(F88,[1]characters!$A:$J,10,FALSE)</f>
        <v>PremiumW</v>
      </c>
      <c r="I88" s="8">
        <f>VLOOKUP(F88,[1]characters!$A:$I,9,FALSE)</f>
        <v>3</v>
      </c>
      <c r="J88" s="8" t="str">
        <f>VLOOKUP(F88,[1]characters!$A:$H,8,FALSE)</f>
        <v>yellow</v>
      </c>
      <c r="K88" s="8" t="str">
        <f>VLOOKUP(F88,[1]characters!$A:$K,11,FALSE)</f>
        <v>technical</v>
      </c>
      <c r="L88" s="8" t="str">
        <f>VLOOKUP(F88,[1]characters!$A:$M,13,FALSE)</f>
        <v>human</v>
      </c>
      <c r="M88" s="5">
        <v>1</v>
      </c>
      <c r="N88" s="28">
        <f>VLOOKUP(D88,gacha_148_base!A:B,2,FALSE)</f>
        <v>1856</v>
      </c>
      <c r="O88" s="19">
        <v>0</v>
      </c>
      <c r="P88" s="19">
        <v>0</v>
      </c>
      <c r="Q88" s="19">
        <v>0</v>
      </c>
      <c r="R88" s="19">
        <v>0</v>
      </c>
      <c r="S88" s="19">
        <v>1</v>
      </c>
    </row>
    <row r="89" spans="1:19" ht="21" customHeight="1">
      <c r="A89" s="7" t="str">
        <f t="shared" si="6"/>
        <v>149166</v>
      </c>
      <c r="B89" s="2">
        <f t="shared" si="10"/>
        <v>149</v>
      </c>
      <c r="C89" s="8" t="str">
        <f t="shared" si="8"/>
        <v>0PremiumN3</v>
      </c>
      <c r="D89" s="8" t="str">
        <f t="shared" si="9"/>
        <v>0PremiumN3</v>
      </c>
      <c r="E89" s="5">
        <v>0</v>
      </c>
      <c r="F89" s="6">
        <v>166</v>
      </c>
      <c r="G89" s="8" t="str">
        <f>VLOOKUP(F89,[1]characters!$A:$C,3,FALSE)</f>
        <v>ベリアル</v>
      </c>
      <c r="H89" s="8" t="str">
        <f>VLOOKUP(F89,[1]characters!$A:$J,10,FALSE)</f>
        <v>PremiumN</v>
      </c>
      <c r="I89" s="8">
        <f>VLOOKUP(F89,[1]characters!$A:$I,9,FALSE)</f>
        <v>3</v>
      </c>
      <c r="J89" s="8" t="str">
        <f>VLOOKUP(F89,[1]characters!$A:$H,8,FALSE)</f>
        <v>red</v>
      </c>
      <c r="K89" s="8" t="str">
        <f>VLOOKUP(F89,[1]characters!$A:$K,11,FALSE)</f>
        <v>attack</v>
      </c>
      <c r="L89" s="8" t="str">
        <f>VLOOKUP(F89,[1]characters!$A:$M,13,FALSE)</f>
        <v>god</v>
      </c>
      <c r="M89" s="5">
        <v>1</v>
      </c>
      <c r="N89" s="28">
        <f>VLOOKUP(D89,gacha_148_base!A:B,2,FALSE)</f>
        <v>2471</v>
      </c>
      <c r="O89" s="19">
        <v>0</v>
      </c>
      <c r="P89" s="19">
        <v>0</v>
      </c>
      <c r="Q89" s="19">
        <v>0</v>
      </c>
      <c r="R89" s="19">
        <v>0</v>
      </c>
      <c r="S89" s="19">
        <v>1</v>
      </c>
    </row>
    <row r="90" spans="1:19" ht="21" customHeight="1">
      <c r="A90" s="7" t="str">
        <f t="shared" ref="A90:A153" si="11">B90&amp;F90</f>
        <v>149169</v>
      </c>
      <c r="B90" s="2">
        <f t="shared" si="10"/>
        <v>149</v>
      </c>
      <c r="C90" s="8" t="str">
        <f t="shared" si="8"/>
        <v>0PremiumN3</v>
      </c>
      <c r="D90" s="8" t="str">
        <f t="shared" si="9"/>
        <v>0PremiumN3</v>
      </c>
      <c r="E90" s="5">
        <v>0</v>
      </c>
      <c r="F90" s="6">
        <v>169</v>
      </c>
      <c r="G90" s="8" t="str">
        <f>VLOOKUP(F90,[1]characters!$A:$C,3,FALSE)</f>
        <v>オセ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green</v>
      </c>
      <c r="K90" s="8" t="str">
        <f>VLOOKUP(F90,[1]characters!$A:$K,11,FALSE)</f>
        <v>attack</v>
      </c>
      <c r="L90" s="8" t="str">
        <f>VLOOKUP(F90,[1]characters!$A:$M,13,FALSE)</f>
        <v>god</v>
      </c>
      <c r="M90" s="5">
        <v>1</v>
      </c>
      <c r="N90" s="28">
        <f>VLOOKUP(D90,gacha_148_base!A:B,2,FALSE)</f>
        <v>2471</v>
      </c>
      <c r="O90" s="19">
        <v>0</v>
      </c>
      <c r="P90" s="19">
        <v>0</v>
      </c>
      <c r="Q90" s="19">
        <v>0</v>
      </c>
      <c r="R90" s="19">
        <v>0</v>
      </c>
      <c r="S90" s="19">
        <v>1</v>
      </c>
    </row>
    <row r="91" spans="1:19" ht="21" customHeight="1">
      <c r="A91" s="7" t="str">
        <f t="shared" si="11"/>
        <v>149172</v>
      </c>
      <c r="B91" s="2">
        <f t="shared" si="10"/>
        <v>149</v>
      </c>
      <c r="C91" s="8" t="str">
        <f t="shared" si="8"/>
        <v>0PremiumN3</v>
      </c>
      <c r="D91" s="8" t="str">
        <f t="shared" si="9"/>
        <v>0PremiumN3</v>
      </c>
      <c r="E91" s="5">
        <v>0</v>
      </c>
      <c r="F91" s="6">
        <v>172</v>
      </c>
      <c r="G91" s="8" t="str">
        <f>VLOOKUP(F91,[1]characters!$A:$C,3,FALSE)</f>
        <v>フォルネウス</v>
      </c>
      <c r="H91" s="8" t="str">
        <f>VLOOKUP(F91,[1]characters!$A:$J,10,FALSE)</f>
        <v>PremiumN</v>
      </c>
      <c r="I91" s="8">
        <f>VLOOKUP(F91,[1]characters!$A:$I,9,FALSE)</f>
        <v>3</v>
      </c>
      <c r="J91" s="8" t="str">
        <f>VLOOKUP(F91,[1]characters!$A:$H,8,FALSE)</f>
        <v>blue</v>
      </c>
      <c r="K91" s="8" t="str">
        <f>VLOOKUP(F91,[1]characters!$A:$K,11,FALSE)</f>
        <v>attack</v>
      </c>
      <c r="L91" s="8" t="str">
        <f>VLOOKUP(F91,[1]characters!$A:$M,13,FALSE)</f>
        <v>god</v>
      </c>
      <c r="M91" s="5">
        <v>1</v>
      </c>
      <c r="N91" s="28">
        <f>VLOOKUP(D91,gacha_148_base!A:B,2,FALSE)</f>
        <v>2471</v>
      </c>
      <c r="O91" s="19">
        <v>0</v>
      </c>
      <c r="P91" s="19">
        <v>0</v>
      </c>
      <c r="Q91" s="19">
        <v>0</v>
      </c>
      <c r="R91" s="19">
        <v>0</v>
      </c>
      <c r="S91" s="19">
        <v>1</v>
      </c>
    </row>
    <row r="92" spans="1:19" ht="21" customHeight="1">
      <c r="A92" s="7" t="str">
        <f t="shared" si="11"/>
        <v>149175</v>
      </c>
      <c r="B92" s="2">
        <f t="shared" si="10"/>
        <v>149</v>
      </c>
      <c r="C92" s="8" t="str">
        <f t="shared" si="8"/>
        <v>0PremiumN3</v>
      </c>
      <c r="D92" s="8" t="str">
        <f t="shared" si="9"/>
        <v>0PremiumN3</v>
      </c>
      <c r="E92" s="5">
        <v>0</v>
      </c>
      <c r="F92" s="6">
        <v>175</v>
      </c>
      <c r="G92" s="8" t="str">
        <f>VLOOKUP(F92,[1]characters!$A:$C,3,FALSE)</f>
        <v>バフォメット</v>
      </c>
      <c r="H92" s="8" t="str">
        <f>VLOOKUP(F92,[1]characters!$A:$J,10,FALSE)</f>
        <v>PremiumN</v>
      </c>
      <c r="I92" s="8">
        <f>VLOOKUP(F92,[1]characters!$A:$I,9,FALSE)</f>
        <v>3</v>
      </c>
      <c r="J92" s="8" t="str">
        <f>VLOOKUP(F92,[1]characters!$A:$H,8,FALSE)</f>
        <v>yellow</v>
      </c>
      <c r="K92" s="8" t="str">
        <f>VLOOKUP(F92,[1]characters!$A:$K,11,FALSE)</f>
        <v>attack</v>
      </c>
      <c r="L92" s="8" t="str">
        <f>VLOOKUP(F92,[1]characters!$A:$M,13,FALSE)</f>
        <v>god</v>
      </c>
      <c r="M92" s="5">
        <v>1</v>
      </c>
      <c r="N92" s="28">
        <f>VLOOKUP(D92,gacha_148_base!A:B,2,FALSE)</f>
        <v>2471</v>
      </c>
      <c r="O92" s="19">
        <v>0</v>
      </c>
      <c r="P92" s="19">
        <v>0</v>
      </c>
      <c r="Q92" s="19">
        <v>0</v>
      </c>
      <c r="R92" s="19">
        <v>0</v>
      </c>
      <c r="S92" s="19">
        <v>1</v>
      </c>
    </row>
    <row r="93" spans="1:19" ht="21" customHeight="1">
      <c r="A93" s="7" t="str">
        <f t="shared" si="11"/>
        <v>149178</v>
      </c>
      <c r="B93" s="2">
        <f t="shared" si="10"/>
        <v>149</v>
      </c>
      <c r="C93" s="8" t="str">
        <f t="shared" si="8"/>
        <v>0PremiumN3</v>
      </c>
      <c r="D93" s="8" t="str">
        <f t="shared" si="9"/>
        <v>0PremiumN3</v>
      </c>
      <c r="E93" s="5">
        <v>0</v>
      </c>
      <c r="F93" s="6">
        <v>178</v>
      </c>
      <c r="G93" s="8" t="str">
        <f>VLOOKUP(F93,[1]characters!$A:$C,3,FALSE)</f>
        <v>ケルベロス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red</v>
      </c>
      <c r="K93" s="8" t="str">
        <f>VLOOKUP(F93,[1]characters!$A:$K,11,FALSE)</f>
        <v>balance</v>
      </c>
      <c r="L93" s="8" t="str">
        <f>VLOOKUP(F93,[1]characters!$A:$M,13,FALSE)</f>
        <v>animal</v>
      </c>
      <c r="M93" s="5">
        <v>1</v>
      </c>
      <c r="N93" s="28">
        <f>VLOOKUP(D93,gacha_148_base!A:B,2,FALSE)</f>
        <v>2471</v>
      </c>
      <c r="O93" s="19">
        <v>0</v>
      </c>
      <c r="P93" s="19">
        <v>0</v>
      </c>
      <c r="Q93" s="19">
        <v>0</v>
      </c>
      <c r="R93" s="19">
        <v>0</v>
      </c>
      <c r="S93" s="19">
        <v>1</v>
      </c>
    </row>
    <row r="94" spans="1:19" ht="21" customHeight="1">
      <c r="A94" s="7" t="str">
        <f t="shared" si="11"/>
        <v>149181</v>
      </c>
      <c r="B94" s="2">
        <f t="shared" si="10"/>
        <v>149</v>
      </c>
      <c r="C94" s="8" t="str">
        <f t="shared" si="8"/>
        <v>0PremiumN3</v>
      </c>
      <c r="D94" s="8" t="str">
        <f t="shared" si="9"/>
        <v>0PremiumN3</v>
      </c>
      <c r="E94" s="5">
        <v>0</v>
      </c>
      <c r="F94" s="6">
        <v>181</v>
      </c>
      <c r="G94" s="8" t="str">
        <f>VLOOKUP(F94,[1]characters!$A:$C,3,FALSE)</f>
        <v>ベヒモス</v>
      </c>
      <c r="H94" s="8" t="str">
        <f>VLOOKUP(F94,[1]characters!$A:$J,10,FALSE)</f>
        <v>PremiumN</v>
      </c>
      <c r="I94" s="8">
        <f>VLOOKUP(F94,[1]characters!$A:$I,9,FALSE)</f>
        <v>3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animal</v>
      </c>
      <c r="M94" s="5">
        <v>1</v>
      </c>
      <c r="N94" s="28">
        <f>VLOOKUP(D94,gacha_148_base!A:B,2,FALSE)</f>
        <v>2471</v>
      </c>
      <c r="O94" s="19">
        <v>0</v>
      </c>
      <c r="P94" s="19">
        <v>0</v>
      </c>
      <c r="Q94" s="19">
        <v>0</v>
      </c>
      <c r="R94" s="19">
        <v>0</v>
      </c>
      <c r="S94" s="19">
        <v>1</v>
      </c>
    </row>
    <row r="95" spans="1:19" ht="21" customHeight="1">
      <c r="A95" s="7" t="str">
        <f t="shared" si="11"/>
        <v>149184</v>
      </c>
      <c r="B95" s="2">
        <f t="shared" si="10"/>
        <v>149</v>
      </c>
      <c r="C95" s="8" t="str">
        <f t="shared" si="8"/>
        <v>0PremiumN3</v>
      </c>
      <c r="D95" s="8" t="str">
        <f t="shared" si="9"/>
        <v>0PremiumN3</v>
      </c>
      <c r="E95" s="5">
        <v>0</v>
      </c>
      <c r="F95" s="6">
        <v>184</v>
      </c>
      <c r="G95" s="8" t="str">
        <f>VLOOKUP(F95,[1]characters!$A:$C,3,FALSE)</f>
        <v>クラーケン</v>
      </c>
      <c r="H95" s="8" t="str">
        <f>VLOOKUP(F95,[1]characters!$A:$J,10,FALSE)</f>
        <v>PremiumN</v>
      </c>
      <c r="I95" s="8">
        <f>VLOOKUP(F95,[1]characters!$A:$I,9,FALSE)</f>
        <v>3</v>
      </c>
      <c r="J95" s="8" t="str">
        <f>VLOOKUP(F95,[1]characters!$A:$H,8,FALSE)</f>
        <v>blue</v>
      </c>
      <c r="K95" s="8" t="str">
        <f>VLOOKUP(F95,[1]characters!$A:$K,11,FALSE)</f>
        <v>heal</v>
      </c>
      <c r="L95" s="8" t="str">
        <f>VLOOKUP(F95,[1]characters!$A:$M,13,FALSE)</f>
        <v>animal</v>
      </c>
      <c r="M95" s="5">
        <v>1</v>
      </c>
      <c r="N95" s="28">
        <f>VLOOKUP(D95,gacha_148_base!A:B,2,FALSE)</f>
        <v>2471</v>
      </c>
      <c r="O95" s="19">
        <v>0</v>
      </c>
      <c r="P95" s="19">
        <v>0</v>
      </c>
      <c r="Q95" s="19">
        <v>0</v>
      </c>
      <c r="R95" s="19">
        <v>0</v>
      </c>
      <c r="S95" s="19">
        <v>1</v>
      </c>
    </row>
    <row r="96" spans="1:19" ht="21" customHeight="1">
      <c r="A96" s="7" t="str">
        <f t="shared" si="11"/>
        <v>149187</v>
      </c>
      <c r="B96" s="2">
        <f t="shared" si="10"/>
        <v>149</v>
      </c>
      <c r="C96" s="8" t="str">
        <f t="shared" si="8"/>
        <v>0PremiumN3</v>
      </c>
      <c r="D96" s="8" t="str">
        <f t="shared" si="9"/>
        <v>0PremiumN3</v>
      </c>
      <c r="E96" s="5">
        <v>0</v>
      </c>
      <c r="F96" s="6">
        <v>187</v>
      </c>
      <c r="G96" s="8" t="str">
        <f>VLOOKUP(F96,[1]characters!$A:$C,3,FALSE)</f>
        <v>ホルス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yellow</v>
      </c>
      <c r="K96" s="8" t="str">
        <f>VLOOKUP(F96,[1]characters!$A:$K,11,FALSE)</f>
        <v>attack</v>
      </c>
      <c r="L96" s="8" t="str">
        <f>VLOOKUP(F96,[1]characters!$A:$M,13,FALSE)</f>
        <v>animal</v>
      </c>
      <c r="M96" s="5">
        <v>1</v>
      </c>
      <c r="N96" s="28">
        <f>VLOOKUP(D96,gacha_148_base!A:B,2,FALSE)</f>
        <v>2471</v>
      </c>
      <c r="O96" s="19">
        <v>0</v>
      </c>
      <c r="P96" s="19">
        <v>0</v>
      </c>
      <c r="Q96" s="19">
        <v>0</v>
      </c>
      <c r="R96" s="19">
        <v>0</v>
      </c>
      <c r="S96" s="19">
        <v>1</v>
      </c>
    </row>
    <row r="97" spans="1:19" ht="21" customHeight="1">
      <c r="A97" s="7" t="str">
        <f t="shared" si="11"/>
        <v>149190</v>
      </c>
      <c r="B97" s="2">
        <f t="shared" si="10"/>
        <v>149</v>
      </c>
      <c r="C97" s="8" t="str">
        <f t="shared" si="8"/>
        <v>0PremiumN3</v>
      </c>
      <c r="D97" s="8" t="str">
        <f t="shared" si="9"/>
        <v>0PremiumN3</v>
      </c>
      <c r="E97" s="5">
        <v>0</v>
      </c>
      <c r="F97" s="6">
        <v>190</v>
      </c>
      <c r="G97" s="8" t="str">
        <f>VLOOKUP(F97,[1]characters!$A:$C,3,FALSE)</f>
        <v>卑弥呼</v>
      </c>
      <c r="H97" s="8" t="str">
        <f>VLOOKUP(F97,[1]characters!$A:$J,10,FALSE)</f>
        <v>PremiumN</v>
      </c>
      <c r="I97" s="8">
        <f>VLOOKUP(F97,[1]characters!$A:$I,9,FALSE)</f>
        <v>3</v>
      </c>
      <c r="J97" s="8" t="str">
        <f>VLOOKUP(F97,[1]characters!$A:$H,8,FALSE)</f>
        <v>red</v>
      </c>
      <c r="K97" s="8" t="str">
        <f>VLOOKUP(F97,[1]characters!$A:$K,11,FALSE)</f>
        <v>balance</v>
      </c>
      <c r="L97" s="8" t="str">
        <f>VLOOKUP(F97,[1]characters!$A:$M,13,FALSE)</f>
        <v>human</v>
      </c>
      <c r="M97" s="5">
        <v>1</v>
      </c>
      <c r="N97" s="28">
        <f>VLOOKUP(D97,gacha_148_base!A:B,2,FALSE)</f>
        <v>2471</v>
      </c>
      <c r="O97" s="19">
        <v>0</v>
      </c>
      <c r="P97" s="19">
        <v>0</v>
      </c>
      <c r="Q97" s="19">
        <v>0</v>
      </c>
      <c r="R97" s="19">
        <v>0</v>
      </c>
      <c r="S97" s="19">
        <v>1</v>
      </c>
    </row>
    <row r="98" spans="1:19" ht="21" customHeight="1">
      <c r="A98" s="7" t="str">
        <f t="shared" si="11"/>
        <v>149193</v>
      </c>
      <c r="B98" s="2">
        <f t="shared" si="10"/>
        <v>149</v>
      </c>
      <c r="C98" s="8" t="str">
        <f t="shared" ref="C98:C156" si="12">E98&amp;H98&amp;I98</f>
        <v>0PremiumN3</v>
      </c>
      <c r="D98" s="8" t="str">
        <f t="shared" si="9"/>
        <v>0PremiumN3</v>
      </c>
      <c r="E98" s="5">
        <v>0</v>
      </c>
      <c r="F98" s="6">
        <v>193</v>
      </c>
      <c r="G98" s="8" t="str">
        <f>VLOOKUP(F98,[1]characters!$A:$C,3,FALSE)</f>
        <v>ロビンフッド</v>
      </c>
      <c r="H98" s="8" t="str">
        <f>VLOOKUP(F98,[1]characters!$A:$J,10,FALSE)</f>
        <v>PremiumN</v>
      </c>
      <c r="I98" s="8">
        <f>VLOOKUP(F98,[1]characters!$A:$I,9,FALSE)</f>
        <v>3</v>
      </c>
      <c r="J98" s="8" t="str">
        <f>VLOOKUP(F98,[1]characters!$A:$H,8,FALSE)</f>
        <v>green</v>
      </c>
      <c r="K98" s="8" t="str">
        <f>VLOOKUP(F98,[1]characters!$A:$K,11,FALSE)</f>
        <v>balance</v>
      </c>
      <c r="L98" s="8" t="str">
        <f>VLOOKUP(F98,[1]characters!$A:$M,13,FALSE)</f>
        <v>human</v>
      </c>
      <c r="M98" s="5">
        <v>1</v>
      </c>
      <c r="N98" s="28">
        <f>VLOOKUP(D98,gacha_148_base!A:B,2,FALSE)</f>
        <v>2471</v>
      </c>
      <c r="O98" s="19">
        <v>0</v>
      </c>
      <c r="P98" s="19">
        <v>0</v>
      </c>
      <c r="Q98" s="19">
        <v>0</v>
      </c>
      <c r="R98" s="19">
        <v>0</v>
      </c>
      <c r="S98" s="19">
        <v>1</v>
      </c>
    </row>
    <row r="99" spans="1:19" ht="21" customHeight="1">
      <c r="A99" s="7" t="str">
        <f t="shared" si="11"/>
        <v>149196</v>
      </c>
      <c r="B99" s="2">
        <f t="shared" si="10"/>
        <v>149</v>
      </c>
      <c r="C99" s="8" t="str">
        <f t="shared" si="12"/>
        <v>0PremiumN3</v>
      </c>
      <c r="D99" s="8" t="str">
        <f t="shared" si="9"/>
        <v>0PremiumN3</v>
      </c>
      <c r="E99" s="5">
        <v>0</v>
      </c>
      <c r="F99" s="6">
        <v>196</v>
      </c>
      <c r="G99" s="8" t="str">
        <f>VLOOKUP(F99,[1]characters!$A:$C,3,FALSE)</f>
        <v>アキレス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5">
        <v>1</v>
      </c>
      <c r="N99" s="28">
        <f>VLOOKUP(D99,gacha_148_base!A:B,2,FALSE)</f>
        <v>2471</v>
      </c>
      <c r="O99" s="19">
        <v>0</v>
      </c>
      <c r="P99" s="19">
        <v>0</v>
      </c>
      <c r="Q99" s="19">
        <v>0</v>
      </c>
      <c r="R99" s="19">
        <v>0</v>
      </c>
      <c r="S99" s="19">
        <v>1</v>
      </c>
    </row>
    <row r="100" spans="1:19" ht="21" customHeight="1">
      <c r="A100" s="7" t="str">
        <f t="shared" si="11"/>
        <v>149199</v>
      </c>
      <c r="B100" s="2">
        <f t="shared" si="10"/>
        <v>149</v>
      </c>
      <c r="C100" s="8" t="str">
        <f t="shared" si="12"/>
        <v>0PremiumN3</v>
      </c>
      <c r="D100" s="8" t="str">
        <f t="shared" si="9"/>
        <v>0PremiumN3</v>
      </c>
      <c r="E100" s="5">
        <v>0</v>
      </c>
      <c r="F100" s="6">
        <v>199</v>
      </c>
      <c r="G100" s="8" t="str">
        <f>VLOOKUP(F100,[1]characters!$A:$C,3,FALSE)</f>
        <v>ジークフリート</v>
      </c>
      <c r="H100" s="8" t="str">
        <f>VLOOKUP(F100,[1]characters!$A:$J,10,FALSE)</f>
        <v>PremiumN</v>
      </c>
      <c r="I100" s="8">
        <f>VLOOKUP(F100,[1]characters!$A:$I,9,FALSE)</f>
        <v>3</v>
      </c>
      <c r="J100" s="8" t="str">
        <f>VLOOKUP(F100,[1]characters!$A:$H,8,FALSE)</f>
        <v>blue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5">
        <v>1</v>
      </c>
      <c r="N100" s="28">
        <f>VLOOKUP(D100,gacha_148_base!A:B,2,FALSE)</f>
        <v>2471</v>
      </c>
      <c r="O100" s="19">
        <v>0</v>
      </c>
      <c r="P100" s="19">
        <v>0</v>
      </c>
      <c r="Q100" s="19">
        <v>0</v>
      </c>
      <c r="R100" s="19">
        <v>0</v>
      </c>
      <c r="S100" s="19">
        <v>1</v>
      </c>
    </row>
    <row r="101" spans="1:19" ht="21" customHeight="1">
      <c r="A101" s="7" t="str">
        <f t="shared" si="11"/>
        <v>149202</v>
      </c>
      <c r="B101" s="2">
        <f t="shared" si="10"/>
        <v>149</v>
      </c>
      <c r="C101" s="8" t="str">
        <f t="shared" si="12"/>
        <v>0PremiumN3</v>
      </c>
      <c r="D101" s="8" t="str">
        <f t="shared" si="9"/>
        <v>0PremiumN3</v>
      </c>
      <c r="E101" s="5">
        <v>0</v>
      </c>
      <c r="F101" s="6">
        <v>202</v>
      </c>
      <c r="G101" s="8" t="str">
        <f>VLOOKUP(F101,[1]characters!$A:$C,3,FALSE)</f>
        <v>プロメテウス</v>
      </c>
      <c r="H101" s="8" t="str">
        <f>VLOOKUP(F101,[1]characters!$A:$J,10,FALSE)</f>
        <v>PremiumN</v>
      </c>
      <c r="I101" s="8">
        <f>VLOOKUP(F101,[1]characters!$A:$I,9,FALSE)</f>
        <v>3</v>
      </c>
      <c r="J101" s="8" t="str">
        <f>VLOOKUP(F101,[1]characters!$A:$H,8,FALSE)</f>
        <v>red</v>
      </c>
      <c r="K101" s="8" t="str">
        <f>VLOOKUP(F101,[1]characters!$A:$K,11,FALSE)</f>
        <v>hp</v>
      </c>
      <c r="L101" s="8" t="str">
        <f>VLOOKUP(F101,[1]characters!$A:$M,13,FALSE)</f>
        <v>god</v>
      </c>
      <c r="M101" s="5">
        <v>1</v>
      </c>
      <c r="N101" s="28">
        <f>VLOOKUP(D101,gacha_148_base!A:B,2,FALSE)</f>
        <v>2471</v>
      </c>
      <c r="O101" s="19">
        <v>0</v>
      </c>
      <c r="P101" s="19">
        <v>0</v>
      </c>
      <c r="Q101" s="19">
        <v>0</v>
      </c>
      <c r="R101" s="19">
        <v>0</v>
      </c>
      <c r="S101" s="19">
        <v>1</v>
      </c>
    </row>
    <row r="102" spans="1:19" ht="21" customHeight="1">
      <c r="A102" s="7" t="str">
        <f t="shared" si="11"/>
        <v>149205</v>
      </c>
      <c r="B102" s="2">
        <f t="shared" si="10"/>
        <v>149</v>
      </c>
      <c r="C102" s="8" t="str">
        <f t="shared" si="12"/>
        <v>0PremiumN3</v>
      </c>
      <c r="D102" s="8" t="str">
        <f t="shared" si="9"/>
        <v>0PremiumN3</v>
      </c>
      <c r="E102" s="5">
        <v>0</v>
      </c>
      <c r="F102" s="6">
        <v>205</v>
      </c>
      <c r="G102" s="8" t="str">
        <f>VLOOKUP(F102,[1]characters!$A:$C,3,FALSE)</f>
        <v>アフロディーテ</v>
      </c>
      <c r="H102" s="8" t="str">
        <f>VLOOKUP(F102,[1]characters!$A:$J,10,FALSE)</f>
        <v>PremiumN</v>
      </c>
      <c r="I102" s="8">
        <f>VLOOKUP(F102,[1]characters!$A:$I,9,FALSE)</f>
        <v>3</v>
      </c>
      <c r="J102" s="8" t="str">
        <f>VLOOKUP(F102,[1]characters!$A:$H,8,FALSE)</f>
        <v>green</v>
      </c>
      <c r="K102" s="8" t="str">
        <f>VLOOKUP(F102,[1]characters!$A:$K,11,FALSE)</f>
        <v>hp</v>
      </c>
      <c r="L102" s="8" t="str">
        <f>VLOOKUP(F102,[1]characters!$A:$M,13,FALSE)</f>
        <v>god</v>
      </c>
      <c r="M102" s="5">
        <v>1</v>
      </c>
      <c r="N102" s="28">
        <f>VLOOKUP(D102,gacha_148_base!A:B,2,FALSE)</f>
        <v>2471</v>
      </c>
      <c r="O102" s="19">
        <v>0</v>
      </c>
      <c r="P102" s="19">
        <v>0</v>
      </c>
      <c r="Q102" s="19">
        <v>0</v>
      </c>
      <c r="R102" s="19">
        <v>0</v>
      </c>
      <c r="S102" s="19">
        <v>1</v>
      </c>
    </row>
    <row r="103" spans="1:19" ht="21" customHeight="1">
      <c r="A103" s="7" t="str">
        <f t="shared" si="11"/>
        <v>149208</v>
      </c>
      <c r="B103" s="2">
        <f t="shared" si="10"/>
        <v>149</v>
      </c>
      <c r="C103" s="8" t="str">
        <f t="shared" si="12"/>
        <v>0PremiumN3</v>
      </c>
      <c r="D103" s="8" t="str">
        <f t="shared" si="9"/>
        <v>0PremiumN3</v>
      </c>
      <c r="E103" s="5">
        <v>0</v>
      </c>
      <c r="F103" s="6">
        <v>208</v>
      </c>
      <c r="G103" s="8" t="str">
        <f>VLOOKUP(F103,[1]characters!$A:$C,3,FALSE)</f>
        <v>テティス</v>
      </c>
      <c r="H103" s="8" t="str">
        <f>VLOOKUP(F103,[1]characters!$A:$J,10,FALSE)</f>
        <v>PremiumN</v>
      </c>
      <c r="I103" s="8">
        <f>VLOOKUP(F103,[1]characters!$A:$I,9,FALSE)</f>
        <v>3</v>
      </c>
      <c r="J103" s="8" t="str">
        <f>VLOOKUP(F103,[1]characters!$A:$H,8,FALSE)</f>
        <v>blue</v>
      </c>
      <c r="K103" s="8" t="str">
        <f>VLOOKUP(F103,[1]characters!$A:$K,11,FALSE)</f>
        <v>hp</v>
      </c>
      <c r="L103" s="8" t="str">
        <f>VLOOKUP(F103,[1]characters!$A:$M,13,FALSE)</f>
        <v>god</v>
      </c>
      <c r="M103" s="5">
        <v>1</v>
      </c>
      <c r="N103" s="28">
        <f>VLOOKUP(D103,gacha_148_base!A:B,2,FALSE)</f>
        <v>2471</v>
      </c>
      <c r="O103" s="19">
        <v>0</v>
      </c>
      <c r="P103" s="19">
        <v>0</v>
      </c>
      <c r="Q103" s="19">
        <v>0</v>
      </c>
      <c r="R103" s="19">
        <v>0</v>
      </c>
      <c r="S103" s="19">
        <v>1</v>
      </c>
    </row>
    <row r="104" spans="1:19" ht="21" customHeight="1">
      <c r="A104" s="7" t="str">
        <f t="shared" si="11"/>
        <v>149211</v>
      </c>
      <c r="B104" s="2">
        <f t="shared" si="10"/>
        <v>149</v>
      </c>
      <c r="C104" s="8" t="str">
        <f t="shared" si="12"/>
        <v>0PremiumN3</v>
      </c>
      <c r="D104" s="8" t="str">
        <f t="shared" si="9"/>
        <v>0PremiumN3</v>
      </c>
      <c r="E104" s="5">
        <v>0</v>
      </c>
      <c r="F104" s="6">
        <v>211</v>
      </c>
      <c r="G104" s="8" t="str">
        <f>VLOOKUP(F104,[1]characters!$A:$C,3,FALSE)</f>
        <v>アストライアー</v>
      </c>
      <c r="H104" s="8" t="str">
        <f>VLOOKUP(F104,[1]characters!$A:$J,10,FALSE)</f>
        <v>PremiumN</v>
      </c>
      <c r="I104" s="8">
        <f>VLOOKUP(F104,[1]characters!$A:$I,9,FALSE)</f>
        <v>3</v>
      </c>
      <c r="J104" s="8" t="str">
        <f>VLOOKUP(F104,[1]characters!$A:$H,8,FALSE)</f>
        <v>yellow</v>
      </c>
      <c r="K104" s="8" t="str">
        <f>VLOOKUP(F104,[1]characters!$A:$K,11,FALSE)</f>
        <v>balance</v>
      </c>
      <c r="L104" s="8" t="str">
        <f>VLOOKUP(F104,[1]characters!$A:$M,13,FALSE)</f>
        <v>god</v>
      </c>
      <c r="M104" s="5">
        <v>1</v>
      </c>
      <c r="N104" s="28">
        <f>VLOOKUP(D104,gacha_148_base!A:B,2,FALSE)</f>
        <v>2471</v>
      </c>
      <c r="O104" s="19">
        <v>0</v>
      </c>
      <c r="P104" s="19">
        <v>0</v>
      </c>
      <c r="Q104" s="19">
        <v>0</v>
      </c>
      <c r="R104" s="19">
        <v>0</v>
      </c>
      <c r="S104" s="19">
        <v>1</v>
      </c>
    </row>
    <row r="105" spans="1:19" ht="21" customHeight="1">
      <c r="A105" s="7" t="str">
        <f t="shared" si="11"/>
        <v>149214</v>
      </c>
      <c r="B105" s="2">
        <f t="shared" si="10"/>
        <v>149</v>
      </c>
      <c r="C105" s="8" t="str">
        <f t="shared" si="12"/>
        <v>0PremiumN3</v>
      </c>
      <c r="D105" s="8" t="str">
        <f t="shared" si="9"/>
        <v>0PremiumN3</v>
      </c>
      <c r="E105" s="5">
        <v>0</v>
      </c>
      <c r="F105" s="6">
        <v>214</v>
      </c>
      <c r="G105" s="8" t="str">
        <f>VLOOKUP(F105,[1]characters!$A:$C,3,FALSE)</f>
        <v>アズラエル</v>
      </c>
      <c r="H105" s="8" t="str">
        <f>VLOOKUP(F105,[1]characters!$A:$J,10,FALSE)</f>
        <v>PremiumN</v>
      </c>
      <c r="I105" s="8">
        <f>VLOOKUP(F105,[1]characters!$A:$I,9,FALSE)</f>
        <v>3</v>
      </c>
      <c r="J105" s="8" t="str">
        <f>VLOOKUP(F105,[1]characters!$A:$H,8,FALSE)</f>
        <v>red</v>
      </c>
      <c r="K105" s="8" t="str">
        <f>VLOOKUP(F105,[1]characters!$A:$K,11,FALSE)</f>
        <v>balance</v>
      </c>
      <c r="L105" s="8" t="str">
        <f>VLOOKUP(F105,[1]characters!$A:$M,13,FALSE)</f>
        <v>god</v>
      </c>
      <c r="M105" s="5">
        <v>1</v>
      </c>
      <c r="N105" s="28">
        <f>VLOOKUP(D105,gacha_148_base!A:B,2,FALSE)</f>
        <v>2471</v>
      </c>
      <c r="O105" s="19">
        <v>0</v>
      </c>
      <c r="P105" s="19">
        <v>0</v>
      </c>
      <c r="Q105" s="19">
        <v>0</v>
      </c>
      <c r="R105" s="19">
        <v>0</v>
      </c>
      <c r="S105" s="19">
        <v>1</v>
      </c>
    </row>
    <row r="106" spans="1:19" ht="21" customHeight="1">
      <c r="A106" s="7" t="str">
        <f t="shared" si="11"/>
        <v>149217</v>
      </c>
      <c r="B106" s="2">
        <f t="shared" si="10"/>
        <v>149</v>
      </c>
      <c r="C106" s="8" t="str">
        <f t="shared" si="12"/>
        <v>0PremiumN3</v>
      </c>
      <c r="D106" s="8" t="str">
        <f t="shared" si="9"/>
        <v>0PremiumN3</v>
      </c>
      <c r="E106" s="5">
        <v>0</v>
      </c>
      <c r="F106" s="6">
        <v>217</v>
      </c>
      <c r="G106" s="8" t="str">
        <f>VLOOKUP(F106,[1]characters!$A:$C,3,FALSE)</f>
        <v>ケツァクアトル</v>
      </c>
      <c r="H106" s="8" t="str">
        <f>VLOOKUP(F106,[1]characters!$A:$J,10,FALSE)</f>
        <v>PremiumN</v>
      </c>
      <c r="I106" s="8">
        <f>VLOOKUP(F106,[1]characters!$A:$I,9,FALSE)</f>
        <v>3</v>
      </c>
      <c r="J106" s="8" t="str">
        <f>VLOOKUP(F106,[1]characters!$A:$H,8,FALSE)</f>
        <v>green</v>
      </c>
      <c r="K106" s="8" t="str">
        <f>VLOOKUP(F106,[1]characters!$A:$K,11,FALSE)</f>
        <v>hp</v>
      </c>
      <c r="L106" s="8" t="str">
        <f>VLOOKUP(F106,[1]characters!$A:$M,13,FALSE)</f>
        <v>dragon</v>
      </c>
      <c r="M106" s="5">
        <v>1</v>
      </c>
      <c r="N106" s="28">
        <f>VLOOKUP(D106,gacha_148_base!A:B,2,FALSE)</f>
        <v>2471</v>
      </c>
      <c r="O106" s="19">
        <v>0</v>
      </c>
      <c r="P106" s="19">
        <v>0</v>
      </c>
      <c r="Q106" s="19">
        <v>0</v>
      </c>
      <c r="R106" s="19">
        <v>0</v>
      </c>
      <c r="S106" s="19">
        <v>1</v>
      </c>
    </row>
    <row r="107" spans="1:19" ht="21" customHeight="1">
      <c r="A107" s="7" t="str">
        <f t="shared" si="11"/>
        <v>149220</v>
      </c>
      <c r="B107" s="2">
        <f t="shared" si="10"/>
        <v>149</v>
      </c>
      <c r="C107" s="8" t="str">
        <f t="shared" si="12"/>
        <v>0PremiumN3</v>
      </c>
      <c r="D107" s="8" t="str">
        <f t="shared" si="9"/>
        <v>0PremiumN3</v>
      </c>
      <c r="E107" s="5">
        <v>0</v>
      </c>
      <c r="F107" s="6">
        <v>220</v>
      </c>
      <c r="G107" s="8" t="str">
        <f>VLOOKUP(F107,[1]characters!$A:$C,3,FALSE)</f>
        <v>ルキフグス</v>
      </c>
      <c r="H107" s="8" t="str">
        <f>VLOOKUP(F107,[1]characters!$A:$J,10,FALSE)</f>
        <v>PremiumN</v>
      </c>
      <c r="I107" s="8">
        <f>VLOOKUP(F107,[1]characters!$A:$I,9,FALSE)</f>
        <v>3</v>
      </c>
      <c r="J107" s="8" t="str">
        <f>VLOOKUP(F107,[1]characters!$A:$H,8,FALSE)</f>
        <v>blue</v>
      </c>
      <c r="K107" s="8" t="str">
        <f>VLOOKUP(F107,[1]characters!$A:$K,11,FALSE)</f>
        <v>balance</v>
      </c>
      <c r="L107" s="8" t="str">
        <f>VLOOKUP(F107,[1]characters!$A:$M,13,FALSE)</f>
        <v>god</v>
      </c>
      <c r="M107" s="5">
        <v>1</v>
      </c>
      <c r="N107" s="28">
        <f>VLOOKUP(D107,gacha_148_base!A:B,2,FALSE)</f>
        <v>2471</v>
      </c>
      <c r="O107" s="19">
        <v>0</v>
      </c>
      <c r="P107" s="19">
        <v>0</v>
      </c>
      <c r="Q107" s="19">
        <v>0</v>
      </c>
      <c r="R107" s="19">
        <v>0</v>
      </c>
      <c r="S107" s="19">
        <v>1</v>
      </c>
    </row>
    <row r="108" spans="1:19" ht="21" customHeight="1">
      <c r="A108" s="7" t="str">
        <f t="shared" si="11"/>
        <v>149223</v>
      </c>
      <c r="B108" s="2">
        <f t="shared" si="10"/>
        <v>149</v>
      </c>
      <c r="C108" s="8" t="str">
        <f t="shared" si="12"/>
        <v>0PremiumN3</v>
      </c>
      <c r="D108" s="8" t="str">
        <f t="shared" si="9"/>
        <v>0PremiumN3</v>
      </c>
      <c r="E108" s="5">
        <v>0</v>
      </c>
      <c r="F108" s="6">
        <v>223</v>
      </c>
      <c r="G108" s="8" t="str">
        <f>VLOOKUP(F108,[1]characters!$A:$C,3,FALSE)</f>
        <v>ヘラクレス</v>
      </c>
      <c r="H108" s="8" t="str">
        <f>VLOOKUP(F108,[1]characters!$A:$J,10,FALSE)</f>
        <v>PremiumN</v>
      </c>
      <c r="I108" s="8">
        <f>VLOOKUP(F108,[1]characters!$A:$I,9,FALSE)</f>
        <v>3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5">
        <v>1</v>
      </c>
      <c r="N108" s="28">
        <f>VLOOKUP(D108,gacha_148_base!A:B,2,FALSE)</f>
        <v>2471</v>
      </c>
      <c r="O108" s="19">
        <v>0</v>
      </c>
      <c r="P108" s="19">
        <v>0</v>
      </c>
      <c r="Q108" s="19">
        <v>0</v>
      </c>
      <c r="R108" s="19">
        <v>0</v>
      </c>
      <c r="S108" s="19">
        <v>1</v>
      </c>
    </row>
    <row r="109" spans="1:19" ht="21" customHeight="1">
      <c r="A109" s="7" t="str">
        <f t="shared" si="11"/>
        <v>149226</v>
      </c>
      <c r="B109" s="2">
        <f t="shared" si="10"/>
        <v>149</v>
      </c>
      <c r="C109" s="8" t="str">
        <f t="shared" si="12"/>
        <v>0PremiumS3</v>
      </c>
      <c r="D109" s="8" t="str">
        <f t="shared" si="9"/>
        <v>0PremiumS3</v>
      </c>
      <c r="E109" s="5">
        <v>0</v>
      </c>
      <c r="F109" s="6">
        <v>226</v>
      </c>
      <c r="G109" s="8" t="str">
        <f>VLOOKUP(F109,[1]characters!$A:$C,3,FALSE)</f>
        <v>アレス</v>
      </c>
      <c r="H109" s="8" t="str">
        <f>VLOOKUP(F109,[1]characters!$A:$J,10,FALSE)</f>
        <v>PremiumS</v>
      </c>
      <c r="I109" s="8">
        <f>VLOOKUP(F109,[1]characters!$A:$I,9,FALSE)</f>
        <v>3</v>
      </c>
      <c r="J109" s="8" t="str">
        <f>VLOOKUP(F109,[1]characters!$A:$H,8,FALSE)</f>
        <v>red</v>
      </c>
      <c r="K109" s="8" t="str">
        <f>VLOOKUP(F109,[1]characters!$A:$K,11,FALSE)</f>
        <v>attack</v>
      </c>
      <c r="L109" s="8" t="str">
        <f>VLOOKUP(F109,[1]characters!$A:$M,13,FALSE)</f>
        <v>god</v>
      </c>
      <c r="M109" s="5">
        <v>1</v>
      </c>
      <c r="N109" s="28">
        <f>VLOOKUP(D109,gacha_148_base!A:B,2,FALSE)</f>
        <v>123</v>
      </c>
      <c r="O109" s="19">
        <v>0</v>
      </c>
      <c r="P109" s="19">
        <v>0</v>
      </c>
      <c r="Q109" s="19">
        <v>0</v>
      </c>
      <c r="R109" s="19">
        <v>0</v>
      </c>
      <c r="S109" s="19">
        <v>1</v>
      </c>
    </row>
    <row r="110" spans="1:19" ht="21" customHeight="1">
      <c r="A110" s="7" t="str">
        <f t="shared" si="11"/>
        <v>149229</v>
      </c>
      <c r="B110" s="2">
        <f t="shared" si="10"/>
        <v>149</v>
      </c>
      <c r="C110" s="8" t="str">
        <f t="shared" si="12"/>
        <v>0PremiumS3</v>
      </c>
      <c r="D110" s="8" t="str">
        <f t="shared" si="9"/>
        <v>0PremiumS3</v>
      </c>
      <c r="E110" s="5">
        <v>0</v>
      </c>
      <c r="F110" s="6">
        <v>229</v>
      </c>
      <c r="G110" s="8" t="str">
        <f>VLOOKUP(F110,[1]characters!$A:$C,3,FALSE)</f>
        <v>ヨルムンガンド</v>
      </c>
      <c r="H110" s="8" t="str">
        <f>VLOOKUP(F110,[1]characters!$A:$J,10,FALSE)</f>
        <v>PremiumS</v>
      </c>
      <c r="I110" s="8">
        <f>VLOOKUP(F110,[1]characters!$A:$I,9,FALSE)</f>
        <v>3</v>
      </c>
      <c r="J110" s="8" t="str">
        <f>VLOOKUP(F110,[1]characters!$A:$H,8,FALSE)</f>
        <v>green</v>
      </c>
      <c r="K110" s="8" t="str">
        <f>VLOOKUP(F110,[1]characters!$A:$K,11,FALSE)</f>
        <v>technical</v>
      </c>
      <c r="L110" s="8" t="str">
        <f>VLOOKUP(F110,[1]characters!$A:$M,13,FALSE)</f>
        <v>dragon</v>
      </c>
      <c r="M110" s="5">
        <v>1</v>
      </c>
      <c r="N110" s="28">
        <f>VLOOKUP(D110,gacha_148_base!A:B,2,FALSE)</f>
        <v>123</v>
      </c>
      <c r="O110" s="19">
        <v>0</v>
      </c>
      <c r="P110" s="19">
        <v>0</v>
      </c>
      <c r="Q110" s="19">
        <v>0</v>
      </c>
      <c r="R110" s="19">
        <v>0</v>
      </c>
      <c r="S110" s="19">
        <v>1</v>
      </c>
    </row>
    <row r="111" spans="1:19" ht="21" customHeight="1">
      <c r="A111" s="7" t="str">
        <f t="shared" si="11"/>
        <v>149232</v>
      </c>
      <c r="B111" s="2">
        <f t="shared" si="10"/>
        <v>149</v>
      </c>
      <c r="C111" s="8" t="str">
        <f t="shared" si="12"/>
        <v>0PremiumS3</v>
      </c>
      <c r="D111" s="8" t="str">
        <f t="shared" si="9"/>
        <v>0PremiumS3</v>
      </c>
      <c r="E111" s="5">
        <v>0</v>
      </c>
      <c r="F111" s="6">
        <v>232</v>
      </c>
      <c r="G111" s="8" t="str">
        <f>VLOOKUP(F111,[1]characters!$A:$C,3,FALSE)</f>
        <v>パーシヴァル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blue</v>
      </c>
      <c r="K111" s="8" t="str">
        <f>VLOOKUP(F111,[1]characters!$A:$K,11,FALSE)</f>
        <v>technical</v>
      </c>
      <c r="L111" s="8" t="str">
        <f>VLOOKUP(F111,[1]characters!$A:$M,13,FALSE)</f>
        <v>human</v>
      </c>
      <c r="M111" s="5">
        <v>1</v>
      </c>
      <c r="N111" s="28">
        <f>VLOOKUP(D111,gacha_148_base!A:B,2,FALSE)</f>
        <v>123</v>
      </c>
      <c r="O111" s="19">
        <v>0</v>
      </c>
      <c r="P111" s="19">
        <v>0</v>
      </c>
      <c r="Q111" s="19">
        <v>0</v>
      </c>
      <c r="R111" s="19">
        <v>0</v>
      </c>
      <c r="S111" s="19">
        <v>1</v>
      </c>
    </row>
    <row r="112" spans="1:19" ht="21" customHeight="1">
      <c r="A112" s="7" t="str">
        <f t="shared" si="11"/>
        <v>149235</v>
      </c>
      <c r="B112" s="2">
        <f t="shared" si="10"/>
        <v>149</v>
      </c>
      <c r="C112" s="8" t="str">
        <f t="shared" si="12"/>
        <v>0PremiumS3</v>
      </c>
      <c r="D112" s="8" t="str">
        <f t="shared" ref="D112:D156" si="13">E112&amp;H112&amp;I112</f>
        <v>0PremiumS3</v>
      </c>
      <c r="E112" s="5">
        <v>0</v>
      </c>
      <c r="F112" s="6">
        <v>235</v>
      </c>
      <c r="G112" s="8" t="str">
        <f>VLOOKUP(F112,[1]characters!$A:$C,3,FALSE)</f>
        <v>イザナミ</v>
      </c>
      <c r="H112" s="8" t="str">
        <f>VLOOKUP(F112,[1]characters!$A:$J,10,FALSE)</f>
        <v>PremiumS</v>
      </c>
      <c r="I112" s="8">
        <f>VLOOKUP(F112,[1]characters!$A:$I,9,FALSE)</f>
        <v>3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28">
        <f>VLOOKUP(D112,gacha_148_base!A:B,2,FALSE)</f>
        <v>123</v>
      </c>
      <c r="O112" s="19">
        <v>0</v>
      </c>
      <c r="P112" s="19">
        <v>0</v>
      </c>
      <c r="Q112" s="19">
        <v>0</v>
      </c>
      <c r="R112" s="19">
        <v>0</v>
      </c>
      <c r="S112" s="19">
        <v>1</v>
      </c>
    </row>
    <row r="113" spans="1:19" ht="21" customHeight="1">
      <c r="A113" s="7" t="str">
        <f t="shared" si="11"/>
        <v>149127</v>
      </c>
      <c r="B113" s="2">
        <f t="shared" si="10"/>
        <v>149</v>
      </c>
      <c r="C113" s="8" t="str">
        <f t="shared" si="12"/>
        <v>0PremiumW4</v>
      </c>
      <c r="D113" s="8" t="str">
        <f t="shared" si="13"/>
        <v>0PremiumW4</v>
      </c>
      <c r="E113" s="5">
        <v>0</v>
      </c>
      <c r="F113" s="6">
        <v>127</v>
      </c>
      <c r="G113" s="8" t="str">
        <f>VLOOKUP(F113,[1]characters!$A:$C,3,FALSE)</f>
        <v>狂喜の賢者 ユノ</v>
      </c>
      <c r="H113" s="8" t="str">
        <f>VLOOKUP(F113,[1]characters!$A:$J,10,FALSE)</f>
        <v>PremiumW</v>
      </c>
      <c r="I113" s="8">
        <f>VLOOKUP(F113,[1]characters!$A:$I,9,FALSE)</f>
        <v>4</v>
      </c>
      <c r="J113" s="8" t="str">
        <f>VLOOKUP(F113,[1]characters!$A:$H,8,FALSE)</f>
        <v>red</v>
      </c>
      <c r="K113" s="8" t="str">
        <f>VLOOKUP(F113,[1]characters!$A:$K,11,FALSE)</f>
        <v>attack</v>
      </c>
      <c r="L113" s="8" t="str">
        <f>VLOOKUP(F113,[1]characters!$A:$M,13,FALSE)</f>
        <v>human</v>
      </c>
      <c r="M113" s="5">
        <v>1</v>
      </c>
      <c r="N113" s="28">
        <f>VLOOKUP(D113,gacha_148_base!A:B,2,FALSE)</f>
        <v>623</v>
      </c>
      <c r="O113" s="19">
        <v>0</v>
      </c>
      <c r="P113" s="19">
        <v>0</v>
      </c>
      <c r="Q113" s="19">
        <v>0</v>
      </c>
      <c r="R113" s="19">
        <v>0</v>
      </c>
      <c r="S113" s="19">
        <v>1</v>
      </c>
    </row>
    <row r="114" spans="1:19" ht="21" customHeight="1">
      <c r="A114" s="7" t="str">
        <f t="shared" si="11"/>
        <v>149129</v>
      </c>
      <c r="B114" s="2">
        <f t="shared" si="10"/>
        <v>149</v>
      </c>
      <c r="C114" s="8" t="str">
        <f t="shared" si="12"/>
        <v>0PremiumW4</v>
      </c>
      <c r="D114" s="8" t="str">
        <f t="shared" si="13"/>
        <v>0PremiumW4</v>
      </c>
      <c r="E114" s="5">
        <v>0</v>
      </c>
      <c r="F114" s="6">
        <v>129</v>
      </c>
      <c r="G114" s="8" t="str">
        <f>VLOOKUP(F114,[1]characters!$A:$C,3,FALSE)</f>
        <v>孤高の狼憑き アマラ</v>
      </c>
      <c r="H114" s="8" t="str">
        <f>VLOOKUP(F114,[1]characters!$A:$J,10,FALSE)</f>
        <v>PremiumW</v>
      </c>
      <c r="I114" s="8">
        <f>VLOOKUP(F114,[1]characters!$A:$I,9,FALSE)</f>
        <v>4</v>
      </c>
      <c r="J114" s="8" t="str">
        <f>VLOOKUP(F114,[1]characters!$A:$H,8,FALSE)</f>
        <v>green</v>
      </c>
      <c r="K114" s="8" t="str">
        <f>VLOOKUP(F114,[1]characters!$A:$K,11,FALSE)</f>
        <v>attack</v>
      </c>
      <c r="L114" s="8" t="str">
        <f>VLOOKUP(F114,[1]characters!$A:$M,13,FALSE)</f>
        <v>human</v>
      </c>
      <c r="M114" s="5">
        <v>1</v>
      </c>
      <c r="N114" s="28">
        <f>VLOOKUP(D114,gacha_148_base!A:B,2,FALSE)</f>
        <v>623</v>
      </c>
      <c r="O114" s="19">
        <v>0</v>
      </c>
      <c r="P114" s="19">
        <v>0</v>
      </c>
      <c r="Q114" s="19">
        <v>0</v>
      </c>
      <c r="R114" s="19">
        <v>0</v>
      </c>
      <c r="S114" s="19">
        <v>1</v>
      </c>
    </row>
    <row r="115" spans="1:19" ht="21" customHeight="1">
      <c r="A115" s="7" t="str">
        <f t="shared" si="11"/>
        <v>149131</v>
      </c>
      <c r="B115" s="2">
        <f t="shared" si="10"/>
        <v>149</v>
      </c>
      <c r="C115" s="8" t="str">
        <f t="shared" si="12"/>
        <v>0PremiumW4</v>
      </c>
      <c r="D115" s="8" t="str">
        <f t="shared" si="13"/>
        <v>0PremiumW4</v>
      </c>
      <c r="E115" s="5">
        <v>0</v>
      </c>
      <c r="F115" s="6">
        <v>131</v>
      </c>
      <c r="G115" s="8" t="str">
        <f>VLOOKUP(F115,[1]characters!$A:$C,3,FALSE)</f>
        <v>月下の人狼 ローレンス</v>
      </c>
      <c r="H115" s="8" t="str">
        <f>VLOOKUP(F115,[1]characters!$A:$J,10,FALSE)</f>
        <v>PremiumW</v>
      </c>
      <c r="I115" s="8">
        <f>VLOOKUP(F115,[1]characters!$A:$I,9,FALSE)</f>
        <v>4</v>
      </c>
      <c r="J115" s="8" t="str">
        <f>VLOOKUP(F115,[1]characters!$A:$H,8,FALSE)</f>
        <v>blue</v>
      </c>
      <c r="K115" s="8" t="str">
        <f>VLOOKUP(F115,[1]characters!$A:$K,11,FALSE)</f>
        <v>attack</v>
      </c>
      <c r="L115" s="8" t="str">
        <f>VLOOKUP(F115,[1]characters!$A:$M,13,FALSE)</f>
        <v>animal</v>
      </c>
      <c r="M115" s="5">
        <v>1</v>
      </c>
      <c r="N115" s="28">
        <f>VLOOKUP(D115,gacha_148_base!A:B,2,FALSE)</f>
        <v>623</v>
      </c>
      <c r="O115" s="19">
        <v>0</v>
      </c>
      <c r="P115" s="19">
        <v>0</v>
      </c>
      <c r="Q115" s="19">
        <v>0</v>
      </c>
      <c r="R115" s="19">
        <v>0</v>
      </c>
      <c r="S115" s="19">
        <v>1</v>
      </c>
    </row>
    <row r="116" spans="1:19" ht="21" customHeight="1">
      <c r="A116" s="7" t="str">
        <f t="shared" si="11"/>
        <v>149133</v>
      </c>
      <c r="B116" s="2">
        <f t="shared" si="10"/>
        <v>149</v>
      </c>
      <c r="C116" s="8" t="str">
        <f t="shared" si="12"/>
        <v>0PremiumW4</v>
      </c>
      <c r="D116" s="8" t="str">
        <f t="shared" si="13"/>
        <v>0PremiumW4</v>
      </c>
      <c r="E116" s="5">
        <v>0</v>
      </c>
      <c r="F116" s="6">
        <v>133</v>
      </c>
      <c r="G116" s="8" t="str">
        <f>VLOOKUP(F116,[1]characters!$A:$C,3,FALSE)</f>
        <v>迅雷の刀剣 ハヤト</v>
      </c>
      <c r="H116" s="8" t="str">
        <f>VLOOKUP(F116,[1]characters!$A:$J,10,FALSE)</f>
        <v>PremiumW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human</v>
      </c>
      <c r="M116" s="5">
        <v>1</v>
      </c>
      <c r="N116" s="28">
        <f>VLOOKUP(D116,gacha_148_base!A:B,2,FALSE)</f>
        <v>623</v>
      </c>
      <c r="O116" s="19">
        <v>0</v>
      </c>
      <c r="P116" s="19">
        <v>0</v>
      </c>
      <c r="Q116" s="19">
        <v>0</v>
      </c>
      <c r="R116" s="19">
        <v>0</v>
      </c>
      <c r="S116" s="19">
        <v>1</v>
      </c>
    </row>
    <row r="117" spans="1:19" ht="21" customHeight="1">
      <c r="A117" s="7" t="str">
        <f t="shared" si="11"/>
        <v>149135</v>
      </c>
      <c r="B117" s="2">
        <f t="shared" si="10"/>
        <v>149</v>
      </c>
      <c r="C117" s="8" t="str">
        <f t="shared" si="12"/>
        <v>0PremiumW4</v>
      </c>
      <c r="D117" s="8" t="str">
        <f t="shared" si="13"/>
        <v>0PremiumW4</v>
      </c>
      <c r="E117" s="5">
        <v>0</v>
      </c>
      <c r="F117" s="6">
        <v>135</v>
      </c>
      <c r="G117" s="8" t="str">
        <f>VLOOKUP(F117,[1]characters!$A:$C,3,FALSE)</f>
        <v>京の炎華夕霧</v>
      </c>
      <c r="H117" s="8" t="str">
        <f>VLOOKUP(F117,[1]characters!$A:$J,10,FALSE)</f>
        <v>PremiumW</v>
      </c>
      <c r="I117" s="8">
        <f>VLOOKUP(F117,[1]characters!$A:$I,9,FALSE)</f>
        <v>4</v>
      </c>
      <c r="J117" s="8" t="str">
        <f>VLOOKUP(F117,[1]characters!$A:$H,8,FALSE)</f>
        <v>red</v>
      </c>
      <c r="K117" s="8" t="str">
        <f>VLOOKUP(F117,[1]characters!$A:$K,11,FALSE)</f>
        <v>balance</v>
      </c>
      <c r="L117" s="8" t="str">
        <f>VLOOKUP(F117,[1]characters!$A:$M,13,FALSE)</f>
        <v>human</v>
      </c>
      <c r="M117" s="5">
        <v>1</v>
      </c>
      <c r="N117" s="28">
        <f>VLOOKUP(D117,gacha_148_base!A:B,2,FALSE)</f>
        <v>623</v>
      </c>
      <c r="O117" s="19">
        <v>0</v>
      </c>
      <c r="P117" s="19">
        <v>0</v>
      </c>
      <c r="Q117" s="19">
        <v>0</v>
      </c>
      <c r="R117" s="19">
        <v>0</v>
      </c>
      <c r="S117" s="19">
        <v>1</v>
      </c>
    </row>
    <row r="118" spans="1:19" ht="21" customHeight="1">
      <c r="A118" s="7" t="str">
        <f t="shared" si="11"/>
        <v>149137</v>
      </c>
      <c r="B118" s="2">
        <f t="shared" si="10"/>
        <v>149</v>
      </c>
      <c r="C118" s="8" t="str">
        <f t="shared" si="12"/>
        <v>0PremiumW4</v>
      </c>
      <c r="D118" s="8" t="str">
        <f t="shared" si="13"/>
        <v>0PremiumW4</v>
      </c>
      <c r="E118" s="5">
        <v>0</v>
      </c>
      <c r="F118" s="6">
        <v>137</v>
      </c>
      <c r="G118" s="8" t="str">
        <f>VLOOKUP(F118,[1]characters!$A:$C,3,FALSE)</f>
        <v>清福の仕立屋 チハヤ</v>
      </c>
      <c r="H118" s="8" t="str">
        <f>VLOOKUP(F118,[1]characters!$A:$J,10,FALSE)</f>
        <v>PremiumW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5">
        <v>1</v>
      </c>
      <c r="N118" s="28">
        <f>VLOOKUP(D118,gacha_148_base!A:B,2,FALSE)</f>
        <v>623</v>
      </c>
      <c r="O118" s="19">
        <v>0</v>
      </c>
      <c r="P118" s="19">
        <v>0</v>
      </c>
      <c r="Q118" s="19">
        <v>0</v>
      </c>
      <c r="R118" s="19">
        <v>0</v>
      </c>
      <c r="S118" s="19">
        <v>1</v>
      </c>
    </row>
    <row r="119" spans="1:19" ht="21" customHeight="1">
      <c r="A119" s="7" t="str">
        <f t="shared" si="11"/>
        <v>149139</v>
      </c>
      <c r="B119" s="2">
        <f t="shared" si="10"/>
        <v>149</v>
      </c>
      <c r="C119" s="8" t="str">
        <f t="shared" si="12"/>
        <v>0PremiumW4</v>
      </c>
      <c r="D119" s="8" t="str">
        <f t="shared" si="13"/>
        <v>0PremiumW4</v>
      </c>
      <c r="E119" s="5">
        <v>0</v>
      </c>
      <c r="F119" s="6">
        <v>139</v>
      </c>
      <c r="G119" s="8" t="str">
        <f>VLOOKUP(F119,[1]characters!$A:$C,3,FALSE)</f>
        <v>蒼昇刃姫 トモエ</v>
      </c>
      <c r="H119" s="8" t="str">
        <f>VLOOKUP(F119,[1]characters!$A:$J,10,FALSE)</f>
        <v>PremiumW</v>
      </c>
      <c r="I119" s="8">
        <f>VLOOKUP(F119,[1]characters!$A:$I,9,FALSE)</f>
        <v>4</v>
      </c>
      <c r="J119" s="8" t="str">
        <f>VLOOKUP(F119,[1]characters!$A:$H,8,FALSE)</f>
        <v>blue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5">
        <v>1</v>
      </c>
      <c r="N119" s="28">
        <f>VLOOKUP(D119,gacha_148_base!A:B,2,FALSE)</f>
        <v>623</v>
      </c>
      <c r="O119" s="19">
        <v>0</v>
      </c>
      <c r="P119" s="19">
        <v>0</v>
      </c>
      <c r="Q119" s="19">
        <v>0</v>
      </c>
      <c r="R119" s="19">
        <v>0</v>
      </c>
      <c r="S119" s="19">
        <v>1</v>
      </c>
    </row>
    <row r="120" spans="1:19" ht="21" customHeight="1">
      <c r="A120" s="7" t="str">
        <f t="shared" si="11"/>
        <v>149141</v>
      </c>
      <c r="B120" s="2">
        <f t="shared" si="10"/>
        <v>149</v>
      </c>
      <c r="C120" s="8" t="str">
        <f t="shared" si="12"/>
        <v>0PremiumW4</v>
      </c>
      <c r="D120" s="8" t="str">
        <f t="shared" si="13"/>
        <v>0PremiumW4</v>
      </c>
      <c r="E120" s="5">
        <v>0</v>
      </c>
      <c r="F120" s="6">
        <v>141</v>
      </c>
      <c r="G120" s="8" t="str">
        <f>VLOOKUP(F120,[1]characters!$A:$C,3,FALSE)</f>
        <v>妖狐演舞 タマモ</v>
      </c>
      <c r="H120" s="8" t="str">
        <f>VLOOKUP(F120,[1]characters!$A:$J,10,FALSE)</f>
        <v>PremiumW</v>
      </c>
      <c r="I120" s="8">
        <f>VLOOKUP(F120,[1]characters!$A:$I,9,FALSE)</f>
        <v>4</v>
      </c>
      <c r="J120" s="8" t="str">
        <f>VLOOKUP(F120,[1]characters!$A:$H,8,FALSE)</f>
        <v>yellow</v>
      </c>
      <c r="K120" s="8" t="str">
        <f>VLOOKUP(F120,[1]characters!$A:$K,11,FALSE)</f>
        <v>balance</v>
      </c>
      <c r="L120" s="8" t="str">
        <f>VLOOKUP(F120,[1]characters!$A:$M,13,FALSE)</f>
        <v>animal</v>
      </c>
      <c r="M120" s="5">
        <v>1</v>
      </c>
      <c r="N120" s="28">
        <f>VLOOKUP(D120,gacha_148_base!A:B,2,FALSE)</f>
        <v>623</v>
      </c>
      <c r="O120" s="19">
        <v>0</v>
      </c>
      <c r="P120" s="19">
        <v>0</v>
      </c>
      <c r="Q120" s="19">
        <v>0</v>
      </c>
      <c r="R120" s="19">
        <v>0</v>
      </c>
      <c r="S120" s="19">
        <v>1</v>
      </c>
    </row>
    <row r="121" spans="1:19" ht="21" customHeight="1">
      <c r="A121" s="7" t="str">
        <f t="shared" si="11"/>
        <v>149143</v>
      </c>
      <c r="B121" s="2">
        <f t="shared" si="10"/>
        <v>149</v>
      </c>
      <c r="C121" s="8" t="str">
        <f t="shared" si="12"/>
        <v>0PremiumW4</v>
      </c>
      <c r="D121" s="8" t="str">
        <f t="shared" si="13"/>
        <v>0PremiumW4</v>
      </c>
      <c r="E121" s="5">
        <v>0</v>
      </c>
      <c r="F121" s="6">
        <v>143</v>
      </c>
      <c r="G121" s="8" t="str">
        <f>VLOOKUP(F121,[1]characters!$A:$C,3,FALSE)</f>
        <v>深紅の死神 赤ずきん</v>
      </c>
      <c r="H121" s="8" t="str">
        <f>VLOOKUP(F121,[1]characters!$A:$J,10,FALSE)</f>
        <v>PremiumW</v>
      </c>
      <c r="I121" s="8">
        <f>VLOOKUP(F121,[1]characters!$A:$I,9,FALSE)</f>
        <v>4</v>
      </c>
      <c r="J121" s="8" t="str">
        <f>VLOOKUP(F121,[1]characters!$A:$H,8,FALSE)</f>
        <v>red</v>
      </c>
      <c r="K121" s="8" t="str">
        <f>VLOOKUP(F121,[1]characters!$A:$K,11,FALSE)</f>
        <v>balance</v>
      </c>
      <c r="L121" s="8" t="str">
        <f>VLOOKUP(F121,[1]characters!$A:$M,13,FALSE)</f>
        <v>human</v>
      </c>
      <c r="M121" s="5">
        <v>1</v>
      </c>
      <c r="N121" s="28">
        <f>VLOOKUP(D121,gacha_148_base!A:B,2,FALSE)</f>
        <v>623</v>
      </c>
      <c r="O121" s="19">
        <v>0</v>
      </c>
      <c r="P121" s="19">
        <v>0</v>
      </c>
      <c r="Q121" s="19">
        <v>0</v>
      </c>
      <c r="R121" s="19">
        <v>0</v>
      </c>
      <c r="S121" s="19">
        <v>1</v>
      </c>
    </row>
    <row r="122" spans="1:19" ht="21" customHeight="1">
      <c r="A122" s="7" t="str">
        <f t="shared" si="11"/>
        <v>149145</v>
      </c>
      <c r="B122" s="2">
        <f t="shared" si="10"/>
        <v>149</v>
      </c>
      <c r="C122" s="8" t="str">
        <f t="shared" si="12"/>
        <v>0PremiumW4</v>
      </c>
      <c r="D122" s="8" t="str">
        <f t="shared" si="13"/>
        <v>0PremiumW4</v>
      </c>
      <c r="E122" s="5">
        <v>0</v>
      </c>
      <c r="F122" s="6">
        <v>145</v>
      </c>
      <c r="G122" s="8" t="str">
        <f>VLOOKUP(F122,[1]characters!$A:$C,3,FALSE)</f>
        <v>魔性妖艶 かぐや</v>
      </c>
      <c r="H122" s="8" t="str">
        <f>VLOOKUP(F122,[1]characters!$A:$J,10,FALSE)</f>
        <v>PremiumW</v>
      </c>
      <c r="I122" s="8">
        <f>VLOOKUP(F122,[1]characters!$A:$I,9,FALSE)</f>
        <v>4</v>
      </c>
      <c r="J122" s="8" t="str">
        <f>VLOOKUP(F122,[1]characters!$A:$H,8,FALSE)</f>
        <v>green</v>
      </c>
      <c r="K122" s="8" t="str">
        <f>VLOOKUP(F122,[1]characters!$A:$K,11,FALSE)</f>
        <v>hp</v>
      </c>
      <c r="L122" s="8" t="str">
        <f>VLOOKUP(F122,[1]characters!$A:$M,13,FALSE)</f>
        <v>human</v>
      </c>
      <c r="M122" s="5">
        <v>1</v>
      </c>
      <c r="N122" s="28">
        <f>VLOOKUP(D122,gacha_148_base!A:B,2,FALSE)</f>
        <v>623</v>
      </c>
      <c r="O122" s="19">
        <v>0</v>
      </c>
      <c r="P122" s="19">
        <v>0</v>
      </c>
      <c r="Q122" s="19">
        <v>0</v>
      </c>
      <c r="R122" s="19">
        <v>0</v>
      </c>
      <c r="S122" s="19">
        <v>1</v>
      </c>
    </row>
    <row r="123" spans="1:19" ht="21" customHeight="1">
      <c r="A123" s="7" t="str">
        <f t="shared" si="11"/>
        <v>149147</v>
      </c>
      <c r="B123" s="2">
        <f t="shared" si="10"/>
        <v>149</v>
      </c>
      <c r="C123" s="8" t="str">
        <f t="shared" si="12"/>
        <v>0PremiumW4</v>
      </c>
      <c r="D123" s="8" t="str">
        <f t="shared" si="13"/>
        <v>0PremiumW4</v>
      </c>
      <c r="E123" s="5">
        <v>0</v>
      </c>
      <c r="F123" s="6">
        <v>147</v>
      </c>
      <c r="G123" s="8" t="str">
        <f>VLOOKUP(F123,[1]characters!$A:$C,3,FALSE)</f>
        <v>蒼き閃光 元マーメイド</v>
      </c>
      <c r="H123" s="8" t="str">
        <f>VLOOKUP(F123,[1]characters!$A:$J,10,FALSE)</f>
        <v>PremiumW</v>
      </c>
      <c r="I123" s="8">
        <f>VLOOKUP(F123,[1]characters!$A:$I,9,FALSE)</f>
        <v>4</v>
      </c>
      <c r="J123" s="8" t="str">
        <f>VLOOKUP(F123,[1]characters!$A:$H,8,FALSE)</f>
        <v>blue</v>
      </c>
      <c r="K123" s="8" t="str">
        <f>VLOOKUP(F123,[1]characters!$A:$K,11,FALSE)</f>
        <v>hp</v>
      </c>
      <c r="L123" s="8" t="str">
        <f>VLOOKUP(F123,[1]characters!$A:$M,13,FALSE)</f>
        <v>human</v>
      </c>
      <c r="M123" s="5">
        <v>1</v>
      </c>
      <c r="N123" s="28">
        <f>VLOOKUP(D123,gacha_148_base!A:B,2,FALSE)</f>
        <v>623</v>
      </c>
      <c r="O123" s="19">
        <v>0</v>
      </c>
      <c r="P123" s="19">
        <v>0</v>
      </c>
      <c r="Q123" s="19">
        <v>0</v>
      </c>
      <c r="R123" s="19">
        <v>0</v>
      </c>
      <c r="S123" s="19">
        <v>1</v>
      </c>
    </row>
    <row r="124" spans="1:19" ht="21" customHeight="1">
      <c r="A124" s="7" t="str">
        <f t="shared" si="11"/>
        <v>149149</v>
      </c>
      <c r="B124" s="2">
        <f t="shared" si="10"/>
        <v>149</v>
      </c>
      <c r="C124" s="8" t="str">
        <f t="shared" si="12"/>
        <v>0PremiumW4</v>
      </c>
      <c r="D124" s="8" t="str">
        <f t="shared" si="13"/>
        <v>0PremiumW4</v>
      </c>
      <c r="E124" s="5">
        <v>0</v>
      </c>
      <c r="F124" s="6">
        <v>149</v>
      </c>
      <c r="G124" s="8" t="str">
        <f>VLOOKUP(F124,[1]characters!$A:$C,3,FALSE)</f>
        <v>雷撃蹴技を極めし者 シンデレラ</v>
      </c>
      <c r="H124" s="8" t="str">
        <f>VLOOKUP(F124,[1]characters!$A:$J,10,FALSE)</f>
        <v>PremiumW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balance</v>
      </c>
      <c r="L124" s="8" t="str">
        <f>VLOOKUP(F124,[1]characters!$A:$M,13,FALSE)</f>
        <v>human</v>
      </c>
      <c r="M124" s="5">
        <v>1</v>
      </c>
      <c r="N124" s="28">
        <f>VLOOKUP(D124,gacha_148_base!A:B,2,FALSE)</f>
        <v>623</v>
      </c>
      <c r="O124" s="19">
        <v>0</v>
      </c>
      <c r="P124" s="19">
        <v>0</v>
      </c>
      <c r="Q124" s="19">
        <v>0</v>
      </c>
      <c r="R124" s="19">
        <v>0</v>
      </c>
      <c r="S124" s="19">
        <v>1</v>
      </c>
    </row>
    <row r="125" spans="1:19" ht="21" customHeight="1">
      <c r="A125" s="7" t="str">
        <f t="shared" si="11"/>
        <v>149151</v>
      </c>
      <c r="B125" s="2">
        <f t="shared" si="10"/>
        <v>149</v>
      </c>
      <c r="C125" s="8" t="str">
        <f t="shared" si="12"/>
        <v>0PremiumW4</v>
      </c>
      <c r="D125" s="8" t="str">
        <f t="shared" si="13"/>
        <v>0PremiumW4</v>
      </c>
      <c r="E125" s="5">
        <v>0</v>
      </c>
      <c r="F125" s="6">
        <v>151</v>
      </c>
      <c r="G125" s="8" t="str">
        <f>VLOOKUP(F125,[1]characters!$A:$C,3,FALSE)</f>
        <v>毒煙の処刑人サキ</v>
      </c>
      <c r="H125" s="8" t="str">
        <f>VLOOKUP(F125,[1]characters!$A:$J,10,FALSE)</f>
        <v>PremiumW</v>
      </c>
      <c r="I125" s="8">
        <f>VLOOKUP(F125,[1]characters!$A:$I,9,FALSE)</f>
        <v>4</v>
      </c>
      <c r="J125" s="8" t="str">
        <f>VLOOKUP(F125,[1]characters!$A:$H,8,FALSE)</f>
        <v>red</v>
      </c>
      <c r="K125" s="8" t="str">
        <f>VLOOKUP(F125,[1]characters!$A:$K,11,FALSE)</f>
        <v>technical</v>
      </c>
      <c r="L125" s="8" t="str">
        <f>VLOOKUP(F125,[1]characters!$A:$M,13,FALSE)</f>
        <v>human</v>
      </c>
      <c r="M125" s="5">
        <v>1</v>
      </c>
      <c r="N125" s="28">
        <f>VLOOKUP(D125,gacha_148_base!A:B,2,FALSE)</f>
        <v>623</v>
      </c>
      <c r="O125" s="19">
        <v>0</v>
      </c>
      <c r="P125" s="19">
        <v>0</v>
      </c>
      <c r="Q125" s="19">
        <v>0</v>
      </c>
      <c r="R125" s="19">
        <v>0</v>
      </c>
      <c r="S125" s="19">
        <v>1</v>
      </c>
    </row>
    <row r="126" spans="1:19" ht="21" customHeight="1">
      <c r="A126" s="7" t="str">
        <f t="shared" si="11"/>
        <v>149153</v>
      </c>
      <c r="B126" s="2">
        <f t="shared" si="10"/>
        <v>149</v>
      </c>
      <c r="C126" s="8" t="str">
        <f t="shared" si="12"/>
        <v>0PremiumW4</v>
      </c>
      <c r="D126" s="8" t="str">
        <f t="shared" si="13"/>
        <v>0PremiumW4</v>
      </c>
      <c r="E126" s="5">
        <v>0</v>
      </c>
      <c r="F126" s="6">
        <v>153</v>
      </c>
      <c r="G126" s="8" t="str">
        <f>VLOOKUP(F126,[1]characters!$A:$C,3,FALSE)</f>
        <v>拳聖ランラン</v>
      </c>
      <c r="H126" s="8" t="str">
        <f>VLOOKUP(F126,[1]characters!$A:$J,10,FALSE)</f>
        <v>PremiumW</v>
      </c>
      <c r="I126" s="8">
        <f>VLOOKUP(F126,[1]characters!$A:$I,9,FALSE)</f>
        <v>4</v>
      </c>
      <c r="J126" s="8" t="str">
        <f>VLOOKUP(F126,[1]characters!$A:$H,8,FALSE)</f>
        <v>green</v>
      </c>
      <c r="K126" s="8" t="str">
        <f>VLOOKUP(F126,[1]characters!$A:$K,11,FALSE)</f>
        <v>heal</v>
      </c>
      <c r="L126" s="8" t="str">
        <f>VLOOKUP(F126,[1]characters!$A:$M,13,FALSE)</f>
        <v>human</v>
      </c>
      <c r="M126" s="5">
        <v>1</v>
      </c>
      <c r="N126" s="28">
        <f>VLOOKUP(D126,gacha_148_base!A:B,2,FALSE)</f>
        <v>623</v>
      </c>
      <c r="O126" s="19">
        <v>0</v>
      </c>
      <c r="P126" s="19">
        <v>0</v>
      </c>
      <c r="Q126" s="19">
        <v>0</v>
      </c>
      <c r="R126" s="19">
        <v>0</v>
      </c>
      <c r="S126" s="19">
        <v>1</v>
      </c>
    </row>
    <row r="127" spans="1:19" ht="21" customHeight="1">
      <c r="A127" s="7" t="str">
        <f t="shared" si="11"/>
        <v>149155</v>
      </c>
      <c r="B127" s="2">
        <f t="shared" si="10"/>
        <v>149</v>
      </c>
      <c r="C127" s="8" t="str">
        <f t="shared" si="12"/>
        <v>0PremiumW4</v>
      </c>
      <c r="D127" s="8" t="str">
        <f t="shared" si="13"/>
        <v>0PremiumW4</v>
      </c>
      <c r="E127" s="5">
        <v>0</v>
      </c>
      <c r="F127" s="6">
        <v>155</v>
      </c>
      <c r="G127" s="8" t="str">
        <f>VLOOKUP(F127,[1]characters!$A:$C,3,FALSE)</f>
        <v>隻眼の掃除屋 ハンナ</v>
      </c>
      <c r="H127" s="8" t="str">
        <f>VLOOKUP(F127,[1]characters!$A:$J,10,FALSE)</f>
        <v>PremiumW</v>
      </c>
      <c r="I127" s="8">
        <f>VLOOKUP(F127,[1]characters!$A:$I,9,FALSE)</f>
        <v>4</v>
      </c>
      <c r="J127" s="8" t="str">
        <f>VLOOKUP(F127,[1]characters!$A:$H,8,FALSE)</f>
        <v>blue</v>
      </c>
      <c r="K127" s="8" t="str">
        <f>VLOOKUP(F127,[1]characters!$A:$K,11,FALSE)</f>
        <v>heal</v>
      </c>
      <c r="L127" s="8" t="str">
        <f>VLOOKUP(F127,[1]characters!$A:$M,13,FALSE)</f>
        <v>human</v>
      </c>
      <c r="M127" s="5">
        <v>1</v>
      </c>
      <c r="N127" s="28">
        <f>VLOOKUP(D127,gacha_148_base!A:B,2,FALSE)</f>
        <v>623</v>
      </c>
      <c r="O127" s="19">
        <v>0</v>
      </c>
      <c r="P127" s="19">
        <v>0</v>
      </c>
      <c r="Q127" s="19">
        <v>0</v>
      </c>
      <c r="R127" s="19">
        <v>0</v>
      </c>
      <c r="S127" s="19">
        <v>1</v>
      </c>
    </row>
    <row r="128" spans="1:19" ht="21" customHeight="1">
      <c r="A128" s="7" t="str">
        <f t="shared" si="11"/>
        <v>149157</v>
      </c>
      <c r="B128" s="2">
        <f t="shared" si="10"/>
        <v>149</v>
      </c>
      <c r="C128" s="8" t="str">
        <f t="shared" si="12"/>
        <v>0PremiumW4</v>
      </c>
      <c r="D128" s="8" t="str">
        <f t="shared" si="13"/>
        <v>0PremiumW4</v>
      </c>
      <c r="E128" s="5">
        <v>0</v>
      </c>
      <c r="F128" s="6">
        <v>157</v>
      </c>
      <c r="G128" s="8" t="str">
        <f>VLOOKUP(F128,[1]characters!$A:$C,3,FALSE)</f>
        <v>雷光舞姫 エレナ</v>
      </c>
      <c r="H128" s="8" t="str">
        <f>VLOOKUP(F128,[1]characters!$A:$J,10,FALSE)</f>
        <v>PremiumW</v>
      </c>
      <c r="I128" s="8">
        <f>VLOOKUP(F128,[1]characters!$A:$I,9,FALSE)</f>
        <v>4</v>
      </c>
      <c r="J128" s="8" t="str">
        <f>VLOOKUP(F128,[1]characters!$A:$H,8,FALSE)</f>
        <v>yellow</v>
      </c>
      <c r="K128" s="8" t="str">
        <f>VLOOKUP(F128,[1]characters!$A:$K,11,FALSE)</f>
        <v>heal</v>
      </c>
      <c r="L128" s="8" t="str">
        <f>VLOOKUP(F128,[1]characters!$A:$M,13,FALSE)</f>
        <v>human</v>
      </c>
      <c r="M128" s="5">
        <v>1</v>
      </c>
      <c r="N128" s="28">
        <f>VLOOKUP(D128,gacha_148_base!A:B,2,FALSE)</f>
        <v>623</v>
      </c>
      <c r="O128" s="19">
        <v>0</v>
      </c>
      <c r="P128" s="19">
        <v>0</v>
      </c>
      <c r="Q128" s="19">
        <v>0</v>
      </c>
      <c r="R128" s="19">
        <v>0</v>
      </c>
      <c r="S128" s="19">
        <v>1</v>
      </c>
    </row>
    <row r="129" spans="1:19" ht="21" customHeight="1">
      <c r="A129" s="7" t="str">
        <f t="shared" si="11"/>
        <v>149159</v>
      </c>
      <c r="B129" s="2">
        <f t="shared" si="10"/>
        <v>149</v>
      </c>
      <c r="C129" s="8" t="str">
        <f t="shared" si="12"/>
        <v>0PremiumW4</v>
      </c>
      <c r="D129" s="8" t="str">
        <f t="shared" si="13"/>
        <v>0PremiumW4</v>
      </c>
      <c r="E129" s="5">
        <v>0</v>
      </c>
      <c r="F129" s="6">
        <v>159</v>
      </c>
      <c r="G129" s="8" t="str">
        <f>VLOOKUP(F129,[1]characters!$A:$C,3,FALSE)</f>
        <v>邪を狩りし者 シャルロッテ</v>
      </c>
      <c r="H129" s="8" t="str">
        <f>VLOOKUP(F129,[1]characters!$A:$J,10,FALSE)</f>
        <v>PremiumW</v>
      </c>
      <c r="I129" s="8">
        <f>VLOOKUP(F129,[1]characters!$A:$I,9,FALSE)</f>
        <v>4</v>
      </c>
      <c r="J129" s="8" t="str">
        <f>VLOOKUP(F129,[1]characters!$A:$H,8,FALSE)</f>
        <v>red</v>
      </c>
      <c r="K129" s="8" t="str">
        <f>VLOOKUP(F129,[1]characters!$A:$K,11,FALSE)</f>
        <v>heal</v>
      </c>
      <c r="L129" s="8" t="str">
        <f>VLOOKUP(F129,[1]characters!$A:$M,13,FALSE)</f>
        <v>human</v>
      </c>
      <c r="M129" s="5">
        <v>1</v>
      </c>
      <c r="N129" s="28">
        <f>VLOOKUP(D129,gacha_148_base!A:B,2,FALSE)</f>
        <v>623</v>
      </c>
      <c r="O129" s="19">
        <v>0</v>
      </c>
      <c r="P129" s="19">
        <v>0</v>
      </c>
      <c r="Q129" s="19">
        <v>0</v>
      </c>
      <c r="R129" s="19">
        <v>0</v>
      </c>
      <c r="S129" s="19">
        <v>1</v>
      </c>
    </row>
    <row r="130" spans="1:19" ht="21" customHeight="1">
      <c r="A130" s="7" t="str">
        <f t="shared" si="11"/>
        <v>149161</v>
      </c>
      <c r="B130" s="2">
        <f t="shared" si="10"/>
        <v>149</v>
      </c>
      <c r="C130" s="8" t="str">
        <f t="shared" si="12"/>
        <v>0PremiumW4</v>
      </c>
      <c r="D130" s="8" t="str">
        <f t="shared" si="13"/>
        <v>0PremiumW4</v>
      </c>
      <c r="E130" s="5">
        <v>0</v>
      </c>
      <c r="F130" s="6">
        <v>161</v>
      </c>
      <c r="G130" s="8" t="str">
        <f>VLOOKUP(F130,[1]characters!$A:$C,3,FALSE)</f>
        <v>咆哮の先導者 クリエ</v>
      </c>
      <c r="H130" s="8" t="str">
        <f>VLOOKUP(F130,[1]characters!$A:$J,10,FALSE)</f>
        <v>PremiumW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balance</v>
      </c>
      <c r="L130" s="8" t="str">
        <f>VLOOKUP(F130,[1]characters!$A:$M,13,FALSE)</f>
        <v>human</v>
      </c>
      <c r="M130" s="5">
        <v>1</v>
      </c>
      <c r="N130" s="28">
        <f>VLOOKUP(D130,gacha_148_base!A:B,2,FALSE)</f>
        <v>623</v>
      </c>
      <c r="O130" s="19">
        <v>0</v>
      </c>
      <c r="P130" s="19">
        <v>0</v>
      </c>
      <c r="Q130" s="19">
        <v>0</v>
      </c>
      <c r="R130" s="19">
        <v>0</v>
      </c>
      <c r="S130" s="19">
        <v>1</v>
      </c>
    </row>
    <row r="131" spans="1:19" ht="21" customHeight="1">
      <c r="A131" s="7" t="str">
        <f t="shared" si="11"/>
        <v>149163</v>
      </c>
      <c r="B131" s="2">
        <f t="shared" si="10"/>
        <v>149</v>
      </c>
      <c r="C131" s="8" t="str">
        <f t="shared" si="12"/>
        <v>0PremiumW4</v>
      </c>
      <c r="D131" s="8" t="str">
        <f t="shared" si="13"/>
        <v>0PremiumW4</v>
      </c>
      <c r="E131" s="5">
        <v>0</v>
      </c>
      <c r="F131" s="6">
        <v>163</v>
      </c>
      <c r="G131" s="8" t="str">
        <f>VLOOKUP(F131,[1]characters!$A:$C,3,FALSE)</f>
        <v>冷酷な狂嬢 クララ</v>
      </c>
      <c r="H131" s="8" t="str">
        <f>VLOOKUP(F131,[1]characters!$A:$J,10,FALSE)</f>
        <v>PremiumW</v>
      </c>
      <c r="I131" s="8">
        <f>VLOOKUP(F131,[1]characters!$A:$I,9,FALSE)</f>
        <v>4</v>
      </c>
      <c r="J131" s="8" t="str">
        <f>VLOOKUP(F131,[1]characters!$A:$H,8,FALSE)</f>
        <v>blue</v>
      </c>
      <c r="K131" s="8" t="str">
        <f>VLOOKUP(F131,[1]characters!$A:$K,11,FALSE)</f>
        <v>attack</v>
      </c>
      <c r="L131" s="8" t="str">
        <f>VLOOKUP(F131,[1]characters!$A:$M,13,FALSE)</f>
        <v>human</v>
      </c>
      <c r="M131" s="5">
        <v>1</v>
      </c>
      <c r="N131" s="28">
        <f>VLOOKUP(D131,gacha_148_base!A:B,2,FALSE)</f>
        <v>623</v>
      </c>
      <c r="O131" s="19">
        <v>0</v>
      </c>
      <c r="P131" s="19">
        <v>0</v>
      </c>
      <c r="Q131" s="19">
        <v>0</v>
      </c>
      <c r="R131" s="19">
        <v>0</v>
      </c>
      <c r="S131" s="19">
        <v>1</v>
      </c>
    </row>
    <row r="132" spans="1:19" ht="21" customHeight="1">
      <c r="A132" s="7" t="str">
        <f t="shared" si="11"/>
        <v>149165</v>
      </c>
      <c r="B132" s="2">
        <f t="shared" si="10"/>
        <v>149</v>
      </c>
      <c r="C132" s="8" t="str">
        <f t="shared" si="12"/>
        <v>0PremiumW4</v>
      </c>
      <c r="D132" s="8" t="str">
        <f t="shared" si="13"/>
        <v>0PremiumW4</v>
      </c>
      <c r="E132" s="5">
        <v>0</v>
      </c>
      <c r="F132" s="6">
        <v>165</v>
      </c>
      <c r="G132" s="8" t="str">
        <f>VLOOKUP(F132,[1]characters!$A:$C,3,FALSE)</f>
        <v>イブとたったひとりのトモダチ</v>
      </c>
      <c r="H132" s="8" t="str">
        <f>VLOOKUP(F132,[1]characters!$A:$J,10,FALSE)</f>
        <v>PremiumW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technical</v>
      </c>
      <c r="L132" s="8" t="str">
        <f>VLOOKUP(F132,[1]characters!$A:$M,13,FALSE)</f>
        <v>human</v>
      </c>
      <c r="M132" s="5">
        <v>1</v>
      </c>
      <c r="N132" s="28">
        <f>VLOOKUP(D132,gacha_148_base!A:B,2,FALSE)</f>
        <v>623</v>
      </c>
      <c r="O132" s="19">
        <v>0</v>
      </c>
      <c r="P132" s="19">
        <v>0</v>
      </c>
      <c r="Q132" s="19">
        <v>0</v>
      </c>
      <c r="R132" s="19">
        <v>0</v>
      </c>
      <c r="S132" s="19">
        <v>1</v>
      </c>
    </row>
    <row r="133" spans="1:19" ht="21" customHeight="1">
      <c r="A133" s="7" t="str">
        <f t="shared" si="11"/>
        <v>149167</v>
      </c>
      <c r="B133" s="2">
        <f t="shared" si="10"/>
        <v>149</v>
      </c>
      <c r="C133" s="8" t="str">
        <f t="shared" si="12"/>
        <v>0PremiumN4</v>
      </c>
      <c r="D133" s="8" t="str">
        <f t="shared" si="13"/>
        <v>0PremiumN4</v>
      </c>
      <c r="E133" s="5">
        <v>0</v>
      </c>
      <c r="F133" s="6">
        <v>167</v>
      </c>
      <c r="G133" s="8" t="str">
        <f>VLOOKUP(F133,[1]characters!$A:$C,3,FALSE)</f>
        <v>逆徒 ベリアル</v>
      </c>
      <c r="H133" s="8" t="str">
        <f>VLOOKUP(F133,[1]characters!$A:$J,10,FALSE)</f>
        <v>PremiumN</v>
      </c>
      <c r="I133" s="8">
        <f>VLOOKUP(F133,[1]characters!$A:$I,9,FALSE)</f>
        <v>4</v>
      </c>
      <c r="J133" s="8" t="str">
        <f>VLOOKUP(F133,[1]characters!$A:$H,8,FALSE)</f>
        <v>red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28">
        <f>VLOOKUP(D133,gacha_148_base!A:B,2,FALSE)</f>
        <v>525</v>
      </c>
      <c r="O133" s="19">
        <v>0</v>
      </c>
      <c r="P133" s="19">
        <v>0</v>
      </c>
      <c r="Q133" s="19">
        <v>0</v>
      </c>
      <c r="R133" s="19">
        <v>0</v>
      </c>
      <c r="S133" s="19">
        <v>1</v>
      </c>
    </row>
    <row r="134" spans="1:19" ht="21" customHeight="1">
      <c r="A134" s="7" t="str">
        <f t="shared" si="11"/>
        <v>149170</v>
      </c>
      <c r="B134" s="2">
        <f t="shared" si="10"/>
        <v>149</v>
      </c>
      <c r="C134" s="8" t="str">
        <f t="shared" si="12"/>
        <v>0PremiumN4</v>
      </c>
      <c r="D134" s="8" t="str">
        <f t="shared" si="13"/>
        <v>0PremiumN4</v>
      </c>
      <c r="E134" s="5">
        <v>0</v>
      </c>
      <c r="F134" s="6">
        <v>170</v>
      </c>
      <c r="G134" s="8" t="str">
        <f>VLOOKUP(F134,[1]characters!$A:$C,3,FALSE)</f>
        <v>識徒 オセ</v>
      </c>
      <c r="H134" s="8" t="str">
        <f>VLOOKUP(F134,[1]characters!$A:$J,10,FALSE)</f>
        <v>PremiumN</v>
      </c>
      <c r="I134" s="8">
        <f>VLOOKUP(F134,[1]characters!$A:$I,9,FALSE)</f>
        <v>4</v>
      </c>
      <c r="J134" s="8" t="str">
        <f>VLOOKUP(F134,[1]characters!$A:$H,8,FALSE)</f>
        <v>green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28">
        <f>VLOOKUP(D134,gacha_148_base!A:B,2,FALSE)</f>
        <v>525</v>
      </c>
      <c r="O134" s="19">
        <v>0</v>
      </c>
      <c r="P134" s="19">
        <v>0</v>
      </c>
      <c r="Q134" s="19">
        <v>0</v>
      </c>
      <c r="R134" s="19">
        <v>0</v>
      </c>
      <c r="S134" s="19">
        <v>1</v>
      </c>
    </row>
    <row r="135" spans="1:19" ht="21" customHeight="1">
      <c r="A135" s="7" t="str">
        <f t="shared" si="11"/>
        <v>149173</v>
      </c>
      <c r="B135" s="2">
        <f t="shared" ref="B135:B166" si="14">$B$69</f>
        <v>149</v>
      </c>
      <c r="C135" s="8" t="str">
        <f t="shared" si="12"/>
        <v>0PremiumN4</v>
      </c>
      <c r="D135" s="8" t="str">
        <f t="shared" si="13"/>
        <v>0PremiumN4</v>
      </c>
      <c r="E135" s="5">
        <v>0</v>
      </c>
      <c r="F135" s="6">
        <v>173</v>
      </c>
      <c r="G135" s="8" t="str">
        <f>VLOOKUP(F135,[1]characters!$A:$C,3,FALSE)</f>
        <v>公爵 フォルネウス</v>
      </c>
      <c r="H135" s="8" t="str">
        <f>VLOOKUP(F135,[1]characters!$A:$J,10,FALSE)</f>
        <v>PremiumN</v>
      </c>
      <c r="I135" s="8">
        <f>VLOOKUP(F135,[1]characters!$A:$I,9,FALSE)</f>
        <v>4</v>
      </c>
      <c r="J135" s="8" t="str">
        <f>VLOOKUP(F135,[1]characters!$A:$H,8,FALSE)</f>
        <v>blue</v>
      </c>
      <c r="K135" s="8" t="str">
        <f>VLOOKUP(F135,[1]characters!$A:$K,11,FALSE)</f>
        <v>attack</v>
      </c>
      <c r="L135" s="8" t="str">
        <f>VLOOKUP(F135,[1]characters!$A:$M,13,FALSE)</f>
        <v>god</v>
      </c>
      <c r="M135" s="5">
        <v>1</v>
      </c>
      <c r="N135" s="28">
        <f>VLOOKUP(D135,gacha_148_base!A:B,2,FALSE)</f>
        <v>525</v>
      </c>
      <c r="O135" s="19">
        <v>0</v>
      </c>
      <c r="P135" s="19">
        <v>0</v>
      </c>
      <c r="Q135" s="19">
        <v>0</v>
      </c>
      <c r="R135" s="19">
        <v>0</v>
      </c>
      <c r="S135" s="19">
        <v>1</v>
      </c>
    </row>
    <row r="136" spans="1:19" ht="21" customHeight="1">
      <c r="A136" s="7" t="str">
        <f t="shared" si="11"/>
        <v>149176</v>
      </c>
      <c r="B136" s="2">
        <f t="shared" si="14"/>
        <v>149</v>
      </c>
      <c r="C136" s="8" t="str">
        <f t="shared" si="12"/>
        <v>0PremiumN4</v>
      </c>
      <c r="D136" s="8" t="str">
        <f t="shared" si="13"/>
        <v>0PremiumN4</v>
      </c>
      <c r="E136" s="5">
        <v>0</v>
      </c>
      <c r="F136" s="6">
        <v>176</v>
      </c>
      <c r="G136" s="8" t="str">
        <f>VLOOKUP(F136,[1]characters!$A:$C,3,FALSE)</f>
        <v>異教徒 バフォメット</v>
      </c>
      <c r="H136" s="8" t="str">
        <f>VLOOKUP(F136,[1]characters!$A:$J,10,FALSE)</f>
        <v>PremiumN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attack</v>
      </c>
      <c r="L136" s="8" t="str">
        <f>VLOOKUP(F136,[1]characters!$A:$M,13,FALSE)</f>
        <v>god</v>
      </c>
      <c r="M136" s="5">
        <v>1</v>
      </c>
      <c r="N136" s="28">
        <f>VLOOKUP(D136,gacha_148_base!A:B,2,FALSE)</f>
        <v>525</v>
      </c>
      <c r="O136" s="19">
        <v>0</v>
      </c>
      <c r="P136" s="19">
        <v>0</v>
      </c>
      <c r="Q136" s="19">
        <v>0</v>
      </c>
      <c r="R136" s="19">
        <v>0</v>
      </c>
      <c r="S136" s="19">
        <v>1</v>
      </c>
    </row>
    <row r="137" spans="1:19" ht="21" customHeight="1">
      <c r="A137" s="7" t="str">
        <f t="shared" si="11"/>
        <v>149179</v>
      </c>
      <c r="B137" s="2">
        <f t="shared" si="14"/>
        <v>149</v>
      </c>
      <c r="C137" s="8" t="str">
        <f t="shared" si="12"/>
        <v>0PremiumN4</v>
      </c>
      <c r="D137" s="8" t="str">
        <f t="shared" si="13"/>
        <v>0PremiumN4</v>
      </c>
      <c r="E137" s="5">
        <v>0</v>
      </c>
      <c r="F137" s="6">
        <v>179</v>
      </c>
      <c r="G137" s="8" t="str">
        <f>VLOOKUP(F137,[1]characters!$A:$C,3,FALSE)</f>
        <v>番犬 ケルベロス</v>
      </c>
      <c r="H137" s="8" t="str">
        <f>VLOOKUP(F137,[1]characters!$A:$J,10,FALSE)</f>
        <v>PremiumN</v>
      </c>
      <c r="I137" s="8">
        <f>VLOOKUP(F137,[1]characters!$A:$I,9,FALSE)</f>
        <v>4</v>
      </c>
      <c r="J137" s="8" t="str">
        <f>VLOOKUP(F137,[1]characters!$A:$H,8,FALSE)</f>
        <v>red</v>
      </c>
      <c r="K137" s="8" t="str">
        <f>VLOOKUP(F137,[1]characters!$A:$K,11,FALSE)</f>
        <v>balance</v>
      </c>
      <c r="L137" s="8" t="str">
        <f>VLOOKUP(F137,[1]characters!$A:$M,13,FALSE)</f>
        <v>animal</v>
      </c>
      <c r="M137" s="5">
        <v>1</v>
      </c>
      <c r="N137" s="28">
        <f>VLOOKUP(D137,gacha_148_base!A:B,2,FALSE)</f>
        <v>525</v>
      </c>
      <c r="O137" s="19">
        <v>0</v>
      </c>
      <c r="P137" s="19">
        <v>0</v>
      </c>
      <c r="Q137" s="19">
        <v>0</v>
      </c>
      <c r="R137" s="19">
        <v>0</v>
      </c>
      <c r="S137" s="19">
        <v>1</v>
      </c>
    </row>
    <row r="138" spans="1:19" ht="21" customHeight="1">
      <c r="A138" s="7" t="str">
        <f t="shared" si="11"/>
        <v>149182</v>
      </c>
      <c r="B138" s="2">
        <f t="shared" si="14"/>
        <v>149</v>
      </c>
      <c r="C138" s="8" t="str">
        <f t="shared" si="12"/>
        <v>0PremiumN4</v>
      </c>
      <c r="D138" s="8" t="str">
        <f t="shared" si="13"/>
        <v>0PremiumN4</v>
      </c>
      <c r="E138" s="5">
        <v>0</v>
      </c>
      <c r="F138" s="6">
        <v>182</v>
      </c>
      <c r="G138" s="8" t="str">
        <f>VLOOKUP(F138,[1]characters!$A:$C,3,FALSE)</f>
        <v>放蕩者 ベヒモス</v>
      </c>
      <c r="H138" s="8" t="str">
        <f>VLOOKUP(F138,[1]characters!$A:$J,10,FALSE)</f>
        <v>PremiumN</v>
      </c>
      <c r="I138" s="8">
        <f>VLOOKUP(F138,[1]characters!$A:$I,9,FALSE)</f>
        <v>4</v>
      </c>
      <c r="J138" s="8" t="str">
        <f>VLOOKUP(F138,[1]characters!$A:$H,8,FALSE)</f>
        <v>green</v>
      </c>
      <c r="K138" s="8" t="str">
        <f>VLOOKUP(F138,[1]characters!$A:$K,11,FALSE)</f>
        <v>hp</v>
      </c>
      <c r="L138" s="8" t="str">
        <f>VLOOKUP(F138,[1]characters!$A:$M,13,FALSE)</f>
        <v>animal</v>
      </c>
      <c r="M138" s="5">
        <v>1</v>
      </c>
      <c r="N138" s="28">
        <f>VLOOKUP(D138,gacha_148_base!A:B,2,FALSE)</f>
        <v>525</v>
      </c>
      <c r="O138" s="19">
        <v>0</v>
      </c>
      <c r="P138" s="19">
        <v>0</v>
      </c>
      <c r="Q138" s="19">
        <v>0</v>
      </c>
      <c r="R138" s="19">
        <v>0</v>
      </c>
      <c r="S138" s="19">
        <v>1</v>
      </c>
    </row>
    <row r="139" spans="1:19" ht="21" customHeight="1">
      <c r="A139" s="7" t="str">
        <f t="shared" si="11"/>
        <v>149185</v>
      </c>
      <c r="B139" s="2">
        <f t="shared" si="14"/>
        <v>149</v>
      </c>
      <c r="C139" s="8" t="str">
        <f t="shared" si="12"/>
        <v>0PremiumN4</v>
      </c>
      <c r="D139" s="8" t="str">
        <f t="shared" si="13"/>
        <v>0PremiumN4</v>
      </c>
      <c r="E139" s="5">
        <v>0</v>
      </c>
      <c r="F139" s="6">
        <v>185</v>
      </c>
      <c r="G139" s="8" t="str">
        <f>VLOOKUP(F139,[1]characters!$A:$C,3,FALSE)</f>
        <v>海姫 クラーケン</v>
      </c>
      <c r="H139" s="8" t="str">
        <f>VLOOKUP(F139,[1]characters!$A:$J,10,FALSE)</f>
        <v>PremiumN</v>
      </c>
      <c r="I139" s="8">
        <f>VLOOKUP(F139,[1]characters!$A:$I,9,FALSE)</f>
        <v>4</v>
      </c>
      <c r="J139" s="8" t="str">
        <f>VLOOKUP(F139,[1]characters!$A:$H,8,FALSE)</f>
        <v>blue</v>
      </c>
      <c r="K139" s="8" t="str">
        <f>VLOOKUP(F139,[1]characters!$A:$K,11,FALSE)</f>
        <v>heal</v>
      </c>
      <c r="L139" s="8" t="str">
        <f>VLOOKUP(F139,[1]characters!$A:$M,13,FALSE)</f>
        <v>animal</v>
      </c>
      <c r="M139" s="5">
        <v>1</v>
      </c>
      <c r="N139" s="28">
        <f>VLOOKUP(D139,gacha_148_base!A:B,2,FALSE)</f>
        <v>525</v>
      </c>
      <c r="O139" s="19">
        <v>0</v>
      </c>
      <c r="P139" s="19">
        <v>0</v>
      </c>
      <c r="Q139" s="19">
        <v>0</v>
      </c>
      <c r="R139" s="19">
        <v>0</v>
      </c>
      <c r="S139" s="19">
        <v>1</v>
      </c>
    </row>
    <row r="140" spans="1:19" ht="21" customHeight="1">
      <c r="A140" s="7" t="str">
        <f t="shared" si="11"/>
        <v>149188</v>
      </c>
      <c r="B140" s="2">
        <f t="shared" si="14"/>
        <v>149</v>
      </c>
      <c r="C140" s="8" t="str">
        <f t="shared" si="12"/>
        <v>0PremiumN4</v>
      </c>
      <c r="D140" s="8" t="str">
        <f t="shared" si="13"/>
        <v>0PremiumN4</v>
      </c>
      <c r="E140" s="5">
        <v>0</v>
      </c>
      <c r="F140" s="6">
        <v>188</v>
      </c>
      <c r="G140" s="8" t="str">
        <f>VLOOKUP(F140,[1]characters!$A:$C,3,FALSE)</f>
        <v>猛禽 ホルス</v>
      </c>
      <c r="H140" s="8" t="str">
        <f>VLOOKUP(F140,[1]characters!$A:$J,10,FALSE)</f>
        <v>PremiumN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attack</v>
      </c>
      <c r="L140" s="8" t="str">
        <f>VLOOKUP(F140,[1]characters!$A:$M,13,FALSE)</f>
        <v>animal</v>
      </c>
      <c r="M140" s="5">
        <v>1</v>
      </c>
      <c r="N140" s="28">
        <f>VLOOKUP(D140,gacha_148_base!A:B,2,FALSE)</f>
        <v>525</v>
      </c>
      <c r="O140" s="19">
        <v>0</v>
      </c>
      <c r="P140" s="19">
        <v>0</v>
      </c>
      <c r="Q140" s="19">
        <v>0</v>
      </c>
      <c r="R140" s="19">
        <v>0</v>
      </c>
      <c r="S140" s="19">
        <v>1</v>
      </c>
    </row>
    <row r="141" spans="1:19" ht="21" customHeight="1">
      <c r="A141" s="7" t="str">
        <f t="shared" si="11"/>
        <v>149191</v>
      </c>
      <c r="B141" s="2">
        <f t="shared" si="14"/>
        <v>149</v>
      </c>
      <c r="C141" s="8" t="str">
        <f t="shared" si="12"/>
        <v>0PremiumN4</v>
      </c>
      <c r="D141" s="8" t="str">
        <f t="shared" si="13"/>
        <v>0PremiumN4</v>
      </c>
      <c r="E141" s="5">
        <v>0</v>
      </c>
      <c r="F141" s="6">
        <v>191</v>
      </c>
      <c r="G141" s="8" t="str">
        <f>VLOOKUP(F141,[1]characters!$A:$C,3,FALSE)</f>
        <v>始祖 卑弥呼</v>
      </c>
      <c r="H141" s="8" t="str">
        <f>VLOOKUP(F141,[1]characters!$A:$J,10,FALSE)</f>
        <v>PremiumN</v>
      </c>
      <c r="I141" s="8">
        <f>VLOOKUP(F141,[1]characters!$A:$I,9,FALSE)</f>
        <v>4</v>
      </c>
      <c r="J141" s="8" t="str">
        <f>VLOOKUP(F141,[1]characters!$A:$H,8,FALSE)</f>
        <v>red</v>
      </c>
      <c r="K141" s="8" t="str">
        <f>VLOOKUP(F141,[1]characters!$A:$K,11,FALSE)</f>
        <v>balance</v>
      </c>
      <c r="L141" s="8" t="str">
        <f>VLOOKUP(F141,[1]characters!$A:$M,13,FALSE)</f>
        <v>human</v>
      </c>
      <c r="M141" s="5">
        <v>1</v>
      </c>
      <c r="N141" s="28">
        <f>VLOOKUP(D141,gacha_148_base!A:B,2,FALSE)</f>
        <v>525</v>
      </c>
      <c r="O141" s="19">
        <v>0</v>
      </c>
      <c r="P141" s="19">
        <v>0</v>
      </c>
      <c r="Q141" s="19">
        <v>0</v>
      </c>
      <c r="R141" s="19">
        <v>0</v>
      </c>
      <c r="S141" s="19">
        <v>1</v>
      </c>
    </row>
    <row r="142" spans="1:19" ht="21" customHeight="1">
      <c r="A142" s="7" t="str">
        <f t="shared" si="11"/>
        <v>149194</v>
      </c>
      <c r="B142" s="2">
        <f t="shared" si="14"/>
        <v>149</v>
      </c>
      <c r="C142" s="8" t="str">
        <f t="shared" si="12"/>
        <v>0PremiumN4</v>
      </c>
      <c r="D142" s="8" t="str">
        <f t="shared" si="13"/>
        <v>0PremiumN4</v>
      </c>
      <c r="E142" s="5">
        <v>0</v>
      </c>
      <c r="F142" s="6">
        <v>194</v>
      </c>
      <c r="G142" s="8" t="str">
        <f>VLOOKUP(F142,[1]characters!$A:$C,3,FALSE)</f>
        <v>スナイパー ロビンフッド</v>
      </c>
      <c r="H142" s="8" t="str">
        <f>VLOOKUP(F142,[1]characters!$A:$J,10,FALSE)</f>
        <v>PremiumN</v>
      </c>
      <c r="I142" s="8">
        <f>VLOOKUP(F142,[1]characters!$A:$I,9,FALSE)</f>
        <v>4</v>
      </c>
      <c r="J142" s="8" t="str">
        <f>VLOOKUP(F142,[1]characters!$A:$H,8,FALSE)</f>
        <v>green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28">
        <f>VLOOKUP(D142,gacha_148_base!A:B,2,FALSE)</f>
        <v>525</v>
      </c>
      <c r="O142" s="19">
        <v>0</v>
      </c>
      <c r="P142" s="19">
        <v>0</v>
      </c>
      <c r="Q142" s="19">
        <v>0</v>
      </c>
      <c r="R142" s="19">
        <v>0</v>
      </c>
      <c r="S142" s="19">
        <v>1</v>
      </c>
    </row>
    <row r="143" spans="1:19" ht="21" customHeight="1">
      <c r="A143" s="7" t="str">
        <f t="shared" si="11"/>
        <v>149197</v>
      </c>
      <c r="B143" s="2">
        <f t="shared" si="14"/>
        <v>149</v>
      </c>
      <c r="C143" s="8" t="str">
        <f t="shared" si="12"/>
        <v>0PremiumN4</v>
      </c>
      <c r="D143" s="8" t="str">
        <f t="shared" si="13"/>
        <v>0PremiumN4</v>
      </c>
      <c r="E143" s="5">
        <v>0</v>
      </c>
      <c r="F143" s="6">
        <v>197</v>
      </c>
      <c r="G143" s="8" t="str">
        <f>VLOOKUP(F143,[1]characters!$A:$C,3,FALSE)</f>
        <v>鉄腕 アキレス</v>
      </c>
      <c r="H143" s="8" t="str">
        <f>VLOOKUP(F143,[1]characters!$A:$J,10,FALSE)</f>
        <v>PremiumN</v>
      </c>
      <c r="I143" s="8">
        <f>VLOOKUP(F143,[1]characters!$A:$I,9,FALSE)</f>
        <v>4</v>
      </c>
      <c r="J143" s="8" t="str">
        <f>VLOOKUP(F143,[1]characters!$A:$H,8,FALSE)</f>
        <v>yellow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28">
        <f>VLOOKUP(D143,gacha_148_base!A:B,2,FALSE)</f>
        <v>525</v>
      </c>
      <c r="O143" s="19">
        <v>0</v>
      </c>
      <c r="P143" s="19">
        <v>0</v>
      </c>
      <c r="Q143" s="19">
        <v>0</v>
      </c>
      <c r="R143" s="19">
        <v>0</v>
      </c>
      <c r="S143" s="19">
        <v>1</v>
      </c>
    </row>
    <row r="144" spans="1:19" ht="21" customHeight="1">
      <c r="A144" s="7" t="str">
        <f t="shared" si="11"/>
        <v>149200</v>
      </c>
      <c r="B144" s="2">
        <f t="shared" si="14"/>
        <v>149</v>
      </c>
      <c r="C144" s="8" t="str">
        <f t="shared" si="12"/>
        <v>0PremiumN4</v>
      </c>
      <c r="D144" s="8" t="str">
        <f t="shared" si="13"/>
        <v>0PremiumN4</v>
      </c>
      <c r="E144" s="5">
        <v>0</v>
      </c>
      <c r="F144" s="6">
        <v>200</v>
      </c>
      <c r="G144" s="8" t="str">
        <f>VLOOKUP(F144,[1]characters!$A:$C,3,FALSE)</f>
        <v>大剣士 ジークフリート</v>
      </c>
      <c r="H144" s="8" t="str">
        <f>VLOOKUP(F144,[1]characters!$A:$J,10,FALSE)</f>
        <v>PremiumN</v>
      </c>
      <c r="I144" s="8">
        <f>VLOOKUP(F144,[1]characters!$A:$I,9,FALSE)</f>
        <v>4</v>
      </c>
      <c r="J144" s="8" t="str">
        <f>VLOOKUP(F144,[1]characters!$A:$H,8,FALSE)</f>
        <v>blue</v>
      </c>
      <c r="K144" s="8" t="str">
        <f>VLOOKUP(F144,[1]characters!$A:$K,11,FALSE)</f>
        <v>balance</v>
      </c>
      <c r="L144" s="8" t="str">
        <f>VLOOKUP(F144,[1]characters!$A:$M,13,FALSE)</f>
        <v>human</v>
      </c>
      <c r="M144" s="5">
        <v>1</v>
      </c>
      <c r="N144" s="28">
        <f>VLOOKUP(D144,gacha_148_base!A:B,2,FALSE)</f>
        <v>525</v>
      </c>
      <c r="O144" s="19">
        <v>0</v>
      </c>
      <c r="P144" s="19">
        <v>0</v>
      </c>
      <c r="Q144" s="19">
        <v>0</v>
      </c>
      <c r="R144" s="19">
        <v>0</v>
      </c>
      <c r="S144" s="19">
        <v>1</v>
      </c>
    </row>
    <row r="145" spans="1:19" ht="21" customHeight="1">
      <c r="A145" s="7" t="str">
        <f t="shared" si="11"/>
        <v>149203</v>
      </c>
      <c r="B145" s="2">
        <f t="shared" si="14"/>
        <v>149</v>
      </c>
      <c r="C145" s="8" t="str">
        <f t="shared" si="12"/>
        <v>0PremiumN4</v>
      </c>
      <c r="D145" s="8" t="str">
        <f t="shared" si="13"/>
        <v>0PremiumN4</v>
      </c>
      <c r="E145" s="5">
        <v>0</v>
      </c>
      <c r="F145" s="6">
        <v>203</v>
      </c>
      <c r="G145" s="8" t="str">
        <f>VLOOKUP(F145,[1]characters!$A:$C,3,FALSE)</f>
        <v>焔神 プロメテウス</v>
      </c>
      <c r="H145" s="8" t="str">
        <f>VLOOKUP(F145,[1]characters!$A:$J,10,FALSE)</f>
        <v>PremiumN</v>
      </c>
      <c r="I145" s="8">
        <f>VLOOKUP(F145,[1]characters!$A:$I,9,FALSE)</f>
        <v>4</v>
      </c>
      <c r="J145" s="8" t="str">
        <f>VLOOKUP(F145,[1]characters!$A:$H,8,FALSE)</f>
        <v>red</v>
      </c>
      <c r="K145" s="8" t="str">
        <f>VLOOKUP(F145,[1]characters!$A:$K,11,FALSE)</f>
        <v>hp</v>
      </c>
      <c r="L145" s="8" t="str">
        <f>VLOOKUP(F145,[1]characters!$A:$M,13,FALSE)</f>
        <v>god</v>
      </c>
      <c r="M145" s="5">
        <v>1</v>
      </c>
      <c r="N145" s="28">
        <f>VLOOKUP(D145,gacha_148_base!A:B,2,FALSE)</f>
        <v>525</v>
      </c>
      <c r="O145" s="19">
        <v>0</v>
      </c>
      <c r="P145" s="19">
        <v>0</v>
      </c>
      <c r="Q145" s="19">
        <v>0</v>
      </c>
      <c r="R145" s="19">
        <v>0</v>
      </c>
      <c r="S145" s="19">
        <v>1</v>
      </c>
    </row>
    <row r="146" spans="1:19" ht="21" customHeight="1">
      <c r="A146" s="7" t="str">
        <f t="shared" si="11"/>
        <v>149206</v>
      </c>
      <c r="B146" s="2">
        <f t="shared" si="14"/>
        <v>149</v>
      </c>
      <c r="C146" s="8" t="str">
        <f t="shared" si="12"/>
        <v>0PremiumN4</v>
      </c>
      <c r="D146" s="8" t="str">
        <f t="shared" si="13"/>
        <v>0PremiumN4</v>
      </c>
      <c r="E146" s="5">
        <v>0</v>
      </c>
      <c r="F146" s="6">
        <v>206</v>
      </c>
      <c r="G146" s="8" t="str">
        <f>VLOOKUP(F146,[1]characters!$A:$C,3,FALSE)</f>
        <v>美神 アフロディーテ</v>
      </c>
      <c r="H146" s="8" t="str">
        <f>VLOOKUP(F146,[1]characters!$A:$J,10,FALSE)</f>
        <v>PremiumN</v>
      </c>
      <c r="I146" s="8">
        <f>VLOOKUP(F146,[1]characters!$A:$I,9,FALSE)</f>
        <v>4</v>
      </c>
      <c r="J146" s="8" t="str">
        <f>VLOOKUP(F146,[1]characters!$A:$H,8,FALSE)</f>
        <v>green</v>
      </c>
      <c r="K146" s="8" t="str">
        <f>VLOOKUP(F146,[1]characters!$A:$K,11,FALSE)</f>
        <v>hp</v>
      </c>
      <c r="L146" s="8" t="str">
        <f>VLOOKUP(F146,[1]characters!$A:$M,13,FALSE)</f>
        <v>god</v>
      </c>
      <c r="M146" s="5">
        <v>1</v>
      </c>
      <c r="N146" s="28">
        <f>VLOOKUP(D146,gacha_148_base!A:B,2,FALSE)</f>
        <v>525</v>
      </c>
      <c r="O146" s="19">
        <v>0</v>
      </c>
      <c r="P146" s="19">
        <v>0</v>
      </c>
      <c r="Q146" s="19">
        <v>0</v>
      </c>
      <c r="R146" s="19">
        <v>0</v>
      </c>
      <c r="S146" s="19">
        <v>1</v>
      </c>
    </row>
    <row r="147" spans="1:19" ht="21" customHeight="1">
      <c r="A147" s="7" t="str">
        <f t="shared" si="11"/>
        <v>149209</v>
      </c>
      <c r="B147" s="2">
        <f t="shared" si="14"/>
        <v>149</v>
      </c>
      <c r="C147" s="8" t="str">
        <f t="shared" si="12"/>
        <v>0PremiumN4</v>
      </c>
      <c r="D147" s="8" t="str">
        <f t="shared" si="13"/>
        <v>0PremiumN4</v>
      </c>
      <c r="E147" s="5">
        <v>0</v>
      </c>
      <c r="F147" s="6">
        <v>209</v>
      </c>
      <c r="G147" s="8" t="str">
        <f>VLOOKUP(F147,[1]characters!$A:$C,3,FALSE)</f>
        <v>孤神 テティス</v>
      </c>
      <c r="H147" s="8" t="str">
        <f>VLOOKUP(F147,[1]characters!$A:$J,10,FALSE)</f>
        <v>PremiumN</v>
      </c>
      <c r="I147" s="8">
        <f>VLOOKUP(F147,[1]characters!$A:$I,9,FALSE)</f>
        <v>4</v>
      </c>
      <c r="J147" s="8" t="str">
        <f>VLOOKUP(F147,[1]characters!$A:$H,8,FALSE)</f>
        <v>blue</v>
      </c>
      <c r="K147" s="8" t="str">
        <f>VLOOKUP(F147,[1]characters!$A:$K,11,FALSE)</f>
        <v>hp</v>
      </c>
      <c r="L147" s="8" t="str">
        <f>VLOOKUP(F147,[1]characters!$A:$M,13,FALSE)</f>
        <v>god</v>
      </c>
      <c r="M147" s="5">
        <v>1</v>
      </c>
      <c r="N147" s="28">
        <f>VLOOKUP(D147,gacha_148_base!A:B,2,FALSE)</f>
        <v>525</v>
      </c>
      <c r="O147" s="19">
        <v>0</v>
      </c>
      <c r="P147" s="19">
        <v>0</v>
      </c>
      <c r="Q147" s="19">
        <v>0</v>
      </c>
      <c r="R147" s="19">
        <v>0</v>
      </c>
      <c r="S147" s="19">
        <v>1</v>
      </c>
    </row>
    <row r="148" spans="1:19" ht="21" customHeight="1">
      <c r="A148" s="7" t="str">
        <f t="shared" si="11"/>
        <v>149212</v>
      </c>
      <c r="B148" s="2">
        <f t="shared" si="14"/>
        <v>149</v>
      </c>
      <c r="C148" s="8" t="str">
        <f t="shared" si="12"/>
        <v>0PremiumN4</v>
      </c>
      <c r="D148" s="8" t="str">
        <f t="shared" si="13"/>
        <v>0PremiumN4</v>
      </c>
      <c r="E148" s="5">
        <v>0</v>
      </c>
      <c r="F148" s="6">
        <v>212</v>
      </c>
      <c r="G148" s="8" t="str">
        <f>VLOOKUP(F148,[1]characters!$A:$C,3,FALSE)</f>
        <v>星神 アストライアー</v>
      </c>
      <c r="H148" s="8" t="str">
        <f>VLOOKUP(F148,[1]characters!$A:$J,10,FALSE)</f>
        <v>PremiumN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god</v>
      </c>
      <c r="M148" s="5">
        <v>1</v>
      </c>
      <c r="N148" s="28">
        <f>VLOOKUP(D148,gacha_148_base!A:B,2,FALSE)</f>
        <v>525</v>
      </c>
      <c r="O148" s="19">
        <v>0</v>
      </c>
      <c r="P148" s="19">
        <v>0</v>
      </c>
      <c r="Q148" s="19">
        <v>0</v>
      </c>
      <c r="R148" s="19">
        <v>0</v>
      </c>
      <c r="S148" s="19">
        <v>1</v>
      </c>
    </row>
    <row r="149" spans="1:19" ht="21" customHeight="1">
      <c r="A149" s="7" t="str">
        <f t="shared" si="11"/>
        <v>149215</v>
      </c>
      <c r="B149" s="2">
        <f t="shared" si="14"/>
        <v>149</v>
      </c>
      <c r="C149" s="8" t="str">
        <f t="shared" si="12"/>
        <v>0PremiumN4</v>
      </c>
      <c r="D149" s="8" t="str">
        <f t="shared" si="13"/>
        <v>0PremiumN4</v>
      </c>
      <c r="E149" s="5">
        <v>0</v>
      </c>
      <c r="F149" s="6">
        <v>215</v>
      </c>
      <c r="G149" s="8" t="str">
        <f>VLOOKUP(F149,[1]characters!$A:$C,3,FALSE)</f>
        <v>死導者 アズラエル</v>
      </c>
      <c r="H149" s="8" t="str">
        <f>VLOOKUP(F149,[1]characters!$A:$J,10,FALSE)</f>
        <v>PremiumN</v>
      </c>
      <c r="I149" s="8">
        <f>VLOOKUP(F149,[1]characters!$A:$I,9,FALSE)</f>
        <v>4</v>
      </c>
      <c r="J149" s="8" t="str">
        <f>VLOOKUP(F149,[1]characters!$A:$H,8,FALSE)</f>
        <v>red</v>
      </c>
      <c r="K149" s="8" t="str">
        <f>VLOOKUP(F149,[1]characters!$A:$K,11,FALSE)</f>
        <v>balance</v>
      </c>
      <c r="L149" s="8" t="str">
        <f>VLOOKUP(F149,[1]characters!$A:$M,13,FALSE)</f>
        <v>god</v>
      </c>
      <c r="M149" s="5">
        <v>1</v>
      </c>
      <c r="N149" s="28">
        <f>VLOOKUP(D149,gacha_148_base!A:B,2,FALSE)</f>
        <v>525</v>
      </c>
      <c r="O149" s="19">
        <v>0</v>
      </c>
      <c r="P149" s="19">
        <v>0</v>
      </c>
      <c r="Q149" s="19">
        <v>0</v>
      </c>
      <c r="R149" s="19">
        <v>0</v>
      </c>
      <c r="S149" s="19">
        <v>1</v>
      </c>
    </row>
    <row r="150" spans="1:19" ht="21" customHeight="1">
      <c r="A150" s="7" t="str">
        <f t="shared" si="11"/>
        <v>149218</v>
      </c>
      <c r="B150" s="2">
        <f t="shared" si="14"/>
        <v>149</v>
      </c>
      <c r="C150" s="8" t="str">
        <f t="shared" si="12"/>
        <v>0PremiumN4</v>
      </c>
      <c r="D150" s="8" t="str">
        <f t="shared" si="13"/>
        <v>0PremiumN4</v>
      </c>
      <c r="E150" s="5">
        <v>0</v>
      </c>
      <c r="F150" s="6">
        <v>218</v>
      </c>
      <c r="G150" s="8" t="str">
        <f>VLOOKUP(F150,[1]characters!$A:$C,3,FALSE)</f>
        <v>聖蛇 ケツァクアトル</v>
      </c>
      <c r="H150" s="8" t="str">
        <f>VLOOKUP(F150,[1]characters!$A:$J,10,FALSE)</f>
        <v>PremiumN</v>
      </c>
      <c r="I150" s="8">
        <f>VLOOKUP(F150,[1]characters!$A:$I,9,FALSE)</f>
        <v>4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5">
        <v>1</v>
      </c>
      <c r="N150" s="28">
        <f>VLOOKUP(D150,gacha_148_base!A:B,2,FALSE)</f>
        <v>525</v>
      </c>
      <c r="O150" s="19">
        <v>0</v>
      </c>
      <c r="P150" s="19">
        <v>0</v>
      </c>
      <c r="Q150" s="19">
        <v>0</v>
      </c>
      <c r="R150" s="19">
        <v>0</v>
      </c>
      <c r="S150" s="19">
        <v>1</v>
      </c>
    </row>
    <row r="151" spans="1:19" ht="21" customHeight="1">
      <c r="A151" s="7" t="str">
        <f t="shared" si="11"/>
        <v>149221</v>
      </c>
      <c r="B151" s="2">
        <f t="shared" si="14"/>
        <v>149</v>
      </c>
      <c r="C151" s="8" t="str">
        <f t="shared" si="12"/>
        <v>0PremiumN4</v>
      </c>
      <c r="D151" s="8" t="str">
        <f t="shared" si="13"/>
        <v>0PremiumN4</v>
      </c>
      <c r="E151" s="5">
        <v>0</v>
      </c>
      <c r="F151" s="6">
        <v>221</v>
      </c>
      <c r="G151" s="8" t="str">
        <f>VLOOKUP(F151,[1]characters!$A:$C,3,FALSE)</f>
        <v>宰相 ルキフグス</v>
      </c>
      <c r="H151" s="8" t="str">
        <f>VLOOKUP(F151,[1]characters!$A:$J,10,FALSE)</f>
        <v>PremiumN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god</v>
      </c>
      <c r="M151" s="5">
        <v>1</v>
      </c>
      <c r="N151" s="28">
        <f>VLOOKUP(D151,gacha_148_base!A:B,2,FALSE)</f>
        <v>525</v>
      </c>
      <c r="O151" s="19">
        <v>0</v>
      </c>
      <c r="P151" s="19">
        <v>0</v>
      </c>
      <c r="Q151" s="19">
        <v>0</v>
      </c>
      <c r="R151" s="19">
        <v>0</v>
      </c>
      <c r="S151" s="19">
        <v>1</v>
      </c>
    </row>
    <row r="152" spans="1:19" ht="21" customHeight="1">
      <c r="A152" s="7" t="str">
        <f t="shared" si="11"/>
        <v>149224</v>
      </c>
      <c r="B152" s="2">
        <f t="shared" si="14"/>
        <v>149</v>
      </c>
      <c r="C152" s="8" t="str">
        <f t="shared" si="12"/>
        <v>0PremiumN4</v>
      </c>
      <c r="D152" s="8" t="str">
        <f t="shared" si="13"/>
        <v>0PremiumN4</v>
      </c>
      <c r="E152" s="5">
        <v>0</v>
      </c>
      <c r="F152" s="6">
        <v>224</v>
      </c>
      <c r="G152" s="8" t="str">
        <f>VLOOKUP(F152,[1]characters!$A:$C,3,FALSE)</f>
        <v>巨腕 ヘラクレス</v>
      </c>
      <c r="H152" s="8" t="str">
        <f>VLOOKUP(F152,[1]characters!$A:$J,10,FALSE)</f>
        <v>PremiumN</v>
      </c>
      <c r="I152" s="8">
        <f>VLOOKUP(F152,[1]characters!$A:$I,9,FALSE)</f>
        <v>4</v>
      </c>
      <c r="J152" s="8" t="str">
        <f>VLOOKUP(F152,[1]characters!$A:$H,8,FALSE)</f>
        <v>yellow</v>
      </c>
      <c r="K152" s="8" t="str">
        <f>VLOOKUP(F152,[1]characters!$A:$K,11,FALSE)</f>
        <v>balance</v>
      </c>
      <c r="L152" s="8" t="str">
        <f>VLOOKUP(F152,[1]characters!$A:$M,13,FALSE)</f>
        <v>human</v>
      </c>
      <c r="M152" s="5">
        <v>1</v>
      </c>
      <c r="N152" s="28">
        <f>VLOOKUP(D152,gacha_148_base!A:B,2,FALSE)</f>
        <v>525</v>
      </c>
      <c r="O152" s="19">
        <v>0</v>
      </c>
      <c r="P152" s="19">
        <v>0</v>
      </c>
      <c r="Q152" s="19">
        <v>0</v>
      </c>
      <c r="R152" s="19">
        <v>0</v>
      </c>
      <c r="S152" s="19">
        <v>1</v>
      </c>
    </row>
    <row r="153" spans="1:19" ht="21" customHeight="1">
      <c r="A153" s="7" t="str">
        <f t="shared" si="11"/>
        <v>149227</v>
      </c>
      <c r="B153" s="2">
        <f t="shared" si="14"/>
        <v>149</v>
      </c>
      <c r="C153" s="8" t="str">
        <f t="shared" si="12"/>
        <v>0PremiumS4</v>
      </c>
      <c r="D153" s="8" t="str">
        <f t="shared" si="13"/>
        <v>0PremiumS4</v>
      </c>
      <c r="E153" s="5">
        <v>0</v>
      </c>
      <c r="F153" s="6">
        <v>227</v>
      </c>
      <c r="G153" s="8" t="str">
        <f>VLOOKUP(F153,[1]characters!$A:$C,3,FALSE)</f>
        <v>滅弾 アレス</v>
      </c>
      <c r="H153" s="8" t="str">
        <f>VLOOKUP(F153,[1]characters!$A:$J,10,FALSE)</f>
        <v>PremiumS</v>
      </c>
      <c r="I153" s="8">
        <f>VLOOKUP(F153,[1]characters!$A:$I,9,FALSE)</f>
        <v>4</v>
      </c>
      <c r="J153" s="8" t="str">
        <f>VLOOKUP(F153,[1]characters!$A:$H,8,FALSE)</f>
        <v>red</v>
      </c>
      <c r="K153" s="8" t="str">
        <f>VLOOKUP(F153,[1]characters!$A:$K,11,FALSE)</f>
        <v>attack</v>
      </c>
      <c r="L153" s="8" t="str">
        <f>VLOOKUP(F153,[1]characters!$A:$M,13,FALSE)</f>
        <v>god</v>
      </c>
      <c r="M153" s="5">
        <v>1</v>
      </c>
      <c r="N153" s="28">
        <f>VLOOKUP(D153,gacha_148_base!A:B,2,FALSE)</f>
        <v>36</v>
      </c>
      <c r="O153" s="19">
        <v>0</v>
      </c>
      <c r="P153" s="19">
        <v>0</v>
      </c>
      <c r="Q153" s="19">
        <v>0</v>
      </c>
      <c r="R153" s="19">
        <v>0</v>
      </c>
      <c r="S153" s="19">
        <v>1</v>
      </c>
    </row>
    <row r="154" spans="1:19" ht="21" customHeight="1">
      <c r="A154" s="7" t="str">
        <f t="shared" ref="A154:A179" si="15">B154&amp;F154</f>
        <v>149230</v>
      </c>
      <c r="B154" s="2">
        <f t="shared" si="14"/>
        <v>149</v>
      </c>
      <c r="C154" s="8" t="str">
        <f t="shared" si="12"/>
        <v>0PremiumS4</v>
      </c>
      <c r="D154" s="8" t="str">
        <f t="shared" si="13"/>
        <v>0PremiumS4</v>
      </c>
      <c r="E154" s="5">
        <v>0</v>
      </c>
      <c r="F154" s="6">
        <v>230</v>
      </c>
      <c r="G154" s="8" t="str">
        <f>VLOOKUP(F154,[1]characters!$A:$C,3,FALSE)</f>
        <v>毒銃 ヨルムンガンド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green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5">
        <v>1</v>
      </c>
      <c r="N154" s="28">
        <f>VLOOKUP(D154,gacha_148_base!A:B,2,FALSE)</f>
        <v>36</v>
      </c>
      <c r="O154" s="19">
        <v>0</v>
      </c>
      <c r="P154" s="19">
        <v>0</v>
      </c>
      <c r="Q154" s="19">
        <v>0</v>
      </c>
      <c r="R154" s="19">
        <v>0</v>
      </c>
      <c r="S154" s="19">
        <v>1</v>
      </c>
    </row>
    <row r="155" spans="1:19" ht="21" customHeight="1">
      <c r="A155" s="7" t="str">
        <f t="shared" si="15"/>
        <v>149233</v>
      </c>
      <c r="B155" s="2">
        <f t="shared" si="14"/>
        <v>149</v>
      </c>
      <c r="C155" s="8" t="str">
        <f t="shared" si="12"/>
        <v>0PremiumS4</v>
      </c>
      <c r="D155" s="8" t="str">
        <f t="shared" si="13"/>
        <v>0PremiumS4</v>
      </c>
      <c r="E155" s="5">
        <v>0</v>
      </c>
      <c r="F155" s="6">
        <v>233</v>
      </c>
      <c r="G155" s="8" t="str">
        <f>VLOOKUP(F155,[1]characters!$A:$C,3,FALSE)</f>
        <v>遂行 パーシヴァル</v>
      </c>
      <c r="H155" s="8" t="str">
        <f>VLOOKUP(F155,[1]characters!$A:$J,10,FALSE)</f>
        <v>PremiumS</v>
      </c>
      <c r="I155" s="8">
        <f>VLOOKUP(F155,[1]characters!$A:$I,9,FALSE)</f>
        <v>4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human</v>
      </c>
      <c r="M155" s="5">
        <v>1</v>
      </c>
      <c r="N155" s="28">
        <f>VLOOKUP(D155,gacha_148_base!A:B,2,FALSE)</f>
        <v>36</v>
      </c>
      <c r="O155" s="19">
        <v>0</v>
      </c>
      <c r="P155" s="19">
        <v>0</v>
      </c>
      <c r="Q155" s="19">
        <v>0</v>
      </c>
      <c r="R155" s="19">
        <v>0</v>
      </c>
      <c r="S155" s="19">
        <v>1</v>
      </c>
    </row>
    <row r="156" spans="1:19" ht="21" customHeight="1">
      <c r="A156" s="7" t="str">
        <f t="shared" si="15"/>
        <v>149236</v>
      </c>
      <c r="B156" s="2">
        <f t="shared" si="14"/>
        <v>149</v>
      </c>
      <c r="C156" s="8" t="str">
        <f t="shared" si="12"/>
        <v>0PremiumS4</v>
      </c>
      <c r="D156" s="8" t="str">
        <f t="shared" si="13"/>
        <v>0PremiumS4</v>
      </c>
      <c r="E156" s="5">
        <v>0</v>
      </c>
      <c r="F156" s="6">
        <v>236</v>
      </c>
      <c r="G156" s="8" t="str">
        <f>VLOOKUP(F156,[1]characters!$A:$C,3,FALSE)</f>
        <v>神産 イザナミ</v>
      </c>
      <c r="H156" s="8" t="str">
        <f>VLOOKUP(F156,[1]characters!$A:$J,10,FALSE)</f>
        <v>PremiumS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god</v>
      </c>
      <c r="M156" s="5">
        <v>1</v>
      </c>
      <c r="N156" s="28">
        <f>VLOOKUP(D156,gacha_148_base!A:B,2,FALSE)</f>
        <v>36</v>
      </c>
      <c r="O156" s="19">
        <v>0</v>
      </c>
      <c r="P156" s="19">
        <v>0</v>
      </c>
      <c r="Q156" s="19">
        <v>0</v>
      </c>
      <c r="R156" s="19">
        <v>0</v>
      </c>
      <c r="S156" s="19">
        <v>1</v>
      </c>
    </row>
    <row r="157" spans="1:19" ht="21" customHeight="1">
      <c r="A157" s="7" t="str">
        <f t="shared" si="15"/>
        <v>149238</v>
      </c>
      <c r="B157" s="2">
        <f t="shared" si="14"/>
        <v>149</v>
      </c>
      <c r="C157" s="8" t="str">
        <f t="shared" ref="C157:C185" si="16">E157&amp;H157&amp;I157</f>
        <v>0PremiumS3</v>
      </c>
      <c r="D157" s="8" t="str">
        <f t="shared" ref="D157:D189" si="17">E157&amp;H157&amp;I157</f>
        <v>0PremiumS3</v>
      </c>
      <c r="E157" s="5">
        <v>0</v>
      </c>
      <c r="F157" s="11">
        <v>238</v>
      </c>
      <c r="G157" s="8" t="str">
        <f>VLOOKUP(F157,[1]characters!$A:$C,3,FALSE)</f>
        <v>ウリエル</v>
      </c>
      <c r="H157" s="8" t="str">
        <f>VLOOKUP(F157,[1]characters!$A:$J,10,FALSE)</f>
        <v>PremiumS</v>
      </c>
      <c r="I157" s="8">
        <f>VLOOKUP(F157,[1]characters!$A:$I,9,FALSE)</f>
        <v>3</v>
      </c>
      <c r="J157" s="8" t="str">
        <f>VLOOKUP(F157,[1]characters!$A:$H,8,FALSE)</f>
        <v>red</v>
      </c>
      <c r="K157" s="8" t="str">
        <f>VLOOKUP(F157,[1]characters!$A:$K,11,FALSE)</f>
        <v>hp</v>
      </c>
      <c r="L157" s="8" t="str">
        <f>VLOOKUP(F157,[1]characters!$A:$M,13,FALSE)</f>
        <v>machine</v>
      </c>
      <c r="M157" s="5">
        <v>1</v>
      </c>
      <c r="N157" s="28">
        <f>VLOOKUP(D157,gacha_148_base!A:B,2,FALSE)</f>
        <v>123</v>
      </c>
      <c r="O157" s="19">
        <v>0</v>
      </c>
      <c r="P157" s="19">
        <v>0</v>
      </c>
      <c r="Q157" s="19">
        <v>0</v>
      </c>
      <c r="R157" s="19">
        <v>0</v>
      </c>
      <c r="S157" s="19">
        <v>1</v>
      </c>
    </row>
    <row r="158" spans="1:19" ht="21" customHeight="1">
      <c r="A158" s="7" t="str">
        <f t="shared" si="15"/>
        <v>149239</v>
      </c>
      <c r="B158" s="2">
        <f t="shared" si="14"/>
        <v>149</v>
      </c>
      <c r="C158" s="8" t="str">
        <f t="shared" si="16"/>
        <v>0PremiumS4</v>
      </c>
      <c r="D158" s="8" t="str">
        <f t="shared" si="17"/>
        <v>0PremiumS4</v>
      </c>
      <c r="E158" s="5">
        <v>0</v>
      </c>
      <c r="F158" s="11">
        <v>239</v>
      </c>
      <c r="G158" s="8" t="str">
        <f>VLOOKUP(F158,[1]characters!$A:$C,3,FALSE)</f>
        <v>豪炎の天使 ウリエル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hp</v>
      </c>
      <c r="L158" s="8" t="str">
        <f>VLOOKUP(F158,[1]characters!$A:$M,13,FALSE)</f>
        <v>machine</v>
      </c>
      <c r="M158" s="5">
        <v>1</v>
      </c>
      <c r="N158" s="28">
        <f>VLOOKUP(D158,gacha_148_base!A:B,2,FALSE)</f>
        <v>36</v>
      </c>
      <c r="O158" s="19">
        <v>0</v>
      </c>
      <c r="P158" s="19">
        <v>0</v>
      </c>
      <c r="Q158" s="19">
        <v>0</v>
      </c>
      <c r="R158" s="19">
        <v>0</v>
      </c>
      <c r="S158" s="19">
        <v>1</v>
      </c>
    </row>
    <row r="159" spans="1:19" ht="21" customHeight="1">
      <c r="A159" s="7" t="str">
        <f t="shared" si="15"/>
        <v>149241</v>
      </c>
      <c r="B159" s="2">
        <f t="shared" si="14"/>
        <v>149</v>
      </c>
      <c r="C159" s="8" t="str">
        <f t="shared" si="16"/>
        <v>0PremiumS3</v>
      </c>
      <c r="D159" s="8" t="str">
        <f t="shared" si="17"/>
        <v>0PremiumS3</v>
      </c>
      <c r="E159" s="5">
        <v>0</v>
      </c>
      <c r="F159" s="11">
        <v>241</v>
      </c>
      <c r="G159" s="8" t="str">
        <f>VLOOKUP(F159,[1]characters!$A:$C,3,FALSE)</f>
        <v>ガブリエル</v>
      </c>
      <c r="H159" s="8" t="str">
        <f>VLOOKUP(F159,[1]characters!$A:$J,10,FALSE)</f>
        <v>PremiumS</v>
      </c>
      <c r="I159" s="8">
        <f>VLOOKUP(F159,[1]characters!$A:$I,9,FALSE)</f>
        <v>3</v>
      </c>
      <c r="J159" s="8" t="str">
        <f>VLOOKUP(F159,[1]characters!$A:$H,8,FALSE)</f>
        <v>green</v>
      </c>
      <c r="K159" s="8" t="str">
        <f>VLOOKUP(F159,[1]characters!$A:$K,11,FALSE)</f>
        <v>balance</v>
      </c>
      <c r="L159" s="8" t="str">
        <f>VLOOKUP(F159,[1]characters!$A:$M,13,FALSE)</f>
        <v>machine</v>
      </c>
      <c r="M159" s="5">
        <v>1</v>
      </c>
      <c r="N159" s="28">
        <f>VLOOKUP(D159,gacha_148_base!A:B,2,FALSE)</f>
        <v>123</v>
      </c>
      <c r="O159" s="19">
        <v>0</v>
      </c>
      <c r="P159" s="19">
        <v>0</v>
      </c>
      <c r="Q159" s="19">
        <v>0</v>
      </c>
      <c r="R159" s="19">
        <v>0</v>
      </c>
      <c r="S159" s="19">
        <v>1</v>
      </c>
    </row>
    <row r="160" spans="1:19" ht="21" customHeight="1">
      <c r="A160" s="7" t="str">
        <f t="shared" si="15"/>
        <v>149242</v>
      </c>
      <c r="B160" s="2">
        <f t="shared" si="14"/>
        <v>149</v>
      </c>
      <c r="C160" s="8" t="str">
        <f t="shared" si="16"/>
        <v>0PremiumS4</v>
      </c>
      <c r="D160" s="8" t="str">
        <f t="shared" si="17"/>
        <v>0PremiumS4</v>
      </c>
      <c r="E160" s="5">
        <v>0</v>
      </c>
      <c r="F160" s="11">
        <v>242</v>
      </c>
      <c r="G160" s="8" t="str">
        <f>VLOOKUP(F160,[1]characters!$A:$C,3,FALSE)</f>
        <v>百花の天使 ガブリエル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balance</v>
      </c>
      <c r="L160" s="8" t="str">
        <f>VLOOKUP(F160,[1]characters!$A:$M,13,FALSE)</f>
        <v>machine</v>
      </c>
      <c r="M160" s="5">
        <v>1</v>
      </c>
      <c r="N160" s="28">
        <f>VLOOKUP(D160,gacha_148_base!A:B,2,FALSE)</f>
        <v>36</v>
      </c>
      <c r="O160" s="19">
        <v>0</v>
      </c>
      <c r="P160" s="19">
        <v>0</v>
      </c>
      <c r="Q160" s="19">
        <v>0</v>
      </c>
      <c r="R160" s="19">
        <v>0</v>
      </c>
      <c r="S160" s="19">
        <v>1</v>
      </c>
    </row>
    <row r="161" spans="1:19" ht="21" customHeight="1">
      <c r="A161" s="7" t="str">
        <f t="shared" si="15"/>
        <v>149244</v>
      </c>
      <c r="B161" s="2">
        <f t="shared" si="14"/>
        <v>149</v>
      </c>
      <c r="C161" s="8" t="str">
        <f t="shared" si="16"/>
        <v>0PremiumS3</v>
      </c>
      <c r="D161" s="8" t="str">
        <f t="shared" si="17"/>
        <v>0PremiumS3</v>
      </c>
      <c r="E161" s="5">
        <v>0</v>
      </c>
      <c r="F161" s="11">
        <v>244</v>
      </c>
      <c r="G161" s="8" t="str">
        <f>VLOOKUP(F161,[1]characters!$A:$C,3,FALSE)</f>
        <v>ラファエル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balance</v>
      </c>
      <c r="L161" s="8" t="str">
        <f>VLOOKUP(F161,[1]characters!$A:$M,13,FALSE)</f>
        <v>machine</v>
      </c>
      <c r="M161" s="5">
        <v>1</v>
      </c>
      <c r="N161" s="28">
        <f>VLOOKUP(D161,gacha_148_base!A:B,2,FALSE)</f>
        <v>123</v>
      </c>
      <c r="O161" s="19">
        <v>0</v>
      </c>
      <c r="P161" s="19">
        <v>0</v>
      </c>
      <c r="Q161" s="19">
        <v>0</v>
      </c>
      <c r="R161" s="19">
        <v>0</v>
      </c>
      <c r="S161" s="19">
        <v>1</v>
      </c>
    </row>
    <row r="162" spans="1:19" ht="21" customHeight="1">
      <c r="A162" s="7" t="str">
        <f t="shared" si="15"/>
        <v>149245</v>
      </c>
      <c r="B162" s="2">
        <f t="shared" si="14"/>
        <v>149</v>
      </c>
      <c r="C162" s="8" t="str">
        <f t="shared" si="16"/>
        <v>0PremiumS4</v>
      </c>
      <c r="D162" s="8" t="str">
        <f t="shared" si="17"/>
        <v>0PremiumS4</v>
      </c>
      <c r="E162" s="5">
        <v>0</v>
      </c>
      <c r="F162" s="11">
        <v>245</v>
      </c>
      <c r="G162" s="8" t="str">
        <f>VLOOKUP(F162,[1]characters!$A:$C,3,FALSE)</f>
        <v>鎮癒の天使 ラファエル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balance</v>
      </c>
      <c r="L162" s="8" t="str">
        <f>VLOOKUP(F162,[1]characters!$A:$M,13,FALSE)</f>
        <v>machine</v>
      </c>
      <c r="M162" s="5">
        <v>1</v>
      </c>
      <c r="N162" s="28">
        <f>VLOOKUP(D162,gacha_148_base!A:B,2,FALSE)</f>
        <v>36</v>
      </c>
      <c r="O162" s="19">
        <v>0</v>
      </c>
      <c r="P162" s="19">
        <v>0</v>
      </c>
      <c r="Q162" s="19">
        <v>0</v>
      </c>
      <c r="R162" s="19">
        <v>0</v>
      </c>
      <c r="S162" s="19">
        <v>1</v>
      </c>
    </row>
    <row r="163" spans="1:19" ht="21" customHeight="1">
      <c r="A163" s="7" t="str">
        <f t="shared" si="15"/>
        <v>149247</v>
      </c>
      <c r="B163" s="2">
        <f t="shared" si="14"/>
        <v>149</v>
      </c>
      <c r="C163" s="8" t="str">
        <f t="shared" si="16"/>
        <v>0PremiumS3</v>
      </c>
      <c r="D163" s="8" t="str">
        <f t="shared" si="17"/>
        <v>0PremiumS3</v>
      </c>
      <c r="E163" s="5">
        <v>0</v>
      </c>
      <c r="F163" s="11">
        <v>247</v>
      </c>
      <c r="G163" s="8" t="str">
        <f>VLOOKUP(F163,[1]characters!$A:$C,3,FALSE)</f>
        <v>ミカエル</v>
      </c>
      <c r="H163" s="8" t="str">
        <f>VLOOKUP(F163,[1]characters!$A:$J,10,FALSE)</f>
        <v>PremiumS</v>
      </c>
      <c r="I163" s="8">
        <f>VLOOKUP(F163,[1]characters!$A:$I,9,FALSE)</f>
        <v>3</v>
      </c>
      <c r="J163" s="8" t="str">
        <f>VLOOKUP(F163,[1]characters!$A:$H,8,FALSE)</f>
        <v>yellow</v>
      </c>
      <c r="K163" s="8" t="str">
        <f>VLOOKUP(F163,[1]characters!$A:$K,11,FALSE)</f>
        <v>attack</v>
      </c>
      <c r="L163" s="8" t="str">
        <f>VLOOKUP(F163,[1]characters!$A:$M,13,FALSE)</f>
        <v>machine</v>
      </c>
      <c r="M163" s="5">
        <v>1</v>
      </c>
      <c r="N163" s="28">
        <f>VLOOKUP(D163,gacha_148_base!A:B,2,FALSE)</f>
        <v>123</v>
      </c>
      <c r="O163" s="19">
        <v>0</v>
      </c>
      <c r="P163" s="19">
        <v>0</v>
      </c>
      <c r="Q163" s="19">
        <v>0</v>
      </c>
      <c r="R163" s="19">
        <v>0</v>
      </c>
      <c r="S163" s="19">
        <v>1</v>
      </c>
    </row>
    <row r="164" spans="1:19" ht="21" customHeight="1">
      <c r="A164" s="7" t="str">
        <f t="shared" si="15"/>
        <v>149248</v>
      </c>
      <c r="B164" s="2">
        <f t="shared" si="14"/>
        <v>149</v>
      </c>
      <c r="C164" s="8" t="str">
        <f t="shared" si="16"/>
        <v>0PremiumS4</v>
      </c>
      <c r="D164" s="8" t="str">
        <f t="shared" si="17"/>
        <v>0PremiumS4</v>
      </c>
      <c r="E164" s="5">
        <v>0</v>
      </c>
      <c r="F164" s="11">
        <v>248</v>
      </c>
      <c r="G164" s="8" t="str">
        <f>VLOOKUP(F164,[1]characters!$A:$C,3,FALSE)</f>
        <v>彩電の天使 ミカエル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attack</v>
      </c>
      <c r="L164" s="8" t="str">
        <f>VLOOKUP(F164,[1]characters!$A:$M,13,FALSE)</f>
        <v>machine</v>
      </c>
      <c r="M164" s="5">
        <v>1</v>
      </c>
      <c r="N164" s="28">
        <f>VLOOKUP(D164,gacha_148_base!A:B,2,FALSE)</f>
        <v>36</v>
      </c>
      <c r="O164" s="19">
        <v>0</v>
      </c>
      <c r="P164" s="19">
        <v>0</v>
      </c>
      <c r="Q164" s="19">
        <v>0</v>
      </c>
      <c r="R164" s="19">
        <v>0</v>
      </c>
      <c r="S164" s="19">
        <v>1</v>
      </c>
    </row>
    <row r="165" spans="1:19" s="17" customFormat="1" ht="21" customHeight="1" thickBot="1">
      <c r="A165" s="7" t="str">
        <f t="shared" si="15"/>
        <v>149250</v>
      </c>
      <c r="B165" s="2">
        <f t="shared" si="14"/>
        <v>149</v>
      </c>
      <c r="C165" s="8" t="str">
        <f t="shared" si="16"/>
        <v>0PremiumS3</v>
      </c>
      <c r="D165" s="8" t="str">
        <f t="shared" si="17"/>
        <v>0PremiumS3</v>
      </c>
      <c r="E165" s="5">
        <v>0</v>
      </c>
      <c r="F165" s="6">
        <v>250</v>
      </c>
      <c r="G165" s="8" t="str">
        <f>VLOOKUP(F165,[1]characters!$A:$C,3,FALSE)</f>
        <v>マンモン</v>
      </c>
      <c r="H165" s="8" t="str">
        <f>VLOOKUP(F165,[1]characters!$A:$J,10,FALSE)</f>
        <v>PremiumS</v>
      </c>
      <c r="I165" s="8">
        <f>VLOOKUP(F165,[1]characters!$A:$I,9,FALSE)</f>
        <v>3</v>
      </c>
      <c r="J165" s="8" t="str">
        <f>VLOOKUP(F165,[1]characters!$A:$H,8,FALSE)</f>
        <v>red</v>
      </c>
      <c r="K165" s="8" t="str">
        <f>VLOOKUP(F165,[1]characters!$A:$K,11,FALSE)</f>
        <v>balance</v>
      </c>
      <c r="L165" s="8" t="str">
        <f>VLOOKUP(F165,[1]characters!$A:$M,13,FALSE)</f>
        <v>god</v>
      </c>
      <c r="M165" s="5">
        <v>1</v>
      </c>
      <c r="N165" s="28">
        <f>VLOOKUP(D165,gacha_148_base!A:B,2,FALSE)</f>
        <v>123</v>
      </c>
      <c r="O165" s="19">
        <v>0</v>
      </c>
      <c r="P165" s="19">
        <v>0</v>
      </c>
      <c r="Q165" s="19">
        <v>0</v>
      </c>
      <c r="R165" s="19">
        <v>0</v>
      </c>
      <c r="S165" s="19">
        <v>1</v>
      </c>
    </row>
    <row r="166" spans="1:19" ht="21" customHeight="1">
      <c r="A166" s="7" t="str">
        <f t="shared" si="15"/>
        <v>149251</v>
      </c>
      <c r="B166" s="2">
        <f t="shared" si="14"/>
        <v>149</v>
      </c>
      <c r="C166" s="8" t="str">
        <f t="shared" si="16"/>
        <v>0PremiumS4</v>
      </c>
      <c r="D166" s="8" t="str">
        <f t="shared" si="17"/>
        <v>0PremiumS4</v>
      </c>
      <c r="E166" s="5">
        <v>0</v>
      </c>
      <c r="F166" s="6">
        <v>251</v>
      </c>
      <c r="G166" s="8" t="str">
        <f>VLOOKUP(F166,[1]characters!$A:$C,3,FALSE)</f>
        <v>強欲 マンモン</v>
      </c>
      <c r="H166" s="8" t="str">
        <f>VLOOKUP(F166,[1]characters!$A:$J,10,FALSE)</f>
        <v>PremiumS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balance</v>
      </c>
      <c r="L166" s="8" t="str">
        <f>VLOOKUP(F166,[1]characters!$A:$M,13,FALSE)</f>
        <v>god</v>
      </c>
      <c r="M166" s="5">
        <v>1</v>
      </c>
      <c r="N166" s="28">
        <f>VLOOKUP(D166,gacha_148_base!A:B,2,FALSE)</f>
        <v>36</v>
      </c>
      <c r="O166" s="19">
        <v>0</v>
      </c>
      <c r="P166" s="19">
        <v>0</v>
      </c>
      <c r="Q166" s="19">
        <v>0</v>
      </c>
      <c r="R166" s="19">
        <v>0</v>
      </c>
      <c r="S166" s="19">
        <v>1</v>
      </c>
    </row>
    <row r="167" spans="1:19" ht="21" customHeight="1">
      <c r="A167" s="7" t="str">
        <f t="shared" si="15"/>
        <v>149253</v>
      </c>
      <c r="B167" s="2">
        <f t="shared" ref="B167:B189" si="18">$B$69</f>
        <v>149</v>
      </c>
      <c r="C167" s="8" t="str">
        <f t="shared" si="16"/>
        <v>0PremiumS3</v>
      </c>
      <c r="D167" s="8" t="str">
        <f t="shared" si="17"/>
        <v>0PremiumS3</v>
      </c>
      <c r="E167" s="5">
        <v>0</v>
      </c>
      <c r="F167" s="6">
        <v>253</v>
      </c>
      <c r="G167" s="8" t="str">
        <f>VLOOKUP(F167,[1]characters!$A:$C,3,FALSE)</f>
        <v>ベルフェゴール</v>
      </c>
      <c r="H167" s="8" t="str">
        <f>VLOOKUP(F167,[1]characters!$A:$J,10,FALSE)</f>
        <v>PremiumS</v>
      </c>
      <c r="I167" s="8">
        <f>VLOOKUP(F167,[1]characters!$A:$I,9,FALSE)</f>
        <v>3</v>
      </c>
      <c r="J167" s="8" t="str">
        <f>VLOOKUP(F167,[1]characters!$A:$H,8,FALSE)</f>
        <v>green</v>
      </c>
      <c r="K167" s="8" t="str">
        <f>VLOOKUP(F167,[1]characters!$A:$K,11,FALSE)</f>
        <v>technical</v>
      </c>
      <c r="L167" s="8" t="str">
        <f>VLOOKUP(F167,[1]characters!$A:$M,13,FALSE)</f>
        <v>god</v>
      </c>
      <c r="M167" s="5">
        <v>1</v>
      </c>
      <c r="N167" s="28">
        <f>VLOOKUP(D167,gacha_148_base!A:B,2,FALSE)</f>
        <v>123</v>
      </c>
      <c r="O167" s="19">
        <v>0</v>
      </c>
      <c r="P167" s="19">
        <v>0</v>
      </c>
      <c r="Q167" s="19">
        <v>0</v>
      </c>
      <c r="R167" s="19">
        <v>0</v>
      </c>
      <c r="S167" s="19">
        <v>1</v>
      </c>
    </row>
    <row r="168" spans="1:19" ht="21" customHeight="1">
      <c r="A168" s="7" t="str">
        <f t="shared" si="15"/>
        <v>149254</v>
      </c>
      <c r="B168" s="2">
        <f t="shared" si="18"/>
        <v>149</v>
      </c>
      <c r="C168" s="8" t="str">
        <f t="shared" si="16"/>
        <v>0PremiumS4</v>
      </c>
      <c r="D168" s="8" t="str">
        <f t="shared" si="17"/>
        <v>0PremiumS4</v>
      </c>
      <c r="E168" s="5">
        <v>0</v>
      </c>
      <c r="F168" s="6">
        <v>254</v>
      </c>
      <c r="G168" s="8" t="str">
        <f>VLOOKUP(F168,[1]characters!$A:$C,3,FALSE)</f>
        <v>怠惰 ベルフェゴール</v>
      </c>
      <c r="H168" s="8" t="str">
        <f>VLOOKUP(F168,[1]characters!$A:$J,10,FALSE)</f>
        <v>PremiumS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technical</v>
      </c>
      <c r="L168" s="8" t="str">
        <f>VLOOKUP(F168,[1]characters!$A:$M,13,FALSE)</f>
        <v>god</v>
      </c>
      <c r="M168" s="5">
        <v>1</v>
      </c>
      <c r="N168" s="28">
        <f>VLOOKUP(D168,gacha_148_base!A:B,2,FALSE)</f>
        <v>36</v>
      </c>
      <c r="O168" s="19">
        <v>0</v>
      </c>
      <c r="P168" s="19">
        <v>0</v>
      </c>
      <c r="Q168" s="19">
        <v>0</v>
      </c>
      <c r="R168" s="19">
        <v>0</v>
      </c>
      <c r="S168" s="19">
        <v>1</v>
      </c>
    </row>
    <row r="169" spans="1:19" ht="21" customHeight="1">
      <c r="A169" s="7" t="str">
        <f t="shared" si="15"/>
        <v>149256</v>
      </c>
      <c r="B169" s="2">
        <f t="shared" si="18"/>
        <v>149</v>
      </c>
      <c r="C169" s="8" t="str">
        <f t="shared" si="16"/>
        <v>0PremiumS3</v>
      </c>
      <c r="D169" s="8" t="str">
        <f t="shared" si="17"/>
        <v>0PremiumS3</v>
      </c>
      <c r="E169" s="5">
        <v>0</v>
      </c>
      <c r="F169" s="6">
        <v>256</v>
      </c>
      <c r="G169" s="8" t="str">
        <f>VLOOKUP(F169,[1]characters!$A:$C,3,FALSE)</f>
        <v>アスモデウス</v>
      </c>
      <c r="H169" s="8" t="str">
        <f>VLOOKUP(F169,[1]characters!$A:$J,10,FALSE)</f>
        <v>PremiumS</v>
      </c>
      <c r="I169" s="8">
        <f>VLOOKUP(F169,[1]characters!$A:$I,9,FALSE)</f>
        <v>3</v>
      </c>
      <c r="J169" s="8" t="str">
        <f>VLOOKUP(F169,[1]characters!$A:$H,8,FALSE)</f>
        <v>blue</v>
      </c>
      <c r="K169" s="8" t="str">
        <f>VLOOKUP(F169,[1]characters!$A:$K,11,FALSE)</f>
        <v>attack</v>
      </c>
      <c r="L169" s="8" t="str">
        <f>VLOOKUP(F169,[1]characters!$A:$M,13,FALSE)</f>
        <v>god</v>
      </c>
      <c r="M169" s="5">
        <v>1</v>
      </c>
      <c r="N169" s="28">
        <f>VLOOKUP(D169,gacha_148_base!A:B,2,FALSE)</f>
        <v>123</v>
      </c>
      <c r="O169" s="19">
        <v>0</v>
      </c>
      <c r="P169" s="19">
        <v>0</v>
      </c>
      <c r="Q169" s="19">
        <v>0</v>
      </c>
      <c r="R169" s="19">
        <v>0</v>
      </c>
      <c r="S169" s="19">
        <v>1</v>
      </c>
    </row>
    <row r="170" spans="1:19" ht="21" customHeight="1">
      <c r="A170" s="7" t="str">
        <f t="shared" si="15"/>
        <v>149257</v>
      </c>
      <c r="B170" s="2">
        <f t="shared" si="18"/>
        <v>149</v>
      </c>
      <c r="C170" s="8" t="str">
        <f t="shared" si="16"/>
        <v>0PremiumS4</v>
      </c>
      <c r="D170" s="8" t="str">
        <f t="shared" si="17"/>
        <v>0PremiumS4</v>
      </c>
      <c r="E170" s="5">
        <v>0</v>
      </c>
      <c r="F170" s="6">
        <v>257</v>
      </c>
      <c r="G170" s="8" t="str">
        <f>VLOOKUP(F170,[1]characters!$A:$C,3,FALSE)</f>
        <v>色欲 アスモデウス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attack</v>
      </c>
      <c r="L170" s="8" t="str">
        <f>VLOOKUP(F170,[1]characters!$A:$M,13,FALSE)</f>
        <v>god</v>
      </c>
      <c r="M170" s="5">
        <v>1</v>
      </c>
      <c r="N170" s="28">
        <f>VLOOKUP(D170,gacha_148_base!A:B,2,FALSE)</f>
        <v>36</v>
      </c>
      <c r="O170" s="19">
        <v>0</v>
      </c>
      <c r="P170" s="19">
        <v>0</v>
      </c>
      <c r="Q170" s="19">
        <v>0</v>
      </c>
      <c r="R170" s="19">
        <v>0</v>
      </c>
      <c r="S170" s="19">
        <v>1</v>
      </c>
    </row>
    <row r="171" spans="1:19" ht="21" customHeight="1">
      <c r="A171" s="7" t="str">
        <f t="shared" si="15"/>
        <v>149259</v>
      </c>
      <c r="B171" s="2">
        <f t="shared" si="18"/>
        <v>149</v>
      </c>
      <c r="C171" s="8" t="str">
        <f t="shared" si="16"/>
        <v>0PremiumS3</v>
      </c>
      <c r="D171" s="8" t="str">
        <f t="shared" si="17"/>
        <v>0PremiumS3</v>
      </c>
      <c r="E171" s="5">
        <v>0</v>
      </c>
      <c r="F171" s="6">
        <v>259</v>
      </c>
      <c r="G171" s="8" t="str">
        <f>VLOOKUP(F171,[1]characters!$A:$C,3,FALSE)</f>
        <v>ウロボロス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yellow</v>
      </c>
      <c r="K171" s="8" t="str">
        <f>VLOOKUP(F171,[1]characters!$A:$K,11,FALSE)</f>
        <v>balance</v>
      </c>
      <c r="L171" s="8" t="str">
        <f>VLOOKUP(F171,[1]characters!$A:$M,13,FALSE)</f>
        <v>dragon</v>
      </c>
      <c r="M171" s="5">
        <v>1</v>
      </c>
      <c r="N171" s="28">
        <f>VLOOKUP(D171,gacha_148_base!A:B,2,FALSE)</f>
        <v>123</v>
      </c>
      <c r="O171" s="19">
        <v>0</v>
      </c>
      <c r="P171" s="19">
        <v>0</v>
      </c>
      <c r="Q171" s="19">
        <v>0</v>
      </c>
      <c r="R171" s="19">
        <v>0</v>
      </c>
      <c r="S171" s="19">
        <v>1</v>
      </c>
    </row>
    <row r="172" spans="1:19" ht="21" customHeight="1">
      <c r="A172" s="7" t="str">
        <f t="shared" si="15"/>
        <v>149260</v>
      </c>
      <c r="B172" s="2">
        <f t="shared" si="18"/>
        <v>149</v>
      </c>
      <c r="C172" s="8" t="str">
        <f t="shared" si="16"/>
        <v>0PremiumS4</v>
      </c>
      <c r="D172" s="8" t="str">
        <f t="shared" si="17"/>
        <v>0PremiumS4</v>
      </c>
      <c r="E172" s="5">
        <v>0</v>
      </c>
      <c r="F172" s="6">
        <v>260</v>
      </c>
      <c r="G172" s="8" t="str">
        <f>VLOOKUP(F172,[1]characters!$A:$C,3,FALSE)</f>
        <v>輪廻 ウロボロス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dragon</v>
      </c>
      <c r="M172" s="5">
        <v>1</v>
      </c>
      <c r="N172" s="28">
        <f>VLOOKUP(D172,gacha_148_base!A:B,2,FALSE)</f>
        <v>36</v>
      </c>
      <c r="O172" s="19">
        <v>0</v>
      </c>
      <c r="P172" s="19">
        <v>0</v>
      </c>
      <c r="Q172" s="19">
        <v>0</v>
      </c>
      <c r="R172" s="19">
        <v>0</v>
      </c>
      <c r="S172" s="19">
        <v>1</v>
      </c>
    </row>
    <row r="173" spans="1:19" ht="21" customHeight="1">
      <c r="A173" s="7" t="str">
        <f t="shared" si="15"/>
        <v>149320</v>
      </c>
      <c r="B173" s="2">
        <f t="shared" si="18"/>
        <v>149</v>
      </c>
      <c r="C173" s="8" t="str">
        <f t="shared" si="16"/>
        <v>0PremiumSS4</v>
      </c>
      <c r="D173" s="8" t="str">
        <f t="shared" si="17"/>
        <v>0PremiumSS4</v>
      </c>
      <c r="E173" s="13">
        <v>0</v>
      </c>
      <c r="F173" s="18">
        <v>320</v>
      </c>
      <c r="G173" s="8" t="str">
        <f>VLOOKUP(F173,[1]characters!$A:$C,3,FALSE)</f>
        <v>烈志士 近藤勇</v>
      </c>
      <c r="H173" s="8" t="str">
        <f>VLOOKUP(F173,[1]characters!$A:$J,10,FALSE)</f>
        <v>PremiumSS</v>
      </c>
      <c r="I173" s="8">
        <f>VLOOKUP(F173,[1]characters!$A:$I,9,FALSE)</f>
        <v>4</v>
      </c>
      <c r="J173" s="8" t="str">
        <f>VLOOKUP(F173,[1]characters!$A:$H,8,FALSE)</f>
        <v>red</v>
      </c>
      <c r="K173" s="8" t="str">
        <f>VLOOKUP(F173,[1]characters!$A:$K,11,FALSE)</f>
        <v>hp</v>
      </c>
      <c r="L173" s="8" t="str">
        <f>VLOOKUP(F173,[1]characters!$A:$M,13,FALSE)</f>
        <v>human</v>
      </c>
      <c r="M173" s="13">
        <v>1</v>
      </c>
      <c r="N173" s="28">
        <f>VLOOKUP(D173,gacha_148_base!A:B,2,FALSE)</f>
        <v>86</v>
      </c>
      <c r="O173" s="10">
        <v>0</v>
      </c>
      <c r="P173" s="19">
        <v>0</v>
      </c>
      <c r="Q173" s="10">
        <v>0</v>
      </c>
      <c r="R173" s="10">
        <v>0</v>
      </c>
      <c r="S173" s="10">
        <v>1</v>
      </c>
    </row>
    <row r="174" spans="1:19" ht="21" customHeight="1">
      <c r="A174" s="7" t="str">
        <f t="shared" si="15"/>
        <v>149322</v>
      </c>
      <c r="B174" s="2">
        <f t="shared" si="18"/>
        <v>149</v>
      </c>
      <c r="C174" s="8" t="str">
        <f t="shared" si="16"/>
        <v>0PremiumSS4</v>
      </c>
      <c r="D174" s="8" t="str">
        <f t="shared" si="17"/>
        <v>0PremiumSS4</v>
      </c>
      <c r="E174" s="13">
        <v>0</v>
      </c>
      <c r="F174" s="6">
        <v>322</v>
      </c>
      <c r="G174" s="8" t="str">
        <f>VLOOKUP(F174,[1]characters!$A:$C,3,FALSE)</f>
        <v>愛志士 土方歳三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green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5">
        <v>1</v>
      </c>
      <c r="N174" s="28">
        <f>VLOOKUP(D174,gacha_148_base!A:B,2,FALSE)</f>
        <v>86</v>
      </c>
      <c r="O174" s="19">
        <v>0</v>
      </c>
      <c r="P174" s="19">
        <v>0</v>
      </c>
      <c r="Q174" s="19">
        <v>0</v>
      </c>
      <c r="R174" s="19">
        <v>0</v>
      </c>
      <c r="S174" s="19">
        <v>1</v>
      </c>
    </row>
    <row r="175" spans="1:19" ht="21" customHeight="1">
      <c r="A175" s="7" t="str">
        <f t="shared" si="15"/>
        <v>149324</v>
      </c>
      <c r="B175" s="2">
        <f t="shared" si="18"/>
        <v>149</v>
      </c>
      <c r="C175" s="8" t="str">
        <f t="shared" si="16"/>
        <v>0PremiumSS4</v>
      </c>
      <c r="D175" s="8" t="str">
        <f t="shared" si="17"/>
        <v>0PremiumSS4</v>
      </c>
      <c r="E175" s="13">
        <v>0</v>
      </c>
      <c r="F175" s="6">
        <v>324</v>
      </c>
      <c r="G175" s="8" t="str">
        <f>VLOOKUP(F175,[1]characters!$A:$C,3,FALSE)</f>
        <v>凛志士 沖田総司</v>
      </c>
      <c r="H175" s="8" t="str">
        <f>VLOOKUP(F175,[1]characters!$A:$J,10,FALSE)</f>
        <v>PremiumSS</v>
      </c>
      <c r="I175" s="8">
        <f>VLOOKUP(F175,[1]characters!$A:$I,9,FALSE)</f>
        <v>4</v>
      </c>
      <c r="J175" s="8" t="str">
        <f>VLOOKUP(F175,[1]characters!$A:$H,8,FALSE)</f>
        <v>blue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5">
        <v>1</v>
      </c>
      <c r="N175" s="28">
        <f>VLOOKUP(D175,gacha_148_base!A:B,2,FALSE)</f>
        <v>86</v>
      </c>
      <c r="O175" s="19">
        <v>0</v>
      </c>
      <c r="P175" s="19">
        <v>0</v>
      </c>
      <c r="Q175" s="19">
        <v>0</v>
      </c>
      <c r="R175" s="19">
        <v>0</v>
      </c>
      <c r="S175" s="19">
        <v>1</v>
      </c>
    </row>
    <row r="176" spans="1:19" ht="21" customHeight="1">
      <c r="A176" s="7" t="str">
        <f t="shared" si="15"/>
        <v>149326</v>
      </c>
      <c r="B176" s="2">
        <f t="shared" si="18"/>
        <v>149</v>
      </c>
      <c r="C176" s="8" t="str">
        <f t="shared" si="16"/>
        <v>0PremiumSS4</v>
      </c>
      <c r="D176" s="8" t="str">
        <f t="shared" si="17"/>
        <v>0PremiumSS4</v>
      </c>
      <c r="E176" s="13">
        <v>0</v>
      </c>
      <c r="F176" s="23">
        <v>326</v>
      </c>
      <c r="G176" s="8" t="str">
        <f>VLOOKUP(F176,[1]characters!$A:$C,3,FALSE)</f>
        <v>妖志士 斎藤一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yellow</v>
      </c>
      <c r="K176" s="8" t="str">
        <f>VLOOKUP(F176,[1]characters!$A:$K,11,FALSE)</f>
        <v>technical</v>
      </c>
      <c r="L176" s="8" t="str">
        <f>VLOOKUP(F176,[1]characters!$A:$M,13,FALSE)</f>
        <v>human</v>
      </c>
      <c r="M176" s="22">
        <v>1</v>
      </c>
      <c r="N176" s="28">
        <f>VLOOKUP(D176,gacha_148_base!A:B,2,FALSE)</f>
        <v>86</v>
      </c>
      <c r="O176" s="25">
        <v>0</v>
      </c>
      <c r="P176" s="19">
        <v>0</v>
      </c>
      <c r="Q176" s="25">
        <v>0</v>
      </c>
      <c r="R176" s="25">
        <v>0</v>
      </c>
      <c r="S176" s="25">
        <v>1</v>
      </c>
    </row>
    <row r="177" spans="1:19" ht="21" customHeight="1">
      <c r="A177" s="7" t="str">
        <f t="shared" si="15"/>
        <v>149380</v>
      </c>
      <c r="B177" s="2">
        <f t="shared" si="18"/>
        <v>149</v>
      </c>
      <c r="C177" s="8" t="str">
        <f t="shared" si="16"/>
        <v>0PremiumS3</v>
      </c>
      <c r="D177" s="8" t="str">
        <f t="shared" si="17"/>
        <v>0PremiumS3</v>
      </c>
      <c r="E177" s="37">
        <v>0</v>
      </c>
      <c r="F177" s="18">
        <v>380</v>
      </c>
      <c r="G177" s="8" t="str">
        <f>VLOOKUP(F177,[1]characters!$A:$C,3,FALSE)</f>
        <v>バハムート</v>
      </c>
      <c r="H177" s="8" t="str">
        <f>VLOOKUP(F177,[1]characters!$A:$J,10,FALSE)</f>
        <v>PremiumS</v>
      </c>
      <c r="I177" s="8">
        <f>VLOOKUP(F177,[1]characters!$A:$I,9,FALSE)</f>
        <v>3</v>
      </c>
      <c r="J177" s="8" t="str">
        <f>VLOOKUP(F177,[1]characters!$A:$H,8,FALSE)</f>
        <v>red</v>
      </c>
      <c r="K177" s="8" t="str">
        <f>VLOOKUP(F177,[1]characters!$A:$K,11,FALSE)</f>
        <v>technical</v>
      </c>
      <c r="L177" s="8" t="str">
        <f>VLOOKUP(F177,[1]characters!$A:$M,13,FALSE)</f>
        <v>dragon</v>
      </c>
      <c r="M177" s="13">
        <v>1</v>
      </c>
      <c r="N177" s="28">
        <f>VLOOKUP(D177,gacha_148_base!A:B,2,FALSE)</f>
        <v>123</v>
      </c>
      <c r="O177" s="10">
        <v>0</v>
      </c>
      <c r="P177" s="19">
        <v>0</v>
      </c>
      <c r="Q177" s="10">
        <v>0</v>
      </c>
      <c r="R177" s="10">
        <v>0</v>
      </c>
      <c r="S177" s="10">
        <v>1</v>
      </c>
    </row>
    <row r="178" spans="1:19" ht="21" customHeight="1">
      <c r="A178" s="7" t="str">
        <f t="shared" si="15"/>
        <v>149381</v>
      </c>
      <c r="B178" s="2">
        <f t="shared" si="18"/>
        <v>149</v>
      </c>
      <c r="C178" s="8" t="str">
        <f t="shared" si="16"/>
        <v>0PremiumS4</v>
      </c>
      <c r="D178" s="8" t="str">
        <f t="shared" si="17"/>
        <v>0PremiumS4</v>
      </c>
      <c r="E178" s="37">
        <v>0</v>
      </c>
      <c r="F178" s="18">
        <v>381</v>
      </c>
      <c r="G178" s="8" t="str">
        <f>VLOOKUP(F178,[1]characters!$A:$C,3,FALSE)</f>
        <v>肉食の恋火 バハムート</v>
      </c>
      <c r="H178" s="8" t="str">
        <f>VLOOKUP(F178,[1]characters!$A:$J,10,FALSE)</f>
        <v>PremiumS</v>
      </c>
      <c r="I178" s="8">
        <f>VLOOKUP(F178,[1]characters!$A:$I,9,FALSE)</f>
        <v>4</v>
      </c>
      <c r="J178" s="8" t="str">
        <f>VLOOKUP(F178,[1]characters!$A:$H,8,FALSE)</f>
        <v>red</v>
      </c>
      <c r="K178" s="8" t="str">
        <f>VLOOKUP(F178,[1]characters!$A:$K,11,FALSE)</f>
        <v>technical</v>
      </c>
      <c r="L178" s="8" t="str">
        <f>VLOOKUP(F178,[1]characters!$A:$M,13,FALSE)</f>
        <v>dragon</v>
      </c>
      <c r="M178" s="5">
        <v>1</v>
      </c>
      <c r="N178" s="28">
        <f>VLOOKUP(D178,gacha_148_base!A:B,2,FALSE)</f>
        <v>36</v>
      </c>
      <c r="O178" s="19">
        <v>0</v>
      </c>
      <c r="P178" s="19">
        <v>0</v>
      </c>
      <c r="Q178" s="19">
        <v>0</v>
      </c>
      <c r="R178" s="19">
        <v>0</v>
      </c>
      <c r="S178" s="19">
        <v>1</v>
      </c>
    </row>
    <row r="179" spans="1:19" ht="21" customHeight="1">
      <c r="A179" s="7" t="str">
        <f t="shared" si="15"/>
        <v>149383</v>
      </c>
      <c r="B179" s="2">
        <f t="shared" si="18"/>
        <v>149</v>
      </c>
      <c r="C179" s="8" t="str">
        <f t="shared" si="16"/>
        <v>0PremiumSS4</v>
      </c>
      <c r="D179" s="8" t="str">
        <f t="shared" si="17"/>
        <v>0PremiumSS4</v>
      </c>
      <c r="E179" s="37">
        <v>0</v>
      </c>
      <c r="F179" s="18">
        <v>383</v>
      </c>
      <c r="G179" s="8" t="str">
        <f>VLOOKUP(F179,[1]characters!$A:$C,3,FALSE)</f>
        <v>酒宴の蟒蛇 ヤマタノオロチ</v>
      </c>
      <c r="H179" s="8" t="str">
        <f>VLOOKUP(F179,[1]characters!$A:$J,10,FALSE)</f>
        <v>PremiumSS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hp</v>
      </c>
      <c r="L179" s="8" t="str">
        <f>VLOOKUP(F179,[1]characters!$A:$M,13,FALSE)</f>
        <v>dragon</v>
      </c>
      <c r="M179" s="5">
        <v>1</v>
      </c>
      <c r="N179" s="28">
        <f>VLOOKUP(D179,gacha_148_base!A:B,2,FALSE)</f>
        <v>86</v>
      </c>
      <c r="O179" s="19">
        <v>0</v>
      </c>
      <c r="P179" s="19">
        <v>0</v>
      </c>
      <c r="Q179" s="19">
        <v>0</v>
      </c>
      <c r="R179" s="19">
        <v>0</v>
      </c>
      <c r="S179" s="19">
        <v>1</v>
      </c>
    </row>
    <row r="180" spans="1:19" ht="21" customHeight="1">
      <c r="A180" s="7" t="str">
        <f t="shared" ref="A180:A189" si="19">B180&amp;F180</f>
        <v>149385</v>
      </c>
      <c r="B180" s="2">
        <f t="shared" si="18"/>
        <v>149</v>
      </c>
      <c r="C180" s="8" t="str">
        <f t="shared" si="16"/>
        <v>0PremiumSS4</v>
      </c>
      <c r="D180" s="8" t="str">
        <f t="shared" si="17"/>
        <v>0PremiumSS4</v>
      </c>
      <c r="E180" s="37">
        <v>0</v>
      </c>
      <c r="F180" s="18">
        <v>385</v>
      </c>
      <c r="G180" s="8" t="str">
        <f>VLOOKUP(F180,[1]characters!$A:$C,3,FALSE)</f>
        <v>波烈の出奔 リヴァイアサン</v>
      </c>
      <c r="H180" s="8" t="str">
        <f>VLOOKUP(F180,[1]characters!$A:$J,10,FALSE)</f>
        <v>PremiumSS</v>
      </c>
      <c r="I180" s="8">
        <f>VLOOKUP(F180,[1]characters!$A:$I,9,FALSE)</f>
        <v>4</v>
      </c>
      <c r="J180" s="8" t="str">
        <f>VLOOKUP(F180,[1]characters!$A:$H,8,FALSE)</f>
        <v>blue</v>
      </c>
      <c r="K180" s="8" t="str">
        <f>VLOOKUP(F180,[1]characters!$A:$K,11,FALSE)</f>
        <v>balance</v>
      </c>
      <c r="L180" s="8" t="str">
        <f>VLOOKUP(F180,[1]characters!$A:$M,13,FALSE)</f>
        <v>dragon</v>
      </c>
      <c r="M180" s="5">
        <v>1</v>
      </c>
      <c r="N180" s="28">
        <f>VLOOKUP(D180,gacha_148_base!A:B,2,FALSE)</f>
        <v>86</v>
      </c>
      <c r="O180" s="19">
        <v>0</v>
      </c>
      <c r="P180" s="19">
        <v>0</v>
      </c>
      <c r="Q180" s="19">
        <v>0</v>
      </c>
      <c r="R180" s="19">
        <v>0</v>
      </c>
      <c r="S180" s="19">
        <v>1</v>
      </c>
    </row>
    <row r="181" spans="1:19" ht="21" customHeight="1">
      <c r="A181" s="7" t="str">
        <f t="shared" si="19"/>
        <v>149388</v>
      </c>
      <c r="B181" s="2">
        <f t="shared" si="18"/>
        <v>149</v>
      </c>
      <c r="C181" s="8" t="str">
        <f t="shared" si="16"/>
        <v>0PremiumS4</v>
      </c>
      <c r="D181" s="8" t="str">
        <f>E181&amp;H181&amp;I181&amp;"pick"</f>
        <v>0PremiumS4pick</v>
      </c>
      <c r="E181" s="37">
        <v>0</v>
      </c>
      <c r="F181" s="23">
        <v>388</v>
      </c>
      <c r="G181" s="8" t="str">
        <f>VLOOKUP(F181,[1]characters!$A:$C,3,FALSE)</f>
        <v>神円の恋姫 スフィンクス</v>
      </c>
      <c r="H181" s="8" t="str">
        <f>VLOOKUP(F181,[1]characters!$A:$J,10,FALSE)</f>
        <v>PremiumS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heal</v>
      </c>
      <c r="L181" s="8" t="str">
        <f>VLOOKUP(F181,[1]characters!$A:$M,13,FALSE)</f>
        <v>animal</v>
      </c>
      <c r="M181" s="22">
        <v>1</v>
      </c>
      <c r="N181" s="28">
        <f>VLOOKUP(D181,gacha_148_base!A:B,2,FALSE)</f>
        <v>2664</v>
      </c>
      <c r="O181" s="25">
        <v>0</v>
      </c>
      <c r="P181" s="19">
        <v>0</v>
      </c>
      <c r="Q181" s="25">
        <v>0</v>
      </c>
      <c r="R181" s="25">
        <v>0</v>
      </c>
      <c r="S181" s="25">
        <v>1</v>
      </c>
    </row>
    <row r="182" spans="1:19" s="26" customFormat="1" ht="21" customHeight="1" thickBot="1">
      <c r="A182" s="7" t="str">
        <f t="shared" si="19"/>
        <v>149389</v>
      </c>
      <c r="B182" s="2">
        <f t="shared" si="18"/>
        <v>149</v>
      </c>
      <c r="C182" s="8" t="str">
        <f t="shared" si="16"/>
        <v>0PremiumS5</v>
      </c>
      <c r="D182" s="8" t="str">
        <f>E182&amp;H182&amp;I182&amp;"pick"</f>
        <v>0PremiumS5pick</v>
      </c>
      <c r="E182" s="37">
        <v>0</v>
      </c>
      <c r="F182" s="6">
        <v>389</v>
      </c>
      <c r="G182" s="8" t="str">
        <f>VLOOKUP(F182,[1]characters!$A:$C,3,FALSE)</f>
        <v>操神の愛姫 スフィンクス</v>
      </c>
      <c r="H182" s="8" t="str">
        <f>VLOOKUP(F182,[1]characters!$A:$J,10,FALSE)</f>
        <v>PremiumS</v>
      </c>
      <c r="I182" s="8">
        <f>VLOOKUP(F182,[1]characters!$A:$I,9,FALSE)</f>
        <v>5</v>
      </c>
      <c r="J182" s="8" t="str">
        <f>VLOOKUP(F182,[1]characters!$A:$H,8,FALSE)</f>
        <v>yellow</v>
      </c>
      <c r="K182" s="8" t="str">
        <f>VLOOKUP(F182,[1]characters!$A:$K,11,FALSE)</f>
        <v>heal</v>
      </c>
      <c r="L182" s="8" t="str">
        <f>VLOOKUP(F182,[1]characters!$A:$M,13,FALSE)</f>
        <v>animal</v>
      </c>
      <c r="M182" s="15">
        <v>1</v>
      </c>
      <c r="N182" s="28">
        <f>VLOOKUP(D182,gacha_148_base!A:B,2,FALSE)</f>
        <v>2178</v>
      </c>
      <c r="O182" s="20">
        <v>0</v>
      </c>
      <c r="P182" s="19">
        <v>0</v>
      </c>
      <c r="Q182" s="20">
        <v>0</v>
      </c>
      <c r="R182" s="20">
        <v>0</v>
      </c>
      <c r="S182" s="20">
        <v>1</v>
      </c>
    </row>
    <row r="183" spans="1:19" ht="21" customHeight="1">
      <c r="A183" s="7" t="str">
        <f t="shared" si="19"/>
        <v>149390</v>
      </c>
      <c r="B183" s="2">
        <f t="shared" si="18"/>
        <v>149</v>
      </c>
      <c r="C183" s="8" t="str">
        <f t="shared" si="16"/>
        <v>0PremiumSS4</v>
      </c>
      <c r="D183" s="8" t="str">
        <f>E183&amp;H183&amp;I183&amp;"pick"</f>
        <v>0PremiumSS4pick</v>
      </c>
      <c r="E183" s="37">
        <v>0</v>
      </c>
      <c r="F183" s="23">
        <v>390</v>
      </c>
      <c r="G183" s="8" t="str">
        <f>VLOOKUP(F183,[1]characters!$A:$C,3,FALSE)</f>
        <v>華環の旅客 親指姫</v>
      </c>
      <c r="H183" s="8" t="str">
        <f>VLOOKUP(F183,[1]characters!$A:$J,10,FALSE)</f>
        <v>PremiumSS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heal</v>
      </c>
      <c r="L183" s="8" t="str">
        <f>VLOOKUP(F183,[1]characters!$A:$M,13,FALSE)</f>
        <v>human</v>
      </c>
      <c r="M183" s="22">
        <v>1</v>
      </c>
      <c r="N183" s="28">
        <f>VLOOKUP(D183,gacha_148_base!A:B,2,FALSE)</f>
        <v>1331</v>
      </c>
      <c r="O183" s="25">
        <v>0</v>
      </c>
      <c r="P183" s="19">
        <v>0</v>
      </c>
      <c r="Q183" s="25">
        <v>0</v>
      </c>
      <c r="R183" s="25">
        <v>0</v>
      </c>
      <c r="S183" s="25">
        <v>1</v>
      </c>
    </row>
    <row r="184" spans="1:19" ht="21" customHeight="1">
      <c r="A184" s="7" t="str">
        <f t="shared" si="19"/>
        <v>149391</v>
      </c>
      <c r="B184" s="2">
        <f t="shared" si="18"/>
        <v>149</v>
      </c>
      <c r="C184" s="8" t="str">
        <f t="shared" si="16"/>
        <v>0PremiumSS5</v>
      </c>
      <c r="D184" s="8" t="str">
        <f>E184&amp;H184&amp;I184&amp;"pick"</f>
        <v>0PremiumSS5pick</v>
      </c>
      <c r="E184" s="37">
        <v>0</v>
      </c>
      <c r="F184" s="6">
        <v>391</v>
      </c>
      <c r="G184" s="8" t="str">
        <f>VLOOKUP(F184,[1]characters!$A:$C,3,FALSE)</f>
        <v>燕翼の旅人 親指姫</v>
      </c>
      <c r="H184" s="8" t="str">
        <f>VLOOKUP(F184,[1]characters!$A:$J,10,FALSE)</f>
        <v>PremiumSS</v>
      </c>
      <c r="I184" s="8">
        <f>VLOOKUP(F184,[1]characters!$A:$I,9,FALSE)</f>
        <v>5</v>
      </c>
      <c r="J184" s="8" t="str">
        <f>VLOOKUP(F184,[1]characters!$A:$H,8,FALSE)</f>
        <v>red</v>
      </c>
      <c r="K184" s="8" t="str">
        <f>VLOOKUP(F184,[1]characters!$A:$K,11,FALSE)</f>
        <v>heal</v>
      </c>
      <c r="L184" s="8" t="str">
        <f>VLOOKUP(F184,[1]characters!$A:$M,13,FALSE)</f>
        <v>human</v>
      </c>
      <c r="M184" s="5">
        <v>1</v>
      </c>
      <c r="N184" s="28">
        <f>VLOOKUP(D184,gacha_148_base!A:B,2,FALSE)</f>
        <v>484</v>
      </c>
      <c r="O184" s="19">
        <v>0</v>
      </c>
      <c r="P184" s="19">
        <v>0</v>
      </c>
      <c r="Q184" s="19">
        <v>0</v>
      </c>
      <c r="R184" s="19">
        <v>0</v>
      </c>
      <c r="S184" s="19">
        <v>1</v>
      </c>
    </row>
    <row r="185" spans="1:19" ht="21" customHeight="1">
      <c r="A185" s="7" t="str">
        <f t="shared" si="19"/>
        <v>149392</v>
      </c>
      <c r="B185" s="2">
        <f t="shared" si="18"/>
        <v>149</v>
      </c>
      <c r="C185" s="8" t="str">
        <f t="shared" si="16"/>
        <v>0PremiumS3</v>
      </c>
      <c r="D185" s="8" t="str">
        <f t="shared" si="17"/>
        <v>0PremiumS3</v>
      </c>
      <c r="E185" s="37">
        <v>0</v>
      </c>
      <c r="F185" s="23">
        <v>392</v>
      </c>
      <c r="G185" s="8" t="str">
        <f>VLOOKUP(F185,[1]characters!$A:$C,3,FALSE)</f>
        <v>ピーターパン</v>
      </c>
      <c r="H185" s="8" t="str">
        <f>VLOOKUP(F185,[1]characters!$A:$J,10,FALSE)</f>
        <v>PremiumS</v>
      </c>
      <c r="I185" s="8">
        <f>VLOOKUP(F185,[1]characters!$A:$I,9,FALSE)</f>
        <v>3</v>
      </c>
      <c r="J185" s="8" t="str">
        <f>VLOOKUP(F185,[1]characters!$A:$H,8,FALSE)</f>
        <v>green</v>
      </c>
      <c r="K185" s="8" t="str">
        <f>VLOOKUP(F185,[1]characters!$A:$K,11,FALSE)</f>
        <v>attack</v>
      </c>
      <c r="L185" s="8" t="str">
        <f>VLOOKUP(F185,[1]characters!$A:$M,13,FALSE)</f>
        <v>human</v>
      </c>
      <c r="M185" s="22">
        <v>1</v>
      </c>
      <c r="N185" s="28">
        <f>VLOOKUP(D185,gacha_148_base!A:B,2,FALSE)</f>
        <v>123</v>
      </c>
      <c r="O185" s="25">
        <v>0</v>
      </c>
      <c r="P185" s="19">
        <v>0</v>
      </c>
      <c r="Q185" s="25">
        <v>0</v>
      </c>
      <c r="R185" s="25">
        <v>0</v>
      </c>
      <c r="S185" s="25">
        <v>1</v>
      </c>
    </row>
    <row r="186" spans="1:19" ht="21" customHeight="1" thickBot="1">
      <c r="A186" s="7" t="str">
        <f t="shared" si="19"/>
        <v>149393</v>
      </c>
      <c r="B186" s="2">
        <f t="shared" si="18"/>
        <v>149</v>
      </c>
      <c r="C186" s="8" t="str">
        <f t="shared" ref="C186:C189" si="20">E186&amp;H186&amp;I186</f>
        <v>0PremiumS4</v>
      </c>
      <c r="D186" s="8" t="str">
        <f t="shared" si="17"/>
        <v>0PremiumS4</v>
      </c>
      <c r="E186" s="37">
        <v>0</v>
      </c>
      <c r="F186" s="6">
        <v>393</v>
      </c>
      <c r="G186" s="8" t="str">
        <f>VLOOKUP(F186,[1]characters!$A:$C,3,FALSE)</f>
        <v>影縫い ピーターパン</v>
      </c>
      <c r="H186" s="8" t="str">
        <f>VLOOKUP(F186,[1]characters!$A:$J,10,FALSE)</f>
        <v>PremiumS</v>
      </c>
      <c r="I186" s="8">
        <f>VLOOKUP(F186,[1]characters!$A:$I,9,FALSE)</f>
        <v>4</v>
      </c>
      <c r="J186" s="8" t="str">
        <f>VLOOKUP(F186,[1]characters!$A:$H,8,FALSE)</f>
        <v>green</v>
      </c>
      <c r="K186" s="8" t="str">
        <f>VLOOKUP(F186,[1]characters!$A:$K,11,FALSE)</f>
        <v>attack</v>
      </c>
      <c r="L186" s="8" t="str">
        <f>VLOOKUP(F186,[1]characters!$A:$M,13,FALSE)</f>
        <v>human</v>
      </c>
      <c r="M186" s="15">
        <v>1</v>
      </c>
      <c r="N186" s="28">
        <f>VLOOKUP(D186,gacha_148_base!A:B,2,FALSE)</f>
        <v>36</v>
      </c>
      <c r="O186" s="20">
        <v>0</v>
      </c>
      <c r="P186" s="19">
        <v>0</v>
      </c>
      <c r="Q186" s="20">
        <v>0</v>
      </c>
      <c r="R186" s="20">
        <v>0</v>
      </c>
      <c r="S186" s="20">
        <v>1</v>
      </c>
    </row>
    <row r="187" spans="1:19" ht="21" customHeight="1">
      <c r="A187" s="7" t="str">
        <f t="shared" si="19"/>
        <v>149396</v>
      </c>
      <c r="B187" s="2">
        <f t="shared" si="18"/>
        <v>149</v>
      </c>
      <c r="C187" s="8" t="str">
        <f t="shared" si="20"/>
        <v>0PremiumS4</v>
      </c>
      <c r="D187" s="8" t="str">
        <f>E187&amp;H187&amp;I187&amp;"pick"</f>
        <v>0PremiumS4pick</v>
      </c>
      <c r="E187" s="37">
        <v>0</v>
      </c>
      <c r="F187" s="23">
        <v>396</v>
      </c>
      <c r="G187" s="8" t="str">
        <f>VLOOKUP(F187,[1]characters!$A:$C,3,FALSE)</f>
        <v>竜宮の水雷 乙姫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22">
        <v>1</v>
      </c>
      <c r="N187" s="28">
        <f>VLOOKUP(D187,gacha_148_base!A:B,2,FALSE)</f>
        <v>2664</v>
      </c>
      <c r="O187" s="25">
        <v>0</v>
      </c>
      <c r="P187" s="19">
        <v>0</v>
      </c>
      <c r="Q187" s="25">
        <v>0</v>
      </c>
      <c r="R187" s="25">
        <v>0</v>
      </c>
      <c r="S187" s="25">
        <v>1</v>
      </c>
    </row>
    <row r="188" spans="1:19" ht="21" customHeight="1" thickBot="1">
      <c r="A188" s="7" t="str">
        <f t="shared" si="19"/>
        <v>149397</v>
      </c>
      <c r="B188" s="2">
        <f t="shared" si="18"/>
        <v>149</v>
      </c>
      <c r="C188" s="8" t="str">
        <f t="shared" si="20"/>
        <v>0PremiumS5</v>
      </c>
      <c r="D188" s="8" t="str">
        <f>E188&amp;H188&amp;I188&amp;"pick"</f>
        <v>0PremiumS5pick</v>
      </c>
      <c r="E188" s="37">
        <v>0</v>
      </c>
      <c r="F188" s="6">
        <v>397</v>
      </c>
      <c r="G188" s="8" t="str">
        <f>VLOOKUP(F188,[1]characters!$A:$C,3,FALSE)</f>
        <v>禁断の追箱 乙姫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blue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5">
        <v>1</v>
      </c>
      <c r="N188" s="28">
        <f>VLOOKUP(D188,gacha_148_base!A:B,2,FALSE)</f>
        <v>2178</v>
      </c>
      <c r="O188" s="20">
        <v>0</v>
      </c>
      <c r="P188" s="19">
        <v>0</v>
      </c>
      <c r="Q188" s="20">
        <v>0</v>
      </c>
      <c r="R188" s="20">
        <v>0</v>
      </c>
      <c r="S188" s="20">
        <v>1</v>
      </c>
    </row>
    <row r="189" spans="1:19" ht="21" customHeight="1">
      <c r="A189" s="7" t="str">
        <f t="shared" si="19"/>
        <v>149398</v>
      </c>
      <c r="B189" s="2">
        <f t="shared" si="18"/>
        <v>149</v>
      </c>
      <c r="C189" s="8" t="str">
        <f t="shared" si="20"/>
        <v>0PremiumSS4</v>
      </c>
      <c r="D189" s="8" t="str">
        <f t="shared" si="17"/>
        <v>0PremiumSS4</v>
      </c>
      <c r="E189" s="37">
        <v>0</v>
      </c>
      <c r="F189" s="23">
        <v>398</v>
      </c>
      <c r="G189" s="8" t="str">
        <f>VLOOKUP(F189,[1]characters!$A:$C,3,FALSE)</f>
        <v>ヘンゼル＆グレーテル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22">
        <v>1</v>
      </c>
      <c r="N189" s="28">
        <f>VLOOKUP(D189,gacha_148_base!A:B,2,FALSE)</f>
        <v>86</v>
      </c>
      <c r="O189" s="25">
        <v>0</v>
      </c>
      <c r="P189" s="19">
        <v>0</v>
      </c>
      <c r="Q189" s="25">
        <v>0</v>
      </c>
      <c r="R189" s="25">
        <v>0</v>
      </c>
      <c r="S189" s="25">
        <v>1</v>
      </c>
    </row>
  </sheetData>
  <autoFilter ref="B1:M189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G23" sqref="G23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29" t="s">
        <v>20</v>
      </c>
      <c r="C1" s="3" t="s">
        <v>18</v>
      </c>
      <c r="D1" s="30" t="s">
        <v>19</v>
      </c>
      <c r="E1" s="29" t="s">
        <v>1</v>
      </c>
      <c r="F1" s="3" t="s">
        <v>5</v>
      </c>
      <c r="G1" s="30" t="s">
        <v>6</v>
      </c>
      <c r="H1" s="30" t="s">
        <v>4</v>
      </c>
      <c r="I1" s="30" t="s">
        <v>7</v>
      </c>
      <c r="J1" s="30" t="s">
        <v>8</v>
      </c>
      <c r="K1" s="30" t="s">
        <v>9</v>
      </c>
      <c r="L1" s="29" t="s">
        <v>2</v>
      </c>
      <c r="M1" s="2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B2" s="2"/>
      <c r="C2" s="8"/>
      <c r="D2" s="8"/>
      <c r="E2" s="18"/>
      <c r="F2" s="12"/>
      <c r="G2" s="12"/>
      <c r="H2" s="12"/>
      <c r="I2" s="12"/>
      <c r="J2" s="12"/>
      <c r="K2" s="12"/>
      <c r="L2" s="13"/>
      <c r="M2" s="28"/>
      <c r="N2" s="10"/>
      <c r="O2" s="10"/>
      <c r="P2" s="10"/>
      <c r="Q2" s="10"/>
      <c r="R2" s="10"/>
    </row>
    <row r="3" spans="1:18" ht="21" customHeight="1">
      <c r="B3" s="2"/>
      <c r="C3" s="8"/>
      <c r="D3" s="8"/>
      <c r="E3" s="18"/>
      <c r="F3" s="8"/>
      <c r="G3" s="8"/>
      <c r="H3" s="8"/>
      <c r="I3" s="8"/>
      <c r="J3" s="8"/>
      <c r="K3" s="8"/>
      <c r="L3" s="5"/>
      <c r="M3" s="28"/>
      <c r="N3" s="19"/>
      <c r="O3" s="19"/>
      <c r="P3" s="19"/>
      <c r="Q3" s="19"/>
      <c r="R3" s="19"/>
    </row>
    <row r="4" spans="1:18" ht="21" customHeight="1">
      <c r="B4" s="2"/>
      <c r="C4" s="8"/>
      <c r="D4" s="8"/>
      <c r="E4" s="18"/>
      <c r="F4" s="8"/>
      <c r="G4" s="8"/>
      <c r="H4" s="8"/>
      <c r="I4" s="8"/>
      <c r="J4" s="8"/>
      <c r="K4" s="8"/>
      <c r="L4" s="5"/>
      <c r="M4" s="28"/>
      <c r="N4" s="19"/>
      <c r="O4" s="19"/>
      <c r="P4" s="19"/>
      <c r="Q4" s="19"/>
      <c r="R4" s="19"/>
    </row>
    <row r="5" spans="1:18" ht="21" customHeight="1">
      <c r="B5" s="2"/>
      <c r="C5" s="8"/>
      <c r="D5" s="8"/>
      <c r="E5" s="18"/>
      <c r="F5" s="8"/>
      <c r="G5" s="8"/>
      <c r="H5" s="8"/>
      <c r="I5" s="8"/>
      <c r="J5" s="8"/>
      <c r="K5" s="8"/>
      <c r="L5" s="5"/>
      <c r="M5" s="28"/>
      <c r="N5" s="19"/>
      <c r="O5" s="19"/>
      <c r="P5" s="19"/>
      <c r="Q5" s="19"/>
      <c r="R5" s="19"/>
    </row>
    <row r="6" spans="1:18" ht="21" customHeight="1">
      <c r="B6" s="2"/>
      <c r="C6" s="8"/>
      <c r="D6" s="8"/>
      <c r="E6" s="18"/>
      <c r="F6" s="8"/>
      <c r="G6" s="8"/>
      <c r="H6" s="8"/>
      <c r="I6" s="8"/>
      <c r="J6" s="8"/>
      <c r="K6" s="8"/>
      <c r="L6" s="5"/>
      <c r="M6" s="28"/>
      <c r="N6" s="19"/>
      <c r="O6" s="19"/>
      <c r="P6" s="19"/>
      <c r="Q6" s="19"/>
      <c r="R6" s="19"/>
    </row>
    <row r="7" spans="1:18" ht="21" customHeight="1">
      <c r="B7" s="2"/>
      <c r="C7" s="8"/>
      <c r="D7" s="8"/>
      <c r="E7" s="18"/>
      <c r="F7" s="8"/>
      <c r="G7" s="8"/>
      <c r="H7" s="8"/>
      <c r="I7" s="8"/>
      <c r="J7" s="8"/>
      <c r="K7" s="8"/>
      <c r="L7" s="5"/>
      <c r="M7" s="28"/>
      <c r="N7" s="19"/>
      <c r="O7" s="19"/>
      <c r="P7" s="19"/>
      <c r="Q7" s="19"/>
      <c r="R7" s="19"/>
    </row>
    <row r="8" spans="1:18" ht="21" customHeight="1">
      <c r="B8" s="2"/>
      <c r="C8" s="8"/>
      <c r="D8" s="8"/>
      <c r="E8" s="21"/>
      <c r="F8" s="24"/>
      <c r="G8" s="24"/>
      <c r="H8" s="24"/>
      <c r="I8" s="24"/>
      <c r="J8" s="24"/>
      <c r="K8" s="24"/>
      <c r="L8" s="22"/>
      <c r="M8" s="28"/>
      <c r="N8" s="25"/>
      <c r="O8" s="25"/>
      <c r="P8" s="25"/>
      <c r="Q8" s="25"/>
      <c r="R8" s="25"/>
    </row>
    <row r="9" spans="1:18" ht="21" customHeight="1">
      <c r="B9" s="2"/>
      <c r="C9" s="8"/>
      <c r="D9" s="8"/>
      <c r="E9" s="6"/>
      <c r="F9" s="8"/>
      <c r="G9" s="8"/>
      <c r="H9" s="8"/>
      <c r="I9" s="8"/>
      <c r="J9" s="8"/>
      <c r="K9" s="8"/>
      <c r="L9" s="5"/>
      <c r="M9" s="28"/>
      <c r="N9" s="19"/>
      <c r="O9" s="19"/>
      <c r="P9" s="19"/>
      <c r="Q9" s="19"/>
      <c r="R9" s="19"/>
    </row>
    <row r="10" spans="1:18" ht="21" customHeight="1">
      <c r="B10" s="2"/>
      <c r="C10" s="8"/>
      <c r="D10" s="8"/>
      <c r="E10" s="23"/>
      <c r="F10" s="24"/>
      <c r="G10" s="24"/>
      <c r="H10" s="24"/>
      <c r="I10" s="24"/>
      <c r="J10" s="24"/>
      <c r="K10" s="24"/>
      <c r="L10" s="22"/>
      <c r="M10" s="28"/>
      <c r="N10" s="25"/>
      <c r="O10" s="25"/>
      <c r="P10" s="25"/>
      <c r="Q10" s="25"/>
      <c r="R10" s="25"/>
    </row>
    <row r="11" spans="1:18" s="26" customFormat="1" ht="21" customHeight="1" thickBot="1">
      <c r="A11" s="7"/>
      <c r="B11" s="2"/>
      <c r="C11" s="8"/>
      <c r="D11" s="8"/>
      <c r="E11" s="16"/>
      <c r="F11" s="14"/>
      <c r="G11" s="14"/>
      <c r="H11" s="14"/>
      <c r="I11" s="14"/>
      <c r="J11" s="14"/>
      <c r="K11" s="14"/>
      <c r="L11" s="15"/>
      <c r="M11" s="28"/>
      <c r="N11" s="20"/>
      <c r="O11" s="20"/>
      <c r="P11" s="20"/>
      <c r="Q11" s="20"/>
      <c r="R11" s="20"/>
    </row>
  </sheetData>
  <autoFilter ref="B1:M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2"/>
  <sheetViews>
    <sheetView showGridLines="0" tabSelected="1" workbookViewId="0">
      <pane ySplit="1" topLeftCell="A2" activePane="bottomLeft" state="frozen"/>
      <selection activeCell="M24" sqref="M24"/>
      <selection pane="bottomLeft" activeCell="K10" sqref="K10"/>
    </sheetView>
  </sheetViews>
  <sheetFormatPr baseColWidth="12" defaultRowHeight="21" customHeight="1" outlineLevelCol="1" x14ac:dyDescent="0"/>
  <cols>
    <col min="1" max="1" width="12.83203125" style="32"/>
    <col min="2" max="2" width="14.6640625" style="1" bestFit="1" customWidth="1"/>
    <col min="3" max="3" width="14.1640625" style="1" bestFit="1" customWidth="1"/>
    <col min="4" max="6" width="14.164062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29" t="s">
        <v>22</v>
      </c>
      <c r="C1" s="45" t="s">
        <v>25</v>
      </c>
      <c r="D1" s="33" t="s">
        <v>27</v>
      </c>
      <c r="E1" s="33" t="s">
        <v>28</v>
      </c>
      <c r="F1" s="33" t="s">
        <v>29</v>
      </c>
      <c r="G1" s="29" t="s">
        <v>3</v>
      </c>
      <c r="H1" s="29" t="s">
        <v>30</v>
      </c>
      <c r="I1" s="29" t="s">
        <v>31</v>
      </c>
      <c r="J1" s="29" t="s">
        <v>32</v>
      </c>
      <c r="K1" s="29" t="s">
        <v>33</v>
      </c>
    </row>
    <row r="2" spans="1:11" ht="21" customHeight="1">
      <c r="A2" s="7" t="str">
        <f t="shared" ref="A2" si="0">B2&amp;C2</f>
        <v>1481481</v>
      </c>
      <c r="B2" s="2">
        <v>148</v>
      </c>
      <c r="C2" s="10">
        <v>1481</v>
      </c>
      <c r="D2" s="34" t="s">
        <v>92</v>
      </c>
      <c r="E2" s="34">
        <v>1000000</v>
      </c>
      <c r="F2" s="34" t="s">
        <v>94</v>
      </c>
      <c r="G2" s="31">
        <v>100</v>
      </c>
      <c r="H2" s="31" t="s">
        <v>93</v>
      </c>
      <c r="I2" s="31" t="s">
        <v>96</v>
      </c>
      <c r="J2" s="31" t="s">
        <v>95</v>
      </c>
      <c r="K2" s="53" t="s">
        <v>97</v>
      </c>
    </row>
  </sheetData>
  <autoFilter ref="B1:G2"/>
  <phoneticPr fontId="11"/>
  <dataValidations count="3">
    <dataValidation type="list" allowBlank="1" showInputMessage="1" showErrorMessage="1" sqref="D2">
      <formula1>"unit,polygon,bit,link"</formula1>
    </dataValidation>
    <dataValidation type="list" allowBlank="1" showInputMessage="1" sqref="F2">
      <formula1>"1,2,3,4,5,...,NULL"</formula1>
    </dataValidation>
    <dataValidation errorStyle="warning" showInputMessage="1" showErrorMessage="1" errorTitle="空白禁止です" sqref="E2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gacha_148_base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福谷 優大</cp:lastModifiedBy>
  <dcterms:created xsi:type="dcterms:W3CDTF">2015-04-01T12:34:09Z</dcterms:created>
  <dcterms:modified xsi:type="dcterms:W3CDTF">2015-11-02T13:56:36Z</dcterms:modified>
</cp:coreProperties>
</file>