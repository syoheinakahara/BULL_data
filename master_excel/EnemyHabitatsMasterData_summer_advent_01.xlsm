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ukutani/Documents/BULL_data/master_excel/"/>
    </mc:Choice>
  </mc:AlternateContent>
  <bookViews>
    <workbookView xWindow="460" yWindow="460" windowWidth="25140" windowHeight="1554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9" i="9" l="1"/>
  <c r="D79" i="9"/>
  <c r="M115" i="10"/>
  <c r="T115" i="10"/>
  <c r="W115" i="10"/>
  <c r="V115" i="10"/>
  <c r="X115" i="10"/>
  <c r="U115" i="10"/>
  <c r="Y115" i="10"/>
  <c r="N115" i="10"/>
  <c r="Q115" i="10"/>
  <c r="P115" i="10"/>
  <c r="R115" i="10"/>
  <c r="O115" i="10"/>
  <c r="S115" i="10"/>
  <c r="G115" i="10"/>
  <c r="J115" i="10"/>
  <c r="I115" i="10"/>
  <c r="K115" i="10"/>
  <c r="H115" i="10"/>
  <c r="L115" i="10"/>
  <c r="C11" i="18"/>
  <c r="D11" i="18"/>
  <c r="C12" i="18"/>
  <c r="D12" i="18"/>
  <c r="A11" i="22"/>
  <c r="C11" i="22"/>
  <c r="D11" i="22"/>
  <c r="F11" i="22"/>
  <c r="G11" i="22"/>
  <c r="N11" i="22"/>
  <c r="A12" i="22"/>
  <c r="C12" i="22"/>
  <c r="D12" i="22"/>
  <c r="F12" i="22"/>
  <c r="G12" i="22"/>
  <c r="N12" i="22"/>
  <c r="A3" i="22"/>
  <c r="C3" i="22"/>
  <c r="D3" i="22"/>
  <c r="F3" i="22"/>
  <c r="G3" i="22"/>
  <c r="N3" i="22"/>
  <c r="A4" i="22"/>
  <c r="C4" i="22"/>
  <c r="D4" i="22"/>
  <c r="F4" i="22"/>
  <c r="G4" i="22"/>
  <c r="N4" i="22"/>
  <c r="A5" i="22"/>
  <c r="C5" i="22"/>
  <c r="D5" i="22"/>
  <c r="F5" i="22"/>
  <c r="G5" i="22"/>
  <c r="N5" i="22"/>
  <c r="A6" i="22"/>
  <c r="C6" i="22"/>
  <c r="D6" i="22"/>
  <c r="F6" i="22"/>
  <c r="G6" i="22"/>
  <c r="N6" i="22"/>
  <c r="A7" i="22"/>
  <c r="C7" i="22"/>
  <c r="D7" i="22"/>
  <c r="F7" i="22"/>
  <c r="G7" i="22"/>
  <c r="N7" i="22"/>
  <c r="A8" i="22"/>
  <c r="C8" i="22"/>
  <c r="D8" i="22"/>
  <c r="F8" i="22"/>
  <c r="G8" i="22"/>
  <c r="N8" i="22"/>
  <c r="A9" i="22"/>
  <c r="C9" i="22"/>
  <c r="D9" i="22"/>
  <c r="F9" i="22"/>
  <c r="G9" i="22"/>
  <c r="N9" i="22"/>
  <c r="V11" i="1"/>
  <c r="T11" i="1"/>
  <c r="J59" i="11"/>
  <c r="E10" i="9"/>
  <c r="D10" i="9"/>
  <c r="O10" i="9"/>
  <c r="N10" i="9"/>
  <c r="M10" i="9"/>
  <c r="L10" i="9"/>
  <c r="K10" i="9"/>
  <c r="J10" i="9"/>
  <c r="I10" i="9"/>
  <c r="H10" i="9"/>
  <c r="G10" i="9"/>
  <c r="A10" i="9"/>
  <c r="J57" i="11"/>
  <c r="O58" i="9"/>
  <c r="N58" i="9"/>
  <c r="M58" i="9"/>
  <c r="L58" i="9"/>
  <c r="K58" i="9"/>
  <c r="J58" i="9"/>
  <c r="I58" i="9"/>
  <c r="H58" i="9"/>
  <c r="G58" i="9"/>
  <c r="E58" i="9"/>
  <c r="D58" i="9"/>
  <c r="A58" i="9"/>
  <c r="J56" i="11"/>
  <c r="O43" i="9"/>
  <c r="N43" i="9"/>
  <c r="M43" i="9"/>
  <c r="L43" i="9"/>
  <c r="K43" i="9"/>
  <c r="J43" i="9"/>
  <c r="I43" i="9"/>
  <c r="H43" i="9"/>
  <c r="G43" i="9"/>
  <c r="E43" i="9"/>
  <c r="D43" i="9"/>
  <c r="A43" i="9"/>
  <c r="J58" i="11"/>
  <c r="O28" i="9"/>
  <c r="N28" i="9"/>
  <c r="M28" i="9"/>
  <c r="L28" i="9"/>
  <c r="K28" i="9"/>
  <c r="J28" i="9"/>
  <c r="I28" i="9"/>
  <c r="H28" i="9"/>
  <c r="G28" i="9"/>
  <c r="E28" i="9"/>
  <c r="D28" i="9"/>
  <c r="A28" i="9"/>
  <c r="J55" i="11"/>
  <c r="O12" i="9"/>
  <c r="N12" i="9"/>
  <c r="M12" i="9"/>
  <c r="L12" i="9"/>
  <c r="K12" i="9"/>
  <c r="J12" i="9"/>
  <c r="I12" i="9"/>
  <c r="H12" i="9"/>
  <c r="G12" i="9"/>
  <c r="E12" i="9"/>
  <c r="D12" i="9"/>
  <c r="A12" i="9"/>
  <c r="M114" i="10"/>
  <c r="T114" i="10"/>
  <c r="W114" i="10"/>
  <c r="V114" i="10"/>
  <c r="X114" i="10"/>
  <c r="U114" i="10"/>
  <c r="Y114" i="10"/>
  <c r="N114" i="10"/>
  <c r="Q114" i="10"/>
  <c r="P114" i="10"/>
  <c r="R114" i="10"/>
  <c r="O114" i="10"/>
  <c r="S114" i="10"/>
  <c r="G114" i="10"/>
  <c r="J114" i="10"/>
  <c r="I114" i="10"/>
  <c r="K114" i="10"/>
  <c r="H114" i="10"/>
  <c r="L114" i="10"/>
  <c r="M113" i="10"/>
  <c r="T113" i="10"/>
  <c r="W113" i="10"/>
  <c r="V113" i="10"/>
  <c r="X113" i="10"/>
  <c r="U113" i="10"/>
  <c r="Y113" i="10"/>
  <c r="N113" i="10"/>
  <c r="Q113" i="10"/>
  <c r="P113" i="10"/>
  <c r="R113" i="10"/>
  <c r="O113" i="10"/>
  <c r="S113" i="10"/>
  <c r="G113" i="10"/>
  <c r="J113" i="10"/>
  <c r="I113" i="10"/>
  <c r="K113" i="10"/>
  <c r="H113" i="10"/>
  <c r="L113" i="10"/>
  <c r="M112" i="10"/>
  <c r="T112" i="10"/>
  <c r="W112" i="10"/>
  <c r="V112" i="10"/>
  <c r="X112" i="10"/>
  <c r="U112" i="10"/>
  <c r="Y112" i="10"/>
  <c r="N112" i="10"/>
  <c r="Q112" i="10"/>
  <c r="P112" i="10"/>
  <c r="R112" i="10"/>
  <c r="O112" i="10"/>
  <c r="S112" i="10"/>
  <c r="G112" i="10"/>
  <c r="J112" i="10"/>
  <c r="I112" i="10"/>
  <c r="K112" i="10"/>
  <c r="H112" i="10"/>
  <c r="L112" i="10"/>
  <c r="M111" i="10"/>
  <c r="T111" i="10"/>
  <c r="W111" i="10"/>
  <c r="V111" i="10"/>
  <c r="X111" i="10"/>
  <c r="U111" i="10"/>
  <c r="Y111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A88" i="9"/>
  <c r="D88" i="9"/>
  <c r="E88" i="9"/>
  <c r="G88" i="9"/>
  <c r="H88" i="9"/>
  <c r="I88" i="9"/>
  <c r="J88" i="9"/>
  <c r="K88" i="9"/>
  <c r="L88" i="9"/>
  <c r="M88" i="9"/>
  <c r="N88" i="9"/>
  <c r="O88" i="9"/>
  <c r="A89" i="9"/>
  <c r="D89" i="9"/>
  <c r="E89" i="9"/>
  <c r="G89" i="9"/>
  <c r="H89" i="9"/>
  <c r="I89" i="9"/>
  <c r="J89" i="9"/>
  <c r="K89" i="9"/>
  <c r="L89" i="9"/>
  <c r="M89" i="9"/>
  <c r="N89" i="9"/>
  <c r="O89" i="9"/>
  <c r="A90" i="9"/>
  <c r="D90" i="9"/>
  <c r="E90" i="9"/>
  <c r="G90" i="9"/>
  <c r="H90" i="9"/>
  <c r="I90" i="9"/>
  <c r="J90" i="9"/>
  <c r="K90" i="9"/>
  <c r="L90" i="9"/>
  <c r="M90" i="9"/>
  <c r="N90" i="9"/>
  <c r="O90" i="9"/>
  <c r="A91" i="9"/>
  <c r="D91" i="9"/>
  <c r="E91" i="9"/>
  <c r="G91" i="9"/>
  <c r="H91" i="9"/>
  <c r="I91" i="9"/>
  <c r="J91" i="9"/>
  <c r="K91" i="9"/>
  <c r="L91" i="9"/>
  <c r="M91" i="9"/>
  <c r="N91" i="9"/>
  <c r="O91" i="9"/>
  <c r="A92" i="9"/>
  <c r="D92" i="9"/>
  <c r="E92" i="9"/>
  <c r="G92" i="9"/>
  <c r="H92" i="9"/>
  <c r="I92" i="9"/>
  <c r="J92" i="9"/>
  <c r="K92" i="9"/>
  <c r="L92" i="9"/>
  <c r="M92" i="9"/>
  <c r="N92" i="9"/>
  <c r="O92" i="9"/>
  <c r="A93" i="9"/>
  <c r="D93" i="9"/>
  <c r="E93" i="9"/>
  <c r="G93" i="9"/>
  <c r="H93" i="9"/>
  <c r="I93" i="9"/>
  <c r="J93" i="9"/>
  <c r="K93" i="9"/>
  <c r="L93" i="9"/>
  <c r="M93" i="9"/>
  <c r="N93" i="9"/>
  <c r="O93" i="9"/>
  <c r="A94" i="9"/>
  <c r="D94" i="9"/>
  <c r="E94" i="9"/>
  <c r="G94" i="9"/>
  <c r="H94" i="9"/>
  <c r="I94" i="9"/>
  <c r="J94" i="9"/>
  <c r="K94" i="9"/>
  <c r="L94" i="9"/>
  <c r="M94" i="9"/>
  <c r="N94" i="9"/>
  <c r="O94" i="9"/>
  <c r="A95" i="9"/>
  <c r="D95" i="9"/>
  <c r="E95" i="9"/>
  <c r="G95" i="9"/>
  <c r="H95" i="9"/>
  <c r="I95" i="9"/>
  <c r="J95" i="9"/>
  <c r="K95" i="9"/>
  <c r="L95" i="9"/>
  <c r="M95" i="9"/>
  <c r="N95" i="9"/>
  <c r="O95" i="9"/>
  <c r="J54" i="11"/>
  <c r="O41" i="9"/>
  <c r="N41" i="9"/>
  <c r="M41" i="9"/>
  <c r="L41" i="9"/>
  <c r="K41" i="9"/>
  <c r="J41" i="9"/>
  <c r="I41" i="9"/>
  <c r="H41" i="9"/>
  <c r="G41" i="9"/>
  <c r="E41" i="9"/>
  <c r="D41" i="9"/>
  <c r="A41" i="9"/>
  <c r="G33" i="10"/>
  <c r="H33" i="10"/>
  <c r="I33" i="10"/>
  <c r="J33" i="10"/>
  <c r="K33" i="10"/>
  <c r="L33" i="10"/>
  <c r="M33" i="10"/>
  <c r="M94" i="10"/>
  <c r="M104" i="10"/>
  <c r="N104" i="10"/>
  <c r="Q104" i="10"/>
  <c r="P104" i="10"/>
  <c r="R104" i="10"/>
  <c r="O104" i="10"/>
  <c r="S104" i="10"/>
  <c r="N94" i="10"/>
  <c r="Q94" i="10"/>
  <c r="P94" i="10"/>
  <c r="R94" i="10"/>
  <c r="O94" i="10"/>
  <c r="S94" i="10"/>
  <c r="M84" i="10"/>
  <c r="N84" i="10"/>
  <c r="Q84" i="10"/>
  <c r="P84" i="10"/>
  <c r="R84" i="10"/>
  <c r="O84" i="10"/>
  <c r="S84" i="10"/>
  <c r="M74" i="10"/>
  <c r="N74" i="10"/>
  <c r="Q74" i="10"/>
  <c r="P74" i="10"/>
  <c r="R74" i="10"/>
  <c r="O74" i="10"/>
  <c r="S74" i="10"/>
  <c r="M64" i="10"/>
  <c r="N64" i="10"/>
  <c r="Q64" i="10"/>
  <c r="P64" i="10"/>
  <c r="R64" i="10"/>
  <c r="O64" i="10"/>
  <c r="S64" i="10"/>
  <c r="M54" i="10"/>
  <c r="N54" i="10"/>
  <c r="Q54" i="10"/>
  <c r="P54" i="10"/>
  <c r="R54" i="10"/>
  <c r="O54" i="10"/>
  <c r="S54" i="10"/>
  <c r="M43" i="10"/>
  <c r="N43" i="10"/>
  <c r="Q43" i="10"/>
  <c r="P43" i="10"/>
  <c r="R43" i="10"/>
  <c r="O43" i="10"/>
  <c r="S4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46" i="10"/>
  <c r="T46" i="10"/>
  <c r="W46" i="10"/>
  <c r="V46" i="10"/>
  <c r="X46" i="10"/>
  <c r="U46" i="10"/>
  <c r="Y46" i="10"/>
  <c r="M107" i="10"/>
  <c r="N107" i="10"/>
  <c r="Q107" i="10"/>
  <c r="P107" i="10"/>
  <c r="R107" i="10"/>
  <c r="O107" i="10"/>
  <c r="S107" i="10"/>
  <c r="M97" i="10"/>
  <c r="N97" i="10"/>
  <c r="Q97" i="10"/>
  <c r="P97" i="10"/>
  <c r="R97" i="10"/>
  <c r="O97" i="10"/>
  <c r="S97" i="10"/>
  <c r="M87" i="10"/>
  <c r="N87" i="10"/>
  <c r="Q87" i="10"/>
  <c r="P87" i="10"/>
  <c r="R87" i="10"/>
  <c r="O87" i="10"/>
  <c r="S87" i="10"/>
  <c r="M77" i="10"/>
  <c r="N77" i="10"/>
  <c r="Q77" i="10"/>
  <c r="P77" i="10"/>
  <c r="R77" i="10"/>
  <c r="O77" i="10"/>
  <c r="S77" i="10"/>
  <c r="M67" i="10"/>
  <c r="N67" i="10"/>
  <c r="Q67" i="10"/>
  <c r="P67" i="10"/>
  <c r="R67" i="10"/>
  <c r="O67" i="10"/>
  <c r="S67" i="10"/>
  <c r="M57" i="10"/>
  <c r="N57" i="10"/>
  <c r="Q57" i="10"/>
  <c r="P57" i="10"/>
  <c r="R57" i="10"/>
  <c r="O57" i="10"/>
  <c r="S57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O104" i="9"/>
  <c r="N104" i="9"/>
  <c r="M104" i="9"/>
  <c r="L104" i="9"/>
  <c r="K104" i="9"/>
  <c r="J104" i="9"/>
  <c r="I104" i="9"/>
  <c r="H104" i="9"/>
  <c r="G104" i="9"/>
  <c r="E104" i="9"/>
  <c r="D104" i="9"/>
  <c r="A104" i="9"/>
  <c r="O103" i="9"/>
  <c r="N103" i="9"/>
  <c r="M103" i="9"/>
  <c r="L103" i="9"/>
  <c r="K103" i="9"/>
  <c r="J103" i="9"/>
  <c r="I103" i="9"/>
  <c r="H103" i="9"/>
  <c r="G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E97" i="9"/>
  <c r="D97" i="9"/>
  <c r="A97" i="9"/>
  <c r="O96" i="9"/>
  <c r="N96" i="9"/>
  <c r="M96" i="9"/>
  <c r="L96" i="9"/>
  <c r="K96" i="9"/>
  <c r="J96" i="9"/>
  <c r="I96" i="9"/>
  <c r="H96" i="9"/>
  <c r="G96" i="9"/>
  <c r="E96" i="9"/>
  <c r="D96" i="9"/>
  <c r="A96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9" i="21"/>
  <c r="I9" i="21"/>
  <c r="J9" i="21"/>
  <c r="G9" i="21"/>
  <c r="F9" i="21"/>
  <c r="D9" i="21"/>
  <c r="C9" i="21"/>
  <c r="O27" i="21"/>
  <c r="I27" i="21"/>
  <c r="J27" i="21"/>
  <c r="G27" i="21"/>
  <c r="F27" i="21"/>
  <c r="D27" i="21"/>
  <c r="C27" i="21"/>
  <c r="O19" i="21"/>
  <c r="I19" i="21"/>
  <c r="J19" i="21"/>
  <c r="G19" i="21"/>
  <c r="F19" i="21"/>
  <c r="D19" i="21"/>
  <c r="C19" i="21"/>
  <c r="O18" i="21"/>
  <c r="I18" i="21"/>
  <c r="J18" i="21"/>
  <c r="G18" i="21"/>
  <c r="F18" i="21"/>
  <c r="D18" i="21"/>
  <c r="C18" i="21"/>
  <c r="O17" i="21"/>
  <c r="I17" i="21"/>
  <c r="J17" i="21"/>
  <c r="G17" i="21"/>
  <c r="F17" i="21"/>
  <c r="D17" i="21"/>
  <c r="C17" i="21"/>
  <c r="O16" i="21"/>
  <c r="I16" i="21"/>
  <c r="J16" i="21"/>
  <c r="G16" i="21"/>
  <c r="F16" i="21"/>
  <c r="D16" i="21"/>
  <c r="C16" i="21"/>
  <c r="O15" i="21"/>
  <c r="I15" i="21"/>
  <c r="J15" i="21"/>
  <c r="G15" i="21"/>
  <c r="F15" i="21"/>
  <c r="D15" i="21"/>
  <c r="C15" i="21"/>
  <c r="O14" i="21"/>
  <c r="I14" i="21"/>
  <c r="J14" i="21"/>
  <c r="G14" i="21"/>
  <c r="F14" i="21"/>
  <c r="D14" i="21"/>
  <c r="C14" i="21"/>
  <c r="O13" i="21"/>
  <c r="I13" i="21"/>
  <c r="J13" i="21"/>
  <c r="G13" i="21"/>
  <c r="F13" i="21"/>
  <c r="D13" i="21"/>
  <c r="C13" i="21"/>
  <c r="O12" i="21"/>
  <c r="I12" i="21"/>
  <c r="J12" i="21"/>
  <c r="G12" i="21"/>
  <c r="F12" i="21"/>
  <c r="D12" i="21"/>
  <c r="C12" i="21"/>
  <c r="O11" i="21"/>
  <c r="I11" i="21"/>
  <c r="J11" i="21"/>
  <c r="G11" i="21"/>
  <c r="F11" i="21"/>
  <c r="D11" i="21"/>
  <c r="C11" i="21"/>
  <c r="O10" i="21"/>
  <c r="I10" i="21"/>
  <c r="J10" i="21"/>
  <c r="G10" i="21"/>
  <c r="F10" i="21"/>
  <c r="D10" i="21"/>
  <c r="C10" i="21"/>
  <c r="O37" i="21"/>
  <c r="I37" i="21"/>
  <c r="J37" i="21"/>
  <c r="G37" i="21"/>
  <c r="F37" i="21"/>
  <c r="D37" i="21"/>
  <c r="C37" i="21"/>
  <c r="O36" i="21"/>
  <c r="I36" i="21"/>
  <c r="J36" i="21"/>
  <c r="G36" i="21"/>
  <c r="F36" i="21"/>
  <c r="D36" i="21"/>
  <c r="C36" i="21"/>
  <c r="O35" i="21"/>
  <c r="I35" i="21"/>
  <c r="J35" i="21"/>
  <c r="G35" i="21"/>
  <c r="F35" i="21"/>
  <c r="D35" i="21"/>
  <c r="C35" i="21"/>
  <c r="O34" i="21"/>
  <c r="I34" i="21"/>
  <c r="J34" i="21"/>
  <c r="G34" i="21"/>
  <c r="F34" i="21"/>
  <c r="D34" i="21"/>
  <c r="C34" i="21"/>
  <c r="O33" i="21"/>
  <c r="I33" i="21"/>
  <c r="J33" i="21"/>
  <c r="G33" i="21"/>
  <c r="F33" i="21"/>
  <c r="D33" i="21"/>
  <c r="C33" i="21"/>
  <c r="O32" i="21"/>
  <c r="I32" i="21"/>
  <c r="J32" i="21"/>
  <c r="G32" i="21"/>
  <c r="F32" i="21"/>
  <c r="D32" i="21"/>
  <c r="C32" i="21"/>
  <c r="G6" i="2"/>
  <c r="H6" i="2"/>
  <c r="E6" i="2"/>
  <c r="D6" i="2"/>
  <c r="A6" i="2"/>
  <c r="H2" i="1"/>
  <c r="H3" i="1"/>
  <c r="H4" i="1"/>
  <c r="H5" i="1"/>
  <c r="H6" i="1"/>
  <c r="H7" i="1"/>
  <c r="H8" i="1"/>
  <c r="H9" i="1"/>
  <c r="H10" i="1"/>
  <c r="B6" i="2"/>
  <c r="G5" i="2"/>
  <c r="H5" i="2"/>
  <c r="E5" i="2"/>
  <c r="D5" i="2"/>
  <c r="A5" i="2"/>
  <c r="B5" i="2"/>
  <c r="G4" i="2"/>
  <c r="H4" i="2"/>
  <c r="E4" i="2"/>
  <c r="D4" i="2"/>
  <c r="A4" i="2"/>
  <c r="B4" i="2"/>
  <c r="G3" i="2"/>
  <c r="H3" i="2"/>
  <c r="E3" i="2"/>
  <c r="D3" i="2"/>
  <c r="A3" i="2"/>
  <c r="B3" i="2"/>
  <c r="G2" i="2"/>
  <c r="H2" i="2"/>
  <c r="E2" i="2"/>
  <c r="D2" i="2"/>
  <c r="A2" i="2"/>
  <c r="B2" i="2"/>
  <c r="AD10" i="1"/>
  <c r="AF10" i="1"/>
  <c r="AI10" i="1"/>
  <c r="AG10" i="1"/>
  <c r="AE10" i="1"/>
  <c r="E63" i="9"/>
  <c r="X10" i="1"/>
  <c r="V10" i="1"/>
  <c r="T10" i="1"/>
  <c r="Q10" i="1"/>
  <c r="P10" i="1"/>
  <c r="O10" i="1"/>
  <c r="N10" i="1"/>
  <c r="M10" i="1"/>
  <c r="J10" i="1"/>
  <c r="I10" i="1"/>
  <c r="D10" i="1"/>
  <c r="F10" i="1"/>
  <c r="E10" i="1"/>
  <c r="A10" i="1"/>
  <c r="AD9" i="1"/>
  <c r="AF9" i="1"/>
  <c r="AI9" i="1"/>
  <c r="AG9" i="1"/>
  <c r="AE9" i="1"/>
  <c r="E57" i="9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AD8" i="1"/>
  <c r="AF8" i="1"/>
  <c r="AI8" i="1"/>
  <c r="AG8" i="1"/>
  <c r="AE8" i="1"/>
  <c r="E48" i="9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D7" i="1"/>
  <c r="AF7" i="1"/>
  <c r="AI7" i="1"/>
  <c r="AG7" i="1"/>
  <c r="AE7" i="1"/>
  <c r="E42" i="9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D6" i="1"/>
  <c r="AF6" i="1"/>
  <c r="AI6" i="1"/>
  <c r="AG6" i="1"/>
  <c r="AE6" i="1"/>
  <c r="E33" i="9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E27" i="9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E17" i="9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AD3" i="1"/>
  <c r="AF3" i="1"/>
  <c r="AI3" i="1"/>
  <c r="AG3" i="1"/>
  <c r="AE3" i="1"/>
  <c r="E11" i="9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AD2" i="1"/>
  <c r="AF2" i="1"/>
  <c r="AI2" i="1"/>
  <c r="AG2" i="1"/>
  <c r="AE2" i="1"/>
  <c r="E2" i="9"/>
  <c r="X2" i="1"/>
  <c r="V2" i="1"/>
  <c r="T2" i="1"/>
  <c r="Q2" i="1"/>
  <c r="P2" i="1"/>
  <c r="O2" i="1"/>
  <c r="N2" i="1"/>
  <c r="M2" i="1"/>
  <c r="J2" i="1"/>
  <c r="I2" i="1"/>
  <c r="D2" i="1"/>
  <c r="F2" i="1"/>
  <c r="E2" i="1"/>
  <c r="A2" i="1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O30" i="21"/>
  <c r="I30" i="21"/>
  <c r="J30" i="21"/>
  <c r="G30" i="21"/>
  <c r="F30" i="21"/>
  <c r="D30" i="21"/>
  <c r="C30" i="21"/>
  <c r="O8" i="21"/>
  <c r="I8" i="21"/>
  <c r="J8" i="21"/>
  <c r="G8" i="21"/>
  <c r="F8" i="21"/>
  <c r="D8" i="21"/>
  <c r="C8" i="21"/>
  <c r="O7" i="21"/>
  <c r="I7" i="21"/>
  <c r="J7" i="21"/>
  <c r="G7" i="21"/>
  <c r="F7" i="21"/>
  <c r="D7" i="21"/>
  <c r="C7" i="21"/>
  <c r="O6" i="21"/>
  <c r="I6" i="21"/>
  <c r="J6" i="21"/>
  <c r="G6" i="21"/>
  <c r="F6" i="21"/>
  <c r="D6" i="21"/>
  <c r="C6" i="21"/>
  <c r="O5" i="21"/>
  <c r="I5" i="21"/>
  <c r="J5" i="21"/>
  <c r="G5" i="21"/>
  <c r="F5" i="21"/>
  <c r="D5" i="21"/>
  <c r="C5" i="21"/>
  <c r="O4" i="21"/>
  <c r="I4" i="21"/>
  <c r="J4" i="21"/>
  <c r="G4" i="21"/>
  <c r="F4" i="21"/>
  <c r="D4" i="21"/>
  <c r="C4" i="21"/>
  <c r="O3" i="21"/>
  <c r="I3" i="21"/>
  <c r="J3" i="21"/>
  <c r="G3" i="21"/>
  <c r="F3" i="21"/>
  <c r="D3" i="21"/>
  <c r="C3" i="21"/>
  <c r="O2" i="21"/>
  <c r="I2" i="21"/>
  <c r="J2" i="21"/>
  <c r="G2" i="21"/>
  <c r="F2" i="21"/>
  <c r="D2" i="21"/>
  <c r="C2" i="21"/>
  <c r="O29" i="21"/>
  <c r="I29" i="21"/>
  <c r="J29" i="21"/>
  <c r="G29" i="21"/>
  <c r="F29" i="21"/>
  <c r="D29" i="21"/>
  <c r="C29" i="21"/>
  <c r="O31" i="21"/>
  <c r="I31" i="21"/>
  <c r="J31" i="21"/>
  <c r="G31" i="21"/>
  <c r="F31" i="21"/>
  <c r="D31" i="21"/>
  <c r="C31" i="21"/>
  <c r="O28" i="21"/>
  <c r="I28" i="21"/>
  <c r="J28" i="21"/>
  <c r="G28" i="21"/>
  <c r="F28" i="21"/>
  <c r="D28" i="21"/>
  <c r="C28" i="21"/>
  <c r="O21" i="21"/>
  <c r="O22" i="21"/>
  <c r="O23" i="21"/>
  <c r="O24" i="21"/>
  <c r="O25" i="21"/>
  <c r="O26" i="21"/>
  <c r="O20" i="21"/>
  <c r="I26" i="21"/>
  <c r="J26" i="21"/>
  <c r="G26" i="21"/>
  <c r="F26" i="21"/>
  <c r="D26" i="21"/>
  <c r="C26" i="21"/>
  <c r="I25" i="21"/>
  <c r="J25" i="21"/>
  <c r="G25" i="21"/>
  <c r="F25" i="21"/>
  <c r="D25" i="21"/>
  <c r="C25" i="21"/>
  <c r="I24" i="21"/>
  <c r="J24" i="21"/>
  <c r="G24" i="21"/>
  <c r="F24" i="21"/>
  <c r="D24" i="21"/>
  <c r="C24" i="21"/>
  <c r="I23" i="21"/>
  <c r="J23" i="21"/>
  <c r="G23" i="21"/>
  <c r="F23" i="21"/>
  <c r="D23" i="21"/>
  <c r="C23" i="21"/>
  <c r="I22" i="21"/>
  <c r="J22" i="21"/>
  <c r="G22" i="21"/>
  <c r="F22" i="21"/>
  <c r="D22" i="21"/>
  <c r="C22" i="21"/>
  <c r="I21" i="21"/>
  <c r="J21" i="21"/>
  <c r="G21" i="21"/>
  <c r="F21" i="21"/>
  <c r="D21" i="21"/>
  <c r="C21" i="21"/>
  <c r="J53" i="11"/>
  <c r="J52" i="11"/>
  <c r="J51" i="11"/>
  <c r="J50" i="11"/>
  <c r="J49" i="11"/>
  <c r="O67" i="9"/>
  <c r="N67" i="9"/>
  <c r="M67" i="9"/>
  <c r="L67" i="9"/>
  <c r="K67" i="9"/>
  <c r="J67" i="9"/>
  <c r="I67" i="9"/>
  <c r="H67" i="9"/>
  <c r="G67" i="9"/>
  <c r="E67" i="9"/>
  <c r="D67" i="9"/>
  <c r="A67" i="9"/>
  <c r="J48" i="11"/>
  <c r="O66" i="9"/>
  <c r="N66" i="9"/>
  <c r="M66" i="9"/>
  <c r="L66" i="9"/>
  <c r="K66" i="9"/>
  <c r="J66" i="9"/>
  <c r="I66" i="9"/>
  <c r="H66" i="9"/>
  <c r="G66" i="9"/>
  <c r="E66" i="9"/>
  <c r="D66" i="9"/>
  <c r="A66" i="9"/>
  <c r="J47" i="11"/>
  <c r="O65" i="9"/>
  <c r="N65" i="9"/>
  <c r="M65" i="9"/>
  <c r="L65" i="9"/>
  <c r="K65" i="9"/>
  <c r="J65" i="9"/>
  <c r="I65" i="9"/>
  <c r="H65" i="9"/>
  <c r="G65" i="9"/>
  <c r="E65" i="9"/>
  <c r="D65" i="9"/>
  <c r="A65" i="9"/>
  <c r="J46" i="11"/>
  <c r="O64" i="9"/>
  <c r="N64" i="9"/>
  <c r="M64" i="9"/>
  <c r="L64" i="9"/>
  <c r="K64" i="9"/>
  <c r="J64" i="9"/>
  <c r="I64" i="9"/>
  <c r="H64" i="9"/>
  <c r="G64" i="9"/>
  <c r="E64" i="9"/>
  <c r="D64" i="9"/>
  <c r="A64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M110" i="10"/>
  <c r="T110" i="10"/>
  <c r="W110" i="10"/>
  <c r="V110" i="10"/>
  <c r="X110" i="10"/>
  <c r="U110" i="10"/>
  <c r="Y110" i="10"/>
  <c r="N110" i="10"/>
  <c r="Q110" i="10"/>
  <c r="P110" i="10"/>
  <c r="R110" i="10"/>
  <c r="O110" i="10"/>
  <c r="S110" i="10"/>
  <c r="G110" i="10"/>
  <c r="J110" i="10"/>
  <c r="I110" i="10"/>
  <c r="K110" i="10"/>
  <c r="H110" i="10"/>
  <c r="L110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T107" i="10"/>
  <c r="W107" i="10"/>
  <c r="V107" i="10"/>
  <c r="X107" i="10"/>
  <c r="U107" i="10"/>
  <c r="Y107" i="10"/>
  <c r="G107" i="10"/>
  <c r="J107" i="10"/>
  <c r="I107" i="10"/>
  <c r="K107" i="10"/>
  <c r="H107" i="10"/>
  <c r="L107" i="10"/>
  <c r="M106" i="10"/>
  <c r="T106" i="10"/>
  <c r="W106" i="10"/>
  <c r="V106" i="10"/>
  <c r="X106" i="10"/>
  <c r="U106" i="10"/>
  <c r="Y106" i="10"/>
  <c r="N106" i="10"/>
  <c r="Q106" i="10"/>
  <c r="P106" i="10"/>
  <c r="R106" i="10"/>
  <c r="O106" i="10"/>
  <c r="S106" i="10"/>
  <c r="G106" i="10"/>
  <c r="J106" i="10"/>
  <c r="I106" i="10"/>
  <c r="K106" i="10"/>
  <c r="H106" i="10"/>
  <c r="L106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T104" i="10"/>
  <c r="W104" i="10"/>
  <c r="V104" i="10"/>
  <c r="X104" i="10"/>
  <c r="U104" i="10"/>
  <c r="Y104" i="10"/>
  <c r="G104" i="10"/>
  <c r="J104" i="10"/>
  <c r="I104" i="10"/>
  <c r="K104" i="10"/>
  <c r="H104" i="10"/>
  <c r="L104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T97" i="10"/>
  <c r="W97" i="10"/>
  <c r="V97" i="10"/>
  <c r="X97" i="10"/>
  <c r="U97" i="10"/>
  <c r="Y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T94" i="10"/>
  <c r="W94" i="10"/>
  <c r="V94" i="10"/>
  <c r="X94" i="10"/>
  <c r="U94" i="10"/>
  <c r="Y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T87" i="10"/>
  <c r="W87" i="10"/>
  <c r="V87" i="10"/>
  <c r="X87" i="10"/>
  <c r="U87" i="10"/>
  <c r="Y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T84" i="10"/>
  <c r="W84" i="10"/>
  <c r="V84" i="10"/>
  <c r="X84" i="10"/>
  <c r="U84" i="10"/>
  <c r="Y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1" i="9"/>
  <c r="H11" i="9"/>
  <c r="I11" i="9"/>
  <c r="J11" i="9"/>
  <c r="K11" i="9"/>
  <c r="L11" i="9"/>
  <c r="M11" i="9"/>
  <c r="N11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2" i="9"/>
  <c r="H42" i="9"/>
  <c r="I42" i="9"/>
  <c r="J42" i="9"/>
  <c r="K42" i="9"/>
  <c r="L42" i="9"/>
  <c r="M42" i="9"/>
  <c r="N42" i="9"/>
  <c r="G47" i="9"/>
  <c r="H47" i="9"/>
  <c r="I47" i="9"/>
  <c r="J47" i="9"/>
  <c r="K47" i="9"/>
  <c r="L47" i="9"/>
  <c r="M47" i="9"/>
  <c r="N47" i="9"/>
  <c r="G48" i="9"/>
  <c r="H48" i="9"/>
  <c r="I48" i="9"/>
  <c r="J48" i="9"/>
  <c r="K48" i="9"/>
  <c r="L48" i="9"/>
  <c r="M48" i="9"/>
  <c r="N48" i="9"/>
  <c r="G53" i="9"/>
  <c r="H53" i="9"/>
  <c r="I53" i="9"/>
  <c r="J53" i="9"/>
  <c r="K53" i="9"/>
  <c r="L53" i="9"/>
  <c r="M53" i="9"/>
  <c r="N53" i="9"/>
  <c r="G54" i="9"/>
  <c r="H54" i="9"/>
  <c r="I54" i="9"/>
  <c r="J54" i="9"/>
  <c r="K54" i="9"/>
  <c r="L54" i="9"/>
  <c r="M54" i="9"/>
  <c r="N54" i="9"/>
  <c r="G55" i="9"/>
  <c r="H55" i="9"/>
  <c r="I55" i="9"/>
  <c r="J55" i="9"/>
  <c r="K55" i="9"/>
  <c r="L55" i="9"/>
  <c r="M55" i="9"/>
  <c r="N55" i="9"/>
  <c r="G56" i="9"/>
  <c r="H56" i="9"/>
  <c r="I56" i="9"/>
  <c r="J56" i="9"/>
  <c r="K56" i="9"/>
  <c r="L56" i="9"/>
  <c r="M56" i="9"/>
  <c r="N56" i="9"/>
  <c r="G57" i="9"/>
  <c r="H57" i="9"/>
  <c r="I57" i="9"/>
  <c r="J57" i="9"/>
  <c r="K57" i="9"/>
  <c r="L57" i="9"/>
  <c r="M57" i="9"/>
  <c r="N57" i="9"/>
  <c r="G62" i="9"/>
  <c r="H62" i="9"/>
  <c r="I62" i="9"/>
  <c r="J62" i="9"/>
  <c r="K62" i="9"/>
  <c r="L62" i="9"/>
  <c r="M62" i="9"/>
  <c r="N62" i="9"/>
  <c r="G63" i="9"/>
  <c r="H63" i="9"/>
  <c r="I63" i="9"/>
  <c r="J63" i="9"/>
  <c r="K63" i="9"/>
  <c r="L63" i="9"/>
  <c r="M63" i="9"/>
  <c r="N63" i="9"/>
  <c r="G68" i="9"/>
  <c r="H68" i="9"/>
  <c r="I68" i="9"/>
  <c r="J68" i="9"/>
  <c r="K68" i="9"/>
  <c r="L68" i="9"/>
  <c r="M68" i="9"/>
  <c r="N68" i="9"/>
  <c r="G69" i="9"/>
  <c r="H69" i="9"/>
  <c r="I69" i="9"/>
  <c r="J69" i="9"/>
  <c r="K69" i="9"/>
  <c r="L69" i="9"/>
  <c r="M69" i="9"/>
  <c r="N69" i="9"/>
  <c r="G70" i="9"/>
  <c r="H70" i="9"/>
  <c r="I70" i="9"/>
  <c r="J70" i="9"/>
  <c r="K70" i="9"/>
  <c r="L70" i="9"/>
  <c r="M70" i="9"/>
  <c r="N70" i="9"/>
  <c r="G71" i="9"/>
  <c r="H71" i="9"/>
  <c r="I71" i="9"/>
  <c r="J71" i="9"/>
  <c r="K71" i="9"/>
  <c r="L71" i="9"/>
  <c r="M71" i="9"/>
  <c r="N71" i="9"/>
  <c r="G72" i="9"/>
  <c r="H72" i="9"/>
  <c r="I72" i="9"/>
  <c r="J72" i="9"/>
  <c r="K72" i="9"/>
  <c r="L72" i="9"/>
  <c r="M72" i="9"/>
  <c r="N72" i="9"/>
  <c r="G73" i="9"/>
  <c r="H73" i="9"/>
  <c r="I73" i="9"/>
  <c r="J73" i="9"/>
  <c r="K73" i="9"/>
  <c r="L73" i="9"/>
  <c r="M73" i="9"/>
  <c r="N73" i="9"/>
  <c r="G74" i="9"/>
  <c r="H74" i="9"/>
  <c r="I74" i="9"/>
  <c r="J74" i="9"/>
  <c r="K74" i="9"/>
  <c r="L74" i="9"/>
  <c r="M74" i="9"/>
  <c r="N74" i="9"/>
  <c r="G75" i="9"/>
  <c r="H75" i="9"/>
  <c r="I75" i="9"/>
  <c r="J75" i="9"/>
  <c r="K75" i="9"/>
  <c r="L75" i="9"/>
  <c r="M75" i="9"/>
  <c r="N75" i="9"/>
  <c r="G76" i="9"/>
  <c r="H76" i="9"/>
  <c r="I76" i="9"/>
  <c r="J76" i="9"/>
  <c r="K76" i="9"/>
  <c r="L76" i="9"/>
  <c r="M76" i="9"/>
  <c r="N76" i="9"/>
  <c r="G77" i="9"/>
  <c r="H77" i="9"/>
  <c r="I77" i="9"/>
  <c r="J77" i="9"/>
  <c r="K77" i="9"/>
  <c r="L77" i="9"/>
  <c r="M77" i="9"/>
  <c r="N77" i="9"/>
  <c r="G78" i="9"/>
  <c r="H78" i="9"/>
  <c r="I78" i="9"/>
  <c r="J78" i="9"/>
  <c r="K78" i="9"/>
  <c r="L78" i="9"/>
  <c r="M78" i="9"/>
  <c r="N78" i="9"/>
  <c r="G79" i="9"/>
  <c r="H79" i="9"/>
  <c r="I79" i="9"/>
  <c r="J79" i="9"/>
  <c r="K79" i="9"/>
  <c r="L79" i="9"/>
  <c r="M79" i="9"/>
  <c r="N79" i="9"/>
  <c r="G80" i="9"/>
  <c r="H80" i="9"/>
  <c r="I80" i="9"/>
  <c r="J80" i="9"/>
  <c r="K80" i="9"/>
  <c r="L80" i="9"/>
  <c r="M80" i="9"/>
  <c r="N80" i="9"/>
  <c r="G81" i="9"/>
  <c r="H81" i="9"/>
  <c r="I81" i="9"/>
  <c r="J81" i="9"/>
  <c r="K81" i="9"/>
  <c r="L81" i="9"/>
  <c r="M81" i="9"/>
  <c r="N81" i="9"/>
  <c r="G82" i="9"/>
  <c r="H82" i="9"/>
  <c r="I82" i="9"/>
  <c r="J82" i="9"/>
  <c r="K82" i="9"/>
  <c r="L82" i="9"/>
  <c r="M82" i="9"/>
  <c r="N82" i="9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O82" i="9"/>
  <c r="E82" i="9"/>
  <c r="D82" i="9"/>
  <c r="A82" i="9"/>
  <c r="O81" i="9"/>
  <c r="E81" i="9"/>
  <c r="D81" i="9"/>
  <c r="A81" i="9"/>
  <c r="O80" i="9"/>
  <c r="E80" i="9"/>
  <c r="D80" i="9"/>
  <c r="A80" i="9"/>
  <c r="O79" i="9"/>
  <c r="A79" i="9"/>
  <c r="O78" i="9"/>
  <c r="E78" i="9"/>
  <c r="D78" i="9"/>
  <c r="A78" i="9"/>
  <c r="O77" i="9"/>
  <c r="E77" i="9"/>
  <c r="D77" i="9"/>
  <c r="A77" i="9"/>
  <c r="O76" i="9"/>
  <c r="E76" i="9"/>
  <c r="D76" i="9"/>
  <c r="A76" i="9"/>
  <c r="O75" i="9"/>
  <c r="E75" i="9"/>
  <c r="D75" i="9"/>
  <c r="A75" i="9"/>
  <c r="O74" i="9"/>
  <c r="E74" i="9"/>
  <c r="D74" i="9"/>
  <c r="A74" i="9"/>
  <c r="O73" i="9"/>
  <c r="E73" i="9"/>
  <c r="D73" i="9"/>
  <c r="A73" i="9"/>
  <c r="O72" i="9"/>
  <c r="E72" i="9"/>
  <c r="D72" i="9"/>
  <c r="A72" i="9"/>
  <c r="O71" i="9"/>
  <c r="E71" i="9"/>
  <c r="D71" i="9"/>
  <c r="A71" i="9"/>
  <c r="O70" i="9"/>
  <c r="E70" i="9"/>
  <c r="D70" i="9"/>
  <c r="A70" i="9"/>
  <c r="O69" i="9"/>
  <c r="E69" i="9"/>
  <c r="D69" i="9"/>
  <c r="A69" i="9"/>
  <c r="O68" i="9"/>
  <c r="E68" i="9"/>
  <c r="D68" i="9"/>
  <c r="A68" i="9"/>
  <c r="O63" i="9"/>
  <c r="D63" i="9"/>
  <c r="A63" i="9"/>
  <c r="O62" i="9"/>
  <c r="E62" i="9"/>
  <c r="D62" i="9"/>
  <c r="A62" i="9"/>
  <c r="O57" i="9"/>
  <c r="D57" i="9"/>
  <c r="A57" i="9"/>
  <c r="O56" i="9"/>
  <c r="E56" i="9"/>
  <c r="D56" i="9"/>
  <c r="A56" i="9"/>
  <c r="O55" i="9"/>
  <c r="E55" i="9"/>
  <c r="D55" i="9"/>
  <c r="A55" i="9"/>
  <c r="O54" i="9"/>
  <c r="E54" i="9"/>
  <c r="D54" i="9"/>
  <c r="A54" i="9"/>
  <c r="O53" i="9"/>
  <c r="E53" i="9"/>
  <c r="D53" i="9"/>
  <c r="A53" i="9"/>
  <c r="O48" i="9"/>
  <c r="D48" i="9"/>
  <c r="A48" i="9"/>
  <c r="O47" i="9"/>
  <c r="E47" i="9"/>
  <c r="D47" i="9"/>
  <c r="A47" i="9"/>
  <c r="O42" i="9"/>
  <c r="D42" i="9"/>
  <c r="A42" i="9"/>
  <c r="O40" i="9"/>
  <c r="E40" i="9"/>
  <c r="D40" i="9"/>
  <c r="A40" i="9"/>
  <c r="O39" i="9"/>
  <c r="E39" i="9"/>
  <c r="D39" i="9"/>
  <c r="A39" i="9"/>
  <c r="O38" i="9"/>
  <c r="E38" i="9"/>
  <c r="D38" i="9"/>
  <c r="A38" i="9"/>
  <c r="O33" i="9"/>
  <c r="D33" i="9"/>
  <c r="A33" i="9"/>
  <c r="O32" i="9"/>
  <c r="E32" i="9"/>
  <c r="D32" i="9"/>
  <c r="A32" i="9"/>
  <c r="O27" i="9"/>
  <c r="D27" i="9"/>
  <c r="A27" i="9"/>
  <c r="O26" i="9"/>
  <c r="E26" i="9"/>
  <c r="D26" i="9"/>
  <c r="A26" i="9"/>
  <c r="O25" i="9"/>
  <c r="E25" i="9"/>
  <c r="D25" i="9"/>
  <c r="A25" i="9"/>
  <c r="O24" i="9"/>
  <c r="E24" i="9"/>
  <c r="D24" i="9"/>
  <c r="A24" i="9"/>
  <c r="O23" i="9"/>
  <c r="E23" i="9"/>
  <c r="D23" i="9"/>
  <c r="A23" i="9"/>
  <c r="O22" i="9"/>
  <c r="E22" i="9"/>
  <c r="D22" i="9"/>
  <c r="A22" i="9"/>
  <c r="O17" i="9"/>
  <c r="D17" i="9"/>
  <c r="A17" i="9"/>
  <c r="O16" i="9"/>
  <c r="E16" i="9"/>
  <c r="D16" i="9"/>
  <c r="A16" i="9"/>
  <c r="O11" i="9"/>
  <c r="D11" i="9"/>
  <c r="A11" i="9"/>
  <c r="O9" i="9"/>
  <c r="E9" i="9"/>
  <c r="D9" i="9"/>
  <c r="A9" i="9"/>
  <c r="O8" i="9"/>
  <c r="E8" i="9"/>
  <c r="D8" i="9"/>
  <c r="A8" i="9"/>
  <c r="O7" i="9"/>
  <c r="E7" i="9"/>
  <c r="D7" i="9"/>
  <c r="A7" i="9"/>
  <c r="C18" i="18"/>
  <c r="D18" i="18"/>
  <c r="C17" i="18"/>
  <c r="D17" i="18"/>
  <c r="C16" i="18"/>
  <c r="D16" i="18"/>
  <c r="C15" i="18"/>
  <c r="D15" i="18"/>
  <c r="C14" i="18"/>
  <c r="D14" i="18"/>
  <c r="C13" i="18"/>
  <c r="D13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55" i="10"/>
  <c r="M65" i="10"/>
  <c r="M75" i="10"/>
  <c r="N75" i="10"/>
  <c r="Q75" i="10"/>
  <c r="P75" i="10"/>
  <c r="R75" i="10"/>
  <c r="O75" i="10"/>
  <c r="S75" i="10"/>
  <c r="N65" i="10"/>
  <c r="Q65" i="10"/>
  <c r="P65" i="10"/>
  <c r="R65" i="10"/>
  <c r="O65" i="10"/>
  <c r="S65" i="10"/>
  <c r="N55" i="10"/>
  <c r="Q55" i="10"/>
  <c r="P55" i="10"/>
  <c r="R55" i="10"/>
  <c r="O55" i="10"/>
  <c r="S55" i="10"/>
  <c r="M73" i="10"/>
  <c r="N73" i="10"/>
  <c r="Q73" i="10"/>
  <c r="P73" i="10"/>
  <c r="R73" i="10"/>
  <c r="O73" i="10"/>
  <c r="S73" i="10"/>
  <c r="M63" i="10"/>
  <c r="N63" i="10"/>
  <c r="Q63" i="10"/>
  <c r="P63" i="10"/>
  <c r="R63" i="10"/>
  <c r="O63" i="10"/>
  <c r="S63" i="10"/>
  <c r="M53" i="10"/>
  <c r="N53" i="10"/>
  <c r="Q53" i="10"/>
  <c r="P53" i="10"/>
  <c r="R53" i="10"/>
  <c r="O53" i="10"/>
  <c r="S53" i="10"/>
  <c r="M42" i="10"/>
  <c r="N42" i="10"/>
  <c r="Q42" i="10"/>
  <c r="P42" i="10"/>
  <c r="R42" i="10"/>
  <c r="O42" i="10"/>
  <c r="S42" i="10"/>
  <c r="M20" i="10"/>
  <c r="T20" i="10"/>
  <c r="W20" i="10"/>
  <c r="V20" i="10"/>
  <c r="X20" i="10"/>
  <c r="U20" i="10"/>
  <c r="Y20" i="10"/>
  <c r="M30" i="10"/>
  <c r="M41" i="10"/>
  <c r="M52" i="10"/>
  <c r="M62" i="10"/>
  <c r="M72" i="10"/>
  <c r="N72" i="10"/>
  <c r="Q72" i="10"/>
  <c r="P72" i="10"/>
  <c r="R72" i="10"/>
  <c r="O72" i="10"/>
  <c r="S72" i="10"/>
  <c r="N62" i="10"/>
  <c r="Q62" i="10"/>
  <c r="P62" i="10"/>
  <c r="R62" i="10"/>
  <c r="O62" i="10"/>
  <c r="S62" i="10"/>
  <c r="N52" i="10"/>
  <c r="Q52" i="10"/>
  <c r="P52" i="10"/>
  <c r="R52" i="10"/>
  <c r="O52" i="10"/>
  <c r="S52" i="10"/>
  <c r="N41" i="10"/>
  <c r="Q41" i="10"/>
  <c r="P41" i="10"/>
  <c r="R41" i="10"/>
  <c r="O41" i="10"/>
  <c r="S41" i="10"/>
  <c r="N30" i="10"/>
  <c r="Q30" i="10"/>
  <c r="P30" i="10"/>
  <c r="R30" i="10"/>
  <c r="O30" i="10"/>
  <c r="S3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21" i="10"/>
  <c r="T21" i="10"/>
  <c r="W21" i="10"/>
  <c r="V21" i="10"/>
  <c r="X21" i="10"/>
  <c r="U21" i="10"/>
  <c r="Y21" i="10"/>
  <c r="M31" i="10"/>
  <c r="N31" i="10"/>
  <c r="Q31" i="10"/>
  <c r="P31" i="10"/>
  <c r="R31" i="10"/>
  <c r="O31" i="10"/>
  <c r="S3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6" i="10"/>
  <c r="T6" i="10"/>
  <c r="W6" i="10"/>
  <c r="V6" i="10"/>
  <c r="X6" i="10"/>
  <c r="U6" i="10"/>
  <c r="Y6" i="10"/>
  <c r="M15" i="10"/>
  <c r="M38" i="10"/>
  <c r="M50" i="10"/>
  <c r="M59" i="10"/>
  <c r="M69" i="10"/>
  <c r="N69" i="10"/>
  <c r="Q69" i="10"/>
  <c r="P69" i="10"/>
  <c r="R69" i="10"/>
  <c r="O69" i="10"/>
  <c r="S69" i="10"/>
  <c r="N59" i="10"/>
  <c r="Q59" i="10"/>
  <c r="P59" i="10"/>
  <c r="R59" i="10"/>
  <c r="O59" i="10"/>
  <c r="S59" i="10"/>
  <c r="N50" i="10"/>
  <c r="Q50" i="10"/>
  <c r="P50" i="10"/>
  <c r="R50" i="10"/>
  <c r="O50" i="10"/>
  <c r="S50" i="10"/>
  <c r="N38" i="10"/>
  <c r="Q38" i="10"/>
  <c r="P38" i="10"/>
  <c r="R38" i="10"/>
  <c r="O38" i="10"/>
  <c r="S38" i="10"/>
  <c r="N15" i="10"/>
  <c r="Q15" i="10"/>
  <c r="P15" i="10"/>
  <c r="R15" i="10"/>
  <c r="O15" i="10"/>
  <c r="S15" i="10"/>
  <c r="N6" i="10"/>
  <c r="Q6" i="10"/>
  <c r="P6" i="10"/>
  <c r="R6" i="10"/>
  <c r="O6" i="10"/>
  <c r="S6" i="10"/>
  <c r="G6" i="10"/>
  <c r="J6" i="10"/>
  <c r="I6" i="10"/>
  <c r="K6" i="10"/>
  <c r="H6" i="10"/>
  <c r="L6" i="10"/>
  <c r="T77" i="10"/>
  <c r="W77" i="10"/>
  <c r="V77" i="10"/>
  <c r="X77" i="10"/>
  <c r="U77" i="10"/>
  <c r="Y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T75" i="10"/>
  <c r="W75" i="10"/>
  <c r="V75" i="10"/>
  <c r="X75" i="10"/>
  <c r="U75" i="10"/>
  <c r="Y75" i="10"/>
  <c r="G75" i="10"/>
  <c r="J75" i="10"/>
  <c r="I75" i="10"/>
  <c r="K75" i="10"/>
  <c r="H75" i="10"/>
  <c r="L75" i="10"/>
  <c r="T74" i="10"/>
  <c r="W74" i="10"/>
  <c r="V74" i="10"/>
  <c r="X74" i="10"/>
  <c r="U74" i="10"/>
  <c r="Y74" i="10"/>
  <c r="G74" i="10"/>
  <c r="J74" i="10"/>
  <c r="I74" i="10"/>
  <c r="K74" i="10"/>
  <c r="H74" i="10"/>
  <c r="L74" i="10"/>
  <c r="T73" i="10"/>
  <c r="W73" i="10"/>
  <c r="V73" i="10"/>
  <c r="X73" i="10"/>
  <c r="U73" i="10"/>
  <c r="Y73" i="10"/>
  <c r="G73" i="10"/>
  <c r="J73" i="10"/>
  <c r="I73" i="10"/>
  <c r="K73" i="10"/>
  <c r="H73" i="10"/>
  <c r="L73" i="10"/>
  <c r="T72" i="10"/>
  <c r="W72" i="10"/>
  <c r="V72" i="10"/>
  <c r="X72" i="10"/>
  <c r="U72" i="10"/>
  <c r="Y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T69" i="10"/>
  <c r="W69" i="10"/>
  <c r="V69" i="10"/>
  <c r="X69" i="10"/>
  <c r="U69" i="10"/>
  <c r="Y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T67" i="10"/>
  <c r="W67" i="10"/>
  <c r="V67" i="10"/>
  <c r="X67" i="10"/>
  <c r="U67" i="10"/>
  <c r="Y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T65" i="10"/>
  <c r="W65" i="10"/>
  <c r="V65" i="10"/>
  <c r="X65" i="10"/>
  <c r="U65" i="10"/>
  <c r="Y65" i="10"/>
  <c r="G65" i="10"/>
  <c r="J65" i="10"/>
  <c r="I65" i="10"/>
  <c r="K65" i="10"/>
  <c r="H65" i="10"/>
  <c r="L65" i="10"/>
  <c r="T64" i="10"/>
  <c r="W64" i="10"/>
  <c r="V64" i="10"/>
  <c r="X64" i="10"/>
  <c r="U64" i="10"/>
  <c r="Y64" i="10"/>
  <c r="G64" i="10"/>
  <c r="J64" i="10"/>
  <c r="I64" i="10"/>
  <c r="K64" i="10"/>
  <c r="H64" i="10"/>
  <c r="L64" i="10"/>
  <c r="T63" i="10"/>
  <c r="W63" i="10"/>
  <c r="V63" i="10"/>
  <c r="X63" i="10"/>
  <c r="U63" i="10"/>
  <c r="Y63" i="10"/>
  <c r="G63" i="10"/>
  <c r="J63" i="10"/>
  <c r="I63" i="10"/>
  <c r="K63" i="10"/>
  <c r="H63" i="10"/>
  <c r="L63" i="10"/>
  <c r="T62" i="10"/>
  <c r="W62" i="10"/>
  <c r="V62" i="10"/>
  <c r="X62" i="10"/>
  <c r="U62" i="10"/>
  <c r="Y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T59" i="10"/>
  <c r="W59" i="10"/>
  <c r="V59" i="10"/>
  <c r="X59" i="10"/>
  <c r="U59" i="10"/>
  <c r="Y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T57" i="10"/>
  <c r="W57" i="10"/>
  <c r="V57" i="10"/>
  <c r="X57" i="10"/>
  <c r="U57" i="10"/>
  <c r="Y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T55" i="10"/>
  <c r="W55" i="10"/>
  <c r="V55" i="10"/>
  <c r="X55" i="10"/>
  <c r="U55" i="10"/>
  <c r="Y55" i="10"/>
  <c r="G55" i="10"/>
  <c r="J55" i="10"/>
  <c r="I55" i="10"/>
  <c r="K55" i="10"/>
  <c r="H55" i="10"/>
  <c r="L55" i="10"/>
  <c r="T54" i="10"/>
  <c r="W54" i="10"/>
  <c r="V54" i="10"/>
  <c r="X54" i="10"/>
  <c r="U54" i="10"/>
  <c r="Y54" i="10"/>
  <c r="G54" i="10"/>
  <c r="J54" i="10"/>
  <c r="I54" i="10"/>
  <c r="K54" i="10"/>
  <c r="H54" i="10"/>
  <c r="L54" i="10"/>
  <c r="T53" i="10"/>
  <c r="W53" i="10"/>
  <c r="V53" i="10"/>
  <c r="X53" i="10"/>
  <c r="U53" i="10"/>
  <c r="Y53" i="10"/>
  <c r="G53" i="10"/>
  <c r="J53" i="10"/>
  <c r="I53" i="10"/>
  <c r="K53" i="10"/>
  <c r="H53" i="10"/>
  <c r="L53" i="10"/>
  <c r="T52" i="10"/>
  <c r="W52" i="10"/>
  <c r="V52" i="10"/>
  <c r="X52" i="10"/>
  <c r="U52" i="10"/>
  <c r="Y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T43" i="10"/>
  <c r="W43" i="10"/>
  <c r="V43" i="10"/>
  <c r="X43" i="10"/>
  <c r="U43" i="10"/>
  <c r="Y43" i="10"/>
  <c r="G43" i="10"/>
  <c r="J43" i="10"/>
  <c r="I43" i="10"/>
  <c r="K43" i="10"/>
  <c r="H43" i="10"/>
  <c r="L43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T38" i="10"/>
  <c r="W38" i="10"/>
  <c r="V38" i="10"/>
  <c r="X38" i="10"/>
  <c r="U38" i="10"/>
  <c r="Y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T31" i="10"/>
  <c r="W31" i="10"/>
  <c r="V31" i="10"/>
  <c r="X31" i="10"/>
  <c r="U31" i="10"/>
  <c r="Y31" i="10"/>
  <c r="G31" i="10"/>
  <c r="J31" i="10"/>
  <c r="I31" i="10"/>
  <c r="K31" i="10"/>
  <c r="H31" i="10"/>
  <c r="L31" i="10"/>
  <c r="T30" i="10"/>
  <c r="W30" i="10"/>
  <c r="V30" i="10"/>
  <c r="X30" i="10"/>
  <c r="U30" i="10"/>
  <c r="Y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T15" i="10"/>
  <c r="W15" i="10"/>
  <c r="V15" i="10"/>
  <c r="X15" i="10"/>
  <c r="U15" i="10"/>
  <c r="Y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I20" i="21"/>
  <c r="J20" i="21"/>
  <c r="G20" i="21"/>
  <c r="F20" i="21"/>
  <c r="D20" i="21"/>
  <c r="C20" i="21"/>
  <c r="W5" i="7"/>
  <c r="U5" i="7"/>
  <c r="R5" i="7"/>
  <c r="Q5" i="7"/>
  <c r="P5" i="7"/>
  <c r="O5" i="7"/>
  <c r="N5" i="7"/>
  <c r="H5" i="7"/>
  <c r="G7" i="2"/>
  <c r="A7" i="2"/>
  <c r="G8" i="2"/>
  <c r="A8" i="2"/>
  <c r="G9" i="2"/>
  <c r="A9" i="2"/>
  <c r="G10" i="2"/>
  <c r="A10" i="2"/>
  <c r="G11" i="2"/>
  <c r="A11" i="2"/>
  <c r="J5" i="7"/>
  <c r="I5" i="7"/>
  <c r="D5" i="7"/>
  <c r="F5" i="7"/>
  <c r="E5" i="7"/>
  <c r="A5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AD19" i="1"/>
  <c r="AF19" i="1"/>
  <c r="AI19" i="1"/>
  <c r="AG19" i="1"/>
  <c r="AE19" i="1"/>
  <c r="X19" i="1"/>
  <c r="V19" i="1"/>
  <c r="T19" i="1"/>
  <c r="Q19" i="1"/>
  <c r="P19" i="1"/>
  <c r="O19" i="1"/>
  <c r="N19" i="1"/>
  <c r="M19" i="1"/>
  <c r="H19" i="1"/>
  <c r="J19" i="1"/>
  <c r="I19" i="1"/>
  <c r="D19" i="1"/>
  <c r="F19" i="1"/>
  <c r="E19" i="1"/>
  <c r="A19" i="1"/>
  <c r="AD18" i="1"/>
  <c r="AF18" i="1"/>
  <c r="AI18" i="1"/>
  <c r="AG18" i="1"/>
  <c r="AE18" i="1"/>
  <c r="X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D17" i="1"/>
  <c r="AF17" i="1"/>
  <c r="AI17" i="1"/>
  <c r="AG17" i="1"/>
  <c r="AE17" i="1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6" i="1"/>
  <c r="AF16" i="1"/>
  <c r="AI16" i="1"/>
  <c r="AG16" i="1"/>
  <c r="AE16" i="1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H11" i="2"/>
  <c r="E11" i="2"/>
  <c r="D11" i="2"/>
  <c r="H11" i="1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N10" i="22"/>
  <c r="G10" i="22"/>
  <c r="F10" i="22"/>
  <c r="D10" i="22"/>
  <c r="C10" i="22"/>
  <c r="A10" i="22"/>
  <c r="C13" i="16"/>
  <c r="E13" i="16"/>
  <c r="N2" i="22"/>
  <c r="G2" i="22"/>
  <c r="F2" i="22"/>
  <c r="D2" i="22"/>
  <c r="C2" i="22"/>
  <c r="A2" i="22"/>
  <c r="C12" i="16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AD11" i="1"/>
  <c r="AG11" i="1"/>
  <c r="AF11" i="1"/>
  <c r="AE11" i="1"/>
  <c r="X11" i="1"/>
  <c r="Q11" i="1"/>
  <c r="P11" i="1"/>
  <c r="O11" i="1"/>
  <c r="N11" i="1"/>
  <c r="M11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E8" i="16"/>
  <c r="E7" i="16"/>
  <c r="E6" i="16"/>
  <c r="E5" i="16"/>
  <c r="E4" i="16"/>
  <c r="E3" i="16"/>
  <c r="E2" i="16"/>
  <c r="A11" i="1"/>
  <c r="AI11" i="1"/>
  <c r="A2" i="9"/>
  <c r="J11" i="1"/>
  <c r="I11" i="1"/>
  <c r="D11" i="1"/>
  <c r="F11" i="1"/>
  <c r="E11" i="1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<sst xmlns="http://schemas.openxmlformats.org/spreadsheetml/2006/main" count="1350" uniqueCount="486">
  <si>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</si>
  <si>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</si>
  <si>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</si>
  <si>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</si>
  <si>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</si>
  <si>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</si>
  <si>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</si>
  <si>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</si>
  <si>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</si>
  <si>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</si>
  <si>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</si>
  <si>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</si>
  <si>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</si>
  <si>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</si>
  <si>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</si>
  <si>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</si>
  <si>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</si>
  <si>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</si>
  <si>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</si>
  <si>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</si>
  <si>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</si>
  <si>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</si>
  <si>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</si>
  <si>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</si>
  <si>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</si>
  <si>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</si>
  <si>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</si>
  <si>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</si>
  <si>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</si>
  <si>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</si>
  <si>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</si>
  <si>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</si>
  <si>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</si>
  <si>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</si>
  <si>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</si>
  <si>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</si>
  <si>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</si>
  <si>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</si>
  <si>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</si>
  <si>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</si>
  <si>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</si>
  <si>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</si>
  <si>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</si>
  <si>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</si>
  <si>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</si>
  <si>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</si>
  <si>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</si>
  <si>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</si>
  <si>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</si>
  <si>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</si>
  <si>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</si>
  <si>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</si>
  <si>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</si>
  <si>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</si>
  <si>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</si>
  <si>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</si>
  <si>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</si>
  <si>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</si>
  <si>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</si>
  <si>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</si>
  <si>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</si>
  <si>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</si>
  <si>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</si>
  <si>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</si>
  <si>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</si>
  <si>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</si>
  <si>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</si>
  <si>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</si>
  <si>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</si>
  <si>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</si>
  <si>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</si>
  <si>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</si>
  <si>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</si>
  <si>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</si>
  <si>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</si>
  <si>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</si>
  <si>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</si>
  <si>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</si>
  <si>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</si>
  <si>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</si>
  <si>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</si>
  <si>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</si>
  <si>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</si>
  <si>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</si>
  <si>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</si>
  <si>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</si>
  <si>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</si>
  <si>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重複チェック</t>
    <rPh sb="0" eb="2">
      <t>チョウフク</t>
    </rPh>
    <phoneticPr fontId="6"/>
  </si>
  <si>
    <t>null</t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</si>
  <si>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</si>
  <si>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</si>
  <si>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</si>
  <si>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</si>
  <si>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</si>
  <si>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</si>
  <si>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</si>
  <si>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</si>
  <si>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</si>
  <si>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</si>
  <si>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</si>
  <si>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</si>
  <si>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</si>
  <si>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</si>
  <si>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</si>
  <si>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</si>
  <si>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</si>
  <si>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</si>
  <si>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</si>
  <si>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</si>
  <si>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</si>
  <si>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</si>
  <si>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</si>
  <si>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</si>
  <si>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</si>
  <si>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</si>
  <si>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</si>
  <si>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</si>
  <si>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</si>
  <si>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</si>
  <si>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</si>
  <si>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</si>
  <si>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</si>
  <si>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</si>
  <si>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</si>
  <si>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</si>
  <si>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</si>
  <si>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ja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</si>
  <si>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</si>
  <si>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</si>
  <si>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</si>
  <si>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</si>
  <si>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</si>
  <si>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</si>
  <si>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</si>
  <si>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</si>
  <si>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</si>
  <si>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</si>
  <si>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</si>
  <si>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</si>
  <si>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</si>
  <si>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</si>
  <si>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</si>
  <si>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</si>
  <si>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</si>
  <si>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</si>
  <si>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</si>
  <si>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</si>
  <si>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</si>
  <si>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</si>
  <si>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</si>
  <si>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</si>
  <si>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</si>
  <si>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</si>
  <si>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</si>
  <si>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</si>
  <si>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</si>
  <si>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</si>
  <si>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</si>
  <si>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</si>
  <si>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</si>
  <si>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</si>
  <si>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</si>
  <si>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</si>
  <si>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</si>
  <si>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</si>
  <si>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</si>
  <si>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</si>
  <si>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null</t>
    <phoneticPr fontId="6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</si>
  <si>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</si>
  <si>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</si>
  <si>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</si>
  <si>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bugbonuses</t>
    <phoneticPr fontId="6"/>
  </si>
  <si>
    <t>stage_id</t>
    <phoneticPr fontId="6"/>
  </si>
  <si>
    <t>stage_target</t>
    <phoneticPr fontId="6"/>
  </si>
  <si>
    <t>bonus_id</t>
    <phoneticPr fontId="6"/>
  </si>
  <si>
    <t>bonus_type</t>
    <phoneticPr fontId="6"/>
  </si>
  <si>
    <t>stage_bug_bonuses_</t>
    <phoneticPr fontId="6"/>
  </si>
  <si>
    <t>skill_level</t>
    <phoneticPr fontId="6"/>
  </si>
  <si>
    <t>skill_level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</si>
  <si>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</si>
  <si>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quest_id</t>
    <phoneticPr fontId="6"/>
  </si>
  <si>
    <t>hint_id</t>
    <phoneticPr fontId="6"/>
  </si>
  <si>
    <t>floor_id</t>
    <phoneticPr fontId="6"/>
  </si>
  <si>
    <t>hint_type</t>
    <phoneticPr fontId="6"/>
  </si>
  <si>
    <t>hint</t>
    <phoneticPr fontId="6"/>
  </si>
  <si>
    <t>title</t>
    <phoneticPr fontId="6"/>
  </si>
  <si>
    <t>skip</t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</si>
  <si>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</si>
  <si>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</si>
  <si>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</si>
  <si>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</si>
  <si>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</si>
  <si>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</si>
  <si>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</si>
  <si>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</si>
  <si>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</si>
  <si>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failure</t>
  </si>
  <si>
    <t>ja</t>
    <phoneticPr fontId="6"/>
  </si>
  <si>
    <t>攻略のヒント</t>
    <rPh sb="0" eb="2">
      <t>コウリャク</t>
    </rPh>
    <phoneticPr fontId="6"/>
  </si>
  <si>
    <t>NULL</t>
    <phoneticPr fontId="6"/>
  </si>
  <si>
    <t>stage_hints_data_c_</t>
    <phoneticPr fontId="6"/>
  </si>
  <si>
    <t>stage_hints_data_f_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</si>
  <si>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</si>
  <si>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hint_id</t>
    <phoneticPr fontId="6"/>
  </si>
  <si>
    <t>language</t>
    <phoneticPr fontId="6"/>
  </si>
  <si>
    <t>hint</t>
    <phoneticPr fontId="6"/>
  </si>
  <si>
    <t>filename</t>
  </si>
  <si>
    <t>title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</si>
  <si>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</si>
  <si>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stage_hints_failure</t>
    <phoneticPr fontId="6"/>
  </si>
  <si>
    <t>stage_hints_failure</t>
    <phoneticPr fontId="6"/>
  </si>
  <si>
    <t>temp_id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</si>
  <si>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</si>
  <si>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</si>
  <si>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</si>
  <si>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</si>
  <si>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stage_target</t>
    <phoneticPr fontId="6"/>
  </si>
  <si>
    <t>bonus_category</t>
    <phoneticPr fontId="6"/>
  </si>
  <si>
    <t>bonus_id</t>
    <phoneticPr fontId="6"/>
  </si>
  <si>
    <t>weight</t>
    <phoneticPr fontId="6"/>
  </si>
  <si>
    <t>bonus_type</t>
    <phoneticPr fontId="6"/>
  </si>
  <si>
    <t>bonus_count</t>
    <phoneticPr fontId="6"/>
  </si>
  <si>
    <t>skill_level</t>
    <phoneticPr fontId="6"/>
  </si>
  <si>
    <t>definite_start_date</t>
    <phoneticPr fontId="6"/>
  </si>
  <si>
    <t>definite_end_date</t>
    <phoneticPr fontId="6"/>
  </si>
  <si>
    <t>everyone</t>
    <phoneticPr fontId="6"/>
  </si>
  <si>
    <t>clear</t>
    <phoneticPr fontId="6"/>
  </si>
  <si>
    <t>unit</t>
    <phoneticPr fontId="6"/>
  </si>
  <si>
    <t>2016-5-27 0:00:00</t>
    <phoneticPr fontId="6"/>
  </si>
  <si>
    <t>2970-01-01 09:00:00</t>
    <phoneticPr fontId="6"/>
  </si>
  <si>
    <t>no_continue</t>
    <phoneticPr fontId="6"/>
  </si>
  <si>
    <t>stage_bonuses</t>
    <phoneticPr fontId="6"/>
  </si>
  <si>
    <t>.tmp</t>
    <phoneticPr fontId="6"/>
  </si>
  <si>
    <t>quest_id</t>
    <phoneticPr fontId="6"/>
  </si>
  <si>
    <t>stage_id</t>
    <phoneticPr fontId="6"/>
  </si>
  <si>
    <t>stage_target</t>
    <phoneticPr fontId="6"/>
  </si>
  <si>
    <t>bonus_category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</si>
  <si>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</si>
  <si>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</si>
  <si>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</si>
  <si>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</si>
  <si>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</si>
  <si>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</si>
  <si>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</si>
  <si>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</si>
  <si>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</si>
  <si>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</si>
  <si>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</si>
  <si>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</si>
  <si>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</si>
  <si>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</si>
  <si>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stage_bonuses_</t>
    <phoneticPr fontId="6"/>
  </si>
  <si>
    <t>hp</t>
    <phoneticPr fontId="6"/>
  </si>
  <si>
    <t>attack</t>
    <phoneticPr fontId="6"/>
  </si>
  <si>
    <t>null</t>
    <phoneticPr fontId="6"/>
  </si>
  <si>
    <t>null</t>
    <phoneticPr fontId="6"/>
  </si>
  <si>
    <t>null</t>
    <phoneticPr fontId="6"/>
  </si>
  <si>
    <t>old</t>
  </si>
  <si>
    <t>青パネルを吸収して攻撃（最大20個）</t>
    <rPh sb="0" eb="1">
      <t>アオ</t>
    </rPh>
    <rPh sb="5" eb="7">
      <t>キュウシュウ</t>
    </rPh>
    <rPh sb="9" eb="11">
      <t>コウゲキ</t>
    </rPh>
    <rPh sb="12" eb="14">
      <t>サイダイ</t>
    </rPh>
    <rPh sb="16" eb="17">
      <t>コ</t>
    </rPh>
    <phoneticPr fontId="6"/>
  </si>
  <si>
    <t>全体攻撃</t>
    <rPh sb="0" eb="2">
      <t>ゼンタイ</t>
    </rPh>
    <rPh sb="2" eb="4">
      <t>コウゲキ</t>
    </rPh>
    <phoneticPr fontId="6"/>
  </si>
  <si>
    <t>[effect:nothing]</t>
    <phoneticPr fontId="6"/>
  </si>
  <si>
    <t>あら、迷子かしら？</t>
    <rPh sb="3" eb="5">
      <t>マイゴ</t>
    </rPh>
    <phoneticPr fontId="6"/>
  </si>
  <si>
    <t>赤属性のユニットに大ダメージ</t>
    <rPh sb="0" eb="1">
      <t>アカ</t>
    </rPh>
    <rPh sb="1" eb="3">
      <t>ゾクセイ</t>
    </rPh>
    <rPh sb="9" eb="10">
      <t>ダイダメージ</t>
    </rPh>
    <phoneticPr fontId="6"/>
  </si>
  <si>
    <t>[effect:spread, val:0.5],[effect:suicide, val:0.1, dead_type:suicide, target:myself, animation:enemy_suicide]</t>
    <phoneticPr fontId="6"/>
  </si>
  <si>
    <t>[effect:heal, target:myself, val:0.1, animation:enemy_heal],[effect:critical, val:1.5]</t>
    <phoneticPr fontId="6"/>
  </si>
  <si>
    <t>[effect:rush, count:6, val:0.2]</t>
    <phoneticPr fontId="6"/>
  </si>
  <si>
    <t>[effect:suicide, val:1, dead_type:escape, target:myself]</t>
    <phoneticPr fontId="6"/>
  </si>
  <si>
    <t>6回連続攻撃</t>
    <rPh sb="1" eb="2">
      <t>カイ</t>
    </rPh>
    <rPh sb="2" eb="4">
      <t>レンゾク</t>
    </rPh>
    <rPh sb="4" eb="6">
      <t>コウゲキ</t>
    </rPh>
    <phoneticPr fontId="6"/>
  </si>
  <si>
    <t>[effect:damage_gravity, val:0.6, animation:fevergauge_down]</t>
    <phoneticPr fontId="6"/>
  </si>
  <si>
    <t>■■■■■</t>
  </si>
  <si>
    <t>■■■■■</t>
    <phoneticPr fontId="6"/>
  </si>
  <si>
    <t>防御力UP+全属性カウンター（威力小）</t>
    <rPh sb="0" eb="3">
      <t>ボウギョリョク</t>
    </rPh>
    <rPh sb="6" eb="9">
      <t>ゼンゾクセイ</t>
    </rPh>
    <rPh sb="15" eb="17">
      <t>イリョク</t>
    </rPh>
    <rPh sb="17" eb="18">
      <t>チイサイ</t>
    </rPh>
    <phoneticPr fontId="6"/>
  </si>
  <si>
    <t>[effect:critical, val:1.5]</t>
    <phoneticPr fontId="6"/>
  </si>
  <si>
    <t>unit</t>
  </si>
  <si>
    <t>null</t>
    <phoneticPr fontId="6"/>
  </si>
  <si>
    <t>null</t>
    <phoneticPr fontId="6"/>
  </si>
  <si>
    <t>[effect:enhance_enemy, target:myself, turn:3, status:attack, val:0.3, calc:mul, animation:enemy_enhance_attack]</t>
    <phoneticPr fontId="6"/>
  </si>
  <si>
    <t>[effect:reduction, target:myself, turn:3, color:all, val:0.5, animation:reduction_one01]</t>
    <phoneticPr fontId="6"/>
  </si>
  <si>
    <t>[effect:enhance_enemy, target:myself, turn:-1, status:defense, val:2500, calc:add, animation:enemy_enhance_defense],[effect:enemy_counter, target:myself, invoke_condition:unit_all, counter_target:attacker, turn:-1, val:0.2, animation:enemy_counter]</t>
    <phoneticPr fontId="6"/>
  </si>
  <si>
    <t>[effect:break_attack, val:0.08, lowest_val:5000, count:20, block:block_blue, target:unit_one]</t>
    <phoneticPr fontId="6"/>
  </si>
  <si>
    <t>[effect:enhance_enemy, target:myself, turn:-1, status:attack, val:0.5, calc:mul, animation:enemy_enhance_attack],[effect:enhance_enemy, target:myself, turn:-1, status:defense, val:2500, calc:add, animation:enemy_enhance_defense]</t>
    <phoneticPr fontId="6"/>
  </si>
  <si>
    <t>ケツァクアトルはHPが減ってくると
ティンクの力を借りて巨大化します
攻守共に強くなるので注意しましょう</t>
    <rPh sb="11" eb="12">
      <t>ヘッテクルト</t>
    </rPh>
    <rPh sb="23" eb="24">
      <t>チカラ</t>
    </rPh>
    <rPh sb="25" eb="26">
      <t>カリテ</t>
    </rPh>
    <rPh sb="28" eb="31">
      <t>キョダイカ</t>
    </rPh>
    <rPh sb="36" eb="38">
      <t>コウシュ</t>
    </rPh>
    <rPh sb="38" eb="39">
      <t>トモニ</t>
    </rPh>
    <rPh sb="40" eb="41">
      <t>ツヨクナル</t>
    </rPh>
    <rPh sb="46" eb="48">
      <t>チュウイ</t>
    </rPh>
    <phoneticPr fontId="6"/>
  </si>
  <si>
    <t>ルキフグスは最初は大人しいですが
数ターン経過すると激しい攻撃を開始します
フィーバーなどで早めに切り抜けましょう</t>
    <rPh sb="6" eb="8">
      <t>サイショノ</t>
    </rPh>
    <rPh sb="9" eb="11">
      <t>オトナシイ</t>
    </rPh>
    <rPh sb="17" eb="18">
      <t>スウターン</t>
    </rPh>
    <rPh sb="21" eb="23">
      <t>ケイカ</t>
    </rPh>
    <rPh sb="26" eb="27">
      <t>ハゲシイ</t>
    </rPh>
    <rPh sb="29" eb="31">
      <t>コウゲキ</t>
    </rPh>
    <rPh sb="32" eb="34">
      <t>カイシ</t>
    </rPh>
    <rPh sb="47" eb="48">
      <t>ハヤメニ</t>
    </rPh>
    <rPh sb="50" eb="51">
      <t>キリヌケ</t>
    </rPh>
    <phoneticPr fontId="6"/>
  </si>
  <si>
    <t>フェンリルの繰り出す暗闇攻撃は厄介です
回復行動を妨害されないよう
予めハートパネルをまとめておきましょう</t>
    <rPh sb="6" eb="7">
      <t>クリダス</t>
    </rPh>
    <rPh sb="10" eb="12">
      <t>クラヤミ</t>
    </rPh>
    <rPh sb="12" eb="14">
      <t>コウゲキ</t>
    </rPh>
    <rPh sb="15" eb="17">
      <t>ヤッカイ</t>
    </rPh>
    <rPh sb="21" eb="23">
      <t>カイフク</t>
    </rPh>
    <rPh sb="23" eb="25">
      <t>コウドウ</t>
    </rPh>
    <rPh sb="26" eb="28">
      <t>ボウガイ</t>
    </rPh>
    <rPh sb="35" eb="36">
      <t>アラカジメ</t>
    </rPh>
    <phoneticPr fontId="6"/>
  </si>
  <si>
    <t>バルドルが全属性カウンターを発動したら
反撃でやられないよう注意が必要です
なるべくHPを高く保って戦いましょう</t>
    <rPh sb="5" eb="8">
      <t>ゼンゾクセイ</t>
    </rPh>
    <rPh sb="14" eb="16">
      <t>ハツドウ</t>
    </rPh>
    <rPh sb="20" eb="22">
      <t>ハンゲキ</t>
    </rPh>
    <rPh sb="30" eb="32">
      <t>チュウイ</t>
    </rPh>
    <rPh sb="33" eb="35">
      <t>ヒツヨウ</t>
    </rPh>
    <rPh sb="46" eb="47">
      <t>タカク</t>
    </rPh>
    <rPh sb="48" eb="49">
      <t>タモツ</t>
    </rPh>
    <rPh sb="51" eb="52">
      <t>タタカイ</t>
    </rPh>
    <phoneticPr fontId="6"/>
  </si>
  <si>
    <t>全体攻撃+1ターン暗闇</t>
    <rPh sb="0" eb="2">
      <t>ゼンタイ</t>
    </rPh>
    <rPh sb="2" eb="4">
      <t>コウゲキ</t>
    </rPh>
    <rPh sb="9" eb="11">
      <t>クラヤミ</t>
    </rPh>
    <phoneticPr fontId="6"/>
  </si>
  <si>
    <t>[effect:spread, val:0.35],[effect:dark, target:unit_all, turn:1, animation:enemy_dark]</t>
    <phoneticPr fontId="6"/>
  </si>
  <si>
    <t>complete</t>
  </si>
  <si>
    <t>わたしもさーふぃんしたーい！</t>
  </si>
  <si>
    <t>ばななぼーとたのしそうだねー！</t>
  </si>
  <si>
    <t>びーちぼーるでなにするのー？</t>
    <phoneticPr fontId="6"/>
  </si>
  <si>
    <t>うわー！めびうすとってもきれいだね！</t>
    <phoneticPr fontId="6"/>
  </si>
  <si>
    <t>ファラデー、あなた随分派手な水着着てるわね…</t>
    <phoneticPr fontId="6"/>
  </si>
  <si>
    <t>ネコって泳げるのかしら…？</t>
    <phoneticPr fontId="6"/>
  </si>
  <si>
    <t>あなた…サーフィン上手ね</t>
    <phoneticPr fontId="6"/>
  </si>
  <si>
    <t>バナナボート…それも乗り心地良さそうね</t>
    <phoneticPr fontId="6"/>
  </si>
  <si>
    <t>私もこの子たちとビーチボールで遊びたいわ…</t>
    <phoneticPr fontId="6"/>
  </si>
  <si>
    <t>綺麗ね…涼しそうだし…</t>
    <phoneticPr fontId="6"/>
  </si>
  <si>
    <t>熱いヒトは嫌いじゃないよ！</t>
    <phoneticPr fontId="6"/>
  </si>
  <si>
    <t>バナナも美味しそうでいいな…</t>
    <phoneticPr fontId="6"/>
  </si>
  <si>
    <t>ケモノ同士仲良くしようよ！</t>
    <phoneticPr fontId="6"/>
  </si>
  <si>
    <t>オイラー、君は随分アクティブなんだね</t>
    <phoneticPr fontId="6"/>
  </si>
  <si>
    <t>ファラデー…なんだいその奇妙な乗り物は</t>
    <phoneticPr fontId="6"/>
  </si>
  <si>
    <t>健康的というか…なんというかその…</t>
    <phoneticPr fontId="6"/>
  </si>
  <si>
    <t>…ちょっと目のやり場に困るなぁ……</t>
    <phoneticPr fontId="6"/>
  </si>
  <si>
    <t>ペンギンたちも君の猫たちと遊びたいって</t>
    <phoneticPr fontId="6"/>
  </si>
  <si>
    <t>宝石みたいにキラキラしてる…いいね…</t>
    <phoneticPr fontId="6"/>
  </si>
  <si>
    <t>すごーい！メビウスなんだか人魚みたいね！</t>
    <phoneticPr fontId="6"/>
  </si>
  <si>
    <t>表示しない</t>
    <rPh sb="0" eb="2">
      <t>ヒョウジシナイ</t>
    </rPh>
    <phoneticPr fontId="6"/>
  </si>
  <si>
    <t>[effect:enemy_message, val1:2.4, val2:0],[effect:fix_speed, target:myself, turn:1]</t>
    <phoneticPr fontId="6"/>
  </si>
  <si>
    <t>[effect:enemy_message, val1:2.0, val2:0]</t>
    <phoneticPr fontId="6"/>
  </si>
  <si>
    <t>[effect:enemy_message, val1:1.4, val2:0],[effect:fix_speed, target:myself, turn:1]</t>
    <phoneticPr fontId="6"/>
  </si>
  <si>
    <t>[effect:enemy_message, val1:2.2, val2:0],[effect:fix_speed, target:myself, turn:1]</t>
    <phoneticPr fontId="6"/>
  </si>
  <si>
    <t>[effect:enemy_message, val1:1.4, val2:0]</t>
    <phoneticPr fontId="6"/>
  </si>
  <si>
    <t>[effect:enemy_message, val1:1.4, val2:0]</t>
    <phoneticPr fontId="6"/>
  </si>
  <si>
    <t>[effect:enemy_message, val1:1.4, val2:0],[effect:fix_speed, target:myself, turn:1]</t>
    <phoneticPr fontId="6"/>
  </si>
  <si>
    <t>[effect:enemy_message, val1:2.4, val2:0],[effect:fix_speed, target:myself, turn:1]</t>
    <phoneticPr fontId="6"/>
  </si>
  <si>
    <t>[effect:enemy_message, val1:1.4, val2:0],[effect:fix_speed, target:myself, turn:1]</t>
    <phoneticPr fontId="6"/>
  </si>
  <si>
    <t>[effect:enemy_message, val1:2.4, val2:0],[effect:fix_speed, target:myself, turn:1]</t>
    <phoneticPr fontId="6"/>
  </si>
  <si>
    <t>「妾もバカンスに行きたいのじゃー！」
と言って聞かない麒麟に付き添う四神…
彼らにしか理解できない苦難がありそうです</t>
    <rPh sb="1" eb="2">
      <t>ワラワモ</t>
    </rPh>
    <rPh sb="8" eb="9">
      <t>イキタイノ</t>
    </rPh>
    <rPh sb="20" eb="21">
      <t>イッテ</t>
    </rPh>
    <rPh sb="23" eb="24">
      <t>キカナイ</t>
    </rPh>
    <rPh sb="27" eb="29">
      <t>キリン</t>
    </rPh>
    <rPh sb="30" eb="31">
      <t>ツキソウ</t>
    </rPh>
    <rPh sb="34" eb="35">
      <t>ヨn</t>
    </rPh>
    <rPh sb="35" eb="36">
      <t>カミ</t>
    </rPh>
    <rPh sb="38" eb="39">
      <t>カレラニ</t>
    </rPh>
    <rPh sb="43" eb="45">
      <t>リカイ</t>
    </rPh>
    <rPh sb="49" eb="51">
      <t>クナン</t>
    </rPh>
    <phoneticPr fontId="6"/>
  </si>
  <si>
    <t>四神の苦難</t>
    <rPh sb="0" eb="1">
      <t>ヨン</t>
    </rPh>
    <rPh sb="1" eb="2">
      <t>カミ</t>
    </rPh>
    <rPh sb="3" eb="5">
      <t>クナン</t>
    </rPh>
    <phoneticPr fontId="6"/>
  </si>
  <si>
    <t>クリティカル！</t>
    <phoneticPr fontId="6"/>
  </si>
  <si>
    <t>自身の攻撃力&amp;防御力大UP</t>
    <rPh sb="0" eb="2">
      <t>ジシn</t>
    </rPh>
    <rPh sb="3" eb="6">
      <t>コウゲキリョク</t>
    </rPh>
    <rPh sb="7" eb="10">
      <t>ボウギョリョク</t>
    </rPh>
    <rPh sb="10" eb="11">
      <t>ダイ</t>
    </rPh>
    <phoneticPr fontId="6"/>
  </si>
  <si>
    <t>小回復+クリティカル！</t>
    <rPh sb="0" eb="1">
      <t>チイサイ</t>
    </rPh>
    <rPh sb="1" eb="3">
      <t>カイフク</t>
    </rPh>
    <phoneticPr fontId="6"/>
  </si>
  <si>
    <t>強力な全体攻撃！</t>
    <rPh sb="0" eb="2">
      <t>キョウリョクナ</t>
    </rPh>
    <rPh sb="3" eb="5">
      <t>ゼンタイ</t>
    </rPh>
    <rPh sb="5" eb="7">
      <t>コウゲキ</t>
    </rPh>
    <phoneticPr fontId="6"/>
  </si>
  <si>
    <t>ちょっとだけ手伝ってあげる。存分に活かすのよ！
【低確率でボムパネルがドロップする！】</t>
    <rPh sb="6" eb="8">
      <t>テツダッテ</t>
    </rPh>
    <rPh sb="14" eb="16">
      <t>ゾンブn</t>
    </rPh>
    <rPh sb="17" eb="18">
      <t>イカス</t>
    </rPh>
    <rPh sb="25" eb="28">
      <t>テイカクリツ</t>
    </rPh>
    <phoneticPr fontId="6"/>
  </si>
  <si>
    <t>クリティカル！</t>
    <phoneticPr fontId="6"/>
  </si>
  <si>
    <t>スキルバインド&amp;スリープ耐性</t>
    <rPh sb="12" eb="14">
      <t>タイセイ</t>
    </rPh>
    <phoneticPr fontId="6"/>
  </si>
  <si>
    <t>表示しない</t>
    <rPh sb="0" eb="2">
      <t>ヒョウジ</t>
    </rPh>
    <phoneticPr fontId="6"/>
  </si>
  <si>
    <t>[effect:enemy_message, val1:1, val2:0],[effect:fix_speed, target:myself, turn:1]</t>
    <phoneticPr fontId="6"/>
  </si>
  <si>
    <t>フフ…見つかっちゃいましたね</t>
    <rPh sb="3" eb="4">
      <t>ミツカッチャイマシタ</t>
    </rPh>
    <phoneticPr fontId="6"/>
  </si>
  <si>
    <t>ぼつ</t>
    <phoneticPr fontId="6"/>
  </si>
  <si>
    <t>ぼつ</t>
    <phoneticPr fontId="6"/>
  </si>
  <si>
    <t>[effect:enemy_message, val1:1, val2:0],[effect:fix_speed, target:myself, turn:1]</t>
    <phoneticPr fontId="6"/>
  </si>
  <si>
    <t>麒麟は特定のタイミングで
全体にスキルバインドを仕掛けてきます
フィーバーなどを利用して乗り切りましょう</t>
    <rPh sb="0" eb="2">
      <t>ミズギキリン</t>
    </rPh>
    <rPh sb="3" eb="5">
      <t>トクテイノ</t>
    </rPh>
    <rPh sb="13" eb="15">
      <t>ゼンタイ</t>
    </rPh>
    <rPh sb="24" eb="26">
      <t>シカケテ</t>
    </rPh>
    <rPh sb="41" eb="43">
      <t>リヨウ</t>
    </rPh>
    <rPh sb="45" eb="46">
      <t>ノリキリ</t>
    </rPh>
    <phoneticPr fontId="6"/>
  </si>
  <si>
    <t>麒麟は特定のタイミングで
強烈な割合ダメージを与えてきます
すぐに回復できるよう準備が必要です</t>
    <rPh sb="0" eb="2">
      <t>ミズギキリn</t>
    </rPh>
    <rPh sb="3" eb="5">
      <t>トクテイノ</t>
    </rPh>
    <rPh sb="13" eb="15">
      <t>キョウレツナ</t>
    </rPh>
    <rPh sb="16" eb="18">
      <t>ワリアイ</t>
    </rPh>
    <rPh sb="23" eb="24">
      <t>アタエテ</t>
    </rPh>
    <rPh sb="34" eb="36">
      <t>カイフク</t>
    </rPh>
    <rPh sb="41" eb="43">
      <t>ジュンビ</t>
    </rPh>
    <rPh sb="44" eb="46">
      <t>ヒツヨウ</t>
    </rPh>
    <phoneticPr fontId="6"/>
  </si>
  <si>
    <t>[effect:damage_anti_color, target:unit_all, color:red, val1:0.7, val2:0.35]</t>
    <phoneticPr fontId="6"/>
  </si>
  <si>
    <t>null</t>
    <phoneticPr fontId="6"/>
  </si>
  <si>
    <t>[effect:spread, val:0.35]</t>
    <phoneticPr fontId="6"/>
  </si>
  <si>
    <t>[effect:enemy_message, val1:1.2, val2:0]</t>
    <phoneticPr fontId="6"/>
  </si>
  <si>
    <t>どらごんだいぶ！</t>
    <phoneticPr fontId="6"/>
  </si>
  <si>
    <t>こんびねーしょんあたっく！</t>
    <phoneticPr fontId="6"/>
  </si>
  <si>
    <t>2回連続攻撃</t>
    <rPh sb="1" eb="2">
      <t>カイ</t>
    </rPh>
    <rPh sb="2" eb="4">
      <t>レンゾク</t>
    </rPh>
    <rPh sb="4" eb="6">
      <t>コウゲキ</t>
    </rPh>
    <phoneticPr fontId="6"/>
  </si>
  <si>
    <t>おおきくなるよー！</t>
    <phoneticPr fontId="6"/>
  </si>
  <si>
    <t>それにしてもここは暑いわね…</t>
    <rPh sb="9" eb="10">
      <t>アツイ</t>
    </rPh>
    <phoneticPr fontId="6"/>
  </si>
  <si>
    <t>だめ…もう限界…</t>
    <rPh sb="5" eb="7">
      <t>ゲンカイ</t>
    </rPh>
    <phoneticPr fontId="6"/>
  </si>
  <si>
    <t>次のターン強力な全体攻撃！</t>
    <rPh sb="0" eb="1">
      <t>ツギ</t>
    </rPh>
    <rPh sb="5" eb="7">
      <t>キョウリョクナ</t>
    </rPh>
    <rPh sb="8" eb="10">
      <t>ゼンタイ</t>
    </rPh>
    <rPh sb="10" eb="12">
      <t>コウゲキ</t>
    </rPh>
    <phoneticPr fontId="6"/>
  </si>
  <si>
    <t>暑苦しいのは嫌…</t>
    <rPh sb="0" eb="2">
      <t>アツクルシイ</t>
    </rPh>
    <rPh sb="6" eb="7">
      <t>イヤ</t>
    </rPh>
    <phoneticPr fontId="6"/>
  </si>
  <si>
    <t>私の悪魔が…暴れだしそうよ…</t>
    <rPh sb="0" eb="1">
      <t>ワタシノナカ</t>
    </rPh>
    <rPh sb="2" eb="4">
      <t>アクマガ</t>
    </rPh>
    <rPh sb="6" eb="7">
      <t>アバレダシソウ</t>
    </rPh>
    <phoneticPr fontId="6"/>
  </si>
  <si>
    <t>ドルフィンストライク</t>
    <phoneticPr fontId="6"/>
  </si>
  <si>
    <t>[effect:enemy_message, val1:1.2, val2:0],[effect:fix_speed, target:myself, turn:1]</t>
    <phoneticPr fontId="6"/>
  </si>
  <si>
    <t>ドッキドキの夏だよー！</t>
    <rPh sb="6" eb="7">
      <t>ナツ</t>
    </rPh>
    <phoneticPr fontId="6"/>
  </si>
  <si>
    <t>暑い時こそ熱くならなきゃ！</t>
    <rPh sb="0" eb="1">
      <t>アツイ</t>
    </rPh>
    <rPh sb="2" eb="3">
      <t>トキコソ</t>
    </rPh>
    <rPh sb="5" eb="6">
      <t>アツクナラナキャ</t>
    </rPh>
    <phoneticPr fontId="6"/>
  </si>
  <si>
    <t>ジェリーボールラッシュ</t>
    <phoneticPr fontId="6"/>
  </si>
  <si>
    <t>ヴェイパーヒート</t>
    <phoneticPr fontId="6"/>
  </si>
  <si>
    <t>連鎖の氷影・グランドアイス</t>
    <rPh sb="3" eb="4">
      <t>コオリ</t>
    </rPh>
    <phoneticPr fontId="6"/>
  </si>
  <si>
    <t>僕は敵か味方か…どっちだろうね？</t>
    <rPh sb="0" eb="1">
      <t>ボクハ</t>
    </rPh>
    <rPh sb="2" eb="3">
      <t>テキ</t>
    </rPh>
    <rPh sb="4" eb="6">
      <t>ミカタカ</t>
    </rPh>
    <phoneticPr fontId="6"/>
  </si>
  <si>
    <t>フフ…よくこんなところまで来たね</t>
    <rPh sb="13" eb="14">
      <t>キタネ</t>
    </rPh>
    <phoneticPr fontId="6"/>
  </si>
  <si>
    <t>ペンギンスマッシュ</t>
    <phoneticPr fontId="6"/>
  </si>
  <si>
    <t>刺胞守護の契約</t>
    <rPh sb="0" eb="2">
      <t>シホウ</t>
    </rPh>
    <rPh sb="2" eb="4">
      <t>シュゴ</t>
    </rPh>
    <rPh sb="5" eb="7">
      <t>ケイヤク</t>
    </rPh>
    <phoneticPr fontId="6"/>
  </si>
  <si>
    <t>水の中は動きにくいね…</t>
    <rPh sb="0" eb="1">
      <t>ミズノナカ</t>
    </rPh>
    <rPh sb="4" eb="5">
      <t>ウゴキニクイ</t>
    </rPh>
    <phoneticPr fontId="6"/>
  </si>
  <si>
    <t>スパークリング・ジャッジ</t>
    <phoneticPr fontId="6"/>
  </si>
  <si>
    <t>[effect:enemy_message, val1:1, val2:2.4],[effect:drop_block, block_type:crash, color:block_all, val:8, rate:0.06, turn:-1, animation:crash_influence04],[effect:suicide, val:1, dead_type:escape, target:myself]</t>
    <phoneticPr fontId="6"/>
  </si>
  <si>
    <t>[effect:enemy_message, val1:1.4, val2:0]</t>
    <phoneticPr fontId="6"/>
  </si>
  <si>
    <t>ごめんごめん…からかうつもりはなかったんだ</t>
    <phoneticPr fontId="6"/>
  </si>
  <si>
    <t>[effect:enemy_message, val1:1.2, val2:2.4],[effect:regenerate, turn:-1, target:unit_all, val:0.05, type:hp_ratio, animation:heal01_unit01],[effect:suicide, val:1, dead_type:escape, target:myself]</t>
    <phoneticPr fontId="6"/>
  </si>
  <si>
    <t>[effect:enemy_message, val1:1, val2:0],[effect:fix_speed, target:myself, turn:1]</t>
    <phoneticPr fontId="6"/>
  </si>
  <si>
    <t>ねえ、つぎはなにしてあそぶー？</t>
    <phoneticPr fontId="6"/>
  </si>
  <si>
    <t>おっ！お姉さんに会いに来たのかな？</t>
    <rPh sb="8" eb="9">
      <t>アイニキタ</t>
    </rPh>
    <phoneticPr fontId="6"/>
  </si>
  <si>
    <t>おぬし…妾の余暇を邪魔するつもりか！</t>
    <rPh sb="4" eb="5">
      <t>ワラワノ</t>
    </rPh>
    <rPh sb="6" eb="8">
      <t>ヨカ</t>
    </rPh>
    <rPh sb="9" eb="11">
      <t>ジャマ</t>
    </rPh>
    <phoneticPr fontId="6"/>
  </si>
  <si>
    <t>ビリビリするぞ！</t>
    <phoneticPr fontId="6"/>
  </si>
  <si>
    <t>なみのりじゃ！</t>
    <phoneticPr fontId="6"/>
  </si>
  <si>
    <t>これが妾の雷神たる所以よ！</t>
    <rPh sb="3" eb="4">
      <t>ワラワ</t>
    </rPh>
    <rPh sb="5" eb="7">
      <t>ライジン</t>
    </rPh>
    <rPh sb="9" eb="11">
      <t>ユエン</t>
    </rPh>
    <phoneticPr fontId="6"/>
  </si>
  <si>
    <t>スキルバインド&amp;スリープ耐性
+白虎の力で攻撃頻度が1にUP！</t>
    <rPh sb="12" eb="14">
      <t>タイセイ</t>
    </rPh>
    <rPh sb="16" eb="17">
      <t>ビャッコノ</t>
    </rPh>
    <rPh sb="17" eb="18">
      <t>トラ</t>
    </rPh>
    <rPh sb="19" eb="20">
      <t>チカラデ</t>
    </rPh>
    <rPh sb="21" eb="25">
      <t>コウゲキヒンド</t>
    </rPh>
    <phoneticPr fontId="6"/>
  </si>
  <si>
    <t>[effect:enemy_message, val1:1.8, val2:1.8],[effect:tolerance, target:myself, turn:-1, tolerance_effect:hungup, count:-1],[effect:tolerance, target:myself, turn:-1, tolerance_effect:sleep, count:-1, animation:enemy_tolerance]</t>
    <phoneticPr fontId="6"/>
  </si>
  <si>
    <t>ほぉ…そこまで妾をものにしたいか？</t>
    <rPh sb="7" eb="8">
      <t>ワラワ</t>
    </rPh>
    <phoneticPr fontId="6"/>
  </si>
  <si>
    <t>名残惜しいけど行かなくちゃ！</t>
    <rPh sb="0" eb="3">
      <t>ナゴリオシイ</t>
    </rPh>
    <rPh sb="7" eb="8">
      <t>イカナクチャ</t>
    </rPh>
    <phoneticPr fontId="6"/>
  </si>
  <si>
    <t>大層なものじゃないけど　これは餞別よ！
【低確率でCパネルがドロップする！】</t>
    <rPh sb="0" eb="2">
      <t>タイソウナ</t>
    </rPh>
    <rPh sb="15" eb="17">
      <t>センベツ</t>
    </rPh>
    <rPh sb="21" eb="24">
      <t>テイカクリツ</t>
    </rPh>
    <phoneticPr fontId="6"/>
  </si>
  <si>
    <t>ええい！ならば妾の全てを受け止めてみせよ！</t>
    <rPh sb="7" eb="8">
      <t>ワラワ</t>
    </rPh>
    <rPh sb="9" eb="10">
      <t>スベテヲ</t>
    </rPh>
    <rPh sb="12" eb="13">
      <t>ウケトメテ</t>
    </rPh>
    <phoneticPr fontId="6"/>
  </si>
  <si>
    <t>[effect:enemy_message, val1:1.8, val2:2.4],[effect:tolerance, target:myself, turn:-1, tolerance_effect:hungup, count:-1],[effect:tolerance, target:myself, turn:-1, tolerance_effect:sleep, count:-1, animation:enemy_tolerance],[effect:fix_speed, target:myself, turn:1],[effect:damage_gravity, val:0.8, animation:fevergauge_down]</t>
    <phoneticPr fontId="6"/>
  </si>
  <si>
    <t>[effect:enemy_message, val1:1.6, val2:2.4],[effect:tolerance, target:myself, turn:-1, tolerance_effect:hungup, count:-1],[effect:tolerance, target:myself, turn:-1, tolerance_effect:sleep, count:-1, animation:enemy_tolerance],[effect:freq_turn, target:myself, turn:-1, val:1, animation:enemy_freq_turn]</t>
    <phoneticPr fontId="6"/>
  </si>
  <si>
    <t>ここからは妾の独壇場じゃ！</t>
    <rPh sb="5" eb="6">
      <t>ワラワ</t>
    </rPh>
    <rPh sb="7" eb="10">
      <t>ドクダンジョウ</t>
    </rPh>
    <phoneticPr fontId="6"/>
  </si>
  <si>
    <t>どうした？もう動けぬか？</t>
    <rPh sb="7" eb="8">
      <t>ウゴケヌカ</t>
    </rPh>
    <phoneticPr fontId="6"/>
  </si>
  <si>
    <t>残念じゃったな！妾は誰のものにもならぬ！</t>
    <rPh sb="0" eb="2">
      <t>ザンネン</t>
    </rPh>
    <rPh sb="8" eb="9">
      <t>ワラワ</t>
    </rPh>
    <rPh sb="10" eb="11">
      <t>ダレノ</t>
    </rPh>
    <phoneticPr fontId="6"/>
  </si>
  <si>
    <t>埒があかぬな…力を貸りるぞ！</t>
    <rPh sb="0" eb="1">
      <t>ラチガアカヌナ</t>
    </rPh>
    <rPh sb="7" eb="8">
      <t>チカラヲ</t>
    </rPh>
    <rPh sb="9" eb="10">
      <t>カス</t>
    </rPh>
    <phoneticPr fontId="6"/>
  </si>
  <si>
    <t>しつこい輩は嫌われるぞ？</t>
    <rPh sb="4" eb="5">
      <t>ヤカラハ</t>
    </rPh>
    <rPh sb="6" eb="7">
      <t>キラワレル</t>
    </rPh>
    <phoneticPr fontId="6"/>
  </si>
  <si>
    <t>おぬしの熱意…まるで照りつける太陽のようじゃな…</t>
    <rPh sb="4" eb="6">
      <t>ネツイニハ</t>
    </rPh>
    <rPh sb="10" eb="11">
      <t>テリツケル</t>
    </rPh>
    <rPh sb="15" eb="17">
      <t>タイヨウ</t>
    </rPh>
    <phoneticPr fontId="6"/>
  </si>
  <si>
    <t>まいった…降参じゃ！</t>
    <rPh sb="5" eb="7">
      <t>コウサン</t>
    </rPh>
    <phoneticPr fontId="6"/>
  </si>
  <si>
    <t>あなたも…この景色を眺めにきたの…？</t>
    <rPh sb="7" eb="9">
      <t>ケシキ</t>
    </rPh>
    <rPh sb="10" eb="11">
      <t>ナガメニ</t>
    </rPh>
    <phoneticPr fontId="6"/>
  </si>
  <si>
    <t>[effect:enemy_message, val1:1.2, val2:2.2]</t>
    <phoneticPr fontId="6"/>
  </si>
  <si>
    <t>[effect:enemy_message, val1:2.0, val2:1.8],[effect:damage_fix_absolute, target:unit_all, val:10000]</t>
    <phoneticPr fontId="6"/>
  </si>
  <si>
    <t>お詫びと言っちゃなんだけど…まぁ頑張ってよ
【Cパネル生成短縮（効果大）！】</t>
    <rPh sb="4" eb="5">
      <t>イッチャ</t>
    </rPh>
    <rPh sb="16" eb="18">
      <t>ガンバッテヨ</t>
    </rPh>
    <rPh sb="27" eb="29">
      <t>セイセイ</t>
    </rPh>
    <rPh sb="29" eb="31">
      <t>タンシュク</t>
    </rPh>
    <rPh sb="32" eb="34">
      <t>コウカ</t>
    </rPh>
    <rPh sb="34" eb="35">
      <t>トクダイ</t>
    </rPh>
    <phoneticPr fontId="6"/>
  </si>
  <si>
    <t>[effect:enemy_message, val1:1.4, val2:2.4],[effect:crash_condition, target:unit_all, val:-2, turn:-1, animation:crash_panel_reduce04],[effect:suicide, val:1, dead_type:escape, target:myself]</t>
    <phoneticPr fontId="6"/>
  </si>
  <si>
    <t>尾ひれが付いて広まってしまった言い伝え
女神の正体はバカンス中の麒麟でした
たまには管理AIも息抜きしたいようです</t>
    <rPh sb="0" eb="1">
      <t>オヒレ</t>
    </rPh>
    <rPh sb="4" eb="5">
      <t>ツイテ</t>
    </rPh>
    <rPh sb="7" eb="8">
      <t>ヒロマッタ</t>
    </rPh>
    <rPh sb="15" eb="16">
      <t>イイツタエ</t>
    </rPh>
    <rPh sb="20" eb="22">
      <t>メガミサマ</t>
    </rPh>
    <rPh sb="23" eb="25">
      <t>ショウタイ</t>
    </rPh>
    <rPh sb="30" eb="31">
      <t>チュウ</t>
    </rPh>
    <rPh sb="32" eb="34">
      <t>キリン</t>
    </rPh>
    <rPh sb="43" eb="45">
      <t>カンリ</t>
    </rPh>
    <rPh sb="48" eb="50">
      <t>イキヌキ</t>
    </rPh>
    <phoneticPr fontId="6"/>
  </si>
  <si>
    <t>女神の正体</t>
    <rPh sb="0" eb="2">
      <t>メガミサマ</t>
    </rPh>
    <rPh sb="3" eb="5">
      <t>ショウタイ</t>
    </rPh>
    <phoneticPr fontId="6"/>
  </si>
  <si>
    <t>すなあそびだいすき！</t>
    <phoneticPr fontId="6"/>
  </si>
  <si>
    <t>ケツァクアトルもビーチには興味津々
泳ぐよりも砂遊びがお気に入りみたいです</t>
    <phoneticPr fontId="6"/>
  </si>
  <si>
    <t>クールビューティーなルキフグスですが
夏の暑さには少々弱いようです</t>
    <phoneticPr fontId="6"/>
  </si>
  <si>
    <t>暑いのは苦手…</t>
    <rPh sb="0" eb="1">
      <t>アツイノハ</t>
    </rPh>
    <rPh sb="4" eb="6">
      <t>ニガテ</t>
    </rPh>
    <phoneticPr fontId="6"/>
  </si>
  <si>
    <t>いつも元気なフェンリル
夏は彼女のハートも熱くなる季節のようです</t>
    <phoneticPr fontId="6"/>
  </si>
  <si>
    <t>暑いときこそ熱く！</t>
    <rPh sb="0" eb="1">
      <t>アツイ</t>
    </rPh>
    <rPh sb="6" eb="7">
      <t>アツク</t>
    </rPh>
    <phoneticPr fontId="6"/>
  </si>
  <si>
    <t>インドア派のバルドルも海は好きなようです
静かな海の中で何を思うのでしょうか</t>
    <phoneticPr fontId="6"/>
  </si>
  <si>
    <t>海は綺麗だね…</t>
    <rPh sb="0" eb="1">
      <t>ウミハ</t>
    </rPh>
    <rPh sb="2" eb="4">
      <t>キレイ</t>
    </rPh>
    <phoneticPr fontId="6"/>
  </si>
  <si>
    <t>夏といえば海のアクティビティ
オイラーもサーフィンでノリノリですね</t>
    <phoneticPr fontId="6"/>
  </si>
  <si>
    <t>サーフィンよっ！</t>
    <phoneticPr fontId="6"/>
  </si>
  <si>
    <t>色鮮やかな熱帯魚と戯れるメビウス
美しさに目を奪われるアバターも
多いみたいです</t>
    <phoneticPr fontId="6"/>
  </si>
  <si>
    <t>熱帯魚と一緒に</t>
    <phoneticPr fontId="6"/>
  </si>
  <si>
    <t>南国のビーチを満喫するファラデー
色鮮やかなハイビスカスも空の虹も
彼女の輝きには勝てないみたいです</t>
    <phoneticPr fontId="6"/>
  </si>
  <si>
    <t>元気MAX！</t>
    <phoneticPr fontId="6"/>
  </si>
  <si>
    <t>いつも冷静沈着なシュレディンガーですが
猫達と戯れる時は表情を覗かせます
どちらが本当の彼なのでしょう</t>
    <phoneticPr fontId="6"/>
  </si>
  <si>
    <t>猫とビーチボール</t>
    <phoneticPr fontId="6"/>
  </si>
  <si>
    <t>玄武の力で3ターン全属性ダメージ50%軽減！</t>
    <rPh sb="0" eb="2">
      <t>ゲンブ</t>
    </rPh>
    <rPh sb="3" eb="4">
      <t>チカラデ</t>
    </rPh>
    <rPh sb="9" eb="12">
      <t>ゼンゾクセイ</t>
    </rPh>
    <rPh sb="19" eb="21">
      <t>ケイゲン</t>
    </rPh>
    <phoneticPr fontId="6"/>
  </si>
  <si>
    <t>スターライト・オーシャンはALICE内で
本物の海を体感できるアトラクション
毎年多くのアバターで賑わっています</t>
    <phoneticPr fontId="6"/>
  </si>
  <si>
    <t>夏といえば海！</t>
    <phoneticPr fontId="6"/>
  </si>
  <si>
    <t>ふふん…やっぱりメビウスより
私の方がスタイルは上ね！</t>
    <phoneticPr fontId="6"/>
  </si>
  <si>
    <t>オイラーさん…羨ましいスタイルですけど、
時代は清純派ですよ</t>
    <phoneticPr fontId="6"/>
  </si>
  <si>
    <t>ふふ、シュレディンガーさんの
ネコちゃんかわいい…</t>
    <phoneticPr fontId="6"/>
  </si>
  <si>
    <t>私もファラデーさんみたいに…
ううん、何でもないです</t>
    <phoneticPr fontId="6"/>
  </si>
  <si>
    <t>ひんやりするのもいいけど…
たまには熱くなりましょ！</t>
    <phoneticPr fontId="6"/>
  </si>
  <si>
    <t>オ、オイラー…これが
ぼんきゅっぼんというものなのか…！？</t>
    <phoneticPr fontId="6"/>
  </si>
  <si>
    <t>妾の四神よりかわいいじゃと！？
うぅ、シュレディンガーめ…！</t>
    <phoneticPr fontId="6"/>
  </si>
  <si>
    <t>うっ、メビウス…妾よりすたいるが…！？
いや、なんでもない…</t>
    <phoneticPr fontId="6"/>
  </si>
  <si>
    <t>おっ！オイラーもノッてるね！
よーし、負けないよ！</t>
    <phoneticPr fontId="6"/>
  </si>
  <si>
    <t>シュレはかわいいねー！
…えっなんで怒ってるの！？</t>
    <phoneticPr fontId="6"/>
  </si>
  <si>
    <t>ぬうぅ、ファラデー…
なんて大胆な水着を…！負けぬぞ！</t>
    <phoneticPr fontId="6"/>
  </si>
  <si>
    <t>私のほうが熱いもんねー！</t>
    <rPh sb="0" eb="1">
      <t>ワタシノ</t>
    </rPh>
    <rPh sb="5" eb="6">
      <t>アツイ</t>
    </rPh>
    <phoneticPr fontId="6"/>
  </si>
  <si>
    <t>[effect:enemy_message, val1:1.4, val2:2.4],[effect:drop_block,block_type:crack_bomb,color:block_green,val:8,rate:0.3,turn:-1],[effect:suicide, val:1, dead_type:escape, target:myself]</t>
    <phoneticPr fontId="6"/>
  </si>
  <si>
    <t>どらごんぱわー！</t>
    <phoneticPr fontId="6"/>
  </si>
  <si>
    <t>青属性ユニットの攻撃力大UP！</t>
    <rPh sb="0" eb="1">
      <t>アオ</t>
    </rPh>
    <rPh sb="1" eb="3">
      <t>ゾクセイ</t>
    </rPh>
    <rPh sb="8" eb="11">
      <t>コウゲキリョク</t>
    </rPh>
    <rPh sb="11" eb="12">
      <t>ダイ</t>
    </rPh>
    <phoneticPr fontId="6"/>
  </si>
  <si>
    <t>青属性ユニットの回復力大UP！</t>
    <rPh sb="8" eb="10">
      <t>カイフク</t>
    </rPh>
    <rPh sb="10" eb="11">
      <t>コウゲキリョク</t>
    </rPh>
    <rPh sb="11" eb="12">
      <t>ダイ</t>
    </rPh>
    <phoneticPr fontId="6"/>
  </si>
  <si>
    <t>青属性ユニットのタップ回数が1UP！</t>
    <rPh sb="11" eb="13">
      <t>カイスウ</t>
    </rPh>
    <phoneticPr fontId="6"/>
  </si>
  <si>
    <t>青属性ユニットの防御力大UP！</t>
    <rPh sb="8" eb="10">
      <t>ボウギョ</t>
    </rPh>
    <rPh sb="10" eb="11">
      <t>コウゲキリョク</t>
    </rPh>
    <rPh sb="11" eb="12">
      <t>ダイ</t>
    </rPh>
    <phoneticPr fontId="6"/>
  </si>
  <si>
    <t>[effect:enemy_message, val1:1.2, val2:1.8],[effect:enhance_unit, target:unit_blue, turn:-1, status:heal, val:0.4, calc:mul],[effect:fix_speed, target:myself, turn:1]</t>
    <phoneticPr fontId="6"/>
  </si>
  <si>
    <t>[effect:enemy_message, val1:1.2, val2:1.8],[effect:enhance_unit, target:unit_blue, turn:-1, status:action, val:1],[effect:fix_speed, target:myself, turn:1]</t>
    <phoneticPr fontId="6"/>
  </si>
  <si>
    <t>[effect:enemy_message, val1:1.6, val2:1.8],[effect:enhance_unit, target:unit_blue, turn:-1, status:defense, val:1080, calc:add]</t>
    <phoneticPr fontId="6"/>
  </si>
  <si>
    <t>青属性ユニットの攻撃力大UP！</t>
    <rPh sb="0" eb="1">
      <t>アオzクセイ</t>
    </rPh>
    <rPh sb="1" eb="3">
      <t>ゾクセイ</t>
    </rPh>
    <rPh sb="8" eb="11">
      <t>コウゲキリョク</t>
    </rPh>
    <rPh sb="11" eb="12">
      <t>ダイ</t>
    </rPh>
    <phoneticPr fontId="6"/>
  </si>
  <si>
    <t>[effect:enemy_message, val1:1.2, val1.8],[effect:fix_speed, target:myself, turn:1],[effect:enhance_unit, target:unit_blue, turn:-1, status:heal, val:0.4, calc:mul]</t>
    <phoneticPr fontId="6"/>
  </si>
  <si>
    <t>[effect:enemy_message, val1:1.4, val2:1.8],[effect:fix_speed, target:myself, turn:1],[effect:enhance_unit, target:unit_blue, turn:-1, status:action, val:1]</t>
    <phoneticPr fontId="6"/>
  </si>
  <si>
    <t>[effect:enemy_message, val1:1.4, val2:1.8],[effect:fix_speed, target:myself, turn:1],[effect:enhance_unit, target:unit_blue, turn:-1, status:defense, val:1080, calc:add]</t>
    <phoneticPr fontId="6"/>
  </si>
  <si>
    <t>属性を赤に変化+3ターン自身の攻撃力小UP</t>
    <rPh sb="0" eb="2">
      <t>ゾクセイ</t>
    </rPh>
    <rPh sb="3" eb="4">
      <t>アカ</t>
    </rPh>
    <rPh sb="5" eb="7">
      <t>ヘンカ</t>
    </rPh>
    <rPh sb="12" eb="14">
      <t>ジシn</t>
    </rPh>
    <rPh sb="15" eb="18">
      <t>コウゲキリョク</t>
    </rPh>
    <rPh sb="18" eb="19">
      <t>チイサイ</t>
    </rPh>
    <phoneticPr fontId="6"/>
  </si>
  <si>
    <t>[effect:change_attribute, target:enemy_all, color:red, turn:-1, animation:change_attribute_red],[effect:enhance_enemy, target:myself, turn:3, status:attack, val:0.1, calc:mul, animation:enemy_enhance_attack]</t>
    <phoneticPr fontId="6"/>
  </si>
  <si>
    <t>赤パネルを吸収して攻撃（最大20個）</t>
    <rPh sb="0" eb="1">
      <t>アカ</t>
    </rPh>
    <rPh sb="5" eb="7">
      <t>キュウシュウ</t>
    </rPh>
    <rPh sb="9" eb="11">
      <t>コウゲキ</t>
    </rPh>
    <rPh sb="12" eb="14">
      <t>サイダイ</t>
    </rPh>
    <rPh sb="16" eb="17">
      <t>コ</t>
    </rPh>
    <phoneticPr fontId="6"/>
  </si>
  <si>
    <t>[effect:break_attack, val:0.06, lowest_val:5000, count:20, block:block_red, target:unit_one]</t>
    <phoneticPr fontId="6"/>
  </si>
  <si>
    <t>全体攻撃+赤パネル10個生成</t>
    <rPh sb="0" eb="2">
      <t>ゼンタイ</t>
    </rPh>
    <rPh sb="2" eb="4">
      <t>コウゲキ</t>
    </rPh>
    <rPh sb="5" eb="6">
      <t>アカ</t>
    </rPh>
    <rPh sb="11" eb="12">
      <t>コ</t>
    </rPh>
    <rPh sb="12" eb="14">
      <t>セイセイ</t>
    </rPh>
    <phoneticPr fontId="6"/>
  </si>
  <si>
    <t>この熱気についてこれるか！？</t>
    <rPh sb="2" eb="4">
      <t>ネッキ</t>
    </rPh>
    <phoneticPr fontId="6"/>
  </si>
  <si>
    <t>滾るのう…これだからやめられぬ！</t>
    <rPh sb="0" eb="1">
      <t>タギル</t>
    </rPh>
    <phoneticPr fontId="6"/>
  </si>
  <si>
    <t>[effect:spread, val:0.3],[effect:force_change_block, new_block:block_red, target:block_all, ignore:crash, ignore02:crack_bomb, count:10, val:0, animation:change_block]</t>
    <phoneticPr fontId="6"/>
  </si>
  <si>
    <t>青龍の力で3ターン攻撃力大UP！</t>
    <rPh sb="0" eb="2">
      <t>セイリュウ</t>
    </rPh>
    <rPh sb="3" eb="4">
      <t>チカラデ</t>
    </rPh>
    <rPh sb="9" eb="12">
      <t>コウゲキリョク</t>
    </rPh>
    <rPh sb="12" eb="13">
      <t>ダイ</t>
    </rPh>
    <phoneticPr fontId="6"/>
  </si>
  <si>
    <t>もっとじゃ！もっと夏を満喫するのじゃ！</t>
    <rPh sb="9" eb="10">
      <t>ナツヲ</t>
    </rPh>
    <rPh sb="11" eb="13">
      <t>マンキツ</t>
    </rPh>
    <phoneticPr fontId="6"/>
  </si>
  <si>
    <t>朱雀の力で赤パネルドロップ率UP
+8ターン後に超強力な熱波が発生する！！</t>
    <rPh sb="0" eb="2">
      <t>スザク</t>
    </rPh>
    <rPh sb="3" eb="4">
      <t>チカラデ</t>
    </rPh>
    <rPh sb="5" eb="6">
      <t>アカ</t>
    </rPh>
    <rPh sb="13" eb="14">
      <t>リツ</t>
    </rPh>
    <rPh sb="22" eb="23">
      <t>ゴ</t>
    </rPh>
    <rPh sb="24" eb="27">
      <t>チョウキョウリョクナ</t>
    </rPh>
    <rPh sb="28" eb="30">
      <t>ネッパ</t>
    </rPh>
    <rPh sb="31" eb="33">
      <t>ハッセイ</t>
    </rPh>
    <phoneticPr fontId="6"/>
  </si>
  <si>
    <t>[effect:enemy_message, val1:1.4, val2:2.4],[effect:change_panel_ratio, turn:5, block_type:red, val:0.5, animation:block_incidence04]</t>
    <phoneticPr fontId="6"/>
  </si>
  <si>
    <t>赤パネルを吸収して全体攻撃+1ターンスキルバインド</t>
    <rPh sb="0" eb="1">
      <t>アカ</t>
    </rPh>
    <rPh sb="5" eb="7">
      <t>キュウシュウ</t>
    </rPh>
    <rPh sb="9" eb="11">
      <t>ゼンタイ</t>
    </rPh>
    <rPh sb="11" eb="13">
      <t>コウゲキ</t>
    </rPh>
    <phoneticPr fontId="6"/>
  </si>
  <si>
    <t>[effect:break_attack, val:0.02, lowest_val:1500, count:-1, block:block_red, target:unit_all],[effect:hungup, target:unit_all, turn:1, rate:1, animation:hungup01]</t>
    <phoneticPr fontId="6"/>
  </si>
  <si>
    <t>くっ…ここまで追いつめられるとは！</t>
    <rPh sb="7" eb="8">
      <t>オイツメラレル</t>
    </rPh>
    <phoneticPr fontId="6"/>
  </si>
  <si>
    <t>麒麟は特定のパネルを吸収して攻撃します
なるべく数を減らしながら戦いましょう</t>
    <rPh sb="0" eb="2">
      <t>ミズギキリン</t>
    </rPh>
    <rPh sb="3" eb="5">
      <t>トクテイノ</t>
    </rPh>
    <rPh sb="10" eb="12">
      <t>キュウシュウ</t>
    </rPh>
    <rPh sb="14" eb="16">
      <t>コウゲキ</t>
    </rPh>
    <rPh sb="24" eb="25">
      <t>カズヲ</t>
    </rPh>
    <rPh sb="26" eb="27">
      <t>ヘラシナガラ</t>
    </rPh>
    <rPh sb="32" eb="33">
      <t>タタカイマショウ</t>
    </rPh>
    <phoneticPr fontId="6"/>
  </si>
  <si>
    <t>[effect:break_attack, val:0.1, lowest_val:3000, count:10, block:block_red, target:unit_one]</t>
    <phoneticPr fontId="6"/>
  </si>
  <si>
    <t>赤パネルを吸収して攻撃（最大10個）</t>
    <rPh sb="0" eb="1">
      <t>アカ</t>
    </rPh>
    <rPh sb="5" eb="7">
      <t>キュウシュウ</t>
    </rPh>
    <rPh sb="9" eb="11">
      <t>コウゲキ</t>
    </rPh>
    <rPh sb="12" eb="14">
      <t>サイダイ</t>
    </rPh>
    <rPh sb="16" eb="17">
      <t>コ</t>
    </rPh>
    <phoneticPr fontId="6"/>
  </si>
  <si>
    <t>青パネルをお邪魔パネルに変換（最大10個）</t>
    <rPh sb="0" eb="1">
      <t>アオ</t>
    </rPh>
    <rPh sb="12" eb="14">
      <t>ヘンカン</t>
    </rPh>
    <rPh sb="15" eb="17">
      <t>サイダイ</t>
    </rPh>
    <rPh sb="19" eb="20">
      <t>コ</t>
    </rPh>
    <phoneticPr fontId="6"/>
  </si>
  <si>
    <t>[effect:force_change_block, new_block:jammer, target:block_blue, ignore:crash, ignore02:crack_bomb, count:10, val:0, animation:change_block]</t>
    <phoneticPr fontId="6"/>
  </si>
  <si>
    <t>超強力な熱波が全てを飲み込む！</t>
    <rPh sb="0" eb="3">
      <t>チョウキョウリョクナ</t>
    </rPh>
    <rPh sb="4" eb="6">
      <t>ネッパ</t>
    </rPh>
    <rPh sb="7" eb="8">
      <t>スベテヲ</t>
    </rPh>
    <rPh sb="10" eb="11">
      <t>ノミコム</t>
    </rPh>
    <phoneticPr fontId="6"/>
  </si>
  <si>
    <t>属性を緑に変化+次の攻撃頻度が1にUP</t>
    <rPh sb="8" eb="9">
      <t>ツギノ</t>
    </rPh>
    <rPh sb="10" eb="12">
      <t>コウゲキ</t>
    </rPh>
    <phoneticPr fontId="6"/>
  </si>
  <si>
    <t xml:space="preserve">[effect:change_attribute, target:enemy_all, color:green, turn:-1, animation:change_attribute_green] ,[effect:freq_turn, target:myself, turn:1, val:1, animation:enemy_freq_turn]    </t>
    <phoneticPr fontId="6"/>
  </si>
  <si>
    <t>[effect:critical, val:1.2]</t>
    <phoneticPr fontId="6"/>
  </si>
  <si>
    <t>[effect:rush, count:2, val:0.5]</t>
    <phoneticPr fontId="6"/>
  </si>
  <si>
    <t>せっかくここまで来たんです</t>
    <rPh sb="8" eb="9">
      <t>キタ</t>
    </rPh>
    <phoneticPr fontId="6"/>
  </si>
  <si>
    <t>スキルバインド&amp;スリープ耐性
+残りHPの80%ダメージ！</t>
    <rPh sb="12" eb="14">
      <t>タイセイ</t>
    </rPh>
    <phoneticPr fontId="6"/>
  </si>
  <si>
    <t>残りHPの60%ダメージ！</t>
    <phoneticPr fontId="6"/>
  </si>
  <si>
    <t>少しお手伝いしますね…頑張って下さい
【HPが持続的に小回復する！】</t>
    <rPh sb="23" eb="26">
      <t>ジゾクテキニ</t>
    </rPh>
    <rPh sb="27" eb="30">
      <t>ショウカイフク</t>
    </rPh>
    <phoneticPr fontId="6"/>
  </si>
  <si>
    <t>メビウス、今日は一段と輝いているね</t>
    <phoneticPr fontId="6"/>
  </si>
  <si>
    <t>[effect:enemy_message, val1:2.0, val2:0],[effect:fix_speed, target:myself, turn:1]</t>
    <phoneticPr fontId="6"/>
  </si>
  <si>
    <t>赤パネルを吸収して全体攻撃
+青属性以外のユニットに3ターンスキルバインド</t>
    <rPh sb="0" eb="1">
      <t>アカ</t>
    </rPh>
    <rPh sb="5" eb="7">
      <t>キュウシュウ</t>
    </rPh>
    <rPh sb="9" eb="11">
      <t>ゼンタイ</t>
    </rPh>
    <rPh sb="11" eb="13">
      <t>コウゲキ</t>
    </rPh>
    <rPh sb="15" eb="16">
      <t>アオ</t>
    </rPh>
    <rPh sb="16" eb="18">
      <t>ゾクセイ</t>
    </rPh>
    <rPh sb="18" eb="20">
      <t>イガイノ</t>
    </rPh>
    <phoneticPr fontId="6"/>
  </si>
  <si>
    <t>赤パネルを吸収して全体攻撃
+青属性以外のユニットに2ターンスキルバインド</t>
    <rPh sb="0" eb="1">
      <t>アカ</t>
    </rPh>
    <rPh sb="5" eb="7">
      <t>キュウシュウ</t>
    </rPh>
    <rPh sb="9" eb="11">
      <t>ゼンタイ</t>
    </rPh>
    <rPh sb="11" eb="13">
      <t>コウゲキ</t>
    </rPh>
    <phoneticPr fontId="6"/>
  </si>
  <si>
    <t>[effect:enemy_message, val1:1.0, val2:2.4],[effect:break_attack, val:0.01, lowest_val:2000, count:-1, block:block_red, target:unit_all],[effect:hungup, target:unit_blue/not, turn:3, rate:1, animation:hungup01]</t>
    <phoneticPr fontId="6"/>
  </si>
  <si>
    <t>[effect:enemy_message, val1:1.0, val2:2.4],[effect:break_attack, val:0.01, lowest_val:1000, count:-1, block:block_red, target:unit_all],[effect:hungup, target:unit_blue/not, turn:2, rate:1, animation:hungup01]</t>
    <phoneticPr fontId="6"/>
  </si>
  <si>
    <t>ふーん…女神の秘境を探してるの</t>
    <rPh sb="4" eb="6">
      <t>メガミサマ</t>
    </rPh>
    <rPh sb="7" eb="9">
      <t>ヒキョウ</t>
    </rPh>
    <rPh sb="10" eb="11">
      <t>サガシテル</t>
    </rPh>
    <phoneticPr fontId="6"/>
  </si>
  <si>
    <t>item</t>
  </si>
  <si>
    <t>item</t>
    <phoneticPr fontId="6"/>
  </si>
  <si>
    <t>old</t>
    <phoneticPr fontId="8"/>
  </si>
  <si>
    <t>スキルバインド&amp;スリープ耐性
+残りHPの80%ダメージ！+スキルゲージがMAXになった！</t>
    <rPh sb="12" eb="14">
      <t>タイセイ</t>
    </rPh>
    <phoneticPr fontId="6"/>
  </si>
  <si>
    <t>赤パネルを吸収して全体攻撃
+青属性以外のユニットに1ターンスキルバインド</t>
    <rPh sb="0" eb="1">
      <t>アカ</t>
    </rPh>
    <rPh sb="5" eb="7">
      <t>キュウシュウ</t>
    </rPh>
    <rPh sb="9" eb="11">
      <t>ゼンタイ</t>
    </rPh>
    <rPh sb="11" eb="13">
      <t>コウゲキ</t>
    </rPh>
    <phoneticPr fontId="6"/>
  </si>
  <si>
    <t>[effect:break_attack, val:0.02, lowest_val:1500, count:-1, block:block_red, target:unit_all],[effect:hungup, target:unit_blue/not, turn:1, rate:1, animation:hungup01]</t>
    <phoneticPr fontId="6"/>
  </si>
  <si>
    <t>[effect:enemy_message, val1:1.8, val2:2.4],[effect:tolerance, target:myself, turn:-1, tolerance_effect:hungup, count:-1],[effect:tolerance, target:myself, turn:-1, tolerance_effect:sleep, count:-1, animation:enemy_tolerance],[effect:fix_speed, target:myself, turn:1],[effect:damage_gravity, val:0.8, animation:fevergauge_down],[effect:sp_boost, target:unit_all, val:99, animation:sp_boost_one03]</t>
    <phoneticPr fontId="6"/>
  </si>
  <si>
    <t>[effect:enemy_message, val1:1.2, val2:1.8],[effect:enhance_unit, target:unit_blue, turn:-1, status:attack, val:0.7, calc:mul]</t>
    <phoneticPr fontId="6"/>
  </si>
  <si>
    <t>麒麟はショックでダメージを受けている！
+青属性ユニットのスキルゲージがMAXになった！</t>
    <rPh sb="0" eb="2">
      <t>キリンハ</t>
    </rPh>
    <rPh sb="13" eb="14">
      <t>ウケテイル</t>
    </rPh>
    <phoneticPr fontId="6"/>
  </si>
  <si>
    <t>[effect:enemy_message, val1:1, val1.8:],[effect:fix_speed, target:myself, turn:1],[effect:enhance_unit, target:unit_blue, turn:-1, status:attack, val:0.7, calc:mul]</t>
    <phoneticPr fontId="6"/>
  </si>
  <si>
    <t>[effect:enemy_message, val1:2.4, val2:1.8],[effect:suicide, val:0.5, dead_type:suicide, target:myself],[effect:sp_boost, target:unit_blue, val:99, animation:sp_boost_one03]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</si>
</sst>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</font>
    <font>
      <sz val="10"/>
      <color rgb="FF0432FF"/>
      <name val="ＭＳ Ｐゴシック"/>
      <family val="3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indexed="8"/>
      </bottom>
      <diagonal/>
    </border>
  </borders>
  <cellStyleXfs count="727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200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5" borderId="3" xfId="0" applyFont="1" applyFill="1" applyBorder="1" applyAlignment="1">
      <alignment vertical="center"/>
    </xf>
    <xf numFmtId="0" fontId="9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5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9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176" fontId="5" fillId="0" borderId="3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177" fontId="9" fillId="0" borderId="4" xfId="0" applyNumberFormat="1" applyFont="1" applyBorder="1" applyAlignment="1">
      <alignment vertical="center"/>
    </xf>
    <xf numFmtId="0" fontId="5" fillId="2" borderId="7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horizontal="left" vertical="center" wrapText="1"/>
    </xf>
    <xf numFmtId="14" fontId="17" fillId="0" borderId="7" xfId="0" applyNumberFormat="1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4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7" fillId="12" borderId="7" xfId="0" applyFont="1" applyFill="1" applyBorder="1"/>
    <xf numFmtId="0" fontId="14" fillId="11" borderId="7" xfId="434" applyFont="1" applyFill="1" applyBorder="1" applyAlignment="1"/>
    <xf numFmtId="0" fontId="25" fillId="0" borderId="7" xfId="434" applyBorder="1" applyAlignment="1"/>
    <xf numFmtId="0" fontId="7" fillId="0" borderId="3" xfId="0" applyFont="1" applyFill="1" applyBorder="1" applyAlignment="1">
      <alignment vertical="center"/>
    </xf>
    <xf numFmtId="0" fontId="0" fillId="13" borderId="7" xfId="0" applyFill="1" applyBorder="1"/>
    <xf numFmtId="0" fontId="17" fillId="3" borderId="7" xfId="0" applyFont="1" applyFill="1" applyBorder="1" applyAlignment="1">
      <alignment horizontal="left" vertical="center" wrapText="1"/>
    </xf>
    <xf numFmtId="0" fontId="17" fillId="6" borderId="7" xfId="614" applyFont="1" applyFill="1" applyBorder="1" applyAlignment="1">
      <alignment horizontal="left"/>
    </xf>
    <xf numFmtId="0" fontId="15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3" fillId="11" borderId="7" xfId="615" applyFill="1" applyBorder="1"/>
    <xf numFmtId="0" fontId="5" fillId="0" borderId="7" xfId="0" applyFont="1" applyBorder="1" applyAlignment="1">
      <alignment vertical="center"/>
    </xf>
    <xf numFmtId="0" fontId="0" fillId="3" borderId="7" xfId="0" applyFill="1" applyBorder="1"/>
    <xf numFmtId="0" fontId="17" fillId="3" borderId="7" xfId="614" applyFont="1" applyFill="1" applyBorder="1" applyAlignment="1">
      <alignment horizontal="left"/>
    </xf>
    <xf numFmtId="0" fontId="17" fillId="6" borderId="7" xfId="0" applyFont="1" applyFill="1" applyBorder="1" applyAlignment="1">
      <alignment horizontal="center"/>
    </xf>
    <xf numFmtId="56" fontId="17" fillId="6" borderId="7" xfId="0" applyNumberFormat="1" applyFont="1" applyFill="1" applyBorder="1" applyAlignment="1">
      <alignment horizontal="center"/>
    </xf>
    <xf numFmtId="0" fontId="3" fillId="0" borderId="0" xfId="615"/>
    <xf numFmtId="0" fontId="28" fillId="6" borderId="7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14" borderId="7" xfId="0" applyFont="1" applyFill="1" applyBorder="1" applyAlignment="1">
      <alignment horizontal="center"/>
    </xf>
    <xf numFmtId="0" fontId="17" fillId="15" borderId="7" xfId="0" applyFont="1" applyFill="1" applyBorder="1" applyAlignment="1">
      <alignment horizontal="center"/>
    </xf>
    <xf numFmtId="0" fontId="0" fillId="15" borderId="7" xfId="0" applyFill="1" applyBorder="1"/>
    <xf numFmtId="0" fontId="28" fillId="0" borderId="7" xfId="0" applyFont="1" applyFill="1" applyBorder="1"/>
    <xf numFmtId="0" fontId="29" fillId="0" borderId="7" xfId="0" applyFont="1" applyFill="1" applyBorder="1"/>
    <xf numFmtId="0" fontId="30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30" fillId="0" borderId="12" xfId="0" applyFont="1" applyFill="1" applyBorder="1" applyAlignment="1">
      <alignment vertical="center"/>
    </xf>
    <xf numFmtId="0" fontId="31" fillId="14" borderId="7" xfId="0" applyFont="1" applyFill="1" applyBorder="1"/>
    <xf numFmtId="0" fontId="32" fillId="0" borderId="7" xfId="0" applyFont="1" applyFill="1" applyBorder="1"/>
    <xf numFmtId="0" fontId="28" fillId="0" borderId="0" xfId="0" applyFont="1" applyFill="1"/>
    <xf numFmtId="0" fontId="17" fillId="30" borderId="7" xfId="0" applyFont="1" applyFill="1" applyBorder="1" applyAlignment="1">
      <alignment horizontal="center"/>
    </xf>
    <xf numFmtId="0" fontId="31" fillId="30" borderId="7" xfId="0" applyFont="1" applyFill="1" applyBorder="1"/>
    <xf numFmtId="0" fontId="17" fillId="13" borderId="7" xfId="0" applyFont="1" applyFill="1" applyBorder="1" applyAlignment="1">
      <alignment horizontal="center"/>
    </xf>
    <xf numFmtId="56" fontId="17" fillId="14" borderId="7" xfId="0" applyNumberFormat="1" applyFont="1" applyFill="1" applyBorder="1" applyAlignment="1">
      <alignment horizontal="center"/>
    </xf>
    <xf numFmtId="0" fontId="17" fillId="6" borderId="7" xfId="11" applyFont="1" applyFill="1" applyBorder="1" applyAlignment="1">
      <alignment horizontal="left"/>
    </xf>
    <xf numFmtId="0" fontId="14" fillId="7" borderId="0" xfId="0" applyFont="1" applyFill="1" applyAlignment="1">
      <alignment horizontal="center"/>
    </xf>
    <xf numFmtId="0" fontId="52" fillId="6" borderId="7" xfId="0" applyFont="1" applyFill="1" applyBorder="1" applyAlignment="1">
      <alignment horizontal="center"/>
    </xf>
    <xf numFmtId="0" fontId="14" fillId="7" borderId="0" xfId="0" applyFont="1" applyFill="1" applyAlignment="1">
      <alignment horizontal="left" indent="1"/>
    </xf>
    <xf numFmtId="0" fontId="31" fillId="3" borderId="7" xfId="0" applyFont="1" applyFill="1" applyBorder="1"/>
    <xf numFmtId="22" fontId="31" fillId="0" borderId="7" xfId="0" quotePrefix="1" applyNumberFormat="1" applyFont="1" applyFill="1" applyBorder="1"/>
    <xf numFmtId="0" fontId="31" fillId="0" borderId="7" xfId="0" quotePrefix="1" applyFont="1" applyFill="1" applyBorder="1"/>
    <xf numFmtId="0" fontId="3" fillId="0" borderId="7" xfId="615" applyBorder="1"/>
    <xf numFmtId="0" fontId="3" fillId="6" borderId="7" xfId="615" applyFill="1" applyBorder="1"/>
    <xf numFmtId="0" fontId="5" fillId="31" borderId="7" xfId="0" applyFont="1" applyFill="1" applyBorder="1" applyAlignment="1">
      <alignment horizontal="left" vertical="center"/>
    </xf>
    <xf numFmtId="1" fontId="33" fillId="31" borderId="7" xfId="0" applyNumberFormat="1" applyFont="1" applyFill="1" applyBorder="1" applyAlignment="1">
      <alignment vertical="center"/>
    </xf>
    <xf numFmtId="0" fontId="5" fillId="31" borderId="0" xfId="0" applyFont="1" applyFill="1" applyAlignment="1">
      <alignment vertical="center"/>
    </xf>
    <xf numFmtId="0" fontId="7" fillId="32" borderId="11" xfId="0" applyFont="1" applyFill="1" applyBorder="1" applyAlignmen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5" fillId="13" borderId="6" xfId="0" applyFont="1" applyFill="1" applyBorder="1" applyAlignment="1">
      <alignment vertical="center"/>
    </xf>
    <xf numFmtId="0" fontId="7" fillId="32" borderId="9" xfId="0" applyFont="1" applyFill="1" applyBorder="1" applyAlignment="1">
      <alignment vertical="center"/>
    </xf>
    <xf numFmtId="0" fontId="0" fillId="0" borderId="12" xfId="0" applyBorder="1"/>
    <xf numFmtId="0" fontId="0" fillId="3" borderId="12" xfId="0" applyFill="1" applyBorder="1"/>
    <xf numFmtId="0" fontId="7" fillId="5" borderId="12" xfId="0" applyFont="1" applyFill="1" applyBorder="1" applyAlignment="1">
      <alignment vertical="center"/>
    </xf>
    <xf numFmtId="0" fontId="28" fillId="0" borderId="12" xfId="0" applyFont="1" applyFill="1" applyBorder="1"/>
    <xf numFmtId="0" fontId="0" fillId="0" borderId="23" xfId="0" applyBorder="1"/>
    <xf numFmtId="0" fontId="0" fillId="0" borderId="24" xfId="0" applyBorder="1"/>
    <xf numFmtId="0" fontId="0" fillId="0" borderId="7" xfId="0" applyFill="1" applyBorder="1"/>
    <xf numFmtId="0" fontId="0" fillId="0" borderId="25" xfId="0" applyBorder="1"/>
    <xf numFmtId="0" fontId="0" fillId="0" borderId="2" xfId="0" applyBorder="1"/>
    <xf numFmtId="0" fontId="0" fillId="3" borderId="2" xfId="0" applyFill="1" applyBorder="1"/>
    <xf numFmtId="0" fontId="7" fillId="5" borderId="2" xfId="0" applyFont="1" applyFill="1" applyBorder="1" applyAlignment="1">
      <alignment vertical="center"/>
    </xf>
    <xf numFmtId="0" fontId="28" fillId="0" borderId="2" xfId="0" applyFont="1" applyFill="1" applyBorder="1"/>
    <xf numFmtId="0" fontId="0" fillId="0" borderId="26" xfId="0" applyBorder="1"/>
    <xf numFmtId="0" fontId="0" fillId="0" borderId="27" xfId="0" applyBorder="1"/>
    <xf numFmtId="0" fontId="0" fillId="3" borderId="27" xfId="0" applyFill="1" applyBorder="1"/>
    <xf numFmtId="0" fontId="7" fillId="5" borderId="27" xfId="0" applyFont="1" applyFill="1" applyBorder="1" applyAlignment="1">
      <alignment vertical="center"/>
    </xf>
    <xf numFmtId="0" fontId="28" fillId="0" borderId="27" xfId="0" applyFont="1" applyFill="1" applyBorder="1"/>
    <xf numFmtId="0" fontId="0" fillId="0" borderId="28" xfId="0" applyBorder="1"/>
    <xf numFmtId="0" fontId="0" fillId="3" borderId="25" xfId="0" applyFill="1" applyBorder="1"/>
    <xf numFmtId="0" fontId="7" fillId="5" borderId="25" xfId="0" applyFont="1" applyFill="1" applyBorder="1" applyAlignment="1">
      <alignment vertical="center"/>
    </xf>
    <xf numFmtId="0" fontId="28" fillId="0" borderId="25" xfId="0" applyFont="1" applyFill="1" applyBorder="1"/>
    <xf numFmtId="0" fontId="0" fillId="0" borderId="29" xfId="0" applyBorder="1"/>
    <xf numFmtId="0" fontId="17" fillId="0" borderId="25" xfId="0" applyFont="1" applyFill="1" applyBorder="1" applyAlignment="1">
      <alignment vertical="center"/>
    </xf>
    <xf numFmtId="0" fontId="17" fillId="0" borderId="25" xfId="0" applyFont="1" applyFill="1" applyBorder="1" applyAlignment="1">
      <alignment horizontal="left" vertical="center"/>
    </xf>
    <xf numFmtId="0" fontId="17" fillId="0" borderId="25" xfId="0" applyFont="1" applyFill="1" applyBorder="1" applyAlignment="1">
      <alignment horizontal="left" vertical="center" wrapText="1"/>
    </xf>
    <xf numFmtId="0" fontId="17" fillId="3" borderId="25" xfId="0" applyFont="1" applyFill="1" applyBorder="1" applyAlignment="1">
      <alignment horizontal="left" vertical="center" wrapText="1"/>
    </xf>
    <xf numFmtId="0" fontId="17" fillId="3" borderId="25" xfId="0" applyFont="1" applyFill="1" applyBorder="1" applyAlignment="1">
      <alignment vertical="center"/>
    </xf>
    <xf numFmtId="14" fontId="17" fillId="0" borderId="25" xfId="0" applyNumberFormat="1" applyFont="1" applyFill="1" applyBorder="1" applyAlignment="1">
      <alignment horizontal="left" vertical="center"/>
    </xf>
    <xf numFmtId="0" fontId="17" fillId="0" borderId="30" xfId="0" applyFont="1" applyFill="1" applyBorder="1" applyAlignment="1">
      <alignment vertical="center"/>
    </xf>
    <xf numFmtId="0" fontId="17" fillId="0" borderId="27" xfId="0" applyFont="1" applyFill="1" applyBorder="1" applyAlignment="1">
      <alignment vertical="center"/>
    </xf>
    <xf numFmtId="0" fontId="17" fillId="0" borderId="27" xfId="0" applyFont="1" applyFill="1" applyBorder="1" applyAlignment="1">
      <alignment horizontal="left" vertical="center"/>
    </xf>
    <xf numFmtId="0" fontId="17" fillId="3" borderId="27" xfId="0" applyFont="1" applyFill="1" applyBorder="1" applyAlignment="1">
      <alignment horizontal="left" vertical="center" wrapText="1"/>
    </xf>
    <xf numFmtId="0" fontId="17" fillId="3" borderId="27" xfId="0" applyFont="1" applyFill="1" applyBorder="1" applyAlignment="1">
      <alignment vertical="center"/>
    </xf>
    <xf numFmtId="14" fontId="17" fillId="0" borderId="27" xfId="0" applyNumberFormat="1" applyFont="1" applyFill="1" applyBorder="1" applyAlignment="1">
      <alignment horizontal="left" vertical="center"/>
    </xf>
    <xf numFmtId="0" fontId="17" fillId="0" borderId="31" xfId="0" applyFont="1" applyFill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0" fontId="54" fillId="0" borderId="7" xfId="0" applyFont="1" applyFill="1" applyBorder="1" applyAlignment="1">
      <alignment vertical="center"/>
    </xf>
    <xf numFmtId="0" fontId="54" fillId="0" borderId="7" xfId="0" applyFont="1" applyFill="1" applyBorder="1" applyAlignment="1">
      <alignment horizontal="left" vertical="center" wrapText="1"/>
    </xf>
    <xf numFmtId="38" fontId="17" fillId="0" borderId="7" xfId="628" applyFont="1" applyFill="1" applyBorder="1" applyAlignment="1">
      <alignment wrapText="1"/>
    </xf>
    <xf numFmtId="0" fontId="53" fillId="0" borderId="27" xfId="0" applyFont="1" applyFill="1" applyBorder="1" applyAlignment="1">
      <alignment horizontal="left" vertical="center" wrapText="1"/>
    </xf>
    <xf numFmtId="0" fontId="53" fillId="0" borderId="7" xfId="0" applyFont="1" applyFill="1" applyBorder="1" applyAlignment="1">
      <alignment horizontal="left" vertical="center" wrapText="1"/>
    </xf>
    <xf numFmtId="0" fontId="17" fillId="33" borderId="7" xfId="0" applyFont="1" applyFill="1" applyBorder="1" applyAlignment="1">
      <alignment horizontal="left" vertical="center" wrapText="1"/>
    </xf>
    <xf numFmtId="0" fontId="54" fillId="33" borderId="7" xfId="0" applyFont="1" applyFill="1" applyBorder="1" applyAlignment="1">
      <alignment horizontal="left" vertical="center" wrapText="1"/>
    </xf>
    <xf numFmtId="0" fontId="17" fillId="34" borderId="7" xfId="0" applyFont="1" applyFill="1" applyBorder="1" applyAlignment="1">
      <alignment vertical="center"/>
    </xf>
    <xf numFmtId="0" fontId="17" fillId="34" borderId="7" xfId="0" applyFont="1" applyFill="1" applyBorder="1" applyAlignment="1">
      <alignment horizontal="left" vertical="center"/>
    </xf>
    <xf numFmtId="0" fontId="17" fillId="34" borderId="7" xfId="0" applyFont="1" applyFill="1" applyBorder="1" applyAlignment="1">
      <alignment horizontal="left" vertical="center" wrapText="1"/>
    </xf>
    <xf numFmtId="0" fontId="13" fillId="7" borderId="30" xfId="0" applyFont="1" applyFill="1" applyBorder="1" applyAlignment="1">
      <alignment vertical="center"/>
    </xf>
    <xf numFmtId="176" fontId="5" fillId="0" borderId="32" xfId="0" applyNumberFormat="1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vertical="center"/>
    </xf>
    <xf numFmtId="0" fontId="7" fillId="0" borderId="25" xfId="0" applyFont="1" applyFill="1" applyBorder="1" applyAlignment="1">
      <alignment vertical="center"/>
    </xf>
    <xf numFmtId="0" fontId="5" fillId="0" borderId="25" xfId="0" applyFont="1" applyBorder="1" applyAlignment="1">
      <alignment horizontal="center" vertical="center"/>
    </xf>
    <xf numFmtId="0" fontId="7" fillId="5" borderId="33" xfId="0" applyFont="1" applyFill="1" applyBorder="1" applyAlignment="1">
      <alignment vertical="center"/>
    </xf>
    <xf numFmtId="0" fontId="9" fillId="0" borderId="34" xfId="0" applyFont="1" applyBorder="1" applyAlignment="1">
      <alignment vertical="center"/>
    </xf>
    <xf numFmtId="177" fontId="9" fillId="0" borderId="34" xfId="0" applyNumberFormat="1" applyFont="1" applyBorder="1" applyAlignment="1">
      <alignment vertical="center"/>
    </xf>
    <xf numFmtId="1" fontId="33" fillId="31" borderId="25" xfId="0" applyNumberFormat="1" applyFont="1" applyFill="1" applyBorder="1" applyAlignment="1">
      <alignment vertical="center"/>
    </xf>
    <xf numFmtId="0" fontId="7" fillId="0" borderId="32" xfId="0" applyFont="1" applyFill="1" applyBorder="1" applyAlignment="1">
      <alignment vertical="center"/>
    </xf>
    <xf numFmtId="0" fontId="5" fillId="0" borderId="35" xfId="0" applyFont="1" applyBorder="1" applyAlignment="1">
      <alignment vertical="center"/>
    </xf>
    <xf numFmtId="0" fontId="7" fillId="32" borderId="33" xfId="0" applyFont="1" applyFill="1" applyBorder="1" applyAlignment="1">
      <alignment vertical="center"/>
    </xf>
    <xf numFmtId="0" fontId="5" fillId="3" borderId="25" xfId="0" applyFont="1" applyFill="1" applyBorder="1" applyAlignment="1">
      <alignment vertical="center"/>
    </xf>
    <xf numFmtId="0" fontId="5" fillId="0" borderId="25" xfId="0" applyFont="1" applyFill="1" applyBorder="1" applyAlignment="1">
      <alignment vertical="center"/>
    </xf>
    <xf numFmtId="0" fontId="5" fillId="13" borderId="36" xfId="0" applyFont="1" applyFill="1" applyBorder="1" applyAlignment="1">
      <alignment vertical="center"/>
    </xf>
    <xf numFmtId="0" fontId="5" fillId="0" borderId="25" xfId="0" applyFont="1" applyBorder="1" applyAlignment="1">
      <alignment vertical="center"/>
    </xf>
    <xf numFmtId="0" fontId="13" fillId="7" borderId="31" xfId="0" applyFont="1" applyFill="1" applyBorder="1" applyAlignment="1">
      <alignment vertical="center"/>
    </xf>
    <xf numFmtId="176" fontId="5" fillId="0" borderId="37" xfId="0" applyNumberFormat="1" applyFont="1" applyFill="1" applyBorder="1" applyAlignment="1">
      <alignment horizontal="center" vertical="center"/>
    </xf>
    <xf numFmtId="0" fontId="5" fillId="0" borderId="27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7" fillId="5" borderId="37" xfId="0" applyFont="1" applyFill="1" applyBorder="1" applyAlignment="1">
      <alignment vertical="center"/>
    </xf>
    <xf numFmtId="0" fontId="7" fillId="0" borderId="27" xfId="0" applyFont="1" applyFill="1" applyBorder="1" applyAlignment="1">
      <alignment vertical="center"/>
    </xf>
    <xf numFmtId="0" fontId="5" fillId="0" borderId="27" xfId="0" applyFont="1" applyBorder="1" applyAlignment="1">
      <alignment horizontal="center" vertical="center"/>
    </xf>
    <xf numFmtId="0" fontId="7" fillId="5" borderId="38" xfId="0" applyFont="1" applyFill="1" applyBorder="1" applyAlignment="1">
      <alignment vertical="center"/>
    </xf>
    <xf numFmtId="0" fontId="9" fillId="0" borderId="39" xfId="0" applyFont="1" applyBorder="1" applyAlignment="1">
      <alignment vertical="center"/>
    </xf>
    <xf numFmtId="177" fontId="9" fillId="0" borderId="39" xfId="0" applyNumberFormat="1" applyFont="1" applyBorder="1" applyAlignment="1">
      <alignment vertical="center"/>
    </xf>
    <xf numFmtId="1" fontId="33" fillId="31" borderId="27" xfId="0" applyNumberFormat="1" applyFont="1" applyFill="1" applyBorder="1" applyAlignment="1">
      <alignment vertical="center"/>
    </xf>
    <xf numFmtId="0" fontId="7" fillId="0" borderId="37" xfId="0" applyFont="1" applyFill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7" fillId="32" borderId="38" xfId="0" applyFont="1" applyFill="1" applyBorder="1" applyAlignment="1">
      <alignment vertical="center"/>
    </xf>
    <xf numFmtId="0" fontId="5" fillId="3" borderId="27" xfId="0" applyFont="1" applyFill="1" applyBorder="1" applyAlignment="1">
      <alignment vertical="center"/>
    </xf>
    <xf numFmtId="0" fontId="5" fillId="0" borderId="27" xfId="0" applyFont="1" applyFill="1" applyBorder="1" applyAlignment="1">
      <alignment vertical="center"/>
    </xf>
    <xf numFmtId="0" fontId="5" fillId="0" borderId="40" xfId="0" applyFont="1" applyBorder="1" applyAlignment="1">
      <alignment vertical="center"/>
    </xf>
    <xf numFmtId="0" fontId="5" fillId="0" borderId="27" xfId="0" applyFont="1" applyBorder="1" applyAlignment="1">
      <alignment vertical="center"/>
    </xf>
    <xf numFmtId="0" fontId="7" fillId="32" borderId="41" xfId="0" applyFont="1" applyFill="1" applyBorder="1" applyAlignment="1">
      <alignment vertical="center"/>
    </xf>
    <xf numFmtId="0" fontId="7" fillId="32" borderId="42" xfId="0" applyFont="1" applyFill="1" applyBorder="1" applyAlignment="1">
      <alignment vertical="center"/>
    </xf>
    <xf numFmtId="0" fontId="7" fillId="3" borderId="25" xfId="0" applyFont="1" applyFill="1" applyBorder="1" applyAlignment="1">
      <alignment vertical="center"/>
    </xf>
    <xf numFmtId="0" fontId="7" fillId="3" borderId="27" xfId="0" applyFont="1" applyFill="1" applyBorder="1" applyAlignment="1">
      <alignment vertical="center"/>
    </xf>
    <xf numFmtId="0" fontId="55" fillId="0" borderId="3" xfId="0" applyFont="1" applyFill="1" applyBorder="1" applyAlignment="1">
      <alignment vertical="center"/>
    </xf>
    <xf numFmtId="0" fontId="53" fillId="0" borderId="7" xfId="0" applyFont="1" applyFill="1" applyBorder="1" applyAlignment="1">
      <alignment horizontal="left" vertical="center"/>
    </xf>
    <xf numFmtId="0" fontId="56" fillId="0" borderId="7" xfId="0" applyFont="1" applyFill="1" applyBorder="1" applyAlignment="1">
      <alignment vertical="center"/>
    </xf>
    <xf numFmtId="38" fontId="12" fillId="0" borderId="7" xfId="702" applyFont="1" applyBorder="1" applyAlignment="1">
      <alignment horizontal="left" vertical="center" wrapText="1"/>
    </xf>
  </cellXfs>
  <cellStyles count="727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桁区切り 2" xfId="429"/>
    <cellStyle name="桁区切り 2 2" xfId="628"/>
    <cellStyle name="桁区切り [0]" xfId="702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赤字強調" xfId="431"/>
    <cellStyle name="青字強調" xfId="43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11207</v>
          </cell>
        </row>
        <row r="66">
          <cell r="A66">
            <v>11208</v>
          </cell>
        </row>
        <row r="67">
          <cell r="A67">
            <v>11209</v>
          </cell>
        </row>
        <row r="68">
          <cell r="A68">
            <v>11210</v>
          </cell>
        </row>
        <row r="69">
          <cell r="A69">
            <v>11211</v>
          </cell>
        </row>
        <row r="70">
          <cell r="A70">
            <v>11212</v>
          </cell>
        </row>
        <row r="71">
          <cell r="A71">
            <v>11213</v>
          </cell>
        </row>
        <row r="72">
          <cell r="A72">
            <v>11214</v>
          </cell>
        </row>
        <row r="73">
          <cell r="A73">
            <v>11215</v>
          </cell>
        </row>
        <row r="74">
          <cell r="A74">
            <v>11216</v>
          </cell>
        </row>
        <row r="75">
          <cell r="A75">
            <v>11217</v>
          </cell>
        </row>
        <row r="76">
          <cell r="A76">
            <v>11218</v>
          </cell>
        </row>
        <row r="77">
          <cell r="A77">
            <v>11219</v>
          </cell>
        </row>
        <row r="78">
          <cell r="A78">
            <v>11220</v>
          </cell>
        </row>
        <row r="79">
          <cell r="A79">
            <v>11221</v>
          </cell>
        </row>
        <row r="80">
          <cell r="A80">
            <v>11224</v>
          </cell>
        </row>
        <row r="81">
          <cell r="A81">
            <v>11225</v>
          </cell>
        </row>
        <row r="82">
          <cell r="A82">
            <v>11226</v>
          </cell>
        </row>
        <row r="83">
          <cell r="A83">
            <v>12001</v>
          </cell>
        </row>
        <row r="84">
          <cell r="A84">
            <v>12002</v>
          </cell>
        </row>
        <row r="85">
          <cell r="A85">
            <v>12003</v>
          </cell>
        </row>
        <row r="86">
          <cell r="A86">
            <v>12004</v>
          </cell>
        </row>
        <row r="87">
          <cell r="A87">
            <v>13001</v>
          </cell>
        </row>
        <row r="88">
          <cell r="A88">
            <v>14001</v>
          </cell>
        </row>
        <row r="89">
          <cell r="A89">
            <v>14002</v>
          </cell>
        </row>
        <row r="90">
          <cell r="A90">
            <v>14003</v>
          </cell>
        </row>
        <row r="91">
          <cell r="A91">
            <v>14004</v>
          </cell>
        </row>
        <row r="92">
          <cell r="A92">
            <v>14005</v>
          </cell>
        </row>
        <row r="93">
          <cell r="A93">
            <v>14006</v>
          </cell>
        </row>
        <row r="94">
          <cell r="A94">
            <v>15027</v>
          </cell>
        </row>
        <row r="95">
          <cell r="A95">
            <v>15028</v>
          </cell>
        </row>
        <row r="96">
          <cell r="A96">
            <v>15029</v>
          </cell>
        </row>
        <row r="97">
          <cell r="A97">
            <v>15030</v>
          </cell>
        </row>
        <row r="98">
          <cell r="A98">
            <v>15031</v>
          </cell>
        </row>
        <row r="99">
          <cell r="A99">
            <v>20001</v>
          </cell>
        </row>
        <row r="100">
          <cell r="A100">
            <v>20002</v>
          </cell>
        </row>
        <row r="101">
          <cell r="A101">
            <v>20003</v>
          </cell>
        </row>
        <row r="102">
          <cell r="A102">
            <v>20004</v>
          </cell>
        </row>
        <row r="103">
          <cell r="A103">
            <v>20005</v>
          </cell>
        </row>
        <row r="104">
          <cell r="A104">
            <v>20006</v>
          </cell>
        </row>
        <row r="105">
          <cell r="A105">
            <v>20007</v>
          </cell>
        </row>
        <row r="106">
          <cell r="A106">
            <v>20008</v>
          </cell>
        </row>
        <row r="107">
          <cell r="A107">
            <v>20009</v>
          </cell>
        </row>
        <row r="108">
          <cell r="A108">
            <v>20010</v>
          </cell>
        </row>
        <row r="109">
          <cell r="A109">
            <v>20011</v>
          </cell>
        </row>
        <row r="110">
          <cell r="A110">
            <v>20012</v>
          </cell>
        </row>
        <row r="111">
          <cell r="A111">
            <v>20013</v>
          </cell>
        </row>
        <row r="112">
          <cell r="A112">
            <v>20014</v>
          </cell>
        </row>
        <row r="113">
          <cell r="A113">
            <v>20015</v>
          </cell>
        </row>
        <row r="114">
          <cell r="A114">
            <v>20016</v>
          </cell>
        </row>
        <row r="115">
          <cell r="A115">
            <v>20017</v>
          </cell>
        </row>
        <row r="116">
          <cell r="A116">
            <v>20018</v>
          </cell>
        </row>
        <row r="117">
          <cell r="A117">
            <v>30001</v>
          </cell>
        </row>
        <row r="118">
          <cell r="A118">
            <v>30002</v>
          </cell>
        </row>
        <row r="119">
          <cell r="A119">
            <v>30003</v>
          </cell>
        </row>
        <row r="120">
          <cell r="A120">
            <v>30004</v>
          </cell>
        </row>
        <row r="121">
          <cell r="A121">
            <v>30005</v>
          </cell>
        </row>
        <row r="122">
          <cell r="A122">
            <v>30006</v>
          </cell>
        </row>
        <row r="123">
          <cell r="A123">
            <v>30007</v>
          </cell>
        </row>
        <row r="124">
          <cell r="A124">
            <v>30008</v>
          </cell>
        </row>
        <row r="125">
          <cell r="A125">
            <v>30009</v>
          </cell>
        </row>
        <row r="126">
          <cell r="A126">
            <v>30010</v>
          </cell>
        </row>
        <row r="127">
          <cell r="A127">
            <v>30011</v>
          </cell>
        </row>
        <row r="128">
          <cell r="A128">
            <v>30012</v>
          </cell>
        </row>
        <row r="129">
          <cell r="A129">
            <v>30013</v>
          </cell>
        </row>
        <row r="130">
          <cell r="A130">
            <v>30014</v>
          </cell>
        </row>
        <row r="131">
          <cell r="A131">
            <v>30015</v>
          </cell>
        </row>
        <row r="132">
          <cell r="A132">
            <v>30016</v>
          </cell>
        </row>
        <row r="133">
          <cell r="A133">
            <v>30017</v>
          </cell>
        </row>
        <row r="134">
          <cell r="A134">
            <v>30018</v>
          </cell>
        </row>
        <row r="135">
          <cell r="A135">
            <v>30019</v>
          </cell>
        </row>
        <row r="136">
          <cell r="A136">
            <v>30020</v>
          </cell>
        </row>
        <row r="137">
          <cell r="A137">
            <v>30021</v>
          </cell>
        </row>
        <row r="138">
          <cell r="A138">
            <v>30022</v>
          </cell>
        </row>
        <row r="139">
          <cell r="A139">
            <v>30023</v>
          </cell>
        </row>
        <row r="140">
          <cell r="A140">
            <v>30024</v>
          </cell>
        </row>
        <row r="141">
          <cell r="A141">
            <v>30025</v>
          </cell>
        </row>
        <row r="142">
          <cell r="A142">
            <v>30026</v>
          </cell>
        </row>
        <row r="143">
          <cell r="A143">
            <v>30027</v>
          </cell>
        </row>
        <row r="144">
          <cell r="A144">
            <v>30028</v>
          </cell>
        </row>
        <row r="145">
          <cell r="A145">
            <v>30029</v>
          </cell>
        </row>
        <row r="146">
          <cell r="A146">
            <v>30030</v>
          </cell>
        </row>
        <row r="147">
          <cell r="A147">
            <v>30031</v>
          </cell>
        </row>
        <row r="148">
          <cell r="A148">
            <v>30032</v>
          </cell>
        </row>
        <row r="149">
          <cell r="A149">
            <v>30033</v>
          </cell>
        </row>
        <row r="150">
          <cell r="A150">
            <v>30034</v>
          </cell>
        </row>
        <row r="151">
          <cell r="A151">
            <v>30035</v>
          </cell>
        </row>
        <row r="152">
          <cell r="A152">
            <v>30036</v>
          </cell>
        </row>
        <row r="153">
          <cell r="A153">
            <v>30037</v>
          </cell>
        </row>
        <row r="154">
          <cell r="A154">
            <v>30038</v>
          </cell>
        </row>
        <row r="155">
          <cell r="A155">
            <v>39001</v>
          </cell>
        </row>
        <row r="156">
          <cell r="A156">
            <v>39002</v>
          </cell>
        </row>
        <row r="157">
          <cell r="A157">
            <v>39003</v>
          </cell>
        </row>
        <row r="158">
          <cell r="A158">
            <v>39004</v>
          </cell>
        </row>
        <row r="159">
          <cell r="A159">
            <v>39005</v>
          </cell>
        </row>
        <row r="160">
          <cell r="A160">
            <v>39006</v>
          </cell>
        </row>
        <row r="161">
          <cell r="A161">
            <v>40001</v>
          </cell>
        </row>
        <row r="162">
          <cell r="A162">
            <v>40002</v>
          </cell>
        </row>
        <row r="163">
          <cell r="A163">
            <v>40003</v>
          </cell>
        </row>
        <row r="164">
          <cell r="A164">
            <v>40004</v>
          </cell>
        </row>
        <row r="165">
          <cell r="A165">
            <v>40005</v>
          </cell>
        </row>
        <row r="166">
          <cell r="A166">
            <v>40006</v>
          </cell>
        </row>
        <row r="167">
          <cell r="A167">
            <v>40007</v>
          </cell>
        </row>
        <row r="168">
          <cell r="A168">
            <v>40008</v>
          </cell>
        </row>
        <row r="169">
          <cell r="A169">
            <v>40009</v>
          </cell>
        </row>
        <row r="170">
          <cell r="A170">
            <v>40010</v>
          </cell>
        </row>
        <row r="171">
          <cell r="A171">
            <v>40011</v>
          </cell>
        </row>
        <row r="172">
          <cell r="A172">
            <v>40012</v>
          </cell>
        </row>
        <row r="173">
          <cell r="A173">
            <v>40013</v>
          </cell>
        </row>
        <row r="174">
          <cell r="A174">
            <v>40014</v>
          </cell>
        </row>
        <row r="175">
          <cell r="A175">
            <v>40015</v>
          </cell>
        </row>
        <row r="176">
          <cell r="A176">
            <v>40016</v>
          </cell>
        </row>
        <row r="177">
          <cell r="A177">
            <v>40017</v>
          </cell>
        </row>
        <row r="178">
          <cell r="A178">
            <v>40018</v>
          </cell>
        </row>
        <row r="179">
          <cell r="A179">
            <v>40019</v>
          </cell>
        </row>
        <row r="180">
          <cell r="A180">
            <v>40021</v>
          </cell>
        </row>
        <row r="181">
          <cell r="A181">
            <v>40022</v>
          </cell>
        </row>
        <row r="182">
          <cell r="A182">
            <v>48001</v>
          </cell>
        </row>
        <row r="183">
          <cell r="A183">
            <v>48002</v>
          </cell>
        </row>
        <row r="184">
          <cell r="A184">
            <v>41001</v>
          </cell>
        </row>
        <row r="185">
          <cell r="A185">
            <v>41002</v>
          </cell>
        </row>
        <row r="186">
          <cell r="A186">
            <v>41003</v>
          </cell>
        </row>
        <row r="187">
          <cell r="A187">
            <v>41004</v>
          </cell>
        </row>
        <row r="188">
          <cell r="A188">
            <v>41005</v>
          </cell>
        </row>
        <row r="189">
          <cell r="A189">
            <v>41006</v>
          </cell>
        </row>
        <row r="190">
          <cell r="A190">
            <v>41007</v>
          </cell>
        </row>
        <row r="191">
          <cell r="A191">
            <v>41008</v>
          </cell>
        </row>
        <row r="192">
          <cell r="A192">
            <v>41009</v>
          </cell>
        </row>
        <row r="193">
          <cell r="A193">
            <v>41010</v>
          </cell>
        </row>
        <row r="194">
          <cell r="A194">
            <v>41011</v>
          </cell>
        </row>
        <row r="195">
          <cell r="A195">
            <v>41012</v>
          </cell>
        </row>
        <row r="196">
          <cell r="A196">
            <v>47001</v>
          </cell>
        </row>
        <row r="197">
          <cell r="A197">
            <v>47002</v>
          </cell>
        </row>
        <row r="198">
          <cell r="A198">
            <v>49001</v>
          </cell>
        </row>
        <row r="199">
          <cell r="A199">
            <v>49002</v>
          </cell>
        </row>
        <row r="200">
          <cell r="A200">
            <v>49003</v>
          </cell>
        </row>
        <row r="201">
          <cell r="A201">
            <v>49004</v>
          </cell>
        </row>
        <row r="202">
          <cell r="A202">
            <v>49005</v>
          </cell>
        </row>
        <row r="203">
          <cell r="A203">
            <v>49006</v>
          </cell>
        </row>
        <row r="204">
          <cell r="A204">
            <v>50001</v>
          </cell>
        </row>
        <row r="205">
          <cell r="A205">
            <v>50002</v>
          </cell>
        </row>
        <row r="206">
          <cell r="A206">
            <v>50003</v>
          </cell>
        </row>
        <row r="207">
          <cell r="A207">
            <v>50004</v>
          </cell>
        </row>
        <row r="208">
          <cell r="A208">
            <v>50005</v>
          </cell>
        </row>
        <row r="209">
          <cell r="A209">
            <v>51001</v>
          </cell>
        </row>
        <row r="210">
          <cell r="A210">
            <v>51002</v>
          </cell>
        </row>
        <row r="211">
          <cell r="A211">
            <v>60001</v>
          </cell>
        </row>
        <row r="212">
          <cell r="A212">
            <v>60002</v>
          </cell>
        </row>
        <row r="213">
          <cell r="A213">
            <v>60003</v>
          </cell>
        </row>
        <row r="214">
          <cell r="A214">
            <v>60004</v>
          </cell>
        </row>
        <row r="215">
          <cell r="A215">
            <v>60005</v>
          </cell>
        </row>
        <row r="216">
          <cell r="A216">
            <v>60006</v>
          </cell>
        </row>
        <row r="217">
          <cell r="A217">
            <v>60007</v>
          </cell>
        </row>
        <row r="218">
          <cell r="A218">
            <v>60010</v>
          </cell>
        </row>
        <row r="219">
          <cell r="A219">
            <v>60011</v>
          </cell>
        </row>
        <row r="220">
          <cell r="A220">
            <v>61011</v>
          </cell>
        </row>
        <row r="221">
          <cell r="A221">
            <v>60012</v>
          </cell>
        </row>
        <row r="222">
          <cell r="A222">
            <v>65534</v>
          </cell>
        </row>
        <row r="223">
          <cell r="A223">
            <v>65535</v>
          </cell>
        </row>
        <row r="224">
          <cell r="A224">
            <v>60021</v>
          </cell>
        </row>
        <row r="225">
          <cell r="A225">
            <v>60022</v>
          </cell>
        </row>
        <row r="226">
          <cell r="A226">
            <v>60023</v>
          </cell>
        </row>
        <row r="227">
          <cell r="A22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11207_1</v>
          </cell>
        </row>
        <row r="265">
          <cell r="A265" t="str">
            <v>11207_2</v>
          </cell>
        </row>
        <row r="266">
          <cell r="A266" t="str">
            <v>11208_1</v>
          </cell>
        </row>
        <row r="267">
          <cell r="A267" t="str">
            <v>11208_2</v>
          </cell>
        </row>
        <row r="268">
          <cell r="A268" t="str">
            <v>11209_1</v>
          </cell>
        </row>
        <row r="269">
          <cell r="A269" t="str">
            <v>11209_2</v>
          </cell>
        </row>
        <row r="270">
          <cell r="A270" t="str">
            <v>11212_1</v>
          </cell>
        </row>
        <row r="271">
          <cell r="A271" t="str">
            <v>11213_1</v>
          </cell>
        </row>
        <row r="272">
          <cell r="A272" t="str">
            <v>11214_1</v>
          </cell>
        </row>
        <row r="273">
          <cell r="A273" t="str">
            <v>11214_2</v>
          </cell>
        </row>
        <row r="274">
          <cell r="A274" t="str">
            <v>11214_3</v>
          </cell>
        </row>
        <row r="275">
          <cell r="A275" t="str">
            <v>11215_1</v>
          </cell>
        </row>
        <row r="276">
          <cell r="A276" t="str">
            <v>11216_1</v>
          </cell>
        </row>
        <row r="277">
          <cell r="A277" t="str">
            <v>11217_1</v>
          </cell>
        </row>
        <row r="278">
          <cell r="A278" t="str">
            <v>11218_1</v>
          </cell>
        </row>
        <row r="279">
          <cell r="A279" t="str">
            <v>11219_1</v>
          </cell>
        </row>
        <row r="280">
          <cell r="A280" t="str">
            <v>11220_1</v>
          </cell>
        </row>
        <row r="281">
          <cell r="A281" t="str">
            <v>11221_1</v>
          </cell>
        </row>
        <row r="282">
          <cell r="A282" t="str">
            <v>11224_1</v>
          </cell>
        </row>
        <row r="283">
          <cell r="A283" t="str">
            <v>11225_1</v>
          </cell>
        </row>
        <row r="284">
          <cell r="A284" t="str">
            <v>11226_1</v>
          </cell>
        </row>
        <row r="285">
          <cell r="A285" t="str">
            <v>11226_2</v>
          </cell>
        </row>
        <row r="286">
          <cell r="A286" t="str">
            <v>11226_3</v>
          </cell>
        </row>
        <row r="287">
          <cell r="A287" t="str">
            <v>11226_4</v>
          </cell>
        </row>
        <row r="288">
          <cell r="A288" t="str">
            <v>11226_5</v>
          </cell>
        </row>
        <row r="289">
          <cell r="A289" t="str">
            <v>11226_6</v>
          </cell>
        </row>
        <row r="290">
          <cell r="A290" t="str">
            <v>11226_7</v>
          </cell>
        </row>
        <row r="291">
          <cell r="A291" t="str">
            <v>11226_8</v>
          </cell>
        </row>
        <row r="292">
          <cell r="A292" t="str">
            <v>12001_1</v>
          </cell>
        </row>
        <row r="293">
          <cell r="A293" t="str">
            <v>12001_2</v>
          </cell>
        </row>
        <row r="294">
          <cell r="A294" t="str">
            <v>12001_3</v>
          </cell>
        </row>
        <row r="295">
          <cell r="A295" t="str">
            <v>12002_1</v>
          </cell>
        </row>
        <row r="296">
          <cell r="A296" t="str">
            <v>12002_2</v>
          </cell>
        </row>
        <row r="297">
          <cell r="A297" t="str">
            <v>12003_1</v>
          </cell>
        </row>
        <row r="298">
          <cell r="A298" t="str">
            <v>12003_2</v>
          </cell>
        </row>
        <row r="299">
          <cell r="A299" t="str">
            <v>12003_3</v>
          </cell>
        </row>
        <row r="300">
          <cell r="A300" t="str">
            <v>12003_4</v>
          </cell>
        </row>
        <row r="301">
          <cell r="A301" t="str">
            <v>12004_1</v>
          </cell>
        </row>
        <row r="302">
          <cell r="A302" t="str">
            <v>13001_1</v>
          </cell>
        </row>
        <row r="303">
          <cell r="A303" t="str">
            <v>13001_2</v>
          </cell>
        </row>
        <row r="304">
          <cell r="A304" t="str">
            <v>13001_3</v>
          </cell>
        </row>
        <row r="305">
          <cell r="A305" t="str">
            <v>13001_4</v>
          </cell>
        </row>
        <row r="306">
          <cell r="A306" t="str">
            <v>13001_5</v>
          </cell>
        </row>
        <row r="307">
          <cell r="A307" t="str">
            <v>13001_6</v>
          </cell>
        </row>
        <row r="308">
          <cell r="A308" t="str">
            <v>13001_7</v>
          </cell>
        </row>
        <row r="309">
          <cell r="A309" t="str">
            <v>13001_8</v>
          </cell>
        </row>
        <row r="310">
          <cell r="A310" t="str">
            <v>13001_9</v>
          </cell>
        </row>
        <row r="311">
          <cell r="A311" t="str">
            <v>13001_10</v>
          </cell>
        </row>
        <row r="312">
          <cell r="A312" t="str">
            <v>13001_11</v>
          </cell>
        </row>
        <row r="313">
          <cell r="A313" t="str">
            <v>13001_12</v>
          </cell>
        </row>
        <row r="314">
          <cell r="A314" t="str">
            <v>13001_13</v>
          </cell>
        </row>
        <row r="315">
          <cell r="A315" t="str">
            <v>13001_14</v>
          </cell>
        </row>
        <row r="316">
          <cell r="A316" t="str">
            <v>13001_15</v>
          </cell>
        </row>
        <row r="317">
          <cell r="A317" t="str">
            <v>13001_16</v>
          </cell>
        </row>
        <row r="318">
          <cell r="A318" t="str">
            <v>13001_17</v>
          </cell>
        </row>
        <row r="319">
          <cell r="A319" t="str">
            <v>13001_18</v>
          </cell>
        </row>
        <row r="320">
          <cell r="A320" t="str">
            <v>13001_19</v>
          </cell>
        </row>
        <row r="321">
          <cell r="A321" t="str">
            <v>13001_20</v>
          </cell>
        </row>
        <row r="322">
          <cell r="A322" t="str">
            <v>13001_21</v>
          </cell>
        </row>
        <row r="323">
          <cell r="A323" t="str">
            <v>13001_22</v>
          </cell>
        </row>
        <row r="324">
          <cell r="A324" t="str">
            <v>13001_23</v>
          </cell>
        </row>
        <row r="325">
          <cell r="A325" t="str">
            <v>13001_24</v>
          </cell>
        </row>
        <row r="326">
          <cell r="A326" t="str">
            <v>13001_25</v>
          </cell>
        </row>
        <row r="327">
          <cell r="A327" t="str">
            <v>14001_1</v>
          </cell>
        </row>
        <row r="328">
          <cell r="A328" t="str">
            <v>14001_2</v>
          </cell>
        </row>
        <row r="329">
          <cell r="A329" t="str">
            <v>14001_3</v>
          </cell>
        </row>
        <row r="330">
          <cell r="A330" t="str">
            <v>14001_4</v>
          </cell>
        </row>
        <row r="331">
          <cell r="A331" t="str">
            <v>14001_5</v>
          </cell>
        </row>
        <row r="332">
          <cell r="A332" t="str">
            <v>14001_6</v>
          </cell>
        </row>
        <row r="333">
          <cell r="A333" t="str">
            <v>14001_7</v>
          </cell>
        </row>
        <row r="334">
          <cell r="A334" t="str">
            <v>14001_8</v>
          </cell>
        </row>
        <row r="335">
          <cell r="A335" t="str">
            <v>14002_1</v>
          </cell>
        </row>
        <row r="336">
          <cell r="A336" t="str">
            <v>14002_2</v>
          </cell>
        </row>
        <row r="337">
          <cell r="A337" t="str">
            <v>14003_1</v>
          </cell>
        </row>
        <row r="338">
          <cell r="A338" t="str">
            <v>14003_2</v>
          </cell>
        </row>
        <row r="339">
          <cell r="A339" t="str">
            <v>14003_3</v>
          </cell>
        </row>
        <row r="340">
          <cell r="A340" t="str">
            <v>14003_4</v>
          </cell>
        </row>
        <row r="341">
          <cell r="A341" t="str">
            <v>14004_1</v>
          </cell>
        </row>
        <row r="342">
          <cell r="A342" t="str">
            <v>14004_2</v>
          </cell>
        </row>
        <row r="343">
          <cell r="A343" t="str">
            <v>14004_3</v>
          </cell>
        </row>
        <row r="344">
          <cell r="A344" t="str">
            <v>14004_4</v>
          </cell>
        </row>
        <row r="345">
          <cell r="A345" t="str">
            <v>14005_1</v>
          </cell>
        </row>
        <row r="346">
          <cell r="A346" t="str">
            <v>14006_1</v>
          </cell>
        </row>
        <row r="347">
          <cell r="A347" t="str">
            <v>15027_1</v>
          </cell>
        </row>
        <row r="348">
          <cell r="A348" t="str">
            <v>15027_2</v>
          </cell>
        </row>
        <row r="349">
          <cell r="A349" t="str">
            <v>15027_3</v>
          </cell>
        </row>
        <row r="350">
          <cell r="A350" t="str">
            <v>15027_4</v>
          </cell>
        </row>
        <row r="351">
          <cell r="A351" t="str">
            <v>15028_1</v>
          </cell>
        </row>
        <row r="352">
          <cell r="A352" t="str">
            <v>15028_2</v>
          </cell>
        </row>
        <row r="353">
          <cell r="A353" t="str">
            <v>15028_3</v>
          </cell>
        </row>
        <row r="354">
          <cell r="A354" t="str">
            <v>15028_4</v>
          </cell>
        </row>
        <row r="355">
          <cell r="A355" t="str">
            <v>15029_1</v>
          </cell>
        </row>
        <row r="356">
          <cell r="A356" t="str">
            <v>15029_2</v>
          </cell>
        </row>
        <row r="357">
          <cell r="A357" t="str">
            <v>15029_3</v>
          </cell>
        </row>
        <row r="358">
          <cell r="A358" t="str">
            <v>15029_4</v>
          </cell>
        </row>
        <row r="359">
          <cell r="A359" t="str">
            <v>15030_1</v>
          </cell>
        </row>
        <row r="360">
          <cell r="A360" t="str">
            <v>15030_2</v>
          </cell>
        </row>
        <row r="361">
          <cell r="A361" t="str">
            <v>15030_3</v>
          </cell>
        </row>
        <row r="362">
          <cell r="A362" t="str">
            <v>15030_4</v>
          </cell>
        </row>
        <row r="363">
          <cell r="A363" t="str">
            <v>15031_1</v>
          </cell>
        </row>
        <row r="364">
          <cell r="A364" t="str">
            <v>15031_2</v>
          </cell>
        </row>
        <row r="365">
          <cell r="A365" t="str">
            <v>15031_3</v>
          </cell>
        </row>
        <row r="366">
          <cell r="A366" t="str">
            <v>15031_4</v>
          </cell>
        </row>
        <row r="367">
          <cell r="A367" t="str">
            <v>20001_1</v>
          </cell>
        </row>
        <row r="368">
          <cell r="A368" t="str">
            <v>20001_2</v>
          </cell>
        </row>
        <row r="369">
          <cell r="A369" t="str">
            <v>20001_3</v>
          </cell>
        </row>
        <row r="370">
          <cell r="A370" t="str">
            <v>20002_1</v>
          </cell>
        </row>
        <row r="371">
          <cell r="A371" t="str">
            <v>20002_2</v>
          </cell>
        </row>
        <row r="372">
          <cell r="A372" t="str">
            <v>20002_3</v>
          </cell>
        </row>
        <row r="373">
          <cell r="A373" t="str">
            <v>20003_1</v>
          </cell>
        </row>
        <row r="374">
          <cell r="A374" t="str">
            <v>20003_2</v>
          </cell>
        </row>
        <row r="375">
          <cell r="A375" t="str">
            <v>20003_3</v>
          </cell>
        </row>
        <row r="376">
          <cell r="A376" t="str">
            <v>20004_1</v>
          </cell>
        </row>
        <row r="377">
          <cell r="A377" t="str">
            <v>20004_2</v>
          </cell>
        </row>
        <row r="378">
          <cell r="A378" t="str">
            <v>20004_3</v>
          </cell>
        </row>
        <row r="379">
          <cell r="A379" t="str">
            <v>20005_1</v>
          </cell>
        </row>
        <row r="380">
          <cell r="A380" t="str">
            <v>20005_2</v>
          </cell>
        </row>
        <row r="381">
          <cell r="A381" t="str">
            <v>20005_3</v>
          </cell>
        </row>
        <row r="382">
          <cell r="A382" t="str">
            <v>20006_1</v>
          </cell>
        </row>
        <row r="383">
          <cell r="A383" t="str">
            <v>20006_2</v>
          </cell>
        </row>
        <row r="384">
          <cell r="A384" t="str">
            <v>20006_3</v>
          </cell>
        </row>
        <row r="385">
          <cell r="A385" t="str">
            <v>20007_1</v>
          </cell>
        </row>
        <row r="386">
          <cell r="A386" t="str">
            <v>20007_2</v>
          </cell>
        </row>
        <row r="387">
          <cell r="A387" t="str">
            <v>20007_3</v>
          </cell>
        </row>
        <row r="388">
          <cell r="A388" t="str">
            <v>20008_1</v>
          </cell>
        </row>
        <row r="389">
          <cell r="A389" t="str">
            <v>20008_2</v>
          </cell>
        </row>
        <row r="390">
          <cell r="A390" t="str">
            <v>20008_3</v>
          </cell>
        </row>
        <row r="391">
          <cell r="A391" t="str">
            <v>20009_1</v>
          </cell>
        </row>
        <row r="392">
          <cell r="A392" t="str">
            <v>20009_2</v>
          </cell>
        </row>
        <row r="393">
          <cell r="A393" t="str">
            <v>20009_3</v>
          </cell>
        </row>
        <row r="394">
          <cell r="A394" t="str">
            <v>20010_1</v>
          </cell>
        </row>
        <row r="395">
          <cell r="A395" t="str">
            <v>20010_2</v>
          </cell>
        </row>
        <row r="396">
          <cell r="A396" t="str">
            <v>20010_3</v>
          </cell>
        </row>
        <row r="397">
          <cell r="A397" t="str">
            <v>20011_1</v>
          </cell>
        </row>
        <row r="398">
          <cell r="A398" t="str">
            <v>20011_2</v>
          </cell>
        </row>
        <row r="399">
          <cell r="A399" t="str">
            <v>20011_3</v>
          </cell>
        </row>
        <row r="400">
          <cell r="A400" t="str">
            <v>20012_1</v>
          </cell>
        </row>
        <row r="401">
          <cell r="A401" t="str">
            <v>20012_2</v>
          </cell>
        </row>
        <row r="402">
          <cell r="A402" t="str">
            <v>20012_3</v>
          </cell>
        </row>
        <row r="403">
          <cell r="A403" t="str">
            <v>20013_1</v>
          </cell>
        </row>
        <row r="404">
          <cell r="A404" t="str">
            <v>20013_2</v>
          </cell>
        </row>
        <row r="405">
          <cell r="A405" t="str">
            <v>20013_3</v>
          </cell>
        </row>
        <row r="406">
          <cell r="A406" t="str">
            <v>20014_1</v>
          </cell>
        </row>
        <row r="407">
          <cell r="A407" t="str">
            <v>20014_2</v>
          </cell>
        </row>
        <row r="408">
          <cell r="A408" t="str">
            <v>20014_3</v>
          </cell>
        </row>
        <row r="409">
          <cell r="A409" t="str">
            <v>20015_1</v>
          </cell>
        </row>
        <row r="410">
          <cell r="A410" t="str">
            <v>20015_2</v>
          </cell>
        </row>
        <row r="411">
          <cell r="A411" t="str">
            <v>20015_3</v>
          </cell>
        </row>
        <row r="412">
          <cell r="A412" t="str">
            <v>20016_1</v>
          </cell>
        </row>
        <row r="413">
          <cell r="A413" t="str">
            <v>20016_2</v>
          </cell>
        </row>
        <row r="414">
          <cell r="A414" t="str">
            <v>20016_3</v>
          </cell>
        </row>
        <row r="415">
          <cell r="A415" t="str">
            <v>20017_1</v>
          </cell>
        </row>
        <row r="416">
          <cell r="A416" t="str">
            <v>20017_2</v>
          </cell>
        </row>
        <row r="417">
          <cell r="A417" t="str">
            <v>20017_3</v>
          </cell>
        </row>
        <row r="418">
          <cell r="A418" t="str">
            <v>20018_1</v>
          </cell>
        </row>
        <row r="419">
          <cell r="A419" t="str">
            <v>20018_2</v>
          </cell>
        </row>
        <row r="420">
          <cell r="A420" t="str">
            <v>20018_3</v>
          </cell>
        </row>
        <row r="421">
          <cell r="A421" t="str">
            <v>30001_1</v>
          </cell>
        </row>
        <row r="422">
          <cell r="A422" t="str">
            <v>30001_2</v>
          </cell>
        </row>
        <row r="423">
          <cell r="A423" t="str">
            <v>30001_3</v>
          </cell>
        </row>
        <row r="424">
          <cell r="A424" t="str">
            <v>30002_1</v>
          </cell>
        </row>
        <row r="425">
          <cell r="A425" t="str">
            <v>30002_2</v>
          </cell>
        </row>
        <row r="426">
          <cell r="A426" t="str">
            <v>30002_3</v>
          </cell>
        </row>
        <row r="427">
          <cell r="A427" t="str">
            <v>30003_1</v>
          </cell>
        </row>
        <row r="428">
          <cell r="A428" t="str">
            <v>30003_2</v>
          </cell>
        </row>
        <row r="429">
          <cell r="A429" t="str">
            <v>30003_3</v>
          </cell>
        </row>
        <row r="430">
          <cell r="A430" t="str">
            <v>30004_1</v>
          </cell>
        </row>
        <row r="431">
          <cell r="A431" t="str">
            <v>30004_2</v>
          </cell>
        </row>
        <row r="432">
          <cell r="A432" t="str">
            <v>30004_3</v>
          </cell>
        </row>
        <row r="433">
          <cell r="A433" t="str">
            <v>30005_1</v>
          </cell>
        </row>
        <row r="434">
          <cell r="A434" t="str">
            <v>30005_2</v>
          </cell>
        </row>
        <row r="435">
          <cell r="A435" t="str">
            <v>30005_3</v>
          </cell>
        </row>
        <row r="436">
          <cell r="A436" t="str">
            <v>30006_1</v>
          </cell>
        </row>
        <row r="437">
          <cell r="A437" t="str">
            <v>30006_2</v>
          </cell>
        </row>
        <row r="438">
          <cell r="A438" t="str">
            <v>30006_3</v>
          </cell>
        </row>
        <row r="439">
          <cell r="A439" t="str">
            <v>30007_1</v>
          </cell>
        </row>
        <row r="440">
          <cell r="A440" t="str">
            <v>30007_2</v>
          </cell>
        </row>
        <row r="441">
          <cell r="A441" t="str">
            <v>30007_3</v>
          </cell>
        </row>
        <row r="442">
          <cell r="A442" t="str">
            <v>30008_1</v>
          </cell>
        </row>
        <row r="443">
          <cell r="A443" t="str">
            <v>30008_2</v>
          </cell>
        </row>
        <row r="444">
          <cell r="A444" t="str">
            <v>30008_3</v>
          </cell>
        </row>
        <row r="445">
          <cell r="A445" t="str">
            <v>30009_3</v>
          </cell>
        </row>
        <row r="446">
          <cell r="A446" t="str">
            <v>30009_1</v>
          </cell>
        </row>
        <row r="447">
          <cell r="A447" t="str">
            <v>30009_2</v>
          </cell>
        </row>
        <row r="448">
          <cell r="A448" t="str">
            <v>30010_1</v>
          </cell>
        </row>
        <row r="449">
          <cell r="A449" t="str">
            <v>30010_2</v>
          </cell>
        </row>
        <row r="450">
          <cell r="A450" t="str">
            <v>30010_3</v>
          </cell>
        </row>
        <row r="451">
          <cell r="A451" t="str">
            <v>30011_1</v>
          </cell>
        </row>
        <row r="452">
          <cell r="A452" t="str">
            <v>30011_2</v>
          </cell>
        </row>
        <row r="453">
          <cell r="A453" t="str">
            <v>30011_3</v>
          </cell>
        </row>
        <row r="454">
          <cell r="A454" t="str">
            <v>30012_1</v>
          </cell>
        </row>
        <row r="455">
          <cell r="A455" t="str">
            <v>30012_2</v>
          </cell>
        </row>
        <row r="456">
          <cell r="A456" t="str">
            <v>30012_3</v>
          </cell>
        </row>
        <row r="457">
          <cell r="A457" t="str">
            <v>30013_1</v>
          </cell>
        </row>
        <row r="458">
          <cell r="A458" t="str">
            <v>30013_2</v>
          </cell>
        </row>
        <row r="459">
          <cell r="A459" t="str">
            <v>30014_1</v>
          </cell>
        </row>
        <row r="460">
          <cell r="A460" t="str">
            <v>30014_2</v>
          </cell>
        </row>
        <row r="461">
          <cell r="A461" t="str">
            <v>30015_1</v>
          </cell>
        </row>
        <row r="462">
          <cell r="A462" t="str">
            <v>30015_2</v>
          </cell>
        </row>
        <row r="463">
          <cell r="A463" t="str">
            <v>30016_1</v>
          </cell>
        </row>
        <row r="464">
          <cell r="A464" t="str">
            <v>30016_2</v>
          </cell>
        </row>
        <row r="465">
          <cell r="A465" t="str">
            <v>30017_1</v>
          </cell>
        </row>
        <row r="466">
          <cell r="A466" t="str">
            <v>30017_2</v>
          </cell>
        </row>
        <row r="467">
          <cell r="A467" t="str">
            <v>30018_1</v>
          </cell>
        </row>
        <row r="468">
          <cell r="A468" t="str">
            <v>30018_2</v>
          </cell>
        </row>
        <row r="469">
          <cell r="A469" t="str">
            <v>30019_1</v>
          </cell>
        </row>
        <row r="470">
          <cell r="A470" t="str">
            <v>30019_2</v>
          </cell>
        </row>
        <row r="471">
          <cell r="A471" t="str">
            <v>30020_1</v>
          </cell>
        </row>
        <row r="472">
          <cell r="A472" t="str">
            <v>30020_2</v>
          </cell>
        </row>
        <row r="473">
          <cell r="A473" t="str">
            <v>30021_1</v>
          </cell>
        </row>
        <row r="474">
          <cell r="A474" t="str">
            <v>30021_2</v>
          </cell>
        </row>
        <row r="475">
          <cell r="A475" t="str">
            <v>30021_3</v>
          </cell>
        </row>
        <row r="476">
          <cell r="A476" t="str">
            <v>30022_1</v>
          </cell>
        </row>
        <row r="477">
          <cell r="A477" t="str">
            <v>30022_2</v>
          </cell>
        </row>
        <row r="478">
          <cell r="A478" t="str">
            <v>30023_1</v>
          </cell>
        </row>
        <row r="479">
          <cell r="A479" t="str">
            <v>30023_2</v>
          </cell>
        </row>
        <row r="480">
          <cell r="A480" t="str">
            <v>30023_3</v>
          </cell>
        </row>
        <row r="481">
          <cell r="A481" t="str">
            <v>30024_1</v>
          </cell>
        </row>
        <row r="482">
          <cell r="A482" t="str">
            <v>30024_2</v>
          </cell>
        </row>
        <row r="483">
          <cell r="A483" t="str">
            <v>30024_3</v>
          </cell>
        </row>
        <row r="484">
          <cell r="A484" t="str">
            <v>30025_1</v>
          </cell>
        </row>
        <row r="485">
          <cell r="A485" t="str">
            <v>30025_2</v>
          </cell>
        </row>
        <row r="486">
          <cell r="A486" t="str">
            <v>30025_3</v>
          </cell>
        </row>
        <row r="487">
          <cell r="A487" t="str">
            <v>30026_1</v>
          </cell>
        </row>
        <row r="488">
          <cell r="A488" t="str">
            <v>30026_2</v>
          </cell>
        </row>
        <row r="489">
          <cell r="A489" t="str">
            <v>30026_3</v>
          </cell>
        </row>
        <row r="490">
          <cell r="A490" t="str">
            <v>30027_1</v>
          </cell>
        </row>
        <row r="491">
          <cell r="A491" t="str">
            <v>30027_2</v>
          </cell>
        </row>
        <row r="492">
          <cell r="A492" t="str">
            <v>30027_3</v>
          </cell>
        </row>
        <row r="493">
          <cell r="A493" t="str">
            <v>30028_1</v>
          </cell>
        </row>
        <row r="494">
          <cell r="A494" t="str">
            <v>30028_2</v>
          </cell>
        </row>
        <row r="495">
          <cell r="A495" t="str">
            <v>30028_3</v>
          </cell>
        </row>
        <row r="496">
          <cell r="A496" t="str">
            <v>30029_1</v>
          </cell>
        </row>
        <row r="497">
          <cell r="A497" t="str">
            <v>30029_2</v>
          </cell>
        </row>
        <row r="498">
          <cell r="A498" t="str">
            <v>30029_3</v>
          </cell>
        </row>
        <row r="499">
          <cell r="A499" t="str">
            <v>30030_1</v>
          </cell>
        </row>
        <row r="500">
          <cell r="A500" t="str">
            <v>30030_2</v>
          </cell>
        </row>
        <row r="501">
          <cell r="A501" t="str">
            <v>30030_3</v>
          </cell>
        </row>
        <row r="502">
          <cell r="A502" t="str">
            <v>30031_1</v>
          </cell>
        </row>
        <row r="503">
          <cell r="A503" t="str">
            <v>30031_2</v>
          </cell>
        </row>
        <row r="504">
          <cell r="A504" t="str">
            <v>30031_3</v>
          </cell>
        </row>
        <row r="505">
          <cell r="A505" t="str">
            <v>30032_1</v>
          </cell>
        </row>
        <row r="506">
          <cell r="A506" t="str">
            <v>30032_2</v>
          </cell>
        </row>
        <row r="507">
          <cell r="A507" t="str">
            <v>30032_3</v>
          </cell>
        </row>
        <row r="508">
          <cell r="A508" t="str">
            <v>30033_1</v>
          </cell>
        </row>
        <row r="509">
          <cell r="A509" t="str">
            <v>30033_2</v>
          </cell>
        </row>
        <row r="510">
          <cell r="A510" t="str">
            <v>30033_3</v>
          </cell>
        </row>
        <row r="511">
          <cell r="A511" t="str">
            <v>30034_1</v>
          </cell>
        </row>
        <row r="512">
          <cell r="A512" t="str">
            <v>30034_2</v>
          </cell>
        </row>
        <row r="513">
          <cell r="A513" t="str">
            <v>30034_3</v>
          </cell>
        </row>
        <row r="514">
          <cell r="A514" t="str">
            <v>30035_1</v>
          </cell>
        </row>
        <row r="515">
          <cell r="A515" t="str">
            <v>30035_2</v>
          </cell>
        </row>
        <row r="516">
          <cell r="A516" t="str">
            <v>30035_3</v>
          </cell>
        </row>
        <row r="517">
          <cell r="A517" t="str">
            <v>30036_1</v>
          </cell>
        </row>
        <row r="518">
          <cell r="A518" t="str">
            <v>30036_2</v>
          </cell>
        </row>
        <row r="519">
          <cell r="A519" t="str">
            <v>30036_3</v>
          </cell>
        </row>
        <row r="520">
          <cell r="A520" t="str">
            <v>30037_1</v>
          </cell>
        </row>
        <row r="521">
          <cell r="A521" t="str">
            <v>30037_2</v>
          </cell>
        </row>
        <row r="522">
          <cell r="A522" t="str">
            <v>30037_3</v>
          </cell>
        </row>
        <row r="523">
          <cell r="A523" t="str">
            <v>30038_1</v>
          </cell>
        </row>
        <row r="524">
          <cell r="A524" t="str">
            <v>30038_2</v>
          </cell>
        </row>
        <row r="525">
          <cell r="A525" t="str">
            <v>30038_3</v>
          </cell>
        </row>
        <row r="526">
          <cell r="A526" t="str">
            <v>39001_1</v>
          </cell>
        </row>
        <row r="527">
          <cell r="A527" t="str">
            <v>39001_2</v>
          </cell>
        </row>
        <row r="528">
          <cell r="A528" t="str">
            <v>39001_3</v>
          </cell>
        </row>
        <row r="529">
          <cell r="A529" t="str">
            <v>39001_4</v>
          </cell>
        </row>
        <row r="530">
          <cell r="A530" t="str">
            <v>39001_5</v>
          </cell>
        </row>
        <row r="531">
          <cell r="A531" t="str">
            <v>39002_1</v>
          </cell>
        </row>
        <row r="532">
          <cell r="A532" t="str">
            <v>39002_2</v>
          </cell>
        </row>
        <row r="533">
          <cell r="A533" t="str">
            <v>39002_3</v>
          </cell>
        </row>
        <row r="534">
          <cell r="A534" t="str">
            <v>39002_4</v>
          </cell>
        </row>
        <row r="535">
          <cell r="A535" t="str">
            <v>39003_1</v>
          </cell>
        </row>
        <row r="536">
          <cell r="A536" t="str">
            <v>39003_2</v>
          </cell>
        </row>
        <row r="537">
          <cell r="A537" t="str">
            <v>39003_3</v>
          </cell>
        </row>
        <row r="538">
          <cell r="A538" t="str">
            <v>39003_4</v>
          </cell>
        </row>
        <row r="539">
          <cell r="A539" t="str">
            <v>39004_1</v>
          </cell>
        </row>
        <row r="540">
          <cell r="A540" t="str">
            <v>39004_2</v>
          </cell>
        </row>
        <row r="541">
          <cell r="A541" t="str">
            <v>39004_3</v>
          </cell>
        </row>
        <row r="542">
          <cell r="A542" t="str">
            <v>39004_4</v>
          </cell>
        </row>
        <row r="543">
          <cell r="A543" t="str">
            <v>39005_1</v>
          </cell>
        </row>
        <row r="544">
          <cell r="A544" t="str">
            <v>39005_2</v>
          </cell>
        </row>
        <row r="545">
          <cell r="A545" t="str">
            <v>39005_3</v>
          </cell>
        </row>
        <row r="546">
          <cell r="A546" t="str">
            <v>39005_4</v>
          </cell>
        </row>
        <row r="547">
          <cell r="A547" t="str">
            <v>39005_5</v>
          </cell>
        </row>
        <row r="548">
          <cell r="A548" t="str">
            <v>39006_1</v>
          </cell>
        </row>
        <row r="549">
          <cell r="A549" t="str">
            <v>39006_2</v>
          </cell>
        </row>
        <row r="550">
          <cell r="A550" t="str">
            <v>39006_3</v>
          </cell>
        </row>
        <row r="551">
          <cell r="A551" t="str">
            <v>39006_4</v>
          </cell>
        </row>
        <row r="552">
          <cell r="A552" t="str">
            <v>40001_1</v>
          </cell>
        </row>
        <row r="553">
          <cell r="A553" t="str">
            <v>40002_1</v>
          </cell>
        </row>
        <row r="554">
          <cell r="A554" t="str">
            <v>40002_2</v>
          </cell>
        </row>
        <row r="555">
          <cell r="A555" t="str">
            <v>40002_3</v>
          </cell>
        </row>
        <row r="556">
          <cell r="A556" t="str">
            <v>40003_1</v>
          </cell>
        </row>
        <row r="557">
          <cell r="A557" t="str">
            <v>40004_1</v>
          </cell>
        </row>
        <row r="558">
          <cell r="A558" t="str">
            <v>40005_1</v>
          </cell>
        </row>
        <row r="559">
          <cell r="A559" t="str">
            <v>40006_1</v>
          </cell>
        </row>
        <row r="560">
          <cell r="A560" t="str">
            <v>40007_1</v>
          </cell>
        </row>
        <row r="561">
          <cell r="A561" t="str">
            <v>40008_1</v>
          </cell>
        </row>
        <row r="562">
          <cell r="A562" t="str">
            <v>40009_1</v>
          </cell>
        </row>
        <row r="563">
          <cell r="A563" t="str">
            <v>40010_1</v>
          </cell>
        </row>
        <row r="564">
          <cell r="A564" t="str">
            <v>40011_1</v>
          </cell>
        </row>
        <row r="565">
          <cell r="A565" t="str">
            <v>40012_1</v>
          </cell>
        </row>
        <row r="566">
          <cell r="A566" t="str">
            <v>40013_1</v>
          </cell>
        </row>
        <row r="567">
          <cell r="A567" t="str">
            <v>40014_1</v>
          </cell>
        </row>
        <row r="568">
          <cell r="A568" t="str">
            <v>40015_1</v>
          </cell>
        </row>
        <row r="569">
          <cell r="A569" t="str">
            <v>40016_1</v>
          </cell>
        </row>
        <row r="570">
          <cell r="A570" t="str">
            <v>40016_2</v>
          </cell>
        </row>
        <row r="571">
          <cell r="A571" t="str">
            <v>40017_1</v>
          </cell>
        </row>
        <row r="572">
          <cell r="A572" t="str">
            <v>40017_2</v>
          </cell>
        </row>
        <row r="573">
          <cell r="A573" t="str">
            <v>40017_3</v>
          </cell>
        </row>
        <row r="574">
          <cell r="A574" t="str">
            <v>40018_1</v>
          </cell>
        </row>
        <row r="575">
          <cell r="A575" t="str">
            <v>40018_2</v>
          </cell>
        </row>
        <row r="576">
          <cell r="A576" t="str">
            <v>40018_3</v>
          </cell>
        </row>
        <row r="577">
          <cell r="A577" t="str">
            <v>40019_1</v>
          </cell>
        </row>
        <row r="578">
          <cell r="A578" t="str">
            <v>40019_2</v>
          </cell>
        </row>
        <row r="579">
          <cell r="A579" t="str">
            <v>40019_3</v>
          </cell>
        </row>
        <row r="580">
          <cell r="A580" t="str">
            <v>40021_1</v>
          </cell>
        </row>
        <row r="581">
          <cell r="A581" t="str">
            <v>40021_2</v>
          </cell>
        </row>
        <row r="582">
          <cell r="A582" t="str">
            <v>40022_1</v>
          </cell>
        </row>
        <row r="583">
          <cell r="A583" t="str">
            <v>40022_2</v>
          </cell>
        </row>
        <row r="584">
          <cell r="A584" t="str">
            <v>48001_1</v>
          </cell>
        </row>
        <row r="585">
          <cell r="A585" t="str">
            <v>48002_1</v>
          </cell>
        </row>
        <row r="586">
          <cell r="A586" t="str">
            <v>48002_2</v>
          </cell>
        </row>
        <row r="587">
          <cell r="A587" t="str">
            <v>48002_3</v>
          </cell>
        </row>
        <row r="588">
          <cell r="A588" t="str">
            <v>41001_1</v>
          </cell>
        </row>
        <row r="589">
          <cell r="A589" t="str">
            <v>41001_2</v>
          </cell>
        </row>
        <row r="590">
          <cell r="A590" t="str">
            <v>41001_3</v>
          </cell>
        </row>
        <row r="591">
          <cell r="A591" t="str">
            <v>41002_1</v>
          </cell>
        </row>
        <row r="592">
          <cell r="A592" t="str">
            <v>41002_2</v>
          </cell>
        </row>
        <row r="593">
          <cell r="A593" t="str">
            <v>41002_3</v>
          </cell>
        </row>
        <row r="594">
          <cell r="A594" t="str">
            <v>41003_1</v>
          </cell>
        </row>
        <row r="595">
          <cell r="A595" t="str">
            <v>41003_2</v>
          </cell>
        </row>
        <row r="596">
          <cell r="A596" t="str">
            <v>41003_3</v>
          </cell>
        </row>
        <row r="597">
          <cell r="A597" t="str">
            <v>41004_1</v>
          </cell>
        </row>
        <row r="598">
          <cell r="A598" t="str">
            <v>41004_2</v>
          </cell>
        </row>
        <row r="599">
          <cell r="A599" t="str">
            <v>41004_3</v>
          </cell>
        </row>
        <row r="600">
          <cell r="A600" t="str">
            <v>41005_1</v>
          </cell>
        </row>
        <row r="601">
          <cell r="A601" t="str">
            <v>41005_2</v>
          </cell>
        </row>
        <row r="602">
          <cell r="A602" t="str">
            <v>41005_3</v>
          </cell>
        </row>
        <row r="603">
          <cell r="A603" t="str">
            <v>41006_1</v>
          </cell>
        </row>
        <row r="604">
          <cell r="A604" t="str">
            <v>41006_2</v>
          </cell>
        </row>
        <row r="605">
          <cell r="A605" t="str">
            <v>41006_3</v>
          </cell>
        </row>
        <row r="606">
          <cell r="A606" t="str">
            <v>41007_1</v>
          </cell>
        </row>
        <row r="607">
          <cell r="A607" t="str">
            <v>41007_2</v>
          </cell>
        </row>
        <row r="608">
          <cell r="A608" t="str">
            <v>41007_3</v>
          </cell>
        </row>
        <row r="609">
          <cell r="A609" t="str">
            <v>41008_1</v>
          </cell>
        </row>
        <row r="610">
          <cell r="A610" t="str">
            <v>41008_2</v>
          </cell>
        </row>
        <row r="611">
          <cell r="A611" t="str">
            <v>41008_3</v>
          </cell>
        </row>
        <row r="612">
          <cell r="A612" t="str">
            <v>41009_1</v>
          </cell>
        </row>
        <row r="613">
          <cell r="A613" t="str">
            <v>41009_2</v>
          </cell>
        </row>
        <row r="614">
          <cell r="A614" t="str">
            <v>41009_3</v>
          </cell>
        </row>
        <row r="615">
          <cell r="A615" t="str">
            <v>41010_1</v>
          </cell>
        </row>
        <row r="616">
          <cell r="A616" t="str">
            <v>41010_2</v>
          </cell>
        </row>
        <row r="617">
          <cell r="A617" t="str">
            <v>41010_3</v>
          </cell>
        </row>
        <row r="618">
          <cell r="A618" t="str">
            <v>41011_1</v>
          </cell>
        </row>
        <row r="619">
          <cell r="A619" t="str">
            <v>41011_2</v>
          </cell>
        </row>
        <row r="620">
          <cell r="A620" t="str">
            <v>41012_1</v>
          </cell>
        </row>
        <row r="621">
          <cell r="A621" t="str">
            <v>41012_2</v>
          </cell>
        </row>
        <row r="622">
          <cell r="A622" t="str">
            <v>47001_1</v>
          </cell>
        </row>
        <row r="623">
          <cell r="A623" t="str">
            <v>47001_2</v>
          </cell>
        </row>
        <row r="624">
          <cell r="A624" t="str">
            <v>47002_1</v>
          </cell>
        </row>
        <row r="625">
          <cell r="A625" t="str">
            <v>47002_2</v>
          </cell>
        </row>
        <row r="626">
          <cell r="A626" t="str">
            <v>49001_1</v>
          </cell>
        </row>
        <row r="627">
          <cell r="A627" t="str">
            <v>49002_1</v>
          </cell>
        </row>
        <row r="628">
          <cell r="A628" t="str">
            <v>49002_2</v>
          </cell>
        </row>
        <row r="629">
          <cell r="A629" t="str">
            <v>49003_1</v>
          </cell>
        </row>
        <row r="630">
          <cell r="A630" t="str">
            <v>49003_2</v>
          </cell>
        </row>
        <row r="631">
          <cell r="A631" t="str">
            <v>49004_1</v>
          </cell>
        </row>
        <row r="632">
          <cell r="A632" t="str">
            <v>49004_2</v>
          </cell>
        </row>
        <row r="633">
          <cell r="A633" t="str">
            <v>49004_3</v>
          </cell>
        </row>
        <row r="634">
          <cell r="A634" t="str">
            <v>49005_1</v>
          </cell>
        </row>
        <row r="635">
          <cell r="A635" t="str">
            <v>49006_1</v>
          </cell>
        </row>
        <row r="636">
          <cell r="A636" t="str">
            <v>49006_2</v>
          </cell>
        </row>
        <row r="637">
          <cell r="A637" t="str">
            <v>50001_1</v>
          </cell>
        </row>
        <row r="638">
          <cell r="A638" t="str">
            <v>50002_1</v>
          </cell>
        </row>
        <row r="639">
          <cell r="A639" t="str">
            <v>50003_1</v>
          </cell>
        </row>
        <row r="640">
          <cell r="A640" t="str">
            <v>50004_1</v>
          </cell>
        </row>
        <row r="641">
          <cell r="A641" t="str">
            <v>50005_1</v>
          </cell>
        </row>
        <row r="642">
          <cell r="A642" t="str">
            <v>51001_1</v>
          </cell>
        </row>
        <row r="643">
          <cell r="A643" t="str">
            <v>51002_1</v>
          </cell>
        </row>
        <row r="644">
          <cell r="A644" t="str">
            <v>60001_1</v>
          </cell>
        </row>
        <row r="645">
          <cell r="A645" t="str">
            <v>60002_1</v>
          </cell>
        </row>
        <row r="646">
          <cell r="A646" t="str">
            <v>60002_2</v>
          </cell>
        </row>
        <row r="647">
          <cell r="A647" t="str">
            <v>60003_1</v>
          </cell>
        </row>
        <row r="648">
          <cell r="A648" t="str">
            <v>60003_2</v>
          </cell>
        </row>
        <row r="649">
          <cell r="A649" t="str">
            <v>60003_3</v>
          </cell>
        </row>
        <row r="650">
          <cell r="A650" t="str">
            <v>60004_1</v>
          </cell>
        </row>
        <row r="651">
          <cell r="A651" t="str">
            <v>60005_1</v>
          </cell>
        </row>
        <row r="652">
          <cell r="A652" t="str">
            <v>60006_1</v>
          </cell>
        </row>
        <row r="653">
          <cell r="A653" t="str">
            <v>60006_2</v>
          </cell>
        </row>
        <row r="654">
          <cell r="A654" t="str">
            <v>60006_3</v>
          </cell>
        </row>
        <row r="655">
          <cell r="A655" t="str">
            <v>60007_1</v>
          </cell>
        </row>
        <row r="656">
          <cell r="A656" t="str">
            <v>60007_2</v>
          </cell>
        </row>
        <row r="657">
          <cell r="A657" t="str">
            <v>60007_3</v>
          </cell>
        </row>
        <row r="658">
          <cell r="A658" t="str">
            <v>60010_1</v>
          </cell>
        </row>
        <row r="659">
          <cell r="A659" t="str">
            <v>60011_1</v>
          </cell>
        </row>
        <row r="660">
          <cell r="A660" t="str">
            <v>60011_2</v>
          </cell>
        </row>
        <row r="661">
          <cell r="A661" t="str">
            <v>61011_1</v>
          </cell>
        </row>
        <row r="662">
          <cell r="A662" t="str">
            <v>60012_1</v>
          </cell>
        </row>
        <row r="663">
          <cell r="A663" t="str">
            <v>65535_1</v>
          </cell>
        </row>
        <row r="664">
          <cell r="A664" t="str">
            <v>65535_2</v>
          </cell>
        </row>
        <row r="665">
          <cell r="A665" t="str">
            <v>65535_3</v>
          </cell>
        </row>
        <row r="666">
          <cell r="A666" t="str">
            <v>65535_4</v>
          </cell>
        </row>
        <row r="667">
          <cell r="A667" t="str">
            <v>65535_5</v>
          </cell>
        </row>
        <row r="668">
          <cell r="A668" t="str">
            <v>65535_6</v>
          </cell>
        </row>
        <row r="669">
          <cell r="A669" t="str">
            <v>65535_7</v>
          </cell>
        </row>
        <row r="670">
          <cell r="A670" t="str">
            <v>65535_8</v>
          </cell>
        </row>
        <row r="671">
          <cell r="A671" t="str">
            <v>60021_3</v>
          </cell>
        </row>
        <row r="672">
          <cell r="A672" t="str">
            <v>60022_3</v>
          </cell>
        </row>
        <row r="673">
          <cell r="A673" t="str">
            <v>60023_3</v>
          </cell>
        </row>
        <row r="674">
          <cell r="A674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 refreshError="1"/>
      <sheetData sheetId="1" refreshError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19" sqref="E1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257</v>
      </c>
      <c r="B2" s="57" t="s">
        <v>105</v>
      </c>
      <c r="C2" s="63">
        <v>47002</v>
      </c>
      <c r="D2" s="57" t="s">
        <v>106</v>
      </c>
      <c r="E2" s="56" t="str">
        <f>B2&amp;C2&amp;D2</f>
        <v>floors_47002.tmp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257</v>
      </c>
      <c r="B3" s="57" t="s">
        <v>108</v>
      </c>
      <c r="C3" s="63">
        <f>C$2</f>
        <v>47002</v>
      </c>
      <c r="D3" s="57" t="s">
        <v>106</v>
      </c>
      <c r="E3" s="56" t="str">
        <f>B3&amp;C3&amp;D3</f>
        <v>enemy_habitats_47002.tmp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177</v>
      </c>
    </row>
    <row r="4" spans="1:30" x14ac:dyDescent="0.15">
      <c r="A4" s="61" t="s">
        <v>257</v>
      </c>
      <c r="B4" s="57" t="s">
        <v>110</v>
      </c>
      <c r="C4" s="63">
        <f t="shared" ref="C4:C13" si="0">C$2</f>
        <v>47002</v>
      </c>
      <c r="D4" s="57" t="s">
        <v>106</v>
      </c>
      <c r="E4" s="56" t="str">
        <f>B4&amp;C4&amp;D4</f>
        <v>enemy_habitat_S_47002.tmp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257</v>
      </c>
      <c r="B5" s="57" t="s">
        <v>112</v>
      </c>
      <c r="C5" s="63">
        <f t="shared" si="0"/>
        <v>47002</v>
      </c>
      <c r="D5" s="57" t="s">
        <v>106</v>
      </c>
      <c r="E5" s="56" t="str">
        <f>B5&amp;C5&amp;D5</f>
        <v>enemy_skill_sets_47002.tmp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257</v>
      </c>
      <c r="B6" s="57" t="s">
        <v>114</v>
      </c>
      <c r="C6" s="63">
        <f t="shared" si="0"/>
        <v>47002</v>
      </c>
      <c r="D6" s="57" t="s">
        <v>115</v>
      </c>
      <c r="E6" s="56" t="str">
        <f t="shared" ref="E6:E10" si="1">B6&amp;C6&amp;D6</f>
        <v>enemy_skills_tmp_47002.tmp</v>
      </c>
      <c r="F6" s="57" t="s">
        <v>89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257</v>
      </c>
      <c r="B7" s="57" t="s">
        <v>116</v>
      </c>
      <c r="C7" s="63">
        <f t="shared" si="0"/>
        <v>47002</v>
      </c>
      <c r="D7" s="57" t="s">
        <v>106</v>
      </c>
      <c r="E7" s="56" t="str">
        <f>B7&amp;C7&amp;D7</f>
        <v>enemy_skills_i18n_47002.tmp</v>
      </c>
      <c r="F7" s="57" t="s">
        <v>117</v>
      </c>
      <c r="G7" s="58" t="s">
        <v>78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257</v>
      </c>
      <c r="B8" s="57" t="s">
        <v>118</v>
      </c>
      <c r="C8" s="63">
        <f t="shared" si="0"/>
        <v>47002</v>
      </c>
      <c r="D8" s="57" t="s">
        <v>119</v>
      </c>
      <c r="E8" s="56" t="str">
        <f t="shared" si="1"/>
        <v>enemy_skill_triggers_47002.tmp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257</v>
      </c>
      <c r="B9" s="68" t="s">
        <v>176</v>
      </c>
      <c r="C9" s="63">
        <f t="shared" si="0"/>
        <v>47002</v>
      </c>
      <c r="D9" s="68" t="s">
        <v>170</v>
      </c>
      <c r="E9" s="69" t="str">
        <f t="shared" si="1"/>
        <v>stage_bug_bonuses_47002.tmp</v>
      </c>
      <c r="F9" s="68" t="s">
        <v>171</v>
      </c>
      <c r="G9" s="65" t="s">
        <v>149</v>
      </c>
      <c r="H9" s="65" t="s">
        <v>172</v>
      </c>
      <c r="I9" s="65" t="s">
        <v>173</v>
      </c>
      <c r="J9" s="67" t="s">
        <v>174</v>
      </c>
      <c r="K9" s="65" t="s">
        <v>175</v>
      </c>
      <c r="L9" s="65" t="s">
        <v>155</v>
      </c>
      <c r="M9" s="65" t="s">
        <v>156</v>
      </c>
      <c r="N9" s="65" t="s">
        <v>157</v>
      </c>
      <c r="O9" s="65" t="s">
        <v>158</v>
      </c>
      <c r="P9" s="65" t="s">
        <v>159</v>
      </c>
      <c r="Q9" s="65" t="s">
        <v>160</v>
      </c>
      <c r="R9" s="65" t="s">
        <v>161</v>
      </c>
      <c r="S9" s="65" t="s">
        <v>162</v>
      </c>
      <c r="T9" s="65" t="s">
        <v>163</v>
      </c>
      <c r="U9" s="65" t="s">
        <v>164</v>
      </c>
      <c r="V9" s="65" t="s">
        <v>165</v>
      </c>
      <c r="W9" s="65" t="s">
        <v>166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186</v>
      </c>
      <c r="B10" s="68" t="s">
        <v>200</v>
      </c>
      <c r="C10" s="63">
        <f>C$2</f>
        <v>47002</v>
      </c>
      <c r="D10" s="68" t="s">
        <v>179</v>
      </c>
      <c r="E10" s="69" t="str">
        <f t="shared" si="1"/>
        <v>stage_hints_data_c_47002.tmp</v>
      </c>
      <c r="F10" s="68" t="s">
        <v>208</v>
      </c>
      <c r="G10" s="73" t="s">
        <v>180</v>
      </c>
      <c r="H10" s="73" t="s">
        <v>172</v>
      </c>
      <c r="I10" s="74" t="s">
        <v>181</v>
      </c>
      <c r="J10" s="67" t="s">
        <v>182</v>
      </c>
      <c r="K10" s="67" t="s">
        <v>183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257</v>
      </c>
      <c r="B11" s="68" t="s">
        <v>201</v>
      </c>
      <c r="C11" s="63">
        <f t="shared" si="0"/>
        <v>47002</v>
      </c>
      <c r="D11" s="68" t="s">
        <v>170</v>
      </c>
      <c r="E11" s="69" t="str">
        <f t="shared" ref="E11:E13" si="2">B11&amp;C11&amp;D11</f>
        <v>stage_hints_data_f_47002.tmp</v>
      </c>
      <c r="F11" s="68" t="s">
        <v>209</v>
      </c>
      <c r="G11" s="73" t="s">
        <v>180</v>
      </c>
      <c r="H11" s="73" t="s">
        <v>172</v>
      </c>
      <c r="I11" s="74" t="s">
        <v>181</v>
      </c>
      <c r="J11" s="67" t="s">
        <v>182</v>
      </c>
      <c r="K11" s="67" t="s">
        <v>183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1" t="s">
        <v>257</v>
      </c>
      <c r="B12" s="68" t="s">
        <v>202</v>
      </c>
      <c r="C12" s="63">
        <f t="shared" si="0"/>
        <v>47002</v>
      </c>
      <c r="D12" s="68" t="s">
        <v>170</v>
      </c>
      <c r="E12" s="69" t="str">
        <f t="shared" si="2"/>
        <v>stage_hints_i18n_47002.tmp</v>
      </c>
      <c r="F12" s="68" t="s">
        <v>210</v>
      </c>
      <c r="G12" s="74" t="s">
        <v>203</v>
      </c>
      <c r="H12" s="93" t="s">
        <v>204</v>
      </c>
      <c r="I12" s="73" t="s">
        <v>205</v>
      </c>
      <c r="J12" s="101" t="s">
        <v>206</v>
      </c>
      <c r="K12" s="67" t="s">
        <v>207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8" t="s">
        <v>477</v>
      </c>
      <c r="B13" s="68" t="s">
        <v>251</v>
      </c>
      <c r="C13" s="63">
        <f t="shared" si="0"/>
        <v>47002</v>
      </c>
      <c r="D13" s="68" t="s">
        <v>232</v>
      </c>
      <c r="E13" s="69" t="str">
        <f t="shared" si="2"/>
        <v>stage_bonuses_47002.tmp</v>
      </c>
      <c r="F13" s="68" t="s">
        <v>231</v>
      </c>
      <c r="G13" s="73" t="s">
        <v>233</v>
      </c>
      <c r="H13" s="73" t="s">
        <v>234</v>
      </c>
      <c r="I13" s="73" t="s">
        <v>235</v>
      </c>
      <c r="J13" s="73" t="s">
        <v>236</v>
      </c>
      <c r="K13" s="73" t="s">
        <v>237</v>
      </c>
      <c r="L13" s="73" t="s">
        <v>238</v>
      </c>
      <c r="M13" s="73" t="s">
        <v>239</v>
      </c>
      <c r="N13" s="73" t="s">
        <v>240</v>
      </c>
      <c r="O13" s="73" t="s">
        <v>241</v>
      </c>
      <c r="P13" s="73" t="s">
        <v>242</v>
      </c>
      <c r="Q13" s="73" t="s">
        <v>243</v>
      </c>
      <c r="R13" s="73" t="s">
        <v>244</v>
      </c>
      <c r="S13" s="73" t="s">
        <v>245</v>
      </c>
      <c r="T13" s="73" t="s">
        <v>246</v>
      </c>
      <c r="U13" s="73" t="s">
        <v>247</v>
      </c>
      <c r="V13" s="73" t="s">
        <v>248</v>
      </c>
      <c r="W13" s="73" t="s">
        <v>249</v>
      </c>
      <c r="X13" s="73" t="s">
        <v>250</v>
      </c>
      <c r="Y13" s="100"/>
      <c r="Z13" s="100"/>
      <c r="AA13" s="100"/>
      <c r="AB13" s="100"/>
      <c r="AC13" s="100"/>
      <c r="AD13" s="100"/>
    </row>
  </sheetData>
  <phoneticPr fontId="6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zoomScale="90" zoomScaleNormal="90" zoomScalePageLayoutView="90" workbookViewId="0">
      <pane ySplit="1" topLeftCell="A2" activePane="bottomLeft" state="frozen"/>
      <selection activeCell="V2" sqref="V2:X34"/>
      <selection pane="bottomLeft" activeCell="H17" sqref="H1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6" si="0">G2&amp;"-"&amp;I2</f>
        <v>47002_1-1</v>
      </c>
      <c r="B2" s="16" t="str">
        <f>IF(COUNTIF(enemy_habitats!$H:$H,A2),"OK","NG")</f>
        <v>OK</v>
      </c>
      <c r="C2" s="7">
        <v>47002</v>
      </c>
      <c r="D2" s="11" t="str">
        <f ca="1">VLOOKUP($C2,OFFSET([2]quests!$A$1,0,0,COUNTA([2]quests!$A:$A),MATCH(D$1,[2]quests!$1:$1,0)-MATCH($C$1,[2]quests!$1:$1,0)+1),MATCH(D$1,[2]quests!$1:$1,0)-MATCH($C$1,[2]quests!$1:$1,0)+1,FALSE)</f>
        <v>夏☆襲来！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季節イベント</v>
      </c>
      <c r="F2" s="21">
        <v>1</v>
      </c>
      <c r="G2" s="23" t="str">
        <f t="shared" ref="G2:G6" si="1">C2&amp;"_"&amp;F2</f>
        <v>47002_1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【超絶級】夏☆襲来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47002_1-2</v>
      </c>
      <c r="B3" s="16" t="str">
        <f>IF(COUNTIF(enemy_habitats!$H:$H,A3),"OK","NG")</f>
        <v>OK</v>
      </c>
      <c r="C3" s="7">
        <v>47002</v>
      </c>
      <c r="D3" s="11" t="str">
        <f ca="1">VLOOKUP($C3,OFFSET([2]quests!$A$1,0,0,COUNTA([2]quests!$A:$A),MATCH(D$1,[2]quests!$1:$1,0)-MATCH($C$1,[2]quests!$1:$1,0)+1),MATCH(D$1,[2]quests!$1:$1,0)-MATCH($C$1,[2]quests!$1:$1,0)+1,FALSE)</f>
        <v>夏☆襲来！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季節イベント</v>
      </c>
      <c r="F3" s="21">
        <v>1</v>
      </c>
      <c r="G3" s="23" t="str">
        <f t="shared" si="1"/>
        <v>47002_1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【超絶級】夏☆襲来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47002_1-3</v>
      </c>
      <c r="B4" s="16" t="str">
        <f>IF(COUNTIF(enemy_habitats!$H:$H,A4),"OK","NG")</f>
        <v>OK</v>
      </c>
      <c r="C4" s="7">
        <v>47002</v>
      </c>
      <c r="D4" s="11" t="str">
        <f ca="1">VLOOKUP($C4,OFFSET([2]quests!$A$1,0,0,COUNTA([2]quests!$A:$A),MATCH(D$1,[2]quests!$1:$1,0)-MATCH($C$1,[2]quests!$1:$1,0)+1),MATCH(D$1,[2]quests!$1:$1,0)-MATCH($C$1,[2]quests!$1:$1,0)+1,FALSE)</f>
        <v>夏☆襲来！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季節イベント</v>
      </c>
      <c r="F4" s="21">
        <v>1</v>
      </c>
      <c r="G4" s="23" t="str">
        <f t="shared" si="1"/>
        <v>47002_1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【超絶級】夏☆襲来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47002_1-4</v>
      </c>
      <c r="B5" s="16" t="str">
        <f>IF(COUNTIF(enemy_habitats!$H:$H,A5),"OK","NG")</f>
        <v>OK</v>
      </c>
      <c r="C5" s="7">
        <v>47002</v>
      </c>
      <c r="D5" s="11" t="str">
        <f ca="1">VLOOKUP($C5,OFFSET([2]quests!$A$1,0,0,COUNTA([2]quests!$A:$A),MATCH(D$1,[2]quests!$1:$1,0)-MATCH($C$1,[2]quests!$1:$1,0)+1),MATCH(D$1,[2]quests!$1:$1,0)-MATCH($C$1,[2]quests!$1:$1,0)+1,FALSE)</f>
        <v>夏☆襲来！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季節イベント</v>
      </c>
      <c r="F5" s="21">
        <v>1</v>
      </c>
      <c r="G5" s="23" t="str">
        <f t="shared" si="1"/>
        <v>47002_1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【超絶級】夏☆襲来</v>
      </c>
      <c r="I5" s="21">
        <v>4</v>
      </c>
      <c r="J5" s="12">
        <v>60</v>
      </c>
      <c r="K5" s="12">
        <v>60</v>
      </c>
    </row>
    <row r="6" spans="1:11" ht="21" customHeight="1" thickBot="1" x14ac:dyDescent="0.2">
      <c r="A6" s="156" t="str">
        <f t="shared" si="0"/>
        <v>47002_1-5</v>
      </c>
      <c r="B6" s="156" t="str">
        <f>IF(COUNTIF(enemy_habitats!$H:$H,A6),"OK","NG")</f>
        <v>OK</v>
      </c>
      <c r="C6" s="171">
        <v>47002</v>
      </c>
      <c r="D6" s="129" t="str">
        <f ca="1">VLOOKUP($C6,OFFSET([2]quests!$A$1,0,0,COUNTA([2]quests!$A:$A),MATCH(D$1,[2]quests!$1:$1,0)-MATCH($C$1,[2]quests!$1:$1,0)+1),MATCH(D$1,[2]quests!$1:$1,0)-MATCH($C$1,[2]quests!$1:$1,0)+1,FALSE)</f>
        <v>夏☆襲来！</v>
      </c>
      <c r="E6" s="129" t="str">
        <f ca="1">VLOOKUP($C6,OFFSET([2]quests!$A$1,0,0,COUNTA([2]quests!$A:$A),MATCH(E$1,[2]quests!$1:$1,0)-MATCH($C$1,[2]quests!$1:$1,0)+1),MATCH(E$1,[2]quests!$1:$1,0)-MATCH($C$1,[2]quests!$1:$1,0)+1,FALSE)</f>
        <v>季節イベント</v>
      </c>
      <c r="F6" s="158">
        <v>1</v>
      </c>
      <c r="G6" s="194" t="str">
        <f t="shared" si="1"/>
        <v>47002_1</v>
      </c>
      <c r="H6" s="159" t="str">
        <f ca="1">VLOOKUP($G6,OFFSET([2]stages!$A$1,0,0,COUNTA([2]stages!$A:$A),MATCH(H$1,[2]stages!$2:$2,0)-MATCH($G$1,[2]stages!$2:$2,0)+1),MATCH(H$1,[2]stages!$2:$2,0)-MATCH($G$1,[2]stages!$2:$2,0)+1,FALSE)</f>
        <v>【超絶級】夏☆襲来</v>
      </c>
      <c r="I6" s="158">
        <v>5</v>
      </c>
      <c r="J6" s="161">
        <v>60</v>
      </c>
      <c r="K6" s="161">
        <v>60</v>
      </c>
    </row>
    <row r="7" spans="1:11" ht="21" customHeight="1" x14ac:dyDescent="0.15">
      <c r="A7" s="174" t="str">
        <f t="shared" ref="A7:A11" si="2">G7&amp;"-"&amp;I7</f>
        <v>47002_2-1</v>
      </c>
      <c r="B7" s="174" t="str">
        <f>IF(COUNTIF(enemy_habitats!$H:$H,A7),"OK","NG")</f>
        <v>OK</v>
      </c>
      <c r="C7" s="189">
        <v>47002</v>
      </c>
      <c r="D7" s="125" t="str">
        <f ca="1">VLOOKUP($C7,OFFSET([2]quests!$A$1,0,0,COUNTA([2]quests!$A:$A),MATCH(D$1,[2]quests!$1:$1,0)-MATCH($C$1,[2]quests!$1:$1,0)+1),MATCH(D$1,[2]quests!$1:$1,0)-MATCH($C$1,[2]quests!$1:$1,0)+1,FALSE)</f>
        <v>夏☆襲来！</v>
      </c>
      <c r="E7" s="125" t="str">
        <f ca="1">VLOOKUP($C7,OFFSET([2]quests!$A$1,0,0,COUNTA([2]quests!$A:$A),MATCH(E$1,[2]quests!$1:$1,0)-MATCH($C$1,[2]quests!$1:$1,0)+1),MATCH(E$1,[2]quests!$1:$1,0)-MATCH($C$1,[2]quests!$1:$1,0)+1,FALSE)</f>
        <v>季節イベント</v>
      </c>
      <c r="F7" s="176">
        <v>2</v>
      </c>
      <c r="G7" s="195" t="str">
        <f t="shared" ref="G7:G11" si="3">C7&amp;"_"&amp;F7</f>
        <v>47002_2</v>
      </c>
      <c r="H7" s="177" t="str">
        <f ca="1">VLOOKUP($G7,OFFSET([2]stages!$A$1,0,0,COUNTA([2]stages!$A:$A),MATCH(H$1,[2]stages!$2:$2,0)-MATCH($G$1,[2]stages!$2:$2,0)+1),MATCH(H$1,[2]stages!$2:$2,0)-MATCH($G$1,[2]stages!$2:$2,0)+1,FALSE)</f>
        <v>【ウィザード級】夏☆襲来</v>
      </c>
      <c r="I7" s="176">
        <v>1</v>
      </c>
      <c r="J7" s="179">
        <v>60</v>
      </c>
      <c r="K7" s="179">
        <v>60</v>
      </c>
    </row>
    <row r="8" spans="1:11" ht="21" customHeight="1" x14ac:dyDescent="0.15">
      <c r="A8" s="16" t="str">
        <f t="shared" si="2"/>
        <v>47002_2-2</v>
      </c>
      <c r="B8" s="16" t="str">
        <f>IF(COUNTIF(enemy_habitats!$H:$H,A8),"OK","NG")</f>
        <v>OK</v>
      </c>
      <c r="C8" s="7">
        <v>47002</v>
      </c>
      <c r="D8" s="11" t="str">
        <f ca="1">VLOOKUP($C8,OFFSET([2]quests!$A$1,0,0,COUNTA([2]quests!$A:$A),MATCH(D$1,[2]quests!$1:$1,0)-MATCH($C$1,[2]quests!$1:$1,0)+1),MATCH(D$1,[2]quests!$1:$1,0)-MATCH($C$1,[2]quests!$1:$1,0)+1,FALSE)</f>
        <v>夏☆襲来！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季節イベント</v>
      </c>
      <c r="F8" s="21">
        <v>2</v>
      </c>
      <c r="G8" s="23" t="str">
        <f t="shared" si="3"/>
        <v>47002_2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【ウィザード級】夏☆襲来</v>
      </c>
      <c r="I8" s="21">
        <v>2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47002_2-3</v>
      </c>
      <c r="B9" s="16" t="str">
        <f>IF(COUNTIF(enemy_habitats!$H:$H,A9),"OK","NG")</f>
        <v>OK</v>
      </c>
      <c r="C9" s="7">
        <v>47002</v>
      </c>
      <c r="D9" s="11" t="str">
        <f ca="1">VLOOKUP($C9,OFFSET([2]quests!$A$1,0,0,COUNTA([2]quests!$A:$A),MATCH(D$1,[2]quests!$1:$1,0)-MATCH($C$1,[2]quests!$1:$1,0)+1),MATCH(D$1,[2]quests!$1:$1,0)-MATCH($C$1,[2]quests!$1:$1,0)+1,FALSE)</f>
        <v>夏☆襲来！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季節イベント</v>
      </c>
      <c r="F9" s="21">
        <v>2</v>
      </c>
      <c r="G9" s="23" t="str">
        <f t="shared" si="3"/>
        <v>47002_2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【ウィザード級】夏☆襲来</v>
      </c>
      <c r="I9" s="21">
        <v>3</v>
      </c>
      <c r="J9" s="12">
        <v>60</v>
      </c>
      <c r="K9" s="12">
        <v>60</v>
      </c>
    </row>
    <row r="10" spans="1:11" ht="21" customHeight="1" x14ac:dyDescent="0.15">
      <c r="A10" s="16" t="str">
        <f t="shared" si="2"/>
        <v>47002_2-4</v>
      </c>
      <c r="B10" s="16" t="str">
        <f>IF(COUNTIF(enemy_habitats!$H:$H,A10),"OK","NG")</f>
        <v>OK</v>
      </c>
      <c r="C10" s="7">
        <v>47002</v>
      </c>
      <c r="D10" s="11" t="str">
        <f ca="1">VLOOKUP($C10,OFFSET([2]quests!$A$1,0,0,COUNTA([2]quests!$A:$A),MATCH(D$1,[2]quests!$1:$1,0)-MATCH($C$1,[2]quests!$1:$1,0)+1),MATCH(D$1,[2]quests!$1:$1,0)-MATCH($C$1,[2]quests!$1:$1,0)+1,FALSE)</f>
        <v>夏☆襲来！</v>
      </c>
      <c r="E10" s="18" t="str">
        <f ca="1">VLOOKUP($C10,OFFSET([2]quests!$A$1,0,0,COUNTA([2]quests!$A:$A),MATCH(E$1,[2]quests!$1:$1,0)-MATCH($C$1,[2]quests!$1:$1,0)+1),MATCH(E$1,[2]quests!$1:$1,0)-MATCH($C$1,[2]quests!$1:$1,0)+1,FALSE)</f>
        <v>季節イベント</v>
      </c>
      <c r="F10" s="21">
        <v>2</v>
      </c>
      <c r="G10" s="23" t="str">
        <f t="shared" si="3"/>
        <v>47002_2</v>
      </c>
      <c r="H10" s="15" t="str">
        <f ca="1">VLOOKUP($G10,OFFSET([2]stages!$A$1,0,0,COUNTA([2]stages!$A:$A),MATCH(H$1,[2]stages!$2:$2,0)-MATCH($G$1,[2]stages!$2:$2,0)+1),MATCH(H$1,[2]stages!$2:$2,0)-MATCH($G$1,[2]stages!$2:$2,0)+1,FALSE)</f>
        <v>【ウィザード級】夏☆襲来</v>
      </c>
      <c r="I10" s="21">
        <v>4</v>
      </c>
      <c r="J10" s="12">
        <v>60</v>
      </c>
      <c r="K10" s="12">
        <v>60</v>
      </c>
    </row>
    <row r="11" spans="1:11" ht="21" customHeight="1" x14ac:dyDescent="0.15">
      <c r="A11" s="16" t="str">
        <f t="shared" si="2"/>
        <v>47002_2-5</v>
      </c>
      <c r="B11" s="16" t="str">
        <f>IF(COUNTIF(enemy_habitats!$H:$H,A11),"OK","NG")</f>
        <v>OK</v>
      </c>
      <c r="C11" s="7">
        <v>47002</v>
      </c>
      <c r="D11" s="11" t="str">
        <f ca="1">VLOOKUP($C11,OFFSET([2]quests!$A$1,0,0,COUNTA([2]quests!$A:$A),MATCH(D$1,[2]quests!$1:$1,0)-MATCH($C$1,[2]quests!$1:$1,0)+1),MATCH(D$1,[2]quests!$1:$1,0)-MATCH($C$1,[2]quests!$1:$1,0)+1,FALSE)</f>
        <v>夏☆襲来！</v>
      </c>
      <c r="E11" s="18" t="str">
        <f ca="1">VLOOKUP($C11,OFFSET([2]quests!$A$1,0,0,COUNTA([2]quests!$A:$A),MATCH(E$1,[2]quests!$1:$1,0)-MATCH($C$1,[2]quests!$1:$1,0)+1),MATCH(E$1,[2]quests!$1:$1,0)-MATCH($C$1,[2]quests!$1:$1,0)+1,FALSE)</f>
        <v>季節イベント</v>
      </c>
      <c r="F11" s="21">
        <v>2</v>
      </c>
      <c r="G11" s="23" t="str">
        <f t="shared" si="3"/>
        <v>47002_2</v>
      </c>
      <c r="H11" s="15" t="str">
        <f ca="1">VLOOKUP($G11,OFFSET([2]stages!$A$1,0,0,COUNTA([2]stages!$A:$A),MATCH(H$1,[2]stages!$2:$2,0)-MATCH($G$1,[2]stages!$2:$2,0)+1),MATCH(H$1,[2]stages!$2:$2,0)-MATCH($G$1,[2]stages!$2:$2,0)+1,FALSE)</f>
        <v>【ウィザード級】夏☆襲来</v>
      </c>
      <c r="I11" s="21">
        <v>5</v>
      </c>
      <c r="J11" s="12">
        <v>60</v>
      </c>
      <c r="K11" s="12">
        <v>60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9"/>
  <sheetViews>
    <sheetView showGridLines="0" tabSelected="1" zoomScale="90" zoomScaleNormal="90" zoomScalePageLayoutView="90" workbookViewId="0">
      <pane xSplit="17" ySplit="1" topLeftCell="W2" activePane="bottomRight" state="frozen"/>
      <selection pane="topRight" activeCell="N1" sqref="N1"/>
      <selection pane="bottomLeft" activeCell="A2" sqref="A2"/>
      <selection pane="bottomRight" activeCell="AA16" sqref="AA1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252</v>
      </c>
      <c r="U1" s="26" t="s">
        <v>50</v>
      </c>
      <c r="V1" s="102" t="s">
        <v>253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 t="shared" ref="A2:A10" si="0">B2&amp;"_"&amp;C2&amp;"-"&amp;G2&amp;"/"&amp;L2&amp;"&lt;lv"&amp;R2&amp;"&gt;s"&amp;AC2</f>
        <v>47002_1-1/1048&lt;lv60&gt;s2</v>
      </c>
      <c r="B2" s="22">
        <v>47002</v>
      </c>
      <c r="C2" s="21">
        <v>1</v>
      </c>
      <c r="D2" s="2" t="str">
        <f t="shared" ref="D2:D10" si="1">B2&amp;"_"&amp;C2</f>
        <v>47002_1</v>
      </c>
      <c r="E2" s="4" t="str">
        <f ca="1">VLOOKUP($B2,OFFSET([2]quests!$A$1,0,0,COUNTA([2]quests!$A:$A),MATCH(E$1,[2]quests!$1:$1,0)-MATCH($B$1,[2]quests!$1:$1,0)+1),MATCH(E$1,[2]quests!$1:$1,0)-MATCH($B$1,[2]quests!$1:$1,0)+1,FALSE)</f>
        <v>夏☆襲来！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【超絶級】夏☆襲来</v>
      </c>
      <c r="G2" s="21">
        <v>1</v>
      </c>
      <c r="H2" s="15" t="str">
        <f t="shared" ref="H2:H10" si="2">B2&amp;"_"&amp;C2&amp;"-"&amp;G2</f>
        <v>47002_1-1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254</v>
      </c>
      <c r="L2" s="20">
        <v>1048</v>
      </c>
      <c r="M2" s="17" t="e">
        <f ca="1">VLOOKUP($L2,OFFSET([3]enemies!$A$1,0,0,COUNTA([3]enemies!$A:$A),MATCH(M$1,[3]enemies!$1:$1,0)-MATCH($L$1,[3]enemies!$1:$1,0)+1),MATCH(M$1,[3]enemies!$1:$1,0)-MATCH($L$1,[3]enemies!$1:$1,0)+1,FALSE)</f>
        <v>#VALUE!</v>
      </c>
      <c r="N2" s="17" t="e">
        <f ca="1">VLOOKUP($L2,OFFSET([3]enemies!$A$1,0,0,COUNTA([3]enemies!$A:$A),MATCH(N$1,[3]enemies!$1:$1,0)-MATCH($L$1,[3]enemies!$1:$1,0)+1),MATCH(N$1,[3]enemies!$1:$1,0)-MATCH($L$1,[3]enemies!$1:$1,0)+1,FALSE)</f>
        <v>#VALUE!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e">
        <f ca="1">VLOOKUP($L2,OFFSET([3]enemies!$A$1,0,0,COUNTA([3]enemies!$A:$A),MATCH(P$1,[3]enemies!$1:$1,0)-MATCH($L$1,[3]enemies!$1:$1,0)+1),MATCH(P$1,[3]enemies!$1:$1,0)-MATCH($L$1,[3]enemies!$1:$1,0)+1,FALSE)</f>
        <v>#VALUE!</v>
      </c>
      <c r="Q2" s="17" t="e">
        <f ca="1">VLOOKUP($L2,OFFSET([3]enemies!$A$1,0,0,COUNTA([3]enemies!$A:$A),MATCH(Q$1,[3]enemies!$1:$1,0)-MATCH($L$1,[3]enemies!$1:$1,0)+1),MATCH(Q$1,[3]enemies!$1:$1,0)-MATCH($L$1,[3]enemies!$1:$1,0)+1,FALSE)</f>
        <v>#VALUE!</v>
      </c>
      <c r="R2" s="5">
        <v>60</v>
      </c>
      <c r="S2" s="25">
        <v>0.8</v>
      </c>
      <c r="T2" s="103" t="e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#REF!</v>
      </c>
      <c r="U2" s="25">
        <v>0.8</v>
      </c>
      <c r="V2" s="103" t="e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#REF!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2" s="62">
        <v>47002001</v>
      </c>
      <c r="Z2" s="6">
        <v>0</v>
      </c>
      <c r="AA2" s="6">
        <v>100</v>
      </c>
      <c r="AB2" s="6">
        <v>0</v>
      </c>
      <c r="AC2" s="109">
        <v>2</v>
      </c>
      <c r="AD2" s="24">
        <f t="shared" ref="AD2:AD10" si="3">L2</f>
        <v>1048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砂上の城主竜 ケツァクアトル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7">
        <v>1</v>
      </c>
      <c r="AI2" s="24">
        <f t="shared" ref="AI2:AI10" ca="1" si="4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47002_1-1/1047&lt;lv60&gt;s1</v>
      </c>
      <c r="B3" s="22">
        <v>47002</v>
      </c>
      <c r="C3" s="21">
        <v>1</v>
      </c>
      <c r="D3" s="2" t="str">
        <f t="shared" si="1"/>
        <v>47002_1</v>
      </c>
      <c r="E3" s="4" t="str">
        <f ca="1">VLOOKUP($B3,OFFSET([2]quests!$A$1,0,0,COUNTA([2]quests!$A:$A),MATCH(E$1,[2]quests!$1:$1,0)-MATCH($B$1,[2]quests!$1:$1,0)+1),MATCH(E$1,[2]quests!$1:$1,0)-MATCH($B$1,[2]quests!$1:$1,0)+1,FALSE)</f>
        <v>夏☆襲来！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【超絶級】夏☆襲来</v>
      </c>
      <c r="G3" s="21">
        <v>1</v>
      </c>
      <c r="H3" s="15" t="str">
        <f t="shared" si="2"/>
        <v>47002_1-1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254</v>
      </c>
      <c r="L3" s="20">
        <v>1047</v>
      </c>
      <c r="M3" s="17" t="e">
        <f ca="1">VLOOKUP($L3,OFFSET([3]enemies!$A$1,0,0,COUNTA([3]enemies!$A:$A),MATCH(M$1,[3]enemies!$1:$1,0)-MATCH($L$1,[3]enemies!$1:$1,0)+1),MATCH(M$1,[3]enemies!$1:$1,0)-MATCH($L$1,[3]enemies!$1:$1,0)+1,FALSE)</f>
        <v>#VALUE!</v>
      </c>
      <c r="N3" s="17" t="e">
        <f ca="1">VLOOKUP($L3,OFFSET([3]enemies!$A$1,0,0,COUNTA([3]enemies!$A:$A),MATCH(N$1,[3]enemies!$1:$1,0)-MATCH($L$1,[3]enemies!$1:$1,0)+1),MATCH(N$1,[3]enemies!$1:$1,0)-MATCH($L$1,[3]enemies!$1:$1,0)+1,FALSE)</f>
        <v>#VALUE!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PremiumSSS</v>
      </c>
      <c r="P3" s="17" t="e">
        <f ca="1">VLOOKUP($L3,OFFSET([3]enemies!$A$1,0,0,COUNTA([3]enemies!$A:$A),MATCH(P$1,[3]enemies!$1:$1,0)-MATCH($L$1,[3]enemies!$1:$1,0)+1),MATCH(P$1,[3]enemies!$1:$1,0)-MATCH($L$1,[3]enemies!$1:$1,0)+1,FALSE)</f>
        <v>#VALUE!</v>
      </c>
      <c r="Q3" s="17" t="e">
        <f ca="1">VLOOKUP($L3,OFFSET([3]enemies!$A$1,0,0,COUNTA([3]enemies!$A:$A),MATCH(Q$1,[3]enemies!$1:$1,0)-MATCH($L$1,[3]enemies!$1:$1,0)+1),MATCH(Q$1,[3]enemies!$1:$1,0)-MATCH($L$1,[3]enemies!$1:$1,0)+1,FALSE)</f>
        <v>#VALUE!</v>
      </c>
      <c r="R3" s="5">
        <v>60</v>
      </c>
      <c r="S3" s="25">
        <v>5</v>
      </c>
      <c r="T3" s="103" t="e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#REF!</v>
      </c>
      <c r="U3" s="25">
        <v>1</v>
      </c>
      <c r="V3" s="103" t="e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#REF!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3" s="62">
        <v>47002002</v>
      </c>
      <c r="Z3" s="6">
        <v>0</v>
      </c>
      <c r="AA3" s="6">
        <v>7</v>
      </c>
      <c r="AB3" s="6">
        <v>1</v>
      </c>
      <c r="AC3" s="109">
        <v>1</v>
      </c>
      <c r="AD3" s="24">
        <f t="shared" si="3"/>
        <v>1047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波浪の夏閃 オイラー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6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3" s="7">
        <v>1</v>
      </c>
      <c r="AI3" s="24">
        <f t="shared" ca="1" si="4"/>
        <v>6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47002_1-2/1050&lt;lv60&gt;s1</v>
      </c>
      <c r="B4" s="22">
        <v>47002</v>
      </c>
      <c r="C4" s="21">
        <v>1</v>
      </c>
      <c r="D4" s="2" t="str">
        <f t="shared" si="1"/>
        <v>47002_1</v>
      </c>
      <c r="E4" s="4" t="str">
        <f ca="1">VLOOKUP($B4,OFFSET([2]quests!$A$1,0,0,COUNTA([2]quests!$A:$A),MATCH(E$1,[2]quests!$1:$1,0)-MATCH($B$1,[2]quests!$1:$1,0)+1),MATCH(E$1,[2]quests!$1:$1,0)-MATCH($B$1,[2]quests!$1:$1,0)+1,FALSE)</f>
        <v>夏☆襲来！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【超絶級】夏☆襲来</v>
      </c>
      <c r="G4" s="21">
        <v>2</v>
      </c>
      <c r="H4" s="15" t="str">
        <f t="shared" si="2"/>
        <v>47002_1-2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254</v>
      </c>
      <c r="L4" s="20">
        <v>1050</v>
      </c>
      <c r="M4" s="17" t="e">
        <f ca="1">VLOOKUP($L4,OFFSET([3]enemies!$A$1,0,0,COUNTA([3]enemies!$A:$A),MATCH(M$1,[3]enemies!$1:$1,0)-MATCH($L$1,[3]enemies!$1:$1,0)+1),MATCH(M$1,[3]enemies!$1:$1,0)-MATCH($L$1,[3]enemies!$1:$1,0)+1,FALSE)</f>
        <v>#VALUE!</v>
      </c>
      <c r="N4" s="17" t="e">
        <f ca="1">VLOOKUP($L4,OFFSET([3]enemies!$A$1,0,0,COUNTA([3]enemies!$A:$A),MATCH(N$1,[3]enemies!$1:$1,0)-MATCH($L$1,[3]enemies!$1:$1,0)+1),MATCH(N$1,[3]enemies!$1:$1,0)-MATCH($L$1,[3]enemies!$1:$1,0)+1,FALSE)</f>
        <v>#VALUE!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e">
        <f ca="1">VLOOKUP($L4,OFFSET([3]enemies!$A$1,0,0,COUNTA([3]enemies!$A:$A),MATCH(P$1,[3]enemies!$1:$1,0)-MATCH($L$1,[3]enemies!$1:$1,0)+1),MATCH(P$1,[3]enemies!$1:$1,0)-MATCH($L$1,[3]enemies!$1:$1,0)+1,FALSE)</f>
        <v>#VALUE!</v>
      </c>
      <c r="Q4" s="17" t="e">
        <f ca="1">VLOOKUP($L4,OFFSET([3]enemies!$A$1,0,0,COUNTA([3]enemies!$A:$A),MATCH(Q$1,[3]enemies!$1:$1,0)-MATCH($L$1,[3]enemies!$1:$1,0)+1),MATCH(Q$1,[3]enemies!$1:$1,0)-MATCH($L$1,[3]enemies!$1:$1,0)+1,FALSE)</f>
        <v>#VALUE!</v>
      </c>
      <c r="R4" s="5">
        <v>60</v>
      </c>
      <c r="S4" s="25">
        <v>1.4</v>
      </c>
      <c r="T4" s="103" t="e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#REF!</v>
      </c>
      <c r="U4" s="25">
        <v>0.7</v>
      </c>
      <c r="V4" s="103" t="e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#REF!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4" s="62">
        <v>47002003</v>
      </c>
      <c r="Z4" s="6">
        <v>0</v>
      </c>
      <c r="AA4" s="6">
        <v>100</v>
      </c>
      <c r="AB4" s="6">
        <v>0</v>
      </c>
      <c r="AC4" s="109">
        <v>1</v>
      </c>
      <c r="AD4" s="24">
        <f t="shared" si="3"/>
        <v>1050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廻遊の水獣宰相 ルキフグス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4">
        <f t="shared" ca="1" si="4"/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47002_1-2/1049&lt;lv60&gt;s1</v>
      </c>
      <c r="B5" s="22">
        <v>47002</v>
      </c>
      <c r="C5" s="21">
        <v>1</v>
      </c>
      <c r="D5" s="2" t="str">
        <f t="shared" si="1"/>
        <v>47002_1</v>
      </c>
      <c r="E5" s="4" t="str">
        <f ca="1">VLOOKUP($B5,OFFSET([2]quests!$A$1,0,0,COUNTA([2]quests!$A:$A),MATCH(E$1,[2]quests!$1:$1,0)-MATCH($B$1,[2]quests!$1:$1,0)+1),MATCH(E$1,[2]quests!$1:$1,0)-MATCH($B$1,[2]quests!$1:$1,0)+1,FALSE)</f>
        <v>夏☆襲来！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【超絶級】夏☆襲来</v>
      </c>
      <c r="G5" s="21">
        <v>2</v>
      </c>
      <c r="H5" s="15" t="str">
        <f t="shared" si="2"/>
        <v>47002_1-2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254</v>
      </c>
      <c r="L5" s="20">
        <v>1049</v>
      </c>
      <c r="M5" s="17" t="e">
        <f ca="1">VLOOKUP($L5,OFFSET([3]enemies!$A$1,0,0,COUNTA([3]enemies!$A:$A),MATCH(M$1,[3]enemies!$1:$1,0)-MATCH($L$1,[3]enemies!$1:$1,0)+1),MATCH(M$1,[3]enemies!$1:$1,0)-MATCH($L$1,[3]enemies!$1:$1,0)+1,FALSE)</f>
        <v>#VALUE!</v>
      </c>
      <c r="N5" s="17" t="e">
        <f ca="1">VLOOKUP($L5,OFFSET([3]enemies!$A$1,0,0,COUNTA([3]enemies!$A:$A),MATCH(N$1,[3]enemies!$1:$1,0)-MATCH($L$1,[3]enemies!$1:$1,0)+1),MATCH(N$1,[3]enemies!$1:$1,0)-MATCH($L$1,[3]enemies!$1:$1,0)+1,FALSE)</f>
        <v>#VALUE!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PremiumSSS</v>
      </c>
      <c r="P5" s="17" t="e">
        <f ca="1">VLOOKUP($L5,OFFSET([3]enemies!$A$1,0,0,COUNTA([3]enemies!$A:$A),MATCH(P$1,[3]enemies!$1:$1,0)-MATCH($L$1,[3]enemies!$1:$1,0)+1),MATCH(P$1,[3]enemies!$1:$1,0)-MATCH($L$1,[3]enemies!$1:$1,0)+1,FALSE)</f>
        <v>#VALUE!</v>
      </c>
      <c r="Q5" s="17" t="e">
        <f ca="1">VLOOKUP($L5,OFFSET([3]enemies!$A$1,0,0,COUNTA([3]enemies!$A:$A),MATCH(Q$1,[3]enemies!$1:$1,0)-MATCH($L$1,[3]enemies!$1:$1,0)+1),MATCH(Q$1,[3]enemies!$1:$1,0)-MATCH($L$1,[3]enemies!$1:$1,0)+1,FALSE)</f>
        <v>#VALUE!</v>
      </c>
      <c r="R5" s="5">
        <v>60</v>
      </c>
      <c r="S5" s="25">
        <v>5</v>
      </c>
      <c r="T5" s="103" t="e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#REF!</v>
      </c>
      <c r="U5" s="25">
        <v>1</v>
      </c>
      <c r="V5" s="103" t="e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#REF!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5" s="62">
        <v>47002004</v>
      </c>
      <c r="Z5" s="6">
        <v>0</v>
      </c>
      <c r="AA5" s="6">
        <v>7</v>
      </c>
      <c r="AB5" s="6">
        <v>1</v>
      </c>
      <c r="AC5" s="109">
        <v>1</v>
      </c>
      <c r="AD5" s="24">
        <f t="shared" si="3"/>
        <v>1049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深秘の水宙 メビウス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6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5" s="7">
        <v>1</v>
      </c>
      <c r="AI5" s="24">
        <f t="shared" ca="1" si="4"/>
        <v>6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47002_1-3/1046&lt;lv60&gt;s1</v>
      </c>
      <c r="B6" s="22">
        <v>47002</v>
      </c>
      <c r="C6" s="21">
        <v>1</v>
      </c>
      <c r="D6" s="2" t="str">
        <f t="shared" si="1"/>
        <v>47002_1</v>
      </c>
      <c r="E6" s="4" t="str">
        <f ca="1">VLOOKUP($B6,OFFSET([2]quests!$A$1,0,0,COUNTA([2]quests!$A:$A),MATCH(E$1,[2]quests!$1:$1,0)-MATCH($B$1,[2]quests!$1:$1,0)+1),MATCH(E$1,[2]quests!$1:$1,0)-MATCH($B$1,[2]quests!$1:$1,0)+1,FALSE)</f>
        <v>夏☆襲来！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【超絶級】夏☆襲来</v>
      </c>
      <c r="G6" s="21">
        <v>3</v>
      </c>
      <c r="H6" s="15" t="str">
        <f t="shared" si="2"/>
        <v>47002_1-3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167</v>
      </c>
      <c r="L6" s="20">
        <v>1046</v>
      </c>
      <c r="M6" s="17" t="e">
        <f ca="1">VLOOKUP($L6,OFFSET([3]enemies!$A$1,0,0,COUNTA([3]enemies!$A:$A),MATCH(M$1,[3]enemies!$1:$1,0)-MATCH($L$1,[3]enemies!$1:$1,0)+1),MATCH(M$1,[3]enemies!$1:$1,0)-MATCH($L$1,[3]enemies!$1:$1,0)+1,FALSE)</f>
        <v>#VALUE!</v>
      </c>
      <c r="N6" s="17" t="e">
        <f ca="1">VLOOKUP($L6,OFFSET([3]enemies!$A$1,0,0,COUNTA([3]enemies!$A:$A),MATCH(N$1,[3]enemies!$1:$1,0)-MATCH($L$1,[3]enemies!$1:$1,0)+1),MATCH(N$1,[3]enemies!$1:$1,0)-MATCH($L$1,[3]enemies!$1:$1,0)+1,FALSE)</f>
        <v>#VALUE!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e">
        <f ca="1">VLOOKUP($L6,OFFSET([3]enemies!$A$1,0,0,COUNTA([3]enemies!$A:$A),MATCH(P$1,[3]enemies!$1:$1,0)-MATCH($L$1,[3]enemies!$1:$1,0)+1),MATCH(P$1,[3]enemies!$1:$1,0)-MATCH($L$1,[3]enemies!$1:$1,0)+1,FALSE)</f>
        <v>#VALUE!</v>
      </c>
      <c r="Q6" s="17" t="e">
        <f ca="1">VLOOKUP($L6,OFFSET([3]enemies!$A$1,0,0,COUNTA([3]enemies!$A:$A),MATCH(Q$1,[3]enemies!$1:$1,0)-MATCH($L$1,[3]enemies!$1:$1,0)+1),MATCH(Q$1,[3]enemies!$1:$1,0)-MATCH($L$1,[3]enemies!$1:$1,0)+1,FALSE)</f>
        <v>#VALUE!</v>
      </c>
      <c r="R6" s="5">
        <v>60</v>
      </c>
      <c r="S6" s="25">
        <v>2.1</v>
      </c>
      <c r="T6" s="103" t="e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#REF!</v>
      </c>
      <c r="U6" s="25">
        <v>0.9</v>
      </c>
      <c r="V6" s="103" t="e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#REF!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6" s="196">
        <v>47002013</v>
      </c>
      <c r="Z6" s="6">
        <v>0</v>
      </c>
      <c r="AA6" s="6">
        <v>100</v>
      </c>
      <c r="AB6" s="6">
        <v>0</v>
      </c>
      <c r="AC6" s="109">
        <v>1</v>
      </c>
      <c r="AD6" s="24">
        <f t="shared" si="3"/>
        <v>1046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涼求の炎狼 フェンリル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4">
        <f t="shared" ca="1" si="4"/>
        <v>5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47002_1-3/1045&lt;lv60&gt;s1</v>
      </c>
      <c r="B7" s="22">
        <v>47002</v>
      </c>
      <c r="C7" s="21">
        <v>1</v>
      </c>
      <c r="D7" s="2" t="str">
        <f t="shared" si="1"/>
        <v>47002_1</v>
      </c>
      <c r="E7" s="4" t="str">
        <f ca="1">VLOOKUP($B7,OFFSET([2]quests!$A$1,0,0,COUNTA([2]quests!$A:$A),MATCH(E$1,[2]quests!$1:$1,0)-MATCH($B$1,[2]quests!$1:$1,0)+1),MATCH(E$1,[2]quests!$1:$1,0)-MATCH($B$1,[2]quests!$1:$1,0)+1,FALSE)</f>
        <v>夏☆襲来！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【超絶級】夏☆襲来</v>
      </c>
      <c r="G7" s="21">
        <v>3</v>
      </c>
      <c r="H7" s="15" t="str">
        <f t="shared" si="2"/>
        <v>47002_1-3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254</v>
      </c>
      <c r="L7" s="20">
        <v>1045</v>
      </c>
      <c r="M7" s="17" t="e">
        <f ca="1">VLOOKUP($L7,OFFSET([3]enemies!$A$1,0,0,COUNTA([3]enemies!$A:$A),MATCH(M$1,[3]enemies!$1:$1,0)-MATCH($L$1,[3]enemies!$1:$1,0)+1),MATCH(M$1,[3]enemies!$1:$1,0)-MATCH($L$1,[3]enemies!$1:$1,0)+1,FALSE)</f>
        <v>#VALUE!</v>
      </c>
      <c r="N7" s="17" t="e">
        <f ca="1">VLOOKUP($L7,OFFSET([3]enemies!$A$1,0,0,COUNTA([3]enemies!$A:$A),MATCH(N$1,[3]enemies!$1:$1,0)-MATCH($L$1,[3]enemies!$1:$1,0)+1),MATCH(N$1,[3]enemies!$1:$1,0)-MATCH($L$1,[3]enemies!$1:$1,0)+1,FALSE)</f>
        <v>#VALUE!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PremiumSSS</v>
      </c>
      <c r="P7" s="17" t="e">
        <f ca="1">VLOOKUP($L7,OFFSET([3]enemies!$A$1,0,0,COUNTA([3]enemies!$A:$A),MATCH(P$1,[3]enemies!$1:$1,0)-MATCH($L$1,[3]enemies!$1:$1,0)+1),MATCH(P$1,[3]enemies!$1:$1,0)-MATCH($L$1,[3]enemies!$1:$1,0)+1,FALSE)</f>
        <v>#VALUE!</v>
      </c>
      <c r="Q7" s="17" t="e">
        <f ca="1">VLOOKUP($L7,OFFSET([3]enemies!$A$1,0,0,COUNTA([3]enemies!$A:$A),MATCH(Q$1,[3]enemies!$1:$1,0)-MATCH($L$1,[3]enemies!$1:$1,0)+1),MATCH(Q$1,[3]enemies!$1:$1,0)-MATCH($L$1,[3]enemies!$1:$1,0)+1,FALSE)</f>
        <v>#VALUE!</v>
      </c>
      <c r="R7" s="5">
        <v>60</v>
      </c>
      <c r="S7" s="25">
        <v>5</v>
      </c>
      <c r="T7" s="103" t="e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#REF!</v>
      </c>
      <c r="U7" s="25">
        <v>1</v>
      </c>
      <c r="V7" s="103" t="e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#REF!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7" s="62">
        <v>47002006</v>
      </c>
      <c r="Z7" s="6">
        <v>0</v>
      </c>
      <c r="AA7" s="6">
        <v>7</v>
      </c>
      <c r="AB7" s="6">
        <v>1</v>
      </c>
      <c r="AC7" s="109">
        <v>1</v>
      </c>
      <c r="AD7" s="24">
        <f t="shared" si="3"/>
        <v>1045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漂解の海原 シュレディンガー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6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7" s="7">
        <v>1</v>
      </c>
      <c r="AI7" s="24">
        <f t="shared" ca="1" si="4"/>
        <v>6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47002_1-4/1052&lt;lv60&gt;s2</v>
      </c>
      <c r="B8" s="22">
        <v>47002</v>
      </c>
      <c r="C8" s="21">
        <v>1</v>
      </c>
      <c r="D8" s="2" t="str">
        <f t="shared" si="1"/>
        <v>47002_1</v>
      </c>
      <c r="E8" s="4" t="str">
        <f ca="1">VLOOKUP($B8,OFFSET([2]quests!$A$1,0,0,COUNTA([2]quests!$A:$A),MATCH(E$1,[2]quests!$1:$1,0)-MATCH($B$1,[2]quests!$1:$1,0)+1),MATCH(E$1,[2]quests!$1:$1,0)-MATCH($B$1,[2]quests!$1:$1,0)+1,FALSE)</f>
        <v>夏☆襲来！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【超絶級】夏☆襲来</v>
      </c>
      <c r="G8" s="21">
        <v>4</v>
      </c>
      <c r="H8" s="15" t="str">
        <f t="shared" si="2"/>
        <v>47002_1-4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254</v>
      </c>
      <c r="L8" s="20">
        <v>1052</v>
      </c>
      <c r="M8" s="17" t="e">
        <f ca="1">VLOOKUP($L8,OFFSET([3]enemies!$A$1,0,0,COUNTA([3]enemies!$A:$A),MATCH(M$1,[3]enemies!$1:$1,0)-MATCH($L$1,[3]enemies!$1:$1,0)+1),MATCH(M$1,[3]enemies!$1:$1,0)-MATCH($L$1,[3]enemies!$1:$1,0)+1,FALSE)</f>
        <v>#VALUE!</v>
      </c>
      <c r="N8" s="17" t="e">
        <f ca="1">VLOOKUP($L8,OFFSET([3]enemies!$A$1,0,0,COUNTA([3]enemies!$A:$A),MATCH(N$1,[3]enemies!$1:$1,0)-MATCH($L$1,[3]enemies!$1:$1,0)+1),MATCH(N$1,[3]enemies!$1:$1,0)-MATCH($L$1,[3]enemies!$1:$1,0)+1,FALSE)</f>
        <v>#VALUE!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e">
        <f ca="1">VLOOKUP($L8,OFFSET([3]enemies!$A$1,0,0,COUNTA([3]enemies!$A:$A),MATCH(P$1,[3]enemies!$1:$1,0)-MATCH($L$1,[3]enemies!$1:$1,0)+1),MATCH(P$1,[3]enemies!$1:$1,0)-MATCH($L$1,[3]enemies!$1:$1,0)+1,FALSE)</f>
        <v>#VALUE!</v>
      </c>
      <c r="Q8" s="17" t="e">
        <f ca="1">VLOOKUP($L8,OFFSET([3]enemies!$A$1,0,0,COUNTA([3]enemies!$A:$A),MATCH(Q$1,[3]enemies!$1:$1,0)-MATCH($L$1,[3]enemies!$1:$1,0)+1),MATCH(Q$1,[3]enemies!$1:$1,0)-MATCH($L$1,[3]enemies!$1:$1,0)+1,FALSE)</f>
        <v>#VALUE!</v>
      </c>
      <c r="R8" s="5">
        <v>60</v>
      </c>
      <c r="S8" s="25">
        <v>2.4</v>
      </c>
      <c r="T8" s="103" t="e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#REF!</v>
      </c>
      <c r="U8" s="25">
        <v>1.1000000000000001</v>
      </c>
      <c r="V8" s="103" t="e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#REF!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8" s="196">
        <v>47002014</v>
      </c>
      <c r="Z8" s="6">
        <v>0</v>
      </c>
      <c r="AA8" s="6">
        <v>100</v>
      </c>
      <c r="AB8" s="6">
        <v>0</v>
      </c>
      <c r="AC8" s="109">
        <v>2</v>
      </c>
      <c r="AD8" s="24">
        <f t="shared" si="3"/>
        <v>1052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戯魚群の潜光 バルドル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7">
        <v>1</v>
      </c>
      <c r="AI8" s="24">
        <f t="shared" ca="1" si="4"/>
        <v>5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0"/>
        <v>47002_1-4/1051&lt;lv60&gt;s1</v>
      </c>
      <c r="B9" s="22">
        <v>47002</v>
      </c>
      <c r="C9" s="21">
        <v>1</v>
      </c>
      <c r="D9" s="2" t="str">
        <f t="shared" si="1"/>
        <v>47002_1</v>
      </c>
      <c r="E9" s="4" t="str">
        <f ca="1">VLOOKUP($B9,OFFSET([2]quests!$A$1,0,0,COUNTA([2]quests!$A:$A),MATCH(E$1,[2]quests!$1:$1,0)-MATCH($B$1,[2]quests!$1:$1,0)+1),MATCH(E$1,[2]quests!$1:$1,0)-MATCH($B$1,[2]quests!$1:$1,0)+1,FALSE)</f>
        <v>夏☆襲来！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【超絶級】夏☆襲来</v>
      </c>
      <c r="G9" s="21">
        <v>4</v>
      </c>
      <c r="H9" s="15" t="str">
        <f t="shared" si="2"/>
        <v>47002_1-4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254</v>
      </c>
      <c r="L9" s="20">
        <v>1051</v>
      </c>
      <c r="M9" s="17" t="e">
        <f ca="1">VLOOKUP($L9,OFFSET([3]enemies!$A$1,0,0,COUNTA([3]enemies!$A:$A),MATCH(M$1,[3]enemies!$1:$1,0)-MATCH($L$1,[3]enemies!$1:$1,0)+1),MATCH(M$1,[3]enemies!$1:$1,0)-MATCH($L$1,[3]enemies!$1:$1,0)+1,FALSE)</f>
        <v>#VALUE!</v>
      </c>
      <c r="N9" s="17" t="e">
        <f ca="1">VLOOKUP($L9,OFFSET([3]enemies!$A$1,0,0,COUNTA([3]enemies!$A:$A),MATCH(N$1,[3]enemies!$1:$1,0)-MATCH($L$1,[3]enemies!$1:$1,0)+1),MATCH(N$1,[3]enemies!$1:$1,0)-MATCH($L$1,[3]enemies!$1:$1,0)+1,FALSE)</f>
        <v>#VALUE!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PremiumSSS</v>
      </c>
      <c r="P9" s="17" t="e">
        <f ca="1">VLOOKUP($L9,OFFSET([3]enemies!$A$1,0,0,COUNTA([3]enemies!$A:$A),MATCH(P$1,[3]enemies!$1:$1,0)-MATCH($L$1,[3]enemies!$1:$1,0)+1),MATCH(P$1,[3]enemies!$1:$1,0)-MATCH($L$1,[3]enemies!$1:$1,0)+1,FALSE)</f>
        <v>#VALUE!</v>
      </c>
      <c r="Q9" s="17" t="e">
        <f ca="1">VLOOKUP($L9,OFFSET([3]enemies!$A$1,0,0,COUNTA([3]enemies!$A:$A),MATCH(Q$1,[3]enemies!$1:$1,0)-MATCH($L$1,[3]enemies!$1:$1,0)+1),MATCH(Q$1,[3]enemies!$1:$1,0)-MATCH($L$1,[3]enemies!$1:$1,0)+1,FALSE)</f>
        <v>#VALUE!</v>
      </c>
      <c r="R9" s="5">
        <v>60</v>
      </c>
      <c r="S9" s="25">
        <v>5</v>
      </c>
      <c r="T9" s="103" t="e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#REF!</v>
      </c>
      <c r="U9" s="25">
        <v>1</v>
      </c>
      <c r="V9" s="103" t="e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#REF!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9" s="62">
        <v>47002008</v>
      </c>
      <c r="Z9" s="6">
        <v>0</v>
      </c>
      <c r="AA9" s="6">
        <v>7</v>
      </c>
      <c r="AB9" s="6">
        <v>1</v>
      </c>
      <c r="AC9" s="109">
        <v>1</v>
      </c>
      <c r="AD9" s="24">
        <f t="shared" si="3"/>
        <v>1051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嬌電の飛沫 ファラデー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6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9" s="7">
        <v>1</v>
      </c>
      <c r="AI9" s="24">
        <f t="shared" ca="1" si="4"/>
        <v>6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thickBot="1" x14ac:dyDescent="0.2">
      <c r="A10" s="156" t="str">
        <f t="shared" si="0"/>
        <v>47002_1-5/1053&lt;lv60&gt;s2</v>
      </c>
      <c r="B10" s="157">
        <v>47002</v>
      </c>
      <c r="C10" s="158">
        <v>1</v>
      </c>
      <c r="D10" s="159" t="str">
        <f t="shared" si="1"/>
        <v>47002_1</v>
      </c>
      <c r="E10" s="160" t="str">
        <f ca="1">VLOOKUP($B10,OFFSET([2]quests!$A$1,0,0,COUNTA([2]quests!$A:$A),MATCH(E$1,[2]quests!$1:$1,0)-MATCH($B$1,[2]quests!$1:$1,0)+1),MATCH(E$1,[2]quests!$1:$1,0)-MATCH($B$1,[2]quests!$1:$1,0)+1,FALSE)</f>
        <v>夏☆襲来！</v>
      </c>
      <c r="F10" s="160" t="str">
        <f ca="1">VLOOKUP($D10,OFFSET([2]stages!$A$1,0,0,COUNTA([2]stages!$A:$A),MATCH(F$1,[2]stages!$2:$2,0)-MATCH($D$1,[2]stages!$2:$2,0)+1),MATCH(F$1,[2]stages!$2:$2,0)-MATCH($D$1,[2]stages!$2:$2,0)+1,FALSE)</f>
        <v>【超絶級】夏☆襲来</v>
      </c>
      <c r="G10" s="158">
        <v>5</v>
      </c>
      <c r="H10" s="159" t="str">
        <f t="shared" si="2"/>
        <v>47002_1-5</v>
      </c>
      <c r="I10" s="160">
        <f ca="1">VLOOKUP($H10,OFFSET(floors!$A$1,0,0,COUNTA(floors!$A:$A),MATCH(I$1,floors!$1:$1,0)-MATCH($H$1,floors!$1:$1,0)+1),MATCH(I$1,floors!$1:$1,0)-MATCH($H$1,floors!$1:$1,0)+1,FALSE)</f>
        <v>60</v>
      </c>
      <c r="J10" s="160">
        <f ca="1">VLOOKUP($H10,OFFSET(floors!$A$1,0,0,COUNTA(floors!$A:$A),MATCH(J$1,floors!$1:$1,0)-MATCH($H$1,floors!$1:$1,0)+1),MATCH(J$1,floors!$1:$1,0)-MATCH($H$1,floors!$1:$1,0)+1,FALSE)</f>
        <v>60</v>
      </c>
      <c r="K10" s="161">
        <v>1</v>
      </c>
      <c r="L10" s="162">
        <v>1053</v>
      </c>
      <c r="M10" s="163" t="e">
        <f ca="1">VLOOKUP($L10,OFFSET([3]enemies!$A$1,0,0,COUNTA([3]enemies!$A:$A),MATCH(M$1,[3]enemies!$1:$1,0)-MATCH($L$1,[3]enemies!$1:$1,0)+1),MATCH(M$1,[3]enemies!$1:$1,0)-MATCH($L$1,[3]enemies!$1:$1,0)+1,FALSE)</f>
        <v>#VALUE!</v>
      </c>
      <c r="N10" s="163" t="e">
        <f ca="1">VLOOKUP($L10,OFFSET([3]enemies!$A$1,0,0,COUNTA([3]enemies!$A:$A),MATCH(N$1,[3]enemies!$1:$1,0)-MATCH($L$1,[3]enemies!$1:$1,0)+1),MATCH(N$1,[3]enemies!$1:$1,0)-MATCH($L$1,[3]enemies!$1:$1,0)+1,FALSE)</f>
        <v>#VALUE!</v>
      </c>
      <c r="O10" s="163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63" t="e">
        <f ca="1">VLOOKUP($L10,OFFSET([3]enemies!$A$1,0,0,COUNTA([3]enemies!$A:$A),MATCH(P$1,[3]enemies!$1:$1,0)-MATCH($L$1,[3]enemies!$1:$1,0)+1),MATCH(P$1,[3]enemies!$1:$1,0)-MATCH($L$1,[3]enemies!$1:$1,0)+1,FALSE)</f>
        <v>#VALUE!</v>
      </c>
      <c r="Q10" s="163" t="e">
        <f ca="1">VLOOKUP($L10,OFFSET([3]enemies!$A$1,0,0,COUNTA([3]enemies!$A:$A),MATCH(Q$1,[3]enemies!$1:$1,0)-MATCH($L$1,[3]enemies!$1:$1,0)+1),MATCH(Q$1,[3]enemies!$1:$1,0)-MATCH($L$1,[3]enemies!$1:$1,0)+1,FALSE)</f>
        <v>#VALUE!</v>
      </c>
      <c r="R10" s="164">
        <v>60</v>
      </c>
      <c r="S10" s="165">
        <v>3.7</v>
      </c>
      <c r="T10" s="166" t="e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#REF!</v>
      </c>
      <c r="U10" s="165">
        <v>1.5</v>
      </c>
      <c r="V10" s="166" t="e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#REF!</v>
      </c>
      <c r="W10" s="164">
        <v>0</v>
      </c>
      <c r="X10" s="160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スキルバインド&amp;スリープ耐性</v>
      </c>
      <c r="Y10" s="167">
        <v>47002009</v>
      </c>
      <c r="Z10" s="168">
        <v>0</v>
      </c>
      <c r="AA10" s="168">
        <v>100</v>
      </c>
      <c r="AB10" s="168">
        <v>0</v>
      </c>
      <c r="AC10" s="169">
        <v>2</v>
      </c>
      <c r="AD10" s="170">
        <f t="shared" si="3"/>
        <v>1053</v>
      </c>
      <c r="AE10" s="160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常夏の眩獣 麒麟</v>
      </c>
      <c r="AF10" s="160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160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171">
        <v>1</v>
      </c>
      <c r="AI10" s="170">
        <f t="shared" ca="1" si="4"/>
        <v>5</v>
      </c>
      <c r="AJ10" s="172">
        <v>30</v>
      </c>
      <c r="AK10" s="171">
        <v>0</v>
      </c>
      <c r="AL10" s="171">
        <v>0</v>
      </c>
      <c r="AM10" s="171">
        <v>0</v>
      </c>
      <c r="AN10" s="171">
        <v>0</v>
      </c>
      <c r="AO10" s="171">
        <v>1</v>
      </c>
      <c r="AP10" s="173">
        <v>1</v>
      </c>
    </row>
    <row r="11" spans="1:42" ht="21" customHeight="1" x14ac:dyDescent="0.15">
      <c r="A11" s="174" t="str">
        <f t="shared" ref="A11:A19" si="5">B11&amp;"_"&amp;C11&amp;"-"&amp;G11&amp;"/"&amp;L11&amp;"&lt;lv"&amp;R11&amp;"&gt;s"&amp;AC11</f>
        <v>47002_2-1/1048&lt;lv60&gt;s2</v>
      </c>
      <c r="B11" s="175">
        <v>47002</v>
      </c>
      <c r="C11" s="176">
        <v>2</v>
      </c>
      <c r="D11" s="177" t="str">
        <f t="shared" ref="D11:D19" si="6">B11&amp;"_"&amp;C11</f>
        <v>47002_2</v>
      </c>
      <c r="E11" s="178" t="str">
        <f ca="1">VLOOKUP($B11,OFFSET([2]quests!$A$1,0,0,COUNTA([2]quests!$A:$A),MATCH(E$1,[2]quests!$1:$1,0)-MATCH($B$1,[2]quests!$1:$1,0)+1),MATCH(E$1,[2]quests!$1:$1,0)-MATCH($B$1,[2]quests!$1:$1,0)+1,FALSE)</f>
        <v>夏☆襲来！</v>
      </c>
      <c r="F11" s="178" t="str">
        <f ca="1">VLOOKUP($D11,OFFSET([2]stages!$A$1,0,0,COUNTA([2]stages!$A:$A),MATCH(F$1,[2]stages!$2:$2,0)-MATCH($D$1,[2]stages!$2:$2,0)+1),MATCH(F$1,[2]stages!$2:$2,0)-MATCH($D$1,[2]stages!$2:$2,0)+1,FALSE)</f>
        <v>【ウィザード級】夏☆襲来</v>
      </c>
      <c r="G11" s="176">
        <v>1</v>
      </c>
      <c r="H11" s="177" t="str">
        <f t="shared" ref="H11:H19" si="7">B11&amp;"_"&amp;C11&amp;"-"&amp;G11</f>
        <v>47002_2-1</v>
      </c>
      <c r="I11" s="178">
        <f ca="1">VLOOKUP($H11,OFFSET(floors!$A$1,0,0,COUNTA(floors!$A:$A),MATCH(I$1,floors!$1:$1,0)-MATCH($H$1,floors!$1:$1,0)+1),MATCH(I$1,floors!$1:$1,0)-MATCH($H$1,floors!$1:$1,0)+1,FALSE)</f>
        <v>60</v>
      </c>
      <c r="J11" s="178">
        <f ca="1">VLOOKUP($H11,OFFSET(floors!$A$1,0,0,COUNTA(floors!$A:$A),MATCH(J$1,floors!$1:$1,0)-MATCH($H$1,floors!$1:$1,0)+1),MATCH(J$1,floors!$1:$1,0)-MATCH($H$1,floors!$1:$1,0)+1,FALSE)</f>
        <v>60</v>
      </c>
      <c r="K11" s="179" t="s">
        <v>254</v>
      </c>
      <c r="L11" s="180">
        <v>1048</v>
      </c>
      <c r="M11" s="181" t="e">
        <f ca="1">VLOOKUP($L11,OFFSET([3]enemies!$A$1,0,0,COUNTA([3]enemies!$A:$A),MATCH(M$1,[3]enemies!$1:$1,0)-MATCH($L$1,[3]enemies!$1:$1,0)+1),MATCH(M$1,[3]enemies!$1:$1,0)-MATCH($L$1,[3]enemies!$1:$1,0)+1,FALSE)</f>
        <v>#VALUE!</v>
      </c>
      <c r="N11" s="181" t="e">
        <f ca="1">VLOOKUP($L11,OFFSET([3]enemies!$A$1,0,0,COUNTA([3]enemies!$A:$A),MATCH(N$1,[3]enemies!$1:$1,0)-MATCH($L$1,[3]enemies!$1:$1,0)+1),MATCH(N$1,[3]enemies!$1:$1,0)-MATCH($L$1,[3]enemies!$1:$1,0)+1,FALSE)</f>
        <v>#VALUE!</v>
      </c>
      <c r="O11" s="181" t="str">
        <f ca="1">VLOOKUP($L11,OFFSET([4]characters!$A$1,0,0,COUNTA([4]characters!$A:$A),MATCH(O$1,[4]characters!$1:$1,0)-MATCH($L$1,[4]characters!$1:$1,0)+1),MATCH(O$1,[4]characters!$1:$1,0)-MATCH($L$1,[4]characters!$1:$1,0)+1,FALSE)</f>
        <v>PremiumS</v>
      </c>
      <c r="P11" s="181" t="e">
        <f ca="1">VLOOKUP($L11,OFFSET([3]enemies!$A$1,0,0,COUNTA([3]enemies!$A:$A),MATCH(P$1,[3]enemies!$1:$1,0)-MATCH($L$1,[3]enemies!$1:$1,0)+1),MATCH(P$1,[3]enemies!$1:$1,0)-MATCH($L$1,[3]enemies!$1:$1,0)+1,FALSE)</f>
        <v>#VALUE!</v>
      </c>
      <c r="Q11" s="181" t="e">
        <f ca="1">VLOOKUP($L11,OFFSET([3]enemies!$A$1,0,0,COUNTA([3]enemies!$A:$A),MATCH(Q$1,[3]enemies!$1:$1,0)-MATCH($L$1,[3]enemies!$1:$1,0)+1),MATCH(Q$1,[3]enemies!$1:$1,0)-MATCH($L$1,[3]enemies!$1:$1,0)+1,FALSE)</f>
        <v>#VALUE!</v>
      </c>
      <c r="R11" s="182">
        <v>60</v>
      </c>
      <c r="S11" s="183">
        <v>1.3</v>
      </c>
      <c r="T11" s="184" t="e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#REF!</v>
      </c>
      <c r="U11" s="183">
        <v>1.3</v>
      </c>
      <c r="V11" s="184" t="e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#REF!</v>
      </c>
      <c r="W11" s="182">
        <v>0</v>
      </c>
      <c r="X11" s="178" t="str">
        <f ca="1">VLOOKUP($Y11,OFFSET(enemy_skill_sets!$B$1,0,0,COUNTA(enemy_skill_sets!$B:$B),MATCH(M$1,enemy_skill_sets!$1:$1,0)-MATCH($Y$1,enemy_skill_sets!$1:$1,0)+2),MATCH(M$1,enemy_skill_sets!$1:$1,0)-MATCH($Y$1,enemy_skill_sets!$1:$1,0)+2,FALSE)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11" s="185">
        <v>47002001</v>
      </c>
      <c r="Z11" s="186">
        <v>0</v>
      </c>
      <c r="AA11" s="6">
        <v>100</v>
      </c>
      <c r="AB11" s="186">
        <v>0</v>
      </c>
      <c r="AC11" s="187">
        <v>2</v>
      </c>
      <c r="AD11" s="188">
        <f t="shared" ref="AD11:AD19" si="8">L11</f>
        <v>1048</v>
      </c>
      <c r="AE11" s="178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砂上の城主竜 ケツァクアトル</v>
      </c>
      <c r="AF11" s="178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178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1" s="189">
        <v>1</v>
      </c>
      <c r="AI11" s="188">
        <f t="shared" ref="AI11:AI19" ca="1" si="9">AF11</f>
        <v>5</v>
      </c>
      <c r="AJ11" s="190">
        <v>0</v>
      </c>
      <c r="AK11" s="189">
        <v>0</v>
      </c>
      <c r="AL11" s="189">
        <v>0</v>
      </c>
      <c r="AM11" s="189">
        <v>0</v>
      </c>
      <c r="AN11" s="189">
        <v>0</v>
      </c>
      <c r="AO11" s="189">
        <v>1</v>
      </c>
      <c r="AP11" s="191">
        <v>1</v>
      </c>
    </row>
    <row r="12" spans="1:42" ht="21" customHeight="1" x14ac:dyDescent="0.15">
      <c r="A12" s="16" t="str">
        <f t="shared" si="5"/>
        <v>47002_2-1/1047&lt;lv60&gt;s1</v>
      </c>
      <c r="B12" s="22">
        <v>47002</v>
      </c>
      <c r="C12" s="21">
        <v>2</v>
      </c>
      <c r="D12" s="2" t="str">
        <f t="shared" si="6"/>
        <v>47002_2</v>
      </c>
      <c r="E12" s="4" t="str">
        <f ca="1">VLOOKUP($B12,OFFSET([2]quests!$A$1,0,0,COUNTA([2]quests!$A:$A),MATCH(E$1,[2]quests!$1:$1,0)-MATCH($B$1,[2]quests!$1:$1,0)+1),MATCH(E$1,[2]quests!$1:$1,0)-MATCH($B$1,[2]quests!$1:$1,0)+1,FALSE)</f>
        <v>夏☆襲来！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【ウィザード級】夏☆襲来</v>
      </c>
      <c r="G12" s="21">
        <v>1</v>
      </c>
      <c r="H12" s="15" t="str">
        <f t="shared" si="7"/>
        <v>47002_2-1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256</v>
      </c>
      <c r="L12" s="20">
        <v>1047</v>
      </c>
      <c r="M12" s="17" t="e">
        <f ca="1">VLOOKUP($L12,OFFSET([3]enemies!$A$1,0,0,COUNTA([3]enemies!$A:$A),MATCH(M$1,[3]enemies!$1:$1,0)-MATCH($L$1,[3]enemies!$1:$1,0)+1),MATCH(M$1,[3]enemies!$1:$1,0)-MATCH($L$1,[3]enemies!$1:$1,0)+1,FALSE)</f>
        <v>#VALUE!</v>
      </c>
      <c r="N12" s="17" t="e">
        <f ca="1">VLOOKUP($L12,OFFSET([3]enemies!$A$1,0,0,COUNTA([3]enemies!$A:$A),MATCH(N$1,[3]enemies!$1:$1,0)-MATCH($L$1,[3]enemies!$1:$1,0)+1),MATCH(N$1,[3]enemies!$1:$1,0)-MATCH($L$1,[3]enemies!$1:$1,0)+1,FALSE)</f>
        <v>#VALUE!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PremiumSSS</v>
      </c>
      <c r="P12" s="17" t="e">
        <f ca="1">VLOOKUP($L12,OFFSET([3]enemies!$A$1,0,0,COUNTA([3]enemies!$A:$A),MATCH(P$1,[3]enemies!$1:$1,0)-MATCH($L$1,[3]enemies!$1:$1,0)+1),MATCH(P$1,[3]enemies!$1:$1,0)-MATCH($L$1,[3]enemies!$1:$1,0)+1,FALSE)</f>
        <v>#VALUE!</v>
      </c>
      <c r="Q12" s="17" t="e">
        <f ca="1">VLOOKUP($L12,OFFSET([3]enemies!$A$1,0,0,COUNTA([3]enemies!$A:$A),MATCH(Q$1,[3]enemies!$1:$1,0)-MATCH($L$1,[3]enemies!$1:$1,0)+1),MATCH(Q$1,[3]enemies!$1:$1,0)-MATCH($L$1,[3]enemies!$1:$1,0)+1,FALSE)</f>
        <v>#VALUE!</v>
      </c>
      <c r="R12" s="5">
        <v>60</v>
      </c>
      <c r="S12" s="25">
        <v>5</v>
      </c>
      <c r="T12" s="103" t="e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#REF!</v>
      </c>
      <c r="U12" s="25">
        <v>1</v>
      </c>
      <c r="V12" s="103" t="e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#REF!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12" s="62">
        <v>47002002</v>
      </c>
      <c r="Z12" s="6">
        <v>0</v>
      </c>
      <c r="AA12" s="6">
        <v>7</v>
      </c>
      <c r="AB12" s="6">
        <v>1</v>
      </c>
      <c r="AC12" s="109">
        <v>1</v>
      </c>
      <c r="AD12" s="24">
        <f t="shared" si="8"/>
        <v>1047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波浪の夏閃 オイラー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6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12" s="7">
        <v>1</v>
      </c>
      <c r="AI12" s="24">
        <f t="shared" ca="1" si="9"/>
        <v>6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si="5"/>
        <v>47002_2-2/1050&lt;lv60&gt;s1</v>
      </c>
      <c r="B13" s="22">
        <v>47002</v>
      </c>
      <c r="C13" s="21">
        <v>2</v>
      </c>
      <c r="D13" s="2" t="str">
        <f t="shared" si="6"/>
        <v>47002_2</v>
      </c>
      <c r="E13" s="4" t="str">
        <f ca="1">VLOOKUP($B13,OFFSET([2]quests!$A$1,0,0,COUNTA([2]quests!$A:$A),MATCH(E$1,[2]quests!$1:$1,0)-MATCH($B$1,[2]quests!$1:$1,0)+1),MATCH(E$1,[2]quests!$1:$1,0)-MATCH($B$1,[2]quests!$1:$1,0)+1,FALSE)</f>
        <v>夏☆襲来！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【ウィザード級】夏☆襲来</v>
      </c>
      <c r="G13" s="21">
        <v>2</v>
      </c>
      <c r="H13" s="15" t="str">
        <f t="shared" si="7"/>
        <v>47002_2-2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255</v>
      </c>
      <c r="L13" s="20">
        <v>1050</v>
      </c>
      <c r="M13" s="17" t="e">
        <f ca="1">VLOOKUP($L13,OFFSET([3]enemies!$A$1,0,0,COUNTA([3]enemies!$A:$A),MATCH(M$1,[3]enemies!$1:$1,0)-MATCH($L$1,[3]enemies!$1:$1,0)+1),MATCH(M$1,[3]enemies!$1:$1,0)-MATCH($L$1,[3]enemies!$1:$1,0)+1,FALSE)</f>
        <v>#VALUE!</v>
      </c>
      <c r="N13" s="17" t="e">
        <f ca="1">VLOOKUP($L13,OFFSET([3]enemies!$A$1,0,0,COUNTA([3]enemies!$A:$A),MATCH(N$1,[3]enemies!$1:$1,0)-MATCH($L$1,[3]enemies!$1:$1,0)+1),MATCH(N$1,[3]enemies!$1:$1,0)-MATCH($L$1,[3]enemies!$1:$1,0)+1,FALSE)</f>
        <v>#VALUE!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PremiumS</v>
      </c>
      <c r="P13" s="17" t="e">
        <f ca="1">VLOOKUP($L13,OFFSET([3]enemies!$A$1,0,0,COUNTA([3]enemies!$A:$A),MATCH(P$1,[3]enemies!$1:$1,0)-MATCH($L$1,[3]enemies!$1:$1,0)+1),MATCH(P$1,[3]enemies!$1:$1,0)-MATCH($L$1,[3]enemies!$1:$1,0)+1,FALSE)</f>
        <v>#VALUE!</v>
      </c>
      <c r="Q13" s="17" t="e">
        <f ca="1">VLOOKUP($L13,OFFSET([3]enemies!$A$1,0,0,COUNTA([3]enemies!$A:$A),MATCH(Q$1,[3]enemies!$1:$1,0)-MATCH($L$1,[3]enemies!$1:$1,0)+1),MATCH(Q$1,[3]enemies!$1:$1,0)-MATCH($L$1,[3]enemies!$1:$1,0)+1,FALSE)</f>
        <v>#VALUE!</v>
      </c>
      <c r="R13" s="5">
        <v>60</v>
      </c>
      <c r="S13" s="25">
        <v>2</v>
      </c>
      <c r="T13" s="103" t="e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#REF!</v>
      </c>
      <c r="U13" s="25">
        <v>1</v>
      </c>
      <c r="V13" s="103" t="e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#REF!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13" s="62">
        <v>47002003</v>
      </c>
      <c r="Z13" s="6">
        <v>0</v>
      </c>
      <c r="AA13" s="6">
        <v>100</v>
      </c>
      <c r="AB13" s="6">
        <v>0</v>
      </c>
      <c r="AC13" s="109">
        <v>1</v>
      </c>
      <c r="AD13" s="24">
        <f t="shared" si="8"/>
        <v>1050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廻遊の水獣宰相 ルキフグス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3" s="7">
        <v>1</v>
      </c>
      <c r="AI13" s="24">
        <f t="shared" ca="1" si="9"/>
        <v>5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  <row r="14" spans="1:42" ht="21" customHeight="1" x14ac:dyDescent="0.15">
      <c r="A14" s="16" t="str">
        <f t="shared" si="5"/>
        <v>47002_2-2/1049&lt;lv60&gt;s1</v>
      </c>
      <c r="B14" s="22">
        <v>47002</v>
      </c>
      <c r="C14" s="21">
        <v>2</v>
      </c>
      <c r="D14" s="2" t="str">
        <f t="shared" si="6"/>
        <v>47002_2</v>
      </c>
      <c r="E14" s="4" t="str">
        <f ca="1">VLOOKUP($B14,OFFSET([2]quests!$A$1,0,0,COUNTA([2]quests!$A:$A),MATCH(E$1,[2]quests!$1:$1,0)-MATCH($B$1,[2]quests!$1:$1,0)+1),MATCH(E$1,[2]quests!$1:$1,0)-MATCH($B$1,[2]quests!$1:$1,0)+1,FALSE)</f>
        <v>夏☆襲来！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【ウィザード級】夏☆襲来</v>
      </c>
      <c r="G14" s="21">
        <v>2</v>
      </c>
      <c r="H14" s="15" t="str">
        <f t="shared" si="7"/>
        <v>47002_2-2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256</v>
      </c>
      <c r="L14" s="20">
        <v>1049</v>
      </c>
      <c r="M14" s="17" t="e">
        <f ca="1">VLOOKUP($L14,OFFSET([3]enemies!$A$1,0,0,COUNTA([3]enemies!$A:$A),MATCH(M$1,[3]enemies!$1:$1,0)-MATCH($L$1,[3]enemies!$1:$1,0)+1),MATCH(M$1,[3]enemies!$1:$1,0)-MATCH($L$1,[3]enemies!$1:$1,0)+1,FALSE)</f>
        <v>#VALUE!</v>
      </c>
      <c r="N14" s="17" t="e">
        <f ca="1">VLOOKUP($L14,OFFSET([3]enemies!$A$1,0,0,COUNTA([3]enemies!$A:$A),MATCH(N$1,[3]enemies!$1:$1,0)-MATCH($L$1,[3]enemies!$1:$1,0)+1),MATCH(N$1,[3]enemies!$1:$1,0)-MATCH($L$1,[3]enemies!$1:$1,0)+1,FALSE)</f>
        <v>#VALUE!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PremiumSSS</v>
      </c>
      <c r="P14" s="17" t="e">
        <f ca="1">VLOOKUP($L14,OFFSET([3]enemies!$A$1,0,0,COUNTA([3]enemies!$A:$A),MATCH(P$1,[3]enemies!$1:$1,0)-MATCH($L$1,[3]enemies!$1:$1,0)+1),MATCH(P$1,[3]enemies!$1:$1,0)-MATCH($L$1,[3]enemies!$1:$1,0)+1,FALSE)</f>
        <v>#VALUE!</v>
      </c>
      <c r="Q14" s="17" t="e">
        <f ca="1">VLOOKUP($L14,OFFSET([3]enemies!$A$1,0,0,COUNTA([3]enemies!$A:$A),MATCH(Q$1,[3]enemies!$1:$1,0)-MATCH($L$1,[3]enemies!$1:$1,0)+1),MATCH(Q$1,[3]enemies!$1:$1,0)-MATCH($L$1,[3]enemies!$1:$1,0)+1,FALSE)</f>
        <v>#VALUE!</v>
      </c>
      <c r="R14" s="5">
        <v>60</v>
      </c>
      <c r="S14" s="25">
        <v>5</v>
      </c>
      <c r="T14" s="103" t="e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#REF!</v>
      </c>
      <c r="U14" s="25">
        <v>1</v>
      </c>
      <c r="V14" s="103" t="e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#REF!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14" s="62">
        <v>47002004</v>
      </c>
      <c r="Z14" s="6">
        <v>0</v>
      </c>
      <c r="AA14" s="6">
        <v>7</v>
      </c>
      <c r="AB14" s="6">
        <v>1</v>
      </c>
      <c r="AC14" s="109">
        <v>1</v>
      </c>
      <c r="AD14" s="24">
        <f t="shared" si="8"/>
        <v>1049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深秘の水宙 メビウス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6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14" s="7">
        <v>1</v>
      </c>
      <c r="AI14" s="24">
        <f t="shared" ca="1" si="9"/>
        <v>6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70">
        <v>1</v>
      </c>
    </row>
    <row r="15" spans="1:42" ht="21" customHeight="1" x14ac:dyDescent="0.15">
      <c r="A15" s="16" t="str">
        <f t="shared" si="5"/>
        <v>47002_2-3/1046&lt;lv60&gt;s1</v>
      </c>
      <c r="B15" s="22">
        <v>47002</v>
      </c>
      <c r="C15" s="21">
        <v>2</v>
      </c>
      <c r="D15" s="2" t="str">
        <f t="shared" si="6"/>
        <v>47002_2</v>
      </c>
      <c r="E15" s="4" t="str">
        <f ca="1">VLOOKUP($B15,OFFSET([2]quests!$A$1,0,0,COUNTA([2]quests!$A:$A),MATCH(E$1,[2]quests!$1:$1,0)-MATCH($B$1,[2]quests!$1:$1,0)+1),MATCH(E$1,[2]quests!$1:$1,0)-MATCH($B$1,[2]quests!$1:$1,0)+1,FALSE)</f>
        <v>夏☆襲来！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【ウィザード級】夏☆襲来</v>
      </c>
      <c r="G15" s="21">
        <v>3</v>
      </c>
      <c r="H15" s="15" t="str">
        <f t="shared" si="7"/>
        <v>47002_2-3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167</v>
      </c>
      <c r="L15" s="20">
        <v>1046</v>
      </c>
      <c r="M15" s="17" t="e">
        <f ca="1">VLOOKUP($L15,OFFSET([3]enemies!$A$1,0,0,COUNTA([3]enemies!$A:$A),MATCH(M$1,[3]enemies!$1:$1,0)-MATCH($L$1,[3]enemies!$1:$1,0)+1),MATCH(M$1,[3]enemies!$1:$1,0)-MATCH($L$1,[3]enemies!$1:$1,0)+1,FALSE)</f>
        <v>#VALUE!</v>
      </c>
      <c r="N15" s="17" t="e">
        <f ca="1">VLOOKUP($L15,OFFSET([3]enemies!$A$1,0,0,COUNTA([3]enemies!$A:$A),MATCH(N$1,[3]enemies!$1:$1,0)-MATCH($L$1,[3]enemies!$1:$1,0)+1),MATCH(N$1,[3]enemies!$1:$1,0)-MATCH($L$1,[3]enemies!$1:$1,0)+1,FALSE)</f>
        <v>#VALUE!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PremiumS</v>
      </c>
      <c r="P15" s="17" t="e">
        <f ca="1">VLOOKUP($L15,OFFSET([3]enemies!$A$1,0,0,COUNTA([3]enemies!$A:$A),MATCH(P$1,[3]enemies!$1:$1,0)-MATCH($L$1,[3]enemies!$1:$1,0)+1),MATCH(P$1,[3]enemies!$1:$1,0)-MATCH($L$1,[3]enemies!$1:$1,0)+1,FALSE)</f>
        <v>#VALUE!</v>
      </c>
      <c r="Q15" s="17" t="e">
        <f ca="1">VLOOKUP($L15,OFFSET([3]enemies!$A$1,0,0,COUNTA([3]enemies!$A:$A),MATCH(Q$1,[3]enemies!$1:$1,0)-MATCH($L$1,[3]enemies!$1:$1,0)+1),MATCH(Q$1,[3]enemies!$1:$1,0)-MATCH($L$1,[3]enemies!$1:$1,0)+1,FALSE)</f>
        <v>#VALUE!</v>
      </c>
      <c r="R15" s="5">
        <v>60</v>
      </c>
      <c r="S15" s="25">
        <v>3</v>
      </c>
      <c r="T15" s="103" t="e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#REF!</v>
      </c>
      <c r="U15" s="25">
        <v>1.2</v>
      </c>
      <c r="V15" s="103" t="e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#REF!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15" s="62">
        <v>47002005</v>
      </c>
      <c r="Z15" s="6">
        <v>0</v>
      </c>
      <c r="AA15" s="6">
        <v>100</v>
      </c>
      <c r="AB15" s="6">
        <v>0</v>
      </c>
      <c r="AC15" s="109">
        <v>1</v>
      </c>
      <c r="AD15" s="24">
        <f t="shared" si="8"/>
        <v>1046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涼求の炎狼 フェンリル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5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5" s="7">
        <v>1</v>
      </c>
      <c r="AI15" s="24">
        <f t="shared" ca="1" si="9"/>
        <v>5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70">
        <v>1</v>
      </c>
    </row>
    <row r="16" spans="1:42" ht="21" customHeight="1" x14ac:dyDescent="0.15">
      <c r="A16" s="16" t="str">
        <f t="shared" si="5"/>
        <v>47002_2-3/1045&lt;lv60&gt;s1</v>
      </c>
      <c r="B16" s="22">
        <v>47002</v>
      </c>
      <c r="C16" s="21">
        <v>2</v>
      </c>
      <c r="D16" s="2" t="str">
        <f t="shared" si="6"/>
        <v>47002_2</v>
      </c>
      <c r="E16" s="4" t="str">
        <f ca="1">VLOOKUP($B16,OFFSET([2]quests!$A$1,0,0,COUNTA([2]quests!$A:$A),MATCH(E$1,[2]quests!$1:$1,0)-MATCH($B$1,[2]quests!$1:$1,0)+1),MATCH(E$1,[2]quests!$1:$1,0)-MATCH($B$1,[2]quests!$1:$1,0)+1,FALSE)</f>
        <v>夏☆襲来！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【ウィザード級】夏☆襲来</v>
      </c>
      <c r="G16" s="21">
        <v>3</v>
      </c>
      <c r="H16" s="15" t="str">
        <f t="shared" si="7"/>
        <v>47002_2-3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256</v>
      </c>
      <c r="L16" s="20">
        <v>1045</v>
      </c>
      <c r="M16" s="17" t="e">
        <f ca="1">VLOOKUP($L16,OFFSET([3]enemies!$A$1,0,0,COUNTA([3]enemies!$A:$A),MATCH(M$1,[3]enemies!$1:$1,0)-MATCH($L$1,[3]enemies!$1:$1,0)+1),MATCH(M$1,[3]enemies!$1:$1,0)-MATCH($L$1,[3]enemies!$1:$1,0)+1,FALSE)</f>
        <v>#VALUE!</v>
      </c>
      <c r="N16" s="17" t="e">
        <f ca="1">VLOOKUP($L16,OFFSET([3]enemies!$A$1,0,0,COUNTA([3]enemies!$A:$A),MATCH(N$1,[3]enemies!$1:$1,0)-MATCH($L$1,[3]enemies!$1:$1,0)+1),MATCH(N$1,[3]enemies!$1:$1,0)-MATCH($L$1,[3]enemies!$1:$1,0)+1,FALSE)</f>
        <v>#VALUE!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PremiumSSS</v>
      </c>
      <c r="P16" s="17" t="e">
        <f ca="1">VLOOKUP($L16,OFFSET([3]enemies!$A$1,0,0,COUNTA([3]enemies!$A:$A),MATCH(P$1,[3]enemies!$1:$1,0)-MATCH($L$1,[3]enemies!$1:$1,0)+1),MATCH(P$1,[3]enemies!$1:$1,0)-MATCH($L$1,[3]enemies!$1:$1,0)+1,FALSE)</f>
        <v>#VALUE!</v>
      </c>
      <c r="Q16" s="17" t="e">
        <f ca="1">VLOOKUP($L16,OFFSET([3]enemies!$A$1,0,0,COUNTA([3]enemies!$A:$A),MATCH(Q$1,[3]enemies!$1:$1,0)-MATCH($L$1,[3]enemies!$1:$1,0)+1),MATCH(Q$1,[3]enemies!$1:$1,0)-MATCH($L$1,[3]enemies!$1:$1,0)+1,FALSE)</f>
        <v>#VALUE!</v>
      </c>
      <c r="R16" s="5">
        <v>60</v>
      </c>
      <c r="S16" s="25">
        <v>5</v>
      </c>
      <c r="T16" s="103" t="e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#REF!</v>
      </c>
      <c r="U16" s="25">
        <v>1</v>
      </c>
      <c r="V16" s="103" t="e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#REF!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16" s="62">
        <v>47002006</v>
      </c>
      <c r="Z16" s="6">
        <v>0</v>
      </c>
      <c r="AA16" s="6">
        <v>7</v>
      </c>
      <c r="AB16" s="6">
        <v>1</v>
      </c>
      <c r="AC16" s="109">
        <v>1</v>
      </c>
      <c r="AD16" s="24">
        <f t="shared" si="8"/>
        <v>1045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漂解の海原 シュレディンガー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6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16" s="7">
        <v>1</v>
      </c>
      <c r="AI16" s="24">
        <f t="shared" ca="1" si="9"/>
        <v>6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70">
        <v>1</v>
      </c>
    </row>
    <row r="17" spans="1:42" ht="21" customHeight="1" x14ac:dyDescent="0.15">
      <c r="A17" s="16" t="str">
        <f t="shared" si="5"/>
        <v>47002_2-4/1052&lt;lv60&gt;s2</v>
      </c>
      <c r="B17" s="22">
        <v>47002</v>
      </c>
      <c r="C17" s="21">
        <v>2</v>
      </c>
      <c r="D17" s="2" t="str">
        <f t="shared" si="6"/>
        <v>47002_2</v>
      </c>
      <c r="E17" s="4" t="str">
        <f ca="1">VLOOKUP($B17,OFFSET([2]quests!$A$1,0,0,COUNTA([2]quests!$A:$A),MATCH(E$1,[2]quests!$1:$1,0)-MATCH($B$1,[2]quests!$1:$1,0)+1),MATCH(E$1,[2]quests!$1:$1,0)-MATCH($B$1,[2]quests!$1:$1,0)+1,FALSE)</f>
        <v>夏☆襲来！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【ウィザード級】夏☆襲来</v>
      </c>
      <c r="G17" s="21">
        <v>4</v>
      </c>
      <c r="H17" s="15" t="str">
        <f t="shared" si="7"/>
        <v>47002_2-4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256</v>
      </c>
      <c r="L17" s="20">
        <v>1052</v>
      </c>
      <c r="M17" s="17" t="e">
        <f ca="1">VLOOKUP($L17,OFFSET([3]enemies!$A$1,0,0,COUNTA([3]enemies!$A:$A),MATCH(M$1,[3]enemies!$1:$1,0)-MATCH($L$1,[3]enemies!$1:$1,0)+1),MATCH(M$1,[3]enemies!$1:$1,0)-MATCH($L$1,[3]enemies!$1:$1,0)+1,FALSE)</f>
        <v>#VALUE!</v>
      </c>
      <c r="N17" s="17" t="e">
        <f ca="1">VLOOKUP($L17,OFFSET([3]enemies!$A$1,0,0,COUNTA([3]enemies!$A:$A),MATCH(N$1,[3]enemies!$1:$1,0)-MATCH($L$1,[3]enemies!$1:$1,0)+1),MATCH(N$1,[3]enemies!$1:$1,0)-MATCH($L$1,[3]enemies!$1:$1,0)+1,FALSE)</f>
        <v>#VALUE!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PremiumS</v>
      </c>
      <c r="P17" s="17" t="e">
        <f ca="1">VLOOKUP($L17,OFFSET([3]enemies!$A$1,0,0,COUNTA([3]enemies!$A:$A),MATCH(P$1,[3]enemies!$1:$1,0)-MATCH($L$1,[3]enemies!$1:$1,0)+1),MATCH(P$1,[3]enemies!$1:$1,0)-MATCH($L$1,[3]enemies!$1:$1,0)+1,FALSE)</f>
        <v>#VALUE!</v>
      </c>
      <c r="Q17" s="17" t="e">
        <f ca="1">VLOOKUP($L17,OFFSET([3]enemies!$A$1,0,0,COUNTA([3]enemies!$A:$A),MATCH(Q$1,[3]enemies!$1:$1,0)-MATCH($L$1,[3]enemies!$1:$1,0)+1),MATCH(Q$1,[3]enemies!$1:$1,0)-MATCH($L$1,[3]enemies!$1:$1,0)+1,FALSE)</f>
        <v>#VALUE!</v>
      </c>
      <c r="R17" s="5">
        <v>60</v>
      </c>
      <c r="S17" s="25">
        <v>4</v>
      </c>
      <c r="T17" s="103" t="e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#REF!</v>
      </c>
      <c r="U17" s="25">
        <v>1.4</v>
      </c>
      <c r="V17" s="103" t="e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#REF!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17" s="62">
        <v>47002007</v>
      </c>
      <c r="Z17" s="6">
        <v>0</v>
      </c>
      <c r="AA17" s="6">
        <v>100</v>
      </c>
      <c r="AB17" s="6">
        <v>0</v>
      </c>
      <c r="AC17" s="109">
        <v>2</v>
      </c>
      <c r="AD17" s="24">
        <f t="shared" si="8"/>
        <v>1052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戯魚群の潜光 バルドル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5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7" s="7">
        <v>1</v>
      </c>
      <c r="AI17" s="24">
        <f t="shared" ca="1" si="9"/>
        <v>5</v>
      </c>
      <c r="AJ17" s="8">
        <v>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70">
        <v>1</v>
      </c>
    </row>
    <row r="18" spans="1:42" ht="21" customHeight="1" x14ac:dyDescent="0.15">
      <c r="A18" s="16" t="str">
        <f t="shared" si="5"/>
        <v>47002_2-4/1051&lt;lv60&gt;s1</v>
      </c>
      <c r="B18" s="22">
        <v>47002</v>
      </c>
      <c r="C18" s="21">
        <v>2</v>
      </c>
      <c r="D18" s="2" t="str">
        <f t="shared" si="6"/>
        <v>47002_2</v>
      </c>
      <c r="E18" s="4" t="str">
        <f ca="1">VLOOKUP($B18,OFFSET([2]quests!$A$1,0,0,COUNTA([2]quests!$A:$A),MATCH(E$1,[2]quests!$1:$1,0)-MATCH($B$1,[2]quests!$1:$1,0)+1),MATCH(E$1,[2]quests!$1:$1,0)-MATCH($B$1,[2]quests!$1:$1,0)+1,FALSE)</f>
        <v>夏☆襲来！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【ウィザード級】夏☆襲来</v>
      </c>
      <c r="G18" s="21">
        <v>4</v>
      </c>
      <c r="H18" s="15" t="str">
        <f t="shared" si="7"/>
        <v>47002_2-4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256</v>
      </c>
      <c r="L18" s="20">
        <v>1051</v>
      </c>
      <c r="M18" s="17" t="e">
        <f ca="1">VLOOKUP($L18,OFFSET([3]enemies!$A$1,0,0,COUNTA([3]enemies!$A:$A),MATCH(M$1,[3]enemies!$1:$1,0)-MATCH($L$1,[3]enemies!$1:$1,0)+1),MATCH(M$1,[3]enemies!$1:$1,0)-MATCH($L$1,[3]enemies!$1:$1,0)+1,FALSE)</f>
        <v>#VALUE!</v>
      </c>
      <c r="N18" s="17" t="e">
        <f ca="1">VLOOKUP($L18,OFFSET([3]enemies!$A$1,0,0,COUNTA([3]enemies!$A:$A),MATCH(N$1,[3]enemies!$1:$1,0)-MATCH($L$1,[3]enemies!$1:$1,0)+1),MATCH(N$1,[3]enemies!$1:$1,0)-MATCH($L$1,[3]enemies!$1:$1,0)+1,FALSE)</f>
        <v>#VALUE!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PremiumSSS</v>
      </c>
      <c r="P18" s="17" t="e">
        <f ca="1">VLOOKUP($L18,OFFSET([3]enemies!$A$1,0,0,COUNTA([3]enemies!$A:$A),MATCH(P$1,[3]enemies!$1:$1,0)-MATCH($L$1,[3]enemies!$1:$1,0)+1),MATCH(P$1,[3]enemies!$1:$1,0)-MATCH($L$1,[3]enemies!$1:$1,0)+1,FALSE)</f>
        <v>#VALUE!</v>
      </c>
      <c r="Q18" s="17" t="e">
        <f ca="1">VLOOKUP($L18,OFFSET([3]enemies!$A$1,0,0,COUNTA([3]enemies!$A:$A),MATCH(Q$1,[3]enemies!$1:$1,0)-MATCH($L$1,[3]enemies!$1:$1,0)+1),MATCH(Q$1,[3]enemies!$1:$1,0)-MATCH($L$1,[3]enemies!$1:$1,0)+1,FALSE)</f>
        <v>#VALUE!</v>
      </c>
      <c r="R18" s="5">
        <v>60</v>
      </c>
      <c r="S18" s="25">
        <v>5</v>
      </c>
      <c r="T18" s="103" t="e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#REF!</v>
      </c>
      <c r="U18" s="25">
        <v>1</v>
      </c>
      <c r="V18" s="103" t="e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#REF!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18" s="62">
        <v>47002008</v>
      </c>
      <c r="Z18" s="6">
        <v>0</v>
      </c>
      <c r="AA18" s="6">
        <v>7</v>
      </c>
      <c r="AB18" s="6">
        <v>1</v>
      </c>
      <c r="AC18" s="109">
        <v>1</v>
      </c>
      <c r="AD18" s="24">
        <f t="shared" si="8"/>
        <v>1051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嬌電の飛沫 ファラデー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6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18" s="7">
        <v>1</v>
      </c>
      <c r="AI18" s="24">
        <f t="shared" ca="1" si="9"/>
        <v>6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70">
        <v>1</v>
      </c>
    </row>
    <row r="19" spans="1:42" ht="21" customHeight="1" x14ac:dyDescent="0.15">
      <c r="A19" s="16" t="str">
        <f t="shared" si="5"/>
        <v>47002_2-5/1053&lt;lv60&gt;s2</v>
      </c>
      <c r="B19" s="22">
        <v>47002</v>
      </c>
      <c r="C19" s="21">
        <v>2</v>
      </c>
      <c r="D19" s="2" t="str">
        <f t="shared" si="6"/>
        <v>47002_2</v>
      </c>
      <c r="E19" s="4" t="str">
        <f ca="1">VLOOKUP($B19,OFFSET([2]quests!$A$1,0,0,COUNTA([2]quests!$A:$A),MATCH(E$1,[2]quests!$1:$1,0)-MATCH($B$1,[2]quests!$1:$1,0)+1),MATCH(E$1,[2]quests!$1:$1,0)-MATCH($B$1,[2]quests!$1:$1,0)+1,FALSE)</f>
        <v>夏☆襲来！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【ウィザード級】夏☆襲来</v>
      </c>
      <c r="G19" s="21">
        <v>5</v>
      </c>
      <c r="H19" s="15" t="str">
        <f t="shared" si="7"/>
        <v>47002_2-5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>
        <v>1</v>
      </c>
      <c r="L19" s="20">
        <v>1053</v>
      </c>
      <c r="M19" s="17" t="e">
        <f ca="1">VLOOKUP($L19,OFFSET([3]enemies!$A$1,0,0,COUNTA([3]enemies!$A:$A),MATCH(M$1,[3]enemies!$1:$1,0)-MATCH($L$1,[3]enemies!$1:$1,0)+1),MATCH(M$1,[3]enemies!$1:$1,0)-MATCH($L$1,[3]enemies!$1:$1,0)+1,FALSE)</f>
        <v>#VALUE!</v>
      </c>
      <c r="N19" s="17" t="e">
        <f ca="1">VLOOKUP($L19,OFFSET([3]enemies!$A$1,0,0,COUNTA([3]enemies!$A:$A),MATCH(N$1,[3]enemies!$1:$1,0)-MATCH($L$1,[3]enemies!$1:$1,0)+1),MATCH(N$1,[3]enemies!$1:$1,0)-MATCH($L$1,[3]enemies!$1:$1,0)+1,FALSE)</f>
        <v>#VALUE!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DropWizS</v>
      </c>
      <c r="P19" s="17" t="e">
        <f ca="1">VLOOKUP($L19,OFFSET([3]enemies!$A$1,0,0,COUNTA([3]enemies!$A:$A),MATCH(P$1,[3]enemies!$1:$1,0)-MATCH($L$1,[3]enemies!$1:$1,0)+1),MATCH(P$1,[3]enemies!$1:$1,0)-MATCH($L$1,[3]enemies!$1:$1,0)+1,FALSE)</f>
        <v>#VALUE!</v>
      </c>
      <c r="Q19" s="17" t="e">
        <f ca="1">VLOOKUP($L19,OFFSET([3]enemies!$A$1,0,0,COUNTA([3]enemies!$A:$A),MATCH(Q$1,[3]enemies!$1:$1,0)-MATCH($L$1,[3]enemies!$1:$1,0)+1),MATCH(Q$1,[3]enemies!$1:$1,0)-MATCH($L$1,[3]enemies!$1:$1,0)+1,FALSE)</f>
        <v>#VALUE!</v>
      </c>
      <c r="R19" s="5">
        <v>60</v>
      </c>
      <c r="S19" s="25">
        <v>5.2</v>
      </c>
      <c r="T19" s="103" t="e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#REF!</v>
      </c>
      <c r="U19" s="25">
        <v>2</v>
      </c>
      <c r="V19" s="103" t="e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#REF!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スキルバインド&amp;スリープ耐性</v>
      </c>
      <c r="Y19" s="62">
        <v>47002009</v>
      </c>
      <c r="Z19" s="6">
        <v>0</v>
      </c>
      <c r="AA19" s="6">
        <v>100</v>
      </c>
      <c r="AB19" s="6">
        <v>0</v>
      </c>
      <c r="AC19" s="109">
        <v>2</v>
      </c>
      <c r="AD19" s="24">
        <f t="shared" si="8"/>
        <v>1053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常夏の眩獣 麒麟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5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9" s="7">
        <v>1</v>
      </c>
      <c r="AI19" s="24">
        <f t="shared" ca="1" si="9"/>
        <v>5</v>
      </c>
      <c r="AJ19" s="108">
        <v>100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70">
        <v>1</v>
      </c>
    </row>
  </sheetData>
  <sheetProtection selectLockedCells="1" selectUnlockedCells="1"/>
  <autoFilter ref="B1:AJ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90" zoomScaleNormal="90" zoomScalePageLayoutView="9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P21" sqref="P21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252</v>
      </c>
      <c r="V1" s="26" t="s">
        <v>50</v>
      </c>
      <c r="W1" s="102" t="s">
        <v>253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 t="shared" ref="A2:A3" si="0">B2&amp;"_"&amp;C2&amp;"-"&amp;G2&amp;"/"&amp;M2&amp;"&lt;lv"&amp;S2&amp;"&gt;sq"&amp;K2&amp;"st"&amp;L2</f>
        <v>47002_1-5/1054&lt;lv60&gt;sq1st2</v>
      </c>
      <c r="B2" s="22">
        <v>47002</v>
      </c>
      <c r="C2" s="21">
        <v>1</v>
      </c>
      <c r="D2" s="2" t="str">
        <f t="shared" ref="D2:D3" si="1">B2&amp;"_"&amp;C2</f>
        <v>47002_1</v>
      </c>
      <c r="E2" s="4" t="str">
        <f ca="1">VLOOKUP($B2,OFFSET([2]quests!$A$1,0,0,COUNTA([2]quests!$A:$A),MATCH(E$1,[2]quests!$1:$1,0)-MATCH($B$1,[2]quests!$1:$1,0)+1),MATCH(E$1,[2]quests!$1:$1,0)-MATCH($B$1,[2]quests!$1:$1,0)+1,FALSE)</f>
        <v>夏☆襲来！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【超絶級】夏☆襲来</v>
      </c>
      <c r="G2" s="21">
        <v>5</v>
      </c>
      <c r="H2" s="15" t="str">
        <f t="shared" ref="H2:H3" si="2">B2&amp;"_"&amp;C2&amp;"-"&amp;G2</f>
        <v>47002_1-5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1054</v>
      </c>
      <c r="N2" s="17" t="e">
        <f ca="1">VLOOKUP($M2,OFFSET([3]enemies!$A$1,0,0,COUNTA([3]enemies!$A:$A),MATCH(N$1,[3]enemies!$1:$1,0)-MATCH($M$1,[3]enemies!$1:$1,0)+1),MATCH(N$1,[3]enemies!$1:$1,0)-MATCH($M$1,[3]enemies!$1:$1,0)+1,FALSE)</f>
        <v>#VALUE!</v>
      </c>
      <c r="O2" s="17" t="e">
        <f ca="1">VLOOKUP($M2,OFFSET([3]enemies!$A$1,0,0,COUNTA([3]enemies!$A:$A),MATCH(O$1,[3]enemies!$1:$1,0)-MATCH($M$1,[3]enemies!$1:$1,0)+1),MATCH(O$1,[3]enemies!$1:$1,0)-MATCH($M$1,[3]enemies!$1:$1,0)+1,FALSE)</f>
        <v>#VALUE!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e">
        <f ca="1">VLOOKUP($M2,OFFSET([3]enemies!$A$1,0,0,COUNTA([3]enemies!$A:$A),MATCH(Q$1,[3]enemies!$1:$1,0)-MATCH($M$1,[3]enemies!$1:$1,0)+1),MATCH(Q$1,[3]enemies!$1:$1,0)-MATCH($M$1,[3]enemies!$1:$1,0)+1,FALSE)</f>
        <v>#VALUE!</v>
      </c>
      <c r="R2" s="17" t="e">
        <f ca="1">VLOOKUP($M2,OFFSET([3]enemies!$A$1,0,0,COUNTA([3]enemies!$A:$A),MATCH(R$1,[3]enemies!$1:$1,0)-MATCH($M$1,[3]enemies!$1:$1,0)+1),MATCH(R$1,[3]enemies!$1:$1,0)-MATCH($M$1,[3]enemies!$1:$1,0)+1,FALSE)</f>
        <v>#VALUE!</v>
      </c>
      <c r="S2" s="5">
        <v>60</v>
      </c>
      <c r="T2" s="25">
        <v>3.8</v>
      </c>
      <c r="U2" s="103" t="e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#REF!</v>
      </c>
      <c r="V2" s="25">
        <v>1.2</v>
      </c>
      <c r="W2" s="103" t="e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#REF!</v>
      </c>
      <c r="X2" s="5">
        <v>0</v>
      </c>
      <c r="Y2" s="4" t="e">
        <v>#VALUE!</v>
      </c>
      <c r="Z2" s="196">
        <v>47002012</v>
      </c>
      <c r="AA2" s="105">
        <v>2</v>
      </c>
    </row>
    <row r="3" spans="1:27" ht="21" customHeight="1" thickBot="1" x14ac:dyDescent="0.2">
      <c r="A3" s="156" t="str">
        <f t="shared" si="0"/>
        <v>47002_1-5/1054&lt;lv60&gt;sq1st3</v>
      </c>
      <c r="B3" s="157">
        <v>47002</v>
      </c>
      <c r="C3" s="158">
        <v>1</v>
      </c>
      <c r="D3" s="159" t="str">
        <f t="shared" si="1"/>
        <v>47002_1</v>
      </c>
      <c r="E3" s="160" t="str">
        <f ca="1">VLOOKUP($B3,OFFSET([2]quests!$A$1,0,0,COUNTA([2]quests!$A:$A),MATCH(E$1,[2]quests!$1:$1,0)-MATCH($B$1,[2]quests!$1:$1,0)+1),MATCH(E$1,[2]quests!$1:$1,0)-MATCH($B$1,[2]quests!$1:$1,0)+1,FALSE)</f>
        <v>夏☆襲来！</v>
      </c>
      <c r="F3" s="160" t="str">
        <f ca="1">VLOOKUP($D3,OFFSET([2]stages!$A$1,0,0,COUNTA([2]stages!$A:$A),MATCH(F$1,[2]stages!$2:$2,0)-MATCH($D$1,[2]stages!$2:$2,0)+1),MATCH(F$1,[2]stages!$2:$2,0)-MATCH($D$1,[2]stages!$2:$2,0)+1,FALSE)</f>
        <v>【超絶級】夏☆襲来</v>
      </c>
      <c r="G3" s="158">
        <v>5</v>
      </c>
      <c r="H3" s="159" t="str">
        <f t="shared" si="2"/>
        <v>47002_1-5</v>
      </c>
      <c r="I3" s="160">
        <f ca="1">VLOOKUP($H3,OFFSET(floors!$A$1,0,0,COUNTA(floors!$A:$A),MATCH(I$1,floors!$1:$1,0)-MATCH($H$1,floors!$1:$1,0)+1),MATCH(I$1,floors!$1:$1,0)-MATCH($H$1,floors!$1:$1,0)+1,FALSE)</f>
        <v>60</v>
      </c>
      <c r="J3" s="160">
        <f ca="1">VLOOKUP($H3,OFFSET(floors!$A$1,0,0,COUNTA(floors!$A:$A),MATCH(J$1,floors!$1:$1,0)-MATCH($H$1,floors!$1:$1,0)+1),MATCH(J$1,floors!$1:$1,0)-MATCH($H$1,floors!$1:$1,0)+1,FALSE)</f>
        <v>60</v>
      </c>
      <c r="K3" s="161">
        <v>1</v>
      </c>
      <c r="L3" s="161">
        <v>3</v>
      </c>
      <c r="M3" s="162">
        <v>1054</v>
      </c>
      <c r="N3" s="163" t="e">
        <f ca="1">VLOOKUP($M3,OFFSET([3]enemies!$A$1,0,0,COUNTA([3]enemies!$A:$A),MATCH(N$1,[3]enemies!$1:$1,0)-MATCH($M$1,[3]enemies!$1:$1,0)+1),MATCH(N$1,[3]enemies!$1:$1,0)-MATCH($M$1,[3]enemies!$1:$1,0)+1,FALSE)</f>
        <v>#VALUE!</v>
      </c>
      <c r="O3" s="163" t="e">
        <f ca="1">VLOOKUP($M3,OFFSET([3]enemies!$A$1,0,0,COUNTA([3]enemies!$A:$A),MATCH(O$1,[3]enemies!$1:$1,0)-MATCH($M$1,[3]enemies!$1:$1,0)+1),MATCH(O$1,[3]enemies!$1:$1,0)-MATCH($M$1,[3]enemies!$1:$1,0)+1,FALSE)</f>
        <v>#VALUE!</v>
      </c>
      <c r="P3" s="163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63" t="e">
        <f ca="1">VLOOKUP($M3,OFFSET([3]enemies!$A$1,0,0,COUNTA([3]enemies!$A:$A),MATCH(Q$1,[3]enemies!$1:$1,0)-MATCH($M$1,[3]enemies!$1:$1,0)+1),MATCH(Q$1,[3]enemies!$1:$1,0)-MATCH($M$1,[3]enemies!$1:$1,0)+1,FALSE)</f>
        <v>#VALUE!</v>
      </c>
      <c r="R3" s="163" t="e">
        <f ca="1">VLOOKUP($M3,OFFSET([3]enemies!$A$1,0,0,COUNTA([3]enemies!$A:$A),MATCH(R$1,[3]enemies!$1:$1,0)-MATCH($M$1,[3]enemies!$1:$1,0)+1),MATCH(R$1,[3]enemies!$1:$1,0)-MATCH($M$1,[3]enemies!$1:$1,0)+1,FALSE)</f>
        <v>#VALUE!</v>
      </c>
      <c r="S3" s="164">
        <v>60</v>
      </c>
      <c r="T3" s="165">
        <v>3.8</v>
      </c>
      <c r="U3" s="166" t="e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#REF!</v>
      </c>
      <c r="V3" s="165">
        <v>1.1000000000000001</v>
      </c>
      <c r="W3" s="166" t="e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#REF!</v>
      </c>
      <c r="X3" s="164">
        <v>0</v>
      </c>
      <c r="Y3" s="160" t="e">
        <v>#VALUE!</v>
      </c>
      <c r="Z3" s="167">
        <v>47002011</v>
      </c>
      <c r="AA3" s="192">
        <v>1</v>
      </c>
    </row>
    <row r="4" spans="1:27" ht="21" customHeight="1" x14ac:dyDescent="0.15">
      <c r="A4" s="174" t="str">
        <f t="shared" ref="A4:A5" si="3">B4&amp;"_"&amp;C4&amp;"-"&amp;G4&amp;"/"&amp;M4&amp;"&lt;lv"&amp;S4&amp;"&gt;sq"&amp;K4&amp;"st"&amp;L4</f>
        <v>47002_2-5/1054&lt;lv60&gt;sq1st2</v>
      </c>
      <c r="B4" s="175">
        <v>47002</v>
      </c>
      <c r="C4" s="176">
        <v>2</v>
      </c>
      <c r="D4" s="177" t="str">
        <f t="shared" ref="D4:D5" si="4">B4&amp;"_"&amp;C4</f>
        <v>47002_2</v>
      </c>
      <c r="E4" s="178" t="str">
        <f ca="1">VLOOKUP($B4,OFFSET([2]quests!$A$1,0,0,COUNTA([2]quests!$A:$A),MATCH(E$1,[2]quests!$1:$1,0)-MATCH($B$1,[2]quests!$1:$1,0)+1),MATCH(E$1,[2]quests!$1:$1,0)-MATCH($B$1,[2]quests!$1:$1,0)+1,FALSE)</f>
        <v>夏☆襲来！</v>
      </c>
      <c r="F4" s="178" t="str">
        <f ca="1">VLOOKUP($D4,OFFSET([2]stages!$A$1,0,0,COUNTA([2]stages!$A:$A),MATCH(F$1,[2]stages!$2:$2,0)-MATCH($D$1,[2]stages!$2:$2,0)+1),MATCH(F$1,[2]stages!$2:$2,0)-MATCH($D$1,[2]stages!$2:$2,0)+1,FALSE)</f>
        <v>【ウィザード級】夏☆襲来</v>
      </c>
      <c r="G4" s="176">
        <v>5</v>
      </c>
      <c r="H4" s="177" t="str">
        <f t="shared" ref="H4:H5" si="5">B4&amp;"_"&amp;C4&amp;"-"&amp;G4</f>
        <v>47002_2-5</v>
      </c>
      <c r="I4" s="178">
        <f ca="1">VLOOKUP($H4,OFFSET(floors!$A$1,0,0,COUNTA(floors!$A:$A),MATCH(I$1,floors!$1:$1,0)-MATCH($H$1,floors!$1:$1,0)+1),MATCH(I$1,floors!$1:$1,0)-MATCH($H$1,floors!$1:$1,0)+1,FALSE)</f>
        <v>60</v>
      </c>
      <c r="J4" s="178">
        <f ca="1">VLOOKUP($H4,OFFSET(floors!$A$1,0,0,COUNTA(floors!$A:$A),MATCH(J$1,floors!$1:$1,0)-MATCH($H$1,floors!$1:$1,0)+1),MATCH(J$1,floors!$1:$1,0)-MATCH($H$1,floors!$1:$1,0)+1,FALSE)</f>
        <v>60</v>
      </c>
      <c r="K4" s="179">
        <v>1</v>
      </c>
      <c r="L4" s="179">
        <v>2</v>
      </c>
      <c r="M4" s="180">
        <v>1054</v>
      </c>
      <c r="N4" s="181" t="e">
        <f ca="1">VLOOKUP($M4,OFFSET([3]enemies!$A$1,0,0,COUNTA([3]enemies!$A:$A),MATCH(N$1,[3]enemies!$1:$1,0)-MATCH($M$1,[3]enemies!$1:$1,0)+1),MATCH(N$1,[3]enemies!$1:$1,0)-MATCH($M$1,[3]enemies!$1:$1,0)+1,FALSE)</f>
        <v>#VALUE!</v>
      </c>
      <c r="O4" s="181" t="e">
        <f ca="1">VLOOKUP($M4,OFFSET([3]enemies!$A$1,0,0,COUNTA([3]enemies!$A:$A),MATCH(O$1,[3]enemies!$1:$1,0)-MATCH($M$1,[3]enemies!$1:$1,0)+1),MATCH(O$1,[3]enemies!$1:$1,0)-MATCH($M$1,[3]enemies!$1:$1,0)+1,FALSE)</f>
        <v>#VALUE!</v>
      </c>
      <c r="P4" s="181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81" t="e">
        <f ca="1">VLOOKUP($M4,OFFSET([3]enemies!$A$1,0,0,COUNTA([3]enemies!$A:$A),MATCH(Q$1,[3]enemies!$1:$1,0)-MATCH($M$1,[3]enemies!$1:$1,0)+1),MATCH(Q$1,[3]enemies!$1:$1,0)-MATCH($M$1,[3]enemies!$1:$1,0)+1,FALSE)</f>
        <v>#VALUE!</v>
      </c>
      <c r="R4" s="181" t="e">
        <f ca="1">VLOOKUP($M4,OFFSET([3]enemies!$A$1,0,0,COUNTA([3]enemies!$A:$A),MATCH(R$1,[3]enemies!$1:$1,0)-MATCH($M$1,[3]enemies!$1:$1,0)+1),MATCH(R$1,[3]enemies!$1:$1,0)-MATCH($M$1,[3]enemies!$1:$1,0)+1,FALSE)</f>
        <v>#VALUE!</v>
      </c>
      <c r="S4" s="182">
        <v>60</v>
      </c>
      <c r="T4" s="183">
        <v>5.6</v>
      </c>
      <c r="U4" s="184" t="e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#REF!</v>
      </c>
      <c r="V4" s="183">
        <v>1.9</v>
      </c>
      <c r="W4" s="184" t="e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#REF!</v>
      </c>
      <c r="X4" s="182">
        <v>0</v>
      </c>
      <c r="Y4" s="178" t="e">
        <v>#VALUE!</v>
      </c>
      <c r="Z4" s="185">
        <v>47002010</v>
      </c>
      <c r="AA4" s="193">
        <v>2</v>
      </c>
    </row>
    <row r="5" spans="1:27" ht="21" customHeight="1" x14ac:dyDescent="0.15">
      <c r="A5" s="16" t="str">
        <f t="shared" si="3"/>
        <v>47002_2-5/1054&lt;lv60&gt;sq1st3</v>
      </c>
      <c r="B5" s="22">
        <v>47002</v>
      </c>
      <c r="C5" s="21">
        <v>2</v>
      </c>
      <c r="D5" s="2" t="str">
        <f t="shared" si="4"/>
        <v>47002_2</v>
      </c>
      <c r="E5" s="4" t="str">
        <f ca="1">VLOOKUP($B5,OFFSET([2]quests!$A$1,0,0,COUNTA([2]quests!$A:$A),MATCH(E$1,[2]quests!$1:$1,0)-MATCH($B$1,[2]quests!$1:$1,0)+1),MATCH(E$1,[2]quests!$1:$1,0)-MATCH($B$1,[2]quests!$1:$1,0)+1,FALSE)</f>
        <v>夏☆襲来！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【ウィザード級】夏☆襲来</v>
      </c>
      <c r="G5" s="21">
        <v>5</v>
      </c>
      <c r="H5" s="15" t="str">
        <f t="shared" si="5"/>
        <v>47002_2-5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38">
        <v>3</v>
      </c>
      <c r="M5" s="20">
        <v>1054</v>
      </c>
      <c r="N5" s="17" t="e">
        <f ca="1">VLOOKUP($M5,OFFSET([3]enemies!$A$1,0,0,COUNTA([3]enemies!$A:$A),MATCH(N$1,[3]enemies!$1:$1,0)-MATCH($M$1,[3]enemies!$1:$1,0)+1),MATCH(N$1,[3]enemies!$1:$1,0)-MATCH($M$1,[3]enemies!$1:$1,0)+1,FALSE)</f>
        <v>#VALUE!</v>
      </c>
      <c r="O5" s="17" t="e">
        <f ca="1">VLOOKUP($M5,OFFSET([3]enemies!$A$1,0,0,COUNTA([3]enemies!$A:$A),MATCH(O$1,[3]enemies!$1:$1,0)-MATCH($M$1,[3]enemies!$1:$1,0)+1),MATCH(O$1,[3]enemies!$1:$1,0)-MATCH($M$1,[3]enemies!$1:$1,0)+1,FALSE)</f>
        <v>#VALUE!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e">
        <f ca="1">VLOOKUP($M5,OFFSET([3]enemies!$A$1,0,0,COUNTA([3]enemies!$A:$A),MATCH(Q$1,[3]enemies!$1:$1,0)-MATCH($M$1,[3]enemies!$1:$1,0)+1),MATCH(Q$1,[3]enemies!$1:$1,0)-MATCH($M$1,[3]enemies!$1:$1,0)+1,FALSE)</f>
        <v>#VALUE!</v>
      </c>
      <c r="R5" s="17" t="e">
        <f ca="1">VLOOKUP($M5,OFFSET([3]enemies!$A$1,0,0,COUNTA([3]enemies!$A:$A),MATCH(R$1,[3]enemies!$1:$1,0)-MATCH($M$1,[3]enemies!$1:$1,0)+1),MATCH(R$1,[3]enemies!$1:$1,0)-MATCH($M$1,[3]enemies!$1:$1,0)+1,FALSE)</f>
        <v>#VALUE!</v>
      </c>
      <c r="S5" s="5">
        <v>60</v>
      </c>
      <c r="T5" s="25">
        <v>5.6</v>
      </c>
      <c r="U5" s="103" t="e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#REF!</v>
      </c>
      <c r="V5" s="25">
        <v>1.8</v>
      </c>
      <c r="W5" s="103" t="e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#REF!</v>
      </c>
      <c r="X5" s="5">
        <v>0</v>
      </c>
      <c r="Y5" s="4" t="e">
        <v>#VALUE!</v>
      </c>
      <c r="Z5" s="62">
        <v>47002011</v>
      </c>
      <c r="AA5" s="105">
        <v>1</v>
      </c>
    </row>
  </sheetData>
  <sheetProtection selectLockedCells="1" selectUnlockedCells="1"/>
  <autoFilter ref="B1:AA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04"/>
  <sheetViews>
    <sheetView showGridLines="0" zoomScale="90" zoomScaleNormal="90" zoomScalePageLayoutView="90" workbookViewId="0">
      <pane xSplit="5" ySplit="1" topLeftCell="F67" activePane="bottomRight" state="frozen"/>
      <selection pane="topRight"/>
      <selection pane="bottomLeft"/>
      <selection pane="bottomRight" activeCell="E75" sqref="E75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47002001_47002001</v>
      </c>
      <c r="B2" s="47">
        <v>47002001</v>
      </c>
      <c r="C2" s="47">
        <v>47002001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ねえ、つぎはなにしてあそぶー？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2" s="145">
        <v>47002001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>B3&amp;"_"&amp;C3</f>
        <v>47002001_47002078</v>
      </c>
      <c r="B3" s="47">
        <v>47002001</v>
      </c>
      <c r="C3" s="47">
        <v>47002078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わたしもさーふぃんしたーい！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青属性ユニットの攻撃力大UP！</v>
      </c>
      <c r="F3" s="198">
        <v>47002054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:A6" si="1">B4&amp;"_"&amp;C4</f>
        <v>47002001_47002079</v>
      </c>
      <c r="B4" s="47">
        <v>47002001</v>
      </c>
      <c r="C4" s="47">
        <v>47002079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びーちぼーるでなにするのー？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4" s="145">
        <v>47002046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47002001_47002080</v>
      </c>
      <c r="B5" s="47">
        <v>47002001</v>
      </c>
      <c r="C5" s="47">
        <v>47002080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ばななぼーとたのしそうだねー！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5" s="145">
        <v>47002047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47002001_47002081</v>
      </c>
      <c r="B6" s="47">
        <v>47002001</v>
      </c>
      <c r="C6" s="47">
        <v>47002081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うわー！めびうすとってもきれいだね！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" s="145">
        <v>47002048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ref="A7:A9" si="2">B7&amp;"_"&amp;C7</f>
        <v>47002001_47002002</v>
      </c>
      <c r="B7" s="47">
        <v>47002001</v>
      </c>
      <c r="C7" s="47">
        <v>47002002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こんびねーしょんあたっく！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7" s="47">
        <v>47002002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2"/>
        <v>47002001_47002003</v>
      </c>
      <c r="B8" s="47">
        <v>47002001</v>
      </c>
      <c r="C8" s="47">
        <v>47002003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どらごんだいぶ！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" s="47">
        <v>47002003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8" s="47"/>
      <c r="Q8" s="47"/>
      <c r="R8" s="47"/>
    </row>
    <row r="9" spans="1:18" ht="21" customHeight="1" x14ac:dyDescent="0.15">
      <c r="A9" s="39" t="str">
        <f t="shared" si="2"/>
        <v>47002001_47002004</v>
      </c>
      <c r="B9" s="47">
        <v>47002001</v>
      </c>
      <c r="C9" s="47">
        <v>47002004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おおきくなるよー！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自身の攻撃力&amp;防御力大UP</v>
      </c>
      <c r="F9" s="47">
        <v>47002004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" si="3">B10&amp;"_"&amp;C10</f>
        <v>47002001_47002005</v>
      </c>
      <c r="B10" s="47">
        <v>47002001</v>
      </c>
      <c r="C10" s="47">
        <v>47002005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どらごんぱわー！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属性を緑に変化+次の攻撃頻度が1にUP</v>
      </c>
      <c r="F10" s="198">
        <v>47002058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ref="A11:A40" si="4">B11&amp;"_"&amp;C11</f>
        <v>47002002_47002008</v>
      </c>
      <c r="B11" s="47">
        <v>47002002</v>
      </c>
      <c r="C11" s="47">
        <v>47002008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あら、迷子かしら？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1" s="145">
        <v>47002005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" si="5">B12&amp;"_"&amp;C12</f>
        <v>47002002_47002110</v>
      </c>
      <c r="B12" s="47">
        <v>47002002</v>
      </c>
      <c r="C12" s="47">
        <v>47002110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あら、迷子かしら？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青属性ユニットの攻撃力大UP！</v>
      </c>
      <c r="F12" s="198">
        <v>47002054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>B13&amp;"_"&amp;C13</f>
        <v>47002002_47002082</v>
      </c>
      <c r="B13" s="47">
        <v>47002002</v>
      </c>
      <c r="C13" s="47">
        <v>47002082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ネコって泳げるのかしら…？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3" s="145">
        <v>47002046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ref="A14:A15" si="6">B14&amp;"_"&amp;C14</f>
        <v>47002002_47002083</v>
      </c>
      <c r="B14" s="47">
        <v>47002002</v>
      </c>
      <c r="C14" s="47">
        <v>47002083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ファラデー、あなた随分派手な水着着てるわね…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4" s="145">
        <v>47002047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6"/>
        <v>47002002_47002084</v>
      </c>
      <c r="B15" s="47">
        <v>47002002</v>
      </c>
      <c r="C15" s="47">
        <v>47002084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ふふん…やっぱりメビウスより_x000D_私の方がスタイルは上ね！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5" s="145">
        <v>47002048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4"/>
        <v>47002002_47002009</v>
      </c>
      <c r="B16" s="47">
        <v>47002002</v>
      </c>
      <c r="C16" s="47">
        <v>47002009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ふーん…女神の秘境を探してるの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ちょっとだけ手伝ってあげる。存分に活かすのよ！_x000D_【低確率でボムパネルがドロップする！】</v>
      </c>
      <c r="F16" s="47">
        <v>47002006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4"/>
        <v>47002003_47002013</v>
      </c>
      <c r="B17" s="47">
        <v>47002003</v>
      </c>
      <c r="C17" s="47">
        <v>47002013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あなたも…この景色を眺めにきたの…？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7" s="145">
        <v>47002007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>B18&amp;"_"&amp;C18</f>
        <v>47002003_47002085</v>
      </c>
      <c r="B18" s="47">
        <v>47002003</v>
      </c>
      <c r="C18" s="47">
        <v>47002085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あなた…サーフィン上手ね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8" s="145">
        <v>47002045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ref="A19:A21" si="7">B19&amp;"_"&amp;C19</f>
        <v>47002003_47002086</v>
      </c>
      <c r="B19" s="47">
        <v>47002003</v>
      </c>
      <c r="C19" s="47">
        <v>47002086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私もこの子たちとビーチボールで遊びたいわ…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9" s="145">
        <v>47002046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7"/>
        <v>47002003_47002087</v>
      </c>
      <c r="B20" s="47">
        <v>47002003</v>
      </c>
      <c r="C20" s="47">
        <v>47002087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バナナボート…それも乗り心地良さそうね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20" s="145">
        <v>47002047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7"/>
        <v>47002003_47002088</v>
      </c>
      <c r="B21" s="47">
        <v>47002003</v>
      </c>
      <c r="C21" s="47">
        <v>47002088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綺麗ね…涼しそうだし…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青属性ユニットの回復力大UP！</v>
      </c>
      <c r="F21" s="198">
        <v>47002057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4"/>
        <v>47002003_47002014</v>
      </c>
      <c r="B22" s="47">
        <v>47002003</v>
      </c>
      <c r="C22" s="47">
        <v>47002014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それにしてもここは暑いわね…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私の悪魔が…暴れだしそうよ…</v>
      </c>
      <c r="F22" s="47">
        <v>47002008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62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4"/>
        <v>47002003_47002015</v>
      </c>
      <c r="B23" s="47">
        <v>47002003</v>
      </c>
      <c r="C23" s="47">
        <v>47002015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だめ…もう限界…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次のターン強力な全体攻撃！</v>
      </c>
      <c r="F23" s="47">
        <v>47002009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4"/>
        <v>47002003_47002016</v>
      </c>
      <c r="B24" s="47">
        <v>47002003</v>
      </c>
      <c r="C24" s="47">
        <v>47002016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ドルフィンストライク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強力な全体攻撃！</v>
      </c>
      <c r="F24" s="47">
        <v>47002010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4"/>
        <v>47002003_47002017</v>
      </c>
      <c r="B25" s="47">
        <v>47002003</v>
      </c>
      <c r="C25" s="47">
        <v>47002017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暑苦しいのは嫌…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25" s="47">
        <v>47002011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5" s="47"/>
      <c r="Q25" s="47"/>
      <c r="R25" s="47"/>
    </row>
    <row r="26" spans="1:18" ht="21" customHeight="1" x14ac:dyDescent="0.15">
      <c r="A26" s="39" t="str">
        <f t="shared" si="4"/>
        <v>47002003_47002018</v>
      </c>
      <c r="B26" s="47">
        <v>47002003</v>
      </c>
      <c r="C26" s="47">
        <v>47002018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連鎖の氷影・グランドアイス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小回復+クリティカル！</v>
      </c>
      <c r="F26" s="47">
        <v>47002012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6" s="47"/>
      <c r="Q26" s="47"/>
      <c r="R26" s="47"/>
    </row>
    <row r="27" spans="1:18" ht="21" customHeight="1" x14ac:dyDescent="0.15">
      <c r="A27" s="39" t="str">
        <f t="shared" si="4"/>
        <v>47002004_47002022</v>
      </c>
      <c r="B27" s="47">
        <v>47002004</v>
      </c>
      <c r="C27" s="47">
        <v>47002022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フフ…見つかっちゃいましたね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27" s="145">
        <v>47002013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ref="A28" si="8">B28&amp;"_"&amp;C28</f>
        <v>47002004_47002111</v>
      </c>
      <c r="B28" s="47">
        <v>47002004</v>
      </c>
      <c r="C28" s="47">
        <v>47002111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フフ…見つかっちゃいましたね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青属性ユニットの回復力大UP！</v>
      </c>
      <c r="F28" s="198">
        <v>47002057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>B29&amp;"_"&amp;C29</f>
        <v>47002004_47002089</v>
      </c>
      <c r="B29" s="47">
        <v>47002004</v>
      </c>
      <c r="C29" s="47">
        <v>47002089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オイラーさん…羨ましいスタイルですけど、_x000D_時代は清純派ですよ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29" s="145">
        <v>47002045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ref="A30:A31" si="9">B30&amp;"_"&amp;C30</f>
        <v>47002004_47002090</v>
      </c>
      <c r="B30" s="47">
        <v>47002004</v>
      </c>
      <c r="C30" s="47">
        <v>47002090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ふふ、シュレディンガーさんの_x000D_ネコちゃんかわいい…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30" s="145">
        <v>47002046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9"/>
        <v>47002004_47002091</v>
      </c>
      <c r="B31" s="47">
        <v>47002004</v>
      </c>
      <c r="C31" s="47">
        <v>47002091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私もファラデーさんみたいに…_x000D_ううん、何でもないです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31" s="145">
        <v>47002047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4"/>
        <v>47002004_47002023</v>
      </c>
      <c r="B32" s="47">
        <v>47002004</v>
      </c>
      <c r="C32" s="47">
        <v>47002023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せっかくここまで来たんです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少しお手伝いしますね…頑張って下さい_x000D_【HPが持続的に小回復する！】</v>
      </c>
      <c r="F32" s="47">
        <v>47002014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4"/>
        <v>47002005_47002027</v>
      </c>
      <c r="B33" s="47">
        <v>47002005</v>
      </c>
      <c r="C33" s="47">
        <v>47002027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ドッキドキの夏だよー！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33" s="145">
        <v>47002015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>B34&amp;"_"&amp;C34</f>
        <v>47002005_47002092</v>
      </c>
      <c r="B34" s="47">
        <v>47002005</v>
      </c>
      <c r="C34" s="47">
        <v>47002092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熱いヒトは嫌いじゃないよ！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34" s="145">
        <v>47002045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ref="A35:A37" si="10">B35&amp;"_"&amp;C35</f>
        <v>47002005_47002093</v>
      </c>
      <c r="B35" s="47">
        <v>47002005</v>
      </c>
      <c r="C35" s="47">
        <v>47002093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ケモノ同士仲良くしようよ！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青属性ユニットのタップ回数が1UP！</v>
      </c>
      <c r="F35" s="198">
        <v>47002055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10"/>
        <v>47002005_47002094</v>
      </c>
      <c r="B36" s="47">
        <v>47002005</v>
      </c>
      <c r="C36" s="47">
        <v>47002094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バナナも美味しそうでいいな…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36" s="145">
        <v>47002047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10"/>
        <v>47002005_47002095</v>
      </c>
      <c r="B37" s="47">
        <v>47002005</v>
      </c>
      <c r="C37" s="47">
        <v>47002095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ひんやりするのもいいけど…_x000D_たまには熱くなりましょ！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37" s="145">
        <v>47002048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4"/>
        <v>47002005_47002028</v>
      </c>
      <c r="B38" s="47">
        <v>47002005</v>
      </c>
      <c r="C38" s="47">
        <v>47002028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暑い時こそ熱くならなきゃ！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属性を赤に変化+3ターン自身の攻撃力小UP</v>
      </c>
      <c r="F38" s="47">
        <v>47002016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4"/>
        <v>47002005_47002029</v>
      </c>
      <c r="B39" s="47">
        <v>47002005</v>
      </c>
      <c r="C39" s="47">
        <v>47002029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ジェリーボールラッシュ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39" s="47">
        <v>47002017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39" s="47"/>
      <c r="Q39" s="47"/>
      <c r="R39" s="47"/>
    </row>
    <row r="40" spans="1:18" ht="21" customHeight="1" x14ac:dyDescent="0.15">
      <c r="A40" s="39" t="str">
        <f t="shared" si="4"/>
        <v>47002005_47002030</v>
      </c>
      <c r="B40" s="47">
        <v>47002005</v>
      </c>
      <c r="C40" s="47">
        <v>47002030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ヴェイパーヒート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全体攻撃+1ターン暗闇</v>
      </c>
      <c r="F40" s="47">
        <v>47002018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ref="A41" si="11">B41&amp;"_"&amp;C41</f>
        <v>47002005_47002031</v>
      </c>
      <c r="B41" s="47">
        <v>47002005</v>
      </c>
      <c r="C41" s="47">
        <v>47002031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私のほうが熱いもんねー！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赤パネルを吸収して攻撃（最大10個）</v>
      </c>
      <c r="F41" s="47">
        <v>47002053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1" s="47"/>
      <c r="Q41" s="47"/>
      <c r="R41" s="47"/>
    </row>
    <row r="42" spans="1:18" ht="21" customHeight="1" x14ac:dyDescent="0.15">
      <c r="A42" s="39" t="str">
        <f t="shared" ref="A42:A69" si="12">B42&amp;"_"&amp;C42</f>
        <v>47002006_47002034</v>
      </c>
      <c r="B42" s="47">
        <v>47002006</v>
      </c>
      <c r="C42" s="47">
        <v>47002034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僕は敵か味方か…どっちだろうね？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42" s="145">
        <v>47002019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ref="A43" si="13">B43&amp;"_"&amp;C43</f>
        <v>47002006_47002112</v>
      </c>
      <c r="B43" s="47">
        <v>47002006</v>
      </c>
      <c r="C43" s="47">
        <v>47002112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僕は敵か味方か…どっちだろうね？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青属性ユニットのタップ回数が1UP！</v>
      </c>
      <c r="F43" s="198">
        <v>47002055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>B44&amp;"_"&amp;C44</f>
        <v>47002006_47002096</v>
      </c>
      <c r="B44" s="47">
        <v>47002006</v>
      </c>
      <c r="C44" s="47">
        <v>47002096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オイラー、君は随分アクティブなんだね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44" s="145">
        <v>47002045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ref="A45:A46" si="14">B45&amp;"_"&amp;C45</f>
        <v>47002006_47002097</v>
      </c>
      <c r="B45" s="47">
        <v>47002006</v>
      </c>
      <c r="C45" s="47">
        <v>47002097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ファラデー…なんだいその奇妙な乗り物は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45" s="145">
        <v>47002047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14"/>
        <v>47002006_47002098</v>
      </c>
      <c r="B46" s="47">
        <v>47002006</v>
      </c>
      <c r="C46" s="47">
        <v>47002098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メビウス、今日は一段と輝いているね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46" s="145">
        <v>47002048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12"/>
        <v>47002006_47002036</v>
      </c>
      <c r="B47" s="47">
        <v>47002006</v>
      </c>
      <c r="C47" s="47">
        <v>47002036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ごめんごめん…からかうつもりはなかったんだ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お詫びと言っちゃなんだけど…まぁ頑張ってよ_x000D_【Cパネル生成短縮（効果大）！】</v>
      </c>
      <c r="F47" s="47">
        <v>47002021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2"/>
        <v>47002007_47002040</v>
      </c>
      <c r="B48" s="47">
        <v>47002007</v>
      </c>
      <c r="C48" s="47">
        <v>47002040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フフ…よくこんなところまで来たね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48" s="145">
        <v>47002022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>B49&amp;"_"&amp;C49</f>
        <v>47002007_47002099</v>
      </c>
      <c r="B49" s="47">
        <v>47002007</v>
      </c>
      <c r="C49" s="47">
        <v>47002099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健康的というか…なんというかその…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49" s="145">
        <v>47002045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ref="A50:A52" si="15">B50&amp;"_"&amp;C50</f>
        <v>47002007_47002100</v>
      </c>
      <c r="B50" s="47">
        <v>47002007</v>
      </c>
      <c r="C50" s="47">
        <v>47002100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ペンギンたちも君の猫たちと遊びたいって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50" s="145">
        <v>47002046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15"/>
        <v>47002007_47002101</v>
      </c>
      <c r="B51" s="47">
        <v>47002007</v>
      </c>
      <c r="C51" s="47">
        <v>47002101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…ちょっと目のやり場に困るなぁ……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青属性ユニットの防御力大UP！</v>
      </c>
      <c r="F51" s="198">
        <v>47002056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15"/>
        <v>47002007_47002102</v>
      </c>
      <c r="B52" s="47">
        <v>47002007</v>
      </c>
      <c r="C52" s="47">
        <v>47002102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宝石みたいにキラキラしてる…いいね…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52" s="145">
        <v>47002048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2"/>
        <v>47002007_47002041</v>
      </c>
      <c r="B53" s="47">
        <v>47002007</v>
      </c>
      <c r="C53" s="47">
        <v>47002041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刺胞守護の契約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防御力UP+全属性カウンター（威力小）</v>
      </c>
      <c r="F53" s="47">
        <v>47002023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12"/>
        <v>47002007_47002042</v>
      </c>
      <c r="B54" s="47">
        <v>47002007</v>
      </c>
      <c r="C54" s="47">
        <v>47002042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ペンギンスマッシュ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4" s="47">
        <v>47002024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54" s="47"/>
      <c r="Q54" s="47"/>
      <c r="R54" s="47"/>
    </row>
    <row r="55" spans="1:18" ht="21" customHeight="1" x14ac:dyDescent="0.15">
      <c r="A55" s="39" t="str">
        <f t="shared" si="12"/>
        <v>47002007_47002043</v>
      </c>
      <c r="B55" s="47">
        <v>47002007</v>
      </c>
      <c r="C55" s="47">
        <v>47002043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スパークリング・ジャッジ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5" s="47">
        <v>47002025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5" s="47"/>
      <c r="Q55" s="47"/>
      <c r="R55" s="47"/>
    </row>
    <row r="56" spans="1:18" ht="21" customHeight="1" x14ac:dyDescent="0.15">
      <c r="A56" s="39" t="str">
        <f t="shared" si="12"/>
        <v>47002007_47002044</v>
      </c>
      <c r="B56" s="47">
        <v>47002007</v>
      </c>
      <c r="C56" s="47">
        <v>47002044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水の中は動きにくいね…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青パネルをお邪魔パネルに変換（最大10個）</v>
      </c>
      <c r="F56" s="47">
        <v>47002026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12"/>
        <v>47002008_47002048</v>
      </c>
      <c r="B57" s="47">
        <v>47002008</v>
      </c>
      <c r="C57" s="47">
        <v>47002048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おっ！お姉さんに会いに来たのかな？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57" s="145">
        <v>47002027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ref="A58" si="16">B58&amp;"_"&amp;C58</f>
        <v>47002008_47002113</v>
      </c>
      <c r="B58" s="47">
        <v>47002008</v>
      </c>
      <c r="C58" s="47">
        <v>47002113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おっ！お姉さんに会いに来たのかな？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青属性ユニットの防御力大UP！</v>
      </c>
      <c r="F58" s="198">
        <v>47002056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>B59&amp;"_"&amp;C59</f>
        <v>47002008_47002103</v>
      </c>
      <c r="B59" s="47">
        <v>47002008</v>
      </c>
      <c r="C59" s="47">
        <v>47002103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おっ！オイラーもノッてるね！_x000D_よーし、負けないよ！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59" s="145">
        <v>47002045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ref="A60:A61" si="17">B60&amp;"_"&amp;C60</f>
        <v>47002008_47002104</v>
      </c>
      <c r="B60" s="47">
        <v>47002008</v>
      </c>
      <c r="C60" s="47">
        <v>47002104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シュレはかわいいねー！_x000D_…えっなんで怒ってるの！？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0" s="145">
        <v>47002046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7"/>
        <v>47002008_47002105</v>
      </c>
      <c r="B61" s="47">
        <v>47002008</v>
      </c>
      <c r="C61" s="47">
        <v>47002105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すごーい！メビウスなんだか人魚みたいね！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1" s="145">
        <v>47002048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12"/>
        <v>47002008_47002049</v>
      </c>
      <c r="B62" s="47">
        <v>47002008</v>
      </c>
      <c r="C62" s="47">
        <v>47002049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名残惜しいけど行かなくちゃ！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大層なものじゃないけど　これは餞別よ！_x000D_【低確率でCパネルがドロップする！】</v>
      </c>
      <c r="F62" s="47">
        <v>47002028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2"/>
        <v>47002009_47002053</v>
      </c>
      <c r="B63" s="47">
        <v>47002009</v>
      </c>
      <c r="C63" s="47">
        <v>47002053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おぬし…妾の余暇を邪魔するつもりか！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スキルバインド&amp;スリープ耐性</v>
      </c>
      <c r="F63" s="145">
        <v>47002029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>B64&amp;"_"&amp;C64</f>
        <v>47002009_47002106</v>
      </c>
      <c r="B64" s="47">
        <v>47002009</v>
      </c>
      <c r="C64" s="47">
        <v>47002106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オ、オイラー…これが_x000D_ぼんきゅっぼんというものなのか…！？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麒麟はショックでダメージを受けている！_x000D_+青属性ユニットのスキルゲージがMAXになった！</v>
      </c>
      <c r="F64" s="145">
        <v>47002045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ref="A65:A67" si="18">B65&amp;"_"&amp;C65</f>
        <v>47002009_47002107</v>
      </c>
      <c r="B65" s="47">
        <v>47002009</v>
      </c>
      <c r="C65" s="47">
        <v>47002107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妾の四神よりかわいいじゃと！？_x000D_うぅ、シュレディンガーめ…！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麒麟はショックでダメージを受けている！_x000D_+青属性ユニットのスキルゲージがMAXになった！</v>
      </c>
      <c r="F65" s="145">
        <v>47002046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18"/>
        <v>47002009_47002108</v>
      </c>
      <c r="B66" s="47">
        <v>47002009</v>
      </c>
      <c r="C66" s="47">
        <v>47002108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ぬうぅ、ファラデー…_x000D_なんて大胆な水着を…！負けぬぞ！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麒麟はショックでダメージを受けている！_x000D_+青属性ユニットのスキルゲージがMAXになった！</v>
      </c>
      <c r="F66" s="145">
        <v>47002047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8"/>
        <v>47002009_47002109</v>
      </c>
      <c r="B67" s="47">
        <v>47002009</v>
      </c>
      <c r="C67" s="47">
        <v>47002109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うっ、メビウス…妾よりすたいるが…！？_x000D_いや、なんでもない…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麒麟はショックでダメージを受けている！_x000D_+青属性ユニットのスキルゲージがMAXになった！</v>
      </c>
      <c r="F67" s="145">
        <v>47002048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2"/>
        <v>47002009_47002054</v>
      </c>
      <c r="B68" s="47">
        <v>47002009</v>
      </c>
      <c r="C68" s="47">
        <v>47002054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なみのりじゃ！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青パネルを吸収して攻撃（最大20個）</v>
      </c>
      <c r="F68" s="47">
        <v>47002030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 t="str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2"/>
        <v>47002009_47002055</v>
      </c>
      <c r="B69" s="47">
        <v>47002009</v>
      </c>
      <c r="C69" s="47">
        <v>47002055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ビリビリするぞ！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9" s="47">
        <v>47002031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9" s="47"/>
      <c r="Q69" s="47"/>
      <c r="R69" s="47"/>
    </row>
    <row r="70" spans="1:18" ht="21" customHeight="1" x14ac:dyDescent="0.15">
      <c r="A70" s="39" t="str">
        <f t="shared" ref="A70:A82" si="19">B70&amp;"_"&amp;C70</f>
        <v>47002009_47002056</v>
      </c>
      <c r="B70" s="47">
        <v>47002009</v>
      </c>
      <c r="C70" s="47">
        <v>47002056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これが妾の雷神たる所以よ！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残りHPの60%ダメージ！</v>
      </c>
      <c r="F70" s="47">
        <v>47002032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9"/>
        <v>47002010_47002060</v>
      </c>
      <c r="B71" s="47">
        <v>47002010</v>
      </c>
      <c r="C71" s="47">
        <v>47002060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ほぉ…そこまで妾をものにしたいか？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スキルバインド&amp;スリープ耐性_x000D_+白虎の力で攻撃頻度が1にUP！</v>
      </c>
      <c r="F71" s="146">
        <v>47002033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9"/>
        <v>47002010_47002061</v>
      </c>
      <c r="B72" s="47">
        <v>47002010</v>
      </c>
      <c r="C72" s="47">
        <v>47002061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滾るのう…これだからやめられぬ！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赤パネルを吸収して攻撃（最大20個）</v>
      </c>
      <c r="F72" s="146">
        <v>47002034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9"/>
        <v>47002010_47002062</v>
      </c>
      <c r="B73" s="47">
        <v>47002010</v>
      </c>
      <c r="C73" s="47">
        <v>47002062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この熱気についてこれるか！？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全体攻撃+赤パネル10個生成</v>
      </c>
      <c r="F73" s="146">
        <v>47002035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3" s="47"/>
      <c r="Q73" s="47"/>
      <c r="R73" s="47"/>
    </row>
    <row r="74" spans="1:18" ht="21" customHeight="1" x14ac:dyDescent="0.15">
      <c r="A74" s="39" t="str">
        <f t="shared" si="19"/>
        <v>47002010_47002063</v>
      </c>
      <c r="B74" s="47">
        <v>47002010</v>
      </c>
      <c r="C74" s="47">
        <v>47002063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埒があかぬな…力を貸りるぞ！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青龍の力で3ターン攻撃力大UP！</v>
      </c>
      <c r="F74" s="146">
        <v>47002036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19"/>
        <v>47002010_47002064</v>
      </c>
      <c r="B75" s="47">
        <v>47002010</v>
      </c>
      <c r="C75" s="47">
        <v>47002064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しつこい輩は嫌われるぞ？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赤パネルを吸収して全体攻撃_x000D_+青属性以外のユニットに3ターンスキルバインド</v>
      </c>
      <c r="F75" s="146">
        <v>47002037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19"/>
        <v>47002011_47002068</v>
      </c>
      <c r="B76" s="47">
        <v>47002011</v>
      </c>
      <c r="C76" s="47">
        <v>47002068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ええい！ならば妾の全てを受け止めてみせよ！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スキルバインド&amp;スリープ耐性_x000D_+残りHPの80%ダメージ！</v>
      </c>
      <c r="F76" s="146">
        <v>47002038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19"/>
        <v>47002011_47002069</v>
      </c>
      <c r="B77" s="47">
        <v>47002011</v>
      </c>
      <c r="C77" s="47">
        <v>47002069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もっとじゃ！もっと夏を満喫するのじゃ！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朱雀の力で赤パネルドロップ率UP_x000D_+8ターン後に超強力な熱波が発生する！！</v>
      </c>
      <c r="F77" s="47">
        <v>47002039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9"/>
        <v>47002011_47002070</v>
      </c>
      <c r="B78" s="47">
        <v>47002011</v>
      </c>
      <c r="C78" s="47">
        <v>47002070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ここからは妾の独壇場じゃ！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全体攻撃+赤パネル10個生成</v>
      </c>
      <c r="F78" s="47">
        <v>47002040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19"/>
        <v>47002011_47002075</v>
      </c>
      <c r="B79" s="47">
        <v>47002011</v>
      </c>
      <c r="C79" s="47">
        <v>47002075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どうした？もう動けぬか？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赤パネルを吸収して全体攻撃_x000D_+青属性以外のユニットに1ターンスキルバインド</v>
      </c>
      <c r="F79" s="47">
        <v>47002041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9"/>
        <v>47002011_47002072</v>
      </c>
      <c r="B80" s="47">
        <v>47002011</v>
      </c>
      <c r="C80" s="47">
        <v>47002072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くっ…ここまで追いつめられるとは！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玄武の力で3ターン全属性ダメージ50%軽減！</v>
      </c>
      <c r="F80" s="47">
        <v>47002042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19"/>
        <v>47002011_47002073</v>
      </c>
      <c r="B81" s="47">
        <v>47002011</v>
      </c>
      <c r="C81" s="47">
        <v>47002073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残念じゃったな！妾は誰のものにもならぬ！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超強力な熱波が全てを飲み込む！</v>
      </c>
      <c r="F81" s="47">
        <v>47002043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19"/>
        <v>47002011_47002074</v>
      </c>
      <c r="B82" s="47">
        <v>47002011</v>
      </c>
      <c r="C82" s="47">
        <v>47002074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まいった…降参じゃ！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おぬしの熱意…まるで照りつける太陽のようじゃな…</v>
      </c>
      <c r="F82" s="47">
        <v>47002044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ref="A83:A88" si="20">B83&amp;"_"&amp;C83</f>
        <v>47002012_47002060</v>
      </c>
      <c r="B83" s="145">
        <v>47002012</v>
      </c>
      <c r="C83" s="47">
        <v>47002060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ほぉ…そこまで妾をものにしたいか？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スキルバインド&amp;スリープ耐性_x000D_+白虎の力で攻撃頻度が1にUP！</v>
      </c>
      <c r="F83" s="146">
        <v>47002033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20"/>
        <v>47002012_47002061</v>
      </c>
      <c r="B84" s="145">
        <v>47002012</v>
      </c>
      <c r="C84" s="47">
        <v>47002061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滾るのう…これだからやめられぬ！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赤パネルを吸収して攻撃（最大20個）</v>
      </c>
      <c r="F84" s="146">
        <v>47002034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 t="str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20"/>
        <v>47002012_47002062</v>
      </c>
      <c r="B85" s="145">
        <v>47002012</v>
      </c>
      <c r="C85" s="47">
        <v>47002062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この熱気についてこれるか！？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全体攻撃+赤パネル10個生成</v>
      </c>
      <c r="F85" s="146">
        <v>47002035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5" s="47"/>
      <c r="Q85" s="47"/>
      <c r="R85" s="47"/>
    </row>
    <row r="86" spans="1:18" ht="21" customHeight="1" x14ac:dyDescent="0.15">
      <c r="A86" s="39" t="str">
        <f t="shared" si="20"/>
        <v>47002012_47002063</v>
      </c>
      <c r="B86" s="145">
        <v>47002012</v>
      </c>
      <c r="C86" s="47">
        <v>47002063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埒があかぬな…力を貸りるぞ！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青龍の力で3ターン攻撃力大UP！</v>
      </c>
      <c r="F86" s="146">
        <v>47002036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8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20"/>
        <v>47002012_47002065</v>
      </c>
      <c r="B87" s="145">
        <v>47002012</v>
      </c>
      <c r="C87" s="47">
        <v>47002065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しつこい輩は嫌われるぞ？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赤パネルを吸収して全体攻撃_x000D_+青属性以外のユニットに2ターンスキルバインド</v>
      </c>
      <c r="F87" s="146">
        <v>47002037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20"/>
        <v>47002013_47002027</v>
      </c>
      <c r="B88" s="145">
        <v>47002013</v>
      </c>
      <c r="C88" s="47">
        <v>47002027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ドッキドキの夏だよー！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88" s="145">
        <v>47002015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>B89&amp;"_"&amp;C89</f>
        <v>47002013_47002092</v>
      </c>
      <c r="B89" s="145">
        <v>47002013</v>
      </c>
      <c r="C89" s="47">
        <v>47002092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熱いヒトは嫌いじゃないよ！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89" s="145">
        <v>47002045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ref="A90:A96" si="21">B90&amp;"_"&amp;C90</f>
        <v>47002013_47002093</v>
      </c>
      <c r="B90" s="145">
        <v>47002013</v>
      </c>
      <c r="C90" s="47">
        <v>47002093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ケモノ同士仲良くしようよ！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青属性ユニットのタップ回数が1UP！</v>
      </c>
      <c r="F90" s="198">
        <v>47002055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21"/>
        <v>47002013_47002094</v>
      </c>
      <c r="B91" s="145">
        <v>47002013</v>
      </c>
      <c r="C91" s="47">
        <v>47002094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バナナも美味しそうでいいな…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1" s="145">
        <v>47002047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21"/>
        <v>47002013_47002095</v>
      </c>
      <c r="B92" s="145">
        <v>47002013</v>
      </c>
      <c r="C92" s="47">
        <v>47002095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ひんやりするのもいいけど…_x000D_たまには熱くなりましょ！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2" s="145">
        <v>47002048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21"/>
        <v>47002013_47002028</v>
      </c>
      <c r="B93" s="145">
        <v>47002013</v>
      </c>
      <c r="C93" s="47">
        <v>47002028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暑い時こそ熱くならなきゃ！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属性を赤に変化+3ターン自身の攻撃力小UP</v>
      </c>
      <c r="F93" s="47">
        <v>47002016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21"/>
        <v>47002013_47002029</v>
      </c>
      <c r="B94" s="145">
        <v>47002013</v>
      </c>
      <c r="C94" s="47">
        <v>47002029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ジェリーボールラッシュ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94" s="47">
        <v>47002017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 t="str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94" s="47"/>
      <c r="Q94" s="47"/>
      <c r="R94" s="47"/>
    </row>
    <row r="95" spans="1:18" ht="21" customHeight="1" x14ac:dyDescent="0.15">
      <c r="A95" s="39" t="str">
        <f t="shared" si="21"/>
        <v>47002013_47002030</v>
      </c>
      <c r="B95" s="145">
        <v>47002013</v>
      </c>
      <c r="C95" s="47">
        <v>47002030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ヴェイパーヒート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全体攻撃+1ターン暗闇</v>
      </c>
      <c r="F95" s="47">
        <v>47002018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95" s="48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5" s="48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21"/>
        <v>47002014_47002040</v>
      </c>
      <c r="B96" s="145">
        <v>47002014</v>
      </c>
      <c r="C96" s="47">
        <v>47002040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フフ…よくこんなところまで来たね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6" s="145">
        <v>47002022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>B97&amp;"_"&amp;C97</f>
        <v>47002014_47002099</v>
      </c>
      <c r="B97" s="145">
        <v>47002014</v>
      </c>
      <c r="C97" s="47">
        <v>47002099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健康的というか…なんというかその…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7" s="145">
        <v>47002045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1047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ref="A98:A104" si="22">B98&amp;"_"&amp;C98</f>
        <v>47002014_47002100</v>
      </c>
      <c r="B98" s="145">
        <v>47002014</v>
      </c>
      <c r="C98" s="47">
        <v>47002100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ペンギンたちも君の猫たちと遊びたいって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8" s="145">
        <v>47002046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1045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22"/>
        <v>47002014_47002101</v>
      </c>
      <c r="B99" s="145">
        <v>47002014</v>
      </c>
      <c r="C99" s="47">
        <v>47002101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…ちょっと目のやり場に困るなぁ……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青属性ユニットの防御力大UP！</v>
      </c>
      <c r="F99" s="198">
        <v>47002056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1051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22"/>
        <v>47002014_47002102</v>
      </c>
      <c r="B100" s="145">
        <v>47002014</v>
      </c>
      <c r="C100" s="47">
        <v>47002102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宝石みたいにキラキラしてる…いいね…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00" s="145">
        <v>47002048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1049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22"/>
        <v>47002014_47002041</v>
      </c>
      <c r="B101" s="145">
        <v>47002014</v>
      </c>
      <c r="C101" s="47">
        <v>47002041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刺胞守護の契約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防御力UP+全属性カウンター（威力小）</v>
      </c>
      <c r="F101" s="47">
        <v>47002023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8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8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22"/>
        <v>47002014_47002042</v>
      </c>
      <c r="B102" s="145">
        <v>47002014</v>
      </c>
      <c r="C102" s="47">
        <v>47002042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ペンギンスマッシュ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2" s="47">
        <v>47002024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 t="str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2" s="48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8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102" s="47"/>
      <c r="Q102" s="47"/>
      <c r="R102" s="47"/>
    </row>
    <row r="103" spans="1:18" ht="21" customHeight="1" x14ac:dyDescent="0.15">
      <c r="A103" s="39" t="str">
        <f t="shared" si="22"/>
        <v>47002014_47002045</v>
      </c>
      <c r="B103" s="145">
        <v>47002014</v>
      </c>
      <c r="C103" s="47">
        <v>47002045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スパークリング・ジャッジ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03" s="47">
        <v>47002025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 t="str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03" s="47"/>
      <c r="Q103" s="47"/>
      <c r="R103" s="47"/>
    </row>
    <row r="104" spans="1:18" ht="21" customHeight="1" x14ac:dyDescent="0.15">
      <c r="A104" s="39" t="str">
        <f t="shared" si="22"/>
        <v>47002014_47002044</v>
      </c>
      <c r="B104" s="145">
        <v>47002014</v>
      </c>
      <c r="C104" s="47">
        <v>47002044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水の中は動きにくいね…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青パネルをお邪魔パネルに変換（最大10個）</v>
      </c>
      <c r="F104" s="47">
        <v>47002026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8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04" s="48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</sheetData>
  <autoFilter ref="A1:R1"/>
  <phoneticPr fontId="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15"/>
  <sheetViews>
    <sheetView showGridLines="0" zoomScale="90" zoomScaleNormal="90" zoomScalePageLayoutView="90" workbookViewId="0">
      <pane ySplit="1" topLeftCell="A103" activePane="bottomLeft" state="frozenSplit"/>
      <selection pane="bottomLeft" activeCell="F119" sqref="F119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125</v>
      </c>
      <c r="E1" s="40" t="s">
        <v>81</v>
      </c>
      <c r="F1" s="40" t="s">
        <v>82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47002001</v>
      </c>
      <c r="B2" s="47" t="s">
        <v>339</v>
      </c>
      <c r="C2" s="50">
        <v>3</v>
      </c>
      <c r="D2" s="50" t="s">
        <v>126</v>
      </c>
      <c r="E2" s="51" t="s">
        <v>367</v>
      </c>
      <c r="F2" s="151" t="s">
        <v>328</v>
      </c>
      <c r="G2" s="64" t="str">
        <f t="shared" ref="G2:G36" si="0">IFERROR(LEFT(B2,FIND("],",B2)),B2)</f>
        <v>[effect:enemy_message, val1:1.2, val2:0]</v>
      </c>
      <c r="H2" s="64">
        <f t="shared" ref="H2:H36" si="1">FIND("effect:",G2)+7</f>
        <v>9</v>
      </c>
      <c r="I2" s="64">
        <f t="shared" ref="I2:I36" si="2">IFERROR(FIND(",",G2),LEN(G2))</f>
        <v>22</v>
      </c>
      <c r="J2" s="64" t="e">
        <f t="shared" ref="J2:J36" si="3">FIND("target:",G2)+7</f>
        <v>#VALUE!</v>
      </c>
      <c r="K2" s="64">
        <f t="shared" ref="K2:K36" si="4">FIND(",",G2,I2+1)</f>
        <v>32</v>
      </c>
      <c r="L2" s="64" t="str">
        <f>IFERROR(VLOOKUP(MID(G2,J2,K2-J2),[5]skilldef!$C:$D,2,FALSE),"-") &amp; " / " &amp; IFERROR(VLOOKUP(MID(G2,H2,I2-H2),[5]skilldef!$A:$B,2,FALSE),"-")</f>
        <v>- / -</v>
      </c>
      <c r="M2" s="64" t="str">
        <f t="shared" ref="M2:M36" si="5">IFERROR(RIGHT(B2,LEN(B2)-FIND("],",B2)-1),"none")</f>
        <v>none</v>
      </c>
      <c r="N2" s="48" t="str">
        <f>IFERROR(LEFT(M2,FIND("],",M2)+S13),M2)</f>
        <v>none</v>
      </c>
      <c r="O2" s="64" t="e">
        <f t="shared" ref="O2:O36" si="6">FIND("effect:",N2)+7</f>
        <v>#VALUE!</v>
      </c>
      <c r="P2" s="64">
        <f t="shared" ref="P2:P36" si="7">IFERROR(FIND(",",N2),LEN(N2))</f>
        <v>4</v>
      </c>
      <c r="Q2" s="64" t="e">
        <f t="shared" ref="Q2:Q36" si="8">FIND("target:",N2)+7</f>
        <v>#VALUE!</v>
      </c>
      <c r="R2" s="64" t="e">
        <f t="shared" ref="R2:R36" si="9">FIND(",",N2,P2+1)</f>
        <v>#VALUE!</v>
      </c>
      <c r="S2" s="64" t="str">
        <f>IFERROR(VLOOKUP(MID(N2,Q2,R2-Q2),[5]skilldef!$C:$D,2,FALSE),"-") &amp; " / " &amp; IFERROR(VLOOKUP(MID(N2,O2,P2-O2),[5]skilldef!$A:$B,2,FALSE),"-")</f>
        <v>- / -</v>
      </c>
      <c r="T2" s="48" t="str">
        <f t="shared" ref="T2:T36" si="10">IFERROR(RIGHT(M2,LEN(M2)-FIND("],",M2)-1),"none")</f>
        <v>none</v>
      </c>
      <c r="U2" s="64" t="e">
        <f t="shared" ref="U2:U36" si="11">FIND("effect:",T2)+7</f>
        <v>#VALUE!</v>
      </c>
      <c r="V2" s="64">
        <f t="shared" ref="V2:V36" si="12">IFERROR(FIND(",",T2),LEN(T2))</f>
        <v>4</v>
      </c>
      <c r="W2" s="64" t="e">
        <f t="shared" ref="W2:W36" si="13">FIND("target:",T2)+7</f>
        <v>#VALUE!</v>
      </c>
      <c r="X2" s="64" t="e">
        <f t="shared" ref="X2:X36" si="14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47002002</v>
      </c>
      <c r="B3" s="47" t="s">
        <v>463</v>
      </c>
      <c r="C3" s="50">
        <v>3</v>
      </c>
      <c r="D3" s="50" t="s">
        <v>126</v>
      </c>
      <c r="E3" s="51" t="s">
        <v>341</v>
      </c>
      <c r="F3" s="51" t="s">
        <v>342</v>
      </c>
      <c r="G3" s="64" t="str">
        <f t="shared" si="0"/>
        <v>[effect:rush, count:2, val:0.5]</v>
      </c>
      <c r="H3" s="64">
        <f t="shared" si="1"/>
        <v>9</v>
      </c>
      <c r="I3" s="64">
        <f t="shared" si="2"/>
        <v>13</v>
      </c>
      <c r="J3" s="64" t="e">
        <f t="shared" si="3"/>
        <v>#VALUE!</v>
      </c>
      <c r="K3" s="64">
        <f t="shared" si="4"/>
        <v>22</v>
      </c>
      <c r="L3" s="64" t="str">
        <f>IFERROR(VLOOKUP(MID(G3,J3,K3-J3),[5]skilldef!$C:$D,2,FALSE),"-") &amp; " / " &amp; IFERROR(VLOOKUP(MID(G3,H3,I3-H3),[5]skilldef!$A:$B,2,FALSE),"-")</f>
        <v>- / 連続攻撃</v>
      </c>
      <c r="M3" s="64" t="str">
        <f t="shared" si="5"/>
        <v>none</v>
      </c>
      <c r="N3" s="48" t="str">
        <f>IFERROR(LEFT(M3,FIND("],",M3)+#REF!),M3)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47002003</v>
      </c>
      <c r="B4" s="47" t="s">
        <v>462</v>
      </c>
      <c r="C4" s="50">
        <v>3</v>
      </c>
      <c r="D4" s="50" t="s">
        <v>126</v>
      </c>
      <c r="E4" s="51" t="s">
        <v>340</v>
      </c>
      <c r="F4" s="51" t="s">
        <v>321</v>
      </c>
      <c r="G4" s="64" t="str">
        <f t="shared" si="0"/>
        <v>[effect:critical, val:1.2]</v>
      </c>
      <c r="H4" s="64">
        <f t="shared" si="1"/>
        <v>9</v>
      </c>
      <c r="I4" s="64">
        <f t="shared" si="2"/>
        <v>17</v>
      </c>
      <c r="J4" s="64" t="e">
        <f t="shared" si="3"/>
        <v>#VALUE!</v>
      </c>
      <c r="K4" s="64" t="e">
        <f t="shared" si="4"/>
        <v>#VALUE!</v>
      </c>
      <c r="L4" s="64" t="str">
        <f>IFERROR(VLOOKUP(MID(G4,J4,K4-J4),[5]skilldef!$C:$D,2,FALSE),"-") &amp; " / " &amp; IFERROR(VLOOKUP(MID(G4,H4,I4-H4),[5]skilldef!$A:$B,2,FALSE),"-")</f>
        <v>- / 大攻撃</v>
      </c>
      <c r="M4" s="64" t="str">
        <f t="shared" si="5"/>
        <v>none</v>
      </c>
      <c r="N4" s="48" t="str">
        <f>IFERROR(LEFT(M4,FIND("],",M4)+S14),M4)</f>
        <v>none</v>
      </c>
      <c r="O4" s="64" t="e">
        <f t="shared" si="6"/>
        <v>#VALUE!</v>
      </c>
      <c r="P4" s="64">
        <f t="shared" si="7"/>
        <v>4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47002004</v>
      </c>
      <c r="B5" s="47" t="s">
        <v>280</v>
      </c>
      <c r="C5" s="50">
        <v>3</v>
      </c>
      <c r="D5" s="50" t="s">
        <v>126</v>
      </c>
      <c r="E5" s="51" t="s">
        <v>343</v>
      </c>
      <c r="F5" s="51" t="s">
        <v>322</v>
      </c>
      <c r="G5" s="64" t="str">
        <f t="shared" si="0"/>
        <v>[effect:enhance_enemy, target:myself, turn:-1, status:attack, val:0.5, calc:mul, animation:enemy_enhance_attack]</v>
      </c>
      <c r="H5" s="64">
        <f t="shared" si="1"/>
        <v>9</v>
      </c>
      <c r="I5" s="64">
        <f t="shared" si="2"/>
        <v>22</v>
      </c>
      <c r="J5" s="64">
        <f t="shared" si="3"/>
        <v>31</v>
      </c>
      <c r="K5" s="64">
        <f t="shared" si="4"/>
        <v>37</v>
      </c>
      <c r="L5" s="64" t="str">
        <f>IFERROR(VLOOKUP(MID(G5,J5,K5-J5),[5]skilldef!$C:$D,2,FALSE),"-") &amp; " / " &amp; IFERROR(VLOOKUP(MID(G5,H5,I5-H5),[5]skilldef!$A:$B,2,FALSE),"-")</f>
        <v>自分自身に / ステータス強化</v>
      </c>
      <c r="M5" s="64" t="str">
        <f t="shared" si="5"/>
        <v>[effect:enhance_enemy, target:myself, turn:-1, status:defense, val:2500, calc:add, animation:enemy_enhance_defense]</v>
      </c>
      <c r="N5" s="48" t="str">
        <f>IFERROR(LEFT(M5,FIND("],",M5)+S15),M5)</f>
        <v>[effect:enhance_enemy, target:myself, turn:-1, status:defense, val:2500, calc:add, animation:enemy_enhance_defense]</v>
      </c>
      <c r="O5" s="64">
        <f t="shared" si="6"/>
        <v>9</v>
      </c>
      <c r="P5" s="64">
        <f t="shared" si="7"/>
        <v>22</v>
      </c>
      <c r="Q5" s="64">
        <f t="shared" si="8"/>
        <v>31</v>
      </c>
      <c r="R5" s="64">
        <f t="shared" si="9"/>
        <v>37</v>
      </c>
      <c r="S5" s="64" t="str">
        <f>IFERROR(VLOOKUP(MID(N5,Q5,R5-Q5),[5]skilldef!$C:$D,2,FALSE),"-") &amp; " / " &amp; IFERROR(VLOOKUP(MID(N5,O5,P5-O5),[5]skilldef!$A:$B,2,FALSE),"-")</f>
        <v>自分自身に / ステータス強化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47002005</v>
      </c>
      <c r="B6" s="47" t="s">
        <v>461</v>
      </c>
      <c r="C6" s="50">
        <v>3</v>
      </c>
      <c r="D6" s="50" t="s">
        <v>126</v>
      </c>
      <c r="E6" s="106" t="s">
        <v>427</v>
      </c>
      <c r="F6" s="199" t="s">
        <v>460</v>
      </c>
      <c r="G6" s="64" t="str">
        <f t="shared" ref="G6" si="15">IFERROR(LEFT(B6,FIND("],",B6)),B6)</f>
        <v xml:space="preserve">[effect:change_attribute, target:enemy_all, color:green, turn:-1, animation:change_attribute_green] ,[effect:freq_turn, target:myself, turn:1, val:1, animation:enemy_freq_turn]    </v>
      </c>
      <c r="H6" s="64">
        <f t="shared" si="1"/>
        <v>9</v>
      </c>
      <c r="I6" s="64">
        <f t="shared" ref="I6" si="16">IFERROR(FIND(",",G6),LEN(G6))</f>
        <v>25</v>
      </c>
      <c r="J6" s="64">
        <f t="shared" ref="J6" si="17">FIND("target:",G6)+7</f>
        <v>34</v>
      </c>
      <c r="K6" s="64">
        <f t="shared" ref="K6" si="18">FIND(",",G6,I6+1)</f>
        <v>43</v>
      </c>
      <c r="L6" s="64" t="str">
        <f>IFERROR(VLOOKUP(MID(G6,J6,K6-J6),[5]skilldef!$C:$D,2,FALSE),"-") &amp; " / " &amp; IFERROR(VLOOKUP(MID(G6,H6,I6-H6),[5]skilldef!$A:$B,2,FALSE),"-")</f>
        <v>敵全体に / -</v>
      </c>
      <c r="M6" s="64" t="str">
        <f t="shared" ref="M6" si="19">IFERROR(RIGHT(B6,LEN(B6)-FIND("],",B6)-1),"none")</f>
        <v>none</v>
      </c>
      <c r="N6" s="48" t="str">
        <f>IFERROR(LEFT(M6,FIND("],",M6)+S15),M6)</f>
        <v>none</v>
      </c>
      <c r="O6" s="64" t="e">
        <f t="shared" si="6"/>
        <v>#VALUE!</v>
      </c>
      <c r="P6" s="64">
        <f t="shared" ref="P6" si="20">IFERROR(FIND(",",N6),LEN(N6))</f>
        <v>4</v>
      </c>
      <c r="Q6" s="64" t="e">
        <f t="shared" ref="Q6" si="21">FIND("target:",N6)+7</f>
        <v>#VALUE!</v>
      </c>
      <c r="R6" s="64" t="e">
        <f t="shared" ref="R6" si="22">FIND(",",N6,P6+1)</f>
        <v>#VALUE!</v>
      </c>
      <c r="S6" s="64" t="str">
        <f>IFERROR(VLOOKUP(MID(N6,Q6,R6-Q6),[5]skilldef!$C:$D,2,FALSE),"-") &amp; " / " &amp; IFERROR(VLOOKUP(MID(N6,O6,P6-O6),[5]skilldef!$A:$B,2,FALSE),"-")</f>
        <v>- / -</v>
      </c>
      <c r="T6" s="48" t="str">
        <f t="shared" ref="T6" si="23">IFERROR(RIGHT(M6,LEN(M6)-FIND("],",M6)-1),"none")</f>
        <v>none</v>
      </c>
      <c r="U6" s="64" t="e">
        <f t="shared" si="11"/>
        <v>#VALUE!</v>
      </c>
      <c r="V6" s="64">
        <f t="shared" ref="V6" si="24">IFERROR(FIND(",",T6),LEN(T6))</f>
        <v>4</v>
      </c>
      <c r="W6" s="64" t="e">
        <f t="shared" ref="W6" si="25">FIND("target:",T6)+7</f>
        <v>#VALUE!</v>
      </c>
      <c r="X6" s="64" t="e">
        <f t="shared" ref="X6" si="26">FIND(",",T6,V6+1)</f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47002006</v>
      </c>
      <c r="B7" s="47" t="s">
        <v>260</v>
      </c>
      <c r="C7" s="50">
        <v>1</v>
      </c>
      <c r="D7" s="50" t="s">
        <v>126</v>
      </c>
      <c r="E7" s="107" t="s">
        <v>269</v>
      </c>
      <c r="F7" s="107" t="s">
        <v>269</v>
      </c>
      <c r="G7" s="64" t="str">
        <f t="shared" si="0"/>
        <v>[effect:nothing]</v>
      </c>
      <c r="H7" s="64">
        <f t="shared" si="1"/>
        <v>9</v>
      </c>
      <c r="I7" s="64">
        <f t="shared" si="2"/>
        <v>16</v>
      </c>
      <c r="J7" s="64" t="e">
        <f t="shared" si="3"/>
        <v>#VALUE!</v>
      </c>
      <c r="K7" s="64" t="e">
        <f t="shared" si="4"/>
        <v>#VALUE!</v>
      </c>
      <c r="L7" s="64" t="str">
        <f>IFERROR(VLOOKUP(MID(G7,J7,K7-J7),[5]skilldef!$C:$D,2,FALSE),"-") &amp; " / " &amp; IFERROR(VLOOKUP(MID(G7,H7,I7-H7),[5]skilldef!$A:$B,2,FALSE),"-")</f>
        <v>- / 何もしない</v>
      </c>
      <c r="M7" s="64" t="str">
        <f t="shared" si="5"/>
        <v>none</v>
      </c>
      <c r="N7" s="48" t="str">
        <f>IFERROR(LEFT(M7,FIND("],",M7)+S16),M7)</f>
        <v>none</v>
      </c>
      <c r="O7" s="64" t="e">
        <f t="shared" si="6"/>
        <v>#VALUE!</v>
      </c>
      <c r="P7" s="64">
        <f t="shared" si="7"/>
        <v>4</v>
      </c>
      <c r="Q7" s="64" t="e">
        <f t="shared" si="8"/>
        <v>#VALUE!</v>
      </c>
      <c r="R7" s="64" t="e">
        <f t="shared" si="9"/>
        <v>#VALUE!</v>
      </c>
      <c r="S7" s="64" t="str">
        <f>IFERROR(VLOOKUP(MID(N7,Q7,R7-Q7),[5]skilldef!$C:$D,2,FALSE),"-") &amp; " / " &amp; IFERROR(VLOOKUP(MID(N7,O7,P7-O7),[5]skilldef!$A:$B,2,FALSE),"-")</f>
        <v>- / -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47002007</v>
      </c>
      <c r="B8" s="47" t="s">
        <v>260</v>
      </c>
      <c r="C8" s="50">
        <v>1</v>
      </c>
      <c r="D8" s="50" t="s">
        <v>126</v>
      </c>
      <c r="E8" s="107" t="s">
        <v>269</v>
      </c>
      <c r="F8" s="107" t="s">
        <v>269</v>
      </c>
      <c r="G8" s="64" t="str">
        <f t="shared" si="0"/>
        <v>[effect:nothing]</v>
      </c>
      <c r="H8" s="64">
        <f t="shared" si="1"/>
        <v>9</v>
      </c>
      <c r="I8" s="64">
        <f t="shared" si="2"/>
        <v>16</v>
      </c>
      <c r="J8" s="64" t="e">
        <f t="shared" si="3"/>
        <v>#VALUE!</v>
      </c>
      <c r="K8" s="64" t="e">
        <f t="shared" si="4"/>
        <v>#VALUE!</v>
      </c>
      <c r="L8" s="64" t="str">
        <f>IFERROR(VLOOKUP(MID(G8,J8,K8-J8),[5]skilldef!$C:$D,2,FALSE),"-") &amp; " / " &amp; IFERROR(VLOOKUP(MID(G8,H8,I8-H8),[5]skilldef!$A:$B,2,FALSE),"-")</f>
        <v>- / 何もしない</v>
      </c>
      <c r="M8" s="64" t="str">
        <f t="shared" si="5"/>
        <v>none</v>
      </c>
      <c r="N8" s="48" t="str">
        <f>IFERROR(LEFT(M8,FIND("],",M8)+S17),M8)</f>
        <v>none</v>
      </c>
      <c r="O8" s="64" t="e">
        <f t="shared" si="6"/>
        <v>#VALUE!</v>
      </c>
      <c r="P8" s="64">
        <f t="shared" si="7"/>
        <v>4</v>
      </c>
      <c r="Q8" s="64" t="e">
        <f t="shared" si="8"/>
        <v>#VALUE!</v>
      </c>
      <c r="R8" s="64" t="e">
        <f t="shared" si="9"/>
        <v>#VALUE!</v>
      </c>
      <c r="S8" s="64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47002008</v>
      </c>
      <c r="B9" s="47" t="s">
        <v>366</v>
      </c>
      <c r="C9" s="50">
        <v>3</v>
      </c>
      <c r="D9" s="50" t="s">
        <v>126</v>
      </c>
      <c r="E9" s="51" t="s">
        <v>261</v>
      </c>
      <c r="F9" s="151" t="s">
        <v>328</v>
      </c>
      <c r="G9" s="64" t="str">
        <f t="shared" si="0"/>
        <v>[effect:enemy_message, val1:1, val2:0]</v>
      </c>
      <c r="H9" s="64">
        <f t="shared" si="1"/>
        <v>9</v>
      </c>
      <c r="I9" s="64">
        <f t="shared" si="2"/>
        <v>22</v>
      </c>
      <c r="J9" s="64" t="e">
        <f t="shared" si="3"/>
        <v>#VALUE!</v>
      </c>
      <c r="K9" s="64">
        <f t="shared" si="4"/>
        <v>30</v>
      </c>
      <c r="L9" s="64" t="str">
        <f>IFERROR(VLOOKUP(MID(G9,J9,K9-J9),[5]skilldef!$C:$D,2,FALSE),"-") &amp; " / " &amp; IFERROR(VLOOKUP(MID(G9,H9,I9-H9),[5]skilldef!$A:$B,2,FALSE),"-")</f>
        <v>- / -</v>
      </c>
      <c r="M9" s="64" t="str">
        <f t="shared" si="5"/>
        <v>[effect:fix_speed, target:myself, turn:1]</v>
      </c>
      <c r="N9" s="48" t="str">
        <f>IFERROR(LEFT(M9,FIND("],",M9)+S18),M9)</f>
        <v>[effect:fix_speed, target:myself, turn:1]</v>
      </c>
      <c r="O9" s="64">
        <f t="shared" si="6"/>
        <v>9</v>
      </c>
      <c r="P9" s="64">
        <f t="shared" si="7"/>
        <v>18</v>
      </c>
      <c r="Q9" s="64">
        <f t="shared" si="8"/>
        <v>27</v>
      </c>
      <c r="R9" s="64">
        <f t="shared" si="9"/>
        <v>33</v>
      </c>
      <c r="S9" s="64" t="str">
        <f>IFERROR(VLOOKUP(MID(N9,Q9,R9-Q9),[5]skilldef!$C:$D,2,FALSE),"-") &amp; " / " &amp; IFERROR(VLOOKUP(MID(N9,O9,P9-O9),[5]skilldef!$A:$B,2,FALSE),"-")</f>
        <v>自分自身に / 行動値設定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47002009</v>
      </c>
      <c r="B10" s="47" t="s">
        <v>426</v>
      </c>
      <c r="C10" s="50">
        <v>3</v>
      </c>
      <c r="D10" s="50" t="s">
        <v>126</v>
      </c>
      <c r="E10" s="51" t="s">
        <v>474</v>
      </c>
      <c r="F10" s="51" t="s">
        <v>325</v>
      </c>
      <c r="G10" s="64" t="str">
        <f t="shared" si="0"/>
        <v>[effect:enemy_message, val1:1.4, val2:2.4]</v>
      </c>
      <c r="H10" s="64">
        <f t="shared" si="1"/>
        <v>9</v>
      </c>
      <c r="I10" s="64">
        <f t="shared" si="2"/>
        <v>22</v>
      </c>
      <c r="J10" s="64" t="e">
        <f t="shared" si="3"/>
        <v>#VALUE!</v>
      </c>
      <c r="K10" s="64">
        <f t="shared" si="4"/>
        <v>32</v>
      </c>
      <c r="L10" s="64" t="str">
        <f>IFERROR(VLOOKUP(MID(G10,J10,K10-J10),[5]skilldef!$C:$D,2,FALSE),"-") &amp; " / " &amp; IFERROR(VLOOKUP(MID(G10,H10,I10-H10),[5]skilldef!$A:$B,2,FALSE),"-")</f>
        <v>- / -</v>
      </c>
      <c r="M10" s="64" t="str">
        <f t="shared" si="5"/>
        <v>[effect:drop_block,block_type:crack_bomb,color:block_green,val:8,rate:0.3,turn:-1],[effect:suicide, val:1, dead_type:escape, target:myself]</v>
      </c>
      <c r="N10" s="48" t="str">
        <f>IFERROR(LEFT(M10,FIND("],",M10)+S19),M10)</f>
        <v>[effect:drop_block,block_type:crack_bomb,color:block_green,val:8,rate:0.3,turn:-1],[effect:suicide, val:1, dead_type:escape, target:myself]</v>
      </c>
      <c r="O10" s="64">
        <f t="shared" si="6"/>
        <v>9</v>
      </c>
      <c r="P10" s="64">
        <f t="shared" si="7"/>
        <v>19</v>
      </c>
      <c r="Q10" s="64">
        <f t="shared" si="8"/>
        <v>133</v>
      </c>
      <c r="R10" s="64">
        <f t="shared" si="9"/>
        <v>41</v>
      </c>
      <c r="S10" s="64" t="str">
        <f>IFERROR(VLOOKUP(MID(N10,Q10,R10-Q10),[5]skilldef!$C:$D,2,FALSE),"-") &amp; " / " &amp; IFERROR(VLOOKUP(MID(N10,O10,P10-O10),[5]skilldef!$A:$B,2,FALSE),"-")</f>
        <v>- / 特定ブロックの割合ドロップ</v>
      </c>
      <c r="T10" s="48" t="str">
        <f t="shared" si="10"/>
        <v>[effect:suicide, val:1, dead_type:escape, target:myself]</v>
      </c>
      <c r="U10" s="64">
        <f t="shared" si="11"/>
        <v>9</v>
      </c>
      <c r="V10" s="64">
        <f t="shared" si="12"/>
        <v>16</v>
      </c>
      <c r="W10" s="64">
        <f t="shared" si="13"/>
        <v>50</v>
      </c>
      <c r="X10" s="64">
        <f t="shared" si="14"/>
        <v>23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47002010</v>
      </c>
      <c r="B11" s="47" t="s">
        <v>260</v>
      </c>
      <c r="C11" s="50">
        <v>1</v>
      </c>
      <c r="D11" s="50" t="s">
        <v>126</v>
      </c>
      <c r="E11" s="106" t="s">
        <v>269</v>
      </c>
      <c r="F11" s="106" t="s">
        <v>269</v>
      </c>
      <c r="G11" s="64" t="str">
        <f t="shared" si="0"/>
        <v>[effect:nothing]</v>
      </c>
      <c r="H11" s="64">
        <f t="shared" si="1"/>
        <v>9</v>
      </c>
      <c r="I11" s="64">
        <f t="shared" si="2"/>
        <v>16</v>
      </c>
      <c r="J11" s="64" t="e">
        <f t="shared" si="3"/>
        <v>#VALUE!</v>
      </c>
      <c r="K11" s="64" t="e">
        <f t="shared" si="4"/>
        <v>#VALUE!</v>
      </c>
      <c r="L11" s="64" t="str">
        <f>IFERROR(VLOOKUP(MID(G11,J11,K11-J11),[5]skilldef!$C:$D,2,FALSE),"-") &amp; " / " &amp; IFERROR(VLOOKUP(MID(G11,H11,I11-H11),[5]skilldef!$A:$B,2,FALSE),"-")</f>
        <v>- / 何もしない</v>
      </c>
      <c r="M11" s="64" t="str">
        <f t="shared" si="5"/>
        <v>none</v>
      </c>
      <c r="N11" s="48" t="str">
        <f>IFERROR(LEFT(M11,FIND("],",M11)+S23),M11)</f>
        <v>none</v>
      </c>
      <c r="O11" s="64" t="e">
        <f t="shared" si="6"/>
        <v>#VALUE!</v>
      </c>
      <c r="P11" s="64">
        <f t="shared" si="7"/>
        <v>4</v>
      </c>
      <c r="Q11" s="64" t="e">
        <f t="shared" si="8"/>
        <v>#VALUE!</v>
      </c>
      <c r="R11" s="64" t="e">
        <f t="shared" si="9"/>
        <v>#VALUE!</v>
      </c>
      <c r="S11" s="64" t="str">
        <f>IFERROR(VLOOKUP(MID(N11,Q11,R11-Q11),[5]skilldef!$C:$D,2,FALSE),"-") &amp; " / " &amp; IFERROR(VLOOKUP(MID(N11,O11,P11-O11),[5]skilldef!$A:$B,2,FALSE),"-")</f>
        <v>- / -</v>
      </c>
      <c r="T11" s="48" t="str">
        <f t="shared" si="10"/>
        <v>none</v>
      </c>
      <c r="U11" s="64" t="e">
        <f t="shared" si="11"/>
        <v>#VALUE!</v>
      </c>
      <c r="V11" s="64">
        <f t="shared" si="12"/>
        <v>4</v>
      </c>
      <c r="W11" s="64" t="e">
        <f t="shared" si="13"/>
        <v>#VALUE!</v>
      </c>
      <c r="X11" s="64" t="e">
        <f t="shared" si="14"/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47">
        <v>47002011</v>
      </c>
      <c r="B12" s="47" t="s">
        <v>260</v>
      </c>
      <c r="C12" s="50">
        <v>1</v>
      </c>
      <c r="D12" s="50" t="s">
        <v>126</v>
      </c>
      <c r="E12" s="107" t="s">
        <v>269</v>
      </c>
      <c r="F12" s="107" t="s">
        <v>269</v>
      </c>
      <c r="G12" s="64" t="str">
        <f t="shared" si="0"/>
        <v>[effect:nothing]</v>
      </c>
      <c r="H12" s="64">
        <f t="shared" si="1"/>
        <v>9</v>
      </c>
      <c r="I12" s="64">
        <f t="shared" si="2"/>
        <v>16</v>
      </c>
      <c r="J12" s="64" t="e">
        <f t="shared" si="3"/>
        <v>#VALUE!</v>
      </c>
      <c r="K12" s="64" t="e">
        <f t="shared" si="4"/>
        <v>#VALUE!</v>
      </c>
      <c r="L12" s="64" t="str">
        <f>IFERROR(VLOOKUP(MID(G12,J12,K12-J12),[5]skilldef!$C:$D,2,FALSE),"-") &amp; " / " &amp; IFERROR(VLOOKUP(MID(G12,H12,I12-H12),[5]skilldef!$A:$B,2,FALSE),"-")</f>
        <v>- / 何もしない</v>
      </c>
      <c r="M12" s="64" t="str">
        <f t="shared" si="5"/>
        <v>none</v>
      </c>
      <c r="N12" s="48" t="str">
        <f>IFERROR(LEFT(M12,FIND("],",M12)+S24),M12)</f>
        <v>none</v>
      </c>
      <c r="O12" s="64" t="e">
        <f t="shared" si="6"/>
        <v>#VALUE!</v>
      </c>
      <c r="P12" s="64">
        <f t="shared" si="7"/>
        <v>4</v>
      </c>
      <c r="Q12" s="64" t="e">
        <f t="shared" si="8"/>
        <v>#VALUE!</v>
      </c>
      <c r="R12" s="64" t="e">
        <f t="shared" si="9"/>
        <v>#VALUE!</v>
      </c>
      <c r="S12" s="64" t="str">
        <f>IFERROR(VLOOKUP(MID(N12,Q12,R12-Q12),[5]skilldef!$C:$D,2,FALSE),"-") &amp; " / " &amp; IFERROR(VLOOKUP(MID(N12,O12,P12-O12),[5]skilldef!$A:$B,2,FALSE),"-")</f>
        <v>- / -</v>
      </c>
      <c r="T12" s="48" t="str">
        <f t="shared" si="10"/>
        <v>none</v>
      </c>
      <c r="U12" s="64" t="e">
        <f t="shared" si="11"/>
        <v>#VALUE!</v>
      </c>
      <c r="V12" s="64">
        <f t="shared" si="12"/>
        <v>4</v>
      </c>
      <c r="W12" s="64" t="e">
        <f t="shared" si="13"/>
        <v>#VALUE!</v>
      </c>
      <c r="X12" s="64" t="e">
        <f t="shared" si="14"/>
        <v>#VALUE!</v>
      </c>
      <c r="Y12" s="64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47">
        <v>47002012</v>
      </c>
      <c r="B13" s="47" t="s">
        <v>260</v>
      </c>
      <c r="C13" s="50">
        <v>1</v>
      </c>
      <c r="D13" s="50" t="s">
        <v>126</v>
      </c>
      <c r="E13" s="107" t="s">
        <v>269</v>
      </c>
      <c r="F13" s="107" t="s">
        <v>269</v>
      </c>
      <c r="G13" s="64" t="str">
        <f t="shared" si="0"/>
        <v>[effect:nothing]</v>
      </c>
      <c r="H13" s="64">
        <f t="shared" si="1"/>
        <v>9</v>
      </c>
      <c r="I13" s="64">
        <f t="shared" si="2"/>
        <v>16</v>
      </c>
      <c r="J13" s="64" t="e">
        <f t="shared" si="3"/>
        <v>#VALUE!</v>
      </c>
      <c r="K13" s="64" t="e">
        <f t="shared" si="4"/>
        <v>#VALUE!</v>
      </c>
      <c r="L13" s="64" t="str">
        <f>IFERROR(VLOOKUP(MID(G13,J13,K13-J13),[5]skilldef!$C:$D,2,FALSE),"-") &amp; " / " &amp; IFERROR(VLOOKUP(MID(G13,H13,I13-H13),[5]skilldef!$A:$B,2,FALSE),"-")</f>
        <v>- / 何もしない</v>
      </c>
      <c r="M13" s="64" t="str">
        <f t="shared" si="5"/>
        <v>none</v>
      </c>
      <c r="N13" s="48" t="str">
        <f>IFERROR(LEFT(M13,FIND("],",M13)+S25),M13)</f>
        <v>none</v>
      </c>
      <c r="O13" s="64" t="e">
        <f t="shared" si="6"/>
        <v>#VALUE!</v>
      </c>
      <c r="P13" s="64">
        <f t="shared" si="7"/>
        <v>4</v>
      </c>
      <c r="Q13" s="64" t="e">
        <f t="shared" si="8"/>
        <v>#VALUE!</v>
      </c>
      <c r="R13" s="64" t="e">
        <f t="shared" si="9"/>
        <v>#VALUE!</v>
      </c>
      <c r="S13" s="64" t="str">
        <f>IFERROR(VLOOKUP(MID(N13,Q13,R13-Q13),[5]skilldef!$C:$D,2,FALSE),"-") &amp; " / " &amp; IFERROR(VLOOKUP(MID(N13,O13,P13-O13),[5]skilldef!$A:$B,2,FALSE),"-")</f>
        <v>- / -</v>
      </c>
      <c r="T13" s="48" t="str">
        <f t="shared" si="10"/>
        <v>none</v>
      </c>
      <c r="U13" s="64" t="e">
        <f t="shared" si="11"/>
        <v>#VALUE!</v>
      </c>
      <c r="V13" s="64">
        <f t="shared" si="12"/>
        <v>4</v>
      </c>
      <c r="W13" s="64" t="e">
        <f t="shared" si="13"/>
        <v>#VALUE!</v>
      </c>
      <c r="X13" s="64" t="e">
        <f t="shared" si="14"/>
        <v>#VALUE!</v>
      </c>
      <c r="Y13" s="64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47002013</v>
      </c>
      <c r="B14" s="47" t="s">
        <v>311</v>
      </c>
      <c r="C14" s="50">
        <v>3</v>
      </c>
      <c r="D14" s="50" t="s">
        <v>126</v>
      </c>
      <c r="E14" s="51" t="s">
        <v>388</v>
      </c>
      <c r="F14" s="151" t="s">
        <v>328</v>
      </c>
      <c r="G14" s="64" t="str">
        <f t="shared" si="0"/>
        <v>[effect:enemy_message, val1:1.4, val2:0]</v>
      </c>
      <c r="H14" s="64">
        <f t="shared" si="1"/>
        <v>9</v>
      </c>
      <c r="I14" s="64">
        <f t="shared" si="2"/>
        <v>22</v>
      </c>
      <c r="J14" s="64" t="e">
        <f t="shared" si="3"/>
        <v>#VALUE!</v>
      </c>
      <c r="K14" s="64">
        <f t="shared" si="4"/>
        <v>32</v>
      </c>
      <c r="L14" s="64" t="str">
        <f>IFERROR(VLOOKUP(MID(G14,J14,K14-J14),[5]skilldef!$C:$D,2,FALSE),"-") &amp; " / " &amp; IFERROR(VLOOKUP(MID(G14,H14,I14-H14),[5]skilldef!$A:$B,2,FALSE),"-")</f>
        <v>- / -</v>
      </c>
      <c r="M14" s="64" t="str">
        <f t="shared" si="5"/>
        <v>[effect:fix_speed, target:myself, turn:1]</v>
      </c>
      <c r="N14" s="48" t="str">
        <f>IFERROR(LEFT(M14,FIND("],",M14)+S27),M14)</f>
        <v>[effect:fix_speed, target:myself, turn:1]</v>
      </c>
      <c r="O14" s="64">
        <f t="shared" si="6"/>
        <v>9</v>
      </c>
      <c r="P14" s="64">
        <f t="shared" si="7"/>
        <v>18</v>
      </c>
      <c r="Q14" s="64">
        <f t="shared" si="8"/>
        <v>27</v>
      </c>
      <c r="R14" s="64">
        <f t="shared" si="9"/>
        <v>33</v>
      </c>
      <c r="S14" s="64" t="str">
        <f>IFERROR(VLOOKUP(MID(N14,Q14,R14-Q14),[5]skilldef!$C:$D,2,FALSE),"-") &amp; " / " &amp; IFERROR(VLOOKUP(MID(N14,O14,P14-O14),[5]skilldef!$A:$B,2,FALSE),"-")</f>
        <v>自分自身に / 行動値設定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47002014</v>
      </c>
      <c r="B15" s="47" t="s">
        <v>260</v>
      </c>
      <c r="C15" s="50">
        <v>3</v>
      </c>
      <c r="D15" s="50" t="s">
        <v>126</v>
      </c>
      <c r="E15" s="51" t="s">
        <v>344</v>
      </c>
      <c r="F15" s="51" t="s">
        <v>348</v>
      </c>
      <c r="G15" s="64" t="str">
        <f t="shared" si="0"/>
        <v>[effect:nothing]</v>
      </c>
      <c r="H15" s="64">
        <f t="shared" si="1"/>
        <v>9</v>
      </c>
      <c r="I15" s="64">
        <f t="shared" si="2"/>
        <v>16</v>
      </c>
      <c r="J15" s="64" t="e">
        <f t="shared" si="3"/>
        <v>#VALUE!</v>
      </c>
      <c r="K15" s="64" t="e">
        <f t="shared" si="4"/>
        <v>#VALUE!</v>
      </c>
      <c r="L15" s="64" t="str">
        <f>IFERROR(VLOOKUP(MID(G15,J15,K15-J15),[5]skilldef!$C:$D,2,FALSE),"-") &amp; " / " &amp; IFERROR(VLOOKUP(MID(G15,H15,I15-H15),[5]skilldef!$A:$B,2,FALSE),"-")</f>
        <v>- / 何もしない</v>
      </c>
      <c r="M15" s="64" t="str">
        <f t="shared" si="5"/>
        <v>none</v>
      </c>
      <c r="N15" s="48" t="str">
        <f>IFERROR(LEFT(M15,FIND("],",M15)+#REF!),M15)</f>
        <v>none</v>
      </c>
      <c r="O15" s="64" t="e">
        <f t="shared" si="6"/>
        <v>#VALUE!</v>
      </c>
      <c r="P15" s="64">
        <f t="shared" si="7"/>
        <v>4</v>
      </c>
      <c r="Q15" s="64" t="e">
        <f t="shared" si="8"/>
        <v>#VALUE!</v>
      </c>
      <c r="R15" s="64" t="e">
        <f t="shared" si="9"/>
        <v>#VALUE!</v>
      </c>
      <c r="S15" s="64" t="str">
        <f>IFERROR(VLOOKUP(MID(N15,Q15,R15-Q15),[5]skilldef!$C:$D,2,FALSE),"-") &amp; " / " &amp; IFERROR(VLOOKUP(MID(N15,O15,P15-O15),[5]skilldef!$A:$B,2,FALSE),"-")</f>
        <v>- / -</v>
      </c>
      <c r="T15" s="48" t="str">
        <f t="shared" si="10"/>
        <v>none</v>
      </c>
      <c r="U15" s="64" t="e">
        <f t="shared" si="11"/>
        <v>#VALUE!</v>
      </c>
      <c r="V15" s="64">
        <f t="shared" si="12"/>
        <v>4</v>
      </c>
      <c r="W15" s="64" t="e">
        <f t="shared" si="13"/>
        <v>#VALUE!</v>
      </c>
      <c r="X15" s="64" t="e">
        <f t="shared" si="14"/>
        <v>#VALUE!</v>
      </c>
      <c r="Y15" s="64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47">
        <v>47002015</v>
      </c>
      <c r="B16" s="47" t="s">
        <v>260</v>
      </c>
      <c r="C16" s="50">
        <v>3</v>
      </c>
      <c r="D16" s="50" t="s">
        <v>126</v>
      </c>
      <c r="E16" s="51" t="s">
        <v>345</v>
      </c>
      <c r="F16" s="51" t="s">
        <v>346</v>
      </c>
      <c r="G16" s="64" t="str">
        <f t="shared" si="0"/>
        <v>[effect:nothing]</v>
      </c>
      <c r="H16" s="64">
        <f t="shared" si="1"/>
        <v>9</v>
      </c>
      <c r="I16" s="64">
        <f t="shared" si="2"/>
        <v>16</v>
      </c>
      <c r="J16" s="64" t="e">
        <f t="shared" si="3"/>
        <v>#VALUE!</v>
      </c>
      <c r="K16" s="64" t="e">
        <f t="shared" si="4"/>
        <v>#VALUE!</v>
      </c>
      <c r="L16" s="64" t="str">
        <f>IFERROR(VLOOKUP(MID(G16,J16,K16-J16),[5]skilldef!$C:$D,2,FALSE),"-") &amp; " / " &amp; IFERROR(VLOOKUP(MID(G16,H16,I16-H16),[5]skilldef!$A:$B,2,FALSE),"-")</f>
        <v>- / 何もしない</v>
      </c>
      <c r="M16" s="64" t="str">
        <f t="shared" si="5"/>
        <v>none</v>
      </c>
      <c r="N16" s="48" t="str">
        <f>IFERROR(LEFT(M16,FIND("],",M16)+S28),M16)</f>
        <v>none</v>
      </c>
      <c r="O16" s="64" t="e">
        <f t="shared" si="6"/>
        <v>#VALUE!</v>
      </c>
      <c r="P16" s="64">
        <f t="shared" si="7"/>
        <v>4</v>
      </c>
      <c r="Q16" s="64" t="e">
        <f t="shared" si="8"/>
        <v>#VALUE!</v>
      </c>
      <c r="R16" s="64" t="e">
        <f t="shared" si="9"/>
        <v>#VALUE!</v>
      </c>
      <c r="S16" s="64" t="str">
        <f>IFERROR(VLOOKUP(MID(N16,Q16,R16-Q16),[5]skilldef!$C:$D,2,FALSE),"-") &amp; " / " &amp; IFERROR(VLOOKUP(MID(N16,O16,P16-O16),[5]skilldef!$A:$B,2,FALSE),"-")</f>
        <v>- / -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47">
        <v>47002016</v>
      </c>
      <c r="B17" s="47" t="s">
        <v>263</v>
      </c>
      <c r="C17" s="50">
        <v>3</v>
      </c>
      <c r="D17" s="50" t="s">
        <v>126</v>
      </c>
      <c r="E17" s="51" t="s">
        <v>349</v>
      </c>
      <c r="F17" s="51" t="s">
        <v>324</v>
      </c>
      <c r="G17" s="64" t="str">
        <f t="shared" si="0"/>
        <v>[effect:spread, val:0.5]</v>
      </c>
      <c r="H17" s="64">
        <f t="shared" si="1"/>
        <v>9</v>
      </c>
      <c r="I17" s="64">
        <f t="shared" si="2"/>
        <v>15</v>
      </c>
      <c r="J17" s="64" t="e">
        <f t="shared" si="3"/>
        <v>#VALUE!</v>
      </c>
      <c r="K17" s="64" t="e">
        <f t="shared" si="4"/>
        <v>#VALUE!</v>
      </c>
      <c r="L17" s="64" t="str">
        <f>IFERROR(VLOOKUP(MID(G17,J17,K17-J17),[5]skilldef!$C:$D,2,FALSE),"-") &amp; " / " &amp; IFERROR(VLOOKUP(MID(G17,H17,I17-H17),[5]skilldef!$A:$B,2,FALSE),"-")</f>
        <v>- / 全体攻撃</v>
      </c>
      <c r="M17" s="64" t="str">
        <f t="shared" si="5"/>
        <v>[effect:suicide, val:0.1, dead_type:suicide, target:myself, animation:enemy_suicide]</v>
      </c>
      <c r="N17" s="48" t="str">
        <f>IFERROR(LEFT(M17,FIND("],",M17)+S29),M17)</f>
        <v>[effect:suicide, val:0.1, dead_type:suicide, target:myself, animation:enemy_suicide]</v>
      </c>
      <c r="O17" s="64">
        <f t="shared" si="6"/>
        <v>9</v>
      </c>
      <c r="P17" s="64">
        <f t="shared" si="7"/>
        <v>16</v>
      </c>
      <c r="Q17" s="64">
        <f t="shared" si="8"/>
        <v>53</v>
      </c>
      <c r="R17" s="64">
        <f t="shared" si="9"/>
        <v>25</v>
      </c>
      <c r="S17" s="64" t="str">
        <f>IFERROR(VLOOKUP(MID(N17,Q17,R17-Q17),[5]skilldef!$C:$D,2,FALSE),"-") &amp; " / " &amp; IFERROR(VLOOKUP(MID(N17,O17,P17-O17),[5]skilldef!$A:$B,2,FALSE),"-")</f>
        <v>- / -</v>
      </c>
      <c r="T17" s="48" t="str">
        <f t="shared" si="10"/>
        <v>none</v>
      </c>
      <c r="U17" s="64" t="e">
        <f t="shared" si="11"/>
        <v>#VALUE!</v>
      </c>
      <c r="V17" s="64">
        <f t="shared" si="12"/>
        <v>4</v>
      </c>
      <c r="W17" s="64" t="e">
        <f t="shared" si="13"/>
        <v>#VALUE!</v>
      </c>
      <c r="X17" s="64" t="e">
        <f t="shared" si="14"/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47">
        <v>47002017</v>
      </c>
      <c r="B18" s="47" t="s">
        <v>336</v>
      </c>
      <c r="C18" s="50">
        <v>3</v>
      </c>
      <c r="D18" s="50" t="s">
        <v>126</v>
      </c>
      <c r="E18" s="51" t="s">
        <v>347</v>
      </c>
      <c r="F18" s="51" t="s">
        <v>262</v>
      </c>
      <c r="G18" s="64" t="str">
        <f t="shared" si="0"/>
        <v>[effect:damage_anti_color, target:unit_all, color:red, val1:0.7, val2:0.35]</v>
      </c>
      <c r="H18" s="64">
        <f t="shared" si="1"/>
        <v>9</v>
      </c>
      <c r="I18" s="64">
        <f t="shared" si="2"/>
        <v>26</v>
      </c>
      <c r="J18" s="64">
        <f t="shared" si="3"/>
        <v>35</v>
      </c>
      <c r="K18" s="64">
        <f t="shared" si="4"/>
        <v>43</v>
      </c>
      <c r="L18" s="64" t="str">
        <f>IFERROR(VLOOKUP(MID(G18,J18,K18-J18),[5]skilldef!$C:$D,2,FALSE),"-") &amp; " / " &amp; IFERROR(VLOOKUP(MID(G18,H18,I18-H18),[5]skilldef!$A:$B,2,FALSE),"-")</f>
        <v>味方全体に / 属性キラー</v>
      </c>
      <c r="M18" s="64" t="str">
        <f t="shared" si="5"/>
        <v>none</v>
      </c>
      <c r="N18" s="48" t="str">
        <f>IFERROR(LEFT(M18,FIND("],",M18)+S30),M18)</f>
        <v>none</v>
      </c>
      <c r="O18" s="64" t="e">
        <f t="shared" si="6"/>
        <v>#VALUE!</v>
      </c>
      <c r="P18" s="64">
        <f t="shared" si="7"/>
        <v>4</v>
      </c>
      <c r="Q18" s="64" t="e">
        <f t="shared" si="8"/>
        <v>#VALUE!</v>
      </c>
      <c r="R18" s="64" t="e">
        <f t="shared" si="9"/>
        <v>#VALUE!</v>
      </c>
      <c r="S18" s="64" t="str">
        <f>IFERROR(VLOOKUP(MID(N18,Q18,R18-Q18),[5]skilldef!$C:$D,2,FALSE),"-") &amp; " / " &amp; IFERROR(VLOOKUP(MID(N18,O18,P18-O18),[5]skilldef!$A:$B,2,FALSE),"-")</f>
        <v>- / -</v>
      </c>
      <c r="T18" s="48" t="str">
        <f t="shared" si="10"/>
        <v>none</v>
      </c>
      <c r="U18" s="64" t="e">
        <f t="shared" si="11"/>
        <v>#VALUE!</v>
      </c>
      <c r="V18" s="64">
        <f t="shared" si="12"/>
        <v>4</v>
      </c>
      <c r="W18" s="64" t="e">
        <f t="shared" si="13"/>
        <v>#VALUE!</v>
      </c>
      <c r="X18" s="64" t="e">
        <f t="shared" si="14"/>
        <v>#VALUE!</v>
      </c>
      <c r="Y18" s="64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47">
        <v>47002018</v>
      </c>
      <c r="B19" s="47" t="s">
        <v>264</v>
      </c>
      <c r="C19" s="50">
        <v>3</v>
      </c>
      <c r="D19" s="50" t="s">
        <v>126</v>
      </c>
      <c r="E19" s="51" t="s">
        <v>355</v>
      </c>
      <c r="F19" s="51" t="s">
        <v>323</v>
      </c>
      <c r="G19" s="64" t="str">
        <f t="shared" si="0"/>
        <v>[effect:heal, target:myself, val:0.1, animation:enemy_heal]</v>
      </c>
      <c r="H19" s="64">
        <f t="shared" si="1"/>
        <v>9</v>
      </c>
      <c r="I19" s="64">
        <f t="shared" si="2"/>
        <v>13</v>
      </c>
      <c r="J19" s="64">
        <f t="shared" si="3"/>
        <v>22</v>
      </c>
      <c r="K19" s="64">
        <f t="shared" si="4"/>
        <v>28</v>
      </c>
      <c r="L19" s="64" t="str">
        <f>IFERROR(VLOOKUP(MID(G19,J19,K19-J19),[5]skilldef!$C:$D,2,FALSE),"-") &amp; " / " &amp; IFERROR(VLOOKUP(MID(G19,H19,I19-H19),[5]skilldef!$A:$B,2,FALSE),"-")</f>
        <v>自分自身に / 回復</v>
      </c>
      <c r="M19" s="64" t="str">
        <f t="shared" si="5"/>
        <v>[effect:critical, val:1.5]</v>
      </c>
      <c r="N19" s="48" t="str">
        <f>IFERROR(LEFT(M19,FIND("],",M19)+S31),M19)</f>
        <v>[effect:critical, val:1.5]</v>
      </c>
      <c r="O19" s="64">
        <f t="shared" si="6"/>
        <v>9</v>
      </c>
      <c r="P19" s="64">
        <f t="shared" si="7"/>
        <v>17</v>
      </c>
      <c r="Q19" s="64" t="e">
        <f t="shared" si="8"/>
        <v>#VALUE!</v>
      </c>
      <c r="R19" s="64" t="e">
        <f t="shared" si="9"/>
        <v>#VALUE!</v>
      </c>
      <c r="S19" s="64" t="str">
        <f>IFERROR(VLOOKUP(MID(N19,Q19,R19-Q19),[5]skilldef!$C:$D,2,FALSE),"-") &amp; " / " &amp; IFERROR(VLOOKUP(MID(N19,O19,P19-O19),[5]skilldef!$A:$B,2,FALSE),"-")</f>
        <v>- / 大攻撃</v>
      </c>
      <c r="T19" s="48" t="str">
        <f t="shared" si="10"/>
        <v>none</v>
      </c>
      <c r="U19" s="64" t="e">
        <f t="shared" si="11"/>
        <v>#VALUE!</v>
      </c>
      <c r="V19" s="64">
        <f t="shared" si="12"/>
        <v>4</v>
      </c>
      <c r="W19" s="64" t="e">
        <f t="shared" si="13"/>
        <v>#VALUE!</v>
      </c>
      <c r="X19" s="64" t="e">
        <f t="shared" si="14"/>
        <v>#VALUE!</v>
      </c>
      <c r="Y19" s="64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47002019</v>
      </c>
      <c r="B20" s="47" t="s">
        <v>260</v>
      </c>
      <c r="C20" s="50">
        <v>1</v>
      </c>
      <c r="D20" s="50" t="s">
        <v>126</v>
      </c>
      <c r="E20" s="106" t="s">
        <v>269</v>
      </c>
      <c r="F20" s="106" t="s">
        <v>269</v>
      </c>
      <c r="G20" s="64" t="str">
        <f t="shared" ref="G20" si="27">IFERROR(LEFT(B20,FIND("],",B20)),B20)</f>
        <v>[effect:nothing]</v>
      </c>
      <c r="H20" s="64">
        <f t="shared" si="1"/>
        <v>9</v>
      </c>
      <c r="I20" s="64">
        <f t="shared" ref="I20" si="28">IFERROR(FIND(",",G20),LEN(G20))</f>
        <v>16</v>
      </c>
      <c r="J20" s="64" t="e">
        <f t="shared" ref="J20" si="29">FIND("target:",G20)+7</f>
        <v>#VALUE!</v>
      </c>
      <c r="K20" s="64" t="e">
        <f t="shared" ref="K20" si="30">FIND(",",G20,I20+1)</f>
        <v>#VALUE!</v>
      </c>
      <c r="L20" s="64" t="str">
        <f>IFERROR(VLOOKUP(MID(G20,J20,K20-J20),[5]skilldef!$C:$D,2,FALSE),"-") &amp; " / " &amp; IFERROR(VLOOKUP(MID(G20,H20,I20-H20),[5]skilldef!$A:$B,2,FALSE),"-")</f>
        <v>- / 何もしない</v>
      </c>
      <c r="M20" s="64" t="str">
        <f t="shared" ref="M20" si="31">IFERROR(RIGHT(B20,LEN(B20)-FIND("],",B20)-1),"none")</f>
        <v>none</v>
      </c>
      <c r="N20" s="48" t="str">
        <f>IFERROR(LEFT(M20,FIND("],",M20)+S30),M20)</f>
        <v>none</v>
      </c>
      <c r="O20" s="64" t="e">
        <f t="shared" si="6"/>
        <v>#VALUE!</v>
      </c>
      <c r="P20" s="64">
        <f t="shared" ref="P20" si="32">IFERROR(FIND(",",N20),LEN(N20))</f>
        <v>4</v>
      </c>
      <c r="Q20" s="64" t="e">
        <f t="shared" ref="Q20" si="33">FIND("target:",N20)+7</f>
        <v>#VALUE!</v>
      </c>
      <c r="R20" s="64" t="e">
        <f t="shared" ref="R20" si="34">FIND(",",N20,P20+1)</f>
        <v>#VALUE!</v>
      </c>
      <c r="S20" s="64" t="str">
        <f>IFERROR(VLOOKUP(MID(N20,Q20,R20-Q20),[5]skilldef!$C:$D,2,FALSE),"-") &amp; " / " &amp; IFERROR(VLOOKUP(MID(N20,O20,P20-O20),[5]skilldef!$A:$B,2,FALSE),"-")</f>
        <v>- / -</v>
      </c>
      <c r="T20" s="48" t="str">
        <f t="shared" ref="T20" si="35">IFERROR(RIGHT(M20,LEN(M20)-FIND("],",M20)-1),"none")</f>
        <v>none</v>
      </c>
      <c r="U20" s="64" t="e">
        <f t="shared" si="11"/>
        <v>#VALUE!</v>
      </c>
      <c r="V20" s="64">
        <f t="shared" ref="V20" si="36">IFERROR(FIND(",",T20),LEN(T20))</f>
        <v>4</v>
      </c>
      <c r="W20" s="64" t="e">
        <f t="shared" ref="W20" si="37">FIND("target:",T20)+7</f>
        <v>#VALUE!</v>
      </c>
      <c r="X20" s="64" t="e">
        <f t="shared" ref="X20" si="38">FIND(",",T20,V20+1)</f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47002020</v>
      </c>
      <c r="B21" s="47" t="s">
        <v>260</v>
      </c>
      <c r="C21" s="50">
        <v>1</v>
      </c>
      <c r="D21" s="50" t="s">
        <v>126</v>
      </c>
      <c r="E21" s="107" t="s">
        <v>269</v>
      </c>
      <c r="F21" s="107" t="s">
        <v>269</v>
      </c>
      <c r="G21" s="64" t="str">
        <f t="shared" si="0"/>
        <v>[effect:nothing]</v>
      </c>
      <c r="H21" s="64">
        <f t="shared" si="1"/>
        <v>9</v>
      </c>
      <c r="I21" s="64">
        <f t="shared" si="2"/>
        <v>16</v>
      </c>
      <c r="J21" s="64" t="e">
        <f t="shared" si="3"/>
        <v>#VALUE!</v>
      </c>
      <c r="K21" s="64" t="e">
        <f t="shared" si="4"/>
        <v>#VALUE!</v>
      </c>
      <c r="L21" s="64" t="str">
        <f>IFERROR(VLOOKUP(MID(G21,J21,K21-J21),[5]skilldef!$C:$D,2,FALSE),"-") &amp; " / " &amp; IFERROR(VLOOKUP(MID(G21,H21,I21-H21),[5]skilldef!$A:$B,2,FALSE),"-")</f>
        <v>- / 何もしない</v>
      </c>
      <c r="M21" s="64" t="str">
        <f t="shared" si="5"/>
        <v>none</v>
      </c>
      <c r="N21" s="48" t="str">
        <f>IFERROR(LEFT(M21,FIND("],",M21)+S31),M21)</f>
        <v>none</v>
      </c>
      <c r="O21" s="64" t="e">
        <f t="shared" si="6"/>
        <v>#VALUE!</v>
      </c>
      <c r="P21" s="64">
        <f t="shared" si="7"/>
        <v>4</v>
      </c>
      <c r="Q21" s="64" t="e">
        <f t="shared" si="8"/>
        <v>#VALUE!</v>
      </c>
      <c r="R21" s="64" t="e">
        <f t="shared" si="9"/>
        <v>#VALUE!</v>
      </c>
      <c r="S21" s="64" t="str">
        <f>IFERROR(VLOOKUP(MID(N21,Q21,R21-Q21),[5]skilldef!$C:$D,2,FALSE),"-") &amp; " / " &amp; IFERROR(VLOOKUP(MID(N21,O21,P21-O21),[5]skilldef!$A:$B,2,FALSE),"-")</f>
        <v>- / -</v>
      </c>
      <c r="T21" s="48" t="str">
        <f t="shared" si="10"/>
        <v>none</v>
      </c>
      <c r="U21" s="64" t="e">
        <f t="shared" si="11"/>
        <v>#VALUE!</v>
      </c>
      <c r="V21" s="64">
        <f t="shared" si="12"/>
        <v>4</v>
      </c>
      <c r="W21" s="64" t="e">
        <f t="shared" si="13"/>
        <v>#VALUE!</v>
      </c>
      <c r="X21" s="64" t="e">
        <f t="shared" si="14"/>
        <v>#VALUE!</v>
      </c>
      <c r="Y21" s="64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47">
        <v>47002021</v>
      </c>
      <c r="B22" s="47" t="s">
        <v>260</v>
      </c>
      <c r="C22" s="50">
        <v>1</v>
      </c>
      <c r="D22" s="50" t="s">
        <v>126</v>
      </c>
      <c r="E22" s="107" t="s">
        <v>269</v>
      </c>
      <c r="F22" s="107" t="s">
        <v>269</v>
      </c>
      <c r="G22" s="64" t="str">
        <f t="shared" ref="G22" si="39">IFERROR(LEFT(B22,FIND("],",B22)),B22)</f>
        <v>[effect:nothing]</v>
      </c>
      <c r="H22" s="64">
        <f t="shared" si="1"/>
        <v>9</v>
      </c>
      <c r="I22" s="64">
        <f t="shared" ref="I22" si="40">IFERROR(FIND(",",G22),LEN(G22))</f>
        <v>16</v>
      </c>
      <c r="J22" s="64" t="e">
        <f t="shared" ref="J22" si="41">FIND("target:",G22)+7</f>
        <v>#VALUE!</v>
      </c>
      <c r="K22" s="64" t="e">
        <f t="shared" ref="K22" si="42">FIND(",",G22,I22+1)</f>
        <v>#VALUE!</v>
      </c>
      <c r="L22" s="64" t="str">
        <f>IFERROR(VLOOKUP(MID(G22,J22,K22-J22),[5]skilldef!$C:$D,2,FALSE),"-") &amp; " / " &amp; IFERROR(VLOOKUP(MID(G22,H22,I22-H22),[5]skilldef!$A:$B,2,FALSE),"-")</f>
        <v>- / 何もしない</v>
      </c>
      <c r="M22" s="64" t="str">
        <f t="shared" ref="M22" si="43">IFERROR(RIGHT(B22,LEN(B22)-FIND("],",B22)-1),"none")</f>
        <v>none</v>
      </c>
      <c r="N22" s="48" t="str">
        <f>IFERROR(LEFT(M22,FIND("],",M22)+S33),M22)</f>
        <v>none</v>
      </c>
      <c r="O22" s="64" t="e">
        <f t="shared" si="6"/>
        <v>#VALUE!</v>
      </c>
      <c r="P22" s="64">
        <f t="shared" ref="P22" si="44">IFERROR(FIND(",",N22),LEN(N22))</f>
        <v>4</v>
      </c>
      <c r="Q22" s="64" t="e">
        <f t="shared" ref="Q22" si="45">FIND("target:",N22)+7</f>
        <v>#VALUE!</v>
      </c>
      <c r="R22" s="64" t="e">
        <f t="shared" ref="R22" si="46">FIND(",",N22,P22+1)</f>
        <v>#VALUE!</v>
      </c>
      <c r="S22" s="64" t="str">
        <f>IFERROR(VLOOKUP(MID(N22,Q22,R22-Q22),[5]skilldef!$C:$D,2,FALSE),"-") &amp; " / " &amp; IFERROR(VLOOKUP(MID(N22,O22,P22-O22),[5]skilldef!$A:$B,2,FALSE),"-")</f>
        <v>- / -</v>
      </c>
      <c r="T22" s="48" t="str">
        <f t="shared" ref="T22" si="47">IFERROR(RIGHT(M22,LEN(M22)-FIND("],",M22)-1),"none")</f>
        <v>none</v>
      </c>
      <c r="U22" s="64" t="e">
        <f t="shared" si="11"/>
        <v>#VALUE!</v>
      </c>
      <c r="V22" s="64">
        <f t="shared" ref="V22" si="48">IFERROR(FIND(",",T22),LEN(T22))</f>
        <v>4</v>
      </c>
      <c r="W22" s="64" t="e">
        <f t="shared" ref="W22" si="49">FIND("target:",T22)+7</f>
        <v>#VALUE!</v>
      </c>
      <c r="X22" s="64" t="e">
        <f t="shared" ref="X22" si="50">FIND(",",T22,V22+1)</f>
        <v>#VALUE!</v>
      </c>
      <c r="Y22" s="64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47002022</v>
      </c>
      <c r="B23" s="47" t="s">
        <v>350</v>
      </c>
      <c r="C23" s="50">
        <v>3</v>
      </c>
      <c r="D23" s="50" t="s">
        <v>126</v>
      </c>
      <c r="E23" s="51" t="s">
        <v>330</v>
      </c>
      <c r="F23" s="151" t="s">
        <v>328</v>
      </c>
      <c r="G23" s="64" t="str">
        <f t="shared" si="0"/>
        <v>[effect:enemy_message, val1:1.2, val2:0]</v>
      </c>
      <c r="H23" s="64">
        <f t="shared" si="1"/>
        <v>9</v>
      </c>
      <c r="I23" s="64">
        <f t="shared" si="2"/>
        <v>22</v>
      </c>
      <c r="J23" s="64" t="e">
        <f t="shared" si="3"/>
        <v>#VALUE!</v>
      </c>
      <c r="K23" s="64">
        <f t="shared" si="4"/>
        <v>32</v>
      </c>
      <c r="L23" s="64" t="str">
        <f>IFERROR(VLOOKUP(MID(G23,J23,K23-J23),[5]skilldef!$C:$D,2,FALSE),"-") &amp; " / " &amp; IFERROR(VLOOKUP(MID(G23,H23,I23-H23),[5]skilldef!$A:$B,2,FALSE),"-")</f>
        <v>- / -</v>
      </c>
      <c r="M23" s="64" t="str">
        <f t="shared" si="5"/>
        <v>[effect:fix_speed, target:myself, turn:1]</v>
      </c>
      <c r="N23" s="48" t="str">
        <f>IFERROR(LEFT(M23,FIND("],",M23)+S33),M23)</f>
        <v>[effect:fix_speed, target:myself, turn:1]</v>
      </c>
      <c r="O23" s="64">
        <f t="shared" si="6"/>
        <v>9</v>
      </c>
      <c r="P23" s="64">
        <f t="shared" si="7"/>
        <v>18</v>
      </c>
      <c r="Q23" s="64">
        <f t="shared" si="8"/>
        <v>27</v>
      </c>
      <c r="R23" s="64">
        <f t="shared" si="9"/>
        <v>33</v>
      </c>
      <c r="S23" s="64" t="str">
        <f>IFERROR(VLOOKUP(MID(N23,Q23,R23-Q23),[5]skilldef!$C:$D,2,FALSE),"-") &amp; " / " &amp; IFERROR(VLOOKUP(MID(N23,O23,P23-O23),[5]skilldef!$A:$B,2,FALSE),"-")</f>
        <v>自分自身に / 行動値設定</v>
      </c>
      <c r="T23" s="48" t="str">
        <f t="shared" si="10"/>
        <v>none</v>
      </c>
      <c r="U23" s="64" t="e">
        <f t="shared" si="11"/>
        <v>#VALUE!</v>
      </c>
      <c r="V23" s="64">
        <f t="shared" si="12"/>
        <v>4</v>
      </c>
      <c r="W23" s="64" t="e">
        <f t="shared" si="13"/>
        <v>#VALUE!</v>
      </c>
      <c r="X23" s="64" t="e">
        <f t="shared" si="14"/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47">
        <v>47002023</v>
      </c>
      <c r="B24" s="47" t="s">
        <v>365</v>
      </c>
      <c r="C24" s="50">
        <v>3</v>
      </c>
      <c r="D24" s="50" t="s">
        <v>126</v>
      </c>
      <c r="E24" s="51" t="s">
        <v>464</v>
      </c>
      <c r="F24" s="51" t="s">
        <v>467</v>
      </c>
      <c r="G24" s="64" t="str">
        <f t="shared" si="0"/>
        <v>[effect:enemy_message, val1:1.2, val2:2.4]</v>
      </c>
      <c r="H24" s="64">
        <f t="shared" si="1"/>
        <v>9</v>
      </c>
      <c r="I24" s="64">
        <f t="shared" si="2"/>
        <v>22</v>
      </c>
      <c r="J24" s="64" t="e">
        <f t="shared" si="3"/>
        <v>#VALUE!</v>
      </c>
      <c r="K24" s="64">
        <f t="shared" si="4"/>
        <v>32</v>
      </c>
      <c r="L24" s="64" t="str">
        <f>IFERROR(VLOOKUP(MID(G24,J24,K24-J24),[5]skilldef!$C:$D,2,FALSE),"-") &amp; " / " &amp; IFERROR(VLOOKUP(MID(G24,H24,I24-H24),[5]skilldef!$A:$B,2,FALSE),"-")</f>
        <v>- / -</v>
      </c>
      <c r="M24" s="64" t="str">
        <f t="shared" si="5"/>
        <v>[effect:regenerate, turn:-1, target:unit_all, val:0.05, type:hp_ratio, animation:heal01_unit01],[effect:suicide, val:1, dead_type:escape, target:myself]</v>
      </c>
      <c r="N24" s="48" t="str">
        <f>IFERROR(LEFT(M24,FIND("],",M24)+S34),M24)</f>
        <v>[effect:regenerate, turn:-1, target:unit_all, val:0.05, type:hp_ratio, animation:heal01_unit01],[effect:suicide, val:1, dead_type:escape, target:myself]</v>
      </c>
      <c r="O24" s="64">
        <f t="shared" si="6"/>
        <v>9</v>
      </c>
      <c r="P24" s="64">
        <f t="shared" si="7"/>
        <v>19</v>
      </c>
      <c r="Q24" s="64">
        <f t="shared" si="8"/>
        <v>37</v>
      </c>
      <c r="R24" s="64">
        <f t="shared" si="9"/>
        <v>28</v>
      </c>
      <c r="S24" s="64" t="str">
        <f>IFERROR(VLOOKUP(MID(N24,Q24,R24-Q24),[5]skilldef!$C:$D,2,FALSE),"-") &amp; " / " &amp; IFERROR(VLOOKUP(MID(N24,O24,P24-O24),[5]skilldef!$A:$B,2,FALSE),"-")</f>
        <v>- / -</v>
      </c>
      <c r="T24" s="48" t="str">
        <f t="shared" si="10"/>
        <v>[effect:suicide, val:1, dead_type:escape, target:myself]</v>
      </c>
      <c r="U24" s="64">
        <f t="shared" si="11"/>
        <v>9</v>
      </c>
      <c r="V24" s="64">
        <f t="shared" si="12"/>
        <v>16</v>
      </c>
      <c r="W24" s="64">
        <f t="shared" si="13"/>
        <v>50</v>
      </c>
      <c r="X24" s="64">
        <f t="shared" si="14"/>
        <v>23</v>
      </c>
      <c r="Y24" s="64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47">
        <v>47002024</v>
      </c>
      <c r="B25" s="47" t="s">
        <v>260</v>
      </c>
      <c r="C25" s="50">
        <v>1</v>
      </c>
      <c r="D25" s="50" t="s">
        <v>126</v>
      </c>
      <c r="E25" s="106" t="s">
        <v>269</v>
      </c>
      <c r="F25" s="106" t="s">
        <v>269</v>
      </c>
      <c r="G25" s="64" t="str">
        <f t="shared" si="0"/>
        <v>[effect:nothing]</v>
      </c>
      <c r="H25" s="64">
        <f t="shared" si="1"/>
        <v>9</v>
      </c>
      <c r="I25" s="64">
        <f t="shared" si="2"/>
        <v>16</v>
      </c>
      <c r="J25" s="64" t="e">
        <f t="shared" si="3"/>
        <v>#VALUE!</v>
      </c>
      <c r="K25" s="64" t="e">
        <f t="shared" si="4"/>
        <v>#VALUE!</v>
      </c>
      <c r="L25" s="64" t="str">
        <f>IFERROR(VLOOKUP(MID(G25,J25,K25-J25),[5]skilldef!$C:$D,2,FALSE),"-") &amp; " / " &amp; IFERROR(VLOOKUP(MID(G25,H25,I25-H25),[5]skilldef!$A:$B,2,FALSE),"-")</f>
        <v>- / 何もしない</v>
      </c>
      <c r="M25" s="64" t="str">
        <f t="shared" si="5"/>
        <v>none</v>
      </c>
      <c r="N25" s="48" t="str">
        <f>IFERROR(LEFT(M25,FIND("],",M25)+S35),M25)</f>
        <v>none</v>
      </c>
      <c r="O25" s="64" t="e">
        <f t="shared" si="6"/>
        <v>#VALUE!</v>
      </c>
      <c r="P25" s="64">
        <f t="shared" si="7"/>
        <v>4</v>
      </c>
      <c r="Q25" s="64" t="e">
        <f t="shared" si="8"/>
        <v>#VALUE!</v>
      </c>
      <c r="R25" s="64" t="e">
        <f t="shared" si="9"/>
        <v>#VALUE!</v>
      </c>
      <c r="S25" s="64" t="str">
        <f>IFERROR(VLOOKUP(MID(N25,Q25,R25-Q25),[5]skilldef!$C:$D,2,FALSE),"-") &amp; " / " &amp; IFERROR(VLOOKUP(MID(N25,O25,P25-O25),[5]skilldef!$A:$B,2,FALSE),"-")</f>
        <v>- / -</v>
      </c>
      <c r="T25" s="48" t="str">
        <f t="shared" si="10"/>
        <v>none</v>
      </c>
      <c r="U25" s="64" t="e">
        <f t="shared" si="11"/>
        <v>#VALUE!</v>
      </c>
      <c r="V25" s="64">
        <f t="shared" si="12"/>
        <v>4</v>
      </c>
      <c r="W25" s="64" t="e">
        <f t="shared" si="13"/>
        <v>#VALUE!</v>
      </c>
      <c r="X25" s="64" t="e">
        <f t="shared" si="14"/>
        <v>#VALUE!</v>
      </c>
      <c r="Y25" s="64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47">
        <v>47002025</v>
      </c>
      <c r="B26" s="47" t="s">
        <v>260</v>
      </c>
      <c r="C26" s="50">
        <v>1</v>
      </c>
      <c r="D26" s="50" t="s">
        <v>126</v>
      </c>
      <c r="E26" s="107" t="s">
        <v>269</v>
      </c>
      <c r="F26" s="107" t="s">
        <v>269</v>
      </c>
      <c r="G26" s="64" t="str">
        <f t="shared" si="0"/>
        <v>[effect:nothing]</v>
      </c>
      <c r="H26" s="64">
        <f t="shared" si="1"/>
        <v>9</v>
      </c>
      <c r="I26" s="64">
        <f t="shared" si="2"/>
        <v>16</v>
      </c>
      <c r="J26" s="64" t="e">
        <f t="shared" si="3"/>
        <v>#VALUE!</v>
      </c>
      <c r="K26" s="64" t="e">
        <f t="shared" si="4"/>
        <v>#VALUE!</v>
      </c>
      <c r="L26" s="64" t="str">
        <f>IFERROR(VLOOKUP(MID(G26,J26,K26-J26),[5]skilldef!$C:$D,2,FALSE),"-") &amp; " / " &amp; IFERROR(VLOOKUP(MID(G26,H26,I26-H26),[5]skilldef!$A:$B,2,FALSE),"-")</f>
        <v>- / 何もしない</v>
      </c>
      <c r="M26" s="64" t="str">
        <f t="shared" si="5"/>
        <v>none</v>
      </c>
      <c r="N26" s="48" t="str">
        <f>IFERROR(LEFT(M26,FIND("],",M26)+S36),M26)</f>
        <v>none</v>
      </c>
      <c r="O26" s="64" t="e">
        <f t="shared" si="6"/>
        <v>#VALUE!</v>
      </c>
      <c r="P26" s="64">
        <f t="shared" si="7"/>
        <v>4</v>
      </c>
      <c r="Q26" s="64" t="e">
        <f t="shared" si="8"/>
        <v>#VALUE!</v>
      </c>
      <c r="R26" s="64" t="e">
        <f t="shared" si="9"/>
        <v>#VALUE!</v>
      </c>
      <c r="S26" s="64" t="str">
        <f>IFERROR(VLOOKUP(MID(N26,Q26,R26-Q26),[5]skilldef!$C:$D,2,FALSE),"-") &amp; " / " &amp; IFERROR(VLOOKUP(MID(N26,O26,P26-O26),[5]skilldef!$A:$B,2,FALSE),"-")</f>
        <v>- / -</v>
      </c>
      <c r="T26" s="48" t="str">
        <f t="shared" si="10"/>
        <v>none</v>
      </c>
      <c r="U26" s="64" t="e">
        <f t="shared" si="11"/>
        <v>#VALUE!</v>
      </c>
      <c r="V26" s="64">
        <f t="shared" si="12"/>
        <v>4</v>
      </c>
      <c r="W26" s="64" t="e">
        <f t="shared" si="13"/>
        <v>#VALUE!</v>
      </c>
      <c r="X26" s="64" t="e">
        <f t="shared" si="14"/>
        <v>#VALUE!</v>
      </c>
      <c r="Y26" s="64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47">
        <v>47002026</v>
      </c>
      <c r="B27" s="47" t="s">
        <v>260</v>
      </c>
      <c r="C27" s="50">
        <v>1</v>
      </c>
      <c r="D27" s="50" t="s">
        <v>126</v>
      </c>
      <c r="E27" s="107" t="s">
        <v>269</v>
      </c>
      <c r="F27" s="107" t="s">
        <v>269</v>
      </c>
      <c r="G27" s="64" t="str">
        <f t="shared" si="0"/>
        <v>[effect:nothing]</v>
      </c>
      <c r="H27" s="64">
        <f t="shared" si="1"/>
        <v>9</v>
      </c>
      <c r="I27" s="64">
        <f t="shared" si="2"/>
        <v>16</v>
      </c>
      <c r="J27" s="64" t="e">
        <f t="shared" si="3"/>
        <v>#VALUE!</v>
      </c>
      <c r="K27" s="64" t="e">
        <f t="shared" si="4"/>
        <v>#VALUE!</v>
      </c>
      <c r="L27" s="64" t="str">
        <f>IFERROR(VLOOKUP(MID(G27,J27,K27-J27),[5]skilldef!$C:$D,2,FALSE),"-") &amp; " / " &amp; IFERROR(VLOOKUP(MID(G27,H27,I27-H27),[5]skilldef!$A:$B,2,FALSE),"-")</f>
        <v>- / 何もしない</v>
      </c>
      <c r="M27" s="64" t="str">
        <f t="shared" si="5"/>
        <v>none</v>
      </c>
      <c r="N27" s="48" t="str">
        <f>IFERROR(LEFT(M27,FIND("],",M27)+S37),M27)</f>
        <v>none</v>
      </c>
      <c r="O27" s="64" t="e">
        <f t="shared" si="6"/>
        <v>#VALUE!</v>
      </c>
      <c r="P27" s="64">
        <f t="shared" si="7"/>
        <v>4</v>
      </c>
      <c r="Q27" s="64" t="e">
        <f t="shared" si="8"/>
        <v>#VALUE!</v>
      </c>
      <c r="R27" s="64" t="e">
        <f t="shared" si="9"/>
        <v>#VALUE!</v>
      </c>
      <c r="S27" s="64" t="str">
        <f>IFERROR(VLOOKUP(MID(N27,Q27,R27-Q27),[5]skilldef!$C:$D,2,FALSE),"-") &amp; " / " &amp; IFERROR(VLOOKUP(MID(N27,O27,P27-O27),[5]skilldef!$A:$B,2,FALSE),"-")</f>
        <v>- / -</v>
      </c>
      <c r="T27" s="48" t="str">
        <f t="shared" si="10"/>
        <v>none</v>
      </c>
      <c r="U27" s="64" t="e">
        <f t="shared" si="11"/>
        <v>#VALUE!</v>
      </c>
      <c r="V27" s="64">
        <f t="shared" si="12"/>
        <v>4</v>
      </c>
      <c r="W27" s="64" t="e">
        <f t="shared" si="13"/>
        <v>#VALUE!</v>
      </c>
      <c r="X27" s="64" t="e">
        <f t="shared" si="14"/>
        <v>#VALUE!</v>
      </c>
      <c r="Y27" s="64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47">
        <v>47002027</v>
      </c>
      <c r="B28" s="47" t="s">
        <v>333</v>
      </c>
      <c r="C28" s="50">
        <v>3</v>
      </c>
      <c r="D28" s="50" t="s">
        <v>126</v>
      </c>
      <c r="E28" s="51" t="s">
        <v>351</v>
      </c>
      <c r="F28" s="151" t="s">
        <v>328</v>
      </c>
      <c r="G28" s="64" t="str">
        <f t="shared" si="0"/>
        <v>[effect:enemy_message, val1:1, val2:0]</v>
      </c>
      <c r="H28" s="64">
        <f t="shared" si="1"/>
        <v>9</v>
      </c>
      <c r="I28" s="64">
        <f t="shared" si="2"/>
        <v>22</v>
      </c>
      <c r="J28" s="64" t="e">
        <f t="shared" si="3"/>
        <v>#VALUE!</v>
      </c>
      <c r="K28" s="64">
        <f t="shared" si="4"/>
        <v>30</v>
      </c>
      <c r="L28" s="64" t="str">
        <f>IFERROR(VLOOKUP(MID(G28,J28,K28-J28),[5]skilldef!$C:$D,2,FALSE),"-") &amp; " / " &amp; IFERROR(VLOOKUP(MID(G28,H28,I28-H28),[5]skilldef!$A:$B,2,FALSE),"-")</f>
        <v>- / -</v>
      </c>
      <c r="M28" s="64" t="str">
        <f t="shared" si="5"/>
        <v>[effect:fix_speed, target:myself, turn:1]</v>
      </c>
      <c r="N28" s="48" t="str">
        <f>IFERROR(LEFT(M28,FIND("],",M28)+S39),M28)</f>
        <v>[effect:fix_speed, target:myself, turn:1]</v>
      </c>
      <c r="O28" s="64">
        <f t="shared" si="6"/>
        <v>9</v>
      </c>
      <c r="P28" s="64">
        <f t="shared" si="7"/>
        <v>18</v>
      </c>
      <c r="Q28" s="64">
        <f t="shared" si="8"/>
        <v>27</v>
      </c>
      <c r="R28" s="64">
        <f t="shared" si="9"/>
        <v>33</v>
      </c>
      <c r="S28" s="64" t="str">
        <f>IFERROR(VLOOKUP(MID(N28,Q28,R28-Q28),[5]skilldef!$C:$D,2,FALSE),"-") &amp; " / " &amp; IFERROR(VLOOKUP(MID(N28,O28,P28-O28),[5]skilldef!$A:$B,2,FALSE),"-")</f>
        <v>自分自身に / 行動値設定</v>
      </c>
      <c r="T28" s="48" t="str">
        <f t="shared" si="10"/>
        <v>none</v>
      </c>
      <c r="U28" s="64" t="e">
        <f t="shared" si="11"/>
        <v>#VALUE!</v>
      </c>
      <c r="V28" s="64">
        <f t="shared" si="12"/>
        <v>4</v>
      </c>
      <c r="W28" s="64" t="e">
        <f t="shared" si="13"/>
        <v>#VALUE!</v>
      </c>
      <c r="X28" s="64" t="e">
        <f t="shared" si="14"/>
        <v>#VALUE!</v>
      </c>
      <c r="Y28" s="64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47">
        <v>47002028</v>
      </c>
      <c r="B29" s="47" t="s">
        <v>440</v>
      </c>
      <c r="C29" s="50">
        <v>3</v>
      </c>
      <c r="D29" s="50" t="s">
        <v>126</v>
      </c>
      <c r="E29" s="51" t="s">
        <v>352</v>
      </c>
      <c r="F29" s="51" t="s">
        <v>439</v>
      </c>
      <c r="G29" s="64" t="str">
        <f t="shared" si="0"/>
        <v>[effect:change_attribute, target:enemy_all, color:red, turn:-1, animation:change_attribute_red]</v>
      </c>
      <c r="H29" s="64">
        <f t="shared" si="1"/>
        <v>9</v>
      </c>
      <c r="I29" s="64">
        <f t="shared" si="2"/>
        <v>25</v>
      </c>
      <c r="J29" s="64">
        <f t="shared" si="3"/>
        <v>34</v>
      </c>
      <c r="K29" s="64">
        <f t="shared" si="4"/>
        <v>43</v>
      </c>
      <c r="L29" s="64" t="str">
        <f>IFERROR(VLOOKUP(MID(G29,J29,K29-J29),[5]skilldef!$C:$D,2,FALSE),"-") &amp; " / " &amp; IFERROR(VLOOKUP(MID(G29,H29,I29-H29),[5]skilldef!$A:$B,2,FALSE),"-")</f>
        <v>敵全体に / -</v>
      </c>
      <c r="M29" s="64" t="str">
        <f t="shared" si="5"/>
        <v>[effect:enhance_enemy, target:myself, turn:3, status:attack, val:0.1, calc:mul, animation:enemy_enhance_attack]</v>
      </c>
      <c r="N29" s="48" t="str">
        <f>IFERROR(LEFT(M29,FIND("],",M29)+S40),M29)</f>
        <v>[effect:enhance_enemy, target:myself, turn:3, status:attack, val:0.1, calc:mul, animation:enemy_enhance_attack]</v>
      </c>
      <c r="O29" s="64">
        <f t="shared" si="6"/>
        <v>9</v>
      </c>
      <c r="P29" s="64">
        <f t="shared" si="7"/>
        <v>22</v>
      </c>
      <c r="Q29" s="64">
        <f t="shared" si="8"/>
        <v>31</v>
      </c>
      <c r="R29" s="64">
        <f t="shared" si="9"/>
        <v>37</v>
      </c>
      <c r="S29" s="64" t="str">
        <f>IFERROR(VLOOKUP(MID(N29,Q29,R29-Q29),[5]skilldef!$C:$D,2,FALSE),"-") &amp; " / " &amp; IFERROR(VLOOKUP(MID(N29,O29,P29-O29),[5]skilldef!$A:$B,2,FALSE),"-")</f>
        <v>自分自身に / ステータス強化</v>
      </c>
      <c r="T29" s="48" t="str">
        <f t="shared" si="10"/>
        <v>none</v>
      </c>
      <c r="U29" s="64" t="e">
        <f t="shared" si="11"/>
        <v>#VALUE!</v>
      </c>
      <c r="V29" s="64">
        <f t="shared" si="12"/>
        <v>4</v>
      </c>
      <c r="W29" s="64" t="e">
        <f t="shared" si="13"/>
        <v>#VALUE!</v>
      </c>
      <c r="X29" s="64" t="e">
        <f t="shared" si="14"/>
        <v>#VALUE!</v>
      </c>
      <c r="Y29" s="64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47">
        <v>47002029</v>
      </c>
      <c r="B30" s="47" t="s">
        <v>265</v>
      </c>
      <c r="C30" s="50">
        <v>3</v>
      </c>
      <c r="D30" s="50" t="s">
        <v>126</v>
      </c>
      <c r="E30" s="51" t="s">
        <v>353</v>
      </c>
      <c r="F30" s="51" t="s">
        <v>267</v>
      </c>
      <c r="G30" s="64" t="str">
        <f t="shared" si="0"/>
        <v>[effect:rush, count:6, val:0.2]</v>
      </c>
      <c r="H30" s="64">
        <f t="shared" si="1"/>
        <v>9</v>
      </c>
      <c r="I30" s="64">
        <f t="shared" si="2"/>
        <v>13</v>
      </c>
      <c r="J30" s="64" t="e">
        <f t="shared" si="3"/>
        <v>#VALUE!</v>
      </c>
      <c r="K30" s="64">
        <f t="shared" si="4"/>
        <v>22</v>
      </c>
      <c r="L30" s="64" t="str">
        <f>IFERROR(VLOOKUP(MID(G30,J30,K30-J30),[5]skilldef!$C:$D,2,FALSE),"-") &amp; " / " &amp; IFERROR(VLOOKUP(MID(G30,H30,I30-H30),[5]skilldef!$A:$B,2,FALSE),"-")</f>
        <v>- / 連続攻撃</v>
      </c>
      <c r="M30" s="64" t="str">
        <f t="shared" si="5"/>
        <v>none</v>
      </c>
      <c r="N30" s="48" t="str">
        <f>IFERROR(LEFT(M30,FIND("],",M30)+S41),M30)</f>
        <v>none</v>
      </c>
      <c r="O30" s="64" t="e">
        <f t="shared" si="6"/>
        <v>#VALUE!</v>
      </c>
      <c r="P30" s="64">
        <f t="shared" si="7"/>
        <v>4</v>
      </c>
      <c r="Q30" s="64" t="e">
        <f t="shared" si="8"/>
        <v>#VALUE!</v>
      </c>
      <c r="R30" s="64" t="e">
        <f t="shared" si="9"/>
        <v>#VALUE!</v>
      </c>
      <c r="S30" s="64" t="str">
        <f>IFERROR(VLOOKUP(MID(N30,Q30,R30-Q30),[5]skilldef!$C:$D,2,FALSE),"-") &amp; " / " &amp; IFERROR(VLOOKUP(MID(N30,O30,P30-O30),[5]skilldef!$A:$B,2,FALSE),"-")</f>
        <v>- / -</v>
      </c>
      <c r="T30" s="48" t="str">
        <f t="shared" si="10"/>
        <v>none</v>
      </c>
      <c r="U30" s="64" t="e">
        <f t="shared" si="11"/>
        <v>#VALUE!</v>
      </c>
      <c r="V30" s="64">
        <f t="shared" si="12"/>
        <v>4</v>
      </c>
      <c r="W30" s="64" t="e">
        <f t="shared" si="13"/>
        <v>#VALUE!</v>
      </c>
      <c r="X30" s="64" t="e">
        <f t="shared" si="14"/>
        <v>#VALUE!</v>
      </c>
      <c r="Y30" s="64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21" customHeight="1" x14ac:dyDescent="0.15">
      <c r="A31" s="47">
        <v>47002030</v>
      </c>
      <c r="B31" s="47" t="s">
        <v>286</v>
      </c>
      <c r="C31" s="50">
        <v>3</v>
      </c>
      <c r="D31" s="50" t="s">
        <v>126</v>
      </c>
      <c r="E31" s="51" t="s">
        <v>354</v>
      </c>
      <c r="F31" s="51" t="s">
        <v>285</v>
      </c>
      <c r="G31" s="64" t="str">
        <f t="shared" si="0"/>
        <v>[effect:spread, val:0.35]</v>
      </c>
      <c r="H31" s="64">
        <f t="shared" si="1"/>
        <v>9</v>
      </c>
      <c r="I31" s="64">
        <f t="shared" si="2"/>
        <v>15</v>
      </c>
      <c r="J31" s="64" t="e">
        <f t="shared" si="3"/>
        <v>#VALUE!</v>
      </c>
      <c r="K31" s="64" t="e">
        <f t="shared" si="4"/>
        <v>#VALUE!</v>
      </c>
      <c r="L31" s="64" t="str">
        <f>IFERROR(VLOOKUP(MID(G31,J31,K31-J31),[5]skilldef!$C:$D,2,FALSE),"-") &amp; " / " &amp; IFERROR(VLOOKUP(MID(G31,H31,I31-H31),[5]skilldef!$A:$B,2,FALSE),"-")</f>
        <v>- / 全体攻撃</v>
      </c>
      <c r="M31" s="64" t="str">
        <f t="shared" si="5"/>
        <v>[effect:dark, target:unit_all, turn:1, animation:enemy_dark]</v>
      </c>
      <c r="N31" s="48" t="str">
        <f>IFERROR(LEFT(M31,FIND("],",M31)+S42),M31)</f>
        <v>[effect:dark, target:unit_all, turn:1, animation:enemy_dark]</v>
      </c>
      <c r="O31" s="64">
        <f t="shared" si="6"/>
        <v>9</v>
      </c>
      <c r="P31" s="64">
        <f t="shared" si="7"/>
        <v>13</v>
      </c>
      <c r="Q31" s="64">
        <f t="shared" si="8"/>
        <v>22</v>
      </c>
      <c r="R31" s="64">
        <f t="shared" si="9"/>
        <v>30</v>
      </c>
      <c r="S31" s="64" t="str">
        <f>IFERROR(VLOOKUP(MID(N31,Q31,R31-Q31),[5]skilldef!$C:$D,2,FALSE),"-") &amp; " / " &amp; IFERROR(VLOOKUP(MID(N31,O31,P31-O31),[5]skilldef!$A:$B,2,FALSE),"-")</f>
        <v>味方全体に / 暗黒</v>
      </c>
      <c r="T31" s="48" t="str">
        <f t="shared" si="10"/>
        <v>none</v>
      </c>
      <c r="U31" s="64" t="e">
        <f t="shared" si="11"/>
        <v>#VALUE!</v>
      </c>
      <c r="V31" s="64">
        <f t="shared" si="12"/>
        <v>4</v>
      </c>
      <c r="W31" s="64" t="e">
        <f t="shared" si="13"/>
        <v>#VALUE!</v>
      </c>
      <c r="X31" s="64" t="e">
        <f t="shared" si="14"/>
        <v>#VALUE!</v>
      </c>
      <c r="Y31" s="64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15">
      <c r="A32" s="47">
        <v>47002031</v>
      </c>
      <c r="B32" s="47" t="s">
        <v>455</v>
      </c>
      <c r="C32" s="50">
        <v>3</v>
      </c>
      <c r="D32" s="50" t="s">
        <v>126</v>
      </c>
      <c r="E32" s="51" t="s">
        <v>425</v>
      </c>
      <c r="F32" s="106" t="s">
        <v>456</v>
      </c>
      <c r="G32" s="64" t="str">
        <f t="shared" si="0"/>
        <v>[effect:break_attack, val:0.1, lowest_val:3000, count:10, block:block_red, target:unit_one]</v>
      </c>
      <c r="H32" s="64">
        <f t="shared" si="1"/>
        <v>9</v>
      </c>
      <c r="I32" s="64">
        <f t="shared" si="2"/>
        <v>21</v>
      </c>
      <c r="J32" s="64">
        <f t="shared" si="3"/>
        <v>83</v>
      </c>
      <c r="K32" s="64">
        <f t="shared" si="4"/>
        <v>30</v>
      </c>
      <c r="L32" s="64" t="str">
        <f>IFERROR(VLOOKUP(MID(G32,J32,K32-J32),[5]skilldef!$C:$D,2,FALSE),"-") &amp; " / " &amp; IFERROR(VLOOKUP(MID(G32,H32,I32-H32),[5]skilldef!$A:$B,2,FALSE),"-")</f>
        <v>- / -</v>
      </c>
      <c r="M32" s="64" t="str">
        <f t="shared" si="5"/>
        <v>none</v>
      </c>
      <c r="N32" s="48" t="str">
        <f>IFERROR(LEFT(M32,FIND("],",M32)+S43),M32)</f>
        <v>none</v>
      </c>
      <c r="O32" s="64" t="e">
        <f t="shared" si="6"/>
        <v>#VALUE!</v>
      </c>
      <c r="P32" s="64">
        <f t="shared" si="7"/>
        <v>4</v>
      </c>
      <c r="Q32" s="64" t="e">
        <f t="shared" si="8"/>
        <v>#VALUE!</v>
      </c>
      <c r="R32" s="64" t="e">
        <f t="shared" si="9"/>
        <v>#VALUE!</v>
      </c>
      <c r="S32" s="64" t="str">
        <f>IFERROR(VLOOKUP(MID(N32,Q32,R32-Q32),[5]skilldef!$C:$D,2,FALSE),"-") &amp; " / " &amp; IFERROR(VLOOKUP(MID(N32,O32,P32-O32),[5]skilldef!$A:$B,2,FALSE),"-")</f>
        <v>- / -</v>
      </c>
      <c r="T32" s="48" t="str">
        <f t="shared" si="10"/>
        <v>none</v>
      </c>
      <c r="U32" s="64" t="e">
        <f t="shared" si="11"/>
        <v>#VALUE!</v>
      </c>
      <c r="V32" s="64">
        <f t="shared" si="12"/>
        <v>4</v>
      </c>
      <c r="W32" s="64" t="e">
        <f t="shared" si="13"/>
        <v>#VALUE!</v>
      </c>
      <c r="X32" s="64" t="e">
        <f t="shared" si="14"/>
        <v>#VALUE!</v>
      </c>
      <c r="Y32" s="64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47">
        <v>47002032</v>
      </c>
      <c r="B33" s="47" t="s">
        <v>260</v>
      </c>
      <c r="C33" s="50">
        <v>1</v>
      </c>
      <c r="D33" s="50" t="s">
        <v>126</v>
      </c>
      <c r="E33" s="107" t="s">
        <v>269</v>
      </c>
      <c r="F33" s="107" t="s">
        <v>269</v>
      </c>
      <c r="G33" s="64" t="str">
        <f t="shared" si="0"/>
        <v>[effect:nothing]</v>
      </c>
      <c r="H33" s="64">
        <f t="shared" si="1"/>
        <v>9</v>
      </c>
      <c r="I33" s="64">
        <f t="shared" si="2"/>
        <v>16</v>
      </c>
      <c r="J33" s="64" t="e">
        <f t="shared" si="3"/>
        <v>#VALUE!</v>
      </c>
      <c r="K33" s="64" t="e">
        <f t="shared" si="4"/>
        <v>#VALUE!</v>
      </c>
      <c r="L33" s="64" t="str">
        <f>IFERROR(VLOOKUP(MID(G33,J33,K33-J33),[5]skilldef!$C:$D,2,FALSE),"-") &amp; " / " &amp; IFERROR(VLOOKUP(MID(G33,H33,I33-H33),[5]skilldef!$A:$B,2,FALSE),"-")</f>
        <v>- / 何もしない</v>
      </c>
      <c r="M33" s="64" t="str">
        <f t="shared" si="5"/>
        <v>none</v>
      </c>
      <c r="N33" s="48" t="str">
        <f t="shared" ref="N33:N34" si="51">IFERROR(LEFT(M33,FIND("],",M33)+S43),M33)</f>
        <v>none</v>
      </c>
      <c r="O33" s="64" t="e">
        <f t="shared" si="6"/>
        <v>#VALUE!</v>
      </c>
      <c r="P33" s="64">
        <f t="shared" si="7"/>
        <v>4</v>
      </c>
      <c r="Q33" s="64" t="e">
        <f t="shared" si="8"/>
        <v>#VALUE!</v>
      </c>
      <c r="R33" s="64" t="e">
        <f t="shared" si="9"/>
        <v>#VALUE!</v>
      </c>
      <c r="S33" s="64" t="str">
        <f>IFERROR(VLOOKUP(MID(N33,Q33,R33-Q33),[5]skilldef!$C:$D,2,FALSE),"-") &amp; " / " &amp; IFERROR(VLOOKUP(MID(N33,O33,P33-O33),[5]skilldef!$A:$B,2,FALSE),"-")</f>
        <v>- / -</v>
      </c>
      <c r="T33" s="48" t="str">
        <f t="shared" si="10"/>
        <v>none</v>
      </c>
      <c r="U33" s="64" t="e">
        <f t="shared" si="11"/>
        <v>#VALUE!</v>
      </c>
      <c r="V33" s="64">
        <f t="shared" si="12"/>
        <v>4</v>
      </c>
      <c r="W33" s="64" t="e">
        <f t="shared" si="13"/>
        <v>#VALUE!</v>
      </c>
      <c r="X33" s="64" t="e">
        <f t="shared" si="14"/>
        <v>#VALUE!</v>
      </c>
      <c r="Y33" s="64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21" customHeight="1" x14ac:dyDescent="0.15">
      <c r="A34" s="47">
        <v>47002033</v>
      </c>
      <c r="B34" s="47" t="s">
        <v>260</v>
      </c>
      <c r="C34" s="50">
        <v>1</v>
      </c>
      <c r="D34" s="50" t="s">
        <v>126</v>
      </c>
      <c r="E34" s="107" t="s">
        <v>269</v>
      </c>
      <c r="F34" s="107" t="s">
        <v>269</v>
      </c>
      <c r="G34" s="64" t="str">
        <f t="shared" si="0"/>
        <v>[effect:nothing]</v>
      </c>
      <c r="H34" s="64">
        <f t="shared" si="1"/>
        <v>9</v>
      </c>
      <c r="I34" s="64">
        <f t="shared" si="2"/>
        <v>16</v>
      </c>
      <c r="J34" s="64" t="e">
        <f t="shared" si="3"/>
        <v>#VALUE!</v>
      </c>
      <c r="K34" s="64" t="e">
        <f t="shared" si="4"/>
        <v>#VALUE!</v>
      </c>
      <c r="L34" s="64" t="str">
        <f>IFERROR(VLOOKUP(MID(G34,J34,K34-J34),[5]skilldef!$C:$D,2,FALSE),"-") &amp; " / " &amp; IFERROR(VLOOKUP(MID(G34,H34,I34-H34),[5]skilldef!$A:$B,2,FALSE),"-")</f>
        <v>- / 何もしない</v>
      </c>
      <c r="M34" s="64" t="str">
        <f t="shared" si="5"/>
        <v>none</v>
      </c>
      <c r="N34" s="48" t="str">
        <f t="shared" si="51"/>
        <v>none</v>
      </c>
      <c r="O34" s="64" t="e">
        <f t="shared" si="6"/>
        <v>#VALUE!</v>
      </c>
      <c r="P34" s="64">
        <f t="shared" si="7"/>
        <v>4</v>
      </c>
      <c r="Q34" s="64" t="e">
        <f t="shared" si="8"/>
        <v>#VALUE!</v>
      </c>
      <c r="R34" s="64" t="e">
        <f t="shared" si="9"/>
        <v>#VALUE!</v>
      </c>
      <c r="S34" s="64" t="str">
        <f>IFERROR(VLOOKUP(MID(N34,Q34,R34-Q34),[5]skilldef!$C:$D,2,FALSE),"-") &amp; " / " &amp; IFERROR(VLOOKUP(MID(N34,O34,P34-O34),[5]skilldef!$A:$B,2,FALSE),"-")</f>
        <v>- / -</v>
      </c>
      <c r="T34" s="48" t="str">
        <f t="shared" si="10"/>
        <v>none</v>
      </c>
      <c r="U34" s="64" t="e">
        <f t="shared" si="11"/>
        <v>#VALUE!</v>
      </c>
      <c r="V34" s="64">
        <f t="shared" si="12"/>
        <v>4</v>
      </c>
      <c r="W34" s="64" t="e">
        <f t="shared" si="13"/>
        <v>#VALUE!</v>
      </c>
      <c r="X34" s="64" t="e">
        <f t="shared" si="14"/>
        <v>#VALUE!</v>
      </c>
      <c r="Y34" s="64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21" customHeight="1" x14ac:dyDescent="0.15">
      <c r="A35" s="47">
        <v>47002034</v>
      </c>
      <c r="B35" s="47" t="s">
        <v>311</v>
      </c>
      <c r="C35" s="50">
        <v>3</v>
      </c>
      <c r="D35" s="50" t="s">
        <v>126</v>
      </c>
      <c r="E35" s="51" t="s">
        <v>356</v>
      </c>
      <c r="F35" s="151" t="s">
        <v>328</v>
      </c>
      <c r="G35" s="64" t="str">
        <f t="shared" si="0"/>
        <v>[effect:enemy_message, val1:1.4, val2:0]</v>
      </c>
      <c r="H35" s="64">
        <f t="shared" si="1"/>
        <v>9</v>
      </c>
      <c r="I35" s="64">
        <f t="shared" si="2"/>
        <v>22</v>
      </c>
      <c r="J35" s="64" t="e">
        <f t="shared" si="3"/>
        <v>#VALUE!</v>
      </c>
      <c r="K35" s="64">
        <f t="shared" si="4"/>
        <v>32</v>
      </c>
      <c r="L35" s="64" t="str">
        <f>IFERROR(VLOOKUP(MID(G35,J35,K35-J35),[5]skilldef!$C:$D,2,FALSE),"-") &amp; " / " &amp; IFERROR(VLOOKUP(MID(G35,H35,I35-H35),[5]skilldef!$A:$B,2,FALSE),"-")</f>
        <v>- / -</v>
      </c>
      <c r="M35" s="64" t="str">
        <f t="shared" si="5"/>
        <v>[effect:fix_speed, target:myself, turn:1]</v>
      </c>
      <c r="N35" s="48" t="str">
        <f>IFERROR(LEFT(M35,FIND("],",M35)+S47),M35)</f>
        <v>[effect:fix_speed, target:myself, turn:1]</v>
      </c>
      <c r="O35" s="64">
        <f t="shared" si="6"/>
        <v>9</v>
      </c>
      <c r="P35" s="64">
        <f t="shared" si="7"/>
        <v>18</v>
      </c>
      <c r="Q35" s="64">
        <f t="shared" si="8"/>
        <v>27</v>
      </c>
      <c r="R35" s="64">
        <f t="shared" si="9"/>
        <v>33</v>
      </c>
      <c r="S35" s="64" t="str">
        <f>IFERROR(VLOOKUP(MID(N35,Q35,R35-Q35),[5]skilldef!$C:$D,2,FALSE),"-") &amp; " / " &amp; IFERROR(VLOOKUP(MID(N35,O35,P35-O35),[5]skilldef!$A:$B,2,FALSE),"-")</f>
        <v>自分自身に / 行動値設定</v>
      </c>
      <c r="T35" s="48" t="str">
        <f t="shared" si="10"/>
        <v>none</v>
      </c>
      <c r="U35" s="64" t="e">
        <f t="shared" si="11"/>
        <v>#VALUE!</v>
      </c>
      <c r="V35" s="64">
        <f t="shared" si="12"/>
        <v>4</v>
      </c>
      <c r="W35" s="64" t="e">
        <f t="shared" si="13"/>
        <v>#VALUE!</v>
      </c>
      <c r="X35" s="64" t="e">
        <f t="shared" si="14"/>
        <v>#VALUE!</v>
      </c>
      <c r="Y35" s="64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</row>
    <row r="36" spans="1:28" ht="21" customHeight="1" x14ac:dyDescent="0.15">
      <c r="A36" s="153">
        <v>47002035</v>
      </c>
      <c r="B36" s="153" t="s">
        <v>266</v>
      </c>
      <c r="C36" s="154">
        <v>1</v>
      </c>
      <c r="D36" s="154" t="s">
        <v>126</v>
      </c>
      <c r="E36" s="155" t="s">
        <v>332</v>
      </c>
      <c r="F36" s="155" t="s">
        <v>331</v>
      </c>
      <c r="G36" s="64" t="str">
        <f t="shared" si="0"/>
        <v>[effect:suicide, val:1, dead_type:escape, target:myself]</v>
      </c>
      <c r="H36" s="64">
        <f t="shared" si="1"/>
        <v>9</v>
      </c>
      <c r="I36" s="64">
        <f t="shared" si="2"/>
        <v>16</v>
      </c>
      <c r="J36" s="64">
        <f t="shared" si="3"/>
        <v>50</v>
      </c>
      <c r="K36" s="64">
        <f t="shared" si="4"/>
        <v>23</v>
      </c>
      <c r="L36" s="64" t="str">
        <f>IFERROR(VLOOKUP(MID(G36,J36,K36-J36),[5]skilldef!$C:$D,2,FALSE),"-") &amp; " / " &amp; IFERROR(VLOOKUP(MID(G36,H36,I36-H36),[5]skilldef!$A:$B,2,FALSE),"-")</f>
        <v>- / -</v>
      </c>
      <c r="M36" s="64" t="str">
        <f t="shared" si="5"/>
        <v>none</v>
      </c>
      <c r="N36" s="48" t="str">
        <f>IFERROR(LEFT(M36,FIND("],",M36)+S48),M36)</f>
        <v>none</v>
      </c>
      <c r="O36" s="64" t="e">
        <f t="shared" si="6"/>
        <v>#VALUE!</v>
      </c>
      <c r="P36" s="64">
        <f t="shared" si="7"/>
        <v>4</v>
      </c>
      <c r="Q36" s="64" t="e">
        <f t="shared" si="8"/>
        <v>#VALUE!</v>
      </c>
      <c r="R36" s="64" t="e">
        <f t="shared" si="9"/>
        <v>#VALUE!</v>
      </c>
      <c r="S36" s="64" t="str">
        <f>IFERROR(VLOOKUP(MID(N36,Q36,R36-Q36),[5]skilldef!$C:$D,2,FALSE),"-") &amp; " / " &amp; IFERROR(VLOOKUP(MID(N36,O36,P36-O36),[5]skilldef!$A:$B,2,FALSE),"-")</f>
        <v>- / -</v>
      </c>
      <c r="T36" s="48" t="str">
        <f t="shared" si="10"/>
        <v>none</v>
      </c>
      <c r="U36" s="64" t="e">
        <f t="shared" si="11"/>
        <v>#VALUE!</v>
      </c>
      <c r="V36" s="64">
        <f t="shared" si="12"/>
        <v>4</v>
      </c>
      <c r="W36" s="64" t="e">
        <f t="shared" si="13"/>
        <v>#VALUE!</v>
      </c>
      <c r="X36" s="64" t="e">
        <f t="shared" si="14"/>
        <v>#VALUE!</v>
      </c>
      <c r="Y36" s="64" t="str">
        <f>IFERROR(VLOOKUP(MID(T36,W36,X36-W36),[5]skilldef!$C:$D,2,FALSE),"-") &amp; " / " &amp; IFERROR(VLOOKUP(MID(T36,U36,V36-U36),[5]skilldef!$A:$B,2,FALSE),"-")</f>
        <v>- / -</v>
      </c>
      <c r="Z36" s="50"/>
      <c r="AA36" s="52"/>
      <c r="AB36" s="50"/>
    </row>
    <row r="37" spans="1:28" ht="21" customHeight="1" x14ac:dyDescent="0.15">
      <c r="A37" s="47">
        <v>47002036</v>
      </c>
      <c r="B37" s="47" t="s">
        <v>392</v>
      </c>
      <c r="C37" s="50">
        <v>3</v>
      </c>
      <c r="D37" s="50" t="s">
        <v>126</v>
      </c>
      <c r="E37" s="51" t="s">
        <v>364</v>
      </c>
      <c r="F37" s="51" t="s">
        <v>391</v>
      </c>
      <c r="G37" s="64" t="str">
        <f t="shared" ref="G37:G69" si="52">IFERROR(LEFT(B37,FIND("],",B37)),B37)</f>
        <v>[effect:enemy_message, val1:1.4, val2:2.4]</v>
      </c>
      <c r="H37" s="64">
        <f t="shared" ref="H37:H69" si="53">FIND("effect:",G37)+7</f>
        <v>9</v>
      </c>
      <c r="I37" s="64">
        <f t="shared" ref="I37:I69" si="54">IFERROR(FIND(",",G37),LEN(G37))</f>
        <v>22</v>
      </c>
      <c r="J37" s="64" t="e">
        <f t="shared" ref="J37:J69" si="55">FIND("target:",G37)+7</f>
        <v>#VALUE!</v>
      </c>
      <c r="K37" s="64">
        <f t="shared" ref="K37:K69" si="56">FIND(",",G37,I37+1)</f>
        <v>32</v>
      </c>
      <c r="L37" s="64" t="str">
        <f>IFERROR(VLOOKUP(MID(G37,J37,K37-J37),[5]skilldef!$C:$D,2,FALSE),"-") &amp; " / " &amp; IFERROR(VLOOKUP(MID(G37,H37,I37-H37),[5]skilldef!$A:$B,2,FALSE),"-")</f>
        <v>- / -</v>
      </c>
      <c r="M37" s="64" t="str">
        <f t="shared" ref="M37:M69" si="57">IFERROR(RIGHT(B37,LEN(B37)-FIND("],",B37)-1),"none")</f>
        <v>[effect:crash_condition, target:unit_all, val:-2, turn:-1, animation:crash_panel_reduce04],[effect:suicide, val:1, dead_type:escape, target:myself]</v>
      </c>
      <c r="N37" s="48" t="str">
        <f>IFERROR(LEFT(M37,FIND("],",M37)+S49),M37)</f>
        <v>[effect:crash_condition, target:unit_all, val:-2, turn:-1, animation:crash_panel_reduce04],[effect:suicide, val:1, dead_type:escape, target:myself]</v>
      </c>
      <c r="O37" s="64">
        <f t="shared" ref="O37:O69" si="58">FIND("effect:",N37)+7</f>
        <v>9</v>
      </c>
      <c r="P37" s="64">
        <f t="shared" ref="P37:P69" si="59">IFERROR(FIND(",",N37),LEN(N37))</f>
        <v>24</v>
      </c>
      <c r="Q37" s="64">
        <f t="shared" ref="Q37:Q69" si="60">FIND("target:",N37)+7</f>
        <v>33</v>
      </c>
      <c r="R37" s="64">
        <f t="shared" ref="R37:R69" si="61">FIND(",",N37,P37+1)</f>
        <v>41</v>
      </c>
      <c r="S37" s="64" t="str">
        <f>IFERROR(VLOOKUP(MID(N37,Q37,R37-Q37),[5]skilldef!$C:$D,2,FALSE),"-") &amp; " / " &amp; IFERROR(VLOOKUP(MID(N37,O37,P37-O37),[5]skilldef!$A:$B,2,FALSE),"-")</f>
        <v>味方全体に / -</v>
      </c>
      <c r="T37" s="48" t="str">
        <f t="shared" ref="T37:T69" si="62">IFERROR(RIGHT(M37,LEN(M37)-FIND("],",M37)-1),"none")</f>
        <v>[effect:suicide, val:1, dead_type:escape, target:myself]</v>
      </c>
      <c r="U37" s="64">
        <f t="shared" ref="U37:U69" si="63">FIND("effect:",T37)+7</f>
        <v>9</v>
      </c>
      <c r="V37" s="64">
        <f t="shared" ref="V37:V69" si="64">IFERROR(FIND(",",T37),LEN(T37))</f>
        <v>16</v>
      </c>
      <c r="W37" s="64">
        <f t="shared" ref="W37:W69" si="65">FIND("target:",T37)+7</f>
        <v>50</v>
      </c>
      <c r="X37" s="64">
        <f t="shared" ref="X37:X69" si="66">FIND(",",T37,V37+1)</f>
        <v>23</v>
      </c>
      <c r="Y37" s="64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21" customHeight="1" x14ac:dyDescent="0.15">
      <c r="A38" s="47">
        <v>47002037</v>
      </c>
      <c r="B38" s="47" t="s">
        <v>260</v>
      </c>
      <c r="C38" s="50">
        <v>1</v>
      </c>
      <c r="D38" s="50" t="s">
        <v>126</v>
      </c>
      <c r="E38" s="106" t="s">
        <v>269</v>
      </c>
      <c r="F38" s="106" t="s">
        <v>269</v>
      </c>
      <c r="G38" s="64" t="str">
        <f t="shared" si="52"/>
        <v>[effect:nothing]</v>
      </c>
      <c r="H38" s="64">
        <f t="shared" si="53"/>
        <v>9</v>
      </c>
      <c r="I38" s="64">
        <f t="shared" si="54"/>
        <v>16</v>
      </c>
      <c r="J38" s="64" t="e">
        <f t="shared" si="55"/>
        <v>#VALUE!</v>
      </c>
      <c r="K38" s="64" t="e">
        <f t="shared" si="56"/>
        <v>#VALUE!</v>
      </c>
      <c r="L38" s="64" t="str">
        <f>IFERROR(VLOOKUP(MID(G38,J38,K38-J38),[5]skilldef!$C:$D,2,FALSE),"-") &amp; " / " &amp; IFERROR(VLOOKUP(MID(G38,H38,I38-H38),[5]skilldef!$A:$B,2,FALSE),"-")</f>
        <v>- / 何もしない</v>
      </c>
      <c r="M38" s="64" t="str">
        <f t="shared" si="57"/>
        <v>none</v>
      </c>
      <c r="N38" s="48" t="str">
        <f>IFERROR(LEFT(M38,FIND("],",M38)+S50),M38)</f>
        <v>none</v>
      </c>
      <c r="O38" s="64" t="e">
        <f t="shared" si="58"/>
        <v>#VALUE!</v>
      </c>
      <c r="P38" s="64">
        <f t="shared" si="59"/>
        <v>4</v>
      </c>
      <c r="Q38" s="64" t="e">
        <f t="shared" si="60"/>
        <v>#VALUE!</v>
      </c>
      <c r="R38" s="64" t="e">
        <f t="shared" si="61"/>
        <v>#VALUE!</v>
      </c>
      <c r="S38" s="64" t="str">
        <f>IFERROR(VLOOKUP(MID(N38,Q38,R38-Q38),[5]skilldef!$C:$D,2,FALSE),"-") &amp; " / " &amp; IFERROR(VLOOKUP(MID(N38,O38,P38-O38),[5]skilldef!$A:$B,2,FALSE),"-")</f>
        <v>- / -</v>
      </c>
      <c r="T38" s="48" t="str">
        <f t="shared" si="62"/>
        <v>none</v>
      </c>
      <c r="U38" s="64" t="e">
        <f t="shared" si="63"/>
        <v>#VALUE!</v>
      </c>
      <c r="V38" s="64">
        <f t="shared" si="64"/>
        <v>4</v>
      </c>
      <c r="W38" s="64" t="e">
        <f t="shared" si="65"/>
        <v>#VALUE!</v>
      </c>
      <c r="X38" s="64" t="e">
        <f t="shared" si="66"/>
        <v>#VALUE!</v>
      </c>
      <c r="Y38" s="64" t="str">
        <f>IFERROR(VLOOKUP(MID(T38,W38,X38-W38),[5]skilldef!$C:$D,2,FALSE),"-") &amp; " / " &amp; IFERROR(VLOOKUP(MID(T38,U38,V38-U38),[5]skilldef!$A:$B,2,FALSE),"-")</f>
        <v>- / -</v>
      </c>
      <c r="Z38" s="50"/>
      <c r="AA38" s="52"/>
      <c r="AB38" s="50"/>
    </row>
    <row r="39" spans="1:28" ht="21" customHeight="1" x14ac:dyDescent="0.15">
      <c r="A39" s="47">
        <v>47002038</v>
      </c>
      <c r="B39" s="47" t="s">
        <v>260</v>
      </c>
      <c r="C39" s="50">
        <v>1</v>
      </c>
      <c r="D39" s="50" t="s">
        <v>126</v>
      </c>
      <c r="E39" s="107" t="s">
        <v>269</v>
      </c>
      <c r="F39" s="107" t="s">
        <v>269</v>
      </c>
      <c r="G39" s="64" t="str">
        <f t="shared" si="52"/>
        <v>[effect:nothing]</v>
      </c>
      <c r="H39" s="64">
        <f t="shared" si="53"/>
        <v>9</v>
      </c>
      <c r="I39" s="64">
        <f t="shared" si="54"/>
        <v>16</v>
      </c>
      <c r="J39" s="64" t="e">
        <f t="shared" si="55"/>
        <v>#VALUE!</v>
      </c>
      <c r="K39" s="64" t="e">
        <f t="shared" si="56"/>
        <v>#VALUE!</v>
      </c>
      <c r="L39" s="64" t="str">
        <f>IFERROR(VLOOKUP(MID(G39,J39,K39-J39),[5]skilldef!$C:$D,2,FALSE),"-") &amp; " / " &amp; IFERROR(VLOOKUP(MID(G39,H39,I39-H39),[5]skilldef!$A:$B,2,FALSE),"-")</f>
        <v>- / 何もしない</v>
      </c>
      <c r="M39" s="64" t="str">
        <f t="shared" si="57"/>
        <v>none</v>
      </c>
      <c r="N39" s="48" t="str">
        <f>IFERROR(LEFT(M39,FIND("],",M39)+#REF!),M39)</f>
        <v>none</v>
      </c>
      <c r="O39" s="64" t="e">
        <f t="shared" si="58"/>
        <v>#VALUE!</v>
      </c>
      <c r="P39" s="64">
        <f t="shared" si="59"/>
        <v>4</v>
      </c>
      <c r="Q39" s="64" t="e">
        <f t="shared" si="60"/>
        <v>#VALUE!</v>
      </c>
      <c r="R39" s="64" t="e">
        <f t="shared" si="61"/>
        <v>#VALUE!</v>
      </c>
      <c r="S39" s="64" t="str">
        <f>IFERROR(VLOOKUP(MID(N39,Q39,R39-Q39),[5]skilldef!$C:$D,2,FALSE),"-") &amp; " / " &amp; IFERROR(VLOOKUP(MID(N39,O39,P39-O39),[5]skilldef!$A:$B,2,FALSE),"-")</f>
        <v>- / -</v>
      </c>
      <c r="T39" s="48" t="str">
        <f t="shared" si="62"/>
        <v>none</v>
      </c>
      <c r="U39" s="64" t="e">
        <f t="shared" si="63"/>
        <v>#VALUE!</v>
      </c>
      <c r="V39" s="64">
        <f t="shared" si="64"/>
        <v>4</v>
      </c>
      <c r="W39" s="64" t="e">
        <f t="shared" si="65"/>
        <v>#VALUE!</v>
      </c>
      <c r="X39" s="64" t="e">
        <f t="shared" si="66"/>
        <v>#VALUE!</v>
      </c>
      <c r="Y39" s="64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</row>
    <row r="40" spans="1:28" ht="21" customHeight="1" x14ac:dyDescent="0.15">
      <c r="A40" s="47">
        <v>47002039</v>
      </c>
      <c r="B40" s="47" t="s">
        <v>260</v>
      </c>
      <c r="C40" s="50">
        <v>1</v>
      </c>
      <c r="D40" s="50" t="s">
        <v>126</v>
      </c>
      <c r="E40" s="107" t="s">
        <v>269</v>
      </c>
      <c r="F40" s="107" t="s">
        <v>269</v>
      </c>
      <c r="G40" s="64" t="str">
        <f t="shared" si="52"/>
        <v>[effect:nothing]</v>
      </c>
      <c r="H40" s="64">
        <f t="shared" si="53"/>
        <v>9</v>
      </c>
      <c r="I40" s="64">
        <f t="shared" si="54"/>
        <v>16</v>
      </c>
      <c r="J40" s="64" t="e">
        <f t="shared" si="55"/>
        <v>#VALUE!</v>
      </c>
      <c r="K40" s="64" t="e">
        <f t="shared" si="56"/>
        <v>#VALUE!</v>
      </c>
      <c r="L40" s="64" t="str">
        <f>IFERROR(VLOOKUP(MID(G40,J40,K40-J40),[5]skilldef!$C:$D,2,FALSE),"-") &amp; " / " &amp; IFERROR(VLOOKUP(MID(G40,H40,I40-H40),[5]skilldef!$A:$B,2,FALSE),"-")</f>
        <v>- / 何もしない</v>
      </c>
      <c r="M40" s="64" t="str">
        <f t="shared" si="57"/>
        <v>none</v>
      </c>
      <c r="N40" s="48" t="str">
        <f>IFERROR(LEFT(M40,FIND("],",M40)+S51),M40)</f>
        <v>none</v>
      </c>
      <c r="O40" s="64" t="e">
        <f t="shared" si="58"/>
        <v>#VALUE!</v>
      </c>
      <c r="P40" s="64">
        <f t="shared" si="59"/>
        <v>4</v>
      </c>
      <c r="Q40" s="64" t="e">
        <f t="shared" si="60"/>
        <v>#VALUE!</v>
      </c>
      <c r="R40" s="64" t="e">
        <f t="shared" si="61"/>
        <v>#VALUE!</v>
      </c>
      <c r="S40" s="64" t="str">
        <f>IFERROR(VLOOKUP(MID(N40,Q40,R40-Q40),[5]skilldef!$C:$D,2,FALSE),"-") &amp; " / " &amp; IFERROR(VLOOKUP(MID(N40,O40,P40-O40),[5]skilldef!$A:$B,2,FALSE),"-")</f>
        <v>- / -</v>
      </c>
      <c r="T40" s="48" t="str">
        <f t="shared" si="62"/>
        <v>none</v>
      </c>
      <c r="U40" s="64" t="e">
        <f t="shared" si="63"/>
        <v>#VALUE!</v>
      </c>
      <c r="V40" s="64">
        <f t="shared" si="64"/>
        <v>4</v>
      </c>
      <c r="W40" s="64" t="e">
        <f t="shared" si="65"/>
        <v>#VALUE!</v>
      </c>
      <c r="X40" s="64" t="e">
        <f t="shared" si="66"/>
        <v>#VALUE!</v>
      </c>
      <c r="Y40" s="64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</row>
    <row r="41" spans="1:28" ht="21" customHeight="1" x14ac:dyDescent="0.15">
      <c r="A41" s="47">
        <v>47002040</v>
      </c>
      <c r="B41" s="47" t="s">
        <v>363</v>
      </c>
      <c r="C41" s="50">
        <v>3</v>
      </c>
      <c r="D41" s="50" t="s">
        <v>126</v>
      </c>
      <c r="E41" s="51" t="s">
        <v>357</v>
      </c>
      <c r="F41" s="151" t="s">
        <v>328</v>
      </c>
      <c r="G41" s="64" t="str">
        <f t="shared" si="52"/>
        <v>[effect:enemy_message, val1:1.4, val2:0]</v>
      </c>
      <c r="H41" s="64">
        <f t="shared" si="53"/>
        <v>9</v>
      </c>
      <c r="I41" s="64">
        <f t="shared" si="54"/>
        <v>22</v>
      </c>
      <c r="J41" s="64" t="e">
        <f t="shared" si="55"/>
        <v>#VALUE!</v>
      </c>
      <c r="K41" s="64">
        <f t="shared" si="56"/>
        <v>32</v>
      </c>
      <c r="L41" s="64" t="str">
        <f>IFERROR(VLOOKUP(MID(G41,J41,K41-J41),[5]skilldef!$C:$D,2,FALSE),"-") &amp; " / " &amp; IFERROR(VLOOKUP(MID(G41,H41,I41-H41),[5]skilldef!$A:$B,2,FALSE),"-")</f>
        <v>- / -</v>
      </c>
      <c r="M41" s="64" t="str">
        <f t="shared" si="57"/>
        <v>none</v>
      </c>
      <c r="N41" s="48" t="str">
        <f>IFERROR(LEFT(M41,FIND("],",M41)+S52),M41)</f>
        <v>none</v>
      </c>
      <c r="O41" s="64" t="e">
        <f t="shared" si="58"/>
        <v>#VALUE!</v>
      </c>
      <c r="P41" s="64">
        <f t="shared" si="59"/>
        <v>4</v>
      </c>
      <c r="Q41" s="64" t="e">
        <f t="shared" si="60"/>
        <v>#VALUE!</v>
      </c>
      <c r="R41" s="64" t="e">
        <f t="shared" si="61"/>
        <v>#VALUE!</v>
      </c>
      <c r="S41" s="64" t="str">
        <f>IFERROR(VLOOKUP(MID(N41,Q41,R41-Q41),[5]skilldef!$C:$D,2,FALSE),"-") &amp; " / " &amp; IFERROR(VLOOKUP(MID(N41,O41,P41-O41),[5]skilldef!$A:$B,2,FALSE),"-")</f>
        <v>- / -</v>
      </c>
      <c r="T41" s="48" t="str">
        <f t="shared" si="62"/>
        <v>none</v>
      </c>
      <c r="U41" s="64" t="e">
        <f t="shared" si="63"/>
        <v>#VALUE!</v>
      </c>
      <c r="V41" s="64">
        <f t="shared" si="64"/>
        <v>4</v>
      </c>
      <c r="W41" s="64" t="e">
        <f t="shared" si="65"/>
        <v>#VALUE!</v>
      </c>
      <c r="X41" s="64" t="e">
        <f t="shared" si="66"/>
        <v>#VALUE!</v>
      </c>
      <c r="Y41" s="64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</row>
    <row r="42" spans="1:28" ht="21" customHeight="1" x14ac:dyDescent="0.15">
      <c r="A42" s="47">
        <v>47002041</v>
      </c>
      <c r="B42" s="47" t="s">
        <v>278</v>
      </c>
      <c r="C42" s="50">
        <v>3</v>
      </c>
      <c r="D42" s="50" t="s">
        <v>126</v>
      </c>
      <c r="E42" s="51" t="s">
        <v>359</v>
      </c>
      <c r="F42" s="51" t="s">
        <v>271</v>
      </c>
      <c r="G42" s="64" t="str">
        <f t="shared" si="52"/>
        <v>[effect:enhance_enemy, target:myself, turn:-1, status:defense, val:2500, calc:add, animation:enemy_enhance_defense]</v>
      </c>
      <c r="H42" s="64">
        <f t="shared" si="53"/>
        <v>9</v>
      </c>
      <c r="I42" s="64">
        <f t="shared" si="54"/>
        <v>22</v>
      </c>
      <c r="J42" s="64">
        <f t="shared" si="55"/>
        <v>31</v>
      </c>
      <c r="K42" s="64">
        <f t="shared" si="56"/>
        <v>37</v>
      </c>
      <c r="L42" s="64" t="str">
        <f>IFERROR(VLOOKUP(MID(G42,J42,K42-J42),[5]skilldef!$C:$D,2,FALSE),"-") &amp; " / " &amp; IFERROR(VLOOKUP(MID(G42,H42,I42-H42),[5]skilldef!$A:$B,2,FALSE),"-")</f>
        <v>自分自身に / ステータス強化</v>
      </c>
      <c r="M42" s="64" t="str">
        <f t="shared" si="57"/>
        <v>[effect:enemy_counter, target:myself, invoke_condition:unit_all, counter_target:attacker, turn:-1, val:0.2, animation:enemy_counter]</v>
      </c>
      <c r="N42" s="48" t="str">
        <f>IFERROR(LEFT(M42,FIND("],",M42)+S53),M42)</f>
        <v>[effect:enemy_counter, target:myself, invoke_condition:unit_all, counter_target:attacker, turn:-1, val:0.2, animation:enemy_counter]</v>
      </c>
      <c r="O42" s="64">
        <f t="shared" si="58"/>
        <v>9</v>
      </c>
      <c r="P42" s="64">
        <f t="shared" si="59"/>
        <v>22</v>
      </c>
      <c r="Q42" s="64">
        <f t="shared" si="60"/>
        <v>31</v>
      </c>
      <c r="R42" s="64">
        <f t="shared" si="61"/>
        <v>37</v>
      </c>
      <c r="S42" s="64" t="str">
        <f>IFERROR(VLOOKUP(MID(N42,Q42,R42-Q42),[5]skilldef!$C:$D,2,FALSE),"-") &amp; " / " &amp; IFERROR(VLOOKUP(MID(N42,O42,P42-O42),[5]skilldef!$A:$B,2,FALSE),"-")</f>
        <v>自分自身に / カウンター</v>
      </c>
      <c r="T42" s="48" t="str">
        <f t="shared" si="62"/>
        <v>none</v>
      </c>
      <c r="U42" s="64" t="e">
        <f t="shared" si="63"/>
        <v>#VALUE!</v>
      </c>
      <c r="V42" s="64">
        <f t="shared" si="64"/>
        <v>4</v>
      </c>
      <c r="W42" s="64" t="e">
        <f t="shared" si="65"/>
        <v>#VALUE!</v>
      </c>
      <c r="X42" s="64" t="e">
        <f t="shared" si="66"/>
        <v>#VALUE!</v>
      </c>
      <c r="Y42" s="64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21" customHeight="1" x14ac:dyDescent="0.15">
      <c r="A43" s="47">
        <v>47002042</v>
      </c>
      <c r="B43" s="47" t="s">
        <v>272</v>
      </c>
      <c r="C43" s="50">
        <v>3</v>
      </c>
      <c r="D43" s="50" t="s">
        <v>126</v>
      </c>
      <c r="E43" s="51" t="s">
        <v>358</v>
      </c>
      <c r="F43" s="51" t="s">
        <v>326</v>
      </c>
      <c r="G43" s="64" t="str">
        <f t="shared" si="52"/>
        <v>[effect:critical, val:1.5]</v>
      </c>
      <c r="H43" s="64">
        <f t="shared" si="53"/>
        <v>9</v>
      </c>
      <c r="I43" s="64">
        <f t="shared" si="54"/>
        <v>17</v>
      </c>
      <c r="J43" s="64" t="e">
        <f t="shared" si="55"/>
        <v>#VALUE!</v>
      </c>
      <c r="K43" s="64" t="e">
        <f t="shared" si="56"/>
        <v>#VALUE!</v>
      </c>
      <c r="L43" s="64" t="str">
        <f>IFERROR(VLOOKUP(MID(G43,J43,K43-J43),[5]skilldef!$C:$D,2,FALSE),"-") &amp; " / " &amp; IFERROR(VLOOKUP(MID(G43,H43,I43-H43),[5]skilldef!$A:$B,2,FALSE),"-")</f>
        <v>- / 大攻撃</v>
      </c>
      <c r="M43" s="64" t="str">
        <f t="shared" si="57"/>
        <v>none</v>
      </c>
      <c r="N43" s="48" t="str">
        <f>IFERROR(LEFT(M43,FIND("],",M43)+S54),M43)</f>
        <v>none</v>
      </c>
      <c r="O43" s="64" t="e">
        <f t="shared" si="58"/>
        <v>#VALUE!</v>
      </c>
      <c r="P43" s="64">
        <f t="shared" si="59"/>
        <v>4</v>
      </c>
      <c r="Q43" s="64" t="e">
        <f t="shared" si="60"/>
        <v>#VALUE!</v>
      </c>
      <c r="R43" s="64" t="e">
        <f t="shared" si="61"/>
        <v>#VALUE!</v>
      </c>
      <c r="S43" s="64" t="str">
        <f>IFERROR(VLOOKUP(MID(N43,Q43,R43-Q43),[5]skilldef!$C:$D,2,FALSE),"-") &amp; " / " &amp; IFERROR(VLOOKUP(MID(N43,O43,P43-O43),[5]skilldef!$A:$B,2,FALSE),"-")</f>
        <v>- / -</v>
      </c>
      <c r="T43" s="48" t="str">
        <f t="shared" si="62"/>
        <v>none</v>
      </c>
      <c r="U43" s="64" t="e">
        <f t="shared" si="63"/>
        <v>#VALUE!</v>
      </c>
      <c r="V43" s="64">
        <f t="shared" si="64"/>
        <v>4</v>
      </c>
      <c r="W43" s="64" t="e">
        <f t="shared" si="65"/>
        <v>#VALUE!</v>
      </c>
      <c r="X43" s="64" t="e">
        <f t="shared" si="66"/>
        <v>#VALUE!</v>
      </c>
      <c r="Y43" s="64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</row>
    <row r="44" spans="1:28" ht="21" customHeight="1" x14ac:dyDescent="0.15">
      <c r="A44" s="47">
        <v>47002043</v>
      </c>
      <c r="B44" s="47" t="s">
        <v>338</v>
      </c>
      <c r="C44" s="50">
        <v>3</v>
      </c>
      <c r="D44" s="50" t="s">
        <v>126</v>
      </c>
      <c r="E44" s="51" t="s">
        <v>361</v>
      </c>
      <c r="F44" s="106" t="s">
        <v>259</v>
      </c>
      <c r="G44" s="64" t="str">
        <f t="shared" si="52"/>
        <v>[effect:spread, val:0.35]</v>
      </c>
      <c r="H44" s="64">
        <f t="shared" si="53"/>
        <v>9</v>
      </c>
      <c r="I44" s="64">
        <f t="shared" si="54"/>
        <v>15</v>
      </c>
      <c r="J44" s="64" t="e">
        <f t="shared" si="55"/>
        <v>#VALUE!</v>
      </c>
      <c r="K44" s="64" t="e">
        <f t="shared" si="56"/>
        <v>#VALUE!</v>
      </c>
      <c r="L44" s="64" t="str">
        <f>IFERROR(VLOOKUP(MID(G44,J44,K44-J44),[5]skilldef!$C:$D,2,FALSE),"-") &amp; " / " &amp; IFERROR(VLOOKUP(MID(G44,H44,I44-H44),[5]skilldef!$A:$B,2,FALSE),"-")</f>
        <v>- / 全体攻撃</v>
      </c>
      <c r="M44" s="64" t="str">
        <f t="shared" si="57"/>
        <v>none</v>
      </c>
      <c r="N44" s="48" t="str">
        <f>IFERROR(LEFT(M44,FIND("],",M44)+S55),M44)</f>
        <v>none</v>
      </c>
      <c r="O44" s="64" t="e">
        <f t="shared" si="58"/>
        <v>#VALUE!</v>
      </c>
      <c r="P44" s="64">
        <f t="shared" si="59"/>
        <v>4</v>
      </c>
      <c r="Q44" s="64" t="e">
        <f t="shared" si="60"/>
        <v>#VALUE!</v>
      </c>
      <c r="R44" s="64" t="e">
        <f t="shared" si="61"/>
        <v>#VALUE!</v>
      </c>
      <c r="S44" s="64" t="str">
        <f>IFERROR(VLOOKUP(MID(N44,Q44,R44-Q44),[5]skilldef!$C:$D,2,FALSE),"-") &amp; " / " &amp; IFERROR(VLOOKUP(MID(N44,O44,P44-O44),[5]skilldef!$A:$B,2,FALSE),"-")</f>
        <v>- / -</v>
      </c>
      <c r="T44" s="48" t="str">
        <f t="shared" si="62"/>
        <v>none</v>
      </c>
      <c r="U44" s="64" t="e">
        <f t="shared" si="63"/>
        <v>#VALUE!</v>
      </c>
      <c r="V44" s="64">
        <f t="shared" si="64"/>
        <v>4</v>
      </c>
      <c r="W44" s="64" t="e">
        <f t="shared" si="65"/>
        <v>#VALUE!</v>
      </c>
      <c r="X44" s="64" t="e">
        <f t="shared" si="66"/>
        <v>#VALUE!</v>
      </c>
      <c r="Y44" s="64" t="str">
        <f>IFERROR(VLOOKUP(MID(T44,W44,X44-W44),[5]skilldef!$C:$D,2,FALSE),"-") &amp; " / " &amp; IFERROR(VLOOKUP(MID(T44,U44,V44-U44),[5]skilldef!$A:$B,2,FALSE),"-")</f>
        <v>- / -</v>
      </c>
      <c r="Z44" s="50"/>
      <c r="AA44" s="52"/>
      <c r="AB44" s="50"/>
    </row>
    <row r="45" spans="1:28" ht="21" customHeight="1" x14ac:dyDescent="0.15">
      <c r="A45" s="47">
        <v>47002044</v>
      </c>
      <c r="B45" s="47" t="s">
        <v>458</v>
      </c>
      <c r="C45" s="50">
        <v>3</v>
      </c>
      <c r="D45" s="50" t="s">
        <v>126</v>
      </c>
      <c r="E45" s="51" t="s">
        <v>360</v>
      </c>
      <c r="F45" s="107" t="s">
        <v>457</v>
      </c>
      <c r="G45" s="64" t="str">
        <f t="shared" si="52"/>
        <v>[effect:force_change_block, new_block:jammer, target:block_blue, ignore:crash, ignore02:crack_bomb, count:10, val:0, animation:change_block]</v>
      </c>
      <c r="H45" s="64">
        <f t="shared" si="53"/>
        <v>9</v>
      </c>
      <c r="I45" s="64">
        <f t="shared" si="54"/>
        <v>27</v>
      </c>
      <c r="J45" s="64">
        <f t="shared" si="55"/>
        <v>54</v>
      </c>
      <c r="K45" s="64">
        <f t="shared" si="56"/>
        <v>45</v>
      </c>
      <c r="L45" s="64" t="str">
        <f>IFERROR(VLOOKUP(MID(G45,J45,K45-J45),[5]skilldef!$C:$D,2,FALSE),"-") &amp; " / " &amp; IFERROR(VLOOKUP(MID(G45,H45,I45-H45),[5]skilldef!$A:$B,2,FALSE),"-")</f>
        <v>- / -</v>
      </c>
      <c r="M45" s="64" t="str">
        <f t="shared" si="57"/>
        <v>none</v>
      </c>
      <c r="N45" s="48" t="str">
        <f t="shared" ref="N45:N50" si="67">IFERROR(LEFT(M45,FIND("],",M45)+S54),M45)</f>
        <v>none</v>
      </c>
      <c r="O45" s="64" t="e">
        <f t="shared" si="58"/>
        <v>#VALUE!</v>
      </c>
      <c r="P45" s="64">
        <f t="shared" si="59"/>
        <v>4</v>
      </c>
      <c r="Q45" s="64" t="e">
        <f t="shared" si="60"/>
        <v>#VALUE!</v>
      </c>
      <c r="R45" s="64" t="e">
        <f t="shared" si="61"/>
        <v>#VALUE!</v>
      </c>
      <c r="S45" s="64" t="str">
        <f>IFERROR(VLOOKUP(MID(N45,Q45,R45-Q45),[5]skilldef!$C:$D,2,FALSE),"-") &amp; " / " &amp; IFERROR(VLOOKUP(MID(N45,O45,P45-O45),[5]skilldef!$A:$B,2,FALSE),"-")</f>
        <v>- / -</v>
      </c>
      <c r="T45" s="48" t="str">
        <f t="shared" si="62"/>
        <v>none</v>
      </c>
      <c r="U45" s="64" t="e">
        <f t="shared" si="63"/>
        <v>#VALUE!</v>
      </c>
      <c r="V45" s="64">
        <f t="shared" si="64"/>
        <v>4</v>
      </c>
      <c r="W45" s="64" t="e">
        <f t="shared" si="65"/>
        <v>#VALUE!</v>
      </c>
      <c r="X45" s="64" t="e">
        <f t="shared" si="66"/>
        <v>#VALUE!</v>
      </c>
      <c r="Y45" s="64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21" customHeight="1" x14ac:dyDescent="0.15">
      <c r="A46" s="47">
        <v>47002045</v>
      </c>
      <c r="B46" s="47" t="s">
        <v>338</v>
      </c>
      <c r="C46" s="50">
        <v>3</v>
      </c>
      <c r="D46" s="50" t="s">
        <v>126</v>
      </c>
      <c r="E46" s="51" t="s">
        <v>361</v>
      </c>
      <c r="F46" s="106" t="s">
        <v>259</v>
      </c>
      <c r="G46" s="64" t="str">
        <f t="shared" ref="G46" si="68">IFERROR(LEFT(B46,FIND("],",B46)),B46)</f>
        <v>[effect:spread, val:0.35]</v>
      </c>
      <c r="H46" s="64">
        <f t="shared" ref="H46" si="69">FIND("effect:",G46)+7</f>
        <v>9</v>
      </c>
      <c r="I46" s="64">
        <f t="shared" ref="I46" si="70">IFERROR(FIND(",",G46),LEN(G46))</f>
        <v>15</v>
      </c>
      <c r="J46" s="64" t="e">
        <f t="shared" ref="J46" si="71">FIND("target:",G46)+7</f>
        <v>#VALUE!</v>
      </c>
      <c r="K46" s="64" t="e">
        <f t="shared" ref="K46" si="72">FIND(",",G46,I46+1)</f>
        <v>#VALUE!</v>
      </c>
      <c r="L46" s="64" t="str">
        <f>IFERROR(VLOOKUP(MID(G46,J46,K46-J46),[5]skilldef!$C:$D,2,FALSE),"-") &amp; " / " &amp; IFERROR(VLOOKUP(MID(G46,H46,I46-H46),[5]skilldef!$A:$B,2,FALSE),"-")</f>
        <v>- / 全体攻撃</v>
      </c>
      <c r="M46" s="64" t="str">
        <f t="shared" ref="M46" si="73">IFERROR(RIGHT(B46,LEN(B46)-FIND("],",B46)-1),"none")</f>
        <v>none</v>
      </c>
      <c r="N46" s="48" t="str">
        <f>IFERROR(LEFT(M46,FIND("],",M46)+S57),M46)</f>
        <v>none</v>
      </c>
      <c r="O46" s="64" t="e">
        <f t="shared" ref="O46" si="74">FIND("effect:",N46)+7</f>
        <v>#VALUE!</v>
      </c>
      <c r="P46" s="64">
        <f t="shared" ref="P46" si="75">IFERROR(FIND(",",N46),LEN(N46))</f>
        <v>4</v>
      </c>
      <c r="Q46" s="64" t="e">
        <f t="shared" ref="Q46" si="76">FIND("target:",N46)+7</f>
        <v>#VALUE!</v>
      </c>
      <c r="R46" s="64" t="e">
        <f t="shared" ref="R46" si="77">FIND(",",N46,P46+1)</f>
        <v>#VALUE!</v>
      </c>
      <c r="S46" s="64" t="str">
        <f>IFERROR(VLOOKUP(MID(N46,Q46,R46-Q46),[5]skilldef!$C:$D,2,FALSE),"-") &amp; " / " &amp; IFERROR(VLOOKUP(MID(N46,O46,P46-O46),[5]skilldef!$A:$B,2,FALSE),"-")</f>
        <v>- / -</v>
      </c>
      <c r="T46" s="48" t="str">
        <f t="shared" ref="T46" si="78">IFERROR(RIGHT(M46,LEN(M46)-FIND("],",M46)-1),"none")</f>
        <v>none</v>
      </c>
      <c r="U46" s="64" t="e">
        <f t="shared" ref="U46" si="79">FIND("effect:",T46)+7</f>
        <v>#VALUE!</v>
      </c>
      <c r="V46" s="64">
        <f t="shared" ref="V46" si="80">IFERROR(FIND(",",T46),LEN(T46))</f>
        <v>4</v>
      </c>
      <c r="W46" s="64" t="e">
        <f t="shared" ref="W46" si="81">FIND("target:",T46)+7</f>
        <v>#VALUE!</v>
      </c>
      <c r="X46" s="64" t="e">
        <f t="shared" ref="X46" si="82">FIND(",",T46,V46+1)</f>
        <v>#VALUE!</v>
      </c>
      <c r="Y46" s="64" t="str">
        <f>IFERROR(VLOOKUP(MID(T46,W46,X46-W46),[5]skilldef!$C:$D,2,FALSE),"-") &amp; " / " &amp; IFERROR(VLOOKUP(MID(T46,U46,V46-U46),[5]skilldef!$A:$B,2,FALSE),"-")</f>
        <v>- / -</v>
      </c>
      <c r="Z46" s="50"/>
      <c r="AA46" s="52"/>
      <c r="AB46" s="50"/>
    </row>
    <row r="47" spans="1:28" ht="21" customHeight="1" x14ac:dyDescent="0.15">
      <c r="A47" s="47">
        <v>47002046</v>
      </c>
      <c r="B47" s="47" t="s">
        <v>260</v>
      </c>
      <c r="C47" s="50">
        <v>1</v>
      </c>
      <c r="D47" s="50" t="s">
        <v>126</v>
      </c>
      <c r="E47" s="107" t="s">
        <v>269</v>
      </c>
      <c r="F47" s="107" t="s">
        <v>269</v>
      </c>
      <c r="G47" s="64" t="str">
        <f t="shared" si="52"/>
        <v>[effect:nothing]</v>
      </c>
      <c r="H47" s="64">
        <f t="shared" si="53"/>
        <v>9</v>
      </c>
      <c r="I47" s="64">
        <f t="shared" si="54"/>
        <v>16</v>
      </c>
      <c r="J47" s="64" t="e">
        <f t="shared" si="55"/>
        <v>#VALUE!</v>
      </c>
      <c r="K47" s="64" t="e">
        <f t="shared" si="56"/>
        <v>#VALUE!</v>
      </c>
      <c r="L47" s="64" t="str">
        <f>IFERROR(VLOOKUP(MID(G47,J47,K47-J47),[5]skilldef!$C:$D,2,FALSE),"-") &amp; " / " &amp; IFERROR(VLOOKUP(MID(G47,H47,I47-H47),[5]skilldef!$A:$B,2,FALSE),"-")</f>
        <v>- / 何もしない</v>
      </c>
      <c r="M47" s="64" t="str">
        <f t="shared" si="57"/>
        <v>none</v>
      </c>
      <c r="N47" s="48" t="str">
        <f t="shared" si="67"/>
        <v>none</v>
      </c>
      <c r="O47" s="64" t="e">
        <f t="shared" si="58"/>
        <v>#VALUE!</v>
      </c>
      <c r="P47" s="64">
        <f t="shared" si="59"/>
        <v>4</v>
      </c>
      <c r="Q47" s="64" t="e">
        <f t="shared" si="60"/>
        <v>#VALUE!</v>
      </c>
      <c r="R47" s="64" t="e">
        <f t="shared" si="61"/>
        <v>#VALUE!</v>
      </c>
      <c r="S47" s="64" t="str">
        <f>IFERROR(VLOOKUP(MID(N47,Q47,R47-Q47),[5]skilldef!$C:$D,2,FALSE),"-") &amp; " / " &amp; IFERROR(VLOOKUP(MID(N47,O47,P47-O47),[5]skilldef!$A:$B,2,FALSE),"-")</f>
        <v>- / -</v>
      </c>
      <c r="T47" s="48" t="str">
        <f t="shared" si="62"/>
        <v>none</v>
      </c>
      <c r="U47" s="64" t="e">
        <f t="shared" si="63"/>
        <v>#VALUE!</v>
      </c>
      <c r="V47" s="64">
        <f t="shared" si="64"/>
        <v>4</v>
      </c>
      <c r="W47" s="64" t="e">
        <f t="shared" si="65"/>
        <v>#VALUE!</v>
      </c>
      <c r="X47" s="64" t="e">
        <f t="shared" si="66"/>
        <v>#VALUE!</v>
      </c>
      <c r="Y47" s="64" t="str">
        <f>IFERROR(VLOOKUP(MID(T47,W47,X47-W47),[5]skilldef!$C:$D,2,FALSE),"-") &amp; " / " &amp; IFERROR(VLOOKUP(MID(T47,U47,V47-U47),[5]skilldef!$A:$B,2,FALSE),"-")</f>
        <v>- / -</v>
      </c>
      <c r="Z47" s="50"/>
      <c r="AA47" s="52"/>
      <c r="AB47" s="50"/>
    </row>
    <row r="48" spans="1:28" ht="21" customHeight="1" x14ac:dyDescent="0.15">
      <c r="A48" s="47">
        <v>47002047</v>
      </c>
      <c r="B48" s="47" t="s">
        <v>260</v>
      </c>
      <c r="C48" s="50">
        <v>1</v>
      </c>
      <c r="D48" s="50" t="s">
        <v>126</v>
      </c>
      <c r="E48" s="107" t="s">
        <v>269</v>
      </c>
      <c r="F48" s="107" t="s">
        <v>269</v>
      </c>
      <c r="G48" s="64" t="str">
        <f t="shared" si="52"/>
        <v>[effect:nothing]</v>
      </c>
      <c r="H48" s="64">
        <f t="shared" si="53"/>
        <v>9</v>
      </c>
      <c r="I48" s="64">
        <f t="shared" si="54"/>
        <v>16</v>
      </c>
      <c r="J48" s="64" t="e">
        <f t="shared" si="55"/>
        <v>#VALUE!</v>
      </c>
      <c r="K48" s="64" t="e">
        <f t="shared" si="56"/>
        <v>#VALUE!</v>
      </c>
      <c r="L48" s="64" t="str">
        <f>IFERROR(VLOOKUP(MID(G48,J48,K48-J48),[5]skilldef!$C:$D,2,FALSE),"-") &amp; " / " &amp; IFERROR(VLOOKUP(MID(G48,H48,I48-H48),[5]skilldef!$A:$B,2,FALSE),"-")</f>
        <v>- / 何もしない</v>
      </c>
      <c r="M48" s="64" t="str">
        <f t="shared" si="57"/>
        <v>none</v>
      </c>
      <c r="N48" s="48" t="str">
        <f t="shared" si="67"/>
        <v>none</v>
      </c>
      <c r="O48" s="64" t="e">
        <f t="shared" si="58"/>
        <v>#VALUE!</v>
      </c>
      <c r="P48" s="64">
        <f t="shared" si="59"/>
        <v>4</v>
      </c>
      <c r="Q48" s="64" t="e">
        <f t="shared" si="60"/>
        <v>#VALUE!</v>
      </c>
      <c r="R48" s="64" t="e">
        <f t="shared" si="61"/>
        <v>#VALUE!</v>
      </c>
      <c r="S48" s="64" t="str">
        <f>IFERROR(VLOOKUP(MID(N48,Q48,R48-Q48),[5]skilldef!$C:$D,2,FALSE),"-") &amp; " / " &amp; IFERROR(VLOOKUP(MID(N48,O48,P48-O48),[5]skilldef!$A:$B,2,FALSE),"-")</f>
        <v>- / -</v>
      </c>
      <c r="T48" s="48" t="str">
        <f t="shared" si="62"/>
        <v>none</v>
      </c>
      <c r="U48" s="64" t="e">
        <f t="shared" si="63"/>
        <v>#VALUE!</v>
      </c>
      <c r="V48" s="64">
        <f t="shared" si="64"/>
        <v>4</v>
      </c>
      <c r="W48" s="64" t="e">
        <f t="shared" si="65"/>
        <v>#VALUE!</v>
      </c>
      <c r="X48" s="64" t="e">
        <f t="shared" si="66"/>
        <v>#VALUE!</v>
      </c>
      <c r="Y48" s="64" t="str">
        <f>IFERROR(VLOOKUP(MID(T48,W48,X48-W48),[5]skilldef!$C:$D,2,FALSE),"-") &amp; " / " &amp; IFERROR(VLOOKUP(MID(T48,U48,V48-U48),[5]skilldef!$A:$B,2,FALSE),"-")</f>
        <v>- / -</v>
      </c>
      <c r="Z48" s="50"/>
      <c r="AA48" s="52"/>
      <c r="AB48" s="50"/>
    </row>
    <row r="49" spans="1:28" ht="21" customHeight="1" x14ac:dyDescent="0.15">
      <c r="A49" s="47">
        <v>47002048</v>
      </c>
      <c r="B49" s="47" t="s">
        <v>329</v>
      </c>
      <c r="C49" s="50">
        <v>3</v>
      </c>
      <c r="D49" s="50" t="s">
        <v>126</v>
      </c>
      <c r="E49" s="51" t="s">
        <v>368</v>
      </c>
      <c r="F49" s="151" t="s">
        <v>328</v>
      </c>
      <c r="G49" s="64" t="str">
        <f t="shared" si="52"/>
        <v>[effect:enemy_message, val1:1, val2:0]</v>
      </c>
      <c r="H49" s="64">
        <f t="shared" si="53"/>
        <v>9</v>
      </c>
      <c r="I49" s="64">
        <f t="shared" si="54"/>
        <v>22</v>
      </c>
      <c r="J49" s="64" t="e">
        <f t="shared" si="55"/>
        <v>#VALUE!</v>
      </c>
      <c r="K49" s="64">
        <f t="shared" si="56"/>
        <v>30</v>
      </c>
      <c r="L49" s="64" t="str">
        <f>IFERROR(VLOOKUP(MID(G49,J49,K49-J49),[5]skilldef!$C:$D,2,FALSE),"-") &amp; " / " &amp; IFERROR(VLOOKUP(MID(G49,H49,I49-H49),[5]skilldef!$A:$B,2,FALSE),"-")</f>
        <v>- / -</v>
      </c>
      <c r="M49" s="64" t="str">
        <f t="shared" si="57"/>
        <v>[effect:fix_speed, target:myself, turn:1]</v>
      </c>
      <c r="N49" s="48" t="str">
        <f t="shared" si="67"/>
        <v>[effect:fix_speed, target:myself, turn:1]</v>
      </c>
      <c r="O49" s="64">
        <f t="shared" si="58"/>
        <v>9</v>
      </c>
      <c r="P49" s="64">
        <f t="shared" si="59"/>
        <v>18</v>
      </c>
      <c r="Q49" s="64">
        <f t="shared" si="60"/>
        <v>27</v>
      </c>
      <c r="R49" s="64">
        <f t="shared" si="61"/>
        <v>33</v>
      </c>
      <c r="S49" s="64" t="str">
        <f>IFERROR(VLOOKUP(MID(N49,Q49,R49-Q49),[5]skilldef!$C:$D,2,FALSE),"-") &amp; " / " &amp; IFERROR(VLOOKUP(MID(N49,O49,P49-O49),[5]skilldef!$A:$B,2,FALSE),"-")</f>
        <v>自分自身に / 行動値設定</v>
      </c>
      <c r="T49" s="48" t="str">
        <f t="shared" si="62"/>
        <v>none</v>
      </c>
      <c r="U49" s="64" t="e">
        <f t="shared" si="63"/>
        <v>#VALUE!</v>
      </c>
      <c r="V49" s="64">
        <f t="shared" si="64"/>
        <v>4</v>
      </c>
      <c r="W49" s="64" t="e">
        <f t="shared" si="65"/>
        <v>#VALUE!</v>
      </c>
      <c r="X49" s="64" t="e">
        <f t="shared" si="66"/>
        <v>#VALUE!</v>
      </c>
      <c r="Y49" s="64" t="str">
        <f>IFERROR(VLOOKUP(MID(T49,W49,X49-W49),[5]skilldef!$C:$D,2,FALSE),"-") &amp; " / " &amp; IFERROR(VLOOKUP(MID(T49,U49,V49-U49),[5]skilldef!$A:$B,2,FALSE),"-")</f>
        <v>- / -</v>
      </c>
      <c r="Z49" s="50"/>
      <c r="AA49" s="52"/>
      <c r="AB49" s="50"/>
    </row>
    <row r="50" spans="1:28" ht="21" customHeight="1" x14ac:dyDescent="0.15">
      <c r="A50" s="47">
        <v>47002049</v>
      </c>
      <c r="B50" s="47" t="s">
        <v>362</v>
      </c>
      <c r="C50" s="50">
        <v>3</v>
      </c>
      <c r="D50" s="50" t="s">
        <v>126</v>
      </c>
      <c r="E50" s="51" t="s">
        <v>376</v>
      </c>
      <c r="F50" s="51" t="s">
        <v>377</v>
      </c>
      <c r="G50" s="64" t="str">
        <f t="shared" si="52"/>
        <v>[effect:enemy_message, val1:1, val2:2.4]</v>
      </c>
      <c r="H50" s="64">
        <f t="shared" si="53"/>
        <v>9</v>
      </c>
      <c r="I50" s="64">
        <f t="shared" si="54"/>
        <v>22</v>
      </c>
      <c r="J50" s="64" t="e">
        <f t="shared" si="55"/>
        <v>#VALUE!</v>
      </c>
      <c r="K50" s="64">
        <f t="shared" si="56"/>
        <v>30</v>
      </c>
      <c r="L50" s="64" t="str">
        <f>IFERROR(VLOOKUP(MID(G50,J50,K50-J50),[5]skilldef!$C:$D,2,FALSE),"-") &amp; " / " &amp; IFERROR(VLOOKUP(MID(G50,H50,I50-H50),[5]skilldef!$A:$B,2,FALSE),"-")</f>
        <v>- / -</v>
      </c>
      <c r="M50" s="64" t="str">
        <f t="shared" si="57"/>
        <v>[effect:drop_block, block_type:crash, color:block_all, val:8, rate:0.06, turn:-1, animation:crash_influence04],[effect:suicide, val:1, dead_type:escape, target:myself]</v>
      </c>
      <c r="N50" s="48" t="str">
        <f t="shared" si="67"/>
        <v>[effect:drop_block, block_type:crash, color:block_all, val:8, rate:0.06, turn:-1, animation:crash_influence04],[effect:suicide, val:1, dead_type:escape, target:myself]</v>
      </c>
      <c r="O50" s="64">
        <f t="shared" si="58"/>
        <v>9</v>
      </c>
      <c r="P50" s="64">
        <f t="shared" si="59"/>
        <v>19</v>
      </c>
      <c r="Q50" s="64">
        <f t="shared" si="60"/>
        <v>161</v>
      </c>
      <c r="R50" s="64">
        <f t="shared" si="61"/>
        <v>37</v>
      </c>
      <c r="S50" s="64" t="str">
        <f>IFERROR(VLOOKUP(MID(N50,Q50,R50-Q50),[5]skilldef!$C:$D,2,FALSE),"-") &amp; " / " &amp; IFERROR(VLOOKUP(MID(N50,O50,P50-O50),[5]skilldef!$A:$B,2,FALSE),"-")</f>
        <v>- / 特定ブロックの割合ドロップ</v>
      </c>
      <c r="T50" s="48" t="str">
        <f t="shared" si="62"/>
        <v>[effect:suicide, val:1, dead_type:escape, target:myself]</v>
      </c>
      <c r="U50" s="64">
        <f t="shared" si="63"/>
        <v>9</v>
      </c>
      <c r="V50" s="64">
        <f t="shared" si="64"/>
        <v>16</v>
      </c>
      <c r="W50" s="64">
        <f t="shared" si="65"/>
        <v>50</v>
      </c>
      <c r="X50" s="64">
        <f t="shared" si="66"/>
        <v>23</v>
      </c>
      <c r="Y50" s="64" t="str">
        <f>IFERROR(VLOOKUP(MID(T50,W50,X50-W50),[5]skilldef!$C:$D,2,FALSE),"-") &amp; " / " &amp; IFERROR(VLOOKUP(MID(T50,U50,V50-U50),[5]skilldef!$A:$B,2,FALSE),"-")</f>
        <v>- / -</v>
      </c>
      <c r="Z50" s="50"/>
      <c r="AA50" s="52"/>
      <c r="AB50" s="50"/>
    </row>
    <row r="51" spans="1:28" ht="21" customHeight="1" x14ac:dyDescent="0.15">
      <c r="A51" s="47">
        <v>47002050</v>
      </c>
      <c r="B51" s="47" t="s">
        <v>260</v>
      </c>
      <c r="C51" s="50">
        <v>1</v>
      </c>
      <c r="D51" s="50" t="s">
        <v>126</v>
      </c>
      <c r="E51" s="106" t="s">
        <v>269</v>
      </c>
      <c r="F51" s="106" t="s">
        <v>269</v>
      </c>
      <c r="G51" s="64" t="str">
        <f t="shared" si="52"/>
        <v>[effect:nothing]</v>
      </c>
      <c r="H51" s="64">
        <f t="shared" si="53"/>
        <v>9</v>
      </c>
      <c r="I51" s="64">
        <f t="shared" si="54"/>
        <v>16</v>
      </c>
      <c r="J51" s="64" t="e">
        <f t="shared" si="55"/>
        <v>#VALUE!</v>
      </c>
      <c r="K51" s="64" t="e">
        <f t="shared" si="56"/>
        <v>#VALUE!</v>
      </c>
      <c r="L51" s="64" t="str">
        <f>IFERROR(VLOOKUP(MID(G51,J51,K51-J51),[5]skilldef!$C:$D,2,FALSE),"-") &amp; " / " &amp; IFERROR(VLOOKUP(MID(G51,H51,I51-H51),[5]skilldef!$A:$B,2,FALSE),"-")</f>
        <v>- / 何もしない</v>
      </c>
      <c r="M51" s="64" t="str">
        <f t="shared" si="57"/>
        <v>none</v>
      </c>
      <c r="N51" s="48" t="str">
        <f t="shared" ref="N51:N69" si="83">IFERROR(LEFT(M51,FIND("],",M51)+S61),M51)</f>
        <v>none</v>
      </c>
      <c r="O51" s="64" t="e">
        <f t="shared" si="58"/>
        <v>#VALUE!</v>
      </c>
      <c r="P51" s="64">
        <f t="shared" si="59"/>
        <v>4</v>
      </c>
      <c r="Q51" s="64" t="e">
        <f t="shared" si="60"/>
        <v>#VALUE!</v>
      </c>
      <c r="R51" s="64" t="e">
        <f t="shared" si="61"/>
        <v>#VALUE!</v>
      </c>
      <c r="S51" s="64" t="str">
        <f>IFERROR(VLOOKUP(MID(N51,Q51,R51-Q51),[5]skilldef!$C:$D,2,FALSE),"-") &amp; " / " &amp; IFERROR(VLOOKUP(MID(N51,O51,P51-O51),[5]skilldef!$A:$B,2,FALSE),"-")</f>
        <v>- / -</v>
      </c>
      <c r="T51" s="48" t="str">
        <f t="shared" si="62"/>
        <v>none</v>
      </c>
      <c r="U51" s="64" t="e">
        <f t="shared" si="63"/>
        <v>#VALUE!</v>
      </c>
      <c r="V51" s="64">
        <f t="shared" si="64"/>
        <v>4</v>
      </c>
      <c r="W51" s="64" t="e">
        <f t="shared" si="65"/>
        <v>#VALUE!</v>
      </c>
      <c r="X51" s="64" t="e">
        <f t="shared" si="66"/>
        <v>#VALUE!</v>
      </c>
      <c r="Y51" s="64" t="str">
        <f>IFERROR(VLOOKUP(MID(T51,W51,X51-W51),[5]skilldef!$C:$D,2,FALSE),"-") &amp; " / " &amp; IFERROR(VLOOKUP(MID(T51,U51,V51-U51),[5]skilldef!$A:$B,2,FALSE),"-")</f>
        <v>- / -</v>
      </c>
      <c r="Z51" s="50"/>
      <c r="AA51" s="52"/>
      <c r="AB51" s="50"/>
    </row>
    <row r="52" spans="1:28" ht="21" customHeight="1" x14ac:dyDescent="0.15">
      <c r="A52" s="47">
        <v>47002051</v>
      </c>
      <c r="B52" s="47" t="s">
        <v>260</v>
      </c>
      <c r="C52" s="50">
        <v>1</v>
      </c>
      <c r="D52" s="50" t="s">
        <v>126</v>
      </c>
      <c r="E52" s="107" t="s">
        <v>269</v>
      </c>
      <c r="F52" s="107" t="s">
        <v>269</v>
      </c>
      <c r="G52" s="64" t="str">
        <f t="shared" si="52"/>
        <v>[effect:nothing]</v>
      </c>
      <c r="H52" s="64">
        <f t="shared" si="53"/>
        <v>9</v>
      </c>
      <c r="I52" s="64">
        <f t="shared" si="54"/>
        <v>16</v>
      </c>
      <c r="J52" s="64" t="e">
        <f t="shared" si="55"/>
        <v>#VALUE!</v>
      </c>
      <c r="K52" s="64" t="e">
        <f t="shared" si="56"/>
        <v>#VALUE!</v>
      </c>
      <c r="L52" s="64" t="str">
        <f>IFERROR(VLOOKUP(MID(G52,J52,K52-J52),[5]skilldef!$C:$D,2,FALSE),"-") &amp; " / " &amp; IFERROR(VLOOKUP(MID(G52,H52,I52-H52),[5]skilldef!$A:$B,2,FALSE),"-")</f>
        <v>- / 何もしない</v>
      </c>
      <c r="M52" s="64" t="str">
        <f t="shared" si="57"/>
        <v>none</v>
      </c>
      <c r="N52" s="48" t="str">
        <f t="shared" si="83"/>
        <v>none</v>
      </c>
      <c r="O52" s="64" t="e">
        <f t="shared" si="58"/>
        <v>#VALUE!</v>
      </c>
      <c r="P52" s="64">
        <f t="shared" si="59"/>
        <v>4</v>
      </c>
      <c r="Q52" s="64" t="e">
        <f t="shared" si="60"/>
        <v>#VALUE!</v>
      </c>
      <c r="R52" s="64" t="e">
        <f t="shared" si="61"/>
        <v>#VALUE!</v>
      </c>
      <c r="S52" s="64" t="str">
        <f>IFERROR(VLOOKUP(MID(N52,Q52,R52-Q52),[5]skilldef!$C:$D,2,FALSE),"-") &amp; " / " &amp; IFERROR(VLOOKUP(MID(N52,O52,P52-O52),[5]skilldef!$A:$B,2,FALSE),"-")</f>
        <v>- / -</v>
      </c>
      <c r="T52" s="48" t="str">
        <f t="shared" si="62"/>
        <v>none</v>
      </c>
      <c r="U52" s="64" t="e">
        <f t="shared" si="63"/>
        <v>#VALUE!</v>
      </c>
      <c r="V52" s="64">
        <f t="shared" si="64"/>
        <v>4</v>
      </c>
      <c r="W52" s="64" t="e">
        <f t="shared" si="65"/>
        <v>#VALUE!</v>
      </c>
      <c r="X52" s="64" t="e">
        <f t="shared" si="66"/>
        <v>#VALUE!</v>
      </c>
      <c r="Y52" s="64" t="str">
        <f>IFERROR(VLOOKUP(MID(T52,W52,X52-W52),[5]skilldef!$C:$D,2,FALSE),"-") &amp; " / " &amp; IFERROR(VLOOKUP(MID(T52,U52,V52-U52),[5]skilldef!$A:$B,2,FALSE),"-")</f>
        <v>- / -</v>
      </c>
      <c r="Z52" s="50"/>
      <c r="AA52" s="52"/>
      <c r="AB52" s="50"/>
    </row>
    <row r="53" spans="1:28" ht="21" customHeight="1" x14ac:dyDescent="0.15">
      <c r="A53" s="47">
        <v>47002052</v>
      </c>
      <c r="B53" s="47" t="s">
        <v>260</v>
      </c>
      <c r="C53" s="50">
        <v>1</v>
      </c>
      <c r="D53" s="50" t="s">
        <v>126</v>
      </c>
      <c r="E53" s="107" t="s">
        <v>269</v>
      </c>
      <c r="F53" s="107" t="s">
        <v>269</v>
      </c>
      <c r="G53" s="64" t="str">
        <f t="shared" si="52"/>
        <v>[effect:nothing]</v>
      </c>
      <c r="H53" s="64">
        <f t="shared" si="53"/>
        <v>9</v>
      </c>
      <c r="I53" s="64">
        <f t="shared" si="54"/>
        <v>16</v>
      </c>
      <c r="J53" s="64" t="e">
        <f t="shared" si="55"/>
        <v>#VALUE!</v>
      </c>
      <c r="K53" s="64" t="e">
        <f t="shared" si="56"/>
        <v>#VALUE!</v>
      </c>
      <c r="L53" s="64" t="str">
        <f>IFERROR(VLOOKUP(MID(G53,J53,K53-J53),[5]skilldef!$C:$D,2,FALSE),"-") &amp; " / " &amp; IFERROR(VLOOKUP(MID(G53,H53,I53-H53),[5]skilldef!$A:$B,2,FALSE),"-")</f>
        <v>- / 何もしない</v>
      </c>
      <c r="M53" s="64" t="str">
        <f t="shared" si="57"/>
        <v>none</v>
      </c>
      <c r="N53" s="48" t="str">
        <f t="shared" si="83"/>
        <v>none</v>
      </c>
      <c r="O53" s="64" t="e">
        <f t="shared" si="58"/>
        <v>#VALUE!</v>
      </c>
      <c r="P53" s="64">
        <f t="shared" si="59"/>
        <v>4</v>
      </c>
      <c r="Q53" s="64" t="e">
        <f t="shared" si="60"/>
        <v>#VALUE!</v>
      </c>
      <c r="R53" s="64" t="e">
        <f t="shared" si="61"/>
        <v>#VALUE!</v>
      </c>
      <c r="S53" s="64" t="str">
        <f>IFERROR(VLOOKUP(MID(N53,Q53,R53-Q53),[5]skilldef!$C:$D,2,FALSE),"-") &amp; " / " &amp; IFERROR(VLOOKUP(MID(N53,O53,P53-O53),[5]skilldef!$A:$B,2,FALSE),"-")</f>
        <v>- / -</v>
      </c>
      <c r="T53" s="48" t="str">
        <f t="shared" si="62"/>
        <v>none</v>
      </c>
      <c r="U53" s="64" t="e">
        <f t="shared" si="63"/>
        <v>#VALUE!</v>
      </c>
      <c r="V53" s="64">
        <f t="shared" si="64"/>
        <v>4</v>
      </c>
      <c r="W53" s="64" t="e">
        <f t="shared" si="65"/>
        <v>#VALUE!</v>
      </c>
      <c r="X53" s="64" t="e">
        <f t="shared" si="66"/>
        <v>#VALUE!</v>
      </c>
      <c r="Y53" s="64" t="str">
        <f>IFERROR(VLOOKUP(MID(T53,W53,X53-W53),[5]skilldef!$C:$D,2,FALSE),"-") &amp; " / " &amp; IFERROR(VLOOKUP(MID(T53,U53,V53-U53),[5]skilldef!$A:$B,2,FALSE),"-")</f>
        <v>- / -</v>
      </c>
      <c r="Z53" s="50"/>
      <c r="AA53" s="52"/>
      <c r="AB53" s="50"/>
    </row>
    <row r="54" spans="1:28" ht="21" customHeight="1" x14ac:dyDescent="0.15">
      <c r="A54" s="47">
        <v>47002053</v>
      </c>
      <c r="B54" s="47" t="s">
        <v>374</v>
      </c>
      <c r="C54" s="50">
        <v>3</v>
      </c>
      <c r="D54" s="50" t="s">
        <v>126</v>
      </c>
      <c r="E54" s="51" t="s">
        <v>369</v>
      </c>
      <c r="F54" s="147" t="s">
        <v>327</v>
      </c>
      <c r="G54" s="64" t="str">
        <f t="shared" si="52"/>
        <v>[effect:enemy_message, val1:1.8, val2:1.8]</v>
      </c>
      <c r="H54" s="64">
        <f t="shared" si="53"/>
        <v>9</v>
      </c>
      <c r="I54" s="64">
        <f t="shared" si="54"/>
        <v>22</v>
      </c>
      <c r="J54" s="64" t="e">
        <f t="shared" si="55"/>
        <v>#VALUE!</v>
      </c>
      <c r="K54" s="64">
        <f t="shared" si="56"/>
        <v>32</v>
      </c>
      <c r="L54" s="64" t="str">
        <f>IFERROR(VLOOKUP(MID(G54,J54,K54-J54),[5]skilldef!$C:$D,2,FALSE),"-") &amp; " / " &amp; IFERROR(VLOOKUP(MID(G54,H54,I54-H54),[5]skilldef!$A:$B,2,FALSE),"-")</f>
        <v>- / -</v>
      </c>
      <c r="M54" s="64" t="str">
        <f t="shared" si="57"/>
        <v>[effect:tolerance, target:myself, turn:-1, tolerance_effect:hungup, count:-1],[effect:tolerance, target:myself, turn:-1, tolerance_effect:sleep, count:-1, animation:enemy_tolerance]</v>
      </c>
      <c r="N54" s="48" t="str">
        <f t="shared" si="83"/>
        <v>[effect:tolerance, target:myself, turn:-1, tolerance_effect:hungup, count:-1],[effect:tolerance, target:myself, turn:-1, tolerance_effect:sleep, count:-1, animation:enemy_tolerance]</v>
      </c>
      <c r="O54" s="64">
        <f t="shared" si="58"/>
        <v>9</v>
      </c>
      <c r="P54" s="64">
        <f t="shared" si="59"/>
        <v>18</v>
      </c>
      <c r="Q54" s="64">
        <f t="shared" si="60"/>
        <v>27</v>
      </c>
      <c r="R54" s="64">
        <f t="shared" si="61"/>
        <v>33</v>
      </c>
      <c r="S54" s="64" t="str">
        <f>IFERROR(VLOOKUP(MID(N54,Q54,R54-Q54),[5]skilldef!$C:$D,2,FALSE),"-") &amp; " / " &amp; IFERROR(VLOOKUP(MID(N54,O54,P54-O54),[5]skilldef!$A:$B,2,FALSE),"-")</f>
        <v>自分自身に / 状態異常耐性</v>
      </c>
      <c r="T54" s="48" t="str">
        <f t="shared" si="62"/>
        <v>[effect:tolerance, target:myself, turn:-1, tolerance_effect:sleep, count:-1, animation:enemy_tolerance]</v>
      </c>
      <c r="U54" s="64">
        <f t="shared" si="63"/>
        <v>9</v>
      </c>
      <c r="V54" s="64">
        <f t="shared" si="64"/>
        <v>18</v>
      </c>
      <c r="W54" s="64">
        <f t="shared" si="65"/>
        <v>27</v>
      </c>
      <c r="X54" s="64">
        <f t="shared" si="66"/>
        <v>33</v>
      </c>
      <c r="Y54" s="64" t="str">
        <f>IFERROR(VLOOKUP(MID(T54,W54,X54-W54),[5]skilldef!$C:$D,2,FALSE),"-") &amp; " / " &amp; IFERROR(VLOOKUP(MID(T54,U54,V54-U54),[5]skilldef!$A:$B,2,FALSE),"-")</f>
        <v>自分自身に / 状態異常耐性</v>
      </c>
      <c r="Z54" s="50"/>
      <c r="AA54" s="52"/>
      <c r="AB54" s="50"/>
    </row>
    <row r="55" spans="1:28" ht="21" customHeight="1" x14ac:dyDescent="0.15">
      <c r="A55" s="47">
        <v>47002054</v>
      </c>
      <c r="B55" s="47" t="s">
        <v>279</v>
      </c>
      <c r="C55" s="50">
        <v>3</v>
      </c>
      <c r="D55" s="50" t="s">
        <v>126</v>
      </c>
      <c r="E55" s="51" t="s">
        <v>371</v>
      </c>
      <c r="F55" s="51" t="s">
        <v>258</v>
      </c>
      <c r="G55" s="64" t="str">
        <f t="shared" si="52"/>
        <v>[effect:break_attack, val:0.08, lowest_val:5000, count:20, block:block_blue, target:unit_one]</v>
      </c>
      <c r="H55" s="64">
        <f t="shared" si="53"/>
        <v>9</v>
      </c>
      <c r="I55" s="64">
        <f t="shared" si="54"/>
        <v>21</v>
      </c>
      <c r="J55" s="64">
        <f t="shared" si="55"/>
        <v>85</v>
      </c>
      <c r="K55" s="64">
        <f t="shared" si="56"/>
        <v>31</v>
      </c>
      <c r="L55" s="64" t="str">
        <f>IFERROR(VLOOKUP(MID(G55,J55,K55-J55),[5]skilldef!$C:$D,2,FALSE),"-") &amp; " / " &amp; IFERROR(VLOOKUP(MID(G55,H55,I55-H55),[5]skilldef!$A:$B,2,FALSE),"-")</f>
        <v>- / -</v>
      </c>
      <c r="M55" s="64" t="str">
        <f t="shared" si="57"/>
        <v>none</v>
      </c>
      <c r="N55" s="48" t="str">
        <f t="shared" si="83"/>
        <v>none</v>
      </c>
      <c r="O55" s="64" t="e">
        <f t="shared" si="58"/>
        <v>#VALUE!</v>
      </c>
      <c r="P55" s="64">
        <f t="shared" si="59"/>
        <v>4</v>
      </c>
      <c r="Q55" s="64" t="e">
        <f t="shared" si="60"/>
        <v>#VALUE!</v>
      </c>
      <c r="R55" s="64" t="e">
        <f t="shared" si="61"/>
        <v>#VALUE!</v>
      </c>
      <c r="S55" s="64" t="str">
        <f>IFERROR(VLOOKUP(MID(N55,Q55,R55-Q55),[5]skilldef!$C:$D,2,FALSE),"-") &amp; " / " &amp; IFERROR(VLOOKUP(MID(N55,O55,P55-O55),[5]skilldef!$A:$B,2,FALSE),"-")</f>
        <v>- / -</v>
      </c>
      <c r="T55" s="48" t="str">
        <f t="shared" si="62"/>
        <v>none</v>
      </c>
      <c r="U55" s="64" t="e">
        <f t="shared" si="63"/>
        <v>#VALUE!</v>
      </c>
      <c r="V55" s="64">
        <f t="shared" si="64"/>
        <v>4</v>
      </c>
      <c r="W55" s="64" t="e">
        <f t="shared" si="65"/>
        <v>#VALUE!</v>
      </c>
      <c r="X55" s="64" t="e">
        <f t="shared" si="66"/>
        <v>#VALUE!</v>
      </c>
      <c r="Y55" s="64" t="str">
        <f>IFERROR(VLOOKUP(MID(T55,W55,X55-W55),[5]skilldef!$C:$D,2,FALSE),"-") &amp; " / " &amp; IFERROR(VLOOKUP(MID(T55,U55,V55-U55),[5]skilldef!$A:$B,2,FALSE),"-")</f>
        <v>- / -</v>
      </c>
      <c r="Z55" s="50"/>
      <c r="AA55" s="52"/>
      <c r="AB55" s="50"/>
    </row>
    <row r="56" spans="1:28" ht="21" customHeight="1" x14ac:dyDescent="0.15">
      <c r="A56" s="47">
        <v>47002055</v>
      </c>
      <c r="B56" s="47" t="s">
        <v>338</v>
      </c>
      <c r="C56" s="50">
        <v>3</v>
      </c>
      <c r="D56" s="50" t="s">
        <v>126</v>
      </c>
      <c r="E56" s="51" t="s">
        <v>370</v>
      </c>
      <c r="F56" s="51" t="s">
        <v>259</v>
      </c>
      <c r="G56" s="64" t="str">
        <f t="shared" si="52"/>
        <v>[effect:spread, val:0.35]</v>
      </c>
      <c r="H56" s="64">
        <f t="shared" si="53"/>
        <v>9</v>
      </c>
      <c r="I56" s="64">
        <f t="shared" si="54"/>
        <v>15</v>
      </c>
      <c r="J56" s="64" t="e">
        <f t="shared" si="55"/>
        <v>#VALUE!</v>
      </c>
      <c r="K56" s="64" t="e">
        <f t="shared" si="56"/>
        <v>#VALUE!</v>
      </c>
      <c r="L56" s="64" t="str">
        <f>IFERROR(VLOOKUP(MID(G56,J56,K56-J56),[5]skilldef!$C:$D,2,FALSE),"-") &amp; " / " &amp; IFERROR(VLOOKUP(MID(G56,H56,I56-H56),[5]skilldef!$A:$B,2,FALSE),"-")</f>
        <v>- / 全体攻撃</v>
      </c>
      <c r="M56" s="64" t="str">
        <f t="shared" si="57"/>
        <v>none</v>
      </c>
      <c r="N56" s="48" t="str">
        <f t="shared" si="83"/>
        <v>none</v>
      </c>
      <c r="O56" s="64" t="e">
        <f t="shared" si="58"/>
        <v>#VALUE!</v>
      </c>
      <c r="P56" s="64">
        <f t="shared" si="59"/>
        <v>4</v>
      </c>
      <c r="Q56" s="64" t="e">
        <f t="shared" si="60"/>
        <v>#VALUE!</v>
      </c>
      <c r="R56" s="64" t="e">
        <f t="shared" si="61"/>
        <v>#VALUE!</v>
      </c>
      <c r="S56" s="64" t="str">
        <f>IFERROR(VLOOKUP(MID(N56,Q56,R56-Q56),[5]skilldef!$C:$D,2,FALSE),"-") &amp; " / " &amp; IFERROR(VLOOKUP(MID(N56,O56,P56-O56),[5]skilldef!$A:$B,2,FALSE),"-")</f>
        <v>- / -</v>
      </c>
      <c r="T56" s="48" t="str">
        <f t="shared" si="62"/>
        <v>none</v>
      </c>
      <c r="U56" s="64" t="e">
        <f t="shared" si="63"/>
        <v>#VALUE!</v>
      </c>
      <c r="V56" s="64">
        <f t="shared" si="64"/>
        <v>4</v>
      </c>
      <c r="W56" s="64" t="e">
        <f t="shared" si="65"/>
        <v>#VALUE!</v>
      </c>
      <c r="X56" s="64" t="e">
        <f t="shared" si="66"/>
        <v>#VALUE!</v>
      </c>
      <c r="Y56" s="64" t="str">
        <f>IFERROR(VLOOKUP(MID(T56,W56,X56-W56),[5]skilldef!$C:$D,2,FALSE),"-") &amp; " / " &amp; IFERROR(VLOOKUP(MID(T56,U56,V56-U56),[5]skilldef!$A:$B,2,FALSE),"-")</f>
        <v>- / -</v>
      </c>
      <c r="Z56" s="50"/>
      <c r="AA56" s="52"/>
      <c r="AB56" s="50"/>
    </row>
    <row r="57" spans="1:28" ht="21" customHeight="1" x14ac:dyDescent="0.15">
      <c r="A57" s="47">
        <v>47002056</v>
      </c>
      <c r="B57" s="47" t="s">
        <v>268</v>
      </c>
      <c r="C57" s="50">
        <v>3</v>
      </c>
      <c r="D57" s="50" t="s">
        <v>126</v>
      </c>
      <c r="E57" s="51" t="s">
        <v>372</v>
      </c>
      <c r="F57" s="51" t="s">
        <v>466</v>
      </c>
      <c r="G57" s="64" t="str">
        <f t="shared" si="52"/>
        <v>[effect:damage_gravity, val:0.6, animation:fevergauge_down]</v>
      </c>
      <c r="H57" s="64">
        <f t="shared" si="53"/>
        <v>9</v>
      </c>
      <c r="I57" s="64">
        <f t="shared" si="54"/>
        <v>23</v>
      </c>
      <c r="J57" s="64" t="e">
        <f t="shared" si="55"/>
        <v>#VALUE!</v>
      </c>
      <c r="K57" s="64">
        <f t="shared" si="56"/>
        <v>32</v>
      </c>
      <c r="L57" s="64" t="str">
        <f>IFERROR(VLOOKUP(MID(G57,J57,K57-J57),[5]skilldef!$C:$D,2,FALSE),"-") &amp; " / " &amp; IFERROR(VLOOKUP(MID(G57,H57,I57-H57),[5]skilldef!$A:$B,2,FALSE),"-")</f>
        <v>- / 割合ダメージ</v>
      </c>
      <c r="M57" s="64" t="str">
        <f t="shared" si="57"/>
        <v>none</v>
      </c>
      <c r="N57" s="48" t="str">
        <f t="shared" si="83"/>
        <v>none</v>
      </c>
      <c r="O57" s="64" t="e">
        <f t="shared" si="58"/>
        <v>#VALUE!</v>
      </c>
      <c r="P57" s="64">
        <f t="shared" si="59"/>
        <v>4</v>
      </c>
      <c r="Q57" s="64" t="e">
        <f t="shared" si="60"/>
        <v>#VALUE!</v>
      </c>
      <c r="R57" s="64" t="e">
        <f t="shared" si="61"/>
        <v>#VALUE!</v>
      </c>
      <c r="S57" s="64" t="str">
        <f>IFERROR(VLOOKUP(MID(N57,Q57,R57-Q57),[5]skilldef!$C:$D,2,FALSE),"-") &amp; " / " &amp; IFERROR(VLOOKUP(MID(N57,O57,P57-O57),[5]skilldef!$A:$B,2,FALSE),"-")</f>
        <v>- / -</v>
      </c>
      <c r="T57" s="48" t="str">
        <f t="shared" si="62"/>
        <v>none</v>
      </c>
      <c r="U57" s="64" t="e">
        <f t="shared" si="63"/>
        <v>#VALUE!</v>
      </c>
      <c r="V57" s="64">
        <f t="shared" si="64"/>
        <v>4</v>
      </c>
      <c r="W57" s="64" t="e">
        <f t="shared" si="65"/>
        <v>#VALUE!</v>
      </c>
      <c r="X57" s="64" t="e">
        <f t="shared" si="66"/>
        <v>#VALUE!</v>
      </c>
      <c r="Y57" s="64" t="str">
        <f>IFERROR(VLOOKUP(MID(T57,W57,X57-W57),[5]skilldef!$C:$D,2,FALSE),"-") &amp; " / " &amp; IFERROR(VLOOKUP(MID(T57,U57,V57-U57),[5]skilldef!$A:$B,2,FALSE),"-")</f>
        <v>- / -</v>
      </c>
      <c r="Z57" s="50"/>
      <c r="AA57" s="52"/>
      <c r="AB57" s="50"/>
    </row>
    <row r="58" spans="1:28" ht="21" customHeight="1" x14ac:dyDescent="0.15">
      <c r="A58" s="47">
        <v>47002057</v>
      </c>
      <c r="B58" s="47" t="s">
        <v>260</v>
      </c>
      <c r="C58" s="50">
        <v>1</v>
      </c>
      <c r="D58" s="50" t="s">
        <v>126</v>
      </c>
      <c r="E58" s="106" t="s">
        <v>269</v>
      </c>
      <c r="F58" s="106" t="s">
        <v>269</v>
      </c>
      <c r="G58" s="64" t="str">
        <f t="shared" si="52"/>
        <v>[effect:nothing]</v>
      </c>
      <c r="H58" s="64">
        <f t="shared" si="53"/>
        <v>9</v>
      </c>
      <c r="I58" s="64">
        <f t="shared" si="54"/>
        <v>16</v>
      </c>
      <c r="J58" s="64" t="e">
        <f t="shared" si="55"/>
        <v>#VALUE!</v>
      </c>
      <c r="K58" s="64" t="e">
        <f t="shared" si="56"/>
        <v>#VALUE!</v>
      </c>
      <c r="L58" s="64" t="str">
        <f>IFERROR(VLOOKUP(MID(G58,J58,K58-J58),[5]skilldef!$C:$D,2,FALSE),"-") &amp; " / " &amp; IFERROR(VLOOKUP(MID(G58,H58,I58-H58),[5]skilldef!$A:$B,2,FALSE),"-")</f>
        <v>- / 何もしない</v>
      </c>
      <c r="M58" s="64" t="str">
        <f t="shared" si="57"/>
        <v>none</v>
      </c>
      <c r="N58" s="48" t="str">
        <f t="shared" si="83"/>
        <v>none</v>
      </c>
      <c r="O58" s="64" t="e">
        <f t="shared" si="58"/>
        <v>#VALUE!</v>
      </c>
      <c r="P58" s="64">
        <f t="shared" si="59"/>
        <v>4</v>
      </c>
      <c r="Q58" s="64" t="e">
        <f t="shared" si="60"/>
        <v>#VALUE!</v>
      </c>
      <c r="R58" s="64" t="e">
        <f t="shared" si="61"/>
        <v>#VALUE!</v>
      </c>
      <c r="S58" s="64" t="str">
        <f>IFERROR(VLOOKUP(MID(N58,Q58,R58-Q58),[5]skilldef!$C:$D,2,FALSE),"-") &amp; " / " &amp; IFERROR(VLOOKUP(MID(N58,O58,P58-O58),[5]skilldef!$A:$B,2,FALSE),"-")</f>
        <v>- / -</v>
      </c>
      <c r="T58" s="48" t="str">
        <f t="shared" si="62"/>
        <v>none</v>
      </c>
      <c r="U58" s="64" t="e">
        <f t="shared" si="63"/>
        <v>#VALUE!</v>
      </c>
      <c r="V58" s="64">
        <f t="shared" si="64"/>
        <v>4</v>
      </c>
      <c r="W58" s="64" t="e">
        <f t="shared" si="65"/>
        <v>#VALUE!</v>
      </c>
      <c r="X58" s="64" t="e">
        <f t="shared" si="66"/>
        <v>#VALUE!</v>
      </c>
      <c r="Y58" s="64" t="str">
        <f>IFERROR(VLOOKUP(MID(T58,W58,X58-W58),[5]skilldef!$C:$D,2,FALSE),"-") &amp; " / " &amp; IFERROR(VLOOKUP(MID(T58,U58,V58-U58),[5]skilldef!$A:$B,2,FALSE),"-")</f>
        <v>- / -</v>
      </c>
      <c r="Z58" s="50"/>
      <c r="AA58" s="52"/>
      <c r="AB58" s="50"/>
    </row>
    <row r="59" spans="1:28" ht="21" customHeight="1" x14ac:dyDescent="0.15">
      <c r="A59" s="47">
        <v>47002058</v>
      </c>
      <c r="B59" s="47" t="s">
        <v>260</v>
      </c>
      <c r="C59" s="50">
        <v>1</v>
      </c>
      <c r="D59" s="50" t="s">
        <v>126</v>
      </c>
      <c r="E59" s="107" t="s">
        <v>269</v>
      </c>
      <c r="F59" s="107" t="s">
        <v>269</v>
      </c>
      <c r="G59" s="64" t="str">
        <f t="shared" si="52"/>
        <v>[effect:nothing]</v>
      </c>
      <c r="H59" s="64">
        <f t="shared" si="53"/>
        <v>9</v>
      </c>
      <c r="I59" s="64">
        <f t="shared" si="54"/>
        <v>16</v>
      </c>
      <c r="J59" s="64" t="e">
        <f t="shared" si="55"/>
        <v>#VALUE!</v>
      </c>
      <c r="K59" s="64" t="e">
        <f t="shared" si="56"/>
        <v>#VALUE!</v>
      </c>
      <c r="L59" s="64" t="str">
        <f>IFERROR(VLOOKUP(MID(G59,J59,K59-J59),[5]skilldef!$C:$D,2,FALSE),"-") &amp; " / " &amp; IFERROR(VLOOKUP(MID(G59,H59,I59-H59),[5]skilldef!$A:$B,2,FALSE),"-")</f>
        <v>- / 何もしない</v>
      </c>
      <c r="M59" s="64" t="str">
        <f t="shared" si="57"/>
        <v>none</v>
      </c>
      <c r="N59" s="48" t="str">
        <f t="shared" si="83"/>
        <v>none</v>
      </c>
      <c r="O59" s="64" t="e">
        <f t="shared" si="58"/>
        <v>#VALUE!</v>
      </c>
      <c r="P59" s="64">
        <f t="shared" si="59"/>
        <v>4</v>
      </c>
      <c r="Q59" s="64" t="e">
        <f t="shared" si="60"/>
        <v>#VALUE!</v>
      </c>
      <c r="R59" s="64" t="e">
        <f t="shared" si="61"/>
        <v>#VALUE!</v>
      </c>
      <c r="S59" s="64" t="str">
        <f>IFERROR(VLOOKUP(MID(N59,Q59,R59-Q59),[5]skilldef!$C:$D,2,FALSE),"-") &amp; " / " &amp; IFERROR(VLOOKUP(MID(N59,O59,P59-O59),[5]skilldef!$A:$B,2,FALSE),"-")</f>
        <v>- / -</v>
      </c>
      <c r="T59" s="48" t="str">
        <f t="shared" si="62"/>
        <v>none</v>
      </c>
      <c r="U59" s="64" t="e">
        <f t="shared" si="63"/>
        <v>#VALUE!</v>
      </c>
      <c r="V59" s="64">
        <f t="shared" si="64"/>
        <v>4</v>
      </c>
      <c r="W59" s="64" t="e">
        <f t="shared" si="65"/>
        <v>#VALUE!</v>
      </c>
      <c r="X59" s="64" t="e">
        <f t="shared" si="66"/>
        <v>#VALUE!</v>
      </c>
      <c r="Y59" s="64" t="str">
        <f>IFERROR(VLOOKUP(MID(T59,W59,X59-W59),[5]skilldef!$C:$D,2,FALSE),"-") &amp; " / " &amp; IFERROR(VLOOKUP(MID(T59,U59,V59-U59),[5]skilldef!$A:$B,2,FALSE),"-")</f>
        <v>- / -</v>
      </c>
      <c r="Z59" s="50"/>
      <c r="AA59" s="52"/>
      <c r="AB59" s="50"/>
    </row>
    <row r="60" spans="1:28" ht="21" customHeight="1" x14ac:dyDescent="0.15">
      <c r="A60" s="47">
        <v>47002059</v>
      </c>
      <c r="B60" s="47" t="s">
        <v>260</v>
      </c>
      <c r="C60" s="50">
        <v>1</v>
      </c>
      <c r="D60" s="50" t="s">
        <v>126</v>
      </c>
      <c r="E60" s="107" t="s">
        <v>269</v>
      </c>
      <c r="F60" s="107" t="s">
        <v>269</v>
      </c>
      <c r="G60" s="64" t="str">
        <f t="shared" si="52"/>
        <v>[effect:nothing]</v>
      </c>
      <c r="H60" s="64">
        <f t="shared" si="53"/>
        <v>9</v>
      </c>
      <c r="I60" s="64">
        <f t="shared" si="54"/>
        <v>16</v>
      </c>
      <c r="J60" s="64" t="e">
        <f t="shared" si="55"/>
        <v>#VALUE!</v>
      </c>
      <c r="K60" s="64" t="e">
        <f t="shared" si="56"/>
        <v>#VALUE!</v>
      </c>
      <c r="L60" s="64" t="str">
        <f>IFERROR(VLOOKUP(MID(G60,J60,K60-J60),[5]skilldef!$C:$D,2,FALSE),"-") &amp; " / " &amp; IFERROR(VLOOKUP(MID(G60,H60,I60-H60),[5]skilldef!$A:$B,2,FALSE),"-")</f>
        <v>- / 何もしない</v>
      </c>
      <c r="M60" s="64" t="str">
        <f t="shared" si="57"/>
        <v>none</v>
      </c>
      <c r="N60" s="48" t="str">
        <f t="shared" si="83"/>
        <v>none</v>
      </c>
      <c r="O60" s="64" t="e">
        <f t="shared" si="58"/>
        <v>#VALUE!</v>
      </c>
      <c r="P60" s="64">
        <f t="shared" si="59"/>
        <v>4</v>
      </c>
      <c r="Q60" s="64" t="e">
        <f t="shared" si="60"/>
        <v>#VALUE!</v>
      </c>
      <c r="R60" s="64" t="e">
        <f t="shared" si="61"/>
        <v>#VALUE!</v>
      </c>
      <c r="S60" s="64" t="str">
        <f>IFERROR(VLOOKUP(MID(N60,Q60,R60-Q60),[5]skilldef!$C:$D,2,FALSE),"-") &amp; " / " &amp; IFERROR(VLOOKUP(MID(N60,O60,P60-O60),[5]skilldef!$A:$B,2,FALSE),"-")</f>
        <v>- / -</v>
      </c>
      <c r="T60" s="48" t="str">
        <f t="shared" si="62"/>
        <v>none</v>
      </c>
      <c r="U60" s="64" t="e">
        <f t="shared" si="63"/>
        <v>#VALUE!</v>
      </c>
      <c r="V60" s="64">
        <f t="shared" si="64"/>
        <v>4</v>
      </c>
      <c r="W60" s="64" t="e">
        <f t="shared" si="65"/>
        <v>#VALUE!</v>
      </c>
      <c r="X60" s="64" t="e">
        <f t="shared" si="66"/>
        <v>#VALUE!</v>
      </c>
      <c r="Y60" s="64" t="str">
        <f>IFERROR(VLOOKUP(MID(T60,W60,X60-W60),[5]skilldef!$C:$D,2,FALSE),"-") &amp; " / " &amp; IFERROR(VLOOKUP(MID(T60,U60,V60-U60),[5]skilldef!$A:$B,2,FALSE),"-")</f>
        <v>- / -</v>
      </c>
      <c r="Z60" s="50"/>
      <c r="AA60" s="52"/>
      <c r="AB60" s="50"/>
    </row>
    <row r="61" spans="1:28" ht="21" customHeight="1" x14ac:dyDescent="0.15">
      <c r="A61" s="47">
        <v>47002060</v>
      </c>
      <c r="B61" s="47" t="s">
        <v>380</v>
      </c>
      <c r="C61" s="50">
        <v>3</v>
      </c>
      <c r="D61" s="50" t="s">
        <v>126</v>
      </c>
      <c r="E61" s="51" t="s">
        <v>375</v>
      </c>
      <c r="F61" s="51" t="s">
        <v>373</v>
      </c>
      <c r="G61" s="64" t="str">
        <f t="shared" si="52"/>
        <v>[effect:enemy_message, val1:1.6, val2:2.4]</v>
      </c>
      <c r="H61" s="64">
        <f t="shared" si="53"/>
        <v>9</v>
      </c>
      <c r="I61" s="64">
        <f t="shared" si="54"/>
        <v>22</v>
      </c>
      <c r="J61" s="64" t="e">
        <f t="shared" si="55"/>
        <v>#VALUE!</v>
      </c>
      <c r="K61" s="64">
        <f t="shared" si="56"/>
        <v>32</v>
      </c>
      <c r="L61" s="64" t="str">
        <f>IFERROR(VLOOKUP(MID(G61,J61,K61-J61),[5]skilldef!$C:$D,2,FALSE),"-") &amp; " / " &amp; IFERROR(VLOOKUP(MID(G61,H61,I61-H61),[5]skilldef!$A:$B,2,FALSE),"-")</f>
        <v>- / -</v>
      </c>
      <c r="M61" s="64" t="str">
        <f t="shared" si="57"/>
        <v>[effect:tolerance, target:myself, turn:-1, tolerance_effect:hungup, count:-1],[effect:tolerance, target:myself, turn:-1, tolerance_effect:sleep, count:-1, animation:enemy_tolerance],[effect:freq_turn, target:myself, turn:-1, val:1, animation:enemy_freq_turn]</v>
      </c>
      <c r="N61" s="48" t="str">
        <f t="shared" si="83"/>
        <v>[effect:tolerance, target:myself, turn:-1, tolerance_effect:hungup, count:-1],[effect:tolerance, target:myself, turn:-1, tolerance_effect:sleep, count:-1, animation:enemy_tolerance],[effect:freq_turn, target:myself, turn:-1, val:1, animation:enemy_freq_turn]</v>
      </c>
      <c r="O61" s="64">
        <f t="shared" si="58"/>
        <v>9</v>
      </c>
      <c r="P61" s="64">
        <f t="shared" si="59"/>
        <v>18</v>
      </c>
      <c r="Q61" s="64">
        <f t="shared" si="60"/>
        <v>27</v>
      </c>
      <c r="R61" s="64">
        <f t="shared" si="61"/>
        <v>33</v>
      </c>
      <c r="S61" s="64" t="str">
        <f>IFERROR(VLOOKUP(MID(N61,Q61,R61-Q61),[5]skilldef!$C:$D,2,FALSE),"-") &amp; " / " &amp; IFERROR(VLOOKUP(MID(N61,O61,P61-O61),[5]skilldef!$A:$B,2,FALSE),"-")</f>
        <v>自分自身に / 状態異常耐性</v>
      </c>
      <c r="T61" s="48" t="str">
        <f t="shared" si="62"/>
        <v>[effect:tolerance, target:myself, turn:-1, tolerance_effect:sleep, count:-1, animation:enemy_tolerance],[effect:freq_turn, target:myself, turn:-1, val:1, animation:enemy_freq_turn]</v>
      </c>
      <c r="U61" s="64">
        <f t="shared" si="63"/>
        <v>9</v>
      </c>
      <c r="V61" s="64">
        <f t="shared" si="64"/>
        <v>18</v>
      </c>
      <c r="W61" s="64">
        <f t="shared" si="65"/>
        <v>27</v>
      </c>
      <c r="X61" s="64">
        <f t="shared" si="66"/>
        <v>33</v>
      </c>
      <c r="Y61" s="64" t="str">
        <f>IFERROR(VLOOKUP(MID(T61,W61,X61-W61),[5]skilldef!$C:$D,2,FALSE),"-") &amp; " / " &amp; IFERROR(VLOOKUP(MID(T61,U61,V61-U61),[5]skilldef!$A:$B,2,FALSE),"-")</f>
        <v>自分自身に / 状態異常耐性</v>
      </c>
      <c r="Z61" s="50"/>
      <c r="AA61" s="52"/>
      <c r="AB61" s="50"/>
    </row>
    <row r="62" spans="1:28" ht="21" customHeight="1" x14ac:dyDescent="0.15">
      <c r="A62" s="47">
        <v>47002061</v>
      </c>
      <c r="B62" s="47" t="s">
        <v>442</v>
      </c>
      <c r="C62" s="50">
        <v>3</v>
      </c>
      <c r="D62" s="50" t="s">
        <v>126</v>
      </c>
      <c r="E62" s="51" t="s">
        <v>445</v>
      </c>
      <c r="F62" s="51" t="s">
        <v>441</v>
      </c>
      <c r="G62" s="64" t="str">
        <f t="shared" si="52"/>
        <v>[effect:break_attack, val:0.06, lowest_val:5000, count:20, block:block_red, target:unit_one]</v>
      </c>
      <c r="H62" s="64">
        <f t="shared" si="53"/>
        <v>9</v>
      </c>
      <c r="I62" s="64">
        <f t="shared" si="54"/>
        <v>21</v>
      </c>
      <c r="J62" s="64">
        <f t="shared" si="55"/>
        <v>84</v>
      </c>
      <c r="K62" s="64">
        <f t="shared" si="56"/>
        <v>31</v>
      </c>
      <c r="L62" s="64" t="str">
        <f>IFERROR(VLOOKUP(MID(G62,J62,K62-J62),[5]skilldef!$C:$D,2,FALSE),"-") &amp; " / " &amp; IFERROR(VLOOKUP(MID(G62,H62,I62-H62),[5]skilldef!$A:$B,2,FALSE),"-")</f>
        <v>- / -</v>
      </c>
      <c r="M62" s="64" t="str">
        <f t="shared" si="57"/>
        <v>none</v>
      </c>
      <c r="N62" s="48" t="str">
        <f t="shared" si="83"/>
        <v>none</v>
      </c>
      <c r="O62" s="64" t="e">
        <f t="shared" si="58"/>
        <v>#VALUE!</v>
      </c>
      <c r="P62" s="64">
        <f t="shared" si="59"/>
        <v>4</v>
      </c>
      <c r="Q62" s="64" t="e">
        <f t="shared" si="60"/>
        <v>#VALUE!</v>
      </c>
      <c r="R62" s="64" t="e">
        <f t="shared" si="61"/>
        <v>#VALUE!</v>
      </c>
      <c r="S62" s="64" t="str">
        <f>IFERROR(VLOOKUP(MID(N62,Q62,R62-Q62),[5]skilldef!$C:$D,2,FALSE),"-") &amp; " / " &amp; IFERROR(VLOOKUP(MID(N62,O62,P62-O62),[5]skilldef!$A:$B,2,FALSE),"-")</f>
        <v>- / -</v>
      </c>
      <c r="T62" s="48" t="str">
        <f t="shared" si="62"/>
        <v>none</v>
      </c>
      <c r="U62" s="64" t="e">
        <f t="shared" si="63"/>
        <v>#VALUE!</v>
      </c>
      <c r="V62" s="64">
        <f t="shared" si="64"/>
        <v>4</v>
      </c>
      <c r="W62" s="64" t="e">
        <f t="shared" si="65"/>
        <v>#VALUE!</v>
      </c>
      <c r="X62" s="64" t="e">
        <f t="shared" si="66"/>
        <v>#VALUE!</v>
      </c>
      <c r="Y62" s="64" t="str">
        <f>IFERROR(VLOOKUP(MID(T62,W62,X62-W62),[5]skilldef!$C:$D,2,FALSE),"-") &amp; " / " &amp; IFERROR(VLOOKUP(MID(T62,U62,V62-U62),[5]skilldef!$A:$B,2,FALSE),"-")</f>
        <v>- / -</v>
      </c>
      <c r="Z62" s="50"/>
      <c r="AA62" s="52"/>
      <c r="AB62" s="50"/>
    </row>
    <row r="63" spans="1:28" ht="21" customHeight="1" x14ac:dyDescent="0.15">
      <c r="A63" s="47">
        <v>47002062</v>
      </c>
      <c r="B63" s="47" t="s">
        <v>446</v>
      </c>
      <c r="C63" s="50">
        <v>3</v>
      </c>
      <c r="D63" s="50" t="s">
        <v>126</v>
      </c>
      <c r="E63" s="51" t="s">
        <v>444</v>
      </c>
      <c r="F63" s="51" t="s">
        <v>443</v>
      </c>
      <c r="G63" s="64" t="str">
        <f t="shared" si="52"/>
        <v>[effect:spread, val:0.3]</v>
      </c>
      <c r="H63" s="64">
        <f t="shared" si="53"/>
        <v>9</v>
      </c>
      <c r="I63" s="64">
        <f t="shared" si="54"/>
        <v>15</v>
      </c>
      <c r="J63" s="64" t="e">
        <f t="shared" si="55"/>
        <v>#VALUE!</v>
      </c>
      <c r="K63" s="64" t="e">
        <f t="shared" si="56"/>
        <v>#VALUE!</v>
      </c>
      <c r="L63" s="64" t="str">
        <f>IFERROR(VLOOKUP(MID(G63,J63,K63-J63),[5]skilldef!$C:$D,2,FALSE),"-") &amp; " / " &amp; IFERROR(VLOOKUP(MID(G63,H63,I63-H63),[5]skilldef!$A:$B,2,FALSE),"-")</f>
        <v>- / 全体攻撃</v>
      </c>
      <c r="M63" s="64" t="str">
        <f t="shared" si="57"/>
        <v>[effect:force_change_block, new_block:block_red, target:block_all, ignore:crash, ignore02:crack_bomb, count:10, val:0, animation:change_block]</v>
      </c>
      <c r="N63" s="48" t="str">
        <f t="shared" si="83"/>
        <v>[effect:force_change_block, new_block:block_red, target:block_all, ignore:crash, ignore02:crack_bomb, count:10, val:0, animation:change_block]</v>
      </c>
      <c r="O63" s="64">
        <f t="shared" si="58"/>
        <v>9</v>
      </c>
      <c r="P63" s="64">
        <f t="shared" si="59"/>
        <v>27</v>
      </c>
      <c r="Q63" s="64">
        <f t="shared" si="60"/>
        <v>57</v>
      </c>
      <c r="R63" s="64">
        <f t="shared" si="61"/>
        <v>48</v>
      </c>
      <c r="S63" s="64" t="str">
        <f>IFERROR(VLOOKUP(MID(N63,Q63,R63-Q63),[5]skilldef!$C:$D,2,FALSE),"-") &amp; " / " &amp; IFERROR(VLOOKUP(MID(N63,O63,P63-O63),[5]skilldef!$A:$B,2,FALSE),"-")</f>
        <v>- / -</v>
      </c>
      <c r="T63" s="48" t="str">
        <f t="shared" si="62"/>
        <v>none</v>
      </c>
      <c r="U63" s="64" t="e">
        <f t="shared" si="63"/>
        <v>#VALUE!</v>
      </c>
      <c r="V63" s="64">
        <f t="shared" si="64"/>
        <v>4</v>
      </c>
      <c r="W63" s="64" t="e">
        <f t="shared" si="65"/>
        <v>#VALUE!</v>
      </c>
      <c r="X63" s="64" t="e">
        <f t="shared" si="66"/>
        <v>#VALUE!</v>
      </c>
      <c r="Y63" s="64" t="str">
        <f>IFERROR(VLOOKUP(MID(T63,W63,X63-W63),[5]skilldef!$C:$D,2,FALSE),"-") &amp; " / " &amp; IFERROR(VLOOKUP(MID(T63,U63,V63-U63),[5]skilldef!$A:$B,2,FALSE),"-")</f>
        <v>- / -</v>
      </c>
      <c r="Z63" s="50"/>
      <c r="AA63" s="52"/>
      <c r="AB63" s="50"/>
    </row>
    <row r="64" spans="1:28" ht="21" customHeight="1" x14ac:dyDescent="0.15">
      <c r="A64" s="47">
        <v>47002063</v>
      </c>
      <c r="B64" s="47" t="s">
        <v>276</v>
      </c>
      <c r="C64" s="50">
        <v>3</v>
      </c>
      <c r="D64" s="50" t="s">
        <v>126</v>
      </c>
      <c r="E64" s="51" t="s">
        <v>384</v>
      </c>
      <c r="F64" s="51" t="s">
        <v>447</v>
      </c>
      <c r="G64" s="64" t="str">
        <f t="shared" si="52"/>
        <v>[effect:enhance_enemy, target:myself, turn:3, status:attack, val:0.3, calc:mul, animation:enemy_enhance_attack]</v>
      </c>
      <c r="H64" s="64">
        <f t="shared" si="53"/>
        <v>9</v>
      </c>
      <c r="I64" s="64">
        <f t="shared" si="54"/>
        <v>22</v>
      </c>
      <c r="J64" s="64">
        <f t="shared" si="55"/>
        <v>31</v>
      </c>
      <c r="K64" s="64">
        <f t="shared" si="56"/>
        <v>37</v>
      </c>
      <c r="L64" s="64" t="str">
        <f>IFERROR(VLOOKUP(MID(G64,J64,K64-J64),[5]skilldef!$C:$D,2,FALSE),"-") &amp; " / " &amp; IFERROR(VLOOKUP(MID(G64,H64,I64-H64),[5]skilldef!$A:$B,2,FALSE),"-")</f>
        <v>自分自身に / ステータス強化</v>
      </c>
      <c r="M64" s="64" t="str">
        <f t="shared" si="57"/>
        <v>none</v>
      </c>
      <c r="N64" s="48" t="str">
        <f t="shared" si="83"/>
        <v>none</v>
      </c>
      <c r="O64" s="64" t="e">
        <f t="shared" si="58"/>
        <v>#VALUE!</v>
      </c>
      <c r="P64" s="64">
        <f t="shared" si="59"/>
        <v>4</v>
      </c>
      <c r="Q64" s="64" t="e">
        <f t="shared" si="60"/>
        <v>#VALUE!</v>
      </c>
      <c r="R64" s="64" t="e">
        <f t="shared" si="61"/>
        <v>#VALUE!</v>
      </c>
      <c r="S64" s="64" t="str">
        <f>IFERROR(VLOOKUP(MID(N64,Q64,R64-Q64),[5]skilldef!$C:$D,2,FALSE),"-") &amp; " / " &amp; IFERROR(VLOOKUP(MID(N64,O64,P64-O64),[5]skilldef!$A:$B,2,FALSE),"-")</f>
        <v>- / -</v>
      </c>
      <c r="T64" s="48" t="str">
        <f t="shared" si="62"/>
        <v>none</v>
      </c>
      <c r="U64" s="64" t="e">
        <f t="shared" si="63"/>
        <v>#VALUE!</v>
      </c>
      <c r="V64" s="64">
        <f t="shared" si="64"/>
        <v>4</v>
      </c>
      <c r="W64" s="64" t="e">
        <f t="shared" si="65"/>
        <v>#VALUE!</v>
      </c>
      <c r="X64" s="64" t="e">
        <f t="shared" si="66"/>
        <v>#VALUE!</v>
      </c>
      <c r="Y64" s="64" t="str">
        <f>IFERROR(VLOOKUP(MID(T64,W64,X64-W64),[5]skilldef!$C:$D,2,FALSE),"-") &amp; " / " &amp; IFERROR(VLOOKUP(MID(T64,U64,V64-U64),[5]skilldef!$A:$B,2,FALSE),"-")</f>
        <v>- / -</v>
      </c>
      <c r="Z64" s="50"/>
      <c r="AA64" s="52"/>
      <c r="AB64" s="50"/>
    </row>
    <row r="65" spans="1:28" ht="21" customHeight="1" x14ac:dyDescent="0.15">
      <c r="A65" s="47">
        <v>47002064</v>
      </c>
      <c r="B65" s="47" t="s">
        <v>472</v>
      </c>
      <c r="C65" s="50">
        <v>3</v>
      </c>
      <c r="D65" s="50" t="s">
        <v>126</v>
      </c>
      <c r="E65" s="51" t="s">
        <v>385</v>
      </c>
      <c r="F65" s="51" t="s">
        <v>470</v>
      </c>
      <c r="G65" s="64" t="str">
        <f t="shared" si="52"/>
        <v>[effect:enemy_message, val1:1.0, val2:2.4]</v>
      </c>
      <c r="H65" s="64">
        <f t="shared" si="53"/>
        <v>9</v>
      </c>
      <c r="I65" s="64">
        <f t="shared" si="54"/>
        <v>22</v>
      </c>
      <c r="J65" s="64" t="e">
        <f t="shared" si="55"/>
        <v>#VALUE!</v>
      </c>
      <c r="K65" s="64">
        <f t="shared" si="56"/>
        <v>32</v>
      </c>
      <c r="L65" s="64" t="str">
        <f>IFERROR(VLOOKUP(MID(G65,J65,K65-J65),[5]skilldef!$C:$D,2,FALSE),"-") &amp; " / " &amp; IFERROR(VLOOKUP(MID(G65,H65,I65-H65),[5]skilldef!$A:$B,2,FALSE),"-")</f>
        <v>- / -</v>
      </c>
      <c r="M65" s="64" t="str">
        <f t="shared" si="57"/>
        <v>[effect:break_attack, val:0.01, lowest_val:2000, count:-1, block:block_red, target:unit_all],[effect:hungup, target:unit_blue/not, turn:3, rate:1, animation:hungup01]</v>
      </c>
      <c r="N65" s="48" t="str">
        <f t="shared" si="83"/>
        <v>[effect:break_attack, val:0.01, lowest_val:2000, count:-1, block:block_red, target:unit_all],[effect:hungup, target:unit_blue/not, turn:3, rate:1, animation:hungup01]</v>
      </c>
      <c r="O65" s="64">
        <f t="shared" si="58"/>
        <v>9</v>
      </c>
      <c r="P65" s="64">
        <f t="shared" si="59"/>
        <v>21</v>
      </c>
      <c r="Q65" s="64">
        <f t="shared" si="60"/>
        <v>84</v>
      </c>
      <c r="R65" s="64">
        <f t="shared" si="61"/>
        <v>31</v>
      </c>
      <c r="S65" s="64" t="str">
        <f>IFERROR(VLOOKUP(MID(N65,Q65,R65-Q65),[5]skilldef!$C:$D,2,FALSE),"-") &amp; " / " &amp; IFERROR(VLOOKUP(MID(N65,O65,P65-O65),[5]skilldef!$A:$B,2,FALSE),"-")</f>
        <v>- / -</v>
      </c>
      <c r="T65" s="48" t="str">
        <f t="shared" si="62"/>
        <v>[effect:hungup, target:unit_blue/not, turn:3, rate:1, animation:hungup01]</v>
      </c>
      <c r="U65" s="64">
        <f t="shared" si="63"/>
        <v>9</v>
      </c>
      <c r="V65" s="64">
        <f t="shared" si="64"/>
        <v>15</v>
      </c>
      <c r="W65" s="64">
        <f t="shared" si="65"/>
        <v>24</v>
      </c>
      <c r="X65" s="64">
        <f t="shared" si="66"/>
        <v>37</v>
      </c>
      <c r="Y65" s="64" t="str">
        <f>IFERROR(VLOOKUP(MID(T65,W65,X65-W65),[5]skilldef!$C:$D,2,FALSE),"-") &amp; " / " &amp; IFERROR(VLOOKUP(MID(T65,U65,V65-U65),[5]skilldef!$A:$B,2,FALSE),"-")</f>
        <v>- / ハングアップ</v>
      </c>
      <c r="Z65" s="50"/>
      <c r="AA65" s="52"/>
      <c r="AB65" s="50"/>
    </row>
    <row r="66" spans="1:28" ht="21" customHeight="1" x14ac:dyDescent="0.15">
      <c r="A66" s="145">
        <v>47002065</v>
      </c>
      <c r="B66" s="145" t="s">
        <v>473</v>
      </c>
      <c r="C66" s="50">
        <v>3</v>
      </c>
      <c r="D66" s="197" t="s">
        <v>126</v>
      </c>
      <c r="E66" s="150" t="s">
        <v>385</v>
      </c>
      <c r="F66" s="150" t="s">
        <v>471</v>
      </c>
      <c r="G66" s="64" t="str">
        <f t="shared" si="52"/>
        <v>[effect:enemy_message, val1:1.0, val2:2.4]</v>
      </c>
      <c r="H66" s="64">
        <f t="shared" si="53"/>
        <v>9</v>
      </c>
      <c r="I66" s="64">
        <f t="shared" si="54"/>
        <v>22</v>
      </c>
      <c r="J66" s="64" t="e">
        <f t="shared" si="55"/>
        <v>#VALUE!</v>
      </c>
      <c r="K66" s="64">
        <f t="shared" si="56"/>
        <v>32</v>
      </c>
      <c r="L66" s="64" t="str">
        <f>IFERROR(VLOOKUP(MID(G66,J66,K66-J66),[5]skilldef!$C:$D,2,FALSE),"-") &amp; " / " &amp; IFERROR(VLOOKUP(MID(G66,H66,I66-H66),[5]skilldef!$A:$B,2,FALSE),"-")</f>
        <v>- / -</v>
      </c>
      <c r="M66" s="64" t="str">
        <f t="shared" si="57"/>
        <v>[effect:break_attack, val:0.01, lowest_val:1000, count:-1, block:block_red, target:unit_all],[effect:hungup, target:unit_blue/not, turn:2, rate:1, animation:hungup01]</v>
      </c>
      <c r="N66" s="48" t="str">
        <f t="shared" si="83"/>
        <v>[effect:break_attack, val:0.01, lowest_val:1000, count:-1, block:block_red, target:unit_all],[effect:hungup, target:unit_blue/not, turn:2, rate:1, animation:hungup01]</v>
      </c>
      <c r="O66" s="64">
        <f t="shared" si="58"/>
        <v>9</v>
      </c>
      <c r="P66" s="64">
        <f t="shared" si="59"/>
        <v>21</v>
      </c>
      <c r="Q66" s="64">
        <f t="shared" si="60"/>
        <v>84</v>
      </c>
      <c r="R66" s="64">
        <f t="shared" si="61"/>
        <v>31</v>
      </c>
      <c r="S66" s="64" t="str">
        <f>IFERROR(VLOOKUP(MID(N66,Q66,R66-Q66),[5]skilldef!$C:$D,2,FALSE),"-") &amp; " / " &amp; IFERROR(VLOOKUP(MID(N66,O66,P66-O66),[5]skilldef!$A:$B,2,FALSE),"-")</f>
        <v>- / -</v>
      </c>
      <c r="T66" s="48" t="str">
        <f t="shared" si="62"/>
        <v>[effect:hungup, target:unit_blue/not, turn:2, rate:1, animation:hungup01]</v>
      </c>
      <c r="U66" s="64">
        <f t="shared" si="63"/>
        <v>9</v>
      </c>
      <c r="V66" s="64">
        <f t="shared" si="64"/>
        <v>15</v>
      </c>
      <c r="W66" s="64">
        <f t="shared" si="65"/>
        <v>24</v>
      </c>
      <c r="X66" s="64">
        <f t="shared" si="66"/>
        <v>37</v>
      </c>
      <c r="Y66" s="64" t="str">
        <f>IFERROR(VLOOKUP(MID(T66,W66,X66-W66),[5]skilldef!$C:$D,2,FALSE),"-") &amp; " / " &amp; IFERROR(VLOOKUP(MID(T66,U66,V66-U66),[5]skilldef!$A:$B,2,FALSE),"-")</f>
        <v>- / ハングアップ</v>
      </c>
      <c r="Z66" s="50"/>
      <c r="AA66" s="52"/>
      <c r="AB66" s="50"/>
    </row>
    <row r="67" spans="1:28" ht="21" customHeight="1" x14ac:dyDescent="0.15">
      <c r="A67" s="47">
        <v>47002066</v>
      </c>
      <c r="B67" s="47" t="s">
        <v>260</v>
      </c>
      <c r="C67" s="50">
        <v>1</v>
      </c>
      <c r="D67" s="50" t="s">
        <v>126</v>
      </c>
      <c r="E67" s="107" t="s">
        <v>269</v>
      </c>
      <c r="F67" s="51" t="s">
        <v>270</v>
      </c>
      <c r="G67" s="64" t="str">
        <f t="shared" si="52"/>
        <v>[effect:nothing]</v>
      </c>
      <c r="H67" s="64">
        <f t="shared" si="53"/>
        <v>9</v>
      </c>
      <c r="I67" s="64">
        <f t="shared" si="54"/>
        <v>16</v>
      </c>
      <c r="J67" s="64" t="e">
        <f t="shared" si="55"/>
        <v>#VALUE!</v>
      </c>
      <c r="K67" s="64" t="e">
        <f t="shared" si="56"/>
        <v>#VALUE!</v>
      </c>
      <c r="L67" s="64" t="str">
        <f>IFERROR(VLOOKUP(MID(G67,J67,K67-J67),[5]skilldef!$C:$D,2,FALSE),"-") &amp; " / " &amp; IFERROR(VLOOKUP(MID(G67,H67,I67-H67),[5]skilldef!$A:$B,2,FALSE),"-")</f>
        <v>- / 何もしない</v>
      </c>
      <c r="M67" s="64" t="str">
        <f t="shared" si="57"/>
        <v>none</v>
      </c>
      <c r="N67" s="48" t="str">
        <f t="shared" si="83"/>
        <v>none</v>
      </c>
      <c r="O67" s="64" t="e">
        <f t="shared" si="58"/>
        <v>#VALUE!</v>
      </c>
      <c r="P67" s="64">
        <f t="shared" si="59"/>
        <v>4</v>
      </c>
      <c r="Q67" s="64" t="e">
        <f t="shared" si="60"/>
        <v>#VALUE!</v>
      </c>
      <c r="R67" s="64" t="e">
        <f t="shared" si="61"/>
        <v>#VALUE!</v>
      </c>
      <c r="S67" s="64" t="str">
        <f>IFERROR(VLOOKUP(MID(N67,Q67,R67-Q67),[5]skilldef!$C:$D,2,FALSE),"-") &amp; " / " &amp; IFERROR(VLOOKUP(MID(N67,O67,P67-O67),[5]skilldef!$A:$B,2,FALSE),"-")</f>
        <v>- / -</v>
      </c>
      <c r="T67" s="48" t="str">
        <f t="shared" si="62"/>
        <v>none</v>
      </c>
      <c r="U67" s="64" t="e">
        <f t="shared" si="63"/>
        <v>#VALUE!</v>
      </c>
      <c r="V67" s="64">
        <f t="shared" si="64"/>
        <v>4</v>
      </c>
      <c r="W67" s="64" t="e">
        <f t="shared" si="65"/>
        <v>#VALUE!</v>
      </c>
      <c r="X67" s="64" t="e">
        <f t="shared" si="66"/>
        <v>#VALUE!</v>
      </c>
      <c r="Y67" s="64" t="str">
        <f>IFERROR(VLOOKUP(MID(T67,W67,X67-W67),[5]skilldef!$C:$D,2,FALSE),"-") &amp; " / " &amp; IFERROR(VLOOKUP(MID(T67,U67,V67-U67),[5]skilldef!$A:$B,2,FALSE),"-")</f>
        <v>- / -</v>
      </c>
      <c r="Z67" s="50"/>
      <c r="AA67" s="52"/>
      <c r="AB67" s="50"/>
    </row>
    <row r="68" spans="1:28" ht="21" customHeight="1" x14ac:dyDescent="0.15">
      <c r="A68" s="47">
        <v>47002067</v>
      </c>
      <c r="B68" s="47" t="s">
        <v>260</v>
      </c>
      <c r="C68" s="50">
        <v>1</v>
      </c>
      <c r="D68" s="50" t="s">
        <v>126</v>
      </c>
      <c r="E68" s="107" t="s">
        <v>269</v>
      </c>
      <c r="F68" s="51" t="s">
        <v>270</v>
      </c>
      <c r="G68" s="64" t="str">
        <f t="shared" si="52"/>
        <v>[effect:nothing]</v>
      </c>
      <c r="H68" s="64">
        <f t="shared" si="53"/>
        <v>9</v>
      </c>
      <c r="I68" s="64">
        <f t="shared" si="54"/>
        <v>16</v>
      </c>
      <c r="J68" s="64" t="e">
        <f t="shared" si="55"/>
        <v>#VALUE!</v>
      </c>
      <c r="K68" s="64" t="e">
        <f t="shared" si="56"/>
        <v>#VALUE!</v>
      </c>
      <c r="L68" s="64" t="str">
        <f>IFERROR(VLOOKUP(MID(G68,J68,K68-J68),[5]skilldef!$C:$D,2,FALSE),"-") &amp; " / " &amp; IFERROR(VLOOKUP(MID(G68,H68,I68-H68),[5]skilldef!$A:$B,2,FALSE),"-")</f>
        <v>- / 何もしない</v>
      </c>
      <c r="M68" s="64" t="str">
        <f t="shared" si="57"/>
        <v>none</v>
      </c>
      <c r="N68" s="48" t="str">
        <f t="shared" si="83"/>
        <v>none</v>
      </c>
      <c r="O68" s="64" t="e">
        <f t="shared" si="58"/>
        <v>#VALUE!</v>
      </c>
      <c r="P68" s="64">
        <f t="shared" si="59"/>
        <v>4</v>
      </c>
      <c r="Q68" s="64" t="e">
        <f t="shared" si="60"/>
        <v>#VALUE!</v>
      </c>
      <c r="R68" s="64" t="e">
        <f t="shared" si="61"/>
        <v>#VALUE!</v>
      </c>
      <c r="S68" s="64" t="str">
        <f>IFERROR(VLOOKUP(MID(N68,Q68,R68-Q68),[5]skilldef!$C:$D,2,FALSE),"-") &amp; " / " &amp; IFERROR(VLOOKUP(MID(N68,O68,P68-O68),[5]skilldef!$A:$B,2,FALSE),"-")</f>
        <v>- / -</v>
      </c>
      <c r="T68" s="48" t="str">
        <f t="shared" si="62"/>
        <v>none</v>
      </c>
      <c r="U68" s="64" t="e">
        <f t="shared" si="63"/>
        <v>#VALUE!</v>
      </c>
      <c r="V68" s="64">
        <f t="shared" si="64"/>
        <v>4</v>
      </c>
      <c r="W68" s="64" t="e">
        <f t="shared" si="65"/>
        <v>#VALUE!</v>
      </c>
      <c r="X68" s="64" t="e">
        <f t="shared" si="66"/>
        <v>#VALUE!</v>
      </c>
      <c r="Y68" s="64" t="str">
        <f>IFERROR(VLOOKUP(MID(T68,W68,X68-W68),[5]skilldef!$C:$D,2,FALSE),"-") &amp; " / " &amp; IFERROR(VLOOKUP(MID(T68,U68,V68-U68),[5]skilldef!$A:$B,2,FALSE),"-")</f>
        <v>- / -</v>
      </c>
      <c r="Z68" s="50"/>
      <c r="AA68" s="52"/>
      <c r="AB68" s="50"/>
    </row>
    <row r="69" spans="1:28" ht="21" customHeight="1" x14ac:dyDescent="0.15">
      <c r="A69" s="47">
        <v>47002068</v>
      </c>
      <c r="B69" s="47" t="s">
        <v>379</v>
      </c>
      <c r="C69" s="50">
        <v>3</v>
      </c>
      <c r="D69" s="50" t="s">
        <v>126</v>
      </c>
      <c r="E69" s="51" t="s">
        <v>378</v>
      </c>
      <c r="F69" s="51" t="s">
        <v>465</v>
      </c>
      <c r="G69" s="64" t="str">
        <f t="shared" si="52"/>
        <v>[effect:enemy_message, val1:1.8, val2:2.4]</v>
      </c>
      <c r="H69" s="64">
        <f t="shared" si="53"/>
        <v>9</v>
      </c>
      <c r="I69" s="64">
        <f t="shared" si="54"/>
        <v>22</v>
      </c>
      <c r="J69" s="64" t="e">
        <f t="shared" si="55"/>
        <v>#VALUE!</v>
      </c>
      <c r="K69" s="64">
        <f t="shared" si="56"/>
        <v>32</v>
      </c>
      <c r="L69" s="64" t="str">
        <f>IFERROR(VLOOKUP(MID(G69,J69,K69-J69),[5]skilldef!$C:$D,2,FALSE),"-") &amp; " / " &amp; IFERROR(VLOOKUP(MID(G69,H69,I69-H69),[5]skilldef!$A:$B,2,FALSE),"-")</f>
        <v>- / -</v>
      </c>
      <c r="M69" s="64" t="str">
        <f t="shared" si="57"/>
        <v>[effect:tolerance, target:myself, turn:-1, tolerance_effect:hungup, count:-1],[effect:tolerance, target:myself, turn:-1, tolerance_effect:sleep, count:-1, animation:enemy_tolerance],[effect:fix_speed, target:myself, turn:1],[effect:damage_gravity, val:0.8, animation:fevergauge_down]</v>
      </c>
      <c r="N69" s="48" t="str">
        <f t="shared" si="83"/>
        <v>[effect:tolerance, target:myself, turn:-1, tolerance_effect:hungup, count:-1],[effect:tolerance, target:myself, turn:-1, tolerance_effect:sleep, count:-1, animation:enemy_tolerance],[effect:fix_speed, target:myself, turn:1],[effect:damage_gravity, val:0.8, animation:fevergauge_down]</v>
      </c>
      <c r="O69" s="64">
        <f t="shared" si="58"/>
        <v>9</v>
      </c>
      <c r="P69" s="64">
        <f t="shared" si="59"/>
        <v>18</v>
      </c>
      <c r="Q69" s="64">
        <f t="shared" si="60"/>
        <v>27</v>
      </c>
      <c r="R69" s="64">
        <f t="shared" si="61"/>
        <v>33</v>
      </c>
      <c r="S69" s="64" t="str">
        <f>IFERROR(VLOOKUP(MID(N69,Q69,R69-Q69),[5]skilldef!$C:$D,2,FALSE),"-") &amp; " / " &amp; IFERROR(VLOOKUP(MID(N69,O69,P69-O69),[5]skilldef!$A:$B,2,FALSE),"-")</f>
        <v>自分自身に / 状態異常耐性</v>
      </c>
      <c r="T69" s="48" t="str">
        <f t="shared" si="62"/>
        <v>[effect:tolerance, target:myself, turn:-1, tolerance_effect:sleep, count:-1, animation:enemy_tolerance],[effect:fix_speed, target:myself, turn:1],[effect:damage_gravity, val:0.8, animation:fevergauge_down]</v>
      </c>
      <c r="U69" s="64">
        <f t="shared" si="63"/>
        <v>9</v>
      </c>
      <c r="V69" s="64">
        <f t="shared" si="64"/>
        <v>18</v>
      </c>
      <c r="W69" s="64">
        <f t="shared" si="65"/>
        <v>27</v>
      </c>
      <c r="X69" s="64">
        <f t="shared" si="66"/>
        <v>33</v>
      </c>
      <c r="Y69" s="64" t="str">
        <f>IFERROR(VLOOKUP(MID(T69,W69,X69-W69),[5]skilldef!$C:$D,2,FALSE),"-") &amp; " / " &amp; IFERROR(VLOOKUP(MID(T69,U69,V69-U69),[5]skilldef!$A:$B,2,FALSE),"-")</f>
        <v>自分自身に / 状態異常耐性</v>
      </c>
      <c r="Z69" s="50"/>
      <c r="AA69" s="52"/>
      <c r="AB69" s="50"/>
    </row>
    <row r="70" spans="1:28" ht="21" customHeight="1" x14ac:dyDescent="0.15">
      <c r="A70" s="47">
        <v>47002069</v>
      </c>
      <c r="B70" s="47" t="s">
        <v>450</v>
      </c>
      <c r="C70" s="50">
        <v>3</v>
      </c>
      <c r="D70" s="50" t="s">
        <v>126</v>
      </c>
      <c r="E70" s="51" t="s">
        <v>448</v>
      </c>
      <c r="F70" s="51" t="s">
        <v>449</v>
      </c>
      <c r="G70" s="64" t="str">
        <f t="shared" ref="G70:G77" si="84">IFERROR(LEFT(B70,FIND("],",B70)),B70)</f>
        <v>[effect:enemy_message, val1:1.4, val2:2.4]</v>
      </c>
      <c r="H70" s="64">
        <f t="shared" ref="H70:H77" si="85">FIND("effect:",G70)+7</f>
        <v>9</v>
      </c>
      <c r="I70" s="64">
        <f t="shared" ref="I70:I77" si="86">IFERROR(FIND(",",G70),LEN(G70))</f>
        <v>22</v>
      </c>
      <c r="J70" s="64" t="e">
        <f t="shared" ref="J70:J77" si="87">FIND("target:",G70)+7</f>
        <v>#VALUE!</v>
      </c>
      <c r="K70" s="64">
        <f t="shared" ref="K70:K77" si="88">FIND(",",G70,I70+1)</f>
        <v>32</v>
      </c>
      <c r="L70" s="64" t="str">
        <f>IFERROR(VLOOKUP(MID(G70,J70,K70-J70),[5]skilldef!$C:$D,2,FALSE),"-") &amp; " / " &amp; IFERROR(VLOOKUP(MID(G70,H70,I70-H70),[5]skilldef!$A:$B,2,FALSE),"-")</f>
        <v>- / -</v>
      </c>
      <c r="M70" s="64" t="str">
        <f t="shared" ref="M70:M77" si="89">IFERROR(RIGHT(B70,LEN(B70)-FIND("],",B70)-1),"none")</f>
        <v>[effect:change_panel_ratio, turn:5, block_type:red, val:0.5, animation:block_incidence04]</v>
      </c>
      <c r="N70" s="48" t="str">
        <f t="shared" ref="N70:N77" si="90">IFERROR(LEFT(M70,FIND("],",M70)+S80),M70)</f>
        <v>[effect:change_panel_ratio, turn:5, block_type:red, val:0.5, animation:block_incidence04]</v>
      </c>
      <c r="O70" s="64">
        <f t="shared" ref="O70:O77" si="91">FIND("effect:",N70)+7</f>
        <v>9</v>
      </c>
      <c r="P70" s="64">
        <f t="shared" ref="P70:P77" si="92">IFERROR(FIND(",",N70),LEN(N70))</f>
        <v>27</v>
      </c>
      <c r="Q70" s="64" t="e">
        <f t="shared" ref="Q70:Q77" si="93">FIND("target:",N70)+7</f>
        <v>#VALUE!</v>
      </c>
      <c r="R70" s="64">
        <f t="shared" ref="R70:R77" si="94">FIND(",",N70,P70+1)</f>
        <v>35</v>
      </c>
      <c r="S70" s="64" t="str">
        <f>IFERROR(VLOOKUP(MID(N70,Q70,R70-Q70),[5]skilldef!$C:$D,2,FALSE),"-") &amp; " / " &amp; IFERROR(VLOOKUP(MID(N70,O70,P70-O70),[5]skilldef!$A:$B,2,FALSE),"-")</f>
        <v>- / -</v>
      </c>
      <c r="T70" s="48" t="str">
        <f t="shared" ref="T70:T77" si="95">IFERROR(RIGHT(M70,LEN(M70)-FIND("],",M70)-1),"none")</f>
        <v>none</v>
      </c>
      <c r="U70" s="64" t="e">
        <f t="shared" ref="U70:U77" si="96">FIND("effect:",T70)+7</f>
        <v>#VALUE!</v>
      </c>
      <c r="V70" s="64">
        <f t="shared" ref="V70:V77" si="97">IFERROR(FIND(",",T70),LEN(T70))</f>
        <v>4</v>
      </c>
      <c r="W70" s="64" t="e">
        <f t="shared" ref="W70:W77" si="98">FIND("target:",T70)+7</f>
        <v>#VALUE!</v>
      </c>
      <c r="X70" s="64" t="e">
        <f t="shared" ref="X70:X77" si="99">FIND(",",T70,V70+1)</f>
        <v>#VALUE!</v>
      </c>
      <c r="Y70" s="64" t="str">
        <f>IFERROR(VLOOKUP(MID(T70,W70,X70-W70),[5]skilldef!$C:$D,2,FALSE),"-") &amp; " / " &amp; IFERROR(VLOOKUP(MID(T70,U70,V70-U70),[5]skilldef!$A:$B,2,FALSE),"-")</f>
        <v>- / -</v>
      </c>
      <c r="Z70" s="50"/>
      <c r="AA70" s="52"/>
      <c r="AB70" s="50"/>
    </row>
    <row r="71" spans="1:28" ht="21" customHeight="1" x14ac:dyDescent="0.15">
      <c r="A71" s="47">
        <v>47002070</v>
      </c>
      <c r="B71" s="47" t="s">
        <v>446</v>
      </c>
      <c r="C71" s="50">
        <v>3</v>
      </c>
      <c r="D71" s="50" t="s">
        <v>126</v>
      </c>
      <c r="E71" s="51" t="s">
        <v>381</v>
      </c>
      <c r="F71" s="51" t="s">
        <v>443</v>
      </c>
      <c r="G71" s="64" t="str">
        <f t="shared" si="84"/>
        <v>[effect:spread, val:0.3]</v>
      </c>
      <c r="H71" s="64">
        <f t="shared" si="85"/>
        <v>9</v>
      </c>
      <c r="I71" s="64">
        <f t="shared" si="86"/>
        <v>15</v>
      </c>
      <c r="J71" s="64" t="e">
        <f t="shared" si="87"/>
        <v>#VALUE!</v>
      </c>
      <c r="K71" s="64" t="e">
        <f t="shared" si="88"/>
        <v>#VALUE!</v>
      </c>
      <c r="L71" s="64" t="str">
        <f>IFERROR(VLOOKUP(MID(G71,J71,K71-J71),[5]skilldef!$C:$D,2,FALSE),"-") &amp; " / " &amp; IFERROR(VLOOKUP(MID(G71,H71,I71-H71),[5]skilldef!$A:$B,2,FALSE),"-")</f>
        <v>- / 全体攻撃</v>
      </c>
      <c r="M71" s="64" t="str">
        <f t="shared" si="89"/>
        <v>[effect:force_change_block, new_block:block_red, target:block_all, ignore:crash, ignore02:crack_bomb, count:10, val:0, animation:change_block]</v>
      </c>
      <c r="N71" s="48" t="str">
        <f t="shared" si="90"/>
        <v>[effect:force_change_block, new_block:block_red, target:block_all, ignore:crash, ignore02:crack_bomb, count:10, val:0, animation:change_block]</v>
      </c>
      <c r="O71" s="64">
        <f t="shared" si="91"/>
        <v>9</v>
      </c>
      <c r="P71" s="64">
        <f t="shared" si="92"/>
        <v>27</v>
      </c>
      <c r="Q71" s="64">
        <f t="shared" si="93"/>
        <v>57</v>
      </c>
      <c r="R71" s="64">
        <f t="shared" si="94"/>
        <v>48</v>
      </c>
      <c r="S71" s="64" t="str">
        <f>IFERROR(VLOOKUP(MID(N71,Q71,R71-Q71),[5]skilldef!$C:$D,2,FALSE),"-") &amp; " / " &amp; IFERROR(VLOOKUP(MID(N71,O71,P71-O71),[5]skilldef!$A:$B,2,FALSE),"-")</f>
        <v>- / -</v>
      </c>
      <c r="T71" s="48" t="str">
        <f t="shared" si="95"/>
        <v>none</v>
      </c>
      <c r="U71" s="64" t="e">
        <f t="shared" si="96"/>
        <v>#VALUE!</v>
      </c>
      <c r="V71" s="64">
        <f t="shared" si="97"/>
        <v>4</v>
      </c>
      <c r="W71" s="64" t="e">
        <f t="shared" si="98"/>
        <v>#VALUE!</v>
      </c>
      <c r="X71" s="64" t="e">
        <f t="shared" si="99"/>
        <v>#VALUE!</v>
      </c>
      <c r="Y71" s="64" t="str">
        <f>IFERROR(VLOOKUP(MID(T71,W71,X71-W71),[5]skilldef!$C:$D,2,FALSE),"-") &amp; " / " &amp; IFERROR(VLOOKUP(MID(T71,U71,V71-U71),[5]skilldef!$A:$B,2,FALSE),"-")</f>
        <v>- / -</v>
      </c>
      <c r="Z71" s="50"/>
      <c r="AA71" s="52"/>
      <c r="AB71" s="50"/>
    </row>
    <row r="72" spans="1:28" ht="21" customHeight="1" x14ac:dyDescent="0.15">
      <c r="A72" s="47">
        <v>47002071</v>
      </c>
      <c r="B72" s="47" t="s">
        <v>452</v>
      </c>
      <c r="C72" s="50">
        <v>3</v>
      </c>
      <c r="D72" s="50" t="s">
        <v>126</v>
      </c>
      <c r="E72" s="51" t="s">
        <v>382</v>
      </c>
      <c r="F72" s="51" t="s">
        <v>451</v>
      </c>
      <c r="G72" s="64" t="str">
        <f t="shared" si="84"/>
        <v>[effect:break_attack, val:0.02, lowest_val:1500, count:-1, block:block_red, target:unit_all]</v>
      </c>
      <c r="H72" s="64">
        <f t="shared" si="85"/>
        <v>9</v>
      </c>
      <c r="I72" s="64">
        <f t="shared" si="86"/>
        <v>21</v>
      </c>
      <c r="J72" s="64">
        <f t="shared" si="87"/>
        <v>84</v>
      </c>
      <c r="K72" s="64">
        <f t="shared" si="88"/>
        <v>31</v>
      </c>
      <c r="L72" s="64" t="str">
        <f>IFERROR(VLOOKUP(MID(G72,J72,K72-J72),[5]skilldef!$C:$D,2,FALSE),"-") &amp; " / " &amp; IFERROR(VLOOKUP(MID(G72,H72,I72-H72),[5]skilldef!$A:$B,2,FALSE),"-")</f>
        <v>- / -</v>
      </c>
      <c r="M72" s="64" t="str">
        <f t="shared" si="89"/>
        <v>[effect:hungup, target:unit_all, turn:1, rate:1, animation:hungup01]</v>
      </c>
      <c r="N72" s="48" t="str">
        <f t="shared" si="90"/>
        <v>[effect:hungup, target:unit_all, turn:1, rate:1, animation:hungup01]</v>
      </c>
      <c r="O72" s="64">
        <f t="shared" si="91"/>
        <v>9</v>
      </c>
      <c r="P72" s="64">
        <f t="shared" si="92"/>
        <v>15</v>
      </c>
      <c r="Q72" s="64">
        <f t="shared" si="93"/>
        <v>24</v>
      </c>
      <c r="R72" s="64">
        <f t="shared" si="94"/>
        <v>32</v>
      </c>
      <c r="S72" s="64" t="str">
        <f>IFERROR(VLOOKUP(MID(N72,Q72,R72-Q72),[5]skilldef!$C:$D,2,FALSE),"-") &amp; " / " &amp; IFERROR(VLOOKUP(MID(N72,O72,P72-O72),[5]skilldef!$A:$B,2,FALSE),"-")</f>
        <v>味方全体に / ハングアップ</v>
      </c>
      <c r="T72" s="48" t="str">
        <f t="shared" si="95"/>
        <v>none</v>
      </c>
      <c r="U72" s="64" t="e">
        <f t="shared" si="96"/>
        <v>#VALUE!</v>
      </c>
      <c r="V72" s="64">
        <f t="shared" si="97"/>
        <v>4</v>
      </c>
      <c r="W72" s="64" t="e">
        <f t="shared" si="98"/>
        <v>#VALUE!</v>
      </c>
      <c r="X72" s="64" t="e">
        <f t="shared" si="99"/>
        <v>#VALUE!</v>
      </c>
      <c r="Y72" s="64" t="str">
        <f>IFERROR(VLOOKUP(MID(T72,W72,X72-W72),[5]skilldef!$C:$D,2,FALSE),"-") &amp; " / " &amp; IFERROR(VLOOKUP(MID(T72,U72,V72-U72),[5]skilldef!$A:$B,2,FALSE),"-")</f>
        <v>- / -</v>
      </c>
      <c r="Z72" s="50"/>
      <c r="AA72" s="52"/>
      <c r="AB72" s="50"/>
    </row>
    <row r="73" spans="1:28" ht="21" customHeight="1" x14ac:dyDescent="0.15">
      <c r="A73" s="47">
        <v>47002072</v>
      </c>
      <c r="B73" s="47" t="s">
        <v>277</v>
      </c>
      <c r="C73" s="50">
        <v>3</v>
      </c>
      <c r="D73" s="50" t="s">
        <v>126</v>
      </c>
      <c r="E73" s="51" t="s">
        <v>453</v>
      </c>
      <c r="F73" s="51" t="s">
        <v>411</v>
      </c>
      <c r="G73" s="64" t="str">
        <f t="shared" si="84"/>
        <v>[effect:reduction, target:myself, turn:3, color:all, val:0.5, animation:reduction_one01]</v>
      </c>
      <c r="H73" s="64">
        <f t="shared" si="85"/>
        <v>9</v>
      </c>
      <c r="I73" s="64">
        <f t="shared" si="86"/>
        <v>18</v>
      </c>
      <c r="J73" s="64">
        <f t="shared" si="87"/>
        <v>27</v>
      </c>
      <c r="K73" s="64">
        <f t="shared" si="88"/>
        <v>33</v>
      </c>
      <c r="L73" s="64" t="str">
        <f>IFERROR(VLOOKUP(MID(G73,J73,K73-J73),[5]skilldef!$C:$D,2,FALSE),"-") &amp; " / " &amp; IFERROR(VLOOKUP(MID(G73,H73,I73-H73),[5]skilldef!$A:$B,2,FALSE),"-")</f>
        <v>自分自身に / -</v>
      </c>
      <c r="M73" s="64" t="str">
        <f t="shared" si="89"/>
        <v>none</v>
      </c>
      <c r="N73" s="48" t="str">
        <f t="shared" si="90"/>
        <v>none</v>
      </c>
      <c r="O73" s="64" t="e">
        <f t="shared" si="91"/>
        <v>#VALUE!</v>
      </c>
      <c r="P73" s="64">
        <f t="shared" si="92"/>
        <v>4</v>
      </c>
      <c r="Q73" s="64" t="e">
        <f t="shared" si="93"/>
        <v>#VALUE!</v>
      </c>
      <c r="R73" s="64" t="e">
        <f t="shared" si="94"/>
        <v>#VALUE!</v>
      </c>
      <c r="S73" s="64" t="str">
        <f>IFERROR(VLOOKUP(MID(N73,Q73,R73-Q73),[5]skilldef!$C:$D,2,FALSE),"-") &amp; " / " &amp; IFERROR(VLOOKUP(MID(N73,O73,P73-O73),[5]skilldef!$A:$B,2,FALSE),"-")</f>
        <v>- / -</v>
      </c>
      <c r="T73" s="48" t="str">
        <f t="shared" si="95"/>
        <v>none</v>
      </c>
      <c r="U73" s="64" t="e">
        <f t="shared" si="96"/>
        <v>#VALUE!</v>
      </c>
      <c r="V73" s="64">
        <f t="shared" si="97"/>
        <v>4</v>
      </c>
      <c r="W73" s="64" t="e">
        <f t="shared" si="98"/>
        <v>#VALUE!</v>
      </c>
      <c r="X73" s="64" t="e">
        <f t="shared" si="99"/>
        <v>#VALUE!</v>
      </c>
      <c r="Y73" s="64" t="str">
        <f>IFERROR(VLOOKUP(MID(T73,W73,X73-W73),[5]skilldef!$C:$D,2,FALSE),"-") &amp; " / " &amp; IFERROR(VLOOKUP(MID(T73,U73,V73-U73),[5]skilldef!$A:$B,2,FALSE),"-")</f>
        <v>- / -</v>
      </c>
      <c r="Z73" s="50"/>
      <c r="AA73" s="52"/>
      <c r="AB73" s="50"/>
    </row>
    <row r="74" spans="1:28" ht="21" customHeight="1" x14ac:dyDescent="0.15">
      <c r="A74" s="47">
        <v>47002073</v>
      </c>
      <c r="B74" s="47" t="s">
        <v>390</v>
      </c>
      <c r="C74" s="50">
        <v>3</v>
      </c>
      <c r="D74" s="50" t="s">
        <v>126</v>
      </c>
      <c r="E74" s="51" t="s">
        <v>383</v>
      </c>
      <c r="F74" s="51" t="s">
        <v>459</v>
      </c>
      <c r="G74" s="64" t="str">
        <f t="shared" si="84"/>
        <v>[effect:enemy_message, val1:2.0, val2:1.8]</v>
      </c>
      <c r="H74" s="64">
        <f t="shared" si="85"/>
        <v>9</v>
      </c>
      <c r="I74" s="64">
        <f t="shared" si="86"/>
        <v>22</v>
      </c>
      <c r="J74" s="64" t="e">
        <f t="shared" si="87"/>
        <v>#VALUE!</v>
      </c>
      <c r="K74" s="64">
        <f t="shared" si="88"/>
        <v>32</v>
      </c>
      <c r="L74" s="64" t="str">
        <f>IFERROR(VLOOKUP(MID(G74,J74,K74-J74),[5]skilldef!$C:$D,2,FALSE),"-") &amp; " / " &amp; IFERROR(VLOOKUP(MID(G74,H74,I74-H74),[5]skilldef!$A:$B,2,FALSE),"-")</f>
        <v>- / -</v>
      </c>
      <c r="M74" s="64" t="str">
        <f t="shared" si="89"/>
        <v>[effect:damage_fix_absolute, target:unit_all, val:10000]</v>
      </c>
      <c r="N74" s="48" t="str">
        <f t="shared" si="90"/>
        <v>[effect:damage_fix_absolute, target:unit_all, val:10000]</v>
      </c>
      <c r="O74" s="64">
        <f t="shared" si="91"/>
        <v>9</v>
      </c>
      <c r="P74" s="64">
        <f t="shared" si="92"/>
        <v>28</v>
      </c>
      <c r="Q74" s="64">
        <f t="shared" si="93"/>
        <v>37</v>
      </c>
      <c r="R74" s="64">
        <f t="shared" si="94"/>
        <v>45</v>
      </c>
      <c r="S74" s="64" t="str">
        <f>IFERROR(VLOOKUP(MID(N74,Q74,R74-Q74),[5]skilldef!$C:$D,2,FALSE),"-") &amp; " / " &amp; IFERROR(VLOOKUP(MID(N74,O74,P74-O74),[5]skilldef!$A:$B,2,FALSE),"-")</f>
        <v>味方全体に / -</v>
      </c>
      <c r="T74" s="48" t="str">
        <f t="shared" si="95"/>
        <v>none</v>
      </c>
      <c r="U74" s="64" t="e">
        <f t="shared" si="96"/>
        <v>#VALUE!</v>
      </c>
      <c r="V74" s="64">
        <f t="shared" si="97"/>
        <v>4</v>
      </c>
      <c r="W74" s="64" t="e">
        <f t="shared" si="98"/>
        <v>#VALUE!</v>
      </c>
      <c r="X74" s="64" t="e">
        <f t="shared" si="99"/>
        <v>#VALUE!</v>
      </c>
      <c r="Y74" s="64" t="str">
        <f>IFERROR(VLOOKUP(MID(T74,W74,X74-W74),[5]skilldef!$C:$D,2,FALSE),"-") &amp; " / " &amp; IFERROR(VLOOKUP(MID(T74,U74,V74-U74),[5]skilldef!$A:$B,2,FALSE),"-")</f>
        <v>- / -</v>
      </c>
      <c r="Z74" s="50"/>
      <c r="AA74" s="52"/>
      <c r="AB74" s="50"/>
    </row>
    <row r="75" spans="1:28" ht="21" customHeight="1" x14ac:dyDescent="0.15">
      <c r="A75" s="47">
        <v>47002074</v>
      </c>
      <c r="B75" s="47" t="s">
        <v>389</v>
      </c>
      <c r="C75" s="50">
        <v>3</v>
      </c>
      <c r="D75" s="50" t="s">
        <v>126</v>
      </c>
      <c r="E75" s="51" t="s">
        <v>387</v>
      </c>
      <c r="F75" s="51" t="s">
        <v>386</v>
      </c>
      <c r="G75" s="64" t="str">
        <f t="shared" si="84"/>
        <v>[effect:enemy_message, val1:1.2, val2:2.2]</v>
      </c>
      <c r="H75" s="64">
        <f t="shared" si="85"/>
        <v>9</v>
      </c>
      <c r="I75" s="64">
        <f t="shared" si="86"/>
        <v>22</v>
      </c>
      <c r="J75" s="64" t="e">
        <f t="shared" si="87"/>
        <v>#VALUE!</v>
      </c>
      <c r="K75" s="64">
        <f t="shared" si="88"/>
        <v>32</v>
      </c>
      <c r="L75" s="64" t="str">
        <f>IFERROR(VLOOKUP(MID(G75,J75,K75-J75),[5]skilldef!$C:$D,2,FALSE),"-") &amp; " / " &amp; IFERROR(VLOOKUP(MID(G75,H75,I75-H75),[5]skilldef!$A:$B,2,FALSE),"-")</f>
        <v>- / -</v>
      </c>
      <c r="M75" s="64" t="str">
        <f t="shared" si="89"/>
        <v>none</v>
      </c>
      <c r="N75" s="48" t="str">
        <f t="shared" si="90"/>
        <v>none</v>
      </c>
      <c r="O75" s="64" t="e">
        <f t="shared" si="91"/>
        <v>#VALUE!</v>
      </c>
      <c r="P75" s="64">
        <f t="shared" si="92"/>
        <v>4</v>
      </c>
      <c r="Q75" s="64" t="e">
        <f t="shared" si="93"/>
        <v>#VALUE!</v>
      </c>
      <c r="R75" s="64" t="e">
        <f t="shared" si="94"/>
        <v>#VALUE!</v>
      </c>
      <c r="S75" s="64" t="str">
        <f>IFERROR(VLOOKUP(MID(N75,Q75,R75-Q75),[5]skilldef!$C:$D,2,FALSE),"-") &amp; " / " &amp; IFERROR(VLOOKUP(MID(N75,O75,P75-O75),[5]skilldef!$A:$B,2,FALSE),"-")</f>
        <v>- / -</v>
      </c>
      <c r="T75" s="48" t="str">
        <f t="shared" si="95"/>
        <v>none</v>
      </c>
      <c r="U75" s="64" t="e">
        <f t="shared" si="96"/>
        <v>#VALUE!</v>
      </c>
      <c r="V75" s="64">
        <f t="shared" si="97"/>
        <v>4</v>
      </c>
      <c r="W75" s="64" t="e">
        <f t="shared" si="98"/>
        <v>#VALUE!</v>
      </c>
      <c r="X75" s="64" t="e">
        <f t="shared" si="99"/>
        <v>#VALUE!</v>
      </c>
      <c r="Y75" s="64" t="str">
        <f>IFERROR(VLOOKUP(MID(T75,W75,X75-W75),[5]skilldef!$C:$D,2,FALSE),"-") &amp; " / " &amp; IFERROR(VLOOKUP(MID(T75,U75,V75-U75),[5]skilldef!$A:$B,2,FALSE),"-")</f>
        <v>- / -</v>
      </c>
      <c r="Z75" s="50"/>
      <c r="AA75" s="52"/>
      <c r="AB75" s="50"/>
    </row>
    <row r="76" spans="1:28" ht="21" customHeight="1" x14ac:dyDescent="0.15">
      <c r="A76" s="47">
        <v>47002075</v>
      </c>
      <c r="B76" s="47" t="s">
        <v>480</v>
      </c>
      <c r="C76" s="50">
        <v>3</v>
      </c>
      <c r="D76" s="50" t="s">
        <v>126</v>
      </c>
      <c r="E76" s="51" t="s">
        <v>382</v>
      </c>
      <c r="F76" s="51" t="s">
        <v>479</v>
      </c>
      <c r="G76" s="64" t="str">
        <f t="shared" si="84"/>
        <v>[effect:break_attack, val:0.02, lowest_val:1500, count:-1, block:block_red, target:unit_all]</v>
      </c>
      <c r="H76" s="64">
        <f t="shared" si="85"/>
        <v>9</v>
      </c>
      <c r="I76" s="64">
        <f t="shared" si="86"/>
        <v>21</v>
      </c>
      <c r="J76" s="64">
        <f t="shared" si="87"/>
        <v>84</v>
      </c>
      <c r="K76" s="64">
        <f t="shared" si="88"/>
        <v>31</v>
      </c>
      <c r="L76" s="64" t="str">
        <f>IFERROR(VLOOKUP(MID(G76,J76,K76-J76),[5]skilldef!$C:$D,2,FALSE),"-") &amp; " / " &amp; IFERROR(VLOOKUP(MID(G76,H76,I76-H76),[5]skilldef!$A:$B,2,FALSE),"-")</f>
        <v>- / -</v>
      </c>
      <c r="M76" s="64" t="str">
        <f t="shared" si="89"/>
        <v>[effect:hungup, target:unit_blue/not, turn:1, rate:1, animation:hungup01]</v>
      </c>
      <c r="N76" s="48" t="str">
        <f t="shared" si="90"/>
        <v>[effect:hungup, target:unit_blue/not, turn:1, rate:1, animation:hungup01]</v>
      </c>
      <c r="O76" s="64">
        <f t="shared" si="91"/>
        <v>9</v>
      </c>
      <c r="P76" s="64">
        <f t="shared" si="92"/>
        <v>15</v>
      </c>
      <c r="Q76" s="64">
        <f t="shared" si="93"/>
        <v>24</v>
      </c>
      <c r="R76" s="64">
        <f t="shared" si="94"/>
        <v>37</v>
      </c>
      <c r="S76" s="64" t="str">
        <f>IFERROR(VLOOKUP(MID(N76,Q76,R76-Q76),[5]skilldef!$C:$D,2,FALSE),"-") &amp; " / " &amp; IFERROR(VLOOKUP(MID(N76,O76,P76-O76),[5]skilldef!$A:$B,2,FALSE),"-")</f>
        <v>- / ハングアップ</v>
      </c>
      <c r="T76" s="48" t="str">
        <f t="shared" si="95"/>
        <v>none</v>
      </c>
      <c r="U76" s="64" t="e">
        <f t="shared" si="96"/>
        <v>#VALUE!</v>
      </c>
      <c r="V76" s="64">
        <f t="shared" si="97"/>
        <v>4</v>
      </c>
      <c r="W76" s="64" t="e">
        <f t="shared" si="98"/>
        <v>#VALUE!</v>
      </c>
      <c r="X76" s="64" t="e">
        <f t="shared" si="99"/>
        <v>#VALUE!</v>
      </c>
      <c r="Y76" s="64" t="str">
        <f>IFERROR(VLOOKUP(MID(T76,W76,X76-W76),[5]skilldef!$C:$D,2,FALSE),"-") &amp; " / " &amp; IFERROR(VLOOKUP(MID(T76,U76,V76-U76),[5]skilldef!$A:$B,2,FALSE),"-")</f>
        <v>- / -</v>
      </c>
      <c r="Z76" s="50"/>
      <c r="AA76" s="52"/>
      <c r="AB76" s="50"/>
    </row>
    <row r="77" spans="1:28" ht="21" customHeight="1" x14ac:dyDescent="0.15">
      <c r="A77" s="47">
        <v>47002076</v>
      </c>
      <c r="B77" s="47" t="s">
        <v>260</v>
      </c>
      <c r="C77" s="50">
        <v>1</v>
      </c>
      <c r="D77" s="50" t="s">
        <v>126</v>
      </c>
      <c r="E77" s="107" t="s">
        <v>269</v>
      </c>
      <c r="F77" s="51" t="s">
        <v>270</v>
      </c>
      <c r="G77" s="64" t="str">
        <f t="shared" si="84"/>
        <v>[effect:nothing]</v>
      </c>
      <c r="H77" s="64">
        <f t="shared" si="85"/>
        <v>9</v>
      </c>
      <c r="I77" s="64">
        <f t="shared" si="86"/>
        <v>16</v>
      </c>
      <c r="J77" s="64" t="e">
        <f t="shared" si="87"/>
        <v>#VALUE!</v>
      </c>
      <c r="K77" s="64" t="e">
        <f t="shared" si="88"/>
        <v>#VALUE!</v>
      </c>
      <c r="L77" s="64" t="str">
        <f>IFERROR(VLOOKUP(MID(G77,J77,K77-J77),[5]skilldef!$C:$D,2,FALSE),"-") &amp; " / " &amp; IFERROR(VLOOKUP(MID(G77,H77,I77-H77),[5]skilldef!$A:$B,2,FALSE),"-")</f>
        <v>- / 何もしない</v>
      </c>
      <c r="M77" s="64" t="str">
        <f t="shared" si="89"/>
        <v>none</v>
      </c>
      <c r="N77" s="48" t="str">
        <f t="shared" si="90"/>
        <v>none</v>
      </c>
      <c r="O77" s="64" t="e">
        <f t="shared" si="91"/>
        <v>#VALUE!</v>
      </c>
      <c r="P77" s="64">
        <f t="shared" si="92"/>
        <v>4</v>
      </c>
      <c r="Q77" s="64" t="e">
        <f t="shared" si="93"/>
        <v>#VALUE!</v>
      </c>
      <c r="R77" s="64" t="e">
        <f t="shared" si="94"/>
        <v>#VALUE!</v>
      </c>
      <c r="S77" s="64" t="str">
        <f>IFERROR(VLOOKUP(MID(N77,Q77,R77-Q77),[5]skilldef!$C:$D,2,FALSE),"-") &amp; " / " &amp; IFERROR(VLOOKUP(MID(N77,O77,P77-O77),[5]skilldef!$A:$B,2,FALSE),"-")</f>
        <v>- / -</v>
      </c>
      <c r="T77" s="48" t="str">
        <f t="shared" si="95"/>
        <v>none</v>
      </c>
      <c r="U77" s="64" t="e">
        <f t="shared" si="96"/>
        <v>#VALUE!</v>
      </c>
      <c r="V77" s="64">
        <f t="shared" si="97"/>
        <v>4</v>
      </c>
      <c r="W77" s="64" t="e">
        <f t="shared" si="98"/>
        <v>#VALUE!</v>
      </c>
      <c r="X77" s="64" t="e">
        <f t="shared" si="99"/>
        <v>#VALUE!</v>
      </c>
      <c r="Y77" s="64" t="str">
        <f>IFERROR(VLOOKUP(MID(T77,W77,X77-W77),[5]skilldef!$C:$D,2,FALSE),"-") &amp; " / " &amp; IFERROR(VLOOKUP(MID(T77,U77,V77-U77),[5]skilldef!$A:$B,2,FALSE),"-")</f>
        <v>- / -</v>
      </c>
      <c r="Z77" s="50"/>
      <c r="AA77" s="52"/>
      <c r="AB77" s="50"/>
    </row>
    <row r="78" spans="1:28" s="138" customFormat="1" ht="21" customHeight="1" thickBot="1" x14ac:dyDescent="0.2">
      <c r="A78" s="132">
        <v>47002077</v>
      </c>
      <c r="B78" s="132" t="s">
        <v>260</v>
      </c>
      <c r="C78" s="133">
        <v>1</v>
      </c>
      <c r="D78" s="133" t="s">
        <v>126</v>
      </c>
      <c r="E78" s="107" t="s">
        <v>269</v>
      </c>
      <c r="F78" s="134" t="s">
        <v>270</v>
      </c>
      <c r="G78" s="135" t="str">
        <f t="shared" ref="G78" si="100">IFERROR(LEFT(B78,FIND("],",B78)),B78)</f>
        <v>[effect:nothing]</v>
      </c>
      <c r="H78" s="135">
        <f t="shared" ref="H78" si="101">FIND("effect:",G78)+7</f>
        <v>9</v>
      </c>
      <c r="I78" s="135">
        <f t="shared" ref="I78" si="102">IFERROR(FIND(",",G78),LEN(G78))</f>
        <v>16</v>
      </c>
      <c r="J78" s="135" t="e">
        <f t="shared" ref="J78" si="103">FIND("target:",G78)+7</f>
        <v>#VALUE!</v>
      </c>
      <c r="K78" s="135" t="e">
        <f t="shared" ref="K78" si="104">FIND(",",G78,I78+1)</f>
        <v>#VALUE!</v>
      </c>
      <c r="L78" s="135" t="str">
        <f>IFERROR(VLOOKUP(MID(G78,J78,K78-J78),[5]skilldef!$C:$D,2,FALSE),"-") &amp; " / " &amp; IFERROR(VLOOKUP(MID(G78,H78,I78-H78),[5]skilldef!$A:$B,2,FALSE),"-")</f>
        <v>- / 何もしない</v>
      </c>
      <c r="M78" s="135" t="str">
        <f t="shared" ref="M78" si="105">IFERROR(RIGHT(B78,LEN(B78)-FIND("],",B78)-1),"none")</f>
        <v>none</v>
      </c>
      <c r="N78" s="136" t="str">
        <f t="shared" ref="N78" si="106">IFERROR(LEFT(M78,FIND("],",M78)+S88),M78)</f>
        <v>none</v>
      </c>
      <c r="O78" s="135" t="e">
        <f t="shared" ref="O78" si="107">FIND("effect:",N78)+7</f>
        <v>#VALUE!</v>
      </c>
      <c r="P78" s="135">
        <f t="shared" ref="P78" si="108">IFERROR(FIND(",",N78),LEN(N78))</f>
        <v>4</v>
      </c>
      <c r="Q78" s="135" t="e">
        <f t="shared" ref="Q78" si="109">FIND("target:",N78)+7</f>
        <v>#VALUE!</v>
      </c>
      <c r="R78" s="135" t="e">
        <f t="shared" ref="R78" si="110">FIND(",",N78,P78+1)</f>
        <v>#VALUE!</v>
      </c>
      <c r="S78" s="135" t="str">
        <f>IFERROR(VLOOKUP(MID(N78,Q78,R78-Q78),[5]skilldef!$C:$D,2,FALSE),"-") &amp; " / " &amp; IFERROR(VLOOKUP(MID(N78,O78,P78-O78),[5]skilldef!$A:$B,2,FALSE),"-")</f>
        <v>- / -</v>
      </c>
      <c r="T78" s="136" t="str">
        <f t="shared" ref="T78" si="111">IFERROR(RIGHT(M78,LEN(M78)-FIND("],",M78)-1),"none")</f>
        <v>none</v>
      </c>
      <c r="U78" s="135" t="e">
        <f t="shared" ref="U78" si="112">FIND("effect:",T78)+7</f>
        <v>#VALUE!</v>
      </c>
      <c r="V78" s="135">
        <f t="shared" ref="V78" si="113">IFERROR(FIND(",",T78),LEN(T78))</f>
        <v>4</v>
      </c>
      <c r="W78" s="135" t="e">
        <f t="shared" ref="W78" si="114">FIND("target:",T78)+7</f>
        <v>#VALUE!</v>
      </c>
      <c r="X78" s="135" t="e">
        <f t="shared" ref="X78" si="115">FIND(",",T78,V78+1)</f>
        <v>#VALUE!</v>
      </c>
      <c r="Y78" s="135" t="str">
        <f>IFERROR(VLOOKUP(MID(T78,W78,X78-W78),[5]skilldef!$C:$D,2,FALSE),"-") &amp; " / " &amp; IFERROR(VLOOKUP(MID(T78,U78,V78-U78),[5]skilldef!$A:$B,2,FALSE),"-")</f>
        <v>- / -</v>
      </c>
      <c r="Z78" s="133"/>
      <c r="AA78" s="137"/>
      <c r="AB78" s="133"/>
    </row>
    <row r="79" spans="1:28" s="144" customFormat="1" ht="21" customHeight="1" thickBot="1" x14ac:dyDescent="0.2">
      <c r="A79" s="139">
        <v>47002078</v>
      </c>
      <c r="B79" s="47" t="s">
        <v>482</v>
      </c>
      <c r="C79" s="140">
        <v>3</v>
      </c>
      <c r="D79" s="140" t="s">
        <v>126</v>
      </c>
      <c r="E79" s="149" t="s">
        <v>288</v>
      </c>
      <c r="F79" s="51" t="s">
        <v>435</v>
      </c>
      <c r="G79" s="141" t="str">
        <f t="shared" ref="G79:G82" si="116">IFERROR(LEFT(B79,FIND("],",B79)),B79)</f>
        <v>[effect:enemy_message, val1:1.2, val2:1.8]</v>
      </c>
      <c r="H79" s="141">
        <f t="shared" ref="H79:H82" si="117">FIND("effect:",G79)+7</f>
        <v>9</v>
      </c>
      <c r="I79" s="141">
        <f t="shared" ref="I79:I82" si="118">IFERROR(FIND(",",G79),LEN(G79))</f>
        <v>22</v>
      </c>
      <c r="J79" s="141" t="e">
        <f t="shared" ref="J79:J82" si="119">FIND("target:",G79)+7</f>
        <v>#VALUE!</v>
      </c>
      <c r="K79" s="141">
        <f t="shared" ref="K79:K82" si="120">FIND(",",G79,I79+1)</f>
        <v>32</v>
      </c>
      <c r="L79" s="141" t="str">
        <f>IFERROR(VLOOKUP(MID(G79,J79,K79-J79),[5]skilldef!$C:$D,2,FALSE),"-") &amp; " / " &amp; IFERROR(VLOOKUP(MID(G79,H79,I79-H79),[5]skilldef!$A:$B,2,FALSE),"-")</f>
        <v>- / -</v>
      </c>
      <c r="M79" s="141" t="str">
        <f t="shared" ref="M79:M82" si="121">IFERROR(RIGHT(B79,LEN(B79)-FIND("],",B79)-1),"none")</f>
        <v>[effect:enhance_unit, target:unit_blue, turn:-1, status:attack, val:0.7, calc:mul]</v>
      </c>
      <c r="N79" s="142" t="str">
        <f t="shared" ref="N79:N82" si="122">IFERROR(LEFT(M79,FIND("],",M79)+S89),M79)</f>
        <v>[effect:enhance_unit, target:unit_blue, turn:-1, status:attack, val:0.7, calc:mul]</v>
      </c>
      <c r="O79" s="141">
        <f t="shared" ref="O79:O82" si="123">FIND("effect:",N79)+7</f>
        <v>9</v>
      </c>
      <c r="P79" s="141">
        <f t="shared" ref="P79:P82" si="124">IFERROR(FIND(",",N79),LEN(N79))</f>
        <v>21</v>
      </c>
      <c r="Q79" s="141">
        <f t="shared" ref="Q79:Q82" si="125">FIND("target:",N79)+7</f>
        <v>30</v>
      </c>
      <c r="R79" s="141">
        <f t="shared" ref="R79:R82" si="126">FIND(",",N79,P79+1)</f>
        <v>39</v>
      </c>
      <c r="S79" s="141" t="str">
        <f>IFERROR(VLOOKUP(MID(N79,Q79,R79-Q79),[5]skilldef!$C:$D,2,FALSE),"-") &amp; " / " &amp; IFERROR(VLOOKUP(MID(N79,O79,P79-O79),[5]skilldef!$A:$B,2,FALSE),"-")</f>
        <v>青の味方に / -</v>
      </c>
      <c r="T79" s="142" t="str">
        <f t="shared" ref="T79:T82" si="127">IFERROR(RIGHT(M79,LEN(M79)-FIND("],",M79)-1),"none")</f>
        <v>none</v>
      </c>
      <c r="U79" s="141" t="e">
        <f t="shared" ref="U79:U82" si="128">FIND("effect:",T79)+7</f>
        <v>#VALUE!</v>
      </c>
      <c r="V79" s="141">
        <f t="shared" ref="V79:V82" si="129">IFERROR(FIND(",",T79),LEN(T79))</f>
        <v>4</v>
      </c>
      <c r="W79" s="141" t="e">
        <f t="shared" ref="W79:W82" si="130">FIND("target:",T79)+7</f>
        <v>#VALUE!</v>
      </c>
      <c r="X79" s="141" t="e">
        <f t="shared" ref="X79:X82" si="131">FIND(",",T79,V79+1)</f>
        <v>#VALUE!</v>
      </c>
      <c r="Y79" s="141" t="str">
        <f>IFERROR(VLOOKUP(MID(T79,W79,X79-W79),[5]skilldef!$C:$D,2,FALSE),"-") &amp; " / " &amp; IFERROR(VLOOKUP(MID(T79,U79,V79-U79),[5]skilldef!$A:$B,2,FALSE),"-")</f>
        <v>- / -</v>
      </c>
      <c r="Z79" s="140"/>
      <c r="AA79" s="143"/>
      <c r="AB79" s="140"/>
    </row>
    <row r="80" spans="1:28" ht="21" customHeight="1" thickBot="1" x14ac:dyDescent="0.2">
      <c r="A80" s="47">
        <v>47002079</v>
      </c>
      <c r="B80" s="47" t="s">
        <v>314</v>
      </c>
      <c r="C80" s="140">
        <v>3</v>
      </c>
      <c r="D80" s="50" t="s">
        <v>126</v>
      </c>
      <c r="E80" s="150" t="s">
        <v>290</v>
      </c>
      <c r="F80" s="152" t="s">
        <v>308</v>
      </c>
      <c r="G80" s="64" t="str">
        <f t="shared" si="116"/>
        <v>[effect:enemy_message, val1:1.4, val2:0]</v>
      </c>
      <c r="H80" s="64">
        <f t="shared" si="117"/>
        <v>9</v>
      </c>
      <c r="I80" s="64">
        <f t="shared" si="118"/>
        <v>22</v>
      </c>
      <c r="J80" s="64" t="e">
        <f t="shared" si="119"/>
        <v>#VALUE!</v>
      </c>
      <c r="K80" s="64">
        <f t="shared" si="120"/>
        <v>32</v>
      </c>
      <c r="L80" s="64" t="str">
        <f>IFERROR(VLOOKUP(MID(G80,J80,K80-J80),[5]skilldef!$C:$D,2,FALSE),"-") &amp; " / " &amp; IFERROR(VLOOKUP(MID(G80,H80,I80-H80),[5]skilldef!$A:$B,2,FALSE),"-")</f>
        <v>- / -</v>
      </c>
      <c r="M80" s="64" t="str">
        <f t="shared" si="121"/>
        <v>none</v>
      </c>
      <c r="N80" s="48" t="str">
        <f t="shared" si="122"/>
        <v>none</v>
      </c>
      <c r="O80" s="64" t="e">
        <f t="shared" si="123"/>
        <v>#VALUE!</v>
      </c>
      <c r="P80" s="64">
        <f t="shared" si="124"/>
        <v>4</v>
      </c>
      <c r="Q80" s="64" t="e">
        <f t="shared" si="125"/>
        <v>#VALUE!</v>
      </c>
      <c r="R80" s="64" t="e">
        <f t="shared" si="126"/>
        <v>#VALUE!</v>
      </c>
      <c r="S80" s="64" t="str">
        <f>IFERROR(VLOOKUP(MID(N80,Q80,R80-Q80),[5]skilldef!$C:$D,2,FALSE),"-") &amp; " / " &amp; IFERROR(VLOOKUP(MID(N80,O80,P80-O80),[5]skilldef!$A:$B,2,FALSE),"-")</f>
        <v>- / -</v>
      </c>
      <c r="T80" s="48" t="str">
        <f t="shared" si="127"/>
        <v>none</v>
      </c>
      <c r="U80" s="64" t="e">
        <f t="shared" si="128"/>
        <v>#VALUE!</v>
      </c>
      <c r="V80" s="64">
        <f t="shared" si="129"/>
        <v>4</v>
      </c>
      <c r="W80" s="64" t="e">
        <f t="shared" si="130"/>
        <v>#VALUE!</v>
      </c>
      <c r="X80" s="64" t="e">
        <f t="shared" si="131"/>
        <v>#VALUE!</v>
      </c>
      <c r="Y80" s="64" t="str">
        <f>IFERROR(VLOOKUP(MID(T80,W80,X80-W80),[5]skilldef!$C:$D,2,FALSE),"-") &amp; " / " &amp; IFERROR(VLOOKUP(MID(T80,U80,V80-U80),[5]skilldef!$A:$B,2,FALSE),"-")</f>
        <v>- / -</v>
      </c>
      <c r="Z80" s="50"/>
      <c r="AA80" s="52"/>
      <c r="AB80" s="50"/>
    </row>
    <row r="81" spans="1:28" ht="21" customHeight="1" thickBot="1" x14ac:dyDescent="0.2">
      <c r="A81" s="47">
        <v>47002080</v>
      </c>
      <c r="B81" s="47" t="s">
        <v>313</v>
      </c>
      <c r="C81" s="140">
        <v>3</v>
      </c>
      <c r="D81" s="50" t="s">
        <v>126</v>
      </c>
      <c r="E81" s="150" t="s">
        <v>289</v>
      </c>
      <c r="F81" s="152" t="s">
        <v>308</v>
      </c>
      <c r="G81" s="64" t="str">
        <f t="shared" si="116"/>
        <v>[effect:enemy_message, val1:1.4, val2:0]</v>
      </c>
      <c r="H81" s="64">
        <f t="shared" si="117"/>
        <v>9</v>
      </c>
      <c r="I81" s="64">
        <f t="shared" si="118"/>
        <v>22</v>
      </c>
      <c r="J81" s="64" t="e">
        <f t="shared" si="119"/>
        <v>#VALUE!</v>
      </c>
      <c r="K81" s="64">
        <f t="shared" si="120"/>
        <v>32</v>
      </c>
      <c r="L81" s="64" t="str">
        <f>IFERROR(VLOOKUP(MID(G81,J81,K81-J81),[5]skilldef!$C:$D,2,FALSE),"-") &amp; " / " &amp; IFERROR(VLOOKUP(MID(G81,H81,I81-H81),[5]skilldef!$A:$B,2,FALSE),"-")</f>
        <v>- / -</v>
      </c>
      <c r="M81" s="64" t="str">
        <f t="shared" si="121"/>
        <v>none</v>
      </c>
      <c r="N81" s="48" t="str">
        <f t="shared" si="122"/>
        <v>none</v>
      </c>
      <c r="O81" s="64" t="e">
        <f t="shared" si="123"/>
        <v>#VALUE!</v>
      </c>
      <c r="P81" s="64">
        <f t="shared" si="124"/>
        <v>4</v>
      </c>
      <c r="Q81" s="64" t="e">
        <f t="shared" si="125"/>
        <v>#VALUE!</v>
      </c>
      <c r="R81" s="64" t="e">
        <f t="shared" si="126"/>
        <v>#VALUE!</v>
      </c>
      <c r="S81" s="64" t="str">
        <f>IFERROR(VLOOKUP(MID(N81,Q81,R81-Q81),[5]skilldef!$C:$D,2,FALSE),"-") &amp; " / " &amp; IFERROR(VLOOKUP(MID(N81,O81,P81-O81),[5]skilldef!$A:$B,2,FALSE),"-")</f>
        <v>- / -</v>
      </c>
      <c r="T81" s="48" t="str">
        <f t="shared" si="127"/>
        <v>none</v>
      </c>
      <c r="U81" s="64" t="e">
        <f t="shared" si="128"/>
        <v>#VALUE!</v>
      </c>
      <c r="V81" s="64">
        <f t="shared" si="129"/>
        <v>4</v>
      </c>
      <c r="W81" s="64" t="e">
        <f t="shared" si="130"/>
        <v>#VALUE!</v>
      </c>
      <c r="X81" s="64" t="e">
        <f t="shared" si="131"/>
        <v>#VALUE!</v>
      </c>
      <c r="Y81" s="64" t="str">
        <f>IFERROR(VLOOKUP(MID(T81,W81,X81-W81),[5]skilldef!$C:$D,2,FALSE),"-") &amp; " / " &amp; IFERROR(VLOOKUP(MID(T81,U81,V81-U81),[5]skilldef!$A:$B,2,FALSE),"-")</f>
        <v>- / -</v>
      </c>
      <c r="Z81" s="50"/>
      <c r="AA81" s="52"/>
      <c r="AB81" s="50"/>
    </row>
    <row r="82" spans="1:28" ht="21" customHeight="1" thickBot="1" x14ac:dyDescent="0.2">
      <c r="A82" s="47">
        <v>47002081</v>
      </c>
      <c r="B82" s="47" t="s">
        <v>310</v>
      </c>
      <c r="C82" s="140">
        <v>3</v>
      </c>
      <c r="D82" s="50" t="s">
        <v>126</v>
      </c>
      <c r="E82" s="150" t="s">
        <v>291</v>
      </c>
      <c r="F82" s="152" t="s">
        <v>308</v>
      </c>
      <c r="G82" s="64" t="str">
        <f t="shared" si="116"/>
        <v>[effect:enemy_message, val1:2.0, val2:0]</v>
      </c>
      <c r="H82" s="64">
        <f t="shared" si="117"/>
        <v>9</v>
      </c>
      <c r="I82" s="64">
        <f t="shared" si="118"/>
        <v>22</v>
      </c>
      <c r="J82" s="64" t="e">
        <f t="shared" si="119"/>
        <v>#VALUE!</v>
      </c>
      <c r="K82" s="64">
        <f t="shared" si="120"/>
        <v>32</v>
      </c>
      <c r="L82" s="64" t="str">
        <f>IFERROR(VLOOKUP(MID(G82,J82,K82-J82),[5]skilldef!$C:$D,2,FALSE),"-") &amp; " / " &amp; IFERROR(VLOOKUP(MID(G82,H82,I82-H82),[5]skilldef!$A:$B,2,FALSE),"-")</f>
        <v>- / -</v>
      </c>
      <c r="M82" s="64" t="str">
        <f t="shared" si="121"/>
        <v>none</v>
      </c>
      <c r="N82" s="48" t="str">
        <f t="shared" si="122"/>
        <v>none</v>
      </c>
      <c r="O82" s="64" t="e">
        <f t="shared" si="123"/>
        <v>#VALUE!</v>
      </c>
      <c r="P82" s="64">
        <f t="shared" si="124"/>
        <v>4</v>
      </c>
      <c r="Q82" s="64" t="e">
        <f t="shared" si="125"/>
        <v>#VALUE!</v>
      </c>
      <c r="R82" s="64" t="e">
        <f t="shared" si="126"/>
        <v>#VALUE!</v>
      </c>
      <c r="S82" s="64" t="str">
        <f>IFERROR(VLOOKUP(MID(N82,Q82,R82-Q82),[5]skilldef!$C:$D,2,FALSE),"-") &amp; " / " &amp; IFERROR(VLOOKUP(MID(N82,O82,P82-O82),[5]skilldef!$A:$B,2,FALSE),"-")</f>
        <v>- / -</v>
      </c>
      <c r="T82" s="48" t="str">
        <f t="shared" si="127"/>
        <v>none</v>
      </c>
      <c r="U82" s="64" t="e">
        <f t="shared" si="128"/>
        <v>#VALUE!</v>
      </c>
      <c r="V82" s="64">
        <f t="shared" si="129"/>
        <v>4</v>
      </c>
      <c r="W82" s="64" t="e">
        <f t="shared" si="130"/>
        <v>#VALUE!</v>
      </c>
      <c r="X82" s="64" t="e">
        <f t="shared" si="131"/>
        <v>#VALUE!</v>
      </c>
      <c r="Y82" s="64" t="str">
        <f>IFERROR(VLOOKUP(MID(T82,W82,X82-W82),[5]skilldef!$C:$D,2,FALSE),"-") &amp; " / " &amp; IFERROR(VLOOKUP(MID(T82,U82,V82-U82),[5]skilldef!$A:$B,2,FALSE),"-")</f>
        <v>- / -</v>
      </c>
      <c r="Z82" s="50"/>
      <c r="AA82" s="52"/>
      <c r="AB82" s="50"/>
    </row>
    <row r="83" spans="1:28" ht="21" customHeight="1" thickBot="1" x14ac:dyDescent="0.2">
      <c r="A83" s="47">
        <v>47002082</v>
      </c>
      <c r="B83" s="47" t="s">
        <v>315</v>
      </c>
      <c r="C83" s="140">
        <v>3</v>
      </c>
      <c r="D83" s="50" t="s">
        <v>126</v>
      </c>
      <c r="E83" s="150" t="s">
        <v>293</v>
      </c>
      <c r="F83" s="152" t="s">
        <v>308</v>
      </c>
      <c r="G83" s="64" t="str">
        <f t="shared" ref="G83:G88" si="132">IFERROR(LEFT(B83,FIND("],",B83)),B83)</f>
        <v>[effect:enemy_message, val1:1.4, val2:0]</v>
      </c>
      <c r="H83" s="64">
        <f t="shared" ref="H83:H88" si="133">FIND("effect:",G83)+7</f>
        <v>9</v>
      </c>
      <c r="I83" s="64">
        <f t="shared" ref="I83:I88" si="134">IFERROR(FIND(",",G83),LEN(G83))</f>
        <v>22</v>
      </c>
      <c r="J83" s="64" t="e">
        <f t="shared" ref="J83:J88" si="135">FIND("target:",G83)+7</f>
        <v>#VALUE!</v>
      </c>
      <c r="K83" s="64">
        <f t="shared" ref="K83:K88" si="136">FIND(",",G83,I83+1)</f>
        <v>32</v>
      </c>
      <c r="L83" s="64" t="str">
        <f>IFERROR(VLOOKUP(MID(G83,J83,K83-J83),[5]skilldef!$C:$D,2,FALSE),"-") &amp; " / " &amp; IFERROR(VLOOKUP(MID(G83,H83,I83-H83),[5]skilldef!$A:$B,2,FALSE),"-")</f>
        <v>- / -</v>
      </c>
      <c r="M83" s="64" t="str">
        <f t="shared" ref="M83:M88" si="137">IFERROR(RIGHT(B83,LEN(B83)-FIND("],",B83)-1),"none")</f>
        <v>[effect:fix_speed, target:myself, turn:1]</v>
      </c>
      <c r="N83" s="48" t="str">
        <f t="shared" ref="N83:N88" si="138">IFERROR(LEFT(M83,FIND("],",M83)+S93),M83)</f>
        <v>[effect:fix_speed, target:myself, turn:1]</v>
      </c>
      <c r="O83" s="64">
        <f t="shared" ref="O83:O88" si="139">FIND("effect:",N83)+7</f>
        <v>9</v>
      </c>
      <c r="P83" s="64">
        <f t="shared" ref="P83:P88" si="140">IFERROR(FIND(",",N83),LEN(N83))</f>
        <v>18</v>
      </c>
      <c r="Q83" s="64">
        <f t="shared" ref="Q83:Q88" si="141">FIND("target:",N83)+7</f>
        <v>27</v>
      </c>
      <c r="R83" s="64">
        <f t="shared" ref="R83:R88" si="142">FIND(",",N83,P83+1)</f>
        <v>33</v>
      </c>
      <c r="S83" s="64" t="str">
        <f>IFERROR(VLOOKUP(MID(N83,Q83,R83-Q83),[5]skilldef!$C:$D,2,FALSE),"-") &amp; " / " &amp; IFERROR(VLOOKUP(MID(N83,O83,P83-O83),[5]skilldef!$A:$B,2,FALSE),"-")</f>
        <v>自分自身に / 行動値設定</v>
      </c>
      <c r="T83" s="48" t="str">
        <f t="shared" ref="T83:T88" si="143">IFERROR(RIGHT(M83,LEN(M83)-FIND("],",M83)-1),"none")</f>
        <v>none</v>
      </c>
      <c r="U83" s="64" t="e">
        <f t="shared" ref="U83:U88" si="144">FIND("effect:",T83)+7</f>
        <v>#VALUE!</v>
      </c>
      <c r="V83" s="64">
        <f t="shared" ref="V83:V88" si="145">IFERROR(FIND(",",T83),LEN(T83))</f>
        <v>4</v>
      </c>
      <c r="W83" s="64" t="e">
        <f t="shared" ref="W83:W88" si="146">FIND("target:",T83)+7</f>
        <v>#VALUE!</v>
      </c>
      <c r="X83" s="64" t="e">
        <f t="shared" ref="X83:X88" si="147">FIND(",",T83,V83+1)</f>
        <v>#VALUE!</v>
      </c>
      <c r="Y83" s="64" t="str">
        <f>IFERROR(VLOOKUP(MID(T83,W83,X83-W83),[5]skilldef!$C:$D,2,FALSE),"-") &amp; " / " &amp; IFERROR(VLOOKUP(MID(T83,U83,V83-U83),[5]skilldef!$A:$B,2,FALSE),"-")</f>
        <v>- / -</v>
      </c>
      <c r="Z83" s="50"/>
      <c r="AA83" s="52"/>
      <c r="AB83" s="50"/>
    </row>
    <row r="84" spans="1:28" ht="21" customHeight="1" thickBot="1" x14ac:dyDescent="0.2">
      <c r="A84" s="47">
        <v>47002083</v>
      </c>
      <c r="B84" s="47" t="s">
        <v>316</v>
      </c>
      <c r="C84" s="140">
        <v>3</v>
      </c>
      <c r="D84" s="50" t="s">
        <v>126</v>
      </c>
      <c r="E84" s="150" t="s">
        <v>292</v>
      </c>
      <c r="F84" s="152" t="s">
        <v>308</v>
      </c>
      <c r="G84" s="64" t="str">
        <f t="shared" si="132"/>
        <v>[effect:enemy_message, val1:2.4, val2:0]</v>
      </c>
      <c r="H84" s="64">
        <f t="shared" si="133"/>
        <v>9</v>
      </c>
      <c r="I84" s="64">
        <f t="shared" si="134"/>
        <v>22</v>
      </c>
      <c r="J84" s="64" t="e">
        <f t="shared" si="135"/>
        <v>#VALUE!</v>
      </c>
      <c r="K84" s="64">
        <f t="shared" si="136"/>
        <v>32</v>
      </c>
      <c r="L84" s="64" t="str">
        <f>IFERROR(VLOOKUP(MID(G84,J84,K84-J84),[5]skilldef!$C:$D,2,FALSE),"-") &amp; " / " &amp; IFERROR(VLOOKUP(MID(G84,H84,I84-H84),[5]skilldef!$A:$B,2,FALSE),"-")</f>
        <v>- / -</v>
      </c>
      <c r="M84" s="64" t="str">
        <f t="shared" si="137"/>
        <v>[effect:fix_speed, target:myself, turn:1]</v>
      </c>
      <c r="N84" s="48" t="str">
        <f t="shared" si="138"/>
        <v>[effect:fix_speed, target:myself, turn:1]</v>
      </c>
      <c r="O84" s="64">
        <f t="shared" si="139"/>
        <v>9</v>
      </c>
      <c r="P84" s="64">
        <f t="shared" si="140"/>
        <v>18</v>
      </c>
      <c r="Q84" s="64">
        <f t="shared" si="141"/>
        <v>27</v>
      </c>
      <c r="R84" s="64">
        <f t="shared" si="142"/>
        <v>33</v>
      </c>
      <c r="S84" s="64" t="str">
        <f>IFERROR(VLOOKUP(MID(N84,Q84,R84-Q84),[5]skilldef!$C:$D,2,FALSE),"-") &amp; " / " &amp; IFERROR(VLOOKUP(MID(N84,O84,P84-O84),[5]skilldef!$A:$B,2,FALSE),"-")</f>
        <v>自分自身に / 行動値設定</v>
      </c>
      <c r="T84" s="48" t="str">
        <f t="shared" si="143"/>
        <v>none</v>
      </c>
      <c r="U84" s="64" t="e">
        <f t="shared" si="144"/>
        <v>#VALUE!</v>
      </c>
      <c r="V84" s="64">
        <f t="shared" si="145"/>
        <v>4</v>
      </c>
      <c r="W84" s="64" t="e">
        <f t="shared" si="146"/>
        <v>#VALUE!</v>
      </c>
      <c r="X84" s="64" t="e">
        <f t="shared" si="147"/>
        <v>#VALUE!</v>
      </c>
      <c r="Y84" s="64" t="str">
        <f>IFERROR(VLOOKUP(MID(T84,W84,X84-W84),[5]skilldef!$C:$D,2,FALSE),"-") &amp; " / " &amp; IFERROR(VLOOKUP(MID(T84,U84,V84-U84),[5]skilldef!$A:$B,2,FALSE),"-")</f>
        <v>- / -</v>
      </c>
      <c r="Z84" s="50"/>
      <c r="AA84" s="52"/>
      <c r="AB84" s="50"/>
    </row>
    <row r="85" spans="1:28" ht="21" customHeight="1" thickBot="1" x14ac:dyDescent="0.2">
      <c r="A85" s="47">
        <v>47002084</v>
      </c>
      <c r="B85" s="47" t="s">
        <v>316</v>
      </c>
      <c r="C85" s="140">
        <v>3</v>
      </c>
      <c r="D85" s="50" t="s">
        <v>126</v>
      </c>
      <c r="E85" s="150" t="s">
        <v>414</v>
      </c>
      <c r="F85" s="152" t="s">
        <v>308</v>
      </c>
      <c r="G85" s="64" t="str">
        <f t="shared" si="132"/>
        <v>[effect:enemy_message, val1:2.4, val2:0]</v>
      </c>
      <c r="H85" s="64">
        <f t="shared" si="133"/>
        <v>9</v>
      </c>
      <c r="I85" s="64">
        <f t="shared" si="134"/>
        <v>22</v>
      </c>
      <c r="J85" s="64" t="e">
        <f t="shared" si="135"/>
        <v>#VALUE!</v>
      </c>
      <c r="K85" s="64">
        <f t="shared" si="136"/>
        <v>32</v>
      </c>
      <c r="L85" s="64" t="str">
        <f>IFERROR(VLOOKUP(MID(G85,J85,K85-J85),[5]skilldef!$C:$D,2,FALSE),"-") &amp; " / " &amp; IFERROR(VLOOKUP(MID(G85,H85,I85-H85),[5]skilldef!$A:$B,2,FALSE),"-")</f>
        <v>- / -</v>
      </c>
      <c r="M85" s="64" t="str">
        <f t="shared" si="137"/>
        <v>[effect:fix_speed, target:myself, turn:1]</v>
      </c>
      <c r="N85" s="48" t="str">
        <f t="shared" si="138"/>
        <v>[effect:fix_speed, target:myself, turn:1]</v>
      </c>
      <c r="O85" s="64">
        <f t="shared" si="139"/>
        <v>9</v>
      </c>
      <c r="P85" s="64">
        <f t="shared" si="140"/>
        <v>18</v>
      </c>
      <c r="Q85" s="64">
        <f t="shared" si="141"/>
        <v>27</v>
      </c>
      <c r="R85" s="64">
        <f t="shared" si="142"/>
        <v>33</v>
      </c>
      <c r="S85" s="64" t="str">
        <f>IFERROR(VLOOKUP(MID(N85,Q85,R85-Q85),[5]skilldef!$C:$D,2,FALSE),"-") &amp; " / " &amp; IFERROR(VLOOKUP(MID(N85,O85,P85-O85),[5]skilldef!$A:$B,2,FALSE),"-")</f>
        <v>自分自身に / 行動値設定</v>
      </c>
      <c r="T85" s="48" t="str">
        <f t="shared" si="143"/>
        <v>none</v>
      </c>
      <c r="U85" s="64" t="e">
        <f t="shared" si="144"/>
        <v>#VALUE!</v>
      </c>
      <c r="V85" s="64">
        <f t="shared" si="145"/>
        <v>4</v>
      </c>
      <c r="W85" s="64" t="e">
        <f t="shared" si="146"/>
        <v>#VALUE!</v>
      </c>
      <c r="X85" s="64" t="e">
        <f t="shared" si="147"/>
        <v>#VALUE!</v>
      </c>
      <c r="Y85" s="64" t="str">
        <f>IFERROR(VLOOKUP(MID(T85,W85,X85-W85),[5]skilldef!$C:$D,2,FALSE),"-") &amp; " / " &amp; IFERROR(VLOOKUP(MID(T85,U85,V85-U85),[5]skilldef!$A:$B,2,FALSE),"-")</f>
        <v>- / -</v>
      </c>
      <c r="Z85" s="50"/>
      <c r="AA85" s="52"/>
      <c r="AB85" s="50"/>
    </row>
    <row r="86" spans="1:28" ht="21" customHeight="1" thickBot="1" x14ac:dyDescent="0.2">
      <c r="A86" s="47">
        <v>47002085</v>
      </c>
      <c r="B86" s="47" t="s">
        <v>317</v>
      </c>
      <c r="C86" s="140">
        <v>3</v>
      </c>
      <c r="D86" s="50" t="s">
        <v>126</v>
      </c>
      <c r="E86" s="150" t="s">
        <v>294</v>
      </c>
      <c r="F86" s="152" t="s">
        <v>308</v>
      </c>
      <c r="G86" s="64" t="str">
        <f t="shared" si="132"/>
        <v>[effect:enemy_message, val1:1.4, val2:0]</v>
      </c>
      <c r="H86" s="64">
        <f t="shared" si="133"/>
        <v>9</v>
      </c>
      <c r="I86" s="64">
        <f t="shared" si="134"/>
        <v>22</v>
      </c>
      <c r="J86" s="64" t="e">
        <f t="shared" si="135"/>
        <v>#VALUE!</v>
      </c>
      <c r="K86" s="64">
        <f t="shared" si="136"/>
        <v>32</v>
      </c>
      <c r="L86" s="64" t="str">
        <f>IFERROR(VLOOKUP(MID(G86,J86,K86-J86),[5]skilldef!$C:$D,2,FALSE),"-") &amp; " / " &amp; IFERROR(VLOOKUP(MID(G86,H86,I86-H86),[5]skilldef!$A:$B,2,FALSE),"-")</f>
        <v>- / -</v>
      </c>
      <c r="M86" s="64" t="str">
        <f t="shared" si="137"/>
        <v>[effect:fix_speed, target:myself, turn:1]</v>
      </c>
      <c r="N86" s="48" t="str">
        <f t="shared" si="138"/>
        <v>[effect:fix_speed, target:myself, turn:1]</v>
      </c>
      <c r="O86" s="64">
        <f t="shared" si="139"/>
        <v>9</v>
      </c>
      <c r="P86" s="64">
        <f t="shared" si="140"/>
        <v>18</v>
      </c>
      <c r="Q86" s="64">
        <f t="shared" si="141"/>
        <v>27</v>
      </c>
      <c r="R86" s="64">
        <f t="shared" si="142"/>
        <v>33</v>
      </c>
      <c r="S86" s="64" t="str">
        <f>IFERROR(VLOOKUP(MID(N86,Q86,R86-Q86),[5]skilldef!$C:$D,2,FALSE),"-") &amp; " / " &amp; IFERROR(VLOOKUP(MID(N86,O86,P86-O86),[5]skilldef!$A:$B,2,FALSE),"-")</f>
        <v>自分自身に / 行動値設定</v>
      </c>
      <c r="T86" s="48" t="str">
        <f t="shared" si="143"/>
        <v>none</v>
      </c>
      <c r="U86" s="64" t="e">
        <f t="shared" si="144"/>
        <v>#VALUE!</v>
      </c>
      <c r="V86" s="64">
        <f t="shared" si="145"/>
        <v>4</v>
      </c>
      <c r="W86" s="64" t="e">
        <f t="shared" si="146"/>
        <v>#VALUE!</v>
      </c>
      <c r="X86" s="64" t="e">
        <f t="shared" si="147"/>
        <v>#VALUE!</v>
      </c>
      <c r="Y86" s="64" t="str">
        <f>IFERROR(VLOOKUP(MID(T86,W86,X86-W86),[5]skilldef!$C:$D,2,FALSE),"-") &amp; " / " &amp; IFERROR(VLOOKUP(MID(T86,U86,V86-U86),[5]skilldef!$A:$B,2,FALSE),"-")</f>
        <v>- / -</v>
      </c>
      <c r="Z86" s="50"/>
      <c r="AA86" s="52"/>
      <c r="AB86" s="50"/>
    </row>
    <row r="87" spans="1:28" ht="21" customHeight="1" thickBot="1" x14ac:dyDescent="0.2">
      <c r="A87" s="47">
        <v>47002086</v>
      </c>
      <c r="B87" s="47" t="s">
        <v>318</v>
      </c>
      <c r="C87" s="140">
        <v>3</v>
      </c>
      <c r="D87" s="50" t="s">
        <v>126</v>
      </c>
      <c r="E87" s="150" t="s">
        <v>296</v>
      </c>
      <c r="F87" s="152" t="s">
        <v>308</v>
      </c>
      <c r="G87" s="64" t="str">
        <f t="shared" si="132"/>
        <v>[effect:enemy_message, val1:2.4, val2:0]</v>
      </c>
      <c r="H87" s="64">
        <f t="shared" si="133"/>
        <v>9</v>
      </c>
      <c r="I87" s="64">
        <f t="shared" si="134"/>
        <v>22</v>
      </c>
      <c r="J87" s="64" t="e">
        <f t="shared" si="135"/>
        <v>#VALUE!</v>
      </c>
      <c r="K87" s="64">
        <f t="shared" si="136"/>
        <v>32</v>
      </c>
      <c r="L87" s="64" t="str">
        <f>IFERROR(VLOOKUP(MID(G87,J87,K87-J87),[5]skilldef!$C:$D,2,FALSE),"-") &amp; " / " &amp; IFERROR(VLOOKUP(MID(G87,H87,I87-H87),[5]skilldef!$A:$B,2,FALSE),"-")</f>
        <v>- / -</v>
      </c>
      <c r="M87" s="64" t="str">
        <f t="shared" si="137"/>
        <v>[effect:fix_speed, target:myself, turn:1]</v>
      </c>
      <c r="N87" s="48" t="str">
        <f t="shared" si="138"/>
        <v>[effect:fix_speed, target:myself, turn:1]</v>
      </c>
      <c r="O87" s="64">
        <f t="shared" si="139"/>
        <v>9</v>
      </c>
      <c r="P87" s="64">
        <f t="shared" si="140"/>
        <v>18</v>
      </c>
      <c r="Q87" s="64">
        <f t="shared" si="141"/>
        <v>27</v>
      </c>
      <c r="R87" s="64">
        <f t="shared" si="142"/>
        <v>33</v>
      </c>
      <c r="S87" s="64" t="str">
        <f>IFERROR(VLOOKUP(MID(N87,Q87,R87-Q87),[5]skilldef!$C:$D,2,FALSE),"-") &amp; " / " &amp; IFERROR(VLOOKUP(MID(N87,O87,P87-O87),[5]skilldef!$A:$B,2,FALSE),"-")</f>
        <v>自分自身に / 行動値設定</v>
      </c>
      <c r="T87" s="48" t="str">
        <f t="shared" si="143"/>
        <v>none</v>
      </c>
      <c r="U87" s="64" t="e">
        <f t="shared" si="144"/>
        <v>#VALUE!</v>
      </c>
      <c r="V87" s="64">
        <f t="shared" si="145"/>
        <v>4</v>
      </c>
      <c r="W87" s="64" t="e">
        <f t="shared" si="146"/>
        <v>#VALUE!</v>
      </c>
      <c r="X87" s="64" t="e">
        <f t="shared" si="147"/>
        <v>#VALUE!</v>
      </c>
      <c r="Y87" s="64" t="str">
        <f>IFERROR(VLOOKUP(MID(T87,W87,X87-W87),[5]skilldef!$C:$D,2,FALSE),"-") &amp; " / " &amp; IFERROR(VLOOKUP(MID(T87,U87,V87-U87),[5]skilldef!$A:$B,2,FALSE),"-")</f>
        <v>- / -</v>
      </c>
      <c r="Z87" s="50"/>
      <c r="AA87" s="52"/>
      <c r="AB87" s="50"/>
    </row>
    <row r="88" spans="1:28" ht="21" customHeight="1" thickBot="1" x14ac:dyDescent="0.2">
      <c r="A88" s="47">
        <v>47002087</v>
      </c>
      <c r="B88" s="47" t="s">
        <v>318</v>
      </c>
      <c r="C88" s="140">
        <v>3</v>
      </c>
      <c r="D88" s="50" t="s">
        <v>126</v>
      </c>
      <c r="E88" s="150" t="s">
        <v>295</v>
      </c>
      <c r="F88" s="152" t="s">
        <v>308</v>
      </c>
      <c r="G88" s="64" t="str">
        <f t="shared" si="132"/>
        <v>[effect:enemy_message, val1:2.4, val2:0]</v>
      </c>
      <c r="H88" s="64">
        <f t="shared" si="133"/>
        <v>9</v>
      </c>
      <c r="I88" s="64">
        <f t="shared" si="134"/>
        <v>22</v>
      </c>
      <c r="J88" s="64" t="e">
        <f t="shared" si="135"/>
        <v>#VALUE!</v>
      </c>
      <c r="K88" s="64">
        <f t="shared" si="136"/>
        <v>32</v>
      </c>
      <c r="L88" s="64" t="str">
        <f>IFERROR(VLOOKUP(MID(G88,J88,K88-J88),[5]skilldef!$C:$D,2,FALSE),"-") &amp; " / " &amp; IFERROR(VLOOKUP(MID(G88,H88,I88-H88),[5]skilldef!$A:$B,2,FALSE),"-")</f>
        <v>- / -</v>
      </c>
      <c r="M88" s="64" t="str">
        <f t="shared" si="137"/>
        <v>[effect:fix_speed, target:myself, turn:1]</v>
      </c>
      <c r="N88" s="48" t="str">
        <f t="shared" si="138"/>
        <v>[effect:fix_speed, target:myself, turn:1]</v>
      </c>
      <c r="O88" s="64">
        <f t="shared" si="139"/>
        <v>9</v>
      </c>
      <c r="P88" s="64">
        <f t="shared" si="140"/>
        <v>18</v>
      </c>
      <c r="Q88" s="64">
        <f t="shared" si="141"/>
        <v>27</v>
      </c>
      <c r="R88" s="64">
        <f t="shared" si="142"/>
        <v>33</v>
      </c>
      <c r="S88" s="64" t="str">
        <f>IFERROR(VLOOKUP(MID(N88,Q88,R88-Q88),[5]skilldef!$C:$D,2,FALSE),"-") &amp; " / " &amp; IFERROR(VLOOKUP(MID(N88,O88,P88-O88),[5]skilldef!$A:$B,2,FALSE),"-")</f>
        <v>自分自身に / 行動値設定</v>
      </c>
      <c r="T88" s="48" t="str">
        <f t="shared" si="143"/>
        <v>none</v>
      </c>
      <c r="U88" s="64" t="e">
        <f t="shared" si="144"/>
        <v>#VALUE!</v>
      </c>
      <c r="V88" s="64">
        <f t="shared" si="145"/>
        <v>4</v>
      </c>
      <c r="W88" s="64" t="e">
        <f t="shared" si="146"/>
        <v>#VALUE!</v>
      </c>
      <c r="X88" s="64" t="e">
        <f t="shared" si="147"/>
        <v>#VALUE!</v>
      </c>
      <c r="Y88" s="64" t="str">
        <f>IFERROR(VLOOKUP(MID(T88,W88,X88-W88),[5]skilldef!$C:$D,2,FALSE),"-") &amp; " / " &amp; IFERROR(VLOOKUP(MID(T88,U88,V88-U88),[5]skilldef!$A:$B,2,FALSE),"-")</f>
        <v>- / -</v>
      </c>
      <c r="Z88" s="50"/>
      <c r="AA88" s="52"/>
      <c r="AB88" s="50"/>
    </row>
    <row r="89" spans="1:28" ht="21" customHeight="1" thickBot="1" x14ac:dyDescent="0.2">
      <c r="A89" s="47">
        <v>47002088</v>
      </c>
      <c r="B89" s="47" t="s">
        <v>432</v>
      </c>
      <c r="C89" s="140">
        <v>3</v>
      </c>
      <c r="D89" s="50" t="s">
        <v>126</v>
      </c>
      <c r="E89" s="150" t="s">
        <v>297</v>
      </c>
      <c r="F89" s="51" t="s">
        <v>429</v>
      </c>
      <c r="G89" s="64" t="str">
        <f t="shared" ref="G89:G95" si="148">IFERROR(LEFT(B89,FIND("],",B89)),B89)</f>
        <v>[effect:enemy_message, val1:1.2, val2:1.8]</v>
      </c>
      <c r="H89" s="64">
        <f t="shared" ref="H89:H95" si="149">FIND("effect:",G89)+7</f>
        <v>9</v>
      </c>
      <c r="I89" s="64">
        <f t="shared" ref="I89:I95" si="150">IFERROR(FIND(",",G89),LEN(G89))</f>
        <v>22</v>
      </c>
      <c r="J89" s="64" t="e">
        <f t="shared" ref="J89:J95" si="151">FIND("target:",G89)+7</f>
        <v>#VALUE!</v>
      </c>
      <c r="K89" s="64">
        <f t="shared" ref="K89:K95" si="152">FIND(",",G89,I89+1)</f>
        <v>32</v>
      </c>
      <c r="L89" s="64" t="str">
        <f>IFERROR(VLOOKUP(MID(G89,J89,K89-J89),[5]skilldef!$C:$D,2,FALSE),"-") &amp; " / " &amp; IFERROR(VLOOKUP(MID(G89,H89,I89-H89),[5]skilldef!$A:$B,2,FALSE),"-")</f>
        <v>- / -</v>
      </c>
      <c r="M89" s="64" t="str">
        <f t="shared" ref="M89:M95" si="153">IFERROR(RIGHT(B89,LEN(B89)-FIND("],",B89)-1),"none")</f>
        <v>[effect:enhance_unit, target:unit_blue, turn:-1, status:heal, val:0.4, calc:mul],[effect:fix_speed, target:myself, turn:1]</v>
      </c>
      <c r="N89" s="48" t="str">
        <f t="shared" ref="N89:N95" si="154">IFERROR(LEFT(M89,FIND("],",M89)+S99),M89)</f>
        <v>[effect:enhance_unit, target:unit_blue, turn:-1, status:heal, val:0.4, calc:mul],[effect:fix_speed, target:myself, turn:1]</v>
      </c>
      <c r="O89" s="64">
        <f t="shared" ref="O89:O95" si="155">FIND("effect:",N89)+7</f>
        <v>9</v>
      </c>
      <c r="P89" s="64">
        <f t="shared" ref="P89:P95" si="156">IFERROR(FIND(",",N89),LEN(N89))</f>
        <v>21</v>
      </c>
      <c r="Q89" s="64">
        <f t="shared" ref="Q89:Q95" si="157">FIND("target:",N89)+7</f>
        <v>30</v>
      </c>
      <c r="R89" s="64">
        <f t="shared" ref="R89:R95" si="158">FIND(",",N89,P89+1)</f>
        <v>39</v>
      </c>
      <c r="S89" s="64" t="str">
        <f>IFERROR(VLOOKUP(MID(N89,Q89,R89-Q89),[5]skilldef!$C:$D,2,FALSE),"-") &amp; " / " &amp; IFERROR(VLOOKUP(MID(N89,O89,P89-O89),[5]skilldef!$A:$B,2,FALSE),"-")</f>
        <v>青の味方に / -</v>
      </c>
      <c r="T89" s="48" t="str">
        <f t="shared" ref="T89:T95" si="159">IFERROR(RIGHT(M89,LEN(M89)-FIND("],",M89)-1),"none")</f>
        <v>[effect:fix_speed, target:myself, turn:1]</v>
      </c>
      <c r="U89" s="64">
        <f t="shared" ref="U89:U95" si="160">FIND("effect:",T89)+7</f>
        <v>9</v>
      </c>
      <c r="V89" s="64">
        <f t="shared" ref="V89:V95" si="161">IFERROR(FIND(",",T89),LEN(T89))</f>
        <v>18</v>
      </c>
      <c r="W89" s="64">
        <f t="shared" ref="W89:W95" si="162">FIND("target:",T89)+7</f>
        <v>27</v>
      </c>
      <c r="X89" s="64">
        <f t="shared" ref="X89:X95" si="163">FIND(",",T89,V89+1)</f>
        <v>33</v>
      </c>
      <c r="Y89" s="64" t="str">
        <f>IFERROR(VLOOKUP(MID(T89,W89,X89-W89),[5]skilldef!$C:$D,2,FALSE),"-") &amp; " / " &amp; IFERROR(VLOOKUP(MID(T89,U89,V89-U89),[5]skilldef!$A:$B,2,FALSE),"-")</f>
        <v>自分自身に / 行動値設定</v>
      </c>
      <c r="Z89" s="50"/>
      <c r="AA89" s="52"/>
      <c r="AB89" s="50"/>
    </row>
    <row r="90" spans="1:28" ht="21" customHeight="1" thickBot="1" x14ac:dyDescent="0.2">
      <c r="A90" s="47">
        <v>47002089</v>
      </c>
      <c r="B90" s="47" t="s">
        <v>309</v>
      </c>
      <c r="C90" s="140">
        <v>3</v>
      </c>
      <c r="D90" s="50" t="s">
        <v>126</v>
      </c>
      <c r="E90" s="150" t="s">
        <v>415</v>
      </c>
      <c r="F90" s="152" t="s">
        <v>308</v>
      </c>
      <c r="G90" s="64" t="str">
        <f t="shared" si="148"/>
        <v>[effect:enemy_message, val1:2.4, val2:0]</v>
      </c>
      <c r="H90" s="64">
        <f t="shared" si="149"/>
        <v>9</v>
      </c>
      <c r="I90" s="64">
        <f t="shared" si="150"/>
        <v>22</v>
      </c>
      <c r="J90" s="64" t="e">
        <f t="shared" si="151"/>
        <v>#VALUE!</v>
      </c>
      <c r="K90" s="64">
        <f t="shared" si="152"/>
        <v>32</v>
      </c>
      <c r="L90" s="64" t="str">
        <f>IFERROR(VLOOKUP(MID(G90,J90,K90-J90),[5]skilldef!$C:$D,2,FALSE),"-") &amp; " / " &amp; IFERROR(VLOOKUP(MID(G90,H90,I90-H90),[5]skilldef!$A:$B,2,FALSE),"-")</f>
        <v>- / -</v>
      </c>
      <c r="M90" s="64" t="str">
        <f t="shared" si="153"/>
        <v>[effect:fix_speed, target:myself, turn:1]</v>
      </c>
      <c r="N90" s="48" t="str">
        <f t="shared" si="154"/>
        <v>[effect:fix_speed, target:myself, turn:1]</v>
      </c>
      <c r="O90" s="64">
        <f t="shared" si="155"/>
        <v>9</v>
      </c>
      <c r="P90" s="64">
        <f t="shared" si="156"/>
        <v>18</v>
      </c>
      <c r="Q90" s="64">
        <f t="shared" si="157"/>
        <v>27</v>
      </c>
      <c r="R90" s="64">
        <f t="shared" si="158"/>
        <v>33</v>
      </c>
      <c r="S90" s="64" t="str">
        <f>IFERROR(VLOOKUP(MID(N90,Q90,R90-Q90),[5]skilldef!$C:$D,2,FALSE),"-") &amp; " / " &amp; IFERROR(VLOOKUP(MID(N90,O90,P90-O90),[5]skilldef!$A:$B,2,FALSE),"-")</f>
        <v>自分自身に / 行動値設定</v>
      </c>
      <c r="T90" s="48" t="str">
        <f t="shared" si="159"/>
        <v>none</v>
      </c>
      <c r="U90" s="64" t="e">
        <f t="shared" si="160"/>
        <v>#VALUE!</v>
      </c>
      <c r="V90" s="64">
        <f t="shared" si="161"/>
        <v>4</v>
      </c>
      <c r="W90" s="64" t="e">
        <f t="shared" si="162"/>
        <v>#VALUE!</v>
      </c>
      <c r="X90" s="64" t="e">
        <f t="shared" si="163"/>
        <v>#VALUE!</v>
      </c>
      <c r="Y90" s="64" t="str">
        <f>IFERROR(VLOOKUP(MID(T90,W90,X90-W90),[5]skilldef!$C:$D,2,FALSE),"-") &amp; " / " &amp; IFERROR(VLOOKUP(MID(T90,U90,V90-U90),[5]skilldef!$A:$B,2,FALSE),"-")</f>
        <v>- / -</v>
      </c>
      <c r="Z90" s="50"/>
      <c r="AA90" s="52"/>
      <c r="AB90" s="50"/>
    </row>
    <row r="91" spans="1:28" ht="21" customHeight="1" thickBot="1" x14ac:dyDescent="0.2">
      <c r="A91" s="47">
        <v>47002090</v>
      </c>
      <c r="B91" s="47" t="s">
        <v>309</v>
      </c>
      <c r="C91" s="140">
        <v>3</v>
      </c>
      <c r="D91" s="50" t="s">
        <v>126</v>
      </c>
      <c r="E91" s="150" t="s">
        <v>416</v>
      </c>
      <c r="F91" s="152" t="s">
        <v>308</v>
      </c>
      <c r="G91" s="64" t="str">
        <f t="shared" si="148"/>
        <v>[effect:enemy_message, val1:2.4, val2:0]</v>
      </c>
      <c r="H91" s="64">
        <f t="shared" si="149"/>
        <v>9</v>
      </c>
      <c r="I91" s="64">
        <f t="shared" si="150"/>
        <v>22</v>
      </c>
      <c r="J91" s="64" t="e">
        <f t="shared" si="151"/>
        <v>#VALUE!</v>
      </c>
      <c r="K91" s="64">
        <f t="shared" si="152"/>
        <v>32</v>
      </c>
      <c r="L91" s="64" t="str">
        <f>IFERROR(VLOOKUP(MID(G91,J91,K91-J91),[5]skilldef!$C:$D,2,FALSE),"-") &amp; " / " &amp; IFERROR(VLOOKUP(MID(G91,H91,I91-H91),[5]skilldef!$A:$B,2,FALSE),"-")</f>
        <v>- / -</v>
      </c>
      <c r="M91" s="64" t="str">
        <f t="shared" si="153"/>
        <v>[effect:fix_speed, target:myself, turn:1]</v>
      </c>
      <c r="N91" s="48" t="str">
        <f t="shared" si="154"/>
        <v>[effect:fix_speed, target:myself, turn:1]</v>
      </c>
      <c r="O91" s="64">
        <f t="shared" si="155"/>
        <v>9</v>
      </c>
      <c r="P91" s="64">
        <f t="shared" si="156"/>
        <v>18</v>
      </c>
      <c r="Q91" s="64">
        <f t="shared" si="157"/>
        <v>27</v>
      </c>
      <c r="R91" s="64">
        <f t="shared" si="158"/>
        <v>33</v>
      </c>
      <c r="S91" s="64" t="str">
        <f>IFERROR(VLOOKUP(MID(N91,Q91,R91-Q91),[5]skilldef!$C:$D,2,FALSE),"-") &amp; " / " &amp; IFERROR(VLOOKUP(MID(N91,O91,P91-O91),[5]skilldef!$A:$B,2,FALSE),"-")</f>
        <v>自分自身に / 行動値設定</v>
      </c>
      <c r="T91" s="48" t="str">
        <f t="shared" si="159"/>
        <v>none</v>
      </c>
      <c r="U91" s="64" t="e">
        <f t="shared" si="160"/>
        <v>#VALUE!</v>
      </c>
      <c r="V91" s="64">
        <f t="shared" si="161"/>
        <v>4</v>
      </c>
      <c r="W91" s="64" t="e">
        <f t="shared" si="162"/>
        <v>#VALUE!</v>
      </c>
      <c r="X91" s="64" t="e">
        <f t="shared" si="163"/>
        <v>#VALUE!</v>
      </c>
      <c r="Y91" s="64" t="str">
        <f>IFERROR(VLOOKUP(MID(T91,W91,X91-W91),[5]skilldef!$C:$D,2,FALSE),"-") &amp; " / " &amp; IFERROR(VLOOKUP(MID(T91,U91,V91-U91),[5]skilldef!$A:$B,2,FALSE),"-")</f>
        <v>- / -</v>
      </c>
      <c r="Z91" s="50"/>
      <c r="AA91" s="52"/>
      <c r="AB91" s="50"/>
    </row>
    <row r="92" spans="1:28" ht="21" customHeight="1" thickBot="1" x14ac:dyDescent="0.2">
      <c r="A92" s="47">
        <v>47002091</v>
      </c>
      <c r="B92" s="47" t="s">
        <v>309</v>
      </c>
      <c r="C92" s="140">
        <v>3</v>
      </c>
      <c r="D92" s="50" t="s">
        <v>126</v>
      </c>
      <c r="E92" s="150" t="s">
        <v>417</v>
      </c>
      <c r="F92" s="152" t="s">
        <v>308</v>
      </c>
      <c r="G92" s="64" t="str">
        <f t="shared" si="148"/>
        <v>[effect:enemy_message, val1:2.4, val2:0]</v>
      </c>
      <c r="H92" s="64">
        <f t="shared" si="149"/>
        <v>9</v>
      </c>
      <c r="I92" s="64">
        <f t="shared" si="150"/>
        <v>22</v>
      </c>
      <c r="J92" s="64" t="e">
        <f t="shared" si="151"/>
        <v>#VALUE!</v>
      </c>
      <c r="K92" s="64">
        <f t="shared" si="152"/>
        <v>32</v>
      </c>
      <c r="L92" s="64" t="str">
        <f>IFERROR(VLOOKUP(MID(G92,J92,K92-J92),[5]skilldef!$C:$D,2,FALSE),"-") &amp; " / " &amp; IFERROR(VLOOKUP(MID(G92,H92,I92-H92),[5]skilldef!$A:$B,2,FALSE),"-")</f>
        <v>- / -</v>
      </c>
      <c r="M92" s="64" t="str">
        <f t="shared" si="153"/>
        <v>[effect:fix_speed, target:myself, turn:1]</v>
      </c>
      <c r="N92" s="48" t="str">
        <f t="shared" si="154"/>
        <v>[effect:fix_speed, target:myself, turn:1]</v>
      </c>
      <c r="O92" s="64">
        <f t="shared" si="155"/>
        <v>9</v>
      </c>
      <c r="P92" s="64">
        <f t="shared" si="156"/>
        <v>18</v>
      </c>
      <c r="Q92" s="64">
        <f t="shared" si="157"/>
        <v>27</v>
      </c>
      <c r="R92" s="64">
        <f t="shared" si="158"/>
        <v>33</v>
      </c>
      <c r="S92" s="64" t="str">
        <f>IFERROR(VLOOKUP(MID(N92,Q92,R92-Q92),[5]skilldef!$C:$D,2,FALSE),"-") &amp; " / " &amp; IFERROR(VLOOKUP(MID(N92,O92,P92-O92),[5]skilldef!$A:$B,2,FALSE),"-")</f>
        <v>自分自身に / 行動値設定</v>
      </c>
      <c r="T92" s="48" t="str">
        <f t="shared" si="159"/>
        <v>none</v>
      </c>
      <c r="U92" s="64" t="e">
        <f t="shared" si="160"/>
        <v>#VALUE!</v>
      </c>
      <c r="V92" s="64">
        <f t="shared" si="161"/>
        <v>4</v>
      </c>
      <c r="W92" s="64" t="e">
        <f t="shared" si="162"/>
        <v>#VALUE!</v>
      </c>
      <c r="X92" s="64" t="e">
        <f t="shared" si="163"/>
        <v>#VALUE!</v>
      </c>
      <c r="Y92" s="64" t="str">
        <f>IFERROR(VLOOKUP(MID(T92,W92,X92-W92),[5]skilldef!$C:$D,2,FALSE),"-") &amp; " / " &amp; IFERROR(VLOOKUP(MID(T92,U92,V92-U92),[5]skilldef!$A:$B,2,FALSE),"-")</f>
        <v>- / -</v>
      </c>
      <c r="Z92" s="50"/>
      <c r="AA92" s="52"/>
      <c r="AB92" s="50"/>
    </row>
    <row r="93" spans="1:28" ht="21" customHeight="1" thickBot="1" x14ac:dyDescent="0.2">
      <c r="A93" s="47">
        <v>47002092</v>
      </c>
      <c r="B93" s="47" t="s">
        <v>311</v>
      </c>
      <c r="C93" s="140">
        <v>3</v>
      </c>
      <c r="D93" s="50" t="s">
        <v>126</v>
      </c>
      <c r="E93" s="150" t="s">
        <v>298</v>
      </c>
      <c r="F93" s="152" t="s">
        <v>308</v>
      </c>
      <c r="G93" s="64" t="str">
        <f t="shared" si="148"/>
        <v>[effect:enemy_message, val1:1.4, val2:0]</v>
      </c>
      <c r="H93" s="64">
        <f t="shared" si="149"/>
        <v>9</v>
      </c>
      <c r="I93" s="64">
        <f t="shared" si="150"/>
        <v>22</v>
      </c>
      <c r="J93" s="64" t="e">
        <f t="shared" si="151"/>
        <v>#VALUE!</v>
      </c>
      <c r="K93" s="64">
        <f t="shared" si="152"/>
        <v>32</v>
      </c>
      <c r="L93" s="64" t="str">
        <f>IFERROR(VLOOKUP(MID(G93,J93,K93-J93),[5]skilldef!$C:$D,2,FALSE),"-") &amp; " / " &amp; IFERROR(VLOOKUP(MID(G93,H93,I93-H93),[5]skilldef!$A:$B,2,FALSE),"-")</f>
        <v>- / -</v>
      </c>
      <c r="M93" s="64" t="str">
        <f t="shared" si="153"/>
        <v>[effect:fix_speed, target:myself, turn:1]</v>
      </c>
      <c r="N93" s="48" t="str">
        <f t="shared" si="154"/>
        <v>[effect:fix_speed, target:myself, turn:1]</v>
      </c>
      <c r="O93" s="64">
        <f t="shared" si="155"/>
        <v>9</v>
      </c>
      <c r="P93" s="64">
        <f t="shared" si="156"/>
        <v>18</v>
      </c>
      <c r="Q93" s="64">
        <f t="shared" si="157"/>
        <v>27</v>
      </c>
      <c r="R93" s="64">
        <f t="shared" si="158"/>
        <v>33</v>
      </c>
      <c r="S93" s="64" t="str">
        <f>IFERROR(VLOOKUP(MID(N93,Q93,R93-Q93),[5]skilldef!$C:$D,2,FALSE),"-") &amp; " / " &amp; IFERROR(VLOOKUP(MID(N93,O93,P93-O93),[5]skilldef!$A:$B,2,FALSE),"-")</f>
        <v>自分自身に / 行動値設定</v>
      </c>
      <c r="T93" s="48" t="str">
        <f t="shared" si="159"/>
        <v>none</v>
      </c>
      <c r="U93" s="64" t="e">
        <f t="shared" si="160"/>
        <v>#VALUE!</v>
      </c>
      <c r="V93" s="64">
        <f t="shared" si="161"/>
        <v>4</v>
      </c>
      <c r="W93" s="64" t="e">
        <f t="shared" si="162"/>
        <v>#VALUE!</v>
      </c>
      <c r="X93" s="64" t="e">
        <f t="shared" si="163"/>
        <v>#VALUE!</v>
      </c>
      <c r="Y93" s="64" t="str">
        <f>IFERROR(VLOOKUP(MID(T93,W93,X93-W93),[5]skilldef!$C:$D,2,FALSE),"-") &amp; " / " &amp; IFERROR(VLOOKUP(MID(T93,U93,V93-U93),[5]skilldef!$A:$B,2,FALSE),"-")</f>
        <v>- / -</v>
      </c>
      <c r="Z93" s="50"/>
      <c r="AA93" s="52"/>
      <c r="AB93" s="50"/>
    </row>
    <row r="94" spans="1:28" ht="21" customHeight="1" thickBot="1" x14ac:dyDescent="0.2">
      <c r="A94" s="47">
        <v>47002093</v>
      </c>
      <c r="B94" s="47" t="s">
        <v>433</v>
      </c>
      <c r="C94" s="140">
        <v>3</v>
      </c>
      <c r="D94" s="50" t="s">
        <v>126</v>
      </c>
      <c r="E94" s="150" t="s">
        <v>300</v>
      </c>
      <c r="F94" s="51" t="s">
        <v>430</v>
      </c>
      <c r="G94" s="64" t="str">
        <f t="shared" si="148"/>
        <v>[effect:enemy_message, val1:1.2, val2:1.8]</v>
      </c>
      <c r="H94" s="64">
        <f t="shared" si="149"/>
        <v>9</v>
      </c>
      <c r="I94" s="64">
        <f t="shared" si="150"/>
        <v>22</v>
      </c>
      <c r="J94" s="64" t="e">
        <f t="shared" si="151"/>
        <v>#VALUE!</v>
      </c>
      <c r="K94" s="64">
        <f t="shared" si="152"/>
        <v>32</v>
      </c>
      <c r="L94" s="64" t="str">
        <f>IFERROR(VLOOKUP(MID(G94,J94,K94-J94),[5]skilldef!$C:$D,2,FALSE),"-") &amp; " / " &amp; IFERROR(VLOOKUP(MID(G94,H94,I94-H94),[5]skilldef!$A:$B,2,FALSE),"-")</f>
        <v>- / -</v>
      </c>
      <c r="M94" s="64" t="str">
        <f t="shared" si="153"/>
        <v>[effect:enhance_unit, target:unit_blue, turn:-1, status:action, val:1],[effect:fix_speed, target:myself, turn:1]</v>
      </c>
      <c r="N94" s="48" t="str">
        <f t="shared" si="154"/>
        <v>[effect:enhance_unit, target:unit_blue, turn:-1, status:action, val:1],[effect:fix_speed, target:myself, turn:1]</v>
      </c>
      <c r="O94" s="64">
        <f t="shared" si="155"/>
        <v>9</v>
      </c>
      <c r="P94" s="64">
        <f t="shared" si="156"/>
        <v>21</v>
      </c>
      <c r="Q94" s="64">
        <f t="shared" si="157"/>
        <v>30</v>
      </c>
      <c r="R94" s="64">
        <f t="shared" si="158"/>
        <v>39</v>
      </c>
      <c r="S94" s="64" t="str">
        <f>IFERROR(VLOOKUP(MID(N94,Q94,R94-Q94),[5]skilldef!$C:$D,2,FALSE),"-") &amp; " / " &amp; IFERROR(VLOOKUP(MID(N94,O94,P94-O94),[5]skilldef!$A:$B,2,FALSE),"-")</f>
        <v>青の味方に / -</v>
      </c>
      <c r="T94" s="48" t="str">
        <f t="shared" si="159"/>
        <v>[effect:fix_speed, target:myself, turn:1]</v>
      </c>
      <c r="U94" s="64">
        <f t="shared" si="160"/>
        <v>9</v>
      </c>
      <c r="V94" s="64">
        <f t="shared" si="161"/>
        <v>18</v>
      </c>
      <c r="W94" s="64">
        <f t="shared" si="162"/>
        <v>27</v>
      </c>
      <c r="X94" s="64">
        <f t="shared" si="163"/>
        <v>33</v>
      </c>
      <c r="Y94" s="64" t="str">
        <f>IFERROR(VLOOKUP(MID(T94,W94,X94-W94),[5]skilldef!$C:$D,2,FALSE),"-") &amp; " / " &amp; IFERROR(VLOOKUP(MID(T94,U94,V94-U94),[5]skilldef!$A:$B,2,FALSE),"-")</f>
        <v>自分自身に / 行動値設定</v>
      </c>
      <c r="Z94" s="50"/>
      <c r="AA94" s="52"/>
      <c r="AB94" s="50"/>
    </row>
    <row r="95" spans="1:28" ht="21" customHeight="1" thickBot="1" x14ac:dyDescent="0.2">
      <c r="A95" s="47">
        <v>47002094</v>
      </c>
      <c r="B95" s="47" t="s">
        <v>311</v>
      </c>
      <c r="C95" s="140">
        <v>3</v>
      </c>
      <c r="D95" s="50" t="s">
        <v>126</v>
      </c>
      <c r="E95" s="150" t="s">
        <v>299</v>
      </c>
      <c r="F95" s="152" t="s">
        <v>308</v>
      </c>
      <c r="G95" s="64" t="str">
        <f t="shared" si="148"/>
        <v>[effect:enemy_message, val1:1.4, val2:0]</v>
      </c>
      <c r="H95" s="64">
        <f t="shared" si="149"/>
        <v>9</v>
      </c>
      <c r="I95" s="64">
        <f t="shared" si="150"/>
        <v>22</v>
      </c>
      <c r="J95" s="64" t="e">
        <f t="shared" si="151"/>
        <v>#VALUE!</v>
      </c>
      <c r="K95" s="64">
        <f t="shared" si="152"/>
        <v>32</v>
      </c>
      <c r="L95" s="64" t="str">
        <f>IFERROR(VLOOKUP(MID(G95,J95,K95-J95),[5]skilldef!$C:$D,2,FALSE),"-") &amp; " / " &amp; IFERROR(VLOOKUP(MID(G95,H95,I95-H95),[5]skilldef!$A:$B,2,FALSE),"-")</f>
        <v>- / -</v>
      </c>
      <c r="M95" s="64" t="str">
        <f t="shared" si="153"/>
        <v>[effect:fix_speed, target:myself, turn:1]</v>
      </c>
      <c r="N95" s="48" t="str">
        <f t="shared" si="154"/>
        <v>[effect:fix_speed, target:myself, turn:1]</v>
      </c>
      <c r="O95" s="64">
        <f t="shared" si="155"/>
        <v>9</v>
      </c>
      <c r="P95" s="64">
        <f t="shared" si="156"/>
        <v>18</v>
      </c>
      <c r="Q95" s="64">
        <f t="shared" si="157"/>
        <v>27</v>
      </c>
      <c r="R95" s="64">
        <f t="shared" si="158"/>
        <v>33</v>
      </c>
      <c r="S95" s="64" t="str">
        <f>IFERROR(VLOOKUP(MID(N95,Q95,R95-Q95),[5]skilldef!$C:$D,2,FALSE),"-") &amp; " / " &amp; IFERROR(VLOOKUP(MID(N95,O95,P95-O95),[5]skilldef!$A:$B,2,FALSE),"-")</f>
        <v>自分自身に / 行動値設定</v>
      </c>
      <c r="T95" s="48" t="str">
        <f t="shared" si="159"/>
        <v>none</v>
      </c>
      <c r="U95" s="64" t="e">
        <f t="shared" si="160"/>
        <v>#VALUE!</v>
      </c>
      <c r="V95" s="64">
        <f t="shared" si="161"/>
        <v>4</v>
      </c>
      <c r="W95" s="64" t="e">
        <f t="shared" si="162"/>
        <v>#VALUE!</v>
      </c>
      <c r="X95" s="64" t="e">
        <f t="shared" si="163"/>
        <v>#VALUE!</v>
      </c>
      <c r="Y95" s="64" t="str">
        <f>IFERROR(VLOOKUP(MID(T95,W95,X95-W95),[5]skilldef!$C:$D,2,FALSE),"-") &amp; " / " &amp; IFERROR(VLOOKUP(MID(T95,U95,V95-U95),[5]skilldef!$A:$B,2,FALSE),"-")</f>
        <v>- / -</v>
      </c>
      <c r="Z95" s="50"/>
      <c r="AA95" s="52"/>
      <c r="AB95" s="50"/>
    </row>
    <row r="96" spans="1:28" ht="21" customHeight="1" thickBot="1" x14ac:dyDescent="0.2">
      <c r="A96" s="47">
        <v>47002095</v>
      </c>
      <c r="B96" s="47" t="s">
        <v>309</v>
      </c>
      <c r="C96" s="140">
        <v>3</v>
      </c>
      <c r="D96" s="50" t="s">
        <v>126</v>
      </c>
      <c r="E96" s="150" t="s">
        <v>418</v>
      </c>
      <c r="F96" s="152" t="s">
        <v>308</v>
      </c>
      <c r="G96" s="64" t="str">
        <f t="shared" ref="G96:G102" si="164">IFERROR(LEFT(B96,FIND("],",B96)),B96)</f>
        <v>[effect:enemy_message, val1:2.4, val2:0]</v>
      </c>
      <c r="H96" s="64">
        <f t="shared" ref="H96:H102" si="165">FIND("effect:",G96)+7</f>
        <v>9</v>
      </c>
      <c r="I96" s="64">
        <f t="shared" ref="I96:I102" si="166">IFERROR(FIND(",",G96),LEN(G96))</f>
        <v>22</v>
      </c>
      <c r="J96" s="64" t="e">
        <f t="shared" ref="J96:J102" si="167">FIND("target:",G96)+7</f>
        <v>#VALUE!</v>
      </c>
      <c r="K96" s="64">
        <f t="shared" ref="K96:K102" si="168">FIND(",",G96,I96+1)</f>
        <v>32</v>
      </c>
      <c r="L96" s="64" t="str">
        <f>IFERROR(VLOOKUP(MID(G96,J96,K96-J96),[5]skilldef!$C:$D,2,FALSE),"-") &amp; " / " &amp; IFERROR(VLOOKUP(MID(G96,H96,I96-H96),[5]skilldef!$A:$B,2,FALSE),"-")</f>
        <v>- / -</v>
      </c>
      <c r="M96" s="64" t="str">
        <f t="shared" ref="M96:M102" si="169">IFERROR(RIGHT(B96,LEN(B96)-FIND("],",B96)-1),"none")</f>
        <v>[effect:fix_speed, target:myself, turn:1]</v>
      </c>
      <c r="N96" s="48" t="str">
        <f t="shared" ref="N96:N100" si="170">IFERROR(LEFT(M96,FIND("],",M96)+S106),M96)</f>
        <v>[effect:fix_speed, target:myself, turn:1]</v>
      </c>
      <c r="O96" s="64">
        <f t="shared" ref="O96:O102" si="171">FIND("effect:",N96)+7</f>
        <v>9</v>
      </c>
      <c r="P96" s="64">
        <f t="shared" ref="P96:P102" si="172">IFERROR(FIND(",",N96),LEN(N96))</f>
        <v>18</v>
      </c>
      <c r="Q96" s="64">
        <f t="shared" ref="Q96:Q102" si="173">FIND("target:",N96)+7</f>
        <v>27</v>
      </c>
      <c r="R96" s="64">
        <f t="shared" ref="R96:R102" si="174">FIND(",",N96,P96+1)</f>
        <v>33</v>
      </c>
      <c r="S96" s="64" t="str">
        <f>IFERROR(VLOOKUP(MID(N96,Q96,R96-Q96),[5]skilldef!$C:$D,2,FALSE),"-") &amp; " / " &amp; IFERROR(VLOOKUP(MID(N96,O96,P96-O96),[5]skilldef!$A:$B,2,FALSE),"-")</f>
        <v>自分自身に / 行動値設定</v>
      </c>
      <c r="T96" s="48" t="str">
        <f t="shared" ref="T96:T102" si="175">IFERROR(RIGHT(M96,LEN(M96)-FIND("],",M96)-1),"none")</f>
        <v>none</v>
      </c>
      <c r="U96" s="64" t="e">
        <f t="shared" ref="U96:U102" si="176">FIND("effect:",T96)+7</f>
        <v>#VALUE!</v>
      </c>
      <c r="V96" s="64">
        <f t="shared" ref="V96:V102" si="177">IFERROR(FIND(",",T96),LEN(T96))</f>
        <v>4</v>
      </c>
      <c r="W96" s="64" t="e">
        <f t="shared" ref="W96:W102" si="178">FIND("target:",T96)+7</f>
        <v>#VALUE!</v>
      </c>
      <c r="X96" s="64" t="e">
        <f t="shared" ref="X96:X102" si="179">FIND(",",T96,V96+1)</f>
        <v>#VALUE!</v>
      </c>
      <c r="Y96" s="64" t="str">
        <f>IFERROR(VLOOKUP(MID(T96,W96,X96-W96),[5]skilldef!$C:$D,2,FALSE),"-") &amp; " / " &amp; IFERROR(VLOOKUP(MID(T96,U96,V96-U96),[5]skilldef!$A:$B,2,FALSE),"-")</f>
        <v>- / -</v>
      </c>
      <c r="Z96" s="50"/>
      <c r="AA96" s="52"/>
      <c r="AB96" s="50"/>
    </row>
    <row r="97" spans="1:28" ht="21" customHeight="1" thickBot="1" x14ac:dyDescent="0.2">
      <c r="A97" s="47">
        <v>47002096</v>
      </c>
      <c r="B97" s="47" t="s">
        <v>312</v>
      </c>
      <c r="C97" s="140">
        <v>3</v>
      </c>
      <c r="D97" s="50" t="s">
        <v>126</v>
      </c>
      <c r="E97" s="150" t="s">
        <v>301</v>
      </c>
      <c r="F97" s="152" t="s">
        <v>308</v>
      </c>
      <c r="G97" s="64" t="str">
        <f t="shared" si="164"/>
        <v>[effect:enemy_message, val1:2.2, val2:0]</v>
      </c>
      <c r="H97" s="64">
        <f t="shared" si="165"/>
        <v>9</v>
      </c>
      <c r="I97" s="64">
        <f t="shared" si="166"/>
        <v>22</v>
      </c>
      <c r="J97" s="64" t="e">
        <f t="shared" si="167"/>
        <v>#VALUE!</v>
      </c>
      <c r="K97" s="64">
        <f t="shared" si="168"/>
        <v>32</v>
      </c>
      <c r="L97" s="64" t="str">
        <f>IFERROR(VLOOKUP(MID(G97,J97,K97-J97),[5]skilldef!$C:$D,2,FALSE),"-") &amp; " / " &amp; IFERROR(VLOOKUP(MID(G97,H97,I97-H97),[5]skilldef!$A:$B,2,FALSE),"-")</f>
        <v>- / -</v>
      </c>
      <c r="M97" s="64" t="str">
        <f t="shared" si="169"/>
        <v>[effect:fix_speed, target:myself, turn:1]</v>
      </c>
      <c r="N97" s="48" t="str">
        <f t="shared" si="170"/>
        <v>[effect:fix_speed, target:myself, turn:1]</v>
      </c>
      <c r="O97" s="64">
        <f t="shared" si="171"/>
        <v>9</v>
      </c>
      <c r="P97" s="64">
        <f t="shared" si="172"/>
        <v>18</v>
      </c>
      <c r="Q97" s="64">
        <f t="shared" si="173"/>
        <v>27</v>
      </c>
      <c r="R97" s="64">
        <f t="shared" si="174"/>
        <v>33</v>
      </c>
      <c r="S97" s="64" t="str">
        <f>IFERROR(VLOOKUP(MID(N97,Q97,R97-Q97),[5]skilldef!$C:$D,2,FALSE),"-") &amp; " / " &amp; IFERROR(VLOOKUP(MID(N97,O97,P97-O97),[5]skilldef!$A:$B,2,FALSE),"-")</f>
        <v>自分自身に / 行動値設定</v>
      </c>
      <c r="T97" s="48" t="str">
        <f t="shared" si="175"/>
        <v>none</v>
      </c>
      <c r="U97" s="64" t="e">
        <f t="shared" si="176"/>
        <v>#VALUE!</v>
      </c>
      <c r="V97" s="64">
        <f t="shared" si="177"/>
        <v>4</v>
      </c>
      <c r="W97" s="64" t="e">
        <f t="shared" si="178"/>
        <v>#VALUE!</v>
      </c>
      <c r="X97" s="64" t="e">
        <f t="shared" si="179"/>
        <v>#VALUE!</v>
      </c>
      <c r="Y97" s="64" t="str">
        <f>IFERROR(VLOOKUP(MID(T97,W97,X97-W97),[5]skilldef!$C:$D,2,FALSE),"-") &amp; " / " &amp; IFERROR(VLOOKUP(MID(T97,U97,V97-U97),[5]skilldef!$A:$B,2,FALSE),"-")</f>
        <v>- / -</v>
      </c>
      <c r="Z97" s="50"/>
      <c r="AA97" s="52"/>
      <c r="AB97" s="50"/>
    </row>
    <row r="98" spans="1:28" ht="21" customHeight="1" thickBot="1" x14ac:dyDescent="0.2">
      <c r="A98" s="47">
        <v>47002097</v>
      </c>
      <c r="B98" s="47" t="s">
        <v>312</v>
      </c>
      <c r="C98" s="140">
        <v>3</v>
      </c>
      <c r="D98" s="50" t="s">
        <v>126</v>
      </c>
      <c r="E98" s="150" t="s">
        <v>302</v>
      </c>
      <c r="F98" s="152" t="s">
        <v>308</v>
      </c>
      <c r="G98" s="64" t="str">
        <f t="shared" si="164"/>
        <v>[effect:enemy_message, val1:2.2, val2:0]</v>
      </c>
      <c r="H98" s="64">
        <f t="shared" si="165"/>
        <v>9</v>
      </c>
      <c r="I98" s="64">
        <f t="shared" si="166"/>
        <v>22</v>
      </c>
      <c r="J98" s="64" t="e">
        <f t="shared" si="167"/>
        <v>#VALUE!</v>
      </c>
      <c r="K98" s="64">
        <f t="shared" si="168"/>
        <v>32</v>
      </c>
      <c r="L98" s="64" t="str">
        <f>IFERROR(VLOOKUP(MID(G98,J98,K98-J98),[5]skilldef!$C:$D,2,FALSE),"-") &amp; " / " &amp; IFERROR(VLOOKUP(MID(G98,H98,I98-H98),[5]skilldef!$A:$B,2,FALSE),"-")</f>
        <v>- / -</v>
      </c>
      <c r="M98" s="64" t="str">
        <f t="shared" si="169"/>
        <v>[effect:fix_speed, target:myself, turn:1]</v>
      </c>
      <c r="N98" s="48" t="str">
        <f t="shared" si="170"/>
        <v>[effect:fix_speed, target:myself, turn:1]</v>
      </c>
      <c r="O98" s="64">
        <f t="shared" si="171"/>
        <v>9</v>
      </c>
      <c r="P98" s="64">
        <f t="shared" si="172"/>
        <v>18</v>
      </c>
      <c r="Q98" s="64">
        <f t="shared" si="173"/>
        <v>27</v>
      </c>
      <c r="R98" s="64">
        <f t="shared" si="174"/>
        <v>33</v>
      </c>
      <c r="S98" s="64" t="str">
        <f>IFERROR(VLOOKUP(MID(N98,Q98,R98-Q98),[5]skilldef!$C:$D,2,FALSE),"-") &amp; " / " &amp; IFERROR(VLOOKUP(MID(N98,O98,P98-O98),[5]skilldef!$A:$B,2,FALSE),"-")</f>
        <v>自分自身に / 行動値設定</v>
      </c>
      <c r="T98" s="48" t="str">
        <f t="shared" si="175"/>
        <v>none</v>
      </c>
      <c r="U98" s="64" t="e">
        <f t="shared" si="176"/>
        <v>#VALUE!</v>
      </c>
      <c r="V98" s="64">
        <f t="shared" si="177"/>
        <v>4</v>
      </c>
      <c r="W98" s="64" t="e">
        <f t="shared" si="178"/>
        <v>#VALUE!</v>
      </c>
      <c r="X98" s="64" t="e">
        <f t="shared" si="179"/>
        <v>#VALUE!</v>
      </c>
      <c r="Y98" s="64" t="str">
        <f>IFERROR(VLOOKUP(MID(T98,W98,X98-W98),[5]skilldef!$C:$D,2,FALSE),"-") &amp; " / " &amp; IFERROR(VLOOKUP(MID(T98,U98,V98-U98),[5]skilldef!$A:$B,2,FALSE),"-")</f>
        <v>- / -</v>
      </c>
      <c r="Z98" s="50"/>
      <c r="AA98" s="52"/>
      <c r="AB98" s="50"/>
    </row>
    <row r="99" spans="1:28" ht="21" customHeight="1" thickBot="1" x14ac:dyDescent="0.2">
      <c r="A99" s="47">
        <v>47002098</v>
      </c>
      <c r="B99" s="47" t="s">
        <v>469</v>
      </c>
      <c r="C99" s="140">
        <v>3</v>
      </c>
      <c r="D99" s="50" t="s">
        <v>126</v>
      </c>
      <c r="E99" s="150" t="s">
        <v>468</v>
      </c>
      <c r="F99" s="152" t="s">
        <v>308</v>
      </c>
      <c r="G99" s="64" t="str">
        <f t="shared" si="164"/>
        <v>[effect:enemy_message, val1:2.0, val2:0]</v>
      </c>
      <c r="H99" s="64">
        <f t="shared" si="165"/>
        <v>9</v>
      </c>
      <c r="I99" s="64">
        <f t="shared" si="166"/>
        <v>22</v>
      </c>
      <c r="J99" s="64" t="e">
        <f t="shared" si="167"/>
        <v>#VALUE!</v>
      </c>
      <c r="K99" s="64">
        <f t="shared" si="168"/>
        <v>32</v>
      </c>
      <c r="L99" s="64" t="str">
        <f>IFERROR(VLOOKUP(MID(G99,J99,K99-J99),[5]skilldef!$C:$D,2,FALSE),"-") &amp; " / " &amp; IFERROR(VLOOKUP(MID(G99,H99,I99-H99),[5]skilldef!$A:$B,2,FALSE),"-")</f>
        <v>- / -</v>
      </c>
      <c r="M99" s="64" t="str">
        <f t="shared" si="169"/>
        <v>[effect:fix_speed, target:myself, turn:1]</v>
      </c>
      <c r="N99" s="48" t="str">
        <f t="shared" si="170"/>
        <v>[effect:fix_speed, target:myself, turn:1]</v>
      </c>
      <c r="O99" s="64">
        <f t="shared" si="171"/>
        <v>9</v>
      </c>
      <c r="P99" s="64">
        <f t="shared" si="172"/>
        <v>18</v>
      </c>
      <c r="Q99" s="64">
        <f t="shared" si="173"/>
        <v>27</v>
      </c>
      <c r="R99" s="64">
        <f t="shared" si="174"/>
        <v>33</v>
      </c>
      <c r="S99" s="64" t="str">
        <f>IFERROR(VLOOKUP(MID(N99,Q99,R99-Q99),[5]skilldef!$C:$D,2,FALSE),"-") &amp; " / " &amp; IFERROR(VLOOKUP(MID(N99,O99,P99-O99),[5]skilldef!$A:$B,2,FALSE),"-")</f>
        <v>自分自身に / 行動値設定</v>
      </c>
      <c r="T99" s="48" t="str">
        <f t="shared" si="175"/>
        <v>none</v>
      </c>
      <c r="U99" s="64" t="e">
        <f t="shared" si="176"/>
        <v>#VALUE!</v>
      </c>
      <c r="V99" s="64">
        <f t="shared" si="177"/>
        <v>4</v>
      </c>
      <c r="W99" s="64" t="e">
        <f t="shared" si="178"/>
        <v>#VALUE!</v>
      </c>
      <c r="X99" s="64" t="e">
        <f t="shared" si="179"/>
        <v>#VALUE!</v>
      </c>
      <c r="Y99" s="64" t="str">
        <f>IFERROR(VLOOKUP(MID(T99,W99,X99-W99),[5]skilldef!$C:$D,2,FALSE),"-") &amp; " / " &amp; IFERROR(VLOOKUP(MID(T99,U99,V99-U99),[5]skilldef!$A:$B,2,FALSE),"-")</f>
        <v>- / -</v>
      </c>
      <c r="Z99" s="50"/>
      <c r="AA99" s="52"/>
      <c r="AB99" s="50"/>
    </row>
    <row r="100" spans="1:28" ht="21" customHeight="1" thickBot="1" x14ac:dyDescent="0.2">
      <c r="A100" s="47">
        <v>47002099</v>
      </c>
      <c r="B100" s="47" t="s">
        <v>310</v>
      </c>
      <c r="C100" s="140">
        <v>3</v>
      </c>
      <c r="D100" s="50" t="s">
        <v>126</v>
      </c>
      <c r="E100" s="150" t="s">
        <v>303</v>
      </c>
      <c r="F100" s="152" t="s">
        <v>308</v>
      </c>
      <c r="G100" s="64" t="str">
        <f t="shared" si="164"/>
        <v>[effect:enemy_message, val1:2.0, val2:0]</v>
      </c>
      <c r="H100" s="64">
        <f t="shared" si="165"/>
        <v>9</v>
      </c>
      <c r="I100" s="64">
        <f t="shared" si="166"/>
        <v>22</v>
      </c>
      <c r="J100" s="64" t="e">
        <f t="shared" si="167"/>
        <v>#VALUE!</v>
      </c>
      <c r="K100" s="64">
        <f t="shared" si="168"/>
        <v>32</v>
      </c>
      <c r="L100" s="64" t="str">
        <f>IFERROR(VLOOKUP(MID(G100,J100,K100-J100),[5]skilldef!$C:$D,2,FALSE),"-") &amp; " / " &amp; IFERROR(VLOOKUP(MID(G100,H100,I100-H100),[5]skilldef!$A:$B,2,FALSE),"-")</f>
        <v>- / -</v>
      </c>
      <c r="M100" s="64" t="str">
        <f t="shared" si="169"/>
        <v>none</v>
      </c>
      <c r="N100" s="48" t="str">
        <f t="shared" si="170"/>
        <v>none</v>
      </c>
      <c r="O100" s="64" t="e">
        <f t="shared" si="171"/>
        <v>#VALUE!</v>
      </c>
      <c r="P100" s="64">
        <f t="shared" si="172"/>
        <v>4</v>
      </c>
      <c r="Q100" s="64" t="e">
        <f t="shared" si="173"/>
        <v>#VALUE!</v>
      </c>
      <c r="R100" s="64" t="e">
        <f t="shared" si="174"/>
        <v>#VALUE!</v>
      </c>
      <c r="S100" s="64" t="str">
        <f>IFERROR(VLOOKUP(MID(N100,Q100,R100-Q100),[5]skilldef!$C:$D,2,FALSE),"-") &amp; " / " &amp; IFERROR(VLOOKUP(MID(N100,O100,P100-O100),[5]skilldef!$A:$B,2,FALSE),"-")</f>
        <v>- / -</v>
      </c>
      <c r="T100" s="48" t="str">
        <f t="shared" si="175"/>
        <v>none</v>
      </c>
      <c r="U100" s="64" t="e">
        <f t="shared" si="176"/>
        <v>#VALUE!</v>
      </c>
      <c r="V100" s="64">
        <f t="shared" si="177"/>
        <v>4</v>
      </c>
      <c r="W100" s="64" t="e">
        <f t="shared" si="178"/>
        <v>#VALUE!</v>
      </c>
      <c r="X100" s="64" t="e">
        <f t="shared" si="179"/>
        <v>#VALUE!</v>
      </c>
      <c r="Y100" s="64" t="str">
        <f>IFERROR(VLOOKUP(MID(T100,W100,X100-W100),[5]skilldef!$C:$D,2,FALSE),"-") &amp; " / " &amp; IFERROR(VLOOKUP(MID(T100,U100,V100-U100),[5]skilldef!$A:$B,2,FALSE),"-")</f>
        <v>- / -</v>
      </c>
      <c r="Z100" s="50"/>
      <c r="AA100" s="52"/>
      <c r="AB100" s="50"/>
    </row>
    <row r="101" spans="1:28" ht="21" customHeight="1" thickBot="1" x14ac:dyDescent="0.2">
      <c r="A101" s="47">
        <v>47002100</v>
      </c>
      <c r="B101" s="47" t="s">
        <v>310</v>
      </c>
      <c r="C101" s="140">
        <v>3</v>
      </c>
      <c r="D101" s="50" t="s">
        <v>126</v>
      </c>
      <c r="E101" s="150" t="s">
        <v>305</v>
      </c>
      <c r="F101" s="152" t="s">
        <v>308</v>
      </c>
      <c r="G101" s="64" t="str">
        <f t="shared" si="164"/>
        <v>[effect:enemy_message, val1:2.0, val2:0]</v>
      </c>
      <c r="H101" s="64">
        <f t="shared" si="165"/>
        <v>9</v>
      </c>
      <c r="I101" s="64">
        <f t="shared" si="166"/>
        <v>22</v>
      </c>
      <c r="J101" s="64" t="e">
        <f t="shared" si="167"/>
        <v>#VALUE!</v>
      </c>
      <c r="K101" s="64">
        <f t="shared" si="168"/>
        <v>32</v>
      </c>
      <c r="L101" s="64" t="str">
        <f>IFERROR(VLOOKUP(MID(G101,J101,K101-J101),[5]skilldef!$C:$D,2,FALSE),"-") &amp; " / " &amp; IFERROR(VLOOKUP(MID(G101,H101,I101-H101),[5]skilldef!$A:$B,2,FALSE),"-")</f>
        <v>- / -</v>
      </c>
      <c r="M101" s="64" t="str">
        <f t="shared" si="169"/>
        <v>none</v>
      </c>
      <c r="N101" s="48" t="str">
        <f>IFERROR(LEFT(M101,FIND("],",M101)+#REF!),M101)</f>
        <v>none</v>
      </c>
      <c r="O101" s="64" t="e">
        <f t="shared" si="171"/>
        <v>#VALUE!</v>
      </c>
      <c r="P101" s="64">
        <f t="shared" si="172"/>
        <v>4</v>
      </c>
      <c r="Q101" s="64" t="e">
        <f t="shared" si="173"/>
        <v>#VALUE!</v>
      </c>
      <c r="R101" s="64" t="e">
        <f t="shared" si="174"/>
        <v>#VALUE!</v>
      </c>
      <c r="S101" s="64" t="str">
        <f>IFERROR(VLOOKUP(MID(N101,Q101,R101-Q101),[5]skilldef!$C:$D,2,FALSE),"-") &amp; " / " &amp; IFERROR(VLOOKUP(MID(N101,O101,P101-O101),[5]skilldef!$A:$B,2,FALSE),"-")</f>
        <v>- / -</v>
      </c>
      <c r="T101" s="48" t="str">
        <f t="shared" si="175"/>
        <v>none</v>
      </c>
      <c r="U101" s="64" t="e">
        <f t="shared" si="176"/>
        <v>#VALUE!</v>
      </c>
      <c r="V101" s="64">
        <f t="shared" si="177"/>
        <v>4</v>
      </c>
      <c r="W101" s="64" t="e">
        <f t="shared" si="178"/>
        <v>#VALUE!</v>
      </c>
      <c r="X101" s="64" t="e">
        <f t="shared" si="179"/>
        <v>#VALUE!</v>
      </c>
      <c r="Y101" s="64" t="str">
        <f>IFERROR(VLOOKUP(MID(T101,W101,X101-W101),[5]skilldef!$C:$D,2,FALSE),"-") &amp; " / " &amp; IFERROR(VLOOKUP(MID(T101,U101,V101-U101),[5]skilldef!$A:$B,2,FALSE),"-")</f>
        <v>- / -</v>
      </c>
      <c r="Z101" s="50"/>
      <c r="AA101" s="52"/>
      <c r="AB101" s="50"/>
    </row>
    <row r="102" spans="1:28" ht="21" customHeight="1" thickBot="1" x14ac:dyDescent="0.2">
      <c r="A102" s="47">
        <v>47002101</v>
      </c>
      <c r="B102" s="47" t="s">
        <v>434</v>
      </c>
      <c r="C102" s="140">
        <v>3</v>
      </c>
      <c r="D102" s="50" t="s">
        <v>126</v>
      </c>
      <c r="E102" s="150" t="s">
        <v>304</v>
      </c>
      <c r="F102" s="51" t="s">
        <v>431</v>
      </c>
      <c r="G102" s="64" t="str">
        <f t="shared" si="164"/>
        <v>[effect:enemy_message, val1:1.6, val2:1.8]</v>
      </c>
      <c r="H102" s="64">
        <f t="shared" si="165"/>
        <v>9</v>
      </c>
      <c r="I102" s="64">
        <f t="shared" si="166"/>
        <v>22</v>
      </c>
      <c r="J102" s="64" t="e">
        <f t="shared" si="167"/>
        <v>#VALUE!</v>
      </c>
      <c r="K102" s="64">
        <f t="shared" si="168"/>
        <v>32</v>
      </c>
      <c r="L102" s="64" t="str">
        <f>IFERROR(VLOOKUP(MID(G102,J102,K102-J102),[5]skilldef!$C:$D,2,FALSE),"-") &amp; " / " &amp; IFERROR(VLOOKUP(MID(G102,H102,I102-H102),[5]skilldef!$A:$B,2,FALSE),"-")</f>
        <v>- / -</v>
      </c>
      <c r="M102" s="64" t="str">
        <f t="shared" si="169"/>
        <v>[effect:enhance_unit, target:unit_blue, turn:-1, status:defense, val:1080, calc:add]</v>
      </c>
      <c r="N102" s="48" t="str">
        <f>IFERROR(LEFT(M102,FIND("],",M102)+#REF!),M102)</f>
        <v>[effect:enhance_unit, target:unit_blue, turn:-1, status:defense, val:1080, calc:add]</v>
      </c>
      <c r="O102" s="64">
        <f t="shared" si="171"/>
        <v>9</v>
      </c>
      <c r="P102" s="64">
        <f t="shared" si="172"/>
        <v>21</v>
      </c>
      <c r="Q102" s="64">
        <f t="shared" si="173"/>
        <v>30</v>
      </c>
      <c r="R102" s="64">
        <f t="shared" si="174"/>
        <v>39</v>
      </c>
      <c r="S102" s="64" t="str">
        <f>IFERROR(VLOOKUP(MID(N102,Q102,R102-Q102),[5]skilldef!$C:$D,2,FALSE),"-") &amp; " / " &amp; IFERROR(VLOOKUP(MID(N102,O102,P102-O102),[5]skilldef!$A:$B,2,FALSE),"-")</f>
        <v>青の味方に / -</v>
      </c>
      <c r="T102" s="48" t="str">
        <f t="shared" si="175"/>
        <v>none</v>
      </c>
      <c r="U102" s="64" t="e">
        <f t="shared" si="176"/>
        <v>#VALUE!</v>
      </c>
      <c r="V102" s="64">
        <f t="shared" si="177"/>
        <v>4</v>
      </c>
      <c r="W102" s="64" t="e">
        <f t="shared" si="178"/>
        <v>#VALUE!</v>
      </c>
      <c r="X102" s="64" t="e">
        <f t="shared" si="179"/>
        <v>#VALUE!</v>
      </c>
      <c r="Y102" s="64" t="str">
        <f>IFERROR(VLOOKUP(MID(T102,W102,X102-W102),[5]skilldef!$C:$D,2,FALSE),"-") &amp; " / " &amp; IFERROR(VLOOKUP(MID(T102,U102,V102-U102),[5]skilldef!$A:$B,2,FALSE),"-")</f>
        <v>- / -</v>
      </c>
      <c r="Z102" s="50"/>
      <c r="AA102" s="52"/>
      <c r="AB102" s="50"/>
    </row>
    <row r="103" spans="1:28" ht="21" customHeight="1" thickBot="1" x14ac:dyDescent="0.2">
      <c r="A103" s="47">
        <v>47002102</v>
      </c>
      <c r="B103" s="47" t="s">
        <v>310</v>
      </c>
      <c r="C103" s="140">
        <v>3</v>
      </c>
      <c r="D103" s="50" t="s">
        <v>126</v>
      </c>
      <c r="E103" s="150" t="s">
        <v>306</v>
      </c>
      <c r="F103" s="152" t="s">
        <v>308</v>
      </c>
      <c r="G103" s="64" t="str">
        <f t="shared" ref="G103:G109" si="180">IFERROR(LEFT(B103,FIND("],",B103)),B103)</f>
        <v>[effect:enemy_message, val1:2.0, val2:0]</v>
      </c>
      <c r="H103" s="64">
        <f t="shared" ref="H103:H109" si="181">FIND("effect:",G103)+7</f>
        <v>9</v>
      </c>
      <c r="I103" s="64">
        <f t="shared" ref="I103:I109" si="182">IFERROR(FIND(",",G103),LEN(G103))</f>
        <v>22</v>
      </c>
      <c r="J103" s="64" t="e">
        <f t="shared" ref="J103:J109" si="183">FIND("target:",G103)+7</f>
        <v>#VALUE!</v>
      </c>
      <c r="K103" s="64">
        <f t="shared" ref="K103:K109" si="184">FIND(",",G103,I103+1)</f>
        <v>32</v>
      </c>
      <c r="L103" s="64" t="str">
        <f>IFERROR(VLOOKUP(MID(G103,J103,K103-J103),[5]skilldef!$C:$D,2,FALSE),"-") &amp; " / " &amp; IFERROR(VLOOKUP(MID(G103,H103,I103-H103),[5]skilldef!$A:$B,2,FALSE),"-")</f>
        <v>- / -</v>
      </c>
      <c r="M103" s="64" t="str">
        <f t="shared" ref="M103:M109" si="185">IFERROR(RIGHT(B103,LEN(B103)-FIND("],",B103)-1),"none")</f>
        <v>none</v>
      </c>
      <c r="N103" s="48" t="str">
        <f>IFERROR(LEFT(M103,FIND("],",M103)+#REF!),M103)</f>
        <v>none</v>
      </c>
      <c r="O103" s="64" t="e">
        <f t="shared" ref="O103:O109" si="186">FIND("effect:",N103)+7</f>
        <v>#VALUE!</v>
      </c>
      <c r="P103" s="64">
        <f t="shared" ref="P103:P109" si="187">IFERROR(FIND(",",N103),LEN(N103))</f>
        <v>4</v>
      </c>
      <c r="Q103" s="64" t="e">
        <f t="shared" ref="Q103:Q109" si="188">FIND("target:",N103)+7</f>
        <v>#VALUE!</v>
      </c>
      <c r="R103" s="64" t="e">
        <f t="shared" ref="R103:R109" si="189">FIND(",",N103,P103+1)</f>
        <v>#VALUE!</v>
      </c>
      <c r="S103" s="64" t="str">
        <f>IFERROR(VLOOKUP(MID(N103,Q103,R103-Q103),[5]skilldef!$C:$D,2,FALSE),"-") &amp; " / " &amp; IFERROR(VLOOKUP(MID(N103,O103,P103-O103),[5]skilldef!$A:$B,2,FALSE),"-")</f>
        <v>- / -</v>
      </c>
      <c r="T103" s="48" t="str">
        <f t="shared" ref="T103:T109" si="190">IFERROR(RIGHT(M103,LEN(M103)-FIND("],",M103)-1),"none")</f>
        <v>none</v>
      </c>
      <c r="U103" s="64" t="e">
        <f t="shared" ref="U103:U109" si="191">FIND("effect:",T103)+7</f>
        <v>#VALUE!</v>
      </c>
      <c r="V103" s="64">
        <f t="shared" ref="V103:V109" si="192">IFERROR(FIND(",",T103),LEN(T103))</f>
        <v>4</v>
      </c>
      <c r="W103" s="64" t="e">
        <f t="shared" ref="W103:W109" si="193">FIND("target:",T103)+7</f>
        <v>#VALUE!</v>
      </c>
      <c r="X103" s="64" t="e">
        <f t="shared" ref="X103:X109" si="194">FIND(",",T103,V103+1)</f>
        <v>#VALUE!</v>
      </c>
      <c r="Y103" s="64" t="str">
        <f>IFERROR(VLOOKUP(MID(T103,W103,X103-W103),[5]skilldef!$C:$D,2,FALSE),"-") &amp; " / " &amp; IFERROR(VLOOKUP(MID(T103,U103,V103-U103),[5]skilldef!$A:$B,2,FALSE),"-")</f>
        <v>- / -</v>
      </c>
      <c r="Z103" s="50"/>
      <c r="AA103" s="52"/>
      <c r="AB103" s="50"/>
    </row>
    <row r="104" spans="1:28" ht="21" customHeight="1" thickBot="1" x14ac:dyDescent="0.2">
      <c r="A104" s="47">
        <v>47002103</v>
      </c>
      <c r="B104" s="47" t="s">
        <v>309</v>
      </c>
      <c r="C104" s="140">
        <v>3</v>
      </c>
      <c r="D104" s="50" t="s">
        <v>126</v>
      </c>
      <c r="E104" s="150" t="s">
        <v>422</v>
      </c>
      <c r="F104" s="152" t="s">
        <v>308</v>
      </c>
      <c r="G104" s="64" t="str">
        <f t="shared" si="180"/>
        <v>[effect:enemy_message, val1:2.4, val2:0]</v>
      </c>
      <c r="H104" s="64">
        <f t="shared" si="181"/>
        <v>9</v>
      </c>
      <c r="I104" s="64">
        <f t="shared" si="182"/>
        <v>22</v>
      </c>
      <c r="J104" s="64" t="e">
        <f t="shared" si="183"/>
        <v>#VALUE!</v>
      </c>
      <c r="K104" s="64">
        <f t="shared" si="184"/>
        <v>32</v>
      </c>
      <c r="L104" s="64" t="str">
        <f>IFERROR(VLOOKUP(MID(G104,J104,K104-J104),[5]skilldef!$C:$D,2,FALSE),"-") &amp; " / " &amp; IFERROR(VLOOKUP(MID(G104,H104,I104-H104),[5]skilldef!$A:$B,2,FALSE),"-")</f>
        <v>- / -</v>
      </c>
      <c r="M104" s="64" t="str">
        <f t="shared" si="185"/>
        <v>[effect:fix_speed, target:myself, turn:1]</v>
      </c>
      <c r="N104" s="48" t="str">
        <f>IFERROR(LEFT(M104,FIND("],",M104)+#REF!),M104)</f>
        <v>[effect:fix_speed, target:myself, turn:1]</v>
      </c>
      <c r="O104" s="64">
        <f t="shared" si="186"/>
        <v>9</v>
      </c>
      <c r="P104" s="64">
        <f t="shared" si="187"/>
        <v>18</v>
      </c>
      <c r="Q104" s="64">
        <f t="shared" si="188"/>
        <v>27</v>
      </c>
      <c r="R104" s="64">
        <f t="shared" si="189"/>
        <v>33</v>
      </c>
      <c r="S104" s="64" t="str">
        <f>IFERROR(VLOOKUP(MID(N104,Q104,R104-Q104),[5]skilldef!$C:$D,2,FALSE),"-") &amp; " / " &amp; IFERROR(VLOOKUP(MID(N104,O104,P104-O104),[5]skilldef!$A:$B,2,FALSE),"-")</f>
        <v>自分自身に / 行動値設定</v>
      </c>
      <c r="T104" s="48" t="str">
        <f t="shared" si="190"/>
        <v>none</v>
      </c>
      <c r="U104" s="64" t="e">
        <f t="shared" si="191"/>
        <v>#VALUE!</v>
      </c>
      <c r="V104" s="64">
        <f t="shared" si="192"/>
        <v>4</v>
      </c>
      <c r="W104" s="64" t="e">
        <f t="shared" si="193"/>
        <v>#VALUE!</v>
      </c>
      <c r="X104" s="64" t="e">
        <f t="shared" si="194"/>
        <v>#VALUE!</v>
      </c>
      <c r="Y104" s="64" t="str">
        <f>IFERROR(VLOOKUP(MID(T104,W104,X104-W104),[5]skilldef!$C:$D,2,FALSE),"-") &amp; " / " &amp; IFERROR(VLOOKUP(MID(T104,U104,V104-U104),[5]skilldef!$A:$B,2,FALSE),"-")</f>
        <v>- / -</v>
      </c>
      <c r="Z104" s="50"/>
      <c r="AA104" s="52"/>
      <c r="AB104" s="50"/>
    </row>
    <row r="105" spans="1:28" ht="21" customHeight="1" thickBot="1" x14ac:dyDescent="0.2">
      <c r="A105" s="47">
        <v>47002104</v>
      </c>
      <c r="B105" s="47" t="s">
        <v>309</v>
      </c>
      <c r="C105" s="140">
        <v>3</v>
      </c>
      <c r="D105" s="50" t="s">
        <v>126</v>
      </c>
      <c r="E105" s="150" t="s">
        <v>423</v>
      </c>
      <c r="F105" s="152" t="s">
        <v>308</v>
      </c>
      <c r="G105" s="64" t="str">
        <f t="shared" si="180"/>
        <v>[effect:enemy_message, val1:2.4, val2:0]</v>
      </c>
      <c r="H105" s="64">
        <f t="shared" si="181"/>
        <v>9</v>
      </c>
      <c r="I105" s="64">
        <f t="shared" si="182"/>
        <v>22</v>
      </c>
      <c r="J105" s="64" t="e">
        <f t="shared" si="183"/>
        <v>#VALUE!</v>
      </c>
      <c r="K105" s="64">
        <f t="shared" si="184"/>
        <v>32</v>
      </c>
      <c r="L105" s="64" t="str">
        <f>IFERROR(VLOOKUP(MID(G105,J105,K105-J105),[5]skilldef!$C:$D,2,FALSE),"-") &amp; " / " &amp; IFERROR(VLOOKUP(MID(G105,H105,I105-H105),[5]skilldef!$A:$B,2,FALSE),"-")</f>
        <v>- / -</v>
      </c>
      <c r="M105" s="64" t="str">
        <f t="shared" si="185"/>
        <v>[effect:fix_speed, target:myself, turn:1]</v>
      </c>
      <c r="N105" s="48" t="str">
        <f t="shared" ref="N105:N109" si="195">IFERROR(LEFT(M105,FIND("],",M105)+S111),M105)</f>
        <v>[effect:fix_speed, target:myself, turn:1]</v>
      </c>
      <c r="O105" s="64">
        <f t="shared" si="186"/>
        <v>9</v>
      </c>
      <c r="P105" s="64">
        <f t="shared" si="187"/>
        <v>18</v>
      </c>
      <c r="Q105" s="64">
        <f t="shared" si="188"/>
        <v>27</v>
      </c>
      <c r="R105" s="64">
        <f t="shared" si="189"/>
        <v>33</v>
      </c>
      <c r="S105" s="64" t="str">
        <f>IFERROR(VLOOKUP(MID(N105,Q105,R105-Q105),[5]skilldef!$C:$D,2,FALSE),"-") &amp; " / " &amp; IFERROR(VLOOKUP(MID(N105,O105,P105-O105),[5]skilldef!$A:$B,2,FALSE),"-")</f>
        <v>自分自身に / 行動値設定</v>
      </c>
      <c r="T105" s="48" t="str">
        <f t="shared" si="190"/>
        <v>none</v>
      </c>
      <c r="U105" s="64" t="e">
        <f t="shared" si="191"/>
        <v>#VALUE!</v>
      </c>
      <c r="V105" s="64">
        <f t="shared" si="192"/>
        <v>4</v>
      </c>
      <c r="W105" s="64" t="e">
        <f t="shared" si="193"/>
        <v>#VALUE!</v>
      </c>
      <c r="X105" s="64" t="e">
        <f t="shared" si="194"/>
        <v>#VALUE!</v>
      </c>
      <c r="Y105" s="64" t="str">
        <f>IFERROR(VLOOKUP(MID(T105,W105,X105-W105),[5]skilldef!$C:$D,2,FALSE),"-") &amp; " / " &amp; IFERROR(VLOOKUP(MID(T105,U105,V105-U105),[5]skilldef!$A:$B,2,FALSE),"-")</f>
        <v>- / -</v>
      </c>
      <c r="Z105" s="50"/>
      <c r="AA105" s="52"/>
      <c r="AB105" s="50"/>
    </row>
    <row r="106" spans="1:28" ht="21" customHeight="1" thickBot="1" x14ac:dyDescent="0.2">
      <c r="A106" s="47">
        <v>47002105</v>
      </c>
      <c r="B106" s="47" t="s">
        <v>309</v>
      </c>
      <c r="C106" s="140">
        <v>3</v>
      </c>
      <c r="D106" s="50" t="s">
        <v>126</v>
      </c>
      <c r="E106" s="150" t="s">
        <v>307</v>
      </c>
      <c r="F106" s="152" t="s">
        <v>308</v>
      </c>
      <c r="G106" s="64" t="str">
        <f t="shared" si="180"/>
        <v>[effect:enemy_message, val1:2.4, val2:0]</v>
      </c>
      <c r="H106" s="64">
        <f t="shared" si="181"/>
        <v>9</v>
      </c>
      <c r="I106" s="64">
        <f t="shared" si="182"/>
        <v>22</v>
      </c>
      <c r="J106" s="64" t="e">
        <f t="shared" si="183"/>
        <v>#VALUE!</v>
      </c>
      <c r="K106" s="64">
        <f t="shared" si="184"/>
        <v>32</v>
      </c>
      <c r="L106" s="64" t="str">
        <f>IFERROR(VLOOKUP(MID(G106,J106,K106-J106),[5]skilldef!$C:$D,2,FALSE),"-") &amp; " / " &amp; IFERROR(VLOOKUP(MID(G106,H106,I106-H106),[5]skilldef!$A:$B,2,FALSE),"-")</f>
        <v>- / -</v>
      </c>
      <c r="M106" s="64" t="str">
        <f t="shared" si="185"/>
        <v>[effect:fix_speed, target:myself, turn:1]</v>
      </c>
      <c r="N106" s="48" t="str">
        <f t="shared" si="195"/>
        <v>[effect:fix_speed, target:myself, turn:1]</v>
      </c>
      <c r="O106" s="64">
        <f t="shared" si="186"/>
        <v>9</v>
      </c>
      <c r="P106" s="64">
        <f t="shared" si="187"/>
        <v>18</v>
      </c>
      <c r="Q106" s="64">
        <f t="shared" si="188"/>
        <v>27</v>
      </c>
      <c r="R106" s="64">
        <f t="shared" si="189"/>
        <v>33</v>
      </c>
      <c r="S106" s="64" t="str">
        <f>IFERROR(VLOOKUP(MID(N106,Q106,R106-Q106),[5]skilldef!$C:$D,2,FALSE),"-") &amp; " / " &amp; IFERROR(VLOOKUP(MID(N106,O106,P106-O106),[5]skilldef!$A:$B,2,FALSE),"-")</f>
        <v>自分自身に / 行動値設定</v>
      </c>
      <c r="T106" s="48" t="str">
        <f t="shared" si="190"/>
        <v>none</v>
      </c>
      <c r="U106" s="64" t="e">
        <f t="shared" si="191"/>
        <v>#VALUE!</v>
      </c>
      <c r="V106" s="64">
        <f t="shared" si="192"/>
        <v>4</v>
      </c>
      <c r="W106" s="64" t="e">
        <f t="shared" si="193"/>
        <v>#VALUE!</v>
      </c>
      <c r="X106" s="64" t="e">
        <f t="shared" si="194"/>
        <v>#VALUE!</v>
      </c>
      <c r="Y106" s="64" t="str">
        <f>IFERROR(VLOOKUP(MID(T106,W106,X106-W106),[5]skilldef!$C:$D,2,FALSE),"-") &amp; " / " &amp; IFERROR(VLOOKUP(MID(T106,U106,V106-U106),[5]skilldef!$A:$B,2,FALSE),"-")</f>
        <v>- / -</v>
      </c>
      <c r="Z106" s="50"/>
      <c r="AA106" s="52"/>
      <c r="AB106" s="50"/>
    </row>
    <row r="107" spans="1:28" ht="21" customHeight="1" thickBot="1" x14ac:dyDescent="0.2">
      <c r="A107" s="47">
        <v>47002106</v>
      </c>
      <c r="B107" s="47" t="s">
        <v>485</v>
      </c>
      <c r="C107" s="140">
        <v>3</v>
      </c>
      <c r="D107" s="50" t="s">
        <v>126</v>
      </c>
      <c r="E107" s="150" t="s">
        <v>419</v>
      </c>
      <c r="F107" s="147" t="s">
        <v>483</v>
      </c>
      <c r="G107" s="64" t="str">
        <f t="shared" si="180"/>
        <v>[effect:enemy_message, val1:2.4, val2:1.8]</v>
      </c>
      <c r="H107" s="64">
        <f t="shared" si="181"/>
        <v>9</v>
      </c>
      <c r="I107" s="64">
        <f t="shared" si="182"/>
        <v>22</v>
      </c>
      <c r="J107" s="64" t="e">
        <f t="shared" si="183"/>
        <v>#VALUE!</v>
      </c>
      <c r="K107" s="64">
        <f t="shared" si="184"/>
        <v>32</v>
      </c>
      <c r="L107" s="64" t="str">
        <f>IFERROR(VLOOKUP(MID(G107,J107,K107-J107),[5]skilldef!$C:$D,2,FALSE),"-") &amp; " / " &amp; IFERROR(VLOOKUP(MID(G107,H107,I107-H107),[5]skilldef!$A:$B,2,FALSE),"-")</f>
        <v>- / -</v>
      </c>
      <c r="M107" s="64" t="str">
        <f t="shared" si="185"/>
        <v>[effect:suicide, val:0.5, dead_type:suicide, target:myself],[effect:sp_boost, target:unit_blue, val:99, animation:sp_boost_one03]</v>
      </c>
      <c r="N107" s="48" t="str">
        <f t="shared" si="195"/>
        <v>[effect:suicide, val:0.5, dead_type:suicide, target:myself],[effect:sp_boost, target:unit_blue, val:99, animation:sp_boost_one03]</v>
      </c>
      <c r="O107" s="64">
        <f t="shared" si="186"/>
        <v>9</v>
      </c>
      <c r="P107" s="64">
        <f t="shared" si="187"/>
        <v>16</v>
      </c>
      <c r="Q107" s="64">
        <f t="shared" si="188"/>
        <v>53</v>
      </c>
      <c r="R107" s="64">
        <f t="shared" si="189"/>
        <v>25</v>
      </c>
      <c r="S107" s="64" t="str">
        <f>IFERROR(VLOOKUP(MID(N107,Q107,R107-Q107),[5]skilldef!$C:$D,2,FALSE),"-") &amp; " / " &amp; IFERROR(VLOOKUP(MID(N107,O107,P107-O107),[5]skilldef!$A:$B,2,FALSE),"-")</f>
        <v>- / -</v>
      </c>
      <c r="T107" s="48" t="str">
        <f t="shared" si="190"/>
        <v>[effect:sp_boost, target:unit_blue, val:99, animation:sp_boost_one03]</v>
      </c>
      <c r="U107" s="64">
        <f t="shared" si="191"/>
        <v>9</v>
      </c>
      <c r="V107" s="64">
        <f t="shared" si="192"/>
        <v>17</v>
      </c>
      <c r="W107" s="64">
        <f t="shared" si="193"/>
        <v>26</v>
      </c>
      <c r="X107" s="64">
        <f t="shared" si="194"/>
        <v>35</v>
      </c>
      <c r="Y107" s="64" t="str">
        <f>IFERROR(VLOOKUP(MID(T107,W107,X107-W107),[5]skilldef!$C:$D,2,FALSE),"-") &amp; " / " &amp; IFERROR(VLOOKUP(MID(T107,U107,V107-U107),[5]skilldef!$A:$B,2,FALSE),"-")</f>
        <v>青の味方に / -</v>
      </c>
      <c r="Z107" s="50"/>
      <c r="AA107" s="52"/>
      <c r="AB107" s="50"/>
    </row>
    <row r="108" spans="1:28" ht="21" customHeight="1" thickBot="1" x14ac:dyDescent="0.2">
      <c r="A108" s="47">
        <v>47002107</v>
      </c>
      <c r="B108" s="47" t="s">
        <v>485</v>
      </c>
      <c r="C108" s="140">
        <v>3</v>
      </c>
      <c r="D108" s="50" t="s">
        <v>126</v>
      </c>
      <c r="E108" s="150" t="s">
        <v>420</v>
      </c>
      <c r="F108" s="147" t="s">
        <v>483</v>
      </c>
      <c r="G108" s="64" t="str">
        <f t="shared" si="180"/>
        <v>[effect:enemy_message, val1:2.4, val2:1.8]</v>
      </c>
      <c r="H108" s="64">
        <f t="shared" si="181"/>
        <v>9</v>
      </c>
      <c r="I108" s="64">
        <f t="shared" si="182"/>
        <v>22</v>
      </c>
      <c r="J108" s="64" t="e">
        <f t="shared" si="183"/>
        <v>#VALUE!</v>
      </c>
      <c r="K108" s="64">
        <f t="shared" si="184"/>
        <v>32</v>
      </c>
      <c r="L108" s="64" t="str">
        <f>IFERROR(VLOOKUP(MID(G108,J108,K108-J108),[5]skilldef!$C:$D,2,FALSE),"-") &amp; " / " &amp; IFERROR(VLOOKUP(MID(G108,H108,I108-H108),[5]skilldef!$A:$B,2,FALSE),"-")</f>
        <v>- / -</v>
      </c>
      <c r="M108" s="64" t="str">
        <f t="shared" si="185"/>
        <v>[effect:suicide, val:0.5, dead_type:suicide, target:myself],[effect:sp_boost, target:unit_blue, val:99, animation:sp_boost_one03]</v>
      </c>
      <c r="N108" s="48" t="str">
        <f t="shared" si="195"/>
        <v>[effect:suicide, val:0.5, dead_type:suicide, target:myself],[effect:sp_boost, target:unit_blue, val:99, animation:sp_boost_one03]</v>
      </c>
      <c r="O108" s="64">
        <f t="shared" si="186"/>
        <v>9</v>
      </c>
      <c r="P108" s="64">
        <f t="shared" si="187"/>
        <v>16</v>
      </c>
      <c r="Q108" s="64">
        <f t="shared" si="188"/>
        <v>53</v>
      </c>
      <c r="R108" s="64">
        <f t="shared" si="189"/>
        <v>25</v>
      </c>
      <c r="S108" s="64" t="str">
        <f>IFERROR(VLOOKUP(MID(N108,Q108,R108-Q108),[5]skilldef!$C:$D,2,FALSE),"-") &amp; " / " &amp; IFERROR(VLOOKUP(MID(N108,O108,P108-O108),[5]skilldef!$A:$B,2,FALSE),"-")</f>
        <v>- / -</v>
      </c>
      <c r="T108" s="48" t="str">
        <f t="shared" si="190"/>
        <v>[effect:sp_boost, target:unit_blue, val:99, animation:sp_boost_one03]</v>
      </c>
      <c r="U108" s="64">
        <f t="shared" si="191"/>
        <v>9</v>
      </c>
      <c r="V108" s="64">
        <f t="shared" si="192"/>
        <v>17</v>
      </c>
      <c r="W108" s="64">
        <f t="shared" si="193"/>
        <v>26</v>
      </c>
      <c r="X108" s="64">
        <f t="shared" si="194"/>
        <v>35</v>
      </c>
      <c r="Y108" s="64" t="str">
        <f>IFERROR(VLOOKUP(MID(T108,W108,X108-W108),[5]skilldef!$C:$D,2,FALSE),"-") &amp; " / " &amp; IFERROR(VLOOKUP(MID(T108,U108,V108-U108),[5]skilldef!$A:$B,2,FALSE),"-")</f>
        <v>青の味方に / -</v>
      </c>
      <c r="Z108" s="50"/>
      <c r="AA108" s="52"/>
      <c r="AB108" s="50"/>
    </row>
    <row r="109" spans="1:28" ht="21" customHeight="1" thickBot="1" x14ac:dyDescent="0.2">
      <c r="A109" s="47">
        <v>47002108</v>
      </c>
      <c r="B109" s="47" t="s">
        <v>485</v>
      </c>
      <c r="C109" s="140">
        <v>3</v>
      </c>
      <c r="D109" s="50" t="s">
        <v>126</v>
      </c>
      <c r="E109" s="150" t="s">
        <v>424</v>
      </c>
      <c r="F109" s="147" t="s">
        <v>483</v>
      </c>
      <c r="G109" s="64" t="str">
        <f t="shared" si="180"/>
        <v>[effect:enemy_message, val1:2.4, val2:1.8]</v>
      </c>
      <c r="H109" s="64">
        <f t="shared" si="181"/>
        <v>9</v>
      </c>
      <c r="I109" s="64">
        <f t="shared" si="182"/>
        <v>22</v>
      </c>
      <c r="J109" s="64" t="e">
        <f t="shared" si="183"/>
        <v>#VALUE!</v>
      </c>
      <c r="K109" s="64">
        <f t="shared" si="184"/>
        <v>32</v>
      </c>
      <c r="L109" s="64" t="str">
        <f>IFERROR(VLOOKUP(MID(G109,J109,K109-J109),[5]skilldef!$C:$D,2,FALSE),"-") &amp; " / " &amp; IFERROR(VLOOKUP(MID(G109,H109,I109-H109),[5]skilldef!$A:$B,2,FALSE),"-")</f>
        <v>- / -</v>
      </c>
      <c r="M109" s="64" t="str">
        <f t="shared" si="185"/>
        <v>[effect:suicide, val:0.5, dead_type:suicide, target:myself],[effect:sp_boost, target:unit_blue, val:99, animation:sp_boost_one03]</v>
      </c>
      <c r="N109" s="48" t="str">
        <f t="shared" si="195"/>
        <v>[effect:suicide, val:0.5, dead_type:suicide, target:myself],[effect:sp_boost, target:unit_blue, val:99, animation:sp_boost_one03]</v>
      </c>
      <c r="O109" s="64">
        <f t="shared" si="186"/>
        <v>9</v>
      </c>
      <c r="P109" s="64">
        <f t="shared" si="187"/>
        <v>16</v>
      </c>
      <c r="Q109" s="64">
        <f t="shared" si="188"/>
        <v>53</v>
      </c>
      <c r="R109" s="64">
        <f t="shared" si="189"/>
        <v>25</v>
      </c>
      <c r="S109" s="64" t="str">
        <f>IFERROR(VLOOKUP(MID(N109,Q109,R109-Q109),[5]skilldef!$C:$D,2,FALSE),"-") &amp; " / " &amp; IFERROR(VLOOKUP(MID(N109,O109,P109-O109),[5]skilldef!$A:$B,2,FALSE),"-")</f>
        <v>- / -</v>
      </c>
      <c r="T109" s="48" t="str">
        <f t="shared" si="190"/>
        <v>[effect:sp_boost, target:unit_blue, val:99, animation:sp_boost_one03]</v>
      </c>
      <c r="U109" s="64">
        <f t="shared" si="191"/>
        <v>9</v>
      </c>
      <c r="V109" s="64">
        <f t="shared" si="192"/>
        <v>17</v>
      </c>
      <c r="W109" s="64">
        <f t="shared" si="193"/>
        <v>26</v>
      </c>
      <c r="X109" s="64">
        <f t="shared" si="194"/>
        <v>35</v>
      </c>
      <c r="Y109" s="64" t="str">
        <f>IFERROR(VLOOKUP(MID(T109,W109,X109-W109),[5]skilldef!$C:$D,2,FALSE),"-") &amp; " / " &amp; IFERROR(VLOOKUP(MID(T109,U109,V109-U109),[5]skilldef!$A:$B,2,FALSE),"-")</f>
        <v>青の味方に / -</v>
      </c>
      <c r="Z109" s="50"/>
      <c r="AA109" s="52"/>
      <c r="AB109" s="50"/>
    </row>
    <row r="110" spans="1:28" ht="21" customHeight="1" thickBot="1" x14ac:dyDescent="0.2">
      <c r="A110" s="47">
        <v>47002109</v>
      </c>
      <c r="B110" s="47" t="s">
        <v>485</v>
      </c>
      <c r="C110" s="140">
        <v>3</v>
      </c>
      <c r="D110" s="50" t="s">
        <v>126</v>
      </c>
      <c r="E110" s="150" t="s">
        <v>421</v>
      </c>
      <c r="F110" s="147" t="s">
        <v>483</v>
      </c>
      <c r="G110" s="64" t="str">
        <f t="shared" ref="G110:G115" si="196">IFERROR(LEFT(B110,FIND("],",B110)),B110)</f>
        <v>[effect:enemy_message, val1:2.4, val2:1.8]</v>
      </c>
      <c r="H110" s="64">
        <f t="shared" ref="H110:H115" si="197">FIND("effect:",G110)+7</f>
        <v>9</v>
      </c>
      <c r="I110" s="64">
        <f t="shared" ref="I110:I115" si="198">IFERROR(FIND(",",G110),LEN(G110))</f>
        <v>22</v>
      </c>
      <c r="J110" s="64" t="e">
        <f t="shared" ref="J110:J115" si="199">FIND("target:",G110)+7</f>
        <v>#VALUE!</v>
      </c>
      <c r="K110" s="64">
        <f t="shared" ref="K110:K115" si="200">FIND(",",G110,I110+1)</f>
        <v>32</v>
      </c>
      <c r="L110" s="64" t="str">
        <f>IFERROR(VLOOKUP(MID(G110,J110,K110-J110),[5]skilldef!$C:$D,2,FALSE),"-") &amp; " / " &amp; IFERROR(VLOOKUP(MID(G110,H110,I110-H110),[5]skilldef!$A:$B,2,FALSE),"-")</f>
        <v>- / -</v>
      </c>
      <c r="M110" s="64" t="str">
        <f t="shared" ref="M110:M115" si="201">IFERROR(RIGHT(B110,LEN(B110)-FIND("],",B110)-1),"none")</f>
        <v>[effect:suicide, val:0.5, dead_type:suicide, target:myself],[effect:sp_boost, target:unit_blue, val:99, animation:sp_boost_one03]</v>
      </c>
      <c r="N110" s="48" t="str">
        <f>IFERROR(LEFT(M110,FIND("],",M110)+#REF!),M110)</f>
        <v>[effect:suicide, val:0.5, dead_type:suicide, target:myself],[effect:sp_boost, target:unit_blue, val:99, animation:sp_boost_one03]</v>
      </c>
      <c r="O110" s="64">
        <f t="shared" ref="O110:O115" si="202">FIND("effect:",N110)+7</f>
        <v>9</v>
      </c>
      <c r="P110" s="64">
        <f t="shared" ref="P110:P115" si="203">IFERROR(FIND(",",N110),LEN(N110))</f>
        <v>16</v>
      </c>
      <c r="Q110" s="64">
        <f t="shared" ref="Q110:Q115" si="204">FIND("target:",N110)+7</f>
        <v>53</v>
      </c>
      <c r="R110" s="64">
        <f t="shared" ref="R110:R115" si="205">FIND(",",N110,P110+1)</f>
        <v>25</v>
      </c>
      <c r="S110" s="64" t="str">
        <f>IFERROR(VLOOKUP(MID(N110,Q110,R110-Q110),[5]skilldef!$C:$D,2,FALSE),"-") &amp; " / " &amp; IFERROR(VLOOKUP(MID(N110,O110,P110-O110),[5]skilldef!$A:$B,2,FALSE),"-")</f>
        <v>- / -</v>
      </c>
      <c r="T110" s="48" t="str">
        <f t="shared" ref="T110:T115" si="206">IFERROR(RIGHT(M110,LEN(M110)-FIND("],",M110)-1),"none")</f>
        <v>[effect:sp_boost, target:unit_blue, val:99, animation:sp_boost_one03]</v>
      </c>
      <c r="U110" s="64">
        <f t="shared" ref="U110:U115" si="207">FIND("effect:",T110)+7</f>
        <v>9</v>
      </c>
      <c r="V110" s="64">
        <f t="shared" ref="V110:V115" si="208">IFERROR(FIND(",",T110),LEN(T110))</f>
        <v>17</v>
      </c>
      <c r="W110" s="64">
        <f t="shared" ref="W110:W115" si="209">FIND("target:",T110)+7</f>
        <v>26</v>
      </c>
      <c r="X110" s="64">
        <f t="shared" ref="X110:X115" si="210">FIND(",",T110,V110+1)</f>
        <v>35</v>
      </c>
      <c r="Y110" s="64" t="str">
        <f>IFERROR(VLOOKUP(MID(T110,W110,X110-W110),[5]skilldef!$C:$D,2,FALSE),"-") &amp; " / " &amp; IFERROR(VLOOKUP(MID(T110,U110,V110-U110),[5]skilldef!$A:$B,2,FALSE),"-")</f>
        <v>青の味方に / -</v>
      </c>
      <c r="Z110" s="50"/>
      <c r="AA110" s="52"/>
      <c r="AB110" s="50"/>
    </row>
    <row r="111" spans="1:28" ht="21" customHeight="1" thickBot="1" x14ac:dyDescent="0.2">
      <c r="A111" s="47">
        <v>47002110</v>
      </c>
      <c r="B111" s="47" t="s">
        <v>484</v>
      </c>
      <c r="C111" s="140">
        <v>3</v>
      </c>
      <c r="D111" s="50" t="s">
        <v>126</v>
      </c>
      <c r="E111" s="51" t="s">
        <v>261</v>
      </c>
      <c r="F111" s="51" t="s">
        <v>428</v>
      </c>
      <c r="G111" s="64" t="str">
        <f t="shared" si="196"/>
        <v>[effect:enemy_message, val1:1, val1.8:]</v>
      </c>
      <c r="H111" s="64">
        <f t="shared" si="197"/>
        <v>9</v>
      </c>
      <c r="I111" s="64">
        <f t="shared" si="198"/>
        <v>22</v>
      </c>
      <c r="J111" s="64" t="e">
        <f t="shared" si="199"/>
        <v>#VALUE!</v>
      </c>
      <c r="K111" s="64">
        <f t="shared" si="200"/>
        <v>30</v>
      </c>
      <c r="L111" s="64" t="str">
        <f>IFERROR(VLOOKUP(MID(G111,J111,K111-J111),[5]skilldef!$C:$D,2,FALSE),"-") &amp; " / " &amp; IFERROR(VLOOKUP(MID(G111,H111,I111-H111),[5]skilldef!$A:$B,2,FALSE),"-")</f>
        <v>- / -</v>
      </c>
      <c r="M111" s="64" t="str">
        <f t="shared" si="201"/>
        <v>[effect:fix_speed, target:myself, turn:1],[effect:enhance_unit, target:unit_blue, turn:-1, status:attack, val:0.7, calc:mul]</v>
      </c>
      <c r="N111" s="48" t="str">
        <f>IFERROR(LEFT(M111,FIND("],",M111)+S117),M111)</f>
        <v>[effect:fix_speed, target:myself, turn:1]</v>
      </c>
      <c r="O111" s="64">
        <f t="shared" si="202"/>
        <v>9</v>
      </c>
      <c r="P111" s="64">
        <f t="shared" si="203"/>
        <v>18</v>
      </c>
      <c r="Q111" s="64">
        <f t="shared" si="204"/>
        <v>27</v>
      </c>
      <c r="R111" s="64">
        <f t="shared" si="205"/>
        <v>33</v>
      </c>
      <c r="S111" s="64" t="str">
        <f>IFERROR(VLOOKUP(MID(N111,Q111,R111-Q111),[5]skilldef!$C:$D,2,FALSE),"-") &amp; " / " &amp; IFERROR(VLOOKUP(MID(N111,O111,P111-O111),[5]skilldef!$A:$B,2,FALSE),"-")</f>
        <v>自分自身に / 行動値設定</v>
      </c>
      <c r="T111" s="48" t="str">
        <f t="shared" si="206"/>
        <v>[effect:enhance_unit, target:unit_blue, turn:-1, status:attack, val:0.7, calc:mul]</v>
      </c>
      <c r="U111" s="64">
        <f t="shared" si="207"/>
        <v>9</v>
      </c>
      <c r="V111" s="64">
        <f t="shared" si="208"/>
        <v>21</v>
      </c>
      <c r="W111" s="64">
        <f t="shared" si="209"/>
        <v>30</v>
      </c>
      <c r="X111" s="64">
        <f t="shared" si="210"/>
        <v>39</v>
      </c>
      <c r="Y111" s="64" t="str">
        <f>IFERROR(VLOOKUP(MID(T111,W111,X111-W111),[5]skilldef!$C:$D,2,FALSE),"-") &amp; " / " &amp; IFERROR(VLOOKUP(MID(T111,U111,V111-U111),[5]skilldef!$A:$B,2,FALSE),"-")</f>
        <v>青の味方に / -</v>
      </c>
      <c r="Z111" s="50"/>
      <c r="AA111" s="52"/>
      <c r="AB111" s="50"/>
    </row>
    <row r="112" spans="1:28" ht="21" customHeight="1" thickBot="1" x14ac:dyDescent="0.2">
      <c r="A112" s="47">
        <v>47002111</v>
      </c>
      <c r="B112" s="47" t="s">
        <v>436</v>
      </c>
      <c r="C112" s="140">
        <v>3</v>
      </c>
      <c r="D112" s="50" t="s">
        <v>126</v>
      </c>
      <c r="E112" s="51" t="s">
        <v>330</v>
      </c>
      <c r="F112" s="51" t="s">
        <v>429</v>
      </c>
      <c r="G112" s="64" t="str">
        <f t="shared" si="196"/>
        <v>[effect:enemy_message, val1:1.2, val1.8]</v>
      </c>
      <c r="H112" s="64">
        <f t="shared" si="197"/>
        <v>9</v>
      </c>
      <c r="I112" s="64">
        <f t="shared" si="198"/>
        <v>22</v>
      </c>
      <c r="J112" s="64" t="e">
        <f t="shared" si="199"/>
        <v>#VALUE!</v>
      </c>
      <c r="K112" s="64">
        <f t="shared" si="200"/>
        <v>32</v>
      </c>
      <c r="L112" s="64" t="str">
        <f>IFERROR(VLOOKUP(MID(G112,J112,K112-J112),[5]skilldef!$C:$D,2,FALSE),"-") &amp; " / " &amp; IFERROR(VLOOKUP(MID(G112,H112,I112-H112),[5]skilldef!$A:$B,2,FALSE),"-")</f>
        <v>- / -</v>
      </c>
      <c r="M112" s="64" t="str">
        <f t="shared" si="201"/>
        <v>[effect:fix_speed, target:myself, turn:1],[effect:enhance_unit, target:unit_blue, turn:-1, status:heal, val:0.4, calc:mul]</v>
      </c>
      <c r="N112" s="48" t="str">
        <f>IFERROR(LEFT(M112,FIND("],",M112)+S119),M112)</f>
        <v>[effect:fix_speed, target:myself, turn:1]</v>
      </c>
      <c r="O112" s="64">
        <f t="shared" si="202"/>
        <v>9</v>
      </c>
      <c r="P112" s="64">
        <f t="shared" si="203"/>
        <v>18</v>
      </c>
      <c r="Q112" s="64">
        <f t="shared" si="204"/>
        <v>27</v>
      </c>
      <c r="R112" s="64">
        <f t="shared" si="205"/>
        <v>33</v>
      </c>
      <c r="S112" s="64" t="str">
        <f>IFERROR(VLOOKUP(MID(N112,Q112,R112-Q112),[5]skilldef!$C:$D,2,FALSE),"-") &amp; " / " &amp; IFERROR(VLOOKUP(MID(N112,O112,P112-O112),[5]skilldef!$A:$B,2,FALSE),"-")</f>
        <v>自分自身に / 行動値設定</v>
      </c>
      <c r="T112" s="48" t="str">
        <f t="shared" si="206"/>
        <v>[effect:enhance_unit, target:unit_blue, turn:-1, status:heal, val:0.4, calc:mul]</v>
      </c>
      <c r="U112" s="64">
        <f t="shared" si="207"/>
        <v>9</v>
      </c>
      <c r="V112" s="64">
        <f t="shared" si="208"/>
        <v>21</v>
      </c>
      <c r="W112" s="64">
        <f t="shared" si="209"/>
        <v>30</v>
      </c>
      <c r="X112" s="64">
        <f t="shared" si="210"/>
        <v>39</v>
      </c>
      <c r="Y112" s="64" t="str">
        <f>IFERROR(VLOOKUP(MID(T112,W112,X112-W112),[5]skilldef!$C:$D,2,FALSE),"-") &amp; " / " &amp; IFERROR(VLOOKUP(MID(T112,U112,V112-U112),[5]skilldef!$A:$B,2,FALSE),"-")</f>
        <v>青の味方に / -</v>
      </c>
      <c r="Z112" s="50"/>
      <c r="AA112" s="52"/>
      <c r="AB112" s="50"/>
    </row>
    <row r="113" spans="1:28" ht="21" customHeight="1" thickBot="1" x14ac:dyDescent="0.2">
      <c r="A113" s="47">
        <v>47002112</v>
      </c>
      <c r="B113" s="47" t="s">
        <v>437</v>
      </c>
      <c r="C113" s="140">
        <v>3</v>
      </c>
      <c r="D113" s="50" t="s">
        <v>126</v>
      </c>
      <c r="E113" s="51" t="s">
        <v>356</v>
      </c>
      <c r="F113" s="51" t="s">
        <v>430</v>
      </c>
      <c r="G113" s="64" t="str">
        <f t="shared" si="196"/>
        <v>[effect:enemy_message, val1:1.4, val2:1.8]</v>
      </c>
      <c r="H113" s="64">
        <f t="shared" si="197"/>
        <v>9</v>
      </c>
      <c r="I113" s="64">
        <f t="shared" si="198"/>
        <v>22</v>
      </c>
      <c r="J113" s="64" t="e">
        <f t="shared" si="199"/>
        <v>#VALUE!</v>
      </c>
      <c r="K113" s="64">
        <f t="shared" si="200"/>
        <v>32</v>
      </c>
      <c r="L113" s="64" t="str">
        <f>IFERROR(VLOOKUP(MID(G113,J113,K113-J113),[5]skilldef!$C:$D,2,FALSE),"-") &amp; " / " &amp; IFERROR(VLOOKUP(MID(G113,H113,I113-H113),[5]skilldef!$A:$B,2,FALSE),"-")</f>
        <v>- / -</v>
      </c>
      <c r="M113" s="64" t="str">
        <f t="shared" si="201"/>
        <v>[effect:fix_speed, target:myself, turn:1],[effect:enhance_unit, target:unit_blue, turn:-1, status:action, val:1]</v>
      </c>
      <c r="N113" s="48" t="str">
        <f>IFERROR(LEFT(M113,FIND("],",M113)+S122),M113)</f>
        <v>[effect:fix_speed, target:myself, turn:1]</v>
      </c>
      <c r="O113" s="64">
        <f t="shared" si="202"/>
        <v>9</v>
      </c>
      <c r="P113" s="64">
        <f t="shared" si="203"/>
        <v>18</v>
      </c>
      <c r="Q113" s="64">
        <f t="shared" si="204"/>
        <v>27</v>
      </c>
      <c r="R113" s="64">
        <f t="shared" si="205"/>
        <v>33</v>
      </c>
      <c r="S113" s="64" t="str">
        <f>IFERROR(VLOOKUP(MID(N113,Q113,R113-Q113),[5]skilldef!$C:$D,2,FALSE),"-") &amp; " / " &amp; IFERROR(VLOOKUP(MID(N113,O113,P113-O113),[5]skilldef!$A:$B,2,FALSE),"-")</f>
        <v>自分自身に / 行動値設定</v>
      </c>
      <c r="T113" s="48" t="str">
        <f t="shared" si="206"/>
        <v>[effect:enhance_unit, target:unit_blue, turn:-1, status:action, val:1]</v>
      </c>
      <c r="U113" s="64">
        <f t="shared" si="207"/>
        <v>9</v>
      </c>
      <c r="V113" s="64">
        <f t="shared" si="208"/>
        <v>21</v>
      </c>
      <c r="W113" s="64">
        <f t="shared" si="209"/>
        <v>30</v>
      </c>
      <c r="X113" s="64">
        <f t="shared" si="210"/>
        <v>39</v>
      </c>
      <c r="Y113" s="64" t="str">
        <f>IFERROR(VLOOKUP(MID(T113,W113,X113-W113),[5]skilldef!$C:$D,2,FALSE),"-") &amp; " / " &amp; IFERROR(VLOOKUP(MID(T113,U113,V113-U113),[5]skilldef!$A:$B,2,FALSE),"-")</f>
        <v>青の味方に / -</v>
      </c>
      <c r="Z113" s="50"/>
      <c r="AA113" s="52"/>
      <c r="AB113" s="50"/>
    </row>
    <row r="114" spans="1:28" ht="21" customHeight="1" x14ac:dyDescent="0.15">
      <c r="A114" s="47">
        <v>47002113</v>
      </c>
      <c r="B114" s="47" t="s">
        <v>438</v>
      </c>
      <c r="C114" s="140">
        <v>3</v>
      </c>
      <c r="D114" s="50" t="s">
        <v>126</v>
      </c>
      <c r="E114" s="51" t="s">
        <v>368</v>
      </c>
      <c r="F114" s="51" t="s">
        <v>431</v>
      </c>
      <c r="G114" s="64" t="str">
        <f t="shared" si="196"/>
        <v>[effect:enemy_message, val1:1.4, val2:1.8]</v>
      </c>
      <c r="H114" s="64">
        <f t="shared" si="197"/>
        <v>9</v>
      </c>
      <c r="I114" s="64">
        <f t="shared" si="198"/>
        <v>22</v>
      </c>
      <c r="J114" s="64" t="e">
        <f t="shared" si="199"/>
        <v>#VALUE!</v>
      </c>
      <c r="K114" s="64">
        <f t="shared" si="200"/>
        <v>32</v>
      </c>
      <c r="L114" s="64" t="str">
        <f>IFERROR(VLOOKUP(MID(G114,J114,K114-J114),[5]skilldef!$C:$D,2,FALSE),"-") &amp; " / " &amp; IFERROR(VLOOKUP(MID(G114,H114,I114-H114),[5]skilldef!$A:$B,2,FALSE),"-")</f>
        <v>- / -</v>
      </c>
      <c r="M114" s="64" t="str">
        <f t="shared" si="201"/>
        <v>[effect:fix_speed, target:myself, turn:1],[effect:enhance_unit, target:unit_blue, turn:-1, status:defense, val:1080, calc:add]</v>
      </c>
      <c r="N114" s="48" t="str">
        <f>IFERROR(LEFT(M114,FIND("],",M114)+S120),M114)</f>
        <v>[effect:fix_speed, target:myself, turn:1]</v>
      </c>
      <c r="O114" s="64">
        <f t="shared" si="202"/>
        <v>9</v>
      </c>
      <c r="P114" s="64">
        <f t="shared" si="203"/>
        <v>18</v>
      </c>
      <c r="Q114" s="64">
        <f t="shared" si="204"/>
        <v>27</v>
      </c>
      <c r="R114" s="64">
        <f t="shared" si="205"/>
        <v>33</v>
      </c>
      <c r="S114" s="64" t="str">
        <f>IFERROR(VLOOKUP(MID(N114,Q114,R114-Q114),[5]skilldef!$C:$D,2,FALSE),"-") &amp; " / " &amp; IFERROR(VLOOKUP(MID(N114,O114,P114-O114),[5]skilldef!$A:$B,2,FALSE),"-")</f>
        <v>自分自身に / 行動値設定</v>
      </c>
      <c r="T114" s="48" t="str">
        <f t="shared" si="206"/>
        <v>[effect:enhance_unit, target:unit_blue, turn:-1, status:defense, val:1080, calc:add]</v>
      </c>
      <c r="U114" s="64">
        <f t="shared" si="207"/>
        <v>9</v>
      </c>
      <c r="V114" s="64">
        <f t="shared" si="208"/>
        <v>21</v>
      </c>
      <c r="W114" s="64">
        <f t="shared" si="209"/>
        <v>30</v>
      </c>
      <c r="X114" s="64">
        <f t="shared" si="210"/>
        <v>39</v>
      </c>
      <c r="Y114" s="64" t="str">
        <f>IFERROR(VLOOKUP(MID(T114,W114,X114-W114),[5]skilldef!$C:$D,2,FALSE),"-") &amp; " / " &amp; IFERROR(VLOOKUP(MID(T114,U114,V114-U114),[5]skilldef!$A:$B,2,FALSE),"-")</f>
        <v>青の味方に / -</v>
      </c>
      <c r="Z114" s="50"/>
      <c r="AA114" s="52"/>
      <c r="AB114" s="50"/>
    </row>
    <row r="115" spans="1:28" ht="21" customHeight="1" x14ac:dyDescent="0.15">
      <c r="A115" s="47">
        <v>47002114</v>
      </c>
      <c r="B115" s="47" t="s">
        <v>481</v>
      </c>
      <c r="C115" s="50">
        <v>3</v>
      </c>
      <c r="D115" s="50" t="s">
        <v>126</v>
      </c>
      <c r="E115" s="51" t="s">
        <v>378</v>
      </c>
      <c r="F115" s="51" t="s">
        <v>478</v>
      </c>
      <c r="G115" s="64" t="str">
        <f t="shared" si="196"/>
        <v>[effect:enemy_message, val1:1.8, val2:2.4]</v>
      </c>
      <c r="H115" s="64">
        <f t="shared" si="197"/>
        <v>9</v>
      </c>
      <c r="I115" s="64">
        <f t="shared" si="198"/>
        <v>22</v>
      </c>
      <c r="J115" s="64" t="e">
        <f t="shared" si="199"/>
        <v>#VALUE!</v>
      </c>
      <c r="K115" s="64">
        <f t="shared" si="200"/>
        <v>32</v>
      </c>
      <c r="L115" s="64" t="str">
        <f>IFERROR(VLOOKUP(MID(G115,J115,K115-J115),[5]skilldef!$C:$D,2,FALSE),"-") &amp; " / " &amp; IFERROR(VLOOKUP(MID(G115,H115,I115-H115),[5]skilldef!$A:$B,2,FALSE),"-")</f>
        <v>- / -</v>
      </c>
      <c r="M115" s="64" t="str">
        <f t="shared" si="201"/>
        <v>[effect:tolerance, target:myself, turn:-1, tolerance_effect:hungup, count:-1],[effect:tolerance, target:myself, turn:-1, tolerance_effect:sleep, count:-1, animation:enemy_tolerance],[effect:fix_speed, target:myself, turn:1],[effect:damage_gravity, val:0.8, animation:fevergauge_down],[effect:sp_boost, target:unit_all, val:99, animation:sp_boost_one03]</v>
      </c>
      <c r="N115" s="48" t="str">
        <f>IFERROR(LEFT(M115,FIND("],",M115)+S122),M115)</f>
        <v>[effect:tolerance, target:myself, turn:-1, tolerance_effect:hungup, count:-1]</v>
      </c>
      <c r="O115" s="64">
        <f t="shared" si="202"/>
        <v>9</v>
      </c>
      <c r="P115" s="64">
        <f t="shared" si="203"/>
        <v>18</v>
      </c>
      <c r="Q115" s="64">
        <f t="shared" si="204"/>
        <v>27</v>
      </c>
      <c r="R115" s="64">
        <f t="shared" si="205"/>
        <v>33</v>
      </c>
      <c r="S115" s="64" t="str">
        <f>IFERROR(VLOOKUP(MID(N115,Q115,R115-Q115),[5]skilldef!$C:$D,2,FALSE),"-") &amp; " / " &amp; IFERROR(VLOOKUP(MID(N115,O115,P115-O115),[5]skilldef!$A:$B,2,FALSE),"-")</f>
        <v>自分自身に / 状態異常耐性</v>
      </c>
      <c r="T115" s="48" t="str">
        <f t="shared" si="206"/>
        <v>[effect:tolerance, target:myself, turn:-1, tolerance_effect:sleep, count:-1, animation:enemy_tolerance],[effect:fix_speed, target:myself, turn:1],[effect:damage_gravity, val:0.8, animation:fevergauge_down],[effect:sp_boost, target:unit_all, val:99, animation:sp_boost_one03]</v>
      </c>
      <c r="U115" s="64">
        <f t="shared" si="207"/>
        <v>9</v>
      </c>
      <c r="V115" s="64">
        <f t="shared" si="208"/>
        <v>18</v>
      </c>
      <c r="W115" s="64">
        <f t="shared" si="209"/>
        <v>27</v>
      </c>
      <c r="X115" s="64">
        <f t="shared" si="210"/>
        <v>33</v>
      </c>
      <c r="Y115" s="64" t="str">
        <f>IFERROR(VLOOKUP(MID(T115,W115,X115-W115),[5]skilldef!$C:$D,2,FALSE),"-") &amp; " / " &amp; IFERROR(VLOOKUP(MID(T115,U115,V115-U115),[5]skilldef!$A:$B,2,FALSE),"-")</f>
        <v>自分自身に / 状態異常耐性</v>
      </c>
      <c r="Z115" s="50"/>
      <c r="AA115" s="52"/>
      <c r="AB115" s="50"/>
    </row>
  </sheetData>
  <autoFilter ref="A1:AB1"/>
  <phoneticPr fontId="6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9"/>
  <sheetViews>
    <sheetView showGridLines="0" zoomScale="90" zoomScaleNormal="90" zoomScalePageLayoutView="90" workbookViewId="0">
      <pane ySplit="1" topLeftCell="A2" activePane="bottomLeft" state="frozenSplit"/>
      <selection pane="bottomLeft" activeCell="A60" sqref="A60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47">
        <v>47002001</v>
      </c>
      <c r="B2" s="47">
        <v>1</v>
      </c>
      <c r="C2" s="47">
        <v>100</v>
      </c>
      <c r="D2" s="47">
        <v>100</v>
      </c>
      <c r="E2" s="47" t="s">
        <v>255</v>
      </c>
      <c r="F2" s="47" t="s">
        <v>88</v>
      </c>
      <c r="G2" s="47">
        <v>1</v>
      </c>
      <c r="H2" s="47" t="s">
        <v>88</v>
      </c>
      <c r="I2" s="47" t="s">
        <v>88</v>
      </c>
      <c r="J2" s="48">
        <f t="shared" ref="J2:J46" si="0">D2</f>
        <v>100</v>
      </c>
    </row>
    <row r="3" spans="1:11" ht="21" customHeight="1" x14ac:dyDescent="0.15">
      <c r="A3" s="47">
        <v>47002002</v>
      </c>
      <c r="B3" s="47">
        <v>0</v>
      </c>
      <c r="C3" s="47">
        <v>60</v>
      </c>
      <c r="D3" s="47">
        <v>100</v>
      </c>
      <c r="E3" s="47" t="s">
        <v>274</v>
      </c>
      <c r="F3" s="47" t="s">
        <v>255</v>
      </c>
      <c r="G3" s="47">
        <v>1</v>
      </c>
      <c r="H3" s="47" t="s">
        <v>275</v>
      </c>
      <c r="I3" s="47" t="s">
        <v>255</v>
      </c>
      <c r="J3" s="48">
        <f t="shared" si="0"/>
        <v>100</v>
      </c>
    </row>
    <row r="4" spans="1:11" ht="21" customHeight="1" x14ac:dyDescent="0.15">
      <c r="A4" s="47">
        <v>47002003</v>
      </c>
      <c r="B4" s="47">
        <v>0</v>
      </c>
      <c r="C4" s="47">
        <v>50</v>
      </c>
      <c r="D4" s="47">
        <v>70</v>
      </c>
      <c r="E4" s="47" t="s">
        <v>274</v>
      </c>
      <c r="F4" s="47" t="s">
        <v>255</v>
      </c>
      <c r="G4" s="47" t="s">
        <v>255</v>
      </c>
      <c r="H4" s="47" t="s">
        <v>275</v>
      </c>
      <c r="I4" s="47" t="s">
        <v>255</v>
      </c>
      <c r="J4" s="48">
        <f t="shared" si="0"/>
        <v>70</v>
      </c>
    </row>
    <row r="5" spans="1:11" ht="21" customHeight="1" x14ac:dyDescent="0.15">
      <c r="A5" s="47">
        <v>47002004</v>
      </c>
      <c r="B5" s="47">
        <v>0</v>
      </c>
      <c r="C5" s="47">
        <v>51</v>
      </c>
      <c r="D5" s="47">
        <v>100</v>
      </c>
      <c r="E5" s="47">
        <v>50</v>
      </c>
      <c r="F5" s="47" t="s">
        <v>255</v>
      </c>
      <c r="G5" s="47">
        <v>1</v>
      </c>
      <c r="H5" s="47" t="s">
        <v>275</v>
      </c>
      <c r="I5" s="47" t="s">
        <v>255</v>
      </c>
      <c r="J5" s="48">
        <f t="shared" si="0"/>
        <v>100</v>
      </c>
    </row>
    <row r="6" spans="1:11" ht="21" customHeight="1" x14ac:dyDescent="0.15">
      <c r="A6" s="47">
        <v>47002005</v>
      </c>
      <c r="B6" s="47">
        <v>1</v>
      </c>
      <c r="C6" s="47">
        <v>100</v>
      </c>
      <c r="D6" s="47">
        <v>100</v>
      </c>
      <c r="E6" s="47" t="s">
        <v>274</v>
      </c>
      <c r="F6" s="47" t="s">
        <v>255</v>
      </c>
      <c r="G6" s="47">
        <v>1</v>
      </c>
      <c r="H6" s="47" t="s">
        <v>275</v>
      </c>
      <c r="I6" s="47" t="s">
        <v>255</v>
      </c>
      <c r="J6" s="48">
        <f t="shared" si="0"/>
        <v>100</v>
      </c>
    </row>
    <row r="7" spans="1:11" ht="21" customHeight="1" x14ac:dyDescent="0.15">
      <c r="A7" s="47">
        <v>47002006</v>
      </c>
      <c r="B7" s="47">
        <v>0</v>
      </c>
      <c r="C7" s="47">
        <v>50</v>
      </c>
      <c r="D7" s="47">
        <v>100</v>
      </c>
      <c r="E7" s="47" t="s">
        <v>274</v>
      </c>
      <c r="F7" s="47" t="s">
        <v>255</v>
      </c>
      <c r="G7" s="47" t="s">
        <v>255</v>
      </c>
      <c r="H7" s="47" t="s">
        <v>275</v>
      </c>
      <c r="I7" s="47" t="s">
        <v>255</v>
      </c>
      <c r="J7" s="48">
        <f t="shared" si="0"/>
        <v>100</v>
      </c>
    </row>
    <row r="8" spans="1:11" ht="21" customHeight="1" x14ac:dyDescent="0.15">
      <c r="A8" s="47">
        <v>47002007</v>
      </c>
      <c r="B8" s="47">
        <v>1</v>
      </c>
      <c r="C8" s="47">
        <v>100</v>
      </c>
      <c r="D8" s="47">
        <v>100</v>
      </c>
      <c r="E8" s="47" t="s">
        <v>274</v>
      </c>
      <c r="F8" s="47" t="s">
        <v>255</v>
      </c>
      <c r="G8" s="47">
        <v>1</v>
      </c>
      <c r="H8" s="47" t="s">
        <v>275</v>
      </c>
      <c r="I8" s="47" t="s">
        <v>255</v>
      </c>
      <c r="J8" s="48">
        <f t="shared" si="0"/>
        <v>100</v>
      </c>
    </row>
    <row r="9" spans="1:11" ht="21" customHeight="1" x14ac:dyDescent="0.15">
      <c r="A9" s="47">
        <v>47002008</v>
      </c>
      <c r="B9" s="47">
        <v>0</v>
      </c>
      <c r="C9" s="47">
        <v>62</v>
      </c>
      <c r="D9" s="47">
        <v>100</v>
      </c>
      <c r="E9" s="47" t="s">
        <v>274</v>
      </c>
      <c r="F9" s="47" t="s">
        <v>255</v>
      </c>
      <c r="G9" s="47">
        <v>1</v>
      </c>
      <c r="H9" s="47">
        <v>1</v>
      </c>
      <c r="I9" s="47" t="s">
        <v>255</v>
      </c>
      <c r="J9" s="48">
        <f t="shared" si="0"/>
        <v>100</v>
      </c>
    </row>
    <row r="10" spans="1:11" ht="21" customHeight="1" x14ac:dyDescent="0.15">
      <c r="A10" s="47">
        <v>47002009</v>
      </c>
      <c r="B10" s="47">
        <v>0</v>
      </c>
      <c r="C10" s="47">
        <v>61</v>
      </c>
      <c r="D10" s="47">
        <v>100</v>
      </c>
      <c r="E10" s="47" t="s">
        <v>274</v>
      </c>
      <c r="F10" s="47" t="s">
        <v>255</v>
      </c>
      <c r="G10" s="47">
        <v>1</v>
      </c>
      <c r="H10" s="47">
        <v>1</v>
      </c>
      <c r="I10" s="47" t="s">
        <v>255</v>
      </c>
      <c r="J10" s="48">
        <f t="shared" si="0"/>
        <v>100</v>
      </c>
    </row>
    <row r="11" spans="1:11" ht="21" customHeight="1" x14ac:dyDescent="0.15">
      <c r="A11" s="47">
        <v>47002010</v>
      </c>
      <c r="B11" s="47">
        <v>0</v>
      </c>
      <c r="C11" s="47">
        <v>60</v>
      </c>
      <c r="D11" s="47">
        <v>100</v>
      </c>
      <c r="E11" s="47" t="s">
        <v>274</v>
      </c>
      <c r="F11" s="47" t="s">
        <v>255</v>
      </c>
      <c r="G11" s="47">
        <v>1</v>
      </c>
      <c r="H11" s="47">
        <v>1</v>
      </c>
      <c r="I11" s="47" t="s">
        <v>255</v>
      </c>
      <c r="J11" s="48">
        <f t="shared" si="0"/>
        <v>100</v>
      </c>
    </row>
    <row r="12" spans="1:11" ht="21" customHeight="1" x14ac:dyDescent="0.15">
      <c r="A12" s="47">
        <v>47002011</v>
      </c>
      <c r="B12" s="47">
        <v>0</v>
      </c>
      <c r="C12" s="47">
        <v>40</v>
      </c>
      <c r="D12" s="47">
        <v>60</v>
      </c>
      <c r="E12" s="47" t="s">
        <v>274</v>
      </c>
      <c r="F12" s="47" t="s">
        <v>255</v>
      </c>
      <c r="G12" s="47" t="s">
        <v>255</v>
      </c>
      <c r="H12" s="47" t="s">
        <v>275</v>
      </c>
      <c r="I12" s="47" t="s">
        <v>255</v>
      </c>
      <c r="J12" s="48">
        <f t="shared" si="0"/>
        <v>60</v>
      </c>
    </row>
    <row r="13" spans="1:11" ht="21" customHeight="1" x14ac:dyDescent="0.15">
      <c r="A13" s="47">
        <v>47002012</v>
      </c>
      <c r="B13" s="47">
        <v>0</v>
      </c>
      <c r="C13" s="47">
        <v>41</v>
      </c>
      <c r="D13" s="47">
        <v>80</v>
      </c>
      <c r="E13" s="47" t="s">
        <v>274</v>
      </c>
      <c r="F13" s="47" t="s">
        <v>255</v>
      </c>
      <c r="G13" s="47" t="s">
        <v>255</v>
      </c>
      <c r="H13" s="47">
        <v>2</v>
      </c>
      <c r="I13" s="47" t="s">
        <v>255</v>
      </c>
      <c r="J13" s="48">
        <f t="shared" si="0"/>
        <v>80</v>
      </c>
    </row>
    <row r="14" spans="1:11" ht="21" customHeight="1" x14ac:dyDescent="0.15">
      <c r="A14" s="47">
        <v>47002013</v>
      </c>
      <c r="B14" s="47">
        <v>1</v>
      </c>
      <c r="C14" s="47">
        <v>100</v>
      </c>
      <c r="D14" s="47">
        <v>100</v>
      </c>
      <c r="E14" s="47" t="s">
        <v>274</v>
      </c>
      <c r="F14" s="47" t="s">
        <v>255</v>
      </c>
      <c r="G14" s="47">
        <v>1</v>
      </c>
      <c r="H14" s="47" t="s">
        <v>275</v>
      </c>
      <c r="I14" s="47" t="s">
        <v>255</v>
      </c>
      <c r="J14" s="48">
        <f t="shared" si="0"/>
        <v>100</v>
      </c>
    </row>
    <row r="15" spans="1:11" ht="21" customHeight="1" x14ac:dyDescent="0.15">
      <c r="A15" s="47">
        <v>47002014</v>
      </c>
      <c r="B15" s="47">
        <v>0</v>
      </c>
      <c r="C15" s="47">
        <v>50</v>
      </c>
      <c r="D15" s="47">
        <v>100</v>
      </c>
      <c r="E15" s="47" t="s">
        <v>274</v>
      </c>
      <c r="F15" s="47" t="s">
        <v>255</v>
      </c>
      <c r="G15" s="47" t="s">
        <v>255</v>
      </c>
      <c r="H15" s="47" t="s">
        <v>275</v>
      </c>
      <c r="I15" s="47" t="s">
        <v>255</v>
      </c>
      <c r="J15" s="48">
        <f t="shared" si="0"/>
        <v>100</v>
      </c>
    </row>
    <row r="16" spans="1:11" ht="21" customHeight="1" x14ac:dyDescent="0.15">
      <c r="A16" s="47">
        <v>47002015</v>
      </c>
      <c r="B16" s="47">
        <v>1</v>
      </c>
      <c r="C16" s="47">
        <v>100</v>
      </c>
      <c r="D16" s="47">
        <v>100</v>
      </c>
      <c r="E16" s="47" t="s">
        <v>274</v>
      </c>
      <c r="F16" s="47" t="s">
        <v>255</v>
      </c>
      <c r="G16" s="47">
        <v>1</v>
      </c>
      <c r="H16" s="47" t="s">
        <v>275</v>
      </c>
      <c r="I16" s="47" t="s">
        <v>255</v>
      </c>
      <c r="J16" s="48">
        <f t="shared" si="0"/>
        <v>100</v>
      </c>
    </row>
    <row r="17" spans="1:10" ht="21" customHeight="1" x14ac:dyDescent="0.15">
      <c r="A17" s="47">
        <v>47002016</v>
      </c>
      <c r="B17" s="47">
        <v>0</v>
      </c>
      <c r="C17" s="47">
        <v>60</v>
      </c>
      <c r="D17" s="47">
        <v>100</v>
      </c>
      <c r="E17" s="47" t="s">
        <v>274</v>
      </c>
      <c r="F17" s="47" t="s">
        <v>255</v>
      </c>
      <c r="G17" s="47">
        <v>1</v>
      </c>
      <c r="H17" s="47" t="s">
        <v>275</v>
      </c>
      <c r="I17" s="47" t="s">
        <v>255</v>
      </c>
      <c r="J17" s="48">
        <f t="shared" si="0"/>
        <v>100</v>
      </c>
    </row>
    <row r="18" spans="1:10" ht="21" customHeight="1" x14ac:dyDescent="0.15">
      <c r="A18" s="47">
        <v>47002017</v>
      </c>
      <c r="B18" s="47">
        <v>0</v>
      </c>
      <c r="C18" s="47">
        <v>50</v>
      </c>
      <c r="D18" s="47">
        <v>80</v>
      </c>
      <c r="E18" s="47" t="s">
        <v>274</v>
      </c>
      <c r="F18" s="47" t="s">
        <v>255</v>
      </c>
      <c r="G18" s="47" t="s">
        <v>337</v>
      </c>
      <c r="H18" s="47" t="s">
        <v>275</v>
      </c>
      <c r="I18" s="47" t="s">
        <v>255</v>
      </c>
      <c r="J18" s="48">
        <f t="shared" si="0"/>
        <v>80</v>
      </c>
    </row>
    <row r="19" spans="1:10" ht="21" customHeight="1" x14ac:dyDescent="0.15">
      <c r="A19" s="47">
        <v>47002018</v>
      </c>
      <c r="B19" s="47">
        <v>0</v>
      </c>
      <c r="C19" s="47">
        <v>51</v>
      </c>
      <c r="D19" s="47">
        <v>100</v>
      </c>
      <c r="E19" s="47">
        <v>70</v>
      </c>
      <c r="F19" s="47" t="s">
        <v>255</v>
      </c>
      <c r="G19" s="47">
        <v>3</v>
      </c>
      <c r="H19" s="47">
        <v>3</v>
      </c>
      <c r="I19" s="47" t="s">
        <v>255</v>
      </c>
      <c r="J19" s="48">
        <f t="shared" si="0"/>
        <v>100</v>
      </c>
    </row>
    <row r="20" spans="1:10" ht="21" customHeight="1" x14ac:dyDescent="0.15">
      <c r="A20" s="47">
        <v>47002019</v>
      </c>
      <c r="B20" s="47">
        <v>1</v>
      </c>
      <c r="C20" s="47">
        <v>100</v>
      </c>
      <c r="D20" s="47">
        <v>100</v>
      </c>
      <c r="E20" s="47" t="s">
        <v>274</v>
      </c>
      <c r="F20" s="47" t="s">
        <v>255</v>
      </c>
      <c r="G20" s="47">
        <v>1</v>
      </c>
      <c r="H20" s="47" t="s">
        <v>275</v>
      </c>
      <c r="I20" s="47" t="s">
        <v>255</v>
      </c>
      <c r="J20" s="48">
        <f t="shared" si="0"/>
        <v>100</v>
      </c>
    </row>
    <row r="21" spans="1:10" ht="21" customHeight="1" x14ac:dyDescent="0.15">
      <c r="A21" s="47">
        <v>47002020</v>
      </c>
      <c r="B21" s="47">
        <v>0</v>
      </c>
      <c r="C21" s="47">
        <v>51</v>
      </c>
      <c r="D21" s="47">
        <v>100</v>
      </c>
      <c r="E21" s="47">
        <v>99</v>
      </c>
      <c r="F21" s="47" t="s">
        <v>255</v>
      </c>
      <c r="G21" s="47" t="s">
        <v>255</v>
      </c>
      <c r="H21" s="47" t="s">
        <v>275</v>
      </c>
      <c r="I21" s="47" t="s">
        <v>255</v>
      </c>
      <c r="J21" s="48">
        <f t="shared" si="0"/>
        <v>100</v>
      </c>
    </row>
    <row r="22" spans="1:10" ht="21" customHeight="1" x14ac:dyDescent="0.15">
      <c r="A22" s="47">
        <v>47002021</v>
      </c>
      <c r="B22" s="47">
        <v>0</v>
      </c>
      <c r="C22" s="47">
        <v>50</v>
      </c>
      <c r="D22" s="47">
        <v>100</v>
      </c>
      <c r="E22" s="47" t="s">
        <v>274</v>
      </c>
      <c r="F22" s="47" t="s">
        <v>255</v>
      </c>
      <c r="G22" s="47" t="s">
        <v>255</v>
      </c>
      <c r="H22" s="47" t="s">
        <v>275</v>
      </c>
      <c r="I22" s="47" t="s">
        <v>255</v>
      </c>
      <c r="J22" s="48">
        <f t="shared" si="0"/>
        <v>100</v>
      </c>
    </row>
    <row r="23" spans="1:10" ht="21" customHeight="1" x14ac:dyDescent="0.15">
      <c r="A23" s="47">
        <v>47002022</v>
      </c>
      <c r="B23" s="47">
        <v>1</v>
      </c>
      <c r="C23" s="47">
        <v>100</v>
      </c>
      <c r="D23" s="47">
        <v>100</v>
      </c>
      <c r="E23" s="47" t="s">
        <v>274</v>
      </c>
      <c r="F23" s="47" t="s">
        <v>255</v>
      </c>
      <c r="G23" s="47">
        <v>1</v>
      </c>
      <c r="H23" s="47" t="s">
        <v>275</v>
      </c>
      <c r="I23" s="47" t="s">
        <v>255</v>
      </c>
      <c r="J23" s="48">
        <f t="shared" si="0"/>
        <v>100</v>
      </c>
    </row>
    <row r="24" spans="1:10" ht="21" customHeight="1" x14ac:dyDescent="0.15">
      <c r="A24" s="47">
        <v>47002023</v>
      </c>
      <c r="B24" s="47">
        <v>0</v>
      </c>
      <c r="C24" s="47">
        <v>60</v>
      </c>
      <c r="D24" s="47">
        <v>100</v>
      </c>
      <c r="E24" s="47" t="s">
        <v>274</v>
      </c>
      <c r="F24" s="47" t="s">
        <v>255</v>
      </c>
      <c r="G24" s="47">
        <v>1</v>
      </c>
      <c r="H24" s="47" t="s">
        <v>275</v>
      </c>
      <c r="I24" s="47" t="s">
        <v>255</v>
      </c>
      <c r="J24" s="48">
        <f t="shared" si="0"/>
        <v>100</v>
      </c>
    </row>
    <row r="25" spans="1:10" ht="21" customHeight="1" x14ac:dyDescent="0.15">
      <c r="A25" s="47">
        <v>47002024</v>
      </c>
      <c r="B25" s="47">
        <v>0</v>
      </c>
      <c r="C25" s="47">
        <v>50</v>
      </c>
      <c r="D25" s="47">
        <v>90</v>
      </c>
      <c r="E25" s="47" t="s">
        <v>274</v>
      </c>
      <c r="F25" s="47" t="s">
        <v>255</v>
      </c>
      <c r="G25" s="47" t="s">
        <v>275</v>
      </c>
      <c r="H25" s="47" t="s">
        <v>275</v>
      </c>
      <c r="I25" s="47" t="s">
        <v>255</v>
      </c>
      <c r="J25" s="48">
        <f t="shared" si="0"/>
        <v>90</v>
      </c>
    </row>
    <row r="26" spans="1:10" ht="21" customHeight="1" x14ac:dyDescent="0.15">
      <c r="A26" s="47">
        <v>47002025</v>
      </c>
      <c r="B26" s="47">
        <v>0</v>
      </c>
      <c r="C26" s="47">
        <v>51</v>
      </c>
      <c r="D26" s="47">
        <v>40</v>
      </c>
      <c r="E26" s="47" t="s">
        <v>274</v>
      </c>
      <c r="F26" s="47" t="s">
        <v>255</v>
      </c>
      <c r="G26" s="47" t="s">
        <v>275</v>
      </c>
      <c r="H26" s="47" t="s">
        <v>275</v>
      </c>
      <c r="I26" s="47" t="s">
        <v>255</v>
      </c>
      <c r="J26" s="48">
        <f t="shared" si="0"/>
        <v>40</v>
      </c>
    </row>
    <row r="27" spans="1:10" ht="21" customHeight="1" x14ac:dyDescent="0.15">
      <c r="A27" s="47">
        <v>47002026</v>
      </c>
      <c r="B27" s="47">
        <v>0</v>
      </c>
      <c r="C27" s="47">
        <v>55</v>
      </c>
      <c r="D27" s="47">
        <v>100</v>
      </c>
      <c r="E27" s="47" t="s">
        <v>274</v>
      </c>
      <c r="F27" s="47" t="s">
        <v>255</v>
      </c>
      <c r="G27" s="47">
        <v>1</v>
      </c>
      <c r="H27" s="47">
        <v>5</v>
      </c>
      <c r="I27" s="47" t="s">
        <v>255</v>
      </c>
      <c r="J27" s="48">
        <f t="shared" si="0"/>
        <v>100</v>
      </c>
    </row>
    <row r="28" spans="1:10" ht="21" customHeight="1" x14ac:dyDescent="0.15">
      <c r="A28" s="47">
        <v>47002027</v>
      </c>
      <c r="B28" s="47">
        <v>1</v>
      </c>
      <c r="C28" s="47">
        <v>100</v>
      </c>
      <c r="D28" s="47">
        <v>100</v>
      </c>
      <c r="E28" s="47" t="s">
        <v>274</v>
      </c>
      <c r="F28" s="47" t="s">
        <v>255</v>
      </c>
      <c r="G28" s="47">
        <v>1</v>
      </c>
      <c r="H28" s="47" t="s">
        <v>275</v>
      </c>
      <c r="I28" s="47" t="s">
        <v>255</v>
      </c>
      <c r="J28" s="48">
        <f t="shared" si="0"/>
        <v>100</v>
      </c>
    </row>
    <row r="29" spans="1:10" ht="21" customHeight="1" x14ac:dyDescent="0.15">
      <c r="A29" s="47">
        <v>47002028</v>
      </c>
      <c r="B29" s="47">
        <v>0</v>
      </c>
      <c r="C29" s="47">
        <v>50</v>
      </c>
      <c r="D29" s="47">
        <v>100</v>
      </c>
      <c r="E29" s="47" t="s">
        <v>274</v>
      </c>
      <c r="F29" s="47" t="s">
        <v>255</v>
      </c>
      <c r="G29" s="47" t="s">
        <v>255</v>
      </c>
      <c r="H29" s="47" t="s">
        <v>275</v>
      </c>
      <c r="I29" s="47" t="s">
        <v>255</v>
      </c>
      <c r="J29" s="48">
        <f t="shared" si="0"/>
        <v>100</v>
      </c>
    </row>
    <row r="30" spans="1:10" ht="21" customHeight="1" x14ac:dyDescent="0.15">
      <c r="A30" s="47">
        <v>47002029</v>
      </c>
      <c r="B30" s="47">
        <v>1</v>
      </c>
      <c r="C30" s="47">
        <v>100</v>
      </c>
      <c r="D30" s="47">
        <v>100</v>
      </c>
      <c r="E30" s="47" t="s">
        <v>274</v>
      </c>
      <c r="F30" s="47" t="s">
        <v>255</v>
      </c>
      <c r="G30" s="47">
        <v>1</v>
      </c>
      <c r="H30" s="47" t="s">
        <v>275</v>
      </c>
      <c r="I30" s="47" t="s">
        <v>255</v>
      </c>
      <c r="J30" s="48">
        <f t="shared" si="0"/>
        <v>100</v>
      </c>
    </row>
    <row r="31" spans="1:10" ht="21" customHeight="1" x14ac:dyDescent="0.15">
      <c r="A31" s="47">
        <v>47002030</v>
      </c>
      <c r="B31" s="47">
        <v>0</v>
      </c>
      <c r="C31" s="47">
        <v>50</v>
      </c>
      <c r="D31" s="47">
        <v>100</v>
      </c>
      <c r="E31" s="47" t="s">
        <v>274</v>
      </c>
      <c r="F31" s="47" t="s">
        <v>255</v>
      </c>
      <c r="G31" s="47" t="s">
        <v>275</v>
      </c>
      <c r="H31" s="47" t="s">
        <v>275</v>
      </c>
      <c r="I31" s="47" t="s">
        <v>255</v>
      </c>
      <c r="J31" s="48">
        <f t="shared" si="0"/>
        <v>100</v>
      </c>
    </row>
    <row r="32" spans="1:10" ht="21" customHeight="1" x14ac:dyDescent="0.15">
      <c r="A32" s="47">
        <v>47002031</v>
      </c>
      <c r="B32" s="47">
        <v>0</v>
      </c>
      <c r="C32" s="47">
        <v>51</v>
      </c>
      <c r="D32" s="47">
        <v>50</v>
      </c>
      <c r="E32" s="47" t="s">
        <v>274</v>
      </c>
      <c r="F32" s="47" t="s">
        <v>255</v>
      </c>
      <c r="G32" s="47" t="s">
        <v>275</v>
      </c>
      <c r="H32" s="47" t="s">
        <v>275</v>
      </c>
      <c r="I32" s="47" t="s">
        <v>255</v>
      </c>
      <c r="J32" s="48">
        <f t="shared" si="0"/>
        <v>50</v>
      </c>
    </row>
    <row r="33" spans="1:10" ht="21" customHeight="1" x14ac:dyDescent="0.15">
      <c r="A33" s="47">
        <v>47002032</v>
      </c>
      <c r="B33" s="47">
        <v>0</v>
      </c>
      <c r="C33" s="47">
        <v>60</v>
      </c>
      <c r="D33" s="47">
        <v>100</v>
      </c>
      <c r="E33" s="47" t="s">
        <v>274</v>
      </c>
      <c r="F33" s="47" t="s">
        <v>255</v>
      </c>
      <c r="G33" s="47" t="s">
        <v>275</v>
      </c>
      <c r="H33" s="47">
        <v>3</v>
      </c>
      <c r="I33" s="47" t="s">
        <v>255</v>
      </c>
      <c r="J33" s="48">
        <f t="shared" si="0"/>
        <v>100</v>
      </c>
    </row>
    <row r="34" spans="1:10" ht="21" customHeight="1" x14ac:dyDescent="0.15">
      <c r="A34" s="47">
        <v>47002033</v>
      </c>
      <c r="B34" s="47">
        <v>1</v>
      </c>
      <c r="C34" s="47">
        <v>100</v>
      </c>
      <c r="D34" s="47">
        <v>100</v>
      </c>
      <c r="E34" s="47" t="s">
        <v>274</v>
      </c>
      <c r="F34" s="47" t="s">
        <v>255</v>
      </c>
      <c r="G34" s="47">
        <v>1</v>
      </c>
      <c r="H34" s="47" t="s">
        <v>275</v>
      </c>
      <c r="I34" s="47" t="s">
        <v>255</v>
      </c>
      <c r="J34" s="48">
        <f t="shared" si="0"/>
        <v>100</v>
      </c>
    </row>
    <row r="35" spans="1:10" ht="21" customHeight="1" x14ac:dyDescent="0.15">
      <c r="A35" s="47">
        <v>47002034</v>
      </c>
      <c r="B35" s="47">
        <v>0</v>
      </c>
      <c r="C35" s="47">
        <v>50</v>
      </c>
      <c r="D35" s="47">
        <v>100</v>
      </c>
      <c r="E35" s="47" t="s">
        <v>274</v>
      </c>
      <c r="F35" s="47" t="s">
        <v>255</v>
      </c>
      <c r="G35" s="47" t="s">
        <v>275</v>
      </c>
      <c r="H35" s="47" t="s">
        <v>275</v>
      </c>
      <c r="I35" s="47" t="s">
        <v>255</v>
      </c>
      <c r="J35" s="48">
        <f t="shared" si="0"/>
        <v>100</v>
      </c>
    </row>
    <row r="36" spans="1:10" ht="21" customHeight="1" x14ac:dyDescent="0.15">
      <c r="A36" s="47">
        <v>47002035</v>
      </c>
      <c r="B36" s="47">
        <v>0</v>
      </c>
      <c r="C36" s="47">
        <v>51</v>
      </c>
      <c r="D36" s="47">
        <v>50</v>
      </c>
      <c r="E36" s="47" t="s">
        <v>274</v>
      </c>
      <c r="F36" s="47" t="s">
        <v>255</v>
      </c>
      <c r="G36" s="47">
        <v>3</v>
      </c>
      <c r="H36" s="47" t="s">
        <v>275</v>
      </c>
      <c r="I36" s="47" t="s">
        <v>255</v>
      </c>
      <c r="J36" s="48">
        <f t="shared" si="0"/>
        <v>50</v>
      </c>
    </row>
    <row r="37" spans="1:10" ht="21" customHeight="1" x14ac:dyDescent="0.15">
      <c r="A37" s="47">
        <v>47002036</v>
      </c>
      <c r="B37" s="47">
        <v>0</v>
      </c>
      <c r="C37" s="47">
        <v>60</v>
      </c>
      <c r="D37" s="47">
        <v>100</v>
      </c>
      <c r="E37" s="47" t="s">
        <v>274</v>
      </c>
      <c r="F37" s="47" t="s">
        <v>255</v>
      </c>
      <c r="G37" s="47" t="s">
        <v>255</v>
      </c>
      <c r="H37" s="47">
        <v>4</v>
      </c>
      <c r="I37" s="47" t="s">
        <v>255</v>
      </c>
      <c r="J37" s="48">
        <f t="shared" si="0"/>
        <v>100</v>
      </c>
    </row>
    <row r="38" spans="1:10" ht="21" customHeight="1" x14ac:dyDescent="0.15">
      <c r="A38" s="47">
        <v>47002037</v>
      </c>
      <c r="B38" s="47">
        <v>0</v>
      </c>
      <c r="C38" s="47">
        <v>70</v>
      </c>
      <c r="D38" s="47">
        <v>100</v>
      </c>
      <c r="E38" s="47">
        <v>50</v>
      </c>
      <c r="F38" s="47" t="s">
        <v>255</v>
      </c>
      <c r="G38" s="47">
        <v>1</v>
      </c>
      <c r="H38" s="47">
        <v>1</v>
      </c>
      <c r="I38" s="47" t="s">
        <v>255</v>
      </c>
      <c r="J38" s="48">
        <f t="shared" si="0"/>
        <v>100</v>
      </c>
    </row>
    <row r="39" spans="1:10" ht="21" customHeight="1" x14ac:dyDescent="0.15">
      <c r="A39" s="47">
        <v>47002038</v>
      </c>
      <c r="B39" s="47">
        <v>1</v>
      </c>
      <c r="C39" s="47">
        <v>100</v>
      </c>
      <c r="D39" s="47">
        <v>100</v>
      </c>
      <c r="E39" s="47" t="s">
        <v>274</v>
      </c>
      <c r="F39" s="47" t="s">
        <v>255</v>
      </c>
      <c r="G39" s="47">
        <v>1</v>
      </c>
      <c r="H39" s="47" t="s">
        <v>275</v>
      </c>
      <c r="I39" s="47" t="s">
        <v>255</v>
      </c>
      <c r="J39" s="48">
        <f t="shared" si="0"/>
        <v>100</v>
      </c>
    </row>
    <row r="40" spans="1:10" ht="21" customHeight="1" x14ac:dyDescent="0.15">
      <c r="A40" s="47">
        <v>47002039</v>
      </c>
      <c r="B40" s="47">
        <v>0</v>
      </c>
      <c r="C40" s="47">
        <v>90</v>
      </c>
      <c r="D40" s="47">
        <v>100</v>
      </c>
      <c r="E40" s="47" t="s">
        <v>274</v>
      </c>
      <c r="F40" s="47" t="s">
        <v>255</v>
      </c>
      <c r="G40" s="47">
        <v>1</v>
      </c>
      <c r="H40" s="47" t="s">
        <v>275</v>
      </c>
      <c r="I40" s="47" t="s">
        <v>255</v>
      </c>
      <c r="J40" s="48">
        <f t="shared" si="0"/>
        <v>100</v>
      </c>
    </row>
    <row r="41" spans="1:10" ht="21" customHeight="1" x14ac:dyDescent="0.15">
      <c r="A41" s="47">
        <v>47002040</v>
      </c>
      <c r="B41" s="47">
        <v>0</v>
      </c>
      <c r="C41" s="47">
        <v>50</v>
      </c>
      <c r="D41" s="47">
        <v>100</v>
      </c>
      <c r="E41" s="47" t="s">
        <v>274</v>
      </c>
      <c r="F41" s="47" t="s">
        <v>255</v>
      </c>
      <c r="G41" s="47" t="s">
        <v>275</v>
      </c>
      <c r="H41" s="47" t="s">
        <v>275</v>
      </c>
      <c r="I41" s="47" t="s">
        <v>255</v>
      </c>
      <c r="J41" s="48">
        <f t="shared" si="0"/>
        <v>100</v>
      </c>
    </row>
    <row r="42" spans="1:10" ht="21" customHeight="1" x14ac:dyDescent="0.15">
      <c r="A42" s="47">
        <v>47002041</v>
      </c>
      <c r="B42" s="47">
        <v>0</v>
      </c>
      <c r="C42" s="47">
        <v>60</v>
      </c>
      <c r="D42" s="47">
        <v>100</v>
      </c>
      <c r="E42" s="47" t="s">
        <v>274</v>
      </c>
      <c r="F42" s="47" t="s">
        <v>255</v>
      </c>
      <c r="G42" s="47" t="s">
        <v>255</v>
      </c>
      <c r="H42" s="47">
        <v>3</v>
      </c>
      <c r="I42" s="47" t="s">
        <v>255</v>
      </c>
      <c r="J42" s="48">
        <f t="shared" si="0"/>
        <v>100</v>
      </c>
    </row>
    <row r="43" spans="1:10" ht="21" customHeight="1" x14ac:dyDescent="0.15">
      <c r="A43" s="47">
        <v>47002042</v>
      </c>
      <c r="B43" s="47">
        <v>0</v>
      </c>
      <c r="C43" s="47">
        <v>70</v>
      </c>
      <c r="D43" s="47">
        <v>100</v>
      </c>
      <c r="E43" s="47">
        <v>50</v>
      </c>
      <c r="F43" s="47" t="s">
        <v>255</v>
      </c>
      <c r="G43" s="47">
        <v>1</v>
      </c>
      <c r="H43" s="47">
        <v>1</v>
      </c>
      <c r="I43" s="47" t="s">
        <v>255</v>
      </c>
      <c r="J43" s="48">
        <f t="shared" si="0"/>
        <v>100</v>
      </c>
    </row>
    <row r="44" spans="1:10" ht="21" customHeight="1" x14ac:dyDescent="0.15">
      <c r="A44" s="47">
        <v>47002043</v>
      </c>
      <c r="B44" s="47">
        <v>0</v>
      </c>
      <c r="C44" s="47">
        <v>89</v>
      </c>
      <c r="D44" s="47">
        <v>100</v>
      </c>
      <c r="E44" s="47" t="s">
        <v>274</v>
      </c>
      <c r="F44" s="47" t="s">
        <v>255</v>
      </c>
      <c r="G44" s="47">
        <v>1</v>
      </c>
      <c r="H44" s="47">
        <v>9</v>
      </c>
      <c r="I44" s="47" t="s">
        <v>255</v>
      </c>
      <c r="J44" s="48">
        <f t="shared" si="0"/>
        <v>100</v>
      </c>
    </row>
    <row r="45" spans="1:10" ht="21" customHeight="1" x14ac:dyDescent="0.15">
      <c r="A45" s="47">
        <v>47002044</v>
      </c>
      <c r="B45" s="47">
        <v>0</v>
      </c>
      <c r="C45" s="47">
        <v>100</v>
      </c>
      <c r="D45" s="47">
        <v>100</v>
      </c>
      <c r="E45" s="47" t="s">
        <v>274</v>
      </c>
      <c r="F45" s="47" t="s">
        <v>255</v>
      </c>
      <c r="G45" s="47">
        <v>0</v>
      </c>
      <c r="H45" s="47" t="s">
        <v>275</v>
      </c>
      <c r="I45" s="47">
        <v>0</v>
      </c>
      <c r="J45" s="48">
        <f t="shared" si="0"/>
        <v>100</v>
      </c>
    </row>
    <row r="46" spans="1:10" ht="21" customHeight="1" x14ac:dyDescent="0.15">
      <c r="A46" s="145">
        <v>47002045</v>
      </c>
      <c r="B46" s="47">
        <v>1</v>
      </c>
      <c r="C46" s="47">
        <v>101</v>
      </c>
      <c r="D46" s="47">
        <v>100</v>
      </c>
      <c r="E46" s="47" t="s">
        <v>167</v>
      </c>
      <c r="F46" s="47" t="s">
        <v>88</v>
      </c>
      <c r="G46" s="47">
        <v>1</v>
      </c>
      <c r="H46" s="47" t="s">
        <v>88</v>
      </c>
      <c r="I46" s="47">
        <v>1047</v>
      </c>
      <c r="J46" s="48">
        <f t="shared" si="0"/>
        <v>100</v>
      </c>
    </row>
    <row r="47" spans="1:10" ht="21" customHeight="1" x14ac:dyDescent="0.15">
      <c r="A47" s="145">
        <v>47002046</v>
      </c>
      <c r="B47" s="47">
        <v>1</v>
      </c>
      <c r="C47" s="47">
        <v>102</v>
      </c>
      <c r="D47" s="47">
        <v>100</v>
      </c>
      <c r="E47" s="47" t="s">
        <v>167</v>
      </c>
      <c r="F47" s="47" t="s">
        <v>88</v>
      </c>
      <c r="G47" s="47">
        <v>1</v>
      </c>
      <c r="H47" s="47" t="s">
        <v>88</v>
      </c>
      <c r="I47" s="47">
        <v>1045</v>
      </c>
      <c r="J47" s="48">
        <f t="shared" ref="J47" si="1">D47</f>
        <v>100</v>
      </c>
    </row>
    <row r="48" spans="1:10" ht="21" customHeight="1" x14ac:dyDescent="0.15">
      <c r="A48" s="145">
        <v>47002047</v>
      </c>
      <c r="B48" s="47">
        <v>1</v>
      </c>
      <c r="C48" s="47">
        <v>103</v>
      </c>
      <c r="D48" s="47">
        <v>100</v>
      </c>
      <c r="E48" s="47" t="s">
        <v>167</v>
      </c>
      <c r="F48" s="47" t="s">
        <v>88</v>
      </c>
      <c r="G48" s="47">
        <v>1</v>
      </c>
      <c r="H48" s="47" t="s">
        <v>88</v>
      </c>
      <c r="I48" s="47">
        <v>1051</v>
      </c>
      <c r="J48" s="48">
        <f t="shared" ref="J48" si="2">D48</f>
        <v>100</v>
      </c>
    </row>
    <row r="49" spans="1:10" ht="21" customHeight="1" x14ac:dyDescent="0.15">
      <c r="A49" s="145">
        <v>47002048</v>
      </c>
      <c r="B49" s="47">
        <v>1</v>
      </c>
      <c r="C49" s="47">
        <v>104</v>
      </c>
      <c r="D49" s="47">
        <v>100</v>
      </c>
      <c r="E49" s="47" t="s">
        <v>167</v>
      </c>
      <c r="F49" s="47" t="s">
        <v>88</v>
      </c>
      <c r="G49" s="47">
        <v>1</v>
      </c>
      <c r="H49" s="47" t="s">
        <v>88</v>
      </c>
      <c r="I49" s="47">
        <v>1049</v>
      </c>
      <c r="J49" s="48">
        <f t="shared" ref="J49:J52" si="3">D49</f>
        <v>100</v>
      </c>
    </row>
    <row r="50" spans="1:10" ht="21" customHeight="1" x14ac:dyDescent="0.15">
      <c r="A50" s="145">
        <v>47002049</v>
      </c>
      <c r="B50" s="47">
        <v>0</v>
      </c>
      <c r="C50" s="47">
        <v>101</v>
      </c>
      <c r="D50" s="47">
        <v>100</v>
      </c>
      <c r="E50" s="47" t="s">
        <v>167</v>
      </c>
      <c r="F50" s="47" t="s">
        <v>88</v>
      </c>
      <c r="G50" s="47">
        <v>0</v>
      </c>
      <c r="H50" s="47" t="s">
        <v>88</v>
      </c>
      <c r="I50" s="47">
        <v>1047</v>
      </c>
      <c r="J50" s="48">
        <f t="shared" si="3"/>
        <v>100</v>
      </c>
    </row>
    <row r="51" spans="1:10" ht="21" customHeight="1" x14ac:dyDescent="0.15">
      <c r="A51" s="145">
        <v>47002050</v>
      </c>
      <c r="B51" s="47">
        <v>0</v>
      </c>
      <c r="C51" s="47">
        <v>102</v>
      </c>
      <c r="D51" s="47">
        <v>100</v>
      </c>
      <c r="E51" s="47" t="s">
        <v>167</v>
      </c>
      <c r="F51" s="47" t="s">
        <v>88</v>
      </c>
      <c r="G51" s="47">
        <v>0</v>
      </c>
      <c r="H51" s="47" t="s">
        <v>88</v>
      </c>
      <c r="I51" s="47">
        <v>1045</v>
      </c>
      <c r="J51" s="48">
        <f t="shared" si="3"/>
        <v>100</v>
      </c>
    </row>
    <row r="52" spans="1:10" ht="21" customHeight="1" x14ac:dyDescent="0.15">
      <c r="A52" s="145">
        <v>47002051</v>
      </c>
      <c r="B52" s="47">
        <v>0</v>
      </c>
      <c r="C52" s="47">
        <v>103</v>
      </c>
      <c r="D52" s="47">
        <v>100</v>
      </c>
      <c r="E52" s="47" t="s">
        <v>167</v>
      </c>
      <c r="F52" s="47" t="s">
        <v>88</v>
      </c>
      <c r="G52" s="47">
        <v>0</v>
      </c>
      <c r="H52" s="47" t="s">
        <v>88</v>
      </c>
      <c r="I52" s="47">
        <v>1051</v>
      </c>
      <c r="J52" s="48">
        <f t="shared" si="3"/>
        <v>100</v>
      </c>
    </row>
    <row r="53" spans="1:10" ht="21" customHeight="1" x14ac:dyDescent="0.15">
      <c r="A53" s="145">
        <v>47002052</v>
      </c>
      <c r="B53" s="47">
        <v>0</v>
      </c>
      <c r="C53" s="47">
        <v>104</v>
      </c>
      <c r="D53" s="47">
        <v>100</v>
      </c>
      <c r="E53" s="47" t="s">
        <v>167</v>
      </c>
      <c r="F53" s="47" t="s">
        <v>88</v>
      </c>
      <c r="G53" s="47">
        <v>0</v>
      </c>
      <c r="H53" s="47" t="s">
        <v>88</v>
      </c>
      <c r="I53" s="47">
        <v>1049</v>
      </c>
      <c r="J53" s="48">
        <f t="shared" ref="J53:J58" si="4">D53</f>
        <v>100</v>
      </c>
    </row>
    <row r="54" spans="1:10" ht="21" customHeight="1" x14ac:dyDescent="0.15">
      <c r="A54" s="47">
        <v>47002053</v>
      </c>
      <c r="B54" s="47">
        <v>0</v>
      </c>
      <c r="C54" s="47">
        <v>51</v>
      </c>
      <c r="D54" s="47">
        <v>40</v>
      </c>
      <c r="E54" s="47" t="s">
        <v>167</v>
      </c>
      <c r="F54" s="47" t="s">
        <v>167</v>
      </c>
      <c r="G54" s="47" t="s">
        <v>167</v>
      </c>
      <c r="H54" s="47" t="s">
        <v>167</v>
      </c>
      <c r="I54" s="47" t="s">
        <v>167</v>
      </c>
      <c r="J54" s="48">
        <f t="shared" si="4"/>
        <v>40</v>
      </c>
    </row>
    <row r="55" spans="1:10" ht="21" customHeight="1" x14ac:dyDescent="0.15">
      <c r="A55" s="198">
        <v>47002054</v>
      </c>
      <c r="B55" s="47">
        <v>1</v>
      </c>
      <c r="C55" s="47">
        <v>105</v>
      </c>
      <c r="D55" s="47">
        <v>100</v>
      </c>
      <c r="E55" s="47" t="s">
        <v>167</v>
      </c>
      <c r="F55" s="47" t="s">
        <v>88</v>
      </c>
      <c r="G55" s="47">
        <v>1</v>
      </c>
      <c r="H55" s="47" t="s">
        <v>88</v>
      </c>
      <c r="I55" s="47">
        <v>1047</v>
      </c>
      <c r="J55" s="48">
        <f t="shared" si="4"/>
        <v>100</v>
      </c>
    </row>
    <row r="56" spans="1:10" ht="21" customHeight="1" x14ac:dyDescent="0.15">
      <c r="A56" s="198">
        <v>47002055</v>
      </c>
      <c r="B56" s="47">
        <v>1</v>
      </c>
      <c r="C56" s="47">
        <v>105</v>
      </c>
      <c r="D56" s="47">
        <v>100</v>
      </c>
      <c r="E56" s="47" t="s">
        <v>167</v>
      </c>
      <c r="F56" s="47" t="s">
        <v>88</v>
      </c>
      <c r="G56" s="47">
        <v>1</v>
      </c>
      <c r="H56" s="47" t="s">
        <v>88</v>
      </c>
      <c r="I56" s="47">
        <v>1045</v>
      </c>
      <c r="J56" s="48">
        <f t="shared" si="4"/>
        <v>100</v>
      </c>
    </row>
    <row r="57" spans="1:10" ht="21" customHeight="1" x14ac:dyDescent="0.15">
      <c r="A57" s="198">
        <v>47002056</v>
      </c>
      <c r="B57" s="47">
        <v>1</v>
      </c>
      <c r="C57" s="47">
        <v>105</v>
      </c>
      <c r="D57" s="47">
        <v>100</v>
      </c>
      <c r="E57" s="47" t="s">
        <v>167</v>
      </c>
      <c r="F57" s="47" t="s">
        <v>88</v>
      </c>
      <c r="G57" s="47">
        <v>1</v>
      </c>
      <c r="H57" s="47" t="s">
        <v>88</v>
      </c>
      <c r="I57" s="47">
        <v>1051</v>
      </c>
      <c r="J57" s="48">
        <f t="shared" si="4"/>
        <v>100</v>
      </c>
    </row>
    <row r="58" spans="1:10" ht="21" customHeight="1" x14ac:dyDescent="0.15">
      <c r="A58" s="198">
        <v>47002057</v>
      </c>
      <c r="B58" s="47">
        <v>1</v>
      </c>
      <c r="C58" s="47">
        <v>105</v>
      </c>
      <c r="D58" s="47">
        <v>100</v>
      </c>
      <c r="E58" s="47" t="s">
        <v>167</v>
      </c>
      <c r="F58" s="47" t="s">
        <v>88</v>
      </c>
      <c r="G58" s="47">
        <v>1</v>
      </c>
      <c r="H58" s="47" t="s">
        <v>88</v>
      </c>
      <c r="I58" s="47">
        <v>1049</v>
      </c>
      <c r="J58" s="48">
        <f t="shared" si="4"/>
        <v>100</v>
      </c>
    </row>
    <row r="59" spans="1:10" ht="21" customHeight="1" x14ac:dyDescent="0.15">
      <c r="A59" s="198">
        <v>47002058</v>
      </c>
      <c r="B59" s="47">
        <v>0</v>
      </c>
      <c r="C59" s="47">
        <v>105</v>
      </c>
      <c r="D59" s="47">
        <v>100</v>
      </c>
      <c r="E59" s="47">
        <v>80</v>
      </c>
      <c r="F59" s="47" t="s">
        <v>88</v>
      </c>
      <c r="G59" s="47">
        <v>1</v>
      </c>
      <c r="H59" s="47" t="s">
        <v>88</v>
      </c>
      <c r="I59" s="47" t="s">
        <v>88</v>
      </c>
      <c r="J59" s="48">
        <f t="shared" ref="J59" si="5">D59</f>
        <v>100</v>
      </c>
    </row>
  </sheetData>
  <autoFilter ref="A1:G1"/>
  <phoneticPr fontId="6"/>
  <conditionalFormatting sqref="K1:K46 K60:K1048576">
    <cfRule type="duplicateValues" dxfId="13" priority="14"/>
  </conditionalFormatting>
  <conditionalFormatting sqref="K47">
    <cfRule type="duplicateValues" dxfId="12" priority="13"/>
  </conditionalFormatting>
  <conditionalFormatting sqref="K48">
    <cfRule type="duplicateValues" dxfId="11" priority="12"/>
  </conditionalFormatting>
  <conditionalFormatting sqref="K49">
    <cfRule type="duplicateValues" dxfId="10" priority="11"/>
  </conditionalFormatting>
  <conditionalFormatting sqref="K50">
    <cfRule type="duplicateValues" dxfId="9" priority="10"/>
  </conditionalFormatting>
  <conditionalFormatting sqref="K51">
    <cfRule type="duplicateValues" dxfId="8" priority="9"/>
  </conditionalFormatting>
  <conditionalFormatting sqref="K52">
    <cfRule type="duplicateValues" dxfId="7" priority="8"/>
  </conditionalFormatting>
  <conditionalFormatting sqref="K53">
    <cfRule type="duplicateValues" dxfId="6" priority="7"/>
  </conditionalFormatting>
  <conditionalFormatting sqref="K54">
    <cfRule type="duplicateValues" dxfId="5" priority="6"/>
  </conditionalFormatting>
  <conditionalFormatting sqref="K55">
    <cfRule type="duplicateValues" dxfId="4" priority="5"/>
  </conditionalFormatting>
  <conditionalFormatting sqref="K56">
    <cfRule type="duplicateValues" dxfId="3" priority="4"/>
  </conditionalFormatting>
  <conditionalFormatting sqref="K57">
    <cfRule type="duplicateValues" dxfId="2" priority="3"/>
  </conditionalFormatting>
  <conditionalFormatting sqref="K58">
    <cfRule type="duplicateValues" dxfId="1" priority="2"/>
  </conditionalFormatting>
  <conditionalFormatting sqref="K5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F27" sqref="F2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149</v>
      </c>
      <c r="B1" s="65" t="s">
        <v>150</v>
      </c>
      <c r="C1" s="66" t="s">
        <v>151</v>
      </c>
      <c r="D1" s="72" t="s">
        <v>152</v>
      </c>
      <c r="E1" s="67" t="s">
        <v>153</v>
      </c>
      <c r="F1" s="65" t="s">
        <v>154</v>
      </c>
      <c r="G1" s="65" t="s">
        <v>155</v>
      </c>
      <c r="H1" s="65" t="s">
        <v>156</v>
      </c>
      <c r="I1" s="65" t="s">
        <v>164</v>
      </c>
      <c r="J1" s="65" t="s">
        <v>157</v>
      </c>
      <c r="K1" s="65" t="s">
        <v>158</v>
      </c>
      <c r="L1" s="65" t="s">
        <v>159</v>
      </c>
      <c r="M1" s="65" t="s">
        <v>160</v>
      </c>
      <c r="N1" s="65" t="s">
        <v>161</v>
      </c>
      <c r="O1" s="65" t="s">
        <v>162</v>
      </c>
      <c r="P1" s="65" t="s">
        <v>163</v>
      </c>
      <c r="Q1" s="65" t="s">
        <v>165</v>
      </c>
      <c r="R1" s="65" t="s">
        <v>166</v>
      </c>
    </row>
    <row r="2" spans="1:18" x14ac:dyDescent="0.15">
      <c r="A2" s="57">
        <v>47002</v>
      </c>
      <c r="B2" s="110">
        <v>1</v>
      </c>
      <c r="C2" s="111" t="str">
        <f>A2&amp; "_"&amp;B2</f>
        <v>47002_1</v>
      </c>
      <c r="D2" s="112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10">
        <v>1</v>
      </c>
      <c r="F2" s="110" t="s">
        <v>475</v>
      </c>
      <c r="G2" s="113">
        <v>700</v>
      </c>
      <c r="H2" s="110">
        <v>1</v>
      </c>
      <c r="I2" s="110">
        <v>25</v>
      </c>
      <c r="J2" s="110">
        <v>1</v>
      </c>
      <c r="K2" s="110">
        <v>1</v>
      </c>
      <c r="L2" s="110">
        <v>0</v>
      </c>
      <c r="M2" s="110">
        <v>0</v>
      </c>
      <c r="N2" s="110">
        <v>0</v>
      </c>
      <c r="O2" s="110">
        <v>0</v>
      </c>
      <c r="P2" s="110">
        <v>1</v>
      </c>
      <c r="Q2" s="110" t="s">
        <v>168</v>
      </c>
      <c r="R2" s="114" t="s">
        <v>169</v>
      </c>
    </row>
    <row r="3" spans="1:18" x14ac:dyDescent="0.15">
      <c r="A3" s="57">
        <v>47002</v>
      </c>
      <c r="B3" s="57">
        <v>1</v>
      </c>
      <c r="C3" s="71" t="str">
        <f t="shared" ref="C3:C13" si="0">A3&amp; "_"&amp;B3</f>
        <v>47002_1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227</v>
      </c>
      <c r="G3" s="81">
        <v>334</v>
      </c>
      <c r="H3" s="57">
        <v>1</v>
      </c>
      <c r="I3" s="57">
        <v>10</v>
      </c>
      <c r="J3" s="57">
        <v>1</v>
      </c>
      <c r="K3" s="57">
        <v>1</v>
      </c>
      <c r="L3" s="57">
        <v>0</v>
      </c>
      <c r="M3" s="57">
        <v>0</v>
      </c>
      <c r="N3" s="57">
        <v>0</v>
      </c>
      <c r="O3" s="57">
        <v>0</v>
      </c>
      <c r="P3" s="57">
        <v>1</v>
      </c>
      <c r="Q3" s="57" t="s">
        <v>168</v>
      </c>
      <c r="R3" s="115" t="s">
        <v>169</v>
      </c>
    </row>
    <row r="4" spans="1:18" x14ac:dyDescent="0.15">
      <c r="A4" s="57">
        <v>47002</v>
      </c>
      <c r="B4" s="57">
        <v>1</v>
      </c>
      <c r="C4" s="71" t="str">
        <f t="shared" si="0"/>
        <v>47002_1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273</v>
      </c>
      <c r="G4" s="81">
        <v>338</v>
      </c>
      <c r="H4" s="57">
        <v>1</v>
      </c>
      <c r="I4" s="57">
        <v>10</v>
      </c>
      <c r="J4" s="57">
        <v>1</v>
      </c>
      <c r="K4" s="57">
        <v>1</v>
      </c>
      <c r="L4" s="57">
        <v>0</v>
      </c>
      <c r="M4" s="57">
        <v>0</v>
      </c>
      <c r="N4" s="57">
        <v>0</v>
      </c>
      <c r="O4" s="57">
        <v>0</v>
      </c>
      <c r="P4" s="57">
        <v>1</v>
      </c>
      <c r="Q4" s="57" t="s">
        <v>168</v>
      </c>
      <c r="R4" s="115" t="s">
        <v>169</v>
      </c>
    </row>
    <row r="5" spans="1:18" x14ac:dyDescent="0.15">
      <c r="A5" s="57">
        <v>47002</v>
      </c>
      <c r="B5" s="57">
        <v>1</v>
      </c>
      <c r="C5" s="71" t="str">
        <f t="shared" si="0"/>
        <v>47002_1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273</v>
      </c>
      <c r="G5" s="81">
        <v>342</v>
      </c>
      <c r="H5" s="57">
        <v>1</v>
      </c>
      <c r="I5" s="57">
        <v>10</v>
      </c>
      <c r="J5" s="57">
        <v>1</v>
      </c>
      <c r="K5" s="57">
        <v>1</v>
      </c>
      <c r="L5" s="57">
        <v>0</v>
      </c>
      <c r="M5" s="57">
        <v>0</v>
      </c>
      <c r="N5" s="57">
        <v>0</v>
      </c>
      <c r="O5" s="57">
        <v>0</v>
      </c>
      <c r="P5" s="57">
        <v>1</v>
      </c>
      <c r="Q5" s="57" t="s">
        <v>168</v>
      </c>
      <c r="R5" s="115" t="s">
        <v>169</v>
      </c>
    </row>
    <row r="6" spans="1:18" x14ac:dyDescent="0.15">
      <c r="A6" s="57">
        <v>47002</v>
      </c>
      <c r="B6" s="57">
        <v>1</v>
      </c>
      <c r="C6" s="71" t="str">
        <f t="shared" si="0"/>
        <v>47002_1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273</v>
      </c>
      <c r="G6" s="81">
        <v>346</v>
      </c>
      <c r="H6" s="57">
        <v>1</v>
      </c>
      <c r="I6" s="116">
        <v>10</v>
      </c>
      <c r="J6" s="57">
        <v>1</v>
      </c>
      <c r="K6" s="57">
        <v>1</v>
      </c>
      <c r="L6" s="57">
        <v>0</v>
      </c>
      <c r="M6" s="57">
        <v>0</v>
      </c>
      <c r="N6" s="57">
        <v>0</v>
      </c>
      <c r="O6" s="57">
        <v>0</v>
      </c>
      <c r="P6" s="57">
        <v>1</v>
      </c>
      <c r="Q6" s="57" t="s">
        <v>168</v>
      </c>
      <c r="R6" s="115" t="s">
        <v>169</v>
      </c>
    </row>
    <row r="7" spans="1:18" x14ac:dyDescent="0.15">
      <c r="A7" s="57">
        <v>47002</v>
      </c>
      <c r="B7" s="57">
        <v>1</v>
      </c>
      <c r="C7" s="71" t="str">
        <f t="shared" si="0"/>
        <v>47002_1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273</v>
      </c>
      <c r="G7" s="81">
        <v>121</v>
      </c>
      <c r="H7" s="57">
        <v>1</v>
      </c>
      <c r="I7" s="116">
        <v>10</v>
      </c>
      <c r="J7" s="57">
        <v>1</v>
      </c>
      <c r="K7" s="57">
        <v>1</v>
      </c>
      <c r="L7" s="57">
        <v>0</v>
      </c>
      <c r="M7" s="57">
        <v>0</v>
      </c>
      <c r="N7" s="57">
        <v>0</v>
      </c>
      <c r="O7" s="57">
        <v>0</v>
      </c>
      <c r="P7" s="57">
        <v>1</v>
      </c>
      <c r="Q7" s="57" t="s">
        <v>168</v>
      </c>
      <c r="R7" s="115" t="s">
        <v>169</v>
      </c>
    </row>
    <row r="8" spans="1:18" x14ac:dyDescent="0.15">
      <c r="A8" s="57">
        <v>47002</v>
      </c>
      <c r="B8" s="57">
        <v>1</v>
      </c>
      <c r="C8" s="71" t="str">
        <f t="shared" si="0"/>
        <v>47002_1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273</v>
      </c>
      <c r="G8" s="81">
        <v>122</v>
      </c>
      <c r="H8" s="57">
        <v>1</v>
      </c>
      <c r="I8" s="116">
        <v>10</v>
      </c>
      <c r="J8" s="57">
        <v>1</v>
      </c>
      <c r="K8" s="57">
        <v>1</v>
      </c>
      <c r="L8" s="57">
        <v>0</v>
      </c>
      <c r="M8" s="57">
        <v>0</v>
      </c>
      <c r="N8" s="57">
        <v>0</v>
      </c>
      <c r="O8" s="57">
        <v>0</v>
      </c>
      <c r="P8" s="57">
        <v>1</v>
      </c>
      <c r="Q8" s="57" t="s">
        <v>168</v>
      </c>
      <c r="R8" s="115" t="s">
        <v>169</v>
      </c>
    </row>
    <row r="9" spans="1:18" x14ac:dyDescent="0.15">
      <c r="A9" s="57">
        <v>47002</v>
      </c>
      <c r="B9" s="57">
        <v>1</v>
      </c>
      <c r="C9" s="71" t="str">
        <f t="shared" si="0"/>
        <v>47002_1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273</v>
      </c>
      <c r="G9" s="81">
        <v>123</v>
      </c>
      <c r="H9" s="57">
        <v>1</v>
      </c>
      <c r="I9" s="116">
        <v>10</v>
      </c>
      <c r="J9" s="57">
        <v>1</v>
      </c>
      <c r="K9" s="57">
        <v>1</v>
      </c>
      <c r="L9" s="57">
        <v>0</v>
      </c>
      <c r="M9" s="57">
        <v>0</v>
      </c>
      <c r="N9" s="57">
        <v>0</v>
      </c>
      <c r="O9" s="57">
        <v>0</v>
      </c>
      <c r="P9" s="57">
        <v>1</v>
      </c>
      <c r="Q9" s="57" t="s">
        <v>168</v>
      </c>
      <c r="R9" s="115" t="s">
        <v>169</v>
      </c>
    </row>
    <row r="10" spans="1:18" x14ac:dyDescent="0.15">
      <c r="A10" s="57">
        <v>47002</v>
      </c>
      <c r="B10" s="57">
        <v>1</v>
      </c>
      <c r="C10" s="71" t="str">
        <f t="shared" si="0"/>
        <v>47002_1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273</v>
      </c>
      <c r="G10" s="81">
        <v>125</v>
      </c>
      <c r="H10" s="57">
        <v>1</v>
      </c>
      <c r="I10" s="116">
        <v>2</v>
      </c>
      <c r="J10" s="57">
        <v>1</v>
      </c>
      <c r="K10" s="57">
        <v>1</v>
      </c>
      <c r="L10" s="57">
        <v>0</v>
      </c>
      <c r="M10" s="57">
        <v>0</v>
      </c>
      <c r="N10" s="57">
        <v>0</v>
      </c>
      <c r="O10" s="57">
        <v>0</v>
      </c>
      <c r="P10" s="57">
        <v>1</v>
      </c>
      <c r="Q10" s="57" t="s">
        <v>168</v>
      </c>
      <c r="R10" s="115" t="s">
        <v>169</v>
      </c>
    </row>
    <row r="11" spans="1:18" x14ac:dyDescent="0.15">
      <c r="A11" s="57">
        <v>47002</v>
      </c>
      <c r="B11" s="57">
        <v>1</v>
      </c>
      <c r="C11" s="71" t="str">
        <f t="shared" ref="C11:C12" si="1">A11&amp; "_"&amp;B11</f>
        <v>47002_1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273</v>
      </c>
      <c r="G11" s="81">
        <v>607</v>
      </c>
      <c r="H11" s="57">
        <v>1</v>
      </c>
      <c r="I11" s="116">
        <v>1</v>
      </c>
      <c r="J11" s="57">
        <v>1</v>
      </c>
      <c r="K11" s="57">
        <v>1</v>
      </c>
      <c r="L11" s="57">
        <v>0</v>
      </c>
      <c r="M11" s="57">
        <v>0</v>
      </c>
      <c r="N11" s="57">
        <v>0</v>
      </c>
      <c r="O11" s="57">
        <v>0</v>
      </c>
      <c r="P11" s="57">
        <v>1</v>
      </c>
      <c r="Q11" s="57" t="s">
        <v>168</v>
      </c>
      <c r="R11" s="115" t="s">
        <v>169</v>
      </c>
    </row>
    <row r="12" spans="1:18" x14ac:dyDescent="0.15">
      <c r="A12" s="57">
        <v>47002</v>
      </c>
      <c r="B12" s="57">
        <v>1</v>
      </c>
      <c r="C12" s="71" t="str">
        <f t="shared" si="1"/>
        <v>47002_1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273</v>
      </c>
      <c r="G12" s="81">
        <v>608</v>
      </c>
      <c r="H12" s="57">
        <v>1</v>
      </c>
      <c r="I12" s="116">
        <v>1</v>
      </c>
      <c r="J12" s="57">
        <v>1</v>
      </c>
      <c r="K12" s="57">
        <v>1</v>
      </c>
      <c r="L12" s="57">
        <v>0</v>
      </c>
      <c r="M12" s="57">
        <v>0</v>
      </c>
      <c r="N12" s="57">
        <v>0</v>
      </c>
      <c r="O12" s="57">
        <v>0</v>
      </c>
      <c r="P12" s="57">
        <v>1</v>
      </c>
      <c r="Q12" s="57" t="s">
        <v>168</v>
      </c>
      <c r="R12" s="115" t="s">
        <v>169</v>
      </c>
    </row>
    <row r="13" spans="1:18" ht="16" thickBot="1" x14ac:dyDescent="0.2">
      <c r="A13" s="117">
        <v>47002</v>
      </c>
      <c r="B13" s="118">
        <v>1</v>
      </c>
      <c r="C13" s="119" t="str">
        <f t="shared" si="0"/>
        <v>47002_1</v>
      </c>
      <c r="D13" s="120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18">
        <v>12</v>
      </c>
      <c r="F13" s="118" t="s">
        <v>273</v>
      </c>
      <c r="G13" s="121">
        <v>609</v>
      </c>
      <c r="H13" s="118">
        <v>1</v>
      </c>
      <c r="I13" s="118">
        <v>1</v>
      </c>
      <c r="J13" s="118">
        <v>1</v>
      </c>
      <c r="K13" s="118">
        <v>1</v>
      </c>
      <c r="L13" s="118">
        <v>0</v>
      </c>
      <c r="M13" s="118">
        <v>0</v>
      </c>
      <c r="N13" s="118">
        <v>0</v>
      </c>
      <c r="O13" s="118">
        <v>0</v>
      </c>
      <c r="P13" s="118">
        <v>1</v>
      </c>
      <c r="Q13" s="118" t="s">
        <v>168</v>
      </c>
      <c r="R13" s="122" t="s">
        <v>169</v>
      </c>
    </row>
    <row r="14" spans="1:18" x14ac:dyDescent="0.15">
      <c r="A14" s="123">
        <v>47002</v>
      </c>
      <c r="B14" s="123">
        <v>2</v>
      </c>
      <c r="C14" s="124" t="str">
        <f>A14&amp; "_"&amp;B14</f>
        <v>47002_2</v>
      </c>
      <c r="D14" s="125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23">
        <v>1</v>
      </c>
      <c r="F14" s="110" t="s">
        <v>475</v>
      </c>
      <c r="G14" s="126">
        <v>700</v>
      </c>
      <c r="H14" s="123">
        <v>1</v>
      </c>
      <c r="I14" s="123">
        <v>76</v>
      </c>
      <c r="J14" s="123">
        <v>1</v>
      </c>
      <c r="K14" s="123">
        <v>1</v>
      </c>
      <c r="L14" s="123">
        <v>0</v>
      </c>
      <c r="M14" s="123">
        <v>0</v>
      </c>
      <c r="N14" s="123">
        <v>0</v>
      </c>
      <c r="O14" s="123">
        <v>0</v>
      </c>
      <c r="P14" s="123">
        <v>1</v>
      </c>
      <c r="Q14" s="123" t="s">
        <v>168</v>
      </c>
      <c r="R14" s="127" t="s">
        <v>169</v>
      </c>
    </row>
    <row r="15" spans="1:18" x14ac:dyDescent="0.15">
      <c r="A15" s="57">
        <v>47002</v>
      </c>
      <c r="B15" s="57">
        <v>2</v>
      </c>
      <c r="C15" s="71" t="str">
        <f t="shared" ref="C15:C18" si="2">A15&amp; "_"&amp;B15</f>
        <v>47002_2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2</v>
      </c>
      <c r="F15" s="57" t="s">
        <v>273</v>
      </c>
      <c r="G15" s="81">
        <v>607</v>
      </c>
      <c r="H15" s="57">
        <v>1</v>
      </c>
      <c r="I15" s="57">
        <v>7</v>
      </c>
      <c r="J15" s="57">
        <v>1</v>
      </c>
      <c r="K15" s="57">
        <v>1</v>
      </c>
      <c r="L15" s="57">
        <v>0</v>
      </c>
      <c r="M15" s="57">
        <v>0</v>
      </c>
      <c r="N15" s="57">
        <v>0</v>
      </c>
      <c r="O15" s="57">
        <v>0</v>
      </c>
      <c r="P15" s="57">
        <v>1</v>
      </c>
      <c r="Q15" s="57" t="s">
        <v>168</v>
      </c>
      <c r="R15" s="115" t="s">
        <v>169</v>
      </c>
    </row>
    <row r="16" spans="1:18" x14ac:dyDescent="0.15">
      <c r="A16" s="57">
        <v>47002</v>
      </c>
      <c r="B16" s="57">
        <v>2</v>
      </c>
      <c r="C16" s="71" t="str">
        <f t="shared" si="2"/>
        <v>47002_2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6</v>
      </c>
      <c r="F16" s="57" t="s">
        <v>273</v>
      </c>
      <c r="G16" s="81">
        <v>608</v>
      </c>
      <c r="H16" s="57">
        <v>1</v>
      </c>
      <c r="I16" s="57">
        <v>7</v>
      </c>
      <c r="J16" s="57">
        <v>1</v>
      </c>
      <c r="K16" s="57">
        <v>1</v>
      </c>
      <c r="L16" s="57">
        <v>0</v>
      </c>
      <c r="M16" s="57">
        <v>0</v>
      </c>
      <c r="N16" s="57">
        <v>0</v>
      </c>
      <c r="O16" s="57">
        <v>0</v>
      </c>
      <c r="P16" s="57">
        <v>1</v>
      </c>
      <c r="Q16" s="57" t="s">
        <v>168</v>
      </c>
      <c r="R16" s="115" t="s">
        <v>169</v>
      </c>
    </row>
    <row r="17" spans="1:18" x14ac:dyDescent="0.15">
      <c r="A17" s="57">
        <v>47002</v>
      </c>
      <c r="B17" s="57">
        <v>2</v>
      </c>
      <c r="C17" s="71" t="str">
        <f t="shared" si="2"/>
        <v>47002_2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7</v>
      </c>
      <c r="F17" s="57" t="s">
        <v>273</v>
      </c>
      <c r="G17" s="81">
        <v>609</v>
      </c>
      <c r="H17" s="57">
        <v>1</v>
      </c>
      <c r="I17" s="57">
        <v>7</v>
      </c>
      <c r="J17" s="57">
        <v>1</v>
      </c>
      <c r="K17" s="57">
        <v>1</v>
      </c>
      <c r="L17" s="57">
        <v>0</v>
      </c>
      <c r="M17" s="57">
        <v>0</v>
      </c>
      <c r="N17" s="57">
        <v>0</v>
      </c>
      <c r="O17" s="57">
        <v>0</v>
      </c>
      <c r="P17" s="57">
        <v>1</v>
      </c>
      <c r="Q17" s="57" t="s">
        <v>168</v>
      </c>
      <c r="R17" s="115" t="s">
        <v>169</v>
      </c>
    </row>
    <row r="18" spans="1:18" ht="16" thickBot="1" x14ac:dyDescent="0.2">
      <c r="A18" s="117">
        <v>47002</v>
      </c>
      <c r="B18" s="117">
        <v>2</v>
      </c>
      <c r="C18" s="128" t="str">
        <f t="shared" si="2"/>
        <v>47002_2</v>
      </c>
      <c r="D18" s="129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17">
        <v>8</v>
      </c>
      <c r="F18" s="117" t="s">
        <v>273</v>
      </c>
      <c r="G18" s="130">
        <v>125</v>
      </c>
      <c r="H18" s="117">
        <v>1</v>
      </c>
      <c r="I18" s="117">
        <v>3</v>
      </c>
      <c r="J18" s="117">
        <v>1</v>
      </c>
      <c r="K18" s="117">
        <v>1</v>
      </c>
      <c r="L18" s="117">
        <v>0</v>
      </c>
      <c r="M18" s="117">
        <v>0</v>
      </c>
      <c r="N18" s="117">
        <v>0</v>
      </c>
      <c r="O18" s="117">
        <v>0</v>
      </c>
      <c r="P18" s="117">
        <v>1</v>
      </c>
      <c r="Q18" s="117" t="s">
        <v>168</v>
      </c>
      <c r="R18" s="131" t="s">
        <v>169</v>
      </c>
    </row>
  </sheetData>
  <phoneticPr fontId="6"/>
  <dataValidations count="1">
    <dataValidation type="list" allowBlank="1" showInputMessage="1" showErrorMessage="1" sqref="F2 F14">
      <formula1>"bit,link,polygon,unit,item"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H32" sqref="H3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187</v>
      </c>
      <c r="B1" s="73" t="s">
        <v>188</v>
      </c>
      <c r="C1" s="77" t="s">
        <v>189</v>
      </c>
      <c r="D1" s="77" t="s">
        <v>33</v>
      </c>
      <c r="E1" s="73" t="s">
        <v>190</v>
      </c>
      <c r="F1" s="77" t="s">
        <v>191</v>
      </c>
      <c r="G1" s="77" t="s">
        <v>33</v>
      </c>
      <c r="H1" s="73" t="s">
        <v>192</v>
      </c>
      <c r="I1" s="91" t="s">
        <v>194</v>
      </c>
      <c r="J1" s="79" t="s">
        <v>125</v>
      </c>
      <c r="K1" s="78" t="s">
        <v>185</v>
      </c>
      <c r="L1" s="92" t="s">
        <v>184</v>
      </c>
      <c r="M1" s="80" t="s">
        <v>195</v>
      </c>
    </row>
  </sheetData>
  <phoneticPr fontId="6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37"/>
  <sheetViews>
    <sheetView showGridLines="0" topLeftCell="H1" workbookViewId="0">
      <pane ySplit="1" topLeftCell="A3" activePane="bottomLeft" state="frozen"/>
      <selection pane="bottomLeft" activeCell="P9" sqref="P9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6" t="s">
        <v>187</v>
      </c>
      <c r="B1" s="73" t="s">
        <v>149</v>
      </c>
      <c r="C1" s="77" t="s">
        <v>189</v>
      </c>
      <c r="D1" s="77" t="s">
        <v>33</v>
      </c>
      <c r="E1" s="73" t="s">
        <v>190</v>
      </c>
      <c r="F1" s="77" t="s">
        <v>18</v>
      </c>
      <c r="G1" s="77" t="s">
        <v>33</v>
      </c>
      <c r="H1" s="73" t="s">
        <v>192</v>
      </c>
      <c r="I1" s="89" t="s">
        <v>193</v>
      </c>
      <c r="J1" s="91" t="s">
        <v>194</v>
      </c>
      <c r="K1" s="79" t="s">
        <v>125</v>
      </c>
      <c r="L1" s="78" t="s">
        <v>185</v>
      </c>
      <c r="M1" s="92" t="s">
        <v>184</v>
      </c>
      <c r="N1" s="80" t="s">
        <v>195</v>
      </c>
    </row>
    <row r="2" spans="1:15" ht="56" x14ac:dyDescent="0.15">
      <c r="A2" s="81" t="s">
        <v>196</v>
      </c>
      <c r="B2" s="82">
        <v>47002</v>
      </c>
      <c r="C2" s="83" t="str">
        <f ca="1">VLOOKUP($B2,OFFSET([2]quests!$A$1,0,0,COUNTA([2]quests!$A:$A),MATCH(C$1,[2]quests!$1:$1,0)-MATCH($B$1,[2]quests!$1:$1,0)+1),MATCH(C$1,[2]quests!$1:$1,0)-MATCH($B$1,[2]quests!$1:$1,0)+1,FALSE)</f>
        <v>夏☆襲来！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【超絶級】夏☆襲来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5">
        <v>1</v>
      </c>
      <c r="I2" s="90">
        <f t="shared" ref="I2:I37" si="0">ROW()-1</f>
        <v>1</v>
      </c>
      <c r="J2" s="86" t="str">
        <f t="shared" ref="J2:J29" si="1">B2&amp;TEXT(I2,"00")</f>
        <v>4700201</v>
      </c>
      <c r="K2" s="84" t="s">
        <v>197</v>
      </c>
      <c r="L2" s="87" t="s">
        <v>198</v>
      </c>
      <c r="M2" s="148" t="s">
        <v>281</v>
      </c>
      <c r="N2" s="57" t="s">
        <v>199</v>
      </c>
      <c r="O2">
        <f>LEN(M2)</f>
        <v>53</v>
      </c>
    </row>
    <row r="3" spans="1:15" ht="56" x14ac:dyDescent="0.15">
      <c r="A3" s="81" t="s">
        <v>196</v>
      </c>
      <c r="B3" s="82">
        <v>47002</v>
      </c>
      <c r="C3" s="83" t="str">
        <f ca="1">VLOOKUP($B3,OFFSET([2]quests!$A$1,0,0,COUNTA([2]quests!$A:$A),MATCH(C$1,[2]quests!$1:$1,0)-MATCH($B$1,[2]quests!$1:$1,0)+1),MATCH(C$1,[2]quests!$1:$1,0)-MATCH($B$1,[2]quests!$1:$1,0)+1,FALSE)</f>
        <v>夏☆襲来！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【超絶級】夏☆襲来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5">
        <v>2</v>
      </c>
      <c r="I3" s="90">
        <f t="shared" si="0"/>
        <v>2</v>
      </c>
      <c r="J3" s="86" t="str">
        <f t="shared" si="1"/>
        <v>4700202</v>
      </c>
      <c r="K3" s="84" t="s">
        <v>197</v>
      </c>
      <c r="L3" s="87" t="s">
        <v>198</v>
      </c>
      <c r="M3" s="148" t="s">
        <v>282</v>
      </c>
      <c r="N3" s="57" t="s">
        <v>199</v>
      </c>
      <c r="O3">
        <f t="shared" ref="O3:O19" si="2">LEN(M3)</f>
        <v>58</v>
      </c>
    </row>
    <row r="4" spans="1:15" ht="56" x14ac:dyDescent="0.15">
      <c r="A4" s="81" t="s">
        <v>196</v>
      </c>
      <c r="B4" s="82">
        <v>47002</v>
      </c>
      <c r="C4" s="83" t="str">
        <f ca="1">VLOOKUP($B4,OFFSET([2]quests!$A$1,0,0,COUNTA([2]quests!$A:$A),MATCH(C$1,[2]quests!$1:$1,0)-MATCH($B$1,[2]quests!$1:$1,0)+1),MATCH(C$1,[2]quests!$1:$1,0)-MATCH($B$1,[2]quests!$1:$1,0)+1,FALSE)</f>
        <v>夏☆襲来！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【超絶級】夏☆襲来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5">
        <v>3</v>
      </c>
      <c r="I4" s="90">
        <f t="shared" si="0"/>
        <v>3</v>
      </c>
      <c r="J4" s="86" t="str">
        <f t="shared" si="1"/>
        <v>4700203</v>
      </c>
      <c r="K4" s="84" t="s">
        <v>197</v>
      </c>
      <c r="L4" s="87" t="s">
        <v>198</v>
      </c>
      <c r="M4" s="148" t="s">
        <v>283</v>
      </c>
      <c r="N4" s="57" t="s">
        <v>199</v>
      </c>
      <c r="O4">
        <f t="shared" si="2"/>
        <v>54</v>
      </c>
    </row>
    <row r="5" spans="1:15" ht="56" x14ac:dyDescent="0.15">
      <c r="A5" s="81" t="s">
        <v>196</v>
      </c>
      <c r="B5" s="82">
        <v>47002</v>
      </c>
      <c r="C5" s="83" t="str">
        <f ca="1">VLOOKUP($B5,OFFSET([2]quests!$A$1,0,0,COUNTA([2]quests!$A:$A),MATCH(C$1,[2]quests!$1:$1,0)-MATCH($B$1,[2]quests!$1:$1,0)+1),MATCH(C$1,[2]quests!$1:$1,0)-MATCH($B$1,[2]quests!$1:$1,0)+1,FALSE)</f>
        <v>夏☆襲来！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【超絶級】夏☆襲来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5">
        <v>4</v>
      </c>
      <c r="I5" s="90">
        <f t="shared" si="0"/>
        <v>4</v>
      </c>
      <c r="J5" s="86" t="str">
        <f t="shared" si="1"/>
        <v>4700204</v>
      </c>
      <c r="K5" s="84" t="s">
        <v>197</v>
      </c>
      <c r="L5" s="87" t="s">
        <v>198</v>
      </c>
      <c r="M5" s="148" t="s">
        <v>284</v>
      </c>
      <c r="N5" s="57" t="s">
        <v>199</v>
      </c>
      <c r="O5">
        <f t="shared" si="2"/>
        <v>57</v>
      </c>
    </row>
    <row r="6" spans="1:15" ht="56" x14ac:dyDescent="0.15">
      <c r="A6" s="81" t="s">
        <v>196</v>
      </c>
      <c r="B6" s="82">
        <v>47002</v>
      </c>
      <c r="C6" s="83" t="str">
        <f ca="1">VLOOKUP($B6,OFFSET([2]quests!$A$1,0,0,COUNTA([2]quests!$A:$A),MATCH(C$1,[2]quests!$1:$1,0)-MATCH($B$1,[2]quests!$1:$1,0)+1),MATCH(C$1,[2]quests!$1:$1,0)-MATCH($B$1,[2]quests!$1:$1,0)+1,FALSE)</f>
        <v>夏☆襲来！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【超絶級】夏☆襲来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5">
        <v>5</v>
      </c>
      <c r="I6" s="90">
        <f t="shared" si="0"/>
        <v>5</v>
      </c>
      <c r="J6" s="86" t="str">
        <f t="shared" si="1"/>
        <v>4700205</v>
      </c>
      <c r="K6" s="84" t="s">
        <v>197</v>
      </c>
      <c r="L6" s="87" t="s">
        <v>198</v>
      </c>
      <c r="M6" s="148" t="s">
        <v>335</v>
      </c>
      <c r="N6" s="57" t="s">
        <v>199</v>
      </c>
      <c r="O6">
        <f t="shared" si="2"/>
        <v>48</v>
      </c>
    </row>
    <row r="7" spans="1:15" ht="56" x14ac:dyDescent="0.15">
      <c r="A7" s="81" t="s">
        <v>196</v>
      </c>
      <c r="B7" s="82">
        <v>47002</v>
      </c>
      <c r="C7" s="83" t="str">
        <f ca="1">VLOOKUP($B7,OFFSET([2]quests!$A$1,0,0,COUNTA([2]quests!$A:$A),MATCH(C$1,[2]quests!$1:$1,0)-MATCH($B$1,[2]quests!$1:$1,0)+1),MATCH(C$1,[2]quests!$1:$1,0)-MATCH($B$1,[2]quests!$1:$1,0)+1,FALSE)</f>
        <v>夏☆襲来！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【超絶級】夏☆襲来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85">
        <v>5</v>
      </c>
      <c r="I7" s="90">
        <f t="shared" si="0"/>
        <v>6</v>
      </c>
      <c r="J7" s="86" t="str">
        <f t="shared" si="1"/>
        <v>4700206</v>
      </c>
      <c r="K7" s="84" t="s">
        <v>197</v>
      </c>
      <c r="L7" s="87" t="s">
        <v>198</v>
      </c>
      <c r="M7" s="148" t="s">
        <v>334</v>
      </c>
      <c r="N7" s="57" t="s">
        <v>199</v>
      </c>
      <c r="O7">
        <f t="shared" si="2"/>
        <v>53</v>
      </c>
    </row>
    <row r="8" spans="1:15" ht="28" x14ac:dyDescent="0.15">
      <c r="A8" s="81" t="s">
        <v>196</v>
      </c>
      <c r="B8" s="82">
        <v>47002</v>
      </c>
      <c r="C8" s="83" t="str">
        <f ca="1">VLOOKUP($B8,OFFSET([2]quests!$A$1,0,0,COUNTA([2]quests!$A:$A),MATCH(C$1,[2]quests!$1:$1,0)-MATCH($B$1,[2]quests!$1:$1,0)+1),MATCH(C$1,[2]quests!$1:$1,0)-MATCH($B$1,[2]quests!$1:$1,0)+1,FALSE)</f>
        <v>夏☆襲来！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【超絶級】夏☆襲来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85">
        <v>5</v>
      </c>
      <c r="I8" s="90">
        <f t="shared" si="0"/>
        <v>7</v>
      </c>
      <c r="J8" s="86" t="str">
        <f t="shared" si="1"/>
        <v>4700207</v>
      </c>
      <c r="K8" s="84" t="s">
        <v>197</v>
      </c>
      <c r="L8" s="87" t="s">
        <v>198</v>
      </c>
      <c r="M8" s="148" t="s">
        <v>454</v>
      </c>
      <c r="N8" s="57" t="s">
        <v>199</v>
      </c>
      <c r="O8">
        <f t="shared" si="2"/>
        <v>38</v>
      </c>
    </row>
    <row r="9" spans="1:15" ht="56" x14ac:dyDescent="0.15">
      <c r="A9" s="81" t="s">
        <v>287</v>
      </c>
      <c r="B9" s="82">
        <v>47002</v>
      </c>
      <c r="C9" s="83" t="str">
        <f ca="1">VLOOKUP($B9,OFFSET([2]quests!$A$1,0,0,COUNTA([2]quests!$A:$A),MATCH(C$1,[2]quests!$1:$1,0)-MATCH($B$1,[2]quests!$1:$1,0)+1),MATCH(C$1,[2]quests!$1:$1,0)-MATCH($B$1,[2]quests!$1:$1,0)+1,FALSE)</f>
        <v>夏☆襲来！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84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【超絶級】夏☆襲来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85">
        <v>0</v>
      </c>
      <c r="I9" s="90">
        <f t="shared" si="0"/>
        <v>8</v>
      </c>
      <c r="J9" s="86" t="str">
        <f>B9&amp;TEXT(I9,"00")</f>
        <v>4700208</v>
      </c>
      <c r="K9" s="84" t="s">
        <v>126</v>
      </c>
      <c r="L9" s="87" t="s">
        <v>413</v>
      </c>
      <c r="M9" s="148" t="s">
        <v>412</v>
      </c>
      <c r="N9" s="57" t="s">
        <v>199</v>
      </c>
      <c r="O9">
        <f>LEN(M9)</f>
        <v>57</v>
      </c>
    </row>
    <row r="10" spans="1:15" ht="56" x14ac:dyDescent="0.15">
      <c r="A10" s="81" t="s">
        <v>287</v>
      </c>
      <c r="B10" s="82">
        <v>47002</v>
      </c>
      <c r="C10" s="83" t="str">
        <f ca="1">VLOOKUP($B10,OFFSET([2]quests!$A$1,0,0,COUNTA([2]quests!$A:$A),MATCH(C$1,[2]quests!$1:$1,0)-MATCH($B$1,[2]quests!$1:$1,0)+1),MATCH(C$1,[2]quests!$1:$1,0)-MATCH($B$1,[2]quests!$1:$1,0)+1,FALSE)</f>
        <v>夏☆襲来！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84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【超絶級】夏☆襲来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季節イベント</v>
      </c>
      <c r="H10" s="85">
        <v>0</v>
      </c>
      <c r="I10" s="90">
        <f t="shared" si="0"/>
        <v>9</v>
      </c>
      <c r="J10" s="86" t="str">
        <f t="shared" ref="J10:J12" si="3">B10&amp;TEXT(I10,"00")</f>
        <v>4700209</v>
      </c>
      <c r="K10" s="84" t="s">
        <v>126</v>
      </c>
      <c r="L10" s="87" t="s">
        <v>394</v>
      </c>
      <c r="M10" s="148" t="s">
        <v>393</v>
      </c>
      <c r="N10" s="57" t="s">
        <v>199</v>
      </c>
      <c r="O10">
        <f t="shared" si="2"/>
        <v>58</v>
      </c>
    </row>
    <row r="11" spans="1:15" ht="42" x14ac:dyDescent="0.15">
      <c r="A11" s="81" t="s">
        <v>287</v>
      </c>
      <c r="B11" s="82">
        <v>47002</v>
      </c>
      <c r="C11" s="83" t="str">
        <f ca="1">VLOOKUP($B11,OFFSET([2]quests!$A$1,0,0,COUNTA([2]quests!$A:$A),MATCH(C$1,[2]quests!$1:$1,0)-MATCH($B$1,[2]quests!$1:$1,0)+1),MATCH(C$1,[2]quests!$1:$1,0)-MATCH($B$1,[2]quests!$1:$1,0)+1,FALSE)</f>
        <v>夏☆襲来！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84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【超絶級】夏☆襲来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季節イベント</v>
      </c>
      <c r="H11" s="85">
        <v>0</v>
      </c>
      <c r="I11" s="90">
        <f t="shared" si="0"/>
        <v>10</v>
      </c>
      <c r="J11" s="86" t="str">
        <f t="shared" si="3"/>
        <v>4700210</v>
      </c>
      <c r="K11" s="84" t="s">
        <v>126</v>
      </c>
      <c r="L11" s="87" t="s">
        <v>320</v>
      </c>
      <c r="M11" s="148" t="s">
        <v>319</v>
      </c>
      <c r="N11" s="57" t="s">
        <v>199</v>
      </c>
      <c r="O11">
        <f t="shared" si="2"/>
        <v>58</v>
      </c>
    </row>
    <row r="12" spans="1:15" ht="28" x14ac:dyDescent="0.15">
      <c r="A12" s="81" t="s">
        <v>287</v>
      </c>
      <c r="B12" s="82">
        <v>47002</v>
      </c>
      <c r="C12" s="83" t="str">
        <f ca="1">VLOOKUP($B12,OFFSET([2]quests!$A$1,0,0,COUNTA([2]quests!$A:$A),MATCH(C$1,[2]quests!$1:$1,0)-MATCH($B$1,[2]quests!$1:$1,0)+1),MATCH(C$1,[2]quests!$1:$1,0)-MATCH($B$1,[2]quests!$1:$1,0)+1,FALSE)</f>
        <v>夏☆襲来！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84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【超絶級】夏☆襲来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季節イベント</v>
      </c>
      <c r="H12" s="85">
        <v>0</v>
      </c>
      <c r="I12" s="90">
        <f t="shared" si="0"/>
        <v>11</v>
      </c>
      <c r="J12" s="86" t="str">
        <f t="shared" si="3"/>
        <v>4700211</v>
      </c>
      <c r="K12" s="84" t="s">
        <v>126</v>
      </c>
      <c r="L12" s="87" t="s">
        <v>395</v>
      </c>
      <c r="M12" s="148" t="s">
        <v>396</v>
      </c>
      <c r="N12" s="57" t="s">
        <v>199</v>
      </c>
      <c r="O12">
        <f t="shared" si="2"/>
        <v>37</v>
      </c>
    </row>
    <row r="13" spans="1:15" ht="28" x14ac:dyDescent="0.15">
      <c r="A13" s="81" t="s">
        <v>287</v>
      </c>
      <c r="B13" s="82">
        <v>47002</v>
      </c>
      <c r="C13" s="83" t="str">
        <f ca="1">VLOOKUP($B13,OFFSET([2]quests!$A$1,0,0,COUNTA([2]quests!$A:$A),MATCH(C$1,[2]quests!$1:$1,0)-MATCH($B$1,[2]quests!$1:$1,0)+1),MATCH(C$1,[2]quests!$1:$1,0)-MATCH($B$1,[2]quests!$1:$1,0)+1,FALSE)</f>
        <v>夏☆襲来！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84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【超絶級】夏☆襲来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季節イベント</v>
      </c>
      <c r="H13" s="85">
        <v>0</v>
      </c>
      <c r="I13" s="90">
        <f t="shared" si="0"/>
        <v>12</v>
      </c>
      <c r="J13" s="86" t="str">
        <f>B13&amp;TEXT(I13,"00")</f>
        <v>4700212</v>
      </c>
      <c r="K13" s="84" t="s">
        <v>126</v>
      </c>
      <c r="L13" s="87" t="s">
        <v>398</v>
      </c>
      <c r="M13" s="148" t="s">
        <v>397</v>
      </c>
      <c r="N13" s="57" t="s">
        <v>199</v>
      </c>
      <c r="O13">
        <f t="shared" si="2"/>
        <v>33</v>
      </c>
    </row>
    <row r="14" spans="1:15" ht="28" x14ac:dyDescent="0.15">
      <c r="A14" s="81" t="s">
        <v>287</v>
      </c>
      <c r="B14" s="82">
        <v>47002</v>
      </c>
      <c r="C14" s="83" t="str">
        <f ca="1">VLOOKUP($B14,OFFSET([2]quests!$A$1,0,0,COUNTA([2]quests!$A:$A),MATCH(C$1,[2]quests!$1:$1,0)-MATCH($B$1,[2]quests!$1:$1,0)+1),MATCH(C$1,[2]quests!$1:$1,0)-MATCH($B$1,[2]quests!$1:$1,0)+1,FALSE)</f>
        <v>夏☆襲来！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84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【超絶級】夏☆襲来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季節イベント</v>
      </c>
      <c r="H14" s="85">
        <v>0</v>
      </c>
      <c r="I14" s="90">
        <f t="shared" si="0"/>
        <v>13</v>
      </c>
      <c r="J14" s="86" t="str">
        <f>B14&amp;TEXT(I14,"00")</f>
        <v>4700213</v>
      </c>
      <c r="K14" s="84" t="s">
        <v>126</v>
      </c>
      <c r="L14" s="87" t="s">
        <v>400</v>
      </c>
      <c r="M14" s="148" t="s">
        <v>399</v>
      </c>
      <c r="N14" s="57" t="s">
        <v>199</v>
      </c>
      <c r="O14">
        <f t="shared" si="2"/>
        <v>32</v>
      </c>
    </row>
    <row r="15" spans="1:15" ht="28" x14ac:dyDescent="0.15">
      <c r="A15" s="81" t="s">
        <v>287</v>
      </c>
      <c r="B15" s="82">
        <v>47002</v>
      </c>
      <c r="C15" s="83" t="str">
        <f ca="1">VLOOKUP($B15,OFFSET([2]quests!$A$1,0,0,COUNTA([2]quests!$A:$A),MATCH(C$1,[2]quests!$1:$1,0)-MATCH($B$1,[2]quests!$1:$1,0)+1),MATCH(C$1,[2]quests!$1:$1,0)-MATCH($B$1,[2]quests!$1:$1,0)+1,FALSE)</f>
        <v>夏☆襲来！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84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【超絶級】夏☆襲来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季節イベント</v>
      </c>
      <c r="H15" s="85">
        <v>0</v>
      </c>
      <c r="I15" s="90">
        <f t="shared" si="0"/>
        <v>14</v>
      </c>
      <c r="J15" s="86" t="str">
        <f t="shared" ref="J15:J16" si="4">B15&amp;TEXT(I15,"00")</f>
        <v>4700214</v>
      </c>
      <c r="K15" s="84" t="s">
        <v>126</v>
      </c>
      <c r="L15" s="87" t="s">
        <v>402</v>
      </c>
      <c r="M15" s="148" t="s">
        <v>401</v>
      </c>
      <c r="N15" s="57" t="s">
        <v>199</v>
      </c>
      <c r="O15">
        <f t="shared" si="2"/>
        <v>38</v>
      </c>
    </row>
    <row r="16" spans="1:15" ht="42" x14ac:dyDescent="0.15">
      <c r="A16" s="81" t="s">
        <v>287</v>
      </c>
      <c r="B16" s="82">
        <v>47002</v>
      </c>
      <c r="C16" s="83" t="str">
        <f ca="1">VLOOKUP($B16,OFFSET([2]quests!$A$1,0,0,COUNTA([2]quests!$A:$A),MATCH(C$1,[2]quests!$1:$1,0)-MATCH($B$1,[2]quests!$1:$1,0)+1),MATCH(C$1,[2]quests!$1:$1,0)-MATCH($B$1,[2]quests!$1:$1,0)+1,FALSE)</f>
        <v>夏☆襲来！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84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【超絶級】夏☆襲来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季節イベント</v>
      </c>
      <c r="H16" s="85">
        <v>0</v>
      </c>
      <c r="I16" s="90">
        <f t="shared" si="0"/>
        <v>15</v>
      </c>
      <c r="J16" s="86" t="str">
        <f t="shared" si="4"/>
        <v>4700215</v>
      </c>
      <c r="K16" s="84" t="s">
        <v>126</v>
      </c>
      <c r="L16" s="87" t="s">
        <v>410</v>
      </c>
      <c r="M16" s="148" t="s">
        <v>409</v>
      </c>
      <c r="N16" s="57" t="s">
        <v>199</v>
      </c>
      <c r="O16">
        <f t="shared" si="2"/>
        <v>51</v>
      </c>
    </row>
    <row r="17" spans="1:15" ht="28" x14ac:dyDescent="0.15">
      <c r="A17" s="81" t="s">
        <v>287</v>
      </c>
      <c r="B17" s="82">
        <v>47002</v>
      </c>
      <c r="C17" s="83" t="str">
        <f ca="1">VLOOKUP($B17,OFFSET([2]quests!$A$1,0,0,COUNTA([2]quests!$A:$A),MATCH(C$1,[2]quests!$1:$1,0)-MATCH($B$1,[2]quests!$1:$1,0)+1),MATCH(C$1,[2]quests!$1:$1,0)-MATCH($B$1,[2]quests!$1:$1,0)+1,FALSE)</f>
        <v>夏☆襲来！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84">
        <v>1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【超絶級】夏☆襲来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季節イベント</v>
      </c>
      <c r="H17" s="85">
        <v>0</v>
      </c>
      <c r="I17" s="90">
        <f t="shared" si="0"/>
        <v>16</v>
      </c>
      <c r="J17" s="86" t="str">
        <f>B17&amp;TEXT(I17,"00")</f>
        <v>4700216</v>
      </c>
      <c r="K17" s="84" t="s">
        <v>126</v>
      </c>
      <c r="L17" s="87" t="s">
        <v>404</v>
      </c>
      <c r="M17" s="148" t="s">
        <v>403</v>
      </c>
      <c r="N17" s="57" t="s">
        <v>199</v>
      </c>
      <c r="O17">
        <f t="shared" si="2"/>
        <v>33</v>
      </c>
    </row>
    <row r="18" spans="1:15" ht="42" x14ac:dyDescent="0.15">
      <c r="A18" s="81" t="s">
        <v>287</v>
      </c>
      <c r="B18" s="82">
        <v>47002</v>
      </c>
      <c r="C18" s="83" t="str">
        <f ca="1">VLOOKUP($B18,OFFSET([2]quests!$A$1,0,0,COUNTA([2]quests!$A:$A),MATCH(C$1,[2]quests!$1:$1,0)-MATCH($B$1,[2]quests!$1:$1,0)+1),MATCH(C$1,[2]quests!$1:$1,0)-MATCH($B$1,[2]quests!$1:$1,0)+1,FALSE)</f>
        <v>夏☆襲来！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季節イベント</v>
      </c>
      <c r="E18" s="84">
        <v>1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【超絶級】夏☆襲来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季節イベント</v>
      </c>
      <c r="H18" s="85">
        <v>0</v>
      </c>
      <c r="I18" s="90">
        <f t="shared" si="0"/>
        <v>17</v>
      </c>
      <c r="J18" s="86" t="str">
        <f>B18&amp;TEXT(I18,"00")</f>
        <v>4700217</v>
      </c>
      <c r="K18" s="84" t="s">
        <v>126</v>
      </c>
      <c r="L18" s="87" t="s">
        <v>406</v>
      </c>
      <c r="M18" s="148" t="s">
        <v>405</v>
      </c>
      <c r="N18" s="57" t="s">
        <v>199</v>
      </c>
      <c r="O18">
        <f t="shared" si="2"/>
        <v>40</v>
      </c>
    </row>
    <row r="19" spans="1:15" ht="42" x14ac:dyDescent="0.15">
      <c r="A19" s="81" t="s">
        <v>287</v>
      </c>
      <c r="B19" s="82">
        <v>47002</v>
      </c>
      <c r="C19" s="83" t="str">
        <f ca="1">VLOOKUP($B19,OFFSET([2]quests!$A$1,0,0,COUNTA([2]quests!$A:$A),MATCH(C$1,[2]quests!$1:$1,0)-MATCH($B$1,[2]quests!$1:$1,0)+1),MATCH(C$1,[2]quests!$1:$1,0)-MATCH($B$1,[2]quests!$1:$1,0)+1,FALSE)</f>
        <v>夏☆襲来！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季節イベント</v>
      </c>
      <c r="E19" s="84">
        <v>1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【超絶級】夏☆襲来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季節イベント</v>
      </c>
      <c r="H19" s="85">
        <v>0</v>
      </c>
      <c r="I19" s="90">
        <f t="shared" si="0"/>
        <v>18</v>
      </c>
      <c r="J19" s="86" t="str">
        <f>B19&amp;TEXT(I19,"00")</f>
        <v>4700218</v>
      </c>
      <c r="K19" s="84" t="s">
        <v>126</v>
      </c>
      <c r="L19" s="87" t="s">
        <v>408</v>
      </c>
      <c r="M19" s="148" t="s">
        <v>407</v>
      </c>
      <c r="N19" s="57" t="s">
        <v>199</v>
      </c>
      <c r="O19">
        <f t="shared" si="2"/>
        <v>50</v>
      </c>
    </row>
    <row r="20" spans="1:15" ht="56" x14ac:dyDescent="0.15">
      <c r="A20" s="81" t="s">
        <v>196</v>
      </c>
      <c r="B20" s="82">
        <v>47002</v>
      </c>
      <c r="C20" s="83" t="str">
        <f ca="1">VLOOKUP($B20,OFFSET([2]quests!$A$1,0,0,COUNTA([2]quests!$A:$A),MATCH(C$1,[2]quests!$1:$1,0)-MATCH($B$1,[2]quests!$1:$1,0)+1),MATCH(C$1,[2]quests!$1:$1,0)-MATCH($B$1,[2]quests!$1:$1,0)+1,FALSE)</f>
        <v>夏☆襲来！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季節イベント</v>
      </c>
      <c r="E20" s="84">
        <v>2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【ウィザード級】夏☆襲来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季節イベント</v>
      </c>
      <c r="H20" s="85">
        <v>1</v>
      </c>
      <c r="I20" s="90">
        <f t="shared" si="0"/>
        <v>19</v>
      </c>
      <c r="J20" s="86" t="str">
        <f t="shared" si="1"/>
        <v>4700219</v>
      </c>
      <c r="K20" s="84" t="s">
        <v>197</v>
      </c>
      <c r="L20" s="87" t="s">
        <v>198</v>
      </c>
      <c r="M20" s="148" t="s">
        <v>281</v>
      </c>
      <c r="N20" s="57" t="s">
        <v>199</v>
      </c>
      <c r="O20">
        <f>LEN(M20)</f>
        <v>53</v>
      </c>
    </row>
    <row r="21" spans="1:15" ht="56" x14ac:dyDescent="0.15">
      <c r="A21" s="81" t="s">
        <v>196</v>
      </c>
      <c r="B21" s="82">
        <v>47002</v>
      </c>
      <c r="C21" s="83" t="str">
        <f ca="1">VLOOKUP($B21,OFFSET([2]quests!$A$1,0,0,COUNTA([2]quests!$A:$A),MATCH(C$1,[2]quests!$1:$1,0)-MATCH($B$1,[2]quests!$1:$1,0)+1),MATCH(C$1,[2]quests!$1:$1,0)-MATCH($B$1,[2]quests!$1:$1,0)+1,FALSE)</f>
        <v>夏☆襲来！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季節イベント</v>
      </c>
      <c r="E21" s="84">
        <v>2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【ウィザード級】夏☆襲来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季節イベント</v>
      </c>
      <c r="H21" s="85">
        <v>2</v>
      </c>
      <c r="I21" s="90">
        <f t="shared" si="0"/>
        <v>20</v>
      </c>
      <c r="J21" s="86" t="str">
        <f t="shared" si="1"/>
        <v>4700220</v>
      </c>
      <c r="K21" s="84" t="s">
        <v>197</v>
      </c>
      <c r="L21" s="87" t="s">
        <v>198</v>
      </c>
      <c r="M21" s="148" t="s">
        <v>282</v>
      </c>
      <c r="N21" s="57" t="s">
        <v>199</v>
      </c>
      <c r="O21">
        <f t="shared" ref="O21:O26" si="5">LEN(M21)</f>
        <v>58</v>
      </c>
    </row>
    <row r="22" spans="1:15" ht="56" x14ac:dyDescent="0.15">
      <c r="A22" s="81" t="s">
        <v>196</v>
      </c>
      <c r="B22" s="82">
        <v>47002</v>
      </c>
      <c r="C22" s="83" t="str">
        <f ca="1">VLOOKUP($B22,OFFSET([2]quests!$A$1,0,0,COUNTA([2]quests!$A:$A),MATCH(C$1,[2]quests!$1:$1,0)-MATCH($B$1,[2]quests!$1:$1,0)+1),MATCH(C$1,[2]quests!$1:$1,0)-MATCH($B$1,[2]quests!$1:$1,0)+1,FALSE)</f>
        <v>夏☆襲来！</v>
      </c>
      <c r="D22" s="83" t="str">
        <f ca="1">VLOOKUP($B22,OFFSET([2]quests!$A$1,0,0,COUNTA([2]quests!$A:$A),MATCH(D$1,[2]quests!$1:$1,0)-MATCH($B$1,[2]quests!$1:$1,0)+1),MATCH(D$1,[2]quests!$1:$1,0)-MATCH($B$1,[2]quests!$1:$1,0)+1,FALSE)</f>
        <v>季節イベント</v>
      </c>
      <c r="E22" s="84">
        <v>2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【ウィザード級】夏☆襲来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季節イベント</v>
      </c>
      <c r="H22" s="85">
        <v>3</v>
      </c>
      <c r="I22" s="90">
        <f t="shared" si="0"/>
        <v>21</v>
      </c>
      <c r="J22" s="86" t="str">
        <f t="shared" si="1"/>
        <v>4700221</v>
      </c>
      <c r="K22" s="84" t="s">
        <v>197</v>
      </c>
      <c r="L22" s="87" t="s">
        <v>198</v>
      </c>
      <c r="M22" s="148" t="s">
        <v>283</v>
      </c>
      <c r="N22" s="57" t="s">
        <v>199</v>
      </c>
      <c r="O22">
        <f t="shared" si="5"/>
        <v>54</v>
      </c>
    </row>
    <row r="23" spans="1:15" ht="56" x14ac:dyDescent="0.15">
      <c r="A23" s="81" t="s">
        <v>196</v>
      </c>
      <c r="B23" s="82">
        <v>47002</v>
      </c>
      <c r="C23" s="83" t="str">
        <f ca="1">VLOOKUP($B23,OFFSET([2]quests!$A$1,0,0,COUNTA([2]quests!$A:$A),MATCH(C$1,[2]quests!$1:$1,0)-MATCH($B$1,[2]quests!$1:$1,0)+1),MATCH(C$1,[2]quests!$1:$1,0)-MATCH($B$1,[2]quests!$1:$1,0)+1,FALSE)</f>
        <v>夏☆襲来！</v>
      </c>
      <c r="D23" s="83" t="str">
        <f ca="1">VLOOKUP($B23,OFFSET([2]quests!$A$1,0,0,COUNTA([2]quests!$A:$A),MATCH(D$1,[2]quests!$1:$1,0)-MATCH($B$1,[2]quests!$1:$1,0)+1),MATCH(D$1,[2]quests!$1:$1,0)-MATCH($B$1,[2]quests!$1:$1,0)+1,FALSE)</f>
        <v>季節イベント</v>
      </c>
      <c r="E23" s="84">
        <v>2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【ウィザード級】夏☆襲来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季節イベント</v>
      </c>
      <c r="H23" s="85">
        <v>4</v>
      </c>
      <c r="I23" s="90">
        <f t="shared" si="0"/>
        <v>22</v>
      </c>
      <c r="J23" s="86" t="str">
        <f t="shared" si="1"/>
        <v>4700222</v>
      </c>
      <c r="K23" s="84" t="s">
        <v>197</v>
      </c>
      <c r="L23" s="87" t="s">
        <v>198</v>
      </c>
      <c r="M23" s="148" t="s">
        <v>284</v>
      </c>
      <c r="N23" s="57" t="s">
        <v>199</v>
      </c>
      <c r="O23">
        <f t="shared" si="5"/>
        <v>57</v>
      </c>
    </row>
    <row r="24" spans="1:15" ht="56" x14ac:dyDescent="0.15">
      <c r="A24" s="81" t="s">
        <v>196</v>
      </c>
      <c r="B24" s="82">
        <v>47002</v>
      </c>
      <c r="C24" s="83" t="str">
        <f ca="1">VLOOKUP($B24,OFFSET([2]quests!$A$1,0,0,COUNTA([2]quests!$A:$A),MATCH(C$1,[2]quests!$1:$1,0)-MATCH($B$1,[2]quests!$1:$1,0)+1),MATCH(C$1,[2]quests!$1:$1,0)-MATCH($B$1,[2]quests!$1:$1,0)+1,FALSE)</f>
        <v>夏☆襲来！</v>
      </c>
      <c r="D24" s="83" t="str">
        <f ca="1">VLOOKUP($B24,OFFSET([2]quests!$A$1,0,0,COUNTA([2]quests!$A:$A),MATCH(D$1,[2]quests!$1:$1,0)-MATCH($B$1,[2]quests!$1:$1,0)+1),MATCH(D$1,[2]quests!$1:$1,0)-MATCH($B$1,[2]quests!$1:$1,0)+1,FALSE)</f>
        <v>季節イベント</v>
      </c>
      <c r="E24" s="84">
        <v>2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【ウィザード級】夏☆襲来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季節イベント</v>
      </c>
      <c r="H24" s="85">
        <v>5</v>
      </c>
      <c r="I24" s="90">
        <f t="shared" si="0"/>
        <v>23</v>
      </c>
      <c r="J24" s="86" t="str">
        <f t="shared" si="1"/>
        <v>4700223</v>
      </c>
      <c r="K24" s="84" t="s">
        <v>197</v>
      </c>
      <c r="L24" s="87" t="s">
        <v>198</v>
      </c>
      <c r="M24" s="148" t="s">
        <v>335</v>
      </c>
      <c r="N24" s="57" t="s">
        <v>199</v>
      </c>
      <c r="O24">
        <f t="shared" si="5"/>
        <v>48</v>
      </c>
    </row>
    <row r="25" spans="1:15" ht="56" x14ac:dyDescent="0.15">
      <c r="A25" s="81" t="s">
        <v>196</v>
      </c>
      <c r="B25" s="82">
        <v>47002</v>
      </c>
      <c r="C25" s="83" t="str">
        <f ca="1">VLOOKUP($B25,OFFSET([2]quests!$A$1,0,0,COUNTA([2]quests!$A:$A),MATCH(C$1,[2]quests!$1:$1,0)-MATCH($B$1,[2]quests!$1:$1,0)+1),MATCH(C$1,[2]quests!$1:$1,0)-MATCH($B$1,[2]quests!$1:$1,0)+1,FALSE)</f>
        <v>夏☆襲来！</v>
      </c>
      <c r="D25" s="83" t="str">
        <f ca="1">VLOOKUP($B25,OFFSET([2]quests!$A$1,0,0,COUNTA([2]quests!$A:$A),MATCH(D$1,[2]quests!$1:$1,0)-MATCH($B$1,[2]quests!$1:$1,0)+1),MATCH(D$1,[2]quests!$1:$1,0)-MATCH($B$1,[2]quests!$1:$1,0)+1,FALSE)</f>
        <v>季節イベント</v>
      </c>
      <c r="E25" s="84">
        <v>2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【ウィザード級】夏☆襲来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季節イベント</v>
      </c>
      <c r="H25" s="85">
        <v>5</v>
      </c>
      <c r="I25" s="90">
        <f t="shared" si="0"/>
        <v>24</v>
      </c>
      <c r="J25" s="86" t="str">
        <f t="shared" si="1"/>
        <v>4700224</v>
      </c>
      <c r="K25" s="84" t="s">
        <v>197</v>
      </c>
      <c r="L25" s="87" t="s">
        <v>198</v>
      </c>
      <c r="M25" s="148" t="s">
        <v>334</v>
      </c>
      <c r="N25" s="57" t="s">
        <v>199</v>
      </c>
      <c r="O25">
        <f t="shared" si="5"/>
        <v>53</v>
      </c>
    </row>
    <row r="26" spans="1:15" ht="28" x14ac:dyDescent="0.15">
      <c r="A26" s="81" t="s">
        <v>196</v>
      </c>
      <c r="B26" s="82">
        <v>47002</v>
      </c>
      <c r="C26" s="83" t="str">
        <f ca="1">VLOOKUP($B26,OFFSET([2]quests!$A$1,0,0,COUNTA([2]quests!$A:$A),MATCH(C$1,[2]quests!$1:$1,0)-MATCH($B$1,[2]quests!$1:$1,0)+1),MATCH(C$1,[2]quests!$1:$1,0)-MATCH($B$1,[2]quests!$1:$1,0)+1,FALSE)</f>
        <v>夏☆襲来！</v>
      </c>
      <c r="D26" s="83" t="str">
        <f ca="1">VLOOKUP($B26,OFFSET([2]quests!$A$1,0,0,COUNTA([2]quests!$A:$A),MATCH(D$1,[2]quests!$1:$1,0)-MATCH($B$1,[2]quests!$1:$1,0)+1),MATCH(D$1,[2]quests!$1:$1,0)-MATCH($B$1,[2]quests!$1:$1,0)+1,FALSE)</f>
        <v>季節イベント</v>
      </c>
      <c r="E26" s="84">
        <v>2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【ウィザード級】夏☆襲来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季節イベント</v>
      </c>
      <c r="H26" s="85">
        <v>5</v>
      </c>
      <c r="I26" s="90">
        <f t="shared" si="0"/>
        <v>25</v>
      </c>
      <c r="J26" s="86" t="str">
        <f t="shared" si="1"/>
        <v>4700225</v>
      </c>
      <c r="K26" s="84" t="s">
        <v>197</v>
      </c>
      <c r="L26" s="87" t="s">
        <v>198</v>
      </c>
      <c r="M26" s="148" t="s">
        <v>454</v>
      </c>
      <c r="N26" s="57" t="s">
        <v>199</v>
      </c>
      <c r="O26">
        <f t="shared" si="5"/>
        <v>38</v>
      </c>
    </row>
    <row r="27" spans="1:15" ht="56" x14ac:dyDescent="0.15">
      <c r="A27" s="81" t="s">
        <v>287</v>
      </c>
      <c r="B27" s="82">
        <v>47002</v>
      </c>
      <c r="C27" s="83" t="str">
        <f ca="1">VLOOKUP($B27,OFFSET([2]quests!$A$1,0,0,COUNTA([2]quests!$A:$A),MATCH(C$1,[2]quests!$1:$1,0)-MATCH($B$1,[2]quests!$1:$1,0)+1),MATCH(C$1,[2]quests!$1:$1,0)-MATCH($B$1,[2]quests!$1:$1,0)+1,FALSE)</f>
        <v>夏☆襲来！</v>
      </c>
      <c r="D27" s="83" t="str">
        <f ca="1">VLOOKUP($B27,OFFSET([2]quests!$A$1,0,0,COUNTA([2]quests!$A:$A),MATCH(D$1,[2]quests!$1:$1,0)-MATCH($B$1,[2]quests!$1:$1,0)+1),MATCH(D$1,[2]quests!$1:$1,0)-MATCH($B$1,[2]quests!$1:$1,0)+1,FALSE)</f>
        <v>季節イベント</v>
      </c>
      <c r="E27" s="84">
        <v>2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【ウィザード級】夏☆襲来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季節イベント</v>
      </c>
      <c r="H27" s="85">
        <v>0</v>
      </c>
      <c r="I27" s="90">
        <f t="shared" si="0"/>
        <v>26</v>
      </c>
      <c r="J27" s="86" t="str">
        <f>B27&amp;TEXT(I27,"00")</f>
        <v>4700226</v>
      </c>
      <c r="K27" s="84" t="s">
        <v>126</v>
      </c>
      <c r="L27" s="87" t="s">
        <v>413</v>
      </c>
      <c r="M27" s="148" t="s">
        <v>412</v>
      </c>
      <c r="N27" s="57" t="s">
        <v>199</v>
      </c>
      <c r="O27">
        <f t="shared" ref="O27" si="6">LEN(M27)</f>
        <v>57</v>
      </c>
    </row>
    <row r="28" spans="1:15" ht="56" x14ac:dyDescent="0.15">
      <c r="A28" s="81" t="s">
        <v>287</v>
      </c>
      <c r="B28" s="82">
        <v>47002</v>
      </c>
      <c r="C28" s="83" t="str">
        <f ca="1">VLOOKUP($B28,OFFSET([2]quests!$A$1,0,0,COUNTA([2]quests!$A:$A),MATCH(C$1,[2]quests!$1:$1,0)-MATCH($B$1,[2]quests!$1:$1,0)+1),MATCH(C$1,[2]quests!$1:$1,0)-MATCH($B$1,[2]quests!$1:$1,0)+1,FALSE)</f>
        <v>夏☆襲来！</v>
      </c>
      <c r="D28" s="83" t="str">
        <f ca="1">VLOOKUP($B28,OFFSET([2]quests!$A$1,0,0,COUNTA([2]quests!$A:$A),MATCH(D$1,[2]quests!$1:$1,0)-MATCH($B$1,[2]quests!$1:$1,0)+1),MATCH(D$1,[2]quests!$1:$1,0)-MATCH($B$1,[2]quests!$1:$1,0)+1,FALSE)</f>
        <v>季節イベント</v>
      </c>
      <c r="E28" s="84">
        <v>2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【ウィザード級】夏☆襲来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季節イベント</v>
      </c>
      <c r="H28" s="85">
        <v>0</v>
      </c>
      <c r="I28" s="90">
        <f t="shared" si="0"/>
        <v>27</v>
      </c>
      <c r="J28" s="86" t="str">
        <f t="shared" si="1"/>
        <v>4700227</v>
      </c>
      <c r="K28" s="84" t="s">
        <v>197</v>
      </c>
      <c r="L28" s="87" t="s">
        <v>394</v>
      </c>
      <c r="M28" s="148" t="s">
        <v>393</v>
      </c>
      <c r="N28" s="57" t="s">
        <v>199</v>
      </c>
      <c r="O28">
        <f t="shared" ref="O28" si="7">LEN(M28)</f>
        <v>58</v>
      </c>
    </row>
    <row r="29" spans="1:15" ht="42" x14ac:dyDescent="0.15">
      <c r="A29" s="81" t="s">
        <v>287</v>
      </c>
      <c r="B29" s="82">
        <v>47002</v>
      </c>
      <c r="C29" s="83" t="str">
        <f ca="1">VLOOKUP($B29,OFFSET([2]quests!$A$1,0,0,COUNTA([2]quests!$A:$A),MATCH(C$1,[2]quests!$1:$1,0)-MATCH($B$1,[2]quests!$1:$1,0)+1),MATCH(C$1,[2]quests!$1:$1,0)-MATCH($B$1,[2]quests!$1:$1,0)+1,FALSE)</f>
        <v>夏☆襲来！</v>
      </c>
      <c r="D29" s="83" t="str">
        <f ca="1">VLOOKUP($B29,OFFSET([2]quests!$A$1,0,0,COUNTA([2]quests!$A:$A),MATCH(D$1,[2]quests!$1:$1,0)-MATCH($B$1,[2]quests!$1:$1,0)+1),MATCH(D$1,[2]quests!$1:$1,0)-MATCH($B$1,[2]quests!$1:$1,0)+1,FALSE)</f>
        <v>季節イベント</v>
      </c>
      <c r="E29" s="84">
        <v>2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【ウィザード級】夏☆襲来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季節イベント</v>
      </c>
      <c r="H29" s="85">
        <v>0</v>
      </c>
      <c r="I29" s="90">
        <f t="shared" si="0"/>
        <v>28</v>
      </c>
      <c r="J29" s="86" t="str">
        <f t="shared" si="1"/>
        <v>4700228</v>
      </c>
      <c r="K29" s="84" t="s">
        <v>197</v>
      </c>
      <c r="L29" s="87" t="s">
        <v>320</v>
      </c>
      <c r="M29" s="148" t="s">
        <v>319</v>
      </c>
      <c r="N29" s="57" t="s">
        <v>199</v>
      </c>
      <c r="O29">
        <f t="shared" ref="O29" si="8">LEN(M29)</f>
        <v>58</v>
      </c>
    </row>
    <row r="30" spans="1:15" ht="28" x14ac:dyDescent="0.15">
      <c r="A30" s="81" t="s">
        <v>287</v>
      </c>
      <c r="B30" s="82">
        <v>47002</v>
      </c>
      <c r="C30" s="83" t="str">
        <f ca="1">VLOOKUP($B30,OFFSET([2]quests!$A$1,0,0,COUNTA([2]quests!$A:$A),MATCH(C$1,[2]quests!$1:$1,0)-MATCH($B$1,[2]quests!$1:$1,0)+1),MATCH(C$1,[2]quests!$1:$1,0)-MATCH($B$1,[2]quests!$1:$1,0)+1,FALSE)</f>
        <v>夏☆襲来！</v>
      </c>
      <c r="D30" s="83" t="str">
        <f ca="1">VLOOKUP($B30,OFFSET([2]quests!$A$1,0,0,COUNTA([2]quests!$A:$A),MATCH(D$1,[2]quests!$1:$1,0)-MATCH($B$1,[2]quests!$1:$1,0)+1),MATCH(D$1,[2]quests!$1:$1,0)-MATCH($B$1,[2]quests!$1:$1,0)+1,FALSE)</f>
        <v>季節イベント</v>
      </c>
      <c r="E30" s="84">
        <v>2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【ウィザード級】夏☆襲来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季節イベント</v>
      </c>
      <c r="H30" s="85">
        <v>0</v>
      </c>
      <c r="I30" s="90">
        <f t="shared" si="0"/>
        <v>29</v>
      </c>
      <c r="J30" s="86" t="str">
        <f t="shared" ref="J30" si="9">B30&amp;TEXT(I30,"00")</f>
        <v>4700229</v>
      </c>
      <c r="K30" s="84" t="s">
        <v>126</v>
      </c>
      <c r="L30" s="87" t="s">
        <v>395</v>
      </c>
      <c r="M30" s="148" t="s">
        <v>396</v>
      </c>
      <c r="N30" s="57" t="s">
        <v>199</v>
      </c>
      <c r="O30">
        <f t="shared" ref="O30" si="10">LEN(M30)</f>
        <v>37</v>
      </c>
    </row>
    <row r="31" spans="1:15" ht="28" x14ac:dyDescent="0.15">
      <c r="A31" s="81" t="s">
        <v>287</v>
      </c>
      <c r="B31" s="82">
        <v>47002</v>
      </c>
      <c r="C31" s="83" t="str">
        <f ca="1">VLOOKUP($B31,OFFSET([2]quests!$A$1,0,0,COUNTA([2]quests!$A:$A),MATCH(C$1,[2]quests!$1:$1,0)-MATCH($B$1,[2]quests!$1:$1,0)+1),MATCH(C$1,[2]quests!$1:$1,0)-MATCH($B$1,[2]quests!$1:$1,0)+1,FALSE)</f>
        <v>夏☆襲来！</v>
      </c>
      <c r="D31" s="83" t="str">
        <f ca="1">VLOOKUP($B31,OFFSET([2]quests!$A$1,0,0,COUNTA([2]quests!$A:$A),MATCH(D$1,[2]quests!$1:$1,0)-MATCH($B$1,[2]quests!$1:$1,0)+1),MATCH(D$1,[2]quests!$1:$1,0)-MATCH($B$1,[2]quests!$1:$1,0)+1,FALSE)</f>
        <v>季節イベント</v>
      </c>
      <c r="E31" s="84">
        <v>2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【ウィザード級】夏☆襲来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季節イベント</v>
      </c>
      <c r="H31" s="85">
        <v>0</v>
      </c>
      <c r="I31" s="90">
        <f t="shared" si="0"/>
        <v>30</v>
      </c>
      <c r="J31" s="86" t="str">
        <f>B31&amp;TEXT(I31,"00")</f>
        <v>4700230</v>
      </c>
      <c r="K31" s="84" t="s">
        <v>197</v>
      </c>
      <c r="L31" s="87" t="s">
        <v>398</v>
      </c>
      <c r="M31" s="148" t="s">
        <v>397</v>
      </c>
      <c r="N31" s="57" t="s">
        <v>199</v>
      </c>
      <c r="O31">
        <f t="shared" ref="O31" si="11">LEN(M31)</f>
        <v>33</v>
      </c>
    </row>
    <row r="32" spans="1:15" ht="28" x14ac:dyDescent="0.15">
      <c r="A32" s="81" t="s">
        <v>287</v>
      </c>
      <c r="B32" s="82">
        <v>47002</v>
      </c>
      <c r="C32" s="83" t="str">
        <f ca="1">VLOOKUP($B32,OFFSET([2]quests!$A$1,0,0,COUNTA([2]quests!$A:$A),MATCH(C$1,[2]quests!$1:$1,0)-MATCH($B$1,[2]quests!$1:$1,0)+1),MATCH(C$1,[2]quests!$1:$1,0)-MATCH($B$1,[2]quests!$1:$1,0)+1,FALSE)</f>
        <v>夏☆襲来！</v>
      </c>
      <c r="D32" s="83" t="str">
        <f ca="1">VLOOKUP($B32,OFFSET([2]quests!$A$1,0,0,COUNTA([2]quests!$A:$A),MATCH(D$1,[2]quests!$1:$1,0)-MATCH($B$1,[2]quests!$1:$1,0)+1),MATCH(D$1,[2]quests!$1:$1,0)-MATCH($B$1,[2]quests!$1:$1,0)+1,FALSE)</f>
        <v>季節イベント</v>
      </c>
      <c r="E32" s="84">
        <v>2</v>
      </c>
      <c r="F32" s="83" t="str">
        <f ca="1">VLOOKUP($B32&amp;"_"&amp;$E32,OFFSET([2]stages!$A$1,0,0,COUNTA([2]stages!$A:$A),MATCH(F$1,[2]stages!$2:$2,0)-MATCH("temp_stage",[2]stages!$2:$2,0)+1),MATCH(F$1,[2]stages!$2:$2,0)-MATCH("temp_stage",[2]stages!$2:$2,0)+1,FALSE)</f>
        <v>【ウィザード級】夏☆襲来</v>
      </c>
      <c r="G32" s="83" t="str">
        <f ca="1">VLOOKUP($B32&amp;"_"&amp;$E32,OFFSET([2]stages!$A$1,0,0,COUNTA([2]stages!$A:$A),MATCH(G$1,[2]stages!$2:$2,0)-MATCH("temp_stage",[2]stages!$2:$2,0)+1),MATCH(G$1,[2]stages!$2:$2,0)-MATCH("temp_stage",[2]stages!$2:$2,0)+1,FALSE)</f>
        <v>季節イベント</v>
      </c>
      <c r="H32" s="85">
        <v>0</v>
      </c>
      <c r="I32" s="90">
        <f t="shared" si="0"/>
        <v>31</v>
      </c>
      <c r="J32" s="86" t="str">
        <f>B32&amp;TEXT(I32,"00")</f>
        <v>4700231</v>
      </c>
      <c r="K32" s="84" t="s">
        <v>126</v>
      </c>
      <c r="L32" s="87" t="s">
        <v>400</v>
      </c>
      <c r="M32" s="148" t="s">
        <v>399</v>
      </c>
      <c r="N32" s="57" t="s">
        <v>199</v>
      </c>
      <c r="O32">
        <f t="shared" ref="O32:O35" si="12">LEN(M32)</f>
        <v>32</v>
      </c>
    </row>
    <row r="33" spans="1:15" ht="28" x14ac:dyDescent="0.15">
      <c r="A33" s="81" t="s">
        <v>287</v>
      </c>
      <c r="B33" s="82">
        <v>47002</v>
      </c>
      <c r="C33" s="83" t="str">
        <f ca="1">VLOOKUP($B33,OFFSET([2]quests!$A$1,0,0,COUNTA([2]quests!$A:$A),MATCH(C$1,[2]quests!$1:$1,0)-MATCH($B$1,[2]quests!$1:$1,0)+1),MATCH(C$1,[2]quests!$1:$1,0)-MATCH($B$1,[2]quests!$1:$1,0)+1,FALSE)</f>
        <v>夏☆襲来！</v>
      </c>
      <c r="D33" s="83" t="str">
        <f ca="1">VLOOKUP($B33,OFFSET([2]quests!$A$1,0,0,COUNTA([2]quests!$A:$A),MATCH(D$1,[2]quests!$1:$1,0)-MATCH($B$1,[2]quests!$1:$1,0)+1),MATCH(D$1,[2]quests!$1:$1,0)-MATCH($B$1,[2]quests!$1:$1,0)+1,FALSE)</f>
        <v>季節イベント</v>
      </c>
      <c r="E33" s="84">
        <v>2</v>
      </c>
      <c r="F33" s="83" t="str">
        <f ca="1">VLOOKUP($B33&amp;"_"&amp;$E33,OFFSET([2]stages!$A$1,0,0,COUNTA([2]stages!$A:$A),MATCH(F$1,[2]stages!$2:$2,0)-MATCH("temp_stage",[2]stages!$2:$2,0)+1),MATCH(F$1,[2]stages!$2:$2,0)-MATCH("temp_stage",[2]stages!$2:$2,0)+1,FALSE)</f>
        <v>【ウィザード級】夏☆襲来</v>
      </c>
      <c r="G33" s="83" t="str">
        <f ca="1">VLOOKUP($B33&amp;"_"&amp;$E33,OFFSET([2]stages!$A$1,0,0,COUNTA([2]stages!$A:$A),MATCH(G$1,[2]stages!$2:$2,0)-MATCH("temp_stage",[2]stages!$2:$2,0)+1),MATCH(G$1,[2]stages!$2:$2,0)-MATCH("temp_stage",[2]stages!$2:$2,0)+1,FALSE)</f>
        <v>季節イベント</v>
      </c>
      <c r="H33" s="85">
        <v>0</v>
      </c>
      <c r="I33" s="90">
        <f t="shared" si="0"/>
        <v>32</v>
      </c>
      <c r="J33" s="86" t="str">
        <f t="shared" ref="J33:J34" si="13">B33&amp;TEXT(I33,"00")</f>
        <v>4700232</v>
      </c>
      <c r="K33" s="84" t="s">
        <v>126</v>
      </c>
      <c r="L33" s="87" t="s">
        <v>402</v>
      </c>
      <c r="M33" s="148" t="s">
        <v>401</v>
      </c>
      <c r="N33" s="57" t="s">
        <v>199</v>
      </c>
      <c r="O33">
        <f t="shared" si="12"/>
        <v>38</v>
      </c>
    </row>
    <row r="34" spans="1:15" ht="42" x14ac:dyDescent="0.15">
      <c r="A34" s="81" t="s">
        <v>287</v>
      </c>
      <c r="B34" s="82">
        <v>47002</v>
      </c>
      <c r="C34" s="83" t="str">
        <f ca="1">VLOOKUP($B34,OFFSET([2]quests!$A$1,0,0,COUNTA([2]quests!$A:$A),MATCH(C$1,[2]quests!$1:$1,0)-MATCH($B$1,[2]quests!$1:$1,0)+1),MATCH(C$1,[2]quests!$1:$1,0)-MATCH($B$1,[2]quests!$1:$1,0)+1,FALSE)</f>
        <v>夏☆襲来！</v>
      </c>
      <c r="D34" s="83" t="str">
        <f ca="1">VLOOKUP($B34,OFFSET([2]quests!$A$1,0,0,COUNTA([2]quests!$A:$A),MATCH(D$1,[2]quests!$1:$1,0)-MATCH($B$1,[2]quests!$1:$1,0)+1),MATCH(D$1,[2]quests!$1:$1,0)-MATCH($B$1,[2]quests!$1:$1,0)+1,FALSE)</f>
        <v>季節イベント</v>
      </c>
      <c r="E34" s="84">
        <v>2</v>
      </c>
      <c r="F34" s="83" t="str">
        <f ca="1">VLOOKUP($B34&amp;"_"&amp;$E34,OFFSET([2]stages!$A$1,0,0,COUNTA([2]stages!$A:$A),MATCH(F$1,[2]stages!$2:$2,0)-MATCH("temp_stage",[2]stages!$2:$2,0)+1),MATCH(F$1,[2]stages!$2:$2,0)-MATCH("temp_stage",[2]stages!$2:$2,0)+1,FALSE)</f>
        <v>【ウィザード級】夏☆襲来</v>
      </c>
      <c r="G34" s="83" t="str">
        <f ca="1">VLOOKUP($B34&amp;"_"&amp;$E34,OFFSET([2]stages!$A$1,0,0,COUNTA([2]stages!$A:$A),MATCH(G$1,[2]stages!$2:$2,0)-MATCH("temp_stage",[2]stages!$2:$2,0)+1),MATCH(G$1,[2]stages!$2:$2,0)-MATCH("temp_stage",[2]stages!$2:$2,0)+1,FALSE)</f>
        <v>季節イベント</v>
      </c>
      <c r="H34" s="85">
        <v>0</v>
      </c>
      <c r="I34" s="90">
        <f t="shared" si="0"/>
        <v>33</v>
      </c>
      <c r="J34" s="86" t="str">
        <f t="shared" si="13"/>
        <v>4700233</v>
      </c>
      <c r="K34" s="84" t="s">
        <v>126</v>
      </c>
      <c r="L34" s="87" t="s">
        <v>410</v>
      </c>
      <c r="M34" s="148" t="s">
        <v>409</v>
      </c>
      <c r="N34" s="57" t="s">
        <v>199</v>
      </c>
      <c r="O34">
        <f t="shared" si="12"/>
        <v>51</v>
      </c>
    </row>
    <row r="35" spans="1:15" ht="28" x14ac:dyDescent="0.15">
      <c r="A35" s="81" t="s">
        <v>287</v>
      </c>
      <c r="B35" s="82">
        <v>47002</v>
      </c>
      <c r="C35" s="83" t="str">
        <f ca="1">VLOOKUP($B35,OFFSET([2]quests!$A$1,0,0,COUNTA([2]quests!$A:$A),MATCH(C$1,[2]quests!$1:$1,0)-MATCH($B$1,[2]quests!$1:$1,0)+1),MATCH(C$1,[2]quests!$1:$1,0)-MATCH($B$1,[2]quests!$1:$1,0)+1,FALSE)</f>
        <v>夏☆襲来！</v>
      </c>
      <c r="D35" s="83" t="str">
        <f ca="1">VLOOKUP($B35,OFFSET([2]quests!$A$1,0,0,COUNTA([2]quests!$A:$A),MATCH(D$1,[2]quests!$1:$1,0)-MATCH($B$1,[2]quests!$1:$1,0)+1),MATCH(D$1,[2]quests!$1:$1,0)-MATCH($B$1,[2]quests!$1:$1,0)+1,FALSE)</f>
        <v>季節イベント</v>
      </c>
      <c r="E35" s="84">
        <v>2</v>
      </c>
      <c r="F35" s="83" t="str">
        <f ca="1">VLOOKUP($B35&amp;"_"&amp;$E35,OFFSET([2]stages!$A$1,0,0,COUNTA([2]stages!$A:$A),MATCH(F$1,[2]stages!$2:$2,0)-MATCH("temp_stage",[2]stages!$2:$2,0)+1),MATCH(F$1,[2]stages!$2:$2,0)-MATCH("temp_stage",[2]stages!$2:$2,0)+1,FALSE)</f>
        <v>【ウィザード級】夏☆襲来</v>
      </c>
      <c r="G35" s="83" t="str">
        <f ca="1">VLOOKUP($B35&amp;"_"&amp;$E35,OFFSET([2]stages!$A$1,0,0,COUNTA([2]stages!$A:$A),MATCH(G$1,[2]stages!$2:$2,0)-MATCH("temp_stage",[2]stages!$2:$2,0)+1),MATCH(G$1,[2]stages!$2:$2,0)-MATCH("temp_stage",[2]stages!$2:$2,0)+1,FALSE)</f>
        <v>季節イベント</v>
      </c>
      <c r="H35" s="85">
        <v>0</v>
      </c>
      <c r="I35" s="90">
        <f t="shared" si="0"/>
        <v>34</v>
      </c>
      <c r="J35" s="86" t="str">
        <f>B35&amp;TEXT(I35,"00")</f>
        <v>4700234</v>
      </c>
      <c r="K35" s="84" t="s">
        <v>126</v>
      </c>
      <c r="L35" s="87" t="s">
        <v>404</v>
      </c>
      <c r="M35" s="148" t="s">
        <v>403</v>
      </c>
      <c r="N35" s="57" t="s">
        <v>199</v>
      </c>
      <c r="O35">
        <f t="shared" si="12"/>
        <v>33</v>
      </c>
    </row>
    <row r="36" spans="1:15" ht="42" x14ac:dyDescent="0.15">
      <c r="A36" s="81" t="s">
        <v>287</v>
      </c>
      <c r="B36" s="82">
        <v>47002</v>
      </c>
      <c r="C36" s="83" t="str">
        <f ca="1">VLOOKUP($B36,OFFSET([2]quests!$A$1,0,0,COUNTA([2]quests!$A:$A),MATCH(C$1,[2]quests!$1:$1,0)-MATCH($B$1,[2]quests!$1:$1,0)+1),MATCH(C$1,[2]quests!$1:$1,0)-MATCH($B$1,[2]quests!$1:$1,0)+1,FALSE)</f>
        <v>夏☆襲来！</v>
      </c>
      <c r="D36" s="83" t="str">
        <f ca="1">VLOOKUP($B36,OFFSET([2]quests!$A$1,0,0,COUNTA([2]quests!$A:$A),MATCH(D$1,[2]quests!$1:$1,0)-MATCH($B$1,[2]quests!$1:$1,0)+1),MATCH(D$1,[2]quests!$1:$1,0)-MATCH($B$1,[2]quests!$1:$1,0)+1,FALSE)</f>
        <v>季節イベント</v>
      </c>
      <c r="E36" s="84">
        <v>2</v>
      </c>
      <c r="F36" s="83" t="str">
        <f ca="1">VLOOKUP($B36&amp;"_"&amp;$E36,OFFSET([2]stages!$A$1,0,0,COUNTA([2]stages!$A:$A),MATCH(F$1,[2]stages!$2:$2,0)-MATCH("temp_stage",[2]stages!$2:$2,0)+1),MATCH(F$1,[2]stages!$2:$2,0)-MATCH("temp_stage",[2]stages!$2:$2,0)+1,FALSE)</f>
        <v>【ウィザード級】夏☆襲来</v>
      </c>
      <c r="G36" s="83" t="str">
        <f ca="1">VLOOKUP($B36&amp;"_"&amp;$E36,OFFSET([2]stages!$A$1,0,0,COUNTA([2]stages!$A:$A),MATCH(G$1,[2]stages!$2:$2,0)-MATCH("temp_stage",[2]stages!$2:$2,0)+1),MATCH(G$1,[2]stages!$2:$2,0)-MATCH("temp_stage",[2]stages!$2:$2,0)+1,FALSE)</f>
        <v>季節イベント</v>
      </c>
      <c r="H36" s="85">
        <v>0</v>
      </c>
      <c r="I36" s="90">
        <f t="shared" si="0"/>
        <v>35</v>
      </c>
      <c r="J36" s="86" t="str">
        <f>B36&amp;TEXT(I36,"00")</f>
        <v>4700235</v>
      </c>
      <c r="K36" s="84" t="s">
        <v>126</v>
      </c>
      <c r="L36" s="87" t="s">
        <v>406</v>
      </c>
      <c r="M36" s="148" t="s">
        <v>405</v>
      </c>
      <c r="N36" s="57" t="s">
        <v>199</v>
      </c>
      <c r="O36">
        <f t="shared" ref="O36" si="14">LEN(M36)</f>
        <v>40</v>
      </c>
    </row>
    <row r="37" spans="1:15" ht="42" x14ac:dyDescent="0.15">
      <c r="A37" s="81" t="s">
        <v>287</v>
      </c>
      <c r="B37" s="82">
        <v>47002</v>
      </c>
      <c r="C37" s="83" t="str">
        <f ca="1">VLOOKUP($B37,OFFSET([2]quests!$A$1,0,0,COUNTA([2]quests!$A:$A),MATCH(C$1,[2]quests!$1:$1,0)-MATCH($B$1,[2]quests!$1:$1,0)+1),MATCH(C$1,[2]quests!$1:$1,0)-MATCH($B$1,[2]quests!$1:$1,0)+1,FALSE)</f>
        <v>夏☆襲来！</v>
      </c>
      <c r="D37" s="83" t="str">
        <f ca="1">VLOOKUP($B37,OFFSET([2]quests!$A$1,0,0,COUNTA([2]quests!$A:$A),MATCH(D$1,[2]quests!$1:$1,0)-MATCH($B$1,[2]quests!$1:$1,0)+1),MATCH(D$1,[2]quests!$1:$1,0)-MATCH($B$1,[2]quests!$1:$1,0)+1,FALSE)</f>
        <v>季節イベント</v>
      </c>
      <c r="E37" s="84">
        <v>2</v>
      </c>
      <c r="F37" s="83" t="str">
        <f ca="1">VLOOKUP($B37&amp;"_"&amp;$E37,OFFSET([2]stages!$A$1,0,0,COUNTA([2]stages!$A:$A),MATCH(F$1,[2]stages!$2:$2,0)-MATCH("temp_stage",[2]stages!$2:$2,0)+1),MATCH(F$1,[2]stages!$2:$2,0)-MATCH("temp_stage",[2]stages!$2:$2,0)+1,FALSE)</f>
        <v>【ウィザード級】夏☆襲来</v>
      </c>
      <c r="G37" s="83" t="str">
        <f ca="1">VLOOKUP($B37&amp;"_"&amp;$E37,OFFSET([2]stages!$A$1,0,0,COUNTA([2]stages!$A:$A),MATCH(G$1,[2]stages!$2:$2,0)-MATCH("temp_stage",[2]stages!$2:$2,0)+1),MATCH(G$1,[2]stages!$2:$2,0)-MATCH("temp_stage",[2]stages!$2:$2,0)+1,FALSE)</f>
        <v>季節イベント</v>
      </c>
      <c r="H37" s="85">
        <v>0</v>
      </c>
      <c r="I37" s="90">
        <f t="shared" si="0"/>
        <v>36</v>
      </c>
      <c r="J37" s="86" t="str">
        <f>B37&amp;TEXT(I37,"00")</f>
        <v>4700236</v>
      </c>
      <c r="K37" s="84" t="s">
        <v>126</v>
      </c>
      <c r="L37" s="87" t="s">
        <v>408</v>
      </c>
      <c r="M37" s="148" t="s">
        <v>407</v>
      </c>
      <c r="N37" s="57" t="s">
        <v>199</v>
      </c>
      <c r="O37">
        <f t="shared" ref="O37" si="15">LEN(M37)</f>
        <v>50</v>
      </c>
    </row>
  </sheetData>
  <phoneticPr fontId="6"/>
  <dataValidations count="1">
    <dataValidation type="list" allowBlank="1" showInputMessage="1" showErrorMessage="1" sqref="A2:A3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2"/>
  <sheetViews>
    <sheetView showGridLines="0" workbookViewId="0">
      <pane ySplit="1" topLeftCell="A2" activePane="bottomLeft" state="frozen"/>
      <selection pane="bottomLeft" activeCell="H23" sqref="H2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211</v>
      </c>
      <c r="B1" s="95" t="s">
        <v>212</v>
      </c>
      <c r="C1" s="77" t="s">
        <v>213</v>
      </c>
      <c r="D1" s="77" t="s">
        <v>33</v>
      </c>
      <c r="E1" s="95" t="s">
        <v>214</v>
      </c>
      <c r="F1" s="77" t="s">
        <v>215</v>
      </c>
      <c r="G1" s="77" t="s">
        <v>33</v>
      </c>
      <c r="H1" s="95" t="s">
        <v>216</v>
      </c>
      <c r="I1" s="95" t="s">
        <v>217</v>
      </c>
      <c r="J1" s="95" t="s">
        <v>218</v>
      </c>
      <c r="K1" s="73" t="s">
        <v>219</v>
      </c>
      <c r="L1" s="73" t="s">
        <v>220</v>
      </c>
      <c r="M1" s="73" t="s">
        <v>155</v>
      </c>
      <c r="N1" s="77" t="s">
        <v>16</v>
      </c>
      <c r="O1" s="73" t="s">
        <v>221</v>
      </c>
      <c r="P1" s="73" t="s">
        <v>56</v>
      </c>
      <c r="Q1" s="73" t="s">
        <v>222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223</v>
      </c>
      <c r="X1" s="73" t="s">
        <v>224</v>
      </c>
    </row>
    <row r="2" spans="1:24" x14ac:dyDescent="0.15">
      <c r="A2" s="96" t="str">
        <f>B2&amp;"_"&amp;E2&amp;"_"&amp;H2&amp;"_"&amp;I2&amp;"_"&amp;J2</f>
        <v>47002_1_everyone_clear_1</v>
      </c>
      <c r="B2" s="7">
        <v>47002</v>
      </c>
      <c r="C2" s="83" t="str">
        <f ca="1">VLOOKUP($B2,OFFSET([2]quests!$A$1,0,0,COUNTA([2]quests!$A:$A),MATCH(C$1,[2]quests!$1:$1,0)-MATCH($B$1,[2]quests!$1:$1,0)+1),MATCH(C$1,[2]quests!$1:$1,0)-MATCH($B$1,[2]quests!$1:$1,0)+1,FALSE)</f>
        <v>夏☆襲来！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【超絶級】夏☆襲来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5" t="s">
        <v>225</v>
      </c>
      <c r="I2" s="84" t="s">
        <v>226</v>
      </c>
      <c r="J2" s="84">
        <v>1</v>
      </c>
      <c r="K2" s="84">
        <v>50</v>
      </c>
      <c r="L2" s="84" t="s">
        <v>476</v>
      </c>
      <c r="M2" s="84">
        <v>700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228</v>
      </c>
      <c r="X2" s="99" t="s">
        <v>229</v>
      </c>
    </row>
    <row r="3" spans="1:24" x14ac:dyDescent="0.15">
      <c r="A3" s="96" t="str">
        <f t="shared" ref="A3:A9" si="0">B3&amp;"_"&amp;E3&amp;"_"&amp;H3&amp;"_"&amp;I3&amp;"_"&amp;J3</f>
        <v>47002_1_everyone_clear_2</v>
      </c>
      <c r="B3" s="7">
        <v>47002</v>
      </c>
      <c r="C3" s="83" t="str">
        <f ca="1">VLOOKUP($B3,OFFSET([2]quests!$A$1,0,0,COUNTA([2]quests!$A:$A),MATCH(C$1,[2]quests!$1:$1,0)-MATCH($B$1,[2]quests!$1:$1,0)+1),MATCH(C$1,[2]quests!$1:$1,0)-MATCH($B$1,[2]quests!$1:$1,0)+1,FALSE)</f>
        <v>夏☆襲来！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【超絶級】夏☆襲来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5" t="s">
        <v>225</v>
      </c>
      <c r="I3" s="84" t="s">
        <v>226</v>
      </c>
      <c r="J3" s="84">
        <v>2</v>
      </c>
      <c r="K3" s="84">
        <v>10</v>
      </c>
      <c r="L3" s="84" t="s">
        <v>227</v>
      </c>
      <c r="M3" s="84">
        <v>121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攻めの果実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8" t="s">
        <v>228</v>
      </c>
      <c r="X3" s="99" t="s">
        <v>229</v>
      </c>
    </row>
    <row r="4" spans="1:24" x14ac:dyDescent="0.15">
      <c r="A4" s="96" t="str">
        <f t="shared" si="0"/>
        <v>47002_1_everyone_clear_3</v>
      </c>
      <c r="B4" s="7">
        <v>47002</v>
      </c>
      <c r="C4" s="83" t="str">
        <f ca="1">VLOOKUP($B4,OFFSET([2]quests!$A$1,0,0,COUNTA([2]quests!$A:$A),MATCH(C$1,[2]quests!$1:$1,0)-MATCH($B$1,[2]quests!$1:$1,0)+1),MATCH(C$1,[2]quests!$1:$1,0)-MATCH($B$1,[2]quests!$1:$1,0)+1,FALSE)</f>
        <v>夏☆襲来！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【超絶級】夏☆襲来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5" t="s">
        <v>225</v>
      </c>
      <c r="I4" s="84" t="s">
        <v>226</v>
      </c>
      <c r="J4" s="84">
        <v>3</v>
      </c>
      <c r="K4" s="84">
        <v>10</v>
      </c>
      <c r="L4" s="84" t="s">
        <v>227</v>
      </c>
      <c r="M4" s="84">
        <v>122</v>
      </c>
      <c r="N4" s="97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生命の果実</v>
      </c>
      <c r="O4" s="84">
        <v>1</v>
      </c>
      <c r="P4" s="84">
        <v>1</v>
      </c>
      <c r="Q4" s="84">
        <v>1</v>
      </c>
      <c r="R4" s="84">
        <v>0</v>
      </c>
      <c r="S4" s="84">
        <v>0</v>
      </c>
      <c r="T4" s="84">
        <v>0</v>
      </c>
      <c r="U4" s="84">
        <v>0</v>
      </c>
      <c r="V4" s="84">
        <v>1</v>
      </c>
      <c r="W4" s="98" t="s">
        <v>228</v>
      </c>
      <c r="X4" s="99" t="s">
        <v>229</v>
      </c>
    </row>
    <row r="5" spans="1:24" x14ac:dyDescent="0.15">
      <c r="A5" s="96" t="str">
        <f t="shared" si="0"/>
        <v>47002_1_everyone_clear_4</v>
      </c>
      <c r="B5" s="7">
        <v>47002</v>
      </c>
      <c r="C5" s="83" t="str">
        <f ca="1">VLOOKUP($B5,OFFSET([2]quests!$A$1,0,0,COUNTA([2]quests!$A:$A),MATCH(C$1,[2]quests!$1:$1,0)-MATCH($B$1,[2]quests!$1:$1,0)+1),MATCH(C$1,[2]quests!$1:$1,0)-MATCH($B$1,[2]quests!$1:$1,0)+1,FALSE)</f>
        <v>夏☆襲来！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【超絶級】夏☆襲来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5" t="s">
        <v>225</v>
      </c>
      <c r="I5" s="84" t="s">
        <v>226</v>
      </c>
      <c r="J5" s="84">
        <v>4</v>
      </c>
      <c r="K5" s="84">
        <v>10</v>
      </c>
      <c r="L5" s="84" t="s">
        <v>227</v>
      </c>
      <c r="M5" s="84">
        <v>123</v>
      </c>
      <c r="N5" s="97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>癒しの果実</v>
      </c>
      <c r="O5" s="84">
        <v>1</v>
      </c>
      <c r="P5" s="84">
        <v>1</v>
      </c>
      <c r="Q5" s="84">
        <v>1</v>
      </c>
      <c r="R5" s="84">
        <v>0</v>
      </c>
      <c r="S5" s="84">
        <v>0</v>
      </c>
      <c r="T5" s="84">
        <v>0</v>
      </c>
      <c r="U5" s="84">
        <v>0</v>
      </c>
      <c r="V5" s="84">
        <v>1</v>
      </c>
      <c r="W5" s="98" t="s">
        <v>228</v>
      </c>
      <c r="X5" s="99" t="s">
        <v>229</v>
      </c>
    </row>
    <row r="6" spans="1:24" x14ac:dyDescent="0.15">
      <c r="A6" s="96" t="str">
        <f t="shared" si="0"/>
        <v>47002_1_everyone_clear_5</v>
      </c>
      <c r="B6" s="7">
        <v>47002</v>
      </c>
      <c r="C6" s="83" t="str">
        <f ca="1">VLOOKUP($B6,OFFSET([2]quests!$A$1,0,0,COUNTA([2]quests!$A:$A),MATCH(C$1,[2]quests!$1:$1,0)-MATCH($B$1,[2]quests!$1:$1,0)+1),MATCH(C$1,[2]quests!$1:$1,0)-MATCH($B$1,[2]quests!$1:$1,0)+1,FALSE)</f>
        <v>夏☆襲来！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【超絶級】夏☆襲来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5" t="s">
        <v>225</v>
      </c>
      <c r="I6" s="84" t="s">
        <v>226</v>
      </c>
      <c r="J6" s="84">
        <v>5</v>
      </c>
      <c r="K6" s="84">
        <v>5</v>
      </c>
      <c r="L6" s="84" t="s">
        <v>227</v>
      </c>
      <c r="M6" s="84">
        <v>334</v>
      </c>
      <c r="N6" s="97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6" s="84">
        <v>1</v>
      </c>
      <c r="P6" s="84">
        <v>1</v>
      </c>
      <c r="Q6" s="84">
        <v>1</v>
      </c>
      <c r="R6" s="84">
        <v>0</v>
      </c>
      <c r="S6" s="84">
        <v>0</v>
      </c>
      <c r="T6" s="84">
        <v>0</v>
      </c>
      <c r="U6" s="84">
        <v>0</v>
      </c>
      <c r="V6" s="84">
        <v>1</v>
      </c>
      <c r="W6" s="98" t="s">
        <v>228</v>
      </c>
      <c r="X6" s="99" t="s">
        <v>229</v>
      </c>
    </row>
    <row r="7" spans="1:24" x14ac:dyDescent="0.15">
      <c r="A7" s="96" t="str">
        <f t="shared" si="0"/>
        <v>47002_1_everyone_clear_6</v>
      </c>
      <c r="B7" s="7">
        <v>47002</v>
      </c>
      <c r="C7" s="83" t="str">
        <f ca="1">VLOOKUP($B7,OFFSET([2]quests!$A$1,0,0,COUNTA([2]quests!$A:$A),MATCH(C$1,[2]quests!$1:$1,0)-MATCH($B$1,[2]quests!$1:$1,0)+1),MATCH(C$1,[2]quests!$1:$1,0)-MATCH($B$1,[2]quests!$1:$1,0)+1,FALSE)</f>
        <v>夏☆襲来！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【超絶級】夏☆襲来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85" t="s">
        <v>225</v>
      </c>
      <c r="I7" s="84" t="s">
        <v>226</v>
      </c>
      <c r="J7" s="84">
        <v>6</v>
      </c>
      <c r="K7" s="84">
        <v>5</v>
      </c>
      <c r="L7" s="84" t="s">
        <v>227</v>
      </c>
      <c r="M7" s="84">
        <v>338</v>
      </c>
      <c r="N7" s="97" t="str">
        <f ca="1">IF(L7="unit",VLOOKUP($M7,OFFSET([4]characters!$A$1,0,0,COUNTA([4]characters!$A:$A),MATCH(N$1,[4]characters!$1:$1,0)-MATCH("character_id",[4]characters!$1:$1,0)+1),MATCH(N$1,[4]characters!$1:$1,0)-MATCH("character_id",[4]characters!$1:$1,0)+1,FALSE),"")</f>
        <v>森のメタルダック</v>
      </c>
      <c r="O7" s="84">
        <v>1</v>
      </c>
      <c r="P7" s="84">
        <v>1</v>
      </c>
      <c r="Q7" s="84">
        <v>1</v>
      </c>
      <c r="R7" s="84">
        <v>0</v>
      </c>
      <c r="S7" s="84">
        <v>0</v>
      </c>
      <c r="T7" s="84">
        <v>0</v>
      </c>
      <c r="U7" s="84">
        <v>0</v>
      </c>
      <c r="V7" s="84">
        <v>1</v>
      </c>
      <c r="W7" s="98" t="s">
        <v>228</v>
      </c>
      <c r="X7" s="99" t="s">
        <v>229</v>
      </c>
    </row>
    <row r="8" spans="1:24" x14ac:dyDescent="0.15">
      <c r="A8" s="96" t="str">
        <f t="shared" si="0"/>
        <v>47002_1_everyone_clear_7</v>
      </c>
      <c r="B8" s="7">
        <v>47002</v>
      </c>
      <c r="C8" s="83" t="str">
        <f ca="1">VLOOKUP($B8,OFFSET([2]quests!$A$1,0,0,COUNTA([2]quests!$A:$A),MATCH(C$1,[2]quests!$1:$1,0)-MATCH($B$1,[2]quests!$1:$1,0)+1),MATCH(C$1,[2]quests!$1:$1,0)-MATCH($B$1,[2]quests!$1:$1,0)+1,FALSE)</f>
        <v>夏☆襲来！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【超絶級】夏☆襲来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85" t="s">
        <v>225</v>
      </c>
      <c r="I8" s="84" t="s">
        <v>226</v>
      </c>
      <c r="J8" s="84">
        <v>7</v>
      </c>
      <c r="K8" s="84">
        <v>5</v>
      </c>
      <c r="L8" s="84" t="s">
        <v>227</v>
      </c>
      <c r="M8" s="84">
        <v>342</v>
      </c>
      <c r="N8" s="97" t="str">
        <f ca="1">IF(L8="unit",VLOOKUP($M8,OFFSET([4]characters!$A$1,0,0,COUNTA([4]characters!$A:$A),MATCH(N$1,[4]characters!$1:$1,0)-MATCH("character_id",[4]characters!$1:$1,0)+1),MATCH(N$1,[4]characters!$1:$1,0)-MATCH("character_id",[4]characters!$1:$1,0)+1,FALSE),"")</f>
        <v>水のメタルダック</v>
      </c>
      <c r="O8" s="84">
        <v>1</v>
      </c>
      <c r="P8" s="84">
        <v>1</v>
      </c>
      <c r="Q8" s="84">
        <v>1</v>
      </c>
      <c r="R8" s="84">
        <v>0</v>
      </c>
      <c r="S8" s="84">
        <v>0</v>
      </c>
      <c r="T8" s="84">
        <v>0</v>
      </c>
      <c r="U8" s="84">
        <v>0</v>
      </c>
      <c r="V8" s="84">
        <v>1</v>
      </c>
      <c r="W8" s="98" t="s">
        <v>228</v>
      </c>
      <c r="X8" s="99" t="s">
        <v>229</v>
      </c>
    </row>
    <row r="9" spans="1:24" x14ac:dyDescent="0.15">
      <c r="A9" s="96" t="str">
        <f t="shared" si="0"/>
        <v>47002_1_everyone_clear_8</v>
      </c>
      <c r="B9" s="7">
        <v>47002</v>
      </c>
      <c r="C9" s="83" t="str">
        <f ca="1">VLOOKUP($B9,OFFSET([2]quests!$A$1,0,0,COUNTA([2]quests!$A:$A),MATCH(C$1,[2]quests!$1:$1,0)-MATCH($B$1,[2]quests!$1:$1,0)+1),MATCH(C$1,[2]quests!$1:$1,0)-MATCH($B$1,[2]quests!$1:$1,0)+1,FALSE)</f>
        <v>夏☆襲来！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84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【超絶級】夏☆襲来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85" t="s">
        <v>225</v>
      </c>
      <c r="I9" s="84" t="s">
        <v>226</v>
      </c>
      <c r="J9" s="84">
        <v>8</v>
      </c>
      <c r="K9" s="84">
        <v>5</v>
      </c>
      <c r="L9" s="84" t="s">
        <v>227</v>
      </c>
      <c r="M9" s="84">
        <v>346</v>
      </c>
      <c r="N9" s="97" t="str">
        <f ca="1">IF(L9="unit",VLOOKUP($M9,OFFSET([4]characters!$A$1,0,0,COUNTA([4]characters!$A:$A),MATCH(N$1,[4]characters!$1:$1,0)-MATCH("character_id",[4]characters!$1:$1,0)+1),MATCH(N$1,[4]characters!$1:$1,0)-MATCH("character_id",[4]characters!$1:$1,0)+1,FALSE),"")</f>
        <v>雷のメタルダック</v>
      </c>
      <c r="O9" s="84">
        <v>1</v>
      </c>
      <c r="P9" s="84">
        <v>1</v>
      </c>
      <c r="Q9" s="84">
        <v>1</v>
      </c>
      <c r="R9" s="84">
        <v>0</v>
      </c>
      <c r="S9" s="84">
        <v>0</v>
      </c>
      <c r="T9" s="84">
        <v>0</v>
      </c>
      <c r="U9" s="84">
        <v>0</v>
      </c>
      <c r="V9" s="84">
        <v>1</v>
      </c>
      <c r="W9" s="98" t="s">
        <v>228</v>
      </c>
      <c r="X9" s="99" t="s">
        <v>229</v>
      </c>
    </row>
    <row r="10" spans="1:24" x14ac:dyDescent="0.15">
      <c r="A10" s="96" t="str">
        <f>B10&amp;"_"&amp;E10&amp;"_"&amp;H10&amp;"_"&amp;I10&amp;"_"&amp;J10</f>
        <v>47002_2_everyone_clear_1</v>
      </c>
      <c r="B10" s="7">
        <v>47002</v>
      </c>
      <c r="C10" s="83" t="str">
        <f ca="1">VLOOKUP($B10,OFFSET([2]quests!$A$1,0,0,COUNTA([2]quests!$A:$A),MATCH(C$1,[2]quests!$1:$1,0)-MATCH($B$1,[2]quests!$1:$1,0)+1),MATCH(C$1,[2]quests!$1:$1,0)-MATCH($B$1,[2]quests!$1:$1,0)+1,FALSE)</f>
        <v>夏☆襲来！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84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【ウィザード級】夏☆襲来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季節イベント</v>
      </c>
      <c r="H10" s="85" t="s">
        <v>225</v>
      </c>
      <c r="I10" s="84" t="s">
        <v>226</v>
      </c>
      <c r="J10" s="84">
        <v>1</v>
      </c>
      <c r="K10" s="84">
        <v>100</v>
      </c>
      <c r="L10" s="84" t="s">
        <v>476</v>
      </c>
      <c r="M10" s="84">
        <v>700</v>
      </c>
      <c r="N10" s="97" t="str">
        <f ca="1">IF(L10="unit",VLOOKUP($M10,OFFSET([4]characters!$A$1,0,0,COUNTA([4]characters!$A:$A),MATCH(N$1,[4]characters!$1:$1,0)-MATCH("character_id",[4]characters!$1:$1,0)+1),MATCH(N$1,[4]characters!$1:$1,0)-MATCH("character_id",[4]characters!$1:$1,0)+1,FALSE),"")</f>
        <v/>
      </c>
      <c r="O10" s="84">
        <v>1</v>
      </c>
      <c r="P10" s="84">
        <v>1</v>
      </c>
      <c r="Q10" s="84">
        <v>1</v>
      </c>
      <c r="R10" s="84">
        <v>0</v>
      </c>
      <c r="S10" s="84">
        <v>0</v>
      </c>
      <c r="T10" s="84">
        <v>0</v>
      </c>
      <c r="U10" s="84">
        <v>0</v>
      </c>
      <c r="V10" s="84">
        <v>1</v>
      </c>
      <c r="W10" s="98" t="s">
        <v>228</v>
      </c>
      <c r="X10" s="99" t="s">
        <v>229</v>
      </c>
    </row>
    <row r="11" spans="1:24" x14ac:dyDescent="0.15">
      <c r="A11" s="96" t="str">
        <f t="shared" ref="A11:A12" si="1">B11&amp;"_"&amp;E11&amp;"_"&amp;H11&amp;"_"&amp;I11&amp;"_"&amp;J11</f>
        <v>47002_2_everyone_no_continue_2</v>
      </c>
      <c r="B11" s="7">
        <v>47002</v>
      </c>
      <c r="C11" s="83" t="str">
        <f ca="1">VLOOKUP($B11,OFFSET([2]quests!$A$1,0,0,COUNTA([2]quests!$A:$A),MATCH(C$1,[2]quests!$1:$1,0)-MATCH($B$1,[2]quests!$1:$1,0)+1),MATCH(C$1,[2]quests!$1:$1,0)-MATCH($B$1,[2]quests!$1:$1,0)+1,FALSE)</f>
        <v>夏☆襲来！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84">
        <v>2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【ウィザード級】夏☆襲来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季節イベント</v>
      </c>
      <c r="H11" s="85" t="s">
        <v>225</v>
      </c>
      <c r="I11" s="84" t="s">
        <v>230</v>
      </c>
      <c r="J11" s="84">
        <v>2</v>
      </c>
      <c r="K11" s="84">
        <v>50</v>
      </c>
      <c r="L11" s="84" t="s">
        <v>476</v>
      </c>
      <c r="M11" s="84">
        <v>700</v>
      </c>
      <c r="N11" s="97" t="str">
        <f ca="1">IF(L11="unit",VLOOKUP($M11,OFFSET([4]characters!$A$1,0,0,COUNTA([4]characters!$A:$A),MATCH(N$1,[4]characters!$1:$1,0)-MATCH("character_id",[4]characters!$1:$1,0)+1),MATCH(N$1,[4]characters!$1:$1,0)-MATCH("character_id",[4]characters!$1:$1,0)+1,FALSE),"")</f>
        <v/>
      </c>
      <c r="O11" s="84">
        <v>1</v>
      </c>
      <c r="P11" s="84">
        <v>1</v>
      </c>
      <c r="Q11" s="84">
        <v>1</v>
      </c>
      <c r="R11" s="84">
        <v>0</v>
      </c>
      <c r="S11" s="84">
        <v>0</v>
      </c>
      <c r="T11" s="84">
        <v>0</v>
      </c>
      <c r="U11" s="84">
        <v>0</v>
      </c>
      <c r="V11" s="84">
        <v>1</v>
      </c>
      <c r="W11" s="98" t="s">
        <v>228</v>
      </c>
      <c r="X11" s="99" t="s">
        <v>229</v>
      </c>
    </row>
    <row r="12" spans="1:24" x14ac:dyDescent="0.15">
      <c r="A12" s="96" t="str">
        <f t="shared" si="1"/>
        <v>47002_2_everyone_no_continue_3</v>
      </c>
      <c r="B12" s="7">
        <v>47002</v>
      </c>
      <c r="C12" s="83" t="str">
        <f ca="1">VLOOKUP($B12,OFFSET([2]quests!$A$1,0,0,COUNTA([2]quests!$A:$A),MATCH(C$1,[2]quests!$1:$1,0)-MATCH($B$1,[2]quests!$1:$1,0)+1),MATCH(C$1,[2]quests!$1:$1,0)-MATCH($B$1,[2]quests!$1:$1,0)+1,FALSE)</f>
        <v>夏☆襲来！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84">
        <v>2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【ウィザード級】夏☆襲来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季節イベント</v>
      </c>
      <c r="H12" s="85" t="s">
        <v>225</v>
      </c>
      <c r="I12" s="84" t="s">
        <v>230</v>
      </c>
      <c r="J12" s="84">
        <v>3</v>
      </c>
      <c r="K12" s="84">
        <v>50</v>
      </c>
      <c r="L12" s="84" t="s">
        <v>476</v>
      </c>
      <c r="M12" s="84">
        <v>700</v>
      </c>
      <c r="N12" s="97" t="str">
        <f ca="1">IF(L12="unit",VLOOKUP($M12,OFFSET([4]characters!$A$1,0,0,COUNTA([4]characters!$A:$A),MATCH(N$1,[4]characters!$1:$1,0)-MATCH("character_id",[4]characters!$1:$1,0)+1),MATCH(N$1,[4]characters!$1:$1,0)-MATCH("character_id",[4]characters!$1:$1,0)+1,FALSE),"")</f>
        <v/>
      </c>
      <c r="O12" s="84">
        <v>2</v>
      </c>
      <c r="P12" s="84">
        <v>1</v>
      </c>
      <c r="Q12" s="84">
        <v>1</v>
      </c>
      <c r="R12" s="84">
        <v>0</v>
      </c>
      <c r="S12" s="84">
        <v>0</v>
      </c>
      <c r="T12" s="84">
        <v>0</v>
      </c>
      <c r="U12" s="84">
        <v>0</v>
      </c>
      <c r="V12" s="84">
        <v>1</v>
      </c>
      <c r="W12" s="98" t="s">
        <v>228</v>
      </c>
      <c r="X12" s="99" t="s">
        <v>229</v>
      </c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2016-07-17T14:18:21Z</dcterms:modified>
</cp:coreProperties>
</file>