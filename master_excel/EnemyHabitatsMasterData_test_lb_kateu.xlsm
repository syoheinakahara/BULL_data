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011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user/BULL_data/master_excel/"/>
    </mc:Choice>
  </mc:AlternateContent>
  <bookViews>
    <workbookView xWindow="100" yWindow="-17360" windowWidth="29700" windowHeight="14580" tabRatio="740" activeTab="3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bugbonuses" sheetId="18" r:id="rId8"/>
    <sheet name="stage_hints_complete" sheetId="19" r:id="rId9"/>
    <sheet name="stage_hints_failure" sheetId="21" r:id="rId10"/>
    <sheet name="stage_bonuses" sheetId="22" r:id="rId11"/>
  </sheets>
  <externalReferences>
    <externalReference r:id="rId12"/>
    <externalReference r:id="rId13"/>
    <externalReference r:id="rId14"/>
    <externalReference r:id="rId15"/>
    <externalReference r:id="rId16"/>
    <externalReference r:id="rId17"/>
    <externalReference r:id="rId18"/>
  </externalReferences>
  <definedNames>
    <definedName name="_xlnm._FilterDatabase" localSheetId="3" hidden="1">enemy_habitat_S!$B$1:$AA$1</definedName>
    <definedName name="_xlnm._FilterDatabase" localSheetId="2" hidden="1">enemy_habitats!$B$1:$AJ$1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10" hidden="1">stage_bonuses!$B$1:$I$1</definedName>
    <definedName name="_xlnm._FilterDatabase" localSheetId="8" hidden="1">stage_hints_complete!$B$1:$L$2</definedName>
    <definedName name="_xlnm._FilterDatabase" localSheetId="9" hidden="1">stage_hints_failure!$B$1:$M$2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39" i="9" l="1"/>
  <c r="N39" i="9"/>
  <c r="M39" i="9"/>
  <c r="L39" i="9"/>
  <c r="K39" i="9"/>
  <c r="J39" i="9"/>
  <c r="I39" i="9"/>
  <c r="H39" i="9"/>
  <c r="G39" i="9"/>
  <c r="E39" i="9"/>
  <c r="D39" i="9"/>
  <c r="A39" i="9"/>
  <c r="O38" i="9"/>
  <c r="N38" i="9"/>
  <c r="M38" i="9"/>
  <c r="L38" i="9"/>
  <c r="K38" i="9"/>
  <c r="J38" i="9"/>
  <c r="I38" i="9"/>
  <c r="H38" i="9"/>
  <c r="G38" i="9"/>
  <c r="E38" i="9"/>
  <c r="D38" i="9"/>
  <c r="A38" i="9"/>
  <c r="O37" i="9"/>
  <c r="N37" i="9"/>
  <c r="M37" i="9"/>
  <c r="L37" i="9"/>
  <c r="K37" i="9"/>
  <c r="J37" i="9"/>
  <c r="I37" i="9"/>
  <c r="H37" i="9"/>
  <c r="G37" i="9"/>
  <c r="E37" i="9"/>
  <c r="D37" i="9"/>
  <c r="A37" i="9"/>
  <c r="O36" i="9"/>
  <c r="N36" i="9"/>
  <c r="M36" i="9"/>
  <c r="L36" i="9"/>
  <c r="K36" i="9"/>
  <c r="J36" i="9"/>
  <c r="I36" i="9"/>
  <c r="H36" i="9"/>
  <c r="G36" i="9"/>
  <c r="E36" i="9"/>
  <c r="D36" i="9"/>
  <c r="A36" i="9"/>
  <c r="O35" i="9"/>
  <c r="N35" i="9"/>
  <c r="M35" i="9"/>
  <c r="L35" i="9"/>
  <c r="K35" i="9"/>
  <c r="J35" i="9"/>
  <c r="I35" i="9"/>
  <c r="H35" i="9"/>
  <c r="G35" i="9"/>
  <c r="E35" i="9"/>
  <c r="D35" i="9"/>
  <c r="A35" i="9"/>
  <c r="O34" i="9"/>
  <c r="N34" i="9"/>
  <c r="M34" i="9"/>
  <c r="L34" i="9"/>
  <c r="K34" i="9"/>
  <c r="J34" i="9"/>
  <c r="I34" i="9"/>
  <c r="H34" i="9"/>
  <c r="G34" i="9"/>
  <c r="E34" i="9"/>
  <c r="D34" i="9"/>
  <c r="A34" i="9"/>
  <c r="O33" i="9"/>
  <c r="N33" i="9"/>
  <c r="M33" i="9"/>
  <c r="L33" i="9"/>
  <c r="K33" i="9"/>
  <c r="J33" i="9"/>
  <c r="I33" i="9"/>
  <c r="H33" i="9"/>
  <c r="G33" i="9"/>
  <c r="E33" i="9"/>
  <c r="D33" i="9"/>
  <c r="A33" i="9"/>
  <c r="O32" i="9"/>
  <c r="N32" i="9"/>
  <c r="M32" i="9"/>
  <c r="L32" i="9"/>
  <c r="K32" i="9"/>
  <c r="J32" i="9"/>
  <c r="I32" i="9"/>
  <c r="H32" i="9"/>
  <c r="G32" i="9"/>
  <c r="E32" i="9"/>
  <c r="D32" i="9"/>
  <c r="A32" i="9"/>
  <c r="O31" i="9"/>
  <c r="N31" i="9"/>
  <c r="M31" i="9"/>
  <c r="L31" i="9"/>
  <c r="K31" i="9"/>
  <c r="J31" i="9"/>
  <c r="I31" i="9"/>
  <c r="H31" i="9"/>
  <c r="G31" i="9"/>
  <c r="E31" i="9"/>
  <c r="D31" i="9"/>
  <c r="A31" i="9"/>
  <c r="O30" i="9"/>
  <c r="N30" i="9"/>
  <c r="M30" i="9"/>
  <c r="L30" i="9"/>
  <c r="K30" i="9"/>
  <c r="J30" i="9"/>
  <c r="I30" i="9"/>
  <c r="H30" i="9"/>
  <c r="G30" i="9"/>
  <c r="E30" i="9"/>
  <c r="D30" i="9"/>
  <c r="A30" i="9"/>
  <c r="O29" i="9"/>
  <c r="N29" i="9"/>
  <c r="M29" i="9"/>
  <c r="L29" i="9"/>
  <c r="K29" i="9"/>
  <c r="J29" i="9"/>
  <c r="I29" i="9"/>
  <c r="H29" i="9"/>
  <c r="G29" i="9"/>
  <c r="E29" i="9"/>
  <c r="D29" i="9"/>
  <c r="A29" i="9"/>
  <c r="O28" i="9"/>
  <c r="N28" i="9"/>
  <c r="M28" i="9"/>
  <c r="L28" i="9"/>
  <c r="K28" i="9"/>
  <c r="J28" i="9"/>
  <c r="I28" i="9"/>
  <c r="H28" i="9"/>
  <c r="G28" i="9"/>
  <c r="E28" i="9"/>
  <c r="D28" i="9"/>
  <c r="A28" i="9"/>
  <c r="O27" i="9"/>
  <c r="N27" i="9"/>
  <c r="M27" i="9"/>
  <c r="L27" i="9"/>
  <c r="K27" i="9"/>
  <c r="J27" i="9"/>
  <c r="I27" i="9"/>
  <c r="H27" i="9"/>
  <c r="G27" i="9"/>
  <c r="E27" i="9"/>
  <c r="D27" i="9"/>
  <c r="A27" i="9"/>
  <c r="O26" i="9"/>
  <c r="N26" i="9"/>
  <c r="M26" i="9"/>
  <c r="L26" i="9"/>
  <c r="K26" i="9"/>
  <c r="J26" i="9"/>
  <c r="I26" i="9"/>
  <c r="H26" i="9"/>
  <c r="G26" i="9"/>
  <c r="E26" i="9"/>
  <c r="D26" i="9"/>
  <c r="A26" i="9"/>
  <c r="O25" i="9"/>
  <c r="N25" i="9"/>
  <c r="M25" i="9"/>
  <c r="L25" i="9"/>
  <c r="K25" i="9"/>
  <c r="J25" i="9"/>
  <c r="I25" i="9"/>
  <c r="H25" i="9"/>
  <c r="G25" i="9"/>
  <c r="E25" i="9"/>
  <c r="D25" i="9"/>
  <c r="A25" i="9"/>
  <c r="O24" i="9"/>
  <c r="N24" i="9"/>
  <c r="M24" i="9"/>
  <c r="L24" i="9"/>
  <c r="K24" i="9"/>
  <c r="J24" i="9"/>
  <c r="I24" i="9"/>
  <c r="H24" i="9"/>
  <c r="G24" i="9"/>
  <c r="E24" i="9"/>
  <c r="D24" i="9"/>
  <c r="A24" i="9"/>
  <c r="O23" i="9"/>
  <c r="N23" i="9"/>
  <c r="M23" i="9"/>
  <c r="L23" i="9"/>
  <c r="K23" i="9"/>
  <c r="J23" i="9"/>
  <c r="I23" i="9"/>
  <c r="H23" i="9"/>
  <c r="G23" i="9"/>
  <c r="E23" i="9"/>
  <c r="D23" i="9"/>
  <c r="A23" i="9"/>
  <c r="O22" i="9"/>
  <c r="N22" i="9"/>
  <c r="M22" i="9"/>
  <c r="L22" i="9"/>
  <c r="K22" i="9"/>
  <c r="J22" i="9"/>
  <c r="I22" i="9"/>
  <c r="H22" i="9"/>
  <c r="G22" i="9"/>
  <c r="E22" i="9"/>
  <c r="D22" i="9"/>
  <c r="A22" i="9"/>
  <c r="O21" i="9"/>
  <c r="N21" i="9"/>
  <c r="M21" i="9"/>
  <c r="L21" i="9"/>
  <c r="K21" i="9"/>
  <c r="J21" i="9"/>
  <c r="I21" i="9"/>
  <c r="H21" i="9"/>
  <c r="G21" i="9"/>
  <c r="E21" i="9"/>
  <c r="D21" i="9"/>
  <c r="A21" i="9"/>
  <c r="O20" i="9"/>
  <c r="N20" i="9"/>
  <c r="M20" i="9"/>
  <c r="L20" i="9"/>
  <c r="K20" i="9"/>
  <c r="J20" i="9"/>
  <c r="I20" i="9"/>
  <c r="H20" i="9"/>
  <c r="G20" i="9"/>
  <c r="E20" i="9"/>
  <c r="D20" i="9"/>
  <c r="A20" i="9"/>
  <c r="O19" i="9"/>
  <c r="N19" i="9"/>
  <c r="M19" i="9"/>
  <c r="L19" i="9"/>
  <c r="K19" i="9"/>
  <c r="J19" i="9"/>
  <c r="I19" i="9"/>
  <c r="H19" i="9"/>
  <c r="G19" i="9"/>
  <c r="E19" i="9"/>
  <c r="D19" i="9"/>
  <c r="A19" i="9"/>
  <c r="O18" i="9"/>
  <c r="N18" i="9"/>
  <c r="M18" i="9"/>
  <c r="L18" i="9"/>
  <c r="K18" i="9"/>
  <c r="J18" i="9"/>
  <c r="I18" i="9"/>
  <c r="H18" i="9"/>
  <c r="G18" i="9"/>
  <c r="E18" i="9"/>
  <c r="D18" i="9"/>
  <c r="A18" i="9"/>
  <c r="O17" i="9"/>
  <c r="N17" i="9"/>
  <c r="M17" i="9"/>
  <c r="L17" i="9"/>
  <c r="K17" i="9"/>
  <c r="J17" i="9"/>
  <c r="I17" i="9"/>
  <c r="H17" i="9"/>
  <c r="G17" i="9"/>
  <c r="E17" i="9"/>
  <c r="D17" i="9"/>
  <c r="A17" i="9"/>
  <c r="O16" i="9"/>
  <c r="N16" i="9"/>
  <c r="M16" i="9"/>
  <c r="L16" i="9"/>
  <c r="K16" i="9"/>
  <c r="J16" i="9"/>
  <c r="I16" i="9"/>
  <c r="H16" i="9"/>
  <c r="G16" i="9"/>
  <c r="E16" i="9"/>
  <c r="D16" i="9"/>
  <c r="A16" i="9"/>
  <c r="O15" i="9"/>
  <c r="N15" i="9"/>
  <c r="M15" i="9"/>
  <c r="L15" i="9"/>
  <c r="K15" i="9"/>
  <c r="J15" i="9"/>
  <c r="I15" i="9"/>
  <c r="H15" i="9"/>
  <c r="G15" i="9"/>
  <c r="E15" i="9"/>
  <c r="D15" i="9"/>
  <c r="A15" i="9"/>
  <c r="O14" i="9"/>
  <c r="N14" i="9"/>
  <c r="M14" i="9"/>
  <c r="L14" i="9"/>
  <c r="K14" i="9"/>
  <c r="J14" i="9"/>
  <c r="I14" i="9"/>
  <c r="H14" i="9"/>
  <c r="G14" i="9"/>
  <c r="E14" i="9"/>
  <c r="D14" i="9"/>
  <c r="A14" i="9"/>
  <c r="O13" i="9"/>
  <c r="N13" i="9"/>
  <c r="M13" i="9"/>
  <c r="L13" i="9"/>
  <c r="K13" i="9"/>
  <c r="J13" i="9"/>
  <c r="I13" i="9"/>
  <c r="H13" i="9"/>
  <c r="G13" i="9"/>
  <c r="E13" i="9"/>
  <c r="D13" i="9"/>
  <c r="A13" i="9"/>
  <c r="O12" i="9"/>
  <c r="N12" i="9"/>
  <c r="M12" i="9"/>
  <c r="L12" i="9"/>
  <c r="K12" i="9"/>
  <c r="J12" i="9"/>
  <c r="I12" i="9"/>
  <c r="H12" i="9"/>
  <c r="G12" i="9"/>
  <c r="E12" i="9"/>
  <c r="D12" i="9"/>
  <c r="A12" i="9"/>
  <c r="O11" i="9"/>
  <c r="N11" i="9"/>
  <c r="M11" i="9"/>
  <c r="L11" i="9"/>
  <c r="K11" i="9"/>
  <c r="J11" i="9"/>
  <c r="I11" i="9"/>
  <c r="H11" i="9"/>
  <c r="G11" i="9"/>
  <c r="E11" i="9"/>
  <c r="D11" i="9"/>
  <c r="A11" i="9"/>
  <c r="O10" i="9"/>
  <c r="N10" i="9"/>
  <c r="M10" i="9"/>
  <c r="L10" i="9"/>
  <c r="K10" i="9"/>
  <c r="J10" i="9"/>
  <c r="I10" i="9"/>
  <c r="H10" i="9"/>
  <c r="G10" i="9"/>
  <c r="E10" i="9"/>
  <c r="D10" i="9"/>
  <c r="A10" i="9"/>
  <c r="O9" i="9"/>
  <c r="N9" i="9"/>
  <c r="M9" i="9"/>
  <c r="L9" i="9"/>
  <c r="K9" i="9"/>
  <c r="J9" i="9"/>
  <c r="I9" i="9"/>
  <c r="H9" i="9"/>
  <c r="G9" i="9"/>
  <c r="E9" i="9"/>
  <c r="D9" i="9"/>
  <c r="A9" i="9"/>
  <c r="O8" i="9"/>
  <c r="N8" i="9"/>
  <c r="M8" i="9"/>
  <c r="L8" i="9"/>
  <c r="K8" i="9"/>
  <c r="J8" i="9"/>
  <c r="I8" i="9"/>
  <c r="H8" i="9"/>
  <c r="G8" i="9"/>
  <c r="E8" i="9"/>
  <c r="D8" i="9"/>
  <c r="A8" i="9"/>
  <c r="O7" i="9"/>
  <c r="N7" i="9"/>
  <c r="M7" i="9"/>
  <c r="L7" i="9"/>
  <c r="K7" i="9"/>
  <c r="J7" i="9"/>
  <c r="I7" i="9"/>
  <c r="H7" i="9"/>
  <c r="G7" i="9"/>
  <c r="E7" i="9"/>
  <c r="D7" i="9"/>
  <c r="A7" i="9"/>
  <c r="O6" i="9"/>
  <c r="N6" i="9"/>
  <c r="M6" i="9"/>
  <c r="L6" i="9"/>
  <c r="K6" i="9"/>
  <c r="J6" i="9"/>
  <c r="I6" i="9"/>
  <c r="H6" i="9"/>
  <c r="G6" i="9"/>
  <c r="E6" i="9"/>
  <c r="D6" i="9"/>
  <c r="A6" i="9"/>
  <c r="O5" i="9"/>
  <c r="N5" i="9"/>
  <c r="M5" i="9"/>
  <c r="L5" i="9"/>
  <c r="K5" i="9"/>
  <c r="J5" i="9"/>
  <c r="I5" i="9"/>
  <c r="H5" i="9"/>
  <c r="G5" i="9"/>
  <c r="E5" i="9"/>
  <c r="D5" i="9"/>
  <c r="A5" i="9"/>
  <c r="O4" i="9"/>
  <c r="N4" i="9"/>
  <c r="M4" i="9"/>
  <c r="L4" i="9"/>
  <c r="K4" i="9"/>
  <c r="J4" i="9"/>
  <c r="I4" i="9"/>
  <c r="H4" i="9"/>
  <c r="G4" i="9"/>
  <c r="E4" i="9"/>
  <c r="D4" i="9"/>
  <c r="A4" i="9"/>
  <c r="O3" i="9"/>
  <c r="N3" i="9"/>
  <c r="M3" i="9"/>
  <c r="L3" i="9"/>
  <c r="K3" i="9"/>
  <c r="J3" i="9"/>
  <c r="I3" i="9"/>
  <c r="H3" i="9"/>
  <c r="G3" i="9"/>
  <c r="E3" i="9"/>
  <c r="D3" i="9"/>
  <c r="A3" i="9"/>
  <c r="J71" i="11"/>
  <c r="J70" i="11"/>
  <c r="J69" i="11"/>
  <c r="J68" i="11"/>
  <c r="J67" i="11"/>
  <c r="J66" i="11"/>
  <c r="J65" i="11"/>
  <c r="J64" i="11"/>
  <c r="J63" i="11"/>
  <c r="J62" i="11"/>
  <c r="J61" i="11"/>
  <c r="J60" i="11"/>
  <c r="J59" i="11"/>
  <c r="J58" i="11"/>
  <c r="J57" i="11"/>
  <c r="J56" i="11"/>
  <c r="J55" i="11"/>
  <c r="J54" i="11"/>
  <c r="J53" i="11"/>
  <c r="J52" i="11"/>
  <c r="J51" i="11"/>
  <c r="J50" i="11"/>
  <c r="J49" i="11"/>
  <c r="J48" i="11"/>
  <c r="J47" i="11"/>
  <c r="J46" i="11"/>
  <c r="J45" i="11"/>
  <c r="J44" i="11"/>
  <c r="J43" i="11"/>
  <c r="J42" i="11"/>
  <c r="J41" i="11"/>
  <c r="J40" i="11"/>
  <c r="J39" i="11"/>
  <c r="J38" i="11"/>
  <c r="J37" i="11"/>
  <c r="J36" i="11"/>
  <c r="J35" i="11"/>
  <c r="J34" i="11"/>
  <c r="J33" i="11"/>
  <c r="J32" i="11"/>
  <c r="J31" i="11"/>
  <c r="J30" i="11"/>
  <c r="J29" i="11"/>
  <c r="J28" i="11"/>
  <c r="J27" i="11"/>
  <c r="J26" i="11"/>
  <c r="J25" i="11"/>
  <c r="J24" i="11"/>
  <c r="J23" i="11"/>
  <c r="J22" i="11"/>
  <c r="J21" i="11"/>
  <c r="J20" i="11"/>
  <c r="J19" i="11"/>
  <c r="J18" i="11"/>
  <c r="J17" i="11"/>
  <c r="J16" i="11"/>
  <c r="J15" i="11"/>
  <c r="J14" i="11"/>
  <c r="J13" i="11"/>
  <c r="J12" i="11"/>
  <c r="J11" i="11"/>
  <c r="J10" i="11"/>
  <c r="J9" i="11"/>
  <c r="J8" i="11"/>
  <c r="J7" i="11"/>
  <c r="J6" i="11"/>
  <c r="J5" i="11"/>
  <c r="J4" i="11"/>
  <c r="J3" i="11"/>
  <c r="M71" i="10"/>
  <c r="T71" i="10"/>
  <c r="W71" i="10"/>
  <c r="V71" i="10"/>
  <c r="X71" i="10"/>
  <c r="U71" i="10"/>
  <c r="Y71" i="10"/>
  <c r="N71" i="10"/>
  <c r="Q71" i="10"/>
  <c r="P71" i="10"/>
  <c r="R71" i="10"/>
  <c r="O71" i="10"/>
  <c r="S71" i="10"/>
  <c r="G71" i="10"/>
  <c r="J71" i="10"/>
  <c r="I71" i="10"/>
  <c r="K71" i="10"/>
  <c r="H71" i="10"/>
  <c r="L71" i="10"/>
  <c r="M70" i="10"/>
  <c r="T70" i="10"/>
  <c r="W70" i="10"/>
  <c r="V70" i="10"/>
  <c r="X70" i="10"/>
  <c r="U70" i="10"/>
  <c r="Y70" i="10"/>
  <c r="N70" i="10"/>
  <c r="Q70" i="10"/>
  <c r="P70" i="10"/>
  <c r="R70" i="10"/>
  <c r="O70" i="10"/>
  <c r="S70" i="10"/>
  <c r="G70" i="10"/>
  <c r="J70" i="10"/>
  <c r="I70" i="10"/>
  <c r="K70" i="10"/>
  <c r="H70" i="10"/>
  <c r="L70" i="10"/>
  <c r="M69" i="10"/>
  <c r="T69" i="10"/>
  <c r="W69" i="10"/>
  <c r="V69" i="10"/>
  <c r="X69" i="10"/>
  <c r="U69" i="10"/>
  <c r="Y69" i="10"/>
  <c r="N69" i="10"/>
  <c r="Q69" i="10"/>
  <c r="P69" i="10"/>
  <c r="R69" i="10"/>
  <c r="O69" i="10"/>
  <c r="S69" i="10"/>
  <c r="G69" i="10"/>
  <c r="J69" i="10"/>
  <c r="I69" i="10"/>
  <c r="K69" i="10"/>
  <c r="H69" i="10"/>
  <c r="L69" i="10"/>
  <c r="M68" i="10"/>
  <c r="T68" i="10"/>
  <c r="W68" i="10"/>
  <c r="V68" i="10"/>
  <c r="X68" i="10"/>
  <c r="U68" i="10"/>
  <c r="Y68" i="10"/>
  <c r="N68" i="10"/>
  <c r="Q68" i="10"/>
  <c r="P68" i="10"/>
  <c r="R68" i="10"/>
  <c r="O68" i="10"/>
  <c r="S68" i="10"/>
  <c r="G68" i="10"/>
  <c r="J68" i="10"/>
  <c r="I68" i="10"/>
  <c r="K68" i="10"/>
  <c r="H68" i="10"/>
  <c r="L68" i="10"/>
  <c r="M67" i="10"/>
  <c r="T67" i="10"/>
  <c r="W67" i="10"/>
  <c r="V67" i="10"/>
  <c r="X67" i="10"/>
  <c r="U67" i="10"/>
  <c r="Y67" i="10"/>
  <c r="N67" i="10"/>
  <c r="Q67" i="10"/>
  <c r="P67" i="10"/>
  <c r="R67" i="10"/>
  <c r="O67" i="10"/>
  <c r="S67" i="10"/>
  <c r="G67" i="10"/>
  <c r="J67" i="10"/>
  <c r="I67" i="10"/>
  <c r="K67" i="10"/>
  <c r="H67" i="10"/>
  <c r="L67" i="10"/>
  <c r="M66" i="10"/>
  <c r="T66" i="10"/>
  <c r="W66" i="10"/>
  <c r="V66" i="10"/>
  <c r="X66" i="10"/>
  <c r="U66" i="10"/>
  <c r="Y66" i="10"/>
  <c r="N66" i="10"/>
  <c r="Q66" i="10"/>
  <c r="P66" i="10"/>
  <c r="R66" i="10"/>
  <c r="O66" i="10"/>
  <c r="S66" i="10"/>
  <c r="G66" i="10"/>
  <c r="J66" i="10"/>
  <c r="I66" i="10"/>
  <c r="K66" i="10"/>
  <c r="H66" i="10"/>
  <c r="L66" i="10"/>
  <c r="M65" i="10"/>
  <c r="T65" i="10"/>
  <c r="W65" i="10"/>
  <c r="V65" i="10"/>
  <c r="X65" i="10"/>
  <c r="U65" i="10"/>
  <c r="Y65" i="10"/>
  <c r="N65" i="10"/>
  <c r="Q65" i="10"/>
  <c r="P65" i="10"/>
  <c r="R65" i="10"/>
  <c r="O65" i="10"/>
  <c r="S65" i="10"/>
  <c r="G65" i="10"/>
  <c r="J65" i="10"/>
  <c r="I65" i="10"/>
  <c r="K65" i="10"/>
  <c r="H65" i="10"/>
  <c r="L65" i="10"/>
  <c r="M64" i="10"/>
  <c r="T64" i="10"/>
  <c r="W64" i="10"/>
  <c r="V64" i="10"/>
  <c r="X64" i="10"/>
  <c r="U64" i="10"/>
  <c r="Y64" i="10"/>
  <c r="N64" i="10"/>
  <c r="Q64" i="10"/>
  <c r="P64" i="10"/>
  <c r="R64" i="10"/>
  <c r="O64" i="10"/>
  <c r="S64" i="10"/>
  <c r="G64" i="10"/>
  <c r="J64" i="10"/>
  <c r="I64" i="10"/>
  <c r="K64" i="10"/>
  <c r="H64" i="10"/>
  <c r="L64" i="10"/>
  <c r="M63" i="10"/>
  <c r="T63" i="10"/>
  <c r="W63" i="10"/>
  <c r="V63" i="10"/>
  <c r="X63" i="10"/>
  <c r="U63" i="10"/>
  <c r="Y63" i="10"/>
  <c r="N63" i="10"/>
  <c r="Q63" i="10"/>
  <c r="P63" i="10"/>
  <c r="R63" i="10"/>
  <c r="O63" i="10"/>
  <c r="S63" i="10"/>
  <c r="G63" i="10"/>
  <c r="J63" i="10"/>
  <c r="I63" i="10"/>
  <c r="K63" i="10"/>
  <c r="H63" i="10"/>
  <c r="L63" i="10"/>
  <c r="M62" i="10"/>
  <c r="T62" i="10"/>
  <c r="W62" i="10"/>
  <c r="V62" i="10"/>
  <c r="X62" i="10"/>
  <c r="U62" i="10"/>
  <c r="Y62" i="10"/>
  <c r="N62" i="10"/>
  <c r="Q62" i="10"/>
  <c r="P62" i="10"/>
  <c r="R62" i="10"/>
  <c r="O62" i="10"/>
  <c r="S62" i="10"/>
  <c r="G62" i="10"/>
  <c r="J62" i="10"/>
  <c r="I62" i="10"/>
  <c r="K62" i="10"/>
  <c r="H62" i="10"/>
  <c r="L62" i="10"/>
  <c r="M61" i="10"/>
  <c r="T61" i="10"/>
  <c r="W61" i="10"/>
  <c r="V61" i="10"/>
  <c r="X61" i="10"/>
  <c r="U61" i="10"/>
  <c r="Y61" i="10"/>
  <c r="N61" i="10"/>
  <c r="Q61" i="10"/>
  <c r="P61" i="10"/>
  <c r="R61" i="10"/>
  <c r="O61" i="10"/>
  <c r="S61" i="10"/>
  <c r="G61" i="10"/>
  <c r="J61" i="10"/>
  <c r="I61" i="10"/>
  <c r="K61" i="10"/>
  <c r="H61" i="10"/>
  <c r="L61" i="10"/>
  <c r="M60" i="10"/>
  <c r="T60" i="10"/>
  <c r="W60" i="10"/>
  <c r="V60" i="10"/>
  <c r="X60" i="10"/>
  <c r="U60" i="10"/>
  <c r="Y60" i="10"/>
  <c r="N60" i="10"/>
  <c r="Q60" i="10"/>
  <c r="P60" i="10"/>
  <c r="R60" i="10"/>
  <c r="O60" i="10"/>
  <c r="S60" i="10"/>
  <c r="G60" i="10"/>
  <c r="J60" i="10"/>
  <c r="I60" i="10"/>
  <c r="K60" i="10"/>
  <c r="H60" i="10"/>
  <c r="L60" i="10"/>
  <c r="M59" i="10"/>
  <c r="T59" i="10"/>
  <c r="W59" i="10"/>
  <c r="V59" i="10"/>
  <c r="X59" i="10"/>
  <c r="U59" i="10"/>
  <c r="Y59" i="10"/>
  <c r="N59" i="10"/>
  <c r="Q59" i="10"/>
  <c r="P59" i="10"/>
  <c r="R59" i="10"/>
  <c r="O59" i="10"/>
  <c r="S59" i="10"/>
  <c r="G59" i="10"/>
  <c r="J59" i="10"/>
  <c r="I59" i="10"/>
  <c r="K59" i="10"/>
  <c r="H59" i="10"/>
  <c r="L59" i="10"/>
  <c r="M58" i="10"/>
  <c r="T58" i="10"/>
  <c r="W58" i="10"/>
  <c r="V58" i="10"/>
  <c r="X58" i="10"/>
  <c r="U58" i="10"/>
  <c r="Y58" i="10"/>
  <c r="N58" i="10"/>
  <c r="Q58" i="10"/>
  <c r="P58" i="10"/>
  <c r="R58" i="10"/>
  <c r="O58" i="10"/>
  <c r="S58" i="10"/>
  <c r="G58" i="10"/>
  <c r="J58" i="10"/>
  <c r="I58" i="10"/>
  <c r="K58" i="10"/>
  <c r="H58" i="10"/>
  <c r="L58" i="10"/>
  <c r="M57" i="10"/>
  <c r="T57" i="10"/>
  <c r="W57" i="10"/>
  <c r="V57" i="10"/>
  <c r="X57" i="10"/>
  <c r="U57" i="10"/>
  <c r="Y57" i="10"/>
  <c r="N57" i="10"/>
  <c r="Q57" i="10"/>
  <c r="P57" i="10"/>
  <c r="R57" i="10"/>
  <c r="O57" i="10"/>
  <c r="S57" i="10"/>
  <c r="G57" i="10"/>
  <c r="J57" i="10"/>
  <c r="I57" i="10"/>
  <c r="K57" i="10"/>
  <c r="H57" i="10"/>
  <c r="L57" i="10"/>
  <c r="M56" i="10"/>
  <c r="T56" i="10"/>
  <c r="W56" i="10"/>
  <c r="V56" i="10"/>
  <c r="X56" i="10"/>
  <c r="U56" i="10"/>
  <c r="Y56" i="10"/>
  <c r="N56" i="10"/>
  <c r="Q56" i="10"/>
  <c r="P56" i="10"/>
  <c r="R56" i="10"/>
  <c r="O56" i="10"/>
  <c r="S56" i="10"/>
  <c r="G56" i="10"/>
  <c r="J56" i="10"/>
  <c r="I56" i="10"/>
  <c r="K56" i="10"/>
  <c r="H56" i="10"/>
  <c r="L56" i="10"/>
  <c r="M55" i="10"/>
  <c r="T55" i="10"/>
  <c r="W55" i="10"/>
  <c r="V55" i="10"/>
  <c r="X55" i="10"/>
  <c r="U55" i="10"/>
  <c r="Y55" i="10"/>
  <c r="N55" i="10"/>
  <c r="Q55" i="10"/>
  <c r="P55" i="10"/>
  <c r="R55" i="10"/>
  <c r="O55" i="10"/>
  <c r="S55" i="10"/>
  <c r="G55" i="10"/>
  <c r="J55" i="10"/>
  <c r="I55" i="10"/>
  <c r="K55" i="10"/>
  <c r="H55" i="10"/>
  <c r="L55" i="10"/>
  <c r="M54" i="10"/>
  <c r="T54" i="10"/>
  <c r="W54" i="10"/>
  <c r="V54" i="10"/>
  <c r="X54" i="10"/>
  <c r="U54" i="10"/>
  <c r="Y54" i="10"/>
  <c r="N54" i="10"/>
  <c r="Q54" i="10"/>
  <c r="P54" i="10"/>
  <c r="R54" i="10"/>
  <c r="O54" i="10"/>
  <c r="S54" i="10"/>
  <c r="G54" i="10"/>
  <c r="J54" i="10"/>
  <c r="I54" i="10"/>
  <c r="K54" i="10"/>
  <c r="H54" i="10"/>
  <c r="L54" i="10"/>
  <c r="M53" i="10"/>
  <c r="T53" i="10"/>
  <c r="W53" i="10"/>
  <c r="V53" i="10"/>
  <c r="X53" i="10"/>
  <c r="U53" i="10"/>
  <c r="Y53" i="10"/>
  <c r="N53" i="10"/>
  <c r="Q53" i="10"/>
  <c r="P53" i="10"/>
  <c r="R53" i="10"/>
  <c r="O53" i="10"/>
  <c r="S53" i="10"/>
  <c r="G53" i="10"/>
  <c r="J53" i="10"/>
  <c r="I53" i="10"/>
  <c r="K53" i="10"/>
  <c r="H53" i="10"/>
  <c r="L53" i="10"/>
  <c r="M52" i="10"/>
  <c r="T52" i="10"/>
  <c r="W52" i="10"/>
  <c r="V52" i="10"/>
  <c r="X52" i="10"/>
  <c r="U52" i="10"/>
  <c r="Y52" i="10"/>
  <c r="N52" i="10"/>
  <c r="Q52" i="10"/>
  <c r="P52" i="10"/>
  <c r="R52" i="10"/>
  <c r="O52" i="10"/>
  <c r="S52" i="10"/>
  <c r="G52" i="10"/>
  <c r="J52" i="10"/>
  <c r="I52" i="10"/>
  <c r="K52" i="10"/>
  <c r="H52" i="10"/>
  <c r="L52" i="10"/>
  <c r="M51" i="10"/>
  <c r="T51" i="10"/>
  <c r="W51" i="10"/>
  <c r="V51" i="10"/>
  <c r="X51" i="10"/>
  <c r="U51" i="10"/>
  <c r="Y51" i="10"/>
  <c r="N51" i="10"/>
  <c r="Q51" i="10"/>
  <c r="P51" i="10"/>
  <c r="R51" i="10"/>
  <c r="O51" i="10"/>
  <c r="S51" i="10"/>
  <c r="G51" i="10"/>
  <c r="J51" i="10"/>
  <c r="I51" i="10"/>
  <c r="K51" i="10"/>
  <c r="H51" i="10"/>
  <c r="L51" i="10"/>
  <c r="M50" i="10"/>
  <c r="T50" i="10"/>
  <c r="W50" i="10"/>
  <c r="V50" i="10"/>
  <c r="X50" i="10"/>
  <c r="U50" i="10"/>
  <c r="Y50" i="10"/>
  <c r="N50" i="10"/>
  <c r="Q50" i="10"/>
  <c r="P50" i="10"/>
  <c r="R50" i="10"/>
  <c r="O50" i="10"/>
  <c r="S50" i="10"/>
  <c r="G50" i="10"/>
  <c r="J50" i="10"/>
  <c r="I50" i="10"/>
  <c r="K50" i="10"/>
  <c r="H50" i="10"/>
  <c r="L50" i="10"/>
  <c r="M49" i="10"/>
  <c r="T49" i="10"/>
  <c r="W49" i="10"/>
  <c r="V49" i="10"/>
  <c r="X49" i="10"/>
  <c r="U49" i="10"/>
  <c r="Y49" i="10"/>
  <c r="N49" i="10"/>
  <c r="Q49" i="10"/>
  <c r="P49" i="10"/>
  <c r="R49" i="10"/>
  <c r="O49" i="10"/>
  <c r="S49" i="10"/>
  <c r="G49" i="10"/>
  <c r="J49" i="10"/>
  <c r="I49" i="10"/>
  <c r="K49" i="10"/>
  <c r="H49" i="10"/>
  <c r="L49" i="10"/>
  <c r="M48" i="10"/>
  <c r="T48" i="10"/>
  <c r="W48" i="10"/>
  <c r="V48" i="10"/>
  <c r="X48" i="10"/>
  <c r="U48" i="10"/>
  <c r="Y48" i="10"/>
  <c r="N48" i="10"/>
  <c r="Q48" i="10"/>
  <c r="P48" i="10"/>
  <c r="R48" i="10"/>
  <c r="O48" i="10"/>
  <c r="S48" i="10"/>
  <c r="G48" i="10"/>
  <c r="J48" i="10"/>
  <c r="I48" i="10"/>
  <c r="K48" i="10"/>
  <c r="H48" i="10"/>
  <c r="L48" i="10"/>
  <c r="M47" i="10"/>
  <c r="T47" i="10"/>
  <c r="W47" i="10"/>
  <c r="V47" i="10"/>
  <c r="X47" i="10"/>
  <c r="U47" i="10"/>
  <c r="Y47" i="10"/>
  <c r="N47" i="10"/>
  <c r="Q47" i="10"/>
  <c r="P47" i="10"/>
  <c r="R47" i="10"/>
  <c r="O47" i="10"/>
  <c r="S47" i="10"/>
  <c r="G47" i="10"/>
  <c r="J47" i="10"/>
  <c r="I47" i="10"/>
  <c r="K47" i="10"/>
  <c r="H47" i="10"/>
  <c r="L47" i="10"/>
  <c r="M46" i="10"/>
  <c r="T46" i="10"/>
  <c r="W46" i="10"/>
  <c r="V46" i="10"/>
  <c r="X46" i="10"/>
  <c r="U46" i="10"/>
  <c r="Y46" i="10"/>
  <c r="N46" i="10"/>
  <c r="Q46" i="10"/>
  <c r="P46" i="10"/>
  <c r="R46" i="10"/>
  <c r="O46" i="10"/>
  <c r="S46" i="10"/>
  <c r="G46" i="10"/>
  <c r="J46" i="10"/>
  <c r="I46" i="10"/>
  <c r="K46" i="10"/>
  <c r="H46" i="10"/>
  <c r="L46" i="10"/>
  <c r="M45" i="10"/>
  <c r="T45" i="10"/>
  <c r="W45" i="10"/>
  <c r="V45" i="10"/>
  <c r="X45" i="10"/>
  <c r="U45" i="10"/>
  <c r="Y45" i="10"/>
  <c r="N45" i="10"/>
  <c r="Q45" i="10"/>
  <c r="P45" i="10"/>
  <c r="R45" i="10"/>
  <c r="O45" i="10"/>
  <c r="S45" i="10"/>
  <c r="G45" i="10"/>
  <c r="J45" i="10"/>
  <c r="I45" i="10"/>
  <c r="K45" i="10"/>
  <c r="H45" i="10"/>
  <c r="L45" i="10"/>
  <c r="M44" i="10"/>
  <c r="T44" i="10"/>
  <c r="W44" i="10"/>
  <c r="V44" i="10"/>
  <c r="X44" i="10"/>
  <c r="U44" i="10"/>
  <c r="Y44" i="10"/>
  <c r="N44" i="10"/>
  <c r="Q44" i="10"/>
  <c r="P44" i="10"/>
  <c r="R44" i="10"/>
  <c r="O44" i="10"/>
  <c r="S44" i="10"/>
  <c r="G44" i="10"/>
  <c r="J44" i="10"/>
  <c r="I44" i="10"/>
  <c r="K44" i="10"/>
  <c r="H44" i="10"/>
  <c r="L44" i="10"/>
  <c r="M43" i="10"/>
  <c r="T43" i="10"/>
  <c r="W43" i="10"/>
  <c r="V43" i="10"/>
  <c r="X43" i="10"/>
  <c r="U43" i="10"/>
  <c r="Y43" i="10"/>
  <c r="N43" i="10"/>
  <c r="Q43" i="10"/>
  <c r="P43" i="10"/>
  <c r="R43" i="10"/>
  <c r="O43" i="10"/>
  <c r="S43" i="10"/>
  <c r="G43" i="10"/>
  <c r="J43" i="10"/>
  <c r="I43" i="10"/>
  <c r="K43" i="10"/>
  <c r="H43" i="10"/>
  <c r="L43" i="10"/>
  <c r="M42" i="10"/>
  <c r="T42" i="10"/>
  <c r="W42" i="10"/>
  <c r="V42" i="10"/>
  <c r="X42" i="10"/>
  <c r="U42" i="10"/>
  <c r="Y42" i="10"/>
  <c r="N42" i="10"/>
  <c r="Q42" i="10"/>
  <c r="P42" i="10"/>
  <c r="R42" i="10"/>
  <c r="O42" i="10"/>
  <c r="S42" i="10"/>
  <c r="G42" i="10"/>
  <c r="J42" i="10"/>
  <c r="I42" i="10"/>
  <c r="K42" i="10"/>
  <c r="H42" i="10"/>
  <c r="L42" i="10"/>
  <c r="M41" i="10"/>
  <c r="T41" i="10"/>
  <c r="W41" i="10"/>
  <c r="V41" i="10"/>
  <c r="X41" i="10"/>
  <c r="U41" i="10"/>
  <c r="Y41" i="10"/>
  <c r="N41" i="10"/>
  <c r="Q41" i="10"/>
  <c r="P41" i="10"/>
  <c r="R41" i="10"/>
  <c r="O41" i="10"/>
  <c r="S41" i="10"/>
  <c r="G41" i="10"/>
  <c r="J41" i="10"/>
  <c r="I41" i="10"/>
  <c r="K41" i="10"/>
  <c r="H41" i="10"/>
  <c r="L41" i="10"/>
  <c r="M40" i="10"/>
  <c r="T40" i="10"/>
  <c r="W40" i="10"/>
  <c r="V40" i="10"/>
  <c r="X40" i="10"/>
  <c r="U40" i="10"/>
  <c r="Y40" i="10"/>
  <c r="N40" i="10"/>
  <c r="Q40" i="10"/>
  <c r="P40" i="10"/>
  <c r="R40" i="10"/>
  <c r="O40" i="10"/>
  <c r="S40" i="10"/>
  <c r="G40" i="10"/>
  <c r="J40" i="10"/>
  <c r="I40" i="10"/>
  <c r="K40" i="10"/>
  <c r="H40" i="10"/>
  <c r="L40" i="10"/>
  <c r="M39" i="10"/>
  <c r="T39" i="10"/>
  <c r="W39" i="10"/>
  <c r="V39" i="10"/>
  <c r="X39" i="10"/>
  <c r="U39" i="10"/>
  <c r="Y39" i="10"/>
  <c r="N39" i="10"/>
  <c r="Q39" i="10"/>
  <c r="P39" i="10"/>
  <c r="R39" i="10"/>
  <c r="O39" i="10"/>
  <c r="S39" i="10"/>
  <c r="G39" i="10"/>
  <c r="J39" i="10"/>
  <c r="I39" i="10"/>
  <c r="K39" i="10"/>
  <c r="H39" i="10"/>
  <c r="L39" i="10"/>
  <c r="M38" i="10"/>
  <c r="T38" i="10"/>
  <c r="W38" i="10"/>
  <c r="V38" i="10"/>
  <c r="X38" i="10"/>
  <c r="U38" i="10"/>
  <c r="Y38" i="10"/>
  <c r="N38" i="10"/>
  <c r="Q38" i="10"/>
  <c r="P38" i="10"/>
  <c r="R38" i="10"/>
  <c r="O38" i="10"/>
  <c r="S38" i="10"/>
  <c r="G38" i="10"/>
  <c r="J38" i="10"/>
  <c r="I38" i="10"/>
  <c r="K38" i="10"/>
  <c r="H38" i="10"/>
  <c r="L38" i="10"/>
  <c r="M37" i="10"/>
  <c r="T37" i="10"/>
  <c r="W37" i="10"/>
  <c r="V37" i="10"/>
  <c r="X37" i="10"/>
  <c r="U37" i="10"/>
  <c r="Y37" i="10"/>
  <c r="N37" i="10"/>
  <c r="Q37" i="10"/>
  <c r="P37" i="10"/>
  <c r="R37" i="10"/>
  <c r="O37" i="10"/>
  <c r="S37" i="10"/>
  <c r="G37" i="10"/>
  <c r="J37" i="10"/>
  <c r="I37" i="10"/>
  <c r="K37" i="10"/>
  <c r="H37" i="10"/>
  <c r="L37" i="10"/>
  <c r="M36" i="10"/>
  <c r="T36" i="10"/>
  <c r="W36" i="10"/>
  <c r="V36" i="10"/>
  <c r="X36" i="10"/>
  <c r="U36" i="10"/>
  <c r="Y36" i="10"/>
  <c r="N36" i="10"/>
  <c r="Q36" i="10"/>
  <c r="P36" i="10"/>
  <c r="R36" i="10"/>
  <c r="O36" i="10"/>
  <c r="S36" i="10"/>
  <c r="G36" i="10"/>
  <c r="J36" i="10"/>
  <c r="I36" i="10"/>
  <c r="K36" i="10"/>
  <c r="H36" i="10"/>
  <c r="L36" i="10"/>
  <c r="M35" i="10"/>
  <c r="T35" i="10"/>
  <c r="W35" i="10"/>
  <c r="V35" i="10"/>
  <c r="X35" i="10"/>
  <c r="U35" i="10"/>
  <c r="Y35" i="10"/>
  <c r="N35" i="10"/>
  <c r="Q35" i="10"/>
  <c r="P35" i="10"/>
  <c r="R35" i="10"/>
  <c r="O35" i="10"/>
  <c r="S35" i="10"/>
  <c r="G35" i="10"/>
  <c r="J35" i="10"/>
  <c r="I35" i="10"/>
  <c r="K35" i="10"/>
  <c r="H35" i="10"/>
  <c r="L35" i="10"/>
  <c r="M34" i="10"/>
  <c r="T34" i="10"/>
  <c r="W34" i="10"/>
  <c r="V34" i="10"/>
  <c r="X34" i="10"/>
  <c r="U34" i="10"/>
  <c r="Y34" i="10"/>
  <c r="N34" i="10"/>
  <c r="Q34" i="10"/>
  <c r="P34" i="10"/>
  <c r="R34" i="10"/>
  <c r="O34" i="10"/>
  <c r="S34" i="10"/>
  <c r="G34" i="10"/>
  <c r="J34" i="10"/>
  <c r="I34" i="10"/>
  <c r="K34" i="10"/>
  <c r="H34" i="10"/>
  <c r="L34" i="10"/>
  <c r="M33" i="10"/>
  <c r="T33" i="10"/>
  <c r="W33" i="10"/>
  <c r="V33" i="10"/>
  <c r="X33" i="10"/>
  <c r="U33" i="10"/>
  <c r="Y33" i="10"/>
  <c r="N33" i="10"/>
  <c r="Q33" i="10"/>
  <c r="P33" i="10"/>
  <c r="R33" i="10"/>
  <c r="O33" i="10"/>
  <c r="S33" i="10"/>
  <c r="G33" i="10"/>
  <c r="J33" i="10"/>
  <c r="I33" i="10"/>
  <c r="K33" i="10"/>
  <c r="H33" i="10"/>
  <c r="L33" i="10"/>
  <c r="M32" i="10"/>
  <c r="T32" i="10"/>
  <c r="W32" i="10"/>
  <c r="V32" i="10"/>
  <c r="X32" i="10"/>
  <c r="U32" i="10"/>
  <c r="Y32" i="10"/>
  <c r="N32" i="10"/>
  <c r="Q32" i="10"/>
  <c r="P32" i="10"/>
  <c r="R32" i="10"/>
  <c r="O32" i="10"/>
  <c r="S32" i="10"/>
  <c r="G32" i="10"/>
  <c r="J32" i="10"/>
  <c r="I32" i="10"/>
  <c r="K32" i="10"/>
  <c r="H32" i="10"/>
  <c r="L32" i="10"/>
  <c r="M31" i="10"/>
  <c r="T31" i="10"/>
  <c r="W31" i="10"/>
  <c r="V31" i="10"/>
  <c r="X31" i="10"/>
  <c r="U31" i="10"/>
  <c r="Y31" i="10"/>
  <c r="N31" i="10"/>
  <c r="Q31" i="10"/>
  <c r="P31" i="10"/>
  <c r="R31" i="10"/>
  <c r="O31" i="10"/>
  <c r="S31" i="10"/>
  <c r="G31" i="10"/>
  <c r="J31" i="10"/>
  <c r="I31" i="10"/>
  <c r="K31" i="10"/>
  <c r="H31" i="10"/>
  <c r="L31" i="10"/>
  <c r="M30" i="10"/>
  <c r="T30" i="10"/>
  <c r="W30" i="10"/>
  <c r="V30" i="10"/>
  <c r="X30" i="10"/>
  <c r="U30" i="10"/>
  <c r="Y30" i="10"/>
  <c r="N30" i="10"/>
  <c r="Q30" i="10"/>
  <c r="P30" i="10"/>
  <c r="R30" i="10"/>
  <c r="O30" i="10"/>
  <c r="S30" i="10"/>
  <c r="G30" i="10"/>
  <c r="J30" i="10"/>
  <c r="I30" i="10"/>
  <c r="K30" i="10"/>
  <c r="H30" i="10"/>
  <c r="L30" i="10"/>
  <c r="M29" i="10"/>
  <c r="T29" i="10"/>
  <c r="W29" i="10"/>
  <c r="V29" i="10"/>
  <c r="X29" i="10"/>
  <c r="U29" i="10"/>
  <c r="Y29" i="10"/>
  <c r="N29" i="10"/>
  <c r="Q29" i="10"/>
  <c r="P29" i="10"/>
  <c r="R29" i="10"/>
  <c r="O29" i="10"/>
  <c r="S29" i="10"/>
  <c r="G29" i="10"/>
  <c r="J29" i="10"/>
  <c r="I29" i="10"/>
  <c r="K29" i="10"/>
  <c r="H29" i="10"/>
  <c r="L29" i="10"/>
  <c r="M28" i="10"/>
  <c r="T28" i="10"/>
  <c r="W28" i="10"/>
  <c r="V28" i="10"/>
  <c r="X28" i="10"/>
  <c r="U28" i="10"/>
  <c r="Y28" i="10"/>
  <c r="N28" i="10"/>
  <c r="Q28" i="10"/>
  <c r="P28" i="10"/>
  <c r="R28" i="10"/>
  <c r="O28" i="10"/>
  <c r="S28" i="10"/>
  <c r="G28" i="10"/>
  <c r="J28" i="10"/>
  <c r="I28" i="10"/>
  <c r="K28" i="10"/>
  <c r="H28" i="10"/>
  <c r="L28" i="10"/>
  <c r="M27" i="10"/>
  <c r="T27" i="10"/>
  <c r="W27" i="10"/>
  <c r="V27" i="10"/>
  <c r="X27" i="10"/>
  <c r="U27" i="10"/>
  <c r="Y27" i="10"/>
  <c r="N27" i="10"/>
  <c r="Q27" i="10"/>
  <c r="P27" i="10"/>
  <c r="R27" i="10"/>
  <c r="O27" i="10"/>
  <c r="S27" i="10"/>
  <c r="G27" i="10"/>
  <c r="J27" i="10"/>
  <c r="I27" i="10"/>
  <c r="K27" i="10"/>
  <c r="H27" i="10"/>
  <c r="L27" i="10"/>
  <c r="M26" i="10"/>
  <c r="T26" i="10"/>
  <c r="W26" i="10"/>
  <c r="V26" i="10"/>
  <c r="X26" i="10"/>
  <c r="U26" i="10"/>
  <c r="Y26" i="10"/>
  <c r="N26" i="10"/>
  <c r="Q26" i="10"/>
  <c r="P26" i="10"/>
  <c r="R26" i="10"/>
  <c r="O26" i="10"/>
  <c r="S26" i="10"/>
  <c r="G26" i="10"/>
  <c r="J26" i="10"/>
  <c r="I26" i="10"/>
  <c r="K26" i="10"/>
  <c r="H26" i="10"/>
  <c r="L26" i="10"/>
  <c r="M25" i="10"/>
  <c r="T25" i="10"/>
  <c r="W25" i="10"/>
  <c r="V25" i="10"/>
  <c r="X25" i="10"/>
  <c r="U25" i="10"/>
  <c r="Y25" i="10"/>
  <c r="N25" i="10"/>
  <c r="Q25" i="10"/>
  <c r="P25" i="10"/>
  <c r="R25" i="10"/>
  <c r="O25" i="10"/>
  <c r="S25" i="10"/>
  <c r="G25" i="10"/>
  <c r="J25" i="10"/>
  <c r="I25" i="10"/>
  <c r="K25" i="10"/>
  <c r="H25" i="10"/>
  <c r="L25" i="10"/>
  <c r="M24" i="10"/>
  <c r="T24" i="10"/>
  <c r="W24" i="10"/>
  <c r="V24" i="10"/>
  <c r="X24" i="10"/>
  <c r="U24" i="10"/>
  <c r="Y24" i="10"/>
  <c r="N24" i="10"/>
  <c r="Q24" i="10"/>
  <c r="P24" i="10"/>
  <c r="R24" i="10"/>
  <c r="O24" i="10"/>
  <c r="S24" i="10"/>
  <c r="G24" i="10"/>
  <c r="J24" i="10"/>
  <c r="I24" i="10"/>
  <c r="K24" i="10"/>
  <c r="H24" i="10"/>
  <c r="L24" i="10"/>
  <c r="M23" i="10"/>
  <c r="T23" i="10"/>
  <c r="W23" i="10"/>
  <c r="V23" i="10"/>
  <c r="X23" i="10"/>
  <c r="U23" i="10"/>
  <c r="Y23" i="10"/>
  <c r="N23" i="10"/>
  <c r="Q23" i="10"/>
  <c r="P23" i="10"/>
  <c r="R23" i="10"/>
  <c r="O23" i="10"/>
  <c r="S23" i="10"/>
  <c r="G23" i="10"/>
  <c r="J23" i="10"/>
  <c r="I23" i="10"/>
  <c r="K23" i="10"/>
  <c r="H23" i="10"/>
  <c r="L23" i="10"/>
  <c r="M22" i="10"/>
  <c r="T22" i="10"/>
  <c r="W22" i="10"/>
  <c r="V22" i="10"/>
  <c r="X22" i="10"/>
  <c r="U22" i="10"/>
  <c r="Y22" i="10"/>
  <c r="N22" i="10"/>
  <c r="Q22" i="10"/>
  <c r="P22" i="10"/>
  <c r="R22" i="10"/>
  <c r="O22" i="10"/>
  <c r="S22" i="10"/>
  <c r="G22" i="10"/>
  <c r="J22" i="10"/>
  <c r="I22" i="10"/>
  <c r="K22" i="10"/>
  <c r="H22" i="10"/>
  <c r="L22" i="10"/>
  <c r="M21" i="10"/>
  <c r="T21" i="10"/>
  <c r="W21" i="10"/>
  <c r="V21" i="10"/>
  <c r="X21" i="10"/>
  <c r="U21" i="10"/>
  <c r="Y21" i="10"/>
  <c r="N21" i="10"/>
  <c r="Q21" i="10"/>
  <c r="P21" i="10"/>
  <c r="R21" i="10"/>
  <c r="O21" i="10"/>
  <c r="S21" i="10"/>
  <c r="G21" i="10"/>
  <c r="J21" i="10"/>
  <c r="I21" i="10"/>
  <c r="K21" i="10"/>
  <c r="H21" i="10"/>
  <c r="L21" i="10"/>
  <c r="M20" i="10"/>
  <c r="T20" i="10"/>
  <c r="W20" i="10"/>
  <c r="V20" i="10"/>
  <c r="X20" i="10"/>
  <c r="U20" i="10"/>
  <c r="Y20" i="10"/>
  <c r="N20" i="10"/>
  <c r="Q20" i="10"/>
  <c r="P20" i="10"/>
  <c r="R20" i="10"/>
  <c r="O20" i="10"/>
  <c r="S20" i="10"/>
  <c r="G20" i="10"/>
  <c r="J20" i="10"/>
  <c r="I20" i="10"/>
  <c r="K20" i="10"/>
  <c r="H20" i="10"/>
  <c r="L20" i="10"/>
  <c r="M19" i="10"/>
  <c r="T19" i="10"/>
  <c r="W19" i="10"/>
  <c r="V19" i="10"/>
  <c r="X19" i="10"/>
  <c r="U19" i="10"/>
  <c r="Y19" i="10"/>
  <c r="N19" i="10"/>
  <c r="Q19" i="10"/>
  <c r="P19" i="10"/>
  <c r="R19" i="10"/>
  <c r="O19" i="10"/>
  <c r="S19" i="10"/>
  <c r="G19" i="10"/>
  <c r="J19" i="10"/>
  <c r="I19" i="10"/>
  <c r="K19" i="10"/>
  <c r="H19" i="10"/>
  <c r="L19" i="10"/>
  <c r="M18" i="10"/>
  <c r="T18" i="10"/>
  <c r="W18" i="10"/>
  <c r="V18" i="10"/>
  <c r="X18" i="10"/>
  <c r="U18" i="10"/>
  <c r="Y18" i="10"/>
  <c r="N18" i="10"/>
  <c r="Q18" i="10"/>
  <c r="P18" i="10"/>
  <c r="R18" i="10"/>
  <c r="O18" i="10"/>
  <c r="S18" i="10"/>
  <c r="G18" i="10"/>
  <c r="J18" i="10"/>
  <c r="I18" i="10"/>
  <c r="K18" i="10"/>
  <c r="H18" i="10"/>
  <c r="L18" i="10"/>
  <c r="M17" i="10"/>
  <c r="T17" i="10"/>
  <c r="W17" i="10"/>
  <c r="V17" i="10"/>
  <c r="X17" i="10"/>
  <c r="U17" i="10"/>
  <c r="Y17" i="10"/>
  <c r="N17" i="10"/>
  <c r="Q17" i="10"/>
  <c r="P17" i="10"/>
  <c r="R17" i="10"/>
  <c r="O17" i="10"/>
  <c r="S17" i="10"/>
  <c r="G17" i="10"/>
  <c r="J17" i="10"/>
  <c r="I17" i="10"/>
  <c r="K17" i="10"/>
  <c r="H17" i="10"/>
  <c r="L17" i="10"/>
  <c r="M16" i="10"/>
  <c r="T16" i="10"/>
  <c r="W16" i="10"/>
  <c r="V16" i="10"/>
  <c r="X16" i="10"/>
  <c r="U16" i="10"/>
  <c r="Y16" i="10"/>
  <c r="N16" i="10"/>
  <c r="Q16" i="10"/>
  <c r="P16" i="10"/>
  <c r="R16" i="10"/>
  <c r="O16" i="10"/>
  <c r="S16" i="10"/>
  <c r="G16" i="10"/>
  <c r="J16" i="10"/>
  <c r="I16" i="10"/>
  <c r="K16" i="10"/>
  <c r="H16" i="10"/>
  <c r="L16" i="10"/>
  <c r="M15" i="10"/>
  <c r="T15" i="10"/>
  <c r="W15" i="10"/>
  <c r="V15" i="10"/>
  <c r="X15" i="10"/>
  <c r="U15" i="10"/>
  <c r="Y15" i="10"/>
  <c r="N15" i="10"/>
  <c r="Q15" i="10"/>
  <c r="P15" i="10"/>
  <c r="R15" i="10"/>
  <c r="O15" i="10"/>
  <c r="S15" i="10"/>
  <c r="G15" i="10"/>
  <c r="J15" i="10"/>
  <c r="I15" i="10"/>
  <c r="K15" i="10"/>
  <c r="H15" i="10"/>
  <c r="L15" i="10"/>
  <c r="M14" i="10"/>
  <c r="T14" i="10"/>
  <c r="W14" i="10"/>
  <c r="V14" i="10"/>
  <c r="X14" i="10"/>
  <c r="U14" i="10"/>
  <c r="Y14" i="10"/>
  <c r="N14" i="10"/>
  <c r="Q14" i="10"/>
  <c r="P14" i="10"/>
  <c r="R14" i="10"/>
  <c r="O14" i="10"/>
  <c r="S14" i="10"/>
  <c r="G14" i="10"/>
  <c r="J14" i="10"/>
  <c r="I14" i="10"/>
  <c r="K14" i="10"/>
  <c r="H14" i="10"/>
  <c r="L14" i="10"/>
  <c r="M13" i="10"/>
  <c r="T13" i="10"/>
  <c r="W13" i="10"/>
  <c r="V13" i="10"/>
  <c r="X13" i="10"/>
  <c r="U13" i="10"/>
  <c r="Y13" i="10"/>
  <c r="N13" i="10"/>
  <c r="Q13" i="10"/>
  <c r="P13" i="10"/>
  <c r="R13" i="10"/>
  <c r="O13" i="10"/>
  <c r="S13" i="10"/>
  <c r="G13" i="10"/>
  <c r="J13" i="10"/>
  <c r="I13" i="10"/>
  <c r="K13" i="10"/>
  <c r="H13" i="10"/>
  <c r="L13" i="10"/>
  <c r="M12" i="10"/>
  <c r="T12" i="10"/>
  <c r="W12" i="10"/>
  <c r="V12" i="10"/>
  <c r="X12" i="10"/>
  <c r="U12" i="10"/>
  <c r="Y12" i="10"/>
  <c r="N12" i="10"/>
  <c r="Q12" i="10"/>
  <c r="P12" i="10"/>
  <c r="R12" i="10"/>
  <c r="O12" i="10"/>
  <c r="S12" i="10"/>
  <c r="G12" i="10"/>
  <c r="J12" i="10"/>
  <c r="I12" i="10"/>
  <c r="K12" i="10"/>
  <c r="H12" i="10"/>
  <c r="L12" i="10"/>
  <c r="M11" i="10"/>
  <c r="T11" i="10"/>
  <c r="W11" i="10"/>
  <c r="V11" i="10"/>
  <c r="X11" i="10"/>
  <c r="U11" i="10"/>
  <c r="Y11" i="10"/>
  <c r="N11" i="10"/>
  <c r="Q11" i="10"/>
  <c r="P11" i="10"/>
  <c r="R11" i="10"/>
  <c r="O11" i="10"/>
  <c r="S11" i="10"/>
  <c r="G11" i="10"/>
  <c r="J11" i="10"/>
  <c r="I11" i="10"/>
  <c r="K11" i="10"/>
  <c r="H11" i="10"/>
  <c r="L11" i="10"/>
  <c r="M10" i="10"/>
  <c r="T10" i="10"/>
  <c r="W10" i="10"/>
  <c r="V10" i="10"/>
  <c r="X10" i="10"/>
  <c r="U10" i="10"/>
  <c r="Y10" i="10"/>
  <c r="N10" i="10"/>
  <c r="Q10" i="10"/>
  <c r="P10" i="10"/>
  <c r="R10" i="10"/>
  <c r="O10" i="10"/>
  <c r="S10" i="10"/>
  <c r="G10" i="10"/>
  <c r="J10" i="10"/>
  <c r="I10" i="10"/>
  <c r="K10" i="10"/>
  <c r="H10" i="10"/>
  <c r="L10" i="10"/>
  <c r="M9" i="10"/>
  <c r="T9" i="10"/>
  <c r="W9" i="10"/>
  <c r="V9" i="10"/>
  <c r="X9" i="10"/>
  <c r="U9" i="10"/>
  <c r="Y9" i="10"/>
  <c r="N9" i="10"/>
  <c r="Q9" i="10"/>
  <c r="P9" i="10"/>
  <c r="R9" i="10"/>
  <c r="O9" i="10"/>
  <c r="S9" i="10"/>
  <c r="G9" i="10"/>
  <c r="J9" i="10"/>
  <c r="I9" i="10"/>
  <c r="K9" i="10"/>
  <c r="H9" i="10"/>
  <c r="L9" i="10"/>
  <c r="M8" i="10"/>
  <c r="T8" i="10"/>
  <c r="W8" i="10"/>
  <c r="V8" i="10"/>
  <c r="X8" i="10"/>
  <c r="U8" i="10"/>
  <c r="Y8" i="10"/>
  <c r="N8" i="10"/>
  <c r="Q8" i="10"/>
  <c r="P8" i="10"/>
  <c r="R8" i="10"/>
  <c r="O8" i="10"/>
  <c r="S8" i="10"/>
  <c r="G8" i="10"/>
  <c r="J8" i="10"/>
  <c r="I8" i="10"/>
  <c r="K8" i="10"/>
  <c r="H8" i="10"/>
  <c r="L8" i="10"/>
  <c r="M7" i="10"/>
  <c r="T7" i="10"/>
  <c r="W7" i="10"/>
  <c r="V7" i="10"/>
  <c r="X7" i="10"/>
  <c r="U7" i="10"/>
  <c r="Y7" i="10"/>
  <c r="N7" i="10"/>
  <c r="Q7" i="10"/>
  <c r="P7" i="10"/>
  <c r="R7" i="10"/>
  <c r="O7" i="10"/>
  <c r="S7" i="10"/>
  <c r="G7" i="10"/>
  <c r="J7" i="10"/>
  <c r="I7" i="10"/>
  <c r="K7" i="10"/>
  <c r="H7" i="10"/>
  <c r="L7" i="10"/>
  <c r="M6" i="10"/>
  <c r="T6" i="10"/>
  <c r="W6" i="10"/>
  <c r="V6" i="10"/>
  <c r="X6" i="10"/>
  <c r="U6" i="10"/>
  <c r="Y6" i="10"/>
  <c r="N6" i="10"/>
  <c r="Q6" i="10"/>
  <c r="P6" i="10"/>
  <c r="R6" i="10"/>
  <c r="O6" i="10"/>
  <c r="S6" i="10"/>
  <c r="G6" i="10"/>
  <c r="J6" i="10"/>
  <c r="I6" i="10"/>
  <c r="K6" i="10"/>
  <c r="H6" i="10"/>
  <c r="L6" i="10"/>
  <c r="M5" i="10"/>
  <c r="T5" i="10"/>
  <c r="W5" i="10"/>
  <c r="V5" i="10"/>
  <c r="X5" i="10"/>
  <c r="U5" i="10"/>
  <c r="Y5" i="10"/>
  <c r="N5" i="10"/>
  <c r="Q5" i="10"/>
  <c r="P5" i="10"/>
  <c r="R5" i="10"/>
  <c r="O5" i="10"/>
  <c r="S5" i="10"/>
  <c r="G5" i="10"/>
  <c r="J5" i="10"/>
  <c r="I5" i="10"/>
  <c r="K5" i="10"/>
  <c r="H5" i="10"/>
  <c r="L5" i="10"/>
  <c r="M4" i="10"/>
  <c r="T4" i="10"/>
  <c r="W4" i="10"/>
  <c r="V4" i="10"/>
  <c r="X4" i="10"/>
  <c r="U4" i="10"/>
  <c r="Y4" i="10"/>
  <c r="N4" i="10"/>
  <c r="Q4" i="10"/>
  <c r="P4" i="10"/>
  <c r="R4" i="10"/>
  <c r="O4" i="10"/>
  <c r="S4" i="10"/>
  <c r="G4" i="10"/>
  <c r="J4" i="10"/>
  <c r="I4" i="10"/>
  <c r="K4" i="10"/>
  <c r="H4" i="10"/>
  <c r="L4" i="10"/>
  <c r="M3" i="10"/>
  <c r="T3" i="10"/>
  <c r="W3" i="10"/>
  <c r="V3" i="10"/>
  <c r="X3" i="10"/>
  <c r="U3" i="10"/>
  <c r="Y3" i="10"/>
  <c r="N3" i="10"/>
  <c r="Q3" i="10"/>
  <c r="P3" i="10"/>
  <c r="R3" i="10"/>
  <c r="O3" i="10"/>
  <c r="S3" i="10"/>
  <c r="G3" i="10"/>
  <c r="J3" i="10"/>
  <c r="I3" i="10"/>
  <c r="K3" i="10"/>
  <c r="H3" i="10"/>
  <c r="L3" i="10"/>
  <c r="Y4" i="7"/>
  <c r="W4" i="7"/>
  <c r="U4" i="7"/>
  <c r="R4" i="7"/>
  <c r="Q4" i="7"/>
  <c r="P4" i="7"/>
  <c r="O4" i="7"/>
  <c r="N4" i="7"/>
  <c r="H4" i="7"/>
  <c r="G2" i="2"/>
  <c r="A2" i="2"/>
  <c r="G3" i="2"/>
  <c r="A3" i="2"/>
  <c r="G4" i="2"/>
  <c r="A4" i="2"/>
  <c r="G5" i="2"/>
  <c r="A5" i="2"/>
  <c r="G6" i="2"/>
  <c r="A6" i="2"/>
  <c r="G7" i="2"/>
  <c r="A7" i="2"/>
  <c r="J4" i="7"/>
  <c r="I4" i="7"/>
  <c r="D4" i="7"/>
  <c r="F4" i="7"/>
  <c r="E4" i="7"/>
  <c r="A4" i="7"/>
  <c r="Y3" i="7"/>
  <c r="W3" i="7"/>
  <c r="U3" i="7"/>
  <c r="R3" i="7"/>
  <c r="Q3" i="7"/>
  <c r="P3" i="7"/>
  <c r="O3" i="7"/>
  <c r="N3" i="7"/>
  <c r="H3" i="7"/>
  <c r="J3" i="7"/>
  <c r="I3" i="7"/>
  <c r="D3" i="7"/>
  <c r="F3" i="7"/>
  <c r="E3" i="7"/>
  <c r="A3" i="7"/>
  <c r="Y2" i="7"/>
  <c r="W2" i="7"/>
  <c r="U2" i="7"/>
  <c r="R2" i="7"/>
  <c r="Q2" i="7"/>
  <c r="P2" i="7"/>
  <c r="O2" i="7"/>
  <c r="N2" i="7"/>
  <c r="H2" i="7"/>
  <c r="J2" i="7"/>
  <c r="I2" i="7"/>
  <c r="D2" i="7"/>
  <c r="F2" i="7"/>
  <c r="E2" i="7"/>
  <c r="A2" i="7"/>
  <c r="AD10" i="1"/>
  <c r="AF10" i="1"/>
  <c r="AI10" i="1"/>
  <c r="AG10" i="1"/>
  <c r="AE10" i="1"/>
  <c r="X10" i="1"/>
  <c r="V10" i="1"/>
  <c r="T10" i="1"/>
  <c r="Q10" i="1"/>
  <c r="P10" i="1"/>
  <c r="O10" i="1"/>
  <c r="N10" i="1"/>
  <c r="M10" i="1"/>
  <c r="H10" i="1"/>
  <c r="J10" i="1"/>
  <c r="I10" i="1"/>
  <c r="D10" i="1"/>
  <c r="F10" i="1"/>
  <c r="E10" i="1"/>
  <c r="A10" i="1"/>
  <c r="AD9" i="1"/>
  <c r="AF9" i="1"/>
  <c r="AI9" i="1"/>
  <c r="AG9" i="1"/>
  <c r="AE9" i="1"/>
  <c r="X9" i="1"/>
  <c r="V9" i="1"/>
  <c r="T9" i="1"/>
  <c r="Q9" i="1"/>
  <c r="P9" i="1"/>
  <c r="O9" i="1"/>
  <c r="N9" i="1"/>
  <c r="M9" i="1"/>
  <c r="H9" i="1"/>
  <c r="J9" i="1"/>
  <c r="I9" i="1"/>
  <c r="D9" i="1"/>
  <c r="F9" i="1"/>
  <c r="E9" i="1"/>
  <c r="A9" i="1"/>
  <c r="AD8" i="1"/>
  <c r="AF8" i="1"/>
  <c r="AI8" i="1"/>
  <c r="AG8" i="1"/>
  <c r="AE8" i="1"/>
  <c r="X8" i="1"/>
  <c r="V8" i="1"/>
  <c r="T8" i="1"/>
  <c r="Q8" i="1"/>
  <c r="P8" i="1"/>
  <c r="O8" i="1"/>
  <c r="N8" i="1"/>
  <c r="M8" i="1"/>
  <c r="H8" i="1"/>
  <c r="J8" i="1"/>
  <c r="I8" i="1"/>
  <c r="D8" i="1"/>
  <c r="F8" i="1"/>
  <c r="E8" i="1"/>
  <c r="A8" i="1"/>
  <c r="AD7" i="1"/>
  <c r="AF7" i="1"/>
  <c r="AI7" i="1"/>
  <c r="AG7" i="1"/>
  <c r="AE7" i="1"/>
  <c r="E2" i="9"/>
  <c r="X7" i="1"/>
  <c r="V7" i="1"/>
  <c r="T7" i="1"/>
  <c r="Q7" i="1"/>
  <c r="P7" i="1"/>
  <c r="O7" i="1"/>
  <c r="N7" i="1"/>
  <c r="M7" i="1"/>
  <c r="H7" i="1"/>
  <c r="J7" i="1"/>
  <c r="I7" i="1"/>
  <c r="D7" i="1"/>
  <c r="F7" i="1"/>
  <c r="E7" i="1"/>
  <c r="A7" i="1"/>
  <c r="AD6" i="1"/>
  <c r="AF6" i="1"/>
  <c r="AI6" i="1"/>
  <c r="AG6" i="1"/>
  <c r="AE6" i="1"/>
  <c r="X6" i="1"/>
  <c r="V6" i="1"/>
  <c r="T6" i="1"/>
  <c r="Q6" i="1"/>
  <c r="P6" i="1"/>
  <c r="O6" i="1"/>
  <c r="N6" i="1"/>
  <c r="M6" i="1"/>
  <c r="H6" i="1"/>
  <c r="J6" i="1"/>
  <c r="I6" i="1"/>
  <c r="D6" i="1"/>
  <c r="F6" i="1"/>
  <c r="E6" i="1"/>
  <c r="A6" i="1"/>
  <c r="AD5" i="1"/>
  <c r="AF5" i="1"/>
  <c r="AI5" i="1"/>
  <c r="AG5" i="1"/>
  <c r="AE5" i="1"/>
  <c r="X5" i="1"/>
  <c r="V5" i="1"/>
  <c r="T5" i="1"/>
  <c r="Q5" i="1"/>
  <c r="P5" i="1"/>
  <c r="O5" i="1"/>
  <c r="N5" i="1"/>
  <c r="M5" i="1"/>
  <c r="H5" i="1"/>
  <c r="J5" i="1"/>
  <c r="I5" i="1"/>
  <c r="D5" i="1"/>
  <c r="F5" i="1"/>
  <c r="E5" i="1"/>
  <c r="A5" i="1"/>
  <c r="AD4" i="1"/>
  <c r="AF4" i="1"/>
  <c r="AI4" i="1"/>
  <c r="AG4" i="1"/>
  <c r="AE4" i="1"/>
  <c r="X4" i="1"/>
  <c r="V4" i="1"/>
  <c r="T4" i="1"/>
  <c r="Q4" i="1"/>
  <c r="P4" i="1"/>
  <c r="O4" i="1"/>
  <c r="N4" i="1"/>
  <c r="M4" i="1"/>
  <c r="H4" i="1"/>
  <c r="J4" i="1"/>
  <c r="I4" i="1"/>
  <c r="D4" i="1"/>
  <c r="F4" i="1"/>
  <c r="E4" i="1"/>
  <c r="A4" i="1"/>
  <c r="AD3" i="1"/>
  <c r="AF3" i="1"/>
  <c r="AI3" i="1"/>
  <c r="AG3" i="1"/>
  <c r="AE3" i="1"/>
  <c r="X3" i="1"/>
  <c r="V3" i="1"/>
  <c r="T3" i="1"/>
  <c r="Q3" i="1"/>
  <c r="P3" i="1"/>
  <c r="O3" i="1"/>
  <c r="N3" i="1"/>
  <c r="M3" i="1"/>
  <c r="H3" i="1"/>
  <c r="J3" i="1"/>
  <c r="I3" i="1"/>
  <c r="D3" i="1"/>
  <c r="F3" i="1"/>
  <c r="E3" i="1"/>
  <c r="A3" i="1"/>
  <c r="H7" i="2"/>
  <c r="E7" i="2"/>
  <c r="D7" i="2"/>
  <c r="H2" i="1"/>
  <c r="B7" i="2"/>
  <c r="H6" i="2"/>
  <c r="E6" i="2"/>
  <c r="D6" i="2"/>
  <c r="B6" i="2"/>
  <c r="H5" i="2"/>
  <c r="E5" i="2"/>
  <c r="D5" i="2"/>
  <c r="B5" i="2"/>
  <c r="H4" i="2"/>
  <c r="E4" i="2"/>
  <c r="D4" i="2"/>
  <c r="B4" i="2"/>
  <c r="H3" i="2"/>
  <c r="E3" i="2"/>
  <c r="D3" i="2"/>
  <c r="B3" i="2"/>
  <c r="V2" i="1"/>
  <c r="T2" i="1"/>
  <c r="N3" i="22"/>
  <c r="G3" i="22"/>
  <c r="F3" i="22"/>
  <c r="D3" i="22"/>
  <c r="C3" i="22"/>
  <c r="A3" i="22"/>
  <c r="E13" i="16"/>
  <c r="N2" i="22"/>
  <c r="G2" i="22"/>
  <c r="F2" i="22"/>
  <c r="D2" i="22"/>
  <c r="C2" i="22"/>
  <c r="A2" i="22"/>
  <c r="C123" i="19"/>
  <c r="D123" i="19"/>
  <c r="F123" i="19"/>
  <c r="G123" i="19"/>
  <c r="C124" i="19"/>
  <c r="D124" i="19"/>
  <c r="F124" i="19"/>
  <c r="G124" i="19"/>
  <c r="C125" i="19"/>
  <c r="D125" i="19"/>
  <c r="F125" i="19"/>
  <c r="G125" i="19"/>
  <c r="C126" i="19"/>
  <c r="D126" i="19"/>
  <c r="F126" i="19"/>
  <c r="G126" i="19"/>
  <c r="C127" i="19"/>
  <c r="D127" i="19"/>
  <c r="F127" i="19"/>
  <c r="G127" i="19"/>
  <c r="C128" i="19"/>
  <c r="D128" i="19"/>
  <c r="F128" i="19"/>
  <c r="G128" i="19"/>
  <c r="C129" i="19"/>
  <c r="D129" i="19"/>
  <c r="F129" i="19"/>
  <c r="G129" i="19"/>
  <c r="C130" i="19"/>
  <c r="D130" i="19"/>
  <c r="F130" i="19"/>
  <c r="G130" i="19"/>
  <c r="C131" i="19"/>
  <c r="D131" i="19"/>
  <c r="F131" i="19"/>
  <c r="G131" i="19"/>
  <c r="C132" i="19"/>
  <c r="D132" i="19"/>
  <c r="F132" i="19"/>
  <c r="G132" i="19"/>
  <c r="C133" i="19"/>
  <c r="D133" i="19"/>
  <c r="F133" i="19"/>
  <c r="G133" i="19"/>
  <c r="C134" i="19"/>
  <c r="D134" i="19"/>
  <c r="F134" i="19"/>
  <c r="G134" i="19"/>
  <c r="K122" i="19"/>
  <c r="L122" i="19"/>
  <c r="K123" i="19"/>
  <c r="L123" i="19"/>
  <c r="K124" i="19"/>
  <c r="L124" i="19"/>
  <c r="K125" i="19"/>
  <c r="L125" i="19"/>
  <c r="K126" i="19"/>
  <c r="L126" i="19"/>
  <c r="K127" i="19"/>
  <c r="L127" i="19"/>
  <c r="K128" i="19"/>
  <c r="L128" i="19"/>
  <c r="K129" i="19"/>
  <c r="L129" i="19"/>
  <c r="K130" i="19"/>
  <c r="L130" i="19"/>
  <c r="K131" i="19"/>
  <c r="L131" i="19"/>
  <c r="K132" i="19"/>
  <c r="L132" i="19"/>
  <c r="K133" i="19"/>
  <c r="L133" i="19"/>
  <c r="K134" i="19"/>
  <c r="L134" i="19"/>
  <c r="C122" i="19"/>
  <c r="D122" i="19"/>
  <c r="F122" i="19"/>
  <c r="G122" i="19"/>
  <c r="C110" i="19"/>
  <c r="D110" i="19"/>
  <c r="F110" i="19"/>
  <c r="G110" i="19"/>
  <c r="C111" i="19"/>
  <c r="D111" i="19"/>
  <c r="F111" i="19"/>
  <c r="G111" i="19"/>
  <c r="C112" i="19"/>
  <c r="D112" i="19"/>
  <c r="F112" i="19"/>
  <c r="G112" i="19"/>
  <c r="C113" i="19"/>
  <c r="D113" i="19"/>
  <c r="F113" i="19"/>
  <c r="G113" i="19"/>
  <c r="C114" i="19"/>
  <c r="D114" i="19"/>
  <c r="F114" i="19"/>
  <c r="G114" i="19"/>
  <c r="C115" i="19"/>
  <c r="D115" i="19"/>
  <c r="F115" i="19"/>
  <c r="G115" i="19"/>
  <c r="C116" i="19"/>
  <c r="D116" i="19"/>
  <c r="F116" i="19"/>
  <c r="G116" i="19"/>
  <c r="C117" i="19"/>
  <c r="D117" i="19"/>
  <c r="F117" i="19"/>
  <c r="G117" i="19"/>
  <c r="C118" i="19"/>
  <c r="D118" i="19"/>
  <c r="F118" i="19"/>
  <c r="G118" i="19"/>
  <c r="C119" i="19"/>
  <c r="D119" i="19"/>
  <c r="F119" i="19"/>
  <c r="G119" i="19"/>
  <c r="C120" i="19"/>
  <c r="D120" i="19"/>
  <c r="F120" i="19"/>
  <c r="G120" i="19"/>
  <c r="C121" i="19"/>
  <c r="D121" i="19"/>
  <c r="F121" i="19"/>
  <c r="G121" i="19"/>
  <c r="K109" i="19"/>
  <c r="L109" i="19"/>
  <c r="K110" i="19"/>
  <c r="L110" i="19"/>
  <c r="K111" i="19"/>
  <c r="L111" i="19"/>
  <c r="K112" i="19"/>
  <c r="L112" i="19"/>
  <c r="K113" i="19"/>
  <c r="L113" i="19"/>
  <c r="K114" i="19"/>
  <c r="L114" i="19"/>
  <c r="K115" i="19"/>
  <c r="L115" i="19"/>
  <c r="K116" i="19"/>
  <c r="L116" i="19"/>
  <c r="K117" i="19"/>
  <c r="L117" i="19"/>
  <c r="K118" i="19"/>
  <c r="L118" i="19"/>
  <c r="K119" i="19"/>
  <c r="L119" i="19"/>
  <c r="K120" i="19"/>
  <c r="L120" i="19"/>
  <c r="K121" i="19"/>
  <c r="L121" i="19"/>
  <c r="C109" i="19"/>
  <c r="D109" i="19"/>
  <c r="F109" i="19"/>
  <c r="G109" i="19"/>
  <c r="C95" i="19"/>
  <c r="D95" i="19"/>
  <c r="F95" i="19"/>
  <c r="G95" i="19"/>
  <c r="C96" i="19"/>
  <c r="D96" i="19"/>
  <c r="F96" i="19"/>
  <c r="G96" i="19"/>
  <c r="C97" i="19"/>
  <c r="D97" i="19"/>
  <c r="F97" i="19"/>
  <c r="G97" i="19"/>
  <c r="C98" i="19"/>
  <c r="D98" i="19"/>
  <c r="F98" i="19"/>
  <c r="G98" i="19"/>
  <c r="C99" i="19"/>
  <c r="D99" i="19"/>
  <c r="F99" i="19"/>
  <c r="G99" i="19"/>
  <c r="C100" i="19"/>
  <c r="D100" i="19"/>
  <c r="F100" i="19"/>
  <c r="G100" i="19"/>
  <c r="C101" i="19"/>
  <c r="D101" i="19"/>
  <c r="F101" i="19"/>
  <c r="G101" i="19"/>
  <c r="C102" i="19"/>
  <c r="D102" i="19"/>
  <c r="F102" i="19"/>
  <c r="G102" i="19"/>
  <c r="C103" i="19"/>
  <c r="D103" i="19"/>
  <c r="F103" i="19"/>
  <c r="G103" i="19"/>
  <c r="C104" i="19"/>
  <c r="D104" i="19"/>
  <c r="F104" i="19"/>
  <c r="G104" i="19"/>
  <c r="C105" i="19"/>
  <c r="D105" i="19"/>
  <c r="F105" i="19"/>
  <c r="G105" i="19"/>
  <c r="C106" i="19"/>
  <c r="D106" i="19"/>
  <c r="F106" i="19"/>
  <c r="G106" i="19"/>
  <c r="C107" i="19"/>
  <c r="D107" i="19"/>
  <c r="F107" i="19"/>
  <c r="G107" i="19"/>
  <c r="C108" i="19"/>
  <c r="D108" i="19"/>
  <c r="F108" i="19"/>
  <c r="G108" i="19"/>
  <c r="C94" i="19"/>
  <c r="D94" i="19"/>
  <c r="F94" i="19"/>
  <c r="G94" i="19"/>
  <c r="K94" i="19"/>
  <c r="L94" i="19"/>
  <c r="K95" i="19"/>
  <c r="L95" i="19"/>
  <c r="K96" i="19"/>
  <c r="L96" i="19"/>
  <c r="K97" i="19"/>
  <c r="L97" i="19"/>
  <c r="K98" i="19"/>
  <c r="L98" i="19"/>
  <c r="K99" i="19"/>
  <c r="L99" i="19"/>
  <c r="K100" i="19"/>
  <c r="L100" i="19"/>
  <c r="K101" i="19"/>
  <c r="L101" i="19"/>
  <c r="K102" i="19"/>
  <c r="L102" i="19"/>
  <c r="K103" i="19"/>
  <c r="L103" i="19"/>
  <c r="K104" i="19"/>
  <c r="L104" i="19"/>
  <c r="K105" i="19"/>
  <c r="L105" i="19"/>
  <c r="K106" i="19"/>
  <c r="L106" i="19"/>
  <c r="K107" i="19"/>
  <c r="L107" i="19"/>
  <c r="K108" i="19"/>
  <c r="L108" i="19"/>
  <c r="C61" i="19"/>
  <c r="D61" i="19"/>
  <c r="F61" i="19"/>
  <c r="G61" i="19"/>
  <c r="C62" i="19"/>
  <c r="D62" i="19"/>
  <c r="F62" i="19"/>
  <c r="G62" i="19"/>
  <c r="C63" i="19"/>
  <c r="D63" i="19"/>
  <c r="F63" i="19"/>
  <c r="G63" i="19"/>
  <c r="C64" i="19"/>
  <c r="D64" i="19"/>
  <c r="F64" i="19"/>
  <c r="G64" i="19"/>
  <c r="C65" i="19"/>
  <c r="D65" i="19"/>
  <c r="F65" i="19"/>
  <c r="G65" i="19"/>
  <c r="C66" i="19"/>
  <c r="D66" i="19"/>
  <c r="F66" i="19"/>
  <c r="G66" i="19"/>
  <c r="C67" i="19"/>
  <c r="D67" i="19"/>
  <c r="F67" i="19"/>
  <c r="G67" i="19"/>
  <c r="C68" i="19"/>
  <c r="D68" i="19"/>
  <c r="F68" i="19"/>
  <c r="G68" i="19"/>
  <c r="C69" i="19"/>
  <c r="D69" i="19"/>
  <c r="F69" i="19"/>
  <c r="G69" i="19"/>
  <c r="C70" i="19"/>
  <c r="D70" i="19"/>
  <c r="F70" i="19"/>
  <c r="G70" i="19"/>
  <c r="C71" i="19"/>
  <c r="D71" i="19"/>
  <c r="F71" i="19"/>
  <c r="G71" i="19"/>
  <c r="C72" i="19"/>
  <c r="D72" i="19"/>
  <c r="F72" i="19"/>
  <c r="G72" i="19"/>
  <c r="C73" i="19"/>
  <c r="D73" i="19"/>
  <c r="F73" i="19"/>
  <c r="G73" i="19"/>
  <c r="C74" i="19"/>
  <c r="D74" i="19"/>
  <c r="F74" i="19"/>
  <c r="G74" i="19"/>
  <c r="C75" i="19"/>
  <c r="D75" i="19"/>
  <c r="F75" i="19"/>
  <c r="G75" i="19"/>
  <c r="C76" i="19"/>
  <c r="D76" i="19"/>
  <c r="F76" i="19"/>
  <c r="G76" i="19"/>
  <c r="C77" i="19"/>
  <c r="D77" i="19"/>
  <c r="F77" i="19"/>
  <c r="G77" i="19"/>
  <c r="C78" i="19"/>
  <c r="D78" i="19"/>
  <c r="F78" i="19"/>
  <c r="G78" i="19"/>
  <c r="C79" i="19"/>
  <c r="D79" i="19"/>
  <c r="F79" i="19"/>
  <c r="G79" i="19"/>
  <c r="C80" i="19"/>
  <c r="D80" i="19"/>
  <c r="F80" i="19"/>
  <c r="G80" i="19"/>
  <c r="C81" i="19"/>
  <c r="D81" i="19"/>
  <c r="F81" i="19"/>
  <c r="G81" i="19"/>
  <c r="C82" i="19"/>
  <c r="D82" i="19"/>
  <c r="F82" i="19"/>
  <c r="G82" i="19"/>
  <c r="C83" i="19"/>
  <c r="D83" i="19"/>
  <c r="F83" i="19"/>
  <c r="G83" i="19"/>
  <c r="C84" i="19"/>
  <c r="D84" i="19"/>
  <c r="F84" i="19"/>
  <c r="G84" i="19"/>
  <c r="C85" i="19"/>
  <c r="D85" i="19"/>
  <c r="F85" i="19"/>
  <c r="G85" i="19"/>
  <c r="C86" i="19"/>
  <c r="D86" i="19"/>
  <c r="F86" i="19"/>
  <c r="G86" i="19"/>
  <c r="C87" i="19"/>
  <c r="D87" i="19"/>
  <c r="F87" i="19"/>
  <c r="G87" i="19"/>
  <c r="C88" i="19"/>
  <c r="D88" i="19"/>
  <c r="F88" i="19"/>
  <c r="G88" i="19"/>
  <c r="C89" i="19"/>
  <c r="D89" i="19"/>
  <c r="F89" i="19"/>
  <c r="G89" i="19"/>
  <c r="C90" i="19"/>
  <c r="D90" i="19"/>
  <c r="F90" i="19"/>
  <c r="G90" i="19"/>
  <c r="C91" i="19"/>
  <c r="D91" i="19"/>
  <c r="F91" i="19"/>
  <c r="G91" i="19"/>
  <c r="C92" i="19"/>
  <c r="D92" i="19"/>
  <c r="F92" i="19"/>
  <c r="G92" i="19"/>
  <c r="C93" i="19"/>
  <c r="D93" i="19"/>
  <c r="F93" i="19"/>
  <c r="G93" i="19"/>
  <c r="K60" i="19"/>
  <c r="L60" i="19"/>
  <c r="K61" i="19"/>
  <c r="L61" i="19"/>
  <c r="K62" i="19"/>
  <c r="L62" i="19"/>
  <c r="K63" i="19"/>
  <c r="L63" i="19"/>
  <c r="K64" i="19"/>
  <c r="L64" i="19"/>
  <c r="K65" i="19"/>
  <c r="L65" i="19"/>
  <c r="K66" i="19"/>
  <c r="L66" i="19"/>
  <c r="K67" i="19"/>
  <c r="L67" i="19"/>
  <c r="K68" i="19"/>
  <c r="L68" i="19"/>
  <c r="K69" i="19"/>
  <c r="L69" i="19"/>
  <c r="K70" i="19"/>
  <c r="L70" i="19"/>
  <c r="K71" i="19"/>
  <c r="L71" i="19"/>
  <c r="K72" i="19"/>
  <c r="L72" i="19"/>
  <c r="K73" i="19"/>
  <c r="L73" i="19"/>
  <c r="K74" i="19"/>
  <c r="L74" i="19"/>
  <c r="K75" i="19"/>
  <c r="L75" i="19"/>
  <c r="K76" i="19"/>
  <c r="L76" i="19"/>
  <c r="K77" i="19"/>
  <c r="L77" i="19"/>
  <c r="K78" i="19"/>
  <c r="L78" i="19"/>
  <c r="K79" i="19"/>
  <c r="L79" i="19"/>
  <c r="K80" i="19"/>
  <c r="L80" i="19"/>
  <c r="K81" i="19"/>
  <c r="L81" i="19"/>
  <c r="K82" i="19"/>
  <c r="L82" i="19"/>
  <c r="K83" i="19"/>
  <c r="L83" i="19"/>
  <c r="K84" i="19"/>
  <c r="L84" i="19"/>
  <c r="K85" i="19"/>
  <c r="L85" i="19"/>
  <c r="K86" i="19"/>
  <c r="L86" i="19"/>
  <c r="K87" i="19"/>
  <c r="L87" i="19"/>
  <c r="K88" i="19"/>
  <c r="L88" i="19"/>
  <c r="K89" i="19"/>
  <c r="L89" i="19"/>
  <c r="K90" i="19"/>
  <c r="L90" i="19"/>
  <c r="K91" i="19"/>
  <c r="L91" i="19"/>
  <c r="K92" i="19"/>
  <c r="L92" i="19"/>
  <c r="K93" i="19"/>
  <c r="L93" i="19"/>
  <c r="C60" i="19"/>
  <c r="D60" i="19"/>
  <c r="F60" i="19"/>
  <c r="G60" i="19"/>
  <c r="C29" i="19"/>
  <c r="D29" i="19"/>
  <c r="F29" i="19"/>
  <c r="G29" i="19"/>
  <c r="C30" i="19"/>
  <c r="D30" i="19"/>
  <c r="F30" i="19"/>
  <c r="G30" i="19"/>
  <c r="C31" i="19"/>
  <c r="D31" i="19"/>
  <c r="F31" i="19"/>
  <c r="G31" i="19"/>
  <c r="C32" i="19"/>
  <c r="D32" i="19"/>
  <c r="F32" i="19"/>
  <c r="G32" i="19"/>
  <c r="C33" i="19"/>
  <c r="D33" i="19"/>
  <c r="F33" i="19"/>
  <c r="G33" i="19"/>
  <c r="C34" i="19"/>
  <c r="D34" i="19"/>
  <c r="F34" i="19"/>
  <c r="G34" i="19"/>
  <c r="C35" i="19"/>
  <c r="D35" i="19"/>
  <c r="F35" i="19"/>
  <c r="G35" i="19"/>
  <c r="C36" i="19"/>
  <c r="D36" i="19"/>
  <c r="F36" i="19"/>
  <c r="G36" i="19"/>
  <c r="C37" i="19"/>
  <c r="D37" i="19"/>
  <c r="F37" i="19"/>
  <c r="G37" i="19"/>
  <c r="C38" i="19"/>
  <c r="D38" i="19"/>
  <c r="F38" i="19"/>
  <c r="G38" i="19"/>
  <c r="C39" i="19"/>
  <c r="D39" i="19"/>
  <c r="F39" i="19"/>
  <c r="G39" i="19"/>
  <c r="C40" i="19"/>
  <c r="D40" i="19"/>
  <c r="F40" i="19"/>
  <c r="G40" i="19"/>
  <c r="C41" i="19"/>
  <c r="D41" i="19"/>
  <c r="F41" i="19"/>
  <c r="G41" i="19"/>
  <c r="C42" i="19"/>
  <c r="D42" i="19"/>
  <c r="F42" i="19"/>
  <c r="G42" i="19"/>
  <c r="C43" i="19"/>
  <c r="D43" i="19"/>
  <c r="F43" i="19"/>
  <c r="G43" i="19"/>
  <c r="C44" i="19"/>
  <c r="D44" i="19"/>
  <c r="F44" i="19"/>
  <c r="G44" i="19"/>
  <c r="C45" i="19"/>
  <c r="D45" i="19"/>
  <c r="F45" i="19"/>
  <c r="G45" i="19"/>
  <c r="C46" i="19"/>
  <c r="D46" i="19"/>
  <c r="F46" i="19"/>
  <c r="G46" i="19"/>
  <c r="C47" i="19"/>
  <c r="D47" i="19"/>
  <c r="F47" i="19"/>
  <c r="G47" i="19"/>
  <c r="C48" i="19"/>
  <c r="D48" i="19"/>
  <c r="F48" i="19"/>
  <c r="G48" i="19"/>
  <c r="C49" i="19"/>
  <c r="D49" i="19"/>
  <c r="F49" i="19"/>
  <c r="G49" i="19"/>
  <c r="C50" i="19"/>
  <c r="D50" i="19"/>
  <c r="F50" i="19"/>
  <c r="G50" i="19"/>
  <c r="C51" i="19"/>
  <c r="D51" i="19"/>
  <c r="F51" i="19"/>
  <c r="G51" i="19"/>
  <c r="C52" i="19"/>
  <c r="D52" i="19"/>
  <c r="F52" i="19"/>
  <c r="G52" i="19"/>
  <c r="C53" i="19"/>
  <c r="D53" i="19"/>
  <c r="F53" i="19"/>
  <c r="G53" i="19"/>
  <c r="C54" i="19"/>
  <c r="D54" i="19"/>
  <c r="F54" i="19"/>
  <c r="G54" i="19"/>
  <c r="C55" i="19"/>
  <c r="D55" i="19"/>
  <c r="F55" i="19"/>
  <c r="G55" i="19"/>
  <c r="C56" i="19"/>
  <c r="D56" i="19"/>
  <c r="F56" i="19"/>
  <c r="G56" i="19"/>
  <c r="C57" i="19"/>
  <c r="D57" i="19"/>
  <c r="F57" i="19"/>
  <c r="G57" i="19"/>
  <c r="C58" i="19"/>
  <c r="D58" i="19"/>
  <c r="F58" i="19"/>
  <c r="G58" i="19"/>
  <c r="C59" i="19"/>
  <c r="D59" i="19"/>
  <c r="F59" i="19"/>
  <c r="G59" i="19"/>
  <c r="K28" i="19"/>
  <c r="L28" i="19"/>
  <c r="K29" i="19"/>
  <c r="L29" i="19"/>
  <c r="K30" i="19"/>
  <c r="L30" i="19"/>
  <c r="K31" i="19"/>
  <c r="L31" i="19"/>
  <c r="K32" i="19"/>
  <c r="L32" i="19"/>
  <c r="K33" i="19"/>
  <c r="L33" i="19"/>
  <c r="K34" i="19"/>
  <c r="L34" i="19"/>
  <c r="K35" i="19"/>
  <c r="L35" i="19"/>
  <c r="K36" i="19"/>
  <c r="L36" i="19"/>
  <c r="K37" i="19"/>
  <c r="L37" i="19"/>
  <c r="K38" i="19"/>
  <c r="L38" i="19"/>
  <c r="K39" i="19"/>
  <c r="L39" i="19"/>
  <c r="K40" i="19"/>
  <c r="L40" i="19"/>
  <c r="K41" i="19"/>
  <c r="L41" i="19"/>
  <c r="K42" i="19"/>
  <c r="L42" i="19"/>
  <c r="K43" i="19"/>
  <c r="L43" i="19"/>
  <c r="K44" i="19"/>
  <c r="L44" i="19"/>
  <c r="K45" i="19"/>
  <c r="L45" i="19"/>
  <c r="K46" i="19"/>
  <c r="L46" i="19"/>
  <c r="K47" i="19"/>
  <c r="L47" i="19"/>
  <c r="K48" i="19"/>
  <c r="L48" i="19"/>
  <c r="K49" i="19"/>
  <c r="L49" i="19"/>
  <c r="K50" i="19"/>
  <c r="L50" i="19"/>
  <c r="K51" i="19"/>
  <c r="L51" i="19"/>
  <c r="K52" i="19"/>
  <c r="L52" i="19"/>
  <c r="K53" i="19"/>
  <c r="L53" i="19"/>
  <c r="K54" i="19"/>
  <c r="L54" i="19"/>
  <c r="K55" i="19"/>
  <c r="L55" i="19"/>
  <c r="K56" i="19"/>
  <c r="L56" i="19"/>
  <c r="K57" i="19"/>
  <c r="L57" i="19"/>
  <c r="K58" i="19"/>
  <c r="L58" i="19"/>
  <c r="K59" i="19"/>
  <c r="L59" i="19"/>
  <c r="C28" i="19"/>
  <c r="D28" i="19"/>
  <c r="F28" i="19"/>
  <c r="G28" i="19"/>
  <c r="C3" i="19"/>
  <c r="D3" i="19"/>
  <c r="F3" i="19"/>
  <c r="G3" i="19"/>
  <c r="C4" i="19"/>
  <c r="D4" i="19"/>
  <c r="F4" i="19"/>
  <c r="G4" i="19"/>
  <c r="C5" i="19"/>
  <c r="D5" i="19"/>
  <c r="F5" i="19"/>
  <c r="G5" i="19"/>
  <c r="C6" i="19"/>
  <c r="D6" i="19"/>
  <c r="F6" i="19"/>
  <c r="G6" i="19"/>
  <c r="C7" i="19"/>
  <c r="D7" i="19"/>
  <c r="F7" i="19"/>
  <c r="G7" i="19"/>
  <c r="C8" i="19"/>
  <c r="D8" i="19"/>
  <c r="F8" i="19"/>
  <c r="G8" i="19"/>
  <c r="C9" i="19"/>
  <c r="D9" i="19"/>
  <c r="F9" i="19"/>
  <c r="G9" i="19"/>
  <c r="C10" i="19"/>
  <c r="D10" i="19"/>
  <c r="F10" i="19"/>
  <c r="G10" i="19"/>
  <c r="C11" i="19"/>
  <c r="D11" i="19"/>
  <c r="F11" i="19"/>
  <c r="G11" i="19"/>
  <c r="C12" i="19"/>
  <c r="D12" i="19"/>
  <c r="F12" i="19"/>
  <c r="G12" i="19"/>
  <c r="C13" i="19"/>
  <c r="D13" i="19"/>
  <c r="F13" i="19"/>
  <c r="G13" i="19"/>
  <c r="C14" i="19"/>
  <c r="D14" i="19"/>
  <c r="F14" i="19"/>
  <c r="G14" i="19"/>
  <c r="C15" i="19"/>
  <c r="D15" i="19"/>
  <c r="F15" i="19"/>
  <c r="G15" i="19"/>
  <c r="C16" i="19"/>
  <c r="D16" i="19"/>
  <c r="F16" i="19"/>
  <c r="G16" i="19"/>
  <c r="C17" i="19"/>
  <c r="D17" i="19"/>
  <c r="F17" i="19"/>
  <c r="G17" i="19"/>
  <c r="C18" i="19"/>
  <c r="D18" i="19"/>
  <c r="F18" i="19"/>
  <c r="G18" i="19"/>
  <c r="C19" i="19"/>
  <c r="D19" i="19"/>
  <c r="F19" i="19"/>
  <c r="G19" i="19"/>
  <c r="C20" i="19"/>
  <c r="D20" i="19"/>
  <c r="F20" i="19"/>
  <c r="G20" i="19"/>
  <c r="C21" i="19"/>
  <c r="D21" i="19"/>
  <c r="F21" i="19"/>
  <c r="G21" i="19"/>
  <c r="C22" i="19"/>
  <c r="D22" i="19"/>
  <c r="F22" i="19"/>
  <c r="G22" i="19"/>
  <c r="C23" i="19"/>
  <c r="D23" i="19"/>
  <c r="F23" i="19"/>
  <c r="G23" i="19"/>
  <c r="C24" i="19"/>
  <c r="D24" i="19"/>
  <c r="F24" i="19"/>
  <c r="G24" i="19"/>
  <c r="C25" i="19"/>
  <c r="D25" i="19"/>
  <c r="F25" i="19"/>
  <c r="G25" i="19"/>
  <c r="C26" i="19"/>
  <c r="D26" i="19"/>
  <c r="F26" i="19"/>
  <c r="G26" i="19"/>
  <c r="C27" i="19"/>
  <c r="D27" i="19"/>
  <c r="F27" i="19"/>
  <c r="G27" i="19"/>
  <c r="K27" i="19"/>
  <c r="L27" i="19"/>
  <c r="K3" i="19"/>
  <c r="L3" i="19"/>
  <c r="K4" i="19"/>
  <c r="L4" i="19"/>
  <c r="K5" i="19"/>
  <c r="L5" i="19"/>
  <c r="K6" i="19"/>
  <c r="L6" i="19"/>
  <c r="K7" i="19"/>
  <c r="L7" i="19"/>
  <c r="K8" i="19"/>
  <c r="L8" i="19"/>
  <c r="K9" i="19"/>
  <c r="L9" i="19"/>
  <c r="K10" i="19"/>
  <c r="L10" i="19"/>
  <c r="K11" i="19"/>
  <c r="L11" i="19"/>
  <c r="K12" i="19"/>
  <c r="L12" i="19"/>
  <c r="K13" i="19"/>
  <c r="L13" i="19"/>
  <c r="K14" i="19"/>
  <c r="L14" i="19"/>
  <c r="K15" i="19"/>
  <c r="L15" i="19"/>
  <c r="K16" i="19"/>
  <c r="L16" i="19"/>
  <c r="K17" i="19"/>
  <c r="L17" i="19"/>
  <c r="K18" i="19"/>
  <c r="L18" i="19"/>
  <c r="K19" i="19"/>
  <c r="L19" i="19"/>
  <c r="K20" i="19"/>
  <c r="L20" i="19"/>
  <c r="K21" i="19"/>
  <c r="L21" i="19"/>
  <c r="K22" i="19"/>
  <c r="L22" i="19"/>
  <c r="K23" i="19"/>
  <c r="L23" i="19"/>
  <c r="K24" i="19"/>
  <c r="L24" i="19"/>
  <c r="K25" i="19"/>
  <c r="L25" i="19"/>
  <c r="K26" i="19"/>
  <c r="L26" i="19"/>
  <c r="K2" i="19"/>
  <c r="L2" i="19"/>
  <c r="I2" i="21"/>
  <c r="J2" i="21"/>
  <c r="G2" i="21"/>
  <c r="F2" i="21"/>
  <c r="D2" i="21"/>
  <c r="C2" i="21"/>
  <c r="E12" i="16"/>
  <c r="E11" i="16"/>
  <c r="G2" i="19"/>
  <c r="F2" i="19"/>
  <c r="D2" i="19"/>
  <c r="C2" i="19"/>
  <c r="E10" i="16"/>
  <c r="C2" i="18"/>
  <c r="D2" i="18"/>
  <c r="J2" i="11"/>
  <c r="O2" i="9"/>
  <c r="N2" i="9"/>
  <c r="M2" i="9"/>
  <c r="L2" i="9"/>
  <c r="K2" i="9"/>
  <c r="J2" i="9"/>
  <c r="I2" i="9"/>
  <c r="H2" i="9"/>
  <c r="G2" i="9"/>
  <c r="D2" i="9"/>
  <c r="E9" i="16"/>
  <c r="AD2" i="1"/>
  <c r="AG2" i="1"/>
  <c r="AF2" i="1"/>
  <c r="AE2" i="1"/>
  <c r="AC2" i="1"/>
  <c r="X2" i="1"/>
  <c r="Q2" i="1"/>
  <c r="P2" i="1"/>
  <c r="O2" i="1"/>
  <c r="N2" i="1"/>
  <c r="M2" i="1"/>
  <c r="M2" i="10"/>
  <c r="T2" i="10"/>
  <c r="V2" i="10"/>
  <c r="N2" i="10"/>
  <c r="P2" i="10"/>
  <c r="G2" i="10"/>
  <c r="I2" i="10"/>
  <c r="X2" i="10"/>
  <c r="W2" i="10"/>
  <c r="U2" i="10"/>
  <c r="Y2" i="10"/>
  <c r="R2" i="10"/>
  <c r="Q2" i="10"/>
  <c r="O2" i="10"/>
  <c r="S2" i="10"/>
  <c r="K2" i="10"/>
  <c r="J2" i="10"/>
  <c r="H2" i="10"/>
  <c r="L2" i="10"/>
  <c r="E8" i="16"/>
  <c r="E7" i="16"/>
  <c r="E6" i="16"/>
  <c r="E5" i="16"/>
  <c r="E4" i="16"/>
  <c r="E3" i="16"/>
  <c r="E2" i="16"/>
  <c r="A2" i="1"/>
  <c r="AI2" i="1"/>
  <c r="A2" i="9"/>
  <c r="J2" i="1"/>
  <c r="I2" i="1"/>
  <c r="D2" i="1"/>
  <c r="F2" i="1"/>
  <c r="E2" i="1"/>
  <c r="D2" i="2"/>
  <c r="E2" i="2"/>
  <c r="H2" i="2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P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<sst xmlns="http://schemas.openxmlformats.org/spreadsheetml/2006/main" count="1601" uniqueCount="321">
  <si>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</si>
  <si>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</si>
  <si>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</si>
  <si>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</si>
  <si>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</si>
  <si>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</si>
  <si>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</si>
  <si>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</si>
  <si>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</si>
  <si>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</si>
  <si>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</si>
  <si>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</si>
  <si>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</si>
  <si>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</si>
  <si>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</si>
  <si>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</si>
  <si>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</si>
  <si>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</si>
  <si>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</si>
  <si>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</si>
  <si>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</si>
  <si>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</si>
  <si>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</si>
  <si>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</si>
  <si>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</si>
  <si>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</si>
  <si>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</si>
  <si>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</si>
  <si>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</si>
  <si>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</si>
  <si>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</si>
  <si>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</si>
  <si>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</si>
  <si>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</si>
  <si>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</si>
  <si>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</si>
  <si>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</si>
  <si>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</si>
  <si>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</si>
  <si>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</si>
  <si>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</si>
  <si>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</si>
  <si>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</si>
  <si>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</si>
  <si>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</si>
  <si>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</si>
  <si>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</si>
  <si>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</si>
  <si>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</si>
  <si>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</si>
  <si>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</si>
  <si>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</si>
  <si>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</si>
  <si>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</si>
  <si>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</si>
  <si>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</si>
  <si>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</si>
  <si>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</si>
  <si>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</si>
  <si>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</si>
  <si>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</si>
  <si>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</si>
  <si>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</si>
  <si>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</si>
  <si>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</si>
  <si>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</si>
  <si>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</si>
  <si>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</si>
  <si>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</si>
  <si>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</si>
  <si>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</si>
  <si>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</si>
  <si>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</si>
  <si>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</si>
  <si>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</si>
  <si>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</si>
  <si>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</si>
  <si>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</si>
  <si>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</si>
  <si>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</si>
  <si>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</si>
  <si>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</si>
  <si>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</si>
  <si>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</si>
  <si>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</si>
  <si>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</si>
  <si>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</si>
  <si>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</si>
  <si>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null</t>
    <phoneticPr fontId="5"/>
  </si>
  <si>
    <t>null</t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</si>
  <si>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</si>
  <si>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</si>
  <si>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</si>
  <si>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</si>
  <si>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</si>
  <si>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</si>
  <si>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</si>
  <si>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</si>
  <si>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</si>
  <si>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</si>
  <si>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</si>
  <si>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</si>
  <si>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</si>
  <si>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</si>
  <si>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</si>
  <si>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</si>
  <si>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</si>
  <si>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</si>
  <si>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</si>
  <si>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</si>
  <si>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</si>
  <si>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</si>
  <si>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</si>
  <si>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</si>
  <si>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</si>
  <si>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</si>
  <si>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</si>
  <si>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</si>
  <si>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</si>
  <si>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</si>
  <si>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</si>
  <si>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</si>
  <si>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</si>
  <si>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</si>
  <si>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</si>
  <si>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</si>
  <si>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</si>
  <si>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</si>
  <si>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</si>
  <si>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</si>
  <si>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</si>
  <si>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</si>
  <si>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</si>
  <si>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</si>
  <si>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</si>
  <si>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</si>
  <si>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</si>
  <si>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</si>
  <si>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</si>
  <si>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</si>
  <si>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</si>
  <si>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</si>
  <si>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</si>
  <si>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</si>
  <si>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</si>
  <si>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</si>
  <si>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</si>
  <si>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</si>
  <si>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</si>
  <si>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</si>
  <si>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</si>
  <si>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</si>
  <si>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</si>
  <si>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</si>
  <si>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</si>
  <si>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</si>
  <si>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</si>
  <si>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</si>
  <si>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</si>
  <si>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</si>
  <si>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</si>
  <si>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</si>
  <si>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</si>
  <si>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</si>
  <si>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</si>
  <si>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</si>
  <si>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</si>
  <si>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</si>
  <si>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bit</t>
  </si>
  <si>
    <t>null</t>
    <phoneticPr fontId="5"/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</si>
  <si>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</si>
  <si>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</si>
  <si>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</si>
  <si>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</si>
  <si>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</si>
  <si>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</si>
  <si>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</si>
  <si>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</si>
  <si>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</si>
  <si>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</si>
  <si>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</si>
  <si>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</si>
  <si>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</si>
  <si>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</si>
  <si>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</si>
  <si>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</si>
  <si>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</si>
  <si>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</si>
  <si>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skip</t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</si>
  <si>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</si>
  <si>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</si>
  <si>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</si>
  <si>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</si>
  <si>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</si>
  <si>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</si>
  <si>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</si>
  <si>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</si>
  <si>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</si>
  <si>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</si>
  <si>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</si>
  <si>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攻略のヒント</t>
    <rPh sb="0" eb="2">
      <t>コウリャク</t>
    </rPh>
    <phoneticPr fontId="5"/>
  </si>
  <si>
    <t>NULL</t>
    <phoneticPr fontId="5"/>
  </si>
  <si>
    <t>complete</t>
  </si>
  <si>
    <t>敵が強すぎます</t>
    <rPh sb="0" eb="2">
      <t>テk</t>
    </rPh>
    <rPh sb="2" eb="7">
      <t>ツヨs</t>
    </rPh>
    <phoneticPr fontId="5"/>
  </si>
  <si>
    <t>stage_hints_data_c_</t>
    <phoneticPr fontId="5"/>
  </si>
  <si>
    <t>stage_hints_data_f_</t>
    <phoneticPr fontId="5"/>
  </si>
  <si>
    <t>skip</t>
    <phoneticPr fontId="7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</si>
  <si>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</si>
  <si>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</si>
  <si>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</si>
  <si>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</si>
  <si>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</si>
  <si>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</si>
  <si>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</si>
  <si>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NULL</t>
    <phoneticPr fontId="5"/>
  </si>
  <si>
    <t>stage_hints_failure</t>
    <phoneticPr fontId="5"/>
  </si>
  <si>
    <t>stage_hints_failure</t>
    <phoneticPr fontId="5"/>
  </si>
  <si>
    <t>初級</t>
    <rPh sb="0" eb="2">
      <t>ショキュウ</t>
    </rPh>
    <phoneticPr fontId="5"/>
  </si>
  <si>
    <t>中級</t>
    <rPh sb="0" eb="2">
      <t>チュウキュウ</t>
    </rPh>
    <phoneticPr fontId="5"/>
  </si>
  <si>
    <t>上級</t>
    <rPh sb="0" eb="2">
      <t>ジョウキュウ</t>
    </rPh>
    <phoneticPr fontId="5"/>
  </si>
  <si>
    <t>超級</t>
    <rPh sb="0" eb="2">
      <t>チョウキュウ</t>
    </rPh>
    <phoneticPr fontId="5"/>
  </si>
  <si>
    <t>超絶級</t>
    <rPh sb="0" eb="2">
      <t>チョウゼツ</t>
    </rPh>
    <rPh sb="2" eb="3">
      <t>キュウ</t>
    </rPh>
    <phoneticPr fontId="5"/>
  </si>
  <si>
    <t>(超)ウィザード級</t>
    <rPh sb="1" eb="2">
      <t>チョウ</t>
    </rPh>
    <rPh sb="8" eb="9">
      <t>キュウ</t>
    </rPh>
    <phoneticPr fontId="5"/>
  </si>
  <si>
    <t>temp_id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</si>
  <si>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</si>
  <si>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</si>
  <si>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</si>
  <si>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</si>
  <si>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stage_target</t>
    <phoneticPr fontId="5"/>
  </si>
  <si>
    <t>bonus_category</t>
    <phoneticPr fontId="5"/>
  </si>
  <si>
    <t>bonus_id</t>
    <phoneticPr fontId="5"/>
  </si>
  <si>
    <t>weight</t>
    <phoneticPr fontId="5"/>
  </si>
  <si>
    <t>bonus_type</t>
    <phoneticPr fontId="5"/>
  </si>
  <si>
    <t>bonus_count</t>
    <phoneticPr fontId="5"/>
  </si>
  <si>
    <t>skill_level</t>
    <phoneticPr fontId="5"/>
  </si>
  <si>
    <t>definite_start_date</t>
    <phoneticPr fontId="5"/>
  </si>
  <si>
    <t>definite_end_date</t>
    <phoneticPr fontId="5"/>
  </si>
  <si>
    <t>everyone</t>
    <phoneticPr fontId="5"/>
  </si>
  <si>
    <t>clear</t>
    <phoneticPr fontId="5"/>
  </si>
  <si>
    <t>unit</t>
    <phoneticPr fontId="5"/>
  </si>
  <si>
    <t>2016-5-27 0:00:00</t>
    <phoneticPr fontId="5"/>
  </si>
  <si>
    <t>2970-01-01 09:00:00</t>
    <phoneticPr fontId="5"/>
  </si>
  <si>
    <t>no_continue</t>
    <phoneticPr fontId="5"/>
  </si>
  <si>
    <t>stage_bonuses</t>
    <phoneticPr fontId="5"/>
  </si>
  <si>
    <t>.tmp</t>
    <phoneticPr fontId="5"/>
  </si>
  <si>
    <t>quest_id</t>
    <phoneticPr fontId="5"/>
  </si>
  <si>
    <t>stage_id</t>
    <phoneticPr fontId="5"/>
  </si>
  <si>
    <t>stage_target</t>
    <phoneticPr fontId="5"/>
  </si>
  <si>
    <t>bonus_category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</si>
  <si>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</si>
  <si>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</si>
  <si>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</si>
  <si>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</si>
  <si>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</si>
  <si>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</si>
  <si>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</si>
  <si>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</si>
  <si>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</si>
  <si>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</si>
  <si>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</si>
  <si>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</si>
  <si>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</si>
  <si>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</si>
  <si>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stage_bonuses_</t>
    <phoneticPr fontId="5"/>
  </si>
  <si>
    <t>skip</t>
    <phoneticPr fontId="7"/>
  </si>
  <si>
    <t>hp</t>
    <phoneticPr fontId="5"/>
  </si>
  <si>
    <t>attack</t>
    <phoneticPr fontId="5"/>
  </si>
  <si>
    <t>old</t>
    <phoneticPr fontId="5"/>
  </si>
  <si>
    <t>null</t>
    <phoneticPr fontId="5"/>
  </si>
  <si>
    <t>[effect:rush, count:5, val:0.1]</t>
    <phoneticPr fontId="5"/>
  </si>
  <si>
    <t>エレナ</t>
    <phoneticPr fontId="5"/>
  </si>
  <si>
    <t>全体攻撃</t>
    <rPh sb="0" eb="4">
      <t>ゼｎ</t>
    </rPh>
    <phoneticPr fontId="5"/>
  </si>
  <si>
    <t>予備枠</t>
    <rPh sb="0" eb="3">
      <t>ヨｂ</t>
    </rPh>
    <phoneticPr fontId="5"/>
  </si>
  <si>
    <t>ティンク</t>
    <phoneticPr fontId="5"/>
  </si>
  <si>
    <t>クリティカル</t>
    <phoneticPr fontId="5"/>
  </si>
  <si>
    <t>スフィンクス</t>
    <phoneticPr fontId="5"/>
  </si>
  <si>
    <t>ハートパネル変換</t>
    <phoneticPr fontId="5"/>
  </si>
  <si>
    <t>マミコ</t>
    <phoneticPr fontId="5"/>
  </si>
  <si>
    <t>ハートパネル吸収攻撃</t>
    <rPh sb="6" eb="10">
      <t>キュウシュ</t>
    </rPh>
    <phoneticPr fontId="5"/>
  </si>
  <si>
    <t>状態異常無効</t>
    <rPh sb="0" eb="6">
      <t>ｊｙ</t>
    </rPh>
    <phoneticPr fontId="5"/>
  </si>
  <si>
    <t>連続攻撃</t>
    <rPh sb="0" eb="4">
      <t>レンゾｋ</t>
    </rPh>
    <phoneticPr fontId="5"/>
  </si>
  <si>
    <t>ハートパネル変換</t>
    <rPh sb="6" eb="8">
      <t>ヘンカｎ</t>
    </rPh>
    <phoneticPr fontId="5"/>
  </si>
  <si>
    <t>アストライアー1</t>
    <phoneticPr fontId="5"/>
  </si>
  <si>
    <t>アストライアー2</t>
    <phoneticPr fontId="5"/>
  </si>
  <si>
    <t>お邪魔パネル変換</t>
    <rPh sb="6" eb="8">
      <t>ヘンカｎ</t>
    </rPh>
    <phoneticPr fontId="5"/>
  </si>
  <si>
    <t>ハートパネル・お邪魔パネル吸収攻撃</t>
    <rPh sb="13" eb="17">
      <t>キュウシュ</t>
    </rPh>
    <phoneticPr fontId="5"/>
  </si>
  <si>
    <t>ファータ</t>
    <phoneticPr fontId="5"/>
  </si>
  <si>
    <t>緑パネル出現率ダウン</t>
    <rPh sb="0" eb="1">
      <t>ミドｒ</t>
    </rPh>
    <rPh sb="4" eb="7">
      <t>シュｔ</t>
    </rPh>
    <phoneticPr fontId="5"/>
  </si>
  <si>
    <t>ハンナに攻撃頻度バフ</t>
    <rPh sb="4" eb="6">
      <t>コウゲｋ</t>
    </rPh>
    <rPh sb="6" eb="8">
      <t>ヒンｄ</t>
    </rPh>
    <phoneticPr fontId="5"/>
  </si>
  <si>
    <t>ハンナ</t>
    <phoneticPr fontId="5"/>
  </si>
  <si>
    <t>ハートパネル吸収攻撃</t>
    <rPh sb="6" eb="8">
      <t>キュウシュ</t>
    </rPh>
    <rPh sb="8" eb="10">
      <t>コウゲｋ</t>
    </rPh>
    <phoneticPr fontId="5"/>
  </si>
  <si>
    <t>ファータに攻撃バフ</t>
    <rPh sb="5" eb="7">
      <t>コウゲｋ</t>
    </rPh>
    <phoneticPr fontId="5"/>
  </si>
  <si>
    <t>ハップル1</t>
    <phoneticPr fontId="5"/>
  </si>
  <si>
    <t>状態異常無効＆緑パネルをお邪魔パネルに変化してドロップ</t>
    <rPh sb="0" eb="6">
      <t>ｊｙ</t>
    </rPh>
    <rPh sb="7" eb="8">
      <t>ミドリパネｒ</t>
    </rPh>
    <rPh sb="19" eb="21">
      <t>ヘｎ</t>
    </rPh>
    <phoneticPr fontId="5"/>
  </si>
  <si>
    <t>全体攻撃</t>
    <rPh sb="0" eb="4">
      <t>ゼンタイ</t>
    </rPh>
    <phoneticPr fontId="5"/>
  </si>
  <si>
    <t>サムライキラーの連続攻撃</t>
    <rPh sb="8" eb="12">
      <t>レンゾｋ</t>
    </rPh>
    <phoneticPr fontId="5"/>
  </si>
  <si>
    <t>ランダムでハートパネル変換</t>
    <phoneticPr fontId="5"/>
  </si>
  <si>
    <t>ハートパネルとお邪魔パネルを吸収して攻撃</t>
    <rPh sb="14" eb="16">
      <t>9ｓｙ</t>
    </rPh>
    <rPh sb="18" eb="20">
      <t>コウゲｋ</t>
    </rPh>
    <phoneticPr fontId="5"/>
  </si>
  <si>
    <t>ハップル2</t>
    <phoneticPr fontId="5"/>
  </si>
  <si>
    <t>状態異常無効＆緑パネルをハートパネルに変化してドロップ</t>
    <rPh sb="0" eb="6">
      <t>ｊｙ</t>
    </rPh>
    <rPh sb="7" eb="8">
      <t>ミドリパネｒ</t>
    </rPh>
    <rPh sb="19" eb="21">
      <t>ヘｎ</t>
    </rPh>
    <phoneticPr fontId="5"/>
  </si>
  <si>
    <t>ハートパネルを吸収して攻撃</t>
    <rPh sb="7" eb="9">
      <t>9ｓｙ</t>
    </rPh>
    <rPh sb="11" eb="13">
      <t>コウゲｋ</t>
    </rPh>
    <phoneticPr fontId="5"/>
  </si>
  <si>
    <t>一定以下で黄パネル以外をハートパネルに変換</t>
    <rPh sb="0" eb="2">
      <t>イｔｔ</t>
    </rPh>
    <rPh sb="2" eb="4">
      <t>イｋ</t>
    </rPh>
    <rPh sb="5" eb="6">
      <t>キパネｒ</t>
    </rPh>
    <rPh sb="9" eb="11">
      <t>イガ</t>
    </rPh>
    <rPh sb="19" eb="21">
      <t>ヘｎ</t>
    </rPh>
    <phoneticPr fontId="5"/>
  </si>
  <si>
    <t>ハートパネルをすべて吸収して攻撃</t>
    <rPh sb="10" eb="12">
      <t>キュウシュ</t>
    </rPh>
    <rPh sb="14" eb="16">
      <t>コウゲｋ</t>
    </rPh>
    <phoneticPr fontId="5"/>
  </si>
  <si>
    <t>ハップル3</t>
    <phoneticPr fontId="5"/>
  </si>
  <si>
    <t>[effect:nothing]</t>
    <phoneticPr fontId="5"/>
  </si>
  <si>
    <t>[effect:critical, val:2, animation:enemy_critical]</t>
    <phoneticPr fontId="5"/>
  </si>
  <si>
    <t>[effect:spread, val:0.4]</t>
    <phoneticPr fontId="5"/>
  </si>
  <si>
    <t>[effect:force_change_block, new_block:block_heart, target:block_all, ignore01:crash, ignore02:crack_bomb, ignore03:damage, ignore04:time_bomb, ignore05:color_break, count:5, val:0, animation:change_block]</t>
    <phoneticPr fontId="5"/>
  </si>
  <si>
    <t>[effect:break_attack, target:unit_one, val:0.2, lowest_val:0, count:-1, color:yellow, block_color:block_heart, block01:block_all, ignore01:crack_bomb]</t>
    <phoneticPr fontId="5"/>
  </si>
  <si>
    <t>[effect:tolerance, target:myself, turn:-1, count:-1, tolerance_effect:all, animation:enemy_tolerance]</t>
    <phoneticPr fontId="5"/>
  </si>
  <si>
    <t>[effect:break_attack, target:unit_one, val:0.2, lowest_val:0, count:-1, color:yellow, block_color:block_heart, block01:block_all, block02:jammer, ignore01:crack_bomb, ignore02:color_break]</t>
    <phoneticPr fontId="5"/>
  </si>
  <si>
    <t>[effect:break_attack, target:unit_one, val:0.2, lowest_val:0, count:-1, color:yellow, block_color:block_heart, block01:block_all, ignore01:crack_bomb, ignore02:color_break]</t>
    <phoneticPr fontId="5"/>
  </si>
  <si>
    <t>[effect:force_change_block, new_block:jammer, target:block_all, ignore01:crash, ignore02:crack_bomb, ignore03:damage, ignore04:time_bomb, ignore05:color_break, count:5, val:0, animation:change_block]</t>
    <phoneticPr fontId="5"/>
  </si>
  <si>
    <t>[effect:freq_turn, target:enemy_blue, turn:-1, val:1, animation:enemy_freq_turn]</t>
    <phoneticPr fontId="5"/>
  </si>
  <si>
    <t>[effect:enhance_enemy, target:enemy_green, turn:-1, status:attack, val:0.5, calc:mul, animation:enemy_enhance_attack]</t>
    <phoneticPr fontId="5"/>
  </si>
  <si>
    <t>[effect:tolerance, target:myself, turn:-1, count:-1, tolerance_effect:all, animation:enemy_tolerance],[effect:drop_block, block_type:jammer, block_color:block_green, color:block_green, val:0, rate:1, turn:-1, animation:block_incidence04]</t>
    <phoneticPr fontId="5"/>
  </si>
  <si>
    <t>[effect:damage_anti_tribe, target:unit_one, tribe:samurai, val1:0.3, val2:0.1],[effect:damage_anti_tribe, target:unit_one, tribe:samurai, val1:0.3, val2:0.1],[effect:damage_anti_tribe, target:unit_one, tribe:samurai, val1:0.3, val2:0.1],[effect:damage_anti_tribe, target:unit_one, tribe:samurai, val1:0.3, val2:0.1]</t>
    <phoneticPr fontId="5"/>
  </si>
  <si>
    <t>[effect:break_attack, target:unit_one, val:0.2, lowest_val:0, count:-1, color:blue, block_color:block_heart, block01:block_all, ignore01:crack_bomb, ignore02:color_break]</t>
    <phoneticPr fontId="5"/>
  </si>
  <si>
    <t>[effect:force_change_block, new_block:block_heart, target:block_all, ignore01:crash, ignore02:crack_bomb, ignore03:damage, ignore04:time_bomb, ignore05:block_heart, count:-1, val:0, animation:change_block]</t>
    <phoneticPr fontId="5"/>
  </si>
  <si>
    <t>[effect:tolerance, target:myself, turn:-1, count:-1, tolerance_effect:all, animation:enemy_tolerance],[effect:drop_block, block_type:normal, block_color:block_heart, color:block_green, val:0, rate:1, turn:-1, animation:block_incidence04]</t>
    <phoneticPr fontId="5"/>
  </si>
  <si>
    <t>[effect:change_panel_ratio, turn:5, block_type:green, val:0.05, animation:block_incidence04]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</si>
</sst>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1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0"/>
      <color theme="1"/>
      <name val="ＭＳ Ｐゴシック"/>
      <family val="3"/>
      <charset val="128"/>
      <scheme val="minor"/>
    </font>
  </fonts>
  <fills count="32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</borders>
  <cellStyleXfs count="698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1" fillId="16" borderId="13" applyNumberFormat="0" applyAlignment="0" applyProtection="0"/>
    <xf numFmtId="0" fontId="32" fillId="17" borderId="0" applyNumberFormat="0" applyBorder="0" applyAlignment="0" applyProtection="0"/>
    <xf numFmtId="0" fontId="33" fillId="18" borderId="14" applyNumberFormat="0" applyAlignment="0" applyProtection="0"/>
    <xf numFmtId="0" fontId="34" fillId="0" borderId="0" applyNumberFormat="0" applyFill="0" applyBorder="0" applyAlignment="0" applyProtection="0"/>
    <xf numFmtId="0" fontId="35" fillId="19" borderId="0" applyNumberFormat="0" applyBorder="0" applyAlignment="0" applyProtection="0"/>
    <xf numFmtId="0" fontId="36" fillId="20" borderId="15" applyNumberFormat="0" applyAlignment="0" applyProtection="0"/>
    <xf numFmtId="0" fontId="37" fillId="0" borderId="0" applyNumberFormat="0" applyFill="0" applyBorder="0" applyAlignment="0" applyProtection="0"/>
    <xf numFmtId="0" fontId="38" fillId="0" borderId="16" applyNumberFormat="0" applyFill="0" applyAlignment="0" applyProtection="0"/>
    <xf numFmtId="0" fontId="39" fillId="0" borderId="17" applyNumberFormat="0" applyFill="0" applyAlignment="0" applyProtection="0"/>
    <xf numFmtId="0" fontId="40" fillId="0" borderId="18" applyNumberFormat="0" applyFill="0" applyAlignment="0" applyProtection="0"/>
    <xf numFmtId="0" fontId="40" fillId="0" borderId="0" applyNumberFormat="0" applyFill="0" applyBorder="0" applyAlignment="0" applyProtection="0"/>
    <xf numFmtId="0" fontId="41" fillId="18" borderId="0" applyNumberFormat="0" applyBorder="0" applyAlignment="0" applyProtection="0"/>
    <xf numFmtId="0" fontId="41" fillId="17" borderId="0" applyNumberFormat="0" applyBorder="0" applyAlignment="0" applyProtection="0"/>
    <xf numFmtId="0" fontId="41" fillId="21" borderId="0" applyNumberFormat="0" applyBorder="0" applyAlignment="0" applyProtection="0"/>
    <xf numFmtId="0" fontId="41" fillId="18" borderId="0" applyNumberFormat="0" applyBorder="0" applyAlignment="0" applyProtection="0"/>
    <xf numFmtId="0" fontId="41" fillId="22" borderId="0" applyNumberFormat="0" applyBorder="0" applyAlignment="0" applyProtection="0"/>
    <xf numFmtId="0" fontId="41" fillId="16" borderId="0" applyNumberFormat="0" applyBorder="0" applyAlignment="0" applyProtection="0"/>
    <xf numFmtId="0" fontId="41" fillId="18" borderId="0" applyNumberFormat="0" applyBorder="0" applyAlignment="0" applyProtection="0"/>
    <xf numFmtId="0" fontId="41" fillId="23" borderId="0" applyNumberFormat="0" applyBorder="0" applyAlignment="0" applyProtection="0"/>
    <xf numFmtId="0" fontId="41" fillId="21" borderId="0" applyNumberFormat="0" applyBorder="0" applyAlignment="0" applyProtection="0"/>
    <xf numFmtId="0" fontId="41" fillId="18" borderId="0" applyNumberFormat="0" applyBorder="0" applyAlignment="0" applyProtection="0"/>
    <xf numFmtId="0" fontId="41" fillId="24" borderId="0" applyNumberFormat="0" applyBorder="0" applyAlignment="0" applyProtection="0"/>
    <xf numFmtId="0" fontId="41" fillId="17" borderId="0" applyNumberFormat="0" applyBorder="0" applyAlignment="0" applyProtection="0"/>
    <xf numFmtId="0" fontId="42" fillId="25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5" borderId="0" applyNumberFormat="0" applyBorder="0" applyAlignment="0" applyProtection="0"/>
    <xf numFmtId="0" fontId="42" fillId="17" borderId="0" applyNumberFormat="0" applyBorder="0" applyAlignment="0" applyProtection="0"/>
    <xf numFmtId="0" fontId="34" fillId="0" borderId="0" applyNumberFormat="0" applyFill="0" applyBorder="0" applyAlignment="0" applyProtection="0"/>
    <xf numFmtId="0" fontId="42" fillId="25" borderId="0" applyNumberFormat="0" applyBorder="0" applyAlignment="0" applyProtection="0"/>
    <xf numFmtId="0" fontId="42" fillId="26" borderId="0" applyNumberFormat="0" applyBorder="0" applyAlignment="0" applyProtection="0"/>
    <xf numFmtId="0" fontId="42" fillId="21" borderId="0" applyNumberFormat="0" applyBorder="0" applyAlignment="0" applyProtection="0"/>
    <xf numFmtId="0" fontId="42" fillId="27" borderId="0" applyNumberFormat="0" applyBorder="0" applyAlignment="0" applyProtection="0"/>
    <xf numFmtId="0" fontId="42" fillId="25" borderId="0" applyNumberFormat="0" applyBorder="0" applyAlignment="0" applyProtection="0"/>
    <xf numFmtId="0" fontId="42" fillId="23" borderId="0" applyNumberFormat="0" applyBorder="0" applyAlignment="0" applyProtection="0"/>
    <xf numFmtId="0" fontId="43" fillId="28" borderId="0" applyNumberFormat="0" applyBorder="0" applyAlignment="0" applyProtection="0"/>
    <xf numFmtId="0" fontId="32" fillId="17" borderId="0" applyNumberFormat="0" applyBorder="0" applyAlignment="0" applyProtection="0"/>
    <xf numFmtId="0" fontId="44" fillId="0" borderId="19" applyNumberFormat="0" applyFill="0" applyAlignment="0" applyProtection="0"/>
    <xf numFmtId="0" fontId="45" fillId="18" borderId="20" applyNumberFormat="0" applyAlignment="0" applyProtection="0"/>
    <xf numFmtId="0" fontId="45" fillId="29" borderId="20" applyNumberFormat="0" applyAlignment="0" applyProtection="0"/>
    <xf numFmtId="0" fontId="33" fillId="17" borderId="14" applyNumberFormat="0" applyAlignment="0" applyProtection="0"/>
    <xf numFmtId="0" fontId="46" fillId="0" borderId="21" applyNumberFormat="0" applyFill="0" applyAlignment="0" applyProtection="0"/>
    <xf numFmtId="0" fontId="47" fillId="29" borderId="14" applyNumberFormat="0" applyAlignment="0" applyProtection="0"/>
    <xf numFmtId="0" fontId="48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9" fillId="0" borderId="22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08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6" fillId="5" borderId="11" xfId="0" applyFont="1" applyFill="1" applyBorder="1" applyAlignment="1">
      <alignment vertical="center"/>
    </xf>
    <xf numFmtId="0" fontId="0" fillId="3" borderId="7" xfId="0" applyFill="1" applyBorder="1"/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3" borderId="12" xfId="0" applyFont="1" applyFill="1" applyBorder="1" applyAlignment="1">
      <alignment vertical="center"/>
    </xf>
    <xf numFmtId="0" fontId="29" fillId="0" borderId="7" xfId="0" applyFont="1" applyFill="1" applyBorder="1"/>
    <xf numFmtId="0" fontId="28" fillId="0" borderId="12" xfId="0" applyFont="1" applyFill="1" applyBorder="1" applyAlignment="1">
      <alignment vertical="center"/>
    </xf>
    <xf numFmtId="0" fontId="29" fillId="14" borderId="7" xfId="0" applyFont="1" applyFill="1" applyBorder="1"/>
    <xf numFmtId="0" fontId="30" fillId="0" borderId="7" xfId="0" applyFont="1" applyFill="1" applyBorder="1"/>
    <xf numFmtId="38" fontId="16" fillId="0" borderId="7" xfId="628" applyFont="1" applyFill="1" applyBorder="1" applyAlignment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29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30" fillId="14" borderId="7" xfId="0" applyFont="1" applyFill="1" applyBorder="1"/>
    <xf numFmtId="38" fontId="16" fillId="14" borderId="7" xfId="628" applyFont="1" applyFill="1" applyBorder="1" applyAlignment="1"/>
    <xf numFmtId="0" fontId="16" fillId="6" borderId="7" xfId="11" applyFont="1" applyFill="1" applyBorder="1" applyAlignment="1">
      <alignment horizontal="left"/>
    </xf>
    <xf numFmtId="0" fontId="26" fillId="0" borderId="0" xfId="0" applyFont="1"/>
    <xf numFmtId="0" fontId="13" fillId="7" borderId="0" xfId="0" applyFont="1" applyFill="1" applyAlignment="1">
      <alignment horizontal="center"/>
    </xf>
    <xf numFmtId="0" fontId="50" fillId="6" borderId="7" xfId="0" applyFont="1" applyFill="1" applyBorder="1" applyAlignment="1">
      <alignment horizontal="center"/>
    </xf>
    <xf numFmtId="0" fontId="13" fillId="7" borderId="0" xfId="0" applyFont="1" applyFill="1" applyAlignment="1">
      <alignment horizontal="left" indent="1"/>
    </xf>
    <xf numFmtId="0" fontId="29" fillId="3" borderId="7" xfId="0" applyFont="1" applyFill="1" applyBorder="1"/>
    <xf numFmtId="22" fontId="29" fillId="0" borderId="7" xfId="0" quotePrefix="1" applyNumberFormat="1" applyFont="1" applyFill="1" applyBorder="1"/>
    <xf numFmtId="0" fontId="29" fillId="0" borderId="7" xfId="0" quotePrefix="1" applyFont="1" applyFill="1" applyBorder="1"/>
    <xf numFmtId="0" fontId="2" fillId="0" borderId="7" xfId="615" applyBorder="1"/>
    <xf numFmtId="0" fontId="2" fillId="6" borderId="7" xfId="615" applyFill="1" applyBorder="1"/>
    <xf numFmtId="0" fontId="4" fillId="31" borderId="7" xfId="0" applyFont="1" applyFill="1" applyBorder="1" applyAlignment="1">
      <alignment horizontal="left" vertical="center"/>
    </xf>
    <xf numFmtId="1" fontId="31" fillId="31" borderId="7" xfId="0" applyNumberFormat="1" applyFont="1" applyFill="1" applyBorder="1" applyAlignment="1">
      <alignment vertical="center"/>
    </xf>
    <xf numFmtId="0" fontId="4" fillId="31" borderId="0" xfId="0" applyFont="1" applyFill="1" applyAlignment="1">
      <alignment vertical="center"/>
    </xf>
  </cellXfs>
  <cellStyles count="698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赤字強調" xfId="431"/>
    <cellStyle name="青字強調" xfId="43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tyles" Target="styles.xml"/><Relationship Id="rId21" Type="http://schemas.openxmlformats.org/officeDocument/2006/relationships/sharedStrings" Target="sharedStrings.xml"/><Relationship Id="rId22" Type="http://schemas.openxmlformats.org/officeDocument/2006/relationships/calcChain" Target="calcChain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externalLink" Target="externalLinks/externalLink2.xml"/><Relationship Id="rId14" Type="http://schemas.openxmlformats.org/officeDocument/2006/relationships/externalLink" Target="externalLinks/externalLink3.xml"/><Relationship Id="rId15" Type="http://schemas.openxmlformats.org/officeDocument/2006/relationships/externalLink" Target="externalLinks/externalLink4.xml"/><Relationship Id="rId16" Type="http://schemas.openxmlformats.org/officeDocument/2006/relationships/externalLink" Target="externalLinks/externalLink5.xml"/><Relationship Id="rId17" Type="http://schemas.openxmlformats.org/officeDocument/2006/relationships/externalLink" Target="externalLinks/externalLink6.xml"/><Relationship Id="rId18" Type="http://schemas.openxmlformats.org/officeDocument/2006/relationships/externalLink" Target="externalLinks/externalLink7.xml"/><Relationship Id="rId19" Type="http://schemas.openxmlformats.org/officeDocument/2006/relationships/theme" Target="theme/theme1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StageHintMasterData_template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12001</v>
          </cell>
        </row>
        <row r="87">
          <cell r="A87">
            <v>12002</v>
          </cell>
        </row>
        <row r="88">
          <cell r="A88">
            <v>12003</v>
          </cell>
        </row>
        <row r="89">
          <cell r="A89">
            <v>12004</v>
          </cell>
        </row>
        <row r="90">
          <cell r="A90">
            <v>13001</v>
          </cell>
        </row>
        <row r="91">
          <cell r="A91">
            <v>13101</v>
          </cell>
        </row>
        <row r="92">
          <cell r="A92">
            <v>13300</v>
          </cell>
        </row>
        <row r="93">
          <cell r="A93">
            <v>13301</v>
          </cell>
        </row>
        <row r="94">
          <cell r="A94">
            <v>13302</v>
          </cell>
        </row>
        <row r="95">
          <cell r="A95">
            <v>14001</v>
          </cell>
        </row>
        <row r="96">
          <cell r="A96">
            <v>14002</v>
          </cell>
        </row>
        <row r="97">
          <cell r="A97">
            <v>14003</v>
          </cell>
        </row>
        <row r="98">
          <cell r="A98">
            <v>14004</v>
          </cell>
        </row>
        <row r="99">
          <cell r="A99">
            <v>14005</v>
          </cell>
        </row>
        <row r="100">
          <cell r="A100">
            <v>14006</v>
          </cell>
        </row>
        <row r="101">
          <cell r="A101">
            <v>15027</v>
          </cell>
        </row>
        <row r="102">
          <cell r="A102">
            <v>15028</v>
          </cell>
        </row>
        <row r="103">
          <cell r="A103">
            <v>15029</v>
          </cell>
        </row>
        <row r="104">
          <cell r="A104">
            <v>15030</v>
          </cell>
        </row>
        <row r="105">
          <cell r="A105">
            <v>15031</v>
          </cell>
        </row>
        <row r="106">
          <cell r="A106">
            <v>20001</v>
          </cell>
        </row>
        <row r="107">
          <cell r="A107">
            <v>20002</v>
          </cell>
        </row>
        <row r="108">
          <cell r="A108">
            <v>20003</v>
          </cell>
        </row>
        <row r="109">
          <cell r="A109">
            <v>20004</v>
          </cell>
        </row>
        <row r="110">
          <cell r="A110">
            <v>20005</v>
          </cell>
        </row>
        <row r="111">
          <cell r="A111">
            <v>20006</v>
          </cell>
        </row>
        <row r="112">
          <cell r="A112">
            <v>20007</v>
          </cell>
        </row>
        <row r="113">
          <cell r="A113">
            <v>20008</v>
          </cell>
        </row>
        <row r="114">
          <cell r="A114">
            <v>20009</v>
          </cell>
        </row>
        <row r="115">
          <cell r="A115">
            <v>20010</v>
          </cell>
        </row>
        <row r="116">
          <cell r="A116">
            <v>20011</v>
          </cell>
        </row>
        <row r="117">
          <cell r="A117">
            <v>20012</v>
          </cell>
        </row>
        <row r="118">
          <cell r="A118">
            <v>20013</v>
          </cell>
        </row>
        <row r="119">
          <cell r="A119">
            <v>20014</v>
          </cell>
        </row>
        <row r="120">
          <cell r="A120">
            <v>20015</v>
          </cell>
        </row>
        <row r="121">
          <cell r="A121">
            <v>20016</v>
          </cell>
        </row>
        <row r="122">
          <cell r="A122">
            <v>20017</v>
          </cell>
        </row>
        <row r="123">
          <cell r="A123">
            <v>20018</v>
          </cell>
        </row>
        <row r="124">
          <cell r="A124">
            <v>20019</v>
          </cell>
        </row>
        <row r="125">
          <cell r="A125">
            <v>20020</v>
          </cell>
        </row>
        <row r="126">
          <cell r="A126">
            <v>20021</v>
          </cell>
        </row>
        <row r="127">
          <cell r="A127">
            <v>30001</v>
          </cell>
        </row>
        <row r="128">
          <cell r="A128">
            <v>30002</v>
          </cell>
        </row>
        <row r="129">
          <cell r="A129">
            <v>30003</v>
          </cell>
        </row>
        <row r="130">
          <cell r="A130">
            <v>30004</v>
          </cell>
        </row>
        <row r="131">
          <cell r="A131">
            <v>30005</v>
          </cell>
        </row>
        <row r="132">
          <cell r="A132">
            <v>30006</v>
          </cell>
        </row>
        <row r="133">
          <cell r="A133">
            <v>30007</v>
          </cell>
        </row>
        <row r="134">
          <cell r="A134">
            <v>30008</v>
          </cell>
        </row>
        <row r="135">
          <cell r="A135">
            <v>30009</v>
          </cell>
        </row>
        <row r="136">
          <cell r="A136">
            <v>30010</v>
          </cell>
        </row>
        <row r="137">
          <cell r="A137">
            <v>30011</v>
          </cell>
        </row>
        <row r="138">
          <cell r="A138">
            <v>30012</v>
          </cell>
        </row>
        <row r="139">
          <cell r="A139">
            <v>30013</v>
          </cell>
        </row>
        <row r="140">
          <cell r="A140">
            <v>30014</v>
          </cell>
        </row>
        <row r="141">
          <cell r="A141">
            <v>30015</v>
          </cell>
        </row>
        <row r="142">
          <cell r="A142">
            <v>30016</v>
          </cell>
        </row>
        <row r="143">
          <cell r="A143">
            <v>30017</v>
          </cell>
        </row>
        <row r="144">
          <cell r="A144">
            <v>30018</v>
          </cell>
        </row>
        <row r="145">
          <cell r="A145">
            <v>30019</v>
          </cell>
        </row>
        <row r="146">
          <cell r="A146">
            <v>30020</v>
          </cell>
        </row>
        <row r="147">
          <cell r="A147">
            <v>30021</v>
          </cell>
        </row>
        <row r="148">
          <cell r="A148">
            <v>30022</v>
          </cell>
        </row>
        <row r="149">
          <cell r="A149">
            <v>30023</v>
          </cell>
        </row>
        <row r="150">
          <cell r="A150">
            <v>30024</v>
          </cell>
        </row>
        <row r="151">
          <cell r="A151">
            <v>30025</v>
          </cell>
        </row>
        <row r="152">
          <cell r="A152">
            <v>30026</v>
          </cell>
        </row>
        <row r="153">
          <cell r="A153">
            <v>30027</v>
          </cell>
        </row>
        <row r="154">
          <cell r="A154">
            <v>30028</v>
          </cell>
        </row>
        <row r="155">
          <cell r="A155">
            <v>30029</v>
          </cell>
        </row>
        <row r="156">
          <cell r="A156">
            <v>30030</v>
          </cell>
        </row>
        <row r="157">
          <cell r="A157">
            <v>30031</v>
          </cell>
        </row>
        <row r="158">
          <cell r="A158">
            <v>30032</v>
          </cell>
        </row>
        <row r="159">
          <cell r="A159">
            <v>30033</v>
          </cell>
        </row>
        <row r="160">
          <cell r="A160">
            <v>30034</v>
          </cell>
        </row>
        <row r="161">
          <cell r="A161">
            <v>30035</v>
          </cell>
        </row>
        <row r="162">
          <cell r="A162">
            <v>30036</v>
          </cell>
        </row>
        <row r="163">
          <cell r="A163">
            <v>30037</v>
          </cell>
        </row>
        <row r="164">
          <cell r="A164">
            <v>30038</v>
          </cell>
        </row>
        <row r="165">
          <cell r="A165">
            <v>30039</v>
          </cell>
        </row>
        <row r="166">
          <cell r="A166">
            <v>30040</v>
          </cell>
        </row>
        <row r="167">
          <cell r="A167">
            <v>30041</v>
          </cell>
        </row>
        <row r="168">
          <cell r="A168">
            <v>30042</v>
          </cell>
        </row>
        <row r="169">
          <cell r="A169">
            <v>30043</v>
          </cell>
        </row>
        <row r="170">
          <cell r="A170">
            <v>30044</v>
          </cell>
        </row>
        <row r="171">
          <cell r="A171">
            <v>30045</v>
          </cell>
        </row>
        <row r="172">
          <cell r="A172">
            <v>30046</v>
          </cell>
        </row>
        <row r="173">
          <cell r="A173">
            <v>30047</v>
          </cell>
        </row>
        <row r="174">
          <cell r="A174">
            <v>39001</v>
          </cell>
        </row>
        <row r="175">
          <cell r="A175">
            <v>39002</v>
          </cell>
        </row>
        <row r="176">
          <cell r="A176">
            <v>39003</v>
          </cell>
        </row>
        <row r="177">
          <cell r="A177">
            <v>39004</v>
          </cell>
        </row>
        <row r="178">
          <cell r="A178">
            <v>39005</v>
          </cell>
        </row>
        <row r="179">
          <cell r="A179">
            <v>39006</v>
          </cell>
        </row>
        <row r="180">
          <cell r="A180">
            <v>39007</v>
          </cell>
        </row>
        <row r="181">
          <cell r="A181">
            <v>39008</v>
          </cell>
        </row>
        <row r="182">
          <cell r="A182">
            <v>39009</v>
          </cell>
        </row>
        <row r="183">
          <cell r="A183">
            <v>39010</v>
          </cell>
        </row>
        <row r="184">
          <cell r="A184">
            <v>39011</v>
          </cell>
        </row>
        <row r="185">
          <cell r="A185">
            <v>40001</v>
          </cell>
        </row>
        <row r="186">
          <cell r="A186">
            <v>40002</v>
          </cell>
        </row>
        <row r="187">
          <cell r="A187">
            <v>40003</v>
          </cell>
        </row>
        <row r="188">
          <cell r="A188">
            <v>40004</v>
          </cell>
        </row>
        <row r="189">
          <cell r="A189">
            <v>40005</v>
          </cell>
        </row>
        <row r="190">
          <cell r="A190">
            <v>40006</v>
          </cell>
        </row>
        <row r="191">
          <cell r="A191">
            <v>40007</v>
          </cell>
        </row>
        <row r="192">
          <cell r="A192">
            <v>40008</v>
          </cell>
        </row>
        <row r="193">
          <cell r="A193">
            <v>40009</v>
          </cell>
        </row>
        <row r="194">
          <cell r="A194">
            <v>40010</v>
          </cell>
        </row>
        <row r="195">
          <cell r="A195">
            <v>40011</v>
          </cell>
        </row>
        <row r="196">
          <cell r="A196">
            <v>40012</v>
          </cell>
        </row>
        <row r="197">
          <cell r="A197">
            <v>40013</v>
          </cell>
        </row>
        <row r="198">
          <cell r="A198">
            <v>40014</v>
          </cell>
        </row>
        <row r="199">
          <cell r="A199">
            <v>40015</v>
          </cell>
        </row>
        <row r="200">
          <cell r="A200">
            <v>40016</v>
          </cell>
        </row>
        <row r="201">
          <cell r="A201">
            <v>40017</v>
          </cell>
        </row>
        <row r="202">
          <cell r="A202">
            <v>40018</v>
          </cell>
        </row>
        <row r="203">
          <cell r="A203">
            <v>40019</v>
          </cell>
        </row>
        <row r="204">
          <cell r="A204">
            <v>40021</v>
          </cell>
        </row>
        <row r="205">
          <cell r="A205">
            <v>40022</v>
          </cell>
        </row>
        <row r="206">
          <cell r="A206">
            <v>40023</v>
          </cell>
        </row>
        <row r="207">
          <cell r="A207">
            <v>40024</v>
          </cell>
        </row>
        <row r="208">
          <cell r="A208">
            <v>40025</v>
          </cell>
        </row>
        <row r="209">
          <cell r="A209">
            <v>40026</v>
          </cell>
        </row>
        <row r="210">
          <cell r="A210">
            <v>40027</v>
          </cell>
        </row>
        <row r="211">
          <cell r="A211">
            <v>40028</v>
          </cell>
        </row>
        <row r="212">
          <cell r="A212">
            <v>40029</v>
          </cell>
        </row>
        <row r="213">
          <cell r="A213">
            <v>40030</v>
          </cell>
        </row>
        <row r="214">
          <cell r="A214">
            <v>40031</v>
          </cell>
        </row>
        <row r="215">
          <cell r="A215">
            <v>40032</v>
          </cell>
        </row>
        <row r="216">
          <cell r="A216">
            <v>40033</v>
          </cell>
        </row>
        <row r="217">
          <cell r="A217">
            <v>40034</v>
          </cell>
        </row>
        <row r="218">
          <cell r="A218">
            <v>40035</v>
          </cell>
        </row>
        <row r="219">
          <cell r="A219">
            <v>40036</v>
          </cell>
        </row>
        <row r="220">
          <cell r="A220">
            <v>40037</v>
          </cell>
        </row>
        <row r="221">
          <cell r="A221">
            <v>40038</v>
          </cell>
        </row>
        <row r="222">
          <cell r="A222">
            <v>40039</v>
          </cell>
        </row>
        <row r="223">
          <cell r="A223">
            <v>40040</v>
          </cell>
        </row>
        <row r="224">
          <cell r="A224">
            <v>40041</v>
          </cell>
        </row>
        <row r="225">
          <cell r="A225">
            <v>40042</v>
          </cell>
        </row>
        <row r="226">
          <cell r="A226">
            <v>48001</v>
          </cell>
        </row>
        <row r="227">
          <cell r="A227">
            <v>48002</v>
          </cell>
        </row>
        <row r="228">
          <cell r="A228">
            <v>48003</v>
          </cell>
        </row>
        <row r="229">
          <cell r="A229">
            <v>48004</v>
          </cell>
        </row>
        <row r="230">
          <cell r="A230">
            <v>48005</v>
          </cell>
        </row>
        <row r="231">
          <cell r="A231">
            <v>48006</v>
          </cell>
        </row>
        <row r="232">
          <cell r="A232">
            <v>48007</v>
          </cell>
        </row>
        <row r="233">
          <cell r="A233">
            <v>48008</v>
          </cell>
        </row>
        <row r="234">
          <cell r="A234">
            <v>48009</v>
          </cell>
        </row>
        <row r="235">
          <cell r="A235">
            <v>48010</v>
          </cell>
        </row>
        <row r="236">
          <cell r="A236">
            <v>48501</v>
          </cell>
        </row>
        <row r="237">
          <cell r="A237">
            <v>41001</v>
          </cell>
        </row>
        <row r="238">
          <cell r="A238">
            <v>41002</v>
          </cell>
        </row>
        <row r="239">
          <cell r="A239">
            <v>41003</v>
          </cell>
        </row>
        <row r="240">
          <cell r="A240">
            <v>41004</v>
          </cell>
        </row>
        <row r="241">
          <cell r="A241">
            <v>41005</v>
          </cell>
        </row>
        <row r="242">
          <cell r="A242">
            <v>41006</v>
          </cell>
        </row>
        <row r="243">
          <cell r="A243">
            <v>41007</v>
          </cell>
        </row>
        <row r="244">
          <cell r="A244">
            <v>41008</v>
          </cell>
        </row>
        <row r="245">
          <cell r="A245">
            <v>41009</v>
          </cell>
        </row>
        <row r="246">
          <cell r="A246">
            <v>41010</v>
          </cell>
        </row>
        <row r="247">
          <cell r="A247">
            <v>41011</v>
          </cell>
        </row>
        <row r="248">
          <cell r="A248">
            <v>41012</v>
          </cell>
        </row>
        <row r="249">
          <cell r="A249">
            <v>41013</v>
          </cell>
        </row>
        <row r="250">
          <cell r="A250">
            <v>41014</v>
          </cell>
        </row>
        <row r="251">
          <cell r="A251">
            <v>41015</v>
          </cell>
        </row>
        <row r="252">
          <cell r="A252">
            <v>47001</v>
          </cell>
        </row>
        <row r="253">
          <cell r="A253">
            <v>47002</v>
          </cell>
        </row>
        <row r="254">
          <cell r="A254">
            <v>47003</v>
          </cell>
        </row>
        <row r="255">
          <cell r="A255">
            <v>47004</v>
          </cell>
        </row>
        <row r="256">
          <cell r="A256">
            <v>47005</v>
          </cell>
        </row>
        <row r="257">
          <cell r="A257">
            <v>47006</v>
          </cell>
        </row>
        <row r="258">
          <cell r="A258">
            <v>49001</v>
          </cell>
        </row>
        <row r="259">
          <cell r="A259">
            <v>49002</v>
          </cell>
        </row>
        <row r="260">
          <cell r="A260">
            <v>49003</v>
          </cell>
        </row>
        <row r="261">
          <cell r="A261">
            <v>49004</v>
          </cell>
        </row>
        <row r="262">
          <cell r="A262">
            <v>49005</v>
          </cell>
        </row>
        <row r="263">
          <cell r="A263">
            <v>49006</v>
          </cell>
        </row>
        <row r="264">
          <cell r="A264">
            <v>49007</v>
          </cell>
        </row>
        <row r="265">
          <cell r="A265">
            <v>49008</v>
          </cell>
        </row>
        <row r="266">
          <cell r="A266">
            <v>49009</v>
          </cell>
        </row>
        <row r="267">
          <cell r="A267">
            <v>49010</v>
          </cell>
        </row>
        <row r="268">
          <cell r="A268">
            <v>49011</v>
          </cell>
        </row>
        <row r="269">
          <cell r="A269">
            <v>49012</v>
          </cell>
        </row>
        <row r="270">
          <cell r="A270">
            <v>49013</v>
          </cell>
        </row>
        <row r="271">
          <cell r="A271">
            <v>50001</v>
          </cell>
        </row>
        <row r="272">
          <cell r="A272">
            <v>50002</v>
          </cell>
        </row>
        <row r="273">
          <cell r="A273">
            <v>50003</v>
          </cell>
        </row>
        <row r="274">
          <cell r="A274">
            <v>50004</v>
          </cell>
        </row>
        <row r="275">
          <cell r="A275">
            <v>50005</v>
          </cell>
        </row>
        <row r="276">
          <cell r="A276">
            <v>50006</v>
          </cell>
        </row>
        <row r="277">
          <cell r="A277">
            <v>50007</v>
          </cell>
        </row>
        <row r="278">
          <cell r="A278">
            <v>50008</v>
          </cell>
        </row>
        <row r="279">
          <cell r="A279">
            <v>50009</v>
          </cell>
        </row>
        <row r="280">
          <cell r="A280">
            <v>50010</v>
          </cell>
        </row>
        <row r="281">
          <cell r="A281">
            <v>50011</v>
          </cell>
        </row>
        <row r="282">
          <cell r="A282">
            <v>50012</v>
          </cell>
        </row>
        <row r="283">
          <cell r="A283">
            <v>50013</v>
          </cell>
        </row>
        <row r="284">
          <cell r="A284">
            <v>51001</v>
          </cell>
        </row>
        <row r="285">
          <cell r="A285">
            <v>51002</v>
          </cell>
        </row>
        <row r="286">
          <cell r="A286">
            <v>59001</v>
          </cell>
        </row>
        <row r="287">
          <cell r="A287">
            <v>60001</v>
          </cell>
        </row>
        <row r="288">
          <cell r="A288">
            <v>60002</v>
          </cell>
        </row>
        <row r="289">
          <cell r="A289">
            <v>60003</v>
          </cell>
        </row>
        <row r="290">
          <cell r="A290">
            <v>60004</v>
          </cell>
        </row>
        <row r="291">
          <cell r="A291">
            <v>60005</v>
          </cell>
        </row>
        <row r="292">
          <cell r="A292">
            <v>60006</v>
          </cell>
        </row>
        <row r="293">
          <cell r="A293">
            <v>60007</v>
          </cell>
        </row>
        <row r="294">
          <cell r="A294">
            <v>60010</v>
          </cell>
        </row>
        <row r="295">
          <cell r="A295">
            <v>60011</v>
          </cell>
        </row>
        <row r="296">
          <cell r="A296">
            <v>61011</v>
          </cell>
        </row>
        <row r="297">
          <cell r="A297">
            <v>60012</v>
          </cell>
        </row>
        <row r="298">
          <cell r="A298">
            <v>60013</v>
          </cell>
        </row>
        <row r="299">
          <cell r="A299">
            <v>60014</v>
          </cell>
        </row>
        <row r="300">
          <cell r="A300">
            <v>60015</v>
          </cell>
        </row>
        <row r="301">
          <cell r="A301">
            <v>60016</v>
          </cell>
        </row>
        <row r="302">
          <cell r="A302">
            <v>60017</v>
          </cell>
        </row>
        <row r="303">
          <cell r="A303">
            <v>60018</v>
          </cell>
        </row>
        <row r="304">
          <cell r="A304">
            <v>60019</v>
          </cell>
        </row>
        <row r="305">
          <cell r="A305">
            <v>60020</v>
          </cell>
        </row>
        <row r="306">
          <cell r="A306">
            <v>60025</v>
          </cell>
        </row>
        <row r="307">
          <cell r="A307">
            <v>60026</v>
          </cell>
        </row>
        <row r="308">
          <cell r="A308">
            <v>60027</v>
          </cell>
        </row>
        <row r="309">
          <cell r="A309">
            <v>65525</v>
          </cell>
        </row>
        <row r="310">
          <cell r="A310">
            <v>65526</v>
          </cell>
        </row>
        <row r="311">
          <cell r="A311">
            <v>65527</v>
          </cell>
        </row>
        <row r="312">
          <cell r="A312">
            <v>65529</v>
          </cell>
        </row>
        <row r="313">
          <cell r="A313">
            <v>65530</v>
          </cell>
        </row>
        <row r="314">
          <cell r="A314">
            <v>65531</v>
          </cell>
        </row>
        <row r="315">
          <cell r="A315">
            <v>65532</v>
          </cell>
        </row>
        <row r="316">
          <cell r="A316">
            <v>65533</v>
          </cell>
        </row>
        <row r="317">
          <cell r="A317">
            <v>65534</v>
          </cell>
        </row>
        <row r="318">
          <cell r="A318">
            <v>65535</v>
          </cell>
        </row>
        <row r="319">
          <cell r="A319">
            <v>60021</v>
          </cell>
        </row>
        <row r="320">
          <cell r="A320">
            <v>60022</v>
          </cell>
        </row>
        <row r="321">
          <cell r="A321">
            <v>60023</v>
          </cell>
        </row>
        <row r="322">
          <cell r="A322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11007_1</v>
          </cell>
        </row>
        <row r="224">
          <cell r="A224" t="str">
            <v>11007_2</v>
          </cell>
        </row>
        <row r="225">
          <cell r="A225" t="str">
            <v>11007_3</v>
          </cell>
        </row>
        <row r="226">
          <cell r="A226" t="str">
            <v>11007_4</v>
          </cell>
        </row>
        <row r="227">
          <cell r="A227" t="str">
            <v>11007_5</v>
          </cell>
        </row>
        <row r="228">
          <cell r="A228" t="str">
            <v>11008_1</v>
          </cell>
        </row>
        <row r="229">
          <cell r="A229" t="str">
            <v>11008_2</v>
          </cell>
        </row>
        <row r="230">
          <cell r="A230" t="str">
            <v>11008_3</v>
          </cell>
        </row>
        <row r="231">
          <cell r="A231" t="str">
            <v>11008_4</v>
          </cell>
        </row>
        <row r="232">
          <cell r="A232" t="str">
            <v>11008_5</v>
          </cell>
        </row>
        <row r="233">
          <cell r="A233" t="str">
            <v>11016_1</v>
          </cell>
        </row>
        <row r="234">
          <cell r="A234" t="str">
            <v>11017_1</v>
          </cell>
        </row>
        <row r="235">
          <cell r="A235" t="str">
            <v>11018_1</v>
          </cell>
        </row>
        <row r="236">
          <cell r="A236" t="str">
            <v>11101_1</v>
          </cell>
        </row>
        <row r="237">
          <cell r="A237" t="str">
            <v>11101_2</v>
          </cell>
        </row>
        <row r="238">
          <cell r="A238" t="str">
            <v>11101_3</v>
          </cell>
        </row>
        <row r="239">
          <cell r="A239" t="str">
            <v>11101_4</v>
          </cell>
        </row>
        <row r="240">
          <cell r="A240" t="str">
            <v>11101_10</v>
          </cell>
        </row>
        <row r="241">
          <cell r="A241" t="str">
            <v>11102_1</v>
          </cell>
        </row>
        <row r="242">
          <cell r="A242" t="str">
            <v>11102_2</v>
          </cell>
        </row>
        <row r="243">
          <cell r="A243" t="str">
            <v>11102_3</v>
          </cell>
        </row>
        <row r="244">
          <cell r="A244" t="str">
            <v>11102_4</v>
          </cell>
        </row>
        <row r="245">
          <cell r="A245" t="str">
            <v>11102_10</v>
          </cell>
        </row>
        <row r="246">
          <cell r="A246" t="str">
            <v>11103_1</v>
          </cell>
        </row>
        <row r="247">
          <cell r="A247" t="str">
            <v>11103_2</v>
          </cell>
        </row>
        <row r="248">
          <cell r="A248" t="str">
            <v>11103_3</v>
          </cell>
        </row>
        <row r="249">
          <cell r="A249" t="str">
            <v>11103_4</v>
          </cell>
        </row>
        <row r="250">
          <cell r="A250" t="str">
            <v>11103_10</v>
          </cell>
        </row>
        <row r="251">
          <cell r="A251" t="str">
            <v>11104_1</v>
          </cell>
        </row>
        <row r="252">
          <cell r="A252" t="str">
            <v>11104_2</v>
          </cell>
        </row>
        <row r="253">
          <cell r="A253" t="str">
            <v>11104_3</v>
          </cell>
        </row>
        <row r="254">
          <cell r="A254" t="str">
            <v>11104_4</v>
          </cell>
        </row>
        <row r="255">
          <cell r="A255" t="str">
            <v>11104_10</v>
          </cell>
        </row>
        <row r="256">
          <cell r="A256" t="str">
            <v>11105_1</v>
          </cell>
        </row>
        <row r="257">
          <cell r="A257" t="str">
            <v>11105_2</v>
          </cell>
        </row>
        <row r="258">
          <cell r="A258" t="str">
            <v>11105_3</v>
          </cell>
        </row>
        <row r="259">
          <cell r="A259" t="str">
            <v>11105_4</v>
          </cell>
        </row>
        <row r="260">
          <cell r="A260" t="str">
            <v>11106_1</v>
          </cell>
        </row>
        <row r="261">
          <cell r="A261" t="str">
            <v>11106_2</v>
          </cell>
        </row>
        <row r="262">
          <cell r="A262" t="str">
            <v>11106_3</v>
          </cell>
        </row>
        <row r="263">
          <cell r="A263" t="str">
            <v>11206_1</v>
          </cell>
        </row>
        <row r="264">
          <cell r="A264" t="str">
            <v>11206_2</v>
          </cell>
        </row>
        <row r="265">
          <cell r="A265" t="str">
            <v>11206_3</v>
          </cell>
        </row>
        <row r="266">
          <cell r="A266" t="str">
            <v>11207_1</v>
          </cell>
        </row>
        <row r="267">
          <cell r="A267" t="str">
            <v>11207_2</v>
          </cell>
        </row>
        <row r="268">
          <cell r="A268" t="str">
            <v>11208_1</v>
          </cell>
        </row>
        <row r="269">
          <cell r="A269" t="str">
            <v>11208_2</v>
          </cell>
        </row>
        <row r="270">
          <cell r="A270" t="str">
            <v>11209_1</v>
          </cell>
        </row>
        <row r="271">
          <cell r="A271" t="str">
            <v>11209_2</v>
          </cell>
        </row>
        <row r="272">
          <cell r="A272" t="str">
            <v>11212_1</v>
          </cell>
        </row>
        <row r="273">
          <cell r="A273" t="str">
            <v>11213_1</v>
          </cell>
        </row>
        <row r="274">
          <cell r="A274" t="str">
            <v>11214_1</v>
          </cell>
        </row>
        <row r="275">
          <cell r="A275" t="str">
            <v>11214_2</v>
          </cell>
        </row>
        <row r="276">
          <cell r="A276" t="str">
            <v>11214_3</v>
          </cell>
        </row>
        <row r="277">
          <cell r="A277" t="str">
            <v>11215_1</v>
          </cell>
        </row>
        <row r="278">
          <cell r="A278" t="str">
            <v>11216_1</v>
          </cell>
        </row>
        <row r="279">
          <cell r="A279" t="str">
            <v>11217_1</v>
          </cell>
        </row>
        <row r="280">
          <cell r="A280" t="str">
            <v>11218_1</v>
          </cell>
        </row>
        <row r="281">
          <cell r="A281" t="str">
            <v>11219_1</v>
          </cell>
        </row>
        <row r="282">
          <cell r="A282" t="str">
            <v>11220_1</v>
          </cell>
        </row>
        <row r="283">
          <cell r="A283" t="str">
            <v>11221_1</v>
          </cell>
        </row>
        <row r="284">
          <cell r="A284" t="str">
            <v>11224_1</v>
          </cell>
        </row>
        <row r="285">
          <cell r="A285" t="str">
            <v>11225_1</v>
          </cell>
        </row>
        <row r="286">
          <cell r="A286" t="str">
            <v>11226_1</v>
          </cell>
        </row>
        <row r="287">
          <cell r="A287" t="str">
            <v>11226_2</v>
          </cell>
        </row>
        <row r="288">
          <cell r="A288" t="str">
            <v>11226_3</v>
          </cell>
        </row>
        <row r="289">
          <cell r="A289" t="str">
            <v>11226_4</v>
          </cell>
        </row>
        <row r="290">
          <cell r="A290" t="str">
            <v>11226_5</v>
          </cell>
        </row>
        <row r="291">
          <cell r="A291" t="str">
            <v>11226_6</v>
          </cell>
        </row>
        <row r="292">
          <cell r="A292" t="str">
            <v>11226_7</v>
          </cell>
        </row>
        <row r="293">
          <cell r="A293" t="str">
            <v>11226_8</v>
          </cell>
        </row>
        <row r="294">
          <cell r="A294" t="str">
            <v>11227_1</v>
          </cell>
        </row>
        <row r="295">
          <cell r="A295" t="str">
            <v>11227_2</v>
          </cell>
        </row>
        <row r="296">
          <cell r="A296" t="str">
            <v>12001_1</v>
          </cell>
        </row>
        <row r="297">
          <cell r="A297" t="str">
            <v>12001_2</v>
          </cell>
        </row>
        <row r="298">
          <cell r="A298" t="str">
            <v>12001_3</v>
          </cell>
        </row>
        <row r="299">
          <cell r="A299" t="str">
            <v>12002_1</v>
          </cell>
        </row>
        <row r="300">
          <cell r="A300" t="str">
            <v>12002_2</v>
          </cell>
        </row>
        <row r="301">
          <cell r="A301" t="str">
            <v>12003_1</v>
          </cell>
        </row>
        <row r="302">
          <cell r="A302" t="str">
            <v>12003_2</v>
          </cell>
        </row>
        <row r="303">
          <cell r="A303" t="str">
            <v>12003_3</v>
          </cell>
        </row>
        <row r="304">
          <cell r="A304" t="str">
            <v>12003_4</v>
          </cell>
        </row>
        <row r="305">
          <cell r="A305" t="str">
            <v>12004_1</v>
          </cell>
        </row>
        <row r="306">
          <cell r="A306" t="str">
            <v>13001_1</v>
          </cell>
        </row>
        <row r="307">
          <cell r="A307" t="str">
            <v>13001_2</v>
          </cell>
        </row>
        <row r="308">
          <cell r="A308" t="str">
            <v>13001_3</v>
          </cell>
        </row>
        <row r="309">
          <cell r="A309" t="str">
            <v>13001_4</v>
          </cell>
        </row>
        <row r="310">
          <cell r="A310" t="str">
            <v>13001_5</v>
          </cell>
        </row>
        <row r="311">
          <cell r="A311" t="str">
            <v>13001_6</v>
          </cell>
        </row>
        <row r="312">
          <cell r="A312" t="str">
            <v>13001_7</v>
          </cell>
        </row>
        <row r="313">
          <cell r="A313" t="str">
            <v>13001_8</v>
          </cell>
        </row>
        <row r="314">
          <cell r="A314" t="str">
            <v>13001_9</v>
          </cell>
        </row>
        <row r="315">
          <cell r="A315" t="str">
            <v>13001_10</v>
          </cell>
        </row>
        <row r="316">
          <cell r="A316" t="str">
            <v>13001_11</v>
          </cell>
        </row>
        <row r="317">
          <cell r="A317" t="str">
            <v>13001_12</v>
          </cell>
        </row>
        <row r="318">
          <cell r="A318" t="str">
            <v>13001_13</v>
          </cell>
        </row>
        <row r="319">
          <cell r="A319" t="str">
            <v>13001_14</v>
          </cell>
        </row>
        <row r="320">
          <cell r="A320" t="str">
            <v>13001_15</v>
          </cell>
        </row>
        <row r="321">
          <cell r="A321" t="str">
            <v>13001_16</v>
          </cell>
        </row>
        <row r="322">
          <cell r="A322" t="str">
            <v>13001_17</v>
          </cell>
        </row>
        <row r="323">
          <cell r="A323" t="str">
            <v>13001_18</v>
          </cell>
        </row>
        <row r="324">
          <cell r="A324" t="str">
            <v>13001_19</v>
          </cell>
        </row>
        <row r="325">
          <cell r="A325" t="str">
            <v>13001_20</v>
          </cell>
        </row>
        <row r="326">
          <cell r="A326" t="str">
            <v>13001_21</v>
          </cell>
        </row>
        <row r="327">
          <cell r="A327" t="str">
            <v>13001_22</v>
          </cell>
        </row>
        <row r="328">
          <cell r="A328" t="str">
            <v>13001_23</v>
          </cell>
        </row>
        <row r="329">
          <cell r="A329" t="str">
            <v>13001_24</v>
          </cell>
        </row>
        <row r="330">
          <cell r="A330" t="str">
            <v>13001_25</v>
          </cell>
        </row>
        <row r="331">
          <cell r="A331" t="str">
            <v>13101_1</v>
          </cell>
        </row>
        <row r="332">
          <cell r="A332" t="str">
            <v>13101_2</v>
          </cell>
        </row>
        <row r="333">
          <cell r="A333" t="str">
            <v>13101_3</v>
          </cell>
        </row>
        <row r="334">
          <cell r="A334" t="str">
            <v>13101_4</v>
          </cell>
        </row>
        <row r="335">
          <cell r="A335" t="str">
            <v>13101_5</v>
          </cell>
        </row>
        <row r="336">
          <cell r="A336" t="str">
            <v>13101_6</v>
          </cell>
        </row>
        <row r="337">
          <cell r="A337" t="str">
            <v>13101_7</v>
          </cell>
        </row>
        <row r="338">
          <cell r="A338" t="str">
            <v>13101_8</v>
          </cell>
        </row>
        <row r="339">
          <cell r="A339" t="str">
            <v>13101_9</v>
          </cell>
        </row>
        <row r="340">
          <cell r="A340" t="str">
            <v>13101_10</v>
          </cell>
        </row>
        <row r="341">
          <cell r="A341" t="str">
            <v>13101_11</v>
          </cell>
        </row>
        <row r="342">
          <cell r="A342" t="str">
            <v>13101_12</v>
          </cell>
        </row>
        <row r="343">
          <cell r="A343" t="str">
            <v>13101_13</v>
          </cell>
        </row>
        <row r="344">
          <cell r="A344" t="str">
            <v>13101_14</v>
          </cell>
        </row>
        <row r="345">
          <cell r="A345" t="str">
            <v>13101_15</v>
          </cell>
        </row>
        <row r="346">
          <cell r="A346" t="str">
            <v>13101_16</v>
          </cell>
        </row>
        <row r="347">
          <cell r="A347" t="str">
            <v>13101_17</v>
          </cell>
        </row>
        <row r="348">
          <cell r="A348" t="str">
            <v>13101_18</v>
          </cell>
        </row>
        <row r="349">
          <cell r="A349" t="str">
            <v>13101_19</v>
          </cell>
        </row>
        <row r="350">
          <cell r="A350" t="str">
            <v>13101_20</v>
          </cell>
        </row>
        <row r="351">
          <cell r="A351" t="str">
            <v>13101_21</v>
          </cell>
        </row>
        <row r="352">
          <cell r="A352" t="str">
            <v>13101_22</v>
          </cell>
        </row>
        <row r="353">
          <cell r="A353" t="str">
            <v>13101_23</v>
          </cell>
        </row>
        <row r="354">
          <cell r="A354" t="str">
            <v>13101_24</v>
          </cell>
        </row>
        <row r="355">
          <cell r="A355" t="str">
            <v>13101_25</v>
          </cell>
        </row>
        <row r="356">
          <cell r="A356" t="str">
            <v>13300_1</v>
          </cell>
        </row>
        <row r="357">
          <cell r="A357" t="str">
            <v>13300_2</v>
          </cell>
        </row>
        <row r="358">
          <cell r="A358" t="str">
            <v>13300_3</v>
          </cell>
        </row>
        <row r="359">
          <cell r="A359" t="str">
            <v>13300_4</v>
          </cell>
        </row>
        <row r="360">
          <cell r="A360" t="str">
            <v>13300_5</v>
          </cell>
        </row>
        <row r="361">
          <cell r="A361" t="str">
            <v>13300_6</v>
          </cell>
        </row>
        <row r="362">
          <cell r="A362" t="str">
            <v>13300_7</v>
          </cell>
        </row>
        <row r="363">
          <cell r="A363" t="str">
            <v>13300_8</v>
          </cell>
        </row>
        <row r="364">
          <cell r="A364" t="str">
            <v>13300_9</v>
          </cell>
        </row>
        <row r="365">
          <cell r="A365" t="str">
            <v>13300_10</v>
          </cell>
        </row>
        <row r="366">
          <cell r="A366" t="str">
            <v>13300_11</v>
          </cell>
        </row>
        <row r="367">
          <cell r="A367" t="str">
            <v>13300_12</v>
          </cell>
        </row>
        <row r="368">
          <cell r="A368" t="str">
            <v>13300_13</v>
          </cell>
        </row>
        <row r="369">
          <cell r="A369" t="str">
            <v>13300_14</v>
          </cell>
        </row>
        <row r="370">
          <cell r="A370" t="str">
            <v>13300_15</v>
          </cell>
        </row>
        <row r="371">
          <cell r="A371" t="str">
            <v>13301_1</v>
          </cell>
        </row>
        <row r="372">
          <cell r="A372" t="str">
            <v>13301_2</v>
          </cell>
        </row>
        <row r="373">
          <cell r="A373" t="str">
            <v>13301_3</v>
          </cell>
        </row>
        <row r="374">
          <cell r="A374" t="str">
            <v>13301_4</v>
          </cell>
        </row>
        <row r="375">
          <cell r="A375" t="str">
            <v>13301_5</v>
          </cell>
        </row>
        <row r="376">
          <cell r="A376" t="str">
            <v>13301_6</v>
          </cell>
        </row>
        <row r="377">
          <cell r="A377" t="str">
            <v>13301_7</v>
          </cell>
        </row>
        <row r="378">
          <cell r="A378" t="str">
            <v>13301_8</v>
          </cell>
        </row>
        <row r="379">
          <cell r="A379" t="str">
            <v>13301_9</v>
          </cell>
        </row>
        <row r="380">
          <cell r="A380" t="str">
            <v>13301_10</v>
          </cell>
        </row>
        <row r="381">
          <cell r="A381" t="str">
            <v>13301_11</v>
          </cell>
        </row>
        <row r="382">
          <cell r="A382" t="str">
            <v>13301_12</v>
          </cell>
        </row>
        <row r="383">
          <cell r="A383" t="str">
            <v>13301_13</v>
          </cell>
        </row>
        <row r="384">
          <cell r="A384" t="str">
            <v>13301_14</v>
          </cell>
        </row>
        <row r="385">
          <cell r="A385" t="str">
            <v>13301_15</v>
          </cell>
        </row>
        <row r="386">
          <cell r="A386" t="str">
            <v>13302_1</v>
          </cell>
        </row>
        <row r="387">
          <cell r="A387" t="str">
            <v>13302_2</v>
          </cell>
        </row>
        <row r="388">
          <cell r="A388" t="str">
            <v>13302_3</v>
          </cell>
        </row>
        <row r="389">
          <cell r="A389" t="str">
            <v>13302_4</v>
          </cell>
        </row>
        <row r="390">
          <cell r="A390" t="str">
            <v>13302_5</v>
          </cell>
        </row>
        <row r="391">
          <cell r="A391" t="str">
            <v>13302_6</v>
          </cell>
        </row>
        <row r="392">
          <cell r="A392" t="str">
            <v>13302_7</v>
          </cell>
        </row>
        <row r="393">
          <cell r="A393" t="str">
            <v>13302_8</v>
          </cell>
        </row>
        <row r="394">
          <cell r="A394" t="str">
            <v>13302_9</v>
          </cell>
        </row>
        <row r="395">
          <cell r="A395" t="str">
            <v>13302_10</v>
          </cell>
        </row>
        <row r="396">
          <cell r="A396" t="str">
            <v>13302_11</v>
          </cell>
        </row>
        <row r="397">
          <cell r="A397" t="str">
            <v>13302_12</v>
          </cell>
        </row>
        <row r="398">
          <cell r="A398" t="str">
            <v>13302_13</v>
          </cell>
        </row>
        <row r="399">
          <cell r="A399" t="str">
            <v>13302_14</v>
          </cell>
        </row>
        <row r="400">
          <cell r="A400" t="str">
            <v>13302_15</v>
          </cell>
        </row>
        <row r="401">
          <cell r="A401" t="str">
            <v>14001_1</v>
          </cell>
        </row>
        <row r="402">
          <cell r="A402" t="str">
            <v>14001_2</v>
          </cell>
        </row>
        <row r="403">
          <cell r="A403" t="str">
            <v>14001_3</v>
          </cell>
        </row>
        <row r="404">
          <cell r="A404" t="str">
            <v>14001_4</v>
          </cell>
        </row>
        <row r="405">
          <cell r="A405" t="str">
            <v>14001_5</v>
          </cell>
        </row>
        <row r="406">
          <cell r="A406" t="str">
            <v>14001_6</v>
          </cell>
        </row>
        <row r="407">
          <cell r="A407" t="str">
            <v>14001_7</v>
          </cell>
        </row>
        <row r="408">
          <cell r="A408" t="str">
            <v>14001_8</v>
          </cell>
        </row>
        <row r="409">
          <cell r="A409" t="str">
            <v>14002_1</v>
          </cell>
        </row>
        <row r="410">
          <cell r="A410" t="str">
            <v>14002_2</v>
          </cell>
        </row>
        <row r="411">
          <cell r="A411" t="str">
            <v>14003_1</v>
          </cell>
        </row>
        <row r="412">
          <cell r="A412" t="str">
            <v>14003_2</v>
          </cell>
        </row>
        <row r="413">
          <cell r="A413" t="str">
            <v>14003_3</v>
          </cell>
        </row>
        <row r="414">
          <cell r="A414" t="str">
            <v>14003_4</v>
          </cell>
        </row>
        <row r="415">
          <cell r="A415" t="str">
            <v>14004_1</v>
          </cell>
        </row>
        <row r="416">
          <cell r="A416" t="str">
            <v>14004_2</v>
          </cell>
        </row>
        <row r="417">
          <cell r="A417" t="str">
            <v>14004_3</v>
          </cell>
        </row>
        <row r="418">
          <cell r="A418" t="str">
            <v>14004_4</v>
          </cell>
        </row>
        <row r="419">
          <cell r="A419" t="str">
            <v>14005_1</v>
          </cell>
        </row>
        <row r="420">
          <cell r="A420" t="str">
            <v>14006_1</v>
          </cell>
        </row>
        <row r="421">
          <cell r="A421" t="str">
            <v>15027_1</v>
          </cell>
        </row>
        <row r="422">
          <cell r="A422" t="str">
            <v>15027_2</v>
          </cell>
        </row>
        <row r="423">
          <cell r="A423" t="str">
            <v>15027_3</v>
          </cell>
        </row>
        <row r="424">
          <cell r="A424" t="str">
            <v>15027_4</v>
          </cell>
        </row>
        <row r="425">
          <cell r="A425" t="str">
            <v>15028_1</v>
          </cell>
        </row>
        <row r="426">
          <cell r="A426" t="str">
            <v>15028_2</v>
          </cell>
        </row>
        <row r="427">
          <cell r="A427" t="str">
            <v>15028_3</v>
          </cell>
        </row>
        <row r="428">
          <cell r="A428" t="str">
            <v>15028_4</v>
          </cell>
        </row>
        <row r="429">
          <cell r="A429" t="str">
            <v>15029_1</v>
          </cell>
        </row>
        <row r="430">
          <cell r="A430" t="str">
            <v>15029_2</v>
          </cell>
        </row>
        <row r="431">
          <cell r="A431" t="str">
            <v>15029_3</v>
          </cell>
        </row>
        <row r="432">
          <cell r="A432" t="str">
            <v>15029_4</v>
          </cell>
        </row>
        <row r="433">
          <cell r="A433" t="str">
            <v>15030_1</v>
          </cell>
        </row>
        <row r="434">
          <cell r="A434" t="str">
            <v>15030_2</v>
          </cell>
        </row>
        <row r="435">
          <cell r="A435" t="str">
            <v>15030_3</v>
          </cell>
        </row>
        <row r="436">
          <cell r="A436" t="str">
            <v>15030_4</v>
          </cell>
        </row>
        <row r="437">
          <cell r="A437" t="str">
            <v>15031_1</v>
          </cell>
        </row>
        <row r="438">
          <cell r="A438" t="str">
            <v>15031_2</v>
          </cell>
        </row>
        <row r="439">
          <cell r="A439" t="str">
            <v>15031_3</v>
          </cell>
        </row>
        <row r="440">
          <cell r="A440" t="str">
            <v>15031_4</v>
          </cell>
        </row>
        <row r="441">
          <cell r="A441" t="str">
            <v>20001_1</v>
          </cell>
        </row>
        <row r="442">
          <cell r="A442" t="str">
            <v>20001_2</v>
          </cell>
        </row>
        <row r="443">
          <cell r="A443" t="str">
            <v>20001_3</v>
          </cell>
        </row>
        <row r="444">
          <cell r="A444" t="str">
            <v>20002_1</v>
          </cell>
        </row>
        <row r="445">
          <cell r="A445" t="str">
            <v>20002_2</v>
          </cell>
        </row>
        <row r="446">
          <cell r="A446" t="str">
            <v>20002_3</v>
          </cell>
        </row>
        <row r="447">
          <cell r="A447" t="str">
            <v>20003_1</v>
          </cell>
        </row>
        <row r="448">
          <cell r="A448" t="str">
            <v>20003_2</v>
          </cell>
        </row>
        <row r="449">
          <cell r="A449" t="str">
            <v>20003_3</v>
          </cell>
        </row>
        <row r="450">
          <cell r="A450" t="str">
            <v>20004_1</v>
          </cell>
        </row>
        <row r="451">
          <cell r="A451" t="str">
            <v>20004_2</v>
          </cell>
        </row>
        <row r="452">
          <cell r="A452" t="str">
            <v>20004_3</v>
          </cell>
        </row>
        <row r="453">
          <cell r="A453" t="str">
            <v>20005_1</v>
          </cell>
        </row>
        <row r="454">
          <cell r="A454" t="str">
            <v>20005_2</v>
          </cell>
        </row>
        <row r="455">
          <cell r="A455" t="str">
            <v>20005_3</v>
          </cell>
        </row>
        <row r="456">
          <cell r="A456" t="str">
            <v>20006_1</v>
          </cell>
        </row>
        <row r="457">
          <cell r="A457" t="str">
            <v>20006_2</v>
          </cell>
        </row>
        <row r="458">
          <cell r="A458" t="str">
            <v>20006_3</v>
          </cell>
        </row>
        <row r="459">
          <cell r="A459" t="str">
            <v>20007_1</v>
          </cell>
        </row>
        <row r="460">
          <cell r="A460" t="str">
            <v>20007_2</v>
          </cell>
        </row>
        <row r="461">
          <cell r="A461" t="str">
            <v>20007_3</v>
          </cell>
        </row>
        <row r="462">
          <cell r="A462" t="str">
            <v>20008_1</v>
          </cell>
        </row>
        <row r="463">
          <cell r="A463" t="str">
            <v>20008_2</v>
          </cell>
        </row>
        <row r="464">
          <cell r="A464" t="str">
            <v>20008_3</v>
          </cell>
        </row>
        <row r="465">
          <cell r="A465" t="str">
            <v>20009_1</v>
          </cell>
        </row>
        <row r="466">
          <cell r="A466" t="str">
            <v>20009_2</v>
          </cell>
        </row>
        <row r="467">
          <cell r="A467" t="str">
            <v>20009_3</v>
          </cell>
        </row>
        <row r="468">
          <cell r="A468" t="str">
            <v>20010_1</v>
          </cell>
        </row>
        <row r="469">
          <cell r="A469" t="str">
            <v>20010_2</v>
          </cell>
        </row>
        <row r="470">
          <cell r="A470" t="str">
            <v>20010_3</v>
          </cell>
        </row>
        <row r="471">
          <cell r="A471" t="str">
            <v>20011_1</v>
          </cell>
        </row>
        <row r="472">
          <cell r="A472" t="str">
            <v>20011_2</v>
          </cell>
        </row>
        <row r="473">
          <cell r="A473" t="str">
            <v>20011_3</v>
          </cell>
        </row>
        <row r="474">
          <cell r="A474" t="str">
            <v>20012_1</v>
          </cell>
        </row>
        <row r="475">
          <cell r="A475" t="str">
            <v>20012_2</v>
          </cell>
        </row>
        <row r="476">
          <cell r="A476" t="str">
            <v>20012_3</v>
          </cell>
        </row>
        <row r="477">
          <cell r="A477" t="str">
            <v>20013_1</v>
          </cell>
        </row>
        <row r="478">
          <cell r="A478" t="str">
            <v>20013_2</v>
          </cell>
        </row>
        <row r="479">
          <cell r="A479" t="str">
            <v>20013_3</v>
          </cell>
        </row>
        <row r="480">
          <cell r="A480" t="str">
            <v>20014_1</v>
          </cell>
        </row>
        <row r="481">
          <cell r="A481" t="str">
            <v>20014_2</v>
          </cell>
        </row>
        <row r="482">
          <cell r="A482" t="str">
            <v>20014_3</v>
          </cell>
        </row>
        <row r="483">
          <cell r="A483" t="str">
            <v>20015_1</v>
          </cell>
        </row>
        <row r="484">
          <cell r="A484" t="str">
            <v>20015_2</v>
          </cell>
        </row>
        <row r="485">
          <cell r="A485" t="str">
            <v>20015_3</v>
          </cell>
        </row>
        <row r="486">
          <cell r="A486" t="str">
            <v>20016_1</v>
          </cell>
        </row>
        <row r="487">
          <cell r="A487" t="str">
            <v>20016_2</v>
          </cell>
        </row>
        <row r="488">
          <cell r="A488" t="str">
            <v>20016_3</v>
          </cell>
        </row>
        <row r="489">
          <cell r="A489" t="str">
            <v>20017_1</v>
          </cell>
        </row>
        <row r="490">
          <cell r="A490" t="str">
            <v>20017_2</v>
          </cell>
        </row>
        <row r="491">
          <cell r="A491" t="str">
            <v>20017_3</v>
          </cell>
        </row>
        <row r="492">
          <cell r="A492" t="str">
            <v>20018_1</v>
          </cell>
        </row>
        <row r="493">
          <cell r="A493" t="str">
            <v>20018_2</v>
          </cell>
        </row>
        <row r="494">
          <cell r="A494" t="str">
            <v>20018_3</v>
          </cell>
        </row>
        <row r="495">
          <cell r="A495" t="str">
            <v>20019_1</v>
          </cell>
        </row>
        <row r="496">
          <cell r="A496" t="str">
            <v>20019_2</v>
          </cell>
        </row>
        <row r="497">
          <cell r="A497" t="str">
            <v>20019_3</v>
          </cell>
        </row>
        <row r="498">
          <cell r="A498" t="str">
            <v>20020_1</v>
          </cell>
        </row>
        <row r="499">
          <cell r="A499" t="str">
            <v>20020_2</v>
          </cell>
        </row>
        <row r="500">
          <cell r="A500" t="str">
            <v>20020_3</v>
          </cell>
        </row>
        <row r="501">
          <cell r="A501" t="str">
            <v>20021_1</v>
          </cell>
        </row>
        <row r="502">
          <cell r="A502" t="str">
            <v>20021_2</v>
          </cell>
        </row>
        <row r="503">
          <cell r="A503" t="str">
            <v>20021_3</v>
          </cell>
        </row>
        <row r="504">
          <cell r="A504" t="str">
            <v>30001_1</v>
          </cell>
        </row>
        <row r="505">
          <cell r="A505" t="str">
            <v>30001_2</v>
          </cell>
        </row>
        <row r="506">
          <cell r="A506" t="str">
            <v>30001_3</v>
          </cell>
        </row>
        <row r="507">
          <cell r="A507" t="str">
            <v>30002_1</v>
          </cell>
        </row>
        <row r="508">
          <cell r="A508" t="str">
            <v>30002_2</v>
          </cell>
        </row>
        <row r="509">
          <cell r="A509" t="str">
            <v>30002_3</v>
          </cell>
        </row>
        <row r="510">
          <cell r="A510" t="str">
            <v>30003_1</v>
          </cell>
        </row>
        <row r="511">
          <cell r="A511" t="str">
            <v>30003_2</v>
          </cell>
        </row>
        <row r="512">
          <cell r="A512" t="str">
            <v>30003_3</v>
          </cell>
        </row>
        <row r="513">
          <cell r="A513" t="str">
            <v>30004_1</v>
          </cell>
        </row>
        <row r="514">
          <cell r="A514" t="str">
            <v>30004_2</v>
          </cell>
        </row>
        <row r="515">
          <cell r="A515" t="str">
            <v>30004_3</v>
          </cell>
        </row>
        <row r="516">
          <cell r="A516" t="str">
            <v>30005_1</v>
          </cell>
        </row>
        <row r="517">
          <cell r="A517" t="str">
            <v>30005_2</v>
          </cell>
        </row>
        <row r="518">
          <cell r="A518" t="str">
            <v>30005_3</v>
          </cell>
        </row>
        <row r="519">
          <cell r="A519" t="str">
            <v>30006_1</v>
          </cell>
        </row>
        <row r="520">
          <cell r="A520" t="str">
            <v>30006_2</v>
          </cell>
        </row>
        <row r="521">
          <cell r="A521" t="str">
            <v>30006_3</v>
          </cell>
        </row>
        <row r="522">
          <cell r="A522" t="str">
            <v>30007_1</v>
          </cell>
        </row>
        <row r="523">
          <cell r="A523" t="str">
            <v>30007_2</v>
          </cell>
        </row>
        <row r="524">
          <cell r="A524" t="str">
            <v>30007_3</v>
          </cell>
        </row>
        <row r="525">
          <cell r="A525" t="str">
            <v>30008_1</v>
          </cell>
        </row>
        <row r="526">
          <cell r="A526" t="str">
            <v>30008_2</v>
          </cell>
        </row>
        <row r="527">
          <cell r="A527" t="str">
            <v>30008_3</v>
          </cell>
        </row>
        <row r="528">
          <cell r="A528" t="str">
            <v>30009_3</v>
          </cell>
        </row>
        <row r="529">
          <cell r="A529" t="str">
            <v>30009_1</v>
          </cell>
        </row>
        <row r="530">
          <cell r="A530" t="str">
            <v>30009_2</v>
          </cell>
        </row>
        <row r="531">
          <cell r="A531" t="str">
            <v>30010_1</v>
          </cell>
        </row>
        <row r="532">
          <cell r="A532" t="str">
            <v>30010_2</v>
          </cell>
        </row>
        <row r="533">
          <cell r="A533" t="str">
            <v>30010_3</v>
          </cell>
        </row>
        <row r="534">
          <cell r="A534" t="str">
            <v>30011_1</v>
          </cell>
        </row>
        <row r="535">
          <cell r="A535" t="str">
            <v>30011_2</v>
          </cell>
        </row>
        <row r="536">
          <cell r="A536" t="str">
            <v>30011_3</v>
          </cell>
        </row>
        <row r="537">
          <cell r="A537" t="str">
            <v>30012_1</v>
          </cell>
        </row>
        <row r="538">
          <cell r="A538" t="str">
            <v>30012_2</v>
          </cell>
        </row>
        <row r="539">
          <cell r="A539" t="str">
            <v>30012_3</v>
          </cell>
        </row>
        <row r="540">
          <cell r="A540" t="str">
            <v>30013_1</v>
          </cell>
        </row>
        <row r="541">
          <cell r="A541" t="str">
            <v>30013_2</v>
          </cell>
        </row>
        <row r="542">
          <cell r="A542" t="str">
            <v>30014_1</v>
          </cell>
        </row>
        <row r="543">
          <cell r="A543" t="str">
            <v>30014_2</v>
          </cell>
        </row>
        <row r="544">
          <cell r="A544" t="str">
            <v>30015_1</v>
          </cell>
        </row>
        <row r="545">
          <cell r="A545" t="str">
            <v>30015_2</v>
          </cell>
        </row>
        <row r="546">
          <cell r="A546" t="str">
            <v>30016_1</v>
          </cell>
        </row>
        <row r="547">
          <cell r="A547" t="str">
            <v>30016_2</v>
          </cell>
        </row>
        <row r="548">
          <cell r="A548" t="str">
            <v>30017_1</v>
          </cell>
        </row>
        <row r="549">
          <cell r="A549" t="str">
            <v>30017_2</v>
          </cell>
        </row>
        <row r="550">
          <cell r="A550" t="str">
            <v>30018_1</v>
          </cell>
        </row>
        <row r="551">
          <cell r="A551" t="str">
            <v>30018_2</v>
          </cell>
        </row>
        <row r="552">
          <cell r="A552" t="str">
            <v>30019_1</v>
          </cell>
        </row>
        <row r="553">
          <cell r="A553" t="str">
            <v>30019_2</v>
          </cell>
        </row>
        <row r="554">
          <cell r="A554" t="str">
            <v>30020_1</v>
          </cell>
        </row>
        <row r="555">
          <cell r="A555" t="str">
            <v>30020_2</v>
          </cell>
        </row>
        <row r="556">
          <cell r="A556" t="str">
            <v>30021_1</v>
          </cell>
        </row>
        <row r="557">
          <cell r="A557" t="str">
            <v>30021_2</v>
          </cell>
        </row>
        <row r="558">
          <cell r="A558" t="str">
            <v>30021_3</v>
          </cell>
        </row>
        <row r="559">
          <cell r="A559" t="str">
            <v>30022_1</v>
          </cell>
        </row>
        <row r="560">
          <cell r="A560" t="str">
            <v>30022_2</v>
          </cell>
        </row>
        <row r="561">
          <cell r="A561" t="str">
            <v>30023_1</v>
          </cell>
        </row>
        <row r="562">
          <cell r="A562" t="str">
            <v>30023_2</v>
          </cell>
        </row>
        <row r="563">
          <cell r="A563" t="str">
            <v>30023_3</v>
          </cell>
        </row>
        <row r="564">
          <cell r="A564" t="str">
            <v>30024_1</v>
          </cell>
        </row>
        <row r="565">
          <cell r="A565" t="str">
            <v>30024_2</v>
          </cell>
        </row>
        <row r="566">
          <cell r="A566" t="str">
            <v>30024_3</v>
          </cell>
        </row>
        <row r="567">
          <cell r="A567" t="str">
            <v>30025_1</v>
          </cell>
        </row>
        <row r="568">
          <cell r="A568" t="str">
            <v>30025_2</v>
          </cell>
        </row>
        <row r="569">
          <cell r="A569" t="str">
            <v>30025_3</v>
          </cell>
        </row>
        <row r="570">
          <cell r="A570" t="str">
            <v>30026_1</v>
          </cell>
        </row>
        <row r="571">
          <cell r="A571" t="str">
            <v>30026_2</v>
          </cell>
        </row>
        <row r="572">
          <cell r="A572" t="str">
            <v>30026_3</v>
          </cell>
        </row>
        <row r="573">
          <cell r="A573" t="str">
            <v>30027_1</v>
          </cell>
        </row>
        <row r="574">
          <cell r="A574" t="str">
            <v>30027_2</v>
          </cell>
        </row>
        <row r="575">
          <cell r="A575" t="str">
            <v>30027_3</v>
          </cell>
        </row>
        <row r="576">
          <cell r="A576" t="str">
            <v>30028_1</v>
          </cell>
        </row>
        <row r="577">
          <cell r="A577" t="str">
            <v>30028_2</v>
          </cell>
        </row>
        <row r="578">
          <cell r="A578" t="str">
            <v>30028_3</v>
          </cell>
        </row>
        <row r="579">
          <cell r="A579" t="str">
            <v>30029_1</v>
          </cell>
        </row>
        <row r="580">
          <cell r="A580" t="str">
            <v>30029_2</v>
          </cell>
        </row>
        <row r="581">
          <cell r="A581" t="str">
            <v>30029_3</v>
          </cell>
        </row>
        <row r="582">
          <cell r="A582" t="str">
            <v>30030_1</v>
          </cell>
        </row>
        <row r="583">
          <cell r="A583" t="str">
            <v>30030_2</v>
          </cell>
        </row>
        <row r="584">
          <cell r="A584" t="str">
            <v>30030_3</v>
          </cell>
        </row>
        <row r="585">
          <cell r="A585" t="str">
            <v>30031_1</v>
          </cell>
        </row>
        <row r="586">
          <cell r="A586" t="str">
            <v>30031_2</v>
          </cell>
        </row>
        <row r="587">
          <cell r="A587" t="str">
            <v>30031_3</v>
          </cell>
        </row>
        <row r="588">
          <cell r="A588" t="str">
            <v>30032_1</v>
          </cell>
        </row>
        <row r="589">
          <cell r="A589" t="str">
            <v>30032_2</v>
          </cell>
        </row>
        <row r="590">
          <cell r="A590" t="str">
            <v>30032_3</v>
          </cell>
        </row>
        <row r="591">
          <cell r="A591" t="str">
            <v>30033_1</v>
          </cell>
        </row>
        <row r="592">
          <cell r="A592" t="str">
            <v>30033_2</v>
          </cell>
        </row>
        <row r="593">
          <cell r="A593" t="str">
            <v>30033_3</v>
          </cell>
        </row>
        <row r="594">
          <cell r="A594" t="str">
            <v>30034_1</v>
          </cell>
        </row>
        <row r="595">
          <cell r="A595" t="str">
            <v>30034_2</v>
          </cell>
        </row>
        <row r="596">
          <cell r="A596" t="str">
            <v>30034_3</v>
          </cell>
        </row>
        <row r="597">
          <cell r="A597" t="str">
            <v>30035_1</v>
          </cell>
        </row>
        <row r="598">
          <cell r="A598" t="str">
            <v>30035_2</v>
          </cell>
        </row>
        <row r="599">
          <cell r="A599" t="str">
            <v>30035_3</v>
          </cell>
        </row>
        <row r="600">
          <cell r="A600" t="str">
            <v>30036_1</v>
          </cell>
        </row>
        <row r="601">
          <cell r="A601" t="str">
            <v>30036_2</v>
          </cell>
        </row>
        <row r="602">
          <cell r="A602" t="str">
            <v>30036_3</v>
          </cell>
        </row>
        <row r="603">
          <cell r="A603" t="str">
            <v>30037_1</v>
          </cell>
        </row>
        <row r="604">
          <cell r="A604" t="str">
            <v>30037_2</v>
          </cell>
        </row>
        <row r="605">
          <cell r="A605" t="str">
            <v>30037_3</v>
          </cell>
        </row>
        <row r="606">
          <cell r="A606" t="str">
            <v>30038_1</v>
          </cell>
        </row>
        <row r="607">
          <cell r="A607" t="str">
            <v>30038_2</v>
          </cell>
        </row>
        <row r="608">
          <cell r="A608" t="str">
            <v>30038_3</v>
          </cell>
        </row>
        <row r="609">
          <cell r="A609" t="str">
            <v>30039_1</v>
          </cell>
        </row>
        <row r="610">
          <cell r="A610" t="str">
            <v>30039_2</v>
          </cell>
        </row>
        <row r="611">
          <cell r="A611" t="str">
            <v>30039_3</v>
          </cell>
        </row>
        <row r="612">
          <cell r="A612" t="str">
            <v>30040_1</v>
          </cell>
        </row>
        <row r="613">
          <cell r="A613" t="str">
            <v>30040_2</v>
          </cell>
        </row>
        <row r="614">
          <cell r="A614" t="str">
            <v>30040_3</v>
          </cell>
        </row>
        <row r="615">
          <cell r="A615" t="str">
            <v>30041_1</v>
          </cell>
        </row>
        <row r="616">
          <cell r="A616" t="str">
            <v>30041_2</v>
          </cell>
        </row>
        <row r="617">
          <cell r="A617" t="str">
            <v>30041_3</v>
          </cell>
        </row>
        <row r="618">
          <cell r="A618" t="str">
            <v>30042_1</v>
          </cell>
        </row>
        <row r="619">
          <cell r="A619" t="str">
            <v>30042_2</v>
          </cell>
        </row>
        <row r="620">
          <cell r="A620" t="str">
            <v>30042_3</v>
          </cell>
        </row>
        <row r="621">
          <cell r="A621" t="str">
            <v>30043_1</v>
          </cell>
        </row>
        <row r="622">
          <cell r="A622" t="str">
            <v>30043_2</v>
          </cell>
        </row>
        <row r="623">
          <cell r="A623" t="str">
            <v>30043_3</v>
          </cell>
        </row>
        <row r="624">
          <cell r="A624" t="str">
            <v>30044_1</v>
          </cell>
        </row>
        <row r="625">
          <cell r="A625" t="str">
            <v>30044_2</v>
          </cell>
        </row>
        <row r="626">
          <cell r="A626" t="str">
            <v>30044_3</v>
          </cell>
        </row>
        <row r="627">
          <cell r="A627" t="str">
            <v>30045_1</v>
          </cell>
        </row>
        <row r="628">
          <cell r="A628" t="str">
            <v>30045_2</v>
          </cell>
        </row>
        <row r="629">
          <cell r="A629" t="str">
            <v>30045_3</v>
          </cell>
        </row>
        <row r="630">
          <cell r="A630" t="str">
            <v>30046_1</v>
          </cell>
        </row>
        <row r="631">
          <cell r="A631" t="str">
            <v>30046_2</v>
          </cell>
        </row>
        <row r="632">
          <cell r="A632" t="str">
            <v>30046_3</v>
          </cell>
        </row>
        <row r="633">
          <cell r="A633" t="str">
            <v>30047_1</v>
          </cell>
        </row>
        <row r="634">
          <cell r="A634" t="str">
            <v>30047_2</v>
          </cell>
        </row>
        <row r="635">
          <cell r="A635" t="str">
            <v>30047_3</v>
          </cell>
        </row>
        <row r="636">
          <cell r="A636" t="str">
            <v>39001_1</v>
          </cell>
        </row>
        <row r="637">
          <cell r="A637" t="str">
            <v>39001_2</v>
          </cell>
        </row>
        <row r="638">
          <cell r="A638" t="str">
            <v>39001_3</v>
          </cell>
        </row>
        <row r="639">
          <cell r="A639" t="str">
            <v>39001_4</v>
          </cell>
        </row>
        <row r="640">
          <cell r="A640" t="str">
            <v>39001_5</v>
          </cell>
        </row>
        <row r="641">
          <cell r="A641" t="str">
            <v>39002_1</v>
          </cell>
        </row>
        <row r="642">
          <cell r="A642" t="str">
            <v>39002_2</v>
          </cell>
        </row>
        <row r="643">
          <cell r="A643" t="str">
            <v>39002_3</v>
          </cell>
        </row>
        <row r="644">
          <cell r="A644" t="str">
            <v>39002_4</v>
          </cell>
        </row>
        <row r="645">
          <cell r="A645" t="str">
            <v>39003_1</v>
          </cell>
        </row>
        <row r="646">
          <cell r="A646" t="str">
            <v>39003_2</v>
          </cell>
        </row>
        <row r="647">
          <cell r="A647" t="str">
            <v>39003_3</v>
          </cell>
        </row>
        <row r="648">
          <cell r="A648" t="str">
            <v>39003_4</v>
          </cell>
        </row>
        <row r="649">
          <cell r="A649" t="str">
            <v>39004_1</v>
          </cell>
        </row>
        <row r="650">
          <cell r="A650" t="str">
            <v>39004_2</v>
          </cell>
        </row>
        <row r="651">
          <cell r="A651" t="str">
            <v>39004_3</v>
          </cell>
        </row>
        <row r="652">
          <cell r="A652" t="str">
            <v>39004_4</v>
          </cell>
        </row>
        <row r="653">
          <cell r="A653" t="str">
            <v>39005_1</v>
          </cell>
        </row>
        <row r="654">
          <cell r="A654" t="str">
            <v>39005_2</v>
          </cell>
        </row>
        <row r="655">
          <cell r="A655" t="str">
            <v>39005_3</v>
          </cell>
        </row>
        <row r="656">
          <cell r="A656" t="str">
            <v>39005_4</v>
          </cell>
        </row>
        <row r="657">
          <cell r="A657" t="str">
            <v>39005_5</v>
          </cell>
        </row>
        <row r="658">
          <cell r="A658" t="str">
            <v>39006_1</v>
          </cell>
        </row>
        <row r="659">
          <cell r="A659" t="str">
            <v>39006_2</v>
          </cell>
        </row>
        <row r="660">
          <cell r="A660" t="str">
            <v>39006_3</v>
          </cell>
        </row>
        <row r="661">
          <cell r="A661" t="str">
            <v>39006_4</v>
          </cell>
        </row>
        <row r="662">
          <cell r="A662" t="str">
            <v>39007_1</v>
          </cell>
        </row>
        <row r="663">
          <cell r="A663" t="str">
            <v>39007_2</v>
          </cell>
        </row>
        <row r="664">
          <cell r="A664" t="str">
            <v>39007_3</v>
          </cell>
        </row>
        <row r="665">
          <cell r="A665" t="str">
            <v>39007_4</v>
          </cell>
        </row>
        <row r="666">
          <cell r="A666" t="str">
            <v>39008_1</v>
          </cell>
        </row>
        <row r="667">
          <cell r="A667" t="str">
            <v>39008_2</v>
          </cell>
        </row>
        <row r="668">
          <cell r="A668" t="str">
            <v>39008_3</v>
          </cell>
        </row>
        <row r="669">
          <cell r="A669" t="str">
            <v>39008_4</v>
          </cell>
        </row>
        <row r="670">
          <cell r="A670" t="str">
            <v>39008_5</v>
          </cell>
        </row>
        <row r="671">
          <cell r="A671" t="str">
            <v>39009_1</v>
          </cell>
        </row>
        <row r="672">
          <cell r="A672" t="str">
            <v>39009_2</v>
          </cell>
        </row>
        <row r="673">
          <cell r="A673" t="str">
            <v>39009_3</v>
          </cell>
        </row>
        <row r="674">
          <cell r="A674" t="str">
            <v>39009_4</v>
          </cell>
        </row>
        <row r="675">
          <cell r="A675" t="str">
            <v>39009_5</v>
          </cell>
        </row>
        <row r="676">
          <cell r="A676" t="str">
            <v>39010_1</v>
          </cell>
        </row>
        <row r="677">
          <cell r="A677" t="str">
            <v>39010_2</v>
          </cell>
        </row>
        <row r="678">
          <cell r="A678" t="str">
            <v>39010_3</v>
          </cell>
        </row>
        <row r="679">
          <cell r="A679" t="str">
            <v>39010_4</v>
          </cell>
        </row>
        <row r="680">
          <cell r="A680" t="str">
            <v>39011_1</v>
          </cell>
        </row>
        <row r="681">
          <cell r="A681" t="str">
            <v>39011_2</v>
          </cell>
        </row>
        <row r="682">
          <cell r="A682" t="str">
            <v>39011_3</v>
          </cell>
        </row>
        <row r="683">
          <cell r="A683" t="str">
            <v>39011_4</v>
          </cell>
        </row>
        <row r="684">
          <cell r="A684" t="str">
            <v>40001_1</v>
          </cell>
        </row>
        <row r="685">
          <cell r="A685" t="str">
            <v>40002_1</v>
          </cell>
        </row>
        <row r="686">
          <cell r="A686" t="str">
            <v>40002_2</v>
          </cell>
        </row>
        <row r="687">
          <cell r="A687" t="str">
            <v>40002_3</v>
          </cell>
        </row>
        <row r="688">
          <cell r="A688" t="str">
            <v>40003_1</v>
          </cell>
        </row>
        <row r="689">
          <cell r="A689" t="str">
            <v>40004_1</v>
          </cell>
        </row>
        <row r="690">
          <cell r="A690" t="str">
            <v>40005_1</v>
          </cell>
        </row>
        <row r="691">
          <cell r="A691" t="str">
            <v>40006_1</v>
          </cell>
        </row>
        <row r="692">
          <cell r="A692" t="str">
            <v>40007_1</v>
          </cell>
        </row>
        <row r="693">
          <cell r="A693" t="str">
            <v>40008_1</v>
          </cell>
        </row>
        <row r="694">
          <cell r="A694" t="str">
            <v>40009_1</v>
          </cell>
        </row>
        <row r="695">
          <cell r="A695" t="str">
            <v>40010_1</v>
          </cell>
        </row>
        <row r="696">
          <cell r="A696" t="str">
            <v>40011_1</v>
          </cell>
        </row>
        <row r="697">
          <cell r="A697" t="str">
            <v>40012_1</v>
          </cell>
        </row>
        <row r="698">
          <cell r="A698" t="str">
            <v>40013_1</v>
          </cell>
        </row>
        <row r="699">
          <cell r="A699" t="str">
            <v>40014_1</v>
          </cell>
        </row>
        <row r="700">
          <cell r="A700" t="str">
            <v>40015_1</v>
          </cell>
        </row>
        <row r="701">
          <cell r="A701" t="str">
            <v>40016_1</v>
          </cell>
        </row>
        <row r="702">
          <cell r="A702" t="str">
            <v>40016_2</v>
          </cell>
        </row>
        <row r="703">
          <cell r="A703" t="str">
            <v>40017_1</v>
          </cell>
        </row>
        <row r="704">
          <cell r="A704" t="str">
            <v>40017_2</v>
          </cell>
        </row>
        <row r="705">
          <cell r="A705" t="str">
            <v>40017_3</v>
          </cell>
        </row>
        <row r="706">
          <cell r="A706" t="str">
            <v>40018_1</v>
          </cell>
        </row>
        <row r="707">
          <cell r="A707" t="str">
            <v>40018_2</v>
          </cell>
        </row>
        <row r="708">
          <cell r="A708" t="str">
            <v>40018_3</v>
          </cell>
        </row>
        <row r="709">
          <cell r="A709" t="str">
            <v>40019_1</v>
          </cell>
        </row>
        <row r="710">
          <cell r="A710" t="str">
            <v>40019_2</v>
          </cell>
        </row>
        <row r="711">
          <cell r="A711" t="str">
            <v>40019_3</v>
          </cell>
        </row>
        <row r="712">
          <cell r="A712" t="str">
            <v>40021_1</v>
          </cell>
        </row>
        <row r="713">
          <cell r="A713" t="str">
            <v>40021_2</v>
          </cell>
        </row>
        <row r="714">
          <cell r="A714" t="str">
            <v>40022_1</v>
          </cell>
        </row>
        <row r="715">
          <cell r="A715" t="str">
            <v>40022_2</v>
          </cell>
        </row>
        <row r="716">
          <cell r="A716" t="str">
            <v>40023_1</v>
          </cell>
        </row>
        <row r="717">
          <cell r="A717" t="str">
            <v>40023_2</v>
          </cell>
        </row>
        <row r="718">
          <cell r="A718" t="str">
            <v>40024_1</v>
          </cell>
        </row>
        <row r="719">
          <cell r="A719" t="str">
            <v>40024_2</v>
          </cell>
        </row>
        <row r="720">
          <cell r="A720" t="str">
            <v>40025_1</v>
          </cell>
        </row>
        <row r="721">
          <cell r="A721" t="str">
            <v>40025_2</v>
          </cell>
        </row>
        <row r="722">
          <cell r="A722" t="str">
            <v>40026_1</v>
          </cell>
        </row>
        <row r="723">
          <cell r="A723" t="str">
            <v>40026_2</v>
          </cell>
        </row>
        <row r="724">
          <cell r="A724" t="str">
            <v>40027_1</v>
          </cell>
        </row>
        <row r="725">
          <cell r="A725" t="str">
            <v>40027_2</v>
          </cell>
        </row>
        <row r="726">
          <cell r="A726" t="str">
            <v>40028_1</v>
          </cell>
        </row>
        <row r="727">
          <cell r="A727" t="str">
            <v>40028_2</v>
          </cell>
        </row>
        <row r="728">
          <cell r="A728" t="str">
            <v>40029_1</v>
          </cell>
        </row>
        <row r="729">
          <cell r="A729" t="str">
            <v>40029_2</v>
          </cell>
        </row>
        <row r="730">
          <cell r="A730" t="str">
            <v>40030_1</v>
          </cell>
        </row>
        <row r="731">
          <cell r="A731" t="str">
            <v>40030_2</v>
          </cell>
        </row>
        <row r="732">
          <cell r="A732" t="str">
            <v>40031_1</v>
          </cell>
        </row>
        <row r="733">
          <cell r="A733" t="str">
            <v>40031_2</v>
          </cell>
        </row>
        <row r="734">
          <cell r="A734" t="str">
            <v>40032_1</v>
          </cell>
        </row>
        <row r="735">
          <cell r="A735" t="str">
            <v>40032_2</v>
          </cell>
        </row>
        <row r="736">
          <cell r="A736" t="str">
            <v>40033_1</v>
          </cell>
        </row>
        <row r="737">
          <cell r="A737" t="str">
            <v>40033_2</v>
          </cell>
        </row>
        <row r="738">
          <cell r="A738" t="str">
            <v>40034_1</v>
          </cell>
        </row>
        <row r="739">
          <cell r="A739" t="str">
            <v>40034_2</v>
          </cell>
        </row>
        <row r="740">
          <cell r="A740" t="str">
            <v>40035_1</v>
          </cell>
        </row>
        <row r="741">
          <cell r="A741" t="str">
            <v>40035_2</v>
          </cell>
        </row>
        <row r="742">
          <cell r="A742" t="str">
            <v>40036_1</v>
          </cell>
        </row>
        <row r="743">
          <cell r="A743" t="str">
            <v>40036_2</v>
          </cell>
        </row>
        <row r="744">
          <cell r="A744" t="str">
            <v>40037_1</v>
          </cell>
        </row>
        <row r="745">
          <cell r="A745" t="str">
            <v>40037_2</v>
          </cell>
        </row>
        <row r="746">
          <cell r="A746" t="str">
            <v>40038_1</v>
          </cell>
        </row>
        <row r="747">
          <cell r="A747" t="str">
            <v>40038_2</v>
          </cell>
        </row>
        <row r="748">
          <cell r="A748" t="str">
            <v>40039_1</v>
          </cell>
        </row>
        <row r="749">
          <cell r="A749" t="str">
            <v>40039_2</v>
          </cell>
        </row>
        <row r="750">
          <cell r="A750" t="str">
            <v>40040_1</v>
          </cell>
        </row>
        <row r="751">
          <cell r="A751" t="str">
            <v>40040_2</v>
          </cell>
        </row>
        <row r="752">
          <cell r="A752" t="str">
            <v>40041_1</v>
          </cell>
        </row>
        <row r="753">
          <cell r="A753" t="str">
            <v>40041_2</v>
          </cell>
        </row>
        <row r="754">
          <cell r="A754" t="str">
            <v>40042_1</v>
          </cell>
        </row>
        <row r="755">
          <cell r="A755" t="str">
            <v>40042_2</v>
          </cell>
        </row>
        <row r="756">
          <cell r="A756" t="str">
            <v>41001_1</v>
          </cell>
        </row>
        <row r="757">
          <cell r="A757" t="str">
            <v>41001_2</v>
          </cell>
        </row>
        <row r="758">
          <cell r="A758" t="str">
            <v>41001_3</v>
          </cell>
        </row>
        <row r="759">
          <cell r="A759" t="str">
            <v>41002_1</v>
          </cell>
        </row>
        <row r="760">
          <cell r="A760" t="str">
            <v>41002_2</v>
          </cell>
        </row>
        <row r="761">
          <cell r="A761" t="str">
            <v>41002_3</v>
          </cell>
        </row>
        <row r="762">
          <cell r="A762" t="str">
            <v>41003_1</v>
          </cell>
        </row>
        <row r="763">
          <cell r="A763" t="str">
            <v>41003_2</v>
          </cell>
        </row>
        <row r="764">
          <cell r="A764" t="str">
            <v>41003_3</v>
          </cell>
        </row>
        <row r="765">
          <cell r="A765" t="str">
            <v>41004_1</v>
          </cell>
        </row>
        <row r="766">
          <cell r="A766" t="str">
            <v>41004_2</v>
          </cell>
        </row>
        <row r="767">
          <cell r="A767" t="str">
            <v>41004_3</v>
          </cell>
        </row>
        <row r="768">
          <cell r="A768" t="str">
            <v>41005_1</v>
          </cell>
        </row>
        <row r="769">
          <cell r="A769" t="str">
            <v>41005_2</v>
          </cell>
        </row>
        <row r="770">
          <cell r="A770" t="str">
            <v>41005_3</v>
          </cell>
        </row>
        <row r="771">
          <cell r="A771" t="str">
            <v>41006_1</v>
          </cell>
        </row>
        <row r="772">
          <cell r="A772" t="str">
            <v>41006_2</v>
          </cell>
        </row>
        <row r="773">
          <cell r="A773" t="str">
            <v>41006_3</v>
          </cell>
        </row>
        <row r="774">
          <cell r="A774" t="str">
            <v>41007_1</v>
          </cell>
        </row>
        <row r="775">
          <cell r="A775" t="str">
            <v>41007_2</v>
          </cell>
        </row>
        <row r="776">
          <cell r="A776" t="str">
            <v>41007_3</v>
          </cell>
        </row>
        <row r="777">
          <cell r="A777" t="str">
            <v>41008_1</v>
          </cell>
        </row>
        <row r="778">
          <cell r="A778" t="str">
            <v>41008_2</v>
          </cell>
        </row>
        <row r="779">
          <cell r="A779" t="str">
            <v>41008_3</v>
          </cell>
        </row>
        <row r="780">
          <cell r="A780" t="str">
            <v>41009_1</v>
          </cell>
        </row>
        <row r="781">
          <cell r="A781" t="str">
            <v>41009_2</v>
          </cell>
        </row>
        <row r="782">
          <cell r="A782" t="str">
            <v>41009_3</v>
          </cell>
        </row>
        <row r="783">
          <cell r="A783" t="str">
            <v>41010_1</v>
          </cell>
        </row>
        <row r="784">
          <cell r="A784" t="str">
            <v>41010_2</v>
          </cell>
        </row>
        <row r="785">
          <cell r="A785" t="str">
            <v>41010_3</v>
          </cell>
        </row>
        <row r="786">
          <cell r="A786" t="str">
            <v>41011_1</v>
          </cell>
        </row>
        <row r="787">
          <cell r="A787" t="str">
            <v>41011_2</v>
          </cell>
        </row>
        <row r="788">
          <cell r="A788" t="str">
            <v>41012_1</v>
          </cell>
        </row>
        <row r="789">
          <cell r="A789" t="str">
            <v>41012_2</v>
          </cell>
        </row>
        <row r="790">
          <cell r="A790" t="str">
            <v>41013_1</v>
          </cell>
        </row>
        <row r="791">
          <cell r="A791" t="str">
            <v>41013_2</v>
          </cell>
        </row>
        <row r="792">
          <cell r="A792" t="str">
            <v>41014_1</v>
          </cell>
        </row>
        <row r="793">
          <cell r="A793" t="str">
            <v>41014_2</v>
          </cell>
        </row>
        <row r="794">
          <cell r="A794" t="str">
            <v>41015_1</v>
          </cell>
        </row>
        <row r="795">
          <cell r="A795" t="str">
            <v>41015_2</v>
          </cell>
        </row>
        <row r="796">
          <cell r="A796" t="str">
            <v>47001_1</v>
          </cell>
        </row>
        <row r="797">
          <cell r="A797" t="str">
            <v>47001_2</v>
          </cell>
        </row>
        <row r="798">
          <cell r="A798" t="str">
            <v>47002_1</v>
          </cell>
        </row>
        <row r="799">
          <cell r="A799" t="str">
            <v>47002_2</v>
          </cell>
        </row>
        <row r="800">
          <cell r="A800" t="str">
            <v>47003_1</v>
          </cell>
        </row>
        <row r="801">
          <cell r="A801" t="str">
            <v>47003_2</v>
          </cell>
        </row>
        <row r="802">
          <cell r="A802" t="str">
            <v>47003_3</v>
          </cell>
        </row>
        <row r="803">
          <cell r="A803" t="str">
            <v>47003_4</v>
          </cell>
        </row>
        <row r="804">
          <cell r="A804" t="str">
            <v>47004_1</v>
          </cell>
        </row>
        <row r="805">
          <cell r="A805" t="str">
            <v>47004_2</v>
          </cell>
        </row>
        <row r="806">
          <cell r="A806" t="str">
            <v>47004_3</v>
          </cell>
        </row>
        <row r="807">
          <cell r="A807" t="str">
            <v>47004_4</v>
          </cell>
        </row>
        <row r="808">
          <cell r="A808" t="str">
            <v>47005_1</v>
          </cell>
        </row>
        <row r="809">
          <cell r="A809" t="str">
            <v>47006_1</v>
          </cell>
        </row>
        <row r="810">
          <cell r="A810" t="str">
            <v>47006_2</v>
          </cell>
        </row>
        <row r="811">
          <cell r="A811" t="str">
            <v>48001_1</v>
          </cell>
        </row>
        <row r="812">
          <cell r="A812" t="str">
            <v>48002_1</v>
          </cell>
        </row>
        <row r="813">
          <cell r="A813" t="str">
            <v>48002_2</v>
          </cell>
        </row>
        <row r="814">
          <cell r="A814" t="str">
            <v>48002_3</v>
          </cell>
        </row>
        <row r="815">
          <cell r="A815" t="str">
            <v>48003_1</v>
          </cell>
        </row>
        <row r="816">
          <cell r="A816" t="str">
            <v>48003_2</v>
          </cell>
        </row>
        <row r="817">
          <cell r="A817" t="str">
            <v>48004_1</v>
          </cell>
        </row>
        <row r="818">
          <cell r="A818" t="str">
            <v>48004_2</v>
          </cell>
        </row>
        <row r="819">
          <cell r="A819" t="str">
            <v>48005_1</v>
          </cell>
        </row>
        <row r="820">
          <cell r="A820" t="str">
            <v>48005_2</v>
          </cell>
        </row>
        <row r="821">
          <cell r="A821" t="str">
            <v>48006_1</v>
          </cell>
        </row>
        <row r="822">
          <cell r="A822" t="str">
            <v>48006_2</v>
          </cell>
        </row>
        <row r="823">
          <cell r="A823" t="str">
            <v>48007_1</v>
          </cell>
        </row>
        <row r="824">
          <cell r="A824" t="str">
            <v>48007_2</v>
          </cell>
        </row>
        <row r="825">
          <cell r="A825" t="str">
            <v>48008_1</v>
          </cell>
        </row>
        <row r="826">
          <cell r="A826" t="str">
            <v>48008_2</v>
          </cell>
        </row>
        <row r="827">
          <cell r="A827" t="str">
            <v>48009_1</v>
          </cell>
        </row>
        <row r="828">
          <cell r="A828" t="str">
            <v>48009_2</v>
          </cell>
        </row>
        <row r="829">
          <cell r="A829" t="str">
            <v>48010_1</v>
          </cell>
        </row>
        <row r="830">
          <cell r="A830" t="str">
            <v>48501_1</v>
          </cell>
        </row>
        <row r="831">
          <cell r="A831" t="str">
            <v>48501_2</v>
          </cell>
        </row>
        <row r="832">
          <cell r="A832" t="str">
            <v>49001_1</v>
          </cell>
        </row>
        <row r="833">
          <cell r="A833" t="str">
            <v>49002_1</v>
          </cell>
        </row>
        <row r="834">
          <cell r="A834" t="str">
            <v>49002_2</v>
          </cell>
        </row>
        <row r="835">
          <cell r="A835" t="str">
            <v>49003_1</v>
          </cell>
        </row>
        <row r="836">
          <cell r="A836" t="str">
            <v>49003_2</v>
          </cell>
        </row>
        <row r="837">
          <cell r="A837" t="str">
            <v>49004_1</v>
          </cell>
        </row>
        <row r="838">
          <cell r="A838" t="str">
            <v>49004_2</v>
          </cell>
        </row>
        <row r="839">
          <cell r="A839" t="str">
            <v>49004_3</v>
          </cell>
        </row>
        <row r="840">
          <cell r="A840" t="str">
            <v>49005_1</v>
          </cell>
        </row>
        <row r="841">
          <cell r="A841" t="str">
            <v>49006_1</v>
          </cell>
        </row>
        <row r="842">
          <cell r="A842" t="str">
            <v>49006_2</v>
          </cell>
        </row>
        <row r="843">
          <cell r="A843" t="str">
            <v>49007_1</v>
          </cell>
        </row>
        <row r="844">
          <cell r="A844" t="str">
            <v>49007_2</v>
          </cell>
        </row>
        <row r="845">
          <cell r="A845" t="str">
            <v>49007_3</v>
          </cell>
        </row>
        <row r="846">
          <cell r="A846" t="str">
            <v>49008_1</v>
          </cell>
        </row>
        <row r="847">
          <cell r="A847" t="str">
            <v>49009_1</v>
          </cell>
        </row>
        <row r="848">
          <cell r="A848" t="str">
            <v>49010_1</v>
          </cell>
        </row>
        <row r="849">
          <cell r="A849" t="str">
            <v>49011_1</v>
          </cell>
        </row>
        <row r="850">
          <cell r="A850" t="str">
            <v>49012_1</v>
          </cell>
        </row>
        <row r="851">
          <cell r="A851" t="str">
            <v>49013_1</v>
          </cell>
        </row>
        <row r="852">
          <cell r="A852" t="str">
            <v>50001_1</v>
          </cell>
        </row>
        <row r="853">
          <cell r="A853" t="str">
            <v>50002_1</v>
          </cell>
        </row>
        <row r="854">
          <cell r="A854" t="str">
            <v>50003_1</v>
          </cell>
        </row>
        <row r="855">
          <cell r="A855" t="str">
            <v>50004_1</v>
          </cell>
        </row>
        <row r="856">
          <cell r="A856" t="str">
            <v>50005_1</v>
          </cell>
        </row>
        <row r="857">
          <cell r="A857" t="str">
            <v>50006_1</v>
          </cell>
        </row>
        <row r="858">
          <cell r="A858" t="str">
            <v>50007_1</v>
          </cell>
        </row>
        <row r="859">
          <cell r="A859" t="str">
            <v>50008_1</v>
          </cell>
        </row>
        <row r="860">
          <cell r="A860" t="str">
            <v>50009_1</v>
          </cell>
        </row>
        <row r="861">
          <cell r="A861" t="str">
            <v>50010_1</v>
          </cell>
        </row>
        <row r="862">
          <cell r="A862" t="str">
            <v>50011_1</v>
          </cell>
        </row>
        <row r="863">
          <cell r="A863" t="str">
            <v>50012_1</v>
          </cell>
        </row>
        <row r="864">
          <cell r="A864" t="str">
            <v>50013_1</v>
          </cell>
        </row>
        <row r="865">
          <cell r="A865" t="str">
            <v>51001_1</v>
          </cell>
        </row>
        <row r="866">
          <cell r="A866" t="str">
            <v>51002_1</v>
          </cell>
        </row>
        <row r="867">
          <cell r="A867" t="str">
            <v>59001_1</v>
          </cell>
        </row>
        <row r="868">
          <cell r="A868" t="str">
            <v>60001_1</v>
          </cell>
        </row>
        <row r="869">
          <cell r="A869" t="str">
            <v>60002_1</v>
          </cell>
        </row>
        <row r="870">
          <cell r="A870" t="str">
            <v>60002_2</v>
          </cell>
        </row>
        <row r="871">
          <cell r="A871" t="str">
            <v>60003_1</v>
          </cell>
        </row>
        <row r="872">
          <cell r="A872" t="str">
            <v>60003_2</v>
          </cell>
        </row>
        <row r="873">
          <cell r="A873" t="str">
            <v>60003_3</v>
          </cell>
        </row>
        <row r="874">
          <cell r="A874" t="str">
            <v>60004_1</v>
          </cell>
        </row>
        <row r="875">
          <cell r="A875" t="str">
            <v>60005_1</v>
          </cell>
        </row>
        <row r="876">
          <cell r="A876" t="str">
            <v>60006_1</v>
          </cell>
        </row>
        <row r="877">
          <cell r="A877" t="str">
            <v>60006_2</v>
          </cell>
        </row>
        <row r="878">
          <cell r="A878" t="str">
            <v>60006_3</v>
          </cell>
        </row>
        <row r="879">
          <cell r="A879" t="str">
            <v>60007_1</v>
          </cell>
        </row>
        <row r="880">
          <cell r="A880" t="str">
            <v>60007_2</v>
          </cell>
        </row>
        <row r="881">
          <cell r="A881" t="str">
            <v>60007_3</v>
          </cell>
        </row>
        <row r="882">
          <cell r="A882" t="str">
            <v>60010_1</v>
          </cell>
        </row>
        <row r="883">
          <cell r="A883" t="str">
            <v>60011_1</v>
          </cell>
        </row>
        <row r="884">
          <cell r="A884" t="str">
            <v>60011_2</v>
          </cell>
        </row>
        <row r="885">
          <cell r="A885" t="str">
            <v>60012_1</v>
          </cell>
        </row>
        <row r="886">
          <cell r="A886" t="str">
            <v>60013_1</v>
          </cell>
        </row>
        <row r="887">
          <cell r="A887" t="str">
            <v>60013_2</v>
          </cell>
        </row>
        <row r="888">
          <cell r="A888" t="str">
            <v>60013_3</v>
          </cell>
        </row>
        <row r="889">
          <cell r="A889" t="str">
            <v>60014_1</v>
          </cell>
        </row>
        <row r="890">
          <cell r="A890" t="str">
            <v>60015_1</v>
          </cell>
        </row>
        <row r="891">
          <cell r="A891" t="str">
            <v>60016_1</v>
          </cell>
        </row>
        <row r="892">
          <cell r="A892" t="str">
            <v>60017_1</v>
          </cell>
        </row>
        <row r="893">
          <cell r="A893" t="str">
            <v>60018_1</v>
          </cell>
        </row>
        <row r="894">
          <cell r="A894" t="str">
            <v>60019_1</v>
          </cell>
        </row>
        <row r="895">
          <cell r="A895" t="str">
            <v>60020_1</v>
          </cell>
        </row>
        <row r="896">
          <cell r="A896" t="str">
            <v>60021_3</v>
          </cell>
        </row>
        <row r="897">
          <cell r="A897" t="str">
            <v>60022_3</v>
          </cell>
        </row>
        <row r="898">
          <cell r="A898" t="str">
            <v>60023_3</v>
          </cell>
        </row>
        <row r="899">
          <cell r="A899" t="str">
            <v>60024_3</v>
          </cell>
        </row>
        <row r="900">
          <cell r="A900" t="str">
            <v>60025_1</v>
          </cell>
        </row>
        <row r="901">
          <cell r="A901" t="str">
            <v>60026_1</v>
          </cell>
        </row>
        <row r="902">
          <cell r="A902" t="str">
            <v>61011_1</v>
          </cell>
        </row>
        <row r="903">
          <cell r="A903" t="str">
            <v>60027_1</v>
          </cell>
        </row>
        <row r="904">
          <cell r="A904" t="str">
            <v>65525_1</v>
          </cell>
        </row>
        <row r="905">
          <cell r="A905" t="str">
            <v>65526_1</v>
          </cell>
        </row>
        <row r="906">
          <cell r="A906" t="str">
            <v>65526_2</v>
          </cell>
        </row>
        <row r="907">
          <cell r="A907" t="str">
            <v>65527_1</v>
          </cell>
        </row>
        <row r="908">
          <cell r="A908" t="str">
            <v>65529_1</v>
          </cell>
        </row>
        <row r="909">
          <cell r="A909" t="str">
            <v>65530_1</v>
          </cell>
        </row>
        <row r="910">
          <cell r="A910" t="str">
            <v>65531_1</v>
          </cell>
        </row>
        <row r="911">
          <cell r="A911" t="str">
            <v>65531_2</v>
          </cell>
        </row>
        <row r="912">
          <cell r="A912" t="str">
            <v>65532_1</v>
          </cell>
        </row>
        <row r="913">
          <cell r="A913" t="str">
            <v>65532_2</v>
          </cell>
        </row>
        <row r="914">
          <cell r="A914" t="str">
            <v>65533_1</v>
          </cell>
        </row>
        <row r="915">
          <cell r="A915" t="str">
            <v>65533_2</v>
          </cell>
        </row>
        <row r="916">
          <cell r="A916" t="str">
            <v>65534_1</v>
          </cell>
        </row>
        <row r="917">
          <cell r="A917" t="str">
            <v>65535_1</v>
          </cell>
        </row>
        <row r="918">
          <cell r="A918" t="str">
            <v>65535_2</v>
          </cell>
        </row>
        <row r="919">
          <cell r="A919" t="str">
            <v>65535_3</v>
          </cell>
        </row>
        <row r="920">
          <cell r="A920" t="str">
            <v>65535_4</v>
          </cell>
        </row>
        <row r="921">
          <cell r="A921" t="str">
            <v>65535_5</v>
          </cell>
        </row>
        <row r="922">
          <cell r="A922" t="str">
            <v>65535_6</v>
          </cell>
        </row>
        <row r="923">
          <cell r="A923" t="str">
            <v>65535_7</v>
          </cell>
        </row>
        <row r="924">
          <cell r="A924" t="str">
            <v>65535_8</v>
          </cell>
        </row>
        <row r="925">
          <cell r="A925" t="str">
            <v>65535_9</v>
          </cell>
        </row>
        <row r="926">
          <cell r="A926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5001</v>
          </cell>
        </row>
        <row r="1308">
          <cell r="A1308">
            <v>5002</v>
          </cell>
        </row>
        <row r="1309">
          <cell r="A1309">
            <v>5003</v>
          </cell>
        </row>
        <row r="1310">
          <cell r="A1310">
            <v>5004</v>
          </cell>
        </row>
        <row r="1311">
          <cell r="A1311">
            <v>6001</v>
          </cell>
        </row>
        <row r="1312">
          <cell r="A1312">
            <v>6002</v>
          </cell>
        </row>
        <row r="1313">
          <cell r="A1313">
            <v>6003</v>
          </cell>
        </row>
        <row r="1314">
          <cell r="A1314">
            <v>6004</v>
          </cell>
        </row>
        <row r="1315">
          <cell r="A1315">
            <v>6005</v>
          </cell>
        </row>
        <row r="1316">
          <cell r="A1316">
            <v>6006</v>
          </cell>
        </row>
        <row r="1317">
          <cell r="A1317">
            <v>6007</v>
          </cell>
        </row>
        <row r="1318">
          <cell r="A1318">
            <v>6008</v>
          </cell>
        </row>
        <row r="1319">
          <cell r="A1319">
            <v>6009</v>
          </cell>
        </row>
        <row r="1320">
          <cell r="A1320">
            <v>6010</v>
          </cell>
        </row>
        <row r="1321">
          <cell r="A1321">
            <v>6011</v>
          </cell>
        </row>
        <row r="1322">
          <cell r="A1322">
            <v>6012</v>
          </cell>
        </row>
        <row r="1323">
          <cell r="A1323">
            <v>6013</v>
          </cell>
        </row>
        <row r="1324">
          <cell r="A1324">
            <v>6014</v>
          </cell>
        </row>
        <row r="1325">
          <cell r="A1325">
            <v>6015</v>
          </cell>
        </row>
        <row r="1326">
          <cell r="A1326">
            <v>6016</v>
          </cell>
        </row>
        <row r="1327">
          <cell r="A1327">
            <v>6017</v>
          </cell>
        </row>
        <row r="1328">
          <cell r="A1328">
            <v>6018</v>
          </cell>
        </row>
        <row r="1329">
          <cell r="A1329">
            <v>6019</v>
          </cell>
        </row>
        <row r="1330">
          <cell r="A1330">
            <v>6020</v>
          </cell>
        </row>
        <row r="1331">
          <cell r="A1331">
            <v>8001</v>
          </cell>
        </row>
        <row r="1332">
          <cell r="A1332">
            <v>8002</v>
          </cell>
        </row>
        <row r="1333">
          <cell r="A1333">
            <v>8003</v>
          </cell>
        </row>
        <row r="1334">
          <cell r="A1334">
            <v>8004</v>
          </cell>
        </row>
        <row r="1335">
          <cell r="A1335">
            <v>8005</v>
          </cell>
        </row>
        <row r="1336">
          <cell r="A1336">
            <v>8006</v>
          </cell>
        </row>
        <row r="1337">
          <cell r="A1337">
            <v>8007</v>
          </cell>
        </row>
        <row r="1338">
          <cell r="A1338">
            <v>8008</v>
          </cell>
        </row>
        <row r="1339">
          <cell r="A1339">
            <v>8009</v>
          </cell>
        </row>
        <row r="1340">
          <cell r="A1340">
            <v>8010</v>
          </cell>
        </row>
        <row r="1341">
          <cell r="A1341">
            <v>8011</v>
          </cell>
        </row>
        <row r="1342">
          <cell r="A1342">
            <v>8012</v>
          </cell>
        </row>
        <row r="1343">
          <cell r="A1343">
            <v>8013</v>
          </cell>
        </row>
        <row r="1344">
          <cell r="A1344">
            <v>8014</v>
          </cell>
        </row>
        <row r="1345">
          <cell r="A1345">
            <v>8015</v>
          </cell>
        </row>
        <row r="1346">
          <cell r="A1346">
            <v>8016</v>
          </cell>
        </row>
        <row r="1347">
          <cell r="A1347">
            <v>8017</v>
          </cell>
        </row>
        <row r="1348">
          <cell r="A1348">
            <v>8018</v>
          </cell>
        </row>
        <row r="1349">
          <cell r="A1349">
            <v>8019</v>
          </cell>
        </row>
        <row r="1350">
          <cell r="A1350">
            <v>8020</v>
          </cell>
        </row>
        <row r="1351">
          <cell r="A1351">
            <v>8021</v>
          </cell>
        </row>
        <row r="1352">
          <cell r="A1352">
            <v>8022</v>
          </cell>
        </row>
        <row r="1353">
          <cell r="A1353">
            <v>8023</v>
          </cell>
        </row>
        <row r="1354">
          <cell r="A1354">
            <v>8024</v>
          </cell>
        </row>
        <row r="1355">
          <cell r="A1355">
            <v>8025</v>
          </cell>
        </row>
        <row r="1356">
          <cell r="A1356">
            <v>8026</v>
          </cell>
        </row>
        <row r="1357">
          <cell r="A1357">
            <v>8027</v>
          </cell>
        </row>
        <row r="1358">
          <cell r="A1358">
            <v>8028</v>
          </cell>
        </row>
        <row r="1359">
          <cell r="A1359">
            <v>8029</v>
          </cell>
        </row>
        <row r="1360">
          <cell r="A1360">
            <v>8030</v>
          </cell>
        </row>
        <row r="1361">
          <cell r="A1361">
            <v>8031</v>
          </cell>
        </row>
        <row r="1362">
          <cell r="A1362">
            <v>8032</v>
          </cell>
        </row>
        <row r="1363">
          <cell r="A1363">
            <v>8033</v>
          </cell>
        </row>
        <row r="1364">
          <cell r="A1364">
            <v>8034</v>
          </cell>
        </row>
        <row r="1365">
          <cell r="A1365">
            <v>8035</v>
          </cell>
        </row>
        <row r="1366">
          <cell r="A1366">
            <v>8036</v>
          </cell>
        </row>
        <row r="1367">
          <cell r="A1367">
            <v>8037</v>
          </cell>
        </row>
        <row r="1368">
          <cell r="A1368">
            <v>8038</v>
          </cell>
        </row>
        <row r="1369">
          <cell r="A1369">
            <v>8039</v>
          </cell>
        </row>
        <row r="1370">
          <cell r="A1370">
            <v>8040</v>
          </cell>
        </row>
        <row r="1371">
          <cell r="A1371">
            <v>8041</v>
          </cell>
        </row>
        <row r="1372">
          <cell r="A1372">
            <v>8042</v>
          </cell>
        </row>
        <row r="1373">
          <cell r="A1373">
            <v>8043</v>
          </cell>
        </row>
        <row r="1374">
          <cell r="A1374">
            <v>8044</v>
          </cell>
        </row>
        <row r="1375">
          <cell r="A1375">
            <v>8045</v>
          </cell>
        </row>
        <row r="1376">
          <cell r="A1376">
            <v>8046</v>
          </cell>
        </row>
        <row r="1377">
          <cell r="A1377">
            <v>8047</v>
          </cell>
        </row>
        <row r="1378">
          <cell r="A1378">
            <v>8048</v>
          </cell>
        </row>
        <row r="1379">
          <cell r="A1379">
            <v>8049</v>
          </cell>
        </row>
        <row r="1380">
          <cell r="A1380">
            <v>8050</v>
          </cell>
        </row>
        <row r="1381">
          <cell r="A1381">
            <v>8051</v>
          </cell>
        </row>
        <row r="1382">
          <cell r="A1382">
            <v>8052</v>
          </cell>
        </row>
        <row r="1383">
          <cell r="A1383">
            <v>8053</v>
          </cell>
        </row>
        <row r="1384">
          <cell r="A1384">
            <v>8054</v>
          </cell>
        </row>
        <row r="1385">
          <cell r="A1385">
            <v>8055</v>
          </cell>
        </row>
        <row r="1386">
          <cell r="A1386">
            <v>8056</v>
          </cell>
        </row>
        <row r="1387">
          <cell r="A1387">
            <v>8057</v>
          </cell>
        </row>
        <row r="1388">
          <cell r="A1388">
            <v>8058</v>
          </cell>
        </row>
        <row r="1389">
          <cell r="A1389">
            <v>8059</v>
          </cell>
        </row>
        <row r="1390">
          <cell r="A1390">
            <v>8060</v>
          </cell>
        </row>
        <row r="1391">
          <cell r="A1391">
            <v>8061</v>
          </cell>
        </row>
        <row r="1392">
          <cell r="A1392">
            <v>8062</v>
          </cell>
        </row>
        <row r="1393">
          <cell r="A1393">
            <v>8063</v>
          </cell>
        </row>
        <row r="1394">
          <cell r="A1394">
            <v>8064</v>
          </cell>
        </row>
        <row r="1395">
          <cell r="A1395">
            <v>8065</v>
          </cell>
        </row>
        <row r="1396">
          <cell r="A1396">
            <v>8066</v>
          </cell>
        </row>
        <row r="1397">
          <cell r="A1397">
            <v>8067</v>
          </cell>
        </row>
        <row r="1398">
          <cell r="A1398">
            <v>8068</v>
          </cell>
        </row>
        <row r="1399">
          <cell r="A1399">
            <v>8069</v>
          </cell>
        </row>
        <row r="1400">
          <cell r="A1400">
            <v>8070</v>
          </cell>
        </row>
        <row r="1401">
          <cell r="A1401">
            <v>8071</v>
          </cell>
        </row>
        <row r="1402">
          <cell r="A1402">
            <v>8072</v>
          </cell>
        </row>
        <row r="1403">
          <cell r="A1403">
            <v>8077</v>
          </cell>
        </row>
        <row r="1404">
          <cell r="A1404">
            <v>8078</v>
          </cell>
        </row>
        <row r="1405">
          <cell r="A1405">
            <v>8079</v>
          </cell>
        </row>
        <row r="1406">
          <cell r="A1406">
            <v>8080</v>
          </cell>
        </row>
        <row r="1407">
          <cell r="A1407">
            <v>8095</v>
          </cell>
        </row>
        <row r="1408">
          <cell r="A1408">
            <v>8096</v>
          </cell>
        </row>
        <row r="1409">
          <cell r="A1409">
            <v>8097</v>
          </cell>
        </row>
        <row r="1410">
          <cell r="A1410">
            <v>8098</v>
          </cell>
        </row>
      </sheetData>
      <sheetData sheetId="2">
        <row r="1">
          <cell r="A1" t="str">
            <v>level</v>
          </cell>
          <cell r="B1" t="str">
            <v>base_hp</v>
          </cell>
          <cell r="C1" t="str">
            <v>標準HP</v>
          </cell>
          <cell r="D1" t="str">
            <v>base_attack</v>
          </cell>
          <cell r="E1" t="str">
            <v>標準攻撃力</v>
          </cell>
          <cell r="F1" t="str">
            <v>base_defense</v>
          </cell>
        </row>
        <row r="2">
          <cell r="A2">
            <v>1</v>
          </cell>
          <cell r="B2">
            <v>1000</v>
          </cell>
          <cell r="C2">
            <v>500</v>
          </cell>
          <cell r="D2">
            <v>1000</v>
          </cell>
          <cell r="E2">
            <v>300</v>
          </cell>
          <cell r="F2">
            <v>1</v>
          </cell>
        </row>
        <row r="3">
          <cell r="A3">
            <v>2</v>
          </cell>
          <cell r="B3">
            <v>1400</v>
          </cell>
          <cell r="C3">
            <v>700</v>
          </cell>
          <cell r="D3">
            <v>1200</v>
          </cell>
          <cell r="E3">
            <v>360</v>
          </cell>
          <cell r="F3">
            <v>31</v>
          </cell>
        </row>
        <row r="4">
          <cell r="A4">
            <v>3</v>
          </cell>
          <cell r="B4">
            <v>1800</v>
          </cell>
          <cell r="C4">
            <v>900</v>
          </cell>
          <cell r="D4">
            <v>1400</v>
          </cell>
          <cell r="E4">
            <v>420</v>
          </cell>
          <cell r="F4">
            <v>61</v>
          </cell>
        </row>
        <row r="5">
          <cell r="A5">
            <v>4</v>
          </cell>
          <cell r="B5">
            <v>2200</v>
          </cell>
          <cell r="C5">
            <v>1100</v>
          </cell>
          <cell r="D5">
            <v>1600</v>
          </cell>
          <cell r="E5">
            <v>480</v>
          </cell>
          <cell r="F5">
            <v>91</v>
          </cell>
        </row>
        <row r="6">
          <cell r="A6">
            <v>5</v>
          </cell>
          <cell r="B6">
            <v>2600</v>
          </cell>
          <cell r="C6">
            <v>1300</v>
          </cell>
          <cell r="D6">
            <v>1800</v>
          </cell>
          <cell r="E6">
            <v>540</v>
          </cell>
          <cell r="F6">
            <v>121</v>
          </cell>
        </row>
        <row r="7">
          <cell r="A7">
            <v>6</v>
          </cell>
          <cell r="B7">
            <v>3000</v>
          </cell>
          <cell r="C7">
            <v>1500</v>
          </cell>
          <cell r="D7">
            <v>2000</v>
          </cell>
          <cell r="E7">
            <v>600</v>
          </cell>
          <cell r="F7">
            <v>151</v>
          </cell>
        </row>
        <row r="8">
          <cell r="A8">
            <v>7</v>
          </cell>
          <cell r="B8">
            <v>3400</v>
          </cell>
          <cell r="C8">
            <v>1700</v>
          </cell>
          <cell r="D8">
            <v>2200</v>
          </cell>
          <cell r="E8">
            <v>660</v>
          </cell>
          <cell r="F8">
            <v>181</v>
          </cell>
        </row>
        <row r="9">
          <cell r="A9">
            <v>8</v>
          </cell>
          <cell r="B9">
            <v>3800</v>
          </cell>
          <cell r="C9">
            <v>1900</v>
          </cell>
          <cell r="D9">
            <v>2400</v>
          </cell>
          <cell r="E9">
            <v>720</v>
          </cell>
          <cell r="F9">
            <v>211</v>
          </cell>
        </row>
        <row r="10">
          <cell r="A10">
            <v>9</v>
          </cell>
          <cell r="B10">
            <v>4200</v>
          </cell>
          <cell r="C10">
            <v>2100</v>
          </cell>
          <cell r="D10">
            <v>2600</v>
          </cell>
          <cell r="E10">
            <v>780</v>
          </cell>
          <cell r="F10">
            <v>241</v>
          </cell>
        </row>
        <row r="11">
          <cell r="A11">
            <v>10</v>
          </cell>
          <cell r="B11">
            <v>4600</v>
          </cell>
          <cell r="C11">
            <v>2300</v>
          </cell>
          <cell r="D11">
            <v>2800</v>
          </cell>
          <cell r="E11">
            <v>840</v>
          </cell>
          <cell r="F11">
            <v>271</v>
          </cell>
        </row>
        <row r="12">
          <cell r="A12">
            <v>11</v>
          </cell>
          <cell r="B12">
            <v>5000</v>
          </cell>
          <cell r="C12">
            <v>2500</v>
          </cell>
          <cell r="D12">
            <v>3000</v>
          </cell>
          <cell r="E12">
            <v>900</v>
          </cell>
          <cell r="F12">
            <v>301</v>
          </cell>
        </row>
        <row r="13">
          <cell r="A13">
            <v>12</v>
          </cell>
          <cell r="B13">
            <v>5400</v>
          </cell>
          <cell r="C13">
            <v>2700</v>
          </cell>
          <cell r="D13">
            <v>3200</v>
          </cell>
          <cell r="E13">
            <v>960</v>
          </cell>
          <cell r="F13">
            <v>331</v>
          </cell>
        </row>
        <row r="14">
          <cell r="A14">
            <v>13</v>
          </cell>
          <cell r="B14">
            <v>5800</v>
          </cell>
          <cell r="C14">
            <v>2900</v>
          </cell>
          <cell r="D14">
            <v>3400</v>
          </cell>
          <cell r="E14">
            <v>1020</v>
          </cell>
          <cell r="F14">
            <v>361</v>
          </cell>
        </row>
        <row r="15">
          <cell r="A15">
            <v>14</v>
          </cell>
          <cell r="B15">
            <v>6200</v>
          </cell>
          <cell r="C15">
            <v>3100</v>
          </cell>
          <cell r="D15">
            <v>3600</v>
          </cell>
          <cell r="E15">
            <v>1080</v>
          </cell>
          <cell r="F15">
            <v>391</v>
          </cell>
        </row>
        <row r="16">
          <cell r="A16">
            <v>15</v>
          </cell>
          <cell r="B16">
            <v>6600</v>
          </cell>
          <cell r="C16">
            <v>3300</v>
          </cell>
          <cell r="D16">
            <v>3800</v>
          </cell>
          <cell r="E16">
            <v>1140</v>
          </cell>
          <cell r="F16">
            <v>421</v>
          </cell>
        </row>
        <row r="17">
          <cell r="A17">
            <v>16</v>
          </cell>
          <cell r="B17">
            <v>7000</v>
          </cell>
          <cell r="C17">
            <v>3500</v>
          </cell>
          <cell r="D17">
            <v>4000</v>
          </cell>
          <cell r="E17">
            <v>1200</v>
          </cell>
          <cell r="F17">
            <v>451</v>
          </cell>
        </row>
        <row r="18">
          <cell r="A18">
            <v>17</v>
          </cell>
          <cell r="B18">
            <v>7400</v>
          </cell>
          <cell r="C18">
            <v>3700</v>
          </cell>
          <cell r="D18">
            <v>4200</v>
          </cell>
          <cell r="E18">
            <v>1260</v>
          </cell>
          <cell r="F18">
            <v>481</v>
          </cell>
        </row>
        <row r="19">
          <cell r="A19">
            <v>18</v>
          </cell>
          <cell r="B19">
            <v>7800</v>
          </cell>
          <cell r="C19">
            <v>3900</v>
          </cell>
          <cell r="D19">
            <v>4400</v>
          </cell>
          <cell r="E19">
            <v>1320</v>
          </cell>
          <cell r="F19">
            <v>511</v>
          </cell>
        </row>
        <row r="20">
          <cell r="A20">
            <v>19</v>
          </cell>
          <cell r="B20">
            <v>8200</v>
          </cell>
          <cell r="C20">
            <v>4100</v>
          </cell>
          <cell r="D20">
            <v>4600</v>
          </cell>
          <cell r="E20">
            <v>1380</v>
          </cell>
          <cell r="F20">
            <v>541</v>
          </cell>
        </row>
        <row r="21">
          <cell r="A21">
            <v>20</v>
          </cell>
          <cell r="B21">
            <v>8600</v>
          </cell>
          <cell r="C21">
            <v>4300</v>
          </cell>
          <cell r="D21">
            <v>4800</v>
          </cell>
          <cell r="E21">
            <v>1440</v>
          </cell>
          <cell r="F21">
            <v>571</v>
          </cell>
        </row>
        <row r="22">
          <cell r="A22">
            <v>21</v>
          </cell>
          <cell r="B22">
            <v>9000</v>
          </cell>
          <cell r="C22">
            <v>4500</v>
          </cell>
          <cell r="D22">
            <v>5000</v>
          </cell>
          <cell r="E22">
            <v>1500</v>
          </cell>
          <cell r="F22">
            <v>601</v>
          </cell>
        </row>
        <row r="23">
          <cell r="A23">
            <v>22</v>
          </cell>
          <cell r="B23">
            <v>9400</v>
          </cell>
          <cell r="C23">
            <v>4700</v>
          </cell>
          <cell r="D23">
            <v>5200</v>
          </cell>
          <cell r="E23">
            <v>1560</v>
          </cell>
          <cell r="F23">
            <v>631</v>
          </cell>
        </row>
        <row r="24">
          <cell r="A24">
            <v>23</v>
          </cell>
          <cell r="B24">
            <v>9800</v>
          </cell>
          <cell r="C24">
            <v>4900</v>
          </cell>
          <cell r="D24">
            <v>5400</v>
          </cell>
          <cell r="E24">
            <v>1620</v>
          </cell>
          <cell r="F24">
            <v>661</v>
          </cell>
        </row>
        <row r="25">
          <cell r="A25">
            <v>24</v>
          </cell>
          <cell r="B25">
            <v>10200</v>
          </cell>
          <cell r="C25">
            <v>5100</v>
          </cell>
          <cell r="D25">
            <v>5600</v>
          </cell>
          <cell r="E25">
            <v>1680</v>
          </cell>
          <cell r="F25">
            <v>691</v>
          </cell>
        </row>
        <row r="26">
          <cell r="A26">
            <v>25</v>
          </cell>
          <cell r="B26">
            <v>10600</v>
          </cell>
          <cell r="C26">
            <v>5300</v>
          </cell>
          <cell r="D26">
            <v>5800</v>
          </cell>
          <cell r="E26">
            <v>1740</v>
          </cell>
          <cell r="F26">
            <v>721</v>
          </cell>
        </row>
        <row r="27">
          <cell r="A27">
            <v>26</v>
          </cell>
          <cell r="B27">
            <v>11000</v>
          </cell>
          <cell r="C27">
            <v>5500</v>
          </cell>
          <cell r="D27">
            <v>6000</v>
          </cell>
          <cell r="E27">
            <v>1800</v>
          </cell>
          <cell r="F27">
            <v>751</v>
          </cell>
        </row>
        <row r="28">
          <cell r="A28">
            <v>27</v>
          </cell>
          <cell r="B28">
            <v>11400</v>
          </cell>
          <cell r="C28">
            <v>5700</v>
          </cell>
          <cell r="D28">
            <v>6200</v>
          </cell>
          <cell r="E28">
            <v>1860</v>
          </cell>
          <cell r="F28">
            <v>781</v>
          </cell>
        </row>
        <row r="29">
          <cell r="A29">
            <v>28</v>
          </cell>
          <cell r="B29">
            <v>11800</v>
          </cell>
          <cell r="C29">
            <v>5900</v>
          </cell>
          <cell r="D29">
            <v>6400</v>
          </cell>
          <cell r="E29">
            <v>1920</v>
          </cell>
          <cell r="F29">
            <v>811</v>
          </cell>
        </row>
        <row r="30">
          <cell r="A30">
            <v>29</v>
          </cell>
          <cell r="B30">
            <v>12200</v>
          </cell>
          <cell r="C30">
            <v>6100</v>
          </cell>
          <cell r="D30">
            <v>6600</v>
          </cell>
          <cell r="E30">
            <v>1980</v>
          </cell>
          <cell r="F30">
            <v>841</v>
          </cell>
        </row>
        <row r="31">
          <cell r="A31">
            <v>30</v>
          </cell>
          <cell r="B31">
            <v>12600</v>
          </cell>
          <cell r="C31">
            <v>6300</v>
          </cell>
          <cell r="D31">
            <v>6800</v>
          </cell>
          <cell r="E31">
            <v>2040</v>
          </cell>
          <cell r="F31">
            <v>871</v>
          </cell>
        </row>
        <row r="32">
          <cell r="A32">
            <v>31</v>
          </cell>
          <cell r="B32">
            <v>13000</v>
          </cell>
          <cell r="C32">
            <v>6500</v>
          </cell>
          <cell r="D32">
            <v>7000</v>
          </cell>
          <cell r="E32">
            <v>2100</v>
          </cell>
          <cell r="F32">
            <v>901</v>
          </cell>
        </row>
        <row r="33">
          <cell r="A33">
            <v>32</v>
          </cell>
          <cell r="B33">
            <v>13400</v>
          </cell>
          <cell r="C33">
            <v>6700</v>
          </cell>
          <cell r="D33">
            <v>7200</v>
          </cell>
          <cell r="E33">
            <v>2160</v>
          </cell>
          <cell r="F33">
            <v>931</v>
          </cell>
        </row>
        <row r="34">
          <cell r="A34">
            <v>33</v>
          </cell>
          <cell r="B34">
            <v>13800</v>
          </cell>
          <cell r="C34">
            <v>6900</v>
          </cell>
          <cell r="D34">
            <v>7400</v>
          </cell>
          <cell r="E34">
            <v>2220</v>
          </cell>
          <cell r="F34">
            <v>961</v>
          </cell>
        </row>
        <row r="35">
          <cell r="A35">
            <v>34</v>
          </cell>
          <cell r="B35">
            <v>14200</v>
          </cell>
          <cell r="C35">
            <v>7100</v>
          </cell>
          <cell r="D35">
            <v>7600</v>
          </cell>
          <cell r="E35">
            <v>2280</v>
          </cell>
          <cell r="F35">
            <v>991</v>
          </cell>
        </row>
        <row r="36">
          <cell r="A36">
            <v>35</v>
          </cell>
          <cell r="B36">
            <v>14600</v>
          </cell>
          <cell r="C36">
            <v>7300</v>
          </cell>
          <cell r="D36">
            <v>7800</v>
          </cell>
          <cell r="E36">
            <v>2340</v>
          </cell>
          <cell r="F36">
            <v>1021</v>
          </cell>
        </row>
        <row r="37">
          <cell r="A37">
            <v>36</v>
          </cell>
          <cell r="B37">
            <v>15000</v>
          </cell>
          <cell r="C37">
            <v>7500</v>
          </cell>
          <cell r="D37">
            <v>8000</v>
          </cell>
          <cell r="E37">
            <v>2400</v>
          </cell>
          <cell r="F37">
            <v>1051</v>
          </cell>
        </row>
        <row r="38">
          <cell r="A38">
            <v>37</v>
          </cell>
          <cell r="B38">
            <v>15400</v>
          </cell>
          <cell r="C38">
            <v>7700</v>
          </cell>
          <cell r="D38">
            <v>8200</v>
          </cell>
          <cell r="E38">
            <v>2460</v>
          </cell>
          <cell r="F38">
            <v>1081</v>
          </cell>
        </row>
        <row r="39">
          <cell r="A39">
            <v>38</v>
          </cell>
          <cell r="B39">
            <v>15800</v>
          </cell>
          <cell r="C39">
            <v>7900</v>
          </cell>
          <cell r="D39">
            <v>8400</v>
          </cell>
          <cell r="E39">
            <v>2520</v>
          </cell>
          <cell r="F39">
            <v>1111</v>
          </cell>
        </row>
        <row r="40">
          <cell r="A40">
            <v>39</v>
          </cell>
          <cell r="B40">
            <v>16200</v>
          </cell>
          <cell r="C40">
            <v>8100</v>
          </cell>
          <cell r="D40">
            <v>8600</v>
          </cell>
          <cell r="E40">
            <v>2580</v>
          </cell>
          <cell r="F40">
            <v>1141</v>
          </cell>
        </row>
        <row r="41">
          <cell r="A41">
            <v>40</v>
          </cell>
          <cell r="B41">
            <v>16600</v>
          </cell>
          <cell r="C41">
            <v>8300</v>
          </cell>
          <cell r="D41">
            <v>8800</v>
          </cell>
          <cell r="E41">
            <v>2640</v>
          </cell>
          <cell r="F41">
            <v>1171</v>
          </cell>
        </row>
        <row r="42">
          <cell r="A42">
            <v>41</v>
          </cell>
          <cell r="B42">
            <v>17000</v>
          </cell>
          <cell r="C42">
            <v>8500</v>
          </cell>
          <cell r="D42">
            <v>9000</v>
          </cell>
          <cell r="E42">
            <v>2700</v>
          </cell>
          <cell r="F42">
            <v>1201</v>
          </cell>
        </row>
        <row r="43">
          <cell r="A43">
            <v>42</v>
          </cell>
          <cell r="B43">
            <v>17400</v>
          </cell>
          <cell r="C43">
            <v>8700</v>
          </cell>
          <cell r="D43">
            <v>9200</v>
          </cell>
          <cell r="E43">
            <v>2760</v>
          </cell>
          <cell r="F43">
            <v>1231</v>
          </cell>
        </row>
        <row r="44">
          <cell r="A44">
            <v>43</v>
          </cell>
          <cell r="B44">
            <v>17800</v>
          </cell>
          <cell r="C44">
            <v>8900</v>
          </cell>
          <cell r="D44">
            <v>9400</v>
          </cell>
          <cell r="E44">
            <v>2820</v>
          </cell>
          <cell r="F44">
            <v>1261</v>
          </cell>
        </row>
        <row r="45">
          <cell r="A45">
            <v>44</v>
          </cell>
          <cell r="B45">
            <v>18200</v>
          </cell>
          <cell r="C45">
            <v>9100</v>
          </cell>
          <cell r="D45">
            <v>9600</v>
          </cell>
          <cell r="E45">
            <v>2880</v>
          </cell>
          <cell r="F45">
            <v>1291</v>
          </cell>
        </row>
        <row r="46">
          <cell r="A46">
            <v>45</v>
          </cell>
          <cell r="B46">
            <v>18600</v>
          </cell>
          <cell r="C46">
            <v>9300</v>
          </cell>
          <cell r="D46">
            <v>9800</v>
          </cell>
          <cell r="E46">
            <v>2940</v>
          </cell>
          <cell r="F46">
            <v>1321</v>
          </cell>
        </row>
        <row r="47">
          <cell r="A47">
            <v>46</v>
          </cell>
          <cell r="B47">
            <v>19000</v>
          </cell>
          <cell r="C47">
            <v>9500</v>
          </cell>
          <cell r="D47">
            <v>10000</v>
          </cell>
          <cell r="E47">
            <v>3000</v>
          </cell>
          <cell r="F47">
            <v>1351</v>
          </cell>
        </row>
        <row r="48">
          <cell r="A48">
            <v>47</v>
          </cell>
          <cell r="B48">
            <v>19400</v>
          </cell>
          <cell r="C48">
            <v>9700</v>
          </cell>
          <cell r="D48">
            <v>10200</v>
          </cell>
          <cell r="E48">
            <v>3060</v>
          </cell>
          <cell r="F48">
            <v>1381</v>
          </cell>
        </row>
        <row r="49">
          <cell r="A49">
            <v>48</v>
          </cell>
          <cell r="B49">
            <v>19800</v>
          </cell>
          <cell r="C49">
            <v>9900</v>
          </cell>
          <cell r="D49">
            <v>10400</v>
          </cell>
          <cell r="E49">
            <v>3120</v>
          </cell>
          <cell r="F49">
            <v>1411</v>
          </cell>
        </row>
        <row r="50">
          <cell r="A50">
            <v>49</v>
          </cell>
          <cell r="B50">
            <v>20200</v>
          </cell>
          <cell r="C50">
            <v>10100</v>
          </cell>
          <cell r="D50">
            <v>10600</v>
          </cell>
          <cell r="E50">
            <v>3180</v>
          </cell>
          <cell r="F50">
            <v>1441</v>
          </cell>
        </row>
        <row r="51">
          <cell r="A51">
            <v>50</v>
          </cell>
          <cell r="B51">
            <v>20600</v>
          </cell>
          <cell r="C51">
            <v>10300</v>
          </cell>
          <cell r="D51">
            <v>10800</v>
          </cell>
          <cell r="E51">
            <v>3240</v>
          </cell>
          <cell r="F51">
            <v>1471</v>
          </cell>
        </row>
        <row r="52">
          <cell r="A52">
            <v>51</v>
          </cell>
          <cell r="B52">
            <v>21000</v>
          </cell>
          <cell r="C52">
            <v>10500</v>
          </cell>
          <cell r="D52">
            <v>11000</v>
          </cell>
          <cell r="E52">
            <v>3300</v>
          </cell>
          <cell r="F52">
            <v>1501</v>
          </cell>
        </row>
        <row r="53">
          <cell r="A53">
            <v>52</v>
          </cell>
          <cell r="B53">
            <v>21400</v>
          </cell>
          <cell r="C53">
            <v>10700</v>
          </cell>
          <cell r="D53">
            <v>11200</v>
          </cell>
          <cell r="E53">
            <v>3360</v>
          </cell>
          <cell r="F53">
            <v>1531</v>
          </cell>
        </row>
        <row r="54">
          <cell r="A54">
            <v>53</v>
          </cell>
          <cell r="B54">
            <v>21800</v>
          </cell>
          <cell r="C54">
            <v>10900</v>
          </cell>
          <cell r="D54">
            <v>11400</v>
          </cell>
          <cell r="E54">
            <v>3420</v>
          </cell>
          <cell r="F54">
            <v>1561</v>
          </cell>
        </row>
        <row r="55">
          <cell r="A55">
            <v>54</v>
          </cell>
          <cell r="B55">
            <v>22200</v>
          </cell>
          <cell r="C55">
            <v>11100</v>
          </cell>
          <cell r="D55">
            <v>11600</v>
          </cell>
          <cell r="E55">
            <v>3480</v>
          </cell>
          <cell r="F55">
            <v>1591</v>
          </cell>
        </row>
        <row r="56">
          <cell r="A56">
            <v>55</v>
          </cell>
          <cell r="B56">
            <v>22600</v>
          </cell>
          <cell r="C56">
            <v>11300</v>
          </cell>
          <cell r="D56">
            <v>11800</v>
          </cell>
          <cell r="E56">
            <v>3540</v>
          </cell>
          <cell r="F56">
            <v>1621</v>
          </cell>
        </row>
        <row r="57">
          <cell r="A57">
            <v>56</v>
          </cell>
          <cell r="B57">
            <v>23000</v>
          </cell>
          <cell r="C57">
            <v>11500</v>
          </cell>
          <cell r="D57">
            <v>12000</v>
          </cell>
          <cell r="E57">
            <v>3600</v>
          </cell>
          <cell r="F57">
            <v>1651</v>
          </cell>
        </row>
        <row r="58">
          <cell r="A58">
            <v>57</v>
          </cell>
          <cell r="B58">
            <v>23400</v>
          </cell>
          <cell r="C58">
            <v>11700</v>
          </cell>
          <cell r="D58">
            <v>12200</v>
          </cell>
          <cell r="E58">
            <v>3660</v>
          </cell>
          <cell r="F58">
            <v>1681</v>
          </cell>
        </row>
        <row r="59">
          <cell r="A59">
            <v>58</v>
          </cell>
          <cell r="B59">
            <v>23800</v>
          </cell>
          <cell r="C59">
            <v>11900</v>
          </cell>
          <cell r="D59">
            <v>12400</v>
          </cell>
          <cell r="E59">
            <v>3720</v>
          </cell>
          <cell r="F59">
            <v>1711</v>
          </cell>
        </row>
        <row r="60">
          <cell r="A60">
            <v>59</v>
          </cell>
          <cell r="B60">
            <v>24200</v>
          </cell>
          <cell r="C60">
            <v>12100</v>
          </cell>
          <cell r="D60">
            <v>12600</v>
          </cell>
          <cell r="E60">
            <v>3780</v>
          </cell>
          <cell r="F60">
            <v>1741</v>
          </cell>
        </row>
        <row r="61">
          <cell r="A61">
            <v>60</v>
          </cell>
          <cell r="B61">
            <v>24600</v>
          </cell>
          <cell r="C61">
            <v>12300</v>
          </cell>
          <cell r="D61">
            <v>12800</v>
          </cell>
          <cell r="E61">
            <v>3840</v>
          </cell>
          <cell r="F61">
            <v>1771</v>
          </cell>
        </row>
        <row r="62">
          <cell r="A62">
            <v>61</v>
          </cell>
          <cell r="B62">
            <v>25000</v>
          </cell>
          <cell r="C62">
            <v>12500</v>
          </cell>
          <cell r="D62">
            <v>13000</v>
          </cell>
          <cell r="E62">
            <v>3900</v>
          </cell>
          <cell r="F62">
            <v>1801</v>
          </cell>
        </row>
        <row r="63">
          <cell r="A63">
            <v>62</v>
          </cell>
          <cell r="B63">
            <v>25400</v>
          </cell>
          <cell r="C63">
            <v>12700</v>
          </cell>
          <cell r="D63">
            <v>13200</v>
          </cell>
          <cell r="E63">
            <v>3960</v>
          </cell>
          <cell r="F63">
            <v>1831</v>
          </cell>
        </row>
        <row r="64">
          <cell r="A64">
            <v>63</v>
          </cell>
          <cell r="B64">
            <v>25800</v>
          </cell>
          <cell r="C64">
            <v>12900</v>
          </cell>
          <cell r="D64">
            <v>13400</v>
          </cell>
          <cell r="E64">
            <v>4020</v>
          </cell>
          <cell r="F64">
            <v>1861</v>
          </cell>
        </row>
        <row r="65">
          <cell r="A65">
            <v>64</v>
          </cell>
          <cell r="B65">
            <v>26200</v>
          </cell>
          <cell r="C65">
            <v>13100</v>
          </cell>
          <cell r="D65">
            <v>13600</v>
          </cell>
          <cell r="E65">
            <v>4080</v>
          </cell>
          <cell r="F65">
            <v>1891</v>
          </cell>
        </row>
        <row r="66">
          <cell r="A66">
            <v>65</v>
          </cell>
          <cell r="B66">
            <v>26600</v>
          </cell>
          <cell r="C66">
            <v>13300</v>
          </cell>
          <cell r="D66">
            <v>13800</v>
          </cell>
          <cell r="E66">
            <v>4140</v>
          </cell>
          <cell r="F66">
            <v>1921</v>
          </cell>
        </row>
        <row r="67">
          <cell r="A67">
            <v>66</v>
          </cell>
          <cell r="B67">
            <v>27000</v>
          </cell>
          <cell r="C67">
            <v>13500</v>
          </cell>
          <cell r="D67">
            <v>14000</v>
          </cell>
          <cell r="E67">
            <v>4200</v>
          </cell>
          <cell r="F67">
            <v>1951</v>
          </cell>
        </row>
        <row r="68">
          <cell r="A68">
            <v>67</v>
          </cell>
          <cell r="B68">
            <v>27400</v>
          </cell>
          <cell r="C68">
            <v>13700</v>
          </cell>
          <cell r="D68">
            <v>14200</v>
          </cell>
          <cell r="E68">
            <v>4260</v>
          </cell>
          <cell r="F68">
            <v>1981</v>
          </cell>
        </row>
        <row r="69">
          <cell r="A69">
            <v>68</v>
          </cell>
          <cell r="B69">
            <v>27800</v>
          </cell>
          <cell r="C69">
            <v>13900</v>
          </cell>
          <cell r="D69">
            <v>14400</v>
          </cell>
          <cell r="E69">
            <v>4320</v>
          </cell>
          <cell r="F69">
            <v>2011</v>
          </cell>
        </row>
        <row r="70">
          <cell r="A70">
            <v>69</v>
          </cell>
          <cell r="B70">
            <v>28200</v>
          </cell>
          <cell r="C70">
            <v>14100</v>
          </cell>
          <cell r="D70">
            <v>14600</v>
          </cell>
          <cell r="E70">
            <v>4380</v>
          </cell>
          <cell r="F70">
            <v>2041</v>
          </cell>
        </row>
        <row r="71">
          <cell r="A71">
            <v>70</v>
          </cell>
          <cell r="B71">
            <v>28600</v>
          </cell>
          <cell r="C71">
            <v>14300</v>
          </cell>
          <cell r="D71">
            <v>14800</v>
          </cell>
          <cell r="E71">
            <v>4440</v>
          </cell>
          <cell r="F71">
            <v>2071</v>
          </cell>
        </row>
        <row r="72">
          <cell r="A72">
            <v>71</v>
          </cell>
          <cell r="B72">
            <v>29000</v>
          </cell>
          <cell r="C72">
            <v>14500</v>
          </cell>
          <cell r="D72">
            <v>15000</v>
          </cell>
          <cell r="E72">
            <v>4500</v>
          </cell>
          <cell r="F72">
            <v>2101</v>
          </cell>
        </row>
        <row r="73">
          <cell r="A73">
            <v>72</v>
          </cell>
          <cell r="B73">
            <v>29400</v>
          </cell>
          <cell r="C73">
            <v>14700</v>
          </cell>
          <cell r="D73">
            <v>15200</v>
          </cell>
          <cell r="E73">
            <v>4560</v>
          </cell>
          <cell r="F73">
            <v>2131</v>
          </cell>
        </row>
        <row r="74">
          <cell r="A74">
            <v>73</v>
          </cell>
          <cell r="B74">
            <v>29800</v>
          </cell>
          <cell r="C74">
            <v>14900</v>
          </cell>
          <cell r="D74">
            <v>15400</v>
          </cell>
          <cell r="E74">
            <v>4620</v>
          </cell>
          <cell r="F74">
            <v>2161</v>
          </cell>
        </row>
        <row r="75">
          <cell r="A75">
            <v>74</v>
          </cell>
          <cell r="B75">
            <v>30200</v>
          </cell>
          <cell r="C75">
            <v>15100</v>
          </cell>
          <cell r="D75">
            <v>15600</v>
          </cell>
          <cell r="E75">
            <v>4680</v>
          </cell>
          <cell r="F75">
            <v>2191</v>
          </cell>
        </row>
        <row r="76">
          <cell r="A76">
            <v>75</v>
          </cell>
          <cell r="B76">
            <v>30600</v>
          </cell>
          <cell r="C76">
            <v>15300</v>
          </cell>
          <cell r="D76">
            <v>15800</v>
          </cell>
          <cell r="E76">
            <v>4740</v>
          </cell>
          <cell r="F76">
            <v>2221</v>
          </cell>
        </row>
        <row r="77">
          <cell r="A77">
            <v>76</v>
          </cell>
          <cell r="B77">
            <v>31000</v>
          </cell>
          <cell r="C77">
            <v>15500</v>
          </cell>
          <cell r="D77">
            <v>16000</v>
          </cell>
          <cell r="E77">
            <v>4800</v>
          </cell>
          <cell r="F77">
            <v>2251</v>
          </cell>
        </row>
        <row r="78">
          <cell r="A78">
            <v>77</v>
          </cell>
          <cell r="B78">
            <v>31400</v>
          </cell>
          <cell r="C78">
            <v>15700</v>
          </cell>
          <cell r="D78">
            <v>16200</v>
          </cell>
          <cell r="E78">
            <v>4860</v>
          </cell>
          <cell r="F78">
            <v>2281</v>
          </cell>
        </row>
        <row r="79">
          <cell r="A79">
            <v>78</v>
          </cell>
          <cell r="B79">
            <v>31800</v>
          </cell>
          <cell r="C79">
            <v>15900</v>
          </cell>
          <cell r="D79">
            <v>16400</v>
          </cell>
          <cell r="E79">
            <v>4920</v>
          </cell>
          <cell r="F79">
            <v>2311</v>
          </cell>
        </row>
        <row r="80">
          <cell r="A80">
            <v>79</v>
          </cell>
          <cell r="B80">
            <v>32200</v>
          </cell>
          <cell r="C80">
            <v>16100</v>
          </cell>
          <cell r="D80">
            <v>16600</v>
          </cell>
          <cell r="E80">
            <v>4980</v>
          </cell>
          <cell r="F80">
            <v>2341</v>
          </cell>
        </row>
        <row r="81">
          <cell r="A81">
            <v>80</v>
          </cell>
          <cell r="B81">
            <v>32600</v>
          </cell>
          <cell r="C81">
            <v>16300</v>
          </cell>
          <cell r="D81">
            <v>16800</v>
          </cell>
          <cell r="E81">
            <v>5040</v>
          </cell>
          <cell r="F81">
            <v>2371</v>
          </cell>
        </row>
        <row r="82">
          <cell r="A82">
            <v>81</v>
          </cell>
          <cell r="B82">
            <v>33000</v>
          </cell>
          <cell r="C82">
            <v>16500</v>
          </cell>
          <cell r="D82">
            <v>17000</v>
          </cell>
          <cell r="E82">
            <v>5100</v>
          </cell>
          <cell r="F82">
            <v>2401</v>
          </cell>
        </row>
        <row r="83">
          <cell r="A83">
            <v>82</v>
          </cell>
          <cell r="B83">
            <v>33400</v>
          </cell>
          <cell r="C83">
            <v>16700</v>
          </cell>
          <cell r="D83">
            <v>17200</v>
          </cell>
          <cell r="E83">
            <v>5160</v>
          </cell>
          <cell r="F83">
            <v>2431</v>
          </cell>
        </row>
        <row r="84">
          <cell r="A84">
            <v>83</v>
          </cell>
          <cell r="B84">
            <v>33800</v>
          </cell>
          <cell r="C84">
            <v>16900</v>
          </cell>
          <cell r="D84">
            <v>17400</v>
          </cell>
          <cell r="E84">
            <v>5220</v>
          </cell>
          <cell r="F84">
            <v>2461</v>
          </cell>
        </row>
        <row r="85">
          <cell r="A85">
            <v>84</v>
          </cell>
          <cell r="B85">
            <v>34200</v>
          </cell>
          <cell r="C85">
            <v>17100</v>
          </cell>
          <cell r="D85">
            <v>17600</v>
          </cell>
          <cell r="E85">
            <v>5280</v>
          </cell>
          <cell r="F85">
            <v>2491</v>
          </cell>
        </row>
        <row r="86">
          <cell r="A86">
            <v>85</v>
          </cell>
          <cell r="B86">
            <v>34600</v>
          </cell>
          <cell r="C86">
            <v>17300</v>
          </cell>
          <cell r="D86">
            <v>17800</v>
          </cell>
          <cell r="E86">
            <v>5340</v>
          </cell>
          <cell r="F86">
            <v>2521</v>
          </cell>
        </row>
        <row r="87">
          <cell r="A87">
            <v>86</v>
          </cell>
          <cell r="B87">
            <v>35000</v>
          </cell>
          <cell r="C87">
            <v>17500</v>
          </cell>
          <cell r="D87">
            <v>18000</v>
          </cell>
          <cell r="E87">
            <v>5400</v>
          </cell>
          <cell r="F87">
            <v>2551</v>
          </cell>
        </row>
        <row r="88">
          <cell r="A88">
            <v>87</v>
          </cell>
          <cell r="B88">
            <v>35400</v>
          </cell>
          <cell r="C88">
            <v>17700</v>
          </cell>
          <cell r="D88">
            <v>18200</v>
          </cell>
          <cell r="E88">
            <v>5460</v>
          </cell>
          <cell r="F88">
            <v>2581</v>
          </cell>
        </row>
        <row r="89">
          <cell r="A89">
            <v>88</v>
          </cell>
          <cell r="B89">
            <v>35800</v>
          </cell>
          <cell r="C89">
            <v>17900</v>
          </cell>
          <cell r="D89">
            <v>18400</v>
          </cell>
          <cell r="E89">
            <v>5520</v>
          </cell>
          <cell r="F89">
            <v>2611</v>
          </cell>
        </row>
        <row r="90">
          <cell r="A90">
            <v>89</v>
          </cell>
          <cell r="B90">
            <v>36200</v>
          </cell>
          <cell r="C90">
            <v>18100</v>
          </cell>
          <cell r="D90">
            <v>18600</v>
          </cell>
          <cell r="E90">
            <v>5580</v>
          </cell>
          <cell r="F90">
            <v>2641</v>
          </cell>
        </row>
        <row r="91">
          <cell r="A91">
            <v>90</v>
          </cell>
          <cell r="B91">
            <v>36600</v>
          </cell>
          <cell r="C91">
            <v>18300</v>
          </cell>
          <cell r="D91">
            <v>18800</v>
          </cell>
          <cell r="E91">
            <v>5640</v>
          </cell>
          <cell r="F91">
            <v>2671</v>
          </cell>
        </row>
        <row r="92">
          <cell r="A92">
            <v>91</v>
          </cell>
          <cell r="B92">
            <v>37000</v>
          </cell>
          <cell r="C92">
            <v>18500</v>
          </cell>
          <cell r="D92">
            <v>19000</v>
          </cell>
          <cell r="E92">
            <v>5700</v>
          </cell>
          <cell r="F92">
            <v>2701</v>
          </cell>
        </row>
        <row r="93">
          <cell r="A93">
            <v>92</v>
          </cell>
          <cell r="B93">
            <v>37400</v>
          </cell>
          <cell r="C93">
            <v>18700</v>
          </cell>
          <cell r="D93">
            <v>19200</v>
          </cell>
          <cell r="E93">
            <v>5760</v>
          </cell>
          <cell r="F93">
            <v>2731</v>
          </cell>
        </row>
        <row r="94">
          <cell r="A94">
            <v>93</v>
          </cell>
          <cell r="B94">
            <v>37800</v>
          </cell>
          <cell r="C94">
            <v>18900</v>
          </cell>
          <cell r="D94">
            <v>19400</v>
          </cell>
          <cell r="E94">
            <v>5820</v>
          </cell>
          <cell r="F94">
            <v>2761</v>
          </cell>
        </row>
        <row r="95">
          <cell r="A95">
            <v>94</v>
          </cell>
          <cell r="B95">
            <v>38200</v>
          </cell>
          <cell r="C95">
            <v>19100</v>
          </cell>
          <cell r="D95">
            <v>19600</v>
          </cell>
          <cell r="E95">
            <v>5880</v>
          </cell>
          <cell r="F95">
            <v>2791</v>
          </cell>
        </row>
        <row r="96">
          <cell r="A96">
            <v>95</v>
          </cell>
          <cell r="B96">
            <v>38600</v>
          </cell>
          <cell r="C96">
            <v>19300</v>
          </cell>
          <cell r="D96">
            <v>19800</v>
          </cell>
          <cell r="E96">
            <v>5940</v>
          </cell>
          <cell r="F96">
            <v>2821</v>
          </cell>
        </row>
        <row r="97">
          <cell r="A97">
            <v>96</v>
          </cell>
          <cell r="B97">
            <v>39000</v>
          </cell>
          <cell r="C97">
            <v>19500</v>
          </cell>
          <cell r="D97">
            <v>20000</v>
          </cell>
          <cell r="E97">
            <v>6000</v>
          </cell>
          <cell r="F97">
            <v>2851</v>
          </cell>
        </row>
        <row r="98">
          <cell r="A98">
            <v>97</v>
          </cell>
          <cell r="B98">
            <v>39400</v>
          </cell>
          <cell r="C98">
            <v>19700</v>
          </cell>
          <cell r="D98">
            <v>20200</v>
          </cell>
          <cell r="E98">
            <v>6060</v>
          </cell>
          <cell r="F98">
            <v>2881</v>
          </cell>
        </row>
        <row r="99">
          <cell r="A99">
            <v>98</v>
          </cell>
          <cell r="B99">
            <v>39800</v>
          </cell>
          <cell r="C99">
            <v>19900</v>
          </cell>
          <cell r="D99">
            <v>20400</v>
          </cell>
          <cell r="E99">
            <v>6120</v>
          </cell>
          <cell r="F99">
            <v>2911</v>
          </cell>
        </row>
        <row r="100">
          <cell r="A100">
            <v>99</v>
          </cell>
          <cell r="B100">
            <v>40200</v>
          </cell>
          <cell r="C100">
            <v>20100</v>
          </cell>
          <cell r="D100">
            <v>20600</v>
          </cell>
          <cell r="E100">
            <v>6180</v>
          </cell>
          <cell r="F100">
            <v>2941</v>
          </cell>
        </row>
        <row r="101">
          <cell r="A101">
            <v>100</v>
          </cell>
          <cell r="B101">
            <v>40600</v>
          </cell>
          <cell r="C101">
            <v>20300</v>
          </cell>
          <cell r="D101">
            <v>20800</v>
          </cell>
          <cell r="E101">
            <v>6240</v>
          </cell>
          <cell r="F101">
            <v>2971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</row>
      </sheetData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1414</v>
          </cell>
        </row>
        <row r="1373">
          <cell r="A1373">
            <v>1415</v>
          </cell>
        </row>
        <row r="1374">
          <cell r="A1374">
            <v>1416</v>
          </cell>
        </row>
        <row r="1375">
          <cell r="A1375">
            <v>1417</v>
          </cell>
        </row>
        <row r="1376">
          <cell r="A1376">
            <v>1427</v>
          </cell>
        </row>
        <row r="1377">
          <cell r="A1377">
            <v>5001</v>
          </cell>
        </row>
        <row r="1378">
          <cell r="A1378">
            <v>5002</v>
          </cell>
        </row>
        <row r="1379">
          <cell r="A1379">
            <v>5003</v>
          </cell>
        </row>
        <row r="1380">
          <cell r="A1380">
            <v>5004</v>
          </cell>
        </row>
        <row r="1381">
          <cell r="A1381">
            <v>6001</v>
          </cell>
        </row>
        <row r="1382">
          <cell r="A1382">
            <v>6002</v>
          </cell>
        </row>
        <row r="1383">
          <cell r="A1383">
            <v>6003</v>
          </cell>
        </row>
        <row r="1384">
          <cell r="A1384">
            <v>6004</v>
          </cell>
        </row>
        <row r="1385">
          <cell r="A1385">
            <v>6005</v>
          </cell>
        </row>
        <row r="1386">
          <cell r="A1386">
            <v>6006</v>
          </cell>
        </row>
        <row r="1387">
          <cell r="A1387">
            <v>6007</v>
          </cell>
        </row>
        <row r="1388">
          <cell r="A1388">
            <v>6008</v>
          </cell>
        </row>
        <row r="1389">
          <cell r="A1389">
            <v>6009</v>
          </cell>
        </row>
        <row r="1390">
          <cell r="A1390">
            <v>6010</v>
          </cell>
        </row>
        <row r="1391">
          <cell r="A1391">
            <v>6011</v>
          </cell>
        </row>
        <row r="1392">
          <cell r="A1392">
            <v>6012</v>
          </cell>
        </row>
        <row r="1393">
          <cell r="A1393">
            <v>6013</v>
          </cell>
        </row>
        <row r="1394">
          <cell r="A1394">
            <v>6014</v>
          </cell>
        </row>
        <row r="1395">
          <cell r="A1395">
            <v>6015</v>
          </cell>
        </row>
        <row r="1396">
          <cell r="A1396">
            <v>6016</v>
          </cell>
        </row>
        <row r="1397">
          <cell r="A1397">
            <v>6017</v>
          </cell>
        </row>
        <row r="1398">
          <cell r="A1398">
            <v>6018</v>
          </cell>
        </row>
        <row r="1399">
          <cell r="A1399">
            <v>6019</v>
          </cell>
        </row>
        <row r="1400">
          <cell r="A1400">
            <v>6020</v>
          </cell>
        </row>
        <row r="1401">
          <cell r="A1401">
            <v>8001</v>
          </cell>
        </row>
        <row r="1402">
          <cell r="A1402">
            <v>8002</v>
          </cell>
        </row>
        <row r="1403">
          <cell r="A1403">
            <v>8003</v>
          </cell>
        </row>
        <row r="1404">
          <cell r="A1404">
            <v>8004</v>
          </cell>
        </row>
        <row r="1405">
          <cell r="A1405">
            <v>8005</v>
          </cell>
        </row>
        <row r="1406">
          <cell r="A1406">
            <v>8006</v>
          </cell>
        </row>
        <row r="1407">
          <cell r="A1407">
            <v>8007</v>
          </cell>
        </row>
        <row r="1408">
          <cell r="A1408">
            <v>8008</v>
          </cell>
        </row>
        <row r="1409">
          <cell r="A1409">
            <v>8009</v>
          </cell>
        </row>
        <row r="1410">
          <cell r="A1410">
            <v>8010</v>
          </cell>
        </row>
        <row r="1411">
          <cell r="A1411">
            <v>8011</v>
          </cell>
        </row>
        <row r="1412">
          <cell r="A1412">
            <v>8012</v>
          </cell>
        </row>
        <row r="1413">
          <cell r="A1413">
            <v>8013</v>
          </cell>
        </row>
        <row r="1414">
          <cell r="A1414">
            <v>8014</v>
          </cell>
        </row>
        <row r="1415">
          <cell r="A1415">
            <v>8015</v>
          </cell>
        </row>
        <row r="1416">
          <cell r="A1416">
            <v>8016</v>
          </cell>
        </row>
        <row r="1417">
          <cell r="A1417">
            <v>8017</v>
          </cell>
        </row>
        <row r="1418">
          <cell r="A1418">
            <v>8018</v>
          </cell>
        </row>
        <row r="1419">
          <cell r="A1419">
            <v>8019</v>
          </cell>
        </row>
        <row r="1420">
          <cell r="A1420">
            <v>8020</v>
          </cell>
        </row>
        <row r="1421">
          <cell r="A1421">
            <v>8021</v>
          </cell>
        </row>
        <row r="1422">
          <cell r="A1422">
            <v>8022</v>
          </cell>
        </row>
        <row r="1423">
          <cell r="A1423">
            <v>8023</v>
          </cell>
        </row>
        <row r="1424">
          <cell r="A1424">
            <v>8024</v>
          </cell>
        </row>
        <row r="1425">
          <cell r="A1425">
            <v>8025</v>
          </cell>
        </row>
        <row r="1426">
          <cell r="A1426">
            <v>8026</v>
          </cell>
        </row>
        <row r="1427">
          <cell r="A1427">
            <v>8027</v>
          </cell>
        </row>
        <row r="1428">
          <cell r="A1428">
            <v>8028</v>
          </cell>
        </row>
        <row r="1429">
          <cell r="A1429">
            <v>8029</v>
          </cell>
        </row>
        <row r="1430">
          <cell r="A1430">
            <v>8030</v>
          </cell>
        </row>
        <row r="1431">
          <cell r="A1431">
            <v>8031</v>
          </cell>
        </row>
        <row r="1432">
          <cell r="A1432">
            <v>8032</v>
          </cell>
        </row>
        <row r="1433">
          <cell r="A1433">
            <v>8033</v>
          </cell>
        </row>
        <row r="1434">
          <cell r="A1434">
            <v>8034</v>
          </cell>
        </row>
        <row r="1435">
          <cell r="A1435">
            <v>8035</v>
          </cell>
        </row>
        <row r="1436">
          <cell r="A1436">
            <v>8036</v>
          </cell>
        </row>
        <row r="1437">
          <cell r="A1437">
            <v>8037</v>
          </cell>
        </row>
        <row r="1438">
          <cell r="A1438">
            <v>8038</v>
          </cell>
        </row>
        <row r="1439">
          <cell r="A1439">
            <v>8039</v>
          </cell>
        </row>
        <row r="1440">
          <cell r="A1440">
            <v>8040</v>
          </cell>
        </row>
        <row r="1441">
          <cell r="A1441">
            <v>8041</v>
          </cell>
        </row>
        <row r="1442">
          <cell r="A1442">
            <v>8042</v>
          </cell>
        </row>
        <row r="1443">
          <cell r="A1443">
            <v>8043</v>
          </cell>
        </row>
        <row r="1444">
          <cell r="A1444">
            <v>8044</v>
          </cell>
        </row>
        <row r="1445">
          <cell r="A1445">
            <v>8045</v>
          </cell>
        </row>
        <row r="1446">
          <cell r="A1446">
            <v>8046</v>
          </cell>
        </row>
        <row r="1447">
          <cell r="A1447">
            <v>8047</v>
          </cell>
        </row>
        <row r="1448">
          <cell r="A1448">
            <v>8048</v>
          </cell>
        </row>
        <row r="1449">
          <cell r="A1449">
            <v>8049</v>
          </cell>
        </row>
        <row r="1450">
          <cell r="A1450">
            <v>8050</v>
          </cell>
        </row>
        <row r="1451">
          <cell r="A1451">
            <v>8051</v>
          </cell>
        </row>
        <row r="1452">
          <cell r="A1452">
            <v>8052</v>
          </cell>
        </row>
        <row r="1453">
          <cell r="A1453">
            <v>8053</v>
          </cell>
        </row>
        <row r="1454">
          <cell r="A1454">
            <v>8054</v>
          </cell>
        </row>
        <row r="1455">
          <cell r="A1455">
            <v>8055</v>
          </cell>
        </row>
        <row r="1456">
          <cell r="A1456">
            <v>8056</v>
          </cell>
        </row>
        <row r="1457">
          <cell r="A1457">
            <v>8057</v>
          </cell>
        </row>
        <row r="1458">
          <cell r="A1458">
            <v>8058</v>
          </cell>
        </row>
        <row r="1459">
          <cell r="A1459">
            <v>8059</v>
          </cell>
        </row>
        <row r="1460">
          <cell r="A1460">
            <v>8060</v>
          </cell>
        </row>
        <row r="1461">
          <cell r="A1461">
            <v>8061</v>
          </cell>
        </row>
        <row r="1462">
          <cell r="A1462">
            <v>8062</v>
          </cell>
        </row>
        <row r="1463">
          <cell r="A1463">
            <v>8063</v>
          </cell>
        </row>
        <row r="1464">
          <cell r="A1464">
            <v>8064</v>
          </cell>
        </row>
        <row r="1465">
          <cell r="A1465">
            <v>8065</v>
          </cell>
        </row>
        <row r="1466">
          <cell r="A1466">
            <v>8066</v>
          </cell>
        </row>
        <row r="1467">
          <cell r="A1467">
            <v>8067</v>
          </cell>
        </row>
        <row r="1468">
          <cell r="A1468">
            <v>8068</v>
          </cell>
        </row>
        <row r="1469">
          <cell r="A1469">
            <v>8069</v>
          </cell>
        </row>
        <row r="1470">
          <cell r="A1470">
            <v>8070</v>
          </cell>
        </row>
        <row r="1471">
          <cell r="A1471">
            <v>8071</v>
          </cell>
        </row>
        <row r="1472">
          <cell r="A1472">
            <v>8072</v>
          </cell>
        </row>
        <row r="1473">
          <cell r="A1473">
            <v>8073</v>
          </cell>
        </row>
        <row r="1474">
          <cell r="A1474">
            <v>8074</v>
          </cell>
        </row>
        <row r="1475">
          <cell r="A1475">
            <v>8075</v>
          </cell>
        </row>
        <row r="1476">
          <cell r="A1476">
            <v>8076</v>
          </cell>
        </row>
        <row r="1477">
          <cell r="A1477">
            <v>8077</v>
          </cell>
        </row>
        <row r="1478">
          <cell r="A1478">
            <v>8078</v>
          </cell>
        </row>
        <row r="1479">
          <cell r="A1479">
            <v>8079</v>
          </cell>
        </row>
        <row r="1480">
          <cell r="A1480">
            <v>8080</v>
          </cell>
        </row>
        <row r="1481">
          <cell r="A1481">
            <v>8095</v>
          </cell>
        </row>
        <row r="1482">
          <cell r="A1482">
            <v>8096</v>
          </cell>
        </row>
        <row r="1483">
          <cell r="A1483">
            <v>8097</v>
          </cell>
        </row>
        <row r="1484">
          <cell r="A1484">
            <v>8098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50</v>
          </cell>
        </row>
        <row r="28">
          <cell r="B28">
            <v>51</v>
          </cell>
        </row>
        <row r="29">
          <cell r="B29">
            <v>53</v>
          </cell>
        </row>
        <row r="30">
          <cell r="B30">
            <v>5401</v>
          </cell>
        </row>
        <row r="31">
          <cell r="B31">
            <v>55</v>
          </cell>
        </row>
        <row r="32">
          <cell r="B32">
            <v>56</v>
          </cell>
        </row>
        <row r="33">
          <cell r="B33">
            <v>57</v>
          </cell>
        </row>
        <row r="34">
          <cell r="B34">
            <v>59</v>
          </cell>
        </row>
        <row r="35">
          <cell r="B35">
            <v>6001</v>
          </cell>
        </row>
        <row r="36">
          <cell r="B36">
            <v>61</v>
          </cell>
        </row>
        <row r="37">
          <cell r="B37">
            <v>62</v>
          </cell>
        </row>
        <row r="38">
          <cell r="B38">
            <v>6201</v>
          </cell>
        </row>
        <row r="39">
          <cell r="B39">
            <v>63</v>
          </cell>
        </row>
        <row r="40">
          <cell r="B40">
            <v>64</v>
          </cell>
        </row>
        <row r="41">
          <cell r="B41">
            <v>65</v>
          </cell>
        </row>
        <row r="42">
          <cell r="B42">
            <v>66</v>
          </cell>
        </row>
        <row r="43">
          <cell r="B43">
            <v>67</v>
          </cell>
        </row>
        <row r="44">
          <cell r="B44">
            <v>68</v>
          </cell>
        </row>
        <row r="45">
          <cell r="B45">
            <v>69</v>
          </cell>
        </row>
        <row r="46">
          <cell r="B46">
            <v>71</v>
          </cell>
        </row>
        <row r="47">
          <cell r="B47">
            <v>1071</v>
          </cell>
        </row>
        <row r="48">
          <cell r="B48">
            <v>72</v>
          </cell>
        </row>
        <row r="49">
          <cell r="B49">
            <v>74</v>
          </cell>
        </row>
        <row r="50">
          <cell r="B50">
            <v>75</v>
          </cell>
        </row>
        <row r="51">
          <cell r="B51">
            <v>76</v>
          </cell>
        </row>
        <row r="52">
          <cell r="B52">
            <v>77</v>
          </cell>
        </row>
        <row r="53">
          <cell r="B53">
            <v>79</v>
          </cell>
        </row>
        <row r="54">
          <cell r="B54">
            <v>81</v>
          </cell>
        </row>
        <row r="55">
          <cell r="B55">
            <v>83</v>
          </cell>
        </row>
        <row r="56">
          <cell r="B56">
            <v>85</v>
          </cell>
        </row>
        <row r="57">
          <cell r="B57">
            <v>86</v>
          </cell>
        </row>
        <row r="58">
          <cell r="B58">
            <v>8601</v>
          </cell>
        </row>
        <row r="59">
          <cell r="B59">
            <v>8602</v>
          </cell>
        </row>
        <row r="60">
          <cell r="B60">
            <v>88</v>
          </cell>
        </row>
        <row r="61">
          <cell r="B61">
            <v>89</v>
          </cell>
        </row>
        <row r="62">
          <cell r="B62">
            <v>8901</v>
          </cell>
        </row>
        <row r="63">
          <cell r="B63">
            <v>8902</v>
          </cell>
        </row>
        <row r="64">
          <cell r="B64">
            <v>8902</v>
          </cell>
        </row>
        <row r="65">
          <cell r="B65">
            <v>9501</v>
          </cell>
        </row>
        <row r="66">
          <cell r="B66">
            <v>11701</v>
          </cell>
        </row>
        <row r="67">
          <cell r="B67">
            <v>11701</v>
          </cell>
        </row>
        <row r="68">
          <cell r="B68">
            <v>11702</v>
          </cell>
        </row>
        <row r="69">
          <cell r="B69">
            <v>11703</v>
          </cell>
        </row>
        <row r="70">
          <cell r="B70">
            <v>11704</v>
          </cell>
        </row>
        <row r="71">
          <cell r="B71">
            <v>11801</v>
          </cell>
        </row>
        <row r="72">
          <cell r="B72">
            <v>11802</v>
          </cell>
        </row>
        <row r="73">
          <cell r="B73">
            <v>11803</v>
          </cell>
        </row>
        <row r="74">
          <cell r="B74">
            <v>11901</v>
          </cell>
        </row>
        <row r="75">
          <cell r="B75">
            <v>11902</v>
          </cell>
        </row>
        <row r="76">
          <cell r="B76">
            <v>11903</v>
          </cell>
        </row>
        <row r="77">
          <cell r="B77">
            <v>126</v>
          </cell>
        </row>
        <row r="78">
          <cell r="B78">
            <v>12701</v>
          </cell>
        </row>
        <row r="79">
          <cell r="B79">
            <v>128</v>
          </cell>
        </row>
        <row r="80">
          <cell r="B80">
            <v>12801</v>
          </cell>
        </row>
        <row r="81">
          <cell r="B81">
            <v>130</v>
          </cell>
        </row>
        <row r="82">
          <cell r="B82">
            <v>13001</v>
          </cell>
        </row>
        <row r="83">
          <cell r="B83">
            <v>13001</v>
          </cell>
        </row>
        <row r="84">
          <cell r="B84">
            <v>13002</v>
          </cell>
        </row>
        <row r="85">
          <cell r="B85">
            <v>13002</v>
          </cell>
        </row>
        <row r="86">
          <cell r="B86">
            <v>13002</v>
          </cell>
        </row>
        <row r="87">
          <cell r="B87">
            <v>13101</v>
          </cell>
        </row>
        <row r="88">
          <cell r="B88">
            <v>13101</v>
          </cell>
        </row>
        <row r="89">
          <cell r="B89">
            <v>13101</v>
          </cell>
        </row>
        <row r="90">
          <cell r="B90">
            <v>132</v>
          </cell>
        </row>
        <row r="91">
          <cell r="B91">
            <v>13301</v>
          </cell>
        </row>
        <row r="92">
          <cell r="B92">
            <v>13301</v>
          </cell>
        </row>
        <row r="93">
          <cell r="B93">
            <v>13301</v>
          </cell>
        </row>
        <row r="94">
          <cell r="B94">
            <v>13301</v>
          </cell>
        </row>
        <row r="95">
          <cell r="B95">
            <v>134</v>
          </cell>
        </row>
        <row r="96">
          <cell r="B96">
            <v>136</v>
          </cell>
        </row>
        <row r="97">
          <cell r="B97">
            <v>139</v>
          </cell>
        </row>
        <row r="98">
          <cell r="B98">
            <v>140</v>
          </cell>
        </row>
        <row r="99">
          <cell r="B99">
            <v>14001</v>
          </cell>
        </row>
        <row r="100">
          <cell r="B100">
            <v>141</v>
          </cell>
        </row>
        <row r="101">
          <cell r="B101">
            <v>10141</v>
          </cell>
        </row>
        <row r="102">
          <cell r="B102">
            <v>14201</v>
          </cell>
        </row>
        <row r="103">
          <cell r="B103">
            <v>14301</v>
          </cell>
        </row>
        <row r="104">
          <cell r="B104">
            <v>14301</v>
          </cell>
        </row>
        <row r="105">
          <cell r="B105">
            <v>14301</v>
          </cell>
        </row>
        <row r="106">
          <cell r="B106">
            <v>146</v>
          </cell>
        </row>
        <row r="107">
          <cell r="B107">
            <v>14601</v>
          </cell>
        </row>
        <row r="108">
          <cell r="B108">
            <v>14601</v>
          </cell>
        </row>
        <row r="109">
          <cell r="B109">
            <v>14601</v>
          </cell>
        </row>
        <row r="110">
          <cell r="B110">
            <v>148</v>
          </cell>
        </row>
        <row r="111">
          <cell r="B111">
            <v>148</v>
          </cell>
        </row>
        <row r="112">
          <cell r="B112">
            <v>149</v>
          </cell>
        </row>
        <row r="113">
          <cell r="B113">
            <v>149</v>
          </cell>
        </row>
        <row r="114">
          <cell r="B114">
            <v>151</v>
          </cell>
        </row>
        <row r="115">
          <cell r="B115">
            <v>151</v>
          </cell>
        </row>
        <row r="116">
          <cell r="B116">
            <v>152</v>
          </cell>
        </row>
        <row r="117">
          <cell r="B117">
            <v>152</v>
          </cell>
        </row>
        <row r="118">
          <cell r="B118">
            <v>153</v>
          </cell>
        </row>
        <row r="119">
          <cell r="B119">
            <v>153</v>
          </cell>
        </row>
        <row r="120">
          <cell r="B120">
            <v>153</v>
          </cell>
        </row>
        <row r="121">
          <cell r="B121">
            <v>154</v>
          </cell>
        </row>
        <row r="122">
          <cell r="B122">
            <v>15501</v>
          </cell>
        </row>
        <row r="123">
          <cell r="B123">
            <v>15501</v>
          </cell>
        </row>
        <row r="124">
          <cell r="B124">
            <v>15501</v>
          </cell>
        </row>
        <row r="125">
          <cell r="B125">
            <v>156</v>
          </cell>
        </row>
        <row r="126">
          <cell r="B126">
            <v>156</v>
          </cell>
        </row>
        <row r="127">
          <cell r="B127">
            <v>15601</v>
          </cell>
        </row>
        <row r="128">
          <cell r="B128">
            <v>157</v>
          </cell>
        </row>
        <row r="129">
          <cell r="B129">
            <v>160</v>
          </cell>
        </row>
        <row r="130">
          <cell r="B130">
            <v>16101</v>
          </cell>
        </row>
        <row r="131">
          <cell r="B131">
            <v>16101</v>
          </cell>
        </row>
        <row r="132">
          <cell r="B132">
            <v>16101</v>
          </cell>
        </row>
        <row r="133">
          <cell r="B133">
            <v>16101</v>
          </cell>
        </row>
        <row r="134">
          <cell r="B134">
            <v>16201</v>
          </cell>
        </row>
        <row r="135">
          <cell r="B135">
            <v>16301</v>
          </cell>
        </row>
        <row r="136">
          <cell r="B136">
            <v>16302</v>
          </cell>
        </row>
        <row r="137">
          <cell r="B137">
            <v>16302</v>
          </cell>
        </row>
        <row r="138">
          <cell r="B138">
            <v>164</v>
          </cell>
        </row>
        <row r="139">
          <cell r="B139">
            <v>164</v>
          </cell>
        </row>
        <row r="140">
          <cell r="B140">
            <v>16501</v>
          </cell>
        </row>
        <row r="141">
          <cell r="B141">
            <v>16502</v>
          </cell>
        </row>
        <row r="142">
          <cell r="B142">
            <v>169</v>
          </cell>
        </row>
        <row r="143">
          <cell r="B143">
            <v>172</v>
          </cell>
        </row>
        <row r="144">
          <cell r="B144">
            <v>17001</v>
          </cell>
        </row>
        <row r="145">
          <cell r="B145">
            <v>17001</v>
          </cell>
        </row>
        <row r="146">
          <cell r="B146">
            <v>17001</v>
          </cell>
        </row>
        <row r="147">
          <cell r="B147">
            <v>17001</v>
          </cell>
        </row>
        <row r="148">
          <cell r="B148">
            <v>17101</v>
          </cell>
        </row>
        <row r="149">
          <cell r="B149">
            <v>17102</v>
          </cell>
        </row>
        <row r="150">
          <cell r="B150">
            <v>17102</v>
          </cell>
        </row>
        <row r="151">
          <cell r="B151">
            <v>17102</v>
          </cell>
        </row>
        <row r="152">
          <cell r="B152">
            <v>17102</v>
          </cell>
        </row>
        <row r="153">
          <cell r="B153">
            <v>17601</v>
          </cell>
        </row>
        <row r="154">
          <cell r="B154">
            <v>17601</v>
          </cell>
        </row>
        <row r="155">
          <cell r="B155">
            <v>178</v>
          </cell>
        </row>
        <row r="156">
          <cell r="B156">
            <v>17801</v>
          </cell>
        </row>
        <row r="157">
          <cell r="B157">
            <v>182</v>
          </cell>
        </row>
        <row r="158">
          <cell r="B158">
            <v>18201</v>
          </cell>
        </row>
        <row r="159">
          <cell r="B159">
            <v>18201</v>
          </cell>
        </row>
        <row r="160">
          <cell r="B160">
            <v>184</v>
          </cell>
        </row>
        <row r="161">
          <cell r="B161">
            <v>185</v>
          </cell>
        </row>
        <row r="162">
          <cell r="B162">
            <v>18501</v>
          </cell>
        </row>
        <row r="163">
          <cell r="B163">
            <v>18501</v>
          </cell>
        </row>
        <row r="164">
          <cell r="B164">
            <v>18502</v>
          </cell>
        </row>
        <row r="165">
          <cell r="B165">
            <v>18502</v>
          </cell>
        </row>
        <row r="166">
          <cell r="B166">
            <v>18502</v>
          </cell>
        </row>
        <row r="167">
          <cell r="B167">
            <v>187</v>
          </cell>
        </row>
        <row r="168">
          <cell r="B168">
            <v>18701</v>
          </cell>
        </row>
        <row r="169">
          <cell r="B169">
            <v>18801</v>
          </cell>
        </row>
        <row r="170">
          <cell r="B170">
            <v>18801</v>
          </cell>
        </row>
        <row r="171">
          <cell r="B171">
            <v>18801</v>
          </cell>
        </row>
        <row r="172">
          <cell r="B172">
            <v>18801</v>
          </cell>
        </row>
        <row r="173">
          <cell r="B173">
            <v>18801</v>
          </cell>
        </row>
        <row r="174">
          <cell r="B174">
            <v>193</v>
          </cell>
        </row>
        <row r="175">
          <cell r="B175">
            <v>194</v>
          </cell>
        </row>
        <row r="176">
          <cell r="B176">
            <v>197</v>
          </cell>
        </row>
        <row r="177">
          <cell r="B177">
            <v>198</v>
          </cell>
        </row>
        <row r="178">
          <cell r="B178">
            <v>197</v>
          </cell>
        </row>
        <row r="179">
          <cell r="B179">
            <v>198</v>
          </cell>
        </row>
        <row r="180">
          <cell r="B180">
            <v>10197</v>
          </cell>
        </row>
        <row r="181">
          <cell r="B181">
            <v>199</v>
          </cell>
        </row>
        <row r="182">
          <cell r="B182">
            <v>200</v>
          </cell>
        </row>
        <row r="183">
          <cell r="B183">
            <v>20001</v>
          </cell>
        </row>
        <row r="184">
          <cell r="B184">
            <v>20001</v>
          </cell>
        </row>
        <row r="185">
          <cell r="B185">
            <v>202</v>
          </cell>
        </row>
        <row r="186">
          <cell r="B186">
            <v>20201</v>
          </cell>
        </row>
        <row r="187">
          <cell r="B187">
            <v>20201</v>
          </cell>
        </row>
        <row r="188">
          <cell r="B188">
            <v>203</v>
          </cell>
        </row>
        <row r="189">
          <cell r="B189">
            <v>20501</v>
          </cell>
        </row>
        <row r="190">
          <cell r="B190">
            <v>20501</v>
          </cell>
        </row>
        <row r="191">
          <cell r="B191">
            <v>206</v>
          </cell>
        </row>
        <row r="192">
          <cell r="B192">
            <v>20801</v>
          </cell>
        </row>
        <row r="193">
          <cell r="B193">
            <v>211</v>
          </cell>
        </row>
        <row r="194">
          <cell r="B194">
            <v>212</v>
          </cell>
        </row>
        <row r="195">
          <cell r="B195">
            <v>215</v>
          </cell>
        </row>
        <row r="196">
          <cell r="B196">
            <v>215</v>
          </cell>
        </row>
        <row r="197">
          <cell r="B197">
            <v>21701</v>
          </cell>
        </row>
        <row r="198">
          <cell r="B198">
            <v>21702</v>
          </cell>
        </row>
        <row r="199">
          <cell r="B199">
            <v>21801</v>
          </cell>
        </row>
        <row r="200">
          <cell r="B200">
            <v>219</v>
          </cell>
        </row>
        <row r="201">
          <cell r="B201">
            <v>22001</v>
          </cell>
        </row>
        <row r="202">
          <cell r="B202">
            <v>22001</v>
          </cell>
        </row>
        <row r="203">
          <cell r="B203">
            <v>22001</v>
          </cell>
        </row>
        <row r="204">
          <cell r="B204">
            <v>22001</v>
          </cell>
        </row>
        <row r="205">
          <cell r="B205">
            <v>22101</v>
          </cell>
        </row>
        <row r="206">
          <cell r="B206">
            <v>224</v>
          </cell>
        </row>
        <row r="207">
          <cell r="B207">
            <v>224</v>
          </cell>
        </row>
        <row r="208">
          <cell r="B208">
            <v>22601</v>
          </cell>
        </row>
        <row r="209">
          <cell r="B209">
            <v>22601</v>
          </cell>
        </row>
        <row r="210">
          <cell r="B210">
            <v>229</v>
          </cell>
        </row>
        <row r="211">
          <cell r="B211">
            <v>22901</v>
          </cell>
        </row>
        <row r="212">
          <cell r="B212">
            <v>230</v>
          </cell>
        </row>
        <row r="213">
          <cell r="B213">
            <v>231</v>
          </cell>
        </row>
        <row r="214">
          <cell r="B214">
            <v>232</v>
          </cell>
        </row>
        <row r="215">
          <cell r="B215">
            <v>233</v>
          </cell>
        </row>
        <row r="216">
          <cell r="B216">
            <v>23601</v>
          </cell>
        </row>
        <row r="217">
          <cell r="B217">
            <v>241</v>
          </cell>
        </row>
        <row r="218">
          <cell r="B218">
            <v>24201</v>
          </cell>
        </row>
        <row r="219">
          <cell r="B219">
            <v>24201</v>
          </cell>
        </row>
        <row r="220">
          <cell r="B220">
            <v>24202</v>
          </cell>
        </row>
        <row r="221">
          <cell r="B221">
            <v>24202</v>
          </cell>
        </row>
        <row r="222">
          <cell r="B222">
            <v>24701</v>
          </cell>
        </row>
        <row r="223">
          <cell r="B223">
            <v>24801</v>
          </cell>
        </row>
        <row r="224">
          <cell r="B224">
            <v>24802</v>
          </cell>
        </row>
        <row r="225">
          <cell r="B225">
            <v>25001</v>
          </cell>
        </row>
        <row r="226">
          <cell r="B226">
            <v>25201</v>
          </cell>
        </row>
        <row r="227">
          <cell r="B227">
            <v>25202</v>
          </cell>
        </row>
        <row r="228">
          <cell r="B228">
            <v>25203</v>
          </cell>
        </row>
        <row r="229">
          <cell r="B229">
            <v>254</v>
          </cell>
        </row>
        <row r="230">
          <cell r="B230">
            <v>254</v>
          </cell>
        </row>
        <row r="231">
          <cell r="B231">
            <v>256</v>
          </cell>
        </row>
        <row r="232">
          <cell r="B232">
            <v>257</v>
          </cell>
        </row>
        <row r="233">
          <cell r="B233">
            <v>317</v>
          </cell>
        </row>
        <row r="234">
          <cell r="B234">
            <v>317</v>
          </cell>
        </row>
        <row r="235">
          <cell r="B235">
            <v>317</v>
          </cell>
        </row>
        <row r="236">
          <cell r="B236">
            <v>317</v>
          </cell>
        </row>
        <row r="237">
          <cell r="B237">
            <v>317</v>
          </cell>
        </row>
        <row r="238">
          <cell r="B238">
            <v>317</v>
          </cell>
        </row>
        <row r="239">
          <cell r="B239">
            <v>317</v>
          </cell>
        </row>
        <row r="240">
          <cell r="B240">
            <v>319</v>
          </cell>
        </row>
        <row r="241">
          <cell r="B241">
            <v>319</v>
          </cell>
        </row>
        <row r="242">
          <cell r="B242">
            <v>319</v>
          </cell>
        </row>
        <row r="243">
          <cell r="B243">
            <v>319</v>
          </cell>
        </row>
        <row r="244">
          <cell r="B244">
            <v>319</v>
          </cell>
        </row>
        <row r="245">
          <cell r="B245">
            <v>319</v>
          </cell>
        </row>
        <row r="246">
          <cell r="B246">
            <v>3571</v>
          </cell>
        </row>
        <row r="247">
          <cell r="B247">
            <v>2666</v>
          </cell>
        </row>
        <row r="248">
          <cell r="B248">
            <v>20011</v>
          </cell>
        </row>
        <row r="249">
          <cell r="B249">
            <v>263</v>
          </cell>
        </row>
        <row r="250">
          <cell r="B250">
            <v>266</v>
          </cell>
        </row>
        <row r="251">
          <cell r="B251">
            <v>272</v>
          </cell>
        </row>
        <row r="252">
          <cell r="B252">
            <v>272</v>
          </cell>
        </row>
        <row r="253">
          <cell r="B253">
            <v>272</v>
          </cell>
        </row>
        <row r="254">
          <cell r="B254">
            <v>272</v>
          </cell>
        </row>
        <row r="255">
          <cell r="B255">
            <v>274</v>
          </cell>
        </row>
        <row r="256">
          <cell r="B256">
            <v>275</v>
          </cell>
        </row>
        <row r="257">
          <cell r="B257">
            <v>275</v>
          </cell>
        </row>
        <row r="258">
          <cell r="B258">
            <v>268</v>
          </cell>
        </row>
        <row r="259">
          <cell r="B259">
            <v>264</v>
          </cell>
        </row>
        <row r="260">
          <cell r="B260">
            <v>270</v>
          </cell>
        </row>
        <row r="261">
          <cell r="B261">
            <v>271</v>
          </cell>
        </row>
        <row r="262">
          <cell r="B262">
            <v>271</v>
          </cell>
        </row>
        <row r="263">
          <cell r="B263">
            <v>276</v>
          </cell>
        </row>
        <row r="264">
          <cell r="B264">
            <v>276</v>
          </cell>
        </row>
        <row r="265">
          <cell r="B265">
            <v>277</v>
          </cell>
        </row>
        <row r="266">
          <cell r="B266">
            <v>277</v>
          </cell>
        </row>
        <row r="267">
          <cell r="B267">
            <v>277</v>
          </cell>
        </row>
        <row r="268">
          <cell r="B268">
            <v>1063</v>
          </cell>
        </row>
        <row r="269">
          <cell r="B269">
            <v>1055</v>
          </cell>
        </row>
        <row r="270">
          <cell r="B270">
            <v>2063</v>
          </cell>
        </row>
        <row r="271">
          <cell r="B271">
            <v>1123</v>
          </cell>
        </row>
        <row r="272">
          <cell r="B272">
            <v>1221</v>
          </cell>
        </row>
        <row r="273">
          <cell r="B273">
            <v>1221</v>
          </cell>
        </row>
        <row r="274">
          <cell r="B274">
            <v>1211</v>
          </cell>
        </row>
        <row r="275">
          <cell r="B275">
            <v>1231</v>
          </cell>
        </row>
        <row r="276">
          <cell r="B276">
            <v>1045</v>
          </cell>
        </row>
        <row r="277">
          <cell r="B277">
            <v>278</v>
          </cell>
        </row>
        <row r="278">
          <cell r="B278">
            <v>278</v>
          </cell>
        </row>
        <row r="279">
          <cell r="B279">
            <v>279</v>
          </cell>
        </row>
        <row r="280">
          <cell r="B280">
            <v>279</v>
          </cell>
        </row>
        <row r="281">
          <cell r="B281">
            <v>13501</v>
          </cell>
        </row>
        <row r="282">
          <cell r="B282">
            <v>13501</v>
          </cell>
        </row>
        <row r="283">
          <cell r="B283">
            <v>13501</v>
          </cell>
        </row>
        <row r="284">
          <cell r="B284">
            <v>13501</v>
          </cell>
        </row>
        <row r="285">
          <cell r="B285">
            <v>13501</v>
          </cell>
        </row>
        <row r="286">
          <cell r="B286">
            <v>192</v>
          </cell>
        </row>
        <row r="287">
          <cell r="B287">
            <v>266</v>
          </cell>
        </row>
        <row r="288">
          <cell r="B288">
            <v>266</v>
          </cell>
        </row>
        <row r="289">
          <cell r="B289">
            <v>266</v>
          </cell>
        </row>
        <row r="290">
          <cell r="B290">
            <v>266</v>
          </cell>
        </row>
        <row r="291">
          <cell r="B291">
            <v>28201</v>
          </cell>
        </row>
        <row r="292">
          <cell r="B292">
            <v>28202</v>
          </cell>
        </row>
        <row r="293">
          <cell r="B293">
            <v>28201</v>
          </cell>
        </row>
        <row r="294">
          <cell r="B294">
            <v>28202</v>
          </cell>
        </row>
        <row r="295">
          <cell r="B295">
            <v>28202</v>
          </cell>
        </row>
        <row r="296">
          <cell r="B296">
            <v>13201</v>
          </cell>
        </row>
        <row r="297">
          <cell r="B297">
            <v>286</v>
          </cell>
        </row>
        <row r="298">
          <cell r="B298">
            <v>286</v>
          </cell>
        </row>
        <row r="299">
          <cell r="B299">
            <v>286</v>
          </cell>
        </row>
        <row r="300">
          <cell r="B300">
            <v>22401</v>
          </cell>
        </row>
        <row r="301">
          <cell r="B301">
            <v>22401</v>
          </cell>
        </row>
        <row r="302">
          <cell r="B302">
            <v>22401</v>
          </cell>
        </row>
        <row r="303">
          <cell r="B303">
            <v>22401</v>
          </cell>
        </row>
        <row r="304">
          <cell r="B304">
            <v>20601</v>
          </cell>
        </row>
        <row r="305">
          <cell r="B305">
            <v>20601</v>
          </cell>
        </row>
        <row r="306">
          <cell r="B306">
            <v>20901</v>
          </cell>
        </row>
        <row r="307">
          <cell r="B307">
            <v>20901</v>
          </cell>
        </row>
        <row r="308">
          <cell r="B308">
            <v>20901</v>
          </cell>
        </row>
        <row r="309">
          <cell r="B309">
            <v>20901</v>
          </cell>
        </row>
        <row r="310">
          <cell r="B310">
            <v>20901</v>
          </cell>
        </row>
        <row r="311">
          <cell r="B311">
            <v>19101</v>
          </cell>
        </row>
        <row r="312">
          <cell r="B312">
            <v>19101</v>
          </cell>
        </row>
        <row r="313">
          <cell r="B313">
            <v>19101</v>
          </cell>
        </row>
        <row r="314">
          <cell r="B314">
            <v>19101</v>
          </cell>
        </row>
        <row r="315">
          <cell r="B315">
            <v>19101</v>
          </cell>
        </row>
        <row r="316">
          <cell r="B316">
            <v>19101</v>
          </cell>
        </row>
        <row r="317">
          <cell r="B317">
            <v>12901</v>
          </cell>
        </row>
        <row r="318">
          <cell r="B318">
            <v>12901</v>
          </cell>
        </row>
        <row r="319">
          <cell r="B319">
            <v>29001</v>
          </cell>
        </row>
        <row r="320">
          <cell r="B320">
            <v>29001</v>
          </cell>
        </row>
        <row r="321">
          <cell r="B321">
            <v>29001</v>
          </cell>
        </row>
        <row r="322">
          <cell r="B322">
            <v>29002</v>
          </cell>
        </row>
        <row r="323">
          <cell r="B323">
            <v>29002</v>
          </cell>
        </row>
        <row r="324">
          <cell r="B324">
            <v>29002</v>
          </cell>
        </row>
        <row r="325">
          <cell r="B325">
            <v>29002</v>
          </cell>
        </row>
        <row r="326">
          <cell r="B326">
            <v>292</v>
          </cell>
        </row>
        <row r="327">
          <cell r="B327">
            <v>292</v>
          </cell>
        </row>
        <row r="328">
          <cell r="B328">
            <v>29201</v>
          </cell>
        </row>
        <row r="329">
          <cell r="B329">
            <v>29201</v>
          </cell>
        </row>
        <row r="330">
          <cell r="B330">
            <v>29201</v>
          </cell>
        </row>
        <row r="331">
          <cell r="B331">
            <v>293</v>
          </cell>
        </row>
        <row r="332">
          <cell r="B332">
            <v>293</v>
          </cell>
        </row>
        <row r="333">
          <cell r="B333">
            <v>293</v>
          </cell>
        </row>
        <row r="334">
          <cell r="B334">
            <v>293</v>
          </cell>
        </row>
        <row r="335">
          <cell r="B335">
            <v>297</v>
          </cell>
        </row>
        <row r="336">
          <cell r="B336">
            <v>29701</v>
          </cell>
        </row>
        <row r="337">
          <cell r="B337">
            <v>29701</v>
          </cell>
        </row>
        <row r="338">
          <cell r="B338">
            <v>29701</v>
          </cell>
        </row>
        <row r="339">
          <cell r="B339">
            <v>29701</v>
          </cell>
        </row>
        <row r="340">
          <cell r="B340">
            <v>29702</v>
          </cell>
        </row>
        <row r="341">
          <cell r="B341">
            <v>29702</v>
          </cell>
        </row>
        <row r="342">
          <cell r="B342">
            <v>29702</v>
          </cell>
        </row>
        <row r="343">
          <cell r="B343">
            <v>29702</v>
          </cell>
        </row>
        <row r="344">
          <cell r="B344">
            <v>29702</v>
          </cell>
        </row>
        <row r="345">
          <cell r="B345">
            <v>29703</v>
          </cell>
        </row>
        <row r="346">
          <cell r="B346">
            <v>29703</v>
          </cell>
        </row>
        <row r="347">
          <cell r="B347">
            <v>29703</v>
          </cell>
        </row>
        <row r="348">
          <cell r="B348">
            <v>29704</v>
          </cell>
        </row>
        <row r="349">
          <cell r="B349">
            <v>29704</v>
          </cell>
        </row>
        <row r="350">
          <cell r="B350">
            <v>29704</v>
          </cell>
        </row>
        <row r="351">
          <cell r="B351">
            <v>29704</v>
          </cell>
        </row>
        <row r="352">
          <cell r="B352">
            <v>29704</v>
          </cell>
        </row>
        <row r="353">
          <cell r="B353">
            <v>29704</v>
          </cell>
        </row>
        <row r="354">
          <cell r="B354">
            <v>29705</v>
          </cell>
        </row>
        <row r="355">
          <cell r="B355">
            <v>29705</v>
          </cell>
        </row>
        <row r="356">
          <cell r="B356">
            <v>29705</v>
          </cell>
        </row>
        <row r="357">
          <cell r="B357">
            <v>29705</v>
          </cell>
        </row>
        <row r="358">
          <cell r="B358">
            <v>29705</v>
          </cell>
        </row>
        <row r="359">
          <cell r="B359">
            <v>29705</v>
          </cell>
        </row>
        <row r="360">
          <cell r="B360">
            <v>14101</v>
          </cell>
        </row>
        <row r="361">
          <cell r="B361">
            <v>3301</v>
          </cell>
        </row>
        <row r="362">
          <cell r="B362">
            <v>15101</v>
          </cell>
        </row>
        <row r="363">
          <cell r="B363">
            <v>15101</v>
          </cell>
        </row>
        <row r="364">
          <cell r="B364">
            <v>15101</v>
          </cell>
        </row>
        <row r="365">
          <cell r="B365">
            <v>15101</v>
          </cell>
        </row>
        <row r="366">
          <cell r="B366">
            <v>28701</v>
          </cell>
        </row>
        <row r="367">
          <cell r="B367">
            <v>28701</v>
          </cell>
        </row>
        <row r="368">
          <cell r="B368">
            <v>28701</v>
          </cell>
        </row>
        <row r="369">
          <cell r="B369">
            <v>294</v>
          </cell>
        </row>
        <row r="370">
          <cell r="B370">
            <v>29401</v>
          </cell>
        </row>
        <row r="371">
          <cell r="B371">
            <v>29401</v>
          </cell>
        </row>
        <row r="372">
          <cell r="B372">
            <v>295</v>
          </cell>
        </row>
        <row r="373">
          <cell r="B373">
            <v>295</v>
          </cell>
        </row>
        <row r="374">
          <cell r="B374">
            <v>30401</v>
          </cell>
        </row>
        <row r="375">
          <cell r="B375">
            <v>30401</v>
          </cell>
        </row>
        <row r="376">
          <cell r="B376">
            <v>30401</v>
          </cell>
        </row>
        <row r="377">
          <cell r="B377">
            <v>30401</v>
          </cell>
        </row>
        <row r="378">
          <cell r="B378">
            <v>30401</v>
          </cell>
        </row>
        <row r="379">
          <cell r="B379">
            <v>30402</v>
          </cell>
        </row>
        <row r="380">
          <cell r="B380">
            <v>30402</v>
          </cell>
        </row>
        <row r="381">
          <cell r="B381">
            <v>30402</v>
          </cell>
        </row>
        <row r="382">
          <cell r="B382">
            <v>30402</v>
          </cell>
        </row>
        <row r="383">
          <cell r="B383">
            <v>30402</v>
          </cell>
        </row>
        <row r="384">
          <cell r="B384">
            <v>30501</v>
          </cell>
        </row>
        <row r="385">
          <cell r="B385">
            <v>30501</v>
          </cell>
        </row>
        <row r="386">
          <cell r="B386">
            <v>30501</v>
          </cell>
        </row>
        <row r="387">
          <cell r="B387">
            <v>30501</v>
          </cell>
        </row>
        <row r="388">
          <cell r="B388">
            <v>30501</v>
          </cell>
        </row>
        <row r="389">
          <cell r="B389">
            <v>30501</v>
          </cell>
        </row>
        <row r="390">
          <cell r="B390">
            <v>284</v>
          </cell>
        </row>
        <row r="391">
          <cell r="B391">
            <v>284</v>
          </cell>
        </row>
        <row r="392">
          <cell r="B392">
            <v>14202</v>
          </cell>
        </row>
        <row r="393">
          <cell r="B393">
            <v>12702</v>
          </cell>
        </row>
        <row r="394">
          <cell r="B394">
            <v>12702</v>
          </cell>
        </row>
        <row r="395">
          <cell r="B395">
            <v>14401</v>
          </cell>
        </row>
        <row r="396">
          <cell r="B396">
            <v>15201</v>
          </cell>
        </row>
        <row r="397">
          <cell r="B397">
            <v>15201</v>
          </cell>
        </row>
        <row r="398">
          <cell r="B398">
            <v>15201</v>
          </cell>
        </row>
        <row r="399">
          <cell r="B399">
            <v>15201</v>
          </cell>
        </row>
        <row r="400">
          <cell r="B400">
            <v>21201</v>
          </cell>
        </row>
        <row r="401">
          <cell r="B401">
            <v>21201</v>
          </cell>
        </row>
        <row r="402">
          <cell r="B402">
            <v>21201</v>
          </cell>
        </row>
        <row r="403">
          <cell r="B403">
            <v>18601</v>
          </cell>
        </row>
        <row r="404">
          <cell r="B404">
            <v>18601</v>
          </cell>
        </row>
        <row r="405">
          <cell r="B405">
            <v>18601</v>
          </cell>
        </row>
        <row r="406">
          <cell r="B406">
            <v>18601</v>
          </cell>
        </row>
        <row r="407">
          <cell r="B407">
            <v>18601</v>
          </cell>
        </row>
        <row r="408">
          <cell r="B408">
            <v>348</v>
          </cell>
        </row>
        <row r="409">
          <cell r="B409">
            <v>350</v>
          </cell>
        </row>
        <row r="410">
          <cell r="B410">
            <v>352</v>
          </cell>
        </row>
        <row r="411">
          <cell r="B411">
            <v>354</v>
          </cell>
        </row>
        <row r="412">
          <cell r="B412">
            <v>360</v>
          </cell>
        </row>
        <row r="413">
          <cell r="B413">
            <v>3611</v>
          </cell>
        </row>
        <row r="414">
          <cell r="B414">
            <v>362</v>
          </cell>
        </row>
        <row r="415">
          <cell r="B415">
            <v>3631</v>
          </cell>
        </row>
        <row r="416">
          <cell r="B416">
            <v>364</v>
          </cell>
        </row>
        <row r="417">
          <cell r="B417">
            <v>3651</v>
          </cell>
        </row>
        <row r="418">
          <cell r="B418">
            <v>366</v>
          </cell>
        </row>
        <row r="419">
          <cell r="B419">
            <v>3671</v>
          </cell>
        </row>
        <row r="420">
          <cell r="B420">
            <v>369</v>
          </cell>
        </row>
        <row r="421">
          <cell r="B421">
            <v>369</v>
          </cell>
        </row>
        <row r="422">
          <cell r="B422">
            <v>369</v>
          </cell>
        </row>
        <row r="423">
          <cell r="B423">
            <v>369</v>
          </cell>
        </row>
        <row r="424">
          <cell r="B424">
            <v>369</v>
          </cell>
        </row>
        <row r="425">
          <cell r="B425">
            <v>369</v>
          </cell>
        </row>
        <row r="426">
          <cell r="B426">
            <v>16401</v>
          </cell>
        </row>
        <row r="427">
          <cell r="B427">
            <v>16401</v>
          </cell>
        </row>
        <row r="428">
          <cell r="B428">
            <v>28801</v>
          </cell>
        </row>
        <row r="429">
          <cell r="B429">
            <v>28801</v>
          </cell>
        </row>
        <row r="430">
          <cell r="B430">
            <v>28801</v>
          </cell>
        </row>
        <row r="431">
          <cell r="B431">
            <v>28802</v>
          </cell>
        </row>
        <row r="432">
          <cell r="B432">
            <v>28803</v>
          </cell>
        </row>
        <row r="433">
          <cell r="B433">
            <v>28803</v>
          </cell>
        </row>
        <row r="434">
          <cell r="B434">
            <v>28804</v>
          </cell>
        </row>
        <row r="435">
          <cell r="B435">
            <v>28804</v>
          </cell>
        </row>
        <row r="436">
          <cell r="B436">
            <v>28804</v>
          </cell>
        </row>
        <row r="437">
          <cell r="B437">
            <v>28901</v>
          </cell>
        </row>
        <row r="438">
          <cell r="B438">
            <v>28901</v>
          </cell>
        </row>
        <row r="439">
          <cell r="B439">
            <v>28901</v>
          </cell>
        </row>
        <row r="440">
          <cell r="B440">
            <v>2701</v>
          </cell>
        </row>
        <row r="441">
          <cell r="B441">
            <v>2702</v>
          </cell>
        </row>
        <row r="442">
          <cell r="B442">
            <v>2701</v>
          </cell>
        </row>
        <row r="443">
          <cell r="B443">
            <v>2702</v>
          </cell>
        </row>
        <row r="444">
          <cell r="B444">
            <v>28001</v>
          </cell>
        </row>
        <row r="445">
          <cell r="B445">
            <v>28002</v>
          </cell>
        </row>
        <row r="446">
          <cell r="B446">
            <v>28002</v>
          </cell>
        </row>
        <row r="447">
          <cell r="B447">
            <v>28101</v>
          </cell>
        </row>
        <row r="448">
          <cell r="B448">
            <v>28101</v>
          </cell>
        </row>
        <row r="449">
          <cell r="B449">
            <v>6302</v>
          </cell>
        </row>
        <row r="450">
          <cell r="B450">
            <v>6302</v>
          </cell>
        </row>
        <row r="451">
          <cell r="B451">
            <v>6302</v>
          </cell>
        </row>
        <row r="452">
          <cell r="B452">
            <v>1301</v>
          </cell>
        </row>
        <row r="453">
          <cell r="B453">
            <v>4701</v>
          </cell>
        </row>
        <row r="454">
          <cell r="B454">
            <v>3302</v>
          </cell>
        </row>
        <row r="455">
          <cell r="B455">
            <v>3302</v>
          </cell>
        </row>
        <row r="456">
          <cell r="B456">
            <v>6301</v>
          </cell>
        </row>
        <row r="457">
          <cell r="B457">
            <v>6301</v>
          </cell>
        </row>
        <row r="458">
          <cell r="B458">
            <v>5701</v>
          </cell>
        </row>
        <row r="459">
          <cell r="B459">
            <v>5701</v>
          </cell>
        </row>
        <row r="460">
          <cell r="B460">
            <v>31202</v>
          </cell>
        </row>
        <row r="461">
          <cell r="B461">
            <v>31203</v>
          </cell>
        </row>
        <row r="462">
          <cell r="B462">
            <v>31203</v>
          </cell>
        </row>
        <row r="463">
          <cell r="B463">
            <v>31203</v>
          </cell>
        </row>
        <row r="464">
          <cell r="B464">
            <v>31204</v>
          </cell>
        </row>
        <row r="465">
          <cell r="B465">
            <v>31204</v>
          </cell>
        </row>
        <row r="466">
          <cell r="B466">
            <v>31204</v>
          </cell>
        </row>
        <row r="467">
          <cell r="B467">
            <v>31204</v>
          </cell>
        </row>
        <row r="468">
          <cell r="B468">
            <v>15202</v>
          </cell>
        </row>
        <row r="469">
          <cell r="B469">
            <v>15202</v>
          </cell>
        </row>
        <row r="470">
          <cell r="B470">
            <v>15202</v>
          </cell>
        </row>
        <row r="471">
          <cell r="B471">
            <v>13003</v>
          </cell>
        </row>
        <row r="472">
          <cell r="B472">
            <v>13003</v>
          </cell>
        </row>
        <row r="473">
          <cell r="B473">
            <v>13202</v>
          </cell>
        </row>
        <row r="474">
          <cell r="B474">
            <v>30601</v>
          </cell>
        </row>
        <row r="475">
          <cell r="B475">
            <v>30601</v>
          </cell>
        </row>
        <row r="476">
          <cell r="B476">
            <v>30603</v>
          </cell>
        </row>
        <row r="477">
          <cell r="B477">
            <v>30603</v>
          </cell>
        </row>
        <row r="478">
          <cell r="B478">
            <v>30601</v>
          </cell>
        </row>
        <row r="479">
          <cell r="B479">
            <v>30602</v>
          </cell>
        </row>
        <row r="480">
          <cell r="B480">
            <v>30602</v>
          </cell>
        </row>
        <row r="481">
          <cell r="B481">
            <v>30602</v>
          </cell>
        </row>
        <row r="482">
          <cell r="B482">
            <v>30602</v>
          </cell>
        </row>
      </sheetData>
      <sheetData sheetId="6"/>
      <sheetData sheetId="7"/>
      <sheetData sheetId="8"/>
      <sheetData sheetId="9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stage_hints"/>
      <sheetName val="Sheet1"/>
      <sheetName val="Sheet2"/>
    </sheetNames>
    <sheetDataSet>
      <sheetData sheetId="0"/>
      <sheetData sheetId="1">
        <row r="1">
          <cell r="A1" t="str">
            <v>hint_id</v>
          </cell>
          <cell r="B1" t="str">
            <v>language</v>
          </cell>
          <cell r="C1" t="str">
            <v>title</v>
          </cell>
          <cell r="D1" t="str">
            <v>hint</v>
          </cell>
        </row>
        <row r="2">
          <cell r="A2">
            <v>1</v>
          </cell>
          <cell r="B2" t="str">
            <v>ja</v>
          </cell>
          <cell r="C2" t="str">
            <v>長くつなげて大ダメージ</v>
          </cell>
          <cell r="D2" t="str">
            <v>パネルを長くつなげるほど_x000D_大ダメージを与えることができます</v>
          </cell>
        </row>
        <row r="3">
          <cell r="A3">
            <v>2</v>
          </cell>
          <cell r="B3" t="str">
            <v>ja</v>
          </cell>
          <cell r="C3" t="str">
            <v>属性の相性</v>
          </cell>
          <cell r="D3" t="str">
            <v>赤＞青　青＞黄　黄＞緑　緑＞赤_x000D_敵属性に最適なパーティがオススメです</v>
          </cell>
        </row>
        <row r="4">
          <cell r="A4">
            <v>3</v>
          </cell>
          <cell r="B4" t="str">
            <v>ja</v>
          </cell>
          <cell r="C4" t="str">
            <v>ターゲット</v>
          </cell>
          <cell r="D4" t="str">
            <v>敵ユニットをタップすると_x000D_その敵を狙い撃ちできます</v>
          </cell>
        </row>
        <row r="5">
          <cell r="A5">
            <v>4</v>
          </cell>
          <cell r="B5" t="str">
            <v>ja</v>
          </cell>
          <cell r="C5" t="str">
            <v>ボーナスクエスト</v>
          </cell>
          <cell r="D5" t="str">
            <v>ノーマルクエストを進めると_x000D_嬉しいボーナスクエストが登場します</v>
          </cell>
        </row>
        <row r="6">
          <cell r="A6">
            <v>5</v>
          </cell>
          <cell r="B6" t="str">
            <v>ja</v>
          </cell>
          <cell r="C6" t="str">
            <v>ユニット強化でレベルアップ</v>
          </cell>
          <cell r="D6" t="str">
            <v>「ユニット強化」でレベルアップすると_x000D_勝てない敵にも勝てるようになります</v>
          </cell>
        </row>
        <row r="7">
          <cell r="A7">
            <v>6</v>
          </cell>
          <cell r="B7" t="str">
            <v>ja</v>
          </cell>
          <cell r="C7" t="str">
            <v>ユニット強化の属性ボーナス</v>
          </cell>
          <cell r="D7" t="str">
            <v>同属性ユニットを強化素材にすると_x000D_経験値が多くもらえます</v>
          </cell>
        </row>
        <row r="8">
          <cell r="A8">
            <v>7</v>
          </cell>
          <cell r="B8" t="str">
            <v>ja</v>
          </cell>
          <cell r="C8" t="str">
            <v>メタルダックで経験値を獲得</v>
          </cell>
          <cell r="D8" t="str">
            <v>「メタルなアヒル」を強化素材にすると_x000D_大量の経験値がもらえます</v>
          </cell>
        </row>
        <row r="9">
          <cell r="A9">
            <v>8</v>
          </cell>
          <cell r="B9" t="str">
            <v>ja</v>
          </cell>
          <cell r="C9" t="str">
            <v>ゲリラクエストは要チェック</v>
          </cell>
          <cell r="D9" t="str">
            <v>時間限定の「アヒル捕獲作戦」では_x000D_経験値素材ユニットが多く手に入ります</v>
          </cell>
        </row>
        <row r="10">
          <cell r="A10">
            <v>9</v>
          </cell>
          <cell r="B10" t="str">
            <v>ja</v>
          </cell>
          <cell r="C10" t="str">
            <v>ゴールドダックでビットを獲得</v>
          </cell>
          <cell r="D10" t="str">
            <v>「ゴールドなアヒル」を売却すると_x000D_大量のビットがもらえます</v>
          </cell>
        </row>
        <row r="11">
          <cell r="A11">
            <v>10</v>
          </cell>
          <cell r="B11" t="str">
            <v>ja</v>
          </cell>
          <cell r="C11" t="str">
            <v>土日に大量のビットを獲得</v>
          </cell>
          <cell r="D11" t="str">
            <v>土日限定の「ゴールドカジノ」では_x000D_売却素材ユニットが多く手に入ります</v>
          </cell>
        </row>
        <row r="12">
          <cell r="A12">
            <v>11</v>
          </cell>
          <cell r="B12" t="str">
            <v>ja</v>
          </cell>
          <cell r="C12" t="str">
            <v>ランク解放クエスト</v>
          </cell>
          <cell r="D12" t="str">
            <v>一定ランクに到達すると_x000D_報酬付きのランク開放クエストが現れます</v>
          </cell>
        </row>
        <row r="13">
          <cell r="A13">
            <v>12</v>
          </cell>
          <cell r="B13" t="str">
            <v>ja</v>
          </cell>
          <cell r="C13" t="str">
            <v>ユニットのお気に入り登録</v>
          </cell>
          <cell r="D13" t="str">
            <v>大事なユニットを誤って消さないように_x000D_フォルダから「お気に入り登録」しましょう</v>
          </cell>
        </row>
        <row r="14">
          <cell r="A14">
            <v>13</v>
          </cell>
          <cell r="B14" t="str">
            <v>ja</v>
          </cell>
          <cell r="C14" t="str">
            <v>ユニットの覚醒</v>
          </cell>
          <cell r="D14" t="str">
            <v>ユニットを覚醒させると_x000D_比べものにならない強さが手に入ります</v>
          </cell>
        </row>
        <row r="15">
          <cell r="A15">
            <v>14</v>
          </cell>
          <cell r="B15" t="str">
            <v>ja</v>
          </cell>
          <cell r="C15" t="str">
            <v>覚醒するにはレベルを最大に</v>
          </cell>
          <cell r="D15" t="str">
            <v>覚醒するにはユニットのレベルを_x000D_最大まで上げる必要があります</v>
          </cell>
        </row>
        <row r="16">
          <cell r="A16">
            <v>15</v>
          </cell>
          <cell r="B16" t="str">
            <v>ja</v>
          </cell>
          <cell r="C16" t="str">
            <v>覚醒素材を獲得</v>
          </cell>
          <cell r="D16" t="str">
            <v>「曜日クエスト」では_x000D_ユニットの覚醒に必要な素材が手に入ります</v>
          </cell>
        </row>
        <row r="17">
          <cell r="A17">
            <v>16</v>
          </cell>
          <cell r="B17" t="str">
            <v>ja</v>
          </cell>
          <cell r="C17" t="str">
            <v>マルチプレイのメリット（その1）</v>
          </cell>
          <cell r="D17" t="str">
            <v>他のプレイヤーとマルチプレイで遊ぶと_x000D_ポリゴンがもらえます（100人まで）</v>
          </cell>
        </row>
        <row r="18">
          <cell r="A18">
            <v>17</v>
          </cell>
          <cell r="B18" t="str">
            <v>ja</v>
          </cell>
          <cell r="C18" t="str">
            <v>リンクガチャ</v>
          </cell>
          <cell r="D18" t="str">
            <v>無料のリンクガチャを回して_x000D_経験値素材や売却素材を獲得しましょう</v>
          </cell>
        </row>
        <row r="19">
          <cell r="A19">
            <v>18</v>
          </cell>
          <cell r="B19" t="str">
            <v>ja</v>
          </cell>
          <cell r="C19" t="str">
            <v>マルチプレイのメリット（その2）</v>
          </cell>
          <cell r="D19" t="str">
            <v>マルチプレイならリンクが2倍もらえます_x000D_リンクガチャをたくさん回しましょう</v>
          </cell>
        </row>
        <row r="20">
          <cell r="A20">
            <v>19</v>
          </cell>
          <cell r="B20" t="str">
            <v>ja</v>
          </cell>
          <cell r="C20" t="str">
            <v>ソロ専用チャレンジタワー</v>
          </cell>
          <cell r="D20" t="str">
            <v>ソロ専用の「チャレンジタワー」では_x000D_各フロアごとにクリア報酬がもらえます</v>
          </cell>
        </row>
        <row r="21">
          <cell r="A21">
            <v>20</v>
          </cell>
          <cell r="B21" t="str">
            <v>ja</v>
          </cell>
          <cell r="C21" t="str">
            <v>マルチプレイのメリット（その3）</v>
          </cell>
          <cell r="D21" t="str">
            <v>マルチプレイへの参加はエナジー消費ゼロ_x000D_いつでも好きなだけ遊ぶことができます</v>
          </cell>
        </row>
        <row r="22">
          <cell r="A22">
            <v>21</v>
          </cell>
          <cell r="B22" t="str">
            <v>ja</v>
          </cell>
          <cell r="C22" t="str">
            <v>スキルを有効に</v>
          </cell>
          <cell r="D22" t="str">
            <v>ターン経過でユニットのスキルが使えます_x000D_強力スキルでバトルを有利に進めましょう</v>
          </cell>
        </row>
        <row r="23">
          <cell r="A23">
            <v>22</v>
          </cell>
          <cell r="B23" t="str">
            <v>ja</v>
          </cell>
          <cell r="C23" t="str">
            <v>フィーバーで一発逆転（その1）</v>
          </cell>
          <cell r="D23" t="str">
            <v>フィーバーは攻撃と回復を兼ね備えます_x000D_ピンチからの一発逆転を狙いましょう</v>
          </cell>
        </row>
        <row r="24">
          <cell r="A24">
            <v>23</v>
          </cell>
          <cell r="B24" t="str">
            <v>ja</v>
          </cell>
          <cell r="C24" t="str">
            <v>フィーバーで一発逆転（その2）</v>
          </cell>
          <cell r="D24" t="str">
            <v>フィーバー中は虹色のボムパネルを狙って_x000D_画面上のパネルを一気に破壊しましょう</v>
          </cell>
        </row>
        <row r="25">
          <cell r="A25">
            <v>24</v>
          </cell>
          <cell r="B25" t="str">
            <v>ja</v>
          </cell>
          <cell r="C25" t="str">
            <v>りんごを使って限界突破</v>
          </cell>
          <cell r="D25" t="str">
            <v>赤りんご(攻撃力) 青りんご(回復力)_x000D_緑りんご(体力)をユニット強化に使うと_x000D_ステータスが限界突破します（計99個迄）</v>
          </cell>
        </row>
        <row r="26">
          <cell r="A26">
            <v>25</v>
          </cell>
          <cell r="B26" t="str">
            <v>ja</v>
          </cell>
          <cell r="C26" t="str">
            <v>スキルレベルアップ</v>
          </cell>
          <cell r="D26" t="str">
            <v>「クリスタルのりんご」を強化に使うと_x000D_スキルレベルを上げることができます</v>
          </cell>
        </row>
        <row r="27">
          <cell r="A27">
            <v>26</v>
          </cell>
          <cell r="B27" t="str">
            <v>ja</v>
          </cell>
          <cell r="C27" t="str">
            <v>スキルレベルの効果</v>
          </cell>
          <cell r="D27" t="str">
            <v>スキルレベルが上がると_x000D_短いターンでスキルを使うことができます</v>
          </cell>
        </row>
        <row r="28">
          <cell r="A28">
            <v>27</v>
          </cell>
          <cell r="B28" t="str">
            <v>ja</v>
          </cell>
          <cell r="C28" t="str">
            <v>ホーム画面からデッキを編成</v>
          </cell>
          <cell r="D28" t="str">
            <v>ホーム画面でユニットを長押しすると_x000D_すぐにパーティ編成に移動できます</v>
          </cell>
        </row>
        <row r="29">
          <cell r="A29">
            <v>28</v>
          </cell>
          <cell r="B29" t="str">
            <v>ja</v>
          </cell>
          <cell r="C29" t="str">
            <v>ステータス情報は長押しで</v>
          </cell>
          <cell r="D29" t="str">
            <v>ユニットのアイコンを長押しすると_x000D_ステータス情報を確認することができます</v>
          </cell>
        </row>
        <row r="30">
          <cell r="A30">
            <v>29</v>
          </cell>
          <cell r="B30" t="str">
            <v>ja</v>
          </cell>
          <cell r="C30" t="str">
            <v>「バグ」のメリット</v>
          </cell>
          <cell r="D30" t="str">
            <v>ユニットの「バグ」を増やすと_x000D_報酬をもらえる確率がアップします</v>
          </cell>
        </row>
        <row r="31">
          <cell r="A31">
            <v>30</v>
          </cell>
          <cell r="B31" t="str">
            <v>ja</v>
          </cell>
          <cell r="C31" t="str">
            <v>「バグ」の増やし方</v>
          </cell>
          <cell r="D31" t="str">
            <v>同じユニット同士を強化で合成すると_x000D_「バグ」を増やすことができます</v>
          </cell>
        </row>
        <row r="32">
          <cell r="A32">
            <v>31</v>
          </cell>
          <cell r="B32" t="str">
            <v>ja</v>
          </cell>
          <cell r="C32" t="str">
            <v>イベントはお知らせでチェック</v>
          </cell>
          <cell r="D32" t="str">
            <v>イベント限定ユニットを取り忘れないように_x000D_お知らせをこまめにチェックしましょう</v>
          </cell>
        </row>
        <row r="33">
          <cell r="A33">
            <v>38</v>
          </cell>
          <cell r="B33" t="str">
            <v>ja</v>
          </cell>
          <cell r="C33" t="str">
            <v>お邪魔パネルはフィーバーで</v>
          </cell>
          <cell r="D33" t="str">
            <v>つなげて消せない「お邪魔パネル」は_x000D_フィーバーで下へ落としてしまいましょう</v>
          </cell>
        </row>
        <row r="34">
          <cell r="A34">
            <v>32</v>
          </cell>
          <cell r="B34" t="str">
            <v>ja</v>
          </cell>
          <cell r="C34" t="str">
            <v>敵の連続攻撃には</v>
          </cell>
          <cell r="D34" t="str">
            <v>カウンタースキルを持つユニットがいれば_x000D_ダメージ回数分の反撃ができます</v>
          </cell>
        </row>
        <row r="35">
          <cell r="A35">
            <v>33</v>
          </cell>
          <cell r="B35" t="str">
            <v>ja</v>
          </cell>
          <cell r="C35" t="str">
            <v>敵のカウンター攻撃には</v>
          </cell>
          <cell r="D35" t="str">
            <v>カウンターブレイクスキルを持っていれば_x000D_敵のカウンターを解除して攻撃ができます</v>
          </cell>
        </row>
        <row r="36">
          <cell r="A36">
            <v>34</v>
          </cell>
          <cell r="B36" t="str">
            <v>ja</v>
          </cell>
          <cell r="C36" t="str">
            <v>ステータスをスキルで下げられたら</v>
          </cell>
          <cell r="D36" t="str">
            <v>ステータスダウンのスキルを受けたら_x000D_ステータスアップスキルで上書きしましょう</v>
          </cell>
        </row>
        <row r="37">
          <cell r="A37">
            <v>35</v>
          </cell>
          <cell r="B37" t="str">
            <v>ja</v>
          </cell>
          <cell r="C37" t="str">
            <v>敵のステータスがスキルで上がったら</v>
          </cell>
          <cell r="D37" t="str">
            <v>敵のステータスがスキルでアップしたときは_x000D_ステータスダウンスキルで上書きしましょう</v>
          </cell>
        </row>
        <row r="38">
          <cell r="A38">
            <v>36</v>
          </cell>
          <cell r="B38" t="str">
            <v>ja</v>
          </cell>
          <cell r="C38" t="str">
            <v>チャレンジタワーのボス</v>
          </cell>
          <cell r="D38" t="str">
            <v>チャレンジタワーでのみ登場するボスは_x000D_一定確率で獲得することができます</v>
          </cell>
        </row>
        <row r="39">
          <cell r="A39">
            <v>37</v>
          </cell>
          <cell r="B39" t="str">
            <v>ja</v>
          </cell>
          <cell r="C39" t="str">
            <v>限界突破値の引き継ぎ</v>
          </cell>
          <cell r="D39" t="str">
            <v>同じユニットを強化で合成すると_x000D_限界突破値を引き継げます（覚醒前後も可）</v>
          </cell>
        </row>
        <row r="40">
          <cell r="A40">
            <v>39</v>
          </cell>
          <cell r="B40" t="str">
            <v>ja</v>
          </cell>
          <cell r="C40" t="str">
            <v>システム適合者を確認</v>
          </cell>
          <cell r="D40" t="str">
            <v>ALICEが「アナタ」を呼んでいます</v>
          </cell>
        </row>
        <row r="41">
          <cell r="A41">
            <v>40</v>
          </cell>
          <cell r="B41" t="str">
            <v>ja</v>
          </cell>
          <cell r="C41" t="str">
            <v>ケロケロを使って経験値を獲得</v>
          </cell>
          <cell r="D41" t="str">
            <v>「ケロケロ」を育てて_x000D_「メタルフロッグ」に覚醒させましょう_x000D__x000D_超大量の経験値素材になります</v>
          </cell>
        </row>
        <row r="42">
          <cell r="A42">
            <v>65535</v>
          </cell>
          <cell r="B42" t="str">
            <v>ja</v>
          </cell>
          <cell r="C42" t="str">
            <v>文字数テスト</v>
          </cell>
          <cell r="D42" t="str">
            <v>チャレンジタワー15F、20F、25Fのボスは_x000D_一定確率でドロップするようです</v>
          </cell>
        </row>
        <row r="43">
          <cell r="A43">
            <v>50002001</v>
          </cell>
          <cell r="B43" t="str">
            <v>ja</v>
          </cell>
          <cell r="C43" t="str">
            <v>オーディン事件の真相</v>
          </cell>
          <cell r="D43" t="str">
            <v>オーディンは女王勢力を内側から_x000D_抑えていた。_x000D_貴方の力を認めたオーディンは_x000D_女王事件の事を託し、_x000D_再びALICEの守護に就いた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3"/>
  <sheetViews>
    <sheetView workbookViewId="0">
      <selection activeCell="A5" sqref="A5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60" t="s">
        <v>130</v>
      </c>
      <c r="B1" s="55" t="s">
        <v>100</v>
      </c>
      <c r="C1" s="55" t="s">
        <v>101</v>
      </c>
      <c r="D1" s="55" t="s">
        <v>102</v>
      </c>
      <c r="E1" s="55" t="s">
        <v>103</v>
      </c>
      <c r="F1" s="55" t="s">
        <v>104</v>
      </c>
      <c r="G1" s="55" t="s">
        <v>105</v>
      </c>
      <c r="H1" s="55"/>
      <c r="I1" s="55"/>
      <c r="J1" s="55"/>
      <c r="K1" s="55"/>
      <c r="L1" s="56"/>
      <c r="M1" s="56"/>
      <c r="N1" s="56"/>
      <c r="O1" s="56"/>
      <c r="P1" s="56"/>
      <c r="Q1" s="56"/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  <c r="AD1" s="56"/>
    </row>
    <row r="2" spans="1:30" x14ac:dyDescent="0.15">
      <c r="A2" s="61" t="s">
        <v>267</v>
      </c>
      <c r="B2" s="57" t="s">
        <v>106</v>
      </c>
      <c r="C2" s="62">
        <v>65526</v>
      </c>
      <c r="D2" s="57" t="s">
        <v>107</v>
      </c>
      <c r="E2" s="56" t="str">
        <f>B2&amp;C2&amp;D2</f>
        <v>floors_65526.tmp</v>
      </c>
      <c r="F2" s="57" t="s">
        <v>108</v>
      </c>
      <c r="G2" s="58" t="s">
        <v>0</v>
      </c>
      <c r="H2" s="58" t="s">
        <v>1</v>
      </c>
      <c r="I2" s="58" t="s">
        <v>13</v>
      </c>
      <c r="J2" s="58" t="s">
        <v>14</v>
      </c>
      <c r="K2" s="58" t="s">
        <v>15</v>
      </c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  <c r="AD2" s="57"/>
    </row>
    <row r="3" spans="1:30" x14ac:dyDescent="0.15">
      <c r="A3" s="61" t="s">
        <v>267</v>
      </c>
      <c r="B3" s="57" t="s">
        <v>109</v>
      </c>
      <c r="C3" s="62">
        <v>65526</v>
      </c>
      <c r="D3" s="57" t="s">
        <v>107</v>
      </c>
      <c r="E3" s="56" t="str">
        <f>B3&amp;C3&amp;D3</f>
        <v>enemy_habitats_65526.tmp</v>
      </c>
      <c r="F3" s="57" t="s">
        <v>110</v>
      </c>
      <c r="G3" s="58" t="s">
        <v>0</v>
      </c>
      <c r="H3" s="58" t="s">
        <v>1</v>
      </c>
      <c r="I3" s="58" t="s">
        <v>13</v>
      </c>
      <c r="J3" s="58" t="s">
        <v>2</v>
      </c>
      <c r="K3" s="58" t="s">
        <v>3</v>
      </c>
      <c r="L3" s="58" t="s">
        <v>47</v>
      </c>
      <c r="M3" s="58" t="s">
        <v>49</v>
      </c>
      <c r="N3" s="58" t="s">
        <v>51</v>
      </c>
      <c r="O3" s="58" t="s">
        <v>22</v>
      </c>
      <c r="P3" s="58" t="s">
        <v>5</v>
      </c>
      <c r="Q3" s="58" t="s">
        <v>6</v>
      </c>
      <c r="R3" s="58" t="s">
        <v>7</v>
      </c>
      <c r="S3" s="58" t="s">
        <v>8</v>
      </c>
      <c r="T3" s="58" t="s">
        <v>9</v>
      </c>
      <c r="U3" s="58" t="s">
        <v>10</v>
      </c>
      <c r="V3" s="58" t="s">
        <v>11</v>
      </c>
      <c r="W3" s="58" t="s">
        <v>12</v>
      </c>
      <c r="X3" s="58" t="s">
        <v>37</v>
      </c>
      <c r="Y3" s="58" t="s">
        <v>39</v>
      </c>
      <c r="Z3" s="58" t="s">
        <v>41</v>
      </c>
      <c r="AA3" s="58" t="s">
        <v>43</v>
      </c>
      <c r="AB3" s="58" t="s">
        <v>45</v>
      </c>
      <c r="AC3" s="58" t="s">
        <v>53</v>
      </c>
      <c r="AD3" s="58" t="s">
        <v>179</v>
      </c>
    </row>
    <row r="4" spans="1:30" x14ac:dyDescent="0.15">
      <c r="A4" s="61" t="s">
        <v>267</v>
      </c>
      <c r="B4" s="57" t="s">
        <v>111</v>
      </c>
      <c r="C4" s="62">
        <v>65526</v>
      </c>
      <c r="D4" s="57" t="s">
        <v>107</v>
      </c>
      <c r="E4" s="56" t="str">
        <f>B4&amp;C4&amp;D4</f>
        <v>enemy_habitat_S_65526.tmp</v>
      </c>
      <c r="F4" s="57" t="s">
        <v>112</v>
      </c>
      <c r="G4" s="58" t="s">
        <v>0</v>
      </c>
      <c r="H4" s="58" t="s">
        <v>1</v>
      </c>
      <c r="I4" s="58" t="s">
        <v>13</v>
      </c>
      <c r="J4" s="58" t="s">
        <v>53</v>
      </c>
      <c r="K4" s="58" t="s">
        <v>54</v>
      </c>
      <c r="L4" s="58" t="s">
        <v>55</v>
      </c>
      <c r="M4" s="58" t="s">
        <v>56</v>
      </c>
      <c r="N4" s="58" t="s">
        <v>57</v>
      </c>
      <c r="O4" s="58" t="s">
        <v>58</v>
      </c>
      <c r="P4" s="58" t="s">
        <v>48</v>
      </c>
      <c r="Q4" s="58" t="s">
        <v>50</v>
      </c>
      <c r="R4" s="58" t="s">
        <v>52</v>
      </c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  <c r="AD4" s="57"/>
    </row>
    <row r="5" spans="1:30" x14ac:dyDescent="0.15">
      <c r="A5" s="61" t="s">
        <v>267</v>
      </c>
      <c r="B5" s="57" t="s">
        <v>113</v>
      </c>
      <c r="C5" s="62">
        <v>65526</v>
      </c>
      <c r="D5" s="57" t="s">
        <v>107</v>
      </c>
      <c r="E5" s="56" t="str">
        <f>B5&amp;C5&amp;D5</f>
        <v>enemy_skill_sets_65526.tmp</v>
      </c>
      <c r="F5" s="57" t="s">
        <v>114</v>
      </c>
      <c r="G5" s="59" t="s">
        <v>22</v>
      </c>
      <c r="H5" s="59" t="s">
        <v>99</v>
      </c>
      <c r="I5" s="59" t="s">
        <v>94</v>
      </c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  <c r="AD5" s="57"/>
    </row>
    <row r="6" spans="1:30" x14ac:dyDescent="0.15">
      <c r="A6" s="61" t="s">
        <v>267</v>
      </c>
      <c r="B6" s="57" t="s">
        <v>115</v>
      </c>
      <c r="C6" s="62">
        <v>65526</v>
      </c>
      <c r="D6" s="57" t="s">
        <v>116</v>
      </c>
      <c r="E6" s="56" t="str">
        <f t="shared" ref="E6:E10" si="0">B6&amp;C6&amp;D6</f>
        <v>enemy_skills_tmp_65526.tmp</v>
      </c>
      <c r="F6" s="57" t="s">
        <v>90</v>
      </c>
      <c r="G6" s="58" t="s">
        <v>78</v>
      </c>
      <c r="H6" s="58" t="s">
        <v>79</v>
      </c>
      <c r="I6" s="58" t="s">
        <v>80</v>
      </c>
      <c r="J6" s="57"/>
      <c r="K6" s="57"/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  <c r="AD6" s="57"/>
    </row>
    <row r="7" spans="1:30" x14ac:dyDescent="0.15">
      <c r="A7" s="61" t="s">
        <v>267</v>
      </c>
      <c r="B7" s="57" t="s">
        <v>117</v>
      </c>
      <c r="C7" s="62">
        <v>65526</v>
      </c>
      <c r="D7" s="57" t="s">
        <v>107</v>
      </c>
      <c r="E7" s="56" t="str">
        <f>B7&amp;C7&amp;D7</f>
        <v>enemy_skills_i18n_65526.tmp</v>
      </c>
      <c r="F7" s="57" t="s">
        <v>118</v>
      </c>
      <c r="G7" s="58" t="s">
        <v>78</v>
      </c>
      <c r="H7" s="58" t="s">
        <v>91</v>
      </c>
      <c r="I7" s="58" t="s">
        <v>92</v>
      </c>
      <c r="J7" s="58" t="s">
        <v>93</v>
      </c>
      <c r="K7" s="57"/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  <c r="AD7" s="57"/>
    </row>
    <row r="8" spans="1:30" x14ac:dyDescent="0.15">
      <c r="A8" s="61" t="s">
        <v>267</v>
      </c>
      <c r="B8" s="57" t="s">
        <v>119</v>
      </c>
      <c r="C8" s="62">
        <v>65526</v>
      </c>
      <c r="D8" s="57" t="s">
        <v>120</v>
      </c>
      <c r="E8" s="56" t="str">
        <f t="shared" si="0"/>
        <v>enemy_skill_triggers_65526.tmp</v>
      </c>
      <c r="F8" s="57" t="s">
        <v>121</v>
      </c>
      <c r="G8" s="58" t="s">
        <v>94</v>
      </c>
      <c r="H8" s="58" t="s">
        <v>95</v>
      </c>
      <c r="I8" s="58" t="s">
        <v>96</v>
      </c>
      <c r="J8" s="58" t="s">
        <v>97</v>
      </c>
      <c r="K8" s="58" t="s">
        <v>122</v>
      </c>
      <c r="L8" s="58" t="s">
        <v>98</v>
      </c>
      <c r="M8" s="58" t="s">
        <v>123</v>
      </c>
      <c r="N8" s="58" t="s">
        <v>124</v>
      </c>
      <c r="O8" s="58" t="s">
        <v>125</v>
      </c>
      <c r="P8" s="58" t="s">
        <v>66</v>
      </c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  <c r="AD8" s="57"/>
    </row>
    <row r="9" spans="1:30" x14ac:dyDescent="0.15">
      <c r="A9" s="61" t="s">
        <v>188</v>
      </c>
      <c r="B9" s="67" t="s">
        <v>178</v>
      </c>
      <c r="C9" s="62">
        <v>65526</v>
      </c>
      <c r="D9" s="67" t="s">
        <v>172</v>
      </c>
      <c r="E9" s="68" t="str">
        <f t="shared" si="0"/>
        <v>stage_bug_bonuses_65526.tmp</v>
      </c>
      <c r="F9" s="67" t="s">
        <v>173</v>
      </c>
      <c r="G9" s="64" t="s">
        <v>150</v>
      </c>
      <c r="H9" s="64" t="s">
        <v>174</v>
      </c>
      <c r="I9" s="64" t="s">
        <v>175</v>
      </c>
      <c r="J9" s="66" t="s">
        <v>176</v>
      </c>
      <c r="K9" s="64" t="s">
        <v>177</v>
      </c>
      <c r="L9" s="64" t="s">
        <v>156</v>
      </c>
      <c r="M9" s="64" t="s">
        <v>157</v>
      </c>
      <c r="N9" s="64" t="s">
        <v>158</v>
      </c>
      <c r="O9" s="64" t="s">
        <v>159</v>
      </c>
      <c r="P9" s="64" t="s">
        <v>160</v>
      </c>
      <c r="Q9" s="64" t="s">
        <v>161</v>
      </c>
      <c r="R9" s="64" t="s">
        <v>162</v>
      </c>
      <c r="S9" s="64" t="s">
        <v>163</v>
      </c>
      <c r="T9" s="64" t="s">
        <v>164</v>
      </c>
      <c r="U9" s="64" t="s">
        <v>165</v>
      </c>
      <c r="V9" s="64" t="s">
        <v>166</v>
      </c>
      <c r="W9" s="64" t="s">
        <v>167</v>
      </c>
      <c r="X9" s="57"/>
      <c r="Y9" s="57"/>
      <c r="Z9" s="57"/>
      <c r="AA9" s="57"/>
      <c r="AB9" s="57"/>
      <c r="AC9" s="57"/>
      <c r="AD9" s="57"/>
    </row>
    <row r="10" spans="1:30" s="75" customFormat="1" x14ac:dyDescent="0.15">
      <c r="A10" s="61" t="s">
        <v>188</v>
      </c>
      <c r="B10" s="67" t="s">
        <v>204</v>
      </c>
      <c r="C10" s="62">
        <v>65526</v>
      </c>
      <c r="D10" s="67" t="s">
        <v>181</v>
      </c>
      <c r="E10" s="68" t="str">
        <f t="shared" si="0"/>
        <v>stage_hints_data_c_65526.tmp</v>
      </c>
      <c r="F10" s="67" t="s">
        <v>213</v>
      </c>
      <c r="G10" s="73" t="s">
        <v>182</v>
      </c>
      <c r="H10" s="73" t="s">
        <v>174</v>
      </c>
      <c r="I10" s="74" t="s">
        <v>183</v>
      </c>
      <c r="J10" s="66" t="s">
        <v>184</v>
      </c>
      <c r="K10" s="66" t="s">
        <v>185</v>
      </c>
      <c r="L10" s="103"/>
      <c r="M10" s="103"/>
      <c r="N10" s="103"/>
      <c r="O10" s="103"/>
      <c r="P10" s="103"/>
      <c r="Q10" s="103"/>
      <c r="R10" s="103"/>
      <c r="S10" s="103"/>
      <c r="T10" s="103"/>
      <c r="U10" s="103"/>
      <c r="V10" s="103"/>
      <c r="W10" s="103"/>
      <c r="X10" s="103"/>
      <c r="Y10" s="103"/>
      <c r="Z10" s="103"/>
      <c r="AA10" s="103"/>
      <c r="AB10" s="103"/>
      <c r="AC10" s="103"/>
      <c r="AD10" s="103"/>
    </row>
    <row r="11" spans="1:30" s="75" customFormat="1" x14ac:dyDescent="0.15">
      <c r="A11" s="61" t="s">
        <v>188</v>
      </c>
      <c r="B11" s="67" t="s">
        <v>205</v>
      </c>
      <c r="C11" s="62">
        <v>65526</v>
      </c>
      <c r="D11" s="67" t="s">
        <v>172</v>
      </c>
      <c r="E11" s="68" t="str">
        <f t="shared" ref="E11:E13" si="1">B11&amp;C11&amp;D11</f>
        <v>stage_hints_data_f_65526.tmp</v>
      </c>
      <c r="F11" s="67" t="s">
        <v>215</v>
      </c>
      <c r="G11" s="73" t="s">
        <v>182</v>
      </c>
      <c r="H11" s="73" t="s">
        <v>174</v>
      </c>
      <c r="I11" s="74" t="s">
        <v>183</v>
      </c>
      <c r="J11" s="66" t="s">
        <v>184</v>
      </c>
      <c r="K11" s="66" t="s">
        <v>185</v>
      </c>
      <c r="L11" s="103"/>
      <c r="M11" s="103"/>
      <c r="N11" s="103"/>
      <c r="O11" s="103"/>
      <c r="P11" s="103"/>
      <c r="Q11" s="103"/>
      <c r="R11" s="103"/>
      <c r="S11" s="103"/>
      <c r="T11" s="103"/>
      <c r="U11" s="103"/>
      <c r="V11" s="103"/>
      <c r="W11" s="103"/>
      <c r="X11" s="103"/>
      <c r="Y11" s="103"/>
      <c r="Z11" s="103"/>
      <c r="AA11" s="103"/>
      <c r="AB11" s="103"/>
      <c r="AC11" s="103"/>
      <c r="AD11" s="103"/>
    </row>
    <row r="12" spans="1:30" s="75" customFormat="1" x14ac:dyDescent="0.15">
      <c r="A12" s="67" t="s">
        <v>206</v>
      </c>
      <c r="B12" s="67" t="s">
        <v>207</v>
      </c>
      <c r="C12" s="62">
        <v>65526</v>
      </c>
      <c r="D12" s="67" t="s">
        <v>172</v>
      </c>
      <c r="E12" s="68" t="str">
        <f t="shared" si="1"/>
        <v>stage_hints_i18n_65526.tmp</v>
      </c>
      <c r="F12" s="67" t="s">
        <v>216</v>
      </c>
      <c r="G12" s="74" t="s">
        <v>208</v>
      </c>
      <c r="H12" s="95" t="s">
        <v>209</v>
      </c>
      <c r="I12" s="73" t="s">
        <v>210</v>
      </c>
      <c r="J12" s="104" t="s">
        <v>211</v>
      </c>
      <c r="K12" s="66" t="s">
        <v>212</v>
      </c>
      <c r="L12" s="103"/>
      <c r="M12" s="103"/>
      <c r="N12" s="103"/>
      <c r="O12" s="103"/>
      <c r="P12" s="103"/>
      <c r="Q12" s="103"/>
      <c r="R12" s="103"/>
      <c r="S12" s="103"/>
      <c r="T12" s="103"/>
      <c r="U12" s="103"/>
      <c r="V12" s="103"/>
      <c r="W12" s="103"/>
      <c r="X12" s="103"/>
      <c r="Y12" s="103"/>
      <c r="Z12" s="103"/>
      <c r="AA12" s="103"/>
      <c r="AB12" s="103"/>
      <c r="AC12" s="103"/>
      <c r="AD12" s="103"/>
    </row>
    <row r="13" spans="1:30" s="75" customFormat="1" x14ac:dyDescent="0.15">
      <c r="A13" s="67" t="s">
        <v>264</v>
      </c>
      <c r="B13" s="67" t="s">
        <v>263</v>
      </c>
      <c r="C13" s="62">
        <v>65526</v>
      </c>
      <c r="D13" s="67" t="s">
        <v>244</v>
      </c>
      <c r="E13" s="68" t="str">
        <f t="shared" si="1"/>
        <v>stage_bonuses_65526.tmp</v>
      </c>
      <c r="F13" s="67" t="s">
        <v>243</v>
      </c>
      <c r="G13" s="73" t="s">
        <v>245</v>
      </c>
      <c r="H13" s="73" t="s">
        <v>246</v>
      </c>
      <c r="I13" s="73" t="s">
        <v>247</v>
      </c>
      <c r="J13" s="73" t="s">
        <v>248</v>
      </c>
      <c r="K13" s="73" t="s">
        <v>249</v>
      </c>
      <c r="L13" s="73" t="s">
        <v>250</v>
      </c>
      <c r="M13" s="73" t="s">
        <v>251</v>
      </c>
      <c r="N13" s="73" t="s">
        <v>252</v>
      </c>
      <c r="O13" s="73" t="s">
        <v>253</v>
      </c>
      <c r="P13" s="73" t="s">
        <v>254</v>
      </c>
      <c r="Q13" s="73" t="s">
        <v>255</v>
      </c>
      <c r="R13" s="73" t="s">
        <v>256</v>
      </c>
      <c r="S13" s="73" t="s">
        <v>257</v>
      </c>
      <c r="T13" s="73" t="s">
        <v>258</v>
      </c>
      <c r="U13" s="73" t="s">
        <v>259</v>
      </c>
      <c r="V13" s="73" t="s">
        <v>260</v>
      </c>
      <c r="W13" s="73" t="s">
        <v>261</v>
      </c>
      <c r="X13" s="73" t="s">
        <v>262</v>
      </c>
      <c r="Y13" s="103"/>
      <c r="Z13" s="103"/>
      <c r="AA13" s="103"/>
      <c r="AB13" s="103"/>
      <c r="AC13" s="103"/>
      <c r="AD13" s="103"/>
    </row>
  </sheetData>
  <phoneticPr fontId="5"/>
  <dataValidations count="1">
    <dataValidation type="list" allowBlank="1" showInputMessage="1" showErrorMessage="1" sqref="A2:A11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7"/>
  <sheetViews>
    <sheetView showGridLines="0" workbookViewId="0">
      <pane ySplit="1" topLeftCell="A2" activePane="bottomLeft" state="frozen"/>
      <selection activeCell="V2" sqref="V2:X34"/>
      <selection pane="bottomLeft" activeCell="M4" sqref="M4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3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6" t="str">
        <f>G2&amp;"-"&amp;I2</f>
        <v>65526_1-1</v>
      </c>
      <c r="B2" s="16" t="str">
        <f>IF(COUNTIF(enemy_habitats!$H:$H,A2),"OK","NG")</f>
        <v>OK</v>
      </c>
      <c r="C2" s="7">
        <v>65526</v>
      </c>
      <c r="D2" s="11" t="str">
        <f ca="1">VLOOKUP($C2,OFFSET([2]quests!$A$1,0,0,COUNTA([2]quests!$A:$A),MATCH(D$1,[2]quests!$1:$1,0)-MATCH($C$1,[2]quests!$1:$1,0)+1),MATCH(D$1,[2]quests!$1:$1,0)-MATCH($C$1,[2]quests!$1:$1,0)+1,FALSE)</f>
        <v>【LB加藤】検証クエスト</v>
      </c>
      <c r="E2" s="18" t="str">
        <f ca="1">VLOOKUP($C2,OFFSET([2]quests!$A$1,0,0,COUNTA([2]quests!$A:$A),MATCH(E$1,[2]quests!$1:$1,0)-MATCH($C$1,[2]quests!$1:$1,0)+1),MATCH(E$1,[2]quests!$1:$1,0)-MATCH($C$1,[2]quests!$1:$1,0)+1,FALSE)</f>
        <v>検証</v>
      </c>
      <c r="F2" s="21">
        <v>1</v>
      </c>
      <c r="G2" s="23" t="str">
        <f>C2&amp;"_"&amp;F2</f>
        <v>65526_1</v>
      </c>
      <c r="H2" s="15" t="str">
        <f ca="1">VLOOKUP($G2,OFFSET([2]stages!$A$1,0,0,COUNTA([2]stages!$A:$A),MATCH(H$1,[2]stages!$2:$2,0)-MATCH($G$1,[2]stages!$2:$2,0)+1),MATCH(H$1,[2]stages!$2:$2,0)-MATCH($G$1,[2]stages!$2:$2,0)+1,FALSE)</f>
        <v>【LB加藤】検証</v>
      </c>
      <c r="I2" s="21">
        <v>1</v>
      </c>
      <c r="J2" s="12">
        <v>15</v>
      </c>
      <c r="K2" s="12">
        <v>15</v>
      </c>
    </row>
    <row r="3" spans="1:11" ht="21" customHeight="1" x14ac:dyDescent="0.15">
      <c r="A3" s="16" t="str">
        <f>G3&amp;"-"&amp;I3</f>
        <v>65526_2-1</v>
      </c>
      <c r="B3" s="16" t="str">
        <f>IF(COUNTIF(enemy_habitats!$H:$H,A3),"OK","NG")</f>
        <v>OK</v>
      </c>
      <c r="C3" s="7">
        <v>65526</v>
      </c>
      <c r="D3" s="11" t="str">
        <f ca="1">VLOOKUP($C3,OFFSET([2]quests!$A$1,0,0,COUNTA([2]quests!$A:$A),MATCH(D$1,[2]quests!$1:$1,0)-MATCH($C$1,[2]quests!$1:$1,0)+1),MATCH(D$1,[2]quests!$1:$1,0)-MATCH($C$1,[2]quests!$1:$1,0)+1,FALSE)</f>
        <v>【LB加藤】検証クエスト</v>
      </c>
      <c r="E3" s="18" t="str">
        <f ca="1">VLOOKUP($C3,OFFSET([2]quests!$A$1,0,0,COUNTA([2]quests!$A:$A),MATCH(E$1,[2]quests!$1:$1,0)-MATCH($C$1,[2]quests!$1:$1,0)+1),MATCH(E$1,[2]quests!$1:$1,0)-MATCH($C$1,[2]quests!$1:$1,0)+1,FALSE)</f>
        <v>検証</v>
      </c>
      <c r="F3" s="21">
        <v>2</v>
      </c>
      <c r="G3" s="23" t="str">
        <f>C3&amp;"_"&amp;F3</f>
        <v>65526_2</v>
      </c>
      <c r="H3" s="15" t="str">
        <f ca="1">VLOOKUP($G3,OFFSET([2]stages!$A$1,0,0,COUNTA([2]stages!$A:$A),MATCH(H$1,[2]stages!$2:$2,0)-MATCH($G$1,[2]stages!$2:$2,0)+1),MATCH(H$1,[2]stages!$2:$2,0)-MATCH($G$1,[2]stages!$2:$2,0)+1,FALSE)</f>
        <v>【LB加藤】ハップル仮実装</v>
      </c>
      <c r="I3" s="21">
        <v>1</v>
      </c>
      <c r="J3" s="12">
        <v>60</v>
      </c>
      <c r="K3" s="12">
        <v>60</v>
      </c>
    </row>
    <row r="4" spans="1:11" ht="21" customHeight="1" x14ac:dyDescent="0.15">
      <c r="A4" s="16" t="str">
        <f t="shared" ref="A4:A7" si="0">G4&amp;"-"&amp;I4</f>
        <v>65526_2-2</v>
      </c>
      <c r="B4" s="16" t="str">
        <f>IF(COUNTIF(enemy_habitats!$H:$H,A4),"OK","NG")</f>
        <v>OK</v>
      </c>
      <c r="C4" s="7">
        <v>65526</v>
      </c>
      <c r="D4" s="11" t="str">
        <f ca="1">VLOOKUP($C4,OFFSET([2]quests!$A$1,0,0,COUNTA([2]quests!$A:$A),MATCH(D$1,[2]quests!$1:$1,0)-MATCH($C$1,[2]quests!$1:$1,0)+1),MATCH(D$1,[2]quests!$1:$1,0)-MATCH($C$1,[2]quests!$1:$1,0)+1,FALSE)</f>
        <v>【LB加藤】検証クエスト</v>
      </c>
      <c r="E4" s="18" t="str">
        <f ca="1">VLOOKUP($C4,OFFSET([2]quests!$A$1,0,0,COUNTA([2]quests!$A:$A),MATCH(E$1,[2]quests!$1:$1,0)-MATCH($C$1,[2]quests!$1:$1,0)+1),MATCH(E$1,[2]quests!$1:$1,0)-MATCH($C$1,[2]quests!$1:$1,0)+1,FALSE)</f>
        <v>検証</v>
      </c>
      <c r="F4" s="21">
        <v>2</v>
      </c>
      <c r="G4" s="23" t="str">
        <f t="shared" ref="G4:G7" si="1">C4&amp;"_"&amp;F4</f>
        <v>65526_2</v>
      </c>
      <c r="H4" s="15" t="str">
        <f ca="1">VLOOKUP($G4,OFFSET([2]stages!$A$1,0,0,COUNTA([2]stages!$A:$A),MATCH(H$1,[2]stages!$2:$2,0)-MATCH($G$1,[2]stages!$2:$2,0)+1),MATCH(H$1,[2]stages!$2:$2,0)-MATCH($G$1,[2]stages!$2:$2,0)+1,FALSE)</f>
        <v>【LB加藤】ハップル仮実装</v>
      </c>
      <c r="I4" s="21">
        <v>2</v>
      </c>
      <c r="J4" s="12">
        <v>60</v>
      </c>
      <c r="K4" s="12">
        <v>60</v>
      </c>
    </row>
    <row r="5" spans="1:11" ht="21" customHeight="1" x14ac:dyDescent="0.15">
      <c r="A5" s="16" t="str">
        <f t="shared" si="0"/>
        <v>65526_2-3</v>
      </c>
      <c r="B5" s="16" t="str">
        <f>IF(COUNTIF(enemy_habitats!$H:$H,A5),"OK","NG")</f>
        <v>OK</v>
      </c>
      <c r="C5" s="7">
        <v>65526</v>
      </c>
      <c r="D5" s="11" t="str">
        <f ca="1">VLOOKUP($C5,OFFSET([2]quests!$A$1,0,0,COUNTA([2]quests!$A:$A),MATCH(D$1,[2]quests!$1:$1,0)-MATCH($C$1,[2]quests!$1:$1,0)+1),MATCH(D$1,[2]quests!$1:$1,0)-MATCH($C$1,[2]quests!$1:$1,0)+1,FALSE)</f>
        <v>【LB加藤】検証クエスト</v>
      </c>
      <c r="E5" s="18" t="str">
        <f ca="1">VLOOKUP($C5,OFFSET([2]quests!$A$1,0,0,COUNTA([2]quests!$A:$A),MATCH(E$1,[2]quests!$1:$1,0)-MATCH($C$1,[2]quests!$1:$1,0)+1),MATCH(E$1,[2]quests!$1:$1,0)-MATCH($C$1,[2]quests!$1:$1,0)+1,FALSE)</f>
        <v>検証</v>
      </c>
      <c r="F5" s="21">
        <v>2</v>
      </c>
      <c r="G5" s="23" t="str">
        <f t="shared" si="1"/>
        <v>65526_2</v>
      </c>
      <c r="H5" s="15" t="str">
        <f ca="1">VLOOKUP($G5,OFFSET([2]stages!$A$1,0,0,COUNTA([2]stages!$A:$A),MATCH(H$1,[2]stages!$2:$2,0)-MATCH($G$1,[2]stages!$2:$2,0)+1),MATCH(H$1,[2]stages!$2:$2,0)-MATCH($G$1,[2]stages!$2:$2,0)+1,FALSE)</f>
        <v>【LB加藤】ハップル仮実装</v>
      </c>
      <c r="I5" s="21">
        <v>3</v>
      </c>
      <c r="J5" s="12">
        <v>60</v>
      </c>
      <c r="K5" s="12">
        <v>60</v>
      </c>
    </row>
    <row r="6" spans="1:11" ht="21" customHeight="1" x14ac:dyDescent="0.15">
      <c r="A6" s="16" t="str">
        <f t="shared" si="0"/>
        <v>65526_2-4</v>
      </c>
      <c r="B6" s="16" t="str">
        <f>IF(COUNTIF(enemy_habitats!$H:$H,A6),"OK","NG")</f>
        <v>OK</v>
      </c>
      <c r="C6" s="7">
        <v>65526</v>
      </c>
      <c r="D6" s="11" t="str">
        <f ca="1">VLOOKUP($C6,OFFSET([2]quests!$A$1,0,0,COUNTA([2]quests!$A:$A),MATCH(D$1,[2]quests!$1:$1,0)-MATCH($C$1,[2]quests!$1:$1,0)+1),MATCH(D$1,[2]quests!$1:$1,0)-MATCH($C$1,[2]quests!$1:$1,0)+1,FALSE)</f>
        <v>【LB加藤】検証クエスト</v>
      </c>
      <c r="E6" s="18" t="str">
        <f ca="1">VLOOKUP($C6,OFFSET([2]quests!$A$1,0,0,COUNTA([2]quests!$A:$A),MATCH(E$1,[2]quests!$1:$1,0)-MATCH($C$1,[2]quests!$1:$1,0)+1),MATCH(E$1,[2]quests!$1:$1,0)-MATCH($C$1,[2]quests!$1:$1,0)+1,FALSE)</f>
        <v>検証</v>
      </c>
      <c r="F6" s="21">
        <v>2</v>
      </c>
      <c r="G6" s="23" t="str">
        <f t="shared" si="1"/>
        <v>65526_2</v>
      </c>
      <c r="H6" s="15" t="str">
        <f ca="1">VLOOKUP($G6,OFFSET([2]stages!$A$1,0,0,COUNTA([2]stages!$A:$A),MATCH(H$1,[2]stages!$2:$2,0)-MATCH($G$1,[2]stages!$2:$2,0)+1),MATCH(H$1,[2]stages!$2:$2,0)-MATCH($G$1,[2]stages!$2:$2,0)+1,FALSE)</f>
        <v>【LB加藤】ハップル仮実装</v>
      </c>
      <c r="I6" s="21">
        <v>4</v>
      </c>
      <c r="J6" s="12">
        <v>60</v>
      </c>
      <c r="K6" s="12">
        <v>60</v>
      </c>
    </row>
    <row r="7" spans="1:11" ht="21" customHeight="1" x14ac:dyDescent="0.15">
      <c r="A7" s="16" t="str">
        <f t="shared" si="0"/>
        <v>65526_2-5</v>
      </c>
      <c r="B7" s="16" t="str">
        <f>IF(COUNTIF(enemy_habitats!$H:$H,A7),"OK","NG")</f>
        <v>OK</v>
      </c>
      <c r="C7" s="7">
        <v>65526</v>
      </c>
      <c r="D7" s="11" t="str">
        <f ca="1">VLOOKUP($C7,OFFSET([2]quests!$A$1,0,0,COUNTA([2]quests!$A:$A),MATCH(D$1,[2]quests!$1:$1,0)-MATCH($C$1,[2]quests!$1:$1,0)+1),MATCH(D$1,[2]quests!$1:$1,0)-MATCH($C$1,[2]quests!$1:$1,0)+1,FALSE)</f>
        <v>【LB加藤】検証クエスト</v>
      </c>
      <c r="E7" s="18" t="str">
        <f ca="1">VLOOKUP($C7,OFFSET([2]quests!$A$1,0,0,COUNTA([2]quests!$A:$A),MATCH(E$1,[2]quests!$1:$1,0)-MATCH($C$1,[2]quests!$1:$1,0)+1),MATCH(E$1,[2]quests!$1:$1,0)-MATCH($C$1,[2]quests!$1:$1,0)+1,FALSE)</f>
        <v>検証</v>
      </c>
      <c r="F7" s="21">
        <v>2</v>
      </c>
      <c r="G7" s="23" t="str">
        <f t="shared" si="1"/>
        <v>65526_2</v>
      </c>
      <c r="H7" s="15" t="str">
        <f ca="1">VLOOKUP($G7,OFFSET([2]stages!$A$1,0,0,COUNTA([2]stages!$A:$A),MATCH(H$1,[2]stages!$2:$2,0)-MATCH($G$1,[2]stages!$2:$2,0)+1),MATCH(H$1,[2]stages!$2:$2,0)-MATCH($G$1,[2]stages!$2:$2,0)+1,FALSE)</f>
        <v>【LB加藤】ハップル仮実装</v>
      </c>
      <c r="I7" s="21">
        <v>5</v>
      </c>
      <c r="J7" s="12">
        <v>60</v>
      </c>
      <c r="K7" s="12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P10"/>
  <sheetViews>
    <sheetView showGridLines="0" zoomScale="75" zoomScaleNormal="75" zoomScalePageLayoutView="75" workbookViewId="0">
      <pane xSplit="17" ySplit="1" topLeftCell="R2" activePane="bottomRight" state="frozen"/>
      <selection pane="topRight" activeCell="N1" sqref="N1"/>
      <selection pane="bottomLeft" activeCell="A2" sqref="A2"/>
      <selection pane="bottomRight" activeCell="AC11" sqref="AC11"/>
    </sheetView>
  </sheetViews>
  <sheetFormatPr baseColWidth="12" defaultColWidth="13" defaultRowHeight="21" customHeight="1" outlineLevelCol="1" x14ac:dyDescent="0.15"/>
  <cols>
    <col min="1" max="1" width="15.83203125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9" bestFit="1" customWidth="1" collapsed="1"/>
    <col min="13" max="13" width="8.83203125" style="3" hidden="1" customWidth="1" outlineLevel="1"/>
    <col min="14" max="14" width="8.6640625" style="3" hidden="1" customWidth="1" outlineLevel="1"/>
    <col min="15" max="15" width="12" style="3" hidden="1" customWidth="1" outlineLevel="1"/>
    <col min="16" max="16" width="21" style="3" hidden="1" customWidth="1" outlineLevel="1"/>
    <col min="17" max="17" width="8" style="3" hidden="1" customWidth="1" outlineLevel="1"/>
    <col min="18" max="18" width="8.33203125" style="3" bestFit="1" customWidth="1"/>
    <col min="19" max="19" width="14.83203125" style="3" bestFit="1" customWidth="1"/>
    <col min="20" max="20" width="14.83203125" style="107" customWidth="1"/>
    <col min="21" max="21" width="17.5" style="3" bestFit="1" customWidth="1"/>
    <col min="22" max="22" width="17.5" style="3" customWidth="1"/>
    <col min="23" max="23" width="18.33203125" style="3" bestFit="1" customWidth="1"/>
    <col min="24" max="24" width="10" style="3" customWidth="1"/>
    <col min="25" max="25" width="12.1640625" style="3" customWidth="1" outlineLevel="1"/>
    <col min="26" max="26" width="11.33203125" style="3" bestFit="1" customWidth="1"/>
    <col min="27" max="27" width="11.6640625" style="3" bestFit="1" customWidth="1"/>
    <col min="28" max="28" width="10.6640625" style="3" bestFit="1" customWidth="1"/>
    <col min="29" max="29" width="9.33203125" style="3" bestFit="1" customWidth="1"/>
    <col min="30" max="30" width="13" style="3" bestFit="1" customWidth="1"/>
    <col min="31" max="31" width="8.83203125" style="13" bestFit="1" customWidth="1" outlineLevel="1"/>
    <col min="32" max="32" width="8" style="14" bestFit="1" customWidth="1" outlineLevel="1"/>
    <col min="33" max="33" width="12" style="14" bestFit="1" customWidth="1" outlineLevel="1"/>
    <col min="34" max="34" width="15" style="10" bestFit="1" customWidth="1" collapsed="1"/>
    <col min="35" max="36" width="14.83203125" style="3" bestFit="1" customWidth="1"/>
    <col min="37" max="37" width="6.6640625" style="3" bestFit="1" customWidth="1"/>
    <col min="38" max="38" width="9.33203125" style="3" bestFit="1" customWidth="1"/>
    <col min="39" max="39" width="10.33203125" style="3" bestFit="1" customWidth="1"/>
    <col min="40" max="40" width="7.6640625" style="3" bestFit="1" customWidth="1"/>
    <col min="41" max="41" width="4" style="3" bestFit="1" customWidth="1"/>
    <col min="42" max="16384" width="13" style="3"/>
  </cols>
  <sheetData>
    <row r="1" spans="1:42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20</v>
      </c>
      <c r="F1" s="30" t="s">
        <v>20</v>
      </c>
      <c r="G1" s="28" t="s">
        <v>19</v>
      </c>
      <c r="H1" s="29" t="s">
        <v>35</v>
      </c>
      <c r="I1" s="29" t="s">
        <v>14</v>
      </c>
      <c r="J1" s="29" t="s">
        <v>15</v>
      </c>
      <c r="K1" s="36" t="s">
        <v>53</v>
      </c>
      <c r="L1" s="37" t="s">
        <v>2</v>
      </c>
      <c r="M1" s="31" t="s">
        <v>21</v>
      </c>
      <c r="N1" s="29" t="s">
        <v>24</v>
      </c>
      <c r="O1" s="29" t="s">
        <v>23</v>
      </c>
      <c r="P1" s="32" t="s">
        <v>26</v>
      </c>
      <c r="Q1" s="30" t="s">
        <v>25</v>
      </c>
      <c r="R1" s="28" t="s">
        <v>3</v>
      </c>
      <c r="S1" s="26" t="s">
        <v>48</v>
      </c>
      <c r="T1" s="105" t="s">
        <v>265</v>
      </c>
      <c r="U1" s="26" t="s">
        <v>50</v>
      </c>
      <c r="V1" s="105" t="s">
        <v>266</v>
      </c>
      <c r="W1" s="26" t="s">
        <v>52</v>
      </c>
      <c r="X1" s="29" t="s">
        <v>31</v>
      </c>
      <c r="Y1" s="28" t="s">
        <v>4</v>
      </c>
      <c r="Z1" s="28" t="s">
        <v>5</v>
      </c>
      <c r="AA1" s="28" t="s">
        <v>6</v>
      </c>
      <c r="AB1" s="28" t="s">
        <v>7</v>
      </c>
      <c r="AC1" s="28" t="s">
        <v>8</v>
      </c>
      <c r="AD1" s="33" t="s">
        <v>9</v>
      </c>
      <c r="AE1" s="34" t="s">
        <v>16</v>
      </c>
      <c r="AF1" s="34" t="s">
        <v>17</v>
      </c>
      <c r="AG1" s="34" t="s">
        <v>27</v>
      </c>
      <c r="AH1" s="33" t="s">
        <v>10</v>
      </c>
      <c r="AI1" s="28" t="s">
        <v>11</v>
      </c>
      <c r="AJ1" s="28" t="s">
        <v>12</v>
      </c>
      <c r="AK1" s="28" t="s">
        <v>38</v>
      </c>
      <c r="AL1" s="28" t="s">
        <v>40</v>
      </c>
      <c r="AM1" s="28" t="s">
        <v>42</v>
      </c>
      <c r="AN1" s="28" t="s">
        <v>44</v>
      </c>
      <c r="AO1" s="28" t="s">
        <v>46</v>
      </c>
      <c r="AP1" s="36" t="s">
        <v>180</v>
      </c>
    </row>
    <row r="2" spans="1:42" ht="21" customHeight="1" x14ac:dyDescent="0.15">
      <c r="A2" s="16" t="str">
        <f ca="1">B2&amp;"_"&amp;C2&amp;"-"&amp;G2&amp;"/"&amp;L2&amp;"&lt;lv"&amp;R2&amp;"&gt;s"&amp;AC2</f>
        <v>65526_1-1/2&lt;lv1&gt;s1</v>
      </c>
      <c r="B2" s="22">
        <v>65526</v>
      </c>
      <c r="C2" s="21">
        <v>1</v>
      </c>
      <c r="D2" s="2" t="str">
        <f>B2&amp;"_"&amp;C2</f>
        <v>65526_1</v>
      </c>
      <c r="E2" s="4" t="str">
        <f ca="1">VLOOKUP($B2,OFFSET([2]quests!$A$1,0,0,COUNTA([2]quests!$A:$A),MATCH(E$1,[2]quests!$1:$1,0)-MATCH($B$1,[2]quests!$1:$1,0)+1),MATCH(E$1,[2]quests!$1:$1,0)-MATCH($B$1,[2]quests!$1:$1,0)+1,FALSE)</f>
        <v>【LB加藤】検証クエスト</v>
      </c>
      <c r="F2" s="4" t="str">
        <f ca="1">VLOOKUP($D2,OFFSET([2]stages!$A$1,0,0,COUNTA([2]stages!$A:$A),MATCH(F$1,[2]stages!$2:$2,0)-MATCH($D$1,[2]stages!$2:$2,0)+1),MATCH(F$1,[2]stages!$2:$2,0)-MATCH($D$1,[2]stages!$2:$2,0)+1,FALSE)</f>
        <v>【LB加藤】検証</v>
      </c>
      <c r="G2" s="21">
        <v>1</v>
      </c>
      <c r="H2" s="15" t="str">
        <f>B2&amp;"_"&amp;C2&amp;"-"&amp;G2</f>
        <v>65526_1-1</v>
      </c>
      <c r="I2" s="4">
        <f ca="1">VLOOKUP($H2,OFFSET(floors!$A$1,0,0,COUNTA(floors!$A:$A),MATCH(I$1,floors!$1:$1,0)-MATCH($H$1,floors!$1:$1,0)+1),MATCH(I$1,floors!$1:$1,0)-MATCH($H$1,floors!$1:$1,0)+1,FALSE)</f>
        <v>15</v>
      </c>
      <c r="J2" s="4">
        <f ca="1">VLOOKUP($H2,OFFSET(floors!$A$1,0,0,COUNTA(floors!$A:$A),MATCH(J$1,floors!$1:$1,0)-MATCH($H$1,floors!$1:$1,0)+1),MATCH(J$1,floors!$1:$1,0)-MATCH($H$1,floors!$1:$1,0)+1,FALSE)</f>
        <v>15</v>
      </c>
      <c r="K2" s="38" t="s">
        <v>88</v>
      </c>
      <c r="L2" s="20">
        <v>2</v>
      </c>
      <c r="M2" s="17" t="str">
        <f ca="1">VLOOKUP($L2,OFFSET([3]enemies!$A$1,0,0,COUNTA([3]enemies!$A:$A),MATCH(M$1,[3]enemies!$1:$1,0)-MATCH($L$1,[3]enemies!$1:$1,0)+1),MATCH(M$1,[3]enemies!$1:$1,0)-MATCH($L$1,[3]enemies!$1:$1,0)+1,FALSE)</f>
        <v>イレギュラー・ジェリー</v>
      </c>
      <c r="N2" s="17" t="str">
        <f ca="1">VLOOKUP($L2,OFFSET([3]enemies!$A$1,0,0,COUNTA([3]enemies!$A:$A),MATCH(N$1,[3]enemies!$1:$1,0)-MATCH($L$1,[3]enemies!$1:$1,0)+1),MATCH(N$1,[3]enemies!$1:$1,0)-MATCH($L$1,[3]enemies!$1:$1,0)+1,FALSE)</f>
        <v>red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Drop1T</v>
      </c>
      <c r="P2" s="17" t="str">
        <f ca="1">VLOOKUP($L2,OFFSET([3]enemies!$A$1,0,0,COUNTA([3]enemies!$A:$A),MATCH(P$1,[3]enemies!$1:$1,0)-MATCH($L$1,[3]enemies!$1:$1,0)+1),MATCH(P$1,[3]enemies!$1:$1,0)-MATCH($L$1,[3]enemies!$1:$1,0)+1,FALSE)</f>
        <v>unknown</v>
      </c>
      <c r="Q2" s="17">
        <f ca="1">VLOOKUP($L2,OFFSET([3]enemies!$A$1,0,0,COUNTA([3]enemies!$A:$A),MATCH(Q$1,[3]enemies!$1:$1,0)-MATCH($L$1,[3]enemies!$1:$1,0)+1),MATCH(Q$1,[3]enemies!$1:$1,0)-MATCH($L$1,[3]enemies!$1:$1,0)+1,FALSE)</f>
        <v>15</v>
      </c>
      <c r="R2" s="5">
        <v>1</v>
      </c>
      <c r="S2" s="25">
        <v>1</v>
      </c>
      <c r="T2" s="106">
        <f ca="1">ROUND(VLOOKUP(R2,[3]enemy_base_stats!$A:$F,2,FALSE) *INDIRECT("[EnemyMasterData.xlsm]enemies!Y"&amp;(L2+1))*  INDIRECT("[EnemyMasterData.xlsm]enemies!J"&amp;(L2+1))* INDIRECT("[EnemyMasterData.xlsm]enemies!O"&amp;(L2+1))* INDIRECT("[EnemyMasterData.xlsm]enemies!E"&amp;(L2+1))* INDIRECT("[EnemyMasterData.xlsm]enemies!S"&amp;(L2+1))* INDIRECT("[EnemyMasterData.xlsm]enemies!AD"&amp;(L2+1))*[4]ステータス!$B$2,0)*S2</f>
        <v>500</v>
      </c>
      <c r="U2" s="25">
        <v>1</v>
      </c>
      <c r="V2" s="106">
        <f ca="1">ROUND(VLOOKUP(R2,[3]enemy_base_stats!$A:$F,3,FALSE) *INDIRECT("[EnemyMasterData.xlsm]enemies!Z"&amp;(L2+1))*  INDIRECT("[EnemyMasterData.xlsm]enemies!K"&amp;(L2+1))* INDIRECT("[EnemyMasterData.xlsm]enemies!P"&amp;(L2+1))* INDIRECT("[EnemyMasterData.xlsm]enemies!F"&amp;(L2+1))* INDIRECT("[EnemyMasterData.xlsm]enemies!T"&amp;(L2+1))* INDIRECT("[EnemyMasterData.xlsm]enemies!AE"&amp;(L2+1))*[4]ステータス!$C$2,0)*U2</f>
        <v>203</v>
      </c>
      <c r="W2" s="5">
        <v>0</v>
      </c>
      <c r="X2" s="4" t="str">
        <f ca="1">VLOOKUP($Y2,OFFSET(enemy_skill_sets!$B$1,0,0,COUNTA(enemy_skill_sets!$B:$B),MATCH(M$1,enemy_skill_sets!$1:$1,0)-MATCH($Y$1,enemy_skill_sets!$1:$1,0)+2),MATCH(M$1,enemy_skill_sets!$1:$1,0)-MATCH($Y$1,enemy_skill_sets!$1:$1,0)+2,FALSE)</f>
        <v>全体攻撃</v>
      </c>
      <c r="Y2" s="47">
        <v>65526000</v>
      </c>
      <c r="Z2" s="6">
        <v>0</v>
      </c>
      <c r="AA2" s="6">
        <v>100</v>
      </c>
      <c r="AB2" s="6">
        <v>0</v>
      </c>
      <c r="AC2" s="17">
        <f ca="1">VLOOKUP($L2,OFFSET([3]enemies!$A$1,0,0,COUNTA([3]enemies!$A:$A),MATCH(AC$1,[3]enemies!$1:$1,0)-MATCH($L$1,[3]enemies!$1:$1,0)+1),MATCH(AC$1,[3]enemies!$1:$1,0)-MATCH($L$1,[3]enemies!$1:$1,0)+1,FALSE)</f>
        <v>1</v>
      </c>
      <c r="AD2" s="24">
        <f>L2</f>
        <v>2</v>
      </c>
      <c r="AE2" s="4" t="str">
        <f ca="1">VLOOKUP($AD2,OFFSET([4]characters!$A$1,0,0,COUNTA([4]characters!$A:$A),MATCH(AE$1,[4]characters!$1:$1,0)-MATCH("character_id",[4]characters!$1:$1,0)+1),MATCH(AE$1,[4]characters!$1:$1,0)-MATCH("character_id",[4]characters!$1:$1,0)+1,FALSE)</f>
        <v>イレギュラー・ジェリー</v>
      </c>
      <c r="AF2" s="4">
        <f ca="1">VLOOKUP($AD2,OFFSET([4]characters!$A$1,0,0,COUNTA([4]characters!$A:$A),MATCH(AF$1,[4]characters!$1:$1,0)-MATCH("character_id",[4]characters!$1:$1,0)+1),MATCH(AF$1,[4]characters!$1:$1,0)-MATCH("character_id",[4]characters!$1:$1,0)+1,FALSE)</f>
        <v>2</v>
      </c>
      <c r="AG2" s="4" t="str">
        <f ca="1">VLOOKUP($AD2,OFFSET([4]characters!$A$1,0,0,COUNTA([4]characters!$A:$A),MATCH(AG$1,[4]characters!$1:$1,0)-MATCH("character_id",[4]characters!$1:$1,0)+1),MATCH(AG$1,[4]characters!$1:$1,0)-MATCH("character_id",[4]characters!$1:$1,0)+1,FALSE)</f>
        <v>Drop1T</v>
      </c>
      <c r="AH2" s="7">
        <v>1</v>
      </c>
      <c r="AI2" s="24">
        <f ca="1">AF2</f>
        <v>2</v>
      </c>
      <c r="AJ2" s="8">
        <v>60</v>
      </c>
      <c r="AK2" s="7">
        <v>0</v>
      </c>
      <c r="AL2" s="7">
        <v>0</v>
      </c>
      <c r="AM2" s="7">
        <v>0</v>
      </c>
      <c r="AN2" s="7">
        <v>0</v>
      </c>
      <c r="AO2" s="7">
        <v>1</v>
      </c>
      <c r="AP2" s="69">
        <v>1</v>
      </c>
    </row>
    <row r="3" spans="1:42" ht="21" customHeight="1" x14ac:dyDescent="0.15">
      <c r="A3" s="16" t="str">
        <f>B3&amp;"_"&amp;C3&amp;"-"&amp;G3&amp;"/"&amp;L3&amp;"&lt;lv"&amp;R3&amp;"&gt;s"&amp;AC3</f>
        <v>65526_2-1/19&lt;lv80&gt;s1</v>
      </c>
      <c r="B3" s="22">
        <v>65526</v>
      </c>
      <c r="C3" s="21">
        <v>2</v>
      </c>
      <c r="D3" s="2" t="str">
        <f>B3&amp;"_"&amp;C3</f>
        <v>65526_2</v>
      </c>
      <c r="E3" s="4" t="str">
        <f ca="1">VLOOKUP($B3,OFFSET([2]quests!$A$1,0,0,COUNTA([2]quests!$A:$A),MATCH(E$1,[2]quests!$1:$1,0)-MATCH($B$1,[2]quests!$1:$1,0)+1),MATCH(E$1,[2]quests!$1:$1,0)-MATCH($B$1,[2]quests!$1:$1,0)+1,FALSE)</f>
        <v>【LB加藤】検証クエスト</v>
      </c>
      <c r="F3" s="4" t="str">
        <f ca="1">VLOOKUP($D3,OFFSET([2]stages!$A$1,0,0,COUNTA([2]stages!$A:$A),MATCH(F$1,[2]stages!$2:$2,0)-MATCH($D$1,[2]stages!$2:$2,0)+1),MATCH(F$1,[2]stages!$2:$2,0)-MATCH($D$1,[2]stages!$2:$2,0)+1,FALSE)</f>
        <v>【LB加藤】ハップル仮実装</v>
      </c>
      <c r="G3" s="21">
        <v>1</v>
      </c>
      <c r="H3" s="15" t="str">
        <f>B3&amp;"_"&amp;C3&amp;"-"&amp;G3</f>
        <v>65526_2-1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 t="s">
        <v>88</v>
      </c>
      <c r="L3" s="20">
        <v>19</v>
      </c>
      <c r="M3" s="17" t="str">
        <f ca="1">VLOOKUP($L3,OFFSET([3]enemies!$A$1,0,0,COUNTA([3]enemies!$A:$A),MATCH(M$1,[3]enemies!$1:$1,0)-MATCH($L$1,[3]enemies!$1:$1,0)+1),MATCH(M$1,[3]enemies!$1:$1,0)-MATCH($L$1,[3]enemies!$1:$1,0)+1,FALSE)</f>
        <v>ティンク</v>
      </c>
      <c r="N3" s="17" t="str">
        <f ca="1">VLOOKUP($L3,OFFSET([3]enemies!$A$1,0,0,COUNTA([3]enemies!$A:$A),MATCH(N$1,[3]enemies!$1:$1,0)-MATCH($L$1,[3]enemies!$1:$1,0)+1),MATCH(N$1,[3]enemies!$1:$1,0)-MATCH($L$1,[3]enemies!$1:$1,0)+1,FALSE)</f>
        <v>yellow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Drop1W</v>
      </c>
      <c r="P3" s="17" t="str">
        <f ca="1">VLOOKUP($L3,OFFSET([3]enemies!$A$1,0,0,COUNTA([3]enemies!$A:$A),MATCH(P$1,[3]enemies!$1:$1,0)-MATCH($L$1,[3]enemies!$1:$1,0)+1),MATCH(P$1,[3]enemies!$1:$1,0)-MATCH($L$1,[3]enemies!$1:$1,0)+1,FALSE)</f>
        <v>human</v>
      </c>
      <c r="Q3" s="17">
        <f ca="1">VLOOKUP($L3,OFFSET([3]enemies!$A$1,0,0,COUNTA([3]enemies!$A:$A),MATCH(Q$1,[3]enemies!$1:$1,0)-MATCH($L$1,[3]enemies!$1:$1,0)+1),MATCH(Q$1,[3]enemies!$1:$1,0)-MATCH($L$1,[3]enemies!$1:$1,0)+1,FALSE)</f>
        <v>15</v>
      </c>
      <c r="R3" s="5">
        <v>80</v>
      </c>
      <c r="S3" s="25">
        <v>1</v>
      </c>
      <c r="T3" s="106">
        <f ca="1">ROUND(VLOOKUP(R3,[3]enemy_base_stats!$A:$F,2,FALSE) *INDIRECT("[EnemyMasterData.xlsm]enemies!Y"&amp;(L3+1))*  INDIRECT("[EnemyMasterData.xlsm]enemies!J"&amp;(L3+1))* INDIRECT("[EnemyMasterData.xlsm]enemies!O"&amp;(L3+1))* INDIRECT("[EnemyMasterData.xlsm]enemies!E"&amp;(L3+1))* INDIRECT("[EnemyMasterData.xlsm]enemies!S"&amp;(L3+1))* INDIRECT("[EnemyMasterData.xlsm]enemies!AD"&amp;(L3+1))*[4]ステータス!$B$2,0)*S3</f>
        <v>15016</v>
      </c>
      <c r="U3" s="25">
        <v>1</v>
      </c>
      <c r="V3" s="106">
        <f ca="1">ROUND(VLOOKUP(R3,[3]enemy_base_stats!$A:$F,3,FALSE) *INDIRECT("[EnemyMasterData.xlsm]enemies!Z"&amp;(L3+1))*  INDIRECT("[EnemyMasterData.xlsm]enemies!K"&amp;(L3+1))* INDIRECT("[EnemyMasterData.xlsm]enemies!P"&amp;(L3+1))* INDIRECT("[EnemyMasterData.xlsm]enemies!F"&amp;(L3+1))* INDIRECT("[EnemyMasterData.xlsm]enemies!T"&amp;(L3+1))* INDIRECT("[EnemyMasterData.xlsm]enemies!AE"&amp;(L3+1))*[4]ステータス!$C$2,0)*U3</f>
        <v>4890</v>
      </c>
      <c r="W3" s="5">
        <v>0</v>
      </c>
      <c r="X3" s="4" t="str">
        <f ca="1">VLOOKUP($Y3,OFFSET(enemy_skill_sets!$B$1,0,0,COUNTA(enemy_skill_sets!$B:$B),MATCH(M$1,enemy_skill_sets!$1:$1,0)-MATCH($Y$1,enemy_skill_sets!$1:$1,0)+2),MATCH(M$1,enemy_skill_sets!$1:$1,0)-MATCH($Y$1,enemy_skill_sets!$1:$1,0)+2,FALSE)</f>
        <v>クリティカル</v>
      </c>
      <c r="Y3" s="47">
        <v>65526001</v>
      </c>
      <c r="Z3" s="6">
        <v>2</v>
      </c>
      <c r="AA3" s="6">
        <v>100</v>
      </c>
      <c r="AB3" s="6">
        <v>0</v>
      </c>
      <c r="AC3" s="17">
        <v>1</v>
      </c>
      <c r="AD3" s="24">
        <f>L3</f>
        <v>19</v>
      </c>
      <c r="AE3" s="4" t="str">
        <f ca="1">VLOOKUP($AD3,OFFSET([4]characters!$A$1,0,0,COUNTA([4]characters!$A:$A),MATCH(AE$1,[4]characters!$1:$1,0)-MATCH("character_id",[4]characters!$1:$1,0)+1),MATCH(AE$1,[4]characters!$1:$1,0)-MATCH("character_id",[4]characters!$1:$1,0)+1,FALSE)</f>
        <v>ティンク</v>
      </c>
      <c r="AF3" s="4">
        <f ca="1">VLOOKUP($AD3,OFFSET([4]characters!$A$1,0,0,COUNTA([4]characters!$A:$A),MATCH(AF$1,[4]characters!$1:$1,0)-MATCH("character_id",[4]characters!$1:$1,0)+1),MATCH(AF$1,[4]characters!$1:$1,0)-MATCH("character_id",[4]characters!$1:$1,0)+1,FALSE)</f>
        <v>1</v>
      </c>
      <c r="AG3" s="4" t="str">
        <f ca="1">VLOOKUP($AD3,OFFSET([4]characters!$A$1,0,0,COUNTA([4]characters!$A:$A),MATCH(AG$1,[4]characters!$1:$1,0)-MATCH("character_id",[4]characters!$1:$1,0)+1),MATCH(AG$1,[4]characters!$1:$1,0)-MATCH("character_id",[4]characters!$1:$1,0)+1,FALSE)</f>
        <v>Drop1W</v>
      </c>
      <c r="AH3" s="7">
        <v>1</v>
      </c>
      <c r="AI3" s="24">
        <f ca="1">AF3</f>
        <v>1</v>
      </c>
      <c r="AJ3" s="8">
        <v>0</v>
      </c>
      <c r="AK3" s="7">
        <v>0</v>
      </c>
      <c r="AL3" s="7">
        <v>0</v>
      </c>
      <c r="AM3" s="7">
        <v>0</v>
      </c>
      <c r="AN3" s="7">
        <v>0</v>
      </c>
      <c r="AO3" s="7">
        <v>1</v>
      </c>
      <c r="AP3" s="69">
        <v>1</v>
      </c>
    </row>
    <row r="4" spans="1:42" ht="21" customHeight="1" x14ac:dyDescent="0.15">
      <c r="A4" s="16" t="str">
        <f>B4&amp;"_"&amp;C4&amp;"-"&amp;G4&amp;"/"&amp;L4&amp;"&lt;lv"&amp;R4&amp;"&gt;s"&amp;AC4</f>
        <v>65526_2-1/156&lt;lv80&gt;s2</v>
      </c>
      <c r="B4" s="22">
        <v>65526</v>
      </c>
      <c r="C4" s="21">
        <v>2</v>
      </c>
      <c r="D4" s="2" t="str">
        <f>B4&amp;"_"&amp;C4</f>
        <v>65526_2</v>
      </c>
      <c r="E4" s="4" t="str">
        <f ca="1">VLOOKUP($B4,OFFSET([2]quests!$A$1,0,0,COUNTA([2]quests!$A:$A),MATCH(E$1,[2]quests!$1:$1,0)-MATCH($B$1,[2]quests!$1:$1,0)+1),MATCH(E$1,[2]quests!$1:$1,0)-MATCH($B$1,[2]quests!$1:$1,0)+1,FALSE)</f>
        <v>【LB加藤】検証クエスト</v>
      </c>
      <c r="F4" s="4" t="str">
        <f ca="1">VLOOKUP($D4,OFFSET([2]stages!$A$1,0,0,COUNTA([2]stages!$A:$A),MATCH(F$1,[2]stages!$2:$2,0)-MATCH($D$1,[2]stages!$2:$2,0)+1),MATCH(F$1,[2]stages!$2:$2,0)-MATCH($D$1,[2]stages!$2:$2,0)+1,FALSE)</f>
        <v>【LB加藤】ハップル仮実装</v>
      </c>
      <c r="G4" s="21">
        <v>1</v>
      </c>
      <c r="H4" s="15" t="str">
        <f>B4&amp;"_"&amp;C4&amp;"-"&amp;G4</f>
        <v>65526_2-1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 t="s">
        <v>88</v>
      </c>
      <c r="L4" s="20">
        <v>156</v>
      </c>
      <c r="M4" s="17" t="str">
        <f ca="1">VLOOKUP($L4,OFFSET([3]enemies!$A$1,0,0,COUNTA([3]enemies!$A:$A),MATCH(M$1,[3]enemies!$1:$1,0)-MATCH($L$1,[3]enemies!$1:$1,0)+1),MATCH(M$1,[3]enemies!$1:$1,0)-MATCH($L$1,[3]enemies!$1:$1,0)+1,FALSE)</f>
        <v>踊り子 エレナ</v>
      </c>
      <c r="N4" s="17" t="str">
        <f ca="1">VLOOKUP($L4,OFFSET([3]enemies!$A$1,0,0,COUNTA([3]enemies!$A:$A),MATCH(N$1,[3]enemies!$1:$1,0)-MATCH($L$1,[3]enemies!$1:$1,0)+1),MATCH(N$1,[3]enemies!$1:$1,0)-MATCH($L$1,[3]enemies!$1:$1,0)+1,FALSE)</f>
        <v>yellow</v>
      </c>
      <c r="O4" s="17" t="str">
        <f ca="1">VLOOKUP($L4,OFFSET([4]characters!$A$1,0,0,COUNTA([4]characters!$A:$A),MATCH(O$1,[4]characters!$1:$1,0)-MATCH($L$1,[4]characters!$1:$1,0)+1),MATCH(O$1,[4]characters!$1:$1,0)-MATCH($L$1,[4]characters!$1:$1,0)+1,FALSE)</f>
        <v>PremiumW</v>
      </c>
      <c r="P4" s="17" t="str">
        <f ca="1">VLOOKUP($L4,OFFSET([3]enemies!$A$1,0,0,COUNTA([3]enemies!$A:$A),MATCH(P$1,[3]enemies!$1:$1,0)-MATCH($L$1,[3]enemies!$1:$1,0)+1),MATCH(P$1,[3]enemies!$1:$1,0)-MATCH($L$1,[3]enemies!$1:$1,0)+1,FALSE)</f>
        <v>human</v>
      </c>
      <c r="Q4" s="17">
        <f ca="1">VLOOKUP($L4,OFFSET([3]enemies!$A$1,0,0,COUNTA([3]enemies!$A:$A),MATCH(Q$1,[3]enemies!$1:$1,0)-MATCH($L$1,[3]enemies!$1:$1,0)+1),MATCH(Q$1,[3]enemies!$1:$1,0)-MATCH($L$1,[3]enemies!$1:$1,0)+1,FALSE)</f>
        <v>20</v>
      </c>
      <c r="R4" s="5">
        <v>80</v>
      </c>
      <c r="S4" s="25">
        <v>1</v>
      </c>
      <c r="T4" s="106">
        <f ca="1">ROUND(VLOOKUP(R4,[3]enemy_base_stats!$A:$F,2,FALSE) *INDIRECT("[EnemyMasterData.xlsm]enemies!Y"&amp;(L4+1))*  INDIRECT("[EnemyMasterData.xlsm]enemies!J"&amp;(L4+1))* INDIRECT("[EnemyMasterData.xlsm]enemies!O"&amp;(L4+1))* INDIRECT("[EnemyMasterData.xlsm]enemies!E"&amp;(L4+1))* INDIRECT("[EnemyMasterData.xlsm]enemies!S"&amp;(L4+1))* INDIRECT("[EnemyMasterData.xlsm]enemies!AD"&amp;(L4+1))*[4]ステータス!$B$2,0)*S4</f>
        <v>66068</v>
      </c>
      <c r="U4" s="25">
        <v>1</v>
      </c>
      <c r="V4" s="106">
        <f ca="1">ROUND(VLOOKUP(R4,[3]enemy_base_stats!$A:$F,3,FALSE) *INDIRECT("[EnemyMasterData.xlsm]enemies!Z"&amp;(L4+1))*  INDIRECT("[EnemyMasterData.xlsm]enemies!K"&amp;(L4+1))* INDIRECT("[EnemyMasterData.xlsm]enemies!P"&amp;(L4+1))* INDIRECT("[EnemyMasterData.xlsm]enemies!F"&amp;(L4+1))* INDIRECT("[EnemyMasterData.xlsm]enemies!T"&amp;(L4+1))* INDIRECT("[EnemyMasterData.xlsm]enemies!AE"&amp;(L4+1))*[4]ステータス!$C$2,0)*U4</f>
        <v>5950</v>
      </c>
      <c r="W4" s="5">
        <v>0</v>
      </c>
      <c r="X4" s="4" t="str">
        <f ca="1">VLOOKUP($Y4,OFFSET(enemy_skill_sets!$B$1,0,0,COUNTA(enemy_skill_sets!$B:$B),MATCH(M$1,enemy_skill_sets!$1:$1,0)-MATCH($Y$1,enemy_skill_sets!$1:$1,0)+2),MATCH(M$1,enemy_skill_sets!$1:$1,0)-MATCH($Y$1,enemy_skill_sets!$1:$1,0)+2,FALSE)</f>
        <v>全体攻撃</v>
      </c>
      <c r="Y4" s="47">
        <v>65526000</v>
      </c>
      <c r="Z4" s="6">
        <v>1</v>
      </c>
      <c r="AA4" s="6">
        <v>100</v>
      </c>
      <c r="AB4" s="6">
        <v>1</v>
      </c>
      <c r="AC4" s="17">
        <v>2</v>
      </c>
      <c r="AD4" s="24">
        <f>L4</f>
        <v>156</v>
      </c>
      <c r="AE4" s="4" t="str">
        <f ca="1">VLOOKUP($AD4,OFFSET([4]characters!$A$1,0,0,COUNTA([4]characters!$A:$A),MATCH(AE$1,[4]characters!$1:$1,0)-MATCH("character_id",[4]characters!$1:$1,0)+1),MATCH(AE$1,[4]characters!$1:$1,0)-MATCH("character_id",[4]characters!$1:$1,0)+1,FALSE)</f>
        <v>踊り子 エレナ</v>
      </c>
      <c r="AF4" s="4">
        <f ca="1">VLOOKUP($AD4,OFFSET([4]characters!$A$1,0,0,COUNTA([4]characters!$A:$A),MATCH(AF$1,[4]characters!$1:$1,0)-MATCH("character_id",[4]characters!$1:$1,0)+1),MATCH(AF$1,[4]characters!$1:$1,0)-MATCH("character_id",[4]characters!$1:$1,0)+1,FALSE)</f>
        <v>3</v>
      </c>
      <c r="AG4" s="4" t="str">
        <f ca="1">VLOOKUP($AD4,OFFSET([4]characters!$A$1,0,0,COUNTA([4]characters!$A:$A),MATCH(AG$1,[4]characters!$1:$1,0)-MATCH("character_id",[4]characters!$1:$1,0)+1),MATCH(AG$1,[4]characters!$1:$1,0)-MATCH("character_id",[4]characters!$1:$1,0)+1,FALSE)</f>
        <v>PremiumW</v>
      </c>
      <c r="AH4" s="7">
        <v>1</v>
      </c>
      <c r="AI4" s="24">
        <f ca="1">AF4</f>
        <v>3</v>
      </c>
      <c r="AJ4" s="8">
        <v>0</v>
      </c>
      <c r="AK4" s="7">
        <v>0</v>
      </c>
      <c r="AL4" s="7">
        <v>0</v>
      </c>
      <c r="AM4" s="7">
        <v>0</v>
      </c>
      <c r="AN4" s="7">
        <v>0</v>
      </c>
      <c r="AO4" s="7">
        <v>1</v>
      </c>
      <c r="AP4" s="69">
        <v>1</v>
      </c>
    </row>
    <row r="5" spans="1:42" ht="21" customHeight="1" x14ac:dyDescent="0.15">
      <c r="A5" s="16" t="str">
        <f t="shared" ref="A5:A6" si="0">B5&amp;"_"&amp;C5&amp;"-"&amp;G5&amp;"/"&amp;L5&amp;"&lt;lv"&amp;R5&amp;"&gt;s"&amp;AC5</f>
        <v>65526_2-2/55&lt;lv80&gt;s1</v>
      </c>
      <c r="B5" s="22">
        <v>65526</v>
      </c>
      <c r="C5" s="21">
        <v>2</v>
      </c>
      <c r="D5" s="2" t="str">
        <f t="shared" ref="D5:D6" si="1">B5&amp;"_"&amp;C5</f>
        <v>65526_2</v>
      </c>
      <c r="E5" s="4" t="str">
        <f ca="1">VLOOKUP($B5,OFFSET([2]quests!$A$1,0,0,COUNTA([2]quests!$A:$A),MATCH(E$1,[2]quests!$1:$1,0)-MATCH($B$1,[2]quests!$1:$1,0)+1),MATCH(E$1,[2]quests!$1:$1,0)-MATCH($B$1,[2]quests!$1:$1,0)+1,FALSE)</f>
        <v>【LB加藤】検証クエスト</v>
      </c>
      <c r="F5" s="4" t="str">
        <f ca="1">VLOOKUP($D5,OFFSET([2]stages!$A$1,0,0,COUNTA([2]stages!$A:$A),MATCH(F$1,[2]stages!$2:$2,0)-MATCH($D$1,[2]stages!$2:$2,0)+1),MATCH(F$1,[2]stages!$2:$2,0)-MATCH($D$1,[2]stages!$2:$2,0)+1,FALSE)</f>
        <v>【LB加藤】ハップル仮実装</v>
      </c>
      <c r="G5" s="21">
        <v>2</v>
      </c>
      <c r="H5" s="15" t="str">
        <f t="shared" ref="H5:H6" si="2">B5&amp;"_"&amp;C5&amp;"-"&amp;G5</f>
        <v>65526_2-2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8" t="s">
        <v>88</v>
      </c>
      <c r="L5" s="20">
        <v>55</v>
      </c>
      <c r="M5" s="17" t="str">
        <f ca="1">VLOOKUP($L5,OFFSET([3]enemies!$A$1,0,0,COUNTA([3]enemies!$A:$A),MATCH(M$1,[3]enemies!$1:$1,0)-MATCH($L$1,[3]enemies!$1:$1,0)+1),MATCH(M$1,[3]enemies!$1:$1,0)-MATCH($L$1,[3]enemies!$1:$1,0)+1,FALSE)</f>
        <v>マミコ</v>
      </c>
      <c r="N5" s="17" t="str">
        <f ca="1">VLOOKUP($L5,OFFSET([3]enemies!$A$1,0,0,COUNTA([3]enemies!$A:$A),MATCH(N$1,[3]enemies!$1:$1,0)-MATCH($L$1,[3]enemies!$1:$1,0)+1),MATCH(N$1,[3]enemies!$1:$1,0)-MATCH($L$1,[3]enemies!$1:$1,0)+1,FALSE)</f>
        <v>yellow</v>
      </c>
      <c r="O5" s="17" t="str">
        <f ca="1">VLOOKUP($L5,OFFSET([4]characters!$A$1,0,0,COUNTA([4]characters!$A:$A),MATCH(O$1,[4]characters!$1:$1,0)-MATCH($L$1,[4]characters!$1:$1,0)+1),MATCH(O$1,[4]characters!$1:$1,0)-MATCH($L$1,[4]characters!$1:$1,0)+1,FALSE)</f>
        <v>Drop1N</v>
      </c>
      <c r="P5" s="17" t="str">
        <f ca="1">VLOOKUP($L5,OFFSET([3]enemies!$A$1,0,0,COUNTA([3]enemies!$A:$A),MATCH(P$1,[3]enemies!$1:$1,0)-MATCH($L$1,[3]enemies!$1:$1,0)+1),MATCH(P$1,[3]enemies!$1:$1,0)-MATCH($L$1,[3]enemies!$1:$1,0)+1,FALSE)</f>
        <v>human</v>
      </c>
      <c r="Q5" s="17">
        <f ca="1">VLOOKUP($L5,OFFSET([3]enemies!$A$1,0,0,COUNTA([3]enemies!$A:$A),MATCH(Q$1,[3]enemies!$1:$1,0)-MATCH($L$1,[3]enemies!$1:$1,0)+1),MATCH(Q$1,[3]enemies!$1:$1,0)-MATCH($L$1,[3]enemies!$1:$1,0)+1,FALSE)</f>
        <v>15</v>
      </c>
      <c r="R5" s="5">
        <v>80</v>
      </c>
      <c r="S5" s="25">
        <v>1</v>
      </c>
      <c r="T5" s="106">
        <f ca="1">ROUND(VLOOKUP(R5,[3]enemy_base_stats!$A:$F,2,FALSE) *INDIRECT("[EnemyMasterData.xlsm]enemies!Y"&amp;(L5+1))*  INDIRECT("[EnemyMasterData.xlsm]enemies!J"&amp;(L5+1))* INDIRECT("[EnemyMasterData.xlsm]enemies!O"&amp;(L5+1))* INDIRECT("[EnemyMasterData.xlsm]enemies!E"&amp;(L5+1))* INDIRECT("[EnemyMasterData.xlsm]enemies!S"&amp;(L5+1))* INDIRECT("[EnemyMasterData.xlsm]enemies!AD"&amp;(L5+1))*[4]ステータス!$B$2,0)*S5</f>
        <v>15016</v>
      </c>
      <c r="U5" s="25">
        <v>1</v>
      </c>
      <c r="V5" s="106">
        <f ca="1">ROUND(VLOOKUP(R5,[3]enemy_base_stats!$A:$F,3,FALSE) *INDIRECT("[EnemyMasterData.xlsm]enemies!Z"&amp;(L5+1))*  INDIRECT("[EnemyMasterData.xlsm]enemies!K"&amp;(L5+1))* INDIRECT("[EnemyMasterData.xlsm]enemies!P"&amp;(L5+1))* INDIRECT("[EnemyMasterData.xlsm]enemies!F"&amp;(L5+1))* INDIRECT("[EnemyMasterData.xlsm]enemies!T"&amp;(L5+1))* INDIRECT("[EnemyMasterData.xlsm]enemies!AE"&amp;(L5+1))*[4]ステータス!$C$2,0)*U5</f>
        <v>4890</v>
      </c>
      <c r="W5" s="5">
        <v>0</v>
      </c>
      <c r="X5" s="4" t="str">
        <f ca="1">VLOOKUP($Y5,OFFSET(enemy_skill_sets!$B$1,0,0,COUNTA(enemy_skill_sets!$B:$B),MATCH(M$1,enemy_skill_sets!$1:$1,0)-MATCH($Y$1,enemy_skill_sets!$1:$1,0)+2),MATCH(M$1,enemy_skill_sets!$1:$1,0)-MATCH($Y$1,enemy_skill_sets!$1:$1,0)+2,FALSE)</f>
        <v>ハートパネル吸収攻撃</v>
      </c>
      <c r="Y5" s="47">
        <v>65526003</v>
      </c>
      <c r="Z5" s="6">
        <v>2</v>
      </c>
      <c r="AA5" s="6">
        <v>100</v>
      </c>
      <c r="AB5" s="6">
        <v>0</v>
      </c>
      <c r="AC5" s="17">
        <v>1</v>
      </c>
      <c r="AD5" s="24">
        <f t="shared" ref="AD5:AD6" si="3">L5</f>
        <v>55</v>
      </c>
      <c r="AE5" s="4" t="str">
        <f ca="1">VLOOKUP($AD5,OFFSET([4]characters!$A$1,0,0,COUNTA([4]characters!$A:$A),MATCH(AE$1,[4]characters!$1:$1,0)-MATCH("character_id",[4]characters!$1:$1,0)+1),MATCH(AE$1,[4]characters!$1:$1,0)-MATCH("character_id",[4]characters!$1:$1,0)+1,FALSE)</f>
        <v>マミコ</v>
      </c>
      <c r="AF5" s="4">
        <f ca="1">VLOOKUP($AD5,OFFSET([4]characters!$A$1,0,0,COUNTA([4]characters!$A:$A),MATCH(AF$1,[4]characters!$1:$1,0)-MATCH("character_id",[4]characters!$1:$1,0)+1),MATCH(AF$1,[4]characters!$1:$1,0)-MATCH("character_id",[4]characters!$1:$1,0)+1,FALSE)</f>
        <v>2</v>
      </c>
      <c r="AG5" s="4" t="str">
        <f ca="1">VLOOKUP($AD5,OFFSET([4]characters!$A$1,0,0,COUNTA([4]characters!$A:$A),MATCH(AG$1,[4]characters!$1:$1,0)-MATCH("character_id",[4]characters!$1:$1,0)+1),MATCH(AG$1,[4]characters!$1:$1,0)-MATCH("character_id",[4]characters!$1:$1,0)+1,FALSE)</f>
        <v>Drop1N</v>
      </c>
      <c r="AH5" s="7">
        <v>1</v>
      </c>
      <c r="AI5" s="24">
        <f t="shared" ref="AI5:AI6" ca="1" si="4">AF5</f>
        <v>2</v>
      </c>
      <c r="AJ5" s="8">
        <v>0</v>
      </c>
      <c r="AK5" s="7">
        <v>0</v>
      </c>
      <c r="AL5" s="7">
        <v>0</v>
      </c>
      <c r="AM5" s="7">
        <v>0</v>
      </c>
      <c r="AN5" s="7">
        <v>0</v>
      </c>
      <c r="AO5" s="7">
        <v>1</v>
      </c>
      <c r="AP5" s="69">
        <v>1</v>
      </c>
    </row>
    <row r="6" spans="1:42" ht="21" customHeight="1" x14ac:dyDescent="0.15">
      <c r="A6" s="16" t="str">
        <f t="shared" si="0"/>
        <v>65526_2-2/387&lt;lv80&gt;s2</v>
      </c>
      <c r="B6" s="22">
        <v>65526</v>
      </c>
      <c r="C6" s="21">
        <v>2</v>
      </c>
      <c r="D6" s="2" t="str">
        <f t="shared" si="1"/>
        <v>65526_2</v>
      </c>
      <c r="E6" s="4" t="str">
        <f ca="1">VLOOKUP($B6,OFFSET([2]quests!$A$1,0,0,COUNTA([2]quests!$A:$A),MATCH(E$1,[2]quests!$1:$1,0)-MATCH($B$1,[2]quests!$1:$1,0)+1),MATCH(E$1,[2]quests!$1:$1,0)-MATCH($B$1,[2]quests!$1:$1,0)+1,FALSE)</f>
        <v>【LB加藤】検証クエスト</v>
      </c>
      <c r="F6" s="4" t="str">
        <f ca="1">VLOOKUP($D6,OFFSET([2]stages!$A$1,0,0,COUNTA([2]stages!$A:$A),MATCH(F$1,[2]stages!$2:$2,0)-MATCH($D$1,[2]stages!$2:$2,0)+1),MATCH(F$1,[2]stages!$2:$2,0)-MATCH($D$1,[2]stages!$2:$2,0)+1,FALSE)</f>
        <v>【LB加藤】ハップル仮実装</v>
      </c>
      <c r="G6" s="21">
        <v>2</v>
      </c>
      <c r="H6" s="15" t="str">
        <f t="shared" si="2"/>
        <v>65526_2-2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38" t="s">
        <v>88</v>
      </c>
      <c r="L6" s="20">
        <v>387</v>
      </c>
      <c r="M6" s="17" t="str">
        <f ca="1">VLOOKUP($L6,OFFSET([3]enemies!$A$1,0,0,COUNTA([3]enemies!$A:$A),MATCH(M$1,[3]enemies!$1:$1,0)-MATCH($L$1,[3]enemies!$1:$1,0)+1),MATCH(M$1,[3]enemies!$1:$1,0)-MATCH($L$1,[3]enemies!$1:$1,0)+1,FALSE)</f>
        <v>スフィンクス</v>
      </c>
      <c r="N6" s="17" t="str">
        <f ca="1">VLOOKUP($L6,OFFSET([3]enemies!$A$1,0,0,COUNTA([3]enemies!$A:$A),MATCH(N$1,[3]enemies!$1:$1,0)-MATCH($L$1,[3]enemies!$1:$1,0)+1),MATCH(N$1,[3]enemies!$1:$1,0)-MATCH($L$1,[3]enemies!$1:$1,0)+1,FALSE)</f>
        <v>yellow</v>
      </c>
      <c r="O6" s="17" t="str">
        <f ca="1">VLOOKUP($L6,OFFSET([4]characters!$A$1,0,0,COUNTA([4]characters!$A:$A),MATCH(O$1,[4]characters!$1:$1,0)-MATCH($L$1,[4]characters!$1:$1,0)+1),MATCH(O$1,[4]characters!$1:$1,0)-MATCH($L$1,[4]characters!$1:$1,0)+1,FALSE)</f>
        <v>PremiumS</v>
      </c>
      <c r="P6" s="17" t="str">
        <f ca="1">VLOOKUP($L6,OFFSET([3]enemies!$A$1,0,0,COUNTA([3]enemies!$A:$A),MATCH(P$1,[3]enemies!$1:$1,0)-MATCH($L$1,[3]enemies!$1:$1,0)+1),MATCH(P$1,[3]enemies!$1:$1,0)-MATCH($L$1,[3]enemies!$1:$1,0)+1,FALSE)</f>
        <v>animal</v>
      </c>
      <c r="Q6" s="17">
        <f ca="1">VLOOKUP($L6,OFFSET([3]enemies!$A$1,0,0,COUNTA([3]enemies!$A:$A),MATCH(Q$1,[3]enemies!$1:$1,0)-MATCH($L$1,[3]enemies!$1:$1,0)+1),MATCH(Q$1,[3]enemies!$1:$1,0)-MATCH($L$1,[3]enemies!$1:$1,0)+1,FALSE)</f>
        <v>25</v>
      </c>
      <c r="R6" s="5">
        <v>80</v>
      </c>
      <c r="S6" s="25">
        <v>1</v>
      </c>
      <c r="T6" s="106">
        <f ca="1">ROUND(VLOOKUP(R6,[3]enemy_base_stats!$A:$F,2,FALSE) *INDIRECT("[EnemyMasterData.xlsm]enemies!Y"&amp;(L6+1))*  INDIRECT("[EnemyMasterData.xlsm]enemies!J"&amp;(L6+1))* INDIRECT("[EnemyMasterData.xlsm]enemies!O"&amp;(L6+1))* INDIRECT("[EnemyMasterData.xlsm]enemies!E"&amp;(L6+1))* INDIRECT("[EnemyMasterData.xlsm]enemies!S"&amp;(L6+1))* INDIRECT("[EnemyMasterData.xlsm]enemies!AD"&amp;(L6+1))*[4]ステータス!$B$2,0)*S6</f>
        <v>76675</v>
      </c>
      <c r="U6" s="25">
        <v>1</v>
      </c>
      <c r="V6" s="106">
        <f ca="1">ROUND(VLOOKUP(R6,[3]enemy_base_stats!$A:$F,3,FALSE) *INDIRECT("[EnemyMasterData.xlsm]enemies!Z"&amp;(L6+1))*  INDIRECT("[EnemyMasterData.xlsm]enemies!K"&amp;(L6+1))* INDIRECT("[EnemyMasterData.xlsm]enemies!P"&amp;(L6+1))* INDIRECT("[EnemyMasterData.xlsm]enemies!F"&amp;(L6+1))* INDIRECT("[EnemyMasterData.xlsm]enemies!T"&amp;(L6+1))* INDIRECT("[EnemyMasterData.xlsm]enemies!AE"&amp;(L6+1))*[4]ステータス!$C$2,0)*U6</f>
        <v>6886</v>
      </c>
      <c r="W6" s="5">
        <v>0</v>
      </c>
      <c r="X6" s="4" t="str">
        <f ca="1">VLOOKUP($Y6,OFFSET(enemy_skill_sets!$B$1,0,0,COUNTA(enemy_skill_sets!$B:$B),MATCH(M$1,enemy_skill_sets!$1:$1,0)-MATCH($Y$1,enemy_skill_sets!$1:$1,0)+2),MATCH(M$1,enemy_skill_sets!$1:$1,0)-MATCH($Y$1,enemy_skill_sets!$1:$1,0)+2,FALSE)</f>
        <v>ハートパネル変換</v>
      </c>
      <c r="Y6" s="47">
        <v>65526002</v>
      </c>
      <c r="Z6" s="6">
        <v>1</v>
      </c>
      <c r="AA6" s="6">
        <v>100</v>
      </c>
      <c r="AB6" s="6">
        <v>1</v>
      </c>
      <c r="AC6" s="17">
        <v>2</v>
      </c>
      <c r="AD6" s="24">
        <f t="shared" si="3"/>
        <v>387</v>
      </c>
      <c r="AE6" s="4" t="str">
        <f ca="1">VLOOKUP($AD6,OFFSET([4]characters!$A$1,0,0,COUNTA([4]characters!$A:$A),MATCH(AE$1,[4]characters!$1:$1,0)-MATCH("character_id",[4]characters!$1:$1,0)+1),MATCH(AE$1,[4]characters!$1:$1,0)-MATCH("character_id",[4]characters!$1:$1,0)+1,FALSE)</f>
        <v>スフィンクス</v>
      </c>
      <c r="AF6" s="4">
        <f ca="1">VLOOKUP($AD6,OFFSET([4]characters!$A$1,0,0,COUNTA([4]characters!$A:$A),MATCH(AF$1,[4]characters!$1:$1,0)-MATCH("character_id",[4]characters!$1:$1,0)+1),MATCH(AF$1,[4]characters!$1:$1,0)-MATCH("character_id",[4]characters!$1:$1,0)+1,FALSE)</f>
        <v>3</v>
      </c>
      <c r="AG6" s="4" t="str">
        <f ca="1">VLOOKUP($AD6,OFFSET([4]characters!$A$1,0,0,COUNTA([4]characters!$A:$A),MATCH(AG$1,[4]characters!$1:$1,0)-MATCH("character_id",[4]characters!$1:$1,0)+1),MATCH(AG$1,[4]characters!$1:$1,0)-MATCH("character_id",[4]characters!$1:$1,0)+1,FALSE)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6" s="7">
        <v>1</v>
      </c>
      <c r="AI6" s="24">
        <f t="shared" ca="1" si="4"/>
        <v>3</v>
      </c>
      <c r="AJ6" s="8">
        <v>0</v>
      </c>
      <c r="AK6" s="7">
        <v>0</v>
      </c>
      <c r="AL6" s="7">
        <v>0</v>
      </c>
      <c r="AM6" s="7">
        <v>0</v>
      </c>
      <c r="AN6" s="7">
        <v>0</v>
      </c>
      <c r="AO6" s="7">
        <v>1</v>
      </c>
      <c r="AP6" s="69">
        <v>1</v>
      </c>
    </row>
    <row r="7" spans="1:42" ht="21" customHeight="1" x14ac:dyDescent="0.15">
      <c r="A7" s="16" t="str">
        <f>B7&amp;"_"&amp;C7&amp;"-"&amp;G7&amp;"/"&amp;L7&amp;"&lt;lv"&amp;R7&amp;"&gt;s"&amp;AC7</f>
        <v>65526_2-3/213&lt;lv80&gt;s2</v>
      </c>
      <c r="B7" s="22">
        <v>65526</v>
      </c>
      <c r="C7" s="21">
        <v>2</v>
      </c>
      <c r="D7" s="2" t="str">
        <f>B7&amp;"_"&amp;C7</f>
        <v>65526_2</v>
      </c>
      <c r="E7" s="4" t="str">
        <f ca="1">VLOOKUP($B7,OFFSET([2]quests!$A$1,0,0,COUNTA([2]quests!$A:$A),MATCH(E$1,[2]quests!$1:$1,0)-MATCH($B$1,[2]quests!$1:$1,0)+1),MATCH(E$1,[2]quests!$1:$1,0)-MATCH($B$1,[2]quests!$1:$1,0)+1,FALSE)</f>
        <v>【LB加藤】検証クエスト</v>
      </c>
      <c r="F7" s="4" t="str">
        <f ca="1">VLOOKUP($D7,OFFSET([2]stages!$A$1,0,0,COUNTA([2]stages!$A:$A),MATCH(F$1,[2]stages!$2:$2,0)-MATCH($D$1,[2]stages!$2:$2,0)+1),MATCH(F$1,[2]stages!$2:$2,0)-MATCH($D$1,[2]stages!$2:$2,0)+1,FALSE)</f>
        <v>【LB加藤】ハップル仮実装</v>
      </c>
      <c r="G7" s="21">
        <v>3</v>
      </c>
      <c r="H7" s="15" t="str">
        <f>B7&amp;"_"&amp;C7&amp;"-"&amp;G7</f>
        <v>65526_2-3</v>
      </c>
      <c r="I7" s="4">
        <f ca="1">VLOOKUP($H7,OFFSET(floors!$A$1,0,0,COUNTA(floors!$A:$A),MATCH(I$1,floors!$1:$1,0)-MATCH($H$1,floors!$1:$1,0)+1),MATCH(I$1,floors!$1:$1,0)-MATCH($H$1,floors!$1:$1,0)+1,FALSE)</f>
        <v>60</v>
      </c>
      <c r="J7" s="4">
        <f ca="1">VLOOKUP($H7,OFFSET(floors!$A$1,0,0,COUNTA(floors!$A:$A),MATCH(J$1,floors!$1:$1,0)-MATCH($H$1,floors!$1:$1,0)+1),MATCH(J$1,floors!$1:$1,0)-MATCH($H$1,floors!$1:$1,0)+1,FALSE)</f>
        <v>60</v>
      </c>
      <c r="K7" s="38">
        <v>1</v>
      </c>
      <c r="L7" s="20">
        <v>213</v>
      </c>
      <c r="M7" s="17" t="str">
        <f ca="1">VLOOKUP($L7,OFFSET([3]enemies!$A$1,0,0,COUNTA([3]enemies!$A:$A),MATCH(M$1,[3]enemies!$1:$1,0)-MATCH($L$1,[3]enemies!$1:$1,0)+1),MATCH(M$1,[3]enemies!$1:$1,0)-MATCH($L$1,[3]enemies!$1:$1,0)+1,FALSE)</f>
        <v>満天の星降神 アストライアー</v>
      </c>
      <c r="N7" s="17" t="str">
        <f ca="1">VLOOKUP($L7,OFFSET([3]enemies!$A$1,0,0,COUNTA([3]enemies!$A:$A),MATCH(N$1,[3]enemies!$1:$1,0)-MATCH($L$1,[3]enemies!$1:$1,0)+1),MATCH(N$1,[3]enemies!$1:$1,0)-MATCH($L$1,[3]enemies!$1:$1,0)+1,FALSE)</f>
        <v>yellow</v>
      </c>
      <c r="O7" s="17" t="str">
        <f ca="1">VLOOKUP($L7,OFFSET([4]characters!$A$1,0,0,COUNTA([4]characters!$A:$A),MATCH(O$1,[4]characters!$1:$1,0)-MATCH($L$1,[4]characters!$1:$1,0)+1),MATCH(O$1,[4]characters!$1:$1,0)-MATCH($L$1,[4]characters!$1:$1,0)+1,FALSE)</f>
        <v>PremiumN</v>
      </c>
      <c r="P7" s="17" t="str">
        <f ca="1">VLOOKUP($L7,OFFSET([3]enemies!$A$1,0,0,COUNTA([3]enemies!$A:$A),MATCH(P$1,[3]enemies!$1:$1,0)-MATCH($L$1,[3]enemies!$1:$1,0)+1),MATCH(P$1,[3]enemies!$1:$1,0)-MATCH($L$1,[3]enemies!$1:$1,0)+1,FALSE)</f>
        <v>god</v>
      </c>
      <c r="Q7" s="17">
        <f ca="1">VLOOKUP($L7,OFFSET([3]enemies!$A$1,0,0,COUNTA([3]enemies!$A:$A),MATCH(Q$1,[3]enemies!$1:$1,0)-MATCH($L$1,[3]enemies!$1:$1,0)+1),MATCH(Q$1,[3]enemies!$1:$1,0)-MATCH($L$1,[3]enemies!$1:$1,0)+1,FALSE)</f>
        <v>60</v>
      </c>
      <c r="R7" s="5">
        <v>80</v>
      </c>
      <c r="S7" s="25">
        <v>1</v>
      </c>
      <c r="T7" s="106">
        <f ca="1">ROUND(VLOOKUP(R7,[3]enemy_base_stats!$A:$F,2,FALSE) *INDIRECT("[EnemyMasterData.xlsm]enemies!Y"&amp;(L7+1))*  INDIRECT("[EnemyMasterData.xlsm]enemies!J"&amp;(L7+1))* INDIRECT("[EnemyMasterData.xlsm]enemies!O"&amp;(L7+1))* INDIRECT("[EnemyMasterData.xlsm]enemies!E"&amp;(L7+1))* INDIRECT("[EnemyMasterData.xlsm]enemies!S"&amp;(L7+1))* INDIRECT("[EnemyMasterData.xlsm]enemies!AD"&amp;(L7+1))*[4]ステータス!$B$2,0)*S7</f>
        <v>130348</v>
      </c>
      <c r="U7" s="25">
        <v>1</v>
      </c>
      <c r="V7" s="106">
        <f ca="1">ROUND(VLOOKUP(R7,[3]enemy_base_stats!$A:$F,3,FALSE) *INDIRECT("[EnemyMasterData.xlsm]enemies!Z"&amp;(L7+1))*  INDIRECT("[EnemyMasterData.xlsm]enemies!K"&amp;(L7+1))* INDIRECT("[EnemyMasterData.xlsm]enemies!P"&amp;(L7+1))* INDIRECT("[EnemyMasterData.xlsm]enemies!F"&amp;(L7+1))* INDIRECT("[EnemyMasterData.xlsm]enemies!T"&amp;(L7+1))* INDIRECT("[EnemyMasterData.xlsm]enemies!AE"&amp;(L7+1))*[4]ステータス!$C$2,0)*U7</f>
        <v>9169</v>
      </c>
      <c r="W7" s="5">
        <v>0</v>
      </c>
      <c r="X7" s="4" t="str">
        <f ca="1">VLOOKUP($Y7,OFFSET(enemy_skill_sets!$B$1,0,0,COUNTA(enemy_skill_sets!$B:$B),MATCH(M$1,enemy_skill_sets!$1:$1,0)-MATCH($Y$1,enemy_skill_sets!$1:$1,0)+2),MATCH(M$1,enemy_skill_sets!$1:$1,0)-MATCH($Y$1,enemy_skill_sets!$1:$1,0)+2,FALSE)</f>
        <v>状態異常無効</v>
      </c>
      <c r="Y7" s="47">
        <v>65526004</v>
      </c>
      <c r="Z7" s="6">
        <v>1</v>
      </c>
      <c r="AA7" s="6">
        <v>100</v>
      </c>
      <c r="AB7" s="6">
        <v>1</v>
      </c>
      <c r="AC7" s="17">
        <v>2</v>
      </c>
      <c r="AD7" s="24">
        <f>L7</f>
        <v>213</v>
      </c>
      <c r="AE7" s="4" t="str">
        <f ca="1">VLOOKUP($AD7,OFFSET([4]characters!$A$1,0,0,COUNTA([4]characters!$A:$A),MATCH(AE$1,[4]characters!$1:$1,0)-MATCH("character_id",[4]characters!$1:$1,0)+1),MATCH(AE$1,[4]characters!$1:$1,0)-MATCH("character_id",[4]characters!$1:$1,0)+1,FALSE)</f>
        <v>満天の星降神 アストライアー</v>
      </c>
      <c r="AF7" s="4">
        <f ca="1">VLOOKUP($AD7,OFFSET([4]characters!$A$1,0,0,COUNTA([4]characters!$A:$A),MATCH(AF$1,[4]characters!$1:$1,0)-MATCH("character_id",[4]characters!$1:$1,0)+1),MATCH(AF$1,[4]characters!$1:$1,0)-MATCH("character_id",[4]characters!$1:$1,0)+1,FALSE)</f>
        <v>5</v>
      </c>
      <c r="AG7" s="4" t="str">
        <f ca="1">VLOOKUP($AD7,OFFSET([4]characters!$A$1,0,0,COUNTA([4]characters!$A:$A),MATCH(AG$1,[4]characters!$1:$1,0)-MATCH("character_id",[4]characters!$1:$1,0)+1),MATCH(AG$1,[4]characters!$1:$1,0)-MATCH("character_id",[4]characters!$1:$1,0)+1,FALSE)</f>
        <v>PremiumN</v>
      </c>
      <c r="AH7" s="7">
        <v>1</v>
      </c>
      <c r="AI7" s="24">
        <f ca="1">AF7</f>
        <v>5</v>
      </c>
      <c r="AJ7" s="8">
        <v>0</v>
      </c>
      <c r="AK7" s="7">
        <v>0</v>
      </c>
      <c r="AL7" s="7">
        <v>0</v>
      </c>
      <c r="AM7" s="7">
        <v>0</v>
      </c>
      <c r="AN7" s="7">
        <v>0</v>
      </c>
      <c r="AO7" s="7">
        <v>1</v>
      </c>
      <c r="AP7" s="69">
        <v>1</v>
      </c>
    </row>
    <row r="8" spans="1:42" ht="21" customHeight="1" x14ac:dyDescent="0.15">
      <c r="A8" s="16" t="str">
        <f t="shared" ref="A8:A9" si="5">B8&amp;"_"&amp;C8&amp;"-"&amp;G8&amp;"/"&amp;L8&amp;"&lt;lv"&amp;R8&amp;"&gt;s"&amp;AC8</f>
        <v>65526_2-4/154&lt;lv80&gt;s2</v>
      </c>
      <c r="B8" s="22">
        <v>65526</v>
      </c>
      <c r="C8" s="21">
        <v>2</v>
      </c>
      <c r="D8" s="2" t="str">
        <f t="shared" ref="D8:D9" si="6">B8&amp;"_"&amp;C8</f>
        <v>65526_2</v>
      </c>
      <c r="E8" s="4" t="str">
        <f ca="1">VLOOKUP($B8,OFFSET([2]quests!$A$1,0,0,COUNTA([2]quests!$A:$A),MATCH(E$1,[2]quests!$1:$1,0)-MATCH($B$1,[2]quests!$1:$1,0)+1),MATCH(E$1,[2]quests!$1:$1,0)-MATCH($B$1,[2]quests!$1:$1,0)+1,FALSE)</f>
        <v>【LB加藤】検証クエスト</v>
      </c>
      <c r="F8" s="4" t="str">
        <f ca="1">VLOOKUP($D8,OFFSET([2]stages!$A$1,0,0,COUNTA([2]stages!$A:$A),MATCH(F$1,[2]stages!$2:$2,0)-MATCH($D$1,[2]stages!$2:$2,0)+1),MATCH(F$1,[2]stages!$2:$2,0)-MATCH($D$1,[2]stages!$2:$2,0)+1,FALSE)</f>
        <v>【LB加藤】ハップル仮実装</v>
      </c>
      <c r="G8" s="21">
        <v>4</v>
      </c>
      <c r="H8" s="15" t="str">
        <f t="shared" ref="H8:H9" si="7">B8&amp;"_"&amp;C8&amp;"-"&amp;G8</f>
        <v>65526_2-4</v>
      </c>
      <c r="I8" s="4">
        <f ca="1">VLOOKUP($H8,OFFSET(floors!$A$1,0,0,COUNTA(floors!$A:$A),MATCH(I$1,floors!$1:$1,0)-MATCH($H$1,floors!$1:$1,0)+1),MATCH(I$1,floors!$1:$1,0)-MATCH($H$1,floors!$1:$1,0)+1,FALSE)</f>
        <v>60</v>
      </c>
      <c r="J8" s="4">
        <f ca="1">VLOOKUP($H8,OFFSET(floors!$A$1,0,0,COUNTA(floors!$A:$A),MATCH(J$1,floors!$1:$1,0)-MATCH($H$1,floors!$1:$1,0)+1),MATCH(J$1,floors!$1:$1,0)-MATCH($H$1,floors!$1:$1,0)+1,FALSE)</f>
        <v>60</v>
      </c>
      <c r="K8" s="38" t="s">
        <v>88</v>
      </c>
      <c r="L8" s="20">
        <v>154</v>
      </c>
      <c r="M8" s="17" t="str">
        <f ca="1">VLOOKUP($L8,OFFSET([3]enemies!$A$1,0,0,COUNTA([3]enemies!$A:$A),MATCH(M$1,[3]enemies!$1:$1,0)-MATCH($L$1,[3]enemies!$1:$1,0)+1),MATCH(M$1,[3]enemies!$1:$1,0)-MATCH($L$1,[3]enemies!$1:$1,0)+1,FALSE)</f>
        <v>始末屋 ハンナ</v>
      </c>
      <c r="N8" s="17" t="str">
        <f ca="1">VLOOKUP($L8,OFFSET([3]enemies!$A$1,0,0,COUNTA([3]enemies!$A:$A),MATCH(N$1,[3]enemies!$1:$1,0)-MATCH($L$1,[3]enemies!$1:$1,0)+1),MATCH(N$1,[3]enemies!$1:$1,0)-MATCH($L$1,[3]enemies!$1:$1,0)+1,FALSE)</f>
        <v>blue</v>
      </c>
      <c r="O8" s="17" t="str">
        <f ca="1">VLOOKUP($L8,OFFSET([4]characters!$A$1,0,0,COUNTA([4]characters!$A:$A),MATCH(O$1,[4]characters!$1:$1,0)-MATCH($L$1,[4]characters!$1:$1,0)+1),MATCH(O$1,[4]characters!$1:$1,0)-MATCH($L$1,[4]characters!$1:$1,0)+1,FALSE)</f>
        <v>PremiumW</v>
      </c>
      <c r="P8" s="17" t="str">
        <f ca="1">VLOOKUP($L8,OFFSET([3]enemies!$A$1,0,0,COUNTA([3]enemies!$A:$A),MATCH(P$1,[3]enemies!$1:$1,0)-MATCH($L$1,[3]enemies!$1:$1,0)+1),MATCH(P$1,[3]enemies!$1:$1,0)-MATCH($L$1,[3]enemies!$1:$1,0)+1,FALSE)</f>
        <v>human</v>
      </c>
      <c r="Q8" s="17">
        <f ca="1">VLOOKUP($L8,OFFSET([3]enemies!$A$1,0,0,COUNTA([3]enemies!$A:$A),MATCH(Q$1,[3]enemies!$1:$1,0)-MATCH($L$1,[3]enemies!$1:$1,0)+1),MATCH(Q$1,[3]enemies!$1:$1,0)-MATCH($L$1,[3]enemies!$1:$1,0)+1,FALSE)</f>
        <v>20</v>
      </c>
      <c r="R8" s="5">
        <v>80</v>
      </c>
      <c r="S8" s="25">
        <v>1</v>
      </c>
      <c r="T8" s="106">
        <f ca="1">ROUND(VLOOKUP(R8,[3]enemy_base_stats!$A:$F,2,FALSE) *INDIRECT("[EnemyMasterData.xlsm]enemies!Y"&amp;(L8+1))*  INDIRECT("[EnemyMasterData.xlsm]enemies!J"&amp;(L8+1))* INDIRECT("[EnemyMasterData.xlsm]enemies!O"&amp;(L8+1))* INDIRECT("[EnemyMasterData.xlsm]enemies!E"&amp;(L8+1))* INDIRECT("[EnemyMasterData.xlsm]enemies!S"&amp;(L8+1))* INDIRECT("[EnemyMasterData.xlsm]enemies!AD"&amp;(L8+1))*[4]ステータス!$B$2,0)*S8</f>
        <v>67417</v>
      </c>
      <c r="U8" s="25">
        <v>1</v>
      </c>
      <c r="V8" s="106">
        <f ca="1">ROUND(VLOOKUP(R8,[3]enemy_base_stats!$A:$F,3,FALSE) *INDIRECT("[EnemyMasterData.xlsm]enemies!Z"&amp;(L8+1))*  INDIRECT("[EnemyMasterData.xlsm]enemies!K"&amp;(L8+1))* INDIRECT("[EnemyMasterData.xlsm]enemies!P"&amp;(L8+1))* INDIRECT("[EnemyMasterData.xlsm]enemies!F"&amp;(L8+1))* INDIRECT("[EnemyMasterData.xlsm]enemies!T"&amp;(L8+1))* INDIRECT("[EnemyMasterData.xlsm]enemies!AE"&amp;(L8+1))*[4]ステータス!$C$2,0)*U8</f>
        <v>5773</v>
      </c>
      <c r="W8" s="5">
        <v>0</v>
      </c>
      <c r="X8" s="4" t="str">
        <f ca="1">VLOOKUP($Y8,OFFSET(enemy_skill_sets!$B$1,0,0,COUNTA(enemy_skill_sets!$B:$B),MATCH(M$1,enemy_skill_sets!$1:$1,0)-MATCH($Y$1,enemy_skill_sets!$1:$1,0)+2),MATCH(M$1,enemy_skill_sets!$1:$1,0)-MATCH($Y$1,enemy_skill_sets!$1:$1,0)+2,FALSE)</f>
        <v>ハートパネル吸収攻撃</v>
      </c>
      <c r="Y8" s="47">
        <v>65526007</v>
      </c>
      <c r="Z8" s="6">
        <v>1</v>
      </c>
      <c r="AA8" s="6">
        <v>100</v>
      </c>
      <c r="AB8" s="6">
        <v>0</v>
      </c>
      <c r="AC8" s="17">
        <v>2</v>
      </c>
      <c r="AD8" s="24">
        <f t="shared" ref="AD8:AD9" si="8">L8</f>
        <v>154</v>
      </c>
      <c r="AE8" s="4" t="str">
        <f ca="1">VLOOKUP($AD8,OFFSET([4]characters!$A$1,0,0,COUNTA([4]characters!$A:$A),MATCH(AE$1,[4]characters!$1:$1,0)-MATCH("character_id",[4]characters!$1:$1,0)+1),MATCH(AE$1,[4]characters!$1:$1,0)-MATCH("character_id",[4]characters!$1:$1,0)+1,FALSE)</f>
        <v>始末屋 ハンナ</v>
      </c>
      <c r="AF8" s="4">
        <f ca="1">VLOOKUP($AD8,OFFSET([4]characters!$A$1,0,0,COUNTA([4]characters!$A:$A),MATCH(AF$1,[4]characters!$1:$1,0)-MATCH("character_id",[4]characters!$1:$1,0)+1),MATCH(AF$1,[4]characters!$1:$1,0)-MATCH("character_id",[4]characters!$1:$1,0)+1,FALSE)</f>
        <v>3</v>
      </c>
      <c r="AG8" s="4" t="str">
        <f ca="1">VLOOKUP($AD8,OFFSET([4]characters!$A$1,0,0,COUNTA([4]characters!$A:$A),MATCH(AG$1,[4]characters!$1:$1,0)-MATCH("character_id",[4]characters!$1:$1,0)+1),MATCH(AG$1,[4]characters!$1:$1,0)-MATCH("character_id",[4]characters!$1:$1,0)+1,FALSE)</f>
        <v>PremiumW</v>
      </c>
      <c r="AH8" s="7">
        <v>1</v>
      </c>
      <c r="AI8" s="24">
        <f t="shared" ref="AI8:AI9" ca="1" si="9">AF8</f>
        <v>3</v>
      </c>
      <c r="AJ8" s="8">
        <v>0</v>
      </c>
      <c r="AK8" s="7">
        <v>0</v>
      </c>
      <c r="AL8" s="7">
        <v>0</v>
      </c>
      <c r="AM8" s="7">
        <v>0</v>
      </c>
      <c r="AN8" s="7">
        <v>0</v>
      </c>
      <c r="AO8" s="7">
        <v>1</v>
      </c>
      <c r="AP8" s="69">
        <v>1</v>
      </c>
    </row>
    <row r="9" spans="1:42" ht="21" customHeight="1" x14ac:dyDescent="0.15">
      <c r="A9" s="16" t="str">
        <f t="shared" si="5"/>
        <v>65526_2-4/476&lt;lv80&gt;s2</v>
      </c>
      <c r="B9" s="22">
        <v>65526</v>
      </c>
      <c r="C9" s="21">
        <v>2</v>
      </c>
      <c r="D9" s="2" t="str">
        <f t="shared" si="6"/>
        <v>65526_2</v>
      </c>
      <c r="E9" s="4" t="str">
        <f ca="1">VLOOKUP($B9,OFFSET([2]quests!$A$1,0,0,COUNTA([2]quests!$A:$A),MATCH(E$1,[2]quests!$1:$1,0)-MATCH($B$1,[2]quests!$1:$1,0)+1),MATCH(E$1,[2]quests!$1:$1,0)-MATCH($B$1,[2]quests!$1:$1,0)+1,FALSE)</f>
        <v>【LB加藤】検証クエスト</v>
      </c>
      <c r="F9" s="4" t="str">
        <f ca="1">VLOOKUP($D9,OFFSET([2]stages!$A$1,0,0,COUNTA([2]stages!$A:$A),MATCH(F$1,[2]stages!$2:$2,0)-MATCH($D$1,[2]stages!$2:$2,0)+1),MATCH(F$1,[2]stages!$2:$2,0)-MATCH($D$1,[2]stages!$2:$2,0)+1,FALSE)</f>
        <v>【LB加藤】ハップル仮実装</v>
      </c>
      <c r="G9" s="21">
        <v>4</v>
      </c>
      <c r="H9" s="15" t="str">
        <f t="shared" si="7"/>
        <v>65526_2-4</v>
      </c>
      <c r="I9" s="4">
        <f ca="1">VLOOKUP($H9,OFFSET(floors!$A$1,0,0,COUNTA(floors!$A:$A),MATCH(I$1,floors!$1:$1,0)-MATCH($H$1,floors!$1:$1,0)+1),MATCH(I$1,floors!$1:$1,0)-MATCH($H$1,floors!$1:$1,0)+1,FALSE)</f>
        <v>60</v>
      </c>
      <c r="J9" s="4">
        <f ca="1">VLOOKUP($H9,OFFSET(floors!$A$1,0,0,COUNTA(floors!$A:$A),MATCH(J$1,floors!$1:$1,0)-MATCH($H$1,floors!$1:$1,0)+1),MATCH(J$1,floors!$1:$1,0)-MATCH($H$1,floors!$1:$1,0)+1,FALSE)</f>
        <v>60</v>
      </c>
      <c r="K9" s="38" t="s">
        <v>88</v>
      </c>
      <c r="L9" s="20">
        <v>476</v>
      </c>
      <c r="M9" s="17" t="str">
        <f ca="1">VLOOKUP($L9,OFFSET([3]enemies!$A$1,0,0,COUNTA([3]enemies!$A:$A),MATCH(M$1,[3]enemies!$1:$1,0)-MATCH($L$1,[3]enemies!$1:$1,0)+1),MATCH(M$1,[3]enemies!$1:$1,0)-MATCH($L$1,[3]enemies!$1:$1,0)+1,FALSE)</f>
        <v>ファータ</v>
      </c>
      <c r="N9" s="17" t="str">
        <f ca="1">VLOOKUP($L9,OFFSET([3]enemies!$A$1,0,0,COUNTA([3]enemies!$A:$A),MATCH(N$1,[3]enemies!$1:$1,0)-MATCH($L$1,[3]enemies!$1:$1,0)+1),MATCH(N$1,[3]enemies!$1:$1,0)-MATCH($L$1,[3]enemies!$1:$1,0)+1,FALSE)</f>
        <v>green</v>
      </c>
      <c r="O9" s="17" t="str">
        <f ca="1">VLOOKUP($L9,OFFSET([4]characters!$A$1,0,0,COUNTA([4]characters!$A:$A),MATCH(O$1,[4]characters!$1:$1,0)-MATCH($L$1,[4]characters!$1:$1,0)+1),MATCH(O$1,[4]characters!$1:$1,0)-MATCH($L$1,[4]characters!$1:$1,0)+1,FALSE)</f>
        <v>PremiumS</v>
      </c>
      <c r="P9" s="17" t="str">
        <f ca="1">VLOOKUP($L9,OFFSET([3]enemies!$A$1,0,0,COUNTA([3]enemies!$A:$A),MATCH(P$1,[3]enemies!$1:$1,0)-MATCH($L$1,[3]enemies!$1:$1,0)+1),MATCH(P$1,[3]enemies!$1:$1,0)-MATCH($L$1,[3]enemies!$1:$1,0)+1,FALSE)</f>
        <v>unknown</v>
      </c>
      <c r="Q9" s="17">
        <f ca="1">VLOOKUP($L9,OFFSET([3]enemies!$A$1,0,0,COUNTA([3]enemies!$A:$A),MATCH(Q$1,[3]enemies!$1:$1,0)-MATCH($L$1,[3]enemies!$1:$1,0)+1),MATCH(Q$1,[3]enemies!$1:$1,0)-MATCH($L$1,[3]enemies!$1:$1,0)+1,FALSE)</f>
        <v>25</v>
      </c>
      <c r="R9" s="5">
        <v>80</v>
      </c>
      <c r="S9" s="25">
        <v>1</v>
      </c>
      <c r="T9" s="106">
        <f ca="1">ROUND(VLOOKUP(R9,[3]enemy_base_stats!$A:$F,2,FALSE) *INDIRECT("[EnemyMasterData.xlsm]enemies!Y"&amp;(L9+1))*  INDIRECT("[EnemyMasterData.xlsm]enemies!J"&amp;(L9+1))* INDIRECT("[EnemyMasterData.xlsm]enemies!O"&amp;(L9+1))* INDIRECT("[EnemyMasterData.xlsm]enemies!E"&amp;(L9+1))* INDIRECT("[EnemyMasterData.xlsm]enemies!S"&amp;(L9+1))* INDIRECT("[EnemyMasterData.xlsm]enemies!AD"&amp;(L9+1))*[4]ステータス!$B$2,0)*S9</f>
        <v>79805</v>
      </c>
      <c r="U9" s="25">
        <v>1</v>
      </c>
      <c r="V9" s="106">
        <f ca="1">ROUND(VLOOKUP(R9,[3]enemy_base_stats!$A:$F,3,FALSE) *INDIRECT("[EnemyMasterData.xlsm]enemies!Z"&amp;(L9+1))*  INDIRECT("[EnemyMasterData.xlsm]enemies!K"&amp;(L9+1))* INDIRECT("[EnemyMasterData.xlsm]enemies!P"&amp;(L9+1))* INDIRECT("[EnemyMasterData.xlsm]enemies!F"&amp;(L9+1))* INDIRECT("[EnemyMasterData.xlsm]enemies!T"&amp;(L9+1))* INDIRECT("[EnemyMasterData.xlsm]enemies!AE"&amp;(L9+1))*[4]ステータス!$C$2,0)*U9</f>
        <v>6074</v>
      </c>
      <c r="W9" s="5">
        <v>0</v>
      </c>
      <c r="X9" s="4" t="str">
        <f ca="1">VLOOKUP($Y9,OFFSET(enemy_skill_sets!$B$1,0,0,COUNTA(enemy_skill_sets!$B:$B),MATCH(M$1,enemy_skill_sets!$1:$1,0)-MATCH($Y$1,enemy_skill_sets!$1:$1,0)+2),MATCH(M$1,enemy_skill_sets!$1:$1,0)-MATCH($Y$1,enemy_skill_sets!$1:$1,0)+2,FALSE)</f>
        <v>緑パネル出現率ダウン</v>
      </c>
      <c r="Y9" s="47">
        <v>65526006</v>
      </c>
      <c r="Z9" s="6">
        <v>1</v>
      </c>
      <c r="AA9" s="6">
        <v>100</v>
      </c>
      <c r="AB9" s="6">
        <v>0</v>
      </c>
      <c r="AC9" s="17">
        <v>2</v>
      </c>
      <c r="AD9" s="24">
        <f t="shared" si="8"/>
        <v>476</v>
      </c>
      <c r="AE9" s="4" t="str">
        <f ca="1">VLOOKUP($AD9,OFFSET([4]characters!$A$1,0,0,COUNTA([4]characters!$A:$A),MATCH(AE$1,[4]characters!$1:$1,0)-MATCH("character_id",[4]characters!$1:$1,0)+1),MATCH(AE$1,[4]characters!$1:$1,0)-MATCH("character_id",[4]characters!$1:$1,0)+1,FALSE)</f>
        <v>ファータ</v>
      </c>
      <c r="AF9" s="4">
        <f ca="1">VLOOKUP($AD9,OFFSET([4]characters!$A$1,0,0,COUNTA([4]characters!$A:$A),MATCH(AF$1,[4]characters!$1:$1,0)-MATCH("character_id",[4]characters!$1:$1,0)+1),MATCH(AF$1,[4]characters!$1:$1,0)-MATCH("character_id",[4]characters!$1:$1,0)+1,FALSE)</f>
        <v>3</v>
      </c>
      <c r="AG9" s="4" t="str">
        <f ca="1">VLOOKUP($AD9,OFFSET([4]characters!$A$1,0,0,COUNTA([4]characters!$A:$A),MATCH(AG$1,[4]characters!$1:$1,0)-MATCH("character_id",[4]characters!$1:$1,0)+1),MATCH(AG$1,[4]characters!$1:$1,0)-MATCH("character_id",[4]characters!$1:$1,0)+1,FALSE)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9" s="7">
        <v>1</v>
      </c>
      <c r="AI9" s="24">
        <f t="shared" ca="1" si="9"/>
        <v>3</v>
      </c>
      <c r="AJ9" s="8">
        <v>0</v>
      </c>
      <c r="AK9" s="7">
        <v>0</v>
      </c>
      <c r="AL9" s="7">
        <v>0</v>
      </c>
      <c r="AM9" s="7">
        <v>0</v>
      </c>
      <c r="AN9" s="7">
        <v>0</v>
      </c>
      <c r="AO9" s="7">
        <v>1</v>
      </c>
      <c r="AP9" s="69">
        <v>1</v>
      </c>
    </row>
    <row r="10" spans="1:42" ht="21" customHeight="1" x14ac:dyDescent="0.15">
      <c r="A10" s="16" t="str">
        <f>B10&amp;"_"&amp;C10&amp;"-"&amp;G10&amp;"/"&amp;L10&amp;"&lt;lv"&amp;R10&amp;"&gt;s"&amp;AC10</f>
        <v>65526_2-5/803&lt;lv80&gt;s2</v>
      </c>
      <c r="B10" s="22">
        <v>65526</v>
      </c>
      <c r="C10" s="21">
        <v>2</v>
      </c>
      <c r="D10" s="2" t="str">
        <f>B10&amp;"_"&amp;C10</f>
        <v>65526_2</v>
      </c>
      <c r="E10" s="4" t="str">
        <f ca="1">VLOOKUP($B10,OFFSET([2]quests!$A$1,0,0,COUNTA([2]quests!$A:$A),MATCH(E$1,[2]quests!$1:$1,0)-MATCH($B$1,[2]quests!$1:$1,0)+1),MATCH(E$1,[2]quests!$1:$1,0)-MATCH($B$1,[2]quests!$1:$1,0)+1,FALSE)</f>
        <v>【LB加藤】検証クエスト</v>
      </c>
      <c r="F10" s="4" t="str">
        <f ca="1">VLOOKUP($D10,OFFSET([2]stages!$A$1,0,0,COUNTA([2]stages!$A:$A),MATCH(F$1,[2]stages!$2:$2,0)-MATCH($D$1,[2]stages!$2:$2,0)+1),MATCH(F$1,[2]stages!$2:$2,0)-MATCH($D$1,[2]stages!$2:$2,0)+1,FALSE)</f>
        <v>【LB加藤】ハップル仮実装</v>
      </c>
      <c r="G10" s="21">
        <v>5</v>
      </c>
      <c r="H10" s="15" t="str">
        <f>B10&amp;"_"&amp;C10&amp;"-"&amp;G10</f>
        <v>65526_2-5</v>
      </c>
      <c r="I10" s="4">
        <f ca="1">VLOOKUP($H10,OFFSET(floors!$A$1,0,0,COUNTA(floors!$A:$A),MATCH(I$1,floors!$1:$1,0)-MATCH($H$1,floors!$1:$1,0)+1),MATCH(I$1,floors!$1:$1,0)-MATCH($H$1,floors!$1:$1,0)+1,FALSE)</f>
        <v>60</v>
      </c>
      <c r="J10" s="4">
        <f ca="1">VLOOKUP($H10,OFFSET(floors!$A$1,0,0,COUNTA(floors!$A:$A),MATCH(J$1,floors!$1:$1,0)-MATCH($H$1,floors!$1:$1,0)+1),MATCH(J$1,floors!$1:$1,0)-MATCH($H$1,floors!$1:$1,0)+1,FALSE)</f>
        <v>60</v>
      </c>
      <c r="K10" s="38">
        <v>2</v>
      </c>
      <c r="L10" s="20">
        <v>803</v>
      </c>
      <c r="M10" s="17" t="str">
        <f ca="1">VLOOKUP($L10,OFFSET([3]enemies!$A$1,0,0,COUNTA([3]enemies!$A:$A),MATCH(M$1,[3]enemies!$1:$1,0)-MATCH($L$1,[3]enemies!$1:$1,0)+1),MATCH(M$1,[3]enemies!$1:$1,0)-MATCH($L$1,[3]enemies!$1:$1,0)+1,FALSE)</f>
        <v>大宇宙の膨超 ハップル</v>
      </c>
      <c r="N10" s="17" t="str">
        <f ca="1">VLOOKUP($L10,OFFSET([3]enemies!$A$1,0,0,COUNTA([3]enemies!$A:$A),MATCH(N$1,[3]enemies!$1:$1,0)-MATCH($L$1,[3]enemies!$1:$1,0)+1),MATCH(N$1,[3]enemies!$1:$1,0)-MATCH($L$1,[3]enemies!$1:$1,0)+1,FALSE)</f>
        <v>yellow</v>
      </c>
      <c r="O10" s="17" t="str">
        <f ca="1">VLOOKUP($L10,OFFSET([4]characters!$A$1,0,0,COUNTA([4]characters!$A:$A),MATCH(O$1,[4]characters!$1:$1,0)-MATCH($L$1,[4]characters!$1:$1,0)+1),MATCH(O$1,[4]characters!$1:$1,0)-MATCH($L$1,[4]characters!$1:$1,0)+1,FALSE)</f>
        <v>PremiumSSS</v>
      </c>
      <c r="P10" s="17" t="str">
        <f ca="1">VLOOKUP($L10,OFFSET([3]enemies!$A$1,0,0,COUNTA([3]enemies!$A:$A),MATCH(P$1,[3]enemies!$1:$1,0)-MATCH($L$1,[3]enemies!$1:$1,0)+1),MATCH(P$1,[3]enemies!$1:$1,0)-MATCH($L$1,[3]enemies!$1:$1,0)+1,FALSE)</f>
        <v>human</v>
      </c>
      <c r="Q10" s="17">
        <f ca="1">VLOOKUP($L10,OFFSET([3]enemies!$A$1,0,0,COUNTA([3]enemies!$A:$A),MATCH(Q$1,[3]enemies!$1:$1,0)-MATCH($L$1,[3]enemies!$1:$1,0)+1),MATCH(Q$1,[3]enemies!$1:$1,0)-MATCH($L$1,[3]enemies!$1:$1,0)+1,FALSE)</f>
        <v>60</v>
      </c>
      <c r="R10" s="5">
        <v>80</v>
      </c>
      <c r="S10" s="25">
        <v>1</v>
      </c>
      <c r="T10" s="106">
        <f ca="1">ROUND(VLOOKUP(R10,[3]enemy_base_stats!$A:$F,2,FALSE) *INDIRECT("[EnemyMasterData.xlsm]enemies!Y"&amp;(L10+1))*  INDIRECT("[EnemyMasterData.xlsm]enemies!J"&amp;(L10+1))* INDIRECT("[EnemyMasterData.xlsm]enemies!O"&amp;(L10+1))* INDIRECT("[EnemyMasterData.xlsm]enemies!E"&amp;(L10+1))* INDIRECT("[EnemyMasterData.xlsm]enemies!S"&amp;(L10+1))* INDIRECT("[EnemyMasterData.xlsm]enemies!AD"&amp;(L10+1))*[4]ステータス!$B$2,0)*S10</f>
        <v>114869</v>
      </c>
      <c r="U10" s="25">
        <v>1</v>
      </c>
      <c r="V10" s="106">
        <f ca="1">ROUND(VLOOKUP(R10,[3]enemy_base_stats!$A:$F,3,FALSE) *INDIRECT("[EnemyMasterData.xlsm]enemies!Z"&amp;(L10+1))*  INDIRECT("[EnemyMasterData.xlsm]enemies!K"&amp;(L10+1))* INDIRECT("[EnemyMasterData.xlsm]enemies!P"&amp;(L10+1))* INDIRECT("[EnemyMasterData.xlsm]enemies!F"&amp;(L10+1))* INDIRECT("[EnemyMasterData.xlsm]enemies!T"&amp;(L10+1))* INDIRECT("[EnemyMasterData.xlsm]enemies!AE"&amp;(L10+1))*[4]ステータス!$C$2,0)*U10</f>
        <v>8009</v>
      </c>
      <c r="W10" s="5">
        <v>0</v>
      </c>
      <c r="X10" s="4" t="str">
        <f ca="1">VLOOKUP($Y10,OFFSET(enemy_skill_sets!$B$1,0,0,COUNTA(enemy_skill_sets!$B:$B),MATCH(M$1,enemy_skill_sets!$1:$1,0)-MATCH($Y$1,enemy_skill_sets!$1:$1,0)+2),MATCH(M$1,enemy_skill_sets!$1:$1,0)-MATCH($Y$1,enemy_skill_sets!$1:$1,0)+2,FALSE)</f>
        <v>状態異常無効＆緑パネルをお邪魔パネルに変化してドロップ</v>
      </c>
      <c r="Y10" s="47">
        <v>65526008</v>
      </c>
      <c r="Z10" s="6">
        <v>1</v>
      </c>
      <c r="AA10" s="6">
        <v>100</v>
      </c>
      <c r="AB10" s="6">
        <v>1</v>
      </c>
      <c r="AC10" s="17">
        <v>2</v>
      </c>
      <c r="AD10" s="24">
        <f>L10</f>
        <v>803</v>
      </c>
      <c r="AE10" s="4" t="str">
        <f ca="1">VLOOKUP($AD10,OFFSET([4]characters!$A$1,0,0,COUNTA([4]characters!$A:$A),MATCH(AE$1,[4]characters!$1:$1,0)-MATCH("character_id",[4]characters!$1:$1,0)+1),MATCH(AE$1,[4]characters!$1:$1,0)-MATCH("character_id",[4]characters!$1:$1,0)+1,FALSE)</f>
        <v>大宇宙の膨超 ハップル</v>
      </c>
      <c r="AF10" s="4">
        <f ca="1">VLOOKUP($AD10,OFFSET([4]characters!$A$1,0,0,COUNTA([4]characters!$A:$A),MATCH(AF$1,[4]characters!$1:$1,0)-MATCH("character_id",[4]characters!$1:$1,0)+1),MATCH(AF$1,[4]characters!$1:$1,0)-MATCH("character_id",[4]characters!$1:$1,0)+1,FALSE)</f>
        <v>6</v>
      </c>
      <c r="AG10" s="4" t="str">
        <f ca="1">VLOOKUP($AD10,OFFSET([4]characters!$A$1,0,0,COUNTA([4]characters!$A:$A),MATCH(AG$1,[4]characters!$1:$1,0)-MATCH("character_id",[4]characters!$1:$1,0)+1),MATCH(AG$1,[4]characters!$1:$1,0)-MATCH("character_id",[4]characters!$1:$1,0)+1,FALSE)</f>
        <v>PremiumSSS</v>
      </c>
      <c r="AH10" s="7">
        <v>1</v>
      </c>
      <c r="AI10" s="24">
        <f ca="1">AF10</f>
        <v>6</v>
      </c>
      <c r="AJ10" s="8">
        <v>0</v>
      </c>
      <c r="AK10" s="7">
        <v>0</v>
      </c>
      <c r="AL10" s="7">
        <v>0</v>
      </c>
      <c r="AM10" s="7">
        <v>0</v>
      </c>
      <c r="AN10" s="7">
        <v>0</v>
      </c>
      <c r="AO10" s="7">
        <v>1</v>
      </c>
      <c r="AP10" s="69">
        <v>1</v>
      </c>
    </row>
  </sheetData>
  <sheetProtection selectLockedCells="1" selectUnlockedCells="1"/>
  <autoFilter ref="B1:AJ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AA4"/>
  <sheetViews>
    <sheetView showGridLines="0" tabSelected="1" zoomScale="75" zoomScaleNormal="75" zoomScalePageLayoutView="75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AA2" sqref="AA2"/>
    </sheetView>
  </sheetViews>
  <sheetFormatPr baseColWidth="12" defaultColWidth="13" defaultRowHeight="21" customHeight="1" outlineLevelCol="1" x14ac:dyDescent="0.15"/>
  <cols>
    <col min="1" max="1" width="17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4.83203125" style="3" customWidth="1"/>
    <col min="22" max="22" width="17.5" style="3" bestFit="1" customWidth="1"/>
    <col min="23" max="23" width="17.5" style="3" customWidth="1"/>
    <col min="24" max="24" width="18.33203125" style="3" bestFit="1" customWidth="1"/>
    <col min="25" max="25" width="16.6640625" style="3" customWidth="1"/>
    <col min="26" max="26" width="10" style="3" bestFit="1" customWidth="1" outlineLevel="1"/>
    <col min="27" max="27" width="9.33203125" style="3" bestFit="1" customWidth="1"/>
    <col min="28" max="16384" width="13" style="3"/>
  </cols>
  <sheetData>
    <row r="1" spans="1:27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16</v>
      </c>
      <c r="F1" s="30" t="s">
        <v>16</v>
      </c>
      <c r="G1" s="28" t="s">
        <v>19</v>
      </c>
      <c r="H1" s="29" t="s">
        <v>30</v>
      </c>
      <c r="I1" s="29" t="s">
        <v>14</v>
      </c>
      <c r="J1" s="29" t="s">
        <v>15</v>
      </c>
      <c r="K1" s="36" t="s">
        <v>53</v>
      </c>
      <c r="L1" s="36" t="s">
        <v>54</v>
      </c>
      <c r="M1" s="37" t="s">
        <v>2</v>
      </c>
      <c r="N1" s="31" t="s">
        <v>16</v>
      </c>
      <c r="O1" s="29" t="s">
        <v>24</v>
      </c>
      <c r="P1" s="29" t="s">
        <v>23</v>
      </c>
      <c r="Q1" s="32" t="s">
        <v>26</v>
      </c>
      <c r="R1" s="30" t="s">
        <v>25</v>
      </c>
      <c r="S1" s="28" t="s">
        <v>3</v>
      </c>
      <c r="T1" s="26" t="s">
        <v>48</v>
      </c>
      <c r="U1" s="105" t="s">
        <v>265</v>
      </c>
      <c r="V1" s="26" t="s">
        <v>50</v>
      </c>
      <c r="W1" s="105" t="s">
        <v>266</v>
      </c>
      <c r="X1" s="26" t="s">
        <v>52</v>
      </c>
      <c r="Y1" s="28" t="s">
        <v>129</v>
      </c>
      <c r="Z1" s="29" t="s">
        <v>128</v>
      </c>
      <c r="AA1" s="28" t="s">
        <v>8</v>
      </c>
    </row>
    <row r="2" spans="1:27" ht="21" customHeight="1" x14ac:dyDescent="0.15">
      <c r="A2" s="16" t="str">
        <f t="shared" ref="A2:A4" si="0">B2&amp;"_"&amp;C2&amp;"-"&amp;G2&amp;"/"&amp;M2&amp;"&lt;lv"&amp;S2&amp;"&gt;sq"&amp;K2&amp;"st"&amp;L2</f>
        <v>65526_2-3/886&lt;lv80&gt;sq1st2</v>
      </c>
      <c r="B2" s="22">
        <v>65526</v>
      </c>
      <c r="C2" s="21">
        <v>2</v>
      </c>
      <c r="D2" s="2" t="str">
        <f t="shared" ref="D2:D4" si="1">B2&amp;"_"&amp;C2</f>
        <v>65526_2</v>
      </c>
      <c r="E2" s="4" t="str">
        <f ca="1">VLOOKUP($B2,OFFSET([2]quests!$A$1,0,0,COUNTA([2]quests!$A:$A),MATCH(E$1,[2]quests!$1:$1,0)-MATCH($B$1,[2]quests!$1:$1,0)+1),MATCH(E$1,[2]quests!$1:$1,0)-MATCH($B$1,[2]quests!$1:$1,0)+1,FALSE)</f>
        <v>【LB加藤】検証クエスト</v>
      </c>
      <c r="F2" s="4" t="str">
        <f ca="1">VLOOKUP($D2,OFFSET([2]stages!$A$1,0,0,COUNTA([2]stages!$A:$A),MATCH(F$1,[2]stages!$2:$2,0)-MATCH($D$1,[2]stages!$2:$2,0)+1),MATCH(F$1,[2]stages!$2:$2,0)-MATCH($D$1,[2]stages!$2:$2,0)+1,FALSE)</f>
        <v>【LB加藤】ハップル仮実装</v>
      </c>
      <c r="G2" s="21">
        <v>3</v>
      </c>
      <c r="H2" s="15" t="str">
        <f t="shared" ref="H2:H4" si="2">B2&amp;"_"&amp;C2&amp;"-"&amp;G2</f>
        <v>65526_2-3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>
        <v>1</v>
      </c>
      <c r="L2" s="38">
        <v>2</v>
      </c>
      <c r="M2" s="20">
        <v>886</v>
      </c>
      <c r="N2" s="17" t="str">
        <f ca="1">VLOOKUP($M2,OFFSET([3]enemies!$A$1,0,0,COUNTA([3]enemies!$A:$A),MATCH(N$1,[3]enemies!$1:$1,0)-MATCH($M$1,[3]enemies!$1:$1,0)+1),MATCH(N$1,[3]enemies!$1:$1,0)-MATCH($M$1,[3]enemies!$1:$1,0)+1,FALSE)</f>
        <v>星義司る天聖神 アストライアー</v>
      </c>
      <c r="O2" s="17" t="str">
        <f ca="1">VLOOKUP($M2,OFFSET([3]enemies!$A$1,0,0,COUNTA([3]enemies!$A:$A),MATCH(O$1,[3]enemies!$1:$1,0)-MATCH($M$1,[3]enemies!$1:$1,0)+1),MATCH(O$1,[3]enemies!$1:$1,0)-MATCH($M$1,[3]enemies!$1:$1,0)+1,FALSE)</f>
        <v>yellow</v>
      </c>
      <c r="P2" s="17" t="str">
        <f ca="1">VLOOKUP($M2,OFFSET([4]characters!$A$1,0,0,COUNTA([4]characters!$A:$A),MATCH(P$1,[4]characters!$1:$1,0)-MATCH($M$1,[4]characters!$1:$1,0)+1),MATCH(P$1,[4]characters!$1:$1,0)-MATCH($M$1,[4]characters!$1:$1,0)+1,FALSE)</f>
        <v>PremiumS</v>
      </c>
      <c r="Q2" s="17" t="str">
        <f ca="1">VLOOKUP($M2,OFFSET([3]enemies!$A$1,0,0,COUNTA([3]enemies!$A:$A),MATCH(Q$1,[3]enemies!$1:$1,0)-MATCH($M$1,[3]enemies!$1:$1,0)+1),MATCH(Q$1,[3]enemies!$1:$1,0)-MATCH($M$1,[3]enemies!$1:$1,0)+1,FALSE)</f>
        <v>god</v>
      </c>
      <c r="R2" s="17">
        <f ca="1">VLOOKUP($M2,OFFSET([3]enemies!$A$1,0,0,COUNTA([3]enemies!$A:$A),MATCH(R$1,[3]enemies!$1:$1,0)-MATCH($M$1,[3]enemies!$1:$1,0)+1),MATCH(R$1,[3]enemies!$1:$1,0)-MATCH($M$1,[3]enemies!$1:$1,0)+1,FALSE)</f>
        <v>60</v>
      </c>
      <c r="S2" s="5">
        <v>80</v>
      </c>
      <c r="T2" s="25">
        <v>1</v>
      </c>
      <c r="U2" s="106">
        <f ca="1">ROUND(VLOOKUP(S2,[3]enemy_base_stats!$A:$F,2,FALSE) *INDIRECT("[EnemyMasterData.xlsm]enemies!Y"&amp;(M2+1))*  INDIRECT("[EnemyMasterData.xlsm]enemies!J"&amp;(M2+1))* INDIRECT("[EnemyMasterData.xlsm]enemies!O"&amp;(M2+1))* INDIRECT("[EnemyMasterData.xlsm]enemies!E"&amp;(M2+1))* INDIRECT("[EnemyMasterData.xlsm]enemies!S"&amp;(M2+1))* INDIRECT("[EnemyMasterData.xlsm]enemies!AD"&amp;(M2+1))*[4]ステータス!$B$2,0)*T2</f>
        <v>130348</v>
      </c>
      <c r="V2" s="25">
        <v>1</v>
      </c>
      <c r="W2" s="106">
        <f ca="1">ROUND(VLOOKUP(S2,[3]enemy_base_stats!$A:$F,3,FALSE) *INDIRECT("[EnemyMasterData.xlsm]enemies!Z"&amp;(M2+1))*  INDIRECT("[EnemyMasterData.xlsm]enemies!K"&amp;(M2+1))* INDIRECT("[EnemyMasterData.xlsm]enemies!P"&amp;(M2+1))* INDIRECT("[EnemyMasterData.xlsm]enemies!F"&amp;(M2+1))* INDIRECT("[EnemyMasterData.xlsm]enemies!T"&amp;(M2+1))* INDIRECT("[EnemyMasterData.xlsm]enemies!AE"&amp;(M2+1))*[4]ステータス!$C$2,0)*V2</f>
        <v>9169</v>
      </c>
      <c r="X2" s="5">
        <v>0</v>
      </c>
      <c r="Y2" s="4" t="e">
        <f ca="1">VLOOKUP($Z2,OFFSET([5]enemy_skill_sets!$B$1,0,0,COUNTA([5]enemy_skill_sets!$B:$B),MATCH(N$1,[5]enemy_skill_sets!$1:$1,0)-MATCH($Z$1,[5]enemy_skill_sets!$1:$1,0)+2),MATCH(N$1,[5]enemy_skill_sets!$1:$1,0)-MATCH($Z$1,[5]enemy_skill_sets!$1:$1,0)+2,FALSE)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2" s="47">
        <v>65526005</v>
      </c>
      <c r="AA2" s="70">
        <v>1</v>
      </c>
    </row>
    <row r="3" spans="1:27" ht="21" customHeight="1" x14ac:dyDescent="0.15">
      <c r="A3" s="16" t="str">
        <f t="shared" si="0"/>
        <v>65526_2-5/1128&lt;lv80&gt;sq2st2</v>
      </c>
      <c r="B3" s="22">
        <v>65526</v>
      </c>
      <c r="C3" s="21">
        <v>2</v>
      </c>
      <c r="D3" s="2" t="str">
        <f t="shared" si="1"/>
        <v>65526_2</v>
      </c>
      <c r="E3" s="4" t="str">
        <f ca="1">VLOOKUP($B3,OFFSET([2]quests!$A$1,0,0,COUNTA([2]quests!$A:$A),MATCH(E$1,[2]quests!$1:$1,0)-MATCH($B$1,[2]quests!$1:$1,0)+1),MATCH(E$1,[2]quests!$1:$1,0)-MATCH($B$1,[2]quests!$1:$1,0)+1,FALSE)</f>
        <v>【LB加藤】検証クエスト</v>
      </c>
      <c r="F3" s="4" t="str">
        <f ca="1">VLOOKUP($D3,OFFSET([2]stages!$A$1,0,0,COUNTA([2]stages!$A:$A),MATCH(F$1,[2]stages!$2:$2,0)-MATCH($D$1,[2]stages!$2:$2,0)+1),MATCH(F$1,[2]stages!$2:$2,0)-MATCH($D$1,[2]stages!$2:$2,0)+1,FALSE)</f>
        <v>【LB加藤】ハップル仮実装</v>
      </c>
      <c r="G3" s="21">
        <v>5</v>
      </c>
      <c r="H3" s="15" t="str">
        <f t="shared" si="2"/>
        <v>65526_2-5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>
        <v>2</v>
      </c>
      <c r="L3" s="38">
        <v>2</v>
      </c>
      <c r="M3" s="20">
        <v>1128</v>
      </c>
      <c r="N3" s="17" t="str">
        <f ca="1">VLOOKUP($M3,OFFSET([3]enemies!$A$1,0,0,COUNTA([3]enemies!$A:$A),MATCH(N$1,[3]enemies!$1:$1,0)-MATCH($M$1,[3]enemies!$1:$1,0)+1),MATCH(N$1,[3]enemies!$1:$1,0)-MATCH($M$1,[3]enemies!$1:$1,0)+1,FALSE)</f>
        <v>宇宙天紡の星明 ハップル</v>
      </c>
      <c r="O3" s="17" t="str">
        <f ca="1">VLOOKUP($M3,OFFSET([3]enemies!$A$1,0,0,COUNTA([3]enemies!$A:$A),MATCH(O$1,[3]enemies!$1:$1,0)-MATCH($M$1,[3]enemies!$1:$1,0)+1),MATCH(O$1,[3]enemies!$1:$1,0)-MATCH($M$1,[3]enemies!$1:$1,0)+1,FALSE)</f>
        <v>yellow</v>
      </c>
      <c r="P3" s="17" t="str">
        <f ca="1">VLOOKUP($M3,OFFSET([4]characters!$A$1,0,0,COUNTA([4]characters!$A:$A),MATCH(P$1,[4]characters!$1:$1,0)-MATCH($M$1,[4]characters!$1:$1,0)+1),MATCH(P$1,[4]characters!$1:$1,0)-MATCH($M$1,[4]characters!$1:$1,0)+1,FALSE)</f>
        <v>PremiumSSS</v>
      </c>
      <c r="Q3" s="17" t="str">
        <f ca="1">VLOOKUP($M3,OFFSET([3]enemies!$A$1,0,0,COUNTA([3]enemies!$A:$A),MATCH(Q$1,[3]enemies!$1:$1,0)-MATCH($M$1,[3]enemies!$1:$1,0)+1),MATCH(Q$1,[3]enemies!$1:$1,0)-MATCH($M$1,[3]enemies!$1:$1,0)+1,FALSE)</f>
        <v>academia</v>
      </c>
      <c r="R3" s="17">
        <f ca="1">VLOOKUP($M3,OFFSET([3]enemies!$A$1,0,0,COUNTA([3]enemies!$A:$A),MATCH(R$1,[3]enemies!$1:$1,0)-MATCH($M$1,[3]enemies!$1:$1,0)+1),MATCH(R$1,[3]enemies!$1:$1,0)-MATCH($M$1,[3]enemies!$1:$1,0)+1,FALSE)</f>
        <v>60</v>
      </c>
      <c r="S3" s="5">
        <v>80</v>
      </c>
      <c r="T3" s="25">
        <v>1</v>
      </c>
      <c r="U3" s="106">
        <f ca="1">ROUND(VLOOKUP(S3,[3]enemy_base_stats!$A:$F,2,FALSE) *INDIRECT("[EnemyMasterData.xlsm]enemies!Y"&amp;(M3+1))*  INDIRECT("[EnemyMasterData.xlsm]enemies!J"&amp;(M3+1))* INDIRECT("[EnemyMasterData.xlsm]enemies!O"&amp;(M3+1))* INDIRECT("[EnemyMasterData.xlsm]enemies!E"&amp;(M3+1))* INDIRECT("[EnemyMasterData.xlsm]enemies!S"&amp;(M3+1))* INDIRECT("[EnemyMasterData.xlsm]enemies!AD"&amp;(M3+1))*[4]ステータス!$B$2,0)*T3</f>
        <v>122201</v>
      </c>
      <c r="V3" s="25">
        <v>1</v>
      </c>
      <c r="W3" s="106">
        <f ca="1">ROUND(VLOOKUP(S3,[3]enemy_base_stats!$A:$F,3,FALSE) *INDIRECT("[EnemyMasterData.xlsm]enemies!Z"&amp;(M3+1))*  INDIRECT("[EnemyMasterData.xlsm]enemies!K"&amp;(M3+1))* INDIRECT("[EnemyMasterData.xlsm]enemies!P"&amp;(M3+1))* INDIRECT("[EnemyMasterData.xlsm]enemies!F"&amp;(M3+1))* INDIRECT("[EnemyMasterData.xlsm]enemies!T"&amp;(M3+1))* INDIRECT("[EnemyMasterData.xlsm]enemies!AE"&amp;(M3+1))*[4]ステータス!$C$2,0)*V3</f>
        <v>8090</v>
      </c>
      <c r="X3" s="5">
        <v>0</v>
      </c>
      <c r="Y3" s="4" t="e">
        <f ca="1">VLOOKUP($Z3,OFFSET([5]enemy_skill_sets!$B$1,0,0,COUNTA([5]enemy_skill_sets!$B:$B),MATCH(N$1,[5]enemy_skill_sets!$1:$1,0)-MATCH($Z$1,[5]enemy_skill_sets!$1:$1,0)+2),MATCH(N$1,[5]enemy_skill_sets!$1:$1,0)-MATCH($Z$1,[5]enemy_skill_sets!$1:$1,0)+2,FALSE)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3" s="47">
        <v>65526009</v>
      </c>
      <c r="AA3" s="70">
        <v>2</v>
      </c>
    </row>
    <row r="4" spans="1:27" ht="21" customHeight="1" x14ac:dyDescent="0.15">
      <c r="A4" s="16" t="str">
        <f t="shared" si="0"/>
        <v>65526_2-5/1128&lt;lv80&gt;sq2st3</v>
      </c>
      <c r="B4" s="22">
        <v>65526</v>
      </c>
      <c r="C4" s="21">
        <v>2</v>
      </c>
      <c r="D4" s="2" t="str">
        <f t="shared" si="1"/>
        <v>65526_2</v>
      </c>
      <c r="E4" s="4" t="str">
        <f ca="1">VLOOKUP($B4,OFFSET([2]quests!$A$1,0,0,COUNTA([2]quests!$A:$A),MATCH(E$1,[2]quests!$1:$1,0)-MATCH($B$1,[2]quests!$1:$1,0)+1),MATCH(E$1,[2]quests!$1:$1,0)-MATCH($B$1,[2]quests!$1:$1,0)+1,FALSE)</f>
        <v>【LB加藤】検証クエスト</v>
      </c>
      <c r="F4" s="4" t="str">
        <f ca="1">VLOOKUP($D4,OFFSET([2]stages!$A$1,0,0,COUNTA([2]stages!$A:$A),MATCH(F$1,[2]stages!$2:$2,0)-MATCH($D$1,[2]stages!$2:$2,0)+1),MATCH(F$1,[2]stages!$2:$2,0)-MATCH($D$1,[2]stages!$2:$2,0)+1,FALSE)</f>
        <v>【LB加藤】ハップル仮実装</v>
      </c>
      <c r="G4" s="21">
        <v>5</v>
      </c>
      <c r="H4" s="15" t="str">
        <f t="shared" si="2"/>
        <v>65526_2-5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>
        <v>2</v>
      </c>
      <c r="L4" s="38">
        <v>3</v>
      </c>
      <c r="M4" s="20">
        <v>1128</v>
      </c>
      <c r="N4" s="17" t="str">
        <f ca="1">VLOOKUP($M4,OFFSET([3]enemies!$A$1,0,0,COUNTA([3]enemies!$A:$A),MATCH(N$1,[3]enemies!$1:$1,0)-MATCH($M$1,[3]enemies!$1:$1,0)+1),MATCH(N$1,[3]enemies!$1:$1,0)-MATCH($M$1,[3]enemies!$1:$1,0)+1,FALSE)</f>
        <v>宇宙天紡の星明 ハップル</v>
      </c>
      <c r="O4" s="17" t="str">
        <f ca="1">VLOOKUP($M4,OFFSET([3]enemies!$A$1,0,0,COUNTA([3]enemies!$A:$A),MATCH(O$1,[3]enemies!$1:$1,0)-MATCH($M$1,[3]enemies!$1:$1,0)+1),MATCH(O$1,[3]enemies!$1:$1,0)-MATCH($M$1,[3]enemies!$1:$1,0)+1,FALSE)</f>
        <v>yellow</v>
      </c>
      <c r="P4" s="17" t="str">
        <f ca="1">VLOOKUP($M4,OFFSET([4]characters!$A$1,0,0,COUNTA([4]characters!$A:$A),MATCH(P$1,[4]characters!$1:$1,0)-MATCH($M$1,[4]characters!$1:$1,0)+1),MATCH(P$1,[4]characters!$1:$1,0)-MATCH($M$1,[4]characters!$1:$1,0)+1,FALSE)</f>
        <v>PremiumSSS</v>
      </c>
      <c r="Q4" s="17" t="str">
        <f ca="1">VLOOKUP($M4,OFFSET([3]enemies!$A$1,0,0,COUNTA([3]enemies!$A:$A),MATCH(Q$1,[3]enemies!$1:$1,0)-MATCH($M$1,[3]enemies!$1:$1,0)+1),MATCH(Q$1,[3]enemies!$1:$1,0)-MATCH($M$1,[3]enemies!$1:$1,0)+1,FALSE)</f>
        <v>academia</v>
      </c>
      <c r="R4" s="17">
        <f ca="1">VLOOKUP($M4,OFFSET([3]enemies!$A$1,0,0,COUNTA([3]enemies!$A:$A),MATCH(R$1,[3]enemies!$1:$1,0)-MATCH($M$1,[3]enemies!$1:$1,0)+1),MATCH(R$1,[3]enemies!$1:$1,0)-MATCH($M$1,[3]enemies!$1:$1,0)+1,FALSE)</f>
        <v>60</v>
      </c>
      <c r="S4" s="5">
        <v>80</v>
      </c>
      <c r="T4" s="25">
        <v>1</v>
      </c>
      <c r="U4" s="106">
        <f ca="1">ROUND(VLOOKUP(S4,[3]enemy_base_stats!$A:$F,2,FALSE) *INDIRECT("[EnemyMasterData.xlsm]enemies!Y"&amp;(M4+1))*  INDIRECT("[EnemyMasterData.xlsm]enemies!J"&amp;(M4+1))* INDIRECT("[EnemyMasterData.xlsm]enemies!O"&amp;(M4+1))* INDIRECT("[EnemyMasterData.xlsm]enemies!E"&amp;(M4+1))* INDIRECT("[EnemyMasterData.xlsm]enemies!S"&amp;(M4+1))* INDIRECT("[EnemyMasterData.xlsm]enemies!AD"&amp;(M4+1))*[4]ステータス!$B$2,0)*T4</f>
        <v>122201</v>
      </c>
      <c r="V4" s="25">
        <v>1</v>
      </c>
      <c r="W4" s="106">
        <f ca="1">ROUND(VLOOKUP(S4,[3]enemy_base_stats!$A:$F,3,FALSE) *INDIRECT("[EnemyMasterData.xlsm]enemies!Z"&amp;(M4+1))*  INDIRECT("[EnemyMasterData.xlsm]enemies!K"&amp;(M4+1))* INDIRECT("[EnemyMasterData.xlsm]enemies!P"&amp;(M4+1))* INDIRECT("[EnemyMasterData.xlsm]enemies!F"&amp;(M4+1))* INDIRECT("[EnemyMasterData.xlsm]enemies!T"&amp;(M4+1))* INDIRECT("[EnemyMasterData.xlsm]enemies!AE"&amp;(M4+1))*[4]ステータス!$C$2,0)*V4</f>
        <v>8090</v>
      </c>
      <c r="X4" s="5">
        <v>0</v>
      </c>
      <c r="Y4" s="4" t="e">
        <f ca="1">VLOOKUP($Z4,OFFSET([5]enemy_skill_sets!$B$1,0,0,COUNTA([5]enemy_skill_sets!$B:$B),MATCH(N$1,[5]enemy_skill_sets!$1:$1,0)-MATCH($Z$1,[5]enemy_skill_sets!$1:$1,0)+2),MATCH(N$1,[5]enemy_skill_sets!$1:$1,0)-MATCH($Z$1,[5]enemy_skill_sets!$1:$1,0)+2,FALSE)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4" s="47">
        <v>65526010</v>
      </c>
      <c r="AA4" s="70">
        <v>1</v>
      </c>
    </row>
  </sheetData>
  <sheetProtection selectLockedCells="1" selectUnlockedCells="1"/>
  <autoFilter ref="B1:AA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39"/>
  <sheetViews>
    <sheetView showGridLines="0" workbookViewId="0">
      <pane xSplit="5" ySplit="1" topLeftCell="F21" activePane="bottomRight" state="frozen"/>
      <selection pane="topRight"/>
      <selection pane="bottomLeft"/>
      <selection pane="bottomRight" activeCell="B34" sqref="B34:B39"/>
    </sheetView>
  </sheetViews>
  <sheetFormatPr baseColWidth="12" defaultColWidth="12.83203125" defaultRowHeight="21" customHeight="1" outlineLevelCol="1" x14ac:dyDescent="0.15"/>
  <cols>
    <col min="1" max="1" width="11.33203125" style="39" bestFit="1" customWidth="1"/>
    <col min="2" max="2" width="9.5" style="49" bestFit="1" customWidth="1"/>
    <col min="3" max="3" width="9.6640625" style="49" customWidth="1"/>
    <col min="4" max="4" width="18.5" style="49" customWidth="1" outlineLevel="1"/>
    <col min="5" max="5" width="44.1640625" style="49" bestFit="1" customWidth="1" outlineLevel="1"/>
    <col min="6" max="6" width="10.83203125" style="49" bestFit="1" customWidth="1"/>
    <col min="7" max="7" width="8.33203125" style="49" bestFit="1" customWidth="1" outlineLevel="1"/>
    <col min="8" max="9" width="12.83203125" style="49" outlineLevel="1"/>
    <col min="10" max="10" width="17.6640625" style="49" bestFit="1" customWidth="1" outlineLevel="1"/>
    <col min="11" max="15" width="12.83203125" style="49" outlineLevel="1"/>
    <col min="16" max="16" width="8.33203125" style="45" bestFit="1" customWidth="1"/>
    <col min="17" max="17" width="9.6640625" style="45" customWidth="1"/>
    <col min="18" max="18" width="56.5" style="45" bestFit="1" customWidth="1"/>
    <col min="19" max="16384" width="12.83203125" style="45"/>
  </cols>
  <sheetData>
    <row r="1" spans="1:18" ht="21" customHeight="1" x14ac:dyDescent="0.15">
      <c r="A1" s="39" t="s">
        <v>59</v>
      </c>
      <c r="B1" s="40" t="s">
        <v>60</v>
      </c>
      <c r="C1" s="40" t="s">
        <v>61</v>
      </c>
      <c r="D1" s="41" t="s">
        <v>62</v>
      </c>
      <c r="E1" s="41" t="s">
        <v>63</v>
      </c>
      <c r="F1" s="42" t="s">
        <v>64</v>
      </c>
      <c r="G1" s="43" t="s">
        <v>65</v>
      </c>
      <c r="H1" s="43" t="s">
        <v>67</v>
      </c>
      <c r="I1" s="43" t="s">
        <v>68</v>
      </c>
      <c r="J1" s="43" t="s">
        <v>69</v>
      </c>
      <c r="K1" s="44" t="s">
        <v>70</v>
      </c>
      <c r="L1" s="44" t="s">
        <v>71</v>
      </c>
      <c r="M1" s="43" t="s">
        <v>72</v>
      </c>
      <c r="N1" s="43" t="s">
        <v>73</v>
      </c>
      <c r="O1" s="43" t="s">
        <v>74</v>
      </c>
      <c r="P1" s="41" t="s">
        <v>75</v>
      </c>
      <c r="Q1" s="41" t="s">
        <v>76</v>
      </c>
      <c r="R1" s="41" t="s">
        <v>77</v>
      </c>
    </row>
    <row r="2" spans="1:18" ht="21" customHeight="1" x14ac:dyDescent="0.15">
      <c r="A2" s="39" t="str">
        <f t="shared" ref="A2" si="0">B2&amp;"_"&amp;C2</f>
        <v>65526000_65526000</v>
      </c>
      <c r="B2" s="47">
        <v>65526000</v>
      </c>
      <c r="C2" s="47">
        <v>65526000</v>
      </c>
      <c r="D2" s="46" t="str">
        <f ca="1">VLOOKUP($C2,OFFSET(enemy_skills!$A$1,0,0,COUNTA(enemy_skills!$A:$A),MATCH(D$1,enemy_skills!$1:$1,0)-MATCH("enemy_skill_id",enemy_skills!$1:$1,0)+1),MATCH(D$1,enemy_skills!$1:$1,0)-MATCH("enemy_skill_id",enemy_skills!$1:$1,0)+1,FALSE)</f>
        <v>エレナ</v>
      </c>
      <c r="E2" s="46" t="str">
        <f ca="1">VLOOKUP($C2,OFFSET(enemy_skills!$A$1,0,0,COUNTA(enemy_skills!$A:$A),MATCH(E$1,enemy_skills!$1:$1,0)-MATCH("enemy_skill_id",enemy_skills!$1:$1,0)+1),MATCH(E$1,enemy_skills!$1:$1,0)-MATCH("enemy_skill_id",enemy_skills!$1:$1,0)+1,FALSE)</f>
        <v>全体攻撃</v>
      </c>
      <c r="F2" s="47">
        <v>65526000</v>
      </c>
      <c r="G2" s="48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" s="48" t="str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" s="48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2" s="48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8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8" t="str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" s="48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8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8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2" s="47"/>
      <c r="Q2" s="47"/>
      <c r="R2" s="47"/>
    </row>
    <row r="3" spans="1:18" ht="21" customHeight="1" x14ac:dyDescent="0.15">
      <c r="A3" s="39" t="str">
        <f t="shared" ref="A3:A37" si="1">B3&amp;"_"&amp;C3</f>
        <v>65526001_65526005</v>
      </c>
      <c r="B3" s="47">
        <v>65526001</v>
      </c>
      <c r="C3" s="47">
        <v>65526005</v>
      </c>
      <c r="D3" s="46" t="str">
        <f ca="1">VLOOKUP($C3,OFFSET(enemy_skills!$A$1,0,0,COUNTA(enemy_skills!$A:$A),MATCH(D$1,enemy_skills!$1:$1,0)-MATCH("enemy_skill_id",enemy_skills!$1:$1,0)+1),MATCH(D$1,enemy_skills!$1:$1,0)-MATCH("enemy_skill_id",enemy_skills!$1:$1,0)+1,FALSE)</f>
        <v>ティンク</v>
      </c>
      <c r="E3" s="46" t="str">
        <f ca="1">VLOOKUP($C3,OFFSET(enemy_skills!$A$1,0,0,COUNTA(enemy_skills!$A:$A),MATCH(E$1,enemy_skills!$1:$1,0)-MATCH("enemy_skill_id",enemy_skills!$1:$1,0)+1),MATCH(E$1,enemy_skills!$1:$1,0)-MATCH("enemy_skill_id",enemy_skills!$1:$1,0)+1,FALSE)</f>
        <v>クリティカル</v>
      </c>
      <c r="F3" s="47">
        <v>65526005</v>
      </c>
      <c r="G3" s="48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48" t="str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" s="48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3" s="48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8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8" t="str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" s="48" t="str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" s="48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8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3" s="47"/>
      <c r="Q3" s="47"/>
      <c r="R3" s="47"/>
    </row>
    <row r="4" spans="1:18" ht="21" customHeight="1" x14ac:dyDescent="0.15">
      <c r="A4" s="39" t="str">
        <f t="shared" si="1"/>
        <v>65526002_65526010</v>
      </c>
      <c r="B4" s="47">
        <v>65526002</v>
      </c>
      <c r="C4" s="47">
        <v>65526010</v>
      </c>
      <c r="D4" s="46" t="str">
        <f ca="1">VLOOKUP($C4,OFFSET(enemy_skills!$A$1,0,0,COUNTA(enemy_skills!$A:$A),MATCH(D$1,enemy_skills!$1:$1,0)-MATCH("enemy_skill_id",enemy_skills!$1:$1,0)+1),MATCH(D$1,enemy_skills!$1:$1,0)-MATCH("enemy_skill_id",enemy_skills!$1:$1,0)+1,FALSE)</f>
        <v>スフィンクス</v>
      </c>
      <c r="E4" s="46" t="str">
        <f ca="1">VLOOKUP($C4,OFFSET(enemy_skills!$A$1,0,0,COUNTA(enemy_skills!$A:$A),MATCH(E$1,enemy_skills!$1:$1,0)-MATCH("enemy_skill_id",enemy_skills!$1:$1,0)+1),MATCH(E$1,enemy_skills!$1:$1,0)-MATCH("enemy_skill_id",enemy_skills!$1:$1,0)+1,FALSE)</f>
        <v>ハートパネル変換</v>
      </c>
      <c r="F4" s="47">
        <v>65526010</v>
      </c>
      <c r="G4" s="48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48" t="str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" s="48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4" s="48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8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8" t="str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" s="48" t="str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" s="48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8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4" s="47"/>
      <c r="Q4" s="47"/>
      <c r="R4" s="47"/>
    </row>
    <row r="5" spans="1:18" ht="21" customHeight="1" x14ac:dyDescent="0.15">
      <c r="A5" s="39" t="str">
        <f t="shared" si="1"/>
        <v>65526003_65526015</v>
      </c>
      <c r="B5" s="47">
        <v>65526003</v>
      </c>
      <c r="C5" s="47">
        <v>65526015</v>
      </c>
      <c r="D5" s="46" t="str">
        <f ca="1">VLOOKUP($C5,OFFSET(enemy_skills!$A$1,0,0,COUNTA(enemy_skills!$A:$A),MATCH(D$1,enemy_skills!$1:$1,0)-MATCH("enemy_skill_id",enemy_skills!$1:$1,0)+1),MATCH(D$1,enemy_skills!$1:$1,0)-MATCH("enemy_skill_id",enemy_skills!$1:$1,0)+1,FALSE)</f>
        <v>マミコ</v>
      </c>
      <c r="E5" s="46" t="str">
        <f ca="1">VLOOKUP($C5,OFFSET(enemy_skills!$A$1,0,0,COUNTA(enemy_skills!$A:$A),MATCH(E$1,enemy_skills!$1:$1,0)-MATCH("enemy_skill_id",enemy_skills!$1:$1,0)+1),MATCH(E$1,enemy_skills!$1:$1,0)-MATCH("enemy_skill_id",enemy_skills!$1:$1,0)+1,FALSE)</f>
        <v>ハートパネル吸収攻撃</v>
      </c>
      <c r="F5" s="47">
        <v>65526015</v>
      </c>
      <c r="G5" s="48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" s="48" t="str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" s="48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48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48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8" t="str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" s="48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" s="48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8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47"/>
      <c r="Q5" s="47"/>
      <c r="R5" s="47"/>
    </row>
    <row r="6" spans="1:18" ht="21" customHeight="1" x14ac:dyDescent="0.15">
      <c r="A6" s="39" t="str">
        <f t="shared" si="1"/>
        <v>65526004_65526020</v>
      </c>
      <c r="B6" s="47">
        <v>65526004</v>
      </c>
      <c r="C6" s="47">
        <v>65526020</v>
      </c>
      <c r="D6" s="46" t="str">
        <f ca="1">VLOOKUP($C6,OFFSET(enemy_skills!$A$1,0,0,COUNTA(enemy_skills!$A:$A),MATCH(D$1,enemy_skills!$1:$1,0)-MATCH("enemy_skill_id",enemy_skills!$1:$1,0)+1),MATCH(D$1,enemy_skills!$1:$1,0)-MATCH("enemy_skill_id",enemy_skills!$1:$1,0)+1,FALSE)</f>
        <v>アストライアー1</v>
      </c>
      <c r="E6" s="46" t="str">
        <f ca="1">VLOOKUP($C6,OFFSET(enemy_skills!$A$1,0,0,COUNTA(enemy_skills!$A:$A),MATCH(E$1,enemy_skills!$1:$1,0)-MATCH("enemy_skill_id",enemy_skills!$1:$1,0)+1),MATCH(E$1,enemy_skills!$1:$1,0)-MATCH("enemy_skill_id",enemy_skills!$1:$1,0)+1,FALSE)</f>
        <v>状態異常無効</v>
      </c>
      <c r="F6" s="47">
        <v>65526020</v>
      </c>
      <c r="G6" s="48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" s="48" t="str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6" s="48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48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8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8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" s="48" t="str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" s="48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8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" s="47"/>
      <c r="Q6" s="47"/>
      <c r="R6" s="47"/>
    </row>
    <row r="7" spans="1:18" ht="21" customHeight="1" x14ac:dyDescent="0.15">
      <c r="A7" s="39" t="str">
        <f t="shared" si="1"/>
        <v>65526004_65526021</v>
      </c>
      <c r="B7" s="47">
        <v>65526004</v>
      </c>
      <c r="C7" s="47">
        <v>65526021</v>
      </c>
      <c r="D7" s="46" t="str">
        <f ca="1">VLOOKUP($C7,OFFSET(enemy_skills!$A$1,0,0,COUNTA(enemy_skills!$A:$A),MATCH(D$1,enemy_skills!$1:$1,0)-MATCH("enemy_skill_id",enemy_skills!$1:$1,0)+1),MATCH(D$1,enemy_skills!$1:$1,0)-MATCH("enemy_skill_id",enemy_skills!$1:$1,0)+1,FALSE)</f>
        <v>アストライアー1</v>
      </c>
      <c r="E7" s="46" t="str">
        <f ca="1">VLOOKUP($C7,OFFSET(enemy_skills!$A$1,0,0,COUNTA(enemy_skills!$A:$A),MATCH(E$1,enemy_skills!$1:$1,0)-MATCH("enemy_skill_id",enemy_skills!$1:$1,0)+1),MATCH(E$1,enemy_skills!$1:$1,0)-MATCH("enemy_skill_id",enemy_skills!$1:$1,0)+1,FALSE)</f>
        <v>連続攻撃</v>
      </c>
      <c r="F7" s="47">
        <v>65526021</v>
      </c>
      <c r="G7" s="48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" s="48" t="str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7" s="48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7" s="48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48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8" t="str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" s="48" t="str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" s="48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8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7" s="47"/>
      <c r="Q7" s="47"/>
      <c r="R7" s="47"/>
    </row>
    <row r="8" spans="1:18" ht="21" customHeight="1" x14ac:dyDescent="0.15">
      <c r="A8" s="39" t="str">
        <f t="shared" si="1"/>
        <v>65526004_65526022</v>
      </c>
      <c r="B8" s="47">
        <v>65526004</v>
      </c>
      <c r="C8" s="47">
        <v>65526022</v>
      </c>
      <c r="D8" s="46" t="str">
        <f ca="1">VLOOKUP($C8,OFFSET(enemy_skills!$A$1,0,0,COUNTA(enemy_skills!$A:$A),MATCH(D$1,enemy_skills!$1:$1,0)-MATCH("enemy_skill_id",enemy_skills!$1:$1,0)+1),MATCH(D$1,enemy_skills!$1:$1,0)-MATCH("enemy_skill_id",enemy_skills!$1:$1,0)+1,FALSE)</f>
        <v>アストライアー1</v>
      </c>
      <c r="E8" s="46" t="str">
        <f ca="1">VLOOKUP($C8,OFFSET(enemy_skills!$A$1,0,0,COUNTA(enemy_skills!$A:$A),MATCH(E$1,enemy_skills!$1:$1,0)-MATCH("enemy_skill_id",enemy_skills!$1:$1,0)+1),MATCH(E$1,enemy_skills!$1:$1,0)-MATCH("enemy_skill_id",enemy_skills!$1:$1,0)+1,FALSE)</f>
        <v>ハートパネル変換</v>
      </c>
      <c r="F8" s="47">
        <v>65526022</v>
      </c>
      <c r="G8" s="48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" s="48" t="str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8" s="48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8" s="48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8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8" t="str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" s="48" t="str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" s="48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8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8" s="47"/>
      <c r="Q8" s="47"/>
      <c r="R8" s="47"/>
    </row>
    <row r="9" spans="1:18" ht="21" customHeight="1" x14ac:dyDescent="0.15">
      <c r="A9" s="39" t="str">
        <f t="shared" si="1"/>
        <v>65526004_65526023</v>
      </c>
      <c r="B9" s="47">
        <v>65526004</v>
      </c>
      <c r="C9" s="47">
        <v>65526023</v>
      </c>
      <c r="D9" s="46" t="str">
        <f ca="1">VLOOKUP($C9,OFFSET(enemy_skills!$A$1,0,0,COUNTA(enemy_skills!$A:$A),MATCH(D$1,enemy_skills!$1:$1,0)-MATCH("enemy_skill_id",enemy_skills!$1:$1,0)+1),MATCH(D$1,enemy_skills!$1:$1,0)-MATCH("enemy_skill_id",enemy_skills!$1:$1,0)+1,FALSE)</f>
        <v>アストライアー1</v>
      </c>
      <c r="E9" s="46" t="str">
        <f ca="1">VLOOKUP($C9,OFFSET(enemy_skills!$A$1,0,0,COUNTA(enemy_skills!$A:$A),MATCH(E$1,enemy_skills!$1:$1,0)-MATCH("enemy_skill_id",enemy_skills!$1:$1,0)+1),MATCH(E$1,enemy_skills!$1:$1,0)-MATCH("enemy_skill_id",enemy_skills!$1:$1,0)+1,FALSE)</f>
        <v>ハートパネル吸収攻撃</v>
      </c>
      <c r="F9" s="47">
        <v>65526023</v>
      </c>
      <c r="G9" s="48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48" t="str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9" s="48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48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48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8" t="str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" s="48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9" s="48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8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" s="47"/>
      <c r="Q9" s="47"/>
      <c r="R9" s="47"/>
    </row>
    <row r="10" spans="1:18" ht="21" customHeight="1" x14ac:dyDescent="0.15">
      <c r="A10" s="39" t="str">
        <f t="shared" si="1"/>
        <v>65526005_65526025</v>
      </c>
      <c r="B10" s="47">
        <v>65526005</v>
      </c>
      <c r="C10" s="47">
        <v>65526025</v>
      </c>
      <c r="D10" s="46" t="str">
        <f ca="1">VLOOKUP($C10,OFFSET(enemy_skills!$A$1,0,0,COUNTA(enemy_skills!$A:$A),MATCH(D$1,enemy_skills!$1:$1,0)-MATCH("enemy_skill_id",enemy_skills!$1:$1,0)+1),MATCH(D$1,enemy_skills!$1:$1,0)-MATCH("enemy_skill_id",enemy_skills!$1:$1,0)+1,FALSE)</f>
        <v>アストライアー2</v>
      </c>
      <c r="E10" s="46" t="str">
        <f ca="1">VLOOKUP($C10,OFFSET(enemy_skills!$A$1,0,0,COUNTA(enemy_skills!$A:$A),MATCH(E$1,enemy_skills!$1:$1,0)-MATCH("enemy_skill_id",enemy_skills!$1:$1,0)+1),MATCH(E$1,enemy_skills!$1:$1,0)-MATCH("enemy_skill_id",enemy_skills!$1:$1,0)+1,FALSE)</f>
        <v>状態異常無効</v>
      </c>
      <c r="F10" s="47">
        <v>65526025</v>
      </c>
      <c r="G10" s="48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" s="48" t="str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0" s="48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48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48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8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" s="48" t="str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" s="48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48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47"/>
      <c r="Q10" s="47"/>
      <c r="R10" s="47"/>
    </row>
    <row r="11" spans="1:18" ht="21" customHeight="1" x14ac:dyDescent="0.15">
      <c r="A11" s="39" t="str">
        <f t="shared" si="1"/>
        <v>65526005_65526026</v>
      </c>
      <c r="B11" s="47">
        <v>65526005</v>
      </c>
      <c r="C11" s="47">
        <v>65526026</v>
      </c>
      <c r="D11" s="46" t="str">
        <f ca="1">VLOOKUP($C11,OFFSET(enemy_skills!$A$1,0,0,COUNTA(enemy_skills!$A:$A),MATCH(D$1,enemy_skills!$1:$1,0)-MATCH("enemy_skill_id",enemy_skills!$1:$1,0)+1),MATCH(D$1,enemy_skills!$1:$1,0)-MATCH("enemy_skill_id",enemy_skills!$1:$1,0)+1,FALSE)</f>
        <v>アストライアー2</v>
      </c>
      <c r="E11" s="46" t="str">
        <f ca="1">VLOOKUP($C11,OFFSET(enemy_skills!$A$1,0,0,COUNTA(enemy_skills!$A:$A),MATCH(E$1,enemy_skills!$1:$1,0)-MATCH("enemy_skill_id",enemy_skills!$1:$1,0)+1),MATCH(E$1,enemy_skills!$1:$1,0)-MATCH("enemy_skill_id",enemy_skills!$1:$1,0)+1,FALSE)</f>
        <v>連続攻撃</v>
      </c>
      <c r="F11" s="47">
        <v>65526026</v>
      </c>
      <c r="G11" s="48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" s="48" t="str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1" s="48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11" s="48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48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8" t="str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" s="48" t="str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" s="48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8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11" s="47"/>
      <c r="Q11" s="47"/>
      <c r="R11" s="47"/>
    </row>
    <row r="12" spans="1:18" ht="21" customHeight="1" x14ac:dyDescent="0.15">
      <c r="A12" s="39" t="str">
        <f t="shared" si="1"/>
        <v>65526005_65526027</v>
      </c>
      <c r="B12" s="47">
        <v>65526005</v>
      </c>
      <c r="C12" s="47">
        <v>65526027</v>
      </c>
      <c r="D12" s="46" t="str">
        <f ca="1">VLOOKUP($C12,OFFSET(enemy_skills!$A$1,0,0,COUNTA(enemy_skills!$A:$A),MATCH(D$1,enemy_skills!$1:$1,0)-MATCH("enemy_skill_id",enemy_skills!$1:$1,0)+1),MATCH(D$1,enemy_skills!$1:$1,0)-MATCH("enemy_skill_id",enemy_skills!$1:$1,0)+1,FALSE)</f>
        <v>アストライアー2</v>
      </c>
      <c r="E12" s="46" t="str">
        <f ca="1">VLOOKUP($C12,OFFSET(enemy_skills!$A$1,0,0,COUNTA(enemy_skills!$A:$A),MATCH(E$1,enemy_skills!$1:$1,0)-MATCH("enemy_skill_id",enemy_skills!$1:$1,0)+1),MATCH(E$1,enemy_skills!$1:$1,0)-MATCH("enemy_skill_id",enemy_skills!$1:$1,0)+1,FALSE)</f>
        <v>ハートパネル変換</v>
      </c>
      <c r="F12" s="47">
        <v>65526027</v>
      </c>
      <c r="G12" s="48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" s="48" t="str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2" s="48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12" s="48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48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8" t="str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2" s="48" t="str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" s="48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48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12" s="47"/>
      <c r="Q12" s="47"/>
      <c r="R12" s="47"/>
    </row>
    <row r="13" spans="1:18" ht="21" customHeight="1" x14ac:dyDescent="0.15">
      <c r="A13" s="39" t="str">
        <f t="shared" si="1"/>
        <v>65526005_65526028</v>
      </c>
      <c r="B13" s="47">
        <v>65526005</v>
      </c>
      <c r="C13" s="47">
        <v>65526028</v>
      </c>
      <c r="D13" s="46" t="str">
        <f ca="1">VLOOKUP($C13,OFFSET(enemy_skills!$A$1,0,0,COUNTA(enemy_skills!$A:$A),MATCH(D$1,enemy_skills!$1:$1,0)-MATCH("enemy_skill_id",enemy_skills!$1:$1,0)+1),MATCH(D$1,enemy_skills!$1:$1,0)-MATCH("enemy_skill_id",enemy_skills!$1:$1,0)+1,FALSE)</f>
        <v>アストライアー2</v>
      </c>
      <c r="E13" s="46" t="str">
        <f ca="1">VLOOKUP($C13,OFFSET(enemy_skills!$A$1,0,0,COUNTA(enemy_skills!$A:$A),MATCH(E$1,enemy_skills!$1:$1,0)-MATCH("enemy_skill_id",enemy_skills!$1:$1,0)+1),MATCH(E$1,enemy_skills!$1:$1,0)-MATCH("enemy_skill_id",enemy_skills!$1:$1,0)+1,FALSE)</f>
        <v>お邪魔パネル変換</v>
      </c>
      <c r="F13" s="47">
        <v>65526028</v>
      </c>
      <c r="G13" s="48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" s="48" t="str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3" s="48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48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48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8" t="str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3" s="48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3" s="48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48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47"/>
      <c r="Q13" s="47"/>
      <c r="R13" s="47"/>
    </row>
    <row r="14" spans="1:18" ht="21" customHeight="1" x14ac:dyDescent="0.15">
      <c r="A14" s="39" t="str">
        <f t="shared" si="1"/>
        <v>65526005_65526029</v>
      </c>
      <c r="B14" s="47">
        <v>65526005</v>
      </c>
      <c r="C14" s="47">
        <v>65526029</v>
      </c>
      <c r="D14" s="46" t="str">
        <f ca="1">VLOOKUP($C14,OFFSET(enemy_skills!$A$1,0,0,COUNTA(enemy_skills!$A:$A),MATCH(D$1,enemy_skills!$1:$1,0)-MATCH("enemy_skill_id",enemy_skills!$1:$1,0)+1),MATCH(D$1,enemy_skills!$1:$1,0)-MATCH("enemy_skill_id",enemy_skills!$1:$1,0)+1,FALSE)</f>
        <v>アストライアー2</v>
      </c>
      <c r="E14" s="46" t="str">
        <f ca="1">VLOOKUP($C14,OFFSET(enemy_skills!$A$1,0,0,COUNTA(enemy_skills!$A:$A),MATCH(E$1,enemy_skills!$1:$1,0)-MATCH("enemy_skill_id",enemy_skills!$1:$1,0)+1),MATCH(E$1,enemy_skills!$1:$1,0)-MATCH("enemy_skill_id",enemy_skills!$1:$1,0)+1,FALSE)</f>
        <v>ハートパネル・お邪魔パネル吸収攻撃</v>
      </c>
      <c r="F14" s="47">
        <v>65526029</v>
      </c>
      <c r="G14" s="48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" s="48" t="str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4" s="48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" s="48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48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8" t="str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4" s="48" t="str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" s="48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48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" s="47"/>
      <c r="Q14" s="47"/>
      <c r="R14" s="47"/>
    </row>
    <row r="15" spans="1:18" ht="21" customHeight="1" x14ac:dyDescent="0.15">
      <c r="A15" s="39" t="str">
        <f t="shared" si="1"/>
        <v>65526006_65526030</v>
      </c>
      <c r="B15" s="47">
        <v>65526006</v>
      </c>
      <c r="C15" s="47">
        <v>65526030</v>
      </c>
      <c r="D15" s="46" t="str">
        <f ca="1">VLOOKUP($C15,OFFSET(enemy_skills!$A$1,0,0,COUNTA(enemy_skills!$A:$A),MATCH(D$1,enemy_skills!$1:$1,0)-MATCH("enemy_skill_id",enemy_skills!$1:$1,0)+1),MATCH(D$1,enemy_skills!$1:$1,0)-MATCH("enemy_skill_id",enemy_skills!$1:$1,0)+1,FALSE)</f>
        <v>ファータ</v>
      </c>
      <c r="E15" s="46" t="str">
        <f ca="1">VLOOKUP($C15,OFFSET(enemy_skills!$A$1,0,0,COUNTA(enemy_skills!$A:$A),MATCH(E$1,enemy_skills!$1:$1,0)-MATCH("enemy_skill_id",enemy_skills!$1:$1,0)+1),MATCH(E$1,enemy_skills!$1:$1,0)-MATCH("enemy_skill_id",enemy_skills!$1:$1,0)+1,FALSE)</f>
        <v>緑パネル出現率ダウン</v>
      </c>
      <c r="F15" s="47">
        <v>65526030</v>
      </c>
      <c r="G15" s="48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5" s="48" t="str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5" s="48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" s="48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48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8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" s="48" t="str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" s="48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48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" s="47"/>
      <c r="Q15" s="47"/>
      <c r="R15" s="47"/>
    </row>
    <row r="16" spans="1:18" ht="21" customHeight="1" x14ac:dyDescent="0.15">
      <c r="A16" s="39" t="str">
        <f t="shared" si="1"/>
        <v>65526006_65526031</v>
      </c>
      <c r="B16" s="47">
        <v>65526006</v>
      </c>
      <c r="C16" s="47">
        <v>65526031</v>
      </c>
      <c r="D16" s="46" t="str">
        <f ca="1">VLOOKUP($C16,OFFSET(enemy_skills!$A$1,0,0,COUNTA(enemy_skills!$A:$A),MATCH(D$1,enemy_skills!$1:$1,0)-MATCH("enemy_skill_id",enemy_skills!$1:$1,0)+1),MATCH(D$1,enemy_skills!$1:$1,0)-MATCH("enemy_skill_id",enemy_skills!$1:$1,0)+1,FALSE)</f>
        <v>ファータ</v>
      </c>
      <c r="E16" s="46" t="str">
        <f ca="1">VLOOKUP($C16,OFFSET(enemy_skills!$A$1,0,0,COUNTA(enemy_skills!$A:$A),MATCH(E$1,enemy_skills!$1:$1,0)-MATCH("enemy_skill_id",enemy_skills!$1:$1,0)+1),MATCH(E$1,enemy_skills!$1:$1,0)-MATCH("enemy_skill_id",enemy_skills!$1:$1,0)+1,FALSE)</f>
        <v>ハートパネル変換</v>
      </c>
      <c r="F16" s="47">
        <v>65526031</v>
      </c>
      <c r="G16" s="48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" s="48" t="str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6" s="48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16" s="48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48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8" t="str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6" s="48" t="str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" s="48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48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16" s="47"/>
      <c r="Q16" s="47"/>
      <c r="R16" s="47"/>
    </row>
    <row r="17" spans="1:18" ht="21" customHeight="1" x14ac:dyDescent="0.15">
      <c r="A17" s="39" t="str">
        <f t="shared" si="1"/>
        <v>65526006_65526032</v>
      </c>
      <c r="B17" s="47">
        <v>65526006</v>
      </c>
      <c r="C17" s="47">
        <v>65526032</v>
      </c>
      <c r="D17" s="46" t="str">
        <f ca="1">VLOOKUP($C17,OFFSET(enemy_skills!$A$1,0,0,COUNTA(enemy_skills!$A:$A),MATCH(D$1,enemy_skills!$1:$1,0)-MATCH("enemy_skill_id",enemy_skills!$1:$1,0)+1),MATCH(D$1,enemy_skills!$1:$1,0)-MATCH("enemy_skill_id",enemy_skills!$1:$1,0)+1,FALSE)</f>
        <v>ファータ</v>
      </c>
      <c r="E17" s="46" t="str">
        <f ca="1">VLOOKUP($C17,OFFSET(enemy_skills!$A$1,0,0,COUNTA(enemy_skills!$A:$A),MATCH(E$1,enemy_skills!$1:$1,0)-MATCH("enemy_skill_id",enemy_skills!$1:$1,0)+1),MATCH(E$1,enemy_skills!$1:$1,0)-MATCH("enemy_skill_id",enemy_skills!$1:$1,0)+1,FALSE)</f>
        <v>ハンナに攻撃頻度バフ</v>
      </c>
      <c r="F17" s="47">
        <v>65526032</v>
      </c>
      <c r="G17" s="48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" s="48" t="str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7" s="48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48" t="str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" s="48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8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" s="48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17" s="48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48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47"/>
      <c r="Q17" s="47"/>
      <c r="R17" s="47"/>
    </row>
    <row r="18" spans="1:18" ht="21" customHeight="1" x14ac:dyDescent="0.15">
      <c r="A18" s="39" t="str">
        <f t="shared" si="1"/>
        <v>65526006_65526033</v>
      </c>
      <c r="B18" s="47">
        <v>65526006</v>
      </c>
      <c r="C18" s="47">
        <v>65526033</v>
      </c>
      <c r="D18" s="46" t="str">
        <f ca="1">VLOOKUP($C18,OFFSET(enemy_skills!$A$1,0,0,COUNTA(enemy_skills!$A:$A),MATCH(D$1,enemy_skills!$1:$1,0)-MATCH("enemy_skill_id",enemy_skills!$1:$1,0)+1),MATCH(D$1,enemy_skills!$1:$1,0)-MATCH("enemy_skill_id",enemy_skills!$1:$1,0)+1,FALSE)</f>
        <v>ファータ</v>
      </c>
      <c r="E18" s="46" t="str">
        <f ca="1">VLOOKUP($C18,OFFSET(enemy_skills!$A$1,0,0,COUNTA(enemy_skills!$A:$A),MATCH(E$1,enemy_skills!$1:$1,0)-MATCH("enemy_skill_id",enemy_skills!$1:$1,0)+1),MATCH(E$1,enemy_skills!$1:$1,0)-MATCH("enemy_skill_id",enemy_skills!$1:$1,0)+1,FALSE)</f>
        <v>連続攻撃</v>
      </c>
      <c r="F18" s="47">
        <v>65526033</v>
      </c>
      <c r="G18" s="48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" s="48" t="str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8" s="48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18" s="48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48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8" t="str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8" s="48" t="str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" s="48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48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18" s="47"/>
      <c r="Q18" s="47"/>
      <c r="R18" s="47"/>
    </row>
    <row r="19" spans="1:18" ht="21" customHeight="1" x14ac:dyDescent="0.15">
      <c r="A19" s="39" t="str">
        <f t="shared" si="1"/>
        <v>65526007_65526035</v>
      </c>
      <c r="B19" s="47">
        <v>65526007</v>
      </c>
      <c r="C19" s="47">
        <v>65526035</v>
      </c>
      <c r="D19" s="46" t="str">
        <f ca="1">VLOOKUP($C19,OFFSET(enemy_skills!$A$1,0,0,COUNTA(enemy_skills!$A:$A),MATCH(D$1,enemy_skills!$1:$1,0)-MATCH("enemy_skill_id",enemy_skills!$1:$1,0)+1),MATCH(D$1,enemy_skills!$1:$1,0)-MATCH("enemy_skill_id",enemy_skills!$1:$1,0)+1,FALSE)</f>
        <v>ハンナ</v>
      </c>
      <c r="E19" s="46" t="str">
        <f ca="1">VLOOKUP($C19,OFFSET(enemy_skills!$A$1,0,0,COUNTA(enemy_skills!$A:$A),MATCH(E$1,enemy_skills!$1:$1,0)-MATCH("enemy_skill_id",enemy_skills!$1:$1,0)+1),MATCH(E$1,enemy_skills!$1:$1,0)-MATCH("enemy_skill_id",enemy_skills!$1:$1,0)+1,FALSE)</f>
        <v>ハートパネル吸収攻撃</v>
      </c>
      <c r="F19" s="47">
        <v>65526035</v>
      </c>
      <c r="G19" s="48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" s="48" t="str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9" s="48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" s="48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48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8" t="str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9" s="48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9" s="48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48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" s="47"/>
      <c r="Q19" s="47"/>
      <c r="R19" s="47"/>
    </row>
    <row r="20" spans="1:18" ht="21" customHeight="1" x14ac:dyDescent="0.15">
      <c r="A20" s="39" t="str">
        <f t="shared" si="1"/>
        <v>65526007_65526036</v>
      </c>
      <c r="B20" s="47">
        <v>65526007</v>
      </c>
      <c r="C20" s="47">
        <v>65526036</v>
      </c>
      <c r="D20" s="46" t="str">
        <f ca="1">VLOOKUP($C20,OFFSET(enemy_skills!$A$1,0,0,COUNTA(enemy_skills!$A:$A),MATCH(D$1,enemy_skills!$1:$1,0)-MATCH("enemy_skill_id",enemy_skills!$1:$1,0)+1),MATCH(D$1,enemy_skills!$1:$1,0)-MATCH("enemy_skill_id",enemy_skills!$1:$1,0)+1,FALSE)</f>
        <v>ハンナ</v>
      </c>
      <c r="E20" s="46" t="str">
        <f ca="1">VLOOKUP($C20,OFFSET(enemy_skills!$A$1,0,0,COUNTA(enemy_skills!$A:$A),MATCH(E$1,enemy_skills!$1:$1,0)-MATCH("enemy_skill_id",enemy_skills!$1:$1,0)+1),MATCH(E$1,enemy_skills!$1:$1,0)-MATCH("enemy_skill_id",enemy_skills!$1:$1,0)+1,FALSE)</f>
        <v>ファータに攻撃バフ</v>
      </c>
      <c r="F20" s="47">
        <v>65526036</v>
      </c>
      <c r="G20" s="48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" s="48" t="str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0" s="48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" s="48" t="str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" s="48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8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0" s="48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20" s="48" t="str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" s="48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" s="47"/>
      <c r="Q20" s="47"/>
      <c r="R20" s="47"/>
    </row>
    <row r="21" spans="1:18" ht="21" customHeight="1" x14ac:dyDescent="0.15">
      <c r="A21" s="39" t="str">
        <f t="shared" si="1"/>
        <v>65526008_65526040</v>
      </c>
      <c r="B21" s="47">
        <v>65526008</v>
      </c>
      <c r="C21" s="47">
        <v>65526040</v>
      </c>
      <c r="D21" s="46" t="str">
        <f ca="1">VLOOKUP($C21,OFFSET(enemy_skills!$A$1,0,0,COUNTA(enemy_skills!$A:$A),MATCH(D$1,enemy_skills!$1:$1,0)-MATCH("enemy_skill_id",enemy_skills!$1:$1,0)+1),MATCH(D$1,enemy_skills!$1:$1,0)-MATCH("enemy_skill_id",enemy_skills!$1:$1,0)+1,FALSE)</f>
        <v>ハップル1</v>
      </c>
      <c r="E21" s="46" t="str">
        <f ca="1">VLOOKUP($C21,OFFSET(enemy_skills!$A$1,0,0,COUNTA(enemy_skills!$A:$A),MATCH(E$1,enemy_skills!$1:$1,0)-MATCH("enemy_skill_id",enemy_skills!$1:$1,0)+1),MATCH(E$1,enemy_skills!$1:$1,0)-MATCH("enemy_skill_id",enemy_skills!$1:$1,0)+1,FALSE)</f>
        <v>状態異常無効＆緑パネルをお邪魔パネルに変化してドロップ</v>
      </c>
      <c r="F21" s="47">
        <v>65526040</v>
      </c>
      <c r="G21" s="48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1" s="48" t="str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1" s="48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48" t="str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" s="48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8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" s="48" t="str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" s="48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48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" s="47"/>
      <c r="Q21" s="47"/>
      <c r="R21" s="47"/>
    </row>
    <row r="22" spans="1:18" ht="21" customHeight="1" x14ac:dyDescent="0.15">
      <c r="A22" s="39" t="str">
        <f t="shared" si="1"/>
        <v>65526008_65526041</v>
      </c>
      <c r="B22" s="47">
        <v>65526008</v>
      </c>
      <c r="C22" s="47">
        <v>65526041</v>
      </c>
      <c r="D22" s="46" t="str">
        <f ca="1">VLOOKUP($C22,OFFSET(enemy_skills!$A$1,0,0,COUNTA(enemy_skills!$A:$A),MATCH(D$1,enemy_skills!$1:$1,0)-MATCH("enemy_skill_id",enemy_skills!$1:$1,0)+1),MATCH(D$1,enemy_skills!$1:$1,0)-MATCH("enemy_skill_id",enemy_skills!$1:$1,0)+1,FALSE)</f>
        <v>ハップル1</v>
      </c>
      <c r="E22" s="46" t="str">
        <f ca="1">VLOOKUP($C22,OFFSET(enemy_skills!$A$1,0,0,COUNTA(enemy_skills!$A:$A),MATCH(E$1,enemy_skills!$1:$1,0)-MATCH("enemy_skill_id",enemy_skills!$1:$1,0)+1),MATCH(E$1,enemy_skills!$1:$1,0)-MATCH("enemy_skill_id",enemy_skills!$1:$1,0)+1,FALSE)</f>
        <v>全体攻撃</v>
      </c>
      <c r="F22" s="47">
        <v>65526041</v>
      </c>
      <c r="G22" s="48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" s="48" t="str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2" s="48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22" s="48" t="str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" s="48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48" t="str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2" s="48" t="str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" s="48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48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22" s="47"/>
      <c r="Q22" s="47"/>
      <c r="R22" s="47"/>
    </row>
    <row r="23" spans="1:18" ht="21" customHeight="1" x14ac:dyDescent="0.15">
      <c r="A23" s="39" t="str">
        <f t="shared" si="1"/>
        <v>65526008_65526042</v>
      </c>
      <c r="B23" s="47">
        <v>65526008</v>
      </c>
      <c r="C23" s="47">
        <v>65526042</v>
      </c>
      <c r="D23" s="46" t="str">
        <f ca="1">VLOOKUP($C23,OFFSET(enemy_skills!$A$1,0,0,COUNTA(enemy_skills!$A:$A),MATCH(D$1,enemy_skills!$1:$1,0)-MATCH("enemy_skill_id",enemy_skills!$1:$1,0)+1),MATCH(D$1,enemy_skills!$1:$1,0)-MATCH("enemy_skill_id",enemy_skills!$1:$1,0)+1,FALSE)</f>
        <v>ハップル1</v>
      </c>
      <c r="E23" s="46" t="str">
        <f ca="1">VLOOKUP($C23,OFFSET(enemy_skills!$A$1,0,0,COUNTA(enemy_skills!$A:$A),MATCH(E$1,enemy_skills!$1:$1,0)-MATCH("enemy_skill_id",enemy_skills!$1:$1,0)+1),MATCH(E$1,enemy_skills!$1:$1,0)-MATCH("enemy_skill_id",enemy_skills!$1:$1,0)+1,FALSE)</f>
        <v>サムライキラーの連続攻撃</v>
      </c>
      <c r="F23" s="47">
        <v>65526042</v>
      </c>
      <c r="G23" s="48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" s="48" t="str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3" s="48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23" s="48" t="str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" s="48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48" t="str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3" s="48" t="str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" s="48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48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23" s="47"/>
      <c r="Q23" s="47"/>
      <c r="R23" s="47"/>
    </row>
    <row r="24" spans="1:18" ht="21" customHeight="1" x14ac:dyDescent="0.15">
      <c r="A24" s="39" t="str">
        <f t="shared" si="1"/>
        <v>65526008_65526043</v>
      </c>
      <c r="B24" s="47">
        <v>65526008</v>
      </c>
      <c r="C24" s="47">
        <v>65526043</v>
      </c>
      <c r="D24" s="46" t="str">
        <f ca="1">VLOOKUP($C24,OFFSET(enemy_skills!$A$1,0,0,COUNTA(enemy_skills!$A:$A),MATCH(D$1,enemy_skills!$1:$1,0)-MATCH("enemy_skill_id",enemy_skills!$1:$1,0)+1),MATCH(D$1,enemy_skills!$1:$1,0)-MATCH("enemy_skill_id",enemy_skills!$1:$1,0)+1,FALSE)</f>
        <v>ハップル1</v>
      </c>
      <c r="E24" s="46" t="str">
        <f ca="1">VLOOKUP($C24,OFFSET(enemy_skills!$A$1,0,0,COUNTA(enemy_skills!$A:$A),MATCH(E$1,enemy_skills!$1:$1,0)-MATCH("enemy_skill_id",enemy_skills!$1:$1,0)+1),MATCH(E$1,enemy_skills!$1:$1,0)-MATCH("enemy_skill_id",enemy_skills!$1:$1,0)+1,FALSE)</f>
        <v>ランダムでハートパネル変換</v>
      </c>
      <c r="F24" s="47">
        <v>65526043</v>
      </c>
      <c r="G24" s="48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" s="48" t="str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4" s="48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24" s="48" t="str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" s="48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48" t="str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4" s="48" t="str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" s="48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48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24" s="47"/>
      <c r="Q24" s="47"/>
      <c r="R24" s="47"/>
    </row>
    <row r="25" spans="1:18" ht="21" customHeight="1" x14ac:dyDescent="0.15">
      <c r="A25" s="39" t="str">
        <f t="shared" si="1"/>
        <v>65526008_65526044</v>
      </c>
      <c r="B25" s="47">
        <v>65526008</v>
      </c>
      <c r="C25" s="47">
        <v>65526044</v>
      </c>
      <c r="D25" s="46" t="str">
        <f ca="1">VLOOKUP($C25,OFFSET(enemy_skills!$A$1,0,0,COUNTA(enemy_skills!$A:$A),MATCH(D$1,enemy_skills!$1:$1,0)-MATCH("enemy_skill_id",enemy_skills!$1:$1,0)+1),MATCH(D$1,enemy_skills!$1:$1,0)-MATCH("enemy_skill_id",enemy_skills!$1:$1,0)+1,FALSE)</f>
        <v>ハップル1</v>
      </c>
      <c r="E25" s="46" t="str">
        <f ca="1">VLOOKUP($C25,OFFSET(enemy_skills!$A$1,0,0,COUNTA(enemy_skills!$A:$A),MATCH(E$1,enemy_skills!$1:$1,0)-MATCH("enemy_skill_id",enemy_skills!$1:$1,0)+1),MATCH(E$1,enemy_skills!$1:$1,0)-MATCH("enemy_skill_id",enemy_skills!$1:$1,0)+1,FALSE)</f>
        <v>ハートパネルとお邪魔パネルを吸収して攻撃</v>
      </c>
      <c r="F25" s="47">
        <v>65526044</v>
      </c>
      <c r="G25" s="48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" s="48" t="str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5" s="48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" s="48" t="str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" s="48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8" t="str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5" s="48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5" s="48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48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" s="47"/>
      <c r="Q25" s="47"/>
      <c r="R25" s="47"/>
    </row>
    <row r="26" spans="1:18" ht="21" customHeight="1" x14ac:dyDescent="0.15">
      <c r="A26" s="39" t="str">
        <f t="shared" si="1"/>
        <v>65526009_65526050</v>
      </c>
      <c r="B26" s="47">
        <v>65526009</v>
      </c>
      <c r="C26" s="47">
        <v>65526050</v>
      </c>
      <c r="D26" s="46" t="str">
        <f ca="1">VLOOKUP($C26,OFFSET(enemy_skills!$A$1,0,0,COUNTA(enemy_skills!$A:$A),MATCH(D$1,enemy_skills!$1:$1,0)-MATCH("enemy_skill_id",enemy_skills!$1:$1,0)+1),MATCH(D$1,enemy_skills!$1:$1,0)-MATCH("enemy_skill_id",enemy_skills!$1:$1,0)+1,FALSE)</f>
        <v>ハップル2</v>
      </c>
      <c r="E26" s="46" t="str">
        <f ca="1">VLOOKUP($C26,OFFSET(enemy_skills!$A$1,0,0,COUNTA(enemy_skills!$A:$A),MATCH(E$1,enemy_skills!$1:$1,0)-MATCH("enemy_skill_id",enemy_skills!$1:$1,0)+1),MATCH(E$1,enemy_skills!$1:$1,0)-MATCH("enemy_skill_id",enemy_skills!$1:$1,0)+1,FALSE)</f>
        <v>状態異常無効＆緑パネルをハートパネルに変化してドロップ</v>
      </c>
      <c r="F26" s="47">
        <v>65526050</v>
      </c>
      <c r="G26" s="48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6" s="48" t="str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6" s="48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" s="48" t="str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" s="48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48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6" s="48" t="str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6" s="48" t="str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" s="48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" s="47"/>
      <c r="Q26" s="47"/>
      <c r="R26" s="47"/>
    </row>
    <row r="27" spans="1:18" ht="21" customHeight="1" x14ac:dyDescent="0.15">
      <c r="A27" s="39" t="str">
        <f t="shared" si="1"/>
        <v>65526009_65526051</v>
      </c>
      <c r="B27" s="47">
        <v>65526009</v>
      </c>
      <c r="C27" s="47">
        <v>65526051</v>
      </c>
      <c r="D27" s="46" t="str">
        <f ca="1">VLOOKUP($C27,OFFSET(enemy_skills!$A$1,0,0,COUNTA(enemy_skills!$A:$A),MATCH(D$1,enemy_skills!$1:$1,0)-MATCH("enemy_skill_id",enemy_skills!$1:$1,0)+1),MATCH(D$1,enemy_skills!$1:$1,0)-MATCH("enemy_skill_id",enemy_skills!$1:$1,0)+1,FALSE)</f>
        <v>ハップル2</v>
      </c>
      <c r="E27" s="46" t="str">
        <f ca="1">VLOOKUP($C27,OFFSET(enemy_skills!$A$1,0,0,COUNTA(enemy_skills!$A:$A),MATCH(E$1,enemy_skills!$1:$1,0)-MATCH("enemy_skill_id",enemy_skills!$1:$1,0)+1),MATCH(E$1,enemy_skills!$1:$1,0)-MATCH("enemy_skill_id",enemy_skills!$1:$1,0)+1,FALSE)</f>
        <v>全体攻撃</v>
      </c>
      <c r="F27" s="47">
        <v>65526051</v>
      </c>
      <c r="G27" s="48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" s="48" t="str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7" s="48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27" s="48" t="str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" s="48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48" t="str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7" s="48" t="str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" s="48" t="str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" s="48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27" s="47"/>
      <c r="Q27" s="47"/>
      <c r="R27" s="47"/>
    </row>
    <row r="28" spans="1:18" ht="21" customHeight="1" x14ac:dyDescent="0.15">
      <c r="A28" s="39" t="str">
        <f t="shared" si="1"/>
        <v>65526009_65526052</v>
      </c>
      <c r="B28" s="47">
        <v>65526009</v>
      </c>
      <c r="C28" s="47">
        <v>65526052</v>
      </c>
      <c r="D28" s="46" t="str">
        <f ca="1">VLOOKUP($C28,OFFSET(enemy_skills!$A$1,0,0,COUNTA(enemy_skills!$A:$A),MATCH(D$1,enemy_skills!$1:$1,0)-MATCH("enemy_skill_id",enemy_skills!$1:$1,0)+1),MATCH(D$1,enemy_skills!$1:$1,0)-MATCH("enemy_skill_id",enemy_skills!$1:$1,0)+1,FALSE)</f>
        <v>ハップル2</v>
      </c>
      <c r="E28" s="46" t="str">
        <f ca="1">VLOOKUP($C28,OFFSET(enemy_skills!$A$1,0,0,COUNTA(enemy_skills!$A:$A),MATCH(E$1,enemy_skills!$1:$1,0)-MATCH("enemy_skill_id",enemy_skills!$1:$1,0)+1),MATCH(E$1,enemy_skills!$1:$1,0)-MATCH("enemy_skill_id",enemy_skills!$1:$1,0)+1,FALSE)</f>
        <v>サムライキラーの連続攻撃</v>
      </c>
      <c r="F28" s="47">
        <v>65526052</v>
      </c>
      <c r="G28" s="48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" s="48" t="str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8" s="48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28" s="48" t="str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" s="48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48" t="str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8" s="48" t="str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8" s="48" t="str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8" s="48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28" s="47"/>
      <c r="Q28" s="47"/>
      <c r="R28" s="47"/>
    </row>
    <row r="29" spans="1:18" ht="21" customHeight="1" x14ac:dyDescent="0.15">
      <c r="A29" s="39" t="str">
        <f t="shared" si="1"/>
        <v>65526009_65526053</v>
      </c>
      <c r="B29" s="47">
        <v>65526009</v>
      </c>
      <c r="C29" s="47">
        <v>65526053</v>
      </c>
      <c r="D29" s="46" t="str">
        <f ca="1">VLOOKUP($C29,OFFSET(enemy_skills!$A$1,0,0,COUNTA(enemy_skills!$A:$A),MATCH(D$1,enemy_skills!$1:$1,0)-MATCH("enemy_skill_id",enemy_skills!$1:$1,0)+1),MATCH(D$1,enemy_skills!$1:$1,0)-MATCH("enemy_skill_id",enemy_skills!$1:$1,0)+1,FALSE)</f>
        <v>ハップル2</v>
      </c>
      <c r="E29" s="46" t="str">
        <f ca="1">VLOOKUP($C29,OFFSET(enemy_skills!$A$1,0,0,COUNTA(enemy_skills!$A:$A),MATCH(E$1,enemy_skills!$1:$1,0)-MATCH("enemy_skill_id",enemy_skills!$1:$1,0)+1),MATCH(E$1,enemy_skills!$1:$1,0)-MATCH("enemy_skill_id",enemy_skills!$1:$1,0)+1,FALSE)</f>
        <v>ランダムでハートパネル変換</v>
      </c>
      <c r="F29" s="47">
        <v>65526053</v>
      </c>
      <c r="G29" s="48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9" s="48" t="str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9" s="48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29" s="48" t="str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" s="48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48" t="str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9" s="48" t="str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9" s="48" t="str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9" s="48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29" s="47"/>
      <c r="Q29" s="47"/>
      <c r="R29" s="47"/>
    </row>
    <row r="30" spans="1:18" ht="21" customHeight="1" x14ac:dyDescent="0.15">
      <c r="A30" s="39" t="str">
        <f t="shared" si="1"/>
        <v>65526009_65526054</v>
      </c>
      <c r="B30" s="47">
        <v>65526009</v>
      </c>
      <c r="C30" s="47">
        <v>65526054</v>
      </c>
      <c r="D30" s="46" t="str">
        <f ca="1">VLOOKUP($C30,OFFSET(enemy_skills!$A$1,0,0,COUNTA(enemy_skills!$A:$A),MATCH(D$1,enemy_skills!$1:$1,0)-MATCH("enemy_skill_id",enemy_skills!$1:$1,0)+1),MATCH(D$1,enemy_skills!$1:$1,0)-MATCH("enemy_skill_id",enemy_skills!$1:$1,0)+1,FALSE)</f>
        <v>ハップル2</v>
      </c>
      <c r="E30" s="46" t="str">
        <f ca="1">VLOOKUP($C30,OFFSET(enemy_skills!$A$1,0,0,COUNTA(enemy_skills!$A:$A),MATCH(E$1,enemy_skills!$1:$1,0)-MATCH("enemy_skill_id",enemy_skills!$1:$1,0)+1),MATCH(E$1,enemy_skills!$1:$1,0)-MATCH("enemy_skill_id",enemy_skills!$1:$1,0)+1,FALSE)</f>
        <v>ハートパネルを吸収して攻撃</v>
      </c>
      <c r="F30" s="47">
        <v>65526054</v>
      </c>
      <c r="G30" s="48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0" s="48" t="str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0" s="48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" s="48" t="str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" s="48" t="str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" s="48" t="str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0" s="48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30" s="48" t="str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0" s="48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" s="47"/>
      <c r="Q30" s="47"/>
      <c r="R30" s="47"/>
    </row>
    <row r="31" spans="1:18" ht="21" customHeight="1" x14ac:dyDescent="0.15">
      <c r="A31" s="39" t="str">
        <f t="shared" si="1"/>
        <v>65526009_65526055</v>
      </c>
      <c r="B31" s="47">
        <v>65526009</v>
      </c>
      <c r="C31" s="47">
        <v>65526055</v>
      </c>
      <c r="D31" s="46" t="str">
        <f ca="1">VLOOKUP($C31,OFFSET(enemy_skills!$A$1,0,0,COUNTA(enemy_skills!$A:$A),MATCH(D$1,enemy_skills!$1:$1,0)-MATCH("enemy_skill_id",enemy_skills!$1:$1,0)+1),MATCH(D$1,enemy_skills!$1:$1,0)-MATCH("enemy_skill_id",enemy_skills!$1:$1,0)+1,FALSE)</f>
        <v>ハップル2</v>
      </c>
      <c r="E31" s="46" t="str">
        <f ca="1">VLOOKUP($C31,OFFSET(enemy_skills!$A$1,0,0,COUNTA(enemy_skills!$A:$A),MATCH(E$1,enemy_skills!$1:$1,0)-MATCH("enemy_skill_id",enemy_skills!$1:$1,0)+1),MATCH(E$1,enemy_skills!$1:$1,0)-MATCH("enemy_skill_id",enemy_skills!$1:$1,0)+1,FALSE)</f>
        <v>一定以下で黄パネル以外をハートパネルに変換</v>
      </c>
      <c r="F31" s="47">
        <v>65526055</v>
      </c>
      <c r="G31" s="48">
        <f ca="1">VLOOKUP($F31,OFFSET(enemy_skill_triggers!$A$1,0,0,COUNTA(enemy_skill_triggers!$A:$A),MATCH(G$1,enemy_skill_triggers!$1:$1,0)-MATCH($F$1,enemy_skill_triggers!$1:$1,0)+1),MATCH(G$1,enemy_skill_triggers!$1:$1,0)-MATCH($F$1,enemy_skill_triggers!$1:$1,0)+1,FALSE)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1" s="48">
        <f ca="1">VLOOKUP($F31,OFFSET(enemy_skill_triggers!$A$1,0,0,COUNTA(enemy_skill_triggers!$A:$A),MATCH(H$1,enemy_skill_triggers!$1:$1,0)-MATCH($F$1,enemy_skill_triggers!$1:$1,0)+1),MATCH(H$1,enemy_skill_triggers!$1:$1,0)-MATCH($F$1,enemy_skill_triggers!$1:$1,0)+1,FALSE)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31" s="48">
        <f ca="1">VLOOKUP($F31,OFFSET(enemy_skill_triggers!$A$1,0,0,COUNTA(enemy_skill_triggers!$A:$A),MATCH(I$1,enemy_skill_triggers!$1:$1,0)-MATCH($F$1,enemy_skill_triggers!$1:$1,0)+1),MATCH(I$1,enemy_skill_triggers!$1:$1,0)-MATCH($F$1,enemy_skill_triggers!$1:$1,0)+1,FALSE)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1" s="48">
        <f ca="1">VLOOKUP($F31,OFFSET(enemy_skill_triggers!$A$1,0,0,COUNTA(enemy_skill_triggers!$A:$A),MATCH(J$1,enemy_skill_triggers!$1:$1,0)-MATCH($F$1,enemy_skill_triggers!$1:$1,0)+1),MATCH(J$1,enemy_skill_triggers!$1:$1,0)-MATCH($F$1,enemy_skill_triggers!$1:$1,0)+1,FALSE)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31" s="48" t="str">
        <f ca="1">VLOOKUP($F31,OFFSET(enemy_skill_triggers!$A$1,0,0,COUNTA(enemy_skill_triggers!$A:$A),MATCH(K$1,enemy_skill_triggers!$1:$1,0)-MATCH($F$1,enemy_skill_triggers!$1:$1,0)+1),MATCH(K$1,enemy_skill_triggers!$1:$1,0)-MATCH($F$1,enemy_skill_triggers!$1:$1,0)+1,FALSE)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" s="48">
        <f ca="1">VLOOKUP($F31,OFFSET(enemy_skill_triggers!$A$1,0,0,COUNTA(enemy_skill_triggers!$A:$A),MATCH(L$1,enemy_skill_triggers!$1:$1,0)-MATCH($F$1,enemy_skill_triggers!$1:$1,0)+1),MATCH(L$1,enemy_skill_triggers!$1:$1,0)-MATCH($F$1,enemy_skill_triggers!$1:$1,0)+1,FALSE)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1" s="48" t="str">
        <f ca="1">VLOOKUP($F31,OFFSET(enemy_skill_triggers!$A$1,0,0,COUNTA(enemy_skill_triggers!$A:$A),MATCH(M$1,enemy_skill_triggers!$1:$1,0)-MATCH($F$1,enemy_skill_triggers!$1:$1,0)+1),MATCH(M$1,enemy_skill_triggers!$1:$1,0)-MATCH($F$1,enemy_skill_triggers!$1:$1,0)+1,FALSE)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1" s="48" t="str">
        <f ca="1">VLOOKUP($F31,OFFSET(enemy_skill_triggers!$A$1,0,0,COUNTA(enemy_skill_triggers!$A:$A),MATCH(N$1,enemy_skill_triggers!$1:$1,0)-MATCH($F$1,enemy_skill_triggers!$1:$1,0)+1),MATCH(N$1,enemy_skill_triggers!$1:$1,0)-MATCH($F$1,enemy_skill_triggers!$1:$1,0)+1,FALSE)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1" s="48">
        <f ca="1">VLOOKUP($F31,OFFSET(enemy_skill_triggers!$A$1,0,0,COUNTA(enemy_skill_triggers!$A:$A),MATCH(O$1,enemy_skill_triggers!$1:$1,0)-MATCH($F$1,enemy_skill_triggers!$1:$1,0)+1),MATCH(O$1,enemy_skill_triggers!$1:$1,0)-MATCH($F$1,enemy_skill_triggers!$1:$1,0)+1,FALSE)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1" s="47"/>
      <c r="Q31" s="47"/>
      <c r="R31" s="47"/>
    </row>
    <row r="32" spans="1:18" ht="21" customHeight="1" x14ac:dyDescent="0.15">
      <c r="A32" s="39" t="str">
        <f t="shared" si="1"/>
        <v>65526009_65526056</v>
      </c>
      <c r="B32" s="47">
        <v>65526009</v>
      </c>
      <c r="C32" s="47">
        <v>65526056</v>
      </c>
      <c r="D32" s="46" t="str">
        <f ca="1">VLOOKUP($C32,OFFSET(enemy_skills!$A$1,0,0,COUNTA(enemy_skills!$A:$A),MATCH(D$1,enemy_skills!$1:$1,0)-MATCH("enemy_skill_id",enemy_skills!$1:$1,0)+1),MATCH(D$1,enemy_skills!$1:$1,0)-MATCH("enemy_skill_id",enemy_skills!$1:$1,0)+1,FALSE)</f>
        <v>ハップル2</v>
      </c>
      <c r="E32" s="46" t="str">
        <f ca="1">VLOOKUP($C32,OFFSET(enemy_skills!$A$1,0,0,COUNTA(enemy_skills!$A:$A),MATCH(E$1,enemy_skills!$1:$1,0)-MATCH("enemy_skill_id",enemy_skills!$1:$1,0)+1),MATCH(E$1,enemy_skills!$1:$1,0)-MATCH("enemy_skill_id",enemy_skills!$1:$1,0)+1,FALSE)</f>
        <v>ハートパネルをすべて吸収して攻撃</v>
      </c>
      <c r="F32" s="47">
        <v>65526056</v>
      </c>
      <c r="G32" s="48">
        <f ca="1">VLOOKUP($F32,OFFSET(enemy_skill_triggers!$A$1,0,0,COUNTA(enemy_skill_triggers!$A:$A),MATCH(G$1,enemy_skill_triggers!$1:$1,0)-MATCH($F$1,enemy_skill_triggers!$1:$1,0)+1),MATCH(G$1,enemy_skill_triggers!$1:$1,0)-MATCH($F$1,enemy_skill_triggers!$1:$1,0)+1,FALSE)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2" s="48">
        <f ca="1">VLOOKUP($F32,OFFSET(enemy_skill_triggers!$A$1,0,0,COUNTA(enemy_skill_triggers!$A:$A),MATCH(H$1,enemy_skill_triggers!$1:$1,0)-MATCH($F$1,enemy_skill_triggers!$1:$1,0)+1),MATCH(H$1,enemy_skill_triggers!$1:$1,0)-MATCH($F$1,enemy_skill_triggers!$1:$1,0)+1,FALSE)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32" s="48">
        <f ca="1">VLOOKUP($F32,OFFSET(enemy_skill_triggers!$A$1,0,0,COUNTA(enemy_skill_triggers!$A:$A),MATCH(I$1,enemy_skill_triggers!$1:$1,0)-MATCH($F$1,enemy_skill_triggers!$1:$1,0)+1),MATCH(I$1,enemy_skill_triggers!$1:$1,0)-MATCH($F$1,enemy_skill_triggers!$1:$1,0)+1,FALSE)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2" s="48">
        <f ca="1">VLOOKUP($F32,OFFSET(enemy_skill_triggers!$A$1,0,0,COUNTA(enemy_skill_triggers!$A:$A),MATCH(J$1,enemy_skill_triggers!$1:$1,0)-MATCH($F$1,enemy_skill_triggers!$1:$1,0)+1),MATCH(J$1,enemy_skill_triggers!$1:$1,0)-MATCH($F$1,enemy_skill_triggers!$1:$1,0)+1,FALSE)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32" s="48" t="str">
        <f ca="1">VLOOKUP($F32,OFFSET(enemy_skill_triggers!$A$1,0,0,COUNTA(enemy_skill_triggers!$A:$A),MATCH(K$1,enemy_skill_triggers!$1:$1,0)-MATCH($F$1,enemy_skill_triggers!$1:$1,0)+1),MATCH(K$1,enemy_skill_triggers!$1:$1,0)-MATCH($F$1,enemy_skill_triggers!$1:$1,0)+1,FALSE)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" s="48">
        <f ca="1">VLOOKUP($F32,OFFSET(enemy_skill_triggers!$A$1,0,0,COUNTA(enemy_skill_triggers!$A:$A),MATCH(L$1,enemy_skill_triggers!$1:$1,0)-MATCH($F$1,enemy_skill_triggers!$1:$1,0)+1),MATCH(L$1,enemy_skill_triggers!$1:$1,0)-MATCH($F$1,enemy_skill_triggers!$1:$1,0)+1,FALSE)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2" s="48" t="str">
        <f ca="1">VLOOKUP($F32,OFFSET(enemy_skill_triggers!$A$1,0,0,COUNTA(enemy_skill_triggers!$A:$A),MATCH(M$1,enemy_skill_triggers!$1:$1,0)-MATCH($F$1,enemy_skill_triggers!$1:$1,0)+1),MATCH(M$1,enemy_skill_triggers!$1:$1,0)-MATCH($F$1,enemy_skill_triggers!$1:$1,0)+1,FALSE)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2" s="48" t="str">
        <f ca="1">VLOOKUP($F32,OFFSET(enemy_skill_triggers!$A$1,0,0,COUNTA(enemy_skill_triggers!$A:$A),MATCH(N$1,enemy_skill_triggers!$1:$1,0)-MATCH($F$1,enemy_skill_triggers!$1:$1,0)+1),MATCH(N$1,enemy_skill_triggers!$1:$1,0)-MATCH($F$1,enemy_skill_triggers!$1:$1,0)+1,FALSE)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2" s="48">
        <f ca="1">VLOOKUP($F32,OFFSET(enemy_skill_triggers!$A$1,0,0,COUNTA(enemy_skill_triggers!$A:$A),MATCH(O$1,enemy_skill_triggers!$1:$1,0)-MATCH($F$1,enemy_skill_triggers!$1:$1,0)+1),MATCH(O$1,enemy_skill_triggers!$1:$1,0)-MATCH($F$1,enemy_skill_triggers!$1:$1,0)+1,FALSE)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2" s="47"/>
      <c r="Q32" s="47"/>
      <c r="R32" s="47"/>
    </row>
    <row r="33" spans="1:18" ht="21" customHeight="1" x14ac:dyDescent="0.15">
      <c r="A33" s="39" t="str">
        <f t="shared" si="1"/>
        <v>65526010_65526060</v>
      </c>
      <c r="B33" s="47">
        <v>65526010</v>
      </c>
      <c r="C33" s="47">
        <v>65526060</v>
      </c>
      <c r="D33" s="46" t="str">
        <f ca="1">VLOOKUP($C33,OFFSET(enemy_skills!$A$1,0,0,COUNTA(enemy_skills!$A:$A),MATCH(D$1,enemy_skills!$1:$1,0)-MATCH("enemy_skill_id",enemy_skills!$1:$1,0)+1),MATCH(D$1,enemy_skills!$1:$1,0)-MATCH("enemy_skill_id",enemy_skills!$1:$1,0)+1,FALSE)</f>
        <v>ハップル3</v>
      </c>
      <c r="E33" s="46" t="str">
        <f ca="1">VLOOKUP($C33,OFFSET(enemy_skills!$A$1,0,0,COUNTA(enemy_skills!$A:$A),MATCH(E$1,enemy_skills!$1:$1,0)-MATCH("enemy_skill_id",enemy_skills!$1:$1,0)+1),MATCH(E$1,enemy_skills!$1:$1,0)-MATCH("enemy_skill_id",enemy_skills!$1:$1,0)+1,FALSE)</f>
        <v>状態異常無効＆緑パネルをハートパネルに変化してドロップ</v>
      </c>
      <c r="F33" s="47">
        <v>65526060</v>
      </c>
      <c r="G33" s="48">
        <f ca="1">VLOOKUP($F33,OFFSET(enemy_skill_triggers!$A$1,0,0,COUNTA(enemy_skill_triggers!$A:$A),MATCH(G$1,enemy_skill_triggers!$1:$1,0)-MATCH($F$1,enemy_skill_triggers!$1:$1,0)+1),MATCH(G$1,enemy_skill_triggers!$1:$1,0)-MATCH($F$1,enemy_skill_triggers!$1:$1,0)+1,FALSE)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3" s="48" t="str">
        <f ca="1">VLOOKUP($F33,OFFSET(enemy_skill_triggers!$A$1,0,0,COUNTA(enemy_skill_triggers!$A:$A),MATCH(H$1,enemy_skill_triggers!$1:$1,0)-MATCH($F$1,enemy_skill_triggers!$1:$1,0)+1),MATCH(H$1,enemy_skill_triggers!$1:$1,0)-MATCH($F$1,enemy_skill_triggers!$1:$1,0)+1,FALSE)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3" s="48">
        <f ca="1">VLOOKUP($F33,OFFSET(enemy_skill_triggers!$A$1,0,0,COUNTA(enemy_skill_triggers!$A:$A),MATCH(I$1,enemy_skill_triggers!$1:$1,0)-MATCH($F$1,enemy_skill_triggers!$1:$1,0)+1),MATCH(I$1,enemy_skill_triggers!$1:$1,0)-MATCH($F$1,enemy_skill_triggers!$1:$1,0)+1,FALSE)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3" s="48" t="str">
        <f ca="1">VLOOKUP($F33,OFFSET(enemy_skill_triggers!$A$1,0,0,COUNTA(enemy_skill_triggers!$A:$A),MATCH(J$1,enemy_skill_triggers!$1:$1,0)-MATCH($F$1,enemy_skill_triggers!$1:$1,0)+1),MATCH(J$1,enemy_skill_triggers!$1:$1,0)-MATCH($F$1,enemy_skill_triggers!$1:$1,0)+1,FALSE)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3" s="48" t="str">
        <f ca="1">VLOOKUP($F33,OFFSET(enemy_skill_triggers!$A$1,0,0,COUNTA(enemy_skill_triggers!$A:$A),MATCH(K$1,enemy_skill_triggers!$1:$1,0)-MATCH($F$1,enemy_skill_triggers!$1:$1,0)+1),MATCH(K$1,enemy_skill_triggers!$1:$1,0)-MATCH($F$1,enemy_skill_triggers!$1:$1,0)+1,FALSE)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" s="48">
        <f ca="1">VLOOKUP($F33,OFFSET(enemy_skill_triggers!$A$1,0,0,COUNTA(enemy_skill_triggers!$A:$A),MATCH(L$1,enemy_skill_triggers!$1:$1,0)-MATCH($F$1,enemy_skill_triggers!$1:$1,0)+1),MATCH(L$1,enemy_skill_triggers!$1:$1,0)-MATCH($F$1,enemy_skill_triggers!$1:$1,0)+1,FALSE)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3" s="48" t="str">
        <f ca="1">VLOOKUP($F33,OFFSET(enemy_skill_triggers!$A$1,0,0,COUNTA(enemy_skill_triggers!$A:$A),MATCH(M$1,enemy_skill_triggers!$1:$1,0)-MATCH($F$1,enemy_skill_triggers!$1:$1,0)+1),MATCH(M$1,enemy_skill_triggers!$1:$1,0)-MATCH($F$1,enemy_skill_triggers!$1:$1,0)+1,FALSE)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3" s="48" t="str">
        <f ca="1">VLOOKUP($F33,OFFSET(enemy_skill_triggers!$A$1,0,0,COUNTA(enemy_skill_triggers!$A:$A),MATCH(N$1,enemy_skill_triggers!$1:$1,0)-MATCH($F$1,enemy_skill_triggers!$1:$1,0)+1),MATCH(N$1,enemy_skill_triggers!$1:$1,0)-MATCH($F$1,enemy_skill_triggers!$1:$1,0)+1,FALSE)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3" s="48">
        <f ca="1">VLOOKUP($F33,OFFSET(enemy_skill_triggers!$A$1,0,0,COUNTA(enemy_skill_triggers!$A:$A),MATCH(O$1,enemy_skill_triggers!$1:$1,0)-MATCH($F$1,enemy_skill_triggers!$1:$1,0)+1),MATCH(O$1,enemy_skill_triggers!$1:$1,0)-MATCH($F$1,enemy_skill_triggers!$1:$1,0)+1,FALSE)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3" s="47"/>
      <c r="Q33" s="47"/>
      <c r="R33" s="47"/>
    </row>
    <row r="34" spans="1:18" ht="21" customHeight="1" x14ac:dyDescent="0.15">
      <c r="A34" s="39" t="str">
        <f t="shared" si="1"/>
        <v>65526010_65526061</v>
      </c>
      <c r="B34" s="47">
        <v>65526010</v>
      </c>
      <c r="C34" s="47">
        <v>65526061</v>
      </c>
      <c r="D34" s="46" t="str">
        <f ca="1">VLOOKUP($C34,OFFSET(enemy_skills!$A$1,0,0,COUNTA(enemy_skills!$A:$A),MATCH(D$1,enemy_skills!$1:$1,0)-MATCH("enemy_skill_id",enemy_skills!$1:$1,0)+1),MATCH(D$1,enemy_skills!$1:$1,0)-MATCH("enemy_skill_id",enemy_skills!$1:$1,0)+1,FALSE)</f>
        <v>ハップル3</v>
      </c>
      <c r="E34" s="46" t="str">
        <f ca="1">VLOOKUP($C34,OFFSET(enemy_skills!$A$1,0,0,COUNTA(enemy_skills!$A:$A),MATCH(E$1,enemy_skills!$1:$1,0)-MATCH("enemy_skill_id",enemy_skills!$1:$1,0)+1),MATCH(E$1,enemy_skills!$1:$1,0)-MATCH("enemy_skill_id",enemy_skills!$1:$1,0)+1,FALSE)</f>
        <v>全体攻撃</v>
      </c>
      <c r="F34" s="47">
        <v>65526061</v>
      </c>
      <c r="G34" s="48">
        <f ca="1">VLOOKUP($F34,OFFSET(enemy_skill_triggers!$A$1,0,0,COUNTA(enemy_skill_triggers!$A:$A),MATCH(G$1,enemy_skill_triggers!$1:$1,0)-MATCH($F$1,enemy_skill_triggers!$1:$1,0)+1),MATCH(G$1,enemy_skill_triggers!$1:$1,0)-MATCH($F$1,enemy_skill_triggers!$1:$1,0)+1,FALSE)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4" s="48" t="str">
        <f ca="1">VLOOKUP($F34,OFFSET(enemy_skill_triggers!$A$1,0,0,COUNTA(enemy_skill_triggers!$A:$A),MATCH(H$1,enemy_skill_triggers!$1:$1,0)-MATCH($F$1,enemy_skill_triggers!$1:$1,0)+1),MATCH(H$1,enemy_skill_triggers!$1:$1,0)-MATCH($F$1,enemy_skill_triggers!$1:$1,0)+1,FALSE)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4" s="48">
        <f ca="1">VLOOKUP($F34,OFFSET(enemy_skill_triggers!$A$1,0,0,COUNTA(enemy_skill_triggers!$A:$A),MATCH(I$1,enemy_skill_triggers!$1:$1,0)-MATCH($F$1,enemy_skill_triggers!$1:$1,0)+1),MATCH(I$1,enemy_skill_triggers!$1:$1,0)-MATCH($F$1,enemy_skill_triggers!$1:$1,0)+1,FALSE)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34" s="48" t="str">
        <f ca="1">VLOOKUP($F34,OFFSET(enemy_skill_triggers!$A$1,0,0,COUNTA(enemy_skill_triggers!$A:$A),MATCH(J$1,enemy_skill_triggers!$1:$1,0)-MATCH($F$1,enemy_skill_triggers!$1:$1,0)+1),MATCH(J$1,enemy_skill_triggers!$1:$1,0)-MATCH($F$1,enemy_skill_triggers!$1:$1,0)+1,FALSE)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4" s="48" t="str">
        <f ca="1">VLOOKUP($F34,OFFSET(enemy_skill_triggers!$A$1,0,0,COUNTA(enemy_skill_triggers!$A:$A),MATCH(K$1,enemy_skill_triggers!$1:$1,0)-MATCH($F$1,enemy_skill_triggers!$1:$1,0)+1),MATCH(K$1,enemy_skill_triggers!$1:$1,0)-MATCH($F$1,enemy_skill_triggers!$1:$1,0)+1,FALSE)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" s="48" t="str">
        <f ca="1">VLOOKUP($F34,OFFSET(enemy_skill_triggers!$A$1,0,0,COUNTA(enemy_skill_triggers!$A:$A),MATCH(L$1,enemy_skill_triggers!$1:$1,0)-MATCH($F$1,enemy_skill_triggers!$1:$1,0)+1),MATCH(L$1,enemy_skill_triggers!$1:$1,0)-MATCH($F$1,enemy_skill_triggers!$1:$1,0)+1,FALSE)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4" s="48" t="str">
        <f ca="1">VLOOKUP($F34,OFFSET(enemy_skill_triggers!$A$1,0,0,COUNTA(enemy_skill_triggers!$A:$A),MATCH(M$1,enemy_skill_triggers!$1:$1,0)-MATCH($F$1,enemy_skill_triggers!$1:$1,0)+1),MATCH(M$1,enemy_skill_triggers!$1:$1,0)-MATCH($F$1,enemy_skill_triggers!$1:$1,0)+1,FALSE)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4" s="48" t="str">
        <f ca="1">VLOOKUP($F34,OFFSET(enemy_skill_triggers!$A$1,0,0,COUNTA(enemy_skill_triggers!$A:$A),MATCH(N$1,enemy_skill_triggers!$1:$1,0)-MATCH($F$1,enemy_skill_triggers!$1:$1,0)+1),MATCH(N$1,enemy_skill_triggers!$1:$1,0)-MATCH($F$1,enemy_skill_triggers!$1:$1,0)+1,FALSE)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4" s="48">
        <f ca="1">VLOOKUP($F34,OFFSET(enemy_skill_triggers!$A$1,0,0,COUNTA(enemy_skill_triggers!$A:$A),MATCH(O$1,enemy_skill_triggers!$1:$1,0)-MATCH($F$1,enemy_skill_triggers!$1:$1,0)+1),MATCH(O$1,enemy_skill_triggers!$1:$1,0)-MATCH($F$1,enemy_skill_triggers!$1:$1,0)+1,FALSE)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34" s="47"/>
      <c r="Q34" s="47"/>
      <c r="R34" s="47"/>
    </row>
    <row r="35" spans="1:18" ht="21" customHeight="1" x14ac:dyDescent="0.15">
      <c r="A35" s="39" t="str">
        <f t="shared" si="1"/>
        <v>65526010_65526062</v>
      </c>
      <c r="B35" s="47">
        <v>65526010</v>
      </c>
      <c r="C35" s="47">
        <v>65526062</v>
      </c>
      <c r="D35" s="46" t="str">
        <f ca="1">VLOOKUP($C35,OFFSET(enemy_skills!$A$1,0,0,COUNTA(enemy_skills!$A:$A),MATCH(D$1,enemy_skills!$1:$1,0)-MATCH("enemy_skill_id",enemy_skills!$1:$1,0)+1),MATCH(D$1,enemy_skills!$1:$1,0)-MATCH("enemy_skill_id",enemy_skills!$1:$1,0)+1,FALSE)</f>
        <v>ハップル3</v>
      </c>
      <c r="E35" s="46" t="str">
        <f ca="1">VLOOKUP($C35,OFFSET(enemy_skills!$A$1,0,0,COUNTA(enemy_skills!$A:$A),MATCH(E$1,enemy_skills!$1:$1,0)-MATCH("enemy_skill_id",enemy_skills!$1:$1,0)+1),MATCH(E$1,enemy_skills!$1:$1,0)-MATCH("enemy_skill_id",enemy_skills!$1:$1,0)+1,FALSE)</f>
        <v>サムライキラーの連続攻撃</v>
      </c>
      <c r="F35" s="47">
        <v>65526062</v>
      </c>
      <c r="G35" s="48">
        <f ca="1">VLOOKUP($F35,OFFSET(enemy_skill_triggers!$A$1,0,0,COUNTA(enemy_skill_triggers!$A:$A),MATCH(G$1,enemy_skill_triggers!$1:$1,0)-MATCH($F$1,enemy_skill_triggers!$1:$1,0)+1),MATCH(G$1,enemy_skill_triggers!$1:$1,0)-MATCH($F$1,enemy_skill_triggers!$1:$1,0)+1,FALSE)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5" s="48" t="str">
        <f ca="1">VLOOKUP($F35,OFFSET(enemy_skill_triggers!$A$1,0,0,COUNTA(enemy_skill_triggers!$A:$A),MATCH(H$1,enemy_skill_triggers!$1:$1,0)-MATCH($F$1,enemy_skill_triggers!$1:$1,0)+1),MATCH(H$1,enemy_skill_triggers!$1:$1,0)-MATCH($F$1,enemy_skill_triggers!$1:$1,0)+1,FALSE)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5" s="48">
        <f ca="1">VLOOKUP($F35,OFFSET(enemy_skill_triggers!$A$1,0,0,COUNTA(enemy_skill_triggers!$A:$A),MATCH(I$1,enemy_skill_triggers!$1:$1,0)-MATCH($F$1,enemy_skill_triggers!$1:$1,0)+1),MATCH(I$1,enemy_skill_triggers!$1:$1,0)-MATCH($F$1,enemy_skill_triggers!$1:$1,0)+1,FALSE)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35" s="48" t="str">
        <f ca="1">VLOOKUP($F35,OFFSET(enemy_skill_triggers!$A$1,0,0,COUNTA(enemy_skill_triggers!$A:$A),MATCH(J$1,enemy_skill_triggers!$1:$1,0)-MATCH($F$1,enemy_skill_triggers!$1:$1,0)+1),MATCH(J$1,enemy_skill_triggers!$1:$1,0)-MATCH($F$1,enemy_skill_triggers!$1:$1,0)+1,FALSE)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5" s="48" t="str">
        <f ca="1">VLOOKUP($F35,OFFSET(enemy_skill_triggers!$A$1,0,0,COUNTA(enemy_skill_triggers!$A:$A),MATCH(K$1,enemy_skill_triggers!$1:$1,0)-MATCH($F$1,enemy_skill_triggers!$1:$1,0)+1),MATCH(K$1,enemy_skill_triggers!$1:$1,0)-MATCH($F$1,enemy_skill_triggers!$1:$1,0)+1,FALSE)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" s="48" t="str">
        <f ca="1">VLOOKUP($F35,OFFSET(enemy_skill_triggers!$A$1,0,0,COUNTA(enemy_skill_triggers!$A:$A),MATCH(L$1,enemy_skill_triggers!$1:$1,0)-MATCH($F$1,enemy_skill_triggers!$1:$1,0)+1),MATCH(L$1,enemy_skill_triggers!$1:$1,0)-MATCH($F$1,enemy_skill_triggers!$1:$1,0)+1,FALSE)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5" s="48" t="str">
        <f ca="1">VLOOKUP($F35,OFFSET(enemy_skill_triggers!$A$1,0,0,COUNTA(enemy_skill_triggers!$A:$A),MATCH(M$1,enemy_skill_triggers!$1:$1,0)-MATCH($F$1,enemy_skill_triggers!$1:$1,0)+1),MATCH(M$1,enemy_skill_triggers!$1:$1,0)-MATCH($F$1,enemy_skill_triggers!$1:$1,0)+1,FALSE)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5" s="48" t="str">
        <f ca="1">VLOOKUP($F35,OFFSET(enemy_skill_triggers!$A$1,0,0,COUNTA(enemy_skill_triggers!$A:$A),MATCH(N$1,enemy_skill_triggers!$1:$1,0)-MATCH($F$1,enemy_skill_triggers!$1:$1,0)+1),MATCH(N$1,enemy_skill_triggers!$1:$1,0)-MATCH($F$1,enemy_skill_triggers!$1:$1,0)+1,FALSE)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5" s="48">
        <f ca="1">VLOOKUP($F35,OFFSET(enemy_skill_triggers!$A$1,0,0,COUNTA(enemy_skill_triggers!$A:$A),MATCH(O$1,enemy_skill_triggers!$1:$1,0)-MATCH($F$1,enemy_skill_triggers!$1:$1,0)+1),MATCH(O$1,enemy_skill_triggers!$1:$1,0)-MATCH($F$1,enemy_skill_triggers!$1:$1,0)+1,FALSE)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35" s="47"/>
      <c r="Q35" s="47"/>
      <c r="R35" s="47"/>
    </row>
    <row r="36" spans="1:18" ht="21" customHeight="1" x14ac:dyDescent="0.15">
      <c r="A36" s="39" t="str">
        <f t="shared" si="1"/>
        <v>65526010_65526063</v>
      </c>
      <c r="B36" s="47">
        <v>65526010</v>
      </c>
      <c r="C36" s="47">
        <v>65526063</v>
      </c>
      <c r="D36" s="46" t="str">
        <f ca="1">VLOOKUP($C36,OFFSET(enemy_skills!$A$1,0,0,COUNTA(enemy_skills!$A:$A),MATCH(D$1,enemy_skills!$1:$1,0)-MATCH("enemy_skill_id",enemy_skills!$1:$1,0)+1),MATCH(D$1,enemy_skills!$1:$1,0)-MATCH("enemy_skill_id",enemy_skills!$1:$1,0)+1,FALSE)</f>
        <v>ハップル3</v>
      </c>
      <c r="E36" s="46" t="str">
        <f ca="1">VLOOKUP($C36,OFFSET(enemy_skills!$A$1,0,0,COUNTA(enemy_skills!$A:$A),MATCH(E$1,enemy_skills!$1:$1,0)-MATCH("enemy_skill_id",enemy_skills!$1:$1,0)+1),MATCH(E$1,enemy_skills!$1:$1,0)-MATCH("enemy_skill_id",enemy_skills!$1:$1,0)+1,FALSE)</f>
        <v>ランダムでハートパネル変換</v>
      </c>
      <c r="F36" s="47">
        <v>65526063</v>
      </c>
      <c r="G36" s="48">
        <f ca="1">VLOOKUP($F36,OFFSET(enemy_skill_triggers!$A$1,0,0,COUNTA(enemy_skill_triggers!$A:$A),MATCH(G$1,enemy_skill_triggers!$1:$1,0)-MATCH($F$1,enemy_skill_triggers!$1:$1,0)+1),MATCH(G$1,enemy_skill_triggers!$1:$1,0)-MATCH($F$1,enemy_skill_triggers!$1:$1,0)+1,FALSE)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6" s="48" t="str">
        <f ca="1">VLOOKUP($F36,OFFSET(enemy_skill_triggers!$A$1,0,0,COUNTA(enemy_skill_triggers!$A:$A),MATCH(H$1,enemy_skill_triggers!$1:$1,0)-MATCH($F$1,enemy_skill_triggers!$1:$1,0)+1),MATCH(H$1,enemy_skill_triggers!$1:$1,0)-MATCH($F$1,enemy_skill_triggers!$1:$1,0)+1,FALSE)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6" s="48">
        <f ca="1">VLOOKUP($F36,OFFSET(enemy_skill_triggers!$A$1,0,0,COUNTA(enemy_skill_triggers!$A:$A),MATCH(I$1,enemy_skill_triggers!$1:$1,0)-MATCH($F$1,enemy_skill_triggers!$1:$1,0)+1),MATCH(I$1,enemy_skill_triggers!$1:$1,0)-MATCH($F$1,enemy_skill_triggers!$1:$1,0)+1,FALSE)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36" s="48" t="str">
        <f ca="1">VLOOKUP($F36,OFFSET(enemy_skill_triggers!$A$1,0,0,COUNTA(enemy_skill_triggers!$A:$A),MATCH(J$1,enemy_skill_triggers!$1:$1,0)-MATCH($F$1,enemy_skill_triggers!$1:$1,0)+1),MATCH(J$1,enemy_skill_triggers!$1:$1,0)-MATCH($F$1,enemy_skill_triggers!$1:$1,0)+1,FALSE)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6" s="48" t="str">
        <f ca="1">VLOOKUP($F36,OFFSET(enemy_skill_triggers!$A$1,0,0,COUNTA(enemy_skill_triggers!$A:$A),MATCH(K$1,enemy_skill_triggers!$1:$1,0)-MATCH($F$1,enemy_skill_triggers!$1:$1,0)+1),MATCH(K$1,enemy_skill_triggers!$1:$1,0)-MATCH($F$1,enemy_skill_triggers!$1:$1,0)+1,FALSE)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" s="48" t="str">
        <f ca="1">VLOOKUP($F36,OFFSET(enemy_skill_triggers!$A$1,0,0,COUNTA(enemy_skill_triggers!$A:$A),MATCH(L$1,enemy_skill_triggers!$1:$1,0)-MATCH($F$1,enemy_skill_triggers!$1:$1,0)+1),MATCH(L$1,enemy_skill_triggers!$1:$1,0)-MATCH($F$1,enemy_skill_triggers!$1:$1,0)+1,FALSE)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6" s="48" t="str">
        <f ca="1">VLOOKUP($F36,OFFSET(enemy_skill_triggers!$A$1,0,0,COUNTA(enemy_skill_triggers!$A:$A),MATCH(M$1,enemy_skill_triggers!$1:$1,0)-MATCH($F$1,enemy_skill_triggers!$1:$1,0)+1),MATCH(M$1,enemy_skill_triggers!$1:$1,0)-MATCH($F$1,enemy_skill_triggers!$1:$1,0)+1,FALSE)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6" s="48" t="str">
        <f ca="1">VLOOKUP($F36,OFFSET(enemy_skill_triggers!$A$1,0,0,COUNTA(enemy_skill_triggers!$A:$A),MATCH(N$1,enemy_skill_triggers!$1:$1,0)-MATCH($F$1,enemy_skill_triggers!$1:$1,0)+1),MATCH(N$1,enemy_skill_triggers!$1:$1,0)-MATCH($F$1,enemy_skill_triggers!$1:$1,0)+1,FALSE)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6" s="48">
        <f ca="1">VLOOKUP($F36,OFFSET(enemy_skill_triggers!$A$1,0,0,COUNTA(enemy_skill_triggers!$A:$A),MATCH(O$1,enemy_skill_triggers!$1:$1,0)-MATCH($F$1,enemy_skill_triggers!$1:$1,0)+1),MATCH(O$1,enemy_skill_triggers!$1:$1,0)-MATCH($F$1,enemy_skill_triggers!$1:$1,0)+1,FALSE)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36" s="47"/>
      <c r="Q36" s="47"/>
      <c r="R36" s="47"/>
    </row>
    <row r="37" spans="1:18" ht="21" customHeight="1" x14ac:dyDescent="0.15">
      <c r="A37" s="39" t="str">
        <f t="shared" si="1"/>
        <v>65526010_65526064</v>
      </c>
      <c r="B37" s="47">
        <v>65526010</v>
      </c>
      <c r="C37" s="47">
        <v>65526064</v>
      </c>
      <c r="D37" s="46" t="str">
        <f ca="1">VLOOKUP($C37,OFFSET(enemy_skills!$A$1,0,0,COUNTA(enemy_skills!$A:$A),MATCH(D$1,enemy_skills!$1:$1,0)-MATCH("enemy_skill_id",enemy_skills!$1:$1,0)+1),MATCH(D$1,enemy_skills!$1:$1,0)-MATCH("enemy_skill_id",enemy_skills!$1:$1,0)+1,FALSE)</f>
        <v>ハップル3</v>
      </c>
      <c r="E37" s="46" t="str">
        <f ca="1">VLOOKUP($C37,OFFSET(enemy_skills!$A$1,0,0,COUNTA(enemy_skills!$A:$A),MATCH(E$1,enemy_skills!$1:$1,0)-MATCH("enemy_skill_id",enemy_skills!$1:$1,0)+1),MATCH(E$1,enemy_skills!$1:$1,0)-MATCH("enemy_skill_id",enemy_skills!$1:$1,0)+1,FALSE)</f>
        <v>ハートパネルを吸収して攻撃</v>
      </c>
      <c r="F37" s="47">
        <v>65526064</v>
      </c>
      <c r="G37" s="48">
        <f ca="1">VLOOKUP($F37,OFFSET(enemy_skill_triggers!$A$1,0,0,COUNTA(enemy_skill_triggers!$A:$A),MATCH(G$1,enemy_skill_triggers!$1:$1,0)-MATCH($F$1,enemy_skill_triggers!$1:$1,0)+1),MATCH(G$1,enemy_skill_triggers!$1:$1,0)-MATCH($F$1,enemy_skill_triggers!$1:$1,0)+1,FALSE)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7" s="48" t="str">
        <f ca="1">VLOOKUP($F37,OFFSET(enemy_skill_triggers!$A$1,0,0,COUNTA(enemy_skill_triggers!$A:$A),MATCH(H$1,enemy_skill_triggers!$1:$1,0)-MATCH($F$1,enemy_skill_triggers!$1:$1,0)+1),MATCH(H$1,enemy_skill_triggers!$1:$1,0)-MATCH($F$1,enemy_skill_triggers!$1:$1,0)+1,FALSE)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7" s="48">
        <f ca="1">VLOOKUP($F37,OFFSET(enemy_skill_triggers!$A$1,0,0,COUNTA(enemy_skill_triggers!$A:$A),MATCH(I$1,enemy_skill_triggers!$1:$1,0)-MATCH($F$1,enemy_skill_triggers!$1:$1,0)+1),MATCH(I$1,enemy_skill_triggers!$1:$1,0)-MATCH($F$1,enemy_skill_triggers!$1:$1,0)+1,FALSE)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7" s="48" t="str">
        <f ca="1">VLOOKUP($F37,OFFSET(enemy_skill_triggers!$A$1,0,0,COUNTA(enemy_skill_triggers!$A:$A),MATCH(J$1,enemy_skill_triggers!$1:$1,0)-MATCH($F$1,enemy_skill_triggers!$1:$1,0)+1),MATCH(J$1,enemy_skill_triggers!$1:$1,0)-MATCH($F$1,enemy_skill_triggers!$1:$1,0)+1,FALSE)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7" s="48" t="str">
        <f ca="1">VLOOKUP($F37,OFFSET(enemy_skill_triggers!$A$1,0,0,COUNTA(enemy_skill_triggers!$A:$A),MATCH(K$1,enemy_skill_triggers!$1:$1,0)-MATCH($F$1,enemy_skill_triggers!$1:$1,0)+1),MATCH(K$1,enemy_skill_triggers!$1:$1,0)-MATCH($F$1,enemy_skill_triggers!$1:$1,0)+1,FALSE)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7" s="48" t="str">
        <f ca="1">VLOOKUP($F37,OFFSET(enemy_skill_triggers!$A$1,0,0,COUNTA(enemy_skill_triggers!$A:$A),MATCH(L$1,enemy_skill_triggers!$1:$1,0)-MATCH($F$1,enemy_skill_triggers!$1:$1,0)+1),MATCH(L$1,enemy_skill_triggers!$1:$1,0)-MATCH($F$1,enemy_skill_triggers!$1:$1,0)+1,FALSE)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7" s="48">
        <f ca="1">VLOOKUP($F37,OFFSET(enemy_skill_triggers!$A$1,0,0,COUNTA(enemy_skill_triggers!$A:$A),MATCH(M$1,enemy_skill_triggers!$1:$1,0)-MATCH($F$1,enemy_skill_triggers!$1:$1,0)+1),MATCH(M$1,enemy_skill_triggers!$1:$1,0)-MATCH($F$1,enemy_skill_triggers!$1:$1,0)+1,FALSE)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37" s="48" t="str">
        <f ca="1">VLOOKUP($F37,OFFSET(enemy_skill_triggers!$A$1,0,0,COUNTA(enemy_skill_triggers!$A:$A),MATCH(N$1,enemy_skill_triggers!$1:$1,0)-MATCH($F$1,enemy_skill_triggers!$1:$1,0)+1),MATCH(N$1,enemy_skill_triggers!$1:$1,0)-MATCH($F$1,enemy_skill_triggers!$1:$1,0)+1,FALSE)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7" s="48">
        <f ca="1">VLOOKUP($F37,OFFSET(enemy_skill_triggers!$A$1,0,0,COUNTA(enemy_skill_triggers!$A:$A),MATCH(O$1,enemy_skill_triggers!$1:$1,0)-MATCH($F$1,enemy_skill_triggers!$1:$1,0)+1),MATCH(O$1,enemy_skill_triggers!$1:$1,0)-MATCH($F$1,enemy_skill_triggers!$1:$1,0)+1,FALSE)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7" s="47"/>
      <c r="Q37" s="47"/>
      <c r="R37" s="47"/>
    </row>
    <row r="38" spans="1:18" ht="21" customHeight="1" x14ac:dyDescent="0.15">
      <c r="A38" s="39" t="str">
        <f t="shared" ref="A38:A39" si="2">B38&amp;"_"&amp;C38</f>
        <v>65526010_65526065</v>
      </c>
      <c r="B38" s="47">
        <v>65526010</v>
      </c>
      <c r="C38" s="47">
        <v>65526065</v>
      </c>
      <c r="D38" s="46" t="str">
        <f ca="1">VLOOKUP($C38,OFFSET(enemy_skills!$A$1,0,0,COUNTA(enemy_skills!$A:$A),MATCH(D$1,enemy_skills!$1:$1,0)-MATCH("enemy_skill_id",enemy_skills!$1:$1,0)+1),MATCH(D$1,enemy_skills!$1:$1,0)-MATCH("enemy_skill_id",enemy_skills!$1:$1,0)+1,FALSE)</f>
        <v>ハップル3</v>
      </c>
      <c r="E38" s="46" t="str">
        <f ca="1">VLOOKUP($C38,OFFSET(enemy_skills!$A$1,0,0,COUNTA(enemy_skills!$A:$A),MATCH(E$1,enemy_skills!$1:$1,0)-MATCH("enemy_skill_id",enemy_skills!$1:$1,0)+1),MATCH(E$1,enemy_skills!$1:$1,0)-MATCH("enemy_skill_id",enemy_skills!$1:$1,0)+1,FALSE)</f>
        <v>一定以下で黄パネル以外をハートパネルに変換</v>
      </c>
      <c r="F38" s="47">
        <v>65526065</v>
      </c>
      <c r="G38" s="48">
        <f ca="1">VLOOKUP($F38,OFFSET(enemy_skill_triggers!$A$1,0,0,COUNTA(enemy_skill_triggers!$A:$A),MATCH(G$1,enemy_skill_triggers!$1:$1,0)-MATCH($F$1,enemy_skill_triggers!$1:$1,0)+1),MATCH(G$1,enemy_skill_triggers!$1:$1,0)-MATCH($F$1,enemy_skill_triggers!$1:$1,0)+1,FALSE)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8" s="48">
        <f ca="1">VLOOKUP($F38,OFFSET(enemy_skill_triggers!$A$1,0,0,COUNTA(enemy_skill_triggers!$A:$A),MATCH(H$1,enemy_skill_triggers!$1:$1,0)-MATCH($F$1,enemy_skill_triggers!$1:$1,0)+1),MATCH(H$1,enemy_skill_triggers!$1:$1,0)-MATCH($F$1,enemy_skill_triggers!$1:$1,0)+1,FALSE)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38" s="48">
        <f ca="1">VLOOKUP($F38,OFFSET(enemy_skill_triggers!$A$1,0,0,COUNTA(enemy_skill_triggers!$A:$A),MATCH(I$1,enemy_skill_triggers!$1:$1,0)-MATCH($F$1,enemy_skill_triggers!$1:$1,0)+1),MATCH(I$1,enemy_skill_triggers!$1:$1,0)-MATCH($F$1,enemy_skill_triggers!$1:$1,0)+1,FALSE)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8" s="48">
        <f ca="1">VLOOKUP($F38,OFFSET(enemy_skill_triggers!$A$1,0,0,COUNTA(enemy_skill_triggers!$A:$A),MATCH(J$1,enemy_skill_triggers!$1:$1,0)-MATCH($F$1,enemy_skill_triggers!$1:$1,0)+1),MATCH(J$1,enemy_skill_triggers!$1:$1,0)-MATCH($F$1,enemy_skill_triggers!$1:$1,0)+1,FALSE)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38" s="48" t="str">
        <f ca="1">VLOOKUP($F38,OFFSET(enemy_skill_triggers!$A$1,0,0,COUNTA(enemy_skill_triggers!$A:$A),MATCH(K$1,enemy_skill_triggers!$1:$1,0)-MATCH($F$1,enemy_skill_triggers!$1:$1,0)+1),MATCH(K$1,enemy_skill_triggers!$1:$1,0)-MATCH($F$1,enemy_skill_triggers!$1:$1,0)+1,FALSE)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8" s="48">
        <f ca="1">VLOOKUP($F38,OFFSET(enemy_skill_triggers!$A$1,0,0,COUNTA(enemy_skill_triggers!$A:$A),MATCH(L$1,enemy_skill_triggers!$1:$1,0)-MATCH($F$1,enemy_skill_triggers!$1:$1,0)+1),MATCH(L$1,enemy_skill_triggers!$1:$1,0)-MATCH($F$1,enemy_skill_triggers!$1:$1,0)+1,FALSE)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8" s="48" t="str">
        <f ca="1">VLOOKUP($F38,OFFSET(enemy_skill_triggers!$A$1,0,0,COUNTA(enemy_skill_triggers!$A:$A),MATCH(M$1,enemy_skill_triggers!$1:$1,0)-MATCH($F$1,enemy_skill_triggers!$1:$1,0)+1),MATCH(M$1,enemy_skill_triggers!$1:$1,0)-MATCH($F$1,enemy_skill_triggers!$1:$1,0)+1,FALSE)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8" s="48" t="str">
        <f ca="1">VLOOKUP($F38,OFFSET(enemy_skill_triggers!$A$1,0,0,COUNTA(enemy_skill_triggers!$A:$A),MATCH(N$1,enemy_skill_triggers!$1:$1,0)-MATCH($F$1,enemy_skill_triggers!$1:$1,0)+1),MATCH(N$1,enemy_skill_triggers!$1:$1,0)-MATCH($F$1,enemy_skill_triggers!$1:$1,0)+1,FALSE)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8" s="48">
        <f ca="1">VLOOKUP($F38,OFFSET(enemy_skill_triggers!$A$1,0,0,COUNTA(enemy_skill_triggers!$A:$A),MATCH(O$1,enemy_skill_triggers!$1:$1,0)-MATCH($F$1,enemy_skill_triggers!$1:$1,0)+1),MATCH(O$1,enemy_skill_triggers!$1:$1,0)-MATCH($F$1,enemy_skill_triggers!$1:$1,0)+1,FALSE)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8" s="47"/>
      <c r="Q38" s="47"/>
      <c r="R38" s="47"/>
    </row>
    <row r="39" spans="1:18" ht="21" customHeight="1" x14ac:dyDescent="0.15">
      <c r="A39" s="39" t="str">
        <f t="shared" si="2"/>
        <v>65526010_65526066</v>
      </c>
      <c r="B39" s="47">
        <v>65526010</v>
      </c>
      <c r="C39" s="47">
        <v>65526066</v>
      </c>
      <c r="D39" s="46" t="str">
        <f ca="1">VLOOKUP($C39,OFFSET(enemy_skills!$A$1,0,0,COUNTA(enemy_skills!$A:$A),MATCH(D$1,enemy_skills!$1:$1,0)-MATCH("enemy_skill_id",enemy_skills!$1:$1,0)+1),MATCH(D$1,enemy_skills!$1:$1,0)-MATCH("enemy_skill_id",enemy_skills!$1:$1,0)+1,FALSE)</f>
        <v>ハップル3</v>
      </c>
      <c r="E39" s="46" t="str">
        <f ca="1">VLOOKUP($C39,OFFSET(enemy_skills!$A$1,0,0,COUNTA(enemy_skills!$A:$A),MATCH(E$1,enemy_skills!$1:$1,0)-MATCH("enemy_skill_id",enemy_skills!$1:$1,0)+1),MATCH(E$1,enemy_skills!$1:$1,0)-MATCH("enemy_skill_id",enemy_skills!$1:$1,0)+1,FALSE)</f>
        <v>ハートパネルをすべて吸収して攻撃</v>
      </c>
      <c r="F39" s="47">
        <v>65526066</v>
      </c>
      <c r="G39" s="48">
        <f ca="1">VLOOKUP($F39,OFFSET(enemy_skill_triggers!$A$1,0,0,COUNTA(enemy_skill_triggers!$A:$A),MATCH(G$1,enemy_skill_triggers!$1:$1,0)-MATCH($F$1,enemy_skill_triggers!$1:$1,0)+1),MATCH(G$1,enemy_skill_triggers!$1:$1,0)-MATCH($F$1,enemy_skill_triggers!$1:$1,0)+1,FALSE)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9" s="48">
        <f ca="1">VLOOKUP($F39,OFFSET(enemy_skill_triggers!$A$1,0,0,COUNTA(enemy_skill_triggers!$A:$A),MATCH(H$1,enemy_skill_triggers!$1:$1,0)-MATCH($F$1,enemy_skill_triggers!$1:$1,0)+1),MATCH(H$1,enemy_skill_triggers!$1:$1,0)-MATCH($F$1,enemy_skill_triggers!$1:$1,0)+1,FALSE)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39" s="48">
        <f ca="1">VLOOKUP($F39,OFFSET(enemy_skill_triggers!$A$1,0,0,COUNTA(enemy_skill_triggers!$A:$A),MATCH(I$1,enemy_skill_triggers!$1:$1,0)-MATCH($F$1,enemy_skill_triggers!$1:$1,0)+1),MATCH(I$1,enemy_skill_triggers!$1:$1,0)-MATCH($F$1,enemy_skill_triggers!$1:$1,0)+1,FALSE)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9" s="48">
        <f ca="1">VLOOKUP($F39,OFFSET(enemy_skill_triggers!$A$1,0,0,COUNTA(enemy_skill_triggers!$A:$A),MATCH(J$1,enemy_skill_triggers!$1:$1,0)-MATCH($F$1,enemy_skill_triggers!$1:$1,0)+1),MATCH(J$1,enemy_skill_triggers!$1:$1,0)-MATCH($F$1,enemy_skill_triggers!$1:$1,0)+1,FALSE)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39" s="48" t="str">
        <f ca="1">VLOOKUP($F39,OFFSET(enemy_skill_triggers!$A$1,0,0,COUNTA(enemy_skill_triggers!$A:$A),MATCH(K$1,enemy_skill_triggers!$1:$1,0)-MATCH($F$1,enemy_skill_triggers!$1:$1,0)+1),MATCH(K$1,enemy_skill_triggers!$1:$1,0)-MATCH($F$1,enemy_skill_triggers!$1:$1,0)+1,FALSE)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9" s="48">
        <f ca="1">VLOOKUP($F39,OFFSET(enemy_skill_triggers!$A$1,0,0,COUNTA(enemy_skill_triggers!$A:$A),MATCH(L$1,enemy_skill_triggers!$1:$1,0)-MATCH($F$1,enemy_skill_triggers!$1:$1,0)+1),MATCH(L$1,enemy_skill_triggers!$1:$1,0)-MATCH($F$1,enemy_skill_triggers!$1:$1,0)+1,FALSE)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9" s="48" t="str">
        <f ca="1">VLOOKUP($F39,OFFSET(enemy_skill_triggers!$A$1,0,0,COUNTA(enemy_skill_triggers!$A:$A),MATCH(M$1,enemy_skill_triggers!$1:$1,0)-MATCH($F$1,enemy_skill_triggers!$1:$1,0)+1),MATCH(M$1,enemy_skill_triggers!$1:$1,0)-MATCH($F$1,enemy_skill_triggers!$1:$1,0)+1,FALSE)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9" s="48" t="str">
        <f ca="1">VLOOKUP($F39,OFFSET(enemy_skill_triggers!$A$1,0,0,COUNTA(enemy_skill_triggers!$A:$A),MATCH(N$1,enemy_skill_triggers!$1:$1,0)-MATCH($F$1,enemy_skill_triggers!$1:$1,0)+1),MATCH(N$1,enemy_skill_triggers!$1:$1,0)-MATCH($F$1,enemy_skill_triggers!$1:$1,0)+1,FALSE)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9" s="48">
        <f ca="1">VLOOKUP($F39,OFFSET(enemy_skill_triggers!$A$1,0,0,COUNTA(enemy_skill_triggers!$A:$A),MATCH(O$1,enemy_skill_triggers!$1:$1,0)-MATCH($F$1,enemy_skill_triggers!$1:$1,0)+1),MATCH(O$1,enemy_skill_triggers!$1:$1,0)-MATCH($F$1,enemy_skill_triggers!$1:$1,0)+1,FALSE)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9" s="47"/>
      <c r="Q39" s="47"/>
      <c r="R39" s="47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71"/>
  <sheetViews>
    <sheetView showGridLines="0" workbookViewId="0">
      <pane ySplit="1" topLeftCell="A19" activePane="bottomLeft" state="frozenSplit"/>
      <selection pane="bottomLeft" activeCell="B33" sqref="B33"/>
    </sheetView>
  </sheetViews>
  <sheetFormatPr baseColWidth="12" defaultColWidth="12.83203125" defaultRowHeight="21" customHeight="1" outlineLevelCol="1" x14ac:dyDescent="0.15"/>
  <cols>
    <col min="1" max="1" width="12.83203125" style="49"/>
    <col min="2" max="2" width="67.1640625" style="49" customWidth="1"/>
    <col min="3" max="4" width="12.83203125" style="49"/>
    <col min="5" max="5" width="23.6640625" style="49" bestFit="1" customWidth="1"/>
    <col min="6" max="6" width="44.1640625" style="49" bestFit="1" customWidth="1"/>
    <col min="7" max="7" width="52" style="49" hidden="1" customWidth="1" outlineLevel="1"/>
    <col min="8" max="8" width="18.33203125" style="49" hidden="1" customWidth="1" outlineLevel="1"/>
    <col min="9" max="11" width="18.6640625" style="49" hidden="1" customWidth="1" outlineLevel="1"/>
    <col min="12" max="12" width="23.6640625" style="49" customWidth="1" collapsed="1"/>
    <col min="13" max="18" width="23.6640625" style="49" hidden="1" customWidth="1" outlineLevel="1"/>
    <col min="19" max="19" width="23.6640625" style="49" customWidth="1" collapsed="1"/>
    <col min="20" max="24" width="23.6640625" style="49" hidden="1" customWidth="1" outlineLevel="1"/>
    <col min="25" max="25" width="23.6640625" style="49" customWidth="1" collapsed="1"/>
    <col min="26" max="27" width="12.83203125" style="49"/>
    <col min="28" max="28" width="44.5" style="49" customWidth="1"/>
    <col min="29" max="16384" width="12.83203125" style="49"/>
  </cols>
  <sheetData>
    <row r="1" spans="1:28" ht="21" customHeight="1" x14ac:dyDescent="0.15">
      <c r="A1" s="40" t="s">
        <v>78</v>
      </c>
      <c r="B1" s="40" t="s">
        <v>79</v>
      </c>
      <c r="C1" s="40" t="s">
        <v>80</v>
      </c>
      <c r="D1" s="40" t="s">
        <v>126</v>
      </c>
      <c r="E1" s="40" t="s">
        <v>81</v>
      </c>
      <c r="F1" s="40" t="s">
        <v>82</v>
      </c>
      <c r="G1" s="41" t="s">
        <v>132</v>
      </c>
      <c r="H1" s="41" t="s">
        <v>138</v>
      </c>
      <c r="I1" s="41" t="s">
        <v>140</v>
      </c>
      <c r="J1" s="41" t="s">
        <v>139</v>
      </c>
      <c r="K1" s="41" t="s">
        <v>141</v>
      </c>
      <c r="L1" s="41" t="s">
        <v>133</v>
      </c>
      <c r="M1" s="41" t="s">
        <v>131</v>
      </c>
      <c r="N1" s="41" t="s">
        <v>134</v>
      </c>
      <c r="O1" s="41" t="s">
        <v>142</v>
      </c>
      <c r="P1" s="41" t="s">
        <v>143</v>
      </c>
      <c r="Q1" s="41" t="s">
        <v>144</v>
      </c>
      <c r="R1" s="41" t="s">
        <v>145</v>
      </c>
      <c r="S1" s="41" t="s">
        <v>135</v>
      </c>
      <c r="T1" s="41" t="s">
        <v>136</v>
      </c>
      <c r="U1" s="41" t="s">
        <v>146</v>
      </c>
      <c r="V1" s="41" t="s">
        <v>147</v>
      </c>
      <c r="W1" s="41" t="s">
        <v>148</v>
      </c>
      <c r="X1" s="41" t="s">
        <v>149</v>
      </c>
      <c r="Y1" s="41" t="s">
        <v>137</v>
      </c>
      <c r="Z1" s="41" t="s">
        <v>75</v>
      </c>
      <c r="AA1" s="41" t="s">
        <v>76</v>
      </c>
      <c r="AB1" s="41" t="s">
        <v>77</v>
      </c>
    </row>
    <row r="2" spans="1:28" ht="21" customHeight="1" x14ac:dyDescent="0.15">
      <c r="A2" s="47">
        <v>65526000</v>
      </c>
      <c r="B2" s="47" t="s">
        <v>306</v>
      </c>
      <c r="C2" s="50">
        <v>1</v>
      </c>
      <c r="D2" s="50" t="s">
        <v>127</v>
      </c>
      <c r="E2" s="51" t="s">
        <v>270</v>
      </c>
      <c r="F2" s="51" t="s">
        <v>271</v>
      </c>
      <c r="G2" s="63" t="str">
        <f>IFERROR(LEFT(B2,FIND("],",B2)),B2)</f>
        <v>[effect:spread, val:0.4]</v>
      </c>
      <c r="H2" s="63">
        <f>FIND("effect:",G2)+7</f>
        <v>9</v>
      </c>
      <c r="I2" s="63">
        <f>IFERROR(FIND(",",G2),LEN(G2))</f>
        <v>15</v>
      </c>
      <c r="J2" s="63" t="e">
        <f>FIND("target:",G2)+7</f>
        <v>#VALUE!</v>
      </c>
      <c r="K2" s="63" t="e">
        <f>FIND(",",G2,I2+1)</f>
        <v>#VALUE!</v>
      </c>
      <c r="L2" s="63" t="str">
        <f>IFERROR(VLOOKUP(MID(G2,J2,K2-J2),[6]skilldef!$C:$D,2,FALSE),"-") &amp; " / " &amp; IFERROR(VLOOKUP(MID(G2,H2,I2-H2),[6]skilldef!$A:$B,2,FALSE),"-")</f>
        <v>- / 全体攻撃</v>
      </c>
      <c r="M2" s="63" t="str">
        <f>IFERROR(RIGHT(B2,LEN(B2)-FIND("],",B2)-1),"none")</f>
        <v>none</v>
      </c>
      <c r="N2" s="48" t="str">
        <f>IFERROR(LEFT(M2,FIND("],",M2)+S12),M2)</f>
        <v>none</v>
      </c>
      <c r="O2" s="63" t="e">
        <f>FIND("effect:",N2)+7</f>
        <v>#VALUE!</v>
      </c>
      <c r="P2" s="63">
        <f>IFERROR(FIND(",",N2),LEN(N2))</f>
        <v>4</v>
      </c>
      <c r="Q2" s="63" t="e">
        <f>FIND("target:",N2)+7</f>
        <v>#VALUE!</v>
      </c>
      <c r="R2" s="63" t="e">
        <f>FIND(",",N2,P2+1)</f>
        <v>#VALUE!</v>
      </c>
      <c r="S2" s="63" t="str">
        <f>IFERROR(VLOOKUP(MID(N2,Q2,R2-Q2),[6]skilldef!$C:$D,2,FALSE),"-") &amp; " / " &amp; IFERROR(VLOOKUP(MID(N2,O2,P2-O2),[6]skilldef!$A:$B,2,FALSE),"-")</f>
        <v>- / -</v>
      </c>
      <c r="T2" s="48" t="str">
        <f>IFERROR(RIGHT(M2,LEN(M2)-FIND("],",M2)-1),"none")</f>
        <v>none</v>
      </c>
      <c r="U2" s="63" t="e">
        <f>FIND("effect:",T2)+7</f>
        <v>#VALUE!</v>
      </c>
      <c r="V2" s="63">
        <f>IFERROR(FIND(",",T2),LEN(T2))</f>
        <v>4</v>
      </c>
      <c r="W2" s="63" t="e">
        <f>FIND("target:",T2)+7</f>
        <v>#VALUE!</v>
      </c>
      <c r="X2" s="63" t="e">
        <f>FIND(",",T2,V2+1)</f>
        <v>#VALUE!</v>
      </c>
      <c r="Y2" s="63" t="str">
        <f>IFERROR(VLOOKUP(MID(T2,W2,X2-W2),[6]skilldef!$C:$D,2,FALSE),"-") &amp; " / " &amp; IFERROR(VLOOKUP(MID(T2,U2,V2-U2),[6]skilldef!$A:$B,2,FALSE),"-")</f>
        <v>- / -</v>
      </c>
      <c r="Z2" s="50"/>
      <c r="AA2" s="52"/>
      <c r="AB2" s="50"/>
    </row>
    <row r="3" spans="1:28" ht="21" customHeight="1" x14ac:dyDescent="0.15">
      <c r="A3" s="47">
        <v>65526001</v>
      </c>
      <c r="B3" s="47" t="s">
        <v>304</v>
      </c>
      <c r="C3" s="50">
        <v>1</v>
      </c>
      <c r="D3" s="50" t="s">
        <v>127</v>
      </c>
      <c r="E3" s="51" t="s">
        <v>270</v>
      </c>
      <c r="F3" s="51" t="s">
        <v>272</v>
      </c>
      <c r="G3" s="63" t="str">
        <f t="shared" ref="G3:G60" si="0">IFERROR(LEFT(B3,FIND("],",B3)),B3)</f>
        <v>[effect:nothing]</v>
      </c>
      <c r="H3" s="63">
        <f t="shared" ref="H3:H60" si="1">FIND("effect:",G3)+7</f>
        <v>9</v>
      </c>
      <c r="I3" s="63">
        <f t="shared" ref="I3:I60" si="2">IFERROR(FIND(",",G3),LEN(G3))</f>
        <v>16</v>
      </c>
      <c r="J3" s="63" t="e">
        <f t="shared" ref="J3:J60" si="3">FIND("target:",G3)+7</f>
        <v>#VALUE!</v>
      </c>
      <c r="K3" s="63" t="e">
        <f t="shared" ref="K3:K60" si="4">FIND(",",G3,I3+1)</f>
        <v>#VALUE!</v>
      </c>
      <c r="L3" s="63" t="str">
        <f>IFERROR(VLOOKUP(MID(G3,J3,K3-J3),[6]skilldef!$C:$D,2,FALSE),"-") &amp; " / " &amp; IFERROR(VLOOKUP(MID(G3,H3,I3-H3),[6]skilldef!$A:$B,2,FALSE),"-")</f>
        <v>- / 何もしない</v>
      </c>
      <c r="M3" s="63" t="str">
        <f t="shared" ref="M3:M60" si="5">IFERROR(RIGHT(B3,LEN(B3)-FIND("],",B3)-1),"none")</f>
        <v>none</v>
      </c>
      <c r="N3" s="48" t="str">
        <f t="shared" ref="N3:N60" si="6">IFERROR(LEFT(M3,FIND("],",M3)+S13),M3)</f>
        <v>none</v>
      </c>
      <c r="O3" s="63" t="e">
        <f t="shared" ref="O3:O60" si="7">FIND("effect:",N3)+7</f>
        <v>#VALUE!</v>
      </c>
      <c r="P3" s="63">
        <f t="shared" ref="P3:P60" si="8">IFERROR(FIND(",",N3),LEN(N3))</f>
        <v>4</v>
      </c>
      <c r="Q3" s="63" t="e">
        <f t="shared" ref="Q3:Q60" si="9">FIND("target:",N3)+7</f>
        <v>#VALUE!</v>
      </c>
      <c r="R3" s="63" t="e">
        <f t="shared" ref="R3:R60" si="10">FIND(",",N3,P3+1)</f>
        <v>#VALUE!</v>
      </c>
      <c r="S3" s="63" t="str">
        <f>IFERROR(VLOOKUP(MID(N3,Q3,R3-Q3),[6]skilldef!$C:$D,2,FALSE),"-") &amp; " / " &amp; IFERROR(VLOOKUP(MID(N3,O3,P3-O3),[6]skilldef!$A:$B,2,FALSE),"-")</f>
        <v>- / -</v>
      </c>
      <c r="T3" s="48" t="str">
        <f t="shared" ref="T3:T60" si="11">IFERROR(RIGHT(M3,LEN(M3)-FIND("],",M3)-1),"none")</f>
        <v>none</v>
      </c>
      <c r="U3" s="63" t="e">
        <f t="shared" ref="U3:U60" si="12">FIND("effect:",T3)+7</f>
        <v>#VALUE!</v>
      </c>
      <c r="V3" s="63">
        <f t="shared" ref="V3:V60" si="13">IFERROR(FIND(",",T3),LEN(T3))</f>
        <v>4</v>
      </c>
      <c r="W3" s="63" t="e">
        <f t="shared" ref="W3:W60" si="14">FIND("target:",T3)+7</f>
        <v>#VALUE!</v>
      </c>
      <c r="X3" s="63" t="e">
        <f t="shared" ref="X3:X60" si="15">FIND(",",T3,V3+1)</f>
        <v>#VALUE!</v>
      </c>
      <c r="Y3" s="63" t="str">
        <f>IFERROR(VLOOKUP(MID(T3,W3,X3-W3),[6]skilldef!$C:$D,2,FALSE),"-") &amp; " / " &amp; IFERROR(VLOOKUP(MID(T3,U3,V3-U3),[6]skilldef!$A:$B,2,FALSE),"-")</f>
        <v>- / -</v>
      </c>
      <c r="Z3" s="50"/>
      <c r="AA3" s="52"/>
      <c r="AB3" s="50"/>
    </row>
    <row r="4" spans="1:28" ht="21" customHeight="1" x14ac:dyDescent="0.15">
      <c r="A4" s="47">
        <v>65526002</v>
      </c>
      <c r="B4" s="47" t="s">
        <v>304</v>
      </c>
      <c r="C4" s="50">
        <v>1</v>
      </c>
      <c r="D4" s="50" t="s">
        <v>127</v>
      </c>
      <c r="E4" s="51" t="s">
        <v>270</v>
      </c>
      <c r="F4" s="51" t="s">
        <v>272</v>
      </c>
      <c r="G4" s="63" t="str">
        <f t="shared" si="0"/>
        <v>[effect:nothing]</v>
      </c>
      <c r="H4" s="63">
        <f t="shared" si="1"/>
        <v>9</v>
      </c>
      <c r="I4" s="63">
        <f t="shared" si="2"/>
        <v>16</v>
      </c>
      <c r="J4" s="63" t="e">
        <f t="shared" si="3"/>
        <v>#VALUE!</v>
      </c>
      <c r="K4" s="63" t="e">
        <f t="shared" si="4"/>
        <v>#VALUE!</v>
      </c>
      <c r="L4" s="63" t="str">
        <f>IFERROR(VLOOKUP(MID(G4,J4,K4-J4),[6]skilldef!$C:$D,2,FALSE),"-") &amp; " / " &amp; IFERROR(VLOOKUP(MID(G4,H4,I4-H4),[6]skilldef!$A:$B,2,FALSE),"-")</f>
        <v>- / 何もしない</v>
      </c>
      <c r="M4" s="63" t="str">
        <f t="shared" si="5"/>
        <v>none</v>
      </c>
      <c r="N4" s="48" t="str">
        <f t="shared" si="6"/>
        <v>none</v>
      </c>
      <c r="O4" s="63" t="e">
        <f t="shared" si="7"/>
        <v>#VALUE!</v>
      </c>
      <c r="P4" s="63">
        <f t="shared" si="8"/>
        <v>4</v>
      </c>
      <c r="Q4" s="63" t="e">
        <f t="shared" si="9"/>
        <v>#VALUE!</v>
      </c>
      <c r="R4" s="63" t="e">
        <f t="shared" si="10"/>
        <v>#VALUE!</v>
      </c>
      <c r="S4" s="63" t="str">
        <f>IFERROR(VLOOKUP(MID(N4,Q4,R4-Q4),[6]skilldef!$C:$D,2,FALSE),"-") &amp; " / " &amp; IFERROR(VLOOKUP(MID(N4,O4,P4-O4),[6]skilldef!$A:$B,2,FALSE),"-")</f>
        <v>- / -</v>
      </c>
      <c r="T4" s="48" t="str">
        <f t="shared" si="11"/>
        <v>none</v>
      </c>
      <c r="U4" s="63" t="e">
        <f t="shared" si="12"/>
        <v>#VALUE!</v>
      </c>
      <c r="V4" s="63">
        <f t="shared" si="13"/>
        <v>4</v>
      </c>
      <c r="W4" s="63" t="e">
        <f t="shared" si="14"/>
        <v>#VALUE!</v>
      </c>
      <c r="X4" s="63" t="e">
        <f t="shared" si="15"/>
        <v>#VALUE!</v>
      </c>
      <c r="Y4" s="63" t="str">
        <f>IFERROR(VLOOKUP(MID(T4,W4,X4-W4),[6]skilldef!$C:$D,2,FALSE),"-") &amp; " / " &amp; IFERROR(VLOOKUP(MID(T4,U4,V4-U4),[6]skilldef!$A:$B,2,FALSE),"-")</f>
        <v>- / -</v>
      </c>
      <c r="Z4" s="50"/>
      <c r="AA4" s="52"/>
      <c r="AB4" s="50"/>
    </row>
    <row r="5" spans="1:28" ht="21" customHeight="1" x14ac:dyDescent="0.15">
      <c r="A5" s="47">
        <v>65526003</v>
      </c>
      <c r="B5" s="47" t="s">
        <v>304</v>
      </c>
      <c r="C5" s="50">
        <v>1</v>
      </c>
      <c r="D5" s="50" t="s">
        <v>127</v>
      </c>
      <c r="E5" s="51" t="s">
        <v>270</v>
      </c>
      <c r="F5" s="51" t="s">
        <v>272</v>
      </c>
      <c r="G5" s="63" t="str">
        <f t="shared" si="0"/>
        <v>[effect:nothing]</v>
      </c>
      <c r="H5" s="63">
        <f t="shared" si="1"/>
        <v>9</v>
      </c>
      <c r="I5" s="63">
        <f t="shared" si="2"/>
        <v>16</v>
      </c>
      <c r="J5" s="63" t="e">
        <f t="shared" si="3"/>
        <v>#VALUE!</v>
      </c>
      <c r="K5" s="63" t="e">
        <f t="shared" si="4"/>
        <v>#VALUE!</v>
      </c>
      <c r="L5" s="63" t="str">
        <f>IFERROR(VLOOKUP(MID(G5,J5,K5-J5),[6]skilldef!$C:$D,2,FALSE),"-") &amp; " / " &amp; IFERROR(VLOOKUP(MID(G5,H5,I5-H5),[6]skilldef!$A:$B,2,FALSE),"-")</f>
        <v>- / 何もしない</v>
      </c>
      <c r="M5" s="63" t="str">
        <f t="shared" si="5"/>
        <v>none</v>
      </c>
      <c r="N5" s="48" t="str">
        <f t="shared" si="6"/>
        <v>none</v>
      </c>
      <c r="O5" s="63" t="e">
        <f t="shared" si="7"/>
        <v>#VALUE!</v>
      </c>
      <c r="P5" s="63">
        <f t="shared" si="8"/>
        <v>4</v>
      </c>
      <c r="Q5" s="63" t="e">
        <f t="shared" si="9"/>
        <v>#VALUE!</v>
      </c>
      <c r="R5" s="63" t="e">
        <f t="shared" si="10"/>
        <v>#VALUE!</v>
      </c>
      <c r="S5" s="63" t="str">
        <f>IFERROR(VLOOKUP(MID(N5,Q5,R5-Q5),[6]skilldef!$C:$D,2,FALSE),"-") &amp; " / " &amp; IFERROR(VLOOKUP(MID(N5,O5,P5-O5),[6]skilldef!$A:$B,2,FALSE),"-")</f>
        <v>- / -</v>
      </c>
      <c r="T5" s="48" t="str">
        <f t="shared" si="11"/>
        <v>none</v>
      </c>
      <c r="U5" s="63" t="e">
        <f t="shared" si="12"/>
        <v>#VALUE!</v>
      </c>
      <c r="V5" s="63">
        <f t="shared" si="13"/>
        <v>4</v>
      </c>
      <c r="W5" s="63" t="e">
        <f t="shared" si="14"/>
        <v>#VALUE!</v>
      </c>
      <c r="X5" s="63" t="e">
        <f t="shared" si="15"/>
        <v>#VALUE!</v>
      </c>
      <c r="Y5" s="63" t="str">
        <f>IFERROR(VLOOKUP(MID(T5,W5,X5-W5),[6]skilldef!$C:$D,2,FALSE),"-") &amp; " / " &amp; IFERROR(VLOOKUP(MID(T5,U5,V5-U5),[6]skilldef!$A:$B,2,FALSE),"-")</f>
        <v>- / -</v>
      </c>
      <c r="Z5" s="50"/>
      <c r="AA5" s="52"/>
      <c r="AB5" s="50"/>
    </row>
    <row r="6" spans="1:28" ht="21" customHeight="1" x14ac:dyDescent="0.15">
      <c r="A6" s="47">
        <v>65526004</v>
      </c>
      <c r="B6" s="47" t="s">
        <v>304</v>
      </c>
      <c r="C6" s="50">
        <v>1</v>
      </c>
      <c r="D6" s="50" t="s">
        <v>127</v>
      </c>
      <c r="E6" s="51" t="s">
        <v>270</v>
      </c>
      <c r="F6" s="51" t="s">
        <v>272</v>
      </c>
      <c r="G6" s="63" t="str">
        <f t="shared" si="0"/>
        <v>[effect:nothing]</v>
      </c>
      <c r="H6" s="63">
        <f t="shared" si="1"/>
        <v>9</v>
      </c>
      <c r="I6" s="63">
        <f t="shared" si="2"/>
        <v>16</v>
      </c>
      <c r="J6" s="63" t="e">
        <f t="shared" si="3"/>
        <v>#VALUE!</v>
      </c>
      <c r="K6" s="63" t="e">
        <f t="shared" si="4"/>
        <v>#VALUE!</v>
      </c>
      <c r="L6" s="63" t="str">
        <f>IFERROR(VLOOKUP(MID(G6,J6,K6-J6),[6]skilldef!$C:$D,2,FALSE),"-") &amp; " / " &amp; IFERROR(VLOOKUP(MID(G6,H6,I6-H6),[6]skilldef!$A:$B,2,FALSE),"-")</f>
        <v>- / 何もしない</v>
      </c>
      <c r="M6" s="63" t="str">
        <f t="shared" si="5"/>
        <v>none</v>
      </c>
      <c r="N6" s="48" t="str">
        <f t="shared" si="6"/>
        <v>none</v>
      </c>
      <c r="O6" s="63" t="e">
        <f t="shared" si="7"/>
        <v>#VALUE!</v>
      </c>
      <c r="P6" s="63">
        <f t="shared" si="8"/>
        <v>4</v>
      </c>
      <c r="Q6" s="63" t="e">
        <f t="shared" si="9"/>
        <v>#VALUE!</v>
      </c>
      <c r="R6" s="63" t="e">
        <f t="shared" si="10"/>
        <v>#VALUE!</v>
      </c>
      <c r="S6" s="63" t="str">
        <f>IFERROR(VLOOKUP(MID(N6,Q6,R6-Q6),[6]skilldef!$C:$D,2,FALSE),"-") &amp; " / " &amp; IFERROR(VLOOKUP(MID(N6,O6,P6-O6),[6]skilldef!$A:$B,2,FALSE),"-")</f>
        <v>- / -</v>
      </c>
      <c r="T6" s="48" t="str">
        <f t="shared" si="11"/>
        <v>none</v>
      </c>
      <c r="U6" s="63" t="e">
        <f t="shared" si="12"/>
        <v>#VALUE!</v>
      </c>
      <c r="V6" s="63">
        <f t="shared" si="13"/>
        <v>4</v>
      </c>
      <c r="W6" s="63" t="e">
        <f t="shared" si="14"/>
        <v>#VALUE!</v>
      </c>
      <c r="X6" s="63" t="e">
        <f t="shared" si="15"/>
        <v>#VALUE!</v>
      </c>
      <c r="Y6" s="63" t="str">
        <f>IFERROR(VLOOKUP(MID(T6,W6,X6-W6),[6]skilldef!$C:$D,2,FALSE),"-") &amp; " / " &amp; IFERROR(VLOOKUP(MID(T6,U6,V6-U6),[6]skilldef!$A:$B,2,FALSE),"-")</f>
        <v>- / -</v>
      </c>
      <c r="Z6" s="50"/>
      <c r="AA6" s="52"/>
      <c r="AB6" s="50"/>
    </row>
    <row r="7" spans="1:28" ht="21" customHeight="1" x14ac:dyDescent="0.15">
      <c r="A7" s="47">
        <v>65526005</v>
      </c>
      <c r="B7" s="47" t="s">
        <v>305</v>
      </c>
      <c r="C7" s="50">
        <v>1</v>
      </c>
      <c r="D7" s="50" t="s">
        <v>127</v>
      </c>
      <c r="E7" s="51" t="s">
        <v>273</v>
      </c>
      <c r="F7" s="51" t="s">
        <v>274</v>
      </c>
      <c r="G7" s="63" t="str">
        <f t="shared" si="0"/>
        <v>[effect:critical, val:2, animation:enemy_critical]</v>
      </c>
      <c r="H7" s="63">
        <f t="shared" si="1"/>
        <v>9</v>
      </c>
      <c r="I7" s="63">
        <f t="shared" si="2"/>
        <v>17</v>
      </c>
      <c r="J7" s="63" t="e">
        <f t="shared" si="3"/>
        <v>#VALUE!</v>
      </c>
      <c r="K7" s="63">
        <f t="shared" si="4"/>
        <v>24</v>
      </c>
      <c r="L7" s="63" t="str">
        <f>IFERROR(VLOOKUP(MID(G7,J7,K7-J7),[6]skilldef!$C:$D,2,FALSE),"-") &amp; " / " &amp; IFERROR(VLOOKUP(MID(G7,H7,I7-H7),[6]skilldef!$A:$B,2,FALSE),"-")</f>
        <v>- / 大攻撃</v>
      </c>
      <c r="M7" s="63" t="str">
        <f t="shared" si="5"/>
        <v>none</v>
      </c>
      <c r="N7" s="48" t="str">
        <f t="shared" si="6"/>
        <v>none</v>
      </c>
      <c r="O7" s="63" t="e">
        <f t="shared" si="7"/>
        <v>#VALUE!</v>
      </c>
      <c r="P7" s="63">
        <f t="shared" si="8"/>
        <v>4</v>
      </c>
      <c r="Q7" s="63" t="e">
        <f t="shared" si="9"/>
        <v>#VALUE!</v>
      </c>
      <c r="R7" s="63" t="e">
        <f t="shared" si="10"/>
        <v>#VALUE!</v>
      </c>
      <c r="S7" s="63" t="str">
        <f>IFERROR(VLOOKUP(MID(N7,Q7,R7-Q7),[6]skilldef!$C:$D,2,FALSE),"-") &amp; " / " &amp; IFERROR(VLOOKUP(MID(N7,O7,P7-O7),[6]skilldef!$A:$B,2,FALSE),"-")</f>
        <v>- / -</v>
      </c>
      <c r="T7" s="48" t="str">
        <f t="shared" si="11"/>
        <v>none</v>
      </c>
      <c r="U7" s="63" t="e">
        <f t="shared" si="12"/>
        <v>#VALUE!</v>
      </c>
      <c r="V7" s="63">
        <f t="shared" si="13"/>
        <v>4</v>
      </c>
      <c r="W7" s="63" t="e">
        <f t="shared" si="14"/>
        <v>#VALUE!</v>
      </c>
      <c r="X7" s="63" t="e">
        <f t="shared" si="15"/>
        <v>#VALUE!</v>
      </c>
      <c r="Y7" s="63" t="str">
        <f>IFERROR(VLOOKUP(MID(T7,W7,X7-W7),[6]skilldef!$C:$D,2,FALSE),"-") &amp; " / " &amp; IFERROR(VLOOKUP(MID(T7,U7,V7-U7),[6]skilldef!$A:$B,2,FALSE),"-")</f>
        <v>- / -</v>
      </c>
      <c r="Z7" s="50"/>
      <c r="AA7" s="52"/>
      <c r="AB7" s="50"/>
    </row>
    <row r="8" spans="1:28" ht="21" customHeight="1" x14ac:dyDescent="0.15">
      <c r="A8" s="47">
        <v>65526006</v>
      </c>
      <c r="B8" s="47" t="s">
        <v>304</v>
      </c>
      <c r="C8" s="50">
        <v>1</v>
      </c>
      <c r="D8" s="50" t="s">
        <v>127</v>
      </c>
      <c r="E8" s="51" t="s">
        <v>273</v>
      </c>
      <c r="F8" s="51" t="s">
        <v>272</v>
      </c>
      <c r="G8" s="63" t="str">
        <f t="shared" si="0"/>
        <v>[effect:nothing]</v>
      </c>
      <c r="H8" s="63">
        <f t="shared" si="1"/>
        <v>9</v>
      </c>
      <c r="I8" s="63">
        <f t="shared" si="2"/>
        <v>16</v>
      </c>
      <c r="J8" s="63" t="e">
        <f t="shared" si="3"/>
        <v>#VALUE!</v>
      </c>
      <c r="K8" s="63" t="e">
        <f t="shared" si="4"/>
        <v>#VALUE!</v>
      </c>
      <c r="L8" s="63" t="str">
        <f>IFERROR(VLOOKUP(MID(G8,J8,K8-J8),[6]skilldef!$C:$D,2,FALSE),"-") &amp; " / " &amp; IFERROR(VLOOKUP(MID(G8,H8,I8-H8),[6]skilldef!$A:$B,2,FALSE),"-")</f>
        <v>- / 何もしない</v>
      </c>
      <c r="M8" s="63" t="str">
        <f t="shared" si="5"/>
        <v>none</v>
      </c>
      <c r="N8" s="48" t="str">
        <f t="shared" si="6"/>
        <v>none</v>
      </c>
      <c r="O8" s="63" t="e">
        <f t="shared" si="7"/>
        <v>#VALUE!</v>
      </c>
      <c r="P8" s="63">
        <f t="shared" si="8"/>
        <v>4</v>
      </c>
      <c r="Q8" s="63" t="e">
        <f t="shared" si="9"/>
        <v>#VALUE!</v>
      </c>
      <c r="R8" s="63" t="e">
        <f t="shared" si="10"/>
        <v>#VALUE!</v>
      </c>
      <c r="S8" s="63" t="str">
        <f>IFERROR(VLOOKUP(MID(N8,Q8,R8-Q8),[6]skilldef!$C:$D,2,FALSE),"-") &amp; " / " &amp; IFERROR(VLOOKUP(MID(N8,O8,P8-O8),[6]skilldef!$A:$B,2,FALSE),"-")</f>
        <v>- / -</v>
      </c>
      <c r="T8" s="48" t="str">
        <f t="shared" si="11"/>
        <v>none</v>
      </c>
      <c r="U8" s="63" t="e">
        <f t="shared" si="12"/>
        <v>#VALUE!</v>
      </c>
      <c r="V8" s="63">
        <f t="shared" si="13"/>
        <v>4</v>
      </c>
      <c r="W8" s="63" t="e">
        <f t="shared" si="14"/>
        <v>#VALUE!</v>
      </c>
      <c r="X8" s="63" t="e">
        <f t="shared" si="15"/>
        <v>#VALUE!</v>
      </c>
      <c r="Y8" s="63" t="str">
        <f>IFERROR(VLOOKUP(MID(T8,W8,X8-W8),[6]skilldef!$C:$D,2,FALSE),"-") &amp; " / " &amp; IFERROR(VLOOKUP(MID(T8,U8,V8-U8),[6]skilldef!$A:$B,2,FALSE),"-")</f>
        <v>- / -</v>
      </c>
      <c r="Z8" s="50"/>
      <c r="AA8" s="52"/>
      <c r="AB8" s="50"/>
    </row>
    <row r="9" spans="1:28" ht="21" customHeight="1" x14ac:dyDescent="0.15">
      <c r="A9" s="47">
        <v>65526007</v>
      </c>
      <c r="B9" s="47" t="s">
        <v>304</v>
      </c>
      <c r="C9" s="50">
        <v>1</v>
      </c>
      <c r="D9" s="50" t="s">
        <v>127</v>
      </c>
      <c r="E9" s="51" t="s">
        <v>273</v>
      </c>
      <c r="F9" s="51" t="s">
        <v>272</v>
      </c>
      <c r="G9" s="63" t="str">
        <f t="shared" si="0"/>
        <v>[effect:nothing]</v>
      </c>
      <c r="H9" s="63">
        <f t="shared" si="1"/>
        <v>9</v>
      </c>
      <c r="I9" s="63">
        <f t="shared" si="2"/>
        <v>16</v>
      </c>
      <c r="J9" s="63" t="e">
        <f t="shared" si="3"/>
        <v>#VALUE!</v>
      </c>
      <c r="K9" s="63" t="e">
        <f t="shared" si="4"/>
        <v>#VALUE!</v>
      </c>
      <c r="L9" s="63" t="str">
        <f>IFERROR(VLOOKUP(MID(G9,J9,K9-J9),[6]skilldef!$C:$D,2,FALSE),"-") &amp; " / " &amp; IFERROR(VLOOKUP(MID(G9,H9,I9-H9),[6]skilldef!$A:$B,2,FALSE),"-")</f>
        <v>- / 何もしない</v>
      </c>
      <c r="M9" s="63" t="str">
        <f t="shared" si="5"/>
        <v>none</v>
      </c>
      <c r="N9" s="48" t="str">
        <f t="shared" si="6"/>
        <v>none</v>
      </c>
      <c r="O9" s="63" t="e">
        <f t="shared" si="7"/>
        <v>#VALUE!</v>
      </c>
      <c r="P9" s="63">
        <f t="shared" si="8"/>
        <v>4</v>
      </c>
      <c r="Q9" s="63" t="e">
        <f t="shared" si="9"/>
        <v>#VALUE!</v>
      </c>
      <c r="R9" s="63" t="e">
        <f t="shared" si="10"/>
        <v>#VALUE!</v>
      </c>
      <c r="S9" s="63" t="str">
        <f>IFERROR(VLOOKUP(MID(N9,Q9,R9-Q9),[6]skilldef!$C:$D,2,FALSE),"-") &amp; " / " &amp; IFERROR(VLOOKUP(MID(N9,O9,P9-O9),[6]skilldef!$A:$B,2,FALSE),"-")</f>
        <v>- / -</v>
      </c>
      <c r="T9" s="48" t="str">
        <f t="shared" si="11"/>
        <v>none</v>
      </c>
      <c r="U9" s="63" t="e">
        <f t="shared" si="12"/>
        <v>#VALUE!</v>
      </c>
      <c r="V9" s="63">
        <f t="shared" si="13"/>
        <v>4</v>
      </c>
      <c r="W9" s="63" t="e">
        <f t="shared" si="14"/>
        <v>#VALUE!</v>
      </c>
      <c r="X9" s="63" t="e">
        <f t="shared" si="15"/>
        <v>#VALUE!</v>
      </c>
      <c r="Y9" s="63" t="str">
        <f>IFERROR(VLOOKUP(MID(T9,W9,X9-W9),[6]skilldef!$C:$D,2,FALSE),"-") &amp; " / " &amp; IFERROR(VLOOKUP(MID(T9,U9,V9-U9),[6]skilldef!$A:$B,2,FALSE),"-")</f>
        <v>- / -</v>
      </c>
      <c r="Z9" s="50"/>
      <c r="AA9" s="52"/>
      <c r="AB9" s="50"/>
    </row>
    <row r="10" spans="1:28" ht="21" customHeight="1" x14ac:dyDescent="0.15">
      <c r="A10" s="47">
        <v>65526008</v>
      </c>
      <c r="B10" s="47" t="s">
        <v>304</v>
      </c>
      <c r="C10" s="50">
        <v>1</v>
      </c>
      <c r="D10" s="50" t="s">
        <v>127</v>
      </c>
      <c r="E10" s="51" t="s">
        <v>273</v>
      </c>
      <c r="F10" s="51" t="s">
        <v>272</v>
      </c>
      <c r="G10" s="63" t="str">
        <f t="shared" si="0"/>
        <v>[effect:nothing]</v>
      </c>
      <c r="H10" s="63">
        <f t="shared" si="1"/>
        <v>9</v>
      </c>
      <c r="I10" s="63">
        <f t="shared" si="2"/>
        <v>16</v>
      </c>
      <c r="J10" s="63" t="e">
        <f t="shared" si="3"/>
        <v>#VALUE!</v>
      </c>
      <c r="K10" s="63" t="e">
        <f t="shared" si="4"/>
        <v>#VALUE!</v>
      </c>
      <c r="L10" s="63" t="str">
        <f>IFERROR(VLOOKUP(MID(G10,J10,K10-J10),[6]skilldef!$C:$D,2,FALSE),"-") &amp; " / " &amp; IFERROR(VLOOKUP(MID(G10,H10,I10-H10),[6]skilldef!$A:$B,2,FALSE),"-")</f>
        <v>- / 何もしない</v>
      </c>
      <c r="M10" s="63" t="str">
        <f t="shared" si="5"/>
        <v>none</v>
      </c>
      <c r="N10" s="48" t="str">
        <f t="shared" si="6"/>
        <v>none</v>
      </c>
      <c r="O10" s="63" t="e">
        <f t="shared" si="7"/>
        <v>#VALUE!</v>
      </c>
      <c r="P10" s="63">
        <f t="shared" si="8"/>
        <v>4</v>
      </c>
      <c r="Q10" s="63" t="e">
        <f t="shared" si="9"/>
        <v>#VALUE!</v>
      </c>
      <c r="R10" s="63" t="e">
        <f t="shared" si="10"/>
        <v>#VALUE!</v>
      </c>
      <c r="S10" s="63" t="str">
        <f>IFERROR(VLOOKUP(MID(N10,Q10,R10-Q10),[6]skilldef!$C:$D,2,FALSE),"-") &amp; " / " &amp; IFERROR(VLOOKUP(MID(N10,O10,P10-O10),[6]skilldef!$A:$B,2,FALSE),"-")</f>
        <v>- / -</v>
      </c>
      <c r="T10" s="48" t="str">
        <f t="shared" si="11"/>
        <v>none</v>
      </c>
      <c r="U10" s="63" t="e">
        <f t="shared" si="12"/>
        <v>#VALUE!</v>
      </c>
      <c r="V10" s="63">
        <f t="shared" si="13"/>
        <v>4</v>
      </c>
      <c r="W10" s="63" t="e">
        <f t="shared" si="14"/>
        <v>#VALUE!</v>
      </c>
      <c r="X10" s="63" t="e">
        <f t="shared" si="15"/>
        <v>#VALUE!</v>
      </c>
      <c r="Y10" s="63" t="str">
        <f>IFERROR(VLOOKUP(MID(T10,W10,X10-W10),[6]skilldef!$C:$D,2,FALSE),"-") &amp; " / " &amp; IFERROR(VLOOKUP(MID(T10,U10,V10-U10),[6]skilldef!$A:$B,2,FALSE),"-")</f>
        <v>- / -</v>
      </c>
      <c r="Z10" s="50"/>
      <c r="AA10" s="52"/>
      <c r="AB10" s="50"/>
    </row>
    <row r="11" spans="1:28" ht="21" customHeight="1" x14ac:dyDescent="0.15">
      <c r="A11" s="47">
        <v>65526009</v>
      </c>
      <c r="B11" s="47" t="s">
        <v>304</v>
      </c>
      <c r="C11" s="50">
        <v>1</v>
      </c>
      <c r="D11" s="50" t="s">
        <v>127</v>
      </c>
      <c r="E11" s="51" t="s">
        <v>273</v>
      </c>
      <c r="F11" s="51" t="s">
        <v>272</v>
      </c>
      <c r="G11" s="63" t="str">
        <f t="shared" si="0"/>
        <v>[effect:nothing]</v>
      </c>
      <c r="H11" s="63">
        <f t="shared" si="1"/>
        <v>9</v>
      </c>
      <c r="I11" s="63">
        <f t="shared" si="2"/>
        <v>16</v>
      </c>
      <c r="J11" s="63" t="e">
        <f t="shared" si="3"/>
        <v>#VALUE!</v>
      </c>
      <c r="K11" s="63" t="e">
        <f t="shared" si="4"/>
        <v>#VALUE!</v>
      </c>
      <c r="L11" s="63" t="str">
        <f>IFERROR(VLOOKUP(MID(G11,J11,K11-J11),[6]skilldef!$C:$D,2,FALSE),"-") &amp; " / " &amp; IFERROR(VLOOKUP(MID(G11,H11,I11-H11),[6]skilldef!$A:$B,2,FALSE),"-")</f>
        <v>- / 何もしない</v>
      </c>
      <c r="M11" s="63" t="str">
        <f t="shared" si="5"/>
        <v>none</v>
      </c>
      <c r="N11" s="48" t="str">
        <f t="shared" si="6"/>
        <v>none</v>
      </c>
      <c r="O11" s="63" t="e">
        <f t="shared" si="7"/>
        <v>#VALUE!</v>
      </c>
      <c r="P11" s="63">
        <f t="shared" si="8"/>
        <v>4</v>
      </c>
      <c r="Q11" s="63" t="e">
        <f t="shared" si="9"/>
        <v>#VALUE!</v>
      </c>
      <c r="R11" s="63" t="e">
        <f t="shared" si="10"/>
        <v>#VALUE!</v>
      </c>
      <c r="S11" s="63" t="str">
        <f>IFERROR(VLOOKUP(MID(N11,Q11,R11-Q11),[6]skilldef!$C:$D,2,FALSE),"-") &amp; " / " &amp; IFERROR(VLOOKUP(MID(N11,O11,P11-O11),[6]skilldef!$A:$B,2,FALSE),"-")</f>
        <v>- / -</v>
      </c>
      <c r="T11" s="48" t="str">
        <f t="shared" si="11"/>
        <v>none</v>
      </c>
      <c r="U11" s="63" t="e">
        <f t="shared" si="12"/>
        <v>#VALUE!</v>
      </c>
      <c r="V11" s="63">
        <f t="shared" si="13"/>
        <v>4</v>
      </c>
      <c r="W11" s="63" t="e">
        <f t="shared" si="14"/>
        <v>#VALUE!</v>
      </c>
      <c r="X11" s="63" t="e">
        <f t="shared" si="15"/>
        <v>#VALUE!</v>
      </c>
      <c r="Y11" s="63" t="str">
        <f>IFERROR(VLOOKUP(MID(T11,W11,X11-W11),[6]skilldef!$C:$D,2,FALSE),"-") &amp; " / " &amp; IFERROR(VLOOKUP(MID(T11,U11,V11-U11),[6]skilldef!$A:$B,2,FALSE),"-")</f>
        <v>- / -</v>
      </c>
      <c r="Z11" s="50"/>
      <c r="AA11" s="52"/>
      <c r="AB11" s="50"/>
    </row>
    <row r="12" spans="1:28" ht="21" customHeight="1" x14ac:dyDescent="0.15">
      <c r="A12" s="47">
        <v>65526010</v>
      </c>
      <c r="B12" s="47" t="s">
        <v>307</v>
      </c>
      <c r="C12" s="50">
        <v>1</v>
      </c>
      <c r="D12" s="50" t="s">
        <v>127</v>
      </c>
      <c r="E12" s="51" t="s">
        <v>275</v>
      </c>
      <c r="F12" s="51" t="s">
        <v>276</v>
      </c>
      <c r="G12" s="63" t="str">
        <f t="shared" si="0"/>
        <v>[effect:force_change_block, new_block:block_heart, target:block_all, ignore01:crash, ignore02:crack_bomb, ignore03:damage, ignore04:time_bomb, ignore05:color_break, count:5, val:0, animation:change_block]</v>
      </c>
      <c r="H12" s="63">
        <f t="shared" si="1"/>
        <v>9</v>
      </c>
      <c r="I12" s="63">
        <f t="shared" si="2"/>
        <v>27</v>
      </c>
      <c r="J12" s="63">
        <f t="shared" si="3"/>
        <v>59</v>
      </c>
      <c r="K12" s="63">
        <f t="shared" si="4"/>
        <v>50</v>
      </c>
      <c r="L12" s="63" t="str">
        <f>IFERROR(VLOOKUP(MID(G12,J12,K12-J12),[6]skilldef!$C:$D,2,FALSE),"-") &amp; " / " &amp; IFERROR(VLOOKUP(MID(G12,H12,I12-H12),[6]skilldef!$A:$B,2,FALSE),"-")</f>
        <v>- / -</v>
      </c>
      <c r="M12" s="63" t="str">
        <f t="shared" si="5"/>
        <v>none</v>
      </c>
      <c r="N12" s="48" t="str">
        <f t="shared" si="6"/>
        <v>none</v>
      </c>
      <c r="O12" s="63" t="e">
        <f t="shared" si="7"/>
        <v>#VALUE!</v>
      </c>
      <c r="P12" s="63">
        <f t="shared" si="8"/>
        <v>4</v>
      </c>
      <c r="Q12" s="63" t="e">
        <f t="shared" si="9"/>
        <v>#VALUE!</v>
      </c>
      <c r="R12" s="63" t="e">
        <f t="shared" si="10"/>
        <v>#VALUE!</v>
      </c>
      <c r="S12" s="63" t="str">
        <f>IFERROR(VLOOKUP(MID(N12,Q12,R12-Q12),[6]skilldef!$C:$D,2,FALSE),"-") &amp; " / " &amp; IFERROR(VLOOKUP(MID(N12,O12,P12-O12),[6]skilldef!$A:$B,2,FALSE),"-")</f>
        <v>- / -</v>
      </c>
      <c r="T12" s="48" t="str">
        <f t="shared" si="11"/>
        <v>none</v>
      </c>
      <c r="U12" s="63" t="e">
        <f t="shared" si="12"/>
        <v>#VALUE!</v>
      </c>
      <c r="V12" s="63">
        <f t="shared" si="13"/>
        <v>4</v>
      </c>
      <c r="W12" s="63" t="e">
        <f t="shared" si="14"/>
        <v>#VALUE!</v>
      </c>
      <c r="X12" s="63" t="e">
        <f t="shared" si="15"/>
        <v>#VALUE!</v>
      </c>
      <c r="Y12" s="63" t="str">
        <f>IFERROR(VLOOKUP(MID(T12,W12,X12-W12),[6]skilldef!$C:$D,2,FALSE),"-") &amp; " / " &amp; IFERROR(VLOOKUP(MID(T12,U12,V12-U12),[6]skilldef!$A:$B,2,FALSE),"-")</f>
        <v>- / -</v>
      </c>
      <c r="Z12" s="50"/>
      <c r="AA12" s="52"/>
      <c r="AB12" s="50"/>
    </row>
    <row r="13" spans="1:28" ht="21" customHeight="1" x14ac:dyDescent="0.15">
      <c r="A13" s="47">
        <v>65526011</v>
      </c>
      <c r="B13" s="47" t="s">
        <v>304</v>
      </c>
      <c r="C13" s="50">
        <v>1</v>
      </c>
      <c r="D13" s="50" t="s">
        <v>127</v>
      </c>
      <c r="E13" s="51" t="s">
        <v>275</v>
      </c>
      <c r="F13" s="51" t="s">
        <v>272</v>
      </c>
      <c r="G13" s="63" t="str">
        <f t="shared" si="0"/>
        <v>[effect:nothing]</v>
      </c>
      <c r="H13" s="63">
        <f t="shared" si="1"/>
        <v>9</v>
      </c>
      <c r="I13" s="63">
        <f t="shared" si="2"/>
        <v>16</v>
      </c>
      <c r="J13" s="63" t="e">
        <f t="shared" si="3"/>
        <v>#VALUE!</v>
      </c>
      <c r="K13" s="63" t="e">
        <f t="shared" si="4"/>
        <v>#VALUE!</v>
      </c>
      <c r="L13" s="63" t="str">
        <f>IFERROR(VLOOKUP(MID(G13,J13,K13-J13),[6]skilldef!$C:$D,2,FALSE),"-") &amp; " / " &amp; IFERROR(VLOOKUP(MID(G13,H13,I13-H13),[6]skilldef!$A:$B,2,FALSE),"-")</f>
        <v>- / 何もしない</v>
      </c>
      <c r="M13" s="63" t="str">
        <f t="shared" si="5"/>
        <v>none</v>
      </c>
      <c r="N13" s="48" t="str">
        <f t="shared" si="6"/>
        <v>none</v>
      </c>
      <c r="O13" s="63" t="e">
        <f t="shared" si="7"/>
        <v>#VALUE!</v>
      </c>
      <c r="P13" s="63">
        <f t="shared" si="8"/>
        <v>4</v>
      </c>
      <c r="Q13" s="63" t="e">
        <f t="shared" si="9"/>
        <v>#VALUE!</v>
      </c>
      <c r="R13" s="63" t="e">
        <f t="shared" si="10"/>
        <v>#VALUE!</v>
      </c>
      <c r="S13" s="63" t="str">
        <f>IFERROR(VLOOKUP(MID(N13,Q13,R13-Q13),[6]skilldef!$C:$D,2,FALSE),"-") &amp; " / " &amp; IFERROR(VLOOKUP(MID(N13,O13,P13-O13),[6]skilldef!$A:$B,2,FALSE),"-")</f>
        <v>- / -</v>
      </c>
      <c r="T13" s="48" t="str">
        <f t="shared" si="11"/>
        <v>none</v>
      </c>
      <c r="U13" s="63" t="e">
        <f t="shared" si="12"/>
        <v>#VALUE!</v>
      </c>
      <c r="V13" s="63">
        <f t="shared" si="13"/>
        <v>4</v>
      </c>
      <c r="W13" s="63" t="e">
        <f t="shared" si="14"/>
        <v>#VALUE!</v>
      </c>
      <c r="X13" s="63" t="e">
        <f t="shared" si="15"/>
        <v>#VALUE!</v>
      </c>
      <c r="Y13" s="63" t="str">
        <f>IFERROR(VLOOKUP(MID(T13,W13,X13-W13),[6]skilldef!$C:$D,2,FALSE),"-") &amp; " / " &amp; IFERROR(VLOOKUP(MID(T13,U13,V13-U13),[6]skilldef!$A:$B,2,FALSE),"-")</f>
        <v>- / -</v>
      </c>
      <c r="Z13" s="50"/>
      <c r="AA13" s="52"/>
      <c r="AB13" s="50"/>
    </row>
    <row r="14" spans="1:28" ht="21" customHeight="1" x14ac:dyDescent="0.15">
      <c r="A14" s="47">
        <v>65526012</v>
      </c>
      <c r="B14" s="47" t="s">
        <v>304</v>
      </c>
      <c r="C14" s="50">
        <v>1</v>
      </c>
      <c r="D14" s="50" t="s">
        <v>127</v>
      </c>
      <c r="E14" s="51" t="s">
        <v>275</v>
      </c>
      <c r="F14" s="51" t="s">
        <v>272</v>
      </c>
      <c r="G14" s="63" t="str">
        <f t="shared" si="0"/>
        <v>[effect:nothing]</v>
      </c>
      <c r="H14" s="63">
        <f t="shared" si="1"/>
        <v>9</v>
      </c>
      <c r="I14" s="63">
        <f t="shared" si="2"/>
        <v>16</v>
      </c>
      <c r="J14" s="63" t="e">
        <f t="shared" si="3"/>
        <v>#VALUE!</v>
      </c>
      <c r="K14" s="63" t="e">
        <f t="shared" si="4"/>
        <v>#VALUE!</v>
      </c>
      <c r="L14" s="63" t="str">
        <f>IFERROR(VLOOKUP(MID(G14,J14,K14-J14),[6]skilldef!$C:$D,2,FALSE),"-") &amp; " / " &amp; IFERROR(VLOOKUP(MID(G14,H14,I14-H14),[6]skilldef!$A:$B,2,FALSE),"-")</f>
        <v>- / 何もしない</v>
      </c>
      <c r="M14" s="63" t="str">
        <f t="shared" si="5"/>
        <v>none</v>
      </c>
      <c r="N14" s="48" t="str">
        <f t="shared" si="6"/>
        <v>none</v>
      </c>
      <c r="O14" s="63" t="e">
        <f t="shared" si="7"/>
        <v>#VALUE!</v>
      </c>
      <c r="P14" s="63">
        <f t="shared" si="8"/>
        <v>4</v>
      </c>
      <c r="Q14" s="63" t="e">
        <f t="shared" si="9"/>
        <v>#VALUE!</v>
      </c>
      <c r="R14" s="63" t="e">
        <f t="shared" si="10"/>
        <v>#VALUE!</v>
      </c>
      <c r="S14" s="63" t="str">
        <f>IFERROR(VLOOKUP(MID(N14,Q14,R14-Q14),[6]skilldef!$C:$D,2,FALSE),"-") &amp; " / " &amp; IFERROR(VLOOKUP(MID(N14,O14,P14-O14),[6]skilldef!$A:$B,2,FALSE),"-")</f>
        <v>- / -</v>
      </c>
      <c r="T14" s="48" t="str">
        <f t="shared" si="11"/>
        <v>none</v>
      </c>
      <c r="U14" s="63" t="e">
        <f t="shared" si="12"/>
        <v>#VALUE!</v>
      </c>
      <c r="V14" s="63">
        <f t="shared" si="13"/>
        <v>4</v>
      </c>
      <c r="W14" s="63" t="e">
        <f t="shared" si="14"/>
        <v>#VALUE!</v>
      </c>
      <c r="X14" s="63" t="e">
        <f t="shared" si="15"/>
        <v>#VALUE!</v>
      </c>
      <c r="Y14" s="63" t="str">
        <f>IFERROR(VLOOKUP(MID(T14,W14,X14-W14),[6]skilldef!$C:$D,2,FALSE),"-") &amp; " / " &amp; IFERROR(VLOOKUP(MID(T14,U14,V14-U14),[6]skilldef!$A:$B,2,FALSE),"-")</f>
        <v>- / -</v>
      </c>
      <c r="Z14" s="50"/>
      <c r="AA14" s="52"/>
      <c r="AB14" s="50"/>
    </row>
    <row r="15" spans="1:28" ht="21" customHeight="1" x14ac:dyDescent="0.15">
      <c r="A15" s="47">
        <v>65526013</v>
      </c>
      <c r="B15" s="47" t="s">
        <v>304</v>
      </c>
      <c r="C15" s="50">
        <v>1</v>
      </c>
      <c r="D15" s="50" t="s">
        <v>127</v>
      </c>
      <c r="E15" s="51" t="s">
        <v>275</v>
      </c>
      <c r="F15" s="51" t="s">
        <v>272</v>
      </c>
      <c r="G15" s="63" t="str">
        <f t="shared" si="0"/>
        <v>[effect:nothing]</v>
      </c>
      <c r="H15" s="63">
        <f t="shared" si="1"/>
        <v>9</v>
      </c>
      <c r="I15" s="63">
        <f t="shared" si="2"/>
        <v>16</v>
      </c>
      <c r="J15" s="63" t="e">
        <f t="shared" si="3"/>
        <v>#VALUE!</v>
      </c>
      <c r="K15" s="63" t="e">
        <f t="shared" si="4"/>
        <v>#VALUE!</v>
      </c>
      <c r="L15" s="63" t="str">
        <f>IFERROR(VLOOKUP(MID(G15,J15,K15-J15),[6]skilldef!$C:$D,2,FALSE),"-") &amp; " / " &amp; IFERROR(VLOOKUP(MID(G15,H15,I15-H15),[6]skilldef!$A:$B,2,FALSE),"-")</f>
        <v>- / 何もしない</v>
      </c>
      <c r="M15" s="63" t="str">
        <f t="shared" si="5"/>
        <v>none</v>
      </c>
      <c r="N15" s="48" t="str">
        <f t="shared" si="6"/>
        <v>none</v>
      </c>
      <c r="O15" s="63" t="e">
        <f t="shared" si="7"/>
        <v>#VALUE!</v>
      </c>
      <c r="P15" s="63">
        <f t="shared" si="8"/>
        <v>4</v>
      </c>
      <c r="Q15" s="63" t="e">
        <f t="shared" si="9"/>
        <v>#VALUE!</v>
      </c>
      <c r="R15" s="63" t="e">
        <f t="shared" si="10"/>
        <v>#VALUE!</v>
      </c>
      <c r="S15" s="63" t="str">
        <f>IFERROR(VLOOKUP(MID(N15,Q15,R15-Q15),[6]skilldef!$C:$D,2,FALSE),"-") &amp; " / " &amp; IFERROR(VLOOKUP(MID(N15,O15,P15-O15),[6]skilldef!$A:$B,2,FALSE),"-")</f>
        <v>- / -</v>
      </c>
      <c r="T15" s="48" t="str">
        <f t="shared" si="11"/>
        <v>none</v>
      </c>
      <c r="U15" s="63" t="e">
        <f t="shared" si="12"/>
        <v>#VALUE!</v>
      </c>
      <c r="V15" s="63">
        <f t="shared" si="13"/>
        <v>4</v>
      </c>
      <c r="W15" s="63" t="e">
        <f t="shared" si="14"/>
        <v>#VALUE!</v>
      </c>
      <c r="X15" s="63" t="e">
        <f t="shared" si="15"/>
        <v>#VALUE!</v>
      </c>
      <c r="Y15" s="63" t="str">
        <f>IFERROR(VLOOKUP(MID(T15,W15,X15-W15),[6]skilldef!$C:$D,2,FALSE),"-") &amp; " / " &amp; IFERROR(VLOOKUP(MID(T15,U15,V15-U15),[6]skilldef!$A:$B,2,FALSE),"-")</f>
        <v>- / -</v>
      </c>
      <c r="Z15" s="50"/>
      <c r="AA15" s="52"/>
      <c r="AB15" s="50"/>
    </row>
    <row r="16" spans="1:28" ht="21" customHeight="1" x14ac:dyDescent="0.15">
      <c r="A16" s="47">
        <v>65526014</v>
      </c>
      <c r="B16" s="47" t="s">
        <v>304</v>
      </c>
      <c r="C16" s="50">
        <v>1</v>
      </c>
      <c r="D16" s="50" t="s">
        <v>127</v>
      </c>
      <c r="E16" s="51" t="s">
        <v>275</v>
      </c>
      <c r="F16" s="51" t="s">
        <v>272</v>
      </c>
      <c r="G16" s="63" t="str">
        <f t="shared" si="0"/>
        <v>[effect:nothing]</v>
      </c>
      <c r="H16" s="63">
        <f t="shared" si="1"/>
        <v>9</v>
      </c>
      <c r="I16" s="63">
        <f t="shared" si="2"/>
        <v>16</v>
      </c>
      <c r="J16" s="63" t="e">
        <f t="shared" si="3"/>
        <v>#VALUE!</v>
      </c>
      <c r="K16" s="63" t="e">
        <f t="shared" si="4"/>
        <v>#VALUE!</v>
      </c>
      <c r="L16" s="63" t="str">
        <f>IFERROR(VLOOKUP(MID(G16,J16,K16-J16),[6]skilldef!$C:$D,2,FALSE),"-") &amp; " / " &amp; IFERROR(VLOOKUP(MID(G16,H16,I16-H16),[6]skilldef!$A:$B,2,FALSE),"-")</f>
        <v>- / 何もしない</v>
      </c>
      <c r="M16" s="63" t="str">
        <f t="shared" si="5"/>
        <v>none</v>
      </c>
      <c r="N16" s="48" t="str">
        <f t="shared" si="6"/>
        <v>none</v>
      </c>
      <c r="O16" s="63" t="e">
        <f t="shared" si="7"/>
        <v>#VALUE!</v>
      </c>
      <c r="P16" s="63">
        <f t="shared" si="8"/>
        <v>4</v>
      </c>
      <c r="Q16" s="63" t="e">
        <f t="shared" si="9"/>
        <v>#VALUE!</v>
      </c>
      <c r="R16" s="63" t="e">
        <f t="shared" si="10"/>
        <v>#VALUE!</v>
      </c>
      <c r="S16" s="63" t="str">
        <f>IFERROR(VLOOKUP(MID(N16,Q16,R16-Q16),[6]skilldef!$C:$D,2,FALSE),"-") &amp; " / " &amp; IFERROR(VLOOKUP(MID(N16,O16,P16-O16),[6]skilldef!$A:$B,2,FALSE),"-")</f>
        <v>- / -</v>
      </c>
      <c r="T16" s="48" t="str">
        <f t="shared" si="11"/>
        <v>none</v>
      </c>
      <c r="U16" s="63" t="e">
        <f t="shared" si="12"/>
        <v>#VALUE!</v>
      </c>
      <c r="V16" s="63">
        <f t="shared" si="13"/>
        <v>4</v>
      </c>
      <c r="W16" s="63" t="e">
        <f t="shared" si="14"/>
        <v>#VALUE!</v>
      </c>
      <c r="X16" s="63" t="e">
        <f t="shared" si="15"/>
        <v>#VALUE!</v>
      </c>
      <c r="Y16" s="63" t="str">
        <f>IFERROR(VLOOKUP(MID(T16,W16,X16-W16),[6]skilldef!$C:$D,2,FALSE),"-") &amp; " / " &amp; IFERROR(VLOOKUP(MID(T16,U16,V16-U16),[6]skilldef!$A:$B,2,FALSE),"-")</f>
        <v>- / -</v>
      </c>
      <c r="Z16" s="50"/>
      <c r="AA16" s="52"/>
      <c r="AB16" s="50"/>
    </row>
    <row r="17" spans="1:28" ht="21" customHeight="1" x14ac:dyDescent="0.15">
      <c r="A17" s="47">
        <v>65526015</v>
      </c>
      <c r="B17" s="47" t="s">
        <v>308</v>
      </c>
      <c r="C17" s="50">
        <v>1</v>
      </c>
      <c r="D17" s="50" t="s">
        <v>127</v>
      </c>
      <c r="E17" s="51" t="s">
        <v>277</v>
      </c>
      <c r="F17" s="51" t="s">
        <v>278</v>
      </c>
      <c r="G17" s="63" t="str">
        <f t="shared" si="0"/>
        <v>[effect:break_attack, target:unit_one, val:0.2, lowest_val:0, count:-1, color:yellow, block_color:block_heart, block01:block_all, ignore01:crack_bomb]</v>
      </c>
      <c r="H17" s="63">
        <f t="shared" si="1"/>
        <v>9</v>
      </c>
      <c r="I17" s="63">
        <f t="shared" si="2"/>
        <v>21</v>
      </c>
      <c r="J17" s="63">
        <f t="shared" si="3"/>
        <v>30</v>
      </c>
      <c r="K17" s="63">
        <f t="shared" si="4"/>
        <v>38</v>
      </c>
      <c r="L17" s="63" t="str">
        <f>IFERROR(VLOOKUP(MID(G17,J17,K17-J17),[6]skilldef!$C:$D,2,FALSE),"-") &amp; " / " &amp; IFERROR(VLOOKUP(MID(G17,H17,I17-H17),[6]skilldef!$A:$B,2,FALSE),"-")</f>
        <v>味方単体に / -</v>
      </c>
      <c r="M17" s="63" t="str">
        <f t="shared" si="5"/>
        <v>none</v>
      </c>
      <c r="N17" s="48" t="str">
        <f t="shared" si="6"/>
        <v>none</v>
      </c>
      <c r="O17" s="63" t="e">
        <f t="shared" si="7"/>
        <v>#VALUE!</v>
      </c>
      <c r="P17" s="63">
        <f t="shared" si="8"/>
        <v>4</v>
      </c>
      <c r="Q17" s="63" t="e">
        <f t="shared" si="9"/>
        <v>#VALUE!</v>
      </c>
      <c r="R17" s="63" t="e">
        <f t="shared" si="10"/>
        <v>#VALUE!</v>
      </c>
      <c r="S17" s="63" t="str">
        <f>IFERROR(VLOOKUP(MID(N17,Q17,R17-Q17),[6]skilldef!$C:$D,2,FALSE),"-") &amp; " / " &amp; IFERROR(VLOOKUP(MID(N17,O17,P17-O17),[6]skilldef!$A:$B,2,FALSE),"-")</f>
        <v>- / -</v>
      </c>
      <c r="T17" s="48" t="str">
        <f t="shared" si="11"/>
        <v>none</v>
      </c>
      <c r="U17" s="63" t="e">
        <f t="shared" si="12"/>
        <v>#VALUE!</v>
      </c>
      <c r="V17" s="63">
        <f t="shared" si="13"/>
        <v>4</v>
      </c>
      <c r="W17" s="63" t="e">
        <f t="shared" si="14"/>
        <v>#VALUE!</v>
      </c>
      <c r="X17" s="63" t="e">
        <f t="shared" si="15"/>
        <v>#VALUE!</v>
      </c>
      <c r="Y17" s="63" t="str">
        <f>IFERROR(VLOOKUP(MID(T17,W17,X17-W17),[6]skilldef!$C:$D,2,FALSE),"-") &amp; " / " &amp; IFERROR(VLOOKUP(MID(T17,U17,V17-U17),[6]skilldef!$A:$B,2,FALSE),"-")</f>
        <v>- / -</v>
      </c>
      <c r="Z17" s="50"/>
      <c r="AA17" s="52"/>
      <c r="AB17" s="50"/>
    </row>
    <row r="18" spans="1:28" ht="21" customHeight="1" x14ac:dyDescent="0.15">
      <c r="A18" s="47">
        <v>65526016</v>
      </c>
      <c r="B18" s="47" t="s">
        <v>304</v>
      </c>
      <c r="C18" s="50">
        <v>1</v>
      </c>
      <c r="D18" s="50" t="s">
        <v>127</v>
      </c>
      <c r="E18" s="51" t="s">
        <v>277</v>
      </c>
      <c r="F18" s="51" t="s">
        <v>272</v>
      </c>
      <c r="G18" s="63" t="str">
        <f t="shared" si="0"/>
        <v>[effect:nothing]</v>
      </c>
      <c r="H18" s="63">
        <f t="shared" si="1"/>
        <v>9</v>
      </c>
      <c r="I18" s="63">
        <f t="shared" si="2"/>
        <v>16</v>
      </c>
      <c r="J18" s="63" t="e">
        <f t="shared" si="3"/>
        <v>#VALUE!</v>
      </c>
      <c r="K18" s="63" t="e">
        <f t="shared" si="4"/>
        <v>#VALUE!</v>
      </c>
      <c r="L18" s="63" t="str">
        <f>IFERROR(VLOOKUP(MID(G18,J18,K18-J18),[6]skilldef!$C:$D,2,FALSE),"-") &amp; " / " &amp; IFERROR(VLOOKUP(MID(G18,H18,I18-H18),[6]skilldef!$A:$B,2,FALSE),"-")</f>
        <v>- / 何もしない</v>
      </c>
      <c r="M18" s="63" t="str">
        <f t="shared" si="5"/>
        <v>none</v>
      </c>
      <c r="N18" s="48" t="str">
        <f t="shared" si="6"/>
        <v>none</v>
      </c>
      <c r="O18" s="63" t="e">
        <f t="shared" si="7"/>
        <v>#VALUE!</v>
      </c>
      <c r="P18" s="63">
        <f t="shared" si="8"/>
        <v>4</v>
      </c>
      <c r="Q18" s="63" t="e">
        <f t="shared" si="9"/>
        <v>#VALUE!</v>
      </c>
      <c r="R18" s="63" t="e">
        <f t="shared" si="10"/>
        <v>#VALUE!</v>
      </c>
      <c r="S18" s="63" t="str">
        <f>IFERROR(VLOOKUP(MID(N18,Q18,R18-Q18),[6]skilldef!$C:$D,2,FALSE),"-") &amp; " / " &amp; IFERROR(VLOOKUP(MID(N18,O18,P18-O18),[6]skilldef!$A:$B,2,FALSE),"-")</f>
        <v>- / -</v>
      </c>
      <c r="T18" s="48" t="str">
        <f t="shared" si="11"/>
        <v>none</v>
      </c>
      <c r="U18" s="63" t="e">
        <f t="shared" si="12"/>
        <v>#VALUE!</v>
      </c>
      <c r="V18" s="63">
        <f t="shared" si="13"/>
        <v>4</v>
      </c>
      <c r="W18" s="63" t="e">
        <f t="shared" si="14"/>
        <v>#VALUE!</v>
      </c>
      <c r="X18" s="63" t="e">
        <f t="shared" si="15"/>
        <v>#VALUE!</v>
      </c>
      <c r="Y18" s="63" t="str">
        <f>IFERROR(VLOOKUP(MID(T18,W18,X18-W18),[6]skilldef!$C:$D,2,FALSE),"-") &amp; " / " &amp; IFERROR(VLOOKUP(MID(T18,U18,V18-U18),[6]skilldef!$A:$B,2,FALSE),"-")</f>
        <v>- / -</v>
      </c>
      <c r="Z18" s="50"/>
      <c r="AA18" s="52"/>
      <c r="AB18" s="50"/>
    </row>
    <row r="19" spans="1:28" ht="21" customHeight="1" x14ac:dyDescent="0.15">
      <c r="A19" s="47">
        <v>65526017</v>
      </c>
      <c r="B19" s="47" t="s">
        <v>304</v>
      </c>
      <c r="C19" s="50">
        <v>1</v>
      </c>
      <c r="D19" s="50" t="s">
        <v>127</v>
      </c>
      <c r="E19" s="51" t="s">
        <v>277</v>
      </c>
      <c r="F19" s="51" t="s">
        <v>272</v>
      </c>
      <c r="G19" s="63" t="str">
        <f t="shared" si="0"/>
        <v>[effect:nothing]</v>
      </c>
      <c r="H19" s="63">
        <f t="shared" si="1"/>
        <v>9</v>
      </c>
      <c r="I19" s="63">
        <f t="shared" si="2"/>
        <v>16</v>
      </c>
      <c r="J19" s="63" t="e">
        <f t="shared" si="3"/>
        <v>#VALUE!</v>
      </c>
      <c r="K19" s="63" t="e">
        <f t="shared" si="4"/>
        <v>#VALUE!</v>
      </c>
      <c r="L19" s="63" t="str">
        <f>IFERROR(VLOOKUP(MID(G19,J19,K19-J19),[6]skilldef!$C:$D,2,FALSE),"-") &amp; " / " &amp; IFERROR(VLOOKUP(MID(G19,H19,I19-H19),[6]skilldef!$A:$B,2,FALSE),"-")</f>
        <v>- / 何もしない</v>
      </c>
      <c r="M19" s="63" t="str">
        <f t="shared" si="5"/>
        <v>none</v>
      </c>
      <c r="N19" s="48" t="str">
        <f t="shared" si="6"/>
        <v>none</v>
      </c>
      <c r="O19" s="63" t="e">
        <f t="shared" si="7"/>
        <v>#VALUE!</v>
      </c>
      <c r="P19" s="63">
        <f t="shared" si="8"/>
        <v>4</v>
      </c>
      <c r="Q19" s="63" t="e">
        <f t="shared" si="9"/>
        <v>#VALUE!</v>
      </c>
      <c r="R19" s="63" t="e">
        <f t="shared" si="10"/>
        <v>#VALUE!</v>
      </c>
      <c r="S19" s="63" t="str">
        <f>IFERROR(VLOOKUP(MID(N19,Q19,R19-Q19),[6]skilldef!$C:$D,2,FALSE),"-") &amp; " / " &amp; IFERROR(VLOOKUP(MID(N19,O19,P19-O19),[6]skilldef!$A:$B,2,FALSE),"-")</f>
        <v>- / -</v>
      </c>
      <c r="T19" s="48" t="str">
        <f t="shared" si="11"/>
        <v>none</v>
      </c>
      <c r="U19" s="63" t="e">
        <f t="shared" si="12"/>
        <v>#VALUE!</v>
      </c>
      <c r="V19" s="63">
        <f t="shared" si="13"/>
        <v>4</v>
      </c>
      <c r="W19" s="63" t="e">
        <f t="shared" si="14"/>
        <v>#VALUE!</v>
      </c>
      <c r="X19" s="63" t="e">
        <f t="shared" si="15"/>
        <v>#VALUE!</v>
      </c>
      <c r="Y19" s="63" t="str">
        <f>IFERROR(VLOOKUP(MID(T19,W19,X19-W19),[6]skilldef!$C:$D,2,FALSE),"-") &amp; " / " &amp; IFERROR(VLOOKUP(MID(T19,U19,V19-U19),[6]skilldef!$A:$B,2,FALSE),"-")</f>
        <v>- / -</v>
      </c>
      <c r="Z19" s="50"/>
      <c r="AA19" s="52"/>
      <c r="AB19" s="50"/>
    </row>
    <row r="20" spans="1:28" ht="21" customHeight="1" x14ac:dyDescent="0.15">
      <c r="A20" s="47">
        <v>65526018</v>
      </c>
      <c r="B20" s="47" t="s">
        <v>304</v>
      </c>
      <c r="C20" s="50">
        <v>1</v>
      </c>
      <c r="D20" s="50" t="s">
        <v>127</v>
      </c>
      <c r="E20" s="51" t="s">
        <v>277</v>
      </c>
      <c r="F20" s="51" t="s">
        <v>272</v>
      </c>
      <c r="G20" s="63" t="str">
        <f t="shared" si="0"/>
        <v>[effect:nothing]</v>
      </c>
      <c r="H20" s="63">
        <f t="shared" si="1"/>
        <v>9</v>
      </c>
      <c r="I20" s="63">
        <f t="shared" si="2"/>
        <v>16</v>
      </c>
      <c r="J20" s="63" t="e">
        <f t="shared" si="3"/>
        <v>#VALUE!</v>
      </c>
      <c r="K20" s="63" t="e">
        <f t="shared" si="4"/>
        <v>#VALUE!</v>
      </c>
      <c r="L20" s="63" t="str">
        <f>IFERROR(VLOOKUP(MID(G20,J20,K20-J20),[6]skilldef!$C:$D,2,FALSE),"-") &amp; " / " &amp; IFERROR(VLOOKUP(MID(G20,H20,I20-H20),[6]skilldef!$A:$B,2,FALSE),"-")</f>
        <v>- / 何もしない</v>
      </c>
      <c r="M20" s="63" t="str">
        <f t="shared" si="5"/>
        <v>none</v>
      </c>
      <c r="N20" s="48" t="str">
        <f t="shared" si="6"/>
        <v>none</v>
      </c>
      <c r="O20" s="63" t="e">
        <f t="shared" si="7"/>
        <v>#VALUE!</v>
      </c>
      <c r="P20" s="63">
        <f t="shared" si="8"/>
        <v>4</v>
      </c>
      <c r="Q20" s="63" t="e">
        <f t="shared" si="9"/>
        <v>#VALUE!</v>
      </c>
      <c r="R20" s="63" t="e">
        <f t="shared" si="10"/>
        <v>#VALUE!</v>
      </c>
      <c r="S20" s="63" t="str">
        <f>IFERROR(VLOOKUP(MID(N20,Q20,R20-Q20),[6]skilldef!$C:$D,2,FALSE),"-") &amp; " / " &amp; IFERROR(VLOOKUP(MID(N20,O20,P20-O20),[6]skilldef!$A:$B,2,FALSE),"-")</f>
        <v>- / -</v>
      </c>
      <c r="T20" s="48" t="str">
        <f t="shared" si="11"/>
        <v>none</v>
      </c>
      <c r="U20" s="63" t="e">
        <f t="shared" si="12"/>
        <v>#VALUE!</v>
      </c>
      <c r="V20" s="63">
        <f t="shared" si="13"/>
        <v>4</v>
      </c>
      <c r="W20" s="63" t="e">
        <f t="shared" si="14"/>
        <v>#VALUE!</v>
      </c>
      <c r="X20" s="63" t="e">
        <f t="shared" si="15"/>
        <v>#VALUE!</v>
      </c>
      <c r="Y20" s="63" t="str">
        <f>IFERROR(VLOOKUP(MID(T20,W20,X20-W20),[6]skilldef!$C:$D,2,FALSE),"-") &amp; " / " &amp; IFERROR(VLOOKUP(MID(T20,U20,V20-U20),[6]skilldef!$A:$B,2,FALSE),"-")</f>
        <v>- / -</v>
      </c>
      <c r="Z20" s="50"/>
      <c r="AA20" s="52"/>
      <c r="AB20" s="50"/>
    </row>
    <row r="21" spans="1:28" ht="21" customHeight="1" x14ac:dyDescent="0.15">
      <c r="A21" s="47">
        <v>65526019</v>
      </c>
      <c r="B21" s="47" t="s">
        <v>304</v>
      </c>
      <c r="C21" s="50">
        <v>1</v>
      </c>
      <c r="D21" s="50" t="s">
        <v>127</v>
      </c>
      <c r="E21" s="51" t="s">
        <v>277</v>
      </c>
      <c r="F21" s="51" t="s">
        <v>272</v>
      </c>
      <c r="G21" s="63" t="str">
        <f t="shared" si="0"/>
        <v>[effect:nothing]</v>
      </c>
      <c r="H21" s="63">
        <f t="shared" si="1"/>
        <v>9</v>
      </c>
      <c r="I21" s="63">
        <f t="shared" si="2"/>
        <v>16</v>
      </c>
      <c r="J21" s="63" t="e">
        <f t="shared" si="3"/>
        <v>#VALUE!</v>
      </c>
      <c r="K21" s="63" t="e">
        <f t="shared" si="4"/>
        <v>#VALUE!</v>
      </c>
      <c r="L21" s="63" t="str">
        <f>IFERROR(VLOOKUP(MID(G21,J21,K21-J21),[6]skilldef!$C:$D,2,FALSE),"-") &amp; " / " &amp; IFERROR(VLOOKUP(MID(G21,H21,I21-H21),[6]skilldef!$A:$B,2,FALSE),"-")</f>
        <v>- / 何もしない</v>
      </c>
      <c r="M21" s="63" t="str">
        <f t="shared" si="5"/>
        <v>none</v>
      </c>
      <c r="N21" s="48" t="str">
        <f t="shared" si="6"/>
        <v>none</v>
      </c>
      <c r="O21" s="63" t="e">
        <f t="shared" si="7"/>
        <v>#VALUE!</v>
      </c>
      <c r="P21" s="63">
        <f t="shared" si="8"/>
        <v>4</v>
      </c>
      <c r="Q21" s="63" t="e">
        <f t="shared" si="9"/>
        <v>#VALUE!</v>
      </c>
      <c r="R21" s="63" t="e">
        <f t="shared" si="10"/>
        <v>#VALUE!</v>
      </c>
      <c r="S21" s="63" t="str">
        <f>IFERROR(VLOOKUP(MID(N21,Q21,R21-Q21),[6]skilldef!$C:$D,2,FALSE),"-") &amp; " / " &amp; IFERROR(VLOOKUP(MID(N21,O21,P21-O21),[6]skilldef!$A:$B,2,FALSE),"-")</f>
        <v>- / -</v>
      </c>
      <c r="T21" s="48" t="str">
        <f t="shared" si="11"/>
        <v>none</v>
      </c>
      <c r="U21" s="63" t="e">
        <f t="shared" si="12"/>
        <v>#VALUE!</v>
      </c>
      <c r="V21" s="63">
        <f t="shared" si="13"/>
        <v>4</v>
      </c>
      <c r="W21" s="63" t="e">
        <f t="shared" si="14"/>
        <v>#VALUE!</v>
      </c>
      <c r="X21" s="63" t="e">
        <f t="shared" si="15"/>
        <v>#VALUE!</v>
      </c>
      <c r="Y21" s="63" t="str">
        <f>IFERROR(VLOOKUP(MID(T21,W21,X21-W21),[6]skilldef!$C:$D,2,FALSE),"-") &amp; " / " &amp; IFERROR(VLOOKUP(MID(T21,U21,V21-U21),[6]skilldef!$A:$B,2,FALSE),"-")</f>
        <v>- / -</v>
      </c>
      <c r="Z21" s="50"/>
      <c r="AA21" s="52"/>
      <c r="AB21" s="50"/>
    </row>
    <row r="22" spans="1:28" ht="21" customHeight="1" x14ac:dyDescent="0.15">
      <c r="A22" s="47">
        <v>65526020</v>
      </c>
      <c r="B22" s="47" t="s">
        <v>309</v>
      </c>
      <c r="C22" s="50">
        <v>1</v>
      </c>
      <c r="D22" s="50" t="s">
        <v>127</v>
      </c>
      <c r="E22" s="51" t="s">
        <v>282</v>
      </c>
      <c r="F22" s="51" t="s">
        <v>279</v>
      </c>
      <c r="G22" s="63" t="str">
        <f t="shared" si="0"/>
        <v>[effect:tolerance, target:myself, turn:-1, count:-1, tolerance_effect:all, animation:enemy_tolerance]</v>
      </c>
      <c r="H22" s="63">
        <f t="shared" si="1"/>
        <v>9</v>
      </c>
      <c r="I22" s="63">
        <f t="shared" si="2"/>
        <v>18</v>
      </c>
      <c r="J22" s="63">
        <f t="shared" si="3"/>
        <v>27</v>
      </c>
      <c r="K22" s="63">
        <f t="shared" si="4"/>
        <v>33</v>
      </c>
      <c r="L22" s="63" t="str">
        <f>IFERROR(VLOOKUP(MID(G22,J22,K22-J22),[6]skilldef!$C:$D,2,FALSE),"-") &amp; " / " &amp; IFERROR(VLOOKUP(MID(G22,H22,I22-H22),[6]skilldef!$A:$B,2,FALSE),"-")</f>
        <v>自分自身に / 状態異常耐性</v>
      </c>
      <c r="M22" s="63" t="str">
        <f t="shared" si="5"/>
        <v>none</v>
      </c>
      <c r="N22" s="48" t="str">
        <f t="shared" si="6"/>
        <v>none</v>
      </c>
      <c r="O22" s="63" t="e">
        <f t="shared" si="7"/>
        <v>#VALUE!</v>
      </c>
      <c r="P22" s="63">
        <f t="shared" si="8"/>
        <v>4</v>
      </c>
      <c r="Q22" s="63" t="e">
        <f t="shared" si="9"/>
        <v>#VALUE!</v>
      </c>
      <c r="R22" s="63" t="e">
        <f t="shared" si="10"/>
        <v>#VALUE!</v>
      </c>
      <c r="S22" s="63" t="str">
        <f>IFERROR(VLOOKUP(MID(N22,Q22,R22-Q22),[6]skilldef!$C:$D,2,FALSE),"-") &amp; " / " &amp; IFERROR(VLOOKUP(MID(N22,O22,P22-O22),[6]skilldef!$A:$B,2,FALSE),"-")</f>
        <v>- / -</v>
      </c>
      <c r="T22" s="48" t="str">
        <f t="shared" si="11"/>
        <v>none</v>
      </c>
      <c r="U22" s="63" t="e">
        <f t="shared" si="12"/>
        <v>#VALUE!</v>
      </c>
      <c r="V22" s="63">
        <f t="shared" si="13"/>
        <v>4</v>
      </c>
      <c r="W22" s="63" t="e">
        <f t="shared" si="14"/>
        <v>#VALUE!</v>
      </c>
      <c r="X22" s="63" t="e">
        <f t="shared" si="15"/>
        <v>#VALUE!</v>
      </c>
      <c r="Y22" s="63" t="str">
        <f>IFERROR(VLOOKUP(MID(T22,W22,X22-W22),[6]skilldef!$C:$D,2,FALSE),"-") &amp; " / " &amp; IFERROR(VLOOKUP(MID(T22,U22,V22-U22),[6]skilldef!$A:$B,2,FALSE),"-")</f>
        <v>- / -</v>
      </c>
      <c r="Z22" s="50"/>
      <c r="AA22" s="52"/>
      <c r="AB22" s="50"/>
    </row>
    <row r="23" spans="1:28" ht="21" customHeight="1" x14ac:dyDescent="0.15">
      <c r="A23" s="47">
        <v>65526021</v>
      </c>
      <c r="B23" s="47" t="s">
        <v>269</v>
      </c>
      <c r="C23" s="50">
        <v>1</v>
      </c>
      <c r="D23" s="50" t="s">
        <v>127</v>
      </c>
      <c r="E23" s="51" t="s">
        <v>282</v>
      </c>
      <c r="F23" s="51" t="s">
        <v>280</v>
      </c>
      <c r="G23" s="63" t="str">
        <f t="shared" si="0"/>
        <v>[effect:rush, count:5, val:0.1]</v>
      </c>
      <c r="H23" s="63">
        <f t="shared" si="1"/>
        <v>9</v>
      </c>
      <c r="I23" s="63">
        <f t="shared" si="2"/>
        <v>13</v>
      </c>
      <c r="J23" s="63" t="e">
        <f t="shared" si="3"/>
        <v>#VALUE!</v>
      </c>
      <c r="K23" s="63">
        <f t="shared" si="4"/>
        <v>22</v>
      </c>
      <c r="L23" s="63" t="str">
        <f>IFERROR(VLOOKUP(MID(G23,J23,K23-J23),[6]skilldef!$C:$D,2,FALSE),"-") &amp; " / " &amp; IFERROR(VLOOKUP(MID(G23,H23,I23-H23),[6]skilldef!$A:$B,2,FALSE),"-")</f>
        <v>- / 連続攻撃</v>
      </c>
      <c r="M23" s="63" t="str">
        <f t="shared" si="5"/>
        <v>none</v>
      </c>
      <c r="N23" s="48" t="str">
        <f t="shared" si="6"/>
        <v>none</v>
      </c>
      <c r="O23" s="63" t="e">
        <f t="shared" si="7"/>
        <v>#VALUE!</v>
      </c>
      <c r="P23" s="63">
        <f t="shared" si="8"/>
        <v>4</v>
      </c>
      <c r="Q23" s="63" t="e">
        <f t="shared" si="9"/>
        <v>#VALUE!</v>
      </c>
      <c r="R23" s="63" t="e">
        <f t="shared" si="10"/>
        <v>#VALUE!</v>
      </c>
      <c r="S23" s="63" t="str">
        <f>IFERROR(VLOOKUP(MID(N23,Q23,R23-Q23),[6]skilldef!$C:$D,2,FALSE),"-") &amp; " / " &amp; IFERROR(VLOOKUP(MID(N23,O23,P23-O23),[6]skilldef!$A:$B,2,FALSE),"-")</f>
        <v>- / -</v>
      </c>
      <c r="T23" s="48" t="str">
        <f t="shared" si="11"/>
        <v>none</v>
      </c>
      <c r="U23" s="63" t="e">
        <f t="shared" si="12"/>
        <v>#VALUE!</v>
      </c>
      <c r="V23" s="63">
        <f t="shared" si="13"/>
        <v>4</v>
      </c>
      <c r="W23" s="63" t="e">
        <f t="shared" si="14"/>
        <v>#VALUE!</v>
      </c>
      <c r="X23" s="63" t="e">
        <f t="shared" si="15"/>
        <v>#VALUE!</v>
      </c>
      <c r="Y23" s="63" t="str">
        <f>IFERROR(VLOOKUP(MID(T23,W23,X23-W23),[6]skilldef!$C:$D,2,FALSE),"-") &amp; " / " &amp; IFERROR(VLOOKUP(MID(T23,U23,V23-U23),[6]skilldef!$A:$B,2,FALSE),"-")</f>
        <v>- / -</v>
      </c>
      <c r="Z23" s="50"/>
      <c r="AA23" s="52"/>
      <c r="AB23" s="50"/>
    </row>
    <row r="24" spans="1:28" ht="21" customHeight="1" x14ac:dyDescent="0.15">
      <c r="A24" s="47">
        <v>65526022</v>
      </c>
      <c r="B24" s="47" t="s">
        <v>307</v>
      </c>
      <c r="C24" s="50">
        <v>1</v>
      </c>
      <c r="D24" s="50" t="s">
        <v>127</v>
      </c>
      <c r="E24" s="51" t="s">
        <v>282</v>
      </c>
      <c r="F24" s="51" t="s">
        <v>281</v>
      </c>
      <c r="G24" s="63" t="str">
        <f t="shared" si="0"/>
        <v>[effect:force_change_block, new_block:block_heart, target:block_all, ignore01:crash, ignore02:crack_bomb, ignore03:damage, ignore04:time_bomb, ignore05:color_break, count:5, val:0, animation:change_block]</v>
      </c>
      <c r="H24" s="63">
        <f t="shared" si="1"/>
        <v>9</v>
      </c>
      <c r="I24" s="63">
        <f t="shared" si="2"/>
        <v>27</v>
      </c>
      <c r="J24" s="63">
        <f t="shared" si="3"/>
        <v>59</v>
      </c>
      <c r="K24" s="63">
        <f t="shared" si="4"/>
        <v>50</v>
      </c>
      <c r="L24" s="63" t="str">
        <f>IFERROR(VLOOKUP(MID(G24,J24,K24-J24),[6]skilldef!$C:$D,2,FALSE),"-") &amp; " / " &amp; IFERROR(VLOOKUP(MID(G24,H24,I24-H24),[6]skilldef!$A:$B,2,FALSE),"-")</f>
        <v>- / -</v>
      </c>
      <c r="M24" s="63" t="str">
        <f t="shared" si="5"/>
        <v>none</v>
      </c>
      <c r="N24" s="48" t="str">
        <f t="shared" si="6"/>
        <v>none</v>
      </c>
      <c r="O24" s="63" t="e">
        <f t="shared" si="7"/>
        <v>#VALUE!</v>
      </c>
      <c r="P24" s="63">
        <f t="shared" si="8"/>
        <v>4</v>
      </c>
      <c r="Q24" s="63" t="e">
        <f t="shared" si="9"/>
        <v>#VALUE!</v>
      </c>
      <c r="R24" s="63" t="e">
        <f t="shared" si="10"/>
        <v>#VALUE!</v>
      </c>
      <c r="S24" s="63" t="str">
        <f>IFERROR(VLOOKUP(MID(N24,Q24,R24-Q24),[6]skilldef!$C:$D,2,FALSE),"-") &amp; " / " &amp; IFERROR(VLOOKUP(MID(N24,O24,P24-O24),[6]skilldef!$A:$B,2,FALSE),"-")</f>
        <v>- / -</v>
      </c>
      <c r="T24" s="48" t="str">
        <f t="shared" si="11"/>
        <v>none</v>
      </c>
      <c r="U24" s="63" t="e">
        <f t="shared" si="12"/>
        <v>#VALUE!</v>
      </c>
      <c r="V24" s="63">
        <f t="shared" si="13"/>
        <v>4</v>
      </c>
      <c r="W24" s="63" t="e">
        <f t="shared" si="14"/>
        <v>#VALUE!</v>
      </c>
      <c r="X24" s="63" t="e">
        <f t="shared" si="15"/>
        <v>#VALUE!</v>
      </c>
      <c r="Y24" s="63" t="str">
        <f>IFERROR(VLOOKUP(MID(T24,W24,X24-W24),[6]skilldef!$C:$D,2,FALSE),"-") &amp; " / " &amp; IFERROR(VLOOKUP(MID(T24,U24,V24-U24),[6]skilldef!$A:$B,2,FALSE),"-")</f>
        <v>- / -</v>
      </c>
      <c r="Z24" s="50"/>
      <c r="AA24" s="52"/>
      <c r="AB24" s="50"/>
    </row>
    <row r="25" spans="1:28" ht="21" customHeight="1" x14ac:dyDescent="0.15">
      <c r="A25" s="47">
        <v>65526023</v>
      </c>
      <c r="B25" s="47" t="s">
        <v>311</v>
      </c>
      <c r="C25" s="50">
        <v>1</v>
      </c>
      <c r="D25" s="50" t="s">
        <v>127</v>
      </c>
      <c r="E25" s="51" t="s">
        <v>282</v>
      </c>
      <c r="F25" s="51" t="s">
        <v>278</v>
      </c>
      <c r="G25" s="63" t="str">
        <f t="shared" si="0"/>
        <v>[effect:break_attack, target:unit_one, val:0.2, lowest_val:0, count:-1, color:yellow, block_color:block_heart, block01:block_all, ignore01:crack_bomb, ignore02:color_break]</v>
      </c>
      <c r="H25" s="63">
        <f t="shared" si="1"/>
        <v>9</v>
      </c>
      <c r="I25" s="63">
        <f t="shared" si="2"/>
        <v>21</v>
      </c>
      <c r="J25" s="63">
        <f t="shared" si="3"/>
        <v>30</v>
      </c>
      <c r="K25" s="63">
        <f t="shared" si="4"/>
        <v>38</v>
      </c>
      <c r="L25" s="63" t="str">
        <f>IFERROR(VLOOKUP(MID(G25,J25,K25-J25),[6]skilldef!$C:$D,2,FALSE),"-") &amp; " / " &amp; IFERROR(VLOOKUP(MID(G25,H25,I25-H25),[6]skilldef!$A:$B,2,FALSE),"-")</f>
        <v>味方単体に / -</v>
      </c>
      <c r="M25" s="63" t="str">
        <f t="shared" si="5"/>
        <v>none</v>
      </c>
      <c r="N25" s="48" t="str">
        <f t="shared" si="6"/>
        <v>none</v>
      </c>
      <c r="O25" s="63" t="e">
        <f t="shared" si="7"/>
        <v>#VALUE!</v>
      </c>
      <c r="P25" s="63">
        <f t="shared" si="8"/>
        <v>4</v>
      </c>
      <c r="Q25" s="63" t="e">
        <f t="shared" si="9"/>
        <v>#VALUE!</v>
      </c>
      <c r="R25" s="63" t="e">
        <f t="shared" si="10"/>
        <v>#VALUE!</v>
      </c>
      <c r="S25" s="63" t="str">
        <f>IFERROR(VLOOKUP(MID(N25,Q25,R25-Q25),[6]skilldef!$C:$D,2,FALSE),"-") &amp; " / " &amp; IFERROR(VLOOKUP(MID(N25,O25,P25-O25),[6]skilldef!$A:$B,2,FALSE),"-")</f>
        <v>- / -</v>
      </c>
      <c r="T25" s="48" t="str">
        <f t="shared" si="11"/>
        <v>none</v>
      </c>
      <c r="U25" s="63" t="e">
        <f t="shared" si="12"/>
        <v>#VALUE!</v>
      </c>
      <c r="V25" s="63">
        <f t="shared" si="13"/>
        <v>4</v>
      </c>
      <c r="W25" s="63" t="e">
        <f t="shared" si="14"/>
        <v>#VALUE!</v>
      </c>
      <c r="X25" s="63" t="e">
        <f t="shared" si="15"/>
        <v>#VALUE!</v>
      </c>
      <c r="Y25" s="63" t="str">
        <f>IFERROR(VLOOKUP(MID(T25,W25,X25-W25),[6]skilldef!$C:$D,2,FALSE),"-") &amp; " / " &amp; IFERROR(VLOOKUP(MID(T25,U25,V25-U25),[6]skilldef!$A:$B,2,FALSE),"-")</f>
        <v>- / -</v>
      </c>
      <c r="Z25" s="50"/>
      <c r="AA25" s="52"/>
      <c r="AB25" s="50"/>
    </row>
    <row r="26" spans="1:28" ht="21" customHeight="1" x14ac:dyDescent="0.15">
      <c r="A26" s="47">
        <v>65526024</v>
      </c>
      <c r="B26" s="47" t="s">
        <v>304</v>
      </c>
      <c r="C26" s="50">
        <v>1</v>
      </c>
      <c r="D26" s="50" t="s">
        <v>127</v>
      </c>
      <c r="E26" s="51" t="s">
        <v>282</v>
      </c>
      <c r="F26" s="51" t="s">
        <v>272</v>
      </c>
      <c r="G26" s="63" t="str">
        <f t="shared" si="0"/>
        <v>[effect:nothing]</v>
      </c>
      <c r="H26" s="63">
        <f t="shared" si="1"/>
        <v>9</v>
      </c>
      <c r="I26" s="63">
        <f t="shared" si="2"/>
        <v>16</v>
      </c>
      <c r="J26" s="63" t="e">
        <f t="shared" si="3"/>
        <v>#VALUE!</v>
      </c>
      <c r="K26" s="63" t="e">
        <f t="shared" si="4"/>
        <v>#VALUE!</v>
      </c>
      <c r="L26" s="63" t="str">
        <f>IFERROR(VLOOKUP(MID(G26,J26,K26-J26),[6]skilldef!$C:$D,2,FALSE),"-") &amp; " / " &amp; IFERROR(VLOOKUP(MID(G26,H26,I26-H26),[6]skilldef!$A:$B,2,FALSE),"-")</f>
        <v>- / 何もしない</v>
      </c>
      <c r="M26" s="63" t="str">
        <f t="shared" si="5"/>
        <v>none</v>
      </c>
      <c r="N26" s="48" t="str">
        <f t="shared" si="6"/>
        <v>none</v>
      </c>
      <c r="O26" s="63" t="e">
        <f t="shared" si="7"/>
        <v>#VALUE!</v>
      </c>
      <c r="P26" s="63">
        <f t="shared" si="8"/>
        <v>4</v>
      </c>
      <c r="Q26" s="63" t="e">
        <f t="shared" si="9"/>
        <v>#VALUE!</v>
      </c>
      <c r="R26" s="63" t="e">
        <f t="shared" si="10"/>
        <v>#VALUE!</v>
      </c>
      <c r="S26" s="63" t="str">
        <f>IFERROR(VLOOKUP(MID(N26,Q26,R26-Q26),[6]skilldef!$C:$D,2,FALSE),"-") &amp; " / " &amp; IFERROR(VLOOKUP(MID(N26,O26,P26-O26),[6]skilldef!$A:$B,2,FALSE),"-")</f>
        <v>- / -</v>
      </c>
      <c r="T26" s="48" t="str">
        <f t="shared" si="11"/>
        <v>none</v>
      </c>
      <c r="U26" s="63" t="e">
        <f t="shared" si="12"/>
        <v>#VALUE!</v>
      </c>
      <c r="V26" s="63">
        <f t="shared" si="13"/>
        <v>4</v>
      </c>
      <c r="W26" s="63" t="e">
        <f t="shared" si="14"/>
        <v>#VALUE!</v>
      </c>
      <c r="X26" s="63" t="e">
        <f t="shared" si="15"/>
        <v>#VALUE!</v>
      </c>
      <c r="Y26" s="63" t="str">
        <f>IFERROR(VLOOKUP(MID(T26,W26,X26-W26),[6]skilldef!$C:$D,2,FALSE),"-") &amp; " / " &amp; IFERROR(VLOOKUP(MID(T26,U26,V26-U26),[6]skilldef!$A:$B,2,FALSE),"-")</f>
        <v>- / -</v>
      </c>
      <c r="Z26" s="50"/>
      <c r="AA26" s="52"/>
      <c r="AB26" s="50"/>
    </row>
    <row r="27" spans="1:28" ht="21" customHeight="1" x14ac:dyDescent="0.15">
      <c r="A27" s="47">
        <v>65526025</v>
      </c>
      <c r="B27" s="47" t="s">
        <v>309</v>
      </c>
      <c r="C27" s="50">
        <v>1</v>
      </c>
      <c r="D27" s="50" t="s">
        <v>127</v>
      </c>
      <c r="E27" s="51" t="s">
        <v>283</v>
      </c>
      <c r="F27" s="51" t="s">
        <v>279</v>
      </c>
      <c r="G27" s="63" t="str">
        <f t="shared" si="0"/>
        <v>[effect:tolerance, target:myself, turn:-1, count:-1, tolerance_effect:all, animation:enemy_tolerance]</v>
      </c>
      <c r="H27" s="63">
        <f t="shared" si="1"/>
        <v>9</v>
      </c>
      <c r="I27" s="63">
        <f t="shared" si="2"/>
        <v>18</v>
      </c>
      <c r="J27" s="63">
        <f t="shared" si="3"/>
        <v>27</v>
      </c>
      <c r="K27" s="63">
        <f t="shared" si="4"/>
        <v>33</v>
      </c>
      <c r="L27" s="63" t="str">
        <f>IFERROR(VLOOKUP(MID(G27,J27,K27-J27),[6]skilldef!$C:$D,2,FALSE),"-") &amp; " / " &amp; IFERROR(VLOOKUP(MID(G27,H27,I27-H27),[6]skilldef!$A:$B,2,FALSE),"-")</f>
        <v>自分自身に / 状態異常耐性</v>
      </c>
      <c r="M27" s="63" t="str">
        <f t="shared" si="5"/>
        <v>none</v>
      </c>
      <c r="N27" s="48" t="str">
        <f t="shared" si="6"/>
        <v>none</v>
      </c>
      <c r="O27" s="63" t="e">
        <f t="shared" si="7"/>
        <v>#VALUE!</v>
      </c>
      <c r="P27" s="63">
        <f t="shared" si="8"/>
        <v>4</v>
      </c>
      <c r="Q27" s="63" t="e">
        <f t="shared" si="9"/>
        <v>#VALUE!</v>
      </c>
      <c r="R27" s="63" t="e">
        <f t="shared" si="10"/>
        <v>#VALUE!</v>
      </c>
      <c r="S27" s="63" t="str">
        <f>IFERROR(VLOOKUP(MID(N27,Q27,R27-Q27),[6]skilldef!$C:$D,2,FALSE),"-") &amp; " / " &amp; IFERROR(VLOOKUP(MID(N27,O27,P27-O27),[6]skilldef!$A:$B,2,FALSE),"-")</f>
        <v>- / -</v>
      </c>
      <c r="T27" s="48" t="str">
        <f t="shared" si="11"/>
        <v>none</v>
      </c>
      <c r="U27" s="63" t="e">
        <f t="shared" si="12"/>
        <v>#VALUE!</v>
      </c>
      <c r="V27" s="63">
        <f t="shared" si="13"/>
        <v>4</v>
      </c>
      <c r="W27" s="63" t="e">
        <f t="shared" si="14"/>
        <v>#VALUE!</v>
      </c>
      <c r="X27" s="63" t="e">
        <f t="shared" si="15"/>
        <v>#VALUE!</v>
      </c>
      <c r="Y27" s="63" t="str">
        <f>IFERROR(VLOOKUP(MID(T27,W27,X27-W27),[6]skilldef!$C:$D,2,FALSE),"-") &amp; " / " &amp; IFERROR(VLOOKUP(MID(T27,U27,V27-U27),[6]skilldef!$A:$B,2,FALSE),"-")</f>
        <v>- / -</v>
      </c>
      <c r="Z27" s="50"/>
      <c r="AA27" s="52"/>
      <c r="AB27" s="50"/>
    </row>
    <row r="28" spans="1:28" ht="21" customHeight="1" x14ac:dyDescent="0.15">
      <c r="A28" s="47">
        <v>65526026</v>
      </c>
      <c r="B28" s="47" t="s">
        <v>269</v>
      </c>
      <c r="C28" s="50">
        <v>1</v>
      </c>
      <c r="D28" s="50" t="s">
        <v>127</v>
      </c>
      <c r="E28" s="51" t="s">
        <v>283</v>
      </c>
      <c r="F28" s="51" t="s">
        <v>280</v>
      </c>
      <c r="G28" s="63" t="str">
        <f t="shared" si="0"/>
        <v>[effect:rush, count:5, val:0.1]</v>
      </c>
      <c r="H28" s="63">
        <f t="shared" si="1"/>
        <v>9</v>
      </c>
      <c r="I28" s="63">
        <f t="shared" si="2"/>
        <v>13</v>
      </c>
      <c r="J28" s="63" t="e">
        <f t="shared" si="3"/>
        <v>#VALUE!</v>
      </c>
      <c r="K28" s="63">
        <f t="shared" si="4"/>
        <v>22</v>
      </c>
      <c r="L28" s="63" t="str">
        <f>IFERROR(VLOOKUP(MID(G28,J28,K28-J28),[6]skilldef!$C:$D,2,FALSE),"-") &amp; " / " &amp; IFERROR(VLOOKUP(MID(G28,H28,I28-H28),[6]skilldef!$A:$B,2,FALSE),"-")</f>
        <v>- / 連続攻撃</v>
      </c>
      <c r="M28" s="63" t="str">
        <f t="shared" si="5"/>
        <v>none</v>
      </c>
      <c r="N28" s="48" t="str">
        <f t="shared" si="6"/>
        <v>none</v>
      </c>
      <c r="O28" s="63" t="e">
        <f t="shared" si="7"/>
        <v>#VALUE!</v>
      </c>
      <c r="P28" s="63">
        <f t="shared" si="8"/>
        <v>4</v>
      </c>
      <c r="Q28" s="63" t="e">
        <f t="shared" si="9"/>
        <v>#VALUE!</v>
      </c>
      <c r="R28" s="63" t="e">
        <f t="shared" si="10"/>
        <v>#VALUE!</v>
      </c>
      <c r="S28" s="63" t="str">
        <f>IFERROR(VLOOKUP(MID(N28,Q28,R28-Q28),[6]skilldef!$C:$D,2,FALSE),"-") &amp; " / " &amp; IFERROR(VLOOKUP(MID(N28,O28,P28-O28),[6]skilldef!$A:$B,2,FALSE),"-")</f>
        <v>- / -</v>
      </c>
      <c r="T28" s="48" t="str">
        <f t="shared" si="11"/>
        <v>none</v>
      </c>
      <c r="U28" s="63" t="e">
        <f t="shared" si="12"/>
        <v>#VALUE!</v>
      </c>
      <c r="V28" s="63">
        <f t="shared" si="13"/>
        <v>4</v>
      </c>
      <c r="W28" s="63" t="e">
        <f t="shared" si="14"/>
        <v>#VALUE!</v>
      </c>
      <c r="X28" s="63" t="e">
        <f t="shared" si="15"/>
        <v>#VALUE!</v>
      </c>
      <c r="Y28" s="63" t="str">
        <f>IFERROR(VLOOKUP(MID(T28,W28,X28-W28),[6]skilldef!$C:$D,2,FALSE),"-") &amp; " / " &amp; IFERROR(VLOOKUP(MID(T28,U28,V28-U28),[6]skilldef!$A:$B,2,FALSE),"-")</f>
        <v>- / -</v>
      </c>
      <c r="Z28" s="50"/>
      <c r="AA28" s="52"/>
      <c r="AB28" s="50"/>
    </row>
    <row r="29" spans="1:28" ht="21" customHeight="1" x14ac:dyDescent="0.15">
      <c r="A29" s="47">
        <v>65526027</v>
      </c>
      <c r="B29" s="47" t="s">
        <v>307</v>
      </c>
      <c r="C29" s="50">
        <v>1</v>
      </c>
      <c r="D29" s="50" t="s">
        <v>127</v>
      </c>
      <c r="E29" s="51" t="s">
        <v>283</v>
      </c>
      <c r="F29" s="51" t="s">
        <v>281</v>
      </c>
      <c r="G29" s="63" t="str">
        <f t="shared" si="0"/>
        <v>[effect:force_change_block, new_block:block_heart, target:block_all, ignore01:crash, ignore02:crack_bomb, ignore03:damage, ignore04:time_bomb, ignore05:color_break, count:5, val:0, animation:change_block]</v>
      </c>
      <c r="H29" s="63">
        <f t="shared" si="1"/>
        <v>9</v>
      </c>
      <c r="I29" s="63">
        <f t="shared" si="2"/>
        <v>27</v>
      </c>
      <c r="J29" s="63">
        <f t="shared" si="3"/>
        <v>59</v>
      </c>
      <c r="K29" s="63">
        <f t="shared" si="4"/>
        <v>50</v>
      </c>
      <c r="L29" s="63" t="str">
        <f>IFERROR(VLOOKUP(MID(G29,J29,K29-J29),[6]skilldef!$C:$D,2,FALSE),"-") &amp; " / " &amp; IFERROR(VLOOKUP(MID(G29,H29,I29-H29),[6]skilldef!$A:$B,2,FALSE),"-")</f>
        <v>- / -</v>
      </c>
      <c r="M29" s="63" t="str">
        <f t="shared" si="5"/>
        <v>none</v>
      </c>
      <c r="N29" s="48" t="str">
        <f t="shared" si="6"/>
        <v>none</v>
      </c>
      <c r="O29" s="63" t="e">
        <f t="shared" si="7"/>
        <v>#VALUE!</v>
      </c>
      <c r="P29" s="63">
        <f t="shared" si="8"/>
        <v>4</v>
      </c>
      <c r="Q29" s="63" t="e">
        <f t="shared" si="9"/>
        <v>#VALUE!</v>
      </c>
      <c r="R29" s="63" t="e">
        <f t="shared" si="10"/>
        <v>#VALUE!</v>
      </c>
      <c r="S29" s="63" t="str">
        <f>IFERROR(VLOOKUP(MID(N29,Q29,R29-Q29),[6]skilldef!$C:$D,2,FALSE),"-") &amp; " / " &amp; IFERROR(VLOOKUP(MID(N29,O29,P29-O29),[6]skilldef!$A:$B,2,FALSE),"-")</f>
        <v>- / -</v>
      </c>
      <c r="T29" s="48" t="str">
        <f t="shared" si="11"/>
        <v>none</v>
      </c>
      <c r="U29" s="63" t="e">
        <f t="shared" si="12"/>
        <v>#VALUE!</v>
      </c>
      <c r="V29" s="63">
        <f t="shared" si="13"/>
        <v>4</v>
      </c>
      <c r="W29" s="63" t="e">
        <f t="shared" si="14"/>
        <v>#VALUE!</v>
      </c>
      <c r="X29" s="63" t="e">
        <f t="shared" si="15"/>
        <v>#VALUE!</v>
      </c>
      <c r="Y29" s="63" t="str">
        <f>IFERROR(VLOOKUP(MID(T29,W29,X29-W29),[6]skilldef!$C:$D,2,FALSE),"-") &amp; " / " &amp; IFERROR(VLOOKUP(MID(T29,U29,V29-U29),[6]skilldef!$A:$B,2,FALSE),"-")</f>
        <v>- / -</v>
      </c>
      <c r="Z29" s="50"/>
      <c r="AA29" s="52"/>
      <c r="AB29" s="50"/>
    </row>
    <row r="30" spans="1:28" ht="21" customHeight="1" x14ac:dyDescent="0.15">
      <c r="A30" s="47">
        <v>65526028</v>
      </c>
      <c r="B30" s="47" t="s">
        <v>312</v>
      </c>
      <c r="C30" s="50">
        <v>1</v>
      </c>
      <c r="D30" s="50" t="s">
        <v>127</v>
      </c>
      <c r="E30" s="51" t="s">
        <v>283</v>
      </c>
      <c r="F30" s="51" t="s">
        <v>284</v>
      </c>
      <c r="G30" s="63" t="str">
        <f t="shared" si="0"/>
        <v>[effect:force_change_block, new_block:jammer, target:block_all, ignore01:crash, ignore02:crack_bomb, ignore03:damage, ignore04:time_bomb, ignore05:color_break, count:5, val:0, animation:change_block]</v>
      </c>
      <c r="H30" s="63">
        <f t="shared" si="1"/>
        <v>9</v>
      </c>
      <c r="I30" s="63">
        <f t="shared" si="2"/>
        <v>27</v>
      </c>
      <c r="J30" s="63">
        <f t="shared" si="3"/>
        <v>54</v>
      </c>
      <c r="K30" s="63">
        <f t="shared" si="4"/>
        <v>45</v>
      </c>
      <c r="L30" s="63" t="str">
        <f>IFERROR(VLOOKUP(MID(G30,J30,K30-J30),[6]skilldef!$C:$D,2,FALSE),"-") &amp; " / " &amp; IFERROR(VLOOKUP(MID(G30,H30,I30-H30),[6]skilldef!$A:$B,2,FALSE),"-")</f>
        <v>- / -</v>
      </c>
      <c r="M30" s="63" t="str">
        <f t="shared" si="5"/>
        <v>none</v>
      </c>
      <c r="N30" s="48" t="str">
        <f t="shared" si="6"/>
        <v>none</v>
      </c>
      <c r="O30" s="63" t="e">
        <f t="shared" si="7"/>
        <v>#VALUE!</v>
      </c>
      <c r="P30" s="63">
        <f t="shared" si="8"/>
        <v>4</v>
      </c>
      <c r="Q30" s="63" t="e">
        <f t="shared" si="9"/>
        <v>#VALUE!</v>
      </c>
      <c r="R30" s="63" t="e">
        <f t="shared" si="10"/>
        <v>#VALUE!</v>
      </c>
      <c r="S30" s="63" t="str">
        <f>IFERROR(VLOOKUP(MID(N30,Q30,R30-Q30),[6]skilldef!$C:$D,2,FALSE),"-") &amp; " / " &amp; IFERROR(VLOOKUP(MID(N30,O30,P30-O30),[6]skilldef!$A:$B,2,FALSE),"-")</f>
        <v>- / -</v>
      </c>
      <c r="T30" s="48" t="str">
        <f t="shared" si="11"/>
        <v>none</v>
      </c>
      <c r="U30" s="63" t="e">
        <f t="shared" si="12"/>
        <v>#VALUE!</v>
      </c>
      <c r="V30" s="63">
        <f t="shared" si="13"/>
        <v>4</v>
      </c>
      <c r="W30" s="63" t="e">
        <f t="shared" si="14"/>
        <v>#VALUE!</v>
      </c>
      <c r="X30" s="63" t="e">
        <f t="shared" si="15"/>
        <v>#VALUE!</v>
      </c>
      <c r="Y30" s="63" t="str">
        <f>IFERROR(VLOOKUP(MID(T30,W30,X30-W30),[6]skilldef!$C:$D,2,FALSE),"-") &amp; " / " &amp; IFERROR(VLOOKUP(MID(T30,U30,V30-U30),[6]skilldef!$A:$B,2,FALSE),"-")</f>
        <v>- / -</v>
      </c>
      <c r="Z30" s="50"/>
      <c r="AA30" s="52"/>
      <c r="AB30" s="50"/>
    </row>
    <row r="31" spans="1:28" ht="21" customHeight="1" x14ac:dyDescent="0.15">
      <c r="A31" s="47">
        <v>65526029</v>
      </c>
      <c r="B31" s="47" t="s">
        <v>310</v>
      </c>
      <c r="C31" s="50">
        <v>1</v>
      </c>
      <c r="D31" s="50" t="s">
        <v>127</v>
      </c>
      <c r="E31" s="51" t="s">
        <v>283</v>
      </c>
      <c r="F31" s="51" t="s">
        <v>285</v>
      </c>
      <c r="G31" s="63" t="str">
        <f t="shared" si="0"/>
        <v>[effect:break_attack, target:unit_one, val:0.2, lowest_val:0, count:-1, color:yellow, block_color:block_heart, block01:block_all, block02:jammer, ignore01:crack_bomb, ignore02:color_break]</v>
      </c>
      <c r="H31" s="63">
        <f t="shared" si="1"/>
        <v>9</v>
      </c>
      <c r="I31" s="63">
        <f t="shared" si="2"/>
        <v>21</v>
      </c>
      <c r="J31" s="63">
        <f t="shared" si="3"/>
        <v>30</v>
      </c>
      <c r="K31" s="63">
        <f t="shared" si="4"/>
        <v>38</v>
      </c>
      <c r="L31" s="63" t="str">
        <f>IFERROR(VLOOKUP(MID(G31,J31,K31-J31),[6]skilldef!$C:$D,2,FALSE),"-") &amp; " / " &amp; IFERROR(VLOOKUP(MID(G31,H31,I31-H31),[6]skilldef!$A:$B,2,FALSE),"-")</f>
        <v>味方単体に / -</v>
      </c>
      <c r="M31" s="63" t="str">
        <f t="shared" si="5"/>
        <v>none</v>
      </c>
      <c r="N31" s="48" t="str">
        <f t="shared" si="6"/>
        <v>none</v>
      </c>
      <c r="O31" s="63" t="e">
        <f t="shared" si="7"/>
        <v>#VALUE!</v>
      </c>
      <c r="P31" s="63">
        <f t="shared" si="8"/>
        <v>4</v>
      </c>
      <c r="Q31" s="63" t="e">
        <f t="shared" si="9"/>
        <v>#VALUE!</v>
      </c>
      <c r="R31" s="63" t="e">
        <f t="shared" si="10"/>
        <v>#VALUE!</v>
      </c>
      <c r="S31" s="63" t="str">
        <f>IFERROR(VLOOKUP(MID(N31,Q31,R31-Q31),[6]skilldef!$C:$D,2,FALSE),"-") &amp; " / " &amp; IFERROR(VLOOKUP(MID(N31,O31,P31-O31),[6]skilldef!$A:$B,2,FALSE),"-")</f>
        <v>- / -</v>
      </c>
      <c r="T31" s="48" t="str">
        <f t="shared" si="11"/>
        <v>none</v>
      </c>
      <c r="U31" s="63" t="e">
        <f t="shared" si="12"/>
        <v>#VALUE!</v>
      </c>
      <c r="V31" s="63">
        <f t="shared" si="13"/>
        <v>4</v>
      </c>
      <c r="W31" s="63" t="e">
        <f t="shared" si="14"/>
        <v>#VALUE!</v>
      </c>
      <c r="X31" s="63" t="e">
        <f t="shared" si="15"/>
        <v>#VALUE!</v>
      </c>
      <c r="Y31" s="63" t="str">
        <f>IFERROR(VLOOKUP(MID(T31,W31,X31-W31),[6]skilldef!$C:$D,2,FALSE),"-") &amp; " / " &amp; IFERROR(VLOOKUP(MID(T31,U31,V31-U31),[6]skilldef!$A:$B,2,FALSE),"-")</f>
        <v>- / -</v>
      </c>
      <c r="Z31" s="50"/>
      <c r="AA31" s="52"/>
      <c r="AB31" s="50"/>
    </row>
    <row r="32" spans="1:28" ht="21" customHeight="1" x14ac:dyDescent="0.15">
      <c r="A32" s="47">
        <v>65526030</v>
      </c>
      <c r="B32" s="47" t="s">
        <v>320</v>
      </c>
      <c r="C32" s="50">
        <v>1</v>
      </c>
      <c r="D32" s="50" t="s">
        <v>127</v>
      </c>
      <c r="E32" s="51" t="s">
        <v>286</v>
      </c>
      <c r="F32" s="51" t="s">
        <v>287</v>
      </c>
      <c r="G32" s="63" t="str">
        <f t="shared" si="0"/>
        <v>[effect:change_panel_ratio, turn:5, block_type:green, val:0.05, animation:block_incidence04]</v>
      </c>
      <c r="H32" s="63">
        <f t="shared" si="1"/>
        <v>9</v>
      </c>
      <c r="I32" s="63">
        <f t="shared" si="2"/>
        <v>27</v>
      </c>
      <c r="J32" s="63" t="e">
        <f t="shared" si="3"/>
        <v>#VALUE!</v>
      </c>
      <c r="K32" s="63">
        <f t="shared" si="4"/>
        <v>35</v>
      </c>
      <c r="L32" s="63" t="str">
        <f>IFERROR(VLOOKUP(MID(G32,J32,K32-J32),[6]skilldef!$C:$D,2,FALSE),"-") &amp; " / " &amp; IFERROR(VLOOKUP(MID(G32,H32,I32-H32),[6]skilldef!$A:$B,2,FALSE),"-")</f>
        <v>- / -</v>
      </c>
      <c r="M32" s="63" t="str">
        <f t="shared" si="5"/>
        <v>none</v>
      </c>
      <c r="N32" s="48" t="str">
        <f t="shared" si="6"/>
        <v>none</v>
      </c>
      <c r="O32" s="63" t="e">
        <f t="shared" si="7"/>
        <v>#VALUE!</v>
      </c>
      <c r="P32" s="63">
        <f t="shared" si="8"/>
        <v>4</v>
      </c>
      <c r="Q32" s="63" t="e">
        <f t="shared" si="9"/>
        <v>#VALUE!</v>
      </c>
      <c r="R32" s="63" t="e">
        <f t="shared" si="10"/>
        <v>#VALUE!</v>
      </c>
      <c r="S32" s="63" t="str">
        <f>IFERROR(VLOOKUP(MID(N32,Q32,R32-Q32),[6]skilldef!$C:$D,2,FALSE),"-") &amp; " / " &amp; IFERROR(VLOOKUP(MID(N32,O32,P32-O32),[6]skilldef!$A:$B,2,FALSE),"-")</f>
        <v>- / -</v>
      </c>
      <c r="T32" s="48" t="str">
        <f t="shared" si="11"/>
        <v>none</v>
      </c>
      <c r="U32" s="63" t="e">
        <f t="shared" si="12"/>
        <v>#VALUE!</v>
      </c>
      <c r="V32" s="63">
        <f t="shared" si="13"/>
        <v>4</v>
      </c>
      <c r="W32" s="63" t="e">
        <f t="shared" si="14"/>
        <v>#VALUE!</v>
      </c>
      <c r="X32" s="63" t="e">
        <f t="shared" si="15"/>
        <v>#VALUE!</v>
      </c>
      <c r="Y32" s="63" t="str">
        <f>IFERROR(VLOOKUP(MID(T32,W32,X32-W32),[6]skilldef!$C:$D,2,FALSE),"-") &amp; " / " &amp; IFERROR(VLOOKUP(MID(T32,U32,V32-U32),[6]skilldef!$A:$B,2,FALSE),"-")</f>
        <v>- / -</v>
      </c>
      <c r="Z32" s="50"/>
      <c r="AA32" s="52"/>
      <c r="AB32" s="50"/>
    </row>
    <row r="33" spans="1:28" ht="21" customHeight="1" x14ac:dyDescent="0.15">
      <c r="A33" s="47">
        <v>65526031</v>
      </c>
      <c r="B33" s="47" t="s">
        <v>307</v>
      </c>
      <c r="C33" s="50">
        <v>1</v>
      </c>
      <c r="D33" s="50" t="s">
        <v>127</v>
      </c>
      <c r="E33" s="51" t="s">
        <v>286</v>
      </c>
      <c r="F33" s="51" t="s">
        <v>281</v>
      </c>
      <c r="G33" s="63" t="str">
        <f t="shared" si="0"/>
        <v>[effect:force_change_block, new_block:block_heart, target:block_all, ignore01:crash, ignore02:crack_bomb, ignore03:damage, ignore04:time_bomb, ignore05:color_break, count:5, val:0, animation:change_block]</v>
      </c>
      <c r="H33" s="63">
        <f t="shared" si="1"/>
        <v>9</v>
      </c>
      <c r="I33" s="63">
        <f t="shared" si="2"/>
        <v>27</v>
      </c>
      <c r="J33" s="63">
        <f t="shared" si="3"/>
        <v>59</v>
      </c>
      <c r="K33" s="63">
        <f t="shared" si="4"/>
        <v>50</v>
      </c>
      <c r="L33" s="63" t="str">
        <f>IFERROR(VLOOKUP(MID(G33,J33,K33-J33),[6]skilldef!$C:$D,2,FALSE),"-") &amp; " / " &amp; IFERROR(VLOOKUP(MID(G33,H33,I33-H33),[6]skilldef!$A:$B,2,FALSE),"-")</f>
        <v>- / -</v>
      </c>
      <c r="M33" s="63" t="str">
        <f t="shared" si="5"/>
        <v>none</v>
      </c>
      <c r="N33" s="48" t="str">
        <f t="shared" si="6"/>
        <v>none</v>
      </c>
      <c r="O33" s="63" t="e">
        <f t="shared" si="7"/>
        <v>#VALUE!</v>
      </c>
      <c r="P33" s="63">
        <f t="shared" si="8"/>
        <v>4</v>
      </c>
      <c r="Q33" s="63" t="e">
        <f t="shared" si="9"/>
        <v>#VALUE!</v>
      </c>
      <c r="R33" s="63" t="e">
        <f t="shared" si="10"/>
        <v>#VALUE!</v>
      </c>
      <c r="S33" s="63" t="str">
        <f>IFERROR(VLOOKUP(MID(N33,Q33,R33-Q33),[6]skilldef!$C:$D,2,FALSE),"-") &amp; " / " &amp; IFERROR(VLOOKUP(MID(N33,O33,P33-O33),[6]skilldef!$A:$B,2,FALSE),"-")</f>
        <v>- / -</v>
      </c>
      <c r="T33" s="48" t="str">
        <f t="shared" si="11"/>
        <v>none</v>
      </c>
      <c r="U33" s="63" t="e">
        <f t="shared" si="12"/>
        <v>#VALUE!</v>
      </c>
      <c r="V33" s="63">
        <f t="shared" si="13"/>
        <v>4</v>
      </c>
      <c r="W33" s="63" t="e">
        <f t="shared" si="14"/>
        <v>#VALUE!</v>
      </c>
      <c r="X33" s="63" t="e">
        <f t="shared" si="15"/>
        <v>#VALUE!</v>
      </c>
      <c r="Y33" s="63" t="str">
        <f>IFERROR(VLOOKUP(MID(T33,W33,X33-W33),[6]skilldef!$C:$D,2,FALSE),"-") &amp; " / " &amp; IFERROR(VLOOKUP(MID(T33,U33,V33-U33),[6]skilldef!$A:$B,2,FALSE),"-")</f>
        <v>- / -</v>
      </c>
      <c r="Z33" s="50"/>
      <c r="AA33" s="52"/>
      <c r="AB33" s="50"/>
    </row>
    <row r="34" spans="1:28" ht="21" customHeight="1" x14ac:dyDescent="0.15">
      <c r="A34" s="47">
        <v>65526032</v>
      </c>
      <c r="B34" s="47" t="s">
        <v>313</v>
      </c>
      <c r="C34" s="50">
        <v>1</v>
      </c>
      <c r="D34" s="50" t="s">
        <v>127</v>
      </c>
      <c r="E34" s="51" t="s">
        <v>286</v>
      </c>
      <c r="F34" s="51" t="s">
        <v>288</v>
      </c>
      <c r="G34" s="63" t="str">
        <f t="shared" si="0"/>
        <v>[effect:freq_turn, target:enemy_blue, turn:-1, val:1, animation:enemy_freq_turn]</v>
      </c>
      <c r="H34" s="63">
        <f t="shared" si="1"/>
        <v>9</v>
      </c>
      <c r="I34" s="63">
        <f t="shared" si="2"/>
        <v>18</v>
      </c>
      <c r="J34" s="63">
        <f t="shared" si="3"/>
        <v>27</v>
      </c>
      <c r="K34" s="63">
        <f t="shared" si="4"/>
        <v>37</v>
      </c>
      <c r="L34" s="63" t="str">
        <f>IFERROR(VLOOKUP(MID(G34,J34,K34-J34),[6]skilldef!$C:$D,2,FALSE),"-") &amp; " / " &amp; IFERROR(VLOOKUP(MID(G34,H34,I34-H34),[6]skilldef!$A:$B,2,FALSE),"-")</f>
        <v>青の敵に / 攻撃頻度がUP</v>
      </c>
      <c r="M34" s="63" t="str">
        <f t="shared" si="5"/>
        <v>none</v>
      </c>
      <c r="N34" s="48" t="str">
        <f t="shared" si="6"/>
        <v>none</v>
      </c>
      <c r="O34" s="63" t="e">
        <f t="shared" si="7"/>
        <v>#VALUE!</v>
      </c>
      <c r="P34" s="63">
        <f t="shared" si="8"/>
        <v>4</v>
      </c>
      <c r="Q34" s="63" t="e">
        <f t="shared" si="9"/>
        <v>#VALUE!</v>
      </c>
      <c r="R34" s="63" t="e">
        <f t="shared" si="10"/>
        <v>#VALUE!</v>
      </c>
      <c r="S34" s="63" t="str">
        <f>IFERROR(VLOOKUP(MID(N34,Q34,R34-Q34),[6]skilldef!$C:$D,2,FALSE),"-") &amp; " / " &amp; IFERROR(VLOOKUP(MID(N34,O34,P34-O34),[6]skilldef!$A:$B,2,FALSE),"-")</f>
        <v>- / -</v>
      </c>
      <c r="T34" s="48" t="str">
        <f t="shared" si="11"/>
        <v>none</v>
      </c>
      <c r="U34" s="63" t="e">
        <f t="shared" si="12"/>
        <v>#VALUE!</v>
      </c>
      <c r="V34" s="63">
        <f t="shared" si="13"/>
        <v>4</v>
      </c>
      <c r="W34" s="63" t="e">
        <f t="shared" si="14"/>
        <v>#VALUE!</v>
      </c>
      <c r="X34" s="63" t="e">
        <f t="shared" si="15"/>
        <v>#VALUE!</v>
      </c>
      <c r="Y34" s="63" t="str">
        <f>IFERROR(VLOOKUP(MID(T34,W34,X34-W34),[6]skilldef!$C:$D,2,FALSE),"-") &amp; " / " &amp; IFERROR(VLOOKUP(MID(T34,U34,V34-U34),[6]skilldef!$A:$B,2,FALSE),"-")</f>
        <v>- / -</v>
      </c>
      <c r="Z34" s="50"/>
      <c r="AA34" s="52"/>
      <c r="AB34" s="50"/>
    </row>
    <row r="35" spans="1:28" ht="21" customHeight="1" x14ac:dyDescent="0.15">
      <c r="A35" s="47">
        <v>65526033</v>
      </c>
      <c r="B35" s="47" t="s">
        <v>269</v>
      </c>
      <c r="C35" s="50">
        <v>1</v>
      </c>
      <c r="D35" s="50" t="s">
        <v>127</v>
      </c>
      <c r="E35" s="51" t="s">
        <v>286</v>
      </c>
      <c r="F35" s="51" t="s">
        <v>280</v>
      </c>
      <c r="G35" s="63" t="str">
        <f t="shared" si="0"/>
        <v>[effect:rush, count:5, val:0.1]</v>
      </c>
      <c r="H35" s="63">
        <f t="shared" si="1"/>
        <v>9</v>
      </c>
      <c r="I35" s="63">
        <f t="shared" si="2"/>
        <v>13</v>
      </c>
      <c r="J35" s="63" t="e">
        <f t="shared" si="3"/>
        <v>#VALUE!</v>
      </c>
      <c r="K35" s="63">
        <f t="shared" si="4"/>
        <v>22</v>
      </c>
      <c r="L35" s="63" t="str">
        <f>IFERROR(VLOOKUP(MID(G35,J35,K35-J35),[6]skilldef!$C:$D,2,FALSE),"-") &amp; " / " &amp; IFERROR(VLOOKUP(MID(G35,H35,I35-H35),[6]skilldef!$A:$B,2,FALSE),"-")</f>
        <v>- / 連続攻撃</v>
      </c>
      <c r="M35" s="63" t="str">
        <f t="shared" si="5"/>
        <v>none</v>
      </c>
      <c r="N35" s="48" t="str">
        <f t="shared" si="6"/>
        <v>none</v>
      </c>
      <c r="O35" s="63" t="e">
        <f t="shared" si="7"/>
        <v>#VALUE!</v>
      </c>
      <c r="P35" s="63">
        <f t="shared" si="8"/>
        <v>4</v>
      </c>
      <c r="Q35" s="63" t="e">
        <f t="shared" si="9"/>
        <v>#VALUE!</v>
      </c>
      <c r="R35" s="63" t="e">
        <f t="shared" si="10"/>
        <v>#VALUE!</v>
      </c>
      <c r="S35" s="63" t="str">
        <f>IFERROR(VLOOKUP(MID(N35,Q35,R35-Q35),[6]skilldef!$C:$D,2,FALSE),"-") &amp; " / " &amp; IFERROR(VLOOKUP(MID(N35,O35,P35-O35),[6]skilldef!$A:$B,2,FALSE),"-")</f>
        <v>- / -</v>
      </c>
      <c r="T35" s="48" t="str">
        <f t="shared" si="11"/>
        <v>none</v>
      </c>
      <c r="U35" s="63" t="e">
        <f t="shared" si="12"/>
        <v>#VALUE!</v>
      </c>
      <c r="V35" s="63">
        <f t="shared" si="13"/>
        <v>4</v>
      </c>
      <c r="W35" s="63" t="e">
        <f t="shared" si="14"/>
        <v>#VALUE!</v>
      </c>
      <c r="X35" s="63" t="e">
        <f t="shared" si="15"/>
        <v>#VALUE!</v>
      </c>
      <c r="Y35" s="63" t="str">
        <f>IFERROR(VLOOKUP(MID(T35,W35,X35-W35),[6]skilldef!$C:$D,2,FALSE),"-") &amp; " / " &amp; IFERROR(VLOOKUP(MID(T35,U35,V35-U35),[6]skilldef!$A:$B,2,FALSE),"-")</f>
        <v>- / -</v>
      </c>
      <c r="Z35" s="50"/>
      <c r="AA35" s="52"/>
      <c r="AB35" s="50"/>
    </row>
    <row r="36" spans="1:28" ht="21" customHeight="1" x14ac:dyDescent="0.15">
      <c r="A36" s="47">
        <v>65526034</v>
      </c>
      <c r="B36" s="47" t="s">
        <v>304</v>
      </c>
      <c r="C36" s="50">
        <v>1</v>
      </c>
      <c r="D36" s="50" t="s">
        <v>127</v>
      </c>
      <c r="E36" s="51" t="s">
        <v>286</v>
      </c>
      <c r="F36" s="51" t="s">
        <v>272</v>
      </c>
      <c r="G36" s="63" t="str">
        <f t="shared" si="0"/>
        <v>[effect:nothing]</v>
      </c>
      <c r="H36" s="63">
        <f t="shared" si="1"/>
        <v>9</v>
      </c>
      <c r="I36" s="63">
        <f t="shared" si="2"/>
        <v>16</v>
      </c>
      <c r="J36" s="63" t="e">
        <f t="shared" si="3"/>
        <v>#VALUE!</v>
      </c>
      <c r="K36" s="63" t="e">
        <f t="shared" si="4"/>
        <v>#VALUE!</v>
      </c>
      <c r="L36" s="63" t="str">
        <f>IFERROR(VLOOKUP(MID(G36,J36,K36-J36),[6]skilldef!$C:$D,2,FALSE),"-") &amp; " / " &amp; IFERROR(VLOOKUP(MID(G36,H36,I36-H36),[6]skilldef!$A:$B,2,FALSE),"-")</f>
        <v>- / 何もしない</v>
      </c>
      <c r="M36" s="63" t="str">
        <f t="shared" si="5"/>
        <v>none</v>
      </c>
      <c r="N36" s="48" t="str">
        <f t="shared" si="6"/>
        <v>none</v>
      </c>
      <c r="O36" s="63" t="e">
        <f t="shared" si="7"/>
        <v>#VALUE!</v>
      </c>
      <c r="P36" s="63">
        <f t="shared" si="8"/>
        <v>4</v>
      </c>
      <c r="Q36" s="63" t="e">
        <f t="shared" si="9"/>
        <v>#VALUE!</v>
      </c>
      <c r="R36" s="63" t="e">
        <f t="shared" si="10"/>
        <v>#VALUE!</v>
      </c>
      <c r="S36" s="63" t="str">
        <f>IFERROR(VLOOKUP(MID(N36,Q36,R36-Q36),[6]skilldef!$C:$D,2,FALSE),"-") &amp; " / " &amp; IFERROR(VLOOKUP(MID(N36,O36,P36-O36),[6]skilldef!$A:$B,2,FALSE),"-")</f>
        <v>- / -</v>
      </c>
      <c r="T36" s="48" t="str">
        <f t="shared" si="11"/>
        <v>none</v>
      </c>
      <c r="U36" s="63" t="e">
        <f t="shared" si="12"/>
        <v>#VALUE!</v>
      </c>
      <c r="V36" s="63">
        <f t="shared" si="13"/>
        <v>4</v>
      </c>
      <c r="W36" s="63" t="e">
        <f t="shared" si="14"/>
        <v>#VALUE!</v>
      </c>
      <c r="X36" s="63" t="e">
        <f t="shared" si="15"/>
        <v>#VALUE!</v>
      </c>
      <c r="Y36" s="63" t="str">
        <f>IFERROR(VLOOKUP(MID(T36,W36,X36-W36),[6]skilldef!$C:$D,2,FALSE),"-") &amp; " / " &amp; IFERROR(VLOOKUP(MID(T36,U36,V36-U36),[6]skilldef!$A:$B,2,FALSE),"-")</f>
        <v>- / -</v>
      </c>
      <c r="Z36" s="50"/>
      <c r="AA36" s="52"/>
      <c r="AB36" s="50"/>
    </row>
    <row r="37" spans="1:28" ht="21" customHeight="1" x14ac:dyDescent="0.15">
      <c r="A37" s="47">
        <v>65526035</v>
      </c>
      <c r="B37" s="47" t="s">
        <v>317</v>
      </c>
      <c r="C37" s="50">
        <v>1</v>
      </c>
      <c r="D37" s="50" t="s">
        <v>127</v>
      </c>
      <c r="E37" s="51" t="s">
        <v>289</v>
      </c>
      <c r="F37" s="51" t="s">
        <v>290</v>
      </c>
      <c r="G37" s="63" t="str">
        <f t="shared" si="0"/>
        <v>[effect:break_attack, target:unit_one, val:0.2, lowest_val:0, count:-1, color:blue, block_color:block_heart, block01:block_all, ignore01:crack_bomb, ignore02:color_break]</v>
      </c>
      <c r="H37" s="63">
        <f t="shared" si="1"/>
        <v>9</v>
      </c>
      <c r="I37" s="63">
        <f t="shared" si="2"/>
        <v>21</v>
      </c>
      <c r="J37" s="63">
        <f t="shared" si="3"/>
        <v>30</v>
      </c>
      <c r="K37" s="63">
        <f t="shared" si="4"/>
        <v>38</v>
      </c>
      <c r="L37" s="63" t="str">
        <f>IFERROR(VLOOKUP(MID(G37,J37,K37-J37),[6]skilldef!$C:$D,2,FALSE),"-") &amp; " / " &amp; IFERROR(VLOOKUP(MID(G37,H37,I37-H37),[6]skilldef!$A:$B,2,FALSE),"-")</f>
        <v>味方単体に / -</v>
      </c>
      <c r="M37" s="63" t="str">
        <f t="shared" si="5"/>
        <v>none</v>
      </c>
      <c r="N37" s="48" t="str">
        <f t="shared" si="6"/>
        <v>none</v>
      </c>
      <c r="O37" s="63" t="e">
        <f t="shared" si="7"/>
        <v>#VALUE!</v>
      </c>
      <c r="P37" s="63">
        <f t="shared" si="8"/>
        <v>4</v>
      </c>
      <c r="Q37" s="63" t="e">
        <f t="shared" si="9"/>
        <v>#VALUE!</v>
      </c>
      <c r="R37" s="63" t="e">
        <f t="shared" si="10"/>
        <v>#VALUE!</v>
      </c>
      <c r="S37" s="63" t="str">
        <f>IFERROR(VLOOKUP(MID(N37,Q37,R37-Q37),[6]skilldef!$C:$D,2,FALSE),"-") &amp; " / " &amp; IFERROR(VLOOKUP(MID(N37,O37,P37-O37),[6]skilldef!$A:$B,2,FALSE),"-")</f>
        <v>- / -</v>
      </c>
      <c r="T37" s="48" t="str">
        <f t="shared" si="11"/>
        <v>none</v>
      </c>
      <c r="U37" s="63" t="e">
        <f t="shared" si="12"/>
        <v>#VALUE!</v>
      </c>
      <c r="V37" s="63">
        <f t="shared" si="13"/>
        <v>4</v>
      </c>
      <c r="W37" s="63" t="e">
        <f t="shared" si="14"/>
        <v>#VALUE!</v>
      </c>
      <c r="X37" s="63" t="e">
        <f t="shared" si="15"/>
        <v>#VALUE!</v>
      </c>
      <c r="Y37" s="63" t="str">
        <f>IFERROR(VLOOKUP(MID(T37,W37,X37-W37),[6]skilldef!$C:$D,2,FALSE),"-") &amp; " / " &amp; IFERROR(VLOOKUP(MID(T37,U37,V37-U37),[6]skilldef!$A:$B,2,FALSE),"-")</f>
        <v>- / -</v>
      </c>
      <c r="Z37" s="50"/>
      <c r="AA37" s="52"/>
      <c r="AB37" s="50"/>
    </row>
    <row r="38" spans="1:28" ht="21" customHeight="1" x14ac:dyDescent="0.15">
      <c r="A38" s="47">
        <v>65526036</v>
      </c>
      <c r="B38" s="47" t="s">
        <v>314</v>
      </c>
      <c r="C38" s="50">
        <v>1</v>
      </c>
      <c r="D38" s="50" t="s">
        <v>127</v>
      </c>
      <c r="E38" s="51" t="s">
        <v>289</v>
      </c>
      <c r="F38" s="51" t="s">
        <v>291</v>
      </c>
      <c r="G38" s="63" t="str">
        <f t="shared" si="0"/>
        <v>[effect:enhance_enemy, target:enemy_green, turn:-1, status:attack, val:0.5, calc:mul, animation:enemy_enhance_attack]</v>
      </c>
      <c r="H38" s="63">
        <f t="shared" si="1"/>
        <v>9</v>
      </c>
      <c r="I38" s="63">
        <f t="shared" si="2"/>
        <v>22</v>
      </c>
      <c r="J38" s="63">
        <f t="shared" si="3"/>
        <v>31</v>
      </c>
      <c r="K38" s="63">
        <f t="shared" si="4"/>
        <v>42</v>
      </c>
      <c r="L38" s="63" t="str">
        <f>IFERROR(VLOOKUP(MID(G38,J38,K38-J38),[6]skilldef!$C:$D,2,FALSE),"-") &amp; " / " &amp; IFERROR(VLOOKUP(MID(G38,H38,I38-H38),[6]skilldef!$A:$B,2,FALSE),"-")</f>
        <v>緑の敵に / ステータス強化</v>
      </c>
      <c r="M38" s="63" t="str">
        <f t="shared" si="5"/>
        <v>none</v>
      </c>
      <c r="N38" s="48" t="str">
        <f t="shared" si="6"/>
        <v>none</v>
      </c>
      <c r="O38" s="63" t="e">
        <f t="shared" si="7"/>
        <v>#VALUE!</v>
      </c>
      <c r="P38" s="63">
        <f t="shared" si="8"/>
        <v>4</v>
      </c>
      <c r="Q38" s="63" t="e">
        <f t="shared" si="9"/>
        <v>#VALUE!</v>
      </c>
      <c r="R38" s="63" t="e">
        <f t="shared" si="10"/>
        <v>#VALUE!</v>
      </c>
      <c r="S38" s="63" t="str">
        <f>IFERROR(VLOOKUP(MID(N38,Q38,R38-Q38),[6]skilldef!$C:$D,2,FALSE),"-") &amp; " / " &amp; IFERROR(VLOOKUP(MID(N38,O38,P38-O38),[6]skilldef!$A:$B,2,FALSE),"-")</f>
        <v>- / -</v>
      </c>
      <c r="T38" s="48" t="str">
        <f t="shared" si="11"/>
        <v>none</v>
      </c>
      <c r="U38" s="63" t="e">
        <f t="shared" si="12"/>
        <v>#VALUE!</v>
      </c>
      <c r="V38" s="63">
        <f t="shared" si="13"/>
        <v>4</v>
      </c>
      <c r="W38" s="63" t="e">
        <f t="shared" si="14"/>
        <v>#VALUE!</v>
      </c>
      <c r="X38" s="63" t="e">
        <f t="shared" si="15"/>
        <v>#VALUE!</v>
      </c>
      <c r="Y38" s="63" t="str">
        <f>IFERROR(VLOOKUP(MID(T38,W38,X38-W38),[6]skilldef!$C:$D,2,FALSE),"-") &amp; " / " &amp; IFERROR(VLOOKUP(MID(T38,U38,V38-U38),[6]skilldef!$A:$B,2,FALSE),"-")</f>
        <v>- / -</v>
      </c>
      <c r="Z38" s="50"/>
      <c r="AA38" s="52"/>
      <c r="AB38" s="50"/>
    </row>
    <row r="39" spans="1:28" ht="21" customHeight="1" x14ac:dyDescent="0.15">
      <c r="A39" s="47">
        <v>65526037</v>
      </c>
      <c r="B39" s="47" t="s">
        <v>304</v>
      </c>
      <c r="C39" s="50">
        <v>1</v>
      </c>
      <c r="D39" s="50" t="s">
        <v>127</v>
      </c>
      <c r="E39" s="51" t="s">
        <v>289</v>
      </c>
      <c r="F39" s="51" t="s">
        <v>272</v>
      </c>
      <c r="G39" s="63" t="str">
        <f t="shared" si="0"/>
        <v>[effect:nothing]</v>
      </c>
      <c r="H39" s="63">
        <f t="shared" si="1"/>
        <v>9</v>
      </c>
      <c r="I39" s="63">
        <f t="shared" si="2"/>
        <v>16</v>
      </c>
      <c r="J39" s="63" t="e">
        <f t="shared" si="3"/>
        <v>#VALUE!</v>
      </c>
      <c r="K39" s="63" t="e">
        <f t="shared" si="4"/>
        <v>#VALUE!</v>
      </c>
      <c r="L39" s="63" t="str">
        <f>IFERROR(VLOOKUP(MID(G39,J39,K39-J39),[6]skilldef!$C:$D,2,FALSE),"-") &amp; " / " &amp; IFERROR(VLOOKUP(MID(G39,H39,I39-H39),[6]skilldef!$A:$B,2,FALSE),"-")</f>
        <v>- / 何もしない</v>
      </c>
      <c r="M39" s="63" t="str">
        <f t="shared" si="5"/>
        <v>none</v>
      </c>
      <c r="N39" s="48" t="str">
        <f t="shared" si="6"/>
        <v>none</v>
      </c>
      <c r="O39" s="63" t="e">
        <f t="shared" si="7"/>
        <v>#VALUE!</v>
      </c>
      <c r="P39" s="63">
        <f t="shared" si="8"/>
        <v>4</v>
      </c>
      <c r="Q39" s="63" t="e">
        <f t="shared" si="9"/>
        <v>#VALUE!</v>
      </c>
      <c r="R39" s="63" t="e">
        <f t="shared" si="10"/>
        <v>#VALUE!</v>
      </c>
      <c r="S39" s="63" t="str">
        <f>IFERROR(VLOOKUP(MID(N39,Q39,R39-Q39),[6]skilldef!$C:$D,2,FALSE),"-") &amp; " / " &amp; IFERROR(VLOOKUP(MID(N39,O39,P39-O39),[6]skilldef!$A:$B,2,FALSE),"-")</f>
        <v>- / -</v>
      </c>
      <c r="T39" s="48" t="str">
        <f t="shared" si="11"/>
        <v>none</v>
      </c>
      <c r="U39" s="63" t="e">
        <f t="shared" si="12"/>
        <v>#VALUE!</v>
      </c>
      <c r="V39" s="63">
        <f t="shared" si="13"/>
        <v>4</v>
      </c>
      <c r="W39" s="63" t="e">
        <f t="shared" si="14"/>
        <v>#VALUE!</v>
      </c>
      <c r="X39" s="63" t="e">
        <f t="shared" si="15"/>
        <v>#VALUE!</v>
      </c>
      <c r="Y39" s="63" t="str">
        <f>IFERROR(VLOOKUP(MID(T39,W39,X39-W39),[6]skilldef!$C:$D,2,FALSE),"-") &amp; " / " &amp; IFERROR(VLOOKUP(MID(T39,U39,V39-U39),[6]skilldef!$A:$B,2,FALSE),"-")</f>
        <v>- / -</v>
      </c>
      <c r="Z39" s="50"/>
      <c r="AA39" s="52"/>
      <c r="AB39" s="50"/>
    </row>
    <row r="40" spans="1:28" ht="21" customHeight="1" x14ac:dyDescent="0.15">
      <c r="A40" s="47">
        <v>65526038</v>
      </c>
      <c r="B40" s="47" t="s">
        <v>304</v>
      </c>
      <c r="C40" s="50">
        <v>1</v>
      </c>
      <c r="D40" s="50" t="s">
        <v>127</v>
      </c>
      <c r="E40" s="51" t="s">
        <v>289</v>
      </c>
      <c r="F40" s="51" t="s">
        <v>272</v>
      </c>
      <c r="G40" s="63" t="str">
        <f t="shared" si="0"/>
        <v>[effect:nothing]</v>
      </c>
      <c r="H40" s="63">
        <f t="shared" si="1"/>
        <v>9</v>
      </c>
      <c r="I40" s="63">
        <f t="shared" si="2"/>
        <v>16</v>
      </c>
      <c r="J40" s="63" t="e">
        <f t="shared" si="3"/>
        <v>#VALUE!</v>
      </c>
      <c r="K40" s="63" t="e">
        <f t="shared" si="4"/>
        <v>#VALUE!</v>
      </c>
      <c r="L40" s="63" t="str">
        <f>IFERROR(VLOOKUP(MID(G40,J40,K40-J40),[6]skilldef!$C:$D,2,FALSE),"-") &amp; " / " &amp; IFERROR(VLOOKUP(MID(G40,H40,I40-H40),[6]skilldef!$A:$B,2,FALSE),"-")</f>
        <v>- / 何もしない</v>
      </c>
      <c r="M40" s="63" t="str">
        <f t="shared" si="5"/>
        <v>none</v>
      </c>
      <c r="N40" s="48" t="str">
        <f t="shared" si="6"/>
        <v>none</v>
      </c>
      <c r="O40" s="63" t="e">
        <f t="shared" si="7"/>
        <v>#VALUE!</v>
      </c>
      <c r="P40" s="63">
        <f t="shared" si="8"/>
        <v>4</v>
      </c>
      <c r="Q40" s="63" t="e">
        <f t="shared" si="9"/>
        <v>#VALUE!</v>
      </c>
      <c r="R40" s="63" t="e">
        <f t="shared" si="10"/>
        <v>#VALUE!</v>
      </c>
      <c r="S40" s="63" t="str">
        <f>IFERROR(VLOOKUP(MID(N40,Q40,R40-Q40),[6]skilldef!$C:$D,2,FALSE),"-") &amp; " / " &amp; IFERROR(VLOOKUP(MID(N40,O40,P40-O40),[6]skilldef!$A:$B,2,FALSE),"-")</f>
        <v>- / -</v>
      </c>
      <c r="T40" s="48" t="str">
        <f t="shared" si="11"/>
        <v>none</v>
      </c>
      <c r="U40" s="63" t="e">
        <f t="shared" si="12"/>
        <v>#VALUE!</v>
      </c>
      <c r="V40" s="63">
        <f t="shared" si="13"/>
        <v>4</v>
      </c>
      <c r="W40" s="63" t="e">
        <f t="shared" si="14"/>
        <v>#VALUE!</v>
      </c>
      <c r="X40" s="63" t="e">
        <f t="shared" si="15"/>
        <v>#VALUE!</v>
      </c>
      <c r="Y40" s="63" t="str">
        <f>IFERROR(VLOOKUP(MID(T40,W40,X40-W40),[6]skilldef!$C:$D,2,FALSE),"-") &amp; " / " &amp; IFERROR(VLOOKUP(MID(T40,U40,V40-U40),[6]skilldef!$A:$B,2,FALSE),"-")</f>
        <v>- / -</v>
      </c>
      <c r="Z40" s="50"/>
      <c r="AA40" s="52"/>
      <c r="AB40" s="50"/>
    </row>
    <row r="41" spans="1:28" ht="21" customHeight="1" x14ac:dyDescent="0.15">
      <c r="A41" s="47">
        <v>65526039</v>
      </c>
      <c r="B41" s="47" t="s">
        <v>304</v>
      </c>
      <c r="C41" s="50">
        <v>1</v>
      </c>
      <c r="D41" s="50" t="s">
        <v>127</v>
      </c>
      <c r="E41" s="51" t="s">
        <v>289</v>
      </c>
      <c r="F41" s="51" t="s">
        <v>272</v>
      </c>
      <c r="G41" s="63" t="str">
        <f t="shared" si="0"/>
        <v>[effect:nothing]</v>
      </c>
      <c r="H41" s="63">
        <f t="shared" si="1"/>
        <v>9</v>
      </c>
      <c r="I41" s="63">
        <f t="shared" si="2"/>
        <v>16</v>
      </c>
      <c r="J41" s="63" t="e">
        <f t="shared" si="3"/>
        <v>#VALUE!</v>
      </c>
      <c r="K41" s="63" t="e">
        <f t="shared" si="4"/>
        <v>#VALUE!</v>
      </c>
      <c r="L41" s="63" t="str">
        <f>IFERROR(VLOOKUP(MID(G41,J41,K41-J41),[6]skilldef!$C:$D,2,FALSE),"-") &amp; " / " &amp; IFERROR(VLOOKUP(MID(G41,H41,I41-H41),[6]skilldef!$A:$B,2,FALSE),"-")</f>
        <v>- / 何もしない</v>
      </c>
      <c r="M41" s="63" t="str">
        <f t="shared" si="5"/>
        <v>none</v>
      </c>
      <c r="N41" s="48" t="str">
        <f t="shared" si="6"/>
        <v>none</v>
      </c>
      <c r="O41" s="63" t="e">
        <f t="shared" si="7"/>
        <v>#VALUE!</v>
      </c>
      <c r="P41" s="63">
        <f t="shared" si="8"/>
        <v>4</v>
      </c>
      <c r="Q41" s="63" t="e">
        <f t="shared" si="9"/>
        <v>#VALUE!</v>
      </c>
      <c r="R41" s="63" t="e">
        <f t="shared" si="10"/>
        <v>#VALUE!</v>
      </c>
      <c r="S41" s="63" t="str">
        <f>IFERROR(VLOOKUP(MID(N41,Q41,R41-Q41),[6]skilldef!$C:$D,2,FALSE),"-") &amp; " / " &amp; IFERROR(VLOOKUP(MID(N41,O41,P41-O41),[6]skilldef!$A:$B,2,FALSE),"-")</f>
        <v>- / -</v>
      </c>
      <c r="T41" s="48" t="str">
        <f t="shared" si="11"/>
        <v>none</v>
      </c>
      <c r="U41" s="63" t="e">
        <f t="shared" si="12"/>
        <v>#VALUE!</v>
      </c>
      <c r="V41" s="63">
        <f t="shared" si="13"/>
        <v>4</v>
      </c>
      <c r="W41" s="63" t="e">
        <f t="shared" si="14"/>
        <v>#VALUE!</v>
      </c>
      <c r="X41" s="63" t="e">
        <f t="shared" si="15"/>
        <v>#VALUE!</v>
      </c>
      <c r="Y41" s="63" t="str">
        <f>IFERROR(VLOOKUP(MID(T41,W41,X41-W41),[6]skilldef!$C:$D,2,FALSE),"-") &amp; " / " &amp; IFERROR(VLOOKUP(MID(T41,U41,V41-U41),[6]skilldef!$A:$B,2,FALSE),"-")</f>
        <v>- / -</v>
      </c>
      <c r="Z41" s="50"/>
      <c r="AA41" s="52"/>
      <c r="AB41" s="50"/>
    </row>
    <row r="42" spans="1:28" ht="21" customHeight="1" x14ac:dyDescent="0.15">
      <c r="A42" s="47">
        <v>65526040</v>
      </c>
      <c r="B42" s="47" t="s">
        <v>315</v>
      </c>
      <c r="C42" s="50">
        <v>1</v>
      </c>
      <c r="D42" s="50" t="s">
        <v>127</v>
      </c>
      <c r="E42" s="51" t="s">
        <v>292</v>
      </c>
      <c r="F42" s="51" t="s">
        <v>293</v>
      </c>
      <c r="G42" s="63" t="str">
        <f t="shared" si="0"/>
        <v>[effect:tolerance, target:myself, turn:-1, count:-1, tolerance_effect:all, animation:enemy_tolerance]</v>
      </c>
      <c r="H42" s="63">
        <f t="shared" si="1"/>
        <v>9</v>
      </c>
      <c r="I42" s="63">
        <f t="shared" si="2"/>
        <v>18</v>
      </c>
      <c r="J42" s="63">
        <f t="shared" si="3"/>
        <v>27</v>
      </c>
      <c r="K42" s="63">
        <f t="shared" si="4"/>
        <v>33</v>
      </c>
      <c r="L42" s="63" t="str">
        <f>IFERROR(VLOOKUP(MID(G42,J42,K42-J42),[6]skilldef!$C:$D,2,FALSE),"-") &amp; " / " &amp; IFERROR(VLOOKUP(MID(G42,H42,I42-H42),[6]skilldef!$A:$B,2,FALSE),"-")</f>
        <v>自分自身に / 状態異常耐性</v>
      </c>
      <c r="M42" s="63" t="str">
        <f t="shared" si="5"/>
        <v>[effect:drop_block, block_type:jammer, block_color:block_green, color:block_green, val:0, rate:1, turn:-1, animation:block_incidence04]</v>
      </c>
      <c r="N42" s="48" t="str">
        <f t="shared" si="6"/>
        <v>[effect:drop_block, block_type:jammer, block_color:block_green, color:block_green, val:0, rate:1, turn:-1, animation:block_incidence04]</v>
      </c>
      <c r="O42" s="63">
        <f t="shared" si="7"/>
        <v>9</v>
      </c>
      <c r="P42" s="63">
        <f t="shared" si="8"/>
        <v>19</v>
      </c>
      <c r="Q42" s="63" t="e">
        <f t="shared" si="9"/>
        <v>#VALUE!</v>
      </c>
      <c r="R42" s="63">
        <f t="shared" si="10"/>
        <v>38</v>
      </c>
      <c r="S42" s="63" t="str">
        <f>IFERROR(VLOOKUP(MID(N42,Q42,R42-Q42),[6]skilldef!$C:$D,2,FALSE),"-") &amp; " / " &amp; IFERROR(VLOOKUP(MID(N42,O42,P42-O42),[6]skilldef!$A:$B,2,FALSE),"-")</f>
        <v>- / 特定ブロックの割合ドロップ</v>
      </c>
      <c r="T42" s="48" t="str">
        <f t="shared" si="11"/>
        <v>none</v>
      </c>
      <c r="U42" s="63" t="e">
        <f t="shared" si="12"/>
        <v>#VALUE!</v>
      </c>
      <c r="V42" s="63">
        <f t="shared" si="13"/>
        <v>4</v>
      </c>
      <c r="W42" s="63" t="e">
        <f t="shared" si="14"/>
        <v>#VALUE!</v>
      </c>
      <c r="X42" s="63" t="e">
        <f t="shared" si="15"/>
        <v>#VALUE!</v>
      </c>
      <c r="Y42" s="63" t="str">
        <f>IFERROR(VLOOKUP(MID(T42,W42,X42-W42),[6]skilldef!$C:$D,2,FALSE),"-") &amp; " / " &amp; IFERROR(VLOOKUP(MID(T42,U42,V42-U42),[6]skilldef!$A:$B,2,FALSE),"-")</f>
        <v>- / -</v>
      </c>
      <c r="Z42" s="50"/>
      <c r="AA42" s="52"/>
      <c r="AB42" s="50"/>
    </row>
    <row r="43" spans="1:28" ht="21" customHeight="1" x14ac:dyDescent="0.15">
      <c r="A43" s="47">
        <v>65526041</v>
      </c>
      <c r="B43" s="47" t="s">
        <v>306</v>
      </c>
      <c r="C43" s="50">
        <v>1</v>
      </c>
      <c r="D43" s="50" t="s">
        <v>127</v>
      </c>
      <c r="E43" s="51" t="s">
        <v>292</v>
      </c>
      <c r="F43" s="51" t="s">
        <v>294</v>
      </c>
      <c r="G43" s="63" t="str">
        <f t="shared" si="0"/>
        <v>[effect:spread, val:0.4]</v>
      </c>
      <c r="H43" s="63">
        <f t="shared" si="1"/>
        <v>9</v>
      </c>
      <c r="I43" s="63">
        <f t="shared" si="2"/>
        <v>15</v>
      </c>
      <c r="J43" s="63" t="e">
        <f t="shared" si="3"/>
        <v>#VALUE!</v>
      </c>
      <c r="K43" s="63" t="e">
        <f t="shared" si="4"/>
        <v>#VALUE!</v>
      </c>
      <c r="L43" s="63" t="str">
        <f>IFERROR(VLOOKUP(MID(G43,J43,K43-J43),[6]skilldef!$C:$D,2,FALSE),"-") &amp; " / " &amp; IFERROR(VLOOKUP(MID(G43,H43,I43-H43),[6]skilldef!$A:$B,2,FALSE),"-")</f>
        <v>- / 全体攻撃</v>
      </c>
      <c r="M43" s="63" t="str">
        <f t="shared" si="5"/>
        <v>none</v>
      </c>
      <c r="N43" s="48" t="str">
        <f t="shared" si="6"/>
        <v>none</v>
      </c>
      <c r="O43" s="63" t="e">
        <f t="shared" si="7"/>
        <v>#VALUE!</v>
      </c>
      <c r="P43" s="63">
        <f t="shared" si="8"/>
        <v>4</v>
      </c>
      <c r="Q43" s="63" t="e">
        <f t="shared" si="9"/>
        <v>#VALUE!</v>
      </c>
      <c r="R43" s="63" t="e">
        <f t="shared" si="10"/>
        <v>#VALUE!</v>
      </c>
      <c r="S43" s="63" t="str">
        <f>IFERROR(VLOOKUP(MID(N43,Q43,R43-Q43),[6]skilldef!$C:$D,2,FALSE),"-") &amp; " / " &amp; IFERROR(VLOOKUP(MID(N43,O43,P43-O43),[6]skilldef!$A:$B,2,FALSE),"-")</f>
        <v>- / -</v>
      </c>
      <c r="T43" s="48" t="str">
        <f t="shared" si="11"/>
        <v>none</v>
      </c>
      <c r="U43" s="63" t="e">
        <f t="shared" si="12"/>
        <v>#VALUE!</v>
      </c>
      <c r="V43" s="63">
        <f t="shared" si="13"/>
        <v>4</v>
      </c>
      <c r="W43" s="63" t="e">
        <f t="shared" si="14"/>
        <v>#VALUE!</v>
      </c>
      <c r="X43" s="63" t="e">
        <f t="shared" si="15"/>
        <v>#VALUE!</v>
      </c>
      <c r="Y43" s="63" t="str">
        <f>IFERROR(VLOOKUP(MID(T43,W43,X43-W43),[6]skilldef!$C:$D,2,FALSE),"-") &amp; " / " &amp; IFERROR(VLOOKUP(MID(T43,U43,V43-U43),[6]skilldef!$A:$B,2,FALSE),"-")</f>
        <v>- / -</v>
      </c>
      <c r="Z43" s="50"/>
      <c r="AA43" s="52"/>
      <c r="AB43" s="50"/>
    </row>
    <row r="44" spans="1:28" ht="21" customHeight="1" x14ac:dyDescent="0.15">
      <c r="A44" s="47">
        <v>65526042</v>
      </c>
      <c r="B44" s="47" t="s">
        <v>316</v>
      </c>
      <c r="C44" s="50">
        <v>1</v>
      </c>
      <c r="D44" s="50" t="s">
        <v>127</v>
      </c>
      <c r="E44" s="51" t="s">
        <v>292</v>
      </c>
      <c r="F44" s="51" t="s">
        <v>295</v>
      </c>
      <c r="G44" s="63" t="str">
        <f t="shared" si="0"/>
        <v>[effect:damage_anti_tribe, target:unit_one, tribe:samurai, val1:0.3, val2:0.1]</v>
      </c>
      <c r="H44" s="63">
        <f t="shared" si="1"/>
        <v>9</v>
      </c>
      <c r="I44" s="63">
        <f t="shared" si="2"/>
        <v>26</v>
      </c>
      <c r="J44" s="63">
        <f t="shared" si="3"/>
        <v>35</v>
      </c>
      <c r="K44" s="63">
        <f t="shared" si="4"/>
        <v>43</v>
      </c>
      <c r="L44" s="63" t="str">
        <f>IFERROR(VLOOKUP(MID(G44,J44,K44-J44),[6]skilldef!$C:$D,2,FALSE),"-") &amp; " / " &amp; IFERROR(VLOOKUP(MID(G44,H44,I44-H44),[6]skilldef!$A:$B,2,FALSE),"-")</f>
        <v>味方単体に / 種族キラー</v>
      </c>
      <c r="M44" s="63" t="str">
        <f t="shared" si="5"/>
        <v>[effect:damage_anti_tribe, target:unit_one, tribe:samurai, val1:0.3, val2:0.1],[effect:damage_anti_tribe, target:unit_one, tribe:samurai, val1:0.3, val2:0.1],[effect:damage_anti_tribe, target:unit_one, tribe:samurai, val1:0.3, val2:0.1]</v>
      </c>
      <c r="N44" s="48" t="str">
        <f t="shared" si="6"/>
        <v>[effect:damage_anti_tribe, target:unit_one, tribe:samurai, val1:0.3, val2:0.1],[effect:damage_anti_tribe, target:unit_one, tribe:samurai, val1:0.3, val2:0.1],[effect:damage_anti_tribe, target:unit_one, tribe:samurai, val1:0.3, val2:0.1]</v>
      </c>
      <c r="O44" s="63">
        <f t="shared" si="7"/>
        <v>9</v>
      </c>
      <c r="P44" s="63">
        <f t="shared" si="8"/>
        <v>26</v>
      </c>
      <c r="Q44" s="63">
        <f t="shared" si="9"/>
        <v>35</v>
      </c>
      <c r="R44" s="63">
        <f t="shared" si="10"/>
        <v>43</v>
      </c>
      <c r="S44" s="63" t="str">
        <f>IFERROR(VLOOKUP(MID(N44,Q44,R44-Q44),[6]skilldef!$C:$D,2,FALSE),"-") &amp; " / " &amp; IFERROR(VLOOKUP(MID(N44,O44,P44-O44),[6]skilldef!$A:$B,2,FALSE),"-")</f>
        <v>味方単体に / 種族キラー</v>
      </c>
      <c r="T44" s="48" t="str">
        <f t="shared" si="11"/>
        <v>[effect:damage_anti_tribe, target:unit_one, tribe:samurai, val1:0.3, val2:0.1],[effect:damage_anti_tribe, target:unit_one, tribe:samurai, val1:0.3, val2:0.1]</v>
      </c>
      <c r="U44" s="63">
        <f t="shared" si="12"/>
        <v>9</v>
      </c>
      <c r="V44" s="63">
        <f t="shared" si="13"/>
        <v>26</v>
      </c>
      <c r="W44" s="63">
        <f t="shared" si="14"/>
        <v>35</v>
      </c>
      <c r="X44" s="63">
        <f t="shared" si="15"/>
        <v>43</v>
      </c>
      <c r="Y44" s="63" t="str">
        <f>IFERROR(VLOOKUP(MID(T44,W44,X44-W44),[6]skilldef!$C:$D,2,FALSE),"-") &amp; " / " &amp; IFERROR(VLOOKUP(MID(T44,U44,V44-U44),[6]skilldef!$A:$B,2,FALSE),"-")</f>
        <v>味方単体に / 種族キラー</v>
      </c>
      <c r="Z44" s="50"/>
      <c r="AA44" s="52"/>
      <c r="AB44" s="50"/>
    </row>
    <row r="45" spans="1:28" ht="21" customHeight="1" x14ac:dyDescent="0.15">
      <c r="A45" s="47">
        <v>65526043</v>
      </c>
      <c r="B45" s="47" t="s">
        <v>307</v>
      </c>
      <c r="C45" s="50">
        <v>1</v>
      </c>
      <c r="D45" s="50" t="s">
        <v>127</v>
      </c>
      <c r="E45" s="51" t="s">
        <v>292</v>
      </c>
      <c r="F45" s="51" t="s">
        <v>296</v>
      </c>
      <c r="G45" s="63" t="str">
        <f t="shared" si="0"/>
        <v>[effect:force_change_block, new_block:block_heart, target:block_all, ignore01:crash, ignore02:crack_bomb, ignore03:damage, ignore04:time_bomb, ignore05:color_break, count:5, val:0, animation:change_block]</v>
      </c>
      <c r="H45" s="63">
        <f t="shared" si="1"/>
        <v>9</v>
      </c>
      <c r="I45" s="63">
        <f t="shared" si="2"/>
        <v>27</v>
      </c>
      <c r="J45" s="63">
        <f t="shared" si="3"/>
        <v>59</v>
      </c>
      <c r="K45" s="63">
        <f t="shared" si="4"/>
        <v>50</v>
      </c>
      <c r="L45" s="63" t="str">
        <f>IFERROR(VLOOKUP(MID(G45,J45,K45-J45),[6]skilldef!$C:$D,2,FALSE),"-") &amp; " / " &amp; IFERROR(VLOOKUP(MID(G45,H45,I45-H45),[6]skilldef!$A:$B,2,FALSE),"-")</f>
        <v>- / -</v>
      </c>
      <c r="M45" s="63" t="str">
        <f t="shared" si="5"/>
        <v>none</v>
      </c>
      <c r="N45" s="48" t="str">
        <f t="shared" si="6"/>
        <v>none</v>
      </c>
      <c r="O45" s="63" t="e">
        <f t="shared" si="7"/>
        <v>#VALUE!</v>
      </c>
      <c r="P45" s="63">
        <f t="shared" si="8"/>
        <v>4</v>
      </c>
      <c r="Q45" s="63" t="e">
        <f t="shared" si="9"/>
        <v>#VALUE!</v>
      </c>
      <c r="R45" s="63" t="e">
        <f t="shared" si="10"/>
        <v>#VALUE!</v>
      </c>
      <c r="S45" s="63" t="str">
        <f>IFERROR(VLOOKUP(MID(N45,Q45,R45-Q45),[6]skilldef!$C:$D,2,FALSE),"-") &amp; " / " &amp; IFERROR(VLOOKUP(MID(N45,O45,P45-O45),[6]skilldef!$A:$B,2,FALSE),"-")</f>
        <v>- / -</v>
      </c>
      <c r="T45" s="48" t="str">
        <f t="shared" si="11"/>
        <v>none</v>
      </c>
      <c r="U45" s="63" t="e">
        <f t="shared" si="12"/>
        <v>#VALUE!</v>
      </c>
      <c r="V45" s="63">
        <f t="shared" si="13"/>
        <v>4</v>
      </c>
      <c r="W45" s="63" t="e">
        <f t="shared" si="14"/>
        <v>#VALUE!</v>
      </c>
      <c r="X45" s="63" t="e">
        <f t="shared" si="15"/>
        <v>#VALUE!</v>
      </c>
      <c r="Y45" s="63" t="str">
        <f>IFERROR(VLOOKUP(MID(T45,W45,X45-W45),[6]skilldef!$C:$D,2,FALSE),"-") &amp; " / " &amp; IFERROR(VLOOKUP(MID(T45,U45,V45-U45),[6]skilldef!$A:$B,2,FALSE),"-")</f>
        <v>- / -</v>
      </c>
      <c r="Z45" s="50"/>
      <c r="AA45" s="52"/>
      <c r="AB45" s="50"/>
    </row>
    <row r="46" spans="1:28" ht="21" customHeight="1" x14ac:dyDescent="0.15">
      <c r="A46" s="47">
        <v>65526044</v>
      </c>
      <c r="B46" s="47" t="s">
        <v>310</v>
      </c>
      <c r="C46" s="50">
        <v>1</v>
      </c>
      <c r="D46" s="50" t="s">
        <v>127</v>
      </c>
      <c r="E46" s="51" t="s">
        <v>292</v>
      </c>
      <c r="F46" s="51" t="s">
        <v>297</v>
      </c>
      <c r="G46" s="63" t="str">
        <f t="shared" si="0"/>
        <v>[effect:break_attack, target:unit_one, val:0.2, lowest_val:0, count:-1, color:yellow, block_color:block_heart, block01:block_all, block02:jammer, ignore01:crack_bomb, ignore02:color_break]</v>
      </c>
      <c r="H46" s="63">
        <f t="shared" si="1"/>
        <v>9</v>
      </c>
      <c r="I46" s="63">
        <f t="shared" si="2"/>
        <v>21</v>
      </c>
      <c r="J46" s="63">
        <f t="shared" si="3"/>
        <v>30</v>
      </c>
      <c r="K46" s="63">
        <f t="shared" si="4"/>
        <v>38</v>
      </c>
      <c r="L46" s="63" t="str">
        <f>IFERROR(VLOOKUP(MID(G46,J46,K46-J46),[6]skilldef!$C:$D,2,FALSE),"-") &amp; " / " &amp; IFERROR(VLOOKUP(MID(G46,H46,I46-H46),[6]skilldef!$A:$B,2,FALSE),"-")</f>
        <v>味方単体に / -</v>
      </c>
      <c r="M46" s="63" t="str">
        <f t="shared" si="5"/>
        <v>none</v>
      </c>
      <c r="N46" s="48" t="str">
        <f t="shared" si="6"/>
        <v>none</v>
      </c>
      <c r="O46" s="63" t="e">
        <f t="shared" si="7"/>
        <v>#VALUE!</v>
      </c>
      <c r="P46" s="63">
        <f t="shared" si="8"/>
        <v>4</v>
      </c>
      <c r="Q46" s="63" t="e">
        <f t="shared" si="9"/>
        <v>#VALUE!</v>
      </c>
      <c r="R46" s="63" t="e">
        <f t="shared" si="10"/>
        <v>#VALUE!</v>
      </c>
      <c r="S46" s="63" t="str">
        <f>IFERROR(VLOOKUP(MID(N46,Q46,R46-Q46),[6]skilldef!$C:$D,2,FALSE),"-") &amp; " / " &amp; IFERROR(VLOOKUP(MID(N46,O46,P46-O46),[6]skilldef!$A:$B,2,FALSE),"-")</f>
        <v>- / -</v>
      </c>
      <c r="T46" s="48" t="str">
        <f t="shared" si="11"/>
        <v>none</v>
      </c>
      <c r="U46" s="63" t="e">
        <f t="shared" si="12"/>
        <v>#VALUE!</v>
      </c>
      <c r="V46" s="63">
        <f t="shared" si="13"/>
        <v>4</v>
      </c>
      <c r="W46" s="63" t="e">
        <f t="shared" si="14"/>
        <v>#VALUE!</v>
      </c>
      <c r="X46" s="63" t="e">
        <f t="shared" si="15"/>
        <v>#VALUE!</v>
      </c>
      <c r="Y46" s="63" t="str">
        <f>IFERROR(VLOOKUP(MID(T46,W46,X46-W46),[6]skilldef!$C:$D,2,FALSE),"-") &amp; " / " &amp; IFERROR(VLOOKUP(MID(T46,U46,V46-U46),[6]skilldef!$A:$B,2,FALSE),"-")</f>
        <v>- / -</v>
      </c>
      <c r="Z46" s="50"/>
      <c r="AA46" s="52"/>
      <c r="AB46" s="50"/>
    </row>
    <row r="47" spans="1:28" ht="21" customHeight="1" x14ac:dyDescent="0.15">
      <c r="A47" s="47">
        <v>65526045</v>
      </c>
      <c r="B47" s="47" t="s">
        <v>304</v>
      </c>
      <c r="C47" s="50">
        <v>1</v>
      </c>
      <c r="D47" s="50" t="s">
        <v>127</v>
      </c>
      <c r="E47" s="51" t="s">
        <v>292</v>
      </c>
      <c r="F47" s="51" t="s">
        <v>272</v>
      </c>
      <c r="G47" s="63" t="str">
        <f t="shared" si="0"/>
        <v>[effect:nothing]</v>
      </c>
      <c r="H47" s="63">
        <f t="shared" si="1"/>
        <v>9</v>
      </c>
      <c r="I47" s="63">
        <f t="shared" si="2"/>
        <v>16</v>
      </c>
      <c r="J47" s="63" t="e">
        <f t="shared" si="3"/>
        <v>#VALUE!</v>
      </c>
      <c r="K47" s="63" t="e">
        <f t="shared" si="4"/>
        <v>#VALUE!</v>
      </c>
      <c r="L47" s="63" t="str">
        <f>IFERROR(VLOOKUP(MID(G47,J47,K47-J47),[6]skilldef!$C:$D,2,FALSE),"-") &amp; " / " &amp; IFERROR(VLOOKUP(MID(G47,H47,I47-H47),[6]skilldef!$A:$B,2,FALSE),"-")</f>
        <v>- / 何もしない</v>
      </c>
      <c r="M47" s="63" t="str">
        <f t="shared" si="5"/>
        <v>none</v>
      </c>
      <c r="N47" s="48" t="str">
        <f t="shared" si="6"/>
        <v>none</v>
      </c>
      <c r="O47" s="63" t="e">
        <f t="shared" si="7"/>
        <v>#VALUE!</v>
      </c>
      <c r="P47" s="63">
        <f t="shared" si="8"/>
        <v>4</v>
      </c>
      <c r="Q47" s="63" t="e">
        <f t="shared" si="9"/>
        <v>#VALUE!</v>
      </c>
      <c r="R47" s="63" t="e">
        <f t="shared" si="10"/>
        <v>#VALUE!</v>
      </c>
      <c r="S47" s="63" t="str">
        <f>IFERROR(VLOOKUP(MID(N47,Q47,R47-Q47),[6]skilldef!$C:$D,2,FALSE),"-") &amp; " / " &amp; IFERROR(VLOOKUP(MID(N47,O47,P47-O47),[6]skilldef!$A:$B,2,FALSE),"-")</f>
        <v>- / -</v>
      </c>
      <c r="T47" s="48" t="str">
        <f t="shared" si="11"/>
        <v>none</v>
      </c>
      <c r="U47" s="63" t="e">
        <f t="shared" si="12"/>
        <v>#VALUE!</v>
      </c>
      <c r="V47" s="63">
        <f t="shared" si="13"/>
        <v>4</v>
      </c>
      <c r="W47" s="63" t="e">
        <f t="shared" si="14"/>
        <v>#VALUE!</v>
      </c>
      <c r="X47" s="63" t="e">
        <f t="shared" si="15"/>
        <v>#VALUE!</v>
      </c>
      <c r="Y47" s="63" t="str">
        <f>IFERROR(VLOOKUP(MID(T47,W47,X47-W47),[6]skilldef!$C:$D,2,FALSE),"-") &amp; " / " &amp; IFERROR(VLOOKUP(MID(T47,U47,V47-U47),[6]skilldef!$A:$B,2,FALSE),"-")</f>
        <v>- / -</v>
      </c>
      <c r="Z47" s="50"/>
      <c r="AA47" s="52"/>
      <c r="AB47" s="50"/>
    </row>
    <row r="48" spans="1:28" ht="21" customHeight="1" x14ac:dyDescent="0.15">
      <c r="A48" s="47">
        <v>65526046</v>
      </c>
      <c r="B48" s="47" t="s">
        <v>304</v>
      </c>
      <c r="C48" s="50">
        <v>1</v>
      </c>
      <c r="D48" s="50" t="s">
        <v>127</v>
      </c>
      <c r="E48" s="51" t="s">
        <v>292</v>
      </c>
      <c r="F48" s="51" t="s">
        <v>272</v>
      </c>
      <c r="G48" s="63" t="str">
        <f t="shared" si="0"/>
        <v>[effect:nothing]</v>
      </c>
      <c r="H48" s="63">
        <f t="shared" si="1"/>
        <v>9</v>
      </c>
      <c r="I48" s="63">
        <f t="shared" si="2"/>
        <v>16</v>
      </c>
      <c r="J48" s="63" t="e">
        <f t="shared" si="3"/>
        <v>#VALUE!</v>
      </c>
      <c r="K48" s="63" t="e">
        <f t="shared" si="4"/>
        <v>#VALUE!</v>
      </c>
      <c r="L48" s="63" t="str">
        <f>IFERROR(VLOOKUP(MID(G48,J48,K48-J48),[6]skilldef!$C:$D,2,FALSE),"-") &amp; " / " &amp; IFERROR(VLOOKUP(MID(G48,H48,I48-H48),[6]skilldef!$A:$B,2,FALSE),"-")</f>
        <v>- / 何もしない</v>
      </c>
      <c r="M48" s="63" t="str">
        <f t="shared" si="5"/>
        <v>none</v>
      </c>
      <c r="N48" s="48" t="str">
        <f t="shared" si="6"/>
        <v>none</v>
      </c>
      <c r="O48" s="63" t="e">
        <f t="shared" si="7"/>
        <v>#VALUE!</v>
      </c>
      <c r="P48" s="63">
        <f t="shared" si="8"/>
        <v>4</v>
      </c>
      <c r="Q48" s="63" t="e">
        <f t="shared" si="9"/>
        <v>#VALUE!</v>
      </c>
      <c r="R48" s="63" t="e">
        <f t="shared" si="10"/>
        <v>#VALUE!</v>
      </c>
      <c r="S48" s="63" t="str">
        <f>IFERROR(VLOOKUP(MID(N48,Q48,R48-Q48),[6]skilldef!$C:$D,2,FALSE),"-") &amp; " / " &amp; IFERROR(VLOOKUP(MID(N48,O48,P48-O48),[6]skilldef!$A:$B,2,FALSE),"-")</f>
        <v>- / -</v>
      </c>
      <c r="T48" s="48" t="str">
        <f t="shared" si="11"/>
        <v>none</v>
      </c>
      <c r="U48" s="63" t="e">
        <f t="shared" si="12"/>
        <v>#VALUE!</v>
      </c>
      <c r="V48" s="63">
        <f t="shared" si="13"/>
        <v>4</v>
      </c>
      <c r="W48" s="63" t="e">
        <f t="shared" si="14"/>
        <v>#VALUE!</v>
      </c>
      <c r="X48" s="63" t="e">
        <f t="shared" si="15"/>
        <v>#VALUE!</v>
      </c>
      <c r="Y48" s="63" t="str">
        <f>IFERROR(VLOOKUP(MID(T48,W48,X48-W48),[6]skilldef!$C:$D,2,FALSE),"-") &amp; " / " &amp; IFERROR(VLOOKUP(MID(T48,U48,V48-U48),[6]skilldef!$A:$B,2,FALSE),"-")</f>
        <v>- / -</v>
      </c>
      <c r="Z48" s="50"/>
      <c r="AA48" s="52"/>
      <c r="AB48" s="50"/>
    </row>
    <row r="49" spans="1:28" ht="21" customHeight="1" x14ac:dyDescent="0.15">
      <c r="A49" s="47">
        <v>65526047</v>
      </c>
      <c r="B49" s="47" t="s">
        <v>304</v>
      </c>
      <c r="C49" s="50">
        <v>1</v>
      </c>
      <c r="D49" s="50" t="s">
        <v>127</v>
      </c>
      <c r="E49" s="51" t="s">
        <v>292</v>
      </c>
      <c r="F49" s="51" t="s">
        <v>272</v>
      </c>
      <c r="G49" s="63" t="str">
        <f t="shared" si="0"/>
        <v>[effect:nothing]</v>
      </c>
      <c r="H49" s="63">
        <f t="shared" si="1"/>
        <v>9</v>
      </c>
      <c r="I49" s="63">
        <f t="shared" si="2"/>
        <v>16</v>
      </c>
      <c r="J49" s="63" t="e">
        <f t="shared" si="3"/>
        <v>#VALUE!</v>
      </c>
      <c r="K49" s="63" t="e">
        <f t="shared" si="4"/>
        <v>#VALUE!</v>
      </c>
      <c r="L49" s="63" t="str">
        <f>IFERROR(VLOOKUP(MID(G49,J49,K49-J49),[6]skilldef!$C:$D,2,FALSE),"-") &amp; " / " &amp; IFERROR(VLOOKUP(MID(G49,H49,I49-H49),[6]skilldef!$A:$B,2,FALSE),"-")</f>
        <v>- / 何もしない</v>
      </c>
      <c r="M49" s="63" t="str">
        <f t="shared" si="5"/>
        <v>none</v>
      </c>
      <c r="N49" s="48" t="str">
        <f t="shared" si="6"/>
        <v>none</v>
      </c>
      <c r="O49" s="63" t="e">
        <f t="shared" si="7"/>
        <v>#VALUE!</v>
      </c>
      <c r="P49" s="63">
        <f t="shared" si="8"/>
        <v>4</v>
      </c>
      <c r="Q49" s="63" t="e">
        <f t="shared" si="9"/>
        <v>#VALUE!</v>
      </c>
      <c r="R49" s="63" t="e">
        <f t="shared" si="10"/>
        <v>#VALUE!</v>
      </c>
      <c r="S49" s="63" t="str">
        <f>IFERROR(VLOOKUP(MID(N49,Q49,R49-Q49),[6]skilldef!$C:$D,2,FALSE),"-") &amp; " / " &amp; IFERROR(VLOOKUP(MID(N49,O49,P49-O49),[6]skilldef!$A:$B,2,FALSE),"-")</f>
        <v>- / -</v>
      </c>
      <c r="T49" s="48" t="str">
        <f t="shared" si="11"/>
        <v>none</v>
      </c>
      <c r="U49" s="63" t="e">
        <f t="shared" si="12"/>
        <v>#VALUE!</v>
      </c>
      <c r="V49" s="63">
        <f t="shared" si="13"/>
        <v>4</v>
      </c>
      <c r="W49" s="63" t="e">
        <f t="shared" si="14"/>
        <v>#VALUE!</v>
      </c>
      <c r="X49" s="63" t="e">
        <f t="shared" si="15"/>
        <v>#VALUE!</v>
      </c>
      <c r="Y49" s="63" t="str">
        <f>IFERROR(VLOOKUP(MID(T49,W49,X49-W49),[6]skilldef!$C:$D,2,FALSE),"-") &amp; " / " &amp; IFERROR(VLOOKUP(MID(T49,U49,V49-U49),[6]skilldef!$A:$B,2,FALSE),"-")</f>
        <v>- / -</v>
      </c>
      <c r="Z49" s="50"/>
      <c r="AA49" s="52"/>
      <c r="AB49" s="50"/>
    </row>
    <row r="50" spans="1:28" ht="21" customHeight="1" x14ac:dyDescent="0.15">
      <c r="A50" s="47">
        <v>65526048</v>
      </c>
      <c r="B50" s="47" t="s">
        <v>304</v>
      </c>
      <c r="C50" s="50">
        <v>1</v>
      </c>
      <c r="D50" s="50" t="s">
        <v>127</v>
      </c>
      <c r="E50" s="51" t="s">
        <v>292</v>
      </c>
      <c r="F50" s="51" t="s">
        <v>272</v>
      </c>
      <c r="G50" s="63" t="str">
        <f t="shared" si="0"/>
        <v>[effect:nothing]</v>
      </c>
      <c r="H50" s="63">
        <f t="shared" si="1"/>
        <v>9</v>
      </c>
      <c r="I50" s="63">
        <f t="shared" si="2"/>
        <v>16</v>
      </c>
      <c r="J50" s="63" t="e">
        <f t="shared" si="3"/>
        <v>#VALUE!</v>
      </c>
      <c r="K50" s="63" t="e">
        <f t="shared" si="4"/>
        <v>#VALUE!</v>
      </c>
      <c r="L50" s="63" t="str">
        <f>IFERROR(VLOOKUP(MID(G50,J50,K50-J50),[6]skilldef!$C:$D,2,FALSE),"-") &amp; " / " &amp; IFERROR(VLOOKUP(MID(G50,H50,I50-H50),[6]skilldef!$A:$B,2,FALSE),"-")</f>
        <v>- / 何もしない</v>
      </c>
      <c r="M50" s="63" t="str">
        <f t="shared" si="5"/>
        <v>none</v>
      </c>
      <c r="N50" s="48" t="str">
        <f t="shared" si="6"/>
        <v>none</v>
      </c>
      <c r="O50" s="63" t="e">
        <f t="shared" si="7"/>
        <v>#VALUE!</v>
      </c>
      <c r="P50" s="63">
        <f t="shared" si="8"/>
        <v>4</v>
      </c>
      <c r="Q50" s="63" t="e">
        <f t="shared" si="9"/>
        <v>#VALUE!</v>
      </c>
      <c r="R50" s="63" t="e">
        <f t="shared" si="10"/>
        <v>#VALUE!</v>
      </c>
      <c r="S50" s="63" t="str">
        <f>IFERROR(VLOOKUP(MID(N50,Q50,R50-Q50),[6]skilldef!$C:$D,2,FALSE),"-") &amp; " / " &amp; IFERROR(VLOOKUP(MID(N50,O50,P50-O50),[6]skilldef!$A:$B,2,FALSE),"-")</f>
        <v>- / -</v>
      </c>
      <c r="T50" s="48" t="str">
        <f t="shared" si="11"/>
        <v>none</v>
      </c>
      <c r="U50" s="63" t="e">
        <f t="shared" si="12"/>
        <v>#VALUE!</v>
      </c>
      <c r="V50" s="63">
        <f t="shared" si="13"/>
        <v>4</v>
      </c>
      <c r="W50" s="63" t="e">
        <f t="shared" si="14"/>
        <v>#VALUE!</v>
      </c>
      <c r="X50" s="63" t="e">
        <f t="shared" si="15"/>
        <v>#VALUE!</v>
      </c>
      <c r="Y50" s="63" t="str">
        <f>IFERROR(VLOOKUP(MID(T50,W50,X50-W50),[6]skilldef!$C:$D,2,FALSE),"-") &amp; " / " &amp; IFERROR(VLOOKUP(MID(T50,U50,V50-U50),[6]skilldef!$A:$B,2,FALSE),"-")</f>
        <v>- / -</v>
      </c>
      <c r="Z50" s="50"/>
      <c r="AA50" s="52"/>
      <c r="AB50" s="50"/>
    </row>
    <row r="51" spans="1:28" ht="21" customHeight="1" x14ac:dyDescent="0.15">
      <c r="A51" s="47">
        <v>65526049</v>
      </c>
      <c r="B51" s="47" t="s">
        <v>304</v>
      </c>
      <c r="C51" s="50">
        <v>1</v>
      </c>
      <c r="D51" s="50" t="s">
        <v>127</v>
      </c>
      <c r="E51" s="51" t="s">
        <v>292</v>
      </c>
      <c r="F51" s="51" t="s">
        <v>272</v>
      </c>
      <c r="G51" s="63" t="str">
        <f t="shared" si="0"/>
        <v>[effect:nothing]</v>
      </c>
      <c r="H51" s="63">
        <f t="shared" si="1"/>
        <v>9</v>
      </c>
      <c r="I51" s="63">
        <f t="shared" si="2"/>
        <v>16</v>
      </c>
      <c r="J51" s="63" t="e">
        <f t="shared" si="3"/>
        <v>#VALUE!</v>
      </c>
      <c r="K51" s="63" t="e">
        <f t="shared" si="4"/>
        <v>#VALUE!</v>
      </c>
      <c r="L51" s="63" t="str">
        <f>IFERROR(VLOOKUP(MID(G51,J51,K51-J51),[6]skilldef!$C:$D,2,FALSE),"-") &amp; " / " &amp; IFERROR(VLOOKUP(MID(G51,H51,I51-H51),[6]skilldef!$A:$B,2,FALSE),"-")</f>
        <v>- / 何もしない</v>
      </c>
      <c r="M51" s="63" t="str">
        <f t="shared" si="5"/>
        <v>none</v>
      </c>
      <c r="N51" s="48" t="str">
        <f t="shared" si="6"/>
        <v>none</v>
      </c>
      <c r="O51" s="63" t="e">
        <f t="shared" si="7"/>
        <v>#VALUE!</v>
      </c>
      <c r="P51" s="63">
        <f t="shared" si="8"/>
        <v>4</v>
      </c>
      <c r="Q51" s="63" t="e">
        <f t="shared" si="9"/>
        <v>#VALUE!</v>
      </c>
      <c r="R51" s="63" t="e">
        <f t="shared" si="10"/>
        <v>#VALUE!</v>
      </c>
      <c r="S51" s="63" t="str">
        <f>IFERROR(VLOOKUP(MID(N51,Q51,R51-Q51),[6]skilldef!$C:$D,2,FALSE),"-") &amp; " / " &amp; IFERROR(VLOOKUP(MID(N51,O51,P51-O51),[6]skilldef!$A:$B,2,FALSE),"-")</f>
        <v>- / -</v>
      </c>
      <c r="T51" s="48" t="str">
        <f t="shared" si="11"/>
        <v>none</v>
      </c>
      <c r="U51" s="63" t="e">
        <f t="shared" si="12"/>
        <v>#VALUE!</v>
      </c>
      <c r="V51" s="63">
        <f t="shared" si="13"/>
        <v>4</v>
      </c>
      <c r="W51" s="63" t="e">
        <f t="shared" si="14"/>
        <v>#VALUE!</v>
      </c>
      <c r="X51" s="63" t="e">
        <f t="shared" si="15"/>
        <v>#VALUE!</v>
      </c>
      <c r="Y51" s="63" t="str">
        <f>IFERROR(VLOOKUP(MID(T51,W51,X51-W51),[6]skilldef!$C:$D,2,FALSE),"-") &amp; " / " &amp; IFERROR(VLOOKUP(MID(T51,U51,V51-U51),[6]skilldef!$A:$B,2,FALSE),"-")</f>
        <v>- / -</v>
      </c>
      <c r="Z51" s="50"/>
      <c r="AA51" s="52"/>
      <c r="AB51" s="50"/>
    </row>
    <row r="52" spans="1:28" ht="21" customHeight="1" x14ac:dyDescent="0.15">
      <c r="A52" s="47">
        <v>65526050</v>
      </c>
      <c r="B52" s="47" t="s">
        <v>319</v>
      </c>
      <c r="C52" s="50">
        <v>1</v>
      </c>
      <c r="D52" s="50" t="s">
        <v>127</v>
      </c>
      <c r="E52" s="51" t="s">
        <v>298</v>
      </c>
      <c r="F52" s="51" t="s">
        <v>299</v>
      </c>
      <c r="G52" s="63" t="str">
        <f t="shared" si="0"/>
        <v>[effect:tolerance, target:myself, turn:-1, count:-1, tolerance_effect:all, animation:enemy_tolerance]</v>
      </c>
      <c r="H52" s="63">
        <f t="shared" si="1"/>
        <v>9</v>
      </c>
      <c r="I52" s="63">
        <f t="shared" si="2"/>
        <v>18</v>
      </c>
      <c r="J52" s="63">
        <f t="shared" si="3"/>
        <v>27</v>
      </c>
      <c r="K52" s="63">
        <f t="shared" si="4"/>
        <v>33</v>
      </c>
      <c r="L52" s="63" t="str">
        <f>IFERROR(VLOOKUP(MID(G52,J52,K52-J52),[6]skilldef!$C:$D,2,FALSE),"-") &amp; " / " &amp; IFERROR(VLOOKUP(MID(G52,H52,I52-H52),[6]skilldef!$A:$B,2,FALSE),"-")</f>
        <v>自分自身に / 状態異常耐性</v>
      </c>
      <c r="M52" s="63" t="str">
        <f t="shared" si="5"/>
        <v>[effect:drop_block, block_type:normal, block_color:block_heart, color:block_green, val:0, rate:1, turn:-1, animation:block_incidence04]</v>
      </c>
      <c r="N52" s="48" t="str">
        <f t="shared" si="6"/>
        <v>[effect:drop_block, block_type:normal, block_color:block_heart, color:block_green, val:0, rate:1, turn:-1, animation:block_incidence04]</v>
      </c>
      <c r="O52" s="63">
        <f t="shared" si="7"/>
        <v>9</v>
      </c>
      <c r="P52" s="63">
        <f t="shared" si="8"/>
        <v>19</v>
      </c>
      <c r="Q52" s="63" t="e">
        <f t="shared" si="9"/>
        <v>#VALUE!</v>
      </c>
      <c r="R52" s="63">
        <f t="shared" si="10"/>
        <v>38</v>
      </c>
      <c r="S52" s="63" t="str">
        <f>IFERROR(VLOOKUP(MID(N52,Q52,R52-Q52),[6]skilldef!$C:$D,2,FALSE),"-") &amp; " / " &amp; IFERROR(VLOOKUP(MID(N52,O52,P52-O52),[6]skilldef!$A:$B,2,FALSE),"-")</f>
        <v>- / 特定ブロックの割合ドロップ</v>
      </c>
      <c r="T52" s="48" t="str">
        <f t="shared" si="11"/>
        <v>none</v>
      </c>
      <c r="U52" s="63" t="e">
        <f t="shared" si="12"/>
        <v>#VALUE!</v>
      </c>
      <c r="V52" s="63">
        <f t="shared" si="13"/>
        <v>4</v>
      </c>
      <c r="W52" s="63" t="e">
        <f t="shared" si="14"/>
        <v>#VALUE!</v>
      </c>
      <c r="X52" s="63" t="e">
        <f t="shared" si="15"/>
        <v>#VALUE!</v>
      </c>
      <c r="Y52" s="63" t="str">
        <f>IFERROR(VLOOKUP(MID(T52,W52,X52-W52),[6]skilldef!$C:$D,2,FALSE),"-") &amp; " / " &amp; IFERROR(VLOOKUP(MID(T52,U52,V52-U52),[6]skilldef!$A:$B,2,FALSE),"-")</f>
        <v>- / -</v>
      </c>
      <c r="Z52" s="50"/>
      <c r="AA52" s="52"/>
      <c r="AB52" s="50"/>
    </row>
    <row r="53" spans="1:28" ht="21" customHeight="1" x14ac:dyDescent="0.15">
      <c r="A53" s="47">
        <v>65526051</v>
      </c>
      <c r="B53" s="47" t="s">
        <v>306</v>
      </c>
      <c r="C53" s="50">
        <v>1</v>
      </c>
      <c r="D53" s="50" t="s">
        <v>127</v>
      </c>
      <c r="E53" s="51" t="s">
        <v>298</v>
      </c>
      <c r="F53" s="51" t="s">
        <v>294</v>
      </c>
      <c r="G53" s="63" t="str">
        <f t="shared" si="0"/>
        <v>[effect:spread, val:0.4]</v>
      </c>
      <c r="H53" s="63">
        <f t="shared" si="1"/>
        <v>9</v>
      </c>
      <c r="I53" s="63">
        <f t="shared" si="2"/>
        <v>15</v>
      </c>
      <c r="J53" s="63" t="e">
        <f t="shared" si="3"/>
        <v>#VALUE!</v>
      </c>
      <c r="K53" s="63" t="e">
        <f t="shared" si="4"/>
        <v>#VALUE!</v>
      </c>
      <c r="L53" s="63" t="str">
        <f>IFERROR(VLOOKUP(MID(G53,J53,K53-J53),[6]skilldef!$C:$D,2,FALSE),"-") &amp; " / " &amp; IFERROR(VLOOKUP(MID(G53,H53,I53-H53),[6]skilldef!$A:$B,2,FALSE),"-")</f>
        <v>- / 全体攻撃</v>
      </c>
      <c r="M53" s="63" t="str">
        <f t="shared" si="5"/>
        <v>none</v>
      </c>
      <c r="N53" s="48" t="str">
        <f t="shared" si="6"/>
        <v>none</v>
      </c>
      <c r="O53" s="63" t="e">
        <f t="shared" si="7"/>
        <v>#VALUE!</v>
      </c>
      <c r="P53" s="63">
        <f t="shared" si="8"/>
        <v>4</v>
      </c>
      <c r="Q53" s="63" t="e">
        <f t="shared" si="9"/>
        <v>#VALUE!</v>
      </c>
      <c r="R53" s="63" t="e">
        <f t="shared" si="10"/>
        <v>#VALUE!</v>
      </c>
      <c r="S53" s="63" t="str">
        <f>IFERROR(VLOOKUP(MID(N53,Q53,R53-Q53),[6]skilldef!$C:$D,2,FALSE),"-") &amp; " / " &amp; IFERROR(VLOOKUP(MID(N53,O53,P53-O53),[6]skilldef!$A:$B,2,FALSE),"-")</f>
        <v>- / -</v>
      </c>
      <c r="T53" s="48" t="str">
        <f t="shared" si="11"/>
        <v>none</v>
      </c>
      <c r="U53" s="63" t="e">
        <f t="shared" si="12"/>
        <v>#VALUE!</v>
      </c>
      <c r="V53" s="63">
        <f t="shared" si="13"/>
        <v>4</v>
      </c>
      <c r="W53" s="63" t="e">
        <f t="shared" si="14"/>
        <v>#VALUE!</v>
      </c>
      <c r="X53" s="63" t="e">
        <f t="shared" si="15"/>
        <v>#VALUE!</v>
      </c>
      <c r="Y53" s="63" t="str">
        <f>IFERROR(VLOOKUP(MID(T53,W53,X53-W53),[6]skilldef!$C:$D,2,FALSE),"-") &amp; " / " &amp; IFERROR(VLOOKUP(MID(T53,U53,V53-U53),[6]skilldef!$A:$B,2,FALSE),"-")</f>
        <v>- / -</v>
      </c>
      <c r="Z53" s="50"/>
      <c r="AA53" s="52"/>
      <c r="AB53" s="50"/>
    </row>
    <row r="54" spans="1:28" ht="21" customHeight="1" x14ac:dyDescent="0.15">
      <c r="A54" s="47">
        <v>65526052</v>
      </c>
      <c r="B54" s="47" t="s">
        <v>316</v>
      </c>
      <c r="C54" s="50">
        <v>1</v>
      </c>
      <c r="D54" s="50" t="s">
        <v>127</v>
      </c>
      <c r="E54" s="51" t="s">
        <v>298</v>
      </c>
      <c r="F54" s="51" t="s">
        <v>295</v>
      </c>
      <c r="G54" s="63" t="str">
        <f t="shared" si="0"/>
        <v>[effect:damage_anti_tribe, target:unit_one, tribe:samurai, val1:0.3, val2:0.1]</v>
      </c>
      <c r="H54" s="63">
        <f t="shared" si="1"/>
        <v>9</v>
      </c>
      <c r="I54" s="63">
        <f t="shared" si="2"/>
        <v>26</v>
      </c>
      <c r="J54" s="63">
        <f t="shared" si="3"/>
        <v>35</v>
      </c>
      <c r="K54" s="63">
        <f t="shared" si="4"/>
        <v>43</v>
      </c>
      <c r="L54" s="63" t="str">
        <f>IFERROR(VLOOKUP(MID(G54,J54,K54-J54),[6]skilldef!$C:$D,2,FALSE),"-") &amp; " / " &amp; IFERROR(VLOOKUP(MID(G54,H54,I54-H54),[6]skilldef!$A:$B,2,FALSE),"-")</f>
        <v>味方単体に / 種族キラー</v>
      </c>
      <c r="M54" s="63" t="str">
        <f t="shared" si="5"/>
        <v>[effect:damage_anti_tribe, target:unit_one, tribe:samurai, val1:0.3, val2:0.1],[effect:damage_anti_tribe, target:unit_one, tribe:samurai, val1:0.3, val2:0.1],[effect:damage_anti_tribe, target:unit_one, tribe:samurai, val1:0.3, val2:0.1]</v>
      </c>
      <c r="N54" s="48" t="str">
        <f t="shared" si="6"/>
        <v>[effect:damage_anti_tribe, target:unit_one, tribe:samurai, val1:0.3, val2:0.1],[effect:damage_anti_tribe, target:unit_one, tribe:samurai, val1:0.3, val2:0.1],[effect:damage_anti_tribe, target:unit_one, tribe:samurai, val1:0.3, val2:0.1]</v>
      </c>
      <c r="O54" s="63">
        <f t="shared" si="7"/>
        <v>9</v>
      </c>
      <c r="P54" s="63">
        <f t="shared" si="8"/>
        <v>26</v>
      </c>
      <c r="Q54" s="63">
        <f t="shared" si="9"/>
        <v>35</v>
      </c>
      <c r="R54" s="63">
        <f t="shared" si="10"/>
        <v>43</v>
      </c>
      <c r="S54" s="63" t="str">
        <f>IFERROR(VLOOKUP(MID(N54,Q54,R54-Q54),[6]skilldef!$C:$D,2,FALSE),"-") &amp; " / " &amp; IFERROR(VLOOKUP(MID(N54,O54,P54-O54),[6]skilldef!$A:$B,2,FALSE),"-")</f>
        <v>味方単体に / 種族キラー</v>
      </c>
      <c r="T54" s="48" t="str">
        <f t="shared" si="11"/>
        <v>[effect:damage_anti_tribe, target:unit_one, tribe:samurai, val1:0.3, val2:0.1],[effect:damage_anti_tribe, target:unit_one, tribe:samurai, val1:0.3, val2:0.1]</v>
      </c>
      <c r="U54" s="63">
        <f t="shared" si="12"/>
        <v>9</v>
      </c>
      <c r="V54" s="63">
        <f t="shared" si="13"/>
        <v>26</v>
      </c>
      <c r="W54" s="63">
        <f t="shared" si="14"/>
        <v>35</v>
      </c>
      <c r="X54" s="63">
        <f t="shared" si="15"/>
        <v>43</v>
      </c>
      <c r="Y54" s="63" t="str">
        <f>IFERROR(VLOOKUP(MID(T54,W54,X54-W54),[6]skilldef!$C:$D,2,FALSE),"-") &amp; " / " &amp; IFERROR(VLOOKUP(MID(T54,U54,V54-U54),[6]skilldef!$A:$B,2,FALSE),"-")</f>
        <v>味方単体に / 種族キラー</v>
      </c>
      <c r="Z54" s="50"/>
      <c r="AA54" s="52"/>
      <c r="AB54" s="50"/>
    </row>
    <row r="55" spans="1:28" ht="21" customHeight="1" x14ac:dyDescent="0.15">
      <c r="A55" s="47">
        <v>65526053</v>
      </c>
      <c r="B55" s="47" t="s">
        <v>307</v>
      </c>
      <c r="C55" s="50">
        <v>1</v>
      </c>
      <c r="D55" s="50" t="s">
        <v>127</v>
      </c>
      <c r="E55" s="51" t="s">
        <v>298</v>
      </c>
      <c r="F55" s="51" t="s">
        <v>296</v>
      </c>
      <c r="G55" s="63" t="str">
        <f t="shared" si="0"/>
        <v>[effect:force_change_block, new_block:block_heart, target:block_all, ignore01:crash, ignore02:crack_bomb, ignore03:damage, ignore04:time_bomb, ignore05:color_break, count:5, val:0, animation:change_block]</v>
      </c>
      <c r="H55" s="63">
        <f t="shared" si="1"/>
        <v>9</v>
      </c>
      <c r="I55" s="63">
        <f t="shared" si="2"/>
        <v>27</v>
      </c>
      <c r="J55" s="63">
        <f t="shared" si="3"/>
        <v>59</v>
      </c>
      <c r="K55" s="63">
        <f t="shared" si="4"/>
        <v>50</v>
      </c>
      <c r="L55" s="63" t="str">
        <f>IFERROR(VLOOKUP(MID(G55,J55,K55-J55),[6]skilldef!$C:$D,2,FALSE),"-") &amp; " / " &amp; IFERROR(VLOOKUP(MID(G55,H55,I55-H55),[6]skilldef!$A:$B,2,FALSE),"-")</f>
        <v>- / -</v>
      </c>
      <c r="M55" s="63" t="str">
        <f t="shared" si="5"/>
        <v>none</v>
      </c>
      <c r="N55" s="48" t="str">
        <f t="shared" si="6"/>
        <v>none</v>
      </c>
      <c r="O55" s="63" t="e">
        <f t="shared" si="7"/>
        <v>#VALUE!</v>
      </c>
      <c r="P55" s="63">
        <f t="shared" si="8"/>
        <v>4</v>
      </c>
      <c r="Q55" s="63" t="e">
        <f t="shared" si="9"/>
        <v>#VALUE!</v>
      </c>
      <c r="R55" s="63" t="e">
        <f t="shared" si="10"/>
        <v>#VALUE!</v>
      </c>
      <c r="S55" s="63" t="str">
        <f>IFERROR(VLOOKUP(MID(N55,Q55,R55-Q55),[6]skilldef!$C:$D,2,FALSE),"-") &amp; " / " &amp; IFERROR(VLOOKUP(MID(N55,O55,P55-O55),[6]skilldef!$A:$B,2,FALSE),"-")</f>
        <v>- / -</v>
      </c>
      <c r="T55" s="48" t="str">
        <f t="shared" si="11"/>
        <v>none</v>
      </c>
      <c r="U55" s="63" t="e">
        <f t="shared" si="12"/>
        <v>#VALUE!</v>
      </c>
      <c r="V55" s="63">
        <f t="shared" si="13"/>
        <v>4</v>
      </c>
      <c r="W55" s="63" t="e">
        <f t="shared" si="14"/>
        <v>#VALUE!</v>
      </c>
      <c r="X55" s="63" t="e">
        <f t="shared" si="15"/>
        <v>#VALUE!</v>
      </c>
      <c r="Y55" s="63" t="str">
        <f>IFERROR(VLOOKUP(MID(T55,W55,X55-W55),[6]skilldef!$C:$D,2,FALSE),"-") &amp; " / " &amp; IFERROR(VLOOKUP(MID(T55,U55,V55-U55),[6]skilldef!$A:$B,2,FALSE),"-")</f>
        <v>- / -</v>
      </c>
      <c r="Z55" s="50"/>
      <c r="AA55" s="52"/>
      <c r="AB55" s="50"/>
    </row>
    <row r="56" spans="1:28" ht="21" customHeight="1" x14ac:dyDescent="0.15">
      <c r="A56" s="47">
        <v>65526054</v>
      </c>
      <c r="B56" s="47" t="s">
        <v>311</v>
      </c>
      <c r="C56" s="50">
        <v>1</v>
      </c>
      <c r="D56" s="50" t="s">
        <v>127</v>
      </c>
      <c r="E56" s="51" t="s">
        <v>298</v>
      </c>
      <c r="F56" s="51" t="s">
        <v>300</v>
      </c>
      <c r="G56" s="63" t="str">
        <f t="shared" si="0"/>
        <v>[effect:break_attack, target:unit_one, val:0.2, lowest_val:0, count:-1, color:yellow, block_color:block_heart, block01:block_all, ignore01:crack_bomb, ignore02:color_break]</v>
      </c>
      <c r="H56" s="63">
        <f t="shared" si="1"/>
        <v>9</v>
      </c>
      <c r="I56" s="63">
        <f t="shared" si="2"/>
        <v>21</v>
      </c>
      <c r="J56" s="63">
        <f t="shared" si="3"/>
        <v>30</v>
      </c>
      <c r="K56" s="63">
        <f t="shared" si="4"/>
        <v>38</v>
      </c>
      <c r="L56" s="63" t="str">
        <f>IFERROR(VLOOKUP(MID(G56,J56,K56-J56),[6]skilldef!$C:$D,2,FALSE),"-") &amp; " / " &amp; IFERROR(VLOOKUP(MID(G56,H56,I56-H56),[6]skilldef!$A:$B,2,FALSE),"-")</f>
        <v>味方単体に / -</v>
      </c>
      <c r="M56" s="63" t="str">
        <f t="shared" si="5"/>
        <v>none</v>
      </c>
      <c r="N56" s="48" t="str">
        <f t="shared" si="6"/>
        <v>none</v>
      </c>
      <c r="O56" s="63" t="e">
        <f t="shared" si="7"/>
        <v>#VALUE!</v>
      </c>
      <c r="P56" s="63">
        <f t="shared" si="8"/>
        <v>4</v>
      </c>
      <c r="Q56" s="63" t="e">
        <f t="shared" si="9"/>
        <v>#VALUE!</v>
      </c>
      <c r="R56" s="63" t="e">
        <f t="shared" si="10"/>
        <v>#VALUE!</v>
      </c>
      <c r="S56" s="63" t="str">
        <f>IFERROR(VLOOKUP(MID(N56,Q56,R56-Q56),[6]skilldef!$C:$D,2,FALSE),"-") &amp; " / " &amp; IFERROR(VLOOKUP(MID(N56,O56,P56-O56),[6]skilldef!$A:$B,2,FALSE),"-")</f>
        <v>- / -</v>
      </c>
      <c r="T56" s="48" t="str">
        <f t="shared" si="11"/>
        <v>none</v>
      </c>
      <c r="U56" s="63" t="e">
        <f t="shared" si="12"/>
        <v>#VALUE!</v>
      </c>
      <c r="V56" s="63">
        <f t="shared" si="13"/>
        <v>4</v>
      </c>
      <c r="W56" s="63" t="e">
        <f t="shared" si="14"/>
        <v>#VALUE!</v>
      </c>
      <c r="X56" s="63" t="e">
        <f t="shared" si="15"/>
        <v>#VALUE!</v>
      </c>
      <c r="Y56" s="63" t="str">
        <f>IFERROR(VLOOKUP(MID(T56,W56,X56-W56),[6]skilldef!$C:$D,2,FALSE),"-") &amp; " / " &amp; IFERROR(VLOOKUP(MID(T56,U56,V56-U56),[6]skilldef!$A:$B,2,FALSE),"-")</f>
        <v>- / -</v>
      </c>
      <c r="Z56" s="50"/>
      <c r="AA56" s="52"/>
      <c r="AB56" s="50"/>
    </row>
    <row r="57" spans="1:28" ht="21" customHeight="1" x14ac:dyDescent="0.15">
      <c r="A57" s="47">
        <v>65526055</v>
      </c>
      <c r="B57" s="47" t="s">
        <v>318</v>
      </c>
      <c r="C57" s="50">
        <v>1</v>
      </c>
      <c r="D57" s="50" t="s">
        <v>127</v>
      </c>
      <c r="E57" s="51" t="s">
        <v>298</v>
      </c>
      <c r="F57" s="51" t="s">
        <v>301</v>
      </c>
      <c r="G57" s="63" t="str">
        <f t="shared" si="0"/>
        <v>[effect:force_change_block, new_block:block_heart, target:block_all, ignore01:crash, ignore02:crack_bomb, ignore03:damage, ignore04:time_bomb, ignore05:block_heart, count:-1, val:0, animation:change_block]</v>
      </c>
      <c r="H57" s="63">
        <f t="shared" si="1"/>
        <v>9</v>
      </c>
      <c r="I57" s="63">
        <f t="shared" si="2"/>
        <v>27</v>
      </c>
      <c r="J57" s="63">
        <f t="shared" si="3"/>
        <v>59</v>
      </c>
      <c r="K57" s="63">
        <f t="shared" si="4"/>
        <v>50</v>
      </c>
      <c r="L57" s="63" t="str">
        <f>IFERROR(VLOOKUP(MID(G57,J57,K57-J57),[6]skilldef!$C:$D,2,FALSE),"-") &amp; " / " &amp; IFERROR(VLOOKUP(MID(G57,H57,I57-H57),[6]skilldef!$A:$B,2,FALSE),"-")</f>
        <v>- / -</v>
      </c>
      <c r="M57" s="63" t="str">
        <f t="shared" si="5"/>
        <v>none</v>
      </c>
      <c r="N57" s="48" t="str">
        <f t="shared" si="6"/>
        <v>none</v>
      </c>
      <c r="O57" s="63" t="e">
        <f t="shared" si="7"/>
        <v>#VALUE!</v>
      </c>
      <c r="P57" s="63">
        <f t="shared" si="8"/>
        <v>4</v>
      </c>
      <c r="Q57" s="63" t="e">
        <f t="shared" si="9"/>
        <v>#VALUE!</v>
      </c>
      <c r="R57" s="63" t="e">
        <f t="shared" si="10"/>
        <v>#VALUE!</v>
      </c>
      <c r="S57" s="63" t="str">
        <f>IFERROR(VLOOKUP(MID(N57,Q57,R57-Q57),[6]skilldef!$C:$D,2,FALSE),"-") &amp; " / " &amp; IFERROR(VLOOKUP(MID(N57,O57,P57-O57),[6]skilldef!$A:$B,2,FALSE),"-")</f>
        <v>- / -</v>
      </c>
      <c r="T57" s="48" t="str">
        <f t="shared" si="11"/>
        <v>none</v>
      </c>
      <c r="U57" s="63" t="e">
        <f t="shared" si="12"/>
        <v>#VALUE!</v>
      </c>
      <c r="V57" s="63">
        <f t="shared" si="13"/>
        <v>4</v>
      </c>
      <c r="W57" s="63" t="e">
        <f t="shared" si="14"/>
        <v>#VALUE!</v>
      </c>
      <c r="X57" s="63" t="e">
        <f t="shared" si="15"/>
        <v>#VALUE!</v>
      </c>
      <c r="Y57" s="63" t="str">
        <f>IFERROR(VLOOKUP(MID(T57,W57,X57-W57),[6]skilldef!$C:$D,2,FALSE),"-") &amp; " / " &amp; IFERROR(VLOOKUP(MID(T57,U57,V57-U57),[6]skilldef!$A:$B,2,FALSE),"-")</f>
        <v>- / -</v>
      </c>
      <c r="Z57" s="50"/>
      <c r="AA57" s="52"/>
      <c r="AB57" s="50"/>
    </row>
    <row r="58" spans="1:28" ht="21" customHeight="1" x14ac:dyDescent="0.15">
      <c r="A58" s="47">
        <v>65526056</v>
      </c>
      <c r="B58" s="47" t="s">
        <v>311</v>
      </c>
      <c r="C58" s="50">
        <v>1</v>
      </c>
      <c r="D58" s="50" t="s">
        <v>127</v>
      </c>
      <c r="E58" s="51" t="s">
        <v>298</v>
      </c>
      <c r="F58" s="51" t="s">
        <v>302</v>
      </c>
      <c r="G58" s="63" t="str">
        <f t="shared" si="0"/>
        <v>[effect:break_attack, target:unit_one, val:0.2, lowest_val:0, count:-1, color:yellow, block_color:block_heart, block01:block_all, ignore01:crack_bomb, ignore02:color_break]</v>
      </c>
      <c r="H58" s="63">
        <f t="shared" si="1"/>
        <v>9</v>
      </c>
      <c r="I58" s="63">
        <f t="shared" si="2"/>
        <v>21</v>
      </c>
      <c r="J58" s="63">
        <f t="shared" si="3"/>
        <v>30</v>
      </c>
      <c r="K58" s="63">
        <f t="shared" si="4"/>
        <v>38</v>
      </c>
      <c r="L58" s="63" t="str">
        <f>IFERROR(VLOOKUP(MID(G58,J58,K58-J58),[6]skilldef!$C:$D,2,FALSE),"-") &amp; " / " &amp; IFERROR(VLOOKUP(MID(G58,H58,I58-H58),[6]skilldef!$A:$B,2,FALSE),"-")</f>
        <v>味方単体に / -</v>
      </c>
      <c r="M58" s="63" t="str">
        <f t="shared" si="5"/>
        <v>none</v>
      </c>
      <c r="N58" s="48" t="str">
        <f t="shared" si="6"/>
        <v>none</v>
      </c>
      <c r="O58" s="63" t="e">
        <f t="shared" si="7"/>
        <v>#VALUE!</v>
      </c>
      <c r="P58" s="63">
        <f t="shared" si="8"/>
        <v>4</v>
      </c>
      <c r="Q58" s="63" t="e">
        <f t="shared" si="9"/>
        <v>#VALUE!</v>
      </c>
      <c r="R58" s="63" t="e">
        <f t="shared" si="10"/>
        <v>#VALUE!</v>
      </c>
      <c r="S58" s="63" t="str">
        <f>IFERROR(VLOOKUP(MID(N58,Q58,R58-Q58),[6]skilldef!$C:$D,2,FALSE),"-") &amp; " / " &amp; IFERROR(VLOOKUP(MID(N58,O58,P58-O58),[6]skilldef!$A:$B,2,FALSE),"-")</f>
        <v>- / -</v>
      </c>
      <c r="T58" s="48" t="str">
        <f t="shared" si="11"/>
        <v>none</v>
      </c>
      <c r="U58" s="63" t="e">
        <f t="shared" si="12"/>
        <v>#VALUE!</v>
      </c>
      <c r="V58" s="63">
        <f t="shared" si="13"/>
        <v>4</v>
      </c>
      <c r="W58" s="63" t="e">
        <f t="shared" si="14"/>
        <v>#VALUE!</v>
      </c>
      <c r="X58" s="63" t="e">
        <f t="shared" si="15"/>
        <v>#VALUE!</v>
      </c>
      <c r="Y58" s="63" t="str">
        <f>IFERROR(VLOOKUP(MID(T58,W58,X58-W58),[6]skilldef!$C:$D,2,FALSE),"-") &amp; " / " &amp; IFERROR(VLOOKUP(MID(T58,U58,V58-U58),[6]skilldef!$A:$B,2,FALSE),"-")</f>
        <v>- / -</v>
      </c>
      <c r="Z58" s="50"/>
      <c r="AA58" s="52"/>
      <c r="AB58" s="50"/>
    </row>
    <row r="59" spans="1:28" ht="21" customHeight="1" x14ac:dyDescent="0.15">
      <c r="A59" s="47">
        <v>65526057</v>
      </c>
      <c r="B59" s="47" t="s">
        <v>304</v>
      </c>
      <c r="C59" s="50">
        <v>1</v>
      </c>
      <c r="D59" s="50" t="s">
        <v>127</v>
      </c>
      <c r="E59" s="51" t="s">
        <v>298</v>
      </c>
      <c r="F59" s="51" t="s">
        <v>272</v>
      </c>
      <c r="G59" s="63" t="str">
        <f t="shared" si="0"/>
        <v>[effect:nothing]</v>
      </c>
      <c r="H59" s="63">
        <f t="shared" si="1"/>
        <v>9</v>
      </c>
      <c r="I59" s="63">
        <f t="shared" si="2"/>
        <v>16</v>
      </c>
      <c r="J59" s="63" t="e">
        <f t="shared" si="3"/>
        <v>#VALUE!</v>
      </c>
      <c r="K59" s="63" t="e">
        <f t="shared" si="4"/>
        <v>#VALUE!</v>
      </c>
      <c r="L59" s="63" t="str">
        <f>IFERROR(VLOOKUP(MID(G59,J59,K59-J59),[6]skilldef!$C:$D,2,FALSE),"-") &amp; " / " &amp; IFERROR(VLOOKUP(MID(G59,H59,I59-H59),[6]skilldef!$A:$B,2,FALSE),"-")</f>
        <v>- / 何もしない</v>
      </c>
      <c r="M59" s="63" t="str">
        <f t="shared" si="5"/>
        <v>none</v>
      </c>
      <c r="N59" s="48" t="str">
        <f t="shared" si="6"/>
        <v>none</v>
      </c>
      <c r="O59" s="63" t="e">
        <f t="shared" si="7"/>
        <v>#VALUE!</v>
      </c>
      <c r="P59" s="63">
        <f t="shared" si="8"/>
        <v>4</v>
      </c>
      <c r="Q59" s="63" t="e">
        <f t="shared" si="9"/>
        <v>#VALUE!</v>
      </c>
      <c r="R59" s="63" t="e">
        <f t="shared" si="10"/>
        <v>#VALUE!</v>
      </c>
      <c r="S59" s="63" t="str">
        <f>IFERROR(VLOOKUP(MID(N59,Q59,R59-Q59),[6]skilldef!$C:$D,2,FALSE),"-") &amp; " / " &amp; IFERROR(VLOOKUP(MID(N59,O59,P59-O59),[6]skilldef!$A:$B,2,FALSE),"-")</f>
        <v>- / -</v>
      </c>
      <c r="T59" s="48" t="str">
        <f t="shared" si="11"/>
        <v>none</v>
      </c>
      <c r="U59" s="63" t="e">
        <f t="shared" si="12"/>
        <v>#VALUE!</v>
      </c>
      <c r="V59" s="63">
        <f t="shared" si="13"/>
        <v>4</v>
      </c>
      <c r="W59" s="63" t="e">
        <f t="shared" si="14"/>
        <v>#VALUE!</v>
      </c>
      <c r="X59" s="63" t="e">
        <f t="shared" si="15"/>
        <v>#VALUE!</v>
      </c>
      <c r="Y59" s="63" t="str">
        <f>IFERROR(VLOOKUP(MID(T59,W59,X59-W59),[6]skilldef!$C:$D,2,FALSE),"-") &amp; " / " &amp; IFERROR(VLOOKUP(MID(T59,U59,V59-U59),[6]skilldef!$A:$B,2,FALSE),"-")</f>
        <v>- / -</v>
      </c>
      <c r="Z59" s="50"/>
      <c r="AA59" s="52"/>
      <c r="AB59" s="50"/>
    </row>
    <row r="60" spans="1:28" ht="21" customHeight="1" x14ac:dyDescent="0.15">
      <c r="A60" s="47">
        <v>65526058</v>
      </c>
      <c r="B60" s="47" t="s">
        <v>304</v>
      </c>
      <c r="C60" s="50">
        <v>1</v>
      </c>
      <c r="D60" s="50" t="s">
        <v>127</v>
      </c>
      <c r="E60" s="51" t="s">
        <v>298</v>
      </c>
      <c r="F60" s="51" t="s">
        <v>272</v>
      </c>
      <c r="G60" s="63" t="str">
        <f t="shared" si="0"/>
        <v>[effect:nothing]</v>
      </c>
      <c r="H60" s="63">
        <f t="shared" si="1"/>
        <v>9</v>
      </c>
      <c r="I60" s="63">
        <f t="shared" si="2"/>
        <v>16</v>
      </c>
      <c r="J60" s="63" t="e">
        <f t="shared" si="3"/>
        <v>#VALUE!</v>
      </c>
      <c r="K60" s="63" t="e">
        <f t="shared" si="4"/>
        <v>#VALUE!</v>
      </c>
      <c r="L60" s="63" t="str">
        <f>IFERROR(VLOOKUP(MID(G60,J60,K60-J60),[6]skilldef!$C:$D,2,FALSE),"-") &amp; " / " &amp; IFERROR(VLOOKUP(MID(G60,H60,I60-H60),[6]skilldef!$A:$B,2,FALSE),"-")</f>
        <v>- / 何もしない</v>
      </c>
      <c r="M60" s="63" t="str">
        <f t="shared" si="5"/>
        <v>none</v>
      </c>
      <c r="N60" s="48" t="str">
        <f t="shared" si="6"/>
        <v>none</v>
      </c>
      <c r="O60" s="63" t="e">
        <f t="shared" si="7"/>
        <v>#VALUE!</v>
      </c>
      <c r="P60" s="63">
        <f t="shared" si="8"/>
        <v>4</v>
      </c>
      <c r="Q60" s="63" t="e">
        <f t="shared" si="9"/>
        <v>#VALUE!</v>
      </c>
      <c r="R60" s="63" t="e">
        <f t="shared" si="10"/>
        <v>#VALUE!</v>
      </c>
      <c r="S60" s="63" t="str">
        <f>IFERROR(VLOOKUP(MID(N60,Q60,R60-Q60),[6]skilldef!$C:$D,2,FALSE),"-") &amp; " / " &amp; IFERROR(VLOOKUP(MID(N60,O60,P60-O60),[6]skilldef!$A:$B,2,FALSE),"-")</f>
        <v>- / -</v>
      </c>
      <c r="T60" s="48" t="str">
        <f t="shared" si="11"/>
        <v>none</v>
      </c>
      <c r="U60" s="63" t="e">
        <f t="shared" si="12"/>
        <v>#VALUE!</v>
      </c>
      <c r="V60" s="63">
        <f t="shared" si="13"/>
        <v>4</v>
      </c>
      <c r="W60" s="63" t="e">
        <f t="shared" si="14"/>
        <v>#VALUE!</v>
      </c>
      <c r="X60" s="63" t="e">
        <f t="shared" si="15"/>
        <v>#VALUE!</v>
      </c>
      <c r="Y60" s="63" t="str">
        <f>IFERROR(VLOOKUP(MID(T60,W60,X60-W60),[6]skilldef!$C:$D,2,FALSE),"-") &amp; " / " &amp; IFERROR(VLOOKUP(MID(T60,U60,V60-U60),[6]skilldef!$A:$B,2,FALSE),"-")</f>
        <v>- / -</v>
      </c>
      <c r="Z60" s="50"/>
      <c r="AA60" s="52"/>
      <c r="AB60" s="50"/>
    </row>
    <row r="61" spans="1:28" ht="21" customHeight="1" x14ac:dyDescent="0.15">
      <c r="A61" s="47">
        <v>65526059</v>
      </c>
      <c r="B61" s="47" t="s">
        <v>304</v>
      </c>
      <c r="C61" s="50">
        <v>1</v>
      </c>
      <c r="D61" s="50" t="s">
        <v>127</v>
      </c>
      <c r="E61" s="51" t="s">
        <v>298</v>
      </c>
      <c r="F61" s="51" t="s">
        <v>272</v>
      </c>
      <c r="G61" s="63" t="str">
        <f t="shared" ref="G61:G71" si="16">IFERROR(LEFT(B61,FIND("],",B61)),B61)</f>
        <v>[effect:nothing]</v>
      </c>
      <c r="H61" s="63">
        <f t="shared" ref="H61:H71" si="17">FIND("effect:",G61)+7</f>
        <v>9</v>
      </c>
      <c r="I61" s="63">
        <f t="shared" ref="I61:I71" si="18">IFERROR(FIND(",",G61),LEN(G61))</f>
        <v>16</v>
      </c>
      <c r="J61" s="63" t="e">
        <f t="shared" ref="J61:J71" si="19">FIND("target:",G61)+7</f>
        <v>#VALUE!</v>
      </c>
      <c r="K61" s="63" t="e">
        <f t="shared" ref="K61:K71" si="20">FIND(",",G61,I61+1)</f>
        <v>#VALUE!</v>
      </c>
      <c r="L61" s="63" t="str">
        <f>IFERROR(VLOOKUP(MID(G61,J61,K61-J61),[6]skilldef!$C:$D,2,FALSE),"-") &amp; " / " &amp; IFERROR(VLOOKUP(MID(G61,H61,I61-H61),[6]skilldef!$A:$B,2,FALSE),"-")</f>
        <v>- / 何もしない</v>
      </c>
      <c r="M61" s="63" t="str">
        <f t="shared" ref="M61:M71" si="21">IFERROR(RIGHT(B61,LEN(B61)-FIND("],",B61)-1),"none")</f>
        <v>none</v>
      </c>
      <c r="N61" s="48" t="str">
        <f t="shared" ref="N61" si="22">IFERROR(LEFT(M61,FIND("],",M61)+S71),M61)</f>
        <v>none</v>
      </c>
      <c r="O61" s="63" t="e">
        <f t="shared" ref="O61:O71" si="23">FIND("effect:",N61)+7</f>
        <v>#VALUE!</v>
      </c>
      <c r="P61" s="63">
        <f t="shared" ref="P61:P71" si="24">IFERROR(FIND(",",N61),LEN(N61))</f>
        <v>4</v>
      </c>
      <c r="Q61" s="63" t="e">
        <f t="shared" ref="Q61:Q71" si="25">FIND("target:",N61)+7</f>
        <v>#VALUE!</v>
      </c>
      <c r="R61" s="63" t="e">
        <f t="shared" ref="R61:R71" si="26">FIND(",",N61,P61+1)</f>
        <v>#VALUE!</v>
      </c>
      <c r="S61" s="63" t="str">
        <f>IFERROR(VLOOKUP(MID(N61,Q61,R61-Q61),[6]skilldef!$C:$D,2,FALSE),"-") &amp; " / " &amp; IFERROR(VLOOKUP(MID(N61,O61,P61-O61),[6]skilldef!$A:$B,2,FALSE),"-")</f>
        <v>- / -</v>
      </c>
      <c r="T61" s="48" t="str">
        <f t="shared" ref="T61:T71" si="27">IFERROR(RIGHT(M61,LEN(M61)-FIND("],",M61)-1),"none")</f>
        <v>none</v>
      </c>
      <c r="U61" s="63" t="e">
        <f t="shared" ref="U61:U71" si="28">FIND("effect:",T61)+7</f>
        <v>#VALUE!</v>
      </c>
      <c r="V61" s="63">
        <f t="shared" ref="V61:V71" si="29">IFERROR(FIND(",",T61),LEN(T61))</f>
        <v>4</v>
      </c>
      <c r="W61" s="63" t="e">
        <f t="shared" ref="W61:W71" si="30">FIND("target:",T61)+7</f>
        <v>#VALUE!</v>
      </c>
      <c r="X61" s="63" t="e">
        <f t="shared" ref="X61:X71" si="31">FIND(",",T61,V61+1)</f>
        <v>#VALUE!</v>
      </c>
      <c r="Y61" s="63" t="str">
        <f>IFERROR(VLOOKUP(MID(T61,W61,X61-W61),[6]skilldef!$C:$D,2,FALSE),"-") &amp; " / " &amp; IFERROR(VLOOKUP(MID(T61,U61,V61-U61),[6]skilldef!$A:$B,2,FALSE),"-")</f>
        <v>- / -</v>
      </c>
      <c r="Z61" s="50"/>
      <c r="AA61" s="52"/>
      <c r="AB61" s="50"/>
    </row>
    <row r="62" spans="1:28" ht="21" customHeight="1" x14ac:dyDescent="0.15">
      <c r="A62" s="47">
        <v>65526060</v>
      </c>
      <c r="B62" s="47" t="s">
        <v>319</v>
      </c>
      <c r="C62" s="50">
        <v>1</v>
      </c>
      <c r="D62" s="50" t="s">
        <v>127</v>
      </c>
      <c r="E62" s="51" t="s">
        <v>303</v>
      </c>
      <c r="F62" s="51" t="s">
        <v>299</v>
      </c>
      <c r="G62" s="63" t="str">
        <f t="shared" si="16"/>
        <v>[effect:tolerance, target:myself, turn:-1, count:-1, tolerance_effect:all, animation:enemy_tolerance]</v>
      </c>
      <c r="H62" s="63">
        <f t="shared" si="17"/>
        <v>9</v>
      </c>
      <c r="I62" s="63">
        <f t="shared" si="18"/>
        <v>18</v>
      </c>
      <c r="J62" s="63">
        <f t="shared" si="19"/>
        <v>27</v>
      </c>
      <c r="K62" s="63">
        <f t="shared" si="20"/>
        <v>33</v>
      </c>
      <c r="L62" s="63" t="str">
        <f>IFERROR(VLOOKUP(MID(G62,J62,K62-J62),[6]skilldef!$C:$D,2,FALSE),"-") &amp; " / " &amp; IFERROR(VLOOKUP(MID(G62,H62,I62-H62),[6]skilldef!$A:$B,2,FALSE),"-")</f>
        <v>自分自身に / 状態異常耐性</v>
      </c>
      <c r="M62" s="63" t="str">
        <f t="shared" si="21"/>
        <v>[effect:drop_block, block_type:normal, block_color:block_heart, color:block_green, val:0, rate:1, turn:-1, animation:block_incidence04]</v>
      </c>
      <c r="N62" s="48" t="str">
        <f>IFERROR(LEFT(M62,FIND("],",M62)+#REF!),M62)</f>
        <v>[effect:drop_block, block_type:normal, block_color:block_heart, color:block_green, val:0, rate:1, turn:-1, animation:block_incidence04]</v>
      </c>
      <c r="O62" s="63">
        <f t="shared" si="23"/>
        <v>9</v>
      </c>
      <c r="P62" s="63">
        <f t="shared" si="24"/>
        <v>19</v>
      </c>
      <c r="Q62" s="63" t="e">
        <f t="shared" si="25"/>
        <v>#VALUE!</v>
      </c>
      <c r="R62" s="63">
        <f t="shared" si="26"/>
        <v>38</v>
      </c>
      <c r="S62" s="63" t="str">
        <f>IFERROR(VLOOKUP(MID(N62,Q62,R62-Q62),[6]skilldef!$C:$D,2,FALSE),"-") &amp; " / " &amp; IFERROR(VLOOKUP(MID(N62,O62,P62-O62),[6]skilldef!$A:$B,2,FALSE),"-")</f>
        <v>- / 特定ブロックの割合ドロップ</v>
      </c>
      <c r="T62" s="48" t="str">
        <f t="shared" si="27"/>
        <v>none</v>
      </c>
      <c r="U62" s="63" t="e">
        <f t="shared" si="28"/>
        <v>#VALUE!</v>
      </c>
      <c r="V62" s="63">
        <f t="shared" si="29"/>
        <v>4</v>
      </c>
      <c r="W62" s="63" t="e">
        <f t="shared" si="30"/>
        <v>#VALUE!</v>
      </c>
      <c r="X62" s="63" t="e">
        <f t="shared" si="31"/>
        <v>#VALUE!</v>
      </c>
      <c r="Y62" s="63" t="str">
        <f>IFERROR(VLOOKUP(MID(T62,W62,X62-W62),[6]skilldef!$C:$D,2,FALSE),"-") &amp; " / " &amp; IFERROR(VLOOKUP(MID(T62,U62,V62-U62),[6]skilldef!$A:$B,2,FALSE),"-")</f>
        <v>- / -</v>
      </c>
      <c r="Z62" s="50"/>
      <c r="AA62" s="52"/>
      <c r="AB62" s="50"/>
    </row>
    <row r="63" spans="1:28" ht="21" customHeight="1" x14ac:dyDescent="0.15">
      <c r="A63" s="47">
        <v>65526061</v>
      </c>
      <c r="B63" s="47" t="s">
        <v>306</v>
      </c>
      <c r="C63" s="50">
        <v>1</v>
      </c>
      <c r="D63" s="50" t="s">
        <v>127</v>
      </c>
      <c r="E63" s="51" t="s">
        <v>303</v>
      </c>
      <c r="F63" s="51" t="s">
        <v>294</v>
      </c>
      <c r="G63" s="63" t="str">
        <f t="shared" si="16"/>
        <v>[effect:spread, val:0.4]</v>
      </c>
      <c r="H63" s="63">
        <f t="shared" si="17"/>
        <v>9</v>
      </c>
      <c r="I63" s="63">
        <f t="shared" si="18"/>
        <v>15</v>
      </c>
      <c r="J63" s="63" t="e">
        <f t="shared" si="19"/>
        <v>#VALUE!</v>
      </c>
      <c r="K63" s="63" t="e">
        <f t="shared" si="20"/>
        <v>#VALUE!</v>
      </c>
      <c r="L63" s="63" t="str">
        <f>IFERROR(VLOOKUP(MID(G63,J63,K63-J63),[6]skilldef!$C:$D,2,FALSE),"-") &amp; " / " &amp; IFERROR(VLOOKUP(MID(G63,H63,I63-H63),[6]skilldef!$A:$B,2,FALSE),"-")</f>
        <v>- / 全体攻撃</v>
      </c>
      <c r="M63" s="63" t="str">
        <f t="shared" si="21"/>
        <v>none</v>
      </c>
      <c r="N63" s="48" t="str">
        <f>IFERROR(LEFT(M63,FIND("],",M63)+#REF!),M63)</f>
        <v>none</v>
      </c>
      <c r="O63" s="63" t="e">
        <f t="shared" si="23"/>
        <v>#VALUE!</v>
      </c>
      <c r="P63" s="63">
        <f t="shared" si="24"/>
        <v>4</v>
      </c>
      <c r="Q63" s="63" t="e">
        <f t="shared" si="25"/>
        <v>#VALUE!</v>
      </c>
      <c r="R63" s="63" t="e">
        <f t="shared" si="26"/>
        <v>#VALUE!</v>
      </c>
      <c r="S63" s="63" t="str">
        <f>IFERROR(VLOOKUP(MID(N63,Q63,R63-Q63),[6]skilldef!$C:$D,2,FALSE),"-") &amp; " / " &amp; IFERROR(VLOOKUP(MID(N63,O63,P63-O63),[6]skilldef!$A:$B,2,FALSE),"-")</f>
        <v>- / -</v>
      </c>
      <c r="T63" s="48" t="str">
        <f t="shared" si="27"/>
        <v>none</v>
      </c>
      <c r="U63" s="63" t="e">
        <f t="shared" si="28"/>
        <v>#VALUE!</v>
      </c>
      <c r="V63" s="63">
        <f t="shared" si="29"/>
        <v>4</v>
      </c>
      <c r="W63" s="63" t="e">
        <f t="shared" si="30"/>
        <v>#VALUE!</v>
      </c>
      <c r="X63" s="63" t="e">
        <f t="shared" si="31"/>
        <v>#VALUE!</v>
      </c>
      <c r="Y63" s="63" t="str">
        <f>IFERROR(VLOOKUP(MID(T63,W63,X63-W63),[6]skilldef!$C:$D,2,FALSE),"-") &amp; " / " &amp; IFERROR(VLOOKUP(MID(T63,U63,V63-U63),[6]skilldef!$A:$B,2,FALSE),"-")</f>
        <v>- / -</v>
      </c>
      <c r="Z63" s="50"/>
      <c r="AA63" s="52"/>
      <c r="AB63" s="50"/>
    </row>
    <row r="64" spans="1:28" ht="21" customHeight="1" x14ac:dyDescent="0.15">
      <c r="A64" s="47">
        <v>65526062</v>
      </c>
      <c r="B64" s="47" t="s">
        <v>316</v>
      </c>
      <c r="C64" s="50">
        <v>1</v>
      </c>
      <c r="D64" s="50" t="s">
        <v>127</v>
      </c>
      <c r="E64" s="51" t="s">
        <v>303</v>
      </c>
      <c r="F64" s="51" t="s">
        <v>295</v>
      </c>
      <c r="G64" s="63" t="str">
        <f t="shared" si="16"/>
        <v>[effect:damage_anti_tribe, target:unit_one, tribe:samurai, val1:0.3, val2:0.1]</v>
      </c>
      <c r="H64" s="63">
        <f t="shared" si="17"/>
        <v>9</v>
      </c>
      <c r="I64" s="63">
        <f t="shared" si="18"/>
        <v>26</v>
      </c>
      <c r="J64" s="63">
        <f t="shared" si="19"/>
        <v>35</v>
      </c>
      <c r="K64" s="63">
        <f t="shared" si="20"/>
        <v>43</v>
      </c>
      <c r="L64" s="63" t="str">
        <f>IFERROR(VLOOKUP(MID(G64,J64,K64-J64),[6]skilldef!$C:$D,2,FALSE),"-") &amp; " / " &amp; IFERROR(VLOOKUP(MID(G64,H64,I64-H64),[6]skilldef!$A:$B,2,FALSE),"-")</f>
        <v>味方単体に / 種族キラー</v>
      </c>
      <c r="M64" s="63" t="str">
        <f t="shared" si="21"/>
        <v>[effect:damage_anti_tribe, target:unit_one, tribe:samurai, val1:0.3, val2:0.1],[effect:damage_anti_tribe, target:unit_one, tribe:samurai, val1:0.3, val2:0.1],[effect:damage_anti_tribe, target:unit_one, tribe:samurai, val1:0.3, val2:0.1]</v>
      </c>
      <c r="N64" s="48" t="str">
        <f>IFERROR(LEFT(M64,FIND("],",M64)+S72),M64)</f>
        <v>[effect:damage_anti_tribe, target:unit_one, tribe:samurai, val1:0.3, val2:0.1]</v>
      </c>
      <c r="O64" s="63">
        <f t="shared" si="23"/>
        <v>9</v>
      </c>
      <c r="P64" s="63">
        <f t="shared" si="24"/>
        <v>26</v>
      </c>
      <c r="Q64" s="63">
        <f t="shared" si="25"/>
        <v>35</v>
      </c>
      <c r="R64" s="63">
        <f t="shared" si="26"/>
        <v>43</v>
      </c>
      <c r="S64" s="63" t="str">
        <f>IFERROR(VLOOKUP(MID(N64,Q64,R64-Q64),[6]skilldef!$C:$D,2,FALSE),"-") &amp; " / " &amp; IFERROR(VLOOKUP(MID(N64,O64,P64-O64),[6]skilldef!$A:$B,2,FALSE),"-")</f>
        <v>味方単体に / 種族キラー</v>
      </c>
      <c r="T64" s="48" t="str">
        <f t="shared" si="27"/>
        <v>[effect:damage_anti_tribe, target:unit_one, tribe:samurai, val1:0.3, val2:0.1],[effect:damage_anti_tribe, target:unit_one, tribe:samurai, val1:0.3, val2:0.1]</v>
      </c>
      <c r="U64" s="63">
        <f t="shared" si="28"/>
        <v>9</v>
      </c>
      <c r="V64" s="63">
        <f t="shared" si="29"/>
        <v>26</v>
      </c>
      <c r="W64" s="63">
        <f t="shared" si="30"/>
        <v>35</v>
      </c>
      <c r="X64" s="63">
        <f t="shared" si="31"/>
        <v>43</v>
      </c>
      <c r="Y64" s="63" t="str">
        <f>IFERROR(VLOOKUP(MID(T64,W64,X64-W64),[6]skilldef!$C:$D,2,FALSE),"-") &amp; " / " &amp; IFERROR(VLOOKUP(MID(T64,U64,V64-U64),[6]skilldef!$A:$B,2,FALSE),"-")</f>
        <v>味方単体に / 種族キラー</v>
      </c>
      <c r="Z64" s="50"/>
      <c r="AA64" s="52"/>
      <c r="AB64" s="50"/>
    </row>
    <row r="65" spans="1:28" ht="21" customHeight="1" x14ac:dyDescent="0.15">
      <c r="A65" s="47">
        <v>65526063</v>
      </c>
      <c r="B65" s="47" t="s">
        <v>307</v>
      </c>
      <c r="C65" s="50">
        <v>1</v>
      </c>
      <c r="D65" s="50" t="s">
        <v>127</v>
      </c>
      <c r="E65" s="51" t="s">
        <v>303</v>
      </c>
      <c r="F65" s="51" t="s">
        <v>296</v>
      </c>
      <c r="G65" s="63" t="str">
        <f t="shared" si="16"/>
        <v>[effect:force_change_block, new_block:block_heart, target:block_all, ignore01:crash, ignore02:crack_bomb, ignore03:damage, ignore04:time_bomb, ignore05:color_break, count:5, val:0, animation:change_block]</v>
      </c>
      <c r="H65" s="63">
        <f t="shared" si="17"/>
        <v>9</v>
      </c>
      <c r="I65" s="63">
        <f t="shared" si="18"/>
        <v>27</v>
      </c>
      <c r="J65" s="63">
        <f t="shared" si="19"/>
        <v>59</v>
      </c>
      <c r="K65" s="63">
        <f t="shared" si="20"/>
        <v>50</v>
      </c>
      <c r="L65" s="63" t="str">
        <f>IFERROR(VLOOKUP(MID(G65,J65,K65-J65),[6]skilldef!$C:$D,2,FALSE),"-") &amp; " / " &amp; IFERROR(VLOOKUP(MID(G65,H65,I65-H65),[6]skilldef!$A:$B,2,FALSE),"-")</f>
        <v>- / -</v>
      </c>
      <c r="M65" s="63" t="str">
        <f t="shared" si="21"/>
        <v>none</v>
      </c>
      <c r="N65" s="48" t="str">
        <f>IFERROR(LEFT(M65,FIND("],",M65)+S73),M65)</f>
        <v>none</v>
      </c>
      <c r="O65" s="63" t="e">
        <f t="shared" si="23"/>
        <v>#VALUE!</v>
      </c>
      <c r="P65" s="63">
        <f t="shared" si="24"/>
        <v>4</v>
      </c>
      <c r="Q65" s="63" t="e">
        <f t="shared" si="25"/>
        <v>#VALUE!</v>
      </c>
      <c r="R65" s="63" t="e">
        <f t="shared" si="26"/>
        <v>#VALUE!</v>
      </c>
      <c r="S65" s="63" t="str">
        <f>IFERROR(VLOOKUP(MID(N65,Q65,R65-Q65),[6]skilldef!$C:$D,2,FALSE),"-") &amp; " / " &amp; IFERROR(VLOOKUP(MID(N65,O65,P65-O65),[6]skilldef!$A:$B,2,FALSE),"-")</f>
        <v>- / -</v>
      </c>
      <c r="T65" s="48" t="str">
        <f t="shared" si="27"/>
        <v>none</v>
      </c>
      <c r="U65" s="63" t="e">
        <f t="shared" si="28"/>
        <v>#VALUE!</v>
      </c>
      <c r="V65" s="63">
        <f t="shared" si="29"/>
        <v>4</v>
      </c>
      <c r="W65" s="63" t="e">
        <f t="shared" si="30"/>
        <v>#VALUE!</v>
      </c>
      <c r="X65" s="63" t="e">
        <f t="shared" si="31"/>
        <v>#VALUE!</v>
      </c>
      <c r="Y65" s="63" t="str">
        <f>IFERROR(VLOOKUP(MID(T65,W65,X65-W65),[6]skilldef!$C:$D,2,FALSE),"-") &amp; " / " &amp; IFERROR(VLOOKUP(MID(T65,U65,V65-U65),[6]skilldef!$A:$B,2,FALSE),"-")</f>
        <v>- / -</v>
      </c>
      <c r="Z65" s="50"/>
      <c r="AA65" s="52"/>
      <c r="AB65" s="50"/>
    </row>
    <row r="66" spans="1:28" ht="21" customHeight="1" x14ac:dyDescent="0.15">
      <c r="A66" s="47">
        <v>65526064</v>
      </c>
      <c r="B66" s="47" t="s">
        <v>311</v>
      </c>
      <c r="C66" s="50">
        <v>1</v>
      </c>
      <c r="D66" s="50" t="s">
        <v>127</v>
      </c>
      <c r="E66" s="51" t="s">
        <v>303</v>
      </c>
      <c r="F66" s="51" t="s">
        <v>300</v>
      </c>
      <c r="G66" s="63" t="str">
        <f t="shared" si="16"/>
        <v>[effect:break_attack, target:unit_one, val:0.2, lowest_val:0, count:-1, color:yellow, block_color:block_heart, block01:block_all, ignore01:crack_bomb, ignore02:color_break]</v>
      </c>
      <c r="H66" s="63">
        <f t="shared" si="17"/>
        <v>9</v>
      </c>
      <c r="I66" s="63">
        <f t="shared" si="18"/>
        <v>21</v>
      </c>
      <c r="J66" s="63">
        <f t="shared" si="19"/>
        <v>30</v>
      </c>
      <c r="K66" s="63">
        <f t="shared" si="20"/>
        <v>38</v>
      </c>
      <c r="L66" s="63" t="str">
        <f>IFERROR(VLOOKUP(MID(G66,J66,K66-J66),[6]skilldef!$C:$D,2,FALSE),"-") &amp; " / " &amp; IFERROR(VLOOKUP(MID(G66,H66,I66-H66),[6]skilldef!$A:$B,2,FALSE),"-")</f>
        <v>味方単体に / -</v>
      </c>
      <c r="M66" s="63" t="str">
        <f t="shared" si="21"/>
        <v>none</v>
      </c>
      <c r="N66" s="48" t="str">
        <f>IFERROR(LEFT(M66,FIND("],",M66)+S74),M66)</f>
        <v>none</v>
      </c>
      <c r="O66" s="63" t="e">
        <f t="shared" si="23"/>
        <v>#VALUE!</v>
      </c>
      <c r="P66" s="63">
        <f t="shared" si="24"/>
        <v>4</v>
      </c>
      <c r="Q66" s="63" t="e">
        <f t="shared" si="25"/>
        <v>#VALUE!</v>
      </c>
      <c r="R66" s="63" t="e">
        <f t="shared" si="26"/>
        <v>#VALUE!</v>
      </c>
      <c r="S66" s="63" t="str">
        <f>IFERROR(VLOOKUP(MID(N66,Q66,R66-Q66),[6]skilldef!$C:$D,2,FALSE),"-") &amp; " / " &amp; IFERROR(VLOOKUP(MID(N66,O66,P66-O66),[6]skilldef!$A:$B,2,FALSE),"-")</f>
        <v>- / -</v>
      </c>
      <c r="T66" s="48" t="str">
        <f t="shared" si="27"/>
        <v>none</v>
      </c>
      <c r="U66" s="63" t="e">
        <f t="shared" si="28"/>
        <v>#VALUE!</v>
      </c>
      <c r="V66" s="63">
        <f t="shared" si="29"/>
        <v>4</v>
      </c>
      <c r="W66" s="63" t="e">
        <f t="shared" si="30"/>
        <v>#VALUE!</v>
      </c>
      <c r="X66" s="63" t="e">
        <f t="shared" si="31"/>
        <v>#VALUE!</v>
      </c>
      <c r="Y66" s="63" t="str">
        <f>IFERROR(VLOOKUP(MID(T66,W66,X66-W66),[6]skilldef!$C:$D,2,FALSE),"-") &amp; " / " &amp; IFERROR(VLOOKUP(MID(T66,U66,V66-U66),[6]skilldef!$A:$B,2,FALSE),"-")</f>
        <v>- / -</v>
      </c>
      <c r="Z66" s="50"/>
      <c r="AA66" s="52"/>
      <c r="AB66" s="50"/>
    </row>
    <row r="67" spans="1:28" ht="21" customHeight="1" x14ac:dyDescent="0.15">
      <c r="A67" s="47">
        <v>65526065</v>
      </c>
      <c r="B67" s="47" t="s">
        <v>318</v>
      </c>
      <c r="C67" s="50">
        <v>1</v>
      </c>
      <c r="D67" s="50" t="s">
        <v>127</v>
      </c>
      <c r="E67" s="51" t="s">
        <v>303</v>
      </c>
      <c r="F67" s="51" t="s">
        <v>301</v>
      </c>
      <c r="G67" s="63" t="str">
        <f t="shared" si="16"/>
        <v>[effect:force_change_block, new_block:block_heart, target:block_all, ignore01:crash, ignore02:crack_bomb, ignore03:damage, ignore04:time_bomb, ignore05:block_heart, count:-1, val:0, animation:change_block]</v>
      </c>
      <c r="H67" s="63">
        <f t="shared" si="17"/>
        <v>9</v>
      </c>
      <c r="I67" s="63">
        <f t="shared" si="18"/>
        <v>27</v>
      </c>
      <c r="J67" s="63">
        <f t="shared" si="19"/>
        <v>59</v>
      </c>
      <c r="K67" s="63">
        <f t="shared" si="20"/>
        <v>50</v>
      </c>
      <c r="L67" s="63" t="str">
        <f>IFERROR(VLOOKUP(MID(G67,J67,K67-J67),[6]skilldef!$C:$D,2,FALSE),"-") &amp; " / " &amp; IFERROR(VLOOKUP(MID(G67,H67,I67-H67),[6]skilldef!$A:$B,2,FALSE),"-")</f>
        <v>- / -</v>
      </c>
      <c r="M67" s="63" t="str">
        <f t="shared" si="21"/>
        <v>none</v>
      </c>
      <c r="N67" s="48" t="str">
        <f>IFERROR(LEFT(M67,FIND("],",M67)+S75),M67)</f>
        <v>none</v>
      </c>
      <c r="O67" s="63" t="e">
        <f t="shared" si="23"/>
        <v>#VALUE!</v>
      </c>
      <c r="P67" s="63">
        <f t="shared" si="24"/>
        <v>4</v>
      </c>
      <c r="Q67" s="63" t="e">
        <f t="shared" si="25"/>
        <v>#VALUE!</v>
      </c>
      <c r="R67" s="63" t="e">
        <f t="shared" si="26"/>
        <v>#VALUE!</v>
      </c>
      <c r="S67" s="63" t="str">
        <f>IFERROR(VLOOKUP(MID(N67,Q67,R67-Q67),[6]skilldef!$C:$D,2,FALSE),"-") &amp; " / " &amp; IFERROR(VLOOKUP(MID(N67,O67,P67-O67),[6]skilldef!$A:$B,2,FALSE),"-")</f>
        <v>- / -</v>
      </c>
      <c r="T67" s="48" t="str">
        <f t="shared" si="27"/>
        <v>none</v>
      </c>
      <c r="U67" s="63" t="e">
        <f t="shared" si="28"/>
        <v>#VALUE!</v>
      </c>
      <c r="V67" s="63">
        <f t="shared" si="29"/>
        <v>4</v>
      </c>
      <c r="W67" s="63" t="e">
        <f t="shared" si="30"/>
        <v>#VALUE!</v>
      </c>
      <c r="X67" s="63" t="e">
        <f t="shared" si="31"/>
        <v>#VALUE!</v>
      </c>
      <c r="Y67" s="63" t="str">
        <f>IFERROR(VLOOKUP(MID(T67,W67,X67-W67),[6]skilldef!$C:$D,2,FALSE),"-") &amp; " / " &amp; IFERROR(VLOOKUP(MID(T67,U67,V67-U67),[6]skilldef!$A:$B,2,FALSE),"-")</f>
        <v>- / -</v>
      </c>
      <c r="Z67" s="50"/>
      <c r="AA67" s="52"/>
      <c r="AB67" s="50"/>
    </row>
    <row r="68" spans="1:28" ht="21" customHeight="1" x14ac:dyDescent="0.15">
      <c r="A68" s="47">
        <v>65526066</v>
      </c>
      <c r="B68" s="47" t="s">
        <v>311</v>
      </c>
      <c r="C68" s="50">
        <v>1</v>
      </c>
      <c r="D68" s="50" t="s">
        <v>127</v>
      </c>
      <c r="E68" s="51" t="s">
        <v>303</v>
      </c>
      <c r="F68" s="51" t="s">
        <v>302</v>
      </c>
      <c r="G68" s="63" t="str">
        <f t="shared" si="16"/>
        <v>[effect:break_attack, target:unit_one, val:0.2, lowest_val:0, count:-1, color:yellow, block_color:block_heart, block01:block_all, ignore01:crack_bomb, ignore02:color_break]</v>
      </c>
      <c r="H68" s="63">
        <f t="shared" si="17"/>
        <v>9</v>
      </c>
      <c r="I68" s="63">
        <f t="shared" si="18"/>
        <v>21</v>
      </c>
      <c r="J68" s="63">
        <f t="shared" si="19"/>
        <v>30</v>
      </c>
      <c r="K68" s="63">
        <f t="shared" si="20"/>
        <v>38</v>
      </c>
      <c r="L68" s="63" t="str">
        <f>IFERROR(VLOOKUP(MID(G68,J68,K68-J68),[6]skilldef!$C:$D,2,FALSE),"-") &amp; " / " &amp; IFERROR(VLOOKUP(MID(G68,H68,I68-H68),[6]skilldef!$A:$B,2,FALSE),"-")</f>
        <v>味方単体に / -</v>
      </c>
      <c r="M68" s="63" t="str">
        <f t="shared" si="21"/>
        <v>none</v>
      </c>
      <c r="N68" s="48" t="str">
        <f>IFERROR(LEFT(M68,FIND("],",M68)+S76),M68)</f>
        <v>none</v>
      </c>
      <c r="O68" s="63" t="e">
        <f t="shared" si="23"/>
        <v>#VALUE!</v>
      </c>
      <c r="P68" s="63">
        <f t="shared" si="24"/>
        <v>4</v>
      </c>
      <c r="Q68" s="63" t="e">
        <f t="shared" si="25"/>
        <v>#VALUE!</v>
      </c>
      <c r="R68" s="63" t="e">
        <f t="shared" si="26"/>
        <v>#VALUE!</v>
      </c>
      <c r="S68" s="63" t="str">
        <f>IFERROR(VLOOKUP(MID(N68,Q68,R68-Q68),[6]skilldef!$C:$D,2,FALSE),"-") &amp; " / " &amp; IFERROR(VLOOKUP(MID(N68,O68,P68-O68),[6]skilldef!$A:$B,2,FALSE),"-")</f>
        <v>- / -</v>
      </c>
      <c r="T68" s="48" t="str">
        <f t="shared" si="27"/>
        <v>none</v>
      </c>
      <c r="U68" s="63" t="e">
        <f t="shared" si="28"/>
        <v>#VALUE!</v>
      </c>
      <c r="V68" s="63">
        <f t="shared" si="29"/>
        <v>4</v>
      </c>
      <c r="W68" s="63" t="e">
        <f t="shared" si="30"/>
        <v>#VALUE!</v>
      </c>
      <c r="X68" s="63" t="e">
        <f t="shared" si="31"/>
        <v>#VALUE!</v>
      </c>
      <c r="Y68" s="63" t="str">
        <f>IFERROR(VLOOKUP(MID(T68,W68,X68-W68),[6]skilldef!$C:$D,2,FALSE),"-") &amp; " / " &amp; IFERROR(VLOOKUP(MID(T68,U68,V68-U68),[6]skilldef!$A:$B,2,FALSE),"-")</f>
        <v>- / -</v>
      </c>
      <c r="Z68" s="50"/>
      <c r="AA68" s="52"/>
      <c r="AB68" s="50"/>
    </row>
    <row r="69" spans="1:28" ht="21" customHeight="1" x14ac:dyDescent="0.15">
      <c r="A69" s="47">
        <v>65526067</v>
      </c>
      <c r="B69" s="47" t="s">
        <v>304</v>
      </c>
      <c r="C69" s="50">
        <v>1</v>
      </c>
      <c r="D69" s="50" t="s">
        <v>127</v>
      </c>
      <c r="E69" s="51" t="s">
        <v>303</v>
      </c>
      <c r="F69" s="51" t="s">
        <v>272</v>
      </c>
      <c r="G69" s="63" t="str">
        <f t="shared" si="16"/>
        <v>[effect:nothing]</v>
      </c>
      <c r="H69" s="63">
        <f t="shared" si="17"/>
        <v>9</v>
      </c>
      <c r="I69" s="63">
        <f t="shared" si="18"/>
        <v>16</v>
      </c>
      <c r="J69" s="63" t="e">
        <f t="shared" si="19"/>
        <v>#VALUE!</v>
      </c>
      <c r="K69" s="63" t="e">
        <f t="shared" si="20"/>
        <v>#VALUE!</v>
      </c>
      <c r="L69" s="63" t="str">
        <f>IFERROR(VLOOKUP(MID(G69,J69,K69-J69),[6]skilldef!$C:$D,2,FALSE),"-") &amp; " / " &amp; IFERROR(VLOOKUP(MID(G69,H69,I69-H69),[6]skilldef!$A:$B,2,FALSE),"-")</f>
        <v>- / 何もしない</v>
      </c>
      <c r="M69" s="63" t="str">
        <f t="shared" si="21"/>
        <v>none</v>
      </c>
      <c r="N69" s="48" t="str">
        <f>IFERROR(LEFT(M69,FIND("],",M69)+S77),M69)</f>
        <v>none</v>
      </c>
      <c r="O69" s="63" t="e">
        <f t="shared" si="23"/>
        <v>#VALUE!</v>
      </c>
      <c r="P69" s="63">
        <f t="shared" si="24"/>
        <v>4</v>
      </c>
      <c r="Q69" s="63" t="e">
        <f t="shared" si="25"/>
        <v>#VALUE!</v>
      </c>
      <c r="R69" s="63" t="e">
        <f t="shared" si="26"/>
        <v>#VALUE!</v>
      </c>
      <c r="S69" s="63" t="str">
        <f>IFERROR(VLOOKUP(MID(N69,Q69,R69-Q69),[6]skilldef!$C:$D,2,FALSE),"-") &amp; " / " &amp; IFERROR(VLOOKUP(MID(N69,O69,P69-O69),[6]skilldef!$A:$B,2,FALSE),"-")</f>
        <v>- / -</v>
      </c>
      <c r="T69" s="48" t="str">
        <f t="shared" si="27"/>
        <v>none</v>
      </c>
      <c r="U69" s="63" t="e">
        <f t="shared" si="28"/>
        <v>#VALUE!</v>
      </c>
      <c r="V69" s="63">
        <f t="shared" si="29"/>
        <v>4</v>
      </c>
      <c r="W69" s="63" t="e">
        <f t="shared" si="30"/>
        <v>#VALUE!</v>
      </c>
      <c r="X69" s="63" t="e">
        <f t="shared" si="31"/>
        <v>#VALUE!</v>
      </c>
      <c r="Y69" s="63" t="str">
        <f>IFERROR(VLOOKUP(MID(T69,W69,X69-W69),[6]skilldef!$C:$D,2,FALSE),"-") &amp; " / " &amp; IFERROR(VLOOKUP(MID(T69,U69,V69-U69),[6]skilldef!$A:$B,2,FALSE),"-")</f>
        <v>- / -</v>
      </c>
      <c r="Z69" s="50"/>
      <c r="AA69" s="52"/>
      <c r="AB69" s="50"/>
    </row>
    <row r="70" spans="1:28" ht="21" customHeight="1" x14ac:dyDescent="0.15">
      <c r="A70" s="47">
        <v>65526068</v>
      </c>
      <c r="B70" s="47" t="s">
        <v>304</v>
      </c>
      <c r="C70" s="50">
        <v>1</v>
      </c>
      <c r="D70" s="50" t="s">
        <v>127</v>
      </c>
      <c r="E70" s="51" t="s">
        <v>303</v>
      </c>
      <c r="F70" s="51" t="s">
        <v>272</v>
      </c>
      <c r="G70" s="63" t="str">
        <f t="shared" si="16"/>
        <v>[effect:nothing]</v>
      </c>
      <c r="H70" s="63">
        <f t="shared" si="17"/>
        <v>9</v>
      </c>
      <c r="I70" s="63">
        <f t="shared" si="18"/>
        <v>16</v>
      </c>
      <c r="J70" s="63" t="e">
        <f t="shared" si="19"/>
        <v>#VALUE!</v>
      </c>
      <c r="K70" s="63" t="e">
        <f t="shared" si="20"/>
        <v>#VALUE!</v>
      </c>
      <c r="L70" s="63" t="str">
        <f>IFERROR(VLOOKUP(MID(G70,J70,K70-J70),[6]skilldef!$C:$D,2,FALSE),"-") &amp; " / " &amp; IFERROR(VLOOKUP(MID(G70,H70,I70-H70),[6]skilldef!$A:$B,2,FALSE),"-")</f>
        <v>- / 何もしない</v>
      </c>
      <c r="M70" s="63" t="str">
        <f t="shared" si="21"/>
        <v>none</v>
      </c>
      <c r="N70" s="48" t="str">
        <f>IFERROR(LEFT(M70,FIND("],",M70)+S78),M70)</f>
        <v>none</v>
      </c>
      <c r="O70" s="63" t="e">
        <f t="shared" si="23"/>
        <v>#VALUE!</v>
      </c>
      <c r="P70" s="63">
        <f t="shared" si="24"/>
        <v>4</v>
      </c>
      <c r="Q70" s="63" t="e">
        <f t="shared" si="25"/>
        <v>#VALUE!</v>
      </c>
      <c r="R70" s="63" t="e">
        <f t="shared" si="26"/>
        <v>#VALUE!</v>
      </c>
      <c r="S70" s="63" t="str">
        <f>IFERROR(VLOOKUP(MID(N70,Q70,R70-Q70),[6]skilldef!$C:$D,2,FALSE),"-") &amp; " / " &amp; IFERROR(VLOOKUP(MID(N70,O70,P70-O70),[6]skilldef!$A:$B,2,FALSE),"-")</f>
        <v>- / -</v>
      </c>
      <c r="T70" s="48" t="str">
        <f t="shared" si="27"/>
        <v>none</v>
      </c>
      <c r="U70" s="63" t="e">
        <f t="shared" si="28"/>
        <v>#VALUE!</v>
      </c>
      <c r="V70" s="63">
        <f t="shared" si="29"/>
        <v>4</v>
      </c>
      <c r="W70" s="63" t="e">
        <f t="shared" si="30"/>
        <v>#VALUE!</v>
      </c>
      <c r="X70" s="63" t="e">
        <f t="shared" si="31"/>
        <v>#VALUE!</v>
      </c>
      <c r="Y70" s="63" t="str">
        <f>IFERROR(VLOOKUP(MID(T70,W70,X70-W70),[6]skilldef!$C:$D,2,FALSE),"-") &amp; " / " &amp; IFERROR(VLOOKUP(MID(T70,U70,V70-U70),[6]skilldef!$A:$B,2,FALSE),"-")</f>
        <v>- / -</v>
      </c>
      <c r="Z70" s="50"/>
      <c r="AA70" s="52"/>
      <c r="AB70" s="50"/>
    </row>
    <row r="71" spans="1:28" ht="21" customHeight="1" x14ac:dyDescent="0.15">
      <c r="A71" s="47">
        <v>65526069</v>
      </c>
      <c r="B71" s="47" t="s">
        <v>304</v>
      </c>
      <c r="C71" s="50">
        <v>1</v>
      </c>
      <c r="D71" s="50" t="s">
        <v>127</v>
      </c>
      <c r="E71" s="51" t="s">
        <v>303</v>
      </c>
      <c r="F71" s="51" t="s">
        <v>272</v>
      </c>
      <c r="G71" s="63" t="str">
        <f t="shared" si="16"/>
        <v>[effect:nothing]</v>
      </c>
      <c r="H71" s="63">
        <f t="shared" si="17"/>
        <v>9</v>
      </c>
      <c r="I71" s="63">
        <f t="shared" si="18"/>
        <v>16</v>
      </c>
      <c r="J71" s="63" t="e">
        <f t="shared" si="19"/>
        <v>#VALUE!</v>
      </c>
      <c r="K71" s="63" t="e">
        <f t="shared" si="20"/>
        <v>#VALUE!</v>
      </c>
      <c r="L71" s="63" t="str">
        <f>IFERROR(VLOOKUP(MID(G71,J71,K71-J71),[6]skilldef!$C:$D,2,FALSE),"-") &amp; " / " &amp; IFERROR(VLOOKUP(MID(G71,H71,I71-H71),[6]skilldef!$A:$B,2,FALSE),"-")</f>
        <v>- / 何もしない</v>
      </c>
      <c r="M71" s="63" t="str">
        <f t="shared" si="21"/>
        <v>none</v>
      </c>
      <c r="N71" s="48" t="str">
        <f>IFERROR(LEFT(M71,FIND("],",M71)+S79),M71)</f>
        <v>none</v>
      </c>
      <c r="O71" s="63" t="e">
        <f t="shared" si="23"/>
        <v>#VALUE!</v>
      </c>
      <c r="P71" s="63">
        <f t="shared" si="24"/>
        <v>4</v>
      </c>
      <c r="Q71" s="63" t="e">
        <f t="shared" si="25"/>
        <v>#VALUE!</v>
      </c>
      <c r="R71" s="63" t="e">
        <f t="shared" si="26"/>
        <v>#VALUE!</v>
      </c>
      <c r="S71" s="63" t="str">
        <f>IFERROR(VLOOKUP(MID(N71,Q71,R71-Q71),[6]skilldef!$C:$D,2,FALSE),"-") &amp; " / " &amp; IFERROR(VLOOKUP(MID(N71,O71,P71-O71),[6]skilldef!$A:$B,2,FALSE),"-")</f>
        <v>- / -</v>
      </c>
      <c r="T71" s="48" t="str">
        <f t="shared" si="27"/>
        <v>none</v>
      </c>
      <c r="U71" s="63" t="e">
        <f t="shared" si="28"/>
        <v>#VALUE!</v>
      </c>
      <c r="V71" s="63">
        <f t="shared" si="29"/>
        <v>4</v>
      </c>
      <c r="W71" s="63" t="e">
        <f t="shared" si="30"/>
        <v>#VALUE!</v>
      </c>
      <c r="X71" s="63" t="e">
        <f t="shared" si="31"/>
        <v>#VALUE!</v>
      </c>
      <c r="Y71" s="63" t="str">
        <f>IFERROR(VLOOKUP(MID(T71,W71,X71-W71),[6]skilldef!$C:$D,2,FALSE),"-") &amp; " / " &amp; IFERROR(VLOOKUP(MID(T71,U71,V71-U71),[6]skilldef!$A:$B,2,FALSE),"-")</f>
        <v>- / -</v>
      </c>
      <c r="Z71" s="50"/>
      <c r="AA71" s="52"/>
      <c r="AB71" s="50"/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71"/>
  <sheetViews>
    <sheetView showGridLines="0" zoomScale="75" zoomScaleNormal="75" zoomScalePageLayoutView="75" workbookViewId="0">
      <pane ySplit="1" topLeftCell="A43" activePane="bottomLeft" state="frozenSplit"/>
      <selection pane="bottomLeft" activeCell="E55" sqref="E55"/>
    </sheetView>
  </sheetViews>
  <sheetFormatPr baseColWidth="12" defaultColWidth="12.83203125" defaultRowHeight="21" customHeight="1" x14ac:dyDescent="0.15"/>
  <cols>
    <col min="1" max="1" width="16.1640625" style="49" bestFit="1" customWidth="1"/>
    <col min="2" max="2" width="13.33203125" style="49" bestFit="1" customWidth="1"/>
    <col min="3" max="3" width="11.83203125" style="49" bestFit="1" customWidth="1"/>
    <col min="4" max="4" width="14.6640625" style="49" bestFit="1" customWidth="1"/>
    <col min="5" max="5" width="15.6640625" style="49" bestFit="1" customWidth="1"/>
    <col min="6" max="6" width="17" style="49" bestFit="1" customWidth="1"/>
    <col min="7" max="7" width="15.6640625" style="49" bestFit="1" customWidth="1"/>
    <col min="8" max="9" width="14.6640625" style="49" customWidth="1"/>
    <col min="10" max="10" width="14.6640625" style="49" bestFit="1" customWidth="1"/>
    <col min="11" max="11" width="22.83203125" style="39" bestFit="1" customWidth="1"/>
    <col min="12" max="16384" width="12.83203125" style="45"/>
  </cols>
  <sheetData>
    <row r="1" spans="1:11" ht="21" customHeight="1" x14ac:dyDescent="0.15">
      <c r="A1" s="42" t="s">
        <v>83</v>
      </c>
      <c r="B1" s="42" t="s">
        <v>84</v>
      </c>
      <c r="C1" s="42" t="s">
        <v>85</v>
      </c>
      <c r="D1" s="42" t="s">
        <v>86</v>
      </c>
      <c r="E1" s="42" t="s">
        <v>69</v>
      </c>
      <c r="F1" s="53" t="s">
        <v>70</v>
      </c>
      <c r="G1" s="53" t="s">
        <v>71</v>
      </c>
      <c r="H1" s="42" t="s">
        <v>72</v>
      </c>
      <c r="I1" s="42" t="s">
        <v>73</v>
      </c>
      <c r="J1" s="42" t="s">
        <v>74</v>
      </c>
      <c r="K1" s="54" t="s">
        <v>87</v>
      </c>
    </row>
    <row r="2" spans="1:11" ht="21" customHeight="1" x14ac:dyDescent="0.15">
      <c r="A2" s="47">
        <v>65526000</v>
      </c>
      <c r="B2" s="47">
        <v>0</v>
      </c>
      <c r="C2" s="47" t="s">
        <v>88</v>
      </c>
      <c r="D2" s="47">
        <v>40</v>
      </c>
      <c r="E2" s="47" t="s">
        <v>268</v>
      </c>
      <c r="F2" s="47" t="s">
        <v>89</v>
      </c>
      <c r="G2" s="47" t="s">
        <v>88</v>
      </c>
      <c r="H2" s="47" t="s">
        <v>89</v>
      </c>
      <c r="I2" s="47" t="s">
        <v>89</v>
      </c>
      <c r="J2" s="48">
        <f t="shared" ref="J2" si="0">D2</f>
        <v>40</v>
      </c>
    </row>
    <row r="3" spans="1:11" ht="21" customHeight="1" x14ac:dyDescent="0.15">
      <c r="A3" s="47">
        <v>65526001</v>
      </c>
      <c r="B3" s="47">
        <v>0</v>
      </c>
      <c r="C3" s="47" t="s">
        <v>88</v>
      </c>
      <c r="D3" s="47">
        <v>100</v>
      </c>
      <c r="E3" s="47" t="s">
        <v>88</v>
      </c>
      <c r="F3" s="47" t="s">
        <v>88</v>
      </c>
      <c r="G3" s="47" t="s">
        <v>88</v>
      </c>
      <c r="H3" s="47" t="s">
        <v>88</v>
      </c>
      <c r="I3" s="47" t="s">
        <v>88</v>
      </c>
      <c r="J3" s="48">
        <f t="shared" ref="J3:J66" si="1">D3</f>
        <v>100</v>
      </c>
    </row>
    <row r="4" spans="1:11" ht="21" customHeight="1" x14ac:dyDescent="0.15">
      <c r="A4" s="47">
        <v>65526002</v>
      </c>
      <c r="B4" s="47">
        <v>0</v>
      </c>
      <c r="C4" s="47" t="s">
        <v>88</v>
      </c>
      <c r="D4" s="47">
        <v>100</v>
      </c>
      <c r="E4" s="47" t="s">
        <v>88</v>
      </c>
      <c r="F4" s="47" t="s">
        <v>88</v>
      </c>
      <c r="G4" s="47" t="s">
        <v>88</v>
      </c>
      <c r="H4" s="47" t="s">
        <v>88</v>
      </c>
      <c r="I4" s="47" t="s">
        <v>88</v>
      </c>
      <c r="J4" s="48">
        <f t="shared" si="1"/>
        <v>100</v>
      </c>
    </row>
    <row r="5" spans="1:11" ht="21" customHeight="1" x14ac:dyDescent="0.15">
      <c r="A5" s="47">
        <v>65526003</v>
      </c>
      <c r="B5" s="47">
        <v>0</v>
      </c>
      <c r="C5" s="47" t="s">
        <v>88</v>
      </c>
      <c r="D5" s="47">
        <v>100</v>
      </c>
      <c r="E5" s="47" t="s">
        <v>88</v>
      </c>
      <c r="F5" s="47" t="s">
        <v>88</v>
      </c>
      <c r="G5" s="47" t="s">
        <v>88</v>
      </c>
      <c r="H5" s="47" t="s">
        <v>88</v>
      </c>
      <c r="I5" s="47" t="s">
        <v>88</v>
      </c>
      <c r="J5" s="48">
        <f t="shared" si="1"/>
        <v>100</v>
      </c>
    </row>
    <row r="6" spans="1:11" ht="21" customHeight="1" x14ac:dyDescent="0.15">
      <c r="A6" s="47">
        <v>65526004</v>
      </c>
      <c r="B6" s="47">
        <v>0</v>
      </c>
      <c r="C6" s="47" t="s">
        <v>88</v>
      </c>
      <c r="D6" s="47">
        <v>100</v>
      </c>
      <c r="E6" s="47" t="s">
        <v>88</v>
      </c>
      <c r="F6" s="47" t="s">
        <v>88</v>
      </c>
      <c r="G6" s="47" t="s">
        <v>88</v>
      </c>
      <c r="H6" s="47" t="s">
        <v>88</v>
      </c>
      <c r="I6" s="47" t="s">
        <v>88</v>
      </c>
      <c r="J6" s="48">
        <f t="shared" si="1"/>
        <v>100</v>
      </c>
    </row>
    <row r="7" spans="1:11" ht="21" customHeight="1" x14ac:dyDescent="0.15">
      <c r="A7" s="47">
        <v>65526005</v>
      </c>
      <c r="B7" s="47">
        <v>0</v>
      </c>
      <c r="C7" s="47" t="s">
        <v>88</v>
      </c>
      <c r="D7" s="47">
        <v>40</v>
      </c>
      <c r="E7" s="47" t="s">
        <v>88</v>
      </c>
      <c r="F7" s="47" t="s">
        <v>88</v>
      </c>
      <c r="G7" s="47" t="s">
        <v>88</v>
      </c>
      <c r="H7" s="47" t="s">
        <v>88</v>
      </c>
      <c r="I7" s="47" t="s">
        <v>88</v>
      </c>
      <c r="J7" s="48">
        <f t="shared" si="1"/>
        <v>40</v>
      </c>
    </row>
    <row r="8" spans="1:11" ht="21" customHeight="1" x14ac:dyDescent="0.15">
      <c r="A8" s="47">
        <v>65526006</v>
      </c>
      <c r="B8" s="47">
        <v>0</v>
      </c>
      <c r="C8" s="47" t="s">
        <v>88</v>
      </c>
      <c r="D8" s="47">
        <v>100</v>
      </c>
      <c r="E8" s="47" t="s">
        <v>88</v>
      </c>
      <c r="F8" s="47" t="s">
        <v>88</v>
      </c>
      <c r="G8" s="47" t="s">
        <v>88</v>
      </c>
      <c r="H8" s="47" t="s">
        <v>88</v>
      </c>
      <c r="I8" s="47" t="s">
        <v>88</v>
      </c>
      <c r="J8" s="48">
        <f t="shared" si="1"/>
        <v>100</v>
      </c>
    </row>
    <row r="9" spans="1:11" ht="21" customHeight="1" x14ac:dyDescent="0.15">
      <c r="A9" s="47">
        <v>65526007</v>
      </c>
      <c r="B9" s="47">
        <v>0</v>
      </c>
      <c r="C9" s="47" t="s">
        <v>88</v>
      </c>
      <c r="D9" s="47">
        <v>100</v>
      </c>
      <c r="E9" s="47" t="s">
        <v>88</v>
      </c>
      <c r="F9" s="47" t="s">
        <v>88</v>
      </c>
      <c r="G9" s="47" t="s">
        <v>88</v>
      </c>
      <c r="H9" s="47" t="s">
        <v>88</v>
      </c>
      <c r="I9" s="47" t="s">
        <v>88</v>
      </c>
      <c r="J9" s="48">
        <f t="shared" si="1"/>
        <v>100</v>
      </c>
    </row>
    <row r="10" spans="1:11" ht="21" customHeight="1" x14ac:dyDescent="0.15">
      <c r="A10" s="47">
        <v>65526008</v>
      </c>
      <c r="B10" s="47">
        <v>0</v>
      </c>
      <c r="C10" s="47" t="s">
        <v>88</v>
      </c>
      <c r="D10" s="47">
        <v>100</v>
      </c>
      <c r="E10" s="47" t="s">
        <v>88</v>
      </c>
      <c r="F10" s="47" t="s">
        <v>88</v>
      </c>
      <c r="G10" s="47" t="s">
        <v>88</v>
      </c>
      <c r="H10" s="47" t="s">
        <v>88</v>
      </c>
      <c r="I10" s="47" t="s">
        <v>88</v>
      </c>
      <c r="J10" s="48">
        <f t="shared" si="1"/>
        <v>100</v>
      </c>
    </row>
    <row r="11" spans="1:11" ht="21" customHeight="1" x14ac:dyDescent="0.15">
      <c r="A11" s="47">
        <v>65526009</v>
      </c>
      <c r="B11" s="47">
        <v>0</v>
      </c>
      <c r="C11" s="47" t="s">
        <v>88</v>
      </c>
      <c r="D11" s="47">
        <v>100</v>
      </c>
      <c r="E11" s="47" t="s">
        <v>88</v>
      </c>
      <c r="F11" s="47" t="s">
        <v>88</v>
      </c>
      <c r="G11" s="47" t="s">
        <v>88</v>
      </c>
      <c r="H11" s="47" t="s">
        <v>88</v>
      </c>
      <c r="I11" s="47" t="s">
        <v>88</v>
      </c>
      <c r="J11" s="48">
        <f t="shared" si="1"/>
        <v>100</v>
      </c>
    </row>
    <row r="12" spans="1:11" ht="21" customHeight="1" x14ac:dyDescent="0.15">
      <c r="A12" s="47">
        <v>65526010</v>
      </c>
      <c r="B12" s="47">
        <v>0</v>
      </c>
      <c r="C12" s="47" t="s">
        <v>88</v>
      </c>
      <c r="D12" s="47">
        <v>50</v>
      </c>
      <c r="E12" s="47" t="s">
        <v>88</v>
      </c>
      <c r="F12" s="47" t="s">
        <v>88</v>
      </c>
      <c r="G12" s="47" t="s">
        <v>88</v>
      </c>
      <c r="H12" s="47" t="s">
        <v>88</v>
      </c>
      <c r="I12" s="47" t="s">
        <v>88</v>
      </c>
      <c r="J12" s="48">
        <f t="shared" si="1"/>
        <v>50</v>
      </c>
    </row>
    <row r="13" spans="1:11" ht="21" customHeight="1" x14ac:dyDescent="0.15">
      <c r="A13" s="47">
        <v>65526011</v>
      </c>
      <c r="B13" s="47">
        <v>0</v>
      </c>
      <c r="C13" s="47" t="s">
        <v>88</v>
      </c>
      <c r="D13" s="47">
        <v>100</v>
      </c>
      <c r="E13" s="47" t="s">
        <v>88</v>
      </c>
      <c r="F13" s="47" t="s">
        <v>88</v>
      </c>
      <c r="G13" s="47" t="s">
        <v>88</v>
      </c>
      <c r="H13" s="47" t="s">
        <v>88</v>
      </c>
      <c r="I13" s="47" t="s">
        <v>88</v>
      </c>
      <c r="J13" s="48">
        <f t="shared" si="1"/>
        <v>100</v>
      </c>
    </row>
    <row r="14" spans="1:11" ht="21" customHeight="1" x14ac:dyDescent="0.15">
      <c r="A14" s="47">
        <v>65526012</v>
      </c>
      <c r="B14" s="47">
        <v>0</v>
      </c>
      <c r="C14" s="47" t="s">
        <v>88</v>
      </c>
      <c r="D14" s="47">
        <v>100</v>
      </c>
      <c r="E14" s="47" t="s">
        <v>88</v>
      </c>
      <c r="F14" s="47" t="s">
        <v>88</v>
      </c>
      <c r="G14" s="47" t="s">
        <v>88</v>
      </c>
      <c r="H14" s="47" t="s">
        <v>88</v>
      </c>
      <c r="I14" s="47" t="s">
        <v>88</v>
      </c>
      <c r="J14" s="48">
        <f t="shared" si="1"/>
        <v>100</v>
      </c>
    </row>
    <row r="15" spans="1:11" ht="21" customHeight="1" x14ac:dyDescent="0.15">
      <c r="A15" s="47">
        <v>65526013</v>
      </c>
      <c r="B15" s="47">
        <v>0</v>
      </c>
      <c r="C15" s="47" t="s">
        <v>88</v>
      </c>
      <c r="D15" s="47">
        <v>100</v>
      </c>
      <c r="E15" s="47" t="s">
        <v>88</v>
      </c>
      <c r="F15" s="47" t="s">
        <v>88</v>
      </c>
      <c r="G15" s="47" t="s">
        <v>88</v>
      </c>
      <c r="H15" s="47" t="s">
        <v>88</v>
      </c>
      <c r="I15" s="47" t="s">
        <v>88</v>
      </c>
      <c r="J15" s="48">
        <f t="shared" si="1"/>
        <v>100</v>
      </c>
    </row>
    <row r="16" spans="1:11" ht="21" customHeight="1" x14ac:dyDescent="0.15">
      <c r="A16" s="47">
        <v>65526014</v>
      </c>
      <c r="B16" s="47">
        <v>0</v>
      </c>
      <c r="C16" s="47" t="s">
        <v>88</v>
      </c>
      <c r="D16" s="47">
        <v>100</v>
      </c>
      <c r="E16" s="47" t="s">
        <v>88</v>
      </c>
      <c r="F16" s="47" t="s">
        <v>88</v>
      </c>
      <c r="G16" s="47" t="s">
        <v>88</v>
      </c>
      <c r="H16" s="47" t="s">
        <v>88</v>
      </c>
      <c r="I16" s="47" t="s">
        <v>88</v>
      </c>
      <c r="J16" s="48">
        <f t="shared" si="1"/>
        <v>100</v>
      </c>
    </row>
    <row r="17" spans="1:10" ht="21" customHeight="1" x14ac:dyDescent="0.15">
      <c r="A17" s="47">
        <v>65526015</v>
      </c>
      <c r="B17" s="47">
        <v>0</v>
      </c>
      <c r="C17" s="47" t="s">
        <v>88</v>
      </c>
      <c r="D17" s="47">
        <v>100</v>
      </c>
      <c r="E17" s="47" t="s">
        <v>88</v>
      </c>
      <c r="F17" s="47" t="s">
        <v>88</v>
      </c>
      <c r="G17" s="47" t="s">
        <v>88</v>
      </c>
      <c r="H17" s="47">
        <v>1</v>
      </c>
      <c r="I17" s="47" t="s">
        <v>88</v>
      </c>
      <c r="J17" s="48">
        <f t="shared" si="1"/>
        <v>100</v>
      </c>
    </row>
    <row r="18" spans="1:10" ht="21" customHeight="1" x14ac:dyDescent="0.15">
      <c r="A18" s="47">
        <v>65526016</v>
      </c>
      <c r="B18" s="47">
        <v>0</v>
      </c>
      <c r="C18" s="47" t="s">
        <v>88</v>
      </c>
      <c r="D18" s="47">
        <v>100</v>
      </c>
      <c r="E18" s="47" t="s">
        <v>88</v>
      </c>
      <c r="F18" s="47" t="s">
        <v>88</v>
      </c>
      <c r="G18" s="47" t="s">
        <v>88</v>
      </c>
      <c r="H18" s="47" t="s">
        <v>88</v>
      </c>
      <c r="I18" s="47" t="s">
        <v>88</v>
      </c>
      <c r="J18" s="48">
        <f t="shared" si="1"/>
        <v>100</v>
      </c>
    </row>
    <row r="19" spans="1:10" ht="21" customHeight="1" x14ac:dyDescent="0.15">
      <c r="A19" s="47">
        <v>65526017</v>
      </c>
      <c r="B19" s="47">
        <v>0</v>
      </c>
      <c r="C19" s="47" t="s">
        <v>88</v>
      </c>
      <c r="D19" s="47">
        <v>100</v>
      </c>
      <c r="E19" s="47" t="s">
        <v>88</v>
      </c>
      <c r="F19" s="47" t="s">
        <v>88</v>
      </c>
      <c r="G19" s="47" t="s">
        <v>88</v>
      </c>
      <c r="H19" s="47" t="s">
        <v>88</v>
      </c>
      <c r="I19" s="47" t="s">
        <v>88</v>
      </c>
      <c r="J19" s="48">
        <f t="shared" si="1"/>
        <v>100</v>
      </c>
    </row>
    <row r="20" spans="1:10" ht="21" customHeight="1" x14ac:dyDescent="0.15">
      <c r="A20" s="47">
        <v>65526018</v>
      </c>
      <c r="B20" s="47">
        <v>0</v>
      </c>
      <c r="C20" s="47" t="s">
        <v>88</v>
      </c>
      <c r="D20" s="47">
        <v>100</v>
      </c>
      <c r="E20" s="47" t="s">
        <v>88</v>
      </c>
      <c r="F20" s="47" t="s">
        <v>88</v>
      </c>
      <c r="G20" s="47" t="s">
        <v>88</v>
      </c>
      <c r="H20" s="47" t="s">
        <v>88</v>
      </c>
      <c r="I20" s="47" t="s">
        <v>88</v>
      </c>
      <c r="J20" s="48">
        <f t="shared" si="1"/>
        <v>100</v>
      </c>
    </row>
    <row r="21" spans="1:10" ht="21" customHeight="1" x14ac:dyDescent="0.15">
      <c r="A21" s="47">
        <v>65526019</v>
      </c>
      <c r="B21" s="47">
        <v>0</v>
      </c>
      <c r="C21" s="47" t="s">
        <v>88</v>
      </c>
      <c r="D21" s="47">
        <v>100</v>
      </c>
      <c r="E21" s="47" t="s">
        <v>88</v>
      </c>
      <c r="F21" s="47" t="s">
        <v>88</v>
      </c>
      <c r="G21" s="47" t="s">
        <v>88</v>
      </c>
      <c r="H21" s="47" t="s">
        <v>88</v>
      </c>
      <c r="I21" s="47" t="s">
        <v>88</v>
      </c>
      <c r="J21" s="48">
        <f t="shared" si="1"/>
        <v>100</v>
      </c>
    </row>
    <row r="22" spans="1:10" ht="21" customHeight="1" x14ac:dyDescent="0.15">
      <c r="A22" s="47">
        <v>65526020</v>
      </c>
      <c r="B22" s="47">
        <v>1</v>
      </c>
      <c r="C22" s="47" t="s">
        <v>88</v>
      </c>
      <c r="D22" s="47">
        <v>100</v>
      </c>
      <c r="E22" s="47" t="s">
        <v>88</v>
      </c>
      <c r="F22" s="47" t="s">
        <v>88</v>
      </c>
      <c r="G22" s="47">
        <v>1</v>
      </c>
      <c r="H22" s="47" t="s">
        <v>88</v>
      </c>
      <c r="I22" s="47" t="s">
        <v>88</v>
      </c>
      <c r="J22" s="48">
        <f t="shared" si="1"/>
        <v>100</v>
      </c>
    </row>
    <row r="23" spans="1:10" ht="21" customHeight="1" x14ac:dyDescent="0.15">
      <c r="A23" s="47">
        <v>65526021</v>
      </c>
      <c r="B23" s="47">
        <v>0</v>
      </c>
      <c r="C23" s="47" t="s">
        <v>88</v>
      </c>
      <c r="D23" s="47">
        <v>40</v>
      </c>
      <c r="E23" s="47" t="s">
        <v>88</v>
      </c>
      <c r="F23" s="47" t="s">
        <v>88</v>
      </c>
      <c r="G23" s="47" t="s">
        <v>88</v>
      </c>
      <c r="H23" s="47" t="s">
        <v>88</v>
      </c>
      <c r="I23" s="47" t="s">
        <v>88</v>
      </c>
      <c r="J23" s="48">
        <f t="shared" si="1"/>
        <v>40</v>
      </c>
    </row>
    <row r="24" spans="1:10" ht="21" customHeight="1" x14ac:dyDescent="0.15">
      <c r="A24" s="47">
        <v>65526022</v>
      </c>
      <c r="B24" s="47">
        <v>0</v>
      </c>
      <c r="C24" s="47" t="s">
        <v>88</v>
      </c>
      <c r="D24" s="47">
        <v>40</v>
      </c>
      <c r="E24" s="47" t="s">
        <v>88</v>
      </c>
      <c r="F24" s="47" t="s">
        <v>88</v>
      </c>
      <c r="G24" s="47" t="s">
        <v>88</v>
      </c>
      <c r="H24" s="47" t="s">
        <v>88</v>
      </c>
      <c r="I24" s="47" t="s">
        <v>88</v>
      </c>
      <c r="J24" s="48">
        <f t="shared" si="1"/>
        <v>40</v>
      </c>
    </row>
    <row r="25" spans="1:10" ht="21" customHeight="1" x14ac:dyDescent="0.15">
      <c r="A25" s="47">
        <v>65526023</v>
      </c>
      <c r="B25" s="47">
        <v>0</v>
      </c>
      <c r="C25" s="47" t="s">
        <v>88</v>
      </c>
      <c r="D25" s="47">
        <v>100</v>
      </c>
      <c r="E25" s="47" t="s">
        <v>88</v>
      </c>
      <c r="F25" s="47" t="s">
        <v>88</v>
      </c>
      <c r="G25" s="47" t="s">
        <v>88</v>
      </c>
      <c r="H25" s="47">
        <v>2</v>
      </c>
      <c r="I25" s="47" t="s">
        <v>88</v>
      </c>
      <c r="J25" s="48">
        <f t="shared" si="1"/>
        <v>100</v>
      </c>
    </row>
    <row r="26" spans="1:10" ht="21" customHeight="1" x14ac:dyDescent="0.15">
      <c r="A26" s="47">
        <v>65526024</v>
      </c>
      <c r="B26" s="47">
        <v>0</v>
      </c>
      <c r="C26" s="47" t="s">
        <v>88</v>
      </c>
      <c r="D26" s="47">
        <v>100</v>
      </c>
      <c r="E26" s="47" t="s">
        <v>88</v>
      </c>
      <c r="F26" s="47" t="s">
        <v>88</v>
      </c>
      <c r="G26" s="47" t="s">
        <v>88</v>
      </c>
      <c r="H26" s="47" t="s">
        <v>88</v>
      </c>
      <c r="I26" s="47" t="s">
        <v>88</v>
      </c>
      <c r="J26" s="48">
        <f t="shared" si="1"/>
        <v>100</v>
      </c>
    </row>
    <row r="27" spans="1:10" ht="21" customHeight="1" x14ac:dyDescent="0.15">
      <c r="A27" s="47">
        <v>65526025</v>
      </c>
      <c r="B27" s="47">
        <v>1</v>
      </c>
      <c r="C27" s="47" t="s">
        <v>88</v>
      </c>
      <c r="D27" s="47">
        <v>100</v>
      </c>
      <c r="E27" s="47" t="s">
        <v>88</v>
      </c>
      <c r="F27" s="47" t="s">
        <v>88</v>
      </c>
      <c r="G27" s="47">
        <v>1</v>
      </c>
      <c r="H27" s="47" t="s">
        <v>88</v>
      </c>
      <c r="I27" s="47" t="s">
        <v>88</v>
      </c>
      <c r="J27" s="48">
        <f t="shared" si="1"/>
        <v>100</v>
      </c>
    </row>
    <row r="28" spans="1:10" ht="21" customHeight="1" x14ac:dyDescent="0.15">
      <c r="A28" s="47">
        <v>65526026</v>
      </c>
      <c r="B28" s="47">
        <v>0</v>
      </c>
      <c r="C28" s="47" t="s">
        <v>88</v>
      </c>
      <c r="D28" s="47">
        <v>40</v>
      </c>
      <c r="E28" s="47" t="s">
        <v>88</v>
      </c>
      <c r="F28" s="47" t="s">
        <v>88</v>
      </c>
      <c r="G28" s="47" t="s">
        <v>88</v>
      </c>
      <c r="H28" s="47" t="s">
        <v>88</v>
      </c>
      <c r="I28" s="47" t="s">
        <v>88</v>
      </c>
      <c r="J28" s="48">
        <f t="shared" si="1"/>
        <v>40</v>
      </c>
    </row>
    <row r="29" spans="1:10" ht="21" customHeight="1" x14ac:dyDescent="0.15">
      <c r="A29" s="47">
        <v>65526027</v>
      </c>
      <c r="B29" s="47">
        <v>0</v>
      </c>
      <c r="C29" s="47" t="s">
        <v>88</v>
      </c>
      <c r="D29" s="47">
        <v>40</v>
      </c>
      <c r="E29" s="47" t="s">
        <v>88</v>
      </c>
      <c r="F29" s="47" t="s">
        <v>88</v>
      </c>
      <c r="G29" s="47" t="s">
        <v>88</v>
      </c>
      <c r="H29" s="47" t="s">
        <v>88</v>
      </c>
      <c r="I29" s="47" t="s">
        <v>88</v>
      </c>
      <c r="J29" s="48">
        <f t="shared" si="1"/>
        <v>40</v>
      </c>
    </row>
    <row r="30" spans="1:10" ht="21" customHeight="1" x14ac:dyDescent="0.15">
      <c r="A30" s="47">
        <v>65526028</v>
      </c>
      <c r="B30" s="47">
        <v>0</v>
      </c>
      <c r="C30" s="47" t="s">
        <v>88</v>
      </c>
      <c r="D30" s="47">
        <v>100</v>
      </c>
      <c r="E30" s="47" t="s">
        <v>88</v>
      </c>
      <c r="F30" s="47" t="s">
        <v>88</v>
      </c>
      <c r="G30" s="47" t="s">
        <v>88</v>
      </c>
      <c r="H30" s="47">
        <v>2</v>
      </c>
      <c r="I30" s="47" t="s">
        <v>88</v>
      </c>
      <c r="J30" s="48">
        <f t="shared" si="1"/>
        <v>100</v>
      </c>
    </row>
    <row r="31" spans="1:10" ht="21" customHeight="1" x14ac:dyDescent="0.15">
      <c r="A31" s="47">
        <v>65526029</v>
      </c>
      <c r="B31" s="47">
        <v>0</v>
      </c>
      <c r="C31" s="47" t="s">
        <v>88</v>
      </c>
      <c r="D31" s="47">
        <v>100</v>
      </c>
      <c r="E31" s="47" t="s">
        <v>88</v>
      </c>
      <c r="F31" s="47" t="s">
        <v>88</v>
      </c>
      <c r="G31" s="47" t="s">
        <v>88</v>
      </c>
      <c r="H31" s="47" t="s">
        <v>88</v>
      </c>
      <c r="I31" s="47" t="s">
        <v>88</v>
      </c>
      <c r="J31" s="48">
        <f t="shared" si="1"/>
        <v>100</v>
      </c>
    </row>
    <row r="32" spans="1:10" ht="21" customHeight="1" x14ac:dyDescent="0.15">
      <c r="A32" s="47">
        <v>65526030</v>
      </c>
      <c r="B32" s="47">
        <v>1</v>
      </c>
      <c r="C32" s="47" t="s">
        <v>88</v>
      </c>
      <c r="D32" s="47">
        <v>100</v>
      </c>
      <c r="E32" s="47" t="s">
        <v>88</v>
      </c>
      <c r="F32" s="47" t="s">
        <v>88</v>
      </c>
      <c r="G32" s="47">
        <v>1</v>
      </c>
      <c r="H32" s="47" t="s">
        <v>88</v>
      </c>
      <c r="I32" s="47" t="s">
        <v>88</v>
      </c>
      <c r="J32" s="48">
        <f t="shared" si="1"/>
        <v>100</v>
      </c>
    </row>
    <row r="33" spans="1:10" ht="21" customHeight="1" x14ac:dyDescent="0.15">
      <c r="A33" s="47">
        <v>65526031</v>
      </c>
      <c r="B33" s="47">
        <v>0</v>
      </c>
      <c r="C33" s="47" t="s">
        <v>88</v>
      </c>
      <c r="D33" s="47">
        <v>50</v>
      </c>
      <c r="E33" s="47" t="s">
        <v>88</v>
      </c>
      <c r="F33" s="47" t="s">
        <v>88</v>
      </c>
      <c r="G33" s="47" t="s">
        <v>88</v>
      </c>
      <c r="H33" s="47" t="s">
        <v>88</v>
      </c>
      <c r="I33" s="47" t="s">
        <v>88</v>
      </c>
      <c r="J33" s="48">
        <f t="shared" si="1"/>
        <v>50</v>
      </c>
    </row>
    <row r="34" spans="1:10" ht="21" customHeight="1" x14ac:dyDescent="0.15">
      <c r="A34" s="47">
        <v>65526032</v>
      </c>
      <c r="B34" s="47">
        <v>0</v>
      </c>
      <c r="C34" s="47" t="s">
        <v>88</v>
      </c>
      <c r="D34" s="47">
        <v>100</v>
      </c>
      <c r="E34" s="47" t="s">
        <v>88</v>
      </c>
      <c r="F34" s="47" t="s">
        <v>88</v>
      </c>
      <c r="G34" s="47">
        <v>1</v>
      </c>
      <c r="H34" s="47">
        <v>3</v>
      </c>
      <c r="I34" s="47" t="s">
        <v>88</v>
      </c>
      <c r="J34" s="48">
        <f t="shared" si="1"/>
        <v>100</v>
      </c>
    </row>
    <row r="35" spans="1:10" ht="21" customHeight="1" x14ac:dyDescent="0.15">
      <c r="A35" s="47">
        <v>65526033</v>
      </c>
      <c r="B35" s="47">
        <v>0</v>
      </c>
      <c r="C35" s="47" t="s">
        <v>88</v>
      </c>
      <c r="D35" s="47">
        <v>40</v>
      </c>
      <c r="E35" s="47" t="s">
        <v>88</v>
      </c>
      <c r="F35" s="47" t="s">
        <v>88</v>
      </c>
      <c r="G35" s="47" t="s">
        <v>88</v>
      </c>
      <c r="H35" s="47" t="s">
        <v>88</v>
      </c>
      <c r="I35" s="47" t="s">
        <v>88</v>
      </c>
      <c r="J35" s="48">
        <f t="shared" si="1"/>
        <v>40</v>
      </c>
    </row>
    <row r="36" spans="1:10" ht="21" customHeight="1" x14ac:dyDescent="0.15">
      <c r="A36" s="47">
        <v>65526034</v>
      </c>
      <c r="B36" s="47">
        <v>0</v>
      </c>
      <c r="C36" s="47" t="s">
        <v>88</v>
      </c>
      <c r="D36" s="47">
        <v>100</v>
      </c>
      <c r="E36" s="47" t="s">
        <v>88</v>
      </c>
      <c r="F36" s="47" t="s">
        <v>88</v>
      </c>
      <c r="G36" s="47" t="s">
        <v>88</v>
      </c>
      <c r="H36" s="47" t="s">
        <v>88</v>
      </c>
      <c r="I36" s="47" t="s">
        <v>88</v>
      </c>
      <c r="J36" s="48">
        <f t="shared" si="1"/>
        <v>100</v>
      </c>
    </row>
    <row r="37" spans="1:10" ht="21" customHeight="1" x14ac:dyDescent="0.15">
      <c r="A37" s="47">
        <v>65526035</v>
      </c>
      <c r="B37" s="47">
        <v>0</v>
      </c>
      <c r="C37" s="47" t="s">
        <v>88</v>
      </c>
      <c r="D37" s="47">
        <v>100</v>
      </c>
      <c r="E37" s="47" t="s">
        <v>88</v>
      </c>
      <c r="F37" s="47" t="s">
        <v>88</v>
      </c>
      <c r="G37" s="47" t="s">
        <v>88</v>
      </c>
      <c r="H37" s="47">
        <v>2</v>
      </c>
      <c r="I37" s="47" t="s">
        <v>88</v>
      </c>
      <c r="J37" s="48">
        <f t="shared" si="1"/>
        <v>100</v>
      </c>
    </row>
    <row r="38" spans="1:10" ht="21" customHeight="1" x14ac:dyDescent="0.15">
      <c r="A38" s="47">
        <v>65526036</v>
      </c>
      <c r="B38" s="47">
        <v>0</v>
      </c>
      <c r="C38" s="47" t="s">
        <v>88</v>
      </c>
      <c r="D38" s="47">
        <v>100</v>
      </c>
      <c r="E38" s="47" t="s">
        <v>88</v>
      </c>
      <c r="F38" s="47" t="s">
        <v>88</v>
      </c>
      <c r="G38" s="47">
        <v>1</v>
      </c>
      <c r="H38" s="47">
        <v>3</v>
      </c>
      <c r="I38" s="47" t="s">
        <v>88</v>
      </c>
      <c r="J38" s="48">
        <f t="shared" si="1"/>
        <v>100</v>
      </c>
    </row>
    <row r="39" spans="1:10" ht="21" customHeight="1" x14ac:dyDescent="0.15">
      <c r="A39" s="47">
        <v>65526037</v>
      </c>
      <c r="B39" s="47">
        <v>0</v>
      </c>
      <c r="C39" s="47" t="s">
        <v>88</v>
      </c>
      <c r="D39" s="47">
        <v>100</v>
      </c>
      <c r="E39" s="47" t="s">
        <v>88</v>
      </c>
      <c r="F39" s="47" t="s">
        <v>88</v>
      </c>
      <c r="G39" s="47" t="s">
        <v>88</v>
      </c>
      <c r="H39" s="47" t="s">
        <v>88</v>
      </c>
      <c r="I39" s="47" t="s">
        <v>88</v>
      </c>
      <c r="J39" s="48">
        <f t="shared" si="1"/>
        <v>100</v>
      </c>
    </row>
    <row r="40" spans="1:10" ht="21" customHeight="1" x14ac:dyDescent="0.15">
      <c r="A40" s="47">
        <v>65526038</v>
      </c>
      <c r="B40" s="47">
        <v>0</v>
      </c>
      <c r="C40" s="47" t="s">
        <v>88</v>
      </c>
      <c r="D40" s="47">
        <v>100</v>
      </c>
      <c r="E40" s="47" t="s">
        <v>88</v>
      </c>
      <c r="F40" s="47" t="s">
        <v>88</v>
      </c>
      <c r="G40" s="47" t="s">
        <v>88</v>
      </c>
      <c r="H40" s="47" t="s">
        <v>88</v>
      </c>
      <c r="I40" s="47" t="s">
        <v>88</v>
      </c>
      <c r="J40" s="48">
        <f t="shared" si="1"/>
        <v>100</v>
      </c>
    </row>
    <row r="41" spans="1:10" ht="21" customHeight="1" x14ac:dyDescent="0.15">
      <c r="A41" s="47">
        <v>65526039</v>
      </c>
      <c r="B41" s="47">
        <v>0</v>
      </c>
      <c r="C41" s="47" t="s">
        <v>88</v>
      </c>
      <c r="D41" s="47">
        <v>100</v>
      </c>
      <c r="E41" s="47" t="s">
        <v>88</v>
      </c>
      <c r="F41" s="47" t="s">
        <v>88</v>
      </c>
      <c r="G41" s="47" t="s">
        <v>88</v>
      </c>
      <c r="H41" s="47" t="s">
        <v>88</v>
      </c>
      <c r="I41" s="47" t="s">
        <v>88</v>
      </c>
      <c r="J41" s="48">
        <f t="shared" si="1"/>
        <v>100</v>
      </c>
    </row>
    <row r="42" spans="1:10" ht="21" customHeight="1" x14ac:dyDescent="0.15">
      <c r="A42" s="47">
        <v>65526040</v>
      </c>
      <c r="B42" s="47">
        <v>1</v>
      </c>
      <c r="C42" s="47" t="s">
        <v>88</v>
      </c>
      <c r="D42" s="47">
        <v>100</v>
      </c>
      <c r="E42" s="47" t="s">
        <v>88</v>
      </c>
      <c r="F42" s="47" t="s">
        <v>88</v>
      </c>
      <c r="G42" s="47">
        <v>1</v>
      </c>
      <c r="H42" s="47" t="s">
        <v>88</v>
      </c>
      <c r="I42" s="47" t="s">
        <v>88</v>
      </c>
      <c r="J42" s="48">
        <f t="shared" si="1"/>
        <v>100</v>
      </c>
    </row>
    <row r="43" spans="1:10" ht="21" customHeight="1" x14ac:dyDescent="0.15">
      <c r="A43" s="47">
        <v>65526041</v>
      </c>
      <c r="B43" s="47">
        <v>0</v>
      </c>
      <c r="C43" s="47" t="s">
        <v>88</v>
      </c>
      <c r="D43" s="47">
        <v>40</v>
      </c>
      <c r="E43" s="47" t="s">
        <v>88</v>
      </c>
      <c r="F43" s="47" t="s">
        <v>88</v>
      </c>
      <c r="G43" s="47" t="s">
        <v>88</v>
      </c>
      <c r="H43" s="47" t="s">
        <v>88</v>
      </c>
      <c r="I43" s="47" t="s">
        <v>88</v>
      </c>
      <c r="J43" s="48">
        <f t="shared" si="1"/>
        <v>40</v>
      </c>
    </row>
    <row r="44" spans="1:10" ht="21" customHeight="1" x14ac:dyDescent="0.15">
      <c r="A44" s="47">
        <v>65526042</v>
      </c>
      <c r="B44" s="47">
        <v>0</v>
      </c>
      <c r="C44" s="47" t="s">
        <v>88</v>
      </c>
      <c r="D44" s="47">
        <v>40</v>
      </c>
      <c r="E44" s="47" t="s">
        <v>88</v>
      </c>
      <c r="F44" s="47" t="s">
        <v>88</v>
      </c>
      <c r="G44" s="47" t="s">
        <v>88</v>
      </c>
      <c r="H44" s="47" t="s">
        <v>88</v>
      </c>
      <c r="I44" s="47" t="s">
        <v>88</v>
      </c>
      <c r="J44" s="48">
        <f t="shared" si="1"/>
        <v>40</v>
      </c>
    </row>
    <row r="45" spans="1:10" ht="21" customHeight="1" x14ac:dyDescent="0.15">
      <c r="A45" s="47">
        <v>65526043</v>
      </c>
      <c r="B45" s="47">
        <v>0</v>
      </c>
      <c r="C45" s="47" t="s">
        <v>88</v>
      </c>
      <c r="D45" s="47">
        <v>40</v>
      </c>
      <c r="E45" s="47" t="s">
        <v>88</v>
      </c>
      <c r="F45" s="47" t="s">
        <v>88</v>
      </c>
      <c r="G45" s="47" t="s">
        <v>88</v>
      </c>
      <c r="H45" s="47" t="s">
        <v>88</v>
      </c>
      <c r="I45" s="47" t="s">
        <v>88</v>
      </c>
      <c r="J45" s="48">
        <f t="shared" si="1"/>
        <v>40</v>
      </c>
    </row>
    <row r="46" spans="1:10" ht="21" customHeight="1" x14ac:dyDescent="0.15">
      <c r="A46" s="47">
        <v>65526044</v>
      </c>
      <c r="B46" s="47">
        <v>0</v>
      </c>
      <c r="C46" s="47" t="s">
        <v>88</v>
      </c>
      <c r="D46" s="47">
        <v>100</v>
      </c>
      <c r="E46" s="47" t="s">
        <v>88</v>
      </c>
      <c r="F46" s="47" t="s">
        <v>88</v>
      </c>
      <c r="G46" s="47" t="s">
        <v>88</v>
      </c>
      <c r="H46" s="47">
        <v>2</v>
      </c>
      <c r="I46" s="47" t="s">
        <v>88</v>
      </c>
      <c r="J46" s="48">
        <f t="shared" si="1"/>
        <v>100</v>
      </c>
    </row>
    <row r="47" spans="1:10" ht="21" customHeight="1" x14ac:dyDescent="0.15">
      <c r="A47" s="47">
        <v>65526045</v>
      </c>
      <c r="B47" s="47">
        <v>0</v>
      </c>
      <c r="C47" s="47" t="s">
        <v>88</v>
      </c>
      <c r="D47" s="47">
        <v>100</v>
      </c>
      <c r="E47" s="47" t="s">
        <v>88</v>
      </c>
      <c r="F47" s="47" t="s">
        <v>88</v>
      </c>
      <c r="G47" s="47" t="s">
        <v>88</v>
      </c>
      <c r="H47" s="47" t="s">
        <v>88</v>
      </c>
      <c r="I47" s="47" t="s">
        <v>88</v>
      </c>
      <c r="J47" s="48">
        <f t="shared" si="1"/>
        <v>100</v>
      </c>
    </row>
    <row r="48" spans="1:10" ht="21" customHeight="1" x14ac:dyDescent="0.15">
      <c r="A48" s="47">
        <v>65526046</v>
      </c>
      <c r="B48" s="47">
        <v>0</v>
      </c>
      <c r="C48" s="47" t="s">
        <v>88</v>
      </c>
      <c r="D48" s="47">
        <v>100</v>
      </c>
      <c r="E48" s="47" t="s">
        <v>88</v>
      </c>
      <c r="F48" s="47" t="s">
        <v>88</v>
      </c>
      <c r="G48" s="47" t="s">
        <v>88</v>
      </c>
      <c r="H48" s="47" t="s">
        <v>88</v>
      </c>
      <c r="I48" s="47" t="s">
        <v>88</v>
      </c>
      <c r="J48" s="48">
        <f t="shared" si="1"/>
        <v>100</v>
      </c>
    </row>
    <row r="49" spans="1:10" ht="21" customHeight="1" x14ac:dyDescent="0.15">
      <c r="A49" s="47">
        <v>65526047</v>
      </c>
      <c r="B49" s="47">
        <v>0</v>
      </c>
      <c r="C49" s="47" t="s">
        <v>88</v>
      </c>
      <c r="D49" s="47">
        <v>100</v>
      </c>
      <c r="E49" s="47" t="s">
        <v>88</v>
      </c>
      <c r="F49" s="47" t="s">
        <v>88</v>
      </c>
      <c r="G49" s="47" t="s">
        <v>88</v>
      </c>
      <c r="H49" s="47" t="s">
        <v>88</v>
      </c>
      <c r="I49" s="47" t="s">
        <v>88</v>
      </c>
      <c r="J49" s="48">
        <f t="shared" si="1"/>
        <v>100</v>
      </c>
    </row>
    <row r="50" spans="1:10" ht="21" customHeight="1" x14ac:dyDescent="0.15">
      <c r="A50" s="47">
        <v>65526048</v>
      </c>
      <c r="B50" s="47">
        <v>0</v>
      </c>
      <c r="C50" s="47" t="s">
        <v>88</v>
      </c>
      <c r="D50" s="47">
        <v>100</v>
      </c>
      <c r="E50" s="47" t="s">
        <v>88</v>
      </c>
      <c r="F50" s="47" t="s">
        <v>88</v>
      </c>
      <c r="G50" s="47" t="s">
        <v>88</v>
      </c>
      <c r="H50" s="47" t="s">
        <v>88</v>
      </c>
      <c r="I50" s="47" t="s">
        <v>88</v>
      </c>
      <c r="J50" s="48">
        <f t="shared" si="1"/>
        <v>100</v>
      </c>
    </row>
    <row r="51" spans="1:10" ht="21" customHeight="1" x14ac:dyDescent="0.15">
      <c r="A51" s="47">
        <v>65526049</v>
      </c>
      <c r="B51" s="47">
        <v>0</v>
      </c>
      <c r="C51" s="47" t="s">
        <v>88</v>
      </c>
      <c r="D51" s="47">
        <v>100</v>
      </c>
      <c r="E51" s="47" t="s">
        <v>88</v>
      </c>
      <c r="F51" s="47" t="s">
        <v>88</v>
      </c>
      <c r="G51" s="47" t="s">
        <v>88</v>
      </c>
      <c r="H51" s="47" t="s">
        <v>88</v>
      </c>
      <c r="I51" s="47" t="s">
        <v>88</v>
      </c>
      <c r="J51" s="48">
        <f t="shared" si="1"/>
        <v>100</v>
      </c>
    </row>
    <row r="52" spans="1:10" ht="21" customHeight="1" x14ac:dyDescent="0.15">
      <c r="A52" s="47">
        <v>65526050</v>
      </c>
      <c r="B52" s="47">
        <v>1</v>
      </c>
      <c r="C52" s="47" t="s">
        <v>88</v>
      </c>
      <c r="D52" s="47">
        <v>100</v>
      </c>
      <c r="E52" s="47" t="s">
        <v>88</v>
      </c>
      <c r="F52" s="47" t="s">
        <v>88</v>
      </c>
      <c r="G52" s="47">
        <v>1</v>
      </c>
      <c r="H52" s="47" t="s">
        <v>88</v>
      </c>
      <c r="I52" s="47" t="s">
        <v>88</v>
      </c>
      <c r="J52" s="48">
        <f t="shared" si="1"/>
        <v>100</v>
      </c>
    </row>
    <row r="53" spans="1:10" ht="21" customHeight="1" x14ac:dyDescent="0.15">
      <c r="A53" s="47">
        <v>65526051</v>
      </c>
      <c r="B53" s="47">
        <v>0</v>
      </c>
      <c r="C53" s="47" t="s">
        <v>88</v>
      </c>
      <c r="D53" s="47">
        <v>40</v>
      </c>
      <c r="E53" s="47" t="s">
        <v>88</v>
      </c>
      <c r="F53" s="47" t="s">
        <v>88</v>
      </c>
      <c r="G53" s="47" t="s">
        <v>88</v>
      </c>
      <c r="H53" s="47" t="s">
        <v>88</v>
      </c>
      <c r="I53" s="47" t="s">
        <v>88</v>
      </c>
      <c r="J53" s="48">
        <f t="shared" si="1"/>
        <v>40</v>
      </c>
    </row>
    <row r="54" spans="1:10" ht="21" customHeight="1" x14ac:dyDescent="0.15">
      <c r="A54" s="47">
        <v>65526052</v>
      </c>
      <c r="B54" s="47">
        <v>0</v>
      </c>
      <c r="C54" s="47" t="s">
        <v>88</v>
      </c>
      <c r="D54" s="47">
        <v>40</v>
      </c>
      <c r="E54" s="47" t="s">
        <v>88</v>
      </c>
      <c r="F54" s="47" t="s">
        <v>88</v>
      </c>
      <c r="G54" s="47" t="s">
        <v>88</v>
      </c>
      <c r="H54" s="47" t="s">
        <v>88</v>
      </c>
      <c r="I54" s="47" t="s">
        <v>88</v>
      </c>
      <c r="J54" s="48">
        <f t="shared" si="1"/>
        <v>40</v>
      </c>
    </row>
    <row r="55" spans="1:10" ht="21" customHeight="1" x14ac:dyDescent="0.15">
      <c r="A55" s="47">
        <v>65526053</v>
      </c>
      <c r="B55" s="47">
        <v>0</v>
      </c>
      <c r="C55" s="47" t="s">
        <v>88</v>
      </c>
      <c r="D55" s="47">
        <v>40</v>
      </c>
      <c r="E55" s="47" t="s">
        <v>88</v>
      </c>
      <c r="F55" s="47" t="s">
        <v>88</v>
      </c>
      <c r="G55" s="47" t="s">
        <v>88</v>
      </c>
      <c r="H55" s="47" t="s">
        <v>88</v>
      </c>
      <c r="I55" s="47" t="s">
        <v>88</v>
      </c>
      <c r="J55" s="48">
        <f t="shared" si="1"/>
        <v>40</v>
      </c>
    </row>
    <row r="56" spans="1:10" ht="21" customHeight="1" x14ac:dyDescent="0.15">
      <c r="A56" s="47">
        <v>65526054</v>
      </c>
      <c r="B56" s="47">
        <v>0</v>
      </c>
      <c r="C56" s="47" t="s">
        <v>88</v>
      </c>
      <c r="D56" s="47">
        <v>100</v>
      </c>
      <c r="E56" s="47" t="s">
        <v>88</v>
      </c>
      <c r="F56" s="47" t="s">
        <v>88</v>
      </c>
      <c r="G56" s="47" t="s">
        <v>88</v>
      </c>
      <c r="H56" s="47">
        <v>2</v>
      </c>
      <c r="I56" s="47" t="s">
        <v>88</v>
      </c>
      <c r="J56" s="48">
        <f t="shared" si="1"/>
        <v>100</v>
      </c>
    </row>
    <row r="57" spans="1:10" ht="21" customHeight="1" x14ac:dyDescent="0.15">
      <c r="A57" s="47">
        <v>65526055</v>
      </c>
      <c r="B57" s="47">
        <v>0</v>
      </c>
      <c r="C57" s="47">
        <v>100</v>
      </c>
      <c r="D57" s="47">
        <v>100</v>
      </c>
      <c r="E57" s="47">
        <v>50</v>
      </c>
      <c r="F57" s="47" t="s">
        <v>88</v>
      </c>
      <c r="G57" s="47">
        <v>1</v>
      </c>
      <c r="H57" s="47" t="s">
        <v>88</v>
      </c>
      <c r="I57" s="47" t="s">
        <v>88</v>
      </c>
      <c r="J57" s="48">
        <f t="shared" si="1"/>
        <v>100</v>
      </c>
    </row>
    <row r="58" spans="1:10" ht="21" customHeight="1" x14ac:dyDescent="0.15">
      <c r="A58" s="47">
        <v>65526056</v>
      </c>
      <c r="B58" s="47">
        <v>0</v>
      </c>
      <c r="C58" s="47">
        <v>90</v>
      </c>
      <c r="D58" s="47">
        <v>100</v>
      </c>
      <c r="E58" s="47">
        <v>50</v>
      </c>
      <c r="F58" s="47" t="s">
        <v>88</v>
      </c>
      <c r="G58" s="47">
        <v>1</v>
      </c>
      <c r="H58" s="47" t="s">
        <v>88</v>
      </c>
      <c r="I58" s="47" t="s">
        <v>88</v>
      </c>
      <c r="J58" s="48">
        <f t="shared" si="1"/>
        <v>100</v>
      </c>
    </row>
    <row r="59" spans="1:10" ht="21" customHeight="1" x14ac:dyDescent="0.15">
      <c r="A59" s="47">
        <v>65526057</v>
      </c>
      <c r="B59" s="47">
        <v>0</v>
      </c>
      <c r="C59" s="47" t="s">
        <v>88</v>
      </c>
      <c r="D59" s="47">
        <v>100</v>
      </c>
      <c r="E59" s="47" t="s">
        <v>88</v>
      </c>
      <c r="F59" s="47" t="s">
        <v>88</v>
      </c>
      <c r="G59" s="47" t="s">
        <v>88</v>
      </c>
      <c r="H59" s="47" t="s">
        <v>88</v>
      </c>
      <c r="I59" s="47" t="s">
        <v>88</v>
      </c>
      <c r="J59" s="48">
        <f t="shared" si="1"/>
        <v>100</v>
      </c>
    </row>
    <row r="60" spans="1:10" ht="21" customHeight="1" x14ac:dyDescent="0.15">
      <c r="A60" s="47">
        <v>65526058</v>
      </c>
      <c r="B60" s="47">
        <v>0</v>
      </c>
      <c r="C60" s="47" t="s">
        <v>88</v>
      </c>
      <c r="D60" s="47">
        <v>100</v>
      </c>
      <c r="E60" s="47" t="s">
        <v>88</v>
      </c>
      <c r="F60" s="47" t="s">
        <v>88</v>
      </c>
      <c r="G60" s="47" t="s">
        <v>88</v>
      </c>
      <c r="H60" s="47" t="s">
        <v>88</v>
      </c>
      <c r="I60" s="47" t="s">
        <v>88</v>
      </c>
      <c r="J60" s="48">
        <f t="shared" si="1"/>
        <v>100</v>
      </c>
    </row>
    <row r="61" spans="1:10" ht="21" customHeight="1" x14ac:dyDescent="0.15">
      <c r="A61" s="47">
        <v>65526059</v>
      </c>
      <c r="B61" s="47">
        <v>0</v>
      </c>
      <c r="C61" s="47" t="s">
        <v>88</v>
      </c>
      <c r="D61" s="47">
        <v>100</v>
      </c>
      <c r="E61" s="47" t="s">
        <v>88</v>
      </c>
      <c r="F61" s="47" t="s">
        <v>88</v>
      </c>
      <c r="G61" s="47" t="s">
        <v>88</v>
      </c>
      <c r="H61" s="47" t="s">
        <v>88</v>
      </c>
      <c r="I61" s="47" t="s">
        <v>88</v>
      </c>
      <c r="J61" s="48">
        <f t="shared" si="1"/>
        <v>100</v>
      </c>
    </row>
    <row r="62" spans="1:10" ht="21" customHeight="1" x14ac:dyDescent="0.15">
      <c r="A62" s="47">
        <v>65526060</v>
      </c>
      <c r="B62" s="47">
        <v>1</v>
      </c>
      <c r="C62" s="47" t="s">
        <v>88</v>
      </c>
      <c r="D62" s="47">
        <v>100</v>
      </c>
      <c r="E62" s="47" t="s">
        <v>88</v>
      </c>
      <c r="F62" s="47" t="s">
        <v>88</v>
      </c>
      <c r="G62" s="47">
        <v>1</v>
      </c>
      <c r="H62" s="47" t="s">
        <v>88</v>
      </c>
      <c r="I62" s="47" t="s">
        <v>88</v>
      </c>
      <c r="J62" s="48">
        <f t="shared" si="1"/>
        <v>100</v>
      </c>
    </row>
    <row r="63" spans="1:10" ht="21" customHeight="1" x14ac:dyDescent="0.15">
      <c r="A63" s="47">
        <v>65526061</v>
      </c>
      <c r="B63" s="47">
        <v>0</v>
      </c>
      <c r="C63" s="47" t="s">
        <v>88</v>
      </c>
      <c r="D63" s="47">
        <v>40</v>
      </c>
      <c r="E63" s="47" t="s">
        <v>88</v>
      </c>
      <c r="F63" s="47" t="s">
        <v>88</v>
      </c>
      <c r="G63" s="47" t="s">
        <v>88</v>
      </c>
      <c r="H63" s="47" t="s">
        <v>88</v>
      </c>
      <c r="I63" s="47" t="s">
        <v>88</v>
      </c>
      <c r="J63" s="48">
        <f t="shared" si="1"/>
        <v>40</v>
      </c>
    </row>
    <row r="64" spans="1:10" ht="21" customHeight="1" x14ac:dyDescent="0.15">
      <c r="A64" s="47">
        <v>65526062</v>
      </c>
      <c r="B64" s="47">
        <v>0</v>
      </c>
      <c r="C64" s="47" t="s">
        <v>88</v>
      </c>
      <c r="D64" s="47">
        <v>40</v>
      </c>
      <c r="E64" s="47" t="s">
        <v>88</v>
      </c>
      <c r="F64" s="47" t="s">
        <v>88</v>
      </c>
      <c r="G64" s="47" t="s">
        <v>88</v>
      </c>
      <c r="H64" s="47" t="s">
        <v>88</v>
      </c>
      <c r="I64" s="47" t="s">
        <v>88</v>
      </c>
      <c r="J64" s="48">
        <f t="shared" si="1"/>
        <v>40</v>
      </c>
    </row>
    <row r="65" spans="1:10" ht="21" customHeight="1" x14ac:dyDescent="0.15">
      <c r="A65" s="47">
        <v>65526063</v>
      </c>
      <c r="B65" s="47">
        <v>0</v>
      </c>
      <c r="C65" s="47" t="s">
        <v>88</v>
      </c>
      <c r="D65" s="47">
        <v>40</v>
      </c>
      <c r="E65" s="47" t="s">
        <v>88</v>
      </c>
      <c r="F65" s="47" t="s">
        <v>88</v>
      </c>
      <c r="G65" s="47" t="s">
        <v>88</v>
      </c>
      <c r="H65" s="47" t="s">
        <v>88</v>
      </c>
      <c r="I65" s="47" t="s">
        <v>88</v>
      </c>
      <c r="J65" s="48">
        <f t="shared" si="1"/>
        <v>40</v>
      </c>
    </row>
    <row r="66" spans="1:10" ht="21" customHeight="1" x14ac:dyDescent="0.15">
      <c r="A66" s="47">
        <v>65526064</v>
      </c>
      <c r="B66" s="47">
        <v>0</v>
      </c>
      <c r="C66" s="47" t="s">
        <v>88</v>
      </c>
      <c r="D66" s="47">
        <v>100</v>
      </c>
      <c r="E66" s="47" t="s">
        <v>88</v>
      </c>
      <c r="F66" s="47" t="s">
        <v>88</v>
      </c>
      <c r="G66" s="47" t="s">
        <v>88</v>
      </c>
      <c r="H66" s="47">
        <v>2</v>
      </c>
      <c r="I66" s="47" t="s">
        <v>88</v>
      </c>
      <c r="J66" s="48">
        <f t="shared" si="1"/>
        <v>100</v>
      </c>
    </row>
    <row r="67" spans="1:10" ht="21" customHeight="1" x14ac:dyDescent="0.15">
      <c r="A67" s="47">
        <v>65526065</v>
      </c>
      <c r="B67" s="47">
        <v>0</v>
      </c>
      <c r="C67" s="47">
        <v>100</v>
      </c>
      <c r="D67" s="47">
        <v>100</v>
      </c>
      <c r="E67" s="47">
        <v>50</v>
      </c>
      <c r="F67" s="47" t="s">
        <v>88</v>
      </c>
      <c r="G67" s="47">
        <v>1</v>
      </c>
      <c r="H67" s="47" t="s">
        <v>88</v>
      </c>
      <c r="I67" s="47" t="s">
        <v>88</v>
      </c>
      <c r="J67" s="48">
        <f t="shared" ref="J67:J71" si="2">D67</f>
        <v>100</v>
      </c>
    </row>
    <row r="68" spans="1:10" ht="21" customHeight="1" x14ac:dyDescent="0.15">
      <c r="A68" s="47">
        <v>65526066</v>
      </c>
      <c r="B68" s="47">
        <v>0</v>
      </c>
      <c r="C68" s="47">
        <v>90</v>
      </c>
      <c r="D68" s="47">
        <v>100</v>
      </c>
      <c r="E68" s="47">
        <v>50</v>
      </c>
      <c r="F68" s="47" t="s">
        <v>88</v>
      </c>
      <c r="G68" s="47">
        <v>1</v>
      </c>
      <c r="H68" s="47" t="s">
        <v>88</v>
      </c>
      <c r="I68" s="47" t="s">
        <v>88</v>
      </c>
      <c r="J68" s="48">
        <f t="shared" si="2"/>
        <v>100</v>
      </c>
    </row>
    <row r="69" spans="1:10" ht="21" customHeight="1" x14ac:dyDescent="0.15">
      <c r="A69" s="47">
        <v>65526067</v>
      </c>
      <c r="B69" s="47">
        <v>0</v>
      </c>
      <c r="C69" s="47" t="s">
        <v>88</v>
      </c>
      <c r="D69" s="47">
        <v>100</v>
      </c>
      <c r="E69" s="47" t="s">
        <v>88</v>
      </c>
      <c r="F69" s="47" t="s">
        <v>88</v>
      </c>
      <c r="G69" s="47" t="s">
        <v>88</v>
      </c>
      <c r="H69" s="47" t="s">
        <v>88</v>
      </c>
      <c r="I69" s="47" t="s">
        <v>88</v>
      </c>
      <c r="J69" s="48">
        <f t="shared" si="2"/>
        <v>100</v>
      </c>
    </row>
    <row r="70" spans="1:10" ht="21" customHeight="1" x14ac:dyDescent="0.15">
      <c r="A70" s="47">
        <v>65526068</v>
      </c>
      <c r="B70" s="47">
        <v>0</v>
      </c>
      <c r="C70" s="47" t="s">
        <v>88</v>
      </c>
      <c r="D70" s="47">
        <v>100</v>
      </c>
      <c r="E70" s="47" t="s">
        <v>88</v>
      </c>
      <c r="F70" s="47" t="s">
        <v>88</v>
      </c>
      <c r="G70" s="47" t="s">
        <v>88</v>
      </c>
      <c r="H70" s="47" t="s">
        <v>88</v>
      </c>
      <c r="I70" s="47" t="s">
        <v>88</v>
      </c>
      <c r="J70" s="48">
        <f t="shared" si="2"/>
        <v>100</v>
      </c>
    </row>
    <row r="71" spans="1:10" ht="21" customHeight="1" x14ac:dyDescent="0.15">
      <c r="A71" s="47">
        <v>65526069</v>
      </c>
      <c r="B71" s="47">
        <v>0</v>
      </c>
      <c r="C71" s="47" t="s">
        <v>88</v>
      </c>
      <c r="D71" s="47">
        <v>100</v>
      </c>
      <c r="E71" s="47" t="s">
        <v>88</v>
      </c>
      <c r="F71" s="47" t="s">
        <v>88</v>
      </c>
      <c r="G71" s="47" t="s">
        <v>88</v>
      </c>
      <c r="H71" s="47" t="s">
        <v>88</v>
      </c>
      <c r="I71" s="47" t="s">
        <v>88</v>
      </c>
      <c r="J71" s="48">
        <f t="shared" si="2"/>
        <v>100</v>
      </c>
    </row>
  </sheetData>
  <autoFilter ref="A1:G1"/>
  <phoneticPr fontId="5"/>
  <conditionalFormatting sqref="K72:K1048576 K1:K2">
    <cfRule type="duplicateValues" dxfId="2" priority="3"/>
  </conditionalFormatting>
  <conditionalFormatting sqref="K3">
    <cfRule type="duplicateValues" dxfId="1" priority="2"/>
  </conditionalFormatting>
  <conditionalFormatting sqref="K4:K71">
    <cfRule type="duplicateValues" dxfId="0" priority="5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5"/>
  <sheetViews>
    <sheetView workbookViewId="0">
      <selection activeCell="A2" sqref="A2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4" t="s">
        <v>150</v>
      </c>
      <c r="B1" s="64" t="s">
        <v>151</v>
      </c>
      <c r="C1" s="65" t="s">
        <v>152</v>
      </c>
      <c r="D1" s="72" t="s">
        <v>153</v>
      </c>
      <c r="E1" s="66" t="s">
        <v>154</v>
      </c>
      <c r="F1" s="64" t="s">
        <v>155</v>
      </c>
      <c r="G1" s="64" t="s">
        <v>156</v>
      </c>
      <c r="H1" s="64" t="s">
        <v>157</v>
      </c>
      <c r="I1" s="64" t="s">
        <v>158</v>
      </c>
      <c r="J1" s="64" t="s">
        <v>159</v>
      </c>
      <c r="K1" s="64" t="s">
        <v>160</v>
      </c>
      <c r="L1" s="64" t="s">
        <v>161</v>
      </c>
      <c r="M1" s="64" t="s">
        <v>162</v>
      </c>
      <c r="N1" s="64" t="s">
        <v>163</v>
      </c>
      <c r="O1" s="64" t="s">
        <v>164</v>
      </c>
      <c r="P1" s="64" t="s">
        <v>165</v>
      </c>
      <c r="Q1" s="64" t="s">
        <v>166</v>
      </c>
      <c r="R1" s="64" t="s">
        <v>167</v>
      </c>
    </row>
    <row r="2" spans="1:18" x14ac:dyDescent="0.15">
      <c r="A2" s="47">
        <v>65526</v>
      </c>
      <c r="B2" s="57">
        <v>1</v>
      </c>
      <c r="C2" s="71" t="str">
        <f>A2&amp; "_"&amp;B2</f>
        <v>65526_1</v>
      </c>
      <c r="D2" s="11" t="str">
        <f ca="1">VLOOKUP($C2,OFFSET([2]stages!$A$1,0,0,COUNTA([2]stages!$A:$A),MATCH(D$1,[2]stages!$2:$2,0)-MATCH($C$1,[2]stages!$2:$2,0)+1),MATCH(D$1,[2]stages!$2:$2,0)-MATCH($C$1,[2]stages!$2:$2,0)+1,FALSE)</f>
        <v>everyone</v>
      </c>
      <c r="E2" s="57">
        <v>1</v>
      </c>
      <c r="F2" s="57" t="s">
        <v>168</v>
      </c>
      <c r="G2" s="57">
        <v>1000</v>
      </c>
      <c r="H2" s="57" t="s">
        <v>169</v>
      </c>
      <c r="I2" s="57">
        <v>1</v>
      </c>
      <c r="J2" s="57">
        <v>1</v>
      </c>
      <c r="K2" s="57">
        <v>0</v>
      </c>
      <c r="L2" s="57">
        <v>0</v>
      </c>
      <c r="M2" s="57">
        <v>0</v>
      </c>
      <c r="N2" s="57">
        <v>0</v>
      </c>
      <c r="O2" s="57">
        <v>1</v>
      </c>
      <c r="P2" s="57">
        <v>100</v>
      </c>
      <c r="Q2" s="57" t="s">
        <v>170</v>
      </c>
      <c r="R2" s="57" t="s">
        <v>171</v>
      </c>
    </row>
    <row r="3" spans="1:18" x14ac:dyDescent="0.15">
      <c r="A3" s="57"/>
      <c r="B3" s="57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7"/>
      <c r="R3" s="57"/>
    </row>
    <row r="4" spans="1:18" x14ac:dyDescent="0.15">
      <c r="A4" s="57"/>
      <c r="B4" s="57"/>
      <c r="C4" s="57"/>
      <c r="D4" s="57"/>
      <c r="E4" s="57"/>
      <c r="F4" s="57"/>
      <c r="G4" s="57"/>
      <c r="H4" s="57"/>
      <c r="I4" s="57"/>
      <c r="J4" s="57"/>
      <c r="K4" s="57"/>
      <c r="L4" s="57"/>
      <c r="M4" s="57"/>
      <c r="N4" s="57"/>
      <c r="O4" s="57"/>
      <c r="P4" s="57"/>
      <c r="Q4" s="57"/>
      <c r="R4" s="57"/>
    </row>
    <row r="5" spans="1:18" x14ac:dyDescent="0.15">
      <c r="A5" s="57"/>
      <c r="B5" s="57"/>
      <c r="C5" s="57"/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7"/>
      <c r="R5" s="57"/>
    </row>
  </sheetData>
  <phoneticPr fontId="5"/>
  <dataValidations disablePrompts="1" count="1">
    <dataValidation type="list" allowBlank="1" showInputMessage="1" showErrorMessage="1" sqref="F2">
      <formula1>"bit,link,polygon,unit"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134"/>
  <sheetViews>
    <sheetView showGridLines="0" workbookViewId="0">
      <pane ySplit="1" topLeftCell="A121" activePane="bottomLeft" state="frozen"/>
      <selection pane="bottomLeft" activeCell="L146" sqref="L146"/>
    </sheetView>
  </sheetViews>
  <sheetFormatPr baseColWidth="12" defaultColWidth="13" defaultRowHeight="15" outlineLevelCol="1" x14ac:dyDescent="0.15"/>
  <cols>
    <col min="1" max="1" width="13" style="88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6" t="s">
        <v>189</v>
      </c>
      <c r="B1" s="73" t="s">
        <v>190</v>
      </c>
      <c r="C1" s="77" t="s">
        <v>191</v>
      </c>
      <c r="D1" s="77" t="s">
        <v>33</v>
      </c>
      <c r="E1" s="73" t="s">
        <v>192</v>
      </c>
      <c r="F1" s="77" t="s">
        <v>193</v>
      </c>
      <c r="G1" s="77" t="s">
        <v>33</v>
      </c>
      <c r="H1" s="73" t="s">
        <v>194</v>
      </c>
      <c r="I1" s="91" t="s">
        <v>196</v>
      </c>
      <c r="J1" s="79" t="s">
        <v>126</v>
      </c>
      <c r="K1" s="78" t="s">
        <v>187</v>
      </c>
      <c r="L1" s="92" t="s">
        <v>186</v>
      </c>
      <c r="M1" s="80" t="s">
        <v>197</v>
      </c>
    </row>
    <row r="2" spans="1:13" x14ac:dyDescent="0.15">
      <c r="A2" s="81" t="s">
        <v>202</v>
      </c>
      <c r="B2" s="47">
        <v>65526</v>
      </c>
      <c r="C2" s="82" t="str">
        <f ca="1">VLOOKUP($B2,OFFSET([2]quests!$A$1,0,0,COUNTA([2]quests!$A:$A),MATCH(C$1,[2]quests!$1:$1,0)-MATCH($B$1,[2]quests!$1:$1,0)+1),MATCH(C$1,[2]quests!$1:$1,0)-MATCH($B$1,[2]quests!$1:$1,0)+1,FALSE)</f>
        <v>【LB加藤】検証クエスト</v>
      </c>
      <c r="D2" s="82" t="str">
        <f ca="1">VLOOKUP($B2,OFFSET([2]quests!$A$1,0,0,COUNTA([2]quests!$A:$A),MATCH(D$1,[2]quests!$1:$1,0)-MATCH($B$1,[2]quests!$1:$1,0)+1),MATCH(D$1,[2]quests!$1:$1,0)-MATCH($B$1,[2]quests!$1:$1,0)+1,FALSE)</f>
        <v>検証</v>
      </c>
      <c r="E2" s="86" t="s">
        <v>217</v>
      </c>
      <c r="F2" s="82" t="e">
        <f ca="1">VLOOKUP($B2&amp;"_"&amp;$E2,OFFSET([2]stages!$A$1,0,0,COUNTA([2]stages!$A:$A),MATCH(F$1,[2]stages!$2:$2,0)-MATCH("temp_stage",[2]stages!$2:$2,0)+1),MATCH(F$1,[2]stages!$2:$2,0)-MATCH("temp_stage",[2]stages!$2:$2,0)+1,FALSE)</f>
        <v>#N/A</v>
      </c>
      <c r="G2" s="82" t="e">
        <f ca="1">VLOOKUP($B2&amp;"_"&amp;$E2,OFFSET([2]stages!$A$1,0,0,COUNTA([2]stages!$A:$A),MATCH(G$1,[2]stages!$2:$2,0)-MATCH("temp_stage",[2]stages!$2:$2,0)+1),MATCH(G$1,[2]stages!$2:$2,0)-MATCH("temp_stage",[2]stages!$2:$2,0)+1,FALSE)</f>
        <v>#N/A</v>
      </c>
      <c r="H2" s="84">
        <v>0</v>
      </c>
      <c r="I2">
        <v>1</v>
      </c>
      <c r="J2" s="83" t="s">
        <v>199</v>
      </c>
      <c r="K2" s="93" t="str">
        <f>VLOOKUP(I2,[7]stage_hints!$A:$C,3,FALSE)</f>
        <v>長くつなげて大ダメージ</v>
      </c>
      <c r="L2" s="94" t="str">
        <f>VLOOKUP(I2,[7]stage_hints!$A:$D,4,FALSE)</f>
        <v>パネルを長くつなげるほど_x000D_大ダメージを与えることができます</v>
      </c>
      <c r="M2" s="57" t="s">
        <v>214</v>
      </c>
    </row>
    <row r="3" spans="1:13" x14ac:dyDescent="0.15">
      <c r="A3" s="81" t="s">
        <v>202</v>
      </c>
      <c r="B3" s="47">
        <v>65526</v>
      </c>
      <c r="C3" s="82" t="str">
        <f ca="1">VLOOKUP($B3,OFFSET([2]quests!$A$1,0,0,COUNTA([2]quests!$A:$A),MATCH(C$1,[2]quests!$1:$1,0)-MATCH($B$1,[2]quests!$1:$1,0)+1),MATCH(C$1,[2]quests!$1:$1,0)-MATCH($B$1,[2]quests!$1:$1,0)+1,FALSE)</f>
        <v>【LB加藤】検証クエスト</v>
      </c>
      <c r="D3" s="82" t="str">
        <f ca="1">VLOOKUP($B3,OFFSET([2]quests!$A$1,0,0,COUNTA([2]quests!$A:$A),MATCH(D$1,[2]quests!$1:$1,0)-MATCH($B$1,[2]quests!$1:$1,0)+1),MATCH(D$1,[2]quests!$1:$1,0)-MATCH($B$1,[2]quests!$1:$1,0)+1,FALSE)</f>
        <v>検証</v>
      </c>
      <c r="E3" s="86" t="s">
        <v>217</v>
      </c>
      <c r="F3" s="82" t="e">
        <f ca="1">VLOOKUP($B3&amp;"_"&amp;$E3,OFFSET([2]stages!$A$1,0,0,COUNTA([2]stages!$A:$A),MATCH(F$1,[2]stages!$2:$2,0)-MATCH("temp_stage",[2]stages!$2:$2,0)+1),MATCH(F$1,[2]stages!$2:$2,0)-MATCH("temp_stage",[2]stages!$2:$2,0)+1,FALSE)</f>
        <v>#N/A</v>
      </c>
      <c r="G3" s="82" t="e">
        <f ca="1">VLOOKUP($B3&amp;"_"&amp;$E3,OFFSET([2]stages!$A$1,0,0,COUNTA([2]stages!$A:$A),MATCH(G$1,[2]stages!$2:$2,0)-MATCH("temp_stage",[2]stages!$2:$2,0)+1),MATCH(G$1,[2]stages!$2:$2,0)-MATCH("temp_stage",[2]stages!$2:$2,0)+1,FALSE)</f>
        <v>#N/A</v>
      </c>
      <c r="H3" s="84">
        <v>0</v>
      </c>
      <c r="I3">
        <v>2</v>
      </c>
      <c r="J3" s="83" t="s">
        <v>199</v>
      </c>
      <c r="K3" s="93" t="str">
        <f>VLOOKUP(I3,[7]stage_hints!$A:$C,3,FALSE)</f>
        <v>属性の相性</v>
      </c>
      <c r="L3" s="94" t="str">
        <f>VLOOKUP(I3,[7]stage_hints!$A:$D,4,FALSE)</f>
        <v>赤＞青　青＞黄　黄＞緑　緑＞赤_x000D_敵属性に最適なパーティがオススメです</v>
      </c>
      <c r="M3" s="57" t="s">
        <v>214</v>
      </c>
    </row>
    <row r="4" spans="1:13" x14ac:dyDescent="0.15">
      <c r="A4" s="81" t="s">
        <v>202</v>
      </c>
      <c r="B4" s="47">
        <v>65526</v>
      </c>
      <c r="C4" s="82" t="str">
        <f ca="1">VLOOKUP($B4,OFFSET([2]quests!$A$1,0,0,COUNTA([2]quests!$A:$A),MATCH(C$1,[2]quests!$1:$1,0)-MATCH($B$1,[2]quests!$1:$1,0)+1),MATCH(C$1,[2]quests!$1:$1,0)-MATCH($B$1,[2]quests!$1:$1,0)+1,FALSE)</f>
        <v>【LB加藤】検証クエスト</v>
      </c>
      <c r="D4" s="82" t="str">
        <f ca="1">VLOOKUP($B4,OFFSET([2]quests!$A$1,0,0,COUNTA([2]quests!$A:$A),MATCH(D$1,[2]quests!$1:$1,0)-MATCH($B$1,[2]quests!$1:$1,0)+1),MATCH(D$1,[2]quests!$1:$1,0)-MATCH($B$1,[2]quests!$1:$1,0)+1,FALSE)</f>
        <v>検証</v>
      </c>
      <c r="E4" s="86" t="s">
        <v>217</v>
      </c>
      <c r="F4" s="82" t="e">
        <f ca="1">VLOOKUP($B4&amp;"_"&amp;$E4,OFFSET([2]stages!$A$1,0,0,COUNTA([2]stages!$A:$A),MATCH(F$1,[2]stages!$2:$2,0)-MATCH("temp_stage",[2]stages!$2:$2,0)+1),MATCH(F$1,[2]stages!$2:$2,0)-MATCH("temp_stage",[2]stages!$2:$2,0)+1,FALSE)</f>
        <v>#N/A</v>
      </c>
      <c r="G4" s="82" t="e">
        <f ca="1">VLOOKUP($B4&amp;"_"&amp;$E4,OFFSET([2]stages!$A$1,0,0,COUNTA([2]stages!$A:$A),MATCH(G$1,[2]stages!$2:$2,0)-MATCH("temp_stage",[2]stages!$2:$2,0)+1),MATCH(G$1,[2]stages!$2:$2,0)-MATCH("temp_stage",[2]stages!$2:$2,0)+1,FALSE)</f>
        <v>#N/A</v>
      </c>
      <c r="H4" s="84">
        <v>0</v>
      </c>
      <c r="I4">
        <v>3</v>
      </c>
      <c r="J4" s="83" t="s">
        <v>199</v>
      </c>
      <c r="K4" s="93" t="str">
        <f>VLOOKUP(I4,[7]stage_hints!$A:$C,3,FALSE)</f>
        <v>ターゲット</v>
      </c>
      <c r="L4" s="94" t="str">
        <f>VLOOKUP(I4,[7]stage_hints!$A:$D,4,FALSE)</f>
        <v>敵ユニットをタップすると_x000D_その敵を狙い撃ちできます</v>
      </c>
      <c r="M4" s="57" t="s">
        <v>214</v>
      </c>
    </row>
    <row r="5" spans="1:13" x14ac:dyDescent="0.15">
      <c r="A5" s="81" t="s">
        <v>202</v>
      </c>
      <c r="B5" s="47">
        <v>65526</v>
      </c>
      <c r="C5" s="82" t="str">
        <f ca="1">VLOOKUP($B5,OFFSET([2]quests!$A$1,0,0,COUNTA([2]quests!$A:$A),MATCH(C$1,[2]quests!$1:$1,0)-MATCH($B$1,[2]quests!$1:$1,0)+1),MATCH(C$1,[2]quests!$1:$1,0)-MATCH($B$1,[2]quests!$1:$1,0)+1,FALSE)</f>
        <v>【LB加藤】検証クエスト</v>
      </c>
      <c r="D5" s="82" t="str">
        <f ca="1">VLOOKUP($B5,OFFSET([2]quests!$A$1,0,0,COUNTA([2]quests!$A:$A),MATCH(D$1,[2]quests!$1:$1,0)-MATCH($B$1,[2]quests!$1:$1,0)+1),MATCH(D$1,[2]quests!$1:$1,0)-MATCH($B$1,[2]quests!$1:$1,0)+1,FALSE)</f>
        <v>検証</v>
      </c>
      <c r="E5" s="86" t="s">
        <v>217</v>
      </c>
      <c r="F5" s="82" t="e">
        <f ca="1">VLOOKUP($B5&amp;"_"&amp;$E5,OFFSET([2]stages!$A$1,0,0,COUNTA([2]stages!$A:$A),MATCH(F$1,[2]stages!$2:$2,0)-MATCH("temp_stage",[2]stages!$2:$2,0)+1),MATCH(F$1,[2]stages!$2:$2,0)-MATCH("temp_stage",[2]stages!$2:$2,0)+1,FALSE)</f>
        <v>#N/A</v>
      </c>
      <c r="G5" s="82" t="e">
        <f ca="1">VLOOKUP($B5&amp;"_"&amp;$E5,OFFSET([2]stages!$A$1,0,0,COUNTA([2]stages!$A:$A),MATCH(G$1,[2]stages!$2:$2,0)-MATCH("temp_stage",[2]stages!$2:$2,0)+1),MATCH(G$1,[2]stages!$2:$2,0)-MATCH("temp_stage",[2]stages!$2:$2,0)+1,FALSE)</f>
        <v>#N/A</v>
      </c>
      <c r="H5" s="84">
        <v>0</v>
      </c>
      <c r="I5">
        <v>5</v>
      </c>
      <c r="J5" s="83" t="s">
        <v>199</v>
      </c>
      <c r="K5" s="93" t="str">
        <f>VLOOKUP(I5,[7]stage_hints!$A:$C,3,FALSE)</f>
        <v>ユニット強化でレベルアップ</v>
      </c>
      <c r="L5" s="94" t="str">
        <f>VLOOKUP(I5,[7]stage_hints!$A:$D,4,FALSE)</f>
        <v>「ユニット強化」でレベルアップすると_x000D_勝てない敵にも勝てるようになります</v>
      </c>
      <c r="M5" s="57" t="s">
        <v>214</v>
      </c>
    </row>
    <row r="6" spans="1:13" x14ac:dyDescent="0.15">
      <c r="A6" s="81" t="s">
        <v>202</v>
      </c>
      <c r="B6" s="47">
        <v>65526</v>
      </c>
      <c r="C6" s="82" t="str">
        <f ca="1">VLOOKUP($B6,OFFSET([2]quests!$A$1,0,0,COUNTA([2]quests!$A:$A),MATCH(C$1,[2]quests!$1:$1,0)-MATCH($B$1,[2]quests!$1:$1,0)+1),MATCH(C$1,[2]quests!$1:$1,0)-MATCH($B$1,[2]quests!$1:$1,0)+1,FALSE)</f>
        <v>【LB加藤】検証クエスト</v>
      </c>
      <c r="D6" s="82" t="str">
        <f ca="1">VLOOKUP($B6,OFFSET([2]quests!$A$1,0,0,COUNTA([2]quests!$A:$A),MATCH(D$1,[2]quests!$1:$1,0)-MATCH($B$1,[2]quests!$1:$1,0)+1),MATCH(D$1,[2]quests!$1:$1,0)-MATCH($B$1,[2]quests!$1:$1,0)+1,FALSE)</f>
        <v>検証</v>
      </c>
      <c r="E6" s="86" t="s">
        <v>217</v>
      </c>
      <c r="F6" s="82" t="e">
        <f ca="1">VLOOKUP($B6&amp;"_"&amp;$E6,OFFSET([2]stages!$A$1,0,0,COUNTA([2]stages!$A:$A),MATCH(F$1,[2]stages!$2:$2,0)-MATCH("temp_stage",[2]stages!$2:$2,0)+1),MATCH(F$1,[2]stages!$2:$2,0)-MATCH("temp_stage",[2]stages!$2:$2,0)+1,FALSE)</f>
        <v>#N/A</v>
      </c>
      <c r="G6" s="82" t="e">
        <f ca="1">VLOOKUP($B6&amp;"_"&amp;$E6,OFFSET([2]stages!$A$1,0,0,COUNTA([2]stages!$A:$A),MATCH(G$1,[2]stages!$2:$2,0)-MATCH("temp_stage",[2]stages!$2:$2,0)+1),MATCH(G$1,[2]stages!$2:$2,0)-MATCH("temp_stage",[2]stages!$2:$2,0)+1,FALSE)</f>
        <v>#N/A</v>
      </c>
      <c r="H6" s="84">
        <v>0</v>
      </c>
      <c r="I6">
        <v>6</v>
      </c>
      <c r="J6" s="83" t="s">
        <v>199</v>
      </c>
      <c r="K6" s="93" t="str">
        <f>VLOOKUP(I6,[7]stage_hints!$A:$C,3,FALSE)</f>
        <v>ユニット強化の属性ボーナス</v>
      </c>
      <c r="L6" s="94" t="str">
        <f>VLOOKUP(I6,[7]stage_hints!$A:$D,4,FALSE)</f>
        <v>同属性ユニットを強化素材にすると_x000D_経験値が多くもらえます</v>
      </c>
      <c r="M6" s="57" t="s">
        <v>214</v>
      </c>
    </row>
    <row r="7" spans="1:13" x14ac:dyDescent="0.15">
      <c r="A7" s="81" t="s">
        <v>202</v>
      </c>
      <c r="B7" s="47">
        <v>65526</v>
      </c>
      <c r="C7" s="82" t="str">
        <f ca="1">VLOOKUP($B7,OFFSET([2]quests!$A$1,0,0,COUNTA([2]quests!$A:$A),MATCH(C$1,[2]quests!$1:$1,0)-MATCH($B$1,[2]quests!$1:$1,0)+1),MATCH(C$1,[2]quests!$1:$1,0)-MATCH($B$1,[2]quests!$1:$1,0)+1,FALSE)</f>
        <v>【LB加藤】検証クエスト</v>
      </c>
      <c r="D7" s="82" t="str">
        <f ca="1">VLOOKUP($B7,OFFSET([2]quests!$A$1,0,0,COUNTA([2]quests!$A:$A),MATCH(D$1,[2]quests!$1:$1,0)-MATCH($B$1,[2]quests!$1:$1,0)+1),MATCH(D$1,[2]quests!$1:$1,0)-MATCH($B$1,[2]quests!$1:$1,0)+1,FALSE)</f>
        <v>検証</v>
      </c>
      <c r="E7" s="86" t="s">
        <v>217</v>
      </c>
      <c r="F7" s="82" t="e">
        <f ca="1">VLOOKUP($B7&amp;"_"&amp;$E7,OFFSET([2]stages!$A$1,0,0,COUNTA([2]stages!$A:$A),MATCH(F$1,[2]stages!$2:$2,0)-MATCH("temp_stage",[2]stages!$2:$2,0)+1),MATCH(F$1,[2]stages!$2:$2,0)-MATCH("temp_stage",[2]stages!$2:$2,0)+1,FALSE)</f>
        <v>#N/A</v>
      </c>
      <c r="G7" s="82" t="e">
        <f ca="1">VLOOKUP($B7&amp;"_"&amp;$E7,OFFSET([2]stages!$A$1,0,0,COUNTA([2]stages!$A:$A),MATCH(G$1,[2]stages!$2:$2,0)-MATCH("temp_stage",[2]stages!$2:$2,0)+1),MATCH(G$1,[2]stages!$2:$2,0)-MATCH("temp_stage",[2]stages!$2:$2,0)+1,FALSE)</f>
        <v>#N/A</v>
      </c>
      <c r="H7" s="84">
        <v>0</v>
      </c>
      <c r="I7">
        <v>7</v>
      </c>
      <c r="J7" s="83" t="s">
        <v>199</v>
      </c>
      <c r="K7" s="93" t="str">
        <f>VLOOKUP(I7,[7]stage_hints!$A:$C,3,FALSE)</f>
        <v>メタルダックで経験値を獲得</v>
      </c>
      <c r="L7" s="94" t="str">
        <f>VLOOKUP(I7,[7]stage_hints!$A:$D,4,FALSE)</f>
        <v>「メタルなアヒル」を強化素材にすると_x000D_大量の経験値がもらえます</v>
      </c>
      <c r="M7" s="57" t="s">
        <v>214</v>
      </c>
    </row>
    <row r="8" spans="1:13" x14ac:dyDescent="0.15">
      <c r="A8" s="81" t="s">
        <v>202</v>
      </c>
      <c r="B8" s="47">
        <v>65526</v>
      </c>
      <c r="C8" s="82" t="str">
        <f ca="1">VLOOKUP($B8,OFFSET([2]quests!$A$1,0,0,COUNTA([2]quests!$A:$A),MATCH(C$1,[2]quests!$1:$1,0)-MATCH($B$1,[2]quests!$1:$1,0)+1),MATCH(C$1,[2]quests!$1:$1,0)-MATCH($B$1,[2]quests!$1:$1,0)+1,FALSE)</f>
        <v>【LB加藤】検証クエスト</v>
      </c>
      <c r="D8" s="82" t="str">
        <f ca="1">VLOOKUP($B8,OFFSET([2]quests!$A$1,0,0,COUNTA([2]quests!$A:$A),MATCH(D$1,[2]quests!$1:$1,0)-MATCH($B$1,[2]quests!$1:$1,0)+1),MATCH(D$1,[2]quests!$1:$1,0)-MATCH($B$1,[2]quests!$1:$1,0)+1,FALSE)</f>
        <v>検証</v>
      </c>
      <c r="E8" s="86" t="s">
        <v>217</v>
      </c>
      <c r="F8" s="82" t="e">
        <f ca="1">VLOOKUP($B8&amp;"_"&amp;$E8,OFFSET([2]stages!$A$1,0,0,COUNTA([2]stages!$A:$A),MATCH(F$1,[2]stages!$2:$2,0)-MATCH("temp_stage",[2]stages!$2:$2,0)+1),MATCH(F$1,[2]stages!$2:$2,0)-MATCH("temp_stage",[2]stages!$2:$2,0)+1,FALSE)</f>
        <v>#N/A</v>
      </c>
      <c r="G8" s="82" t="e">
        <f ca="1">VLOOKUP($B8&amp;"_"&amp;$E8,OFFSET([2]stages!$A$1,0,0,COUNTA([2]stages!$A:$A),MATCH(G$1,[2]stages!$2:$2,0)-MATCH("temp_stage",[2]stages!$2:$2,0)+1),MATCH(G$1,[2]stages!$2:$2,0)-MATCH("temp_stage",[2]stages!$2:$2,0)+1,FALSE)</f>
        <v>#N/A</v>
      </c>
      <c r="H8" s="84">
        <v>0</v>
      </c>
      <c r="I8">
        <v>8</v>
      </c>
      <c r="J8" s="83" t="s">
        <v>199</v>
      </c>
      <c r="K8" s="93" t="str">
        <f>VLOOKUP(I8,[7]stage_hints!$A:$C,3,FALSE)</f>
        <v>ゲリラクエストは要チェック</v>
      </c>
      <c r="L8" s="94" t="str">
        <f>VLOOKUP(I8,[7]stage_hints!$A:$D,4,FALSE)</f>
        <v>時間限定の「アヒル捕獲作戦」では_x000D_経験値素材ユニットが多く手に入ります</v>
      </c>
      <c r="M8" s="57" t="s">
        <v>214</v>
      </c>
    </row>
    <row r="9" spans="1:13" x14ac:dyDescent="0.15">
      <c r="A9" s="81" t="s">
        <v>202</v>
      </c>
      <c r="B9" s="47">
        <v>65526</v>
      </c>
      <c r="C9" s="82" t="str">
        <f ca="1">VLOOKUP($B9,OFFSET([2]quests!$A$1,0,0,COUNTA([2]quests!$A:$A),MATCH(C$1,[2]quests!$1:$1,0)-MATCH($B$1,[2]quests!$1:$1,0)+1),MATCH(C$1,[2]quests!$1:$1,0)-MATCH($B$1,[2]quests!$1:$1,0)+1,FALSE)</f>
        <v>【LB加藤】検証クエスト</v>
      </c>
      <c r="D9" s="82" t="str">
        <f ca="1">VLOOKUP($B9,OFFSET([2]quests!$A$1,0,0,COUNTA([2]quests!$A:$A),MATCH(D$1,[2]quests!$1:$1,0)-MATCH($B$1,[2]quests!$1:$1,0)+1),MATCH(D$1,[2]quests!$1:$1,0)-MATCH($B$1,[2]quests!$1:$1,0)+1,FALSE)</f>
        <v>検証</v>
      </c>
      <c r="E9" s="86" t="s">
        <v>217</v>
      </c>
      <c r="F9" s="82" t="e">
        <f ca="1">VLOOKUP($B9&amp;"_"&amp;$E9,OFFSET([2]stages!$A$1,0,0,COUNTA([2]stages!$A:$A),MATCH(F$1,[2]stages!$2:$2,0)-MATCH("temp_stage",[2]stages!$2:$2,0)+1),MATCH(F$1,[2]stages!$2:$2,0)-MATCH("temp_stage",[2]stages!$2:$2,0)+1,FALSE)</f>
        <v>#N/A</v>
      </c>
      <c r="G9" s="82" t="e">
        <f ca="1">VLOOKUP($B9&amp;"_"&amp;$E9,OFFSET([2]stages!$A$1,0,0,COUNTA([2]stages!$A:$A),MATCH(G$1,[2]stages!$2:$2,0)-MATCH("temp_stage",[2]stages!$2:$2,0)+1),MATCH(G$1,[2]stages!$2:$2,0)-MATCH("temp_stage",[2]stages!$2:$2,0)+1,FALSE)</f>
        <v>#N/A</v>
      </c>
      <c r="H9" s="84">
        <v>0</v>
      </c>
      <c r="I9">
        <v>9</v>
      </c>
      <c r="J9" s="83" t="s">
        <v>199</v>
      </c>
      <c r="K9" s="93" t="str">
        <f>VLOOKUP(I9,[7]stage_hints!$A:$C,3,FALSE)</f>
        <v>ゴールドダックでビットを獲得</v>
      </c>
      <c r="L9" s="94" t="str">
        <f>VLOOKUP(I9,[7]stage_hints!$A:$D,4,FALSE)</f>
        <v>「ゴールドなアヒル」を売却すると_x000D_大量のビットがもらえます</v>
      </c>
      <c r="M9" s="57" t="s">
        <v>214</v>
      </c>
    </row>
    <row r="10" spans="1:13" x14ac:dyDescent="0.15">
      <c r="A10" s="81" t="s">
        <v>202</v>
      </c>
      <c r="B10" s="47">
        <v>65526</v>
      </c>
      <c r="C10" s="82" t="str">
        <f ca="1">VLOOKUP($B10,OFFSET([2]quests!$A$1,0,0,COUNTA([2]quests!$A:$A),MATCH(C$1,[2]quests!$1:$1,0)-MATCH($B$1,[2]quests!$1:$1,0)+1),MATCH(C$1,[2]quests!$1:$1,0)-MATCH($B$1,[2]quests!$1:$1,0)+1,FALSE)</f>
        <v>【LB加藤】検証クエスト</v>
      </c>
      <c r="D10" s="82" t="str">
        <f ca="1">VLOOKUP($B10,OFFSET([2]quests!$A$1,0,0,COUNTA([2]quests!$A:$A),MATCH(D$1,[2]quests!$1:$1,0)-MATCH($B$1,[2]quests!$1:$1,0)+1),MATCH(D$1,[2]quests!$1:$1,0)-MATCH($B$1,[2]quests!$1:$1,0)+1,FALSE)</f>
        <v>検証</v>
      </c>
      <c r="E10" s="86" t="s">
        <v>217</v>
      </c>
      <c r="F10" s="82" t="e">
        <f ca="1">VLOOKUP($B10&amp;"_"&amp;$E10,OFFSET([2]stages!$A$1,0,0,COUNTA([2]stages!$A:$A),MATCH(F$1,[2]stages!$2:$2,0)-MATCH("temp_stage",[2]stages!$2:$2,0)+1),MATCH(F$1,[2]stages!$2:$2,0)-MATCH("temp_stage",[2]stages!$2:$2,0)+1,FALSE)</f>
        <v>#N/A</v>
      </c>
      <c r="G10" s="82" t="e">
        <f ca="1">VLOOKUP($B10&amp;"_"&amp;$E10,OFFSET([2]stages!$A$1,0,0,COUNTA([2]stages!$A:$A),MATCH(G$1,[2]stages!$2:$2,0)-MATCH("temp_stage",[2]stages!$2:$2,0)+1),MATCH(G$1,[2]stages!$2:$2,0)-MATCH("temp_stage",[2]stages!$2:$2,0)+1,FALSE)</f>
        <v>#N/A</v>
      </c>
      <c r="H10" s="84">
        <v>0</v>
      </c>
      <c r="I10">
        <v>10</v>
      </c>
      <c r="J10" s="83" t="s">
        <v>199</v>
      </c>
      <c r="K10" s="93" t="str">
        <f>VLOOKUP(I10,[7]stage_hints!$A:$C,3,FALSE)</f>
        <v>土日に大量のビットを獲得</v>
      </c>
      <c r="L10" s="94" t="str">
        <f>VLOOKUP(I10,[7]stage_hints!$A:$D,4,FALSE)</f>
        <v>土日限定の「ゴールドカジノ」では_x000D_売却素材ユニットが多く手に入ります</v>
      </c>
      <c r="M10" s="57" t="s">
        <v>214</v>
      </c>
    </row>
    <row r="11" spans="1:13" x14ac:dyDescent="0.15">
      <c r="A11" s="81" t="s">
        <v>202</v>
      </c>
      <c r="B11" s="47">
        <v>65526</v>
      </c>
      <c r="C11" s="82" t="str">
        <f ca="1">VLOOKUP($B11,OFFSET([2]quests!$A$1,0,0,COUNTA([2]quests!$A:$A),MATCH(C$1,[2]quests!$1:$1,0)-MATCH($B$1,[2]quests!$1:$1,0)+1),MATCH(C$1,[2]quests!$1:$1,0)-MATCH($B$1,[2]quests!$1:$1,0)+1,FALSE)</f>
        <v>【LB加藤】検証クエスト</v>
      </c>
      <c r="D11" s="82" t="str">
        <f ca="1">VLOOKUP($B11,OFFSET([2]quests!$A$1,0,0,COUNTA([2]quests!$A:$A),MATCH(D$1,[2]quests!$1:$1,0)-MATCH($B$1,[2]quests!$1:$1,0)+1),MATCH(D$1,[2]quests!$1:$1,0)-MATCH($B$1,[2]quests!$1:$1,0)+1,FALSE)</f>
        <v>検証</v>
      </c>
      <c r="E11" s="86" t="s">
        <v>217</v>
      </c>
      <c r="F11" s="82" t="e">
        <f ca="1">VLOOKUP($B11&amp;"_"&amp;$E11,OFFSET([2]stages!$A$1,0,0,COUNTA([2]stages!$A:$A),MATCH(F$1,[2]stages!$2:$2,0)-MATCH("temp_stage",[2]stages!$2:$2,0)+1),MATCH(F$1,[2]stages!$2:$2,0)-MATCH("temp_stage",[2]stages!$2:$2,0)+1,FALSE)</f>
        <v>#N/A</v>
      </c>
      <c r="G11" s="82" t="e">
        <f ca="1">VLOOKUP($B11&amp;"_"&amp;$E11,OFFSET([2]stages!$A$1,0,0,COUNTA([2]stages!$A:$A),MATCH(G$1,[2]stages!$2:$2,0)-MATCH("temp_stage",[2]stages!$2:$2,0)+1),MATCH(G$1,[2]stages!$2:$2,0)-MATCH("temp_stage",[2]stages!$2:$2,0)+1,FALSE)</f>
        <v>#N/A</v>
      </c>
      <c r="H11" s="84">
        <v>0</v>
      </c>
      <c r="I11">
        <v>11</v>
      </c>
      <c r="J11" s="83" t="s">
        <v>199</v>
      </c>
      <c r="K11" s="93" t="str">
        <f>VLOOKUP(I11,[7]stage_hints!$A:$C,3,FALSE)</f>
        <v>ランク解放クエスト</v>
      </c>
      <c r="L11" s="94" t="str">
        <f>VLOOKUP(I11,[7]stage_hints!$A:$D,4,FALSE)</f>
        <v>一定ランクに到達すると_x000D_報酬付きのランク開放クエストが現れます</v>
      </c>
      <c r="M11" s="57" t="s">
        <v>214</v>
      </c>
    </row>
    <row r="12" spans="1:13" x14ac:dyDescent="0.15">
      <c r="A12" s="81" t="s">
        <v>202</v>
      </c>
      <c r="B12" s="47">
        <v>65526</v>
      </c>
      <c r="C12" s="82" t="str">
        <f ca="1">VLOOKUP($B12,OFFSET([2]quests!$A$1,0,0,COUNTA([2]quests!$A:$A),MATCH(C$1,[2]quests!$1:$1,0)-MATCH($B$1,[2]quests!$1:$1,0)+1),MATCH(C$1,[2]quests!$1:$1,0)-MATCH($B$1,[2]quests!$1:$1,0)+1,FALSE)</f>
        <v>【LB加藤】検証クエスト</v>
      </c>
      <c r="D12" s="82" t="str">
        <f ca="1">VLOOKUP($B12,OFFSET([2]quests!$A$1,0,0,COUNTA([2]quests!$A:$A),MATCH(D$1,[2]quests!$1:$1,0)-MATCH($B$1,[2]quests!$1:$1,0)+1),MATCH(D$1,[2]quests!$1:$1,0)-MATCH($B$1,[2]quests!$1:$1,0)+1,FALSE)</f>
        <v>検証</v>
      </c>
      <c r="E12" s="86" t="s">
        <v>217</v>
      </c>
      <c r="F12" s="82" t="e">
        <f ca="1">VLOOKUP($B12&amp;"_"&amp;$E12,OFFSET([2]stages!$A$1,0,0,COUNTA([2]stages!$A:$A),MATCH(F$1,[2]stages!$2:$2,0)-MATCH("temp_stage",[2]stages!$2:$2,0)+1),MATCH(F$1,[2]stages!$2:$2,0)-MATCH("temp_stage",[2]stages!$2:$2,0)+1,FALSE)</f>
        <v>#N/A</v>
      </c>
      <c r="G12" s="82" t="e">
        <f ca="1">VLOOKUP($B12&amp;"_"&amp;$E12,OFFSET([2]stages!$A$1,0,0,COUNTA([2]stages!$A:$A),MATCH(G$1,[2]stages!$2:$2,0)-MATCH("temp_stage",[2]stages!$2:$2,0)+1),MATCH(G$1,[2]stages!$2:$2,0)-MATCH("temp_stage",[2]stages!$2:$2,0)+1,FALSE)</f>
        <v>#N/A</v>
      </c>
      <c r="H12" s="84">
        <v>0</v>
      </c>
      <c r="I12">
        <v>12</v>
      </c>
      <c r="J12" s="83" t="s">
        <v>199</v>
      </c>
      <c r="K12" s="93" t="str">
        <f>VLOOKUP(I12,[7]stage_hints!$A:$C,3,FALSE)</f>
        <v>ユニットのお気に入り登録</v>
      </c>
      <c r="L12" s="94" t="str">
        <f>VLOOKUP(I12,[7]stage_hints!$A:$D,4,FALSE)</f>
        <v>大事なユニットを誤って消さないように_x000D_フォルダから「お気に入り登録」しましょう</v>
      </c>
      <c r="M12" s="57" t="s">
        <v>214</v>
      </c>
    </row>
    <row r="13" spans="1:13" x14ac:dyDescent="0.15">
      <c r="A13" s="81" t="s">
        <v>202</v>
      </c>
      <c r="B13" s="47">
        <v>65526</v>
      </c>
      <c r="C13" s="82" t="str">
        <f ca="1">VLOOKUP($B13,OFFSET([2]quests!$A$1,0,0,COUNTA([2]quests!$A:$A),MATCH(C$1,[2]quests!$1:$1,0)-MATCH($B$1,[2]quests!$1:$1,0)+1),MATCH(C$1,[2]quests!$1:$1,0)-MATCH($B$1,[2]quests!$1:$1,0)+1,FALSE)</f>
        <v>【LB加藤】検証クエスト</v>
      </c>
      <c r="D13" s="82" t="str">
        <f ca="1">VLOOKUP($B13,OFFSET([2]quests!$A$1,0,0,COUNTA([2]quests!$A:$A),MATCH(D$1,[2]quests!$1:$1,0)-MATCH($B$1,[2]quests!$1:$1,0)+1),MATCH(D$1,[2]quests!$1:$1,0)-MATCH($B$1,[2]quests!$1:$1,0)+1,FALSE)</f>
        <v>検証</v>
      </c>
      <c r="E13" s="86" t="s">
        <v>217</v>
      </c>
      <c r="F13" s="82" t="e">
        <f ca="1">VLOOKUP($B13&amp;"_"&amp;$E13,OFFSET([2]stages!$A$1,0,0,COUNTA([2]stages!$A:$A),MATCH(F$1,[2]stages!$2:$2,0)-MATCH("temp_stage",[2]stages!$2:$2,0)+1),MATCH(F$1,[2]stages!$2:$2,0)-MATCH("temp_stage",[2]stages!$2:$2,0)+1,FALSE)</f>
        <v>#N/A</v>
      </c>
      <c r="G13" s="82" t="e">
        <f ca="1">VLOOKUP($B13&amp;"_"&amp;$E13,OFFSET([2]stages!$A$1,0,0,COUNTA([2]stages!$A:$A),MATCH(G$1,[2]stages!$2:$2,0)-MATCH("temp_stage",[2]stages!$2:$2,0)+1),MATCH(G$1,[2]stages!$2:$2,0)-MATCH("temp_stage",[2]stages!$2:$2,0)+1,FALSE)</f>
        <v>#N/A</v>
      </c>
      <c r="H13" s="84">
        <v>0</v>
      </c>
      <c r="I13">
        <v>13</v>
      </c>
      <c r="J13" s="83" t="s">
        <v>199</v>
      </c>
      <c r="K13" s="93" t="str">
        <f>VLOOKUP(I13,[7]stage_hints!$A:$C,3,FALSE)</f>
        <v>ユニットの覚醒</v>
      </c>
      <c r="L13" s="94" t="str">
        <f>VLOOKUP(I13,[7]stage_hints!$A:$D,4,FALSE)</f>
        <v>ユニットを覚醒させると_x000D_比べものにならない強さが手に入ります</v>
      </c>
      <c r="M13" s="57" t="s">
        <v>214</v>
      </c>
    </row>
    <row r="14" spans="1:13" x14ac:dyDescent="0.15">
      <c r="A14" s="81" t="s">
        <v>202</v>
      </c>
      <c r="B14" s="47">
        <v>65526</v>
      </c>
      <c r="C14" s="82" t="str">
        <f ca="1">VLOOKUP($B14,OFFSET([2]quests!$A$1,0,0,COUNTA([2]quests!$A:$A),MATCH(C$1,[2]quests!$1:$1,0)-MATCH($B$1,[2]quests!$1:$1,0)+1),MATCH(C$1,[2]quests!$1:$1,0)-MATCH($B$1,[2]quests!$1:$1,0)+1,FALSE)</f>
        <v>【LB加藤】検証クエスト</v>
      </c>
      <c r="D14" s="82" t="str">
        <f ca="1">VLOOKUP($B14,OFFSET([2]quests!$A$1,0,0,COUNTA([2]quests!$A:$A),MATCH(D$1,[2]quests!$1:$1,0)-MATCH($B$1,[2]quests!$1:$1,0)+1),MATCH(D$1,[2]quests!$1:$1,0)-MATCH($B$1,[2]quests!$1:$1,0)+1,FALSE)</f>
        <v>検証</v>
      </c>
      <c r="E14" s="86" t="s">
        <v>217</v>
      </c>
      <c r="F14" s="82" t="e">
        <f ca="1">VLOOKUP($B14&amp;"_"&amp;$E14,OFFSET([2]stages!$A$1,0,0,COUNTA([2]stages!$A:$A),MATCH(F$1,[2]stages!$2:$2,0)-MATCH("temp_stage",[2]stages!$2:$2,0)+1),MATCH(F$1,[2]stages!$2:$2,0)-MATCH("temp_stage",[2]stages!$2:$2,0)+1,FALSE)</f>
        <v>#N/A</v>
      </c>
      <c r="G14" s="82" t="e">
        <f ca="1">VLOOKUP($B14&amp;"_"&amp;$E14,OFFSET([2]stages!$A$1,0,0,COUNTA([2]stages!$A:$A),MATCH(G$1,[2]stages!$2:$2,0)-MATCH("temp_stage",[2]stages!$2:$2,0)+1),MATCH(G$1,[2]stages!$2:$2,0)-MATCH("temp_stage",[2]stages!$2:$2,0)+1,FALSE)</f>
        <v>#N/A</v>
      </c>
      <c r="H14" s="84">
        <v>0</v>
      </c>
      <c r="I14">
        <v>14</v>
      </c>
      <c r="J14" s="83" t="s">
        <v>199</v>
      </c>
      <c r="K14" s="93" t="str">
        <f>VLOOKUP(I14,[7]stage_hints!$A:$C,3,FALSE)</f>
        <v>覚醒するにはレベルを最大に</v>
      </c>
      <c r="L14" s="94" t="str">
        <f>VLOOKUP(I14,[7]stage_hints!$A:$D,4,FALSE)</f>
        <v>覚醒するにはユニットのレベルを_x000D_最大まで上げる必要があります</v>
      </c>
      <c r="M14" s="57" t="s">
        <v>214</v>
      </c>
    </row>
    <row r="15" spans="1:13" x14ac:dyDescent="0.15">
      <c r="A15" s="81" t="s">
        <v>202</v>
      </c>
      <c r="B15" s="47">
        <v>65526</v>
      </c>
      <c r="C15" s="82" t="str">
        <f ca="1">VLOOKUP($B15,OFFSET([2]quests!$A$1,0,0,COUNTA([2]quests!$A:$A),MATCH(C$1,[2]quests!$1:$1,0)-MATCH($B$1,[2]quests!$1:$1,0)+1),MATCH(C$1,[2]quests!$1:$1,0)-MATCH($B$1,[2]quests!$1:$1,0)+1,FALSE)</f>
        <v>【LB加藤】検証クエスト</v>
      </c>
      <c r="D15" s="82" t="str">
        <f ca="1">VLOOKUP($B15,OFFSET([2]quests!$A$1,0,0,COUNTA([2]quests!$A:$A),MATCH(D$1,[2]quests!$1:$1,0)-MATCH($B$1,[2]quests!$1:$1,0)+1),MATCH(D$1,[2]quests!$1:$1,0)-MATCH($B$1,[2]quests!$1:$1,0)+1,FALSE)</f>
        <v>検証</v>
      </c>
      <c r="E15" s="86" t="s">
        <v>217</v>
      </c>
      <c r="F15" s="82" t="e">
        <f ca="1">VLOOKUP($B15&amp;"_"&amp;$E15,OFFSET([2]stages!$A$1,0,0,COUNTA([2]stages!$A:$A),MATCH(F$1,[2]stages!$2:$2,0)-MATCH("temp_stage",[2]stages!$2:$2,0)+1),MATCH(F$1,[2]stages!$2:$2,0)-MATCH("temp_stage",[2]stages!$2:$2,0)+1,FALSE)</f>
        <v>#N/A</v>
      </c>
      <c r="G15" s="82" t="e">
        <f ca="1">VLOOKUP($B15&amp;"_"&amp;$E15,OFFSET([2]stages!$A$1,0,0,COUNTA([2]stages!$A:$A),MATCH(G$1,[2]stages!$2:$2,0)-MATCH("temp_stage",[2]stages!$2:$2,0)+1),MATCH(G$1,[2]stages!$2:$2,0)-MATCH("temp_stage",[2]stages!$2:$2,0)+1,FALSE)</f>
        <v>#N/A</v>
      </c>
      <c r="H15" s="84">
        <v>0</v>
      </c>
      <c r="I15">
        <v>15</v>
      </c>
      <c r="J15" s="83" t="s">
        <v>199</v>
      </c>
      <c r="K15" s="93" t="str">
        <f>VLOOKUP(I15,[7]stage_hints!$A:$C,3,FALSE)</f>
        <v>覚醒素材を獲得</v>
      </c>
      <c r="L15" s="94" t="str">
        <f>VLOOKUP(I15,[7]stage_hints!$A:$D,4,FALSE)</f>
        <v>「曜日クエスト」では_x000D_ユニットの覚醒に必要な素材が手に入ります</v>
      </c>
      <c r="M15" s="57" t="s">
        <v>214</v>
      </c>
    </row>
    <row r="16" spans="1:13" x14ac:dyDescent="0.15">
      <c r="A16" s="81" t="s">
        <v>202</v>
      </c>
      <c r="B16" s="47">
        <v>65526</v>
      </c>
      <c r="C16" s="82" t="str">
        <f ca="1">VLOOKUP($B16,OFFSET([2]quests!$A$1,0,0,COUNTA([2]quests!$A:$A),MATCH(C$1,[2]quests!$1:$1,0)-MATCH($B$1,[2]quests!$1:$1,0)+1),MATCH(C$1,[2]quests!$1:$1,0)-MATCH($B$1,[2]quests!$1:$1,0)+1,FALSE)</f>
        <v>【LB加藤】検証クエスト</v>
      </c>
      <c r="D16" s="82" t="str">
        <f ca="1">VLOOKUP($B16,OFFSET([2]quests!$A$1,0,0,COUNTA([2]quests!$A:$A),MATCH(D$1,[2]quests!$1:$1,0)-MATCH($B$1,[2]quests!$1:$1,0)+1),MATCH(D$1,[2]quests!$1:$1,0)-MATCH($B$1,[2]quests!$1:$1,0)+1,FALSE)</f>
        <v>検証</v>
      </c>
      <c r="E16" s="86" t="s">
        <v>217</v>
      </c>
      <c r="F16" s="82" t="e">
        <f ca="1">VLOOKUP($B16&amp;"_"&amp;$E16,OFFSET([2]stages!$A$1,0,0,COUNTA([2]stages!$A:$A),MATCH(F$1,[2]stages!$2:$2,0)-MATCH("temp_stage",[2]stages!$2:$2,0)+1),MATCH(F$1,[2]stages!$2:$2,0)-MATCH("temp_stage",[2]stages!$2:$2,0)+1,FALSE)</f>
        <v>#N/A</v>
      </c>
      <c r="G16" s="82" t="e">
        <f ca="1">VLOOKUP($B16&amp;"_"&amp;$E16,OFFSET([2]stages!$A$1,0,0,COUNTA([2]stages!$A:$A),MATCH(G$1,[2]stages!$2:$2,0)-MATCH("temp_stage",[2]stages!$2:$2,0)+1),MATCH(G$1,[2]stages!$2:$2,0)-MATCH("temp_stage",[2]stages!$2:$2,0)+1,FALSE)</f>
        <v>#N/A</v>
      </c>
      <c r="H16" s="84">
        <v>0</v>
      </c>
      <c r="I16">
        <v>16</v>
      </c>
      <c r="J16" s="83" t="s">
        <v>199</v>
      </c>
      <c r="K16" s="93" t="str">
        <f>VLOOKUP(I16,[7]stage_hints!$A:$C,3,FALSE)</f>
        <v>マルチプレイのメリット（その1）</v>
      </c>
      <c r="L16" s="94" t="str">
        <f>VLOOKUP(I16,[7]stage_hints!$A:$D,4,FALSE)</f>
        <v>他のプレイヤーとマルチプレイで遊ぶと_x000D_ポリゴンがもらえます（100人まで）</v>
      </c>
      <c r="M16" s="57" t="s">
        <v>214</v>
      </c>
    </row>
    <row r="17" spans="1:13" x14ac:dyDescent="0.15">
      <c r="A17" s="81" t="s">
        <v>202</v>
      </c>
      <c r="B17" s="47">
        <v>65526</v>
      </c>
      <c r="C17" s="82" t="str">
        <f ca="1">VLOOKUP($B17,OFFSET([2]quests!$A$1,0,0,COUNTA([2]quests!$A:$A),MATCH(C$1,[2]quests!$1:$1,0)-MATCH($B$1,[2]quests!$1:$1,0)+1),MATCH(C$1,[2]quests!$1:$1,0)-MATCH($B$1,[2]quests!$1:$1,0)+1,FALSE)</f>
        <v>【LB加藤】検証クエスト</v>
      </c>
      <c r="D17" s="82" t="str">
        <f ca="1">VLOOKUP($B17,OFFSET([2]quests!$A$1,0,0,COUNTA([2]quests!$A:$A),MATCH(D$1,[2]quests!$1:$1,0)-MATCH($B$1,[2]quests!$1:$1,0)+1),MATCH(D$1,[2]quests!$1:$1,0)-MATCH($B$1,[2]quests!$1:$1,0)+1,FALSE)</f>
        <v>検証</v>
      </c>
      <c r="E17" s="86" t="s">
        <v>217</v>
      </c>
      <c r="F17" s="82" t="e">
        <f ca="1">VLOOKUP($B17&amp;"_"&amp;$E17,OFFSET([2]stages!$A$1,0,0,COUNTA([2]stages!$A:$A),MATCH(F$1,[2]stages!$2:$2,0)-MATCH("temp_stage",[2]stages!$2:$2,0)+1),MATCH(F$1,[2]stages!$2:$2,0)-MATCH("temp_stage",[2]stages!$2:$2,0)+1,FALSE)</f>
        <v>#N/A</v>
      </c>
      <c r="G17" s="82" t="e">
        <f ca="1">VLOOKUP($B17&amp;"_"&amp;$E17,OFFSET([2]stages!$A$1,0,0,COUNTA([2]stages!$A:$A),MATCH(G$1,[2]stages!$2:$2,0)-MATCH("temp_stage",[2]stages!$2:$2,0)+1),MATCH(G$1,[2]stages!$2:$2,0)-MATCH("temp_stage",[2]stages!$2:$2,0)+1,FALSE)</f>
        <v>#N/A</v>
      </c>
      <c r="H17" s="84">
        <v>0</v>
      </c>
      <c r="I17">
        <v>17</v>
      </c>
      <c r="J17" s="83" t="s">
        <v>199</v>
      </c>
      <c r="K17" s="93" t="str">
        <f>VLOOKUP(I17,[7]stage_hints!$A:$C,3,FALSE)</f>
        <v>リンクガチャ</v>
      </c>
      <c r="L17" s="94" t="str">
        <f>VLOOKUP(I17,[7]stage_hints!$A:$D,4,FALSE)</f>
        <v>無料のリンクガチャを回して_x000D_経験値素材や売却素材を獲得しましょう</v>
      </c>
      <c r="M17" s="57" t="s">
        <v>214</v>
      </c>
    </row>
    <row r="18" spans="1:13" x14ac:dyDescent="0.15">
      <c r="A18" s="81" t="s">
        <v>202</v>
      </c>
      <c r="B18" s="47">
        <v>65526</v>
      </c>
      <c r="C18" s="82" t="str">
        <f ca="1">VLOOKUP($B18,OFFSET([2]quests!$A$1,0,0,COUNTA([2]quests!$A:$A),MATCH(C$1,[2]quests!$1:$1,0)-MATCH($B$1,[2]quests!$1:$1,0)+1),MATCH(C$1,[2]quests!$1:$1,0)-MATCH($B$1,[2]quests!$1:$1,0)+1,FALSE)</f>
        <v>【LB加藤】検証クエスト</v>
      </c>
      <c r="D18" s="82" t="str">
        <f ca="1">VLOOKUP($B18,OFFSET([2]quests!$A$1,0,0,COUNTA([2]quests!$A:$A),MATCH(D$1,[2]quests!$1:$1,0)-MATCH($B$1,[2]quests!$1:$1,0)+1),MATCH(D$1,[2]quests!$1:$1,0)-MATCH($B$1,[2]quests!$1:$1,0)+1,FALSE)</f>
        <v>検証</v>
      </c>
      <c r="E18" s="86" t="s">
        <v>217</v>
      </c>
      <c r="F18" s="82" t="e">
        <f ca="1">VLOOKUP($B18&amp;"_"&amp;$E18,OFFSET([2]stages!$A$1,0,0,COUNTA([2]stages!$A:$A),MATCH(F$1,[2]stages!$2:$2,0)-MATCH("temp_stage",[2]stages!$2:$2,0)+1),MATCH(F$1,[2]stages!$2:$2,0)-MATCH("temp_stage",[2]stages!$2:$2,0)+1,FALSE)</f>
        <v>#N/A</v>
      </c>
      <c r="G18" s="82" t="e">
        <f ca="1">VLOOKUP($B18&amp;"_"&amp;$E18,OFFSET([2]stages!$A$1,0,0,COUNTA([2]stages!$A:$A),MATCH(G$1,[2]stages!$2:$2,0)-MATCH("temp_stage",[2]stages!$2:$2,0)+1),MATCH(G$1,[2]stages!$2:$2,0)-MATCH("temp_stage",[2]stages!$2:$2,0)+1,FALSE)</f>
        <v>#N/A</v>
      </c>
      <c r="H18" s="84">
        <v>0</v>
      </c>
      <c r="I18">
        <v>18</v>
      </c>
      <c r="J18" s="83" t="s">
        <v>199</v>
      </c>
      <c r="K18" s="93" t="str">
        <f>VLOOKUP(I18,[7]stage_hints!$A:$C,3,FALSE)</f>
        <v>マルチプレイのメリット（その2）</v>
      </c>
      <c r="L18" s="94" t="str">
        <f>VLOOKUP(I18,[7]stage_hints!$A:$D,4,FALSE)</f>
        <v>マルチプレイならリンクが2倍もらえます_x000D_リンクガチャをたくさん回しましょう</v>
      </c>
      <c r="M18" s="57" t="s">
        <v>214</v>
      </c>
    </row>
    <row r="19" spans="1:13" x14ac:dyDescent="0.15">
      <c r="A19" s="81" t="s">
        <v>202</v>
      </c>
      <c r="B19" s="47">
        <v>65526</v>
      </c>
      <c r="C19" s="82" t="str">
        <f ca="1">VLOOKUP($B19,OFFSET([2]quests!$A$1,0,0,COUNTA([2]quests!$A:$A),MATCH(C$1,[2]quests!$1:$1,0)-MATCH($B$1,[2]quests!$1:$1,0)+1),MATCH(C$1,[2]quests!$1:$1,0)-MATCH($B$1,[2]quests!$1:$1,0)+1,FALSE)</f>
        <v>【LB加藤】検証クエスト</v>
      </c>
      <c r="D19" s="82" t="str">
        <f ca="1">VLOOKUP($B19,OFFSET([2]quests!$A$1,0,0,COUNTA([2]quests!$A:$A),MATCH(D$1,[2]quests!$1:$1,0)-MATCH($B$1,[2]quests!$1:$1,0)+1),MATCH(D$1,[2]quests!$1:$1,0)-MATCH($B$1,[2]quests!$1:$1,0)+1,FALSE)</f>
        <v>検証</v>
      </c>
      <c r="E19" s="86" t="s">
        <v>217</v>
      </c>
      <c r="F19" s="82" t="e">
        <f ca="1">VLOOKUP($B19&amp;"_"&amp;$E19,OFFSET([2]stages!$A$1,0,0,COUNTA([2]stages!$A:$A),MATCH(F$1,[2]stages!$2:$2,0)-MATCH("temp_stage",[2]stages!$2:$2,0)+1),MATCH(F$1,[2]stages!$2:$2,0)-MATCH("temp_stage",[2]stages!$2:$2,0)+1,FALSE)</f>
        <v>#N/A</v>
      </c>
      <c r="G19" s="82" t="e">
        <f ca="1">VLOOKUP($B19&amp;"_"&amp;$E19,OFFSET([2]stages!$A$1,0,0,COUNTA([2]stages!$A:$A),MATCH(G$1,[2]stages!$2:$2,0)-MATCH("temp_stage",[2]stages!$2:$2,0)+1),MATCH(G$1,[2]stages!$2:$2,0)-MATCH("temp_stage",[2]stages!$2:$2,0)+1,FALSE)</f>
        <v>#N/A</v>
      </c>
      <c r="H19" s="84">
        <v>0</v>
      </c>
      <c r="I19">
        <v>19</v>
      </c>
      <c r="J19" s="83" t="s">
        <v>199</v>
      </c>
      <c r="K19" s="93" t="str">
        <f>VLOOKUP(I19,[7]stage_hints!$A:$C,3,FALSE)</f>
        <v>ソロ専用チャレンジタワー</v>
      </c>
      <c r="L19" s="94" t="str">
        <f>VLOOKUP(I19,[7]stage_hints!$A:$D,4,FALSE)</f>
        <v>ソロ専用の「チャレンジタワー」では_x000D_各フロアごとにクリア報酬がもらえます</v>
      </c>
      <c r="M19" s="57" t="s">
        <v>214</v>
      </c>
    </row>
    <row r="20" spans="1:13" x14ac:dyDescent="0.15">
      <c r="A20" s="81" t="s">
        <v>202</v>
      </c>
      <c r="B20" s="47">
        <v>65526</v>
      </c>
      <c r="C20" s="82" t="str">
        <f ca="1">VLOOKUP($B20,OFFSET([2]quests!$A$1,0,0,COUNTA([2]quests!$A:$A),MATCH(C$1,[2]quests!$1:$1,0)-MATCH($B$1,[2]quests!$1:$1,0)+1),MATCH(C$1,[2]quests!$1:$1,0)-MATCH($B$1,[2]quests!$1:$1,0)+1,FALSE)</f>
        <v>【LB加藤】検証クエスト</v>
      </c>
      <c r="D20" s="82" t="str">
        <f ca="1">VLOOKUP($B20,OFFSET([2]quests!$A$1,0,0,COUNTA([2]quests!$A:$A),MATCH(D$1,[2]quests!$1:$1,0)-MATCH($B$1,[2]quests!$1:$1,0)+1),MATCH(D$1,[2]quests!$1:$1,0)-MATCH($B$1,[2]quests!$1:$1,0)+1,FALSE)</f>
        <v>検証</v>
      </c>
      <c r="E20" s="86" t="s">
        <v>217</v>
      </c>
      <c r="F20" s="82" t="e">
        <f ca="1">VLOOKUP($B20&amp;"_"&amp;$E20,OFFSET([2]stages!$A$1,0,0,COUNTA([2]stages!$A:$A),MATCH(F$1,[2]stages!$2:$2,0)-MATCH("temp_stage",[2]stages!$2:$2,0)+1),MATCH(F$1,[2]stages!$2:$2,0)-MATCH("temp_stage",[2]stages!$2:$2,0)+1,FALSE)</f>
        <v>#N/A</v>
      </c>
      <c r="G20" s="82" t="e">
        <f ca="1">VLOOKUP($B20&amp;"_"&amp;$E20,OFFSET([2]stages!$A$1,0,0,COUNTA([2]stages!$A:$A),MATCH(G$1,[2]stages!$2:$2,0)-MATCH("temp_stage",[2]stages!$2:$2,0)+1),MATCH(G$1,[2]stages!$2:$2,0)-MATCH("temp_stage",[2]stages!$2:$2,0)+1,FALSE)</f>
        <v>#N/A</v>
      </c>
      <c r="H20" s="84">
        <v>0</v>
      </c>
      <c r="I20">
        <v>20</v>
      </c>
      <c r="J20" s="83" t="s">
        <v>199</v>
      </c>
      <c r="K20" s="93" t="str">
        <f>VLOOKUP(I20,[7]stage_hints!$A:$C,3,FALSE)</f>
        <v>マルチプレイのメリット（その3）</v>
      </c>
      <c r="L20" s="94" t="str">
        <f>VLOOKUP(I20,[7]stage_hints!$A:$D,4,FALSE)</f>
        <v>マルチプレイへの参加はエナジー消費ゼロ_x000D_いつでも好きなだけ遊ぶことができます</v>
      </c>
      <c r="M20" s="57" t="s">
        <v>214</v>
      </c>
    </row>
    <row r="21" spans="1:13" x14ac:dyDescent="0.15">
      <c r="A21" s="81" t="s">
        <v>202</v>
      </c>
      <c r="B21" s="47">
        <v>65526</v>
      </c>
      <c r="C21" s="82" t="str">
        <f ca="1">VLOOKUP($B21,OFFSET([2]quests!$A$1,0,0,COUNTA([2]quests!$A:$A),MATCH(C$1,[2]quests!$1:$1,0)-MATCH($B$1,[2]quests!$1:$1,0)+1),MATCH(C$1,[2]quests!$1:$1,0)-MATCH($B$1,[2]quests!$1:$1,0)+1,FALSE)</f>
        <v>【LB加藤】検証クエスト</v>
      </c>
      <c r="D21" s="82" t="str">
        <f ca="1">VLOOKUP($B21,OFFSET([2]quests!$A$1,0,0,COUNTA([2]quests!$A:$A),MATCH(D$1,[2]quests!$1:$1,0)-MATCH($B$1,[2]quests!$1:$1,0)+1),MATCH(D$1,[2]quests!$1:$1,0)-MATCH($B$1,[2]quests!$1:$1,0)+1,FALSE)</f>
        <v>検証</v>
      </c>
      <c r="E21" s="86" t="s">
        <v>217</v>
      </c>
      <c r="F21" s="82" t="e">
        <f ca="1">VLOOKUP($B21&amp;"_"&amp;$E21,OFFSET([2]stages!$A$1,0,0,COUNTA([2]stages!$A:$A),MATCH(F$1,[2]stages!$2:$2,0)-MATCH("temp_stage",[2]stages!$2:$2,0)+1),MATCH(F$1,[2]stages!$2:$2,0)-MATCH("temp_stage",[2]stages!$2:$2,0)+1,FALSE)</f>
        <v>#N/A</v>
      </c>
      <c r="G21" s="82" t="e">
        <f ca="1">VLOOKUP($B21&amp;"_"&amp;$E21,OFFSET([2]stages!$A$1,0,0,COUNTA([2]stages!$A:$A),MATCH(G$1,[2]stages!$2:$2,0)-MATCH("temp_stage",[2]stages!$2:$2,0)+1),MATCH(G$1,[2]stages!$2:$2,0)-MATCH("temp_stage",[2]stages!$2:$2,0)+1,FALSE)</f>
        <v>#N/A</v>
      </c>
      <c r="H21" s="84">
        <v>0</v>
      </c>
      <c r="I21">
        <v>21</v>
      </c>
      <c r="J21" s="83" t="s">
        <v>199</v>
      </c>
      <c r="K21" s="93" t="str">
        <f>VLOOKUP(I21,[7]stage_hints!$A:$C,3,FALSE)</f>
        <v>スキルを有効に</v>
      </c>
      <c r="L21" s="94" t="str">
        <f>VLOOKUP(I21,[7]stage_hints!$A:$D,4,FALSE)</f>
        <v>ターン経過でユニットのスキルが使えます_x000D_強力スキルでバトルを有利に進めましょう</v>
      </c>
      <c r="M21" s="57" t="s">
        <v>214</v>
      </c>
    </row>
    <row r="22" spans="1:13" x14ac:dyDescent="0.15">
      <c r="A22" s="81" t="s">
        <v>202</v>
      </c>
      <c r="B22" s="47">
        <v>65526</v>
      </c>
      <c r="C22" s="82" t="str">
        <f ca="1">VLOOKUP($B22,OFFSET([2]quests!$A$1,0,0,COUNTA([2]quests!$A:$A),MATCH(C$1,[2]quests!$1:$1,0)-MATCH($B$1,[2]quests!$1:$1,0)+1),MATCH(C$1,[2]quests!$1:$1,0)-MATCH($B$1,[2]quests!$1:$1,0)+1,FALSE)</f>
        <v>【LB加藤】検証クエスト</v>
      </c>
      <c r="D22" s="82" t="str">
        <f ca="1">VLOOKUP($B22,OFFSET([2]quests!$A$1,0,0,COUNTA([2]quests!$A:$A),MATCH(D$1,[2]quests!$1:$1,0)-MATCH($B$1,[2]quests!$1:$1,0)+1),MATCH(D$1,[2]quests!$1:$1,0)-MATCH($B$1,[2]quests!$1:$1,0)+1,FALSE)</f>
        <v>検証</v>
      </c>
      <c r="E22" s="86" t="s">
        <v>217</v>
      </c>
      <c r="F22" s="82" t="e">
        <f ca="1">VLOOKUP($B22&amp;"_"&amp;$E22,OFFSET([2]stages!$A$1,0,0,COUNTA([2]stages!$A:$A),MATCH(F$1,[2]stages!$2:$2,0)-MATCH("temp_stage",[2]stages!$2:$2,0)+1),MATCH(F$1,[2]stages!$2:$2,0)-MATCH("temp_stage",[2]stages!$2:$2,0)+1,FALSE)</f>
        <v>#N/A</v>
      </c>
      <c r="G22" s="82" t="e">
        <f ca="1">VLOOKUP($B22&amp;"_"&amp;$E22,OFFSET([2]stages!$A$1,0,0,COUNTA([2]stages!$A:$A),MATCH(G$1,[2]stages!$2:$2,0)-MATCH("temp_stage",[2]stages!$2:$2,0)+1),MATCH(G$1,[2]stages!$2:$2,0)-MATCH("temp_stage",[2]stages!$2:$2,0)+1,FALSE)</f>
        <v>#N/A</v>
      </c>
      <c r="H22" s="84">
        <v>0</v>
      </c>
      <c r="I22">
        <v>22</v>
      </c>
      <c r="J22" s="83" t="s">
        <v>199</v>
      </c>
      <c r="K22" s="93" t="str">
        <f>VLOOKUP(I22,[7]stage_hints!$A:$C,3,FALSE)</f>
        <v>フィーバーで一発逆転（その1）</v>
      </c>
      <c r="L22" s="94" t="str">
        <f>VLOOKUP(I22,[7]stage_hints!$A:$D,4,FALSE)</f>
        <v>フィーバーは攻撃と回復を兼ね備えます_x000D_ピンチからの一発逆転を狙いましょう</v>
      </c>
      <c r="M22" s="57" t="s">
        <v>214</v>
      </c>
    </row>
    <row r="23" spans="1:13" x14ac:dyDescent="0.15">
      <c r="A23" s="81" t="s">
        <v>202</v>
      </c>
      <c r="B23" s="47">
        <v>65526</v>
      </c>
      <c r="C23" s="82" t="str">
        <f ca="1">VLOOKUP($B23,OFFSET([2]quests!$A$1,0,0,COUNTA([2]quests!$A:$A),MATCH(C$1,[2]quests!$1:$1,0)-MATCH($B$1,[2]quests!$1:$1,0)+1),MATCH(C$1,[2]quests!$1:$1,0)-MATCH($B$1,[2]quests!$1:$1,0)+1,FALSE)</f>
        <v>【LB加藤】検証クエスト</v>
      </c>
      <c r="D23" s="82" t="str">
        <f ca="1">VLOOKUP($B23,OFFSET([2]quests!$A$1,0,0,COUNTA([2]quests!$A:$A),MATCH(D$1,[2]quests!$1:$1,0)-MATCH($B$1,[2]quests!$1:$1,0)+1),MATCH(D$1,[2]quests!$1:$1,0)-MATCH($B$1,[2]quests!$1:$1,0)+1,FALSE)</f>
        <v>検証</v>
      </c>
      <c r="E23" s="86" t="s">
        <v>217</v>
      </c>
      <c r="F23" s="82" t="e">
        <f ca="1">VLOOKUP($B23&amp;"_"&amp;$E23,OFFSET([2]stages!$A$1,0,0,COUNTA([2]stages!$A:$A),MATCH(F$1,[2]stages!$2:$2,0)-MATCH("temp_stage",[2]stages!$2:$2,0)+1),MATCH(F$1,[2]stages!$2:$2,0)-MATCH("temp_stage",[2]stages!$2:$2,0)+1,FALSE)</f>
        <v>#N/A</v>
      </c>
      <c r="G23" s="82" t="e">
        <f ca="1">VLOOKUP($B23&amp;"_"&amp;$E23,OFFSET([2]stages!$A$1,0,0,COUNTA([2]stages!$A:$A),MATCH(G$1,[2]stages!$2:$2,0)-MATCH("temp_stage",[2]stages!$2:$2,0)+1),MATCH(G$1,[2]stages!$2:$2,0)-MATCH("temp_stage",[2]stages!$2:$2,0)+1,FALSE)</f>
        <v>#N/A</v>
      </c>
      <c r="H23" s="84">
        <v>0</v>
      </c>
      <c r="I23">
        <v>23</v>
      </c>
      <c r="J23" s="83" t="s">
        <v>199</v>
      </c>
      <c r="K23" s="93" t="str">
        <f>VLOOKUP(I23,[7]stage_hints!$A:$C,3,FALSE)</f>
        <v>フィーバーで一発逆転（その2）</v>
      </c>
      <c r="L23" s="94" t="str">
        <f>VLOOKUP(I23,[7]stage_hints!$A:$D,4,FALSE)</f>
        <v>フィーバー中は虹色のボムパネルを狙って_x000D_画面上のパネルを一気に破壊しましょう</v>
      </c>
      <c r="M23" s="57" t="s">
        <v>214</v>
      </c>
    </row>
    <row r="24" spans="1:13" x14ac:dyDescent="0.15">
      <c r="A24" s="81" t="s">
        <v>202</v>
      </c>
      <c r="B24" s="47">
        <v>65526</v>
      </c>
      <c r="C24" s="82" t="str">
        <f ca="1">VLOOKUP($B24,OFFSET([2]quests!$A$1,0,0,COUNTA([2]quests!$A:$A),MATCH(C$1,[2]quests!$1:$1,0)-MATCH($B$1,[2]quests!$1:$1,0)+1),MATCH(C$1,[2]quests!$1:$1,0)-MATCH($B$1,[2]quests!$1:$1,0)+1,FALSE)</f>
        <v>【LB加藤】検証クエスト</v>
      </c>
      <c r="D24" s="82" t="str">
        <f ca="1">VLOOKUP($B24,OFFSET([2]quests!$A$1,0,0,COUNTA([2]quests!$A:$A),MATCH(D$1,[2]quests!$1:$1,0)-MATCH($B$1,[2]quests!$1:$1,0)+1),MATCH(D$1,[2]quests!$1:$1,0)-MATCH($B$1,[2]quests!$1:$1,0)+1,FALSE)</f>
        <v>検証</v>
      </c>
      <c r="E24" s="86" t="s">
        <v>217</v>
      </c>
      <c r="F24" s="82" t="e">
        <f ca="1">VLOOKUP($B24&amp;"_"&amp;$E24,OFFSET([2]stages!$A$1,0,0,COUNTA([2]stages!$A:$A),MATCH(F$1,[2]stages!$2:$2,0)-MATCH("temp_stage",[2]stages!$2:$2,0)+1),MATCH(F$1,[2]stages!$2:$2,0)-MATCH("temp_stage",[2]stages!$2:$2,0)+1,FALSE)</f>
        <v>#N/A</v>
      </c>
      <c r="G24" s="82" t="e">
        <f ca="1">VLOOKUP($B24&amp;"_"&amp;$E24,OFFSET([2]stages!$A$1,0,0,COUNTA([2]stages!$A:$A),MATCH(G$1,[2]stages!$2:$2,0)-MATCH("temp_stage",[2]stages!$2:$2,0)+1),MATCH(G$1,[2]stages!$2:$2,0)-MATCH("temp_stage",[2]stages!$2:$2,0)+1,FALSE)</f>
        <v>#N/A</v>
      </c>
      <c r="H24" s="84">
        <v>0</v>
      </c>
      <c r="I24">
        <v>24</v>
      </c>
      <c r="J24" s="83" t="s">
        <v>199</v>
      </c>
      <c r="K24" s="93" t="str">
        <f>VLOOKUP(I24,[7]stage_hints!$A:$C,3,FALSE)</f>
        <v>りんごを使って限界突破</v>
      </c>
      <c r="L24" s="94" t="str">
        <f>VLOOKUP(I24,[7]stage_hints!$A:$D,4,FALSE)</f>
        <v>赤りんご(攻撃力) 青りんご(回復力)_x000D_緑りんご(体力)をユニット強化に使うと_x000D_ステータスが限界突破します（計99個迄）</v>
      </c>
      <c r="M24" s="57" t="s">
        <v>214</v>
      </c>
    </row>
    <row r="25" spans="1:13" x14ac:dyDescent="0.15">
      <c r="A25" s="81" t="s">
        <v>202</v>
      </c>
      <c r="B25" s="47">
        <v>65526</v>
      </c>
      <c r="C25" s="82" t="str">
        <f ca="1">VLOOKUP($B25,OFFSET([2]quests!$A$1,0,0,COUNTA([2]quests!$A:$A),MATCH(C$1,[2]quests!$1:$1,0)-MATCH($B$1,[2]quests!$1:$1,0)+1),MATCH(C$1,[2]quests!$1:$1,0)-MATCH($B$1,[2]quests!$1:$1,0)+1,FALSE)</f>
        <v>【LB加藤】検証クエスト</v>
      </c>
      <c r="D25" s="82" t="str">
        <f ca="1">VLOOKUP($B25,OFFSET([2]quests!$A$1,0,0,COUNTA([2]quests!$A:$A),MATCH(D$1,[2]quests!$1:$1,0)-MATCH($B$1,[2]quests!$1:$1,0)+1),MATCH(D$1,[2]quests!$1:$1,0)-MATCH($B$1,[2]quests!$1:$1,0)+1,FALSE)</f>
        <v>検証</v>
      </c>
      <c r="E25" s="86" t="s">
        <v>217</v>
      </c>
      <c r="F25" s="82" t="e">
        <f ca="1">VLOOKUP($B25&amp;"_"&amp;$E25,OFFSET([2]stages!$A$1,0,0,COUNTA([2]stages!$A:$A),MATCH(F$1,[2]stages!$2:$2,0)-MATCH("temp_stage",[2]stages!$2:$2,0)+1),MATCH(F$1,[2]stages!$2:$2,0)-MATCH("temp_stage",[2]stages!$2:$2,0)+1,FALSE)</f>
        <v>#N/A</v>
      </c>
      <c r="G25" s="82" t="e">
        <f ca="1">VLOOKUP($B25&amp;"_"&amp;$E25,OFFSET([2]stages!$A$1,0,0,COUNTA([2]stages!$A:$A),MATCH(G$1,[2]stages!$2:$2,0)-MATCH("temp_stage",[2]stages!$2:$2,0)+1),MATCH(G$1,[2]stages!$2:$2,0)-MATCH("temp_stage",[2]stages!$2:$2,0)+1,FALSE)</f>
        <v>#N/A</v>
      </c>
      <c r="H25" s="84">
        <v>0</v>
      </c>
      <c r="I25">
        <v>25</v>
      </c>
      <c r="J25" s="83" t="s">
        <v>199</v>
      </c>
      <c r="K25" s="93" t="str">
        <f>VLOOKUP(I25,[7]stage_hints!$A:$C,3,FALSE)</f>
        <v>スキルレベルアップ</v>
      </c>
      <c r="L25" s="94" t="str">
        <f>VLOOKUP(I25,[7]stage_hints!$A:$D,4,FALSE)</f>
        <v>「クリスタルのりんご」を強化に使うと_x000D_スキルレベルを上げることができます</v>
      </c>
      <c r="M25" s="57" t="s">
        <v>214</v>
      </c>
    </row>
    <row r="26" spans="1:13" x14ac:dyDescent="0.15">
      <c r="A26" s="81" t="s">
        <v>202</v>
      </c>
      <c r="B26" s="47">
        <v>65526</v>
      </c>
      <c r="C26" s="82" t="str">
        <f ca="1">VLOOKUP($B26,OFFSET([2]quests!$A$1,0,0,COUNTA([2]quests!$A:$A),MATCH(C$1,[2]quests!$1:$1,0)-MATCH($B$1,[2]quests!$1:$1,0)+1),MATCH(C$1,[2]quests!$1:$1,0)-MATCH($B$1,[2]quests!$1:$1,0)+1,FALSE)</f>
        <v>【LB加藤】検証クエスト</v>
      </c>
      <c r="D26" s="82" t="str">
        <f ca="1">VLOOKUP($B26,OFFSET([2]quests!$A$1,0,0,COUNTA([2]quests!$A:$A),MATCH(D$1,[2]quests!$1:$1,0)-MATCH($B$1,[2]quests!$1:$1,0)+1),MATCH(D$1,[2]quests!$1:$1,0)-MATCH($B$1,[2]quests!$1:$1,0)+1,FALSE)</f>
        <v>検証</v>
      </c>
      <c r="E26" s="86" t="s">
        <v>217</v>
      </c>
      <c r="F26" s="82" t="e">
        <f ca="1">VLOOKUP($B26&amp;"_"&amp;$E26,OFFSET([2]stages!$A$1,0,0,COUNTA([2]stages!$A:$A),MATCH(F$1,[2]stages!$2:$2,0)-MATCH("temp_stage",[2]stages!$2:$2,0)+1),MATCH(F$1,[2]stages!$2:$2,0)-MATCH("temp_stage",[2]stages!$2:$2,0)+1,FALSE)</f>
        <v>#N/A</v>
      </c>
      <c r="G26" s="82" t="e">
        <f ca="1">VLOOKUP($B26&amp;"_"&amp;$E26,OFFSET([2]stages!$A$1,0,0,COUNTA([2]stages!$A:$A),MATCH(G$1,[2]stages!$2:$2,0)-MATCH("temp_stage",[2]stages!$2:$2,0)+1),MATCH(G$1,[2]stages!$2:$2,0)-MATCH("temp_stage",[2]stages!$2:$2,0)+1,FALSE)</f>
        <v>#N/A</v>
      </c>
      <c r="H26" s="84">
        <v>0</v>
      </c>
      <c r="I26">
        <v>26</v>
      </c>
      <c r="J26" s="83" t="s">
        <v>199</v>
      </c>
      <c r="K26" s="93" t="str">
        <f>VLOOKUP(I26,[7]stage_hints!$A:$C,3,FALSE)</f>
        <v>スキルレベルの効果</v>
      </c>
      <c r="L26" s="94" t="str">
        <f>VLOOKUP(I26,[7]stage_hints!$A:$D,4,FALSE)</f>
        <v>スキルレベルが上がると_x000D_短いターンでスキルを使うことができます</v>
      </c>
      <c r="M26" s="57" t="s">
        <v>214</v>
      </c>
    </row>
    <row r="27" spans="1:13" x14ac:dyDescent="0.15">
      <c r="A27" s="81" t="s">
        <v>202</v>
      </c>
      <c r="B27" s="47">
        <v>65526</v>
      </c>
      <c r="C27" s="82" t="str">
        <f ca="1">VLOOKUP($B27,OFFSET([2]quests!$A$1,0,0,COUNTA([2]quests!$A:$A),MATCH(C$1,[2]quests!$1:$1,0)-MATCH($B$1,[2]quests!$1:$1,0)+1),MATCH(C$1,[2]quests!$1:$1,0)-MATCH($B$1,[2]quests!$1:$1,0)+1,FALSE)</f>
        <v>【LB加藤】検証クエスト</v>
      </c>
      <c r="D27" s="82" t="str">
        <f ca="1">VLOOKUP($B27,OFFSET([2]quests!$A$1,0,0,COUNTA([2]quests!$A:$A),MATCH(D$1,[2]quests!$1:$1,0)-MATCH($B$1,[2]quests!$1:$1,0)+1),MATCH(D$1,[2]quests!$1:$1,0)-MATCH($B$1,[2]quests!$1:$1,0)+1,FALSE)</f>
        <v>検証</v>
      </c>
      <c r="E27" s="86" t="s">
        <v>217</v>
      </c>
      <c r="F27" s="82" t="e">
        <f ca="1">VLOOKUP($B27&amp;"_"&amp;$E27,OFFSET([2]stages!$A$1,0,0,COUNTA([2]stages!$A:$A),MATCH(F$1,[2]stages!$2:$2,0)-MATCH("temp_stage",[2]stages!$2:$2,0)+1),MATCH(F$1,[2]stages!$2:$2,0)-MATCH("temp_stage",[2]stages!$2:$2,0)+1,FALSE)</f>
        <v>#N/A</v>
      </c>
      <c r="G27" s="82" t="e">
        <f ca="1">VLOOKUP($B27&amp;"_"&amp;$E27,OFFSET([2]stages!$A$1,0,0,COUNTA([2]stages!$A:$A),MATCH(G$1,[2]stages!$2:$2,0)-MATCH("temp_stage",[2]stages!$2:$2,0)+1),MATCH(G$1,[2]stages!$2:$2,0)-MATCH("temp_stage",[2]stages!$2:$2,0)+1,FALSE)</f>
        <v>#N/A</v>
      </c>
      <c r="H27" s="84">
        <v>0</v>
      </c>
      <c r="I27">
        <v>39</v>
      </c>
      <c r="J27" s="83" t="s">
        <v>199</v>
      </c>
      <c r="K27" s="93" t="str">
        <f>VLOOKUP(I27,[7]stage_hints!$A:$C,3,FALSE)</f>
        <v>システム適合者を確認</v>
      </c>
      <c r="L27" s="94" t="str">
        <f>VLOOKUP(I27,[7]stage_hints!$A:$D,4,FALSE)</f>
        <v>ALICEが「アナタ」を呼んでいます</v>
      </c>
      <c r="M27" s="57" t="s">
        <v>214</v>
      </c>
    </row>
    <row r="28" spans="1:13" x14ac:dyDescent="0.15">
      <c r="A28" s="81" t="s">
        <v>202</v>
      </c>
      <c r="B28" s="47">
        <v>65526</v>
      </c>
      <c r="C28" s="82" t="str">
        <f ca="1">VLOOKUP($B28,OFFSET([2]quests!$A$1,0,0,COUNTA([2]quests!$A:$A),MATCH(C$1,[2]quests!$1:$1,0)-MATCH($B$1,[2]quests!$1:$1,0)+1),MATCH(C$1,[2]quests!$1:$1,0)-MATCH($B$1,[2]quests!$1:$1,0)+1,FALSE)</f>
        <v>【LB加藤】検証クエスト</v>
      </c>
      <c r="D28" s="82" t="str">
        <f ca="1">VLOOKUP($B28,OFFSET([2]quests!$A$1,0,0,COUNTA([2]quests!$A:$A),MATCH(D$1,[2]quests!$1:$1,0)-MATCH($B$1,[2]quests!$1:$1,0)+1),MATCH(D$1,[2]quests!$1:$1,0)-MATCH($B$1,[2]quests!$1:$1,0)+1,FALSE)</f>
        <v>検証</v>
      </c>
      <c r="E28" s="86" t="s">
        <v>218</v>
      </c>
      <c r="F28" s="82" t="e">
        <f ca="1">VLOOKUP($B28&amp;"_"&amp;$E28,OFFSET([2]stages!$A$1,0,0,COUNTA([2]stages!$A:$A),MATCH(F$1,[2]stages!$2:$2,0)-MATCH("temp_stage",[2]stages!$2:$2,0)+1),MATCH(F$1,[2]stages!$2:$2,0)-MATCH("temp_stage",[2]stages!$2:$2,0)+1,FALSE)</f>
        <v>#N/A</v>
      </c>
      <c r="G28" s="82" t="e">
        <f ca="1">VLOOKUP($B28&amp;"_"&amp;$E28,OFFSET([2]stages!$A$1,0,0,COUNTA([2]stages!$A:$A),MATCH(G$1,[2]stages!$2:$2,0)-MATCH("temp_stage",[2]stages!$2:$2,0)+1),MATCH(G$1,[2]stages!$2:$2,0)-MATCH("temp_stage",[2]stages!$2:$2,0)+1,FALSE)</f>
        <v>#N/A</v>
      </c>
      <c r="H28" s="84">
        <v>0</v>
      </c>
      <c r="I28">
        <v>3</v>
      </c>
      <c r="J28" s="83" t="s">
        <v>199</v>
      </c>
      <c r="K28" s="93" t="str">
        <f>VLOOKUP(I28,[7]stage_hints!$A:$C,3,FALSE)</f>
        <v>ターゲット</v>
      </c>
      <c r="L28" s="94" t="str">
        <f>VLOOKUP(I28,[7]stage_hints!$A:$D,4,FALSE)</f>
        <v>敵ユニットをタップすると_x000D_その敵を狙い撃ちできます</v>
      </c>
      <c r="M28" s="57" t="s">
        <v>214</v>
      </c>
    </row>
    <row r="29" spans="1:13" x14ac:dyDescent="0.15">
      <c r="A29" s="81" t="s">
        <v>202</v>
      </c>
      <c r="B29" s="47">
        <v>65526</v>
      </c>
      <c r="C29" s="82" t="str">
        <f ca="1">VLOOKUP($B29,OFFSET([2]quests!$A$1,0,0,COUNTA([2]quests!$A:$A),MATCH(C$1,[2]quests!$1:$1,0)-MATCH($B$1,[2]quests!$1:$1,0)+1),MATCH(C$1,[2]quests!$1:$1,0)-MATCH($B$1,[2]quests!$1:$1,0)+1,FALSE)</f>
        <v>【LB加藤】検証クエスト</v>
      </c>
      <c r="D29" s="82" t="str">
        <f ca="1">VLOOKUP($B29,OFFSET([2]quests!$A$1,0,0,COUNTA([2]quests!$A:$A),MATCH(D$1,[2]quests!$1:$1,0)-MATCH($B$1,[2]quests!$1:$1,0)+1),MATCH(D$1,[2]quests!$1:$1,0)-MATCH($B$1,[2]quests!$1:$1,0)+1,FALSE)</f>
        <v>検証</v>
      </c>
      <c r="E29" s="86" t="s">
        <v>218</v>
      </c>
      <c r="F29" s="82" t="e">
        <f ca="1">VLOOKUP($B29&amp;"_"&amp;$E29,OFFSET([2]stages!$A$1,0,0,COUNTA([2]stages!$A:$A),MATCH(F$1,[2]stages!$2:$2,0)-MATCH("temp_stage",[2]stages!$2:$2,0)+1),MATCH(F$1,[2]stages!$2:$2,0)-MATCH("temp_stage",[2]stages!$2:$2,0)+1,FALSE)</f>
        <v>#N/A</v>
      </c>
      <c r="G29" s="82" t="e">
        <f ca="1">VLOOKUP($B29&amp;"_"&amp;$E29,OFFSET([2]stages!$A$1,0,0,COUNTA([2]stages!$A:$A),MATCH(G$1,[2]stages!$2:$2,0)-MATCH("temp_stage",[2]stages!$2:$2,0)+1),MATCH(G$1,[2]stages!$2:$2,0)-MATCH("temp_stage",[2]stages!$2:$2,0)+1,FALSE)</f>
        <v>#N/A</v>
      </c>
      <c r="H29" s="84">
        <v>0</v>
      </c>
      <c r="I29">
        <v>6</v>
      </c>
      <c r="J29" s="83" t="s">
        <v>199</v>
      </c>
      <c r="K29" s="93" t="str">
        <f>VLOOKUP(I29,[7]stage_hints!$A:$C,3,FALSE)</f>
        <v>ユニット強化の属性ボーナス</v>
      </c>
      <c r="L29" s="94" t="str">
        <f>VLOOKUP(I29,[7]stage_hints!$A:$D,4,FALSE)</f>
        <v>同属性ユニットを強化素材にすると_x000D_経験値が多くもらえます</v>
      </c>
      <c r="M29" s="57" t="s">
        <v>214</v>
      </c>
    </row>
    <row r="30" spans="1:13" x14ac:dyDescent="0.15">
      <c r="A30" s="81" t="s">
        <v>202</v>
      </c>
      <c r="B30" s="47">
        <v>65526</v>
      </c>
      <c r="C30" s="82" t="str">
        <f ca="1">VLOOKUP($B30,OFFSET([2]quests!$A$1,0,0,COUNTA([2]quests!$A:$A),MATCH(C$1,[2]quests!$1:$1,0)-MATCH($B$1,[2]quests!$1:$1,0)+1),MATCH(C$1,[2]quests!$1:$1,0)-MATCH($B$1,[2]quests!$1:$1,0)+1,FALSE)</f>
        <v>【LB加藤】検証クエスト</v>
      </c>
      <c r="D30" s="82" t="str">
        <f ca="1">VLOOKUP($B30,OFFSET([2]quests!$A$1,0,0,COUNTA([2]quests!$A:$A),MATCH(D$1,[2]quests!$1:$1,0)-MATCH($B$1,[2]quests!$1:$1,0)+1),MATCH(D$1,[2]quests!$1:$1,0)-MATCH($B$1,[2]quests!$1:$1,0)+1,FALSE)</f>
        <v>検証</v>
      </c>
      <c r="E30" s="86" t="s">
        <v>218</v>
      </c>
      <c r="F30" s="82" t="e">
        <f ca="1">VLOOKUP($B30&amp;"_"&amp;$E30,OFFSET([2]stages!$A$1,0,0,COUNTA([2]stages!$A:$A),MATCH(F$1,[2]stages!$2:$2,0)-MATCH("temp_stage",[2]stages!$2:$2,0)+1),MATCH(F$1,[2]stages!$2:$2,0)-MATCH("temp_stage",[2]stages!$2:$2,0)+1,FALSE)</f>
        <v>#N/A</v>
      </c>
      <c r="G30" s="82" t="e">
        <f ca="1">VLOOKUP($B30&amp;"_"&amp;$E30,OFFSET([2]stages!$A$1,0,0,COUNTA([2]stages!$A:$A),MATCH(G$1,[2]stages!$2:$2,0)-MATCH("temp_stage",[2]stages!$2:$2,0)+1),MATCH(G$1,[2]stages!$2:$2,0)-MATCH("temp_stage",[2]stages!$2:$2,0)+1,FALSE)</f>
        <v>#N/A</v>
      </c>
      <c r="H30" s="84">
        <v>0</v>
      </c>
      <c r="I30">
        <v>7</v>
      </c>
      <c r="J30" s="83" t="s">
        <v>199</v>
      </c>
      <c r="K30" s="93" t="str">
        <f>VLOOKUP(I30,[7]stage_hints!$A:$C,3,FALSE)</f>
        <v>メタルダックで経験値を獲得</v>
      </c>
      <c r="L30" s="94" t="str">
        <f>VLOOKUP(I30,[7]stage_hints!$A:$D,4,FALSE)</f>
        <v>「メタルなアヒル」を強化素材にすると_x000D_大量の経験値がもらえます</v>
      </c>
      <c r="M30" s="57" t="s">
        <v>214</v>
      </c>
    </row>
    <row r="31" spans="1:13" x14ac:dyDescent="0.15">
      <c r="A31" s="81" t="s">
        <v>202</v>
      </c>
      <c r="B31" s="47">
        <v>65526</v>
      </c>
      <c r="C31" s="82" t="str">
        <f ca="1">VLOOKUP($B31,OFFSET([2]quests!$A$1,0,0,COUNTA([2]quests!$A:$A),MATCH(C$1,[2]quests!$1:$1,0)-MATCH($B$1,[2]quests!$1:$1,0)+1),MATCH(C$1,[2]quests!$1:$1,0)-MATCH($B$1,[2]quests!$1:$1,0)+1,FALSE)</f>
        <v>【LB加藤】検証クエスト</v>
      </c>
      <c r="D31" s="82" t="str">
        <f ca="1">VLOOKUP($B31,OFFSET([2]quests!$A$1,0,0,COUNTA([2]quests!$A:$A),MATCH(D$1,[2]quests!$1:$1,0)-MATCH($B$1,[2]quests!$1:$1,0)+1),MATCH(D$1,[2]quests!$1:$1,0)-MATCH($B$1,[2]quests!$1:$1,0)+1,FALSE)</f>
        <v>検証</v>
      </c>
      <c r="E31" s="86" t="s">
        <v>218</v>
      </c>
      <c r="F31" s="82" t="e">
        <f ca="1">VLOOKUP($B31&amp;"_"&amp;$E31,OFFSET([2]stages!$A$1,0,0,COUNTA([2]stages!$A:$A),MATCH(F$1,[2]stages!$2:$2,0)-MATCH("temp_stage",[2]stages!$2:$2,0)+1),MATCH(F$1,[2]stages!$2:$2,0)-MATCH("temp_stage",[2]stages!$2:$2,0)+1,FALSE)</f>
        <v>#N/A</v>
      </c>
      <c r="G31" s="82" t="e">
        <f ca="1">VLOOKUP($B31&amp;"_"&amp;$E31,OFFSET([2]stages!$A$1,0,0,COUNTA([2]stages!$A:$A),MATCH(G$1,[2]stages!$2:$2,0)-MATCH("temp_stage",[2]stages!$2:$2,0)+1),MATCH(G$1,[2]stages!$2:$2,0)-MATCH("temp_stage",[2]stages!$2:$2,0)+1,FALSE)</f>
        <v>#N/A</v>
      </c>
      <c r="H31" s="84">
        <v>0</v>
      </c>
      <c r="I31">
        <v>8</v>
      </c>
      <c r="J31" s="83" t="s">
        <v>199</v>
      </c>
      <c r="K31" s="93" t="str">
        <f>VLOOKUP(I31,[7]stage_hints!$A:$C,3,FALSE)</f>
        <v>ゲリラクエストは要チェック</v>
      </c>
      <c r="L31" s="94" t="str">
        <f>VLOOKUP(I31,[7]stage_hints!$A:$D,4,FALSE)</f>
        <v>時間限定の「アヒル捕獲作戦」では_x000D_経験値素材ユニットが多く手に入ります</v>
      </c>
      <c r="M31" s="57" t="s">
        <v>214</v>
      </c>
    </row>
    <row r="32" spans="1:13" x14ac:dyDescent="0.15">
      <c r="A32" s="81" t="s">
        <v>202</v>
      </c>
      <c r="B32" s="47">
        <v>65526</v>
      </c>
      <c r="C32" s="82" t="str">
        <f ca="1">VLOOKUP($B32,OFFSET([2]quests!$A$1,0,0,COUNTA([2]quests!$A:$A),MATCH(C$1,[2]quests!$1:$1,0)-MATCH($B$1,[2]quests!$1:$1,0)+1),MATCH(C$1,[2]quests!$1:$1,0)-MATCH($B$1,[2]quests!$1:$1,0)+1,FALSE)</f>
        <v>【LB加藤】検証クエスト</v>
      </c>
      <c r="D32" s="82" t="str">
        <f ca="1">VLOOKUP($B32,OFFSET([2]quests!$A$1,0,0,COUNTA([2]quests!$A:$A),MATCH(D$1,[2]quests!$1:$1,0)-MATCH($B$1,[2]quests!$1:$1,0)+1),MATCH(D$1,[2]quests!$1:$1,0)-MATCH($B$1,[2]quests!$1:$1,0)+1,FALSE)</f>
        <v>検証</v>
      </c>
      <c r="E32" s="86" t="s">
        <v>218</v>
      </c>
      <c r="F32" s="82" t="e">
        <f ca="1">VLOOKUP($B32&amp;"_"&amp;$E32,OFFSET([2]stages!$A$1,0,0,COUNTA([2]stages!$A:$A),MATCH(F$1,[2]stages!$2:$2,0)-MATCH("temp_stage",[2]stages!$2:$2,0)+1),MATCH(F$1,[2]stages!$2:$2,0)-MATCH("temp_stage",[2]stages!$2:$2,0)+1,FALSE)</f>
        <v>#N/A</v>
      </c>
      <c r="G32" s="82" t="e">
        <f ca="1">VLOOKUP($B32&amp;"_"&amp;$E32,OFFSET([2]stages!$A$1,0,0,COUNTA([2]stages!$A:$A),MATCH(G$1,[2]stages!$2:$2,0)-MATCH("temp_stage",[2]stages!$2:$2,0)+1),MATCH(G$1,[2]stages!$2:$2,0)-MATCH("temp_stage",[2]stages!$2:$2,0)+1,FALSE)</f>
        <v>#N/A</v>
      </c>
      <c r="H32" s="84">
        <v>0</v>
      </c>
      <c r="I32">
        <v>9</v>
      </c>
      <c r="J32" s="83" t="s">
        <v>199</v>
      </c>
      <c r="K32" s="93" t="str">
        <f>VLOOKUP(I32,[7]stage_hints!$A:$C,3,FALSE)</f>
        <v>ゴールドダックでビットを獲得</v>
      </c>
      <c r="L32" s="94" t="str">
        <f>VLOOKUP(I32,[7]stage_hints!$A:$D,4,FALSE)</f>
        <v>「ゴールドなアヒル」を売却すると_x000D_大量のビットがもらえます</v>
      </c>
      <c r="M32" s="57" t="s">
        <v>214</v>
      </c>
    </row>
    <row r="33" spans="1:13" x14ac:dyDescent="0.15">
      <c r="A33" s="81" t="s">
        <v>202</v>
      </c>
      <c r="B33" s="47">
        <v>65526</v>
      </c>
      <c r="C33" s="82" t="str">
        <f ca="1">VLOOKUP($B33,OFFSET([2]quests!$A$1,0,0,COUNTA([2]quests!$A:$A),MATCH(C$1,[2]quests!$1:$1,0)-MATCH($B$1,[2]quests!$1:$1,0)+1),MATCH(C$1,[2]quests!$1:$1,0)-MATCH($B$1,[2]quests!$1:$1,0)+1,FALSE)</f>
        <v>【LB加藤】検証クエスト</v>
      </c>
      <c r="D33" s="82" t="str">
        <f ca="1">VLOOKUP($B33,OFFSET([2]quests!$A$1,0,0,COUNTA([2]quests!$A:$A),MATCH(D$1,[2]quests!$1:$1,0)-MATCH($B$1,[2]quests!$1:$1,0)+1),MATCH(D$1,[2]quests!$1:$1,0)-MATCH($B$1,[2]quests!$1:$1,0)+1,FALSE)</f>
        <v>検証</v>
      </c>
      <c r="E33" s="86" t="s">
        <v>218</v>
      </c>
      <c r="F33" s="82" t="e">
        <f ca="1">VLOOKUP($B33&amp;"_"&amp;$E33,OFFSET([2]stages!$A$1,0,0,COUNTA([2]stages!$A:$A),MATCH(F$1,[2]stages!$2:$2,0)-MATCH("temp_stage",[2]stages!$2:$2,0)+1),MATCH(F$1,[2]stages!$2:$2,0)-MATCH("temp_stage",[2]stages!$2:$2,0)+1,FALSE)</f>
        <v>#N/A</v>
      </c>
      <c r="G33" s="82" t="e">
        <f ca="1">VLOOKUP($B33&amp;"_"&amp;$E33,OFFSET([2]stages!$A$1,0,0,COUNTA([2]stages!$A:$A),MATCH(G$1,[2]stages!$2:$2,0)-MATCH("temp_stage",[2]stages!$2:$2,0)+1),MATCH(G$1,[2]stages!$2:$2,0)-MATCH("temp_stage",[2]stages!$2:$2,0)+1,FALSE)</f>
        <v>#N/A</v>
      </c>
      <c r="H33" s="84">
        <v>0</v>
      </c>
      <c r="I33">
        <v>10</v>
      </c>
      <c r="J33" s="83" t="s">
        <v>199</v>
      </c>
      <c r="K33" s="93" t="str">
        <f>VLOOKUP(I33,[7]stage_hints!$A:$C,3,FALSE)</f>
        <v>土日に大量のビットを獲得</v>
      </c>
      <c r="L33" s="94" t="str">
        <f>VLOOKUP(I33,[7]stage_hints!$A:$D,4,FALSE)</f>
        <v>土日限定の「ゴールドカジノ」では_x000D_売却素材ユニットが多く手に入ります</v>
      </c>
      <c r="M33" s="57" t="s">
        <v>214</v>
      </c>
    </row>
    <row r="34" spans="1:13" x14ac:dyDescent="0.15">
      <c r="A34" s="81" t="s">
        <v>202</v>
      </c>
      <c r="B34" s="47">
        <v>65526</v>
      </c>
      <c r="C34" s="82" t="str">
        <f ca="1">VLOOKUP($B34,OFFSET([2]quests!$A$1,0,0,COUNTA([2]quests!$A:$A),MATCH(C$1,[2]quests!$1:$1,0)-MATCH($B$1,[2]quests!$1:$1,0)+1),MATCH(C$1,[2]quests!$1:$1,0)-MATCH($B$1,[2]quests!$1:$1,0)+1,FALSE)</f>
        <v>【LB加藤】検証クエスト</v>
      </c>
      <c r="D34" s="82" t="str">
        <f ca="1">VLOOKUP($B34,OFFSET([2]quests!$A$1,0,0,COUNTA([2]quests!$A:$A),MATCH(D$1,[2]quests!$1:$1,0)-MATCH($B$1,[2]quests!$1:$1,0)+1),MATCH(D$1,[2]quests!$1:$1,0)-MATCH($B$1,[2]quests!$1:$1,0)+1,FALSE)</f>
        <v>検証</v>
      </c>
      <c r="E34" s="86" t="s">
        <v>218</v>
      </c>
      <c r="F34" s="82" t="e">
        <f ca="1">VLOOKUP($B34&amp;"_"&amp;$E34,OFFSET([2]stages!$A$1,0,0,COUNTA([2]stages!$A:$A),MATCH(F$1,[2]stages!$2:$2,0)-MATCH("temp_stage",[2]stages!$2:$2,0)+1),MATCH(F$1,[2]stages!$2:$2,0)-MATCH("temp_stage",[2]stages!$2:$2,0)+1,FALSE)</f>
        <v>#N/A</v>
      </c>
      <c r="G34" s="82" t="e">
        <f ca="1">VLOOKUP($B34&amp;"_"&amp;$E34,OFFSET([2]stages!$A$1,0,0,COUNTA([2]stages!$A:$A),MATCH(G$1,[2]stages!$2:$2,0)-MATCH("temp_stage",[2]stages!$2:$2,0)+1),MATCH(G$1,[2]stages!$2:$2,0)-MATCH("temp_stage",[2]stages!$2:$2,0)+1,FALSE)</f>
        <v>#N/A</v>
      </c>
      <c r="H34" s="84">
        <v>0</v>
      </c>
      <c r="I34">
        <v>11</v>
      </c>
      <c r="J34" s="83" t="s">
        <v>199</v>
      </c>
      <c r="K34" s="93" t="str">
        <f>VLOOKUP(I34,[7]stage_hints!$A:$C,3,FALSE)</f>
        <v>ランク解放クエスト</v>
      </c>
      <c r="L34" s="94" t="str">
        <f>VLOOKUP(I34,[7]stage_hints!$A:$D,4,FALSE)</f>
        <v>一定ランクに到達すると_x000D_報酬付きのランク開放クエストが現れます</v>
      </c>
      <c r="M34" s="57" t="s">
        <v>214</v>
      </c>
    </row>
    <row r="35" spans="1:13" x14ac:dyDescent="0.15">
      <c r="A35" s="81" t="s">
        <v>202</v>
      </c>
      <c r="B35" s="47">
        <v>65526</v>
      </c>
      <c r="C35" s="82" t="str">
        <f ca="1">VLOOKUP($B35,OFFSET([2]quests!$A$1,0,0,COUNTA([2]quests!$A:$A),MATCH(C$1,[2]quests!$1:$1,0)-MATCH($B$1,[2]quests!$1:$1,0)+1),MATCH(C$1,[2]quests!$1:$1,0)-MATCH($B$1,[2]quests!$1:$1,0)+1,FALSE)</f>
        <v>【LB加藤】検証クエスト</v>
      </c>
      <c r="D35" s="82" t="str">
        <f ca="1">VLOOKUP($B35,OFFSET([2]quests!$A$1,0,0,COUNTA([2]quests!$A:$A),MATCH(D$1,[2]quests!$1:$1,0)-MATCH($B$1,[2]quests!$1:$1,0)+1),MATCH(D$1,[2]quests!$1:$1,0)-MATCH($B$1,[2]quests!$1:$1,0)+1,FALSE)</f>
        <v>検証</v>
      </c>
      <c r="E35" s="86" t="s">
        <v>218</v>
      </c>
      <c r="F35" s="82" t="e">
        <f ca="1">VLOOKUP($B35&amp;"_"&amp;$E35,OFFSET([2]stages!$A$1,0,0,COUNTA([2]stages!$A:$A),MATCH(F$1,[2]stages!$2:$2,0)-MATCH("temp_stage",[2]stages!$2:$2,0)+1),MATCH(F$1,[2]stages!$2:$2,0)-MATCH("temp_stage",[2]stages!$2:$2,0)+1,FALSE)</f>
        <v>#N/A</v>
      </c>
      <c r="G35" s="82" t="e">
        <f ca="1">VLOOKUP($B35&amp;"_"&amp;$E35,OFFSET([2]stages!$A$1,0,0,COUNTA([2]stages!$A:$A),MATCH(G$1,[2]stages!$2:$2,0)-MATCH("temp_stage",[2]stages!$2:$2,0)+1),MATCH(G$1,[2]stages!$2:$2,0)-MATCH("temp_stage",[2]stages!$2:$2,0)+1,FALSE)</f>
        <v>#N/A</v>
      </c>
      <c r="H35" s="84">
        <v>0</v>
      </c>
      <c r="I35">
        <v>12</v>
      </c>
      <c r="J35" s="83" t="s">
        <v>199</v>
      </c>
      <c r="K35" s="93" t="str">
        <f>VLOOKUP(I35,[7]stage_hints!$A:$C,3,FALSE)</f>
        <v>ユニットのお気に入り登録</v>
      </c>
      <c r="L35" s="94" t="str">
        <f>VLOOKUP(I35,[7]stage_hints!$A:$D,4,FALSE)</f>
        <v>大事なユニットを誤って消さないように_x000D_フォルダから「お気に入り登録」しましょう</v>
      </c>
      <c r="M35" s="57" t="s">
        <v>214</v>
      </c>
    </row>
    <row r="36" spans="1:13" x14ac:dyDescent="0.15">
      <c r="A36" s="81" t="s">
        <v>202</v>
      </c>
      <c r="B36" s="47">
        <v>65526</v>
      </c>
      <c r="C36" s="82" t="str">
        <f ca="1">VLOOKUP($B36,OFFSET([2]quests!$A$1,0,0,COUNTA([2]quests!$A:$A),MATCH(C$1,[2]quests!$1:$1,0)-MATCH($B$1,[2]quests!$1:$1,0)+1),MATCH(C$1,[2]quests!$1:$1,0)-MATCH($B$1,[2]quests!$1:$1,0)+1,FALSE)</f>
        <v>【LB加藤】検証クエスト</v>
      </c>
      <c r="D36" s="82" t="str">
        <f ca="1">VLOOKUP($B36,OFFSET([2]quests!$A$1,0,0,COUNTA([2]quests!$A:$A),MATCH(D$1,[2]quests!$1:$1,0)-MATCH($B$1,[2]quests!$1:$1,0)+1),MATCH(D$1,[2]quests!$1:$1,0)-MATCH($B$1,[2]quests!$1:$1,0)+1,FALSE)</f>
        <v>検証</v>
      </c>
      <c r="E36" s="86" t="s">
        <v>218</v>
      </c>
      <c r="F36" s="82" t="e">
        <f ca="1">VLOOKUP($B36&amp;"_"&amp;$E36,OFFSET([2]stages!$A$1,0,0,COUNTA([2]stages!$A:$A),MATCH(F$1,[2]stages!$2:$2,0)-MATCH("temp_stage",[2]stages!$2:$2,0)+1),MATCH(F$1,[2]stages!$2:$2,0)-MATCH("temp_stage",[2]stages!$2:$2,0)+1,FALSE)</f>
        <v>#N/A</v>
      </c>
      <c r="G36" s="82" t="e">
        <f ca="1">VLOOKUP($B36&amp;"_"&amp;$E36,OFFSET([2]stages!$A$1,0,0,COUNTA([2]stages!$A:$A),MATCH(G$1,[2]stages!$2:$2,0)-MATCH("temp_stage",[2]stages!$2:$2,0)+1),MATCH(G$1,[2]stages!$2:$2,0)-MATCH("temp_stage",[2]stages!$2:$2,0)+1,FALSE)</f>
        <v>#N/A</v>
      </c>
      <c r="H36" s="84">
        <v>0</v>
      </c>
      <c r="I36">
        <v>13</v>
      </c>
      <c r="J36" s="83" t="s">
        <v>199</v>
      </c>
      <c r="K36" s="93" t="str">
        <f>VLOOKUP(I36,[7]stage_hints!$A:$C,3,FALSE)</f>
        <v>ユニットの覚醒</v>
      </c>
      <c r="L36" s="94" t="str">
        <f>VLOOKUP(I36,[7]stage_hints!$A:$D,4,FALSE)</f>
        <v>ユニットを覚醒させると_x000D_比べものにならない強さが手に入ります</v>
      </c>
      <c r="M36" s="57" t="s">
        <v>214</v>
      </c>
    </row>
    <row r="37" spans="1:13" x14ac:dyDescent="0.15">
      <c r="A37" s="81" t="s">
        <v>202</v>
      </c>
      <c r="B37" s="47">
        <v>65526</v>
      </c>
      <c r="C37" s="82" t="str">
        <f ca="1">VLOOKUP($B37,OFFSET([2]quests!$A$1,0,0,COUNTA([2]quests!$A:$A),MATCH(C$1,[2]quests!$1:$1,0)-MATCH($B$1,[2]quests!$1:$1,0)+1),MATCH(C$1,[2]quests!$1:$1,0)-MATCH($B$1,[2]quests!$1:$1,0)+1,FALSE)</f>
        <v>【LB加藤】検証クエスト</v>
      </c>
      <c r="D37" s="82" t="str">
        <f ca="1">VLOOKUP($B37,OFFSET([2]quests!$A$1,0,0,COUNTA([2]quests!$A:$A),MATCH(D$1,[2]quests!$1:$1,0)-MATCH($B$1,[2]quests!$1:$1,0)+1),MATCH(D$1,[2]quests!$1:$1,0)-MATCH($B$1,[2]quests!$1:$1,0)+1,FALSE)</f>
        <v>検証</v>
      </c>
      <c r="E37" s="86" t="s">
        <v>218</v>
      </c>
      <c r="F37" s="82" t="e">
        <f ca="1">VLOOKUP($B37&amp;"_"&amp;$E37,OFFSET([2]stages!$A$1,0,0,COUNTA([2]stages!$A:$A),MATCH(F$1,[2]stages!$2:$2,0)-MATCH("temp_stage",[2]stages!$2:$2,0)+1),MATCH(F$1,[2]stages!$2:$2,0)-MATCH("temp_stage",[2]stages!$2:$2,0)+1,FALSE)</f>
        <v>#N/A</v>
      </c>
      <c r="G37" s="82" t="e">
        <f ca="1">VLOOKUP($B37&amp;"_"&amp;$E37,OFFSET([2]stages!$A$1,0,0,COUNTA([2]stages!$A:$A),MATCH(G$1,[2]stages!$2:$2,0)-MATCH("temp_stage",[2]stages!$2:$2,0)+1),MATCH(G$1,[2]stages!$2:$2,0)-MATCH("temp_stage",[2]stages!$2:$2,0)+1,FALSE)</f>
        <v>#N/A</v>
      </c>
      <c r="H37" s="84">
        <v>0</v>
      </c>
      <c r="I37">
        <v>14</v>
      </c>
      <c r="J37" s="83" t="s">
        <v>199</v>
      </c>
      <c r="K37" s="93" t="str">
        <f>VLOOKUP(I37,[7]stage_hints!$A:$C,3,FALSE)</f>
        <v>覚醒するにはレベルを最大に</v>
      </c>
      <c r="L37" s="94" t="str">
        <f>VLOOKUP(I37,[7]stage_hints!$A:$D,4,FALSE)</f>
        <v>覚醒するにはユニットのレベルを_x000D_最大まで上げる必要があります</v>
      </c>
      <c r="M37" s="57" t="s">
        <v>214</v>
      </c>
    </row>
    <row r="38" spans="1:13" x14ac:dyDescent="0.15">
      <c r="A38" s="81" t="s">
        <v>202</v>
      </c>
      <c r="B38" s="47">
        <v>65526</v>
      </c>
      <c r="C38" s="82" t="str">
        <f ca="1">VLOOKUP($B38,OFFSET([2]quests!$A$1,0,0,COUNTA([2]quests!$A:$A),MATCH(C$1,[2]quests!$1:$1,0)-MATCH($B$1,[2]quests!$1:$1,0)+1),MATCH(C$1,[2]quests!$1:$1,0)-MATCH($B$1,[2]quests!$1:$1,0)+1,FALSE)</f>
        <v>【LB加藤】検証クエスト</v>
      </c>
      <c r="D38" s="82" t="str">
        <f ca="1">VLOOKUP($B38,OFFSET([2]quests!$A$1,0,0,COUNTA([2]quests!$A:$A),MATCH(D$1,[2]quests!$1:$1,0)-MATCH($B$1,[2]quests!$1:$1,0)+1),MATCH(D$1,[2]quests!$1:$1,0)-MATCH($B$1,[2]quests!$1:$1,0)+1,FALSE)</f>
        <v>検証</v>
      </c>
      <c r="E38" s="86" t="s">
        <v>218</v>
      </c>
      <c r="F38" s="82" t="e">
        <f ca="1">VLOOKUP($B38&amp;"_"&amp;$E38,OFFSET([2]stages!$A$1,0,0,COUNTA([2]stages!$A:$A),MATCH(F$1,[2]stages!$2:$2,0)-MATCH("temp_stage",[2]stages!$2:$2,0)+1),MATCH(F$1,[2]stages!$2:$2,0)-MATCH("temp_stage",[2]stages!$2:$2,0)+1,FALSE)</f>
        <v>#N/A</v>
      </c>
      <c r="G38" s="82" t="e">
        <f ca="1">VLOOKUP($B38&amp;"_"&amp;$E38,OFFSET([2]stages!$A$1,0,0,COUNTA([2]stages!$A:$A),MATCH(G$1,[2]stages!$2:$2,0)-MATCH("temp_stage",[2]stages!$2:$2,0)+1),MATCH(G$1,[2]stages!$2:$2,0)-MATCH("temp_stage",[2]stages!$2:$2,0)+1,FALSE)</f>
        <v>#N/A</v>
      </c>
      <c r="H38" s="84">
        <v>0</v>
      </c>
      <c r="I38">
        <v>15</v>
      </c>
      <c r="J38" s="83" t="s">
        <v>199</v>
      </c>
      <c r="K38" s="93" t="str">
        <f>VLOOKUP(I38,[7]stage_hints!$A:$C,3,FALSE)</f>
        <v>覚醒素材を獲得</v>
      </c>
      <c r="L38" s="94" t="str">
        <f>VLOOKUP(I38,[7]stage_hints!$A:$D,4,FALSE)</f>
        <v>「曜日クエスト」では_x000D_ユニットの覚醒に必要な素材が手に入ります</v>
      </c>
      <c r="M38" s="57" t="s">
        <v>214</v>
      </c>
    </row>
    <row r="39" spans="1:13" x14ac:dyDescent="0.15">
      <c r="A39" s="81" t="s">
        <v>202</v>
      </c>
      <c r="B39" s="47">
        <v>65526</v>
      </c>
      <c r="C39" s="82" t="str">
        <f ca="1">VLOOKUP($B39,OFFSET([2]quests!$A$1,0,0,COUNTA([2]quests!$A:$A),MATCH(C$1,[2]quests!$1:$1,0)-MATCH($B$1,[2]quests!$1:$1,0)+1),MATCH(C$1,[2]quests!$1:$1,0)-MATCH($B$1,[2]quests!$1:$1,0)+1,FALSE)</f>
        <v>【LB加藤】検証クエスト</v>
      </c>
      <c r="D39" s="82" t="str">
        <f ca="1">VLOOKUP($B39,OFFSET([2]quests!$A$1,0,0,COUNTA([2]quests!$A:$A),MATCH(D$1,[2]quests!$1:$1,0)-MATCH($B$1,[2]quests!$1:$1,0)+1),MATCH(D$1,[2]quests!$1:$1,0)-MATCH($B$1,[2]quests!$1:$1,0)+1,FALSE)</f>
        <v>検証</v>
      </c>
      <c r="E39" s="86" t="s">
        <v>218</v>
      </c>
      <c r="F39" s="82" t="e">
        <f ca="1">VLOOKUP($B39&amp;"_"&amp;$E39,OFFSET([2]stages!$A$1,0,0,COUNTA([2]stages!$A:$A),MATCH(F$1,[2]stages!$2:$2,0)-MATCH("temp_stage",[2]stages!$2:$2,0)+1),MATCH(F$1,[2]stages!$2:$2,0)-MATCH("temp_stage",[2]stages!$2:$2,0)+1,FALSE)</f>
        <v>#N/A</v>
      </c>
      <c r="G39" s="82" t="e">
        <f ca="1">VLOOKUP($B39&amp;"_"&amp;$E39,OFFSET([2]stages!$A$1,0,0,COUNTA([2]stages!$A:$A),MATCH(G$1,[2]stages!$2:$2,0)-MATCH("temp_stage",[2]stages!$2:$2,0)+1),MATCH(G$1,[2]stages!$2:$2,0)-MATCH("temp_stage",[2]stages!$2:$2,0)+1,FALSE)</f>
        <v>#N/A</v>
      </c>
      <c r="H39" s="84">
        <v>0</v>
      </c>
      <c r="I39">
        <v>16</v>
      </c>
      <c r="J39" s="83" t="s">
        <v>199</v>
      </c>
      <c r="K39" s="93" t="str">
        <f>VLOOKUP(I39,[7]stage_hints!$A:$C,3,FALSE)</f>
        <v>マルチプレイのメリット（その1）</v>
      </c>
      <c r="L39" s="94" t="str">
        <f>VLOOKUP(I39,[7]stage_hints!$A:$D,4,FALSE)</f>
        <v>他のプレイヤーとマルチプレイで遊ぶと_x000D_ポリゴンがもらえます（100人まで）</v>
      </c>
      <c r="M39" s="57" t="s">
        <v>214</v>
      </c>
    </row>
    <row r="40" spans="1:13" x14ac:dyDescent="0.15">
      <c r="A40" s="81" t="s">
        <v>202</v>
      </c>
      <c r="B40" s="47">
        <v>65526</v>
      </c>
      <c r="C40" s="82" t="str">
        <f ca="1">VLOOKUP($B40,OFFSET([2]quests!$A$1,0,0,COUNTA([2]quests!$A:$A),MATCH(C$1,[2]quests!$1:$1,0)-MATCH($B$1,[2]quests!$1:$1,0)+1),MATCH(C$1,[2]quests!$1:$1,0)-MATCH($B$1,[2]quests!$1:$1,0)+1,FALSE)</f>
        <v>【LB加藤】検証クエスト</v>
      </c>
      <c r="D40" s="82" t="str">
        <f ca="1">VLOOKUP($B40,OFFSET([2]quests!$A$1,0,0,COUNTA([2]quests!$A:$A),MATCH(D$1,[2]quests!$1:$1,0)-MATCH($B$1,[2]quests!$1:$1,0)+1),MATCH(D$1,[2]quests!$1:$1,0)-MATCH($B$1,[2]quests!$1:$1,0)+1,FALSE)</f>
        <v>検証</v>
      </c>
      <c r="E40" s="86" t="s">
        <v>218</v>
      </c>
      <c r="F40" s="82" t="e">
        <f ca="1">VLOOKUP($B40&amp;"_"&amp;$E40,OFFSET([2]stages!$A$1,0,0,COUNTA([2]stages!$A:$A),MATCH(F$1,[2]stages!$2:$2,0)-MATCH("temp_stage",[2]stages!$2:$2,0)+1),MATCH(F$1,[2]stages!$2:$2,0)-MATCH("temp_stage",[2]stages!$2:$2,0)+1,FALSE)</f>
        <v>#N/A</v>
      </c>
      <c r="G40" s="82" t="e">
        <f ca="1">VLOOKUP($B40&amp;"_"&amp;$E40,OFFSET([2]stages!$A$1,0,0,COUNTA([2]stages!$A:$A),MATCH(G$1,[2]stages!$2:$2,0)-MATCH("temp_stage",[2]stages!$2:$2,0)+1),MATCH(G$1,[2]stages!$2:$2,0)-MATCH("temp_stage",[2]stages!$2:$2,0)+1,FALSE)</f>
        <v>#N/A</v>
      </c>
      <c r="H40" s="84">
        <v>0</v>
      </c>
      <c r="I40">
        <v>17</v>
      </c>
      <c r="J40" s="83" t="s">
        <v>199</v>
      </c>
      <c r="K40" s="93" t="str">
        <f>VLOOKUP(I40,[7]stage_hints!$A:$C,3,FALSE)</f>
        <v>リンクガチャ</v>
      </c>
      <c r="L40" s="94" t="str">
        <f>VLOOKUP(I40,[7]stage_hints!$A:$D,4,FALSE)</f>
        <v>無料のリンクガチャを回して_x000D_経験値素材や売却素材を獲得しましょう</v>
      </c>
      <c r="M40" s="57" t="s">
        <v>214</v>
      </c>
    </row>
    <row r="41" spans="1:13" x14ac:dyDescent="0.15">
      <c r="A41" s="81" t="s">
        <v>202</v>
      </c>
      <c r="B41" s="47">
        <v>65526</v>
      </c>
      <c r="C41" s="82" t="str">
        <f ca="1">VLOOKUP($B41,OFFSET([2]quests!$A$1,0,0,COUNTA([2]quests!$A:$A),MATCH(C$1,[2]quests!$1:$1,0)-MATCH($B$1,[2]quests!$1:$1,0)+1),MATCH(C$1,[2]quests!$1:$1,0)-MATCH($B$1,[2]quests!$1:$1,0)+1,FALSE)</f>
        <v>【LB加藤】検証クエスト</v>
      </c>
      <c r="D41" s="82" t="str">
        <f ca="1">VLOOKUP($B41,OFFSET([2]quests!$A$1,0,0,COUNTA([2]quests!$A:$A),MATCH(D$1,[2]quests!$1:$1,0)-MATCH($B$1,[2]quests!$1:$1,0)+1),MATCH(D$1,[2]quests!$1:$1,0)-MATCH($B$1,[2]quests!$1:$1,0)+1,FALSE)</f>
        <v>検証</v>
      </c>
      <c r="E41" s="86" t="s">
        <v>218</v>
      </c>
      <c r="F41" s="82" t="e">
        <f ca="1">VLOOKUP($B41&amp;"_"&amp;$E41,OFFSET([2]stages!$A$1,0,0,COUNTA([2]stages!$A:$A),MATCH(F$1,[2]stages!$2:$2,0)-MATCH("temp_stage",[2]stages!$2:$2,0)+1),MATCH(F$1,[2]stages!$2:$2,0)-MATCH("temp_stage",[2]stages!$2:$2,0)+1,FALSE)</f>
        <v>#N/A</v>
      </c>
      <c r="G41" s="82" t="e">
        <f ca="1">VLOOKUP($B41&amp;"_"&amp;$E41,OFFSET([2]stages!$A$1,0,0,COUNTA([2]stages!$A:$A),MATCH(G$1,[2]stages!$2:$2,0)-MATCH("temp_stage",[2]stages!$2:$2,0)+1),MATCH(G$1,[2]stages!$2:$2,0)-MATCH("temp_stage",[2]stages!$2:$2,0)+1,FALSE)</f>
        <v>#N/A</v>
      </c>
      <c r="H41" s="84">
        <v>0</v>
      </c>
      <c r="I41">
        <v>18</v>
      </c>
      <c r="J41" s="83" t="s">
        <v>199</v>
      </c>
      <c r="K41" s="93" t="str">
        <f>VLOOKUP(I41,[7]stage_hints!$A:$C,3,FALSE)</f>
        <v>マルチプレイのメリット（その2）</v>
      </c>
      <c r="L41" s="94" t="str">
        <f>VLOOKUP(I41,[7]stage_hints!$A:$D,4,FALSE)</f>
        <v>マルチプレイならリンクが2倍もらえます_x000D_リンクガチャをたくさん回しましょう</v>
      </c>
      <c r="M41" s="57" t="s">
        <v>214</v>
      </c>
    </row>
    <row r="42" spans="1:13" x14ac:dyDescent="0.15">
      <c r="A42" s="81" t="s">
        <v>202</v>
      </c>
      <c r="B42" s="47">
        <v>65526</v>
      </c>
      <c r="C42" s="82" t="str">
        <f ca="1">VLOOKUP($B42,OFFSET([2]quests!$A$1,0,0,COUNTA([2]quests!$A:$A),MATCH(C$1,[2]quests!$1:$1,0)-MATCH($B$1,[2]quests!$1:$1,0)+1),MATCH(C$1,[2]quests!$1:$1,0)-MATCH($B$1,[2]quests!$1:$1,0)+1,FALSE)</f>
        <v>【LB加藤】検証クエスト</v>
      </c>
      <c r="D42" s="82" t="str">
        <f ca="1">VLOOKUP($B42,OFFSET([2]quests!$A$1,0,0,COUNTA([2]quests!$A:$A),MATCH(D$1,[2]quests!$1:$1,0)-MATCH($B$1,[2]quests!$1:$1,0)+1),MATCH(D$1,[2]quests!$1:$1,0)-MATCH($B$1,[2]quests!$1:$1,0)+1,FALSE)</f>
        <v>検証</v>
      </c>
      <c r="E42" s="86" t="s">
        <v>218</v>
      </c>
      <c r="F42" s="82" t="e">
        <f ca="1">VLOOKUP($B42&amp;"_"&amp;$E42,OFFSET([2]stages!$A$1,0,0,COUNTA([2]stages!$A:$A),MATCH(F$1,[2]stages!$2:$2,0)-MATCH("temp_stage",[2]stages!$2:$2,0)+1),MATCH(F$1,[2]stages!$2:$2,0)-MATCH("temp_stage",[2]stages!$2:$2,0)+1,FALSE)</f>
        <v>#N/A</v>
      </c>
      <c r="G42" s="82" t="e">
        <f ca="1">VLOOKUP($B42&amp;"_"&amp;$E42,OFFSET([2]stages!$A$1,0,0,COUNTA([2]stages!$A:$A),MATCH(G$1,[2]stages!$2:$2,0)-MATCH("temp_stage",[2]stages!$2:$2,0)+1),MATCH(G$1,[2]stages!$2:$2,0)-MATCH("temp_stage",[2]stages!$2:$2,0)+1,FALSE)</f>
        <v>#N/A</v>
      </c>
      <c r="H42" s="84">
        <v>0</v>
      </c>
      <c r="I42">
        <v>19</v>
      </c>
      <c r="J42" s="83" t="s">
        <v>199</v>
      </c>
      <c r="K42" s="93" t="str">
        <f>VLOOKUP(I42,[7]stage_hints!$A:$C,3,FALSE)</f>
        <v>ソロ専用チャレンジタワー</v>
      </c>
      <c r="L42" s="94" t="str">
        <f>VLOOKUP(I42,[7]stage_hints!$A:$D,4,FALSE)</f>
        <v>ソロ専用の「チャレンジタワー」では_x000D_各フロアごとにクリア報酬がもらえます</v>
      </c>
      <c r="M42" s="57" t="s">
        <v>214</v>
      </c>
    </row>
    <row r="43" spans="1:13" x14ac:dyDescent="0.15">
      <c r="A43" s="81" t="s">
        <v>202</v>
      </c>
      <c r="B43" s="47">
        <v>65526</v>
      </c>
      <c r="C43" s="82" t="str">
        <f ca="1">VLOOKUP($B43,OFFSET([2]quests!$A$1,0,0,COUNTA([2]quests!$A:$A),MATCH(C$1,[2]quests!$1:$1,0)-MATCH($B$1,[2]quests!$1:$1,0)+1),MATCH(C$1,[2]quests!$1:$1,0)-MATCH($B$1,[2]quests!$1:$1,0)+1,FALSE)</f>
        <v>【LB加藤】検証クエスト</v>
      </c>
      <c r="D43" s="82" t="str">
        <f ca="1">VLOOKUP($B43,OFFSET([2]quests!$A$1,0,0,COUNTA([2]quests!$A:$A),MATCH(D$1,[2]quests!$1:$1,0)-MATCH($B$1,[2]quests!$1:$1,0)+1),MATCH(D$1,[2]quests!$1:$1,0)-MATCH($B$1,[2]quests!$1:$1,0)+1,FALSE)</f>
        <v>検証</v>
      </c>
      <c r="E43" s="86" t="s">
        <v>218</v>
      </c>
      <c r="F43" s="82" t="e">
        <f ca="1">VLOOKUP($B43&amp;"_"&amp;$E43,OFFSET([2]stages!$A$1,0,0,COUNTA([2]stages!$A:$A),MATCH(F$1,[2]stages!$2:$2,0)-MATCH("temp_stage",[2]stages!$2:$2,0)+1),MATCH(F$1,[2]stages!$2:$2,0)-MATCH("temp_stage",[2]stages!$2:$2,0)+1,FALSE)</f>
        <v>#N/A</v>
      </c>
      <c r="G43" s="82" t="e">
        <f ca="1">VLOOKUP($B43&amp;"_"&amp;$E43,OFFSET([2]stages!$A$1,0,0,COUNTA([2]stages!$A:$A),MATCH(G$1,[2]stages!$2:$2,0)-MATCH("temp_stage",[2]stages!$2:$2,0)+1),MATCH(G$1,[2]stages!$2:$2,0)-MATCH("temp_stage",[2]stages!$2:$2,0)+1,FALSE)</f>
        <v>#N/A</v>
      </c>
      <c r="H43" s="84">
        <v>0</v>
      </c>
      <c r="I43">
        <v>20</v>
      </c>
      <c r="J43" s="83" t="s">
        <v>199</v>
      </c>
      <c r="K43" s="93" t="str">
        <f>VLOOKUP(I43,[7]stage_hints!$A:$C,3,FALSE)</f>
        <v>マルチプレイのメリット（その3）</v>
      </c>
      <c r="L43" s="94" t="str">
        <f>VLOOKUP(I43,[7]stage_hints!$A:$D,4,FALSE)</f>
        <v>マルチプレイへの参加はエナジー消費ゼロ_x000D_いつでも好きなだけ遊ぶことができます</v>
      </c>
      <c r="M43" s="57" t="s">
        <v>214</v>
      </c>
    </row>
    <row r="44" spans="1:13" x14ac:dyDescent="0.15">
      <c r="A44" s="81" t="s">
        <v>202</v>
      </c>
      <c r="B44" s="47">
        <v>65526</v>
      </c>
      <c r="C44" s="82" t="str">
        <f ca="1">VLOOKUP($B44,OFFSET([2]quests!$A$1,0,0,COUNTA([2]quests!$A:$A),MATCH(C$1,[2]quests!$1:$1,0)-MATCH($B$1,[2]quests!$1:$1,0)+1),MATCH(C$1,[2]quests!$1:$1,0)-MATCH($B$1,[2]quests!$1:$1,0)+1,FALSE)</f>
        <v>【LB加藤】検証クエスト</v>
      </c>
      <c r="D44" s="82" t="str">
        <f ca="1">VLOOKUP($B44,OFFSET([2]quests!$A$1,0,0,COUNTA([2]quests!$A:$A),MATCH(D$1,[2]quests!$1:$1,0)-MATCH($B$1,[2]quests!$1:$1,0)+1),MATCH(D$1,[2]quests!$1:$1,0)-MATCH($B$1,[2]quests!$1:$1,0)+1,FALSE)</f>
        <v>検証</v>
      </c>
      <c r="E44" s="86" t="s">
        <v>218</v>
      </c>
      <c r="F44" s="82" t="e">
        <f ca="1">VLOOKUP($B44&amp;"_"&amp;$E44,OFFSET([2]stages!$A$1,0,0,COUNTA([2]stages!$A:$A),MATCH(F$1,[2]stages!$2:$2,0)-MATCH("temp_stage",[2]stages!$2:$2,0)+1),MATCH(F$1,[2]stages!$2:$2,0)-MATCH("temp_stage",[2]stages!$2:$2,0)+1,FALSE)</f>
        <v>#N/A</v>
      </c>
      <c r="G44" s="82" t="e">
        <f ca="1">VLOOKUP($B44&amp;"_"&amp;$E44,OFFSET([2]stages!$A$1,0,0,COUNTA([2]stages!$A:$A),MATCH(G$1,[2]stages!$2:$2,0)-MATCH("temp_stage",[2]stages!$2:$2,0)+1),MATCH(G$1,[2]stages!$2:$2,0)-MATCH("temp_stage",[2]stages!$2:$2,0)+1,FALSE)</f>
        <v>#N/A</v>
      </c>
      <c r="H44" s="84">
        <v>0</v>
      </c>
      <c r="I44">
        <v>21</v>
      </c>
      <c r="J44" s="83" t="s">
        <v>199</v>
      </c>
      <c r="K44" s="93" t="str">
        <f>VLOOKUP(I44,[7]stage_hints!$A:$C,3,FALSE)</f>
        <v>スキルを有効に</v>
      </c>
      <c r="L44" s="94" t="str">
        <f>VLOOKUP(I44,[7]stage_hints!$A:$D,4,FALSE)</f>
        <v>ターン経過でユニットのスキルが使えます_x000D_強力スキルでバトルを有利に進めましょう</v>
      </c>
      <c r="M44" s="57" t="s">
        <v>214</v>
      </c>
    </row>
    <row r="45" spans="1:13" x14ac:dyDescent="0.15">
      <c r="A45" s="81" t="s">
        <v>202</v>
      </c>
      <c r="B45" s="47">
        <v>65526</v>
      </c>
      <c r="C45" s="82" t="str">
        <f ca="1">VLOOKUP($B45,OFFSET([2]quests!$A$1,0,0,COUNTA([2]quests!$A:$A),MATCH(C$1,[2]quests!$1:$1,0)-MATCH($B$1,[2]quests!$1:$1,0)+1),MATCH(C$1,[2]quests!$1:$1,0)-MATCH($B$1,[2]quests!$1:$1,0)+1,FALSE)</f>
        <v>【LB加藤】検証クエスト</v>
      </c>
      <c r="D45" s="82" t="str">
        <f ca="1">VLOOKUP($B45,OFFSET([2]quests!$A$1,0,0,COUNTA([2]quests!$A:$A),MATCH(D$1,[2]quests!$1:$1,0)-MATCH($B$1,[2]quests!$1:$1,0)+1),MATCH(D$1,[2]quests!$1:$1,0)-MATCH($B$1,[2]quests!$1:$1,0)+1,FALSE)</f>
        <v>検証</v>
      </c>
      <c r="E45" s="86" t="s">
        <v>218</v>
      </c>
      <c r="F45" s="82" t="e">
        <f ca="1">VLOOKUP($B45&amp;"_"&amp;$E45,OFFSET([2]stages!$A$1,0,0,COUNTA([2]stages!$A:$A),MATCH(F$1,[2]stages!$2:$2,0)-MATCH("temp_stage",[2]stages!$2:$2,0)+1),MATCH(F$1,[2]stages!$2:$2,0)-MATCH("temp_stage",[2]stages!$2:$2,0)+1,FALSE)</f>
        <v>#N/A</v>
      </c>
      <c r="G45" s="82" t="e">
        <f ca="1">VLOOKUP($B45&amp;"_"&amp;$E45,OFFSET([2]stages!$A$1,0,0,COUNTA([2]stages!$A:$A),MATCH(G$1,[2]stages!$2:$2,0)-MATCH("temp_stage",[2]stages!$2:$2,0)+1),MATCH(G$1,[2]stages!$2:$2,0)-MATCH("temp_stage",[2]stages!$2:$2,0)+1,FALSE)</f>
        <v>#N/A</v>
      </c>
      <c r="H45" s="84">
        <v>0</v>
      </c>
      <c r="I45">
        <v>22</v>
      </c>
      <c r="J45" s="83" t="s">
        <v>199</v>
      </c>
      <c r="K45" s="93" t="str">
        <f>VLOOKUP(I45,[7]stage_hints!$A:$C,3,FALSE)</f>
        <v>フィーバーで一発逆転（その1）</v>
      </c>
      <c r="L45" s="94" t="str">
        <f>VLOOKUP(I45,[7]stage_hints!$A:$D,4,FALSE)</f>
        <v>フィーバーは攻撃と回復を兼ね備えます_x000D_ピンチからの一発逆転を狙いましょう</v>
      </c>
      <c r="M45" s="57" t="s">
        <v>214</v>
      </c>
    </row>
    <row r="46" spans="1:13" x14ac:dyDescent="0.15">
      <c r="A46" s="81" t="s">
        <v>202</v>
      </c>
      <c r="B46" s="47">
        <v>65526</v>
      </c>
      <c r="C46" s="82" t="str">
        <f ca="1">VLOOKUP($B46,OFFSET([2]quests!$A$1,0,0,COUNTA([2]quests!$A:$A),MATCH(C$1,[2]quests!$1:$1,0)-MATCH($B$1,[2]quests!$1:$1,0)+1),MATCH(C$1,[2]quests!$1:$1,0)-MATCH($B$1,[2]quests!$1:$1,0)+1,FALSE)</f>
        <v>【LB加藤】検証クエスト</v>
      </c>
      <c r="D46" s="82" t="str">
        <f ca="1">VLOOKUP($B46,OFFSET([2]quests!$A$1,0,0,COUNTA([2]quests!$A:$A),MATCH(D$1,[2]quests!$1:$1,0)-MATCH($B$1,[2]quests!$1:$1,0)+1),MATCH(D$1,[2]quests!$1:$1,0)-MATCH($B$1,[2]quests!$1:$1,0)+1,FALSE)</f>
        <v>検証</v>
      </c>
      <c r="E46" s="86" t="s">
        <v>218</v>
      </c>
      <c r="F46" s="82" t="e">
        <f ca="1">VLOOKUP($B46&amp;"_"&amp;$E46,OFFSET([2]stages!$A$1,0,0,COUNTA([2]stages!$A:$A),MATCH(F$1,[2]stages!$2:$2,0)-MATCH("temp_stage",[2]stages!$2:$2,0)+1),MATCH(F$1,[2]stages!$2:$2,0)-MATCH("temp_stage",[2]stages!$2:$2,0)+1,FALSE)</f>
        <v>#N/A</v>
      </c>
      <c r="G46" s="82" t="e">
        <f ca="1">VLOOKUP($B46&amp;"_"&amp;$E46,OFFSET([2]stages!$A$1,0,0,COUNTA([2]stages!$A:$A),MATCH(G$1,[2]stages!$2:$2,0)-MATCH("temp_stage",[2]stages!$2:$2,0)+1),MATCH(G$1,[2]stages!$2:$2,0)-MATCH("temp_stage",[2]stages!$2:$2,0)+1,FALSE)</f>
        <v>#N/A</v>
      </c>
      <c r="H46" s="84">
        <v>0</v>
      </c>
      <c r="I46">
        <v>23</v>
      </c>
      <c r="J46" s="83" t="s">
        <v>199</v>
      </c>
      <c r="K46" s="93" t="str">
        <f>VLOOKUP(I46,[7]stage_hints!$A:$C,3,FALSE)</f>
        <v>フィーバーで一発逆転（その2）</v>
      </c>
      <c r="L46" s="94" t="str">
        <f>VLOOKUP(I46,[7]stage_hints!$A:$D,4,FALSE)</f>
        <v>フィーバー中は虹色のボムパネルを狙って_x000D_画面上のパネルを一気に破壊しましょう</v>
      </c>
      <c r="M46" s="57" t="s">
        <v>214</v>
      </c>
    </row>
    <row r="47" spans="1:13" x14ac:dyDescent="0.15">
      <c r="A47" s="81" t="s">
        <v>202</v>
      </c>
      <c r="B47" s="47">
        <v>65526</v>
      </c>
      <c r="C47" s="82" t="str">
        <f ca="1">VLOOKUP($B47,OFFSET([2]quests!$A$1,0,0,COUNTA([2]quests!$A:$A),MATCH(C$1,[2]quests!$1:$1,0)-MATCH($B$1,[2]quests!$1:$1,0)+1),MATCH(C$1,[2]quests!$1:$1,0)-MATCH($B$1,[2]quests!$1:$1,0)+1,FALSE)</f>
        <v>【LB加藤】検証クエスト</v>
      </c>
      <c r="D47" s="82" t="str">
        <f ca="1">VLOOKUP($B47,OFFSET([2]quests!$A$1,0,0,COUNTA([2]quests!$A:$A),MATCH(D$1,[2]quests!$1:$1,0)-MATCH($B$1,[2]quests!$1:$1,0)+1),MATCH(D$1,[2]quests!$1:$1,0)-MATCH($B$1,[2]quests!$1:$1,0)+1,FALSE)</f>
        <v>検証</v>
      </c>
      <c r="E47" s="86" t="s">
        <v>218</v>
      </c>
      <c r="F47" s="82" t="e">
        <f ca="1">VLOOKUP($B47&amp;"_"&amp;$E47,OFFSET([2]stages!$A$1,0,0,COUNTA([2]stages!$A:$A),MATCH(F$1,[2]stages!$2:$2,0)-MATCH("temp_stage",[2]stages!$2:$2,0)+1),MATCH(F$1,[2]stages!$2:$2,0)-MATCH("temp_stage",[2]stages!$2:$2,0)+1,FALSE)</f>
        <v>#N/A</v>
      </c>
      <c r="G47" s="82" t="e">
        <f ca="1">VLOOKUP($B47&amp;"_"&amp;$E47,OFFSET([2]stages!$A$1,0,0,COUNTA([2]stages!$A:$A),MATCH(G$1,[2]stages!$2:$2,0)-MATCH("temp_stage",[2]stages!$2:$2,0)+1),MATCH(G$1,[2]stages!$2:$2,0)-MATCH("temp_stage",[2]stages!$2:$2,0)+1,FALSE)</f>
        <v>#N/A</v>
      </c>
      <c r="H47" s="84">
        <v>0</v>
      </c>
      <c r="I47">
        <v>24</v>
      </c>
      <c r="J47" s="83" t="s">
        <v>199</v>
      </c>
      <c r="K47" s="93" t="str">
        <f>VLOOKUP(I47,[7]stage_hints!$A:$C,3,FALSE)</f>
        <v>りんごを使って限界突破</v>
      </c>
      <c r="L47" s="94" t="str">
        <f>VLOOKUP(I47,[7]stage_hints!$A:$D,4,FALSE)</f>
        <v>赤りんご(攻撃力) 青りんご(回復力)_x000D_緑りんご(体力)をユニット強化に使うと_x000D_ステータスが限界突破します（計99個迄）</v>
      </c>
      <c r="M47" s="57" t="s">
        <v>214</v>
      </c>
    </row>
    <row r="48" spans="1:13" x14ac:dyDescent="0.15">
      <c r="A48" s="81" t="s">
        <v>202</v>
      </c>
      <c r="B48" s="47">
        <v>65526</v>
      </c>
      <c r="C48" s="82" t="str">
        <f ca="1">VLOOKUP($B48,OFFSET([2]quests!$A$1,0,0,COUNTA([2]quests!$A:$A),MATCH(C$1,[2]quests!$1:$1,0)-MATCH($B$1,[2]quests!$1:$1,0)+1),MATCH(C$1,[2]quests!$1:$1,0)-MATCH($B$1,[2]quests!$1:$1,0)+1,FALSE)</f>
        <v>【LB加藤】検証クエスト</v>
      </c>
      <c r="D48" s="82" t="str">
        <f ca="1">VLOOKUP($B48,OFFSET([2]quests!$A$1,0,0,COUNTA([2]quests!$A:$A),MATCH(D$1,[2]quests!$1:$1,0)-MATCH($B$1,[2]quests!$1:$1,0)+1),MATCH(D$1,[2]quests!$1:$1,0)-MATCH($B$1,[2]quests!$1:$1,0)+1,FALSE)</f>
        <v>検証</v>
      </c>
      <c r="E48" s="86" t="s">
        <v>218</v>
      </c>
      <c r="F48" s="82" t="e">
        <f ca="1">VLOOKUP($B48&amp;"_"&amp;$E48,OFFSET([2]stages!$A$1,0,0,COUNTA([2]stages!$A:$A),MATCH(F$1,[2]stages!$2:$2,0)-MATCH("temp_stage",[2]stages!$2:$2,0)+1),MATCH(F$1,[2]stages!$2:$2,0)-MATCH("temp_stage",[2]stages!$2:$2,0)+1,FALSE)</f>
        <v>#N/A</v>
      </c>
      <c r="G48" s="82" t="e">
        <f ca="1">VLOOKUP($B48&amp;"_"&amp;$E48,OFFSET([2]stages!$A$1,0,0,COUNTA([2]stages!$A:$A),MATCH(G$1,[2]stages!$2:$2,0)-MATCH("temp_stage",[2]stages!$2:$2,0)+1),MATCH(G$1,[2]stages!$2:$2,0)-MATCH("temp_stage",[2]stages!$2:$2,0)+1,FALSE)</f>
        <v>#N/A</v>
      </c>
      <c r="H48" s="84">
        <v>0</v>
      </c>
      <c r="I48">
        <v>25</v>
      </c>
      <c r="J48" s="83" t="s">
        <v>199</v>
      </c>
      <c r="K48" s="93" t="str">
        <f>VLOOKUP(I48,[7]stage_hints!$A:$C,3,FALSE)</f>
        <v>スキルレベルアップ</v>
      </c>
      <c r="L48" s="94" t="str">
        <f>VLOOKUP(I48,[7]stage_hints!$A:$D,4,FALSE)</f>
        <v>「クリスタルのりんご」を強化に使うと_x000D_スキルレベルを上げることができます</v>
      </c>
      <c r="M48" s="57" t="s">
        <v>214</v>
      </c>
    </row>
    <row r="49" spans="1:13" x14ac:dyDescent="0.15">
      <c r="A49" s="81" t="s">
        <v>202</v>
      </c>
      <c r="B49" s="47">
        <v>65526</v>
      </c>
      <c r="C49" s="82" t="str">
        <f ca="1">VLOOKUP($B49,OFFSET([2]quests!$A$1,0,0,COUNTA([2]quests!$A:$A),MATCH(C$1,[2]quests!$1:$1,0)-MATCH($B$1,[2]quests!$1:$1,0)+1),MATCH(C$1,[2]quests!$1:$1,0)-MATCH($B$1,[2]quests!$1:$1,0)+1,FALSE)</f>
        <v>【LB加藤】検証クエスト</v>
      </c>
      <c r="D49" s="82" t="str">
        <f ca="1">VLOOKUP($B49,OFFSET([2]quests!$A$1,0,0,COUNTA([2]quests!$A:$A),MATCH(D$1,[2]quests!$1:$1,0)-MATCH($B$1,[2]quests!$1:$1,0)+1),MATCH(D$1,[2]quests!$1:$1,0)-MATCH($B$1,[2]quests!$1:$1,0)+1,FALSE)</f>
        <v>検証</v>
      </c>
      <c r="E49" s="86" t="s">
        <v>218</v>
      </c>
      <c r="F49" s="82" t="e">
        <f ca="1">VLOOKUP($B49&amp;"_"&amp;$E49,OFFSET([2]stages!$A$1,0,0,COUNTA([2]stages!$A:$A),MATCH(F$1,[2]stages!$2:$2,0)-MATCH("temp_stage",[2]stages!$2:$2,0)+1),MATCH(F$1,[2]stages!$2:$2,0)-MATCH("temp_stage",[2]stages!$2:$2,0)+1,FALSE)</f>
        <v>#N/A</v>
      </c>
      <c r="G49" s="82" t="e">
        <f ca="1">VLOOKUP($B49&amp;"_"&amp;$E49,OFFSET([2]stages!$A$1,0,0,COUNTA([2]stages!$A:$A),MATCH(G$1,[2]stages!$2:$2,0)-MATCH("temp_stage",[2]stages!$2:$2,0)+1),MATCH(G$1,[2]stages!$2:$2,0)-MATCH("temp_stage",[2]stages!$2:$2,0)+1,FALSE)</f>
        <v>#N/A</v>
      </c>
      <c r="H49" s="84">
        <v>0</v>
      </c>
      <c r="I49">
        <v>26</v>
      </c>
      <c r="J49" s="83" t="s">
        <v>199</v>
      </c>
      <c r="K49" s="93" t="str">
        <f>VLOOKUP(I49,[7]stage_hints!$A:$C,3,FALSE)</f>
        <v>スキルレベルの効果</v>
      </c>
      <c r="L49" s="94" t="str">
        <f>VLOOKUP(I49,[7]stage_hints!$A:$D,4,FALSE)</f>
        <v>スキルレベルが上がると_x000D_短いターンでスキルを使うことができます</v>
      </c>
      <c r="M49" s="57" t="s">
        <v>214</v>
      </c>
    </row>
    <row r="50" spans="1:13" x14ac:dyDescent="0.15">
      <c r="A50" s="81" t="s">
        <v>202</v>
      </c>
      <c r="B50" s="47">
        <v>65526</v>
      </c>
      <c r="C50" s="82" t="str">
        <f ca="1">VLOOKUP($B50,OFFSET([2]quests!$A$1,0,0,COUNTA([2]quests!$A:$A),MATCH(C$1,[2]quests!$1:$1,0)-MATCH($B$1,[2]quests!$1:$1,0)+1),MATCH(C$1,[2]quests!$1:$1,0)-MATCH($B$1,[2]quests!$1:$1,0)+1,FALSE)</f>
        <v>【LB加藤】検証クエスト</v>
      </c>
      <c r="D50" s="82" t="str">
        <f ca="1">VLOOKUP($B50,OFFSET([2]quests!$A$1,0,0,COUNTA([2]quests!$A:$A),MATCH(D$1,[2]quests!$1:$1,0)-MATCH($B$1,[2]quests!$1:$1,0)+1),MATCH(D$1,[2]quests!$1:$1,0)-MATCH($B$1,[2]quests!$1:$1,0)+1,FALSE)</f>
        <v>検証</v>
      </c>
      <c r="E50" s="86" t="s">
        <v>218</v>
      </c>
      <c r="F50" s="82" t="e">
        <f ca="1">VLOOKUP($B50&amp;"_"&amp;$E50,OFFSET([2]stages!$A$1,0,0,COUNTA([2]stages!$A:$A),MATCH(F$1,[2]stages!$2:$2,0)-MATCH("temp_stage",[2]stages!$2:$2,0)+1),MATCH(F$1,[2]stages!$2:$2,0)-MATCH("temp_stage",[2]stages!$2:$2,0)+1,FALSE)</f>
        <v>#N/A</v>
      </c>
      <c r="G50" s="82" t="e">
        <f ca="1">VLOOKUP($B50&amp;"_"&amp;$E50,OFFSET([2]stages!$A$1,0,0,COUNTA([2]stages!$A:$A),MATCH(G$1,[2]stages!$2:$2,0)-MATCH("temp_stage",[2]stages!$2:$2,0)+1),MATCH(G$1,[2]stages!$2:$2,0)-MATCH("temp_stage",[2]stages!$2:$2,0)+1,FALSE)</f>
        <v>#N/A</v>
      </c>
      <c r="H50" s="84">
        <v>0</v>
      </c>
      <c r="I50">
        <v>27</v>
      </c>
      <c r="J50" s="83" t="s">
        <v>199</v>
      </c>
      <c r="K50" s="93" t="str">
        <f>VLOOKUP(I50,[7]stage_hints!$A:$C,3,FALSE)</f>
        <v>ホーム画面からデッキを編成</v>
      </c>
      <c r="L50" s="94" t="str">
        <f>VLOOKUP(I50,[7]stage_hints!$A:$D,4,FALSE)</f>
        <v>ホーム画面でユニットを長押しすると_x000D_すぐにパーティ編成に移動できます</v>
      </c>
      <c r="M50" s="57" t="s">
        <v>214</v>
      </c>
    </row>
    <row r="51" spans="1:13" x14ac:dyDescent="0.15">
      <c r="A51" s="81" t="s">
        <v>202</v>
      </c>
      <c r="B51" s="47">
        <v>65526</v>
      </c>
      <c r="C51" s="82" t="str">
        <f ca="1">VLOOKUP($B51,OFFSET([2]quests!$A$1,0,0,COUNTA([2]quests!$A:$A),MATCH(C$1,[2]quests!$1:$1,0)-MATCH($B$1,[2]quests!$1:$1,0)+1),MATCH(C$1,[2]quests!$1:$1,0)-MATCH($B$1,[2]quests!$1:$1,0)+1,FALSE)</f>
        <v>【LB加藤】検証クエスト</v>
      </c>
      <c r="D51" s="82" t="str">
        <f ca="1">VLOOKUP($B51,OFFSET([2]quests!$A$1,0,0,COUNTA([2]quests!$A:$A),MATCH(D$1,[2]quests!$1:$1,0)-MATCH($B$1,[2]quests!$1:$1,0)+1),MATCH(D$1,[2]quests!$1:$1,0)-MATCH($B$1,[2]quests!$1:$1,0)+1,FALSE)</f>
        <v>検証</v>
      </c>
      <c r="E51" s="86" t="s">
        <v>218</v>
      </c>
      <c r="F51" s="82" t="e">
        <f ca="1">VLOOKUP($B51&amp;"_"&amp;$E51,OFFSET([2]stages!$A$1,0,0,COUNTA([2]stages!$A:$A),MATCH(F$1,[2]stages!$2:$2,0)-MATCH("temp_stage",[2]stages!$2:$2,0)+1),MATCH(F$1,[2]stages!$2:$2,0)-MATCH("temp_stage",[2]stages!$2:$2,0)+1,FALSE)</f>
        <v>#N/A</v>
      </c>
      <c r="G51" s="82" t="e">
        <f ca="1">VLOOKUP($B51&amp;"_"&amp;$E51,OFFSET([2]stages!$A$1,0,0,COUNTA([2]stages!$A:$A),MATCH(G$1,[2]stages!$2:$2,0)-MATCH("temp_stage",[2]stages!$2:$2,0)+1),MATCH(G$1,[2]stages!$2:$2,0)-MATCH("temp_stage",[2]stages!$2:$2,0)+1,FALSE)</f>
        <v>#N/A</v>
      </c>
      <c r="H51" s="84">
        <v>0</v>
      </c>
      <c r="I51">
        <v>28</v>
      </c>
      <c r="J51" s="83" t="s">
        <v>199</v>
      </c>
      <c r="K51" s="93" t="str">
        <f>VLOOKUP(I51,[7]stage_hints!$A:$C,3,FALSE)</f>
        <v>ステータス情報は長押しで</v>
      </c>
      <c r="L51" s="94" t="str">
        <f>VLOOKUP(I51,[7]stage_hints!$A:$D,4,FALSE)</f>
        <v>ユニットのアイコンを長押しすると_x000D_ステータス情報を確認することができます</v>
      </c>
      <c r="M51" s="57" t="s">
        <v>214</v>
      </c>
    </row>
    <row r="52" spans="1:13" x14ac:dyDescent="0.15">
      <c r="A52" s="81" t="s">
        <v>202</v>
      </c>
      <c r="B52" s="47">
        <v>65526</v>
      </c>
      <c r="C52" s="82" t="str">
        <f ca="1">VLOOKUP($B52,OFFSET([2]quests!$A$1,0,0,COUNTA([2]quests!$A:$A),MATCH(C$1,[2]quests!$1:$1,0)-MATCH($B$1,[2]quests!$1:$1,0)+1),MATCH(C$1,[2]quests!$1:$1,0)-MATCH($B$1,[2]quests!$1:$1,0)+1,FALSE)</f>
        <v>【LB加藤】検証クエスト</v>
      </c>
      <c r="D52" s="82" t="str">
        <f ca="1">VLOOKUP($B52,OFFSET([2]quests!$A$1,0,0,COUNTA([2]quests!$A:$A),MATCH(D$1,[2]quests!$1:$1,0)-MATCH($B$1,[2]quests!$1:$1,0)+1),MATCH(D$1,[2]quests!$1:$1,0)-MATCH($B$1,[2]quests!$1:$1,0)+1,FALSE)</f>
        <v>検証</v>
      </c>
      <c r="E52" s="86" t="s">
        <v>218</v>
      </c>
      <c r="F52" s="82" t="e">
        <f ca="1">VLOOKUP($B52&amp;"_"&amp;$E52,OFFSET([2]stages!$A$1,0,0,COUNTA([2]stages!$A:$A),MATCH(F$1,[2]stages!$2:$2,0)-MATCH("temp_stage",[2]stages!$2:$2,0)+1),MATCH(F$1,[2]stages!$2:$2,0)-MATCH("temp_stage",[2]stages!$2:$2,0)+1,FALSE)</f>
        <v>#N/A</v>
      </c>
      <c r="G52" s="82" t="e">
        <f ca="1">VLOOKUP($B52&amp;"_"&amp;$E52,OFFSET([2]stages!$A$1,0,0,COUNTA([2]stages!$A:$A),MATCH(G$1,[2]stages!$2:$2,0)-MATCH("temp_stage",[2]stages!$2:$2,0)+1),MATCH(G$1,[2]stages!$2:$2,0)-MATCH("temp_stage",[2]stages!$2:$2,0)+1,FALSE)</f>
        <v>#N/A</v>
      </c>
      <c r="H52" s="84">
        <v>0</v>
      </c>
      <c r="I52">
        <v>29</v>
      </c>
      <c r="J52" s="83" t="s">
        <v>199</v>
      </c>
      <c r="K52" s="93" t="str">
        <f>VLOOKUP(I52,[7]stage_hints!$A:$C,3,FALSE)</f>
        <v>「バグ」のメリット</v>
      </c>
      <c r="L52" s="94" t="str">
        <f>VLOOKUP(I52,[7]stage_hints!$A:$D,4,FALSE)</f>
        <v>ユニットの「バグ」を増やすと_x000D_報酬をもらえる確率がアップします</v>
      </c>
      <c r="M52" s="57" t="s">
        <v>214</v>
      </c>
    </row>
    <row r="53" spans="1:13" x14ac:dyDescent="0.15">
      <c r="A53" s="81" t="s">
        <v>202</v>
      </c>
      <c r="B53" s="47">
        <v>65526</v>
      </c>
      <c r="C53" s="82" t="str">
        <f ca="1">VLOOKUP($B53,OFFSET([2]quests!$A$1,0,0,COUNTA([2]quests!$A:$A),MATCH(C$1,[2]quests!$1:$1,0)-MATCH($B$1,[2]quests!$1:$1,0)+1),MATCH(C$1,[2]quests!$1:$1,0)-MATCH($B$1,[2]quests!$1:$1,0)+1,FALSE)</f>
        <v>【LB加藤】検証クエスト</v>
      </c>
      <c r="D53" s="82" t="str">
        <f ca="1">VLOOKUP($B53,OFFSET([2]quests!$A$1,0,0,COUNTA([2]quests!$A:$A),MATCH(D$1,[2]quests!$1:$1,0)-MATCH($B$1,[2]quests!$1:$1,0)+1),MATCH(D$1,[2]quests!$1:$1,0)-MATCH($B$1,[2]quests!$1:$1,0)+1,FALSE)</f>
        <v>検証</v>
      </c>
      <c r="E53" s="86" t="s">
        <v>218</v>
      </c>
      <c r="F53" s="82" t="e">
        <f ca="1">VLOOKUP($B53&amp;"_"&amp;$E53,OFFSET([2]stages!$A$1,0,0,COUNTA([2]stages!$A:$A),MATCH(F$1,[2]stages!$2:$2,0)-MATCH("temp_stage",[2]stages!$2:$2,0)+1),MATCH(F$1,[2]stages!$2:$2,0)-MATCH("temp_stage",[2]stages!$2:$2,0)+1,FALSE)</f>
        <v>#N/A</v>
      </c>
      <c r="G53" s="82" t="e">
        <f ca="1">VLOOKUP($B53&amp;"_"&amp;$E53,OFFSET([2]stages!$A$1,0,0,COUNTA([2]stages!$A:$A),MATCH(G$1,[2]stages!$2:$2,0)-MATCH("temp_stage",[2]stages!$2:$2,0)+1),MATCH(G$1,[2]stages!$2:$2,0)-MATCH("temp_stage",[2]stages!$2:$2,0)+1,FALSE)</f>
        <v>#N/A</v>
      </c>
      <c r="H53" s="84">
        <v>0</v>
      </c>
      <c r="I53">
        <v>30</v>
      </c>
      <c r="J53" s="83" t="s">
        <v>199</v>
      </c>
      <c r="K53" s="93" t="str">
        <f>VLOOKUP(I53,[7]stage_hints!$A:$C,3,FALSE)</f>
        <v>「バグ」の増やし方</v>
      </c>
      <c r="L53" s="94" t="str">
        <f>VLOOKUP(I53,[7]stage_hints!$A:$D,4,FALSE)</f>
        <v>同じユニット同士を強化で合成すると_x000D_「バグ」を増やすことができます</v>
      </c>
      <c r="M53" s="57" t="s">
        <v>214</v>
      </c>
    </row>
    <row r="54" spans="1:13" x14ac:dyDescent="0.15">
      <c r="A54" s="81" t="s">
        <v>202</v>
      </c>
      <c r="B54" s="47">
        <v>65526</v>
      </c>
      <c r="C54" s="82" t="str">
        <f ca="1">VLOOKUP($B54,OFFSET([2]quests!$A$1,0,0,COUNTA([2]quests!$A:$A),MATCH(C$1,[2]quests!$1:$1,0)-MATCH($B$1,[2]quests!$1:$1,0)+1),MATCH(C$1,[2]quests!$1:$1,0)-MATCH($B$1,[2]quests!$1:$1,0)+1,FALSE)</f>
        <v>【LB加藤】検証クエスト</v>
      </c>
      <c r="D54" s="82" t="str">
        <f ca="1">VLOOKUP($B54,OFFSET([2]quests!$A$1,0,0,COUNTA([2]quests!$A:$A),MATCH(D$1,[2]quests!$1:$1,0)-MATCH($B$1,[2]quests!$1:$1,0)+1),MATCH(D$1,[2]quests!$1:$1,0)-MATCH($B$1,[2]quests!$1:$1,0)+1,FALSE)</f>
        <v>検証</v>
      </c>
      <c r="E54" s="86" t="s">
        <v>218</v>
      </c>
      <c r="F54" s="82" t="e">
        <f ca="1">VLOOKUP($B54&amp;"_"&amp;$E54,OFFSET([2]stages!$A$1,0,0,COUNTA([2]stages!$A:$A),MATCH(F$1,[2]stages!$2:$2,0)-MATCH("temp_stage",[2]stages!$2:$2,0)+1),MATCH(F$1,[2]stages!$2:$2,0)-MATCH("temp_stage",[2]stages!$2:$2,0)+1,FALSE)</f>
        <v>#N/A</v>
      </c>
      <c r="G54" s="82" t="e">
        <f ca="1">VLOOKUP($B54&amp;"_"&amp;$E54,OFFSET([2]stages!$A$1,0,0,COUNTA([2]stages!$A:$A),MATCH(G$1,[2]stages!$2:$2,0)-MATCH("temp_stage",[2]stages!$2:$2,0)+1),MATCH(G$1,[2]stages!$2:$2,0)-MATCH("temp_stage",[2]stages!$2:$2,0)+1,FALSE)</f>
        <v>#N/A</v>
      </c>
      <c r="H54" s="84">
        <v>0</v>
      </c>
      <c r="I54">
        <v>31</v>
      </c>
      <c r="J54" s="83" t="s">
        <v>199</v>
      </c>
      <c r="K54" s="93" t="str">
        <f>VLOOKUP(I54,[7]stage_hints!$A:$C,3,FALSE)</f>
        <v>イベントはお知らせでチェック</v>
      </c>
      <c r="L54" s="94" t="str">
        <f>VLOOKUP(I54,[7]stage_hints!$A:$D,4,FALSE)</f>
        <v>イベント限定ユニットを取り忘れないように_x000D_お知らせをこまめにチェックしましょう</v>
      </c>
      <c r="M54" s="57" t="s">
        <v>214</v>
      </c>
    </row>
    <row r="55" spans="1:13" x14ac:dyDescent="0.15">
      <c r="A55" s="81" t="s">
        <v>202</v>
      </c>
      <c r="B55" s="47">
        <v>65526</v>
      </c>
      <c r="C55" s="82" t="str">
        <f ca="1">VLOOKUP($B55,OFFSET([2]quests!$A$1,0,0,COUNTA([2]quests!$A:$A),MATCH(C$1,[2]quests!$1:$1,0)-MATCH($B$1,[2]quests!$1:$1,0)+1),MATCH(C$1,[2]quests!$1:$1,0)-MATCH($B$1,[2]quests!$1:$1,0)+1,FALSE)</f>
        <v>【LB加藤】検証クエスト</v>
      </c>
      <c r="D55" s="82" t="str">
        <f ca="1">VLOOKUP($B55,OFFSET([2]quests!$A$1,0,0,COUNTA([2]quests!$A:$A),MATCH(D$1,[2]quests!$1:$1,0)-MATCH($B$1,[2]quests!$1:$1,0)+1),MATCH(D$1,[2]quests!$1:$1,0)-MATCH($B$1,[2]quests!$1:$1,0)+1,FALSE)</f>
        <v>検証</v>
      </c>
      <c r="E55" s="86" t="s">
        <v>218</v>
      </c>
      <c r="F55" s="82" t="e">
        <f ca="1">VLOOKUP($B55&amp;"_"&amp;$E55,OFFSET([2]stages!$A$1,0,0,COUNTA([2]stages!$A:$A),MATCH(F$1,[2]stages!$2:$2,0)-MATCH("temp_stage",[2]stages!$2:$2,0)+1),MATCH(F$1,[2]stages!$2:$2,0)-MATCH("temp_stage",[2]stages!$2:$2,0)+1,FALSE)</f>
        <v>#N/A</v>
      </c>
      <c r="G55" s="82" t="e">
        <f ca="1">VLOOKUP($B55&amp;"_"&amp;$E55,OFFSET([2]stages!$A$1,0,0,COUNTA([2]stages!$A:$A),MATCH(G$1,[2]stages!$2:$2,0)-MATCH("temp_stage",[2]stages!$2:$2,0)+1),MATCH(G$1,[2]stages!$2:$2,0)-MATCH("temp_stage",[2]stages!$2:$2,0)+1,FALSE)</f>
        <v>#N/A</v>
      </c>
      <c r="H55" s="84">
        <v>0</v>
      </c>
      <c r="I55">
        <v>32</v>
      </c>
      <c r="J55" s="83" t="s">
        <v>199</v>
      </c>
      <c r="K55" s="93" t="str">
        <f>VLOOKUP(I55,[7]stage_hints!$A:$C,3,FALSE)</f>
        <v>敵の連続攻撃には</v>
      </c>
      <c r="L55" s="94" t="str">
        <f>VLOOKUP(I55,[7]stage_hints!$A:$D,4,FALSE)</f>
        <v>カウンタースキルを持つユニットがいれば_x000D_ダメージ回数分の反撃ができます</v>
      </c>
      <c r="M55" s="57" t="s">
        <v>214</v>
      </c>
    </row>
    <row r="56" spans="1:13" x14ac:dyDescent="0.15">
      <c r="A56" s="81" t="s">
        <v>202</v>
      </c>
      <c r="B56" s="47">
        <v>65526</v>
      </c>
      <c r="C56" s="82" t="str">
        <f ca="1">VLOOKUP($B56,OFFSET([2]quests!$A$1,0,0,COUNTA([2]quests!$A:$A),MATCH(C$1,[2]quests!$1:$1,0)-MATCH($B$1,[2]quests!$1:$1,0)+1),MATCH(C$1,[2]quests!$1:$1,0)-MATCH($B$1,[2]quests!$1:$1,0)+1,FALSE)</f>
        <v>【LB加藤】検証クエスト</v>
      </c>
      <c r="D56" s="82" t="str">
        <f ca="1">VLOOKUP($B56,OFFSET([2]quests!$A$1,0,0,COUNTA([2]quests!$A:$A),MATCH(D$1,[2]quests!$1:$1,0)-MATCH($B$1,[2]quests!$1:$1,0)+1),MATCH(D$1,[2]quests!$1:$1,0)-MATCH($B$1,[2]quests!$1:$1,0)+1,FALSE)</f>
        <v>検証</v>
      </c>
      <c r="E56" s="86" t="s">
        <v>218</v>
      </c>
      <c r="F56" s="82" t="e">
        <f ca="1">VLOOKUP($B56&amp;"_"&amp;$E56,OFFSET([2]stages!$A$1,0,0,COUNTA([2]stages!$A:$A),MATCH(F$1,[2]stages!$2:$2,0)-MATCH("temp_stage",[2]stages!$2:$2,0)+1),MATCH(F$1,[2]stages!$2:$2,0)-MATCH("temp_stage",[2]stages!$2:$2,0)+1,FALSE)</f>
        <v>#N/A</v>
      </c>
      <c r="G56" s="82" t="e">
        <f ca="1">VLOOKUP($B56&amp;"_"&amp;$E56,OFFSET([2]stages!$A$1,0,0,COUNTA([2]stages!$A:$A),MATCH(G$1,[2]stages!$2:$2,0)-MATCH("temp_stage",[2]stages!$2:$2,0)+1),MATCH(G$1,[2]stages!$2:$2,0)-MATCH("temp_stage",[2]stages!$2:$2,0)+1,FALSE)</f>
        <v>#N/A</v>
      </c>
      <c r="H56" s="84">
        <v>0</v>
      </c>
      <c r="I56">
        <v>33</v>
      </c>
      <c r="J56" s="83" t="s">
        <v>199</v>
      </c>
      <c r="K56" s="93" t="str">
        <f>VLOOKUP(I56,[7]stage_hints!$A:$C,3,FALSE)</f>
        <v>敵のカウンター攻撃には</v>
      </c>
      <c r="L56" s="94" t="str">
        <f>VLOOKUP(I56,[7]stage_hints!$A:$D,4,FALSE)</f>
        <v>カウンターブレイクスキルを持っていれば_x000D_敵のカウンターを解除して攻撃ができます</v>
      </c>
      <c r="M56" s="57" t="s">
        <v>214</v>
      </c>
    </row>
    <row r="57" spans="1:13" x14ac:dyDescent="0.15">
      <c r="A57" s="81" t="s">
        <v>202</v>
      </c>
      <c r="B57" s="47">
        <v>65526</v>
      </c>
      <c r="C57" s="82" t="str">
        <f ca="1">VLOOKUP($B57,OFFSET([2]quests!$A$1,0,0,COUNTA([2]quests!$A:$A),MATCH(C$1,[2]quests!$1:$1,0)-MATCH($B$1,[2]quests!$1:$1,0)+1),MATCH(C$1,[2]quests!$1:$1,0)-MATCH($B$1,[2]quests!$1:$1,0)+1,FALSE)</f>
        <v>【LB加藤】検証クエスト</v>
      </c>
      <c r="D57" s="82" t="str">
        <f ca="1">VLOOKUP($B57,OFFSET([2]quests!$A$1,0,0,COUNTA([2]quests!$A:$A),MATCH(D$1,[2]quests!$1:$1,0)-MATCH($B$1,[2]quests!$1:$1,0)+1),MATCH(D$1,[2]quests!$1:$1,0)-MATCH($B$1,[2]quests!$1:$1,0)+1,FALSE)</f>
        <v>検証</v>
      </c>
      <c r="E57" s="86" t="s">
        <v>218</v>
      </c>
      <c r="F57" s="82" t="e">
        <f ca="1">VLOOKUP($B57&amp;"_"&amp;$E57,OFFSET([2]stages!$A$1,0,0,COUNTA([2]stages!$A:$A),MATCH(F$1,[2]stages!$2:$2,0)-MATCH("temp_stage",[2]stages!$2:$2,0)+1),MATCH(F$1,[2]stages!$2:$2,0)-MATCH("temp_stage",[2]stages!$2:$2,0)+1,FALSE)</f>
        <v>#N/A</v>
      </c>
      <c r="G57" s="82" t="e">
        <f ca="1">VLOOKUP($B57&amp;"_"&amp;$E57,OFFSET([2]stages!$A$1,0,0,COUNTA([2]stages!$A:$A),MATCH(G$1,[2]stages!$2:$2,0)-MATCH("temp_stage",[2]stages!$2:$2,0)+1),MATCH(G$1,[2]stages!$2:$2,0)-MATCH("temp_stage",[2]stages!$2:$2,0)+1,FALSE)</f>
        <v>#N/A</v>
      </c>
      <c r="H57" s="84">
        <v>0</v>
      </c>
      <c r="I57">
        <v>34</v>
      </c>
      <c r="J57" s="83" t="s">
        <v>199</v>
      </c>
      <c r="K57" s="93" t="str">
        <f>VLOOKUP(I57,[7]stage_hints!$A:$C,3,FALSE)</f>
        <v>ステータスをスキルで下げられたら</v>
      </c>
      <c r="L57" s="94" t="str">
        <f>VLOOKUP(I57,[7]stage_hints!$A:$D,4,FALSE)</f>
        <v>ステータスダウンのスキルを受けたら_x000D_ステータスアップスキルで上書きしましょう</v>
      </c>
      <c r="M57" s="57" t="s">
        <v>214</v>
      </c>
    </row>
    <row r="58" spans="1:13" x14ac:dyDescent="0.15">
      <c r="A58" s="81" t="s">
        <v>202</v>
      </c>
      <c r="B58" s="47">
        <v>65526</v>
      </c>
      <c r="C58" s="82" t="str">
        <f ca="1">VLOOKUP($B58,OFFSET([2]quests!$A$1,0,0,COUNTA([2]quests!$A:$A),MATCH(C$1,[2]quests!$1:$1,0)-MATCH($B$1,[2]quests!$1:$1,0)+1),MATCH(C$1,[2]quests!$1:$1,0)-MATCH($B$1,[2]quests!$1:$1,0)+1,FALSE)</f>
        <v>【LB加藤】検証クエスト</v>
      </c>
      <c r="D58" s="82" t="str">
        <f ca="1">VLOOKUP($B58,OFFSET([2]quests!$A$1,0,0,COUNTA([2]quests!$A:$A),MATCH(D$1,[2]quests!$1:$1,0)-MATCH($B$1,[2]quests!$1:$1,0)+1),MATCH(D$1,[2]quests!$1:$1,0)-MATCH($B$1,[2]quests!$1:$1,0)+1,FALSE)</f>
        <v>検証</v>
      </c>
      <c r="E58" s="86" t="s">
        <v>218</v>
      </c>
      <c r="F58" s="82" t="e">
        <f ca="1">VLOOKUP($B58&amp;"_"&amp;$E58,OFFSET([2]stages!$A$1,0,0,COUNTA([2]stages!$A:$A),MATCH(F$1,[2]stages!$2:$2,0)-MATCH("temp_stage",[2]stages!$2:$2,0)+1),MATCH(F$1,[2]stages!$2:$2,0)-MATCH("temp_stage",[2]stages!$2:$2,0)+1,FALSE)</f>
        <v>#N/A</v>
      </c>
      <c r="G58" s="82" t="e">
        <f ca="1">VLOOKUP($B58&amp;"_"&amp;$E58,OFFSET([2]stages!$A$1,0,0,COUNTA([2]stages!$A:$A),MATCH(G$1,[2]stages!$2:$2,0)-MATCH("temp_stage",[2]stages!$2:$2,0)+1),MATCH(G$1,[2]stages!$2:$2,0)-MATCH("temp_stage",[2]stages!$2:$2,0)+1,FALSE)</f>
        <v>#N/A</v>
      </c>
      <c r="H58" s="84">
        <v>0</v>
      </c>
      <c r="I58">
        <v>35</v>
      </c>
      <c r="J58" s="83" t="s">
        <v>199</v>
      </c>
      <c r="K58" s="93" t="str">
        <f>VLOOKUP(I58,[7]stage_hints!$A:$C,3,FALSE)</f>
        <v>敵のステータスがスキルで上がったら</v>
      </c>
      <c r="L58" s="94" t="str">
        <f>VLOOKUP(I58,[7]stage_hints!$A:$D,4,FALSE)</f>
        <v>敵のステータスがスキルでアップしたときは_x000D_ステータスダウンスキルで上書きしましょう</v>
      </c>
      <c r="M58" s="57" t="s">
        <v>214</v>
      </c>
    </row>
    <row r="59" spans="1:13" x14ac:dyDescent="0.15">
      <c r="A59" s="81" t="s">
        <v>202</v>
      </c>
      <c r="B59" s="47">
        <v>65526</v>
      </c>
      <c r="C59" s="82" t="str">
        <f ca="1">VLOOKUP($B59,OFFSET([2]quests!$A$1,0,0,COUNTA([2]quests!$A:$A),MATCH(C$1,[2]quests!$1:$1,0)-MATCH($B$1,[2]quests!$1:$1,0)+1),MATCH(C$1,[2]quests!$1:$1,0)-MATCH($B$1,[2]quests!$1:$1,0)+1,FALSE)</f>
        <v>【LB加藤】検証クエスト</v>
      </c>
      <c r="D59" s="82" t="str">
        <f ca="1">VLOOKUP($B59,OFFSET([2]quests!$A$1,0,0,COUNTA([2]quests!$A:$A),MATCH(D$1,[2]quests!$1:$1,0)-MATCH($B$1,[2]quests!$1:$1,0)+1),MATCH(D$1,[2]quests!$1:$1,0)-MATCH($B$1,[2]quests!$1:$1,0)+1,FALSE)</f>
        <v>検証</v>
      </c>
      <c r="E59" s="86" t="s">
        <v>218</v>
      </c>
      <c r="F59" s="82" t="e">
        <f ca="1">VLOOKUP($B59&amp;"_"&amp;$E59,OFFSET([2]stages!$A$1,0,0,COUNTA([2]stages!$A:$A),MATCH(F$1,[2]stages!$2:$2,0)-MATCH("temp_stage",[2]stages!$2:$2,0)+1),MATCH(F$1,[2]stages!$2:$2,0)-MATCH("temp_stage",[2]stages!$2:$2,0)+1,FALSE)</f>
        <v>#N/A</v>
      </c>
      <c r="G59" s="82" t="e">
        <f ca="1">VLOOKUP($B59&amp;"_"&amp;$E59,OFFSET([2]stages!$A$1,0,0,COUNTA([2]stages!$A:$A),MATCH(G$1,[2]stages!$2:$2,0)-MATCH("temp_stage",[2]stages!$2:$2,0)+1),MATCH(G$1,[2]stages!$2:$2,0)-MATCH("temp_stage",[2]stages!$2:$2,0)+1,FALSE)</f>
        <v>#N/A</v>
      </c>
      <c r="H59" s="84">
        <v>0</v>
      </c>
      <c r="I59">
        <v>39</v>
      </c>
      <c r="J59" s="83" t="s">
        <v>199</v>
      </c>
      <c r="K59" s="93" t="str">
        <f>VLOOKUP(I59,[7]stage_hints!$A:$C,3,FALSE)</f>
        <v>システム適合者を確認</v>
      </c>
      <c r="L59" s="94" t="str">
        <f>VLOOKUP(I59,[7]stage_hints!$A:$D,4,FALSE)</f>
        <v>ALICEが「アナタ」を呼んでいます</v>
      </c>
      <c r="M59" s="57" t="s">
        <v>214</v>
      </c>
    </row>
    <row r="60" spans="1:13" x14ac:dyDescent="0.15">
      <c r="A60" s="81" t="s">
        <v>202</v>
      </c>
      <c r="B60" s="47">
        <v>65526</v>
      </c>
      <c r="C60" s="82" t="str">
        <f ca="1">VLOOKUP($B60,OFFSET([2]quests!$A$1,0,0,COUNTA([2]quests!$A:$A),MATCH(C$1,[2]quests!$1:$1,0)-MATCH($B$1,[2]quests!$1:$1,0)+1),MATCH(C$1,[2]quests!$1:$1,0)-MATCH($B$1,[2]quests!$1:$1,0)+1,FALSE)</f>
        <v>【LB加藤】検証クエスト</v>
      </c>
      <c r="D60" s="82" t="str">
        <f ca="1">VLOOKUP($B60,OFFSET([2]quests!$A$1,0,0,COUNTA([2]quests!$A:$A),MATCH(D$1,[2]quests!$1:$1,0)-MATCH($B$1,[2]quests!$1:$1,0)+1),MATCH(D$1,[2]quests!$1:$1,0)-MATCH($B$1,[2]quests!$1:$1,0)+1,FALSE)</f>
        <v>検証</v>
      </c>
      <c r="E60" s="86" t="s">
        <v>219</v>
      </c>
      <c r="F60" s="82" t="e">
        <f ca="1">VLOOKUP($B60&amp;"_"&amp;$E60,OFFSET([2]stages!$A$1,0,0,COUNTA([2]stages!$A:$A),MATCH(F$1,[2]stages!$2:$2,0)-MATCH("temp_stage",[2]stages!$2:$2,0)+1),MATCH(F$1,[2]stages!$2:$2,0)-MATCH("temp_stage",[2]stages!$2:$2,0)+1,FALSE)</f>
        <v>#N/A</v>
      </c>
      <c r="G60" s="82" t="e">
        <f ca="1">VLOOKUP($B60&amp;"_"&amp;$E60,OFFSET([2]stages!$A$1,0,0,COUNTA([2]stages!$A:$A),MATCH(G$1,[2]stages!$2:$2,0)-MATCH("temp_stage",[2]stages!$2:$2,0)+1),MATCH(G$1,[2]stages!$2:$2,0)-MATCH("temp_stage",[2]stages!$2:$2,0)+1,FALSE)</f>
        <v>#N/A</v>
      </c>
      <c r="H60" s="84">
        <v>0</v>
      </c>
      <c r="I60" s="96">
        <v>3</v>
      </c>
      <c r="J60" s="83" t="s">
        <v>199</v>
      </c>
      <c r="K60" s="93" t="str">
        <f>VLOOKUP(I60,[7]stage_hints!$A:$C,3,FALSE)</f>
        <v>ターゲット</v>
      </c>
      <c r="L60" s="94" t="str">
        <f>VLOOKUP(I60,[7]stage_hints!$A:$D,4,FALSE)</f>
        <v>敵ユニットをタップすると_x000D_その敵を狙い撃ちできます</v>
      </c>
      <c r="M60" s="57" t="s">
        <v>214</v>
      </c>
    </row>
    <row r="61" spans="1:13" x14ac:dyDescent="0.15">
      <c r="A61" s="81" t="s">
        <v>202</v>
      </c>
      <c r="B61" s="47">
        <v>65526</v>
      </c>
      <c r="C61" s="82" t="str">
        <f ca="1">VLOOKUP($B61,OFFSET([2]quests!$A$1,0,0,COUNTA([2]quests!$A:$A),MATCH(C$1,[2]quests!$1:$1,0)-MATCH($B$1,[2]quests!$1:$1,0)+1),MATCH(C$1,[2]quests!$1:$1,0)-MATCH($B$1,[2]quests!$1:$1,0)+1,FALSE)</f>
        <v>【LB加藤】検証クエスト</v>
      </c>
      <c r="D61" s="82" t="str">
        <f ca="1">VLOOKUP($B61,OFFSET([2]quests!$A$1,0,0,COUNTA([2]quests!$A:$A),MATCH(D$1,[2]quests!$1:$1,0)-MATCH($B$1,[2]quests!$1:$1,0)+1),MATCH(D$1,[2]quests!$1:$1,0)-MATCH($B$1,[2]quests!$1:$1,0)+1,FALSE)</f>
        <v>検証</v>
      </c>
      <c r="E61" s="86" t="s">
        <v>219</v>
      </c>
      <c r="F61" s="82" t="e">
        <f ca="1">VLOOKUP($B61&amp;"_"&amp;$E61,OFFSET([2]stages!$A$1,0,0,COUNTA([2]stages!$A:$A),MATCH(F$1,[2]stages!$2:$2,0)-MATCH("temp_stage",[2]stages!$2:$2,0)+1),MATCH(F$1,[2]stages!$2:$2,0)-MATCH("temp_stage",[2]stages!$2:$2,0)+1,FALSE)</f>
        <v>#N/A</v>
      </c>
      <c r="G61" s="82" t="e">
        <f ca="1">VLOOKUP($B61&amp;"_"&amp;$E61,OFFSET([2]stages!$A$1,0,0,COUNTA([2]stages!$A:$A),MATCH(G$1,[2]stages!$2:$2,0)-MATCH("temp_stage",[2]stages!$2:$2,0)+1),MATCH(G$1,[2]stages!$2:$2,0)-MATCH("temp_stage",[2]stages!$2:$2,0)+1,FALSE)</f>
        <v>#N/A</v>
      </c>
      <c r="H61" s="84">
        <v>0</v>
      </c>
      <c r="I61" s="96">
        <v>6</v>
      </c>
      <c r="J61" s="83" t="s">
        <v>199</v>
      </c>
      <c r="K61" s="93" t="str">
        <f>VLOOKUP(I61,[7]stage_hints!$A:$C,3,FALSE)</f>
        <v>ユニット強化の属性ボーナス</v>
      </c>
      <c r="L61" s="94" t="str">
        <f>VLOOKUP(I61,[7]stage_hints!$A:$D,4,FALSE)</f>
        <v>同属性ユニットを強化素材にすると_x000D_経験値が多くもらえます</v>
      </c>
      <c r="M61" s="57" t="s">
        <v>214</v>
      </c>
    </row>
    <row r="62" spans="1:13" x14ac:dyDescent="0.15">
      <c r="A62" s="81" t="s">
        <v>202</v>
      </c>
      <c r="B62" s="47">
        <v>65526</v>
      </c>
      <c r="C62" s="82" t="str">
        <f ca="1">VLOOKUP($B62,OFFSET([2]quests!$A$1,0,0,COUNTA([2]quests!$A:$A),MATCH(C$1,[2]quests!$1:$1,0)-MATCH($B$1,[2]quests!$1:$1,0)+1),MATCH(C$1,[2]quests!$1:$1,0)-MATCH($B$1,[2]quests!$1:$1,0)+1,FALSE)</f>
        <v>【LB加藤】検証クエスト</v>
      </c>
      <c r="D62" s="82" t="str">
        <f ca="1">VLOOKUP($B62,OFFSET([2]quests!$A$1,0,0,COUNTA([2]quests!$A:$A),MATCH(D$1,[2]quests!$1:$1,0)-MATCH($B$1,[2]quests!$1:$1,0)+1),MATCH(D$1,[2]quests!$1:$1,0)-MATCH($B$1,[2]quests!$1:$1,0)+1,FALSE)</f>
        <v>検証</v>
      </c>
      <c r="E62" s="86" t="s">
        <v>219</v>
      </c>
      <c r="F62" s="82" t="e">
        <f ca="1">VLOOKUP($B62&amp;"_"&amp;$E62,OFFSET([2]stages!$A$1,0,0,COUNTA([2]stages!$A:$A),MATCH(F$1,[2]stages!$2:$2,0)-MATCH("temp_stage",[2]stages!$2:$2,0)+1),MATCH(F$1,[2]stages!$2:$2,0)-MATCH("temp_stage",[2]stages!$2:$2,0)+1,FALSE)</f>
        <v>#N/A</v>
      </c>
      <c r="G62" s="82" t="e">
        <f ca="1">VLOOKUP($B62&amp;"_"&amp;$E62,OFFSET([2]stages!$A$1,0,0,COUNTA([2]stages!$A:$A),MATCH(G$1,[2]stages!$2:$2,0)-MATCH("temp_stage",[2]stages!$2:$2,0)+1),MATCH(G$1,[2]stages!$2:$2,0)-MATCH("temp_stage",[2]stages!$2:$2,0)+1,FALSE)</f>
        <v>#N/A</v>
      </c>
      <c r="H62" s="84">
        <v>0</v>
      </c>
      <c r="I62" s="96">
        <v>7</v>
      </c>
      <c r="J62" s="83" t="s">
        <v>199</v>
      </c>
      <c r="K62" s="93" t="str">
        <f>VLOOKUP(I62,[7]stage_hints!$A:$C,3,FALSE)</f>
        <v>メタルダックで経験値を獲得</v>
      </c>
      <c r="L62" s="94" t="str">
        <f>VLOOKUP(I62,[7]stage_hints!$A:$D,4,FALSE)</f>
        <v>「メタルなアヒル」を強化素材にすると_x000D_大量の経験値がもらえます</v>
      </c>
      <c r="M62" s="57" t="s">
        <v>214</v>
      </c>
    </row>
    <row r="63" spans="1:13" x14ac:dyDescent="0.15">
      <c r="A63" s="81" t="s">
        <v>202</v>
      </c>
      <c r="B63" s="47">
        <v>65526</v>
      </c>
      <c r="C63" s="82" t="str">
        <f ca="1">VLOOKUP($B63,OFFSET([2]quests!$A$1,0,0,COUNTA([2]quests!$A:$A),MATCH(C$1,[2]quests!$1:$1,0)-MATCH($B$1,[2]quests!$1:$1,0)+1),MATCH(C$1,[2]quests!$1:$1,0)-MATCH($B$1,[2]quests!$1:$1,0)+1,FALSE)</f>
        <v>【LB加藤】検証クエスト</v>
      </c>
      <c r="D63" s="82" t="str">
        <f ca="1">VLOOKUP($B63,OFFSET([2]quests!$A$1,0,0,COUNTA([2]quests!$A:$A),MATCH(D$1,[2]quests!$1:$1,0)-MATCH($B$1,[2]quests!$1:$1,0)+1),MATCH(D$1,[2]quests!$1:$1,0)-MATCH($B$1,[2]quests!$1:$1,0)+1,FALSE)</f>
        <v>検証</v>
      </c>
      <c r="E63" s="86" t="s">
        <v>219</v>
      </c>
      <c r="F63" s="82" t="e">
        <f ca="1">VLOOKUP($B63&amp;"_"&amp;$E63,OFFSET([2]stages!$A$1,0,0,COUNTA([2]stages!$A:$A),MATCH(F$1,[2]stages!$2:$2,0)-MATCH("temp_stage",[2]stages!$2:$2,0)+1),MATCH(F$1,[2]stages!$2:$2,0)-MATCH("temp_stage",[2]stages!$2:$2,0)+1,FALSE)</f>
        <v>#N/A</v>
      </c>
      <c r="G63" s="82" t="e">
        <f ca="1">VLOOKUP($B63&amp;"_"&amp;$E63,OFFSET([2]stages!$A$1,0,0,COUNTA([2]stages!$A:$A),MATCH(G$1,[2]stages!$2:$2,0)-MATCH("temp_stage",[2]stages!$2:$2,0)+1),MATCH(G$1,[2]stages!$2:$2,0)-MATCH("temp_stage",[2]stages!$2:$2,0)+1,FALSE)</f>
        <v>#N/A</v>
      </c>
      <c r="H63" s="84">
        <v>0</v>
      </c>
      <c r="I63" s="96">
        <v>8</v>
      </c>
      <c r="J63" s="83" t="s">
        <v>199</v>
      </c>
      <c r="K63" s="93" t="str">
        <f>VLOOKUP(I63,[7]stage_hints!$A:$C,3,FALSE)</f>
        <v>ゲリラクエストは要チェック</v>
      </c>
      <c r="L63" s="94" t="str">
        <f>VLOOKUP(I63,[7]stage_hints!$A:$D,4,FALSE)</f>
        <v>時間限定の「アヒル捕獲作戦」では_x000D_経験値素材ユニットが多く手に入ります</v>
      </c>
      <c r="M63" s="57" t="s">
        <v>214</v>
      </c>
    </row>
    <row r="64" spans="1:13" x14ac:dyDescent="0.15">
      <c r="A64" s="81" t="s">
        <v>202</v>
      </c>
      <c r="B64" s="47">
        <v>65526</v>
      </c>
      <c r="C64" s="82" t="str">
        <f ca="1">VLOOKUP($B64,OFFSET([2]quests!$A$1,0,0,COUNTA([2]quests!$A:$A),MATCH(C$1,[2]quests!$1:$1,0)-MATCH($B$1,[2]quests!$1:$1,0)+1),MATCH(C$1,[2]quests!$1:$1,0)-MATCH($B$1,[2]quests!$1:$1,0)+1,FALSE)</f>
        <v>【LB加藤】検証クエスト</v>
      </c>
      <c r="D64" s="82" t="str">
        <f ca="1">VLOOKUP($B64,OFFSET([2]quests!$A$1,0,0,COUNTA([2]quests!$A:$A),MATCH(D$1,[2]quests!$1:$1,0)-MATCH($B$1,[2]quests!$1:$1,0)+1),MATCH(D$1,[2]quests!$1:$1,0)-MATCH($B$1,[2]quests!$1:$1,0)+1,FALSE)</f>
        <v>検証</v>
      </c>
      <c r="E64" s="86" t="s">
        <v>219</v>
      </c>
      <c r="F64" s="82" t="e">
        <f ca="1">VLOOKUP($B64&amp;"_"&amp;$E64,OFFSET([2]stages!$A$1,0,0,COUNTA([2]stages!$A:$A),MATCH(F$1,[2]stages!$2:$2,0)-MATCH("temp_stage",[2]stages!$2:$2,0)+1),MATCH(F$1,[2]stages!$2:$2,0)-MATCH("temp_stage",[2]stages!$2:$2,0)+1,FALSE)</f>
        <v>#N/A</v>
      </c>
      <c r="G64" s="82" t="e">
        <f ca="1">VLOOKUP($B64&amp;"_"&amp;$E64,OFFSET([2]stages!$A$1,0,0,COUNTA([2]stages!$A:$A),MATCH(G$1,[2]stages!$2:$2,0)-MATCH("temp_stage",[2]stages!$2:$2,0)+1),MATCH(G$1,[2]stages!$2:$2,0)-MATCH("temp_stage",[2]stages!$2:$2,0)+1,FALSE)</f>
        <v>#N/A</v>
      </c>
      <c r="H64" s="84">
        <v>0</v>
      </c>
      <c r="I64" s="96">
        <v>9</v>
      </c>
      <c r="J64" s="83" t="s">
        <v>199</v>
      </c>
      <c r="K64" s="93" t="str">
        <f>VLOOKUP(I64,[7]stage_hints!$A:$C,3,FALSE)</f>
        <v>ゴールドダックでビットを獲得</v>
      </c>
      <c r="L64" s="94" t="str">
        <f>VLOOKUP(I64,[7]stage_hints!$A:$D,4,FALSE)</f>
        <v>「ゴールドなアヒル」を売却すると_x000D_大量のビットがもらえます</v>
      </c>
      <c r="M64" s="57" t="s">
        <v>214</v>
      </c>
    </row>
    <row r="65" spans="1:13" x14ac:dyDescent="0.15">
      <c r="A65" s="81" t="s">
        <v>202</v>
      </c>
      <c r="B65" s="47">
        <v>65526</v>
      </c>
      <c r="C65" s="82" t="str">
        <f ca="1">VLOOKUP($B65,OFFSET([2]quests!$A$1,0,0,COUNTA([2]quests!$A:$A),MATCH(C$1,[2]quests!$1:$1,0)-MATCH($B$1,[2]quests!$1:$1,0)+1),MATCH(C$1,[2]quests!$1:$1,0)-MATCH($B$1,[2]quests!$1:$1,0)+1,FALSE)</f>
        <v>【LB加藤】検証クエスト</v>
      </c>
      <c r="D65" s="82" t="str">
        <f ca="1">VLOOKUP($B65,OFFSET([2]quests!$A$1,0,0,COUNTA([2]quests!$A:$A),MATCH(D$1,[2]quests!$1:$1,0)-MATCH($B$1,[2]quests!$1:$1,0)+1),MATCH(D$1,[2]quests!$1:$1,0)-MATCH($B$1,[2]quests!$1:$1,0)+1,FALSE)</f>
        <v>検証</v>
      </c>
      <c r="E65" s="86" t="s">
        <v>219</v>
      </c>
      <c r="F65" s="82" t="e">
        <f ca="1">VLOOKUP($B65&amp;"_"&amp;$E65,OFFSET([2]stages!$A$1,0,0,COUNTA([2]stages!$A:$A),MATCH(F$1,[2]stages!$2:$2,0)-MATCH("temp_stage",[2]stages!$2:$2,0)+1),MATCH(F$1,[2]stages!$2:$2,0)-MATCH("temp_stage",[2]stages!$2:$2,0)+1,FALSE)</f>
        <v>#N/A</v>
      </c>
      <c r="G65" s="82" t="e">
        <f ca="1">VLOOKUP($B65&amp;"_"&amp;$E65,OFFSET([2]stages!$A$1,0,0,COUNTA([2]stages!$A:$A),MATCH(G$1,[2]stages!$2:$2,0)-MATCH("temp_stage",[2]stages!$2:$2,0)+1),MATCH(G$1,[2]stages!$2:$2,0)-MATCH("temp_stage",[2]stages!$2:$2,0)+1,FALSE)</f>
        <v>#N/A</v>
      </c>
      <c r="H65" s="84">
        <v>0</v>
      </c>
      <c r="I65" s="96">
        <v>10</v>
      </c>
      <c r="J65" s="83" t="s">
        <v>199</v>
      </c>
      <c r="K65" s="93" t="str">
        <f>VLOOKUP(I65,[7]stage_hints!$A:$C,3,FALSE)</f>
        <v>土日に大量のビットを獲得</v>
      </c>
      <c r="L65" s="94" t="str">
        <f>VLOOKUP(I65,[7]stage_hints!$A:$D,4,FALSE)</f>
        <v>土日限定の「ゴールドカジノ」では_x000D_売却素材ユニットが多く手に入ります</v>
      </c>
      <c r="M65" s="57" t="s">
        <v>214</v>
      </c>
    </row>
    <row r="66" spans="1:13" x14ac:dyDescent="0.15">
      <c r="A66" s="81" t="s">
        <v>202</v>
      </c>
      <c r="B66" s="47">
        <v>65526</v>
      </c>
      <c r="C66" s="82" t="str">
        <f ca="1">VLOOKUP($B66,OFFSET([2]quests!$A$1,0,0,COUNTA([2]quests!$A:$A),MATCH(C$1,[2]quests!$1:$1,0)-MATCH($B$1,[2]quests!$1:$1,0)+1),MATCH(C$1,[2]quests!$1:$1,0)-MATCH($B$1,[2]quests!$1:$1,0)+1,FALSE)</f>
        <v>【LB加藤】検証クエスト</v>
      </c>
      <c r="D66" s="82" t="str">
        <f ca="1">VLOOKUP($B66,OFFSET([2]quests!$A$1,0,0,COUNTA([2]quests!$A:$A),MATCH(D$1,[2]quests!$1:$1,0)-MATCH($B$1,[2]quests!$1:$1,0)+1),MATCH(D$1,[2]quests!$1:$1,0)-MATCH($B$1,[2]quests!$1:$1,0)+1,FALSE)</f>
        <v>検証</v>
      </c>
      <c r="E66" s="86" t="s">
        <v>219</v>
      </c>
      <c r="F66" s="82" t="e">
        <f ca="1">VLOOKUP($B66&amp;"_"&amp;$E66,OFFSET([2]stages!$A$1,0,0,COUNTA([2]stages!$A:$A),MATCH(F$1,[2]stages!$2:$2,0)-MATCH("temp_stage",[2]stages!$2:$2,0)+1),MATCH(F$1,[2]stages!$2:$2,0)-MATCH("temp_stage",[2]stages!$2:$2,0)+1,FALSE)</f>
        <v>#N/A</v>
      </c>
      <c r="G66" s="82" t="e">
        <f ca="1">VLOOKUP($B66&amp;"_"&amp;$E66,OFFSET([2]stages!$A$1,0,0,COUNTA([2]stages!$A:$A),MATCH(G$1,[2]stages!$2:$2,0)-MATCH("temp_stage",[2]stages!$2:$2,0)+1),MATCH(G$1,[2]stages!$2:$2,0)-MATCH("temp_stage",[2]stages!$2:$2,0)+1,FALSE)</f>
        <v>#N/A</v>
      </c>
      <c r="H66" s="84">
        <v>0</v>
      </c>
      <c r="I66" s="96">
        <v>11</v>
      </c>
      <c r="J66" s="83" t="s">
        <v>199</v>
      </c>
      <c r="K66" s="93" t="str">
        <f>VLOOKUP(I66,[7]stage_hints!$A:$C,3,FALSE)</f>
        <v>ランク解放クエスト</v>
      </c>
      <c r="L66" s="94" t="str">
        <f>VLOOKUP(I66,[7]stage_hints!$A:$D,4,FALSE)</f>
        <v>一定ランクに到達すると_x000D_報酬付きのランク開放クエストが現れます</v>
      </c>
      <c r="M66" s="57" t="s">
        <v>214</v>
      </c>
    </row>
    <row r="67" spans="1:13" x14ac:dyDescent="0.15">
      <c r="A67" s="81" t="s">
        <v>202</v>
      </c>
      <c r="B67" s="47">
        <v>65526</v>
      </c>
      <c r="C67" s="82" t="str">
        <f ca="1">VLOOKUP($B67,OFFSET([2]quests!$A$1,0,0,COUNTA([2]quests!$A:$A),MATCH(C$1,[2]quests!$1:$1,0)-MATCH($B$1,[2]quests!$1:$1,0)+1),MATCH(C$1,[2]quests!$1:$1,0)-MATCH($B$1,[2]quests!$1:$1,0)+1,FALSE)</f>
        <v>【LB加藤】検証クエスト</v>
      </c>
      <c r="D67" s="82" t="str">
        <f ca="1">VLOOKUP($B67,OFFSET([2]quests!$A$1,0,0,COUNTA([2]quests!$A:$A),MATCH(D$1,[2]quests!$1:$1,0)-MATCH($B$1,[2]quests!$1:$1,0)+1),MATCH(D$1,[2]quests!$1:$1,0)-MATCH($B$1,[2]quests!$1:$1,0)+1,FALSE)</f>
        <v>検証</v>
      </c>
      <c r="E67" s="86" t="s">
        <v>219</v>
      </c>
      <c r="F67" s="82" t="e">
        <f ca="1">VLOOKUP($B67&amp;"_"&amp;$E67,OFFSET([2]stages!$A$1,0,0,COUNTA([2]stages!$A:$A),MATCH(F$1,[2]stages!$2:$2,0)-MATCH("temp_stage",[2]stages!$2:$2,0)+1),MATCH(F$1,[2]stages!$2:$2,0)-MATCH("temp_stage",[2]stages!$2:$2,0)+1,FALSE)</f>
        <v>#N/A</v>
      </c>
      <c r="G67" s="82" t="e">
        <f ca="1">VLOOKUP($B67&amp;"_"&amp;$E67,OFFSET([2]stages!$A$1,0,0,COUNTA([2]stages!$A:$A),MATCH(G$1,[2]stages!$2:$2,0)-MATCH("temp_stage",[2]stages!$2:$2,0)+1),MATCH(G$1,[2]stages!$2:$2,0)-MATCH("temp_stage",[2]stages!$2:$2,0)+1,FALSE)</f>
        <v>#N/A</v>
      </c>
      <c r="H67" s="84">
        <v>0</v>
      </c>
      <c r="I67" s="96">
        <v>12</v>
      </c>
      <c r="J67" s="83" t="s">
        <v>199</v>
      </c>
      <c r="K67" s="93" t="str">
        <f>VLOOKUP(I67,[7]stage_hints!$A:$C,3,FALSE)</f>
        <v>ユニットのお気に入り登録</v>
      </c>
      <c r="L67" s="94" t="str">
        <f>VLOOKUP(I67,[7]stage_hints!$A:$D,4,FALSE)</f>
        <v>大事なユニットを誤って消さないように_x000D_フォルダから「お気に入り登録」しましょう</v>
      </c>
      <c r="M67" s="57" t="s">
        <v>214</v>
      </c>
    </row>
    <row r="68" spans="1:13" x14ac:dyDescent="0.15">
      <c r="A68" s="81" t="s">
        <v>202</v>
      </c>
      <c r="B68" s="47">
        <v>65526</v>
      </c>
      <c r="C68" s="82" t="str">
        <f ca="1">VLOOKUP($B68,OFFSET([2]quests!$A$1,0,0,COUNTA([2]quests!$A:$A),MATCH(C$1,[2]quests!$1:$1,0)-MATCH($B$1,[2]quests!$1:$1,0)+1),MATCH(C$1,[2]quests!$1:$1,0)-MATCH($B$1,[2]quests!$1:$1,0)+1,FALSE)</f>
        <v>【LB加藤】検証クエスト</v>
      </c>
      <c r="D68" s="82" t="str">
        <f ca="1">VLOOKUP($B68,OFFSET([2]quests!$A$1,0,0,COUNTA([2]quests!$A:$A),MATCH(D$1,[2]quests!$1:$1,0)-MATCH($B$1,[2]quests!$1:$1,0)+1),MATCH(D$1,[2]quests!$1:$1,0)-MATCH($B$1,[2]quests!$1:$1,0)+1,FALSE)</f>
        <v>検証</v>
      </c>
      <c r="E68" s="86" t="s">
        <v>219</v>
      </c>
      <c r="F68" s="82" t="e">
        <f ca="1">VLOOKUP($B68&amp;"_"&amp;$E68,OFFSET([2]stages!$A$1,0,0,COUNTA([2]stages!$A:$A),MATCH(F$1,[2]stages!$2:$2,0)-MATCH("temp_stage",[2]stages!$2:$2,0)+1),MATCH(F$1,[2]stages!$2:$2,0)-MATCH("temp_stage",[2]stages!$2:$2,0)+1,FALSE)</f>
        <v>#N/A</v>
      </c>
      <c r="G68" s="82" t="e">
        <f ca="1">VLOOKUP($B68&amp;"_"&amp;$E68,OFFSET([2]stages!$A$1,0,0,COUNTA([2]stages!$A:$A),MATCH(G$1,[2]stages!$2:$2,0)-MATCH("temp_stage",[2]stages!$2:$2,0)+1),MATCH(G$1,[2]stages!$2:$2,0)-MATCH("temp_stage",[2]stages!$2:$2,0)+1,FALSE)</f>
        <v>#N/A</v>
      </c>
      <c r="H68" s="84">
        <v>0</v>
      </c>
      <c r="I68" s="96">
        <v>13</v>
      </c>
      <c r="J68" s="83" t="s">
        <v>199</v>
      </c>
      <c r="K68" s="93" t="str">
        <f>VLOOKUP(I68,[7]stage_hints!$A:$C,3,FALSE)</f>
        <v>ユニットの覚醒</v>
      </c>
      <c r="L68" s="94" t="str">
        <f>VLOOKUP(I68,[7]stage_hints!$A:$D,4,FALSE)</f>
        <v>ユニットを覚醒させると_x000D_比べものにならない強さが手に入ります</v>
      </c>
      <c r="M68" s="57" t="s">
        <v>214</v>
      </c>
    </row>
    <row r="69" spans="1:13" x14ac:dyDescent="0.15">
      <c r="A69" s="81" t="s">
        <v>202</v>
      </c>
      <c r="B69" s="47">
        <v>65526</v>
      </c>
      <c r="C69" s="82" t="str">
        <f ca="1">VLOOKUP($B69,OFFSET([2]quests!$A$1,0,0,COUNTA([2]quests!$A:$A),MATCH(C$1,[2]quests!$1:$1,0)-MATCH($B$1,[2]quests!$1:$1,0)+1),MATCH(C$1,[2]quests!$1:$1,0)-MATCH($B$1,[2]quests!$1:$1,0)+1,FALSE)</f>
        <v>【LB加藤】検証クエスト</v>
      </c>
      <c r="D69" s="82" t="str">
        <f ca="1">VLOOKUP($B69,OFFSET([2]quests!$A$1,0,0,COUNTA([2]quests!$A:$A),MATCH(D$1,[2]quests!$1:$1,0)-MATCH($B$1,[2]quests!$1:$1,0)+1),MATCH(D$1,[2]quests!$1:$1,0)-MATCH($B$1,[2]quests!$1:$1,0)+1,FALSE)</f>
        <v>検証</v>
      </c>
      <c r="E69" s="86" t="s">
        <v>219</v>
      </c>
      <c r="F69" s="82" t="e">
        <f ca="1">VLOOKUP($B69&amp;"_"&amp;$E69,OFFSET([2]stages!$A$1,0,0,COUNTA([2]stages!$A:$A),MATCH(F$1,[2]stages!$2:$2,0)-MATCH("temp_stage",[2]stages!$2:$2,0)+1),MATCH(F$1,[2]stages!$2:$2,0)-MATCH("temp_stage",[2]stages!$2:$2,0)+1,FALSE)</f>
        <v>#N/A</v>
      </c>
      <c r="G69" s="82" t="e">
        <f ca="1">VLOOKUP($B69&amp;"_"&amp;$E69,OFFSET([2]stages!$A$1,0,0,COUNTA([2]stages!$A:$A),MATCH(G$1,[2]stages!$2:$2,0)-MATCH("temp_stage",[2]stages!$2:$2,0)+1),MATCH(G$1,[2]stages!$2:$2,0)-MATCH("temp_stage",[2]stages!$2:$2,0)+1,FALSE)</f>
        <v>#N/A</v>
      </c>
      <c r="H69" s="84">
        <v>0</v>
      </c>
      <c r="I69" s="96">
        <v>14</v>
      </c>
      <c r="J69" s="83" t="s">
        <v>199</v>
      </c>
      <c r="K69" s="93" t="str">
        <f>VLOOKUP(I69,[7]stage_hints!$A:$C,3,FALSE)</f>
        <v>覚醒するにはレベルを最大に</v>
      </c>
      <c r="L69" s="94" t="str">
        <f>VLOOKUP(I69,[7]stage_hints!$A:$D,4,FALSE)</f>
        <v>覚醒するにはユニットのレベルを_x000D_最大まで上げる必要があります</v>
      </c>
      <c r="M69" s="57" t="s">
        <v>214</v>
      </c>
    </row>
    <row r="70" spans="1:13" x14ac:dyDescent="0.15">
      <c r="A70" s="81" t="s">
        <v>202</v>
      </c>
      <c r="B70" s="47">
        <v>65526</v>
      </c>
      <c r="C70" s="82" t="str">
        <f ca="1">VLOOKUP($B70,OFFSET([2]quests!$A$1,0,0,COUNTA([2]quests!$A:$A),MATCH(C$1,[2]quests!$1:$1,0)-MATCH($B$1,[2]quests!$1:$1,0)+1),MATCH(C$1,[2]quests!$1:$1,0)-MATCH($B$1,[2]quests!$1:$1,0)+1,FALSE)</f>
        <v>【LB加藤】検証クエスト</v>
      </c>
      <c r="D70" s="82" t="str">
        <f ca="1">VLOOKUP($B70,OFFSET([2]quests!$A$1,0,0,COUNTA([2]quests!$A:$A),MATCH(D$1,[2]quests!$1:$1,0)-MATCH($B$1,[2]quests!$1:$1,0)+1),MATCH(D$1,[2]quests!$1:$1,0)-MATCH($B$1,[2]quests!$1:$1,0)+1,FALSE)</f>
        <v>検証</v>
      </c>
      <c r="E70" s="86" t="s">
        <v>219</v>
      </c>
      <c r="F70" s="82" t="e">
        <f ca="1">VLOOKUP($B70&amp;"_"&amp;$E70,OFFSET([2]stages!$A$1,0,0,COUNTA([2]stages!$A:$A),MATCH(F$1,[2]stages!$2:$2,0)-MATCH("temp_stage",[2]stages!$2:$2,0)+1),MATCH(F$1,[2]stages!$2:$2,0)-MATCH("temp_stage",[2]stages!$2:$2,0)+1,FALSE)</f>
        <v>#N/A</v>
      </c>
      <c r="G70" s="82" t="e">
        <f ca="1">VLOOKUP($B70&amp;"_"&amp;$E70,OFFSET([2]stages!$A$1,0,0,COUNTA([2]stages!$A:$A),MATCH(G$1,[2]stages!$2:$2,0)-MATCH("temp_stage",[2]stages!$2:$2,0)+1),MATCH(G$1,[2]stages!$2:$2,0)-MATCH("temp_stage",[2]stages!$2:$2,0)+1,FALSE)</f>
        <v>#N/A</v>
      </c>
      <c r="H70" s="84">
        <v>0</v>
      </c>
      <c r="I70" s="96">
        <v>15</v>
      </c>
      <c r="J70" s="83" t="s">
        <v>199</v>
      </c>
      <c r="K70" s="93" t="str">
        <f>VLOOKUP(I70,[7]stage_hints!$A:$C,3,FALSE)</f>
        <v>覚醒素材を獲得</v>
      </c>
      <c r="L70" s="94" t="str">
        <f>VLOOKUP(I70,[7]stage_hints!$A:$D,4,FALSE)</f>
        <v>「曜日クエスト」では_x000D_ユニットの覚醒に必要な素材が手に入ります</v>
      </c>
      <c r="M70" s="57" t="s">
        <v>214</v>
      </c>
    </row>
    <row r="71" spans="1:13" x14ac:dyDescent="0.15">
      <c r="A71" s="81" t="s">
        <v>202</v>
      </c>
      <c r="B71" s="47">
        <v>65526</v>
      </c>
      <c r="C71" s="82" t="str">
        <f ca="1">VLOOKUP($B71,OFFSET([2]quests!$A$1,0,0,COUNTA([2]quests!$A:$A),MATCH(C$1,[2]quests!$1:$1,0)-MATCH($B$1,[2]quests!$1:$1,0)+1),MATCH(C$1,[2]quests!$1:$1,0)-MATCH($B$1,[2]quests!$1:$1,0)+1,FALSE)</f>
        <v>【LB加藤】検証クエスト</v>
      </c>
      <c r="D71" s="82" t="str">
        <f ca="1">VLOOKUP($B71,OFFSET([2]quests!$A$1,0,0,COUNTA([2]quests!$A:$A),MATCH(D$1,[2]quests!$1:$1,0)-MATCH($B$1,[2]quests!$1:$1,0)+1),MATCH(D$1,[2]quests!$1:$1,0)-MATCH($B$1,[2]quests!$1:$1,0)+1,FALSE)</f>
        <v>検証</v>
      </c>
      <c r="E71" s="86" t="s">
        <v>219</v>
      </c>
      <c r="F71" s="82" t="e">
        <f ca="1">VLOOKUP($B71&amp;"_"&amp;$E71,OFFSET([2]stages!$A$1,0,0,COUNTA([2]stages!$A:$A),MATCH(F$1,[2]stages!$2:$2,0)-MATCH("temp_stage",[2]stages!$2:$2,0)+1),MATCH(F$1,[2]stages!$2:$2,0)-MATCH("temp_stage",[2]stages!$2:$2,0)+1,FALSE)</f>
        <v>#N/A</v>
      </c>
      <c r="G71" s="82" t="e">
        <f ca="1">VLOOKUP($B71&amp;"_"&amp;$E71,OFFSET([2]stages!$A$1,0,0,COUNTA([2]stages!$A:$A),MATCH(G$1,[2]stages!$2:$2,0)-MATCH("temp_stage",[2]stages!$2:$2,0)+1),MATCH(G$1,[2]stages!$2:$2,0)-MATCH("temp_stage",[2]stages!$2:$2,0)+1,FALSE)</f>
        <v>#N/A</v>
      </c>
      <c r="H71" s="84">
        <v>0</v>
      </c>
      <c r="I71" s="96">
        <v>16</v>
      </c>
      <c r="J71" s="83" t="s">
        <v>199</v>
      </c>
      <c r="K71" s="93" t="str">
        <f>VLOOKUP(I71,[7]stage_hints!$A:$C,3,FALSE)</f>
        <v>マルチプレイのメリット（その1）</v>
      </c>
      <c r="L71" s="94" t="str">
        <f>VLOOKUP(I71,[7]stage_hints!$A:$D,4,FALSE)</f>
        <v>他のプレイヤーとマルチプレイで遊ぶと_x000D_ポリゴンがもらえます（100人まで）</v>
      </c>
      <c r="M71" s="57" t="s">
        <v>214</v>
      </c>
    </row>
    <row r="72" spans="1:13" x14ac:dyDescent="0.15">
      <c r="A72" s="81" t="s">
        <v>202</v>
      </c>
      <c r="B72" s="47">
        <v>65526</v>
      </c>
      <c r="C72" s="82" t="str">
        <f ca="1">VLOOKUP($B72,OFFSET([2]quests!$A$1,0,0,COUNTA([2]quests!$A:$A),MATCH(C$1,[2]quests!$1:$1,0)-MATCH($B$1,[2]quests!$1:$1,0)+1),MATCH(C$1,[2]quests!$1:$1,0)-MATCH($B$1,[2]quests!$1:$1,0)+1,FALSE)</f>
        <v>【LB加藤】検証クエスト</v>
      </c>
      <c r="D72" s="82" t="str">
        <f ca="1">VLOOKUP($B72,OFFSET([2]quests!$A$1,0,0,COUNTA([2]quests!$A:$A),MATCH(D$1,[2]quests!$1:$1,0)-MATCH($B$1,[2]quests!$1:$1,0)+1),MATCH(D$1,[2]quests!$1:$1,0)-MATCH($B$1,[2]quests!$1:$1,0)+1,FALSE)</f>
        <v>検証</v>
      </c>
      <c r="E72" s="86" t="s">
        <v>219</v>
      </c>
      <c r="F72" s="82" t="e">
        <f ca="1">VLOOKUP($B72&amp;"_"&amp;$E72,OFFSET([2]stages!$A$1,0,0,COUNTA([2]stages!$A:$A),MATCH(F$1,[2]stages!$2:$2,0)-MATCH("temp_stage",[2]stages!$2:$2,0)+1),MATCH(F$1,[2]stages!$2:$2,0)-MATCH("temp_stage",[2]stages!$2:$2,0)+1,FALSE)</f>
        <v>#N/A</v>
      </c>
      <c r="G72" s="82" t="e">
        <f ca="1">VLOOKUP($B72&amp;"_"&amp;$E72,OFFSET([2]stages!$A$1,0,0,COUNTA([2]stages!$A:$A),MATCH(G$1,[2]stages!$2:$2,0)-MATCH("temp_stage",[2]stages!$2:$2,0)+1),MATCH(G$1,[2]stages!$2:$2,0)-MATCH("temp_stage",[2]stages!$2:$2,0)+1,FALSE)</f>
        <v>#N/A</v>
      </c>
      <c r="H72" s="84">
        <v>0</v>
      </c>
      <c r="I72" s="96">
        <v>17</v>
      </c>
      <c r="J72" s="83" t="s">
        <v>199</v>
      </c>
      <c r="K72" s="93" t="str">
        <f>VLOOKUP(I72,[7]stage_hints!$A:$C,3,FALSE)</f>
        <v>リンクガチャ</v>
      </c>
      <c r="L72" s="94" t="str">
        <f>VLOOKUP(I72,[7]stage_hints!$A:$D,4,FALSE)</f>
        <v>無料のリンクガチャを回して_x000D_経験値素材や売却素材を獲得しましょう</v>
      </c>
      <c r="M72" s="57" t="s">
        <v>214</v>
      </c>
    </row>
    <row r="73" spans="1:13" x14ac:dyDescent="0.15">
      <c r="A73" s="81" t="s">
        <v>202</v>
      </c>
      <c r="B73" s="47">
        <v>65526</v>
      </c>
      <c r="C73" s="82" t="str">
        <f ca="1">VLOOKUP($B73,OFFSET([2]quests!$A$1,0,0,COUNTA([2]quests!$A:$A),MATCH(C$1,[2]quests!$1:$1,0)-MATCH($B$1,[2]quests!$1:$1,0)+1),MATCH(C$1,[2]quests!$1:$1,0)-MATCH($B$1,[2]quests!$1:$1,0)+1,FALSE)</f>
        <v>【LB加藤】検証クエスト</v>
      </c>
      <c r="D73" s="82" t="str">
        <f ca="1">VLOOKUP($B73,OFFSET([2]quests!$A$1,0,0,COUNTA([2]quests!$A:$A),MATCH(D$1,[2]quests!$1:$1,0)-MATCH($B$1,[2]quests!$1:$1,0)+1),MATCH(D$1,[2]quests!$1:$1,0)-MATCH($B$1,[2]quests!$1:$1,0)+1,FALSE)</f>
        <v>検証</v>
      </c>
      <c r="E73" s="86" t="s">
        <v>219</v>
      </c>
      <c r="F73" s="82" t="e">
        <f ca="1">VLOOKUP($B73&amp;"_"&amp;$E73,OFFSET([2]stages!$A$1,0,0,COUNTA([2]stages!$A:$A),MATCH(F$1,[2]stages!$2:$2,0)-MATCH("temp_stage",[2]stages!$2:$2,0)+1),MATCH(F$1,[2]stages!$2:$2,0)-MATCH("temp_stage",[2]stages!$2:$2,0)+1,FALSE)</f>
        <v>#N/A</v>
      </c>
      <c r="G73" s="82" t="e">
        <f ca="1">VLOOKUP($B73&amp;"_"&amp;$E73,OFFSET([2]stages!$A$1,0,0,COUNTA([2]stages!$A:$A),MATCH(G$1,[2]stages!$2:$2,0)-MATCH("temp_stage",[2]stages!$2:$2,0)+1),MATCH(G$1,[2]stages!$2:$2,0)-MATCH("temp_stage",[2]stages!$2:$2,0)+1,FALSE)</f>
        <v>#N/A</v>
      </c>
      <c r="H73" s="84">
        <v>0</v>
      </c>
      <c r="I73" s="96">
        <v>18</v>
      </c>
      <c r="J73" s="83" t="s">
        <v>199</v>
      </c>
      <c r="K73" s="93" t="str">
        <f>VLOOKUP(I73,[7]stage_hints!$A:$C,3,FALSE)</f>
        <v>マルチプレイのメリット（その2）</v>
      </c>
      <c r="L73" s="94" t="str">
        <f>VLOOKUP(I73,[7]stage_hints!$A:$D,4,FALSE)</f>
        <v>マルチプレイならリンクが2倍もらえます_x000D_リンクガチャをたくさん回しましょう</v>
      </c>
      <c r="M73" s="57" t="s">
        <v>214</v>
      </c>
    </row>
    <row r="74" spans="1:13" x14ac:dyDescent="0.15">
      <c r="A74" s="81" t="s">
        <v>202</v>
      </c>
      <c r="B74" s="47">
        <v>65526</v>
      </c>
      <c r="C74" s="82" t="str">
        <f ca="1">VLOOKUP($B74,OFFSET([2]quests!$A$1,0,0,COUNTA([2]quests!$A:$A),MATCH(C$1,[2]quests!$1:$1,0)-MATCH($B$1,[2]quests!$1:$1,0)+1),MATCH(C$1,[2]quests!$1:$1,0)-MATCH($B$1,[2]quests!$1:$1,0)+1,FALSE)</f>
        <v>【LB加藤】検証クエスト</v>
      </c>
      <c r="D74" s="82" t="str">
        <f ca="1">VLOOKUP($B74,OFFSET([2]quests!$A$1,0,0,COUNTA([2]quests!$A:$A),MATCH(D$1,[2]quests!$1:$1,0)-MATCH($B$1,[2]quests!$1:$1,0)+1),MATCH(D$1,[2]quests!$1:$1,0)-MATCH($B$1,[2]quests!$1:$1,0)+1,FALSE)</f>
        <v>検証</v>
      </c>
      <c r="E74" s="86" t="s">
        <v>219</v>
      </c>
      <c r="F74" s="82" t="e">
        <f ca="1">VLOOKUP($B74&amp;"_"&amp;$E74,OFFSET([2]stages!$A$1,0,0,COUNTA([2]stages!$A:$A),MATCH(F$1,[2]stages!$2:$2,0)-MATCH("temp_stage",[2]stages!$2:$2,0)+1),MATCH(F$1,[2]stages!$2:$2,0)-MATCH("temp_stage",[2]stages!$2:$2,0)+1,FALSE)</f>
        <v>#N/A</v>
      </c>
      <c r="G74" s="82" t="e">
        <f ca="1">VLOOKUP($B74&amp;"_"&amp;$E74,OFFSET([2]stages!$A$1,0,0,COUNTA([2]stages!$A:$A),MATCH(G$1,[2]stages!$2:$2,0)-MATCH("temp_stage",[2]stages!$2:$2,0)+1),MATCH(G$1,[2]stages!$2:$2,0)-MATCH("temp_stage",[2]stages!$2:$2,0)+1,FALSE)</f>
        <v>#N/A</v>
      </c>
      <c r="H74" s="84">
        <v>0</v>
      </c>
      <c r="I74" s="96">
        <v>19</v>
      </c>
      <c r="J74" s="83" t="s">
        <v>199</v>
      </c>
      <c r="K74" s="93" t="str">
        <f>VLOOKUP(I74,[7]stage_hints!$A:$C,3,FALSE)</f>
        <v>ソロ専用チャレンジタワー</v>
      </c>
      <c r="L74" s="94" t="str">
        <f>VLOOKUP(I74,[7]stage_hints!$A:$D,4,FALSE)</f>
        <v>ソロ専用の「チャレンジタワー」では_x000D_各フロアごとにクリア報酬がもらえます</v>
      </c>
      <c r="M74" s="57" t="s">
        <v>214</v>
      </c>
    </row>
    <row r="75" spans="1:13" x14ac:dyDescent="0.15">
      <c r="A75" s="81" t="s">
        <v>202</v>
      </c>
      <c r="B75" s="47">
        <v>65526</v>
      </c>
      <c r="C75" s="82" t="str">
        <f ca="1">VLOOKUP($B75,OFFSET([2]quests!$A$1,0,0,COUNTA([2]quests!$A:$A),MATCH(C$1,[2]quests!$1:$1,0)-MATCH($B$1,[2]quests!$1:$1,0)+1),MATCH(C$1,[2]quests!$1:$1,0)-MATCH($B$1,[2]quests!$1:$1,0)+1,FALSE)</f>
        <v>【LB加藤】検証クエスト</v>
      </c>
      <c r="D75" s="82" t="str">
        <f ca="1">VLOOKUP($B75,OFFSET([2]quests!$A$1,0,0,COUNTA([2]quests!$A:$A),MATCH(D$1,[2]quests!$1:$1,0)-MATCH($B$1,[2]quests!$1:$1,0)+1),MATCH(D$1,[2]quests!$1:$1,0)-MATCH($B$1,[2]quests!$1:$1,0)+1,FALSE)</f>
        <v>検証</v>
      </c>
      <c r="E75" s="86" t="s">
        <v>219</v>
      </c>
      <c r="F75" s="82" t="e">
        <f ca="1">VLOOKUP($B75&amp;"_"&amp;$E75,OFFSET([2]stages!$A$1,0,0,COUNTA([2]stages!$A:$A),MATCH(F$1,[2]stages!$2:$2,0)-MATCH("temp_stage",[2]stages!$2:$2,0)+1),MATCH(F$1,[2]stages!$2:$2,0)-MATCH("temp_stage",[2]stages!$2:$2,0)+1,FALSE)</f>
        <v>#N/A</v>
      </c>
      <c r="G75" s="82" t="e">
        <f ca="1">VLOOKUP($B75&amp;"_"&amp;$E75,OFFSET([2]stages!$A$1,0,0,COUNTA([2]stages!$A:$A),MATCH(G$1,[2]stages!$2:$2,0)-MATCH("temp_stage",[2]stages!$2:$2,0)+1),MATCH(G$1,[2]stages!$2:$2,0)-MATCH("temp_stage",[2]stages!$2:$2,0)+1,FALSE)</f>
        <v>#N/A</v>
      </c>
      <c r="H75" s="84">
        <v>0</v>
      </c>
      <c r="I75" s="96">
        <v>20</v>
      </c>
      <c r="J75" s="83" t="s">
        <v>199</v>
      </c>
      <c r="K75" s="93" t="str">
        <f>VLOOKUP(I75,[7]stage_hints!$A:$C,3,FALSE)</f>
        <v>マルチプレイのメリット（その3）</v>
      </c>
      <c r="L75" s="94" t="str">
        <f>VLOOKUP(I75,[7]stage_hints!$A:$D,4,FALSE)</f>
        <v>マルチプレイへの参加はエナジー消費ゼロ_x000D_いつでも好きなだけ遊ぶことができます</v>
      </c>
      <c r="M75" s="57" t="s">
        <v>214</v>
      </c>
    </row>
    <row r="76" spans="1:13" x14ac:dyDescent="0.15">
      <c r="A76" s="81" t="s">
        <v>202</v>
      </c>
      <c r="B76" s="47">
        <v>65526</v>
      </c>
      <c r="C76" s="82" t="str">
        <f ca="1">VLOOKUP($B76,OFFSET([2]quests!$A$1,0,0,COUNTA([2]quests!$A:$A),MATCH(C$1,[2]quests!$1:$1,0)-MATCH($B$1,[2]quests!$1:$1,0)+1),MATCH(C$1,[2]quests!$1:$1,0)-MATCH($B$1,[2]quests!$1:$1,0)+1,FALSE)</f>
        <v>【LB加藤】検証クエスト</v>
      </c>
      <c r="D76" s="82" t="str">
        <f ca="1">VLOOKUP($B76,OFFSET([2]quests!$A$1,0,0,COUNTA([2]quests!$A:$A),MATCH(D$1,[2]quests!$1:$1,0)-MATCH($B$1,[2]quests!$1:$1,0)+1),MATCH(D$1,[2]quests!$1:$1,0)-MATCH($B$1,[2]quests!$1:$1,0)+1,FALSE)</f>
        <v>検証</v>
      </c>
      <c r="E76" s="86" t="s">
        <v>219</v>
      </c>
      <c r="F76" s="82" t="e">
        <f ca="1">VLOOKUP($B76&amp;"_"&amp;$E76,OFFSET([2]stages!$A$1,0,0,COUNTA([2]stages!$A:$A),MATCH(F$1,[2]stages!$2:$2,0)-MATCH("temp_stage",[2]stages!$2:$2,0)+1),MATCH(F$1,[2]stages!$2:$2,0)-MATCH("temp_stage",[2]stages!$2:$2,0)+1,FALSE)</f>
        <v>#N/A</v>
      </c>
      <c r="G76" s="82" t="e">
        <f ca="1">VLOOKUP($B76&amp;"_"&amp;$E76,OFFSET([2]stages!$A$1,0,0,COUNTA([2]stages!$A:$A),MATCH(G$1,[2]stages!$2:$2,0)-MATCH("temp_stage",[2]stages!$2:$2,0)+1),MATCH(G$1,[2]stages!$2:$2,0)-MATCH("temp_stage",[2]stages!$2:$2,0)+1,FALSE)</f>
        <v>#N/A</v>
      </c>
      <c r="H76" s="84">
        <v>0</v>
      </c>
      <c r="I76" s="96">
        <v>21</v>
      </c>
      <c r="J76" s="83" t="s">
        <v>199</v>
      </c>
      <c r="K76" s="93" t="str">
        <f>VLOOKUP(I76,[7]stage_hints!$A:$C,3,FALSE)</f>
        <v>スキルを有効に</v>
      </c>
      <c r="L76" s="94" t="str">
        <f>VLOOKUP(I76,[7]stage_hints!$A:$D,4,FALSE)</f>
        <v>ターン経過でユニットのスキルが使えます_x000D_強力スキルでバトルを有利に進めましょう</v>
      </c>
      <c r="M76" s="57" t="s">
        <v>214</v>
      </c>
    </row>
    <row r="77" spans="1:13" x14ac:dyDescent="0.15">
      <c r="A77" s="81" t="s">
        <v>202</v>
      </c>
      <c r="B77" s="47">
        <v>65526</v>
      </c>
      <c r="C77" s="82" t="str">
        <f ca="1">VLOOKUP($B77,OFFSET([2]quests!$A$1,0,0,COUNTA([2]quests!$A:$A),MATCH(C$1,[2]quests!$1:$1,0)-MATCH($B$1,[2]quests!$1:$1,0)+1),MATCH(C$1,[2]quests!$1:$1,0)-MATCH($B$1,[2]quests!$1:$1,0)+1,FALSE)</f>
        <v>【LB加藤】検証クエスト</v>
      </c>
      <c r="D77" s="82" t="str">
        <f ca="1">VLOOKUP($B77,OFFSET([2]quests!$A$1,0,0,COUNTA([2]quests!$A:$A),MATCH(D$1,[2]quests!$1:$1,0)-MATCH($B$1,[2]quests!$1:$1,0)+1),MATCH(D$1,[2]quests!$1:$1,0)-MATCH($B$1,[2]quests!$1:$1,0)+1,FALSE)</f>
        <v>検証</v>
      </c>
      <c r="E77" s="86" t="s">
        <v>219</v>
      </c>
      <c r="F77" s="82" t="e">
        <f ca="1">VLOOKUP($B77&amp;"_"&amp;$E77,OFFSET([2]stages!$A$1,0,0,COUNTA([2]stages!$A:$A),MATCH(F$1,[2]stages!$2:$2,0)-MATCH("temp_stage",[2]stages!$2:$2,0)+1),MATCH(F$1,[2]stages!$2:$2,0)-MATCH("temp_stage",[2]stages!$2:$2,0)+1,FALSE)</f>
        <v>#N/A</v>
      </c>
      <c r="G77" s="82" t="e">
        <f ca="1">VLOOKUP($B77&amp;"_"&amp;$E77,OFFSET([2]stages!$A$1,0,0,COUNTA([2]stages!$A:$A),MATCH(G$1,[2]stages!$2:$2,0)-MATCH("temp_stage",[2]stages!$2:$2,0)+1),MATCH(G$1,[2]stages!$2:$2,0)-MATCH("temp_stage",[2]stages!$2:$2,0)+1,FALSE)</f>
        <v>#N/A</v>
      </c>
      <c r="H77" s="84">
        <v>0</v>
      </c>
      <c r="I77" s="96">
        <v>22</v>
      </c>
      <c r="J77" s="83" t="s">
        <v>199</v>
      </c>
      <c r="K77" s="93" t="str">
        <f>VLOOKUP(I77,[7]stage_hints!$A:$C,3,FALSE)</f>
        <v>フィーバーで一発逆転（その1）</v>
      </c>
      <c r="L77" s="94" t="str">
        <f>VLOOKUP(I77,[7]stage_hints!$A:$D,4,FALSE)</f>
        <v>フィーバーは攻撃と回復を兼ね備えます_x000D_ピンチからの一発逆転を狙いましょう</v>
      </c>
      <c r="M77" s="57" t="s">
        <v>214</v>
      </c>
    </row>
    <row r="78" spans="1:13" x14ac:dyDescent="0.15">
      <c r="A78" s="81" t="s">
        <v>202</v>
      </c>
      <c r="B78" s="47">
        <v>65526</v>
      </c>
      <c r="C78" s="82" t="str">
        <f ca="1">VLOOKUP($B78,OFFSET([2]quests!$A$1,0,0,COUNTA([2]quests!$A:$A),MATCH(C$1,[2]quests!$1:$1,0)-MATCH($B$1,[2]quests!$1:$1,0)+1),MATCH(C$1,[2]quests!$1:$1,0)-MATCH($B$1,[2]quests!$1:$1,0)+1,FALSE)</f>
        <v>【LB加藤】検証クエスト</v>
      </c>
      <c r="D78" s="82" t="str">
        <f ca="1">VLOOKUP($B78,OFFSET([2]quests!$A$1,0,0,COUNTA([2]quests!$A:$A),MATCH(D$1,[2]quests!$1:$1,0)-MATCH($B$1,[2]quests!$1:$1,0)+1),MATCH(D$1,[2]quests!$1:$1,0)-MATCH($B$1,[2]quests!$1:$1,0)+1,FALSE)</f>
        <v>検証</v>
      </c>
      <c r="E78" s="86" t="s">
        <v>219</v>
      </c>
      <c r="F78" s="82" t="e">
        <f ca="1">VLOOKUP($B78&amp;"_"&amp;$E78,OFFSET([2]stages!$A$1,0,0,COUNTA([2]stages!$A:$A),MATCH(F$1,[2]stages!$2:$2,0)-MATCH("temp_stage",[2]stages!$2:$2,0)+1),MATCH(F$1,[2]stages!$2:$2,0)-MATCH("temp_stage",[2]stages!$2:$2,0)+1,FALSE)</f>
        <v>#N/A</v>
      </c>
      <c r="G78" s="82" t="e">
        <f ca="1">VLOOKUP($B78&amp;"_"&amp;$E78,OFFSET([2]stages!$A$1,0,0,COUNTA([2]stages!$A:$A),MATCH(G$1,[2]stages!$2:$2,0)-MATCH("temp_stage",[2]stages!$2:$2,0)+1),MATCH(G$1,[2]stages!$2:$2,0)-MATCH("temp_stage",[2]stages!$2:$2,0)+1,FALSE)</f>
        <v>#N/A</v>
      </c>
      <c r="H78" s="84">
        <v>0</v>
      </c>
      <c r="I78" s="96">
        <v>23</v>
      </c>
      <c r="J78" s="83" t="s">
        <v>199</v>
      </c>
      <c r="K78" s="93" t="str">
        <f>VLOOKUP(I78,[7]stage_hints!$A:$C,3,FALSE)</f>
        <v>フィーバーで一発逆転（その2）</v>
      </c>
      <c r="L78" s="94" t="str">
        <f>VLOOKUP(I78,[7]stage_hints!$A:$D,4,FALSE)</f>
        <v>フィーバー中は虹色のボムパネルを狙って_x000D_画面上のパネルを一気に破壊しましょう</v>
      </c>
      <c r="M78" s="57" t="s">
        <v>214</v>
      </c>
    </row>
    <row r="79" spans="1:13" x14ac:dyDescent="0.15">
      <c r="A79" s="81" t="s">
        <v>202</v>
      </c>
      <c r="B79" s="47">
        <v>65526</v>
      </c>
      <c r="C79" s="82" t="str">
        <f ca="1">VLOOKUP($B79,OFFSET([2]quests!$A$1,0,0,COUNTA([2]quests!$A:$A),MATCH(C$1,[2]quests!$1:$1,0)-MATCH($B$1,[2]quests!$1:$1,0)+1),MATCH(C$1,[2]quests!$1:$1,0)-MATCH($B$1,[2]quests!$1:$1,0)+1,FALSE)</f>
        <v>【LB加藤】検証クエスト</v>
      </c>
      <c r="D79" s="82" t="str">
        <f ca="1">VLOOKUP($B79,OFFSET([2]quests!$A$1,0,0,COUNTA([2]quests!$A:$A),MATCH(D$1,[2]quests!$1:$1,0)-MATCH($B$1,[2]quests!$1:$1,0)+1),MATCH(D$1,[2]quests!$1:$1,0)-MATCH($B$1,[2]quests!$1:$1,0)+1,FALSE)</f>
        <v>検証</v>
      </c>
      <c r="E79" s="86" t="s">
        <v>219</v>
      </c>
      <c r="F79" s="82" t="e">
        <f ca="1">VLOOKUP($B79&amp;"_"&amp;$E79,OFFSET([2]stages!$A$1,0,0,COUNTA([2]stages!$A:$A),MATCH(F$1,[2]stages!$2:$2,0)-MATCH("temp_stage",[2]stages!$2:$2,0)+1),MATCH(F$1,[2]stages!$2:$2,0)-MATCH("temp_stage",[2]stages!$2:$2,0)+1,FALSE)</f>
        <v>#N/A</v>
      </c>
      <c r="G79" s="82" t="e">
        <f ca="1">VLOOKUP($B79&amp;"_"&amp;$E79,OFFSET([2]stages!$A$1,0,0,COUNTA([2]stages!$A:$A),MATCH(G$1,[2]stages!$2:$2,0)-MATCH("temp_stage",[2]stages!$2:$2,0)+1),MATCH(G$1,[2]stages!$2:$2,0)-MATCH("temp_stage",[2]stages!$2:$2,0)+1,FALSE)</f>
        <v>#N/A</v>
      </c>
      <c r="H79" s="84">
        <v>0</v>
      </c>
      <c r="I79" s="96">
        <v>24</v>
      </c>
      <c r="J79" s="83" t="s">
        <v>199</v>
      </c>
      <c r="K79" s="93" t="str">
        <f>VLOOKUP(I79,[7]stage_hints!$A:$C,3,FALSE)</f>
        <v>りんごを使って限界突破</v>
      </c>
      <c r="L79" s="94" t="str">
        <f>VLOOKUP(I79,[7]stage_hints!$A:$D,4,FALSE)</f>
        <v>赤りんご(攻撃力) 青りんご(回復力)_x000D_緑りんご(体力)をユニット強化に使うと_x000D_ステータスが限界突破します（計99個迄）</v>
      </c>
      <c r="M79" s="57" t="s">
        <v>214</v>
      </c>
    </row>
    <row r="80" spans="1:13" x14ac:dyDescent="0.15">
      <c r="A80" s="81" t="s">
        <v>202</v>
      </c>
      <c r="B80" s="47">
        <v>65526</v>
      </c>
      <c r="C80" s="82" t="str">
        <f ca="1">VLOOKUP($B80,OFFSET([2]quests!$A$1,0,0,COUNTA([2]quests!$A:$A),MATCH(C$1,[2]quests!$1:$1,0)-MATCH($B$1,[2]quests!$1:$1,0)+1),MATCH(C$1,[2]quests!$1:$1,0)-MATCH($B$1,[2]quests!$1:$1,0)+1,FALSE)</f>
        <v>【LB加藤】検証クエスト</v>
      </c>
      <c r="D80" s="82" t="str">
        <f ca="1">VLOOKUP($B80,OFFSET([2]quests!$A$1,0,0,COUNTA([2]quests!$A:$A),MATCH(D$1,[2]quests!$1:$1,0)-MATCH($B$1,[2]quests!$1:$1,0)+1),MATCH(D$1,[2]quests!$1:$1,0)-MATCH($B$1,[2]quests!$1:$1,0)+1,FALSE)</f>
        <v>検証</v>
      </c>
      <c r="E80" s="86" t="s">
        <v>219</v>
      </c>
      <c r="F80" s="82" t="e">
        <f ca="1">VLOOKUP($B80&amp;"_"&amp;$E80,OFFSET([2]stages!$A$1,0,0,COUNTA([2]stages!$A:$A),MATCH(F$1,[2]stages!$2:$2,0)-MATCH("temp_stage",[2]stages!$2:$2,0)+1),MATCH(F$1,[2]stages!$2:$2,0)-MATCH("temp_stage",[2]stages!$2:$2,0)+1,FALSE)</f>
        <v>#N/A</v>
      </c>
      <c r="G80" s="82" t="e">
        <f ca="1">VLOOKUP($B80&amp;"_"&amp;$E80,OFFSET([2]stages!$A$1,0,0,COUNTA([2]stages!$A:$A),MATCH(G$1,[2]stages!$2:$2,0)-MATCH("temp_stage",[2]stages!$2:$2,0)+1),MATCH(G$1,[2]stages!$2:$2,0)-MATCH("temp_stage",[2]stages!$2:$2,0)+1,FALSE)</f>
        <v>#N/A</v>
      </c>
      <c r="H80" s="84">
        <v>0</v>
      </c>
      <c r="I80" s="96">
        <v>25</v>
      </c>
      <c r="J80" s="83" t="s">
        <v>199</v>
      </c>
      <c r="K80" s="93" t="str">
        <f>VLOOKUP(I80,[7]stage_hints!$A:$C,3,FALSE)</f>
        <v>スキルレベルアップ</v>
      </c>
      <c r="L80" s="94" t="str">
        <f>VLOOKUP(I80,[7]stage_hints!$A:$D,4,FALSE)</f>
        <v>「クリスタルのりんご」を強化に使うと_x000D_スキルレベルを上げることができます</v>
      </c>
      <c r="M80" s="57" t="s">
        <v>214</v>
      </c>
    </row>
    <row r="81" spans="1:13" x14ac:dyDescent="0.15">
      <c r="A81" s="81" t="s">
        <v>202</v>
      </c>
      <c r="B81" s="47">
        <v>65526</v>
      </c>
      <c r="C81" s="82" t="str">
        <f ca="1">VLOOKUP($B81,OFFSET([2]quests!$A$1,0,0,COUNTA([2]quests!$A:$A),MATCH(C$1,[2]quests!$1:$1,0)-MATCH($B$1,[2]quests!$1:$1,0)+1),MATCH(C$1,[2]quests!$1:$1,0)-MATCH($B$1,[2]quests!$1:$1,0)+1,FALSE)</f>
        <v>【LB加藤】検証クエスト</v>
      </c>
      <c r="D81" s="82" t="str">
        <f ca="1">VLOOKUP($B81,OFFSET([2]quests!$A$1,0,0,COUNTA([2]quests!$A:$A),MATCH(D$1,[2]quests!$1:$1,0)-MATCH($B$1,[2]quests!$1:$1,0)+1),MATCH(D$1,[2]quests!$1:$1,0)-MATCH($B$1,[2]quests!$1:$1,0)+1,FALSE)</f>
        <v>検証</v>
      </c>
      <c r="E81" s="86" t="s">
        <v>219</v>
      </c>
      <c r="F81" s="82" t="e">
        <f ca="1">VLOOKUP($B81&amp;"_"&amp;$E81,OFFSET([2]stages!$A$1,0,0,COUNTA([2]stages!$A:$A),MATCH(F$1,[2]stages!$2:$2,0)-MATCH("temp_stage",[2]stages!$2:$2,0)+1),MATCH(F$1,[2]stages!$2:$2,0)-MATCH("temp_stage",[2]stages!$2:$2,0)+1,FALSE)</f>
        <v>#N/A</v>
      </c>
      <c r="G81" s="82" t="e">
        <f ca="1">VLOOKUP($B81&amp;"_"&amp;$E81,OFFSET([2]stages!$A$1,0,0,COUNTA([2]stages!$A:$A),MATCH(G$1,[2]stages!$2:$2,0)-MATCH("temp_stage",[2]stages!$2:$2,0)+1),MATCH(G$1,[2]stages!$2:$2,0)-MATCH("temp_stage",[2]stages!$2:$2,0)+1,FALSE)</f>
        <v>#N/A</v>
      </c>
      <c r="H81" s="84">
        <v>0</v>
      </c>
      <c r="I81" s="96">
        <v>26</v>
      </c>
      <c r="J81" s="83" t="s">
        <v>199</v>
      </c>
      <c r="K81" s="93" t="str">
        <f>VLOOKUP(I81,[7]stage_hints!$A:$C,3,FALSE)</f>
        <v>スキルレベルの効果</v>
      </c>
      <c r="L81" s="94" t="str">
        <f>VLOOKUP(I81,[7]stage_hints!$A:$D,4,FALSE)</f>
        <v>スキルレベルが上がると_x000D_短いターンでスキルを使うことができます</v>
      </c>
      <c r="M81" s="57" t="s">
        <v>214</v>
      </c>
    </row>
    <row r="82" spans="1:13" x14ac:dyDescent="0.15">
      <c r="A82" s="81" t="s">
        <v>202</v>
      </c>
      <c r="B82" s="47">
        <v>65526</v>
      </c>
      <c r="C82" s="82" t="str">
        <f ca="1">VLOOKUP($B82,OFFSET([2]quests!$A$1,0,0,COUNTA([2]quests!$A:$A),MATCH(C$1,[2]quests!$1:$1,0)-MATCH($B$1,[2]quests!$1:$1,0)+1),MATCH(C$1,[2]quests!$1:$1,0)-MATCH($B$1,[2]quests!$1:$1,0)+1,FALSE)</f>
        <v>【LB加藤】検証クエスト</v>
      </c>
      <c r="D82" s="82" t="str">
        <f ca="1">VLOOKUP($B82,OFFSET([2]quests!$A$1,0,0,COUNTA([2]quests!$A:$A),MATCH(D$1,[2]quests!$1:$1,0)-MATCH($B$1,[2]quests!$1:$1,0)+1),MATCH(D$1,[2]quests!$1:$1,0)-MATCH($B$1,[2]quests!$1:$1,0)+1,FALSE)</f>
        <v>検証</v>
      </c>
      <c r="E82" s="86" t="s">
        <v>219</v>
      </c>
      <c r="F82" s="82" t="e">
        <f ca="1">VLOOKUP($B82&amp;"_"&amp;$E82,OFFSET([2]stages!$A$1,0,0,COUNTA([2]stages!$A:$A),MATCH(F$1,[2]stages!$2:$2,0)-MATCH("temp_stage",[2]stages!$2:$2,0)+1),MATCH(F$1,[2]stages!$2:$2,0)-MATCH("temp_stage",[2]stages!$2:$2,0)+1,FALSE)</f>
        <v>#N/A</v>
      </c>
      <c r="G82" s="82" t="e">
        <f ca="1">VLOOKUP($B82&amp;"_"&amp;$E82,OFFSET([2]stages!$A$1,0,0,COUNTA([2]stages!$A:$A),MATCH(G$1,[2]stages!$2:$2,0)-MATCH("temp_stage",[2]stages!$2:$2,0)+1),MATCH(G$1,[2]stages!$2:$2,0)-MATCH("temp_stage",[2]stages!$2:$2,0)+1,FALSE)</f>
        <v>#N/A</v>
      </c>
      <c r="H82" s="84">
        <v>0</v>
      </c>
      <c r="I82" s="96">
        <v>27</v>
      </c>
      <c r="J82" s="83" t="s">
        <v>199</v>
      </c>
      <c r="K82" s="93" t="str">
        <f>VLOOKUP(I82,[7]stage_hints!$A:$C,3,FALSE)</f>
        <v>ホーム画面からデッキを編成</v>
      </c>
      <c r="L82" s="94" t="str">
        <f>VLOOKUP(I82,[7]stage_hints!$A:$D,4,FALSE)</f>
        <v>ホーム画面でユニットを長押しすると_x000D_すぐにパーティ編成に移動できます</v>
      </c>
      <c r="M82" s="57" t="s">
        <v>214</v>
      </c>
    </row>
    <row r="83" spans="1:13" x14ac:dyDescent="0.15">
      <c r="A83" s="81" t="s">
        <v>202</v>
      </c>
      <c r="B83" s="47">
        <v>65526</v>
      </c>
      <c r="C83" s="82" t="str">
        <f ca="1">VLOOKUP($B83,OFFSET([2]quests!$A$1,0,0,COUNTA([2]quests!$A:$A),MATCH(C$1,[2]quests!$1:$1,0)-MATCH($B$1,[2]quests!$1:$1,0)+1),MATCH(C$1,[2]quests!$1:$1,0)-MATCH($B$1,[2]quests!$1:$1,0)+1,FALSE)</f>
        <v>【LB加藤】検証クエスト</v>
      </c>
      <c r="D83" s="82" t="str">
        <f ca="1">VLOOKUP($B83,OFFSET([2]quests!$A$1,0,0,COUNTA([2]quests!$A:$A),MATCH(D$1,[2]quests!$1:$1,0)-MATCH($B$1,[2]quests!$1:$1,0)+1),MATCH(D$1,[2]quests!$1:$1,0)-MATCH($B$1,[2]quests!$1:$1,0)+1,FALSE)</f>
        <v>検証</v>
      </c>
      <c r="E83" s="86" t="s">
        <v>219</v>
      </c>
      <c r="F83" s="82" t="e">
        <f ca="1">VLOOKUP($B83&amp;"_"&amp;$E83,OFFSET([2]stages!$A$1,0,0,COUNTA([2]stages!$A:$A),MATCH(F$1,[2]stages!$2:$2,0)-MATCH("temp_stage",[2]stages!$2:$2,0)+1),MATCH(F$1,[2]stages!$2:$2,0)-MATCH("temp_stage",[2]stages!$2:$2,0)+1,FALSE)</f>
        <v>#N/A</v>
      </c>
      <c r="G83" s="82" t="e">
        <f ca="1">VLOOKUP($B83&amp;"_"&amp;$E83,OFFSET([2]stages!$A$1,0,0,COUNTA([2]stages!$A:$A),MATCH(G$1,[2]stages!$2:$2,0)-MATCH("temp_stage",[2]stages!$2:$2,0)+1),MATCH(G$1,[2]stages!$2:$2,0)-MATCH("temp_stage",[2]stages!$2:$2,0)+1,FALSE)</f>
        <v>#N/A</v>
      </c>
      <c r="H83" s="84">
        <v>0</v>
      </c>
      <c r="I83" s="96">
        <v>28</v>
      </c>
      <c r="J83" s="83" t="s">
        <v>199</v>
      </c>
      <c r="K83" s="93" t="str">
        <f>VLOOKUP(I83,[7]stage_hints!$A:$C,3,FALSE)</f>
        <v>ステータス情報は長押しで</v>
      </c>
      <c r="L83" s="94" t="str">
        <f>VLOOKUP(I83,[7]stage_hints!$A:$D,4,FALSE)</f>
        <v>ユニットのアイコンを長押しすると_x000D_ステータス情報を確認することができます</v>
      </c>
      <c r="M83" s="57" t="s">
        <v>214</v>
      </c>
    </row>
    <row r="84" spans="1:13" x14ac:dyDescent="0.15">
      <c r="A84" s="81" t="s">
        <v>202</v>
      </c>
      <c r="B84" s="47">
        <v>65526</v>
      </c>
      <c r="C84" s="82" t="str">
        <f ca="1">VLOOKUP($B84,OFFSET([2]quests!$A$1,0,0,COUNTA([2]quests!$A:$A),MATCH(C$1,[2]quests!$1:$1,0)-MATCH($B$1,[2]quests!$1:$1,0)+1),MATCH(C$1,[2]quests!$1:$1,0)-MATCH($B$1,[2]quests!$1:$1,0)+1,FALSE)</f>
        <v>【LB加藤】検証クエスト</v>
      </c>
      <c r="D84" s="82" t="str">
        <f ca="1">VLOOKUP($B84,OFFSET([2]quests!$A$1,0,0,COUNTA([2]quests!$A:$A),MATCH(D$1,[2]quests!$1:$1,0)-MATCH($B$1,[2]quests!$1:$1,0)+1),MATCH(D$1,[2]quests!$1:$1,0)-MATCH($B$1,[2]quests!$1:$1,0)+1,FALSE)</f>
        <v>検証</v>
      </c>
      <c r="E84" s="86" t="s">
        <v>219</v>
      </c>
      <c r="F84" s="82" t="e">
        <f ca="1">VLOOKUP($B84&amp;"_"&amp;$E84,OFFSET([2]stages!$A$1,0,0,COUNTA([2]stages!$A:$A),MATCH(F$1,[2]stages!$2:$2,0)-MATCH("temp_stage",[2]stages!$2:$2,0)+1),MATCH(F$1,[2]stages!$2:$2,0)-MATCH("temp_stage",[2]stages!$2:$2,0)+1,FALSE)</f>
        <v>#N/A</v>
      </c>
      <c r="G84" s="82" t="e">
        <f ca="1">VLOOKUP($B84&amp;"_"&amp;$E84,OFFSET([2]stages!$A$1,0,0,COUNTA([2]stages!$A:$A),MATCH(G$1,[2]stages!$2:$2,0)-MATCH("temp_stage",[2]stages!$2:$2,0)+1),MATCH(G$1,[2]stages!$2:$2,0)-MATCH("temp_stage",[2]stages!$2:$2,0)+1,FALSE)</f>
        <v>#N/A</v>
      </c>
      <c r="H84" s="84">
        <v>0</v>
      </c>
      <c r="I84" s="96">
        <v>29</v>
      </c>
      <c r="J84" s="83" t="s">
        <v>199</v>
      </c>
      <c r="K84" s="93" t="str">
        <f>VLOOKUP(I84,[7]stage_hints!$A:$C,3,FALSE)</f>
        <v>「バグ」のメリット</v>
      </c>
      <c r="L84" s="94" t="str">
        <f>VLOOKUP(I84,[7]stage_hints!$A:$D,4,FALSE)</f>
        <v>ユニットの「バグ」を増やすと_x000D_報酬をもらえる確率がアップします</v>
      </c>
      <c r="M84" s="57" t="s">
        <v>214</v>
      </c>
    </row>
    <row r="85" spans="1:13" x14ac:dyDescent="0.15">
      <c r="A85" s="81" t="s">
        <v>202</v>
      </c>
      <c r="B85" s="47">
        <v>65526</v>
      </c>
      <c r="C85" s="82" t="str">
        <f ca="1">VLOOKUP($B85,OFFSET([2]quests!$A$1,0,0,COUNTA([2]quests!$A:$A),MATCH(C$1,[2]quests!$1:$1,0)-MATCH($B$1,[2]quests!$1:$1,0)+1),MATCH(C$1,[2]quests!$1:$1,0)-MATCH($B$1,[2]quests!$1:$1,0)+1,FALSE)</f>
        <v>【LB加藤】検証クエスト</v>
      </c>
      <c r="D85" s="82" t="str">
        <f ca="1">VLOOKUP($B85,OFFSET([2]quests!$A$1,0,0,COUNTA([2]quests!$A:$A),MATCH(D$1,[2]quests!$1:$1,0)-MATCH($B$1,[2]quests!$1:$1,0)+1),MATCH(D$1,[2]quests!$1:$1,0)-MATCH($B$1,[2]quests!$1:$1,0)+1,FALSE)</f>
        <v>検証</v>
      </c>
      <c r="E85" s="86" t="s">
        <v>219</v>
      </c>
      <c r="F85" s="82" t="e">
        <f ca="1">VLOOKUP($B85&amp;"_"&amp;$E85,OFFSET([2]stages!$A$1,0,0,COUNTA([2]stages!$A:$A),MATCH(F$1,[2]stages!$2:$2,0)-MATCH("temp_stage",[2]stages!$2:$2,0)+1),MATCH(F$1,[2]stages!$2:$2,0)-MATCH("temp_stage",[2]stages!$2:$2,0)+1,FALSE)</f>
        <v>#N/A</v>
      </c>
      <c r="G85" s="82" t="e">
        <f ca="1">VLOOKUP($B85&amp;"_"&amp;$E85,OFFSET([2]stages!$A$1,0,0,COUNTA([2]stages!$A:$A),MATCH(G$1,[2]stages!$2:$2,0)-MATCH("temp_stage",[2]stages!$2:$2,0)+1),MATCH(G$1,[2]stages!$2:$2,0)-MATCH("temp_stage",[2]stages!$2:$2,0)+1,FALSE)</f>
        <v>#N/A</v>
      </c>
      <c r="H85" s="84">
        <v>0</v>
      </c>
      <c r="I85" s="96">
        <v>30</v>
      </c>
      <c r="J85" s="83" t="s">
        <v>199</v>
      </c>
      <c r="K85" s="93" t="str">
        <f>VLOOKUP(I85,[7]stage_hints!$A:$C,3,FALSE)</f>
        <v>「バグ」の増やし方</v>
      </c>
      <c r="L85" s="94" t="str">
        <f>VLOOKUP(I85,[7]stage_hints!$A:$D,4,FALSE)</f>
        <v>同じユニット同士を強化で合成すると_x000D_「バグ」を増やすことができます</v>
      </c>
      <c r="M85" s="57" t="s">
        <v>214</v>
      </c>
    </row>
    <row r="86" spans="1:13" x14ac:dyDescent="0.15">
      <c r="A86" s="81" t="s">
        <v>202</v>
      </c>
      <c r="B86" s="47">
        <v>65526</v>
      </c>
      <c r="C86" s="82" t="str">
        <f ca="1">VLOOKUP($B86,OFFSET([2]quests!$A$1,0,0,COUNTA([2]quests!$A:$A),MATCH(C$1,[2]quests!$1:$1,0)-MATCH($B$1,[2]quests!$1:$1,0)+1),MATCH(C$1,[2]quests!$1:$1,0)-MATCH($B$1,[2]quests!$1:$1,0)+1,FALSE)</f>
        <v>【LB加藤】検証クエスト</v>
      </c>
      <c r="D86" s="82" t="str">
        <f ca="1">VLOOKUP($B86,OFFSET([2]quests!$A$1,0,0,COUNTA([2]quests!$A:$A),MATCH(D$1,[2]quests!$1:$1,0)-MATCH($B$1,[2]quests!$1:$1,0)+1),MATCH(D$1,[2]quests!$1:$1,0)-MATCH($B$1,[2]quests!$1:$1,0)+1,FALSE)</f>
        <v>検証</v>
      </c>
      <c r="E86" s="86" t="s">
        <v>219</v>
      </c>
      <c r="F86" s="82" t="e">
        <f ca="1">VLOOKUP($B86&amp;"_"&amp;$E86,OFFSET([2]stages!$A$1,0,0,COUNTA([2]stages!$A:$A),MATCH(F$1,[2]stages!$2:$2,0)-MATCH("temp_stage",[2]stages!$2:$2,0)+1),MATCH(F$1,[2]stages!$2:$2,0)-MATCH("temp_stage",[2]stages!$2:$2,0)+1,FALSE)</f>
        <v>#N/A</v>
      </c>
      <c r="G86" s="82" t="e">
        <f ca="1">VLOOKUP($B86&amp;"_"&amp;$E86,OFFSET([2]stages!$A$1,0,0,COUNTA([2]stages!$A:$A),MATCH(G$1,[2]stages!$2:$2,0)-MATCH("temp_stage",[2]stages!$2:$2,0)+1),MATCH(G$1,[2]stages!$2:$2,0)-MATCH("temp_stage",[2]stages!$2:$2,0)+1,FALSE)</f>
        <v>#N/A</v>
      </c>
      <c r="H86" s="84">
        <v>0</v>
      </c>
      <c r="I86" s="96">
        <v>31</v>
      </c>
      <c r="J86" s="83" t="s">
        <v>199</v>
      </c>
      <c r="K86" s="93" t="str">
        <f>VLOOKUP(I86,[7]stage_hints!$A:$C,3,FALSE)</f>
        <v>イベントはお知らせでチェック</v>
      </c>
      <c r="L86" s="94" t="str">
        <f>VLOOKUP(I86,[7]stage_hints!$A:$D,4,FALSE)</f>
        <v>イベント限定ユニットを取り忘れないように_x000D_お知らせをこまめにチェックしましょう</v>
      </c>
      <c r="M86" s="57" t="s">
        <v>214</v>
      </c>
    </row>
    <row r="87" spans="1:13" x14ac:dyDescent="0.15">
      <c r="A87" s="81" t="s">
        <v>202</v>
      </c>
      <c r="B87" s="47">
        <v>65526</v>
      </c>
      <c r="C87" s="82" t="str">
        <f ca="1">VLOOKUP($B87,OFFSET([2]quests!$A$1,0,0,COUNTA([2]quests!$A:$A),MATCH(C$1,[2]quests!$1:$1,0)-MATCH($B$1,[2]quests!$1:$1,0)+1),MATCH(C$1,[2]quests!$1:$1,0)-MATCH($B$1,[2]quests!$1:$1,0)+1,FALSE)</f>
        <v>【LB加藤】検証クエスト</v>
      </c>
      <c r="D87" s="82" t="str">
        <f ca="1">VLOOKUP($B87,OFFSET([2]quests!$A$1,0,0,COUNTA([2]quests!$A:$A),MATCH(D$1,[2]quests!$1:$1,0)-MATCH($B$1,[2]quests!$1:$1,0)+1),MATCH(D$1,[2]quests!$1:$1,0)-MATCH($B$1,[2]quests!$1:$1,0)+1,FALSE)</f>
        <v>検証</v>
      </c>
      <c r="E87" s="86" t="s">
        <v>219</v>
      </c>
      <c r="F87" s="82" t="e">
        <f ca="1">VLOOKUP($B87&amp;"_"&amp;$E87,OFFSET([2]stages!$A$1,0,0,COUNTA([2]stages!$A:$A),MATCH(F$1,[2]stages!$2:$2,0)-MATCH("temp_stage",[2]stages!$2:$2,0)+1),MATCH(F$1,[2]stages!$2:$2,0)-MATCH("temp_stage",[2]stages!$2:$2,0)+1,FALSE)</f>
        <v>#N/A</v>
      </c>
      <c r="G87" s="82" t="e">
        <f ca="1">VLOOKUP($B87&amp;"_"&amp;$E87,OFFSET([2]stages!$A$1,0,0,COUNTA([2]stages!$A:$A),MATCH(G$1,[2]stages!$2:$2,0)-MATCH("temp_stage",[2]stages!$2:$2,0)+1),MATCH(G$1,[2]stages!$2:$2,0)-MATCH("temp_stage",[2]stages!$2:$2,0)+1,FALSE)</f>
        <v>#N/A</v>
      </c>
      <c r="H87" s="84">
        <v>0</v>
      </c>
      <c r="I87" s="96">
        <v>32</v>
      </c>
      <c r="J87" s="83" t="s">
        <v>199</v>
      </c>
      <c r="K87" s="93" t="str">
        <f>VLOOKUP(I87,[7]stage_hints!$A:$C,3,FALSE)</f>
        <v>敵の連続攻撃には</v>
      </c>
      <c r="L87" s="94" t="str">
        <f>VLOOKUP(I87,[7]stage_hints!$A:$D,4,FALSE)</f>
        <v>カウンタースキルを持つユニットがいれば_x000D_ダメージ回数分の反撃ができます</v>
      </c>
      <c r="M87" s="57" t="s">
        <v>214</v>
      </c>
    </row>
    <row r="88" spans="1:13" x14ac:dyDescent="0.15">
      <c r="A88" s="81" t="s">
        <v>202</v>
      </c>
      <c r="B88" s="47">
        <v>65526</v>
      </c>
      <c r="C88" s="82" t="str">
        <f ca="1">VLOOKUP($B88,OFFSET([2]quests!$A$1,0,0,COUNTA([2]quests!$A:$A),MATCH(C$1,[2]quests!$1:$1,0)-MATCH($B$1,[2]quests!$1:$1,0)+1),MATCH(C$1,[2]quests!$1:$1,0)-MATCH($B$1,[2]quests!$1:$1,0)+1,FALSE)</f>
        <v>【LB加藤】検証クエスト</v>
      </c>
      <c r="D88" s="82" t="str">
        <f ca="1">VLOOKUP($B88,OFFSET([2]quests!$A$1,0,0,COUNTA([2]quests!$A:$A),MATCH(D$1,[2]quests!$1:$1,0)-MATCH($B$1,[2]quests!$1:$1,0)+1),MATCH(D$1,[2]quests!$1:$1,0)-MATCH($B$1,[2]quests!$1:$1,0)+1,FALSE)</f>
        <v>検証</v>
      </c>
      <c r="E88" s="86" t="s">
        <v>219</v>
      </c>
      <c r="F88" s="82" t="e">
        <f ca="1">VLOOKUP($B88&amp;"_"&amp;$E88,OFFSET([2]stages!$A$1,0,0,COUNTA([2]stages!$A:$A),MATCH(F$1,[2]stages!$2:$2,0)-MATCH("temp_stage",[2]stages!$2:$2,0)+1),MATCH(F$1,[2]stages!$2:$2,0)-MATCH("temp_stage",[2]stages!$2:$2,0)+1,FALSE)</f>
        <v>#N/A</v>
      </c>
      <c r="G88" s="82" t="e">
        <f ca="1">VLOOKUP($B88&amp;"_"&amp;$E88,OFFSET([2]stages!$A$1,0,0,COUNTA([2]stages!$A:$A),MATCH(G$1,[2]stages!$2:$2,0)-MATCH("temp_stage",[2]stages!$2:$2,0)+1),MATCH(G$1,[2]stages!$2:$2,0)-MATCH("temp_stage",[2]stages!$2:$2,0)+1,FALSE)</f>
        <v>#N/A</v>
      </c>
      <c r="H88" s="84">
        <v>0</v>
      </c>
      <c r="I88" s="96">
        <v>33</v>
      </c>
      <c r="J88" s="83" t="s">
        <v>199</v>
      </c>
      <c r="K88" s="93" t="str">
        <f>VLOOKUP(I88,[7]stage_hints!$A:$C,3,FALSE)</f>
        <v>敵のカウンター攻撃には</v>
      </c>
      <c r="L88" s="94" t="str">
        <f>VLOOKUP(I88,[7]stage_hints!$A:$D,4,FALSE)</f>
        <v>カウンターブレイクスキルを持っていれば_x000D_敵のカウンターを解除して攻撃ができます</v>
      </c>
      <c r="M88" s="57" t="s">
        <v>214</v>
      </c>
    </row>
    <row r="89" spans="1:13" x14ac:dyDescent="0.15">
      <c r="A89" s="81" t="s">
        <v>202</v>
      </c>
      <c r="B89" s="47">
        <v>65526</v>
      </c>
      <c r="C89" s="82" t="str">
        <f ca="1">VLOOKUP($B89,OFFSET([2]quests!$A$1,0,0,COUNTA([2]quests!$A:$A),MATCH(C$1,[2]quests!$1:$1,0)-MATCH($B$1,[2]quests!$1:$1,0)+1),MATCH(C$1,[2]quests!$1:$1,0)-MATCH($B$1,[2]quests!$1:$1,0)+1,FALSE)</f>
        <v>【LB加藤】検証クエスト</v>
      </c>
      <c r="D89" s="82" t="str">
        <f ca="1">VLOOKUP($B89,OFFSET([2]quests!$A$1,0,0,COUNTA([2]quests!$A:$A),MATCH(D$1,[2]quests!$1:$1,0)-MATCH($B$1,[2]quests!$1:$1,0)+1),MATCH(D$1,[2]quests!$1:$1,0)-MATCH($B$1,[2]quests!$1:$1,0)+1,FALSE)</f>
        <v>検証</v>
      </c>
      <c r="E89" s="86" t="s">
        <v>219</v>
      </c>
      <c r="F89" s="82" t="e">
        <f ca="1">VLOOKUP($B89&amp;"_"&amp;$E89,OFFSET([2]stages!$A$1,0,0,COUNTA([2]stages!$A:$A),MATCH(F$1,[2]stages!$2:$2,0)-MATCH("temp_stage",[2]stages!$2:$2,0)+1),MATCH(F$1,[2]stages!$2:$2,0)-MATCH("temp_stage",[2]stages!$2:$2,0)+1,FALSE)</f>
        <v>#N/A</v>
      </c>
      <c r="G89" s="82" t="e">
        <f ca="1">VLOOKUP($B89&amp;"_"&amp;$E89,OFFSET([2]stages!$A$1,0,0,COUNTA([2]stages!$A:$A),MATCH(G$1,[2]stages!$2:$2,0)-MATCH("temp_stage",[2]stages!$2:$2,0)+1),MATCH(G$1,[2]stages!$2:$2,0)-MATCH("temp_stage",[2]stages!$2:$2,0)+1,FALSE)</f>
        <v>#N/A</v>
      </c>
      <c r="H89" s="84">
        <v>0</v>
      </c>
      <c r="I89" s="96">
        <v>34</v>
      </c>
      <c r="J89" s="83" t="s">
        <v>199</v>
      </c>
      <c r="K89" s="93" t="str">
        <f>VLOOKUP(I89,[7]stage_hints!$A:$C,3,FALSE)</f>
        <v>ステータスをスキルで下げられたら</v>
      </c>
      <c r="L89" s="94" t="str">
        <f>VLOOKUP(I89,[7]stage_hints!$A:$D,4,FALSE)</f>
        <v>ステータスダウンのスキルを受けたら_x000D_ステータスアップスキルで上書きしましょう</v>
      </c>
      <c r="M89" s="57" t="s">
        <v>214</v>
      </c>
    </row>
    <row r="90" spans="1:13" x14ac:dyDescent="0.15">
      <c r="A90" s="81" t="s">
        <v>202</v>
      </c>
      <c r="B90" s="47">
        <v>65526</v>
      </c>
      <c r="C90" s="82" t="str">
        <f ca="1">VLOOKUP($B90,OFFSET([2]quests!$A$1,0,0,COUNTA([2]quests!$A:$A),MATCH(C$1,[2]quests!$1:$1,0)-MATCH($B$1,[2]quests!$1:$1,0)+1),MATCH(C$1,[2]quests!$1:$1,0)-MATCH($B$1,[2]quests!$1:$1,0)+1,FALSE)</f>
        <v>【LB加藤】検証クエスト</v>
      </c>
      <c r="D90" s="82" t="str">
        <f ca="1">VLOOKUP($B90,OFFSET([2]quests!$A$1,0,0,COUNTA([2]quests!$A:$A),MATCH(D$1,[2]quests!$1:$1,0)-MATCH($B$1,[2]quests!$1:$1,0)+1),MATCH(D$1,[2]quests!$1:$1,0)-MATCH($B$1,[2]quests!$1:$1,0)+1,FALSE)</f>
        <v>検証</v>
      </c>
      <c r="E90" s="86" t="s">
        <v>219</v>
      </c>
      <c r="F90" s="82" t="e">
        <f ca="1">VLOOKUP($B90&amp;"_"&amp;$E90,OFFSET([2]stages!$A$1,0,0,COUNTA([2]stages!$A:$A),MATCH(F$1,[2]stages!$2:$2,0)-MATCH("temp_stage",[2]stages!$2:$2,0)+1),MATCH(F$1,[2]stages!$2:$2,0)-MATCH("temp_stage",[2]stages!$2:$2,0)+1,FALSE)</f>
        <v>#N/A</v>
      </c>
      <c r="G90" s="82" t="e">
        <f ca="1">VLOOKUP($B90&amp;"_"&amp;$E90,OFFSET([2]stages!$A$1,0,0,COUNTA([2]stages!$A:$A),MATCH(G$1,[2]stages!$2:$2,0)-MATCH("temp_stage",[2]stages!$2:$2,0)+1),MATCH(G$1,[2]stages!$2:$2,0)-MATCH("temp_stage",[2]stages!$2:$2,0)+1,FALSE)</f>
        <v>#N/A</v>
      </c>
      <c r="H90" s="84">
        <v>0</v>
      </c>
      <c r="I90" s="96">
        <v>35</v>
      </c>
      <c r="J90" s="83" t="s">
        <v>199</v>
      </c>
      <c r="K90" s="93" t="str">
        <f>VLOOKUP(I90,[7]stage_hints!$A:$C,3,FALSE)</f>
        <v>敵のステータスがスキルで上がったら</v>
      </c>
      <c r="L90" s="94" t="str">
        <f>VLOOKUP(I90,[7]stage_hints!$A:$D,4,FALSE)</f>
        <v>敵のステータスがスキルでアップしたときは_x000D_ステータスダウンスキルで上書きしましょう</v>
      </c>
      <c r="M90" s="57" t="s">
        <v>214</v>
      </c>
    </row>
    <row r="91" spans="1:13" x14ac:dyDescent="0.15">
      <c r="A91" s="81" t="s">
        <v>202</v>
      </c>
      <c r="B91" s="47">
        <v>65526</v>
      </c>
      <c r="C91" s="82" t="str">
        <f ca="1">VLOOKUP($B91,OFFSET([2]quests!$A$1,0,0,COUNTA([2]quests!$A:$A),MATCH(C$1,[2]quests!$1:$1,0)-MATCH($B$1,[2]quests!$1:$1,0)+1),MATCH(C$1,[2]quests!$1:$1,0)-MATCH($B$1,[2]quests!$1:$1,0)+1,FALSE)</f>
        <v>【LB加藤】検証クエスト</v>
      </c>
      <c r="D91" s="82" t="str">
        <f ca="1">VLOOKUP($B91,OFFSET([2]quests!$A$1,0,0,COUNTA([2]quests!$A:$A),MATCH(D$1,[2]quests!$1:$1,0)-MATCH($B$1,[2]quests!$1:$1,0)+1),MATCH(D$1,[2]quests!$1:$1,0)-MATCH($B$1,[2]quests!$1:$1,0)+1,FALSE)</f>
        <v>検証</v>
      </c>
      <c r="E91" s="86" t="s">
        <v>219</v>
      </c>
      <c r="F91" s="82" t="e">
        <f ca="1">VLOOKUP($B91&amp;"_"&amp;$E91,OFFSET([2]stages!$A$1,0,0,COUNTA([2]stages!$A:$A),MATCH(F$1,[2]stages!$2:$2,0)-MATCH("temp_stage",[2]stages!$2:$2,0)+1),MATCH(F$1,[2]stages!$2:$2,0)-MATCH("temp_stage",[2]stages!$2:$2,0)+1,FALSE)</f>
        <v>#N/A</v>
      </c>
      <c r="G91" s="82" t="e">
        <f ca="1">VLOOKUP($B91&amp;"_"&amp;$E91,OFFSET([2]stages!$A$1,0,0,COUNTA([2]stages!$A:$A),MATCH(G$1,[2]stages!$2:$2,0)-MATCH("temp_stage",[2]stages!$2:$2,0)+1),MATCH(G$1,[2]stages!$2:$2,0)-MATCH("temp_stage",[2]stages!$2:$2,0)+1,FALSE)</f>
        <v>#N/A</v>
      </c>
      <c r="H91" s="84">
        <v>0</v>
      </c>
      <c r="I91" s="96">
        <v>36</v>
      </c>
      <c r="J91" s="83" t="s">
        <v>199</v>
      </c>
      <c r="K91" s="93" t="str">
        <f>VLOOKUP(I91,[7]stage_hints!$A:$C,3,FALSE)</f>
        <v>チャレンジタワーのボス</v>
      </c>
      <c r="L91" s="94" t="str">
        <f>VLOOKUP(I91,[7]stage_hints!$A:$D,4,FALSE)</f>
        <v>チャレンジタワーでのみ登場するボスは_x000D_一定確率で獲得することができます</v>
      </c>
      <c r="M91" s="57" t="s">
        <v>214</v>
      </c>
    </row>
    <row r="92" spans="1:13" x14ac:dyDescent="0.15">
      <c r="A92" s="81" t="s">
        <v>202</v>
      </c>
      <c r="B92" s="47">
        <v>65526</v>
      </c>
      <c r="C92" s="82" t="str">
        <f ca="1">VLOOKUP($B92,OFFSET([2]quests!$A$1,0,0,COUNTA([2]quests!$A:$A),MATCH(C$1,[2]quests!$1:$1,0)-MATCH($B$1,[2]quests!$1:$1,0)+1),MATCH(C$1,[2]quests!$1:$1,0)-MATCH($B$1,[2]quests!$1:$1,0)+1,FALSE)</f>
        <v>【LB加藤】検証クエスト</v>
      </c>
      <c r="D92" s="82" t="str">
        <f ca="1">VLOOKUP($B92,OFFSET([2]quests!$A$1,0,0,COUNTA([2]quests!$A:$A),MATCH(D$1,[2]quests!$1:$1,0)-MATCH($B$1,[2]quests!$1:$1,0)+1),MATCH(D$1,[2]quests!$1:$1,0)-MATCH($B$1,[2]quests!$1:$1,0)+1,FALSE)</f>
        <v>検証</v>
      </c>
      <c r="E92" s="86" t="s">
        <v>219</v>
      </c>
      <c r="F92" s="82" t="e">
        <f ca="1">VLOOKUP($B92&amp;"_"&amp;$E92,OFFSET([2]stages!$A$1,0,0,COUNTA([2]stages!$A:$A),MATCH(F$1,[2]stages!$2:$2,0)-MATCH("temp_stage",[2]stages!$2:$2,0)+1),MATCH(F$1,[2]stages!$2:$2,0)-MATCH("temp_stage",[2]stages!$2:$2,0)+1,FALSE)</f>
        <v>#N/A</v>
      </c>
      <c r="G92" s="82" t="e">
        <f ca="1">VLOOKUP($B92&amp;"_"&amp;$E92,OFFSET([2]stages!$A$1,0,0,COUNTA([2]stages!$A:$A),MATCH(G$1,[2]stages!$2:$2,0)-MATCH("temp_stage",[2]stages!$2:$2,0)+1),MATCH(G$1,[2]stages!$2:$2,0)-MATCH("temp_stage",[2]stages!$2:$2,0)+1,FALSE)</f>
        <v>#N/A</v>
      </c>
      <c r="H92" s="84">
        <v>0</v>
      </c>
      <c r="I92" s="96">
        <v>37</v>
      </c>
      <c r="J92" s="83" t="s">
        <v>199</v>
      </c>
      <c r="K92" s="93" t="str">
        <f>VLOOKUP(I92,[7]stage_hints!$A:$C,3,FALSE)</f>
        <v>限界突破値の引き継ぎ</v>
      </c>
      <c r="L92" s="94" t="str">
        <f>VLOOKUP(I92,[7]stage_hints!$A:$D,4,FALSE)</f>
        <v>同じユニットを強化で合成すると_x000D_限界突破値を引き継げます（覚醒前後も可）</v>
      </c>
      <c r="M92" s="57" t="s">
        <v>214</v>
      </c>
    </row>
    <row r="93" spans="1:13" x14ac:dyDescent="0.15">
      <c r="A93" s="81" t="s">
        <v>202</v>
      </c>
      <c r="B93" s="47">
        <v>65526</v>
      </c>
      <c r="C93" s="82" t="str">
        <f ca="1">VLOOKUP($B93,OFFSET([2]quests!$A$1,0,0,COUNTA([2]quests!$A:$A),MATCH(C$1,[2]quests!$1:$1,0)-MATCH($B$1,[2]quests!$1:$1,0)+1),MATCH(C$1,[2]quests!$1:$1,0)-MATCH($B$1,[2]quests!$1:$1,0)+1,FALSE)</f>
        <v>【LB加藤】検証クエスト</v>
      </c>
      <c r="D93" s="82" t="str">
        <f ca="1">VLOOKUP($B93,OFFSET([2]quests!$A$1,0,0,COUNTA([2]quests!$A:$A),MATCH(D$1,[2]quests!$1:$1,0)-MATCH($B$1,[2]quests!$1:$1,0)+1),MATCH(D$1,[2]quests!$1:$1,0)-MATCH($B$1,[2]quests!$1:$1,0)+1,FALSE)</f>
        <v>検証</v>
      </c>
      <c r="E93" s="86" t="s">
        <v>219</v>
      </c>
      <c r="F93" s="82" t="e">
        <f ca="1">VLOOKUP($B93&amp;"_"&amp;$E93,OFFSET([2]stages!$A$1,0,0,COUNTA([2]stages!$A:$A),MATCH(F$1,[2]stages!$2:$2,0)-MATCH("temp_stage",[2]stages!$2:$2,0)+1),MATCH(F$1,[2]stages!$2:$2,0)-MATCH("temp_stage",[2]stages!$2:$2,0)+1,FALSE)</f>
        <v>#N/A</v>
      </c>
      <c r="G93" s="82" t="e">
        <f ca="1">VLOOKUP($B93&amp;"_"&amp;$E93,OFFSET([2]stages!$A$1,0,0,COUNTA([2]stages!$A:$A),MATCH(G$1,[2]stages!$2:$2,0)-MATCH("temp_stage",[2]stages!$2:$2,0)+1),MATCH(G$1,[2]stages!$2:$2,0)-MATCH("temp_stage",[2]stages!$2:$2,0)+1,FALSE)</f>
        <v>#N/A</v>
      </c>
      <c r="H93" s="84">
        <v>0</v>
      </c>
      <c r="I93" s="96">
        <v>39</v>
      </c>
      <c r="J93" s="83" t="s">
        <v>199</v>
      </c>
      <c r="K93" s="93" t="str">
        <f>VLOOKUP(I93,[7]stage_hints!$A:$C,3,FALSE)</f>
        <v>システム適合者を確認</v>
      </c>
      <c r="L93" s="94" t="str">
        <f>VLOOKUP(I93,[7]stage_hints!$A:$D,4,FALSE)</f>
        <v>ALICEが「アナタ」を呼んでいます</v>
      </c>
      <c r="M93" s="57" t="s">
        <v>214</v>
      </c>
    </row>
    <row r="94" spans="1:13" x14ac:dyDescent="0.15">
      <c r="A94" s="81" t="s">
        <v>202</v>
      </c>
      <c r="B94" s="47">
        <v>65526</v>
      </c>
      <c r="C94" s="82" t="str">
        <f ca="1">VLOOKUP($B94,OFFSET([2]quests!$A$1,0,0,COUNTA([2]quests!$A:$A),MATCH(C$1,[2]quests!$1:$1,0)-MATCH($B$1,[2]quests!$1:$1,0)+1),MATCH(C$1,[2]quests!$1:$1,0)-MATCH($B$1,[2]quests!$1:$1,0)+1,FALSE)</f>
        <v>【LB加藤】検証クエスト</v>
      </c>
      <c r="D94" s="82" t="str">
        <f ca="1">VLOOKUP($B94,OFFSET([2]quests!$A$1,0,0,COUNTA([2]quests!$A:$A),MATCH(D$1,[2]quests!$1:$1,0)-MATCH($B$1,[2]quests!$1:$1,0)+1),MATCH(D$1,[2]quests!$1:$1,0)-MATCH($B$1,[2]quests!$1:$1,0)+1,FALSE)</f>
        <v>検証</v>
      </c>
      <c r="E94" s="86" t="s">
        <v>220</v>
      </c>
      <c r="F94" s="82" t="e">
        <f ca="1">VLOOKUP($B94&amp;"_"&amp;$E94,OFFSET([2]stages!$A$1,0,0,COUNTA([2]stages!$A:$A),MATCH(F$1,[2]stages!$2:$2,0)-MATCH("temp_stage",[2]stages!$2:$2,0)+1),MATCH(F$1,[2]stages!$2:$2,0)-MATCH("temp_stage",[2]stages!$2:$2,0)+1,FALSE)</f>
        <v>#N/A</v>
      </c>
      <c r="G94" s="82" t="e">
        <f ca="1">VLOOKUP($B94&amp;"_"&amp;$E94,OFFSET([2]stages!$A$1,0,0,COUNTA([2]stages!$A:$A),MATCH(G$1,[2]stages!$2:$2,0)-MATCH("temp_stage",[2]stages!$2:$2,0)+1),MATCH(G$1,[2]stages!$2:$2,0)-MATCH("temp_stage",[2]stages!$2:$2,0)+1,FALSE)</f>
        <v>#N/A</v>
      </c>
      <c r="H94" s="84">
        <v>0</v>
      </c>
      <c r="I94">
        <v>12</v>
      </c>
      <c r="J94" s="83" t="s">
        <v>199</v>
      </c>
      <c r="K94" s="93" t="str">
        <f>VLOOKUP(I94,[7]stage_hints!$A:$C,3,FALSE)</f>
        <v>ユニットのお気に入り登録</v>
      </c>
      <c r="L94" s="94" t="str">
        <f>VLOOKUP(I94,[7]stage_hints!$A:$D,4,FALSE)</f>
        <v>大事なユニットを誤って消さないように_x000D_フォルダから「お気に入り登録」しましょう</v>
      </c>
      <c r="M94" s="57" t="s">
        <v>214</v>
      </c>
    </row>
    <row r="95" spans="1:13" x14ac:dyDescent="0.15">
      <c r="A95" s="81" t="s">
        <v>202</v>
      </c>
      <c r="B95" s="47">
        <v>65526</v>
      </c>
      <c r="C95" s="82" t="str">
        <f ca="1">VLOOKUP($B95,OFFSET([2]quests!$A$1,0,0,COUNTA([2]quests!$A:$A),MATCH(C$1,[2]quests!$1:$1,0)-MATCH($B$1,[2]quests!$1:$1,0)+1),MATCH(C$1,[2]quests!$1:$1,0)-MATCH($B$1,[2]quests!$1:$1,0)+1,FALSE)</f>
        <v>【LB加藤】検証クエスト</v>
      </c>
      <c r="D95" s="82" t="str">
        <f ca="1">VLOOKUP($B95,OFFSET([2]quests!$A$1,0,0,COUNTA([2]quests!$A:$A),MATCH(D$1,[2]quests!$1:$1,0)-MATCH($B$1,[2]quests!$1:$1,0)+1),MATCH(D$1,[2]quests!$1:$1,0)-MATCH($B$1,[2]quests!$1:$1,0)+1,FALSE)</f>
        <v>検証</v>
      </c>
      <c r="E95" s="86" t="s">
        <v>220</v>
      </c>
      <c r="F95" s="82" t="e">
        <f ca="1">VLOOKUP($B95&amp;"_"&amp;$E95,OFFSET([2]stages!$A$1,0,0,COUNTA([2]stages!$A:$A),MATCH(F$1,[2]stages!$2:$2,0)-MATCH("temp_stage",[2]stages!$2:$2,0)+1),MATCH(F$1,[2]stages!$2:$2,0)-MATCH("temp_stage",[2]stages!$2:$2,0)+1,FALSE)</f>
        <v>#N/A</v>
      </c>
      <c r="G95" s="82" t="e">
        <f ca="1">VLOOKUP($B95&amp;"_"&amp;$E95,OFFSET([2]stages!$A$1,0,0,COUNTA([2]stages!$A:$A),MATCH(G$1,[2]stages!$2:$2,0)-MATCH("temp_stage",[2]stages!$2:$2,0)+1),MATCH(G$1,[2]stages!$2:$2,0)-MATCH("temp_stage",[2]stages!$2:$2,0)+1,FALSE)</f>
        <v>#N/A</v>
      </c>
      <c r="H95" s="84">
        <v>0</v>
      </c>
      <c r="I95">
        <v>17</v>
      </c>
      <c r="J95" s="83" t="s">
        <v>199</v>
      </c>
      <c r="K95" s="93" t="str">
        <f>VLOOKUP(I95,[7]stage_hints!$A:$C,3,FALSE)</f>
        <v>リンクガチャ</v>
      </c>
      <c r="L95" s="94" t="str">
        <f>VLOOKUP(I95,[7]stage_hints!$A:$D,4,FALSE)</f>
        <v>無料のリンクガチャを回して_x000D_経験値素材や売却素材を獲得しましょう</v>
      </c>
      <c r="M95" s="57" t="s">
        <v>214</v>
      </c>
    </row>
    <row r="96" spans="1:13" x14ac:dyDescent="0.15">
      <c r="A96" s="81" t="s">
        <v>202</v>
      </c>
      <c r="B96" s="47">
        <v>65526</v>
      </c>
      <c r="C96" s="82" t="str">
        <f ca="1">VLOOKUP($B96,OFFSET([2]quests!$A$1,0,0,COUNTA([2]quests!$A:$A),MATCH(C$1,[2]quests!$1:$1,0)-MATCH($B$1,[2]quests!$1:$1,0)+1),MATCH(C$1,[2]quests!$1:$1,0)-MATCH($B$1,[2]quests!$1:$1,0)+1,FALSE)</f>
        <v>【LB加藤】検証クエスト</v>
      </c>
      <c r="D96" s="82" t="str">
        <f ca="1">VLOOKUP($B96,OFFSET([2]quests!$A$1,0,0,COUNTA([2]quests!$A:$A),MATCH(D$1,[2]quests!$1:$1,0)-MATCH($B$1,[2]quests!$1:$1,0)+1),MATCH(D$1,[2]quests!$1:$1,0)-MATCH($B$1,[2]quests!$1:$1,0)+1,FALSE)</f>
        <v>検証</v>
      </c>
      <c r="E96" s="86" t="s">
        <v>220</v>
      </c>
      <c r="F96" s="82" t="e">
        <f ca="1">VLOOKUP($B96&amp;"_"&amp;$E96,OFFSET([2]stages!$A$1,0,0,COUNTA([2]stages!$A:$A),MATCH(F$1,[2]stages!$2:$2,0)-MATCH("temp_stage",[2]stages!$2:$2,0)+1),MATCH(F$1,[2]stages!$2:$2,0)-MATCH("temp_stage",[2]stages!$2:$2,0)+1,FALSE)</f>
        <v>#N/A</v>
      </c>
      <c r="G96" s="82" t="e">
        <f ca="1">VLOOKUP($B96&amp;"_"&amp;$E96,OFFSET([2]stages!$A$1,0,0,COUNTA([2]stages!$A:$A),MATCH(G$1,[2]stages!$2:$2,0)-MATCH("temp_stage",[2]stages!$2:$2,0)+1),MATCH(G$1,[2]stages!$2:$2,0)-MATCH("temp_stage",[2]stages!$2:$2,0)+1,FALSE)</f>
        <v>#N/A</v>
      </c>
      <c r="H96" s="84">
        <v>0</v>
      </c>
      <c r="I96">
        <v>19</v>
      </c>
      <c r="J96" s="83" t="s">
        <v>199</v>
      </c>
      <c r="K96" s="93" t="str">
        <f>VLOOKUP(I96,[7]stage_hints!$A:$C,3,FALSE)</f>
        <v>ソロ専用チャレンジタワー</v>
      </c>
      <c r="L96" s="94" t="str">
        <f>VLOOKUP(I96,[7]stage_hints!$A:$D,4,FALSE)</f>
        <v>ソロ専用の「チャレンジタワー」では_x000D_各フロアごとにクリア報酬がもらえます</v>
      </c>
      <c r="M96" s="57" t="s">
        <v>214</v>
      </c>
    </row>
    <row r="97" spans="1:13" x14ac:dyDescent="0.15">
      <c r="A97" s="81" t="s">
        <v>202</v>
      </c>
      <c r="B97" s="47">
        <v>65526</v>
      </c>
      <c r="C97" s="82" t="str">
        <f ca="1">VLOOKUP($B97,OFFSET([2]quests!$A$1,0,0,COUNTA([2]quests!$A:$A),MATCH(C$1,[2]quests!$1:$1,0)-MATCH($B$1,[2]quests!$1:$1,0)+1),MATCH(C$1,[2]quests!$1:$1,0)-MATCH($B$1,[2]quests!$1:$1,0)+1,FALSE)</f>
        <v>【LB加藤】検証クエスト</v>
      </c>
      <c r="D97" s="82" t="str">
        <f ca="1">VLOOKUP($B97,OFFSET([2]quests!$A$1,0,0,COUNTA([2]quests!$A:$A),MATCH(D$1,[2]quests!$1:$1,0)-MATCH($B$1,[2]quests!$1:$1,0)+1),MATCH(D$1,[2]quests!$1:$1,0)-MATCH($B$1,[2]quests!$1:$1,0)+1,FALSE)</f>
        <v>検証</v>
      </c>
      <c r="E97" s="86" t="s">
        <v>220</v>
      </c>
      <c r="F97" s="82" t="e">
        <f ca="1">VLOOKUP($B97&amp;"_"&amp;$E97,OFFSET([2]stages!$A$1,0,0,COUNTA([2]stages!$A:$A),MATCH(F$1,[2]stages!$2:$2,0)-MATCH("temp_stage",[2]stages!$2:$2,0)+1),MATCH(F$1,[2]stages!$2:$2,0)-MATCH("temp_stage",[2]stages!$2:$2,0)+1,FALSE)</f>
        <v>#N/A</v>
      </c>
      <c r="G97" s="82" t="e">
        <f ca="1">VLOOKUP($B97&amp;"_"&amp;$E97,OFFSET([2]stages!$A$1,0,0,COUNTA([2]stages!$A:$A),MATCH(G$1,[2]stages!$2:$2,0)-MATCH("temp_stage",[2]stages!$2:$2,0)+1),MATCH(G$1,[2]stages!$2:$2,0)-MATCH("temp_stage",[2]stages!$2:$2,0)+1,FALSE)</f>
        <v>#N/A</v>
      </c>
      <c r="H97" s="84">
        <v>0</v>
      </c>
      <c r="I97">
        <v>21</v>
      </c>
      <c r="J97" s="83" t="s">
        <v>199</v>
      </c>
      <c r="K97" s="93" t="str">
        <f>VLOOKUP(I97,[7]stage_hints!$A:$C,3,FALSE)</f>
        <v>スキルを有効に</v>
      </c>
      <c r="L97" s="94" t="str">
        <f>VLOOKUP(I97,[7]stage_hints!$A:$D,4,FALSE)</f>
        <v>ターン経過でユニットのスキルが使えます_x000D_強力スキルでバトルを有利に進めましょう</v>
      </c>
      <c r="M97" s="57" t="s">
        <v>214</v>
      </c>
    </row>
    <row r="98" spans="1:13" x14ac:dyDescent="0.15">
      <c r="A98" s="81" t="s">
        <v>202</v>
      </c>
      <c r="B98" s="47">
        <v>65526</v>
      </c>
      <c r="C98" s="82" t="str">
        <f ca="1">VLOOKUP($B98,OFFSET([2]quests!$A$1,0,0,COUNTA([2]quests!$A:$A),MATCH(C$1,[2]quests!$1:$1,0)-MATCH($B$1,[2]quests!$1:$1,0)+1),MATCH(C$1,[2]quests!$1:$1,0)-MATCH($B$1,[2]quests!$1:$1,0)+1,FALSE)</f>
        <v>【LB加藤】検証クエスト</v>
      </c>
      <c r="D98" s="82" t="str">
        <f ca="1">VLOOKUP($B98,OFFSET([2]quests!$A$1,0,0,COUNTA([2]quests!$A:$A),MATCH(D$1,[2]quests!$1:$1,0)-MATCH($B$1,[2]quests!$1:$1,0)+1),MATCH(D$1,[2]quests!$1:$1,0)-MATCH($B$1,[2]quests!$1:$1,0)+1,FALSE)</f>
        <v>検証</v>
      </c>
      <c r="E98" s="86" t="s">
        <v>220</v>
      </c>
      <c r="F98" s="82" t="e">
        <f ca="1">VLOOKUP($B98&amp;"_"&amp;$E98,OFFSET([2]stages!$A$1,0,0,COUNTA([2]stages!$A:$A),MATCH(F$1,[2]stages!$2:$2,0)-MATCH("temp_stage",[2]stages!$2:$2,0)+1),MATCH(F$1,[2]stages!$2:$2,0)-MATCH("temp_stage",[2]stages!$2:$2,0)+1,FALSE)</f>
        <v>#N/A</v>
      </c>
      <c r="G98" s="82" t="e">
        <f ca="1">VLOOKUP($B98&amp;"_"&amp;$E98,OFFSET([2]stages!$A$1,0,0,COUNTA([2]stages!$A:$A),MATCH(G$1,[2]stages!$2:$2,0)-MATCH("temp_stage",[2]stages!$2:$2,0)+1),MATCH(G$1,[2]stages!$2:$2,0)-MATCH("temp_stage",[2]stages!$2:$2,0)+1,FALSE)</f>
        <v>#N/A</v>
      </c>
      <c r="H98" s="84">
        <v>0</v>
      </c>
      <c r="I98">
        <v>27</v>
      </c>
      <c r="J98" s="83" t="s">
        <v>199</v>
      </c>
      <c r="K98" s="93" t="str">
        <f>VLOOKUP(I98,[7]stage_hints!$A:$C,3,FALSE)</f>
        <v>ホーム画面からデッキを編成</v>
      </c>
      <c r="L98" s="94" t="str">
        <f>VLOOKUP(I98,[7]stage_hints!$A:$D,4,FALSE)</f>
        <v>ホーム画面でユニットを長押しすると_x000D_すぐにパーティ編成に移動できます</v>
      </c>
      <c r="M98" s="57" t="s">
        <v>214</v>
      </c>
    </row>
    <row r="99" spans="1:13" x14ac:dyDescent="0.15">
      <c r="A99" s="81" t="s">
        <v>202</v>
      </c>
      <c r="B99" s="47">
        <v>65526</v>
      </c>
      <c r="C99" s="82" t="str">
        <f ca="1">VLOOKUP($B99,OFFSET([2]quests!$A$1,0,0,COUNTA([2]quests!$A:$A),MATCH(C$1,[2]quests!$1:$1,0)-MATCH($B$1,[2]quests!$1:$1,0)+1),MATCH(C$1,[2]quests!$1:$1,0)-MATCH($B$1,[2]quests!$1:$1,0)+1,FALSE)</f>
        <v>【LB加藤】検証クエスト</v>
      </c>
      <c r="D99" s="82" t="str">
        <f ca="1">VLOOKUP($B99,OFFSET([2]quests!$A$1,0,0,COUNTA([2]quests!$A:$A),MATCH(D$1,[2]quests!$1:$1,0)-MATCH($B$1,[2]quests!$1:$1,0)+1),MATCH(D$1,[2]quests!$1:$1,0)-MATCH($B$1,[2]quests!$1:$1,0)+1,FALSE)</f>
        <v>検証</v>
      </c>
      <c r="E99" s="86" t="s">
        <v>220</v>
      </c>
      <c r="F99" s="82" t="e">
        <f ca="1">VLOOKUP($B99&amp;"_"&amp;$E99,OFFSET([2]stages!$A$1,0,0,COUNTA([2]stages!$A:$A),MATCH(F$1,[2]stages!$2:$2,0)-MATCH("temp_stage",[2]stages!$2:$2,0)+1),MATCH(F$1,[2]stages!$2:$2,0)-MATCH("temp_stage",[2]stages!$2:$2,0)+1,FALSE)</f>
        <v>#N/A</v>
      </c>
      <c r="G99" s="82" t="e">
        <f ca="1">VLOOKUP($B99&amp;"_"&amp;$E99,OFFSET([2]stages!$A$1,0,0,COUNTA([2]stages!$A:$A),MATCH(G$1,[2]stages!$2:$2,0)-MATCH("temp_stage",[2]stages!$2:$2,0)+1),MATCH(G$1,[2]stages!$2:$2,0)-MATCH("temp_stage",[2]stages!$2:$2,0)+1,FALSE)</f>
        <v>#N/A</v>
      </c>
      <c r="H99" s="84">
        <v>0</v>
      </c>
      <c r="I99">
        <v>28</v>
      </c>
      <c r="J99" s="83" t="s">
        <v>199</v>
      </c>
      <c r="K99" s="93" t="str">
        <f>VLOOKUP(I99,[7]stage_hints!$A:$C,3,FALSE)</f>
        <v>ステータス情報は長押しで</v>
      </c>
      <c r="L99" s="94" t="str">
        <f>VLOOKUP(I99,[7]stage_hints!$A:$D,4,FALSE)</f>
        <v>ユニットのアイコンを長押しすると_x000D_ステータス情報を確認することができます</v>
      </c>
      <c r="M99" s="57" t="s">
        <v>214</v>
      </c>
    </row>
    <row r="100" spans="1:13" x14ac:dyDescent="0.15">
      <c r="A100" s="81" t="s">
        <v>202</v>
      </c>
      <c r="B100" s="47">
        <v>65526</v>
      </c>
      <c r="C100" s="82" t="str">
        <f ca="1">VLOOKUP($B100,OFFSET([2]quests!$A$1,0,0,COUNTA([2]quests!$A:$A),MATCH(C$1,[2]quests!$1:$1,0)-MATCH($B$1,[2]quests!$1:$1,0)+1),MATCH(C$1,[2]quests!$1:$1,0)-MATCH($B$1,[2]quests!$1:$1,0)+1,FALSE)</f>
        <v>【LB加藤】検証クエスト</v>
      </c>
      <c r="D100" s="82" t="str">
        <f ca="1">VLOOKUP($B100,OFFSET([2]quests!$A$1,0,0,COUNTA([2]quests!$A:$A),MATCH(D$1,[2]quests!$1:$1,0)-MATCH($B$1,[2]quests!$1:$1,0)+1),MATCH(D$1,[2]quests!$1:$1,0)-MATCH($B$1,[2]quests!$1:$1,0)+1,FALSE)</f>
        <v>検証</v>
      </c>
      <c r="E100" s="86" t="s">
        <v>220</v>
      </c>
      <c r="F100" s="82" t="e">
        <f ca="1">VLOOKUP($B100&amp;"_"&amp;$E100,OFFSET([2]stages!$A$1,0,0,COUNTA([2]stages!$A:$A),MATCH(F$1,[2]stages!$2:$2,0)-MATCH("temp_stage",[2]stages!$2:$2,0)+1),MATCH(F$1,[2]stages!$2:$2,0)-MATCH("temp_stage",[2]stages!$2:$2,0)+1,FALSE)</f>
        <v>#N/A</v>
      </c>
      <c r="G100" s="82" t="e">
        <f ca="1">VLOOKUP($B100&amp;"_"&amp;$E100,OFFSET([2]stages!$A$1,0,0,COUNTA([2]stages!$A:$A),MATCH(G$1,[2]stages!$2:$2,0)-MATCH("temp_stage",[2]stages!$2:$2,0)+1),MATCH(G$1,[2]stages!$2:$2,0)-MATCH("temp_stage",[2]stages!$2:$2,0)+1,FALSE)</f>
        <v>#N/A</v>
      </c>
      <c r="H100" s="84">
        <v>0</v>
      </c>
      <c r="I100">
        <v>29</v>
      </c>
      <c r="J100" s="83" t="s">
        <v>199</v>
      </c>
      <c r="K100" s="93" t="str">
        <f>VLOOKUP(I100,[7]stage_hints!$A:$C,3,FALSE)</f>
        <v>「バグ」のメリット</v>
      </c>
      <c r="L100" s="94" t="str">
        <f>VLOOKUP(I100,[7]stage_hints!$A:$D,4,FALSE)</f>
        <v>ユニットの「バグ」を増やすと_x000D_報酬をもらえる確率がアップします</v>
      </c>
      <c r="M100" s="57" t="s">
        <v>214</v>
      </c>
    </row>
    <row r="101" spans="1:13" x14ac:dyDescent="0.15">
      <c r="A101" s="81" t="s">
        <v>202</v>
      </c>
      <c r="B101" s="47">
        <v>65526</v>
      </c>
      <c r="C101" s="82" t="str">
        <f ca="1">VLOOKUP($B101,OFFSET([2]quests!$A$1,0,0,COUNTA([2]quests!$A:$A),MATCH(C$1,[2]quests!$1:$1,0)-MATCH($B$1,[2]quests!$1:$1,0)+1),MATCH(C$1,[2]quests!$1:$1,0)-MATCH($B$1,[2]quests!$1:$1,0)+1,FALSE)</f>
        <v>【LB加藤】検証クエスト</v>
      </c>
      <c r="D101" s="82" t="str">
        <f ca="1">VLOOKUP($B101,OFFSET([2]quests!$A$1,0,0,COUNTA([2]quests!$A:$A),MATCH(D$1,[2]quests!$1:$1,0)-MATCH($B$1,[2]quests!$1:$1,0)+1),MATCH(D$1,[2]quests!$1:$1,0)-MATCH($B$1,[2]quests!$1:$1,0)+1,FALSE)</f>
        <v>検証</v>
      </c>
      <c r="E101" s="86" t="s">
        <v>220</v>
      </c>
      <c r="F101" s="82" t="e">
        <f ca="1">VLOOKUP($B101&amp;"_"&amp;$E101,OFFSET([2]stages!$A$1,0,0,COUNTA([2]stages!$A:$A),MATCH(F$1,[2]stages!$2:$2,0)-MATCH("temp_stage",[2]stages!$2:$2,0)+1),MATCH(F$1,[2]stages!$2:$2,0)-MATCH("temp_stage",[2]stages!$2:$2,0)+1,FALSE)</f>
        <v>#N/A</v>
      </c>
      <c r="G101" s="82" t="e">
        <f ca="1">VLOOKUP($B101&amp;"_"&amp;$E101,OFFSET([2]stages!$A$1,0,0,COUNTA([2]stages!$A:$A),MATCH(G$1,[2]stages!$2:$2,0)-MATCH("temp_stage",[2]stages!$2:$2,0)+1),MATCH(G$1,[2]stages!$2:$2,0)-MATCH("temp_stage",[2]stages!$2:$2,0)+1,FALSE)</f>
        <v>#N/A</v>
      </c>
      <c r="H101" s="84">
        <v>0</v>
      </c>
      <c r="I101">
        <v>30</v>
      </c>
      <c r="J101" s="83" t="s">
        <v>199</v>
      </c>
      <c r="K101" s="93" t="str">
        <f>VLOOKUP(I101,[7]stage_hints!$A:$C,3,FALSE)</f>
        <v>「バグ」の増やし方</v>
      </c>
      <c r="L101" s="94" t="str">
        <f>VLOOKUP(I101,[7]stage_hints!$A:$D,4,FALSE)</f>
        <v>同じユニット同士を強化で合成すると_x000D_「バグ」を増やすことができます</v>
      </c>
      <c r="M101" s="57" t="s">
        <v>214</v>
      </c>
    </row>
    <row r="102" spans="1:13" x14ac:dyDescent="0.15">
      <c r="A102" s="81" t="s">
        <v>202</v>
      </c>
      <c r="B102" s="47">
        <v>65526</v>
      </c>
      <c r="C102" s="82" t="str">
        <f ca="1">VLOOKUP($B102,OFFSET([2]quests!$A$1,0,0,COUNTA([2]quests!$A:$A),MATCH(C$1,[2]quests!$1:$1,0)-MATCH($B$1,[2]quests!$1:$1,0)+1),MATCH(C$1,[2]quests!$1:$1,0)-MATCH($B$1,[2]quests!$1:$1,0)+1,FALSE)</f>
        <v>【LB加藤】検証クエスト</v>
      </c>
      <c r="D102" s="82" t="str">
        <f ca="1">VLOOKUP($B102,OFFSET([2]quests!$A$1,0,0,COUNTA([2]quests!$A:$A),MATCH(D$1,[2]quests!$1:$1,0)-MATCH($B$1,[2]quests!$1:$1,0)+1),MATCH(D$1,[2]quests!$1:$1,0)-MATCH($B$1,[2]quests!$1:$1,0)+1,FALSE)</f>
        <v>検証</v>
      </c>
      <c r="E102" s="86" t="s">
        <v>220</v>
      </c>
      <c r="F102" s="82" t="e">
        <f ca="1">VLOOKUP($B102&amp;"_"&amp;$E102,OFFSET([2]stages!$A$1,0,0,COUNTA([2]stages!$A:$A),MATCH(F$1,[2]stages!$2:$2,0)-MATCH("temp_stage",[2]stages!$2:$2,0)+1),MATCH(F$1,[2]stages!$2:$2,0)-MATCH("temp_stage",[2]stages!$2:$2,0)+1,FALSE)</f>
        <v>#N/A</v>
      </c>
      <c r="G102" s="82" t="e">
        <f ca="1">VLOOKUP($B102&amp;"_"&amp;$E102,OFFSET([2]stages!$A$1,0,0,COUNTA([2]stages!$A:$A),MATCH(G$1,[2]stages!$2:$2,0)-MATCH("temp_stage",[2]stages!$2:$2,0)+1),MATCH(G$1,[2]stages!$2:$2,0)-MATCH("temp_stage",[2]stages!$2:$2,0)+1,FALSE)</f>
        <v>#N/A</v>
      </c>
      <c r="H102" s="84">
        <v>0</v>
      </c>
      <c r="I102">
        <v>32</v>
      </c>
      <c r="J102" s="83" t="s">
        <v>199</v>
      </c>
      <c r="K102" s="93" t="str">
        <f>VLOOKUP(I102,[7]stage_hints!$A:$C,3,FALSE)</f>
        <v>敵の連続攻撃には</v>
      </c>
      <c r="L102" s="94" t="str">
        <f>VLOOKUP(I102,[7]stage_hints!$A:$D,4,FALSE)</f>
        <v>カウンタースキルを持つユニットがいれば_x000D_ダメージ回数分の反撃ができます</v>
      </c>
      <c r="M102" s="57" t="s">
        <v>214</v>
      </c>
    </row>
    <row r="103" spans="1:13" x14ac:dyDescent="0.15">
      <c r="A103" s="81" t="s">
        <v>202</v>
      </c>
      <c r="B103" s="47">
        <v>65526</v>
      </c>
      <c r="C103" s="82" t="str">
        <f ca="1">VLOOKUP($B103,OFFSET([2]quests!$A$1,0,0,COUNTA([2]quests!$A:$A),MATCH(C$1,[2]quests!$1:$1,0)-MATCH($B$1,[2]quests!$1:$1,0)+1),MATCH(C$1,[2]quests!$1:$1,0)-MATCH($B$1,[2]quests!$1:$1,0)+1,FALSE)</f>
        <v>【LB加藤】検証クエスト</v>
      </c>
      <c r="D103" s="82" t="str">
        <f ca="1">VLOOKUP($B103,OFFSET([2]quests!$A$1,0,0,COUNTA([2]quests!$A:$A),MATCH(D$1,[2]quests!$1:$1,0)-MATCH($B$1,[2]quests!$1:$1,0)+1),MATCH(D$1,[2]quests!$1:$1,0)-MATCH($B$1,[2]quests!$1:$1,0)+1,FALSE)</f>
        <v>検証</v>
      </c>
      <c r="E103" s="86" t="s">
        <v>220</v>
      </c>
      <c r="F103" s="82" t="e">
        <f ca="1">VLOOKUP($B103&amp;"_"&amp;$E103,OFFSET([2]stages!$A$1,0,0,COUNTA([2]stages!$A:$A),MATCH(F$1,[2]stages!$2:$2,0)-MATCH("temp_stage",[2]stages!$2:$2,0)+1),MATCH(F$1,[2]stages!$2:$2,0)-MATCH("temp_stage",[2]stages!$2:$2,0)+1,FALSE)</f>
        <v>#N/A</v>
      </c>
      <c r="G103" s="82" t="e">
        <f ca="1">VLOOKUP($B103&amp;"_"&amp;$E103,OFFSET([2]stages!$A$1,0,0,COUNTA([2]stages!$A:$A),MATCH(G$1,[2]stages!$2:$2,0)-MATCH("temp_stage",[2]stages!$2:$2,0)+1),MATCH(G$1,[2]stages!$2:$2,0)-MATCH("temp_stage",[2]stages!$2:$2,0)+1,FALSE)</f>
        <v>#N/A</v>
      </c>
      <c r="H103" s="84">
        <v>0</v>
      </c>
      <c r="I103">
        <v>33</v>
      </c>
      <c r="J103" s="83" t="s">
        <v>199</v>
      </c>
      <c r="K103" s="93" t="str">
        <f>VLOOKUP(I103,[7]stage_hints!$A:$C,3,FALSE)</f>
        <v>敵のカウンター攻撃には</v>
      </c>
      <c r="L103" s="94" t="str">
        <f>VLOOKUP(I103,[7]stage_hints!$A:$D,4,FALSE)</f>
        <v>カウンターブレイクスキルを持っていれば_x000D_敵のカウンターを解除して攻撃ができます</v>
      </c>
      <c r="M103" s="57" t="s">
        <v>214</v>
      </c>
    </row>
    <row r="104" spans="1:13" x14ac:dyDescent="0.15">
      <c r="A104" s="81" t="s">
        <v>202</v>
      </c>
      <c r="B104" s="47">
        <v>65526</v>
      </c>
      <c r="C104" s="82" t="str">
        <f ca="1">VLOOKUP($B104,OFFSET([2]quests!$A$1,0,0,COUNTA([2]quests!$A:$A),MATCH(C$1,[2]quests!$1:$1,0)-MATCH($B$1,[2]quests!$1:$1,0)+1),MATCH(C$1,[2]quests!$1:$1,0)-MATCH($B$1,[2]quests!$1:$1,0)+1,FALSE)</f>
        <v>【LB加藤】検証クエスト</v>
      </c>
      <c r="D104" s="82" t="str">
        <f ca="1">VLOOKUP($B104,OFFSET([2]quests!$A$1,0,0,COUNTA([2]quests!$A:$A),MATCH(D$1,[2]quests!$1:$1,0)-MATCH($B$1,[2]quests!$1:$1,0)+1),MATCH(D$1,[2]quests!$1:$1,0)-MATCH($B$1,[2]quests!$1:$1,0)+1,FALSE)</f>
        <v>検証</v>
      </c>
      <c r="E104" s="86" t="s">
        <v>220</v>
      </c>
      <c r="F104" s="82" t="e">
        <f ca="1">VLOOKUP($B104&amp;"_"&amp;$E104,OFFSET([2]stages!$A$1,0,0,COUNTA([2]stages!$A:$A),MATCH(F$1,[2]stages!$2:$2,0)-MATCH("temp_stage",[2]stages!$2:$2,0)+1),MATCH(F$1,[2]stages!$2:$2,0)-MATCH("temp_stage",[2]stages!$2:$2,0)+1,FALSE)</f>
        <v>#N/A</v>
      </c>
      <c r="G104" s="82" t="e">
        <f ca="1">VLOOKUP($B104&amp;"_"&amp;$E104,OFFSET([2]stages!$A$1,0,0,COUNTA([2]stages!$A:$A),MATCH(G$1,[2]stages!$2:$2,0)-MATCH("temp_stage",[2]stages!$2:$2,0)+1),MATCH(G$1,[2]stages!$2:$2,0)-MATCH("temp_stage",[2]stages!$2:$2,0)+1,FALSE)</f>
        <v>#N/A</v>
      </c>
      <c r="H104" s="84">
        <v>0</v>
      </c>
      <c r="I104">
        <v>34</v>
      </c>
      <c r="J104" s="83" t="s">
        <v>199</v>
      </c>
      <c r="K104" s="93" t="str">
        <f>VLOOKUP(I104,[7]stage_hints!$A:$C,3,FALSE)</f>
        <v>ステータスをスキルで下げられたら</v>
      </c>
      <c r="L104" s="94" t="str">
        <f>VLOOKUP(I104,[7]stage_hints!$A:$D,4,FALSE)</f>
        <v>ステータスダウンのスキルを受けたら_x000D_ステータスアップスキルで上書きしましょう</v>
      </c>
      <c r="M104" s="57" t="s">
        <v>214</v>
      </c>
    </row>
    <row r="105" spans="1:13" x14ac:dyDescent="0.15">
      <c r="A105" s="81" t="s">
        <v>202</v>
      </c>
      <c r="B105" s="47">
        <v>65526</v>
      </c>
      <c r="C105" s="82" t="str">
        <f ca="1">VLOOKUP($B105,OFFSET([2]quests!$A$1,0,0,COUNTA([2]quests!$A:$A),MATCH(C$1,[2]quests!$1:$1,0)-MATCH($B$1,[2]quests!$1:$1,0)+1),MATCH(C$1,[2]quests!$1:$1,0)-MATCH($B$1,[2]quests!$1:$1,0)+1,FALSE)</f>
        <v>【LB加藤】検証クエスト</v>
      </c>
      <c r="D105" s="82" t="str">
        <f ca="1">VLOOKUP($B105,OFFSET([2]quests!$A$1,0,0,COUNTA([2]quests!$A:$A),MATCH(D$1,[2]quests!$1:$1,0)-MATCH($B$1,[2]quests!$1:$1,0)+1),MATCH(D$1,[2]quests!$1:$1,0)-MATCH($B$1,[2]quests!$1:$1,0)+1,FALSE)</f>
        <v>検証</v>
      </c>
      <c r="E105" s="86" t="s">
        <v>220</v>
      </c>
      <c r="F105" s="82" t="e">
        <f ca="1">VLOOKUP($B105&amp;"_"&amp;$E105,OFFSET([2]stages!$A$1,0,0,COUNTA([2]stages!$A:$A),MATCH(F$1,[2]stages!$2:$2,0)-MATCH("temp_stage",[2]stages!$2:$2,0)+1),MATCH(F$1,[2]stages!$2:$2,0)-MATCH("temp_stage",[2]stages!$2:$2,0)+1,FALSE)</f>
        <v>#N/A</v>
      </c>
      <c r="G105" s="82" t="e">
        <f ca="1">VLOOKUP($B105&amp;"_"&amp;$E105,OFFSET([2]stages!$A$1,0,0,COUNTA([2]stages!$A:$A),MATCH(G$1,[2]stages!$2:$2,0)-MATCH("temp_stage",[2]stages!$2:$2,0)+1),MATCH(G$1,[2]stages!$2:$2,0)-MATCH("temp_stage",[2]stages!$2:$2,0)+1,FALSE)</f>
        <v>#N/A</v>
      </c>
      <c r="H105" s="84">
        <v>0</v>
      </c>
      <c r="I105">
        <v>35</v>
      </c>
      <c r="J105" s="83" t="s">
        <v>199</v>
      </c>
      <c r="K105" s="93" t="str">
        <f>VLOOKUP(I105,[7]stage_hints!$A:$C,3,FALSE)</f>
        <v>敵のステータスがスキルで上がったら</v>
      </c>
      <c r="L105" s="94" t="str">
        <f>VLOOKUP(I105,[7]stage_hints!$A:$D,4,FALSE)</f>
        <v>敵のステータスがスキルでアップしたときは_x000D_ステータスダウンスキルで上書きしましょう</v>
      </c>
      <c r="M105" s="57" t="s">
        <v>214</v>
      </c>
    </row>
    <row r="106" spans="1:13" x14ac:dyDescent="0.15">
      <c r="A106" s="81" t="s">
        <v>202</v>
      </c>
      <c r="B106" s="47">
        <v>65526</v>
      </c>
      <c r="C106" s="82" t="str">
        <f ca="1">VLOOKUP($B106,OFFSET([2]quests!$A$1,0,0,COUNTA([2]quests!$A:$A),MATCH(C$1,[2]quests!$1:$1,0)-MATCH($B$1,[2]quests!$1:$1,0)+1),MATCH(C$1,[2]quests!$1:$1,0)-MATCH($B$1,[2]quests!$1:$1,0)+1,FALSE)</f>
        <v>【LB加藤】検証クエスト</v>
      </c>
      <c r="D106" s="82" t="str">
        <f ca="1">VLOOKUP($B106,OFFSET([2]quests!$A$1,0,0,COUNTA([2]quests!$A:$A),MATCH(D$1,[2]quests!$1:$1,0)-MATCH($B$1,[2]quests!$1:$1,0)+1),MATCH(D$1,[2]quests!$1:$1,0)-MATCH($B$1,[2]quests!$1:$1,0)+1,FALSE)</f>
        <v>検証</v>
      </c>
      <c r="E106" s="86" t="s">
        <v>220</v>
      </c>
      <c r="F106" s="82" t="e">
        <f ca="1">VLOOKUP($B106&amp;"_"&amp;$E106,OFFSET([2]stages!$A$1,0,0,COUNTA([2]stages!$A:$A),MATCH(F$1,[2]stages!$2:$2,0)-MATCH("temp_stage",[2]stages!$2:$2,0)+1),MATCH(F$1,[2]stages!$2:$2,0)-MATCH("temp_stage",[2]stages!$2:$2,0)+1,FALSE)</f>
        <v>#N/A</v>
      </c>
      <c r="G106" s="82" t="e">
        <f ca="1">VLOOKUP($B106&amp;"_"&amp;$E106,OFFSET([2]stages!$A$1,0,0,COUNTA([2]stages!$A:$A),MATCH(G$1,[2]stages!$2:$2,0)-MATCH("temp_stage",[2]stages!$2:$2,0)+1),MATCH(G$1,[2]stages!$2:$2,0)-MATCH("temp_stage",[2]stages!$2:$2,0)+1,FALSE)</f>
        <v>#N/A</v>
      </c>
      <c r="H106" s="84">
        <v>0</v>
      </c>
      <c r="I106">
        <v>36</v>
      </c>
      <c r="J106" s="83" t="s">
        <v>199</v>
      </c>
      <c r="K106" s="93" t="str">
        <f>VLOOKUP(I106,[7]stage_hints!$A:$C,3,FALSE)</f>
        <v>チャレンジタワーのボス</v>
      </c>
      <c r="L106" s="94" t="str">
        <f>VLOOKUP(I106,[7]stage_hints!$A:$D,4,FALSE)</f>
        <v>チャレンジタワーでのみ登場するボスは_x000D_一定確率で獲得することができます</v>
      </c>
      <c r="M106" s="57" t="s">
        <v>214</v>
      </c>
    </row>
    <row r="107" spans="1:13" x14ac:dyDescent="0.15">
      <c r="A107" s="81" t="s">
        <v>202</v>
      </c>
      <c r="B107" s="47">
        <v>65526</v>
      </c>
      <c r="C107" s="82" t="str">
        <f ca="1">VLOOKUP($B107,OFFSET([2]quests!$A$1,0,0,COUNTA([2]quests!$A:$A),MATCH(C$1,[2]quests!$1:$1,0)-MATCH($B$1,[2]quests!$1:$1,0)+1),MATCH(C$1,[2]quests!$1:$1,0)-MATCH($B$1,[2]quests!$1:$1,0)+1,FALSE)</f>
        <v>【LB加藤】検証クエスト</v>
      </c>
      <c r="D107" s="82" t="str">
        <f ca="1">VLOOKUP($B107,OFFSET([2]quests!$A$1,0,0,COUNTA([2]quests!$A:$A),MATCH(D$1,[2]quests!$1:$1,0)-MATCH($B$1,[2]quests!$1:$1,0)+1),MATCH(D$1,[2]quests!$1:$1,0)-MATCH($B$1,[2]quests!$1:$1,0)+1,FALSE)</f>
        <v>検証</v>
      </c>
      <c r="E107" s="86" t="s">
        <v>220</v>
      </c>
      <c r="F107" s="82" t="e">
        <f ca="1">VLOOKUP($B107&amp;"_"&amp;$E107,OFFSET([2]stages!$A$1,0,0,COUNTA([2]stages!$A:$A),MATCH(F$1,[2]stages!$2:$2,0)-MATCH("temp_stage",[2]stages!$2:$2,0)+1),MATCH(F$1,[2]stages!$2:$2,0)-MATCH("temp_stage",[2]stages!$2:$2,0)+1,FALSE)</f>
        <v>#N/A</v>
      </c>
      <c r="G107" s="82" t="e">
        <f ca="1">VLOOKUP($B107&amp;"_"&amp;$E107,OFFSET([2]stages!$A$1,0,0,COUNTA([2]stages!$A:$A),MATCH(G$1,[2]stages!$2:$2,0)-MATCH("temp_stage",[2]stages!$2:$2,0)+1),MATCH(G$1,[2]stages!$2:$2,0)-MATCH("temp_stage",[2]stages!$2:$2,0)+1,FALSE)</f>
        <v>#N/A</v>
      </c>
      <c r="H107" s="84">
        <v>0</v>
      </c>
      <c r="I107">
        <v>37</v>
      </c>
      <c r="J107" s="83" t="s">
        <v>199</v>
      </c>
      <c r="K107" s="93" t="str">
        <f>VLOOKUP(I107,[7]stage_hints!$A:$C,3,FALSE)</f>
        <v>限界突破値の引き継ぎ</v>
      </c>
      <c r="L107" s="94" t="str">
        <f>VLOOKUP(I107,[7]stage_hints!$A:$D,4,FALSE)</f>
        <v>同じユニットを強化で合成すると_x000D_限界突破値を引き継げます（覚醒前後も可）</v>
      </c>
      <c r="M107" s="57" t="s">
        <v>214</v>
      </c>
    </row>
    <row r="108" spans="1:13" x14ac:dyDescent="0.15">
      <c r="A108" s="81" t="s">
        <v>202</v>
      </c>
      <c r="B108" s="47">
        <v>65526</v>
      </c>
      <c r="C108" s="82" t="str">
        <f ca="1">VLOOKUP($B108,OFFSET([2]quests!$A$1,0,0,COUNTA([2]quests!$A:$A),MATCH(C$1,[2]quests!$1:$1,0)-MATCH($B$1,[2]quests!$1:$1,0)+1),MATCH(C$1,[2]quests!$1:$1,0)-MATCH($B$1,[2]quests!$1:$1,0)+1,FALSE)</f>
        <v>【LB加藤】検証クエスト</v>
      </c>
      <c r="D108" s="82" t="str">
        <f ca="1">VLOOKUP($B108,OFFSET([2]quests!$A$1,0,0,COUNTA([2]quests!$A:$A),MATCH(D$1,[2]quests!$1:$1,0)-MATCH($B$1,[2]quests!$1:$1,0)+1),MATCH(D$1,[2]quests!$1:$1,0)-MATCH($B$1,[2]quests!$1:$1,0)+1,FALSE)</f>
        <v>検証</v>
      </c>
      <c r="E108" s="86" t="s">
        <v>220</v>
      </c>
      <c r="F108" s="82" t="e">
        <f ca="1">VLOOKUP($B108&amp;"_"&amp;$E108,OFFSET([2]stages!$A$1,0,0,COUNTA([2]stages!$A:$A),MATCH(F$1,[2]stages!$2:$2,0)-MATCH("temp_stage",[2]stages!$2:$2,0)+1),MATCH(F$1,[2]stages!$2:$2,0)-MATCH("temp_stage",[2]stages!$2:$2,0)+1,FALSE)</f>
        <v>#N/A</v>
      </c>
      <c r="G108" s="82" t="e">
        <f ca="1">VLOOKUP($B108&amp;"_"&amp;$E108,OFFSET([2]stages!$A$1,0,0,COUNTA([2]stages!$A:$A),MATCH(G$1,[2]stages!$2:$2,0)-MATCH("temp_stage",[2]stages!$2:$2,0)+1),MATCH(G$1,[2]stages!$2:$2,0)-MATCH("temp_stage",[2]stages!$2:$2,0)+1,FALSE)</f>
        <v>#N/A</v>
      </c>
      <c r="H108" s="84">
        <v>0</v>
      </c>
      <c r="I108">
        <v>39</v>
      </c>
      <c r="J108" s="83" t="s">
        <v>199</v>
      </c>
      <c r="K108" s="93" t="str">
        <f>VLOOKUP(I108,[7]stage_hints!$A:$C,3,FALSE)</f>
        <v>システム適合者を確認</v>
      </c>
      <c r="L108" s="94" t="str">
        <f>VLOOKUP(I108,[7]stage_hints!$A:$D,4,FALSE)</f>
        <v>ALICEが「アナタ」を呼んでいます</v>
      </c>
      <c r="M108" s="57" t="s">
        <v>214</v>
      </c>
    </row>
    <row r="109" spans="1:13" x14ac:dyDescent="0.15">
      <c r="A109" s="81" t="s">
        <v>202</v>
      </c>
      <c r="B109" s="47">
        <v>65526</v>
      </c>
      <c r="C109" s="82" t="str">
        <f ca="1">VLOOKUP($B109,OFFSET([2]quests!$A$1,0,0,COUNTA([2]quests!$A:$A),MATCH(C$1,[2]quests!$1:$1,0)-MATCH($B$1,[2]quests!$1:$1,0)+1),MATCH(C$1,[2]quests!$1:$1,0)-MATCH($B$1,[2]quests!$1:$1,0)+1,FALSE)</f>
        <v>【LB加藤】検証クエスト</v>
      </c>
      <c r="D109" s="82" t="str">
        <f ca="1">VLOOKUP($B109,OFFSET([2]quests!$A$1,0,0,COUNTA([2]quests!$A:$A),MATCH(D$1,[2]quests!$1:$1,0)-MATCH($B$1,[2]quests!$1:$1,0)+1),MATCH(D$1,[2]quests!$1:$1,0)-MATCH($B$1,[2]quests!$1:$1,0)+1,FALSE)</f>
        <v>検証</v>
      </c>
      <c r="E109" s="86" t="s">
        <v>221</v>
      </c>
      <c r="F109" s="82" t="e">
        <f ca="1">VLOOKUP($B109&amp;"_"&amp;$E109,OFFSET([2]stages!$A$1,0,0,COUNTA([2]stages!$A:$A),MATCH(F$1,[2]stages!$2:$2,0)-MATCH("temp_stage",[2]stages!$2:$2,0)+1),MATCH(F$1,[2]stages!$2:$2,0)-MATCH("temp_stage",[2]stages!$2:$2,0)+1,FALSE)</f>
        <v>#N/A</v>
      </c>
      <c r="G109" s="82" t="e">
        <f ca="1">VLOOKUP($B109&amp;"_"&amp;$E109,OFFSET([2]stages!$A$1,0,0,COUNTA([2]stages!$A:$A),MATCH(G$1,[2]stages!$2:$2,0)-MATCH("temp_stage",[2]stages!$2:$2,0)+1),MATCH(G$1,[2]stages!$2:$2,0)-MATCH("temp_stage",[2]stages!$2:$2,0)+1,FALSE)</f>
        <v>#N/A</v>
      </c>
      <c r="H109" s="84">
        <v>0</v>
      </c>
      <c r="I109">
        <v>12</v>
      </c>
      <c r="J109" s="83" t="s">
        <v>199</v>
      </c>
      <c r="K109" s="93" t="str">
        <f>VLOOKUP(I109,[7]stage_hints!$A:$C,3,FALSE)</f>
        <v>ユニットのお気に入り登録</v>
      </c>
      <c r="L109" s="94" t="str">
        <f>VLOOKUP(I109,[7]stage_hints!$A:$D,4,FALSE)</f>
        <v>大事なユニットを誤って消さないように_x000D_フォルダから「お気に入り登録」しましょう</v>
      </c>
      <c r="M109" s="57" t="s">
        <v>214</v>
      </c>
    </row>
    <row r="110" spans="1:13" x14ac:dyDescent="0.15">
      <c r="A110" s="81" t="s">
        <v>202</v>
      </c>
      <c r="B110" s="47">
        <v>65526</v>
      </c>
      <c r="C110" s="82" t="str">
        <f ca="1">VLOOKUP($B110,OFFSET([2]quests!$A$1,0,0,COUNTA([2]quests!$A:$A),MATCH(C$1,[2]quests!$1:$1,0)-MATCH($B$1,[2]quests!$1:$1,0)+1),MATCH(C$1,[2]quests!$1:$1,0)-MATCH($B$1,[2]quests!$1:$1,0)+1,FALSE)</f>
        <v>【LB加藤】検証クエスト</v>
      </c>
      <c r="D110" s="82" t="str">
        <f ca="1">VLOOKUP($B110,OFFSET([2]quests!$A$1,0,0,COUNTA([2]quests!$A:$A),MATCH(D$1,[2]quests!$1:$1,0)-MATCH($B$1,[2]quests!$1:$1,0)+1),MATCH(D$1,[2]quests!$1:$1,0)-MATCH($B$1,[2]quests!$1:$1,0)+1,FALSE)</f>
        <v>検証</v>
      </c>
      <c r="E110" s="86" t="s">
        <v>221</v>
      </c>
      <c r="F110" s="82" t="e">
        <f ca="1">VLOOKUP($B110&amp;"_"&amp;$E110,OFFSET([2]stages!$A$1,0,0,COUNTA([2]stages!$A:$A),MATCH(F$1,[2]stages!$2:$2,0)-MATCH("temp_stage",[2]stages!$2:$2,0)+1),MATCH(F$1,[2]stages!$2:$2,0)-MATCH("temp_stage",[2]stages!$2:$2,0)+1,FALSE)</f>
        <v>#N/A</v>
      </c>
      <c r="G110" s="82" t="e">
        <f ca="1">VLOOKUP($B110&amp;"_"&amp;$E110,OFFSET([2]stages!$A$1,0,0,COUNTA([2]stages!$A:$A),MATCH(G$1,[2]stages!$2:$2,0)-MATCH("temp_stage",[2]stages!$2:$2,0)+1),MATCH(G$1,[2]stages!$2:$2,0)-MATCH("temp_stage",[2]stages!$2:$2,0)+1,FALSE)</f>
        <v>#N/A</v>
      </c>
      <c r="H110" s="84">
        <v>0</v>
      </c>
      <c r="I110">
        <v>17</v>
      </c>
      <c r="J110" s="83" t="s">
        <v>199</v>
      </c>
      <c r="K110" s="93" t="str">
        <f>VLOOKUP(I110,[7]stage_hints!$A:$C,3,FALSE)</f>
        <v>リンクガチャ</v>
      </c>
      <c r="L110" s="94" t="str">
        <f>VLOOKUP(I110,[7]stage_hints!$A:$D,4,FALSE)</f>
        <v>無料のリンクガチャを回して_x000D_経験値素材や売却素材を獲得しましょう</v>
      </c>
      <c r="M110" s="57" t="s">
        <v>214</v>
      </c>
    </row>
    <row r="111" spans="1:13" x14ac:dyDescent="0.15">
      <c r="A111" s="81" t="s">
        <v>202</v>
      </c>
      <c r="B111" s="47">
        <v>65526</v>
      </c>
      <c r="C111" s="82" t="str">
        <f ca="1">VLOOKUP($B111,OFFSET([2]quests!$A$1,0,0,COUNTA([2]quests!$A:$A),MATCH(C$1,[2]quests!$1:$1,0)-MATCH($B$1,[2]quests!$1:$1,0)+1),MATCH(C$1,[2]quests!$1:$1,0)-MATCH($B$1,[2]quests!$1:$1,0)+1,FALSE)</f>
        <v>【LB加藤】検証クエスト</v>
      </c>
      <c r="D111" s="82" t="str">
        <f ca="1">VLOOKUP($B111,OFFSET([2]quests!$A$1,0,0,COUNTA([2]quests!$A:$A),MATCH(D$1,[2]quests!$1:$1,0)-MATCH($B$1,[2]quests!$1:$1,0)+1),MATCH(D$1,[2]quests!$1:$1,0)-MATCH($B$1,[2]quests!$1:$1,0)+1,FALSE)</f>
        <v>検証</v>
      </c>
      <c r="E111" s="86" t="s">
        <v>221</v>
      </c>
      <c r="F111" s="82" t="e">
        <f ca="1">VLOOKUP($B111&amp;"_"&amp;$E111,OFFSET([2]stages!$A$1,0,0,COUNTA([2]stages!$A:$A),MATCH(F$1,[2]stages!$2:$2,0)-MATCH("temp_stage",[2]stages!$2:$2,0)+1),MATCH(F$1,[2]stages!$2:$2,0)-MATCH("temp_stage",[2]stages!$2:$2,0)+1,FALSE)</f>
        <v>#N/A</v>
      </c>
      <c r="G111" s="82" t="e">
        <f ca="1">VLOOKUP($B111&amp;"_"&amp;$E111,OFFSET([2]stages!$A$1,0,0,COUNTA([2]stages!$A:$A),MATCH(G$1,[2]stages!$2:$2,0)-MATCH("temp_stage",[2]stages!$2:$2,0)+1),MATCH(G$1,[2]stages!$2:$2,0)-MATCH("temp_stage",[2]stages!$2:$2,0)+1,FALSE)</f>
        <v>#N/A</v>
      </c>
      <c r="H111" s="84">
        <v>0</v>
      </c>
      <c r="I111">
        <v>19</v>
      </c>
      <c r="J111" s="83" t="s">
        <v>199</v>
      </c>
      <c r="K111" s="93" t="str">
        <f>VLOOKUP(I111,[7]stage_hints!$A:$C,3,FALSE)</f>
        <v>ソロ専用チャレンジタワー</v>
      </c>
      <c r="L111" s="94" t="str">
        <f>VLOOKUP(I111,[7]stage_hints!$A:$D,4,FALSE)</f>
        <v>ソロ専用の「チャレンジタワー」では_x000D_各フロアごとにクリア報酬がもらえます</v>
      </c>
      <c r="M111" s="57" t="s">
        <v>214</v>
      </c>
    </row>
    <row r="112" spans="1:13" x14ac:dyDescent="0.15">
      <c r="A112" s="81" t="s">
        <v>202</v>
      </c>
      <c r="B112" s="47">
        <v>65526</v>
      </c>
      <c r="C112" s="82" t="str">
        <f ca="1">VLOOKUP($B112,OFFSET([2]quests!$A$1,0,0,COUNTA([2]quests!$A:$A),MATCH(C$1,[2]quests!$1:$1,0)-MATCH($B$1,[2]quests!$1:$1,0)+1),MATCH(C$1,[2]quests!$1:$1,0)-MATCH($B$1,[2]quests!$1:$1,0)+1,FALSE)</f>
        <v>【LB加藤】検証クエスト</v>
      </c>
      <c r="D112" s="82" t="str">
        <f ca="1">VLOOKUP($B112,OFFSET([2]quests!$A$1,0,0,COUNTA([2]quests!$A:$A),MATCH(D$1,[2]quests!$1:$1,0)-MATCH($B$1,[2]quests!$1:$1,0)+1),MATCH(D$1,[2]quests!$1:$1,0)-MATCH($B$1,[2]quests!$1:$1,0)+1,FALSE)</f>
        <v>検証</v>
      </c>
      <c r="E112" s="86" t="s">
        <v>221</v>
      </c>
      <c r="F112" s="82" t="e">
        <f ca="1">VLOOKUP($B112&amp;"_"&amp;$E112,OFFSET([2]stages!$A$1,0,0,COUNTA([2]stages!$A:$A),MATCH(F$1,[2]stages!$2:$2,0)-MATCH("temp_stage",[2]stages!$2:$2,0)+1),MATCH(F$1,[2]stages!$2:$2,0)-MATCH("temp_stage",[2]stages!$2:$2,0)+1,FALSE)</f>
        <v>#N/A</v>
      </c>
      <c r="G112" s="82" t="e">
        <f ca="1">VLOOKUP($B112&amp;"_"&amp;$E112,OFFSET([2]stages!$A$1,0,0,COUNTA([2]stages!$A:$A),MATCH(G$1,[2]stages!$2:$2,0)-MATCH("temp_stage",[2]stages!$2:$2,0)+1),MATCH(G$1,[2]stages!$2:$2,0)-MATCH("temp_stage",[2]stages!$2:$2,0)+1,FALSE)</f>
        <v>#N/A</v>
      </c>
      <c r="H112" s="84">
        <v>0</v>
      </c>
      <c r="I112">
        <v>21</v>
      </c>
      <c r="J112" s="83" t="s">
        <v>199</v>
      </c>
      <c r="K112" s="93" t="str">
        <f>VLOOKUP(I112,[7]stage_hints!$A:$C,3,FALSE)</f>
        <v>スキルを有効に</v>
      </c>
      <c r="L112" s="94" t="str">
        <f>VLOOKUP(I112,[7]stage_hints!$A:$D,4,FALSE)</f>
        <v>ターン経過でユニットのスキルが使えます_x000D_強力スキルでバトルを有利に進めましょう</v>
      </c>
      <c r="M112" s="57" t="s">
        <v>214</v>
      </c>
    </row>
    <row r="113" spans="1:13" x14ac:dyDescent="0.15">
      <c r="A113" s="81" t="s">
        <v>202</v>
      </c>
      <c r="B113" s="47">
        <v>65526</v>
      </c>
      <c r="C113" s="82" t="str">
        <f ca="1">VLOOKUP($B113,OFFSET([2]quests!$A$1,0,0,COUNTA([2]quests!$A:$A),MATCH(C$1,[2]quests!$1:$1,0)-MATCH($B$1,[2]quests!$1:$1,0)+1),MATCH(C$1,[2]quests!$1:$1,0)-MATCH($B$1,[2]quests!$1:$1,0)+1,FALSE)</f>
        <v>【LB加藤】検証クエスト</v>
      </c>
      <c r="D113" s="82" t="str">
        <f ca="1">VLOOKUP($B113,OFFSET([2]quests!$A$1,0,0,COUNTA([2]quests!$A:$A),MATCH(D$1,[2]quests!$1:$1,0)-MATCH($B$1,[2]quests!$1:$1,0)+1),MATCH(D$1,[2]quests!$1:$1,0)-MATCH($B$1,[2]quests!$1:$1,0)+1,FALSE)</f>
        <v>検証</v>
      </c>
      <c r="E113" s="86" t="s">
        <v>221</v>
      </c>
      <c r="F113" s="82" t="e">
        <f ca="1">VLOOKUP($B113&amp;"_"&amp;$E113,OFFSET([2]stages!$A$1,0,0,COUNTA([2]stages!$A:$A),MATCH(F$1,[2]stages!$2:$2,0)-MATCH("temp_stage",[2]stages!$2:$2,0)+1),MATCH(F$1,[2]stages!$2:$2,0)-MATCH("temp_stage",[2]stages!$2:$2,0)+1,FALSE)</f>
        <v>#N/A</v>
      </c>
      <c r="G113" s="82" t="e">
        <f ca="1">VLOOKUP($B113&amp;"_"&amp;$E113,OFFSET([2]stages!$A$1,0,0,COUNTA([2]stages!$A:$A),MATCH(G$1,[2]stages!$2:$2,0)-MATCH("temp_stage",[2]stages!$2:$2,0)+1),MATCH(G$1,[2]stages!$2:$2,0)-MATCH("temp_stage",[2]stages!$2:$2,0)+1,FALSE)</f>
        <v>#N/A</v>
      </c>
      <c r="H113" s="84">
        <v>0</v>
      </c>
      <c r="I113">
        <v>29</v>
      </c>
      <c r="J113" s="83" t="s">
        <v>199</v>
      </c>
      <c r="K113" s="93" t="str">
        <f>VLOOKUP(I113,[7]stage_hints!$A:$C,3,FALSE)</f>
        <v>「バグ」のメリット</v>
      </c>
      <c r="L113" s="94" t="str">
        <f>VLOOKUP(I113,[7]stage_hints!$A:$D,4,FALSE)</f>
        <v>ユニットの「バグ」を増やすと_x000D_報酬をもらえる確率がアップします</v>
      </c>
      <c r="M113" s="57" t="s">
        <v>214</v>
      </c>
    </row>
    <row r="114" spans="1:13" x14ac:dyDescent="0.15">
      <c r="A114" s="81" t="s">
        <v>202</v>
      </c>
      <c r="B114" s="47">
        <v>65526</v>
      </c>
      <c r="C114" s="82" t="str">
        <f ca="1">VLOOKUP($B114,OFFSET([2]quests!$A$1,0,0,COUNTA([2]quests!$A:$A),MATCH(C$1,[2]quests!$1:$1,0)-MATCH($B$1,[2]quests!$1:$1,0)+1),MATCH(C$1,[2]quests!$1:$1,0)-MATCH($B$1,[2]quests!$1:$1,0)+1,FALSE)</f>
        <v>【LB加藤】検証クエスト</v>
      </c>
      <c r="D114" s="82" t="str">
        <f ca="1">VLOOKUP($B114,OFFSET([2]quests!$A$1,0,0,COUNTA([2]quests!$A:$A),MATCH(D$1,[2]quests!$1:$1,0)-MATCH($B$1,[2]quests!$1:$1,0)+1),MATCH(D$1,[2]quests!$1:$1,0)-MATCH($B$1,[2]quests!$1:$1,0)+1,FALSE)</f>
        <v>検証</v>
      </c>
      <c r="E114" s="86" t="s">
        <v>221</v>
      </c>
      <c r="F114" s="82" t="e">
        <f ca="1">VLOOKUP($B114&amp;"_"&amp;$E114,OFFSET([2]stages!$A$1,0,0,COUNTA([2]stages!$A:$A),MATCH(F$1,[2]stages!$2:$2,0)-MATCH("temp_stage",[2]stages!$2:$2,0)+1),MATCH(F$1,[2]stages!$2:$2,0)-MATCH("temp_stage",[2]stages!$2:$2,0)+1,FALSE)</f>
        <v>#N/A</v>
      </c>
      <c r="G114" s="82" t="e">
        <f ca="1">VLOOKUP($B114&amp;"_"&amp;$E114,OFFSET([2]stages!$A$1,0,0,COUNTA([2]stages!$A:$A),MATCH(G$1,[2]stages!$2:$2,0)-MATCH("temp_stage",[2]stages!$2:$2,0)+1),MATCH(G$1,[2]stages!$2:$2,0)-MATCH("temp_stage",[2]stages!$2:$2,0)+1,FALSE)</f>
        <v>#N/A</v>
      </c>
      <c r="H114" s="84">
        <v>0</v>
      </c>
      <c r="I114">
        <v>30</v>
      </c>
      <c r="J114" s="83" t="s">
        <v>199</v>
      </c>
      <c r="K114" s="93" t="str">
        <f>VLOOKUP(I114,[7]stage_hints!$A:$C,3,FALSE)</f>
        <v>「バグ」の増やし方</v>
      </c>
      <c r="L114" s="94" t="str">
        <f>VLOOKUP(I114,[7]stage_hints!$A:$D,4,FALSE)</f>
        <v>同じユニット同士を強化で合成すると_x000D_「バグ」を増やすことができます</v>
      </c>
      <c r="M114" s="57" t="s">
        <v>214</v>
      </c>
    </row>
    <row r="115" spans="1:13" x14ac:dyDescent="0.15">
      <c r="A115" s="81" t="s">
        <v>202</v>
      </c>
      <c r="B115" s="47">
        <v>65526</v>
      </c>
      <c r="C115" s="82" t="str">
        <f ca="1">VLOOKUP($B115,OFFSET([2]quests!$A$1,0,0,COUNTA([2]quests!$A:$A),MATCH(C$1,[2]quests!$1:$1,0)-MATCH($B$1,[2]quests!$1:$1,0)+1),MATCH(C$1,[2]quests!$1:$1,0)-MATCH($B$1,[2]quests!$1:$1,0)+1,FALSE)</f>
        <v>【LB加藤】検証クエスト</v>
      </c>
      <c r="D115" s="82" t="str">
        <f ca="1">VLOOKUP($B115,OFFSET([2]quests!$A$1,0,0,COUNTA([2]quests!$A:$A),MATCH(D$1,[2]quests!$1:$1,0)-MATCH($B$1,[2]quests!$1:$1,0)+1),MATCH(D$1,[2]quests!$1:$1,0)-MATCH($B$1,[2]quests!$1:$1,0)+1,FALSE)</f>
        <v>検証</v>
      </c>
      <c r="E115" s="86" t="s">
        <v>221</v>
      </c>
      <c r="F115" s="82" t="e">
        <f ca="1">VLOOKUP($B115&amp;"_"&amp;$E115,OFFSET([2]stages!$A$1,0,0,COUNTA([2]stages!$A:$A),MATCH(F$1,[2]stages!$2:$2,0)-MATCH("temp_stage",[2]stages!$2:$2,0)+1),MATCH(F$1,[2]stages!$2:$2,0)-MATCH("temp_stage",[2]stages!$2:$2,0)+1,FALSE)</f>
        <v>#N/A</v>
      </c>
      <c r="G115" s="82" t="e">
        <f ca="1">VLOOKUP($B115&amp;"_"&amp;$E115,OFFSET([2]stages!$A$1,0,0,COUNTA([2]stages!$A:$A),MATCH(G$1,[2]stages!$2:$2,0)-MATCH("temp_stage",[2]stages!$2:$2,0)+1),MATCH(G$1,[2]stages!$2:$2,0)-MATCH("temp_stage",[2]stages!$2:$2,0)+1,FALSE)</f>
        <v>#N/A</v>
      </c>
      <c r="H115" s="84">
        <v>0</v>
      </c>
      <c r="I115">
        <v>32</v>
      </c>
      <c r="J115" s="83" t="s">
        <v>199</v>
      </c>
      <c r="K115" s="93" t="str">
        <f>VLOOKUP(I115,[7]stage_hints!$A:$C,3,FALSE)</f>
        <v>敵の連続攻撃には</v>
      </c>
      <c r="L115" s="94" t="str">
        <f>VLOOKUP(I115,[7]stage_hints!$A:$D,4,FALSE)</f>
        <v>カウンタースキルを持つユニットがいれば_x000D_ダメージ回数分の反撃ができます</v>
      </c>
      <c r="M115" s="57" t="s">
        <v>214</v>
      </c>
    </row>
    <row r="116" spans="1:13" x14ac:dyDescent="0.15">
      <c r="A116" s="81" t="s">
        <v>202</v>
      </c>
      <c r="B116" s="47">
        <v>65526</v>
      </c>
      <c r="C116" s="82" t="str">
        <f ca="1">VLOOKUP($B116,OFFSET([2]quests!$A$1,0,0,COUNTA([2]quests!$A:$A),MATCH(C$1,[2]quests!$1:$1,0)-MATCH($B$1,[2]quests!$1:$1,0)+1),MATCH(C$1,[2]quests!$1:$1,0)-MATCH($B$1,[2]quests!$1:$1,0)+1,FALSE)</f>
        <v>【LB加藤】検証クエスト</v>
      </c>
      <c r="D116" s="82" t="str">
        <f ca="1">VLOOKUP($B116,OFFSET([2]quests!$A$1,0,0,COUNTA([2]quests!$A:$A),MATCH(D$1,[2]quests!$1:$1,0)-MATCH($B$1,[2]quests!$1:$1,0)+1),MATCH(D$1,[2]quests!$1:$1,0)-MATCH($B$1,[2]quests!$1:$1,0)+1,FALSE)</f>
        <v>検証</v>
      </c>
      <c r="E116" s="86" t="s">
        <v>221</v>
      </c>
      <c r="F116" s="82" t="e">
        <f ca="1">VLOOKUP($B116&amp;"_"&amp;$E116,OFFSET([2]stages!$A$1,0,0,COUNTA([2]stages!$A:$A),MATCH(F$1,[2]stages!$2:$2,0)-MATCH("temp_stage",[2]stages!$2:$2,0)+1),MATCH(F$1,[2]stages!$2:$2,0)-MATCH("temp_stage",[2]stages!$2:$2,0)+1,FALSE)</f>
        <v>#N/A</v>
      </c>
      <c r="G116" s="82" t="e">
        <f ca="1">VLOOKUP($B116&amp;"_"&amp;$E116,OFFSET([2]stages!$A$1,0,0,COUNTA([2]stages!$A:$A),MATCH(G$1,[2]stages!$2:$2,0)-MATCH("temp_stage",[2]stages!$2:$2,0)+1),MATCH(G$1,[2]stages!$2:$2,0)-MATCH("temp_stage",[2]stages!$2:$2,0)+1,FALSE)</f>
        <v>#N/A</v>
      </c>
      <c r="H116" s="84">
        <v>0</v>
      </c>
      <c r="I116">
        <v>33</v>
      </c>
      <c r="J116" s="83" t="s">
        <v>199</v>
      </c>
      <c r="K116" s="93" t="str">
        <f>VLOOKUP(I116,[7]stage_hints!$A:$C,3,FALSE)</f>
        <v>敵のカウンター攻撃には</v>
      </c>
      <c r="L116" s="94" t="str">
        <f>VLOOKUP(I116,[7]stage_hints!$A:$D,4,FALSE)</f>
        <v>カウンターブレイクスキルを持っていれば_x000D_敵のカウンターを解除して攻撃ができます</v>
      </c>
      <c r="M116" s="57" t="s">
        <v>214</v>
      </c>
    </row>
    <row r="117" spans="1:13" x14ac:dyDescent="0.15">
      <c r="A117" s="81" t="s">
        <v>202</v>
      </c>
      <c r="B117" s="47">
        <v>65526</v>
      </c>
      <c r="C117" s="82" t="str">
        <f ca="1">VLOOKUP($B117,OFFSET([2]quests!$A$1,0,0,COUNTA([2]quests!$A:$A),MATCH(C$1,[2]quests!$1:$1,0)-MATCH($B$1,[2]quests!$1:$1,0)+1),MATCH(C$1,[2]quests!$1:$1,0)-MATCH($B$1,[2]quests!$1:$1,0)+1,FALSE)</f>
        <v>【LB加藤】検証クエスト</v>
      </c>
      <c r="D117" s="82" t="str">
        <f ca="1">VLOOKUP($B117,OFFSET([2]quests!$A$1,0,0,COUNTA([2]quests!$A:$A),MATCH(D$1,[2]quests!$1:$1,0)-MATCH($B$1,[2]quests!$1:$1,0)+1),MATCH(D$1,[2]quests!$1:$1,0)-MATCH($B$1,[2]quests!$1:$1,0)+1,FALSE)</f>
        <v>検証</v>
      </c>
      <c r="E117" s="86" t="s">
        <v>221</v>
      </c>
      <c r="F117" s="82" t="e">
        <f ca="1">VLOOKUP($B117&amp;"_"&amp;$E117,OFFSET([2]stages!$A$1,0,0,COUNTA([2]stages!$A:$A),MATCH(F$1,[2]stages!$2:$2,0)-MATCH("temp_stage",[2]stages!$2:$2,0)+1),MATCH(F$1,[2]stages!$2:$2,0)-MATCH("temp_stage",[2]stages!$2:$2,0)+1,FALSE)</f>
        <v>#N/A</v>
      </c>
      <c r="G117" s="82" t="e">
        <f ca="1">VLOOKUP($B117&amp;"_"&amp;$E117,OFFSET([2]stages!$A$1,0,0,COUNTA([2]stages!$A:$A),MATCH(G$1,[2]stages!$2:$2,0)-MATCH("temp_stage",[2]stages!$2:$2,0)+1),MATCH(G$1,[2]stages!$2:$2,0)-MATCH("temp_stage",[2]stages!$2:$2,0)+1,FALSE)</f>
        <v>#N/A</v>
      </c>
      <c r="H117" s="84">
        <v>0</v>
      </c>
      <c r="I117">
        <v>34</v>
      </c>
      <c r="J117" s="83" t="s">
        <v>199</v>
      </c>
      <c r="K117" s="93" t="str">
        <f>VLOOKUP(I117,[7]stage_hints!$A:$C,3,FALSE)</f>
        <v>ステータスをスキルで下げられたら</v>
      </c>
      <c r="L117" s="94" t="str">
        <f>VLOOKUP(I117,[7]stage_hints!$A:$D,4,FALSE)</f>
        <v>ステータスダウンのスキルを受けたら_x000D_ステータスアップスキルで上書きしましょう</v>
      </c>
      <c r="M117" s="57" t="s">
        <v>214</v>
      </c>
    </row>
    <row r="118" spans="1:13" x14ac:dyDescent="0.15">
      <c r="A118" s="81" t="s">
        <v>202</v>
      </c>
      <c r="B118" s="47">
        <v>65526</v>
      </c>
      <c r="C118" s="82" t="str">
        <f ca="1">VLOOKUP($B118,OFFSET([2]quests!$A$1,0,0,COUNTA([2]quests!$A:$A),MATCH(C$1,[2]quests!$1:$1,0)-MATCH($B$1,[2]quests!$1:$1,0)+1),MATCH(C$1,[2]quests!$1:$1,0)-MATCH($B$1,[2]quests!$1:$1,0)+1,FALSE)</f>
        <v>【LB加藤】検証クエスト</v>
      </c>
      <c r="D118" s="82" t="str">
        <f ca="1">VLOOKUP($B118,OFFSET([2]quests!$A$1,0,0,COUNTA([2]quests!$A:$A),MATCH(D$1,[2]quests!$1:$1,0)-MATCH($B$1,[2]quests!$1:$1,0)+1),MATCH(D$1,[2]quests!$1:$1,0)-MATCH($B$1,[2]quests!$1:$1,0)+1,FALSE)</f>
        <v>検証</v>
      </c>
      <c r="E118" s="86" t="s">
        <v>221</v>
      </c>
      <c r="F118" s="82" t="e">
        <f ca="1">VLOOKUP($B118&amp;"_"&amp;$E118,OFFSET([2]stages!$A$1,0,0,COUNTA([2]stages!$A:$A),MATCH(F$1,[2]stages!$2:$2,0)-MATCH("temp_stage",[2]stages!$2:$2,0)+1),MATCH(F$1,[2]stages!$2:$2,0)-MATCH("temp_stage",[2]stages!$2:$2,0)+1,FALSE)</f>
        <v>#N/A</v>
      </c>
      <c r="G118" s="82" t="e">
        <f ca="1">VLOOKUP($B118&amp;"_"&amp;$E118,OFFSET([2]stages!$A$1,0,0,COUNTA([2]stages!$A:$A),MATCH(G$1,[2]stages!$2:$2,0)-MATCH("temp_stage",[2]stages!$2:$2,0)+1),MATCH(G$1,[2]stages!$2:$2,0)-MATCH("temp_stage",[2]stages!$2:$2,0)+1,FALSE)</f>
        <v>#N/A</v>
      </c>
      <c r="H118" s="84">
        <v>0</v>
      </c>
      <c r="I118">
        <v>35</v>
      </c>
      <c r="J118" s="83" t="s">
        <v>199</v>
      </c>
      <c r="K118" s="93" t="str">
        <f>VLOOKUP(I118,[7]stage_hints!$A:$C,3,FALSE)</f>
        <v>敵のステータスがスキルで上がったら</v>
      </c>
      <c r="L118" s="94" t="str">
        <f>VLOOKUP(I118,[7]stage_hints!$A:$D,4,FALSE)</f>
        <v>敵のステータスがスキルでアップしたときは_x000D_ステータスダウンスキルで上書きしましょう</v>
      </c>
      <c r="M118" s="57" t="s">
        <v>214</v>
      </c>
    </row>
    <row r="119" spans="1:13" x14ac:dyDescent="0.15">
      <c r="A119" s="81" t="s">
        <v>202</v>
      </c>
      <c r="B119" s="47">
        <v>65526</v>
      </c>
      <c r="C119" s="82" t="str">
        <f ca="1">VLOOKUP($B119,OFFSET([2]quests!$A$1,0,0,COUNTA([2]quests!$A:$A),MATCH(C$1,[2]quests!$1:$1,0)-MATCH($B$1,[2]quests!$1:$1,0)+1),MATCH(C$1,[2]quests!$1:$1,0)-MATCH($B$1,[2]quests!$1:$1,0)+1,FALSE)</f>
        <v>【LB加藤】検証クエスト</v>
      </c>
      <c r="D119" s="82" t="str">
        <f ca="1">VLOOKUP($B119,OFFSET([2]quests!$A$1,0,0,COUNTA([2]quests!$A:$A),MATCH(D$1,[2]quests!$1:$1,0)-MATCH($B$1,[2]quests!$1:$1,0)+1),MATCH(D$1,[2]quests!$1:$1,0)-MATCH($B$1,[2]quests!$1:$1,0)+1,FALSE)</f>
        <v>検証</v>
      </c>
      <c r="E119" s="86" t="s">
        <v>221</v>
      </c>
      <c r="F119" s="82" t="e">
        <f ca="1">VLOOKUP($B119&amp;"_"&amp;$E119,OFFSET([2]stages!$A$1,0,0,COUNTA([2]stages!$A:$A),MATCH(F$1,[2]stages!$2:$2,0)-MATCH("temp_stage",[2]stages!$2:$2,0)+1),MATCH(F$1,[2]stages!$2:$2,0)-MATCH("temp_stage",[2]stages!$2:$2,0)+1,FALSE)</f>
        <v>#N/A</v>
      </c>
      <c r="G119" s="82" t="e">
        <f ca="1">VLOOKUP($B119&amp;"_"&amp;$E119,OFFSET([2]stages!$A$1,0,0,COUNTA([2]stages!$A:$A),MATCH(G$1,[2]stages!$2:$2,0)-MATCH("temp_stage",[2]stages!$2:$2,0)+1),MATCH(G$1,[2]stages!$2:$2,0)-MATCH("temp_stage",[2]stages!$2:$2,0)+1,FALSE)</f>
        <v>#N/A</v>
      </c>
      <c r="H119" s="84">
        <v>0</v>
      </c>
      <c r="I119">
        <v>36</v>
      </c>
      <c r="J119" s="83" t="s">
        <v>199</v>
      </c>
      <c r="K119" s="93" t="str">
        <f>VLOOKUP(I119,[7]stage_hints!$A:$C,3,FALSE)</f>
        <v>チャレンジタワーのボス</v>
      </c>
      <c r="L119" s="94" t="str">
        <f>VLOOKUP(I119,[7]stage_hints!$A:$D,4,FALSE)</f>
        <v>チャレンジタワーでのみ登場するボスは_x000D_一定確率で獲得することができます</v>
      </c>
      <c r="M119" s="57" t="s">
        <v>214</v>
      </c>
    </row>
    <row r="120" spans="1:13" x14ac:dyDescent="0.15">
      <c r="A120" s="81" t="s">
        <v>202</v>
      </c>
      <c r="B120" s="47">
        <v>65526</v>
      </c>
      <c r="C120" s="82" t="str">
        <f ca="1">VLOOKUP($B120,OFFSET([2]quests!$A$1,0,0,COUNTA([2]quests!$A:$A),MATCH(C$1,[2]quests!$1:$1,0)-MATCH($B$1,[2]quests!$1:$1,0)+1),MATCH(C$1,[2]quests!$1:$1,0)-MATCH($B$1,[2]quests!$1:$1,0)+1,FALSE)</f>
        <v>【LB加藤】検証クエスト</v>
      </c>
      <c r="D120" s="82" t="str">
        <f ca="1">VLOOKUP($B120,OFFSET([2]quests!$A$1,0,0,COUNTA([2]quests!$A:$A),MATCH(D$1,[2]quests!$1:$1,0)-MATCH($B$1,[2]quests!$1:$1,0)+1),MATCH(D$1,[2]quests!$1:$1,0)-MATCH($B$1,[2]quests!$1:$1,0)+1,FALSE)</f>
        <v>検証</v>
      </c>
      <c r="E120" s="86" t="s">
        <v>221</v>
      </c>
      <c r="F120" s="82" t="e">
        <f ca="1">VLOOKUP($B120&amp;"_"&amp;$E120,OFFSET([2]stages!$A$1,0,0,COUNTA([2]stages!$A:$A),MATCH(F$1,[2]stages!$2:$2,0)-MATCH("temp_stage",[2]stages!$2:$2,0)+1),MATCH(F$1,[2]stages!$2:$2,0)-MATCH("temp_stage",[2]stages!$2:$2,0)+1,FALSE)</f>
        <v>#N/A</v>
      </c>
      <c r="G120" s="82" t="e">
        <f ca="1">VLOOKUP($B120&amp;"_"&amp;$E120,OFFSET([2]stages!$A$1,0,0,COUNTA([2]stages!$A:$A),MATCH(G$1,[2]stages!$2:$2,0)-MATCH("temp_stage",[2]stages!$2:$2,0)+1),MATCH(G$1,[2]stages!$2:$2,0)-MATCH("temp_stage",[2]stages!$2:$2,0)+1,FALSE)</f>
        <v>#N/A</v>
      </c>
      <c r="H120" s="84">
        <v>0</v>
      </c>
      <c r="I120">
        <v>37</v>
      </c>
      <c r="J120" s="83" t="s">
        <v>199</v>
      </c>
      <c r="K120" s="93" t="str">
        <f>VLOOKUP(I120,[7]stage_hints!$A:$C,3,FALSE)</f>
        <v>限界突破値の引き継ぎ</v>
      </c>
      <c r="L120" s="94" t="str">
        <f>VLOOKUP(I120,[7]stage_hints!$A:$D,4,FALSE)</f>
        <v>同じユニットを強化で合成すると_x000D_限界突破値を引き継げます（覚醒前後も可）</v>
      </c>
      <c r="M120" s="57" t="s">
        <v>214</v>
      </c>
    </row>
    <row r="121" spans="1:13" x14ac:dyDescent="0.15">
      <c r="A121" s="81" t="s">
        <v>202</v>
      </c>
      <c r="B121" s="47">
        <v>65526</v>
      </c>
      <c r="C121" s="82" t="str">
        <f ca="1">VLOOKUP($B121,OFFSET([2]quests!$A$1,0,0,COUNTA([2]quests!$A:$A),MATCH(C$1,[2]quests!$1:$1,0)-MATCH($B$1,[2]quests!$1:$1,0)+1),MATCH(C$1,[2]quests!$1:$1,0)-MATCH($B$1,[2]quests!$1:$1,0)+1,FALSE)</f>
        <v>【LB加藤】検証クエスト</v>
      </c>
      <c r="D121" s="82" t="str">
        <f ca="1">VLOOKUP($B121,OFFSET([2]quests!$A$1,0,0,COUNTA([2]quests!$A:$A),MATCH(D$1,[2]quests!$1:$1,0)-MATCH($B$1,[2]quests!$1:$1,0)+1),MATCH(D$1,[2]quests!$1:$1,0)-MATCH($B$1,[2]quests!$1:$1,0)+1,FALSE)</f>
        <v>検証</v>
      </c>
      <c r="E121" s="86" t="s">
        <v>221</v>
      </c>
      <c r="F121" s="82" t="e">
        <f ca="1">VLOOKUP($B121&amp;"_"&amp;$E121,OFFSET([2]stages!$A$1,0,0,COUNTA([2]stages!$A:$A),MATCH(F$1,[2]stages!$2:$2,0)-MATCH("temp_stage",[2]stages!$2:$2,0)+1),MATCH(F$1,[2]stages!$2:$2,0)-MATCH("temp_stage",[2]stages!$2:$2,0)+1,FALSE)</f>
        <v>#N/A</v>
      </c>
      <c r="G121" s="82" t="e">
        <f ca="1">VLOOKUP($B121&amp;"_"&amp;$E121,OFFSET([2]stages!$A$1,0,0,COUNTA([2]stages!$A:$A),MATCH(G$1,[2]stages!$2:$2,0)-MATCH("temp_stage",[2]stages!$2:$2,0)+1),MATCH(G$1,[2]stages!$2:$2,0)-MATCH("temp_stage",[2]stages!$2:$2,0)+1,FALSE)</f>
        <v>#N/A</v>
      </c>
      <c r="H121" s="84">
        <v>0</v>
      </c>
      <c r="I121">
        <v>39</v>
      </c>
      <c r="J121" s="83" t="s">
        <v>199</v>
      </c>
      <c r="K121" s="93" t="str">
        <f>VLOOKUP(I121,[7]stage_hints!$A:$C,3,FALSE)</f>
        <v>システム適合者を確認</v>
      </c>
      <c r="L121" s="94" t="str">
        <f>VLOOKUP(I121,[7]stage_hints!$A:$D,4,FALSE)</f>
        <v>ALICEが「アナタ」を呼んでいます</v>
      </c>
      <c r="M121" s="57" t="s">
        <v>214</v>
      </c>
    </row>
    <row r="122" spans="1:13" x14ac:dyDescent="0.15">
      <c r="A122" s="81" t="s">
        <v>202</v>
      </c>
      <c r="B122" s="47">
        <v>65526</v>
      </c>
      <c r="C122" s="82" t="str">
        <f ca="1">VLOOKUP($B122,OFFSET([2]quests!$A$1,0,0,COUNTA([2]quests!$A:$A),MATCH(C$1,[2]quests!$1:$1,0)-MATCH($B$1,[2]quests!$1:$1,0)+1),MATCH(C$1,[2]quests!$1:$1,0)-MATCH($B$1,[2]quests!$1:$1,0)+1,FALSE)</f>
        <v>【LB加藤】検証クエスト</v>
      </c>
      <c r="D122" s="82" t="str">
        <f ca="1">VLOOKUP($B122,OFFSET([2]quests!$A$1,0,0,COUNTA([2]quests!$A:$A),MATCH(D$1,[2]quests!$1:$1,0)-MATCH($B$1,[2]quests!$1:$1,0)+1),MATCH(D$1,[2]quests!$1:$1,0)-MATCH($B$1,[2]quests!$1:$1,0)+1,FALSE)</f>
        <v>検証</v>
      </c>
      <c r="E122" s="86" t="s">
        <v>222</v>
      </c>
      <c r="F122" s="82" t="e">
        <f ca="1">VLOOKUP($B122&amp;"_"&amp;$E122,OFFSET([2]stages!$A$1,0,0,COUNTA([2]stages!$A:$A),MATCH(F$1,[2]stages!$2:$2,0)-MATCH("temp_stage",[2]stages!$2:$2,0)+1),MATCH(F$1,[2]stages!$2:$2,0)-MATCH("temp_stage",[2]stages!$2:$2,0)+1,FALSE)</f>
        <v>#N/A</v>
      </c>
      <c r="G122" s="82" t="e">
        <f ca="1">VLOOKUP($B122&amp;"_"&amp;$E122,OFFSET([2]stages!$A$1,0,0,COUNTA([2]stages!$A:$A),MATCH(G$1,[2]stages!$2:$2,0)-MATCH("temp_stage",[2]stages!$2:$2,0)+1),MATCH(G$1,[2]stages!$2:$2,0)-MATCH("temp_stage",[2]stages!$2:$2,0)+1,FALSE)</f>
        <v>#N/A</v>
      </c>
      <c r="H122" s="84">
        <v>0</v>
      </c>
      <c r="I122">
        <v>12</v>
      </c>
      <c r="J122" s="83" t="s">
        <v>199</v>
      </c>
      <c r="K122" s="93" t="str">
        <f>VLOOKUP(I122,[7]stage_hints!$A:$C,3,FALSE)</f>
        <v>ユニットのお気に入り登録</v>
      </c>
      <c r="L122" s="94" t="str">
        <f>VLOOKUP(I122,[7]stage_hints!$A:$D,4,FALSE)</f>
        <v>大事なユニットを誤って消さないように_x000D_フォルダから「お気に入り登録」しましょう</v>
      </c>
      <c r="M122" s="57" t="s">
        <v>214</v>
      </c>
    </row>
    <row r="123" spans="1:13" x14ac:dyDescent="0.15">
      <c r="A123" s="81" t="s">
        <v>202</v>
      </c>
      <c r="B123" s="47">
        <v>65526</v>
      </c>
      <c r="C123" s="82" t="str">
        <f ca="1">VLOOKUP($B123,OFFSET([2]quests!$A$1,0,0,COUNTA([2]quests!$A:$A),MATCH(C$1,[2]quests!$1:$1,0)-MATCH($B$1,[2]quests!$1:$1,0)+1),MATCH(C$1,[2]quests!$1:$1,0)-MATCH($B$1,[2]quests!$1:$1,0)+1,FALSE)</f>
        <v>【LB加藤】検証クエスト</v>
      </c>
      <c r="D123" s="82" t="str">
        <f ca="1">VLOOKUP($B123,OFFSET([2]quests!$A$1,0,0,COUNTA([2]quests!$A:$A),MATCH(D$1,[2]quests!$1:$1,0)-MATCH($B$1,[2]quests!$1:$1,0)+1),MATCH(D$1,[2]quests!$1:$1,0)-MATCH($B$1,[2]quests!$1:$1,0)+1,FALSE)</f>
        <v>検証</v>
      </c>
      <c r="E123" s="86" t="s">
        <v>222</v>
      </c>
      <c r="F123" s="82" t="e">
        <f ca="1">VLOOKUP($B123&amp;"_"&amp;$E123,OFFSET([2]stages!$A$1,0,0,COUNTA([2]stages!$A:$A),MATCH(F$1,[2]stages!$2:$2,0)-MATCH("temp_stage",[2]stages!$2:$2,0)+1),MATCH(F$1,[2]stages!$2:$2,0)-MATCH("temp_stage",[2]stages!$2:$2,0)+1,FALSE)</f>
        <v>#N/A</v>
      </c>
      <c r="G123" s="82" t="e">
        <f ca="1">VLOOKUP($B123&amp;"_"&amp;$E123,OFFSET([2]stages!$A$1,0,0,COUNTA([2]stages!$A:$A),MATCH(G$1,[2]stages!$2:$2,0)-MATCH("temp_stage",[2]stages!$2:$2,0)+1),MATCH(G$1,[2]stages!$2:$2,0)-MATCH("temp_stage",[2]stages!$2:$2,0)+1,FALSE)</f>
        <v>#N/A</v>
      </c>
      <c r="H123" s="84">
        <v>0</v>
      </c>
      <c r="I123">
        <v>17</v>
      </c>
      <c r="J123" s="83" t="s">
        <v>199</v>
      </c>
      <c r="K123" s="93" t="str">
        <f>VLOOKUP(I123,[7]stage_hints!$A:$C,3,FALSE)</f>
        <v>リンクガチャ</v>
      </c>
      <c r="L123" s="94" t="str">
        <f>VLOOKUP(I123,[7]stage_hints!$A:$D,4,FALSE)</f>
        <v>無料のリンクガチャを回して_x000D_経験値素材や売却素材を獲得しましょう</v>
      </c>
      <c r="M123" s="57" t="s">
        <v>214</v>
      </c>
    </row>
    <row r="124" spans="1:13" x14ac:dyDescent="0.15">
      <c r="A124" s="81" t="s">
        <v>202</v>
      </c>
      <c r="B124" s="47">
        <v>65526</v>
      </c>
      <c r="C124" s="82" t="str">
        <f ca="1">VLOOKUP($B124,OFFSET([2]quests!$A$1,0,0,COUNTA([2]quests!$A:$A),MATCH(C$1,[2]quests!$1:$1,0)-MATCH($B$1,[2]quests!$1:$1,0)+1),MATCH(C$1,[2]quests!$1:$1,0)-MATCH($B$1,[2]quests!$1:$1,0)+1,FALSE)</f>
        <v>【LB加藤】検証クエスト</v>
      </c>
      <c r="D124" s="82" t="str">
        <f ca="1">VLOOKUP($B124,OFFSET([2]quests!$A$1,0,0,COUNTA([2]quests!$A:$A),MATCH(D$1,[2]quests!$1:$1,0)-MATCH($B$1,[2]quests!$1:$1,0)+1),MATCH(D$1,[2]quests!$1:$1,0)-MATCH($B$1,[2]quests!$1:$1,0)+1,FALSE)</f>
        <v>検証</v>
      </c>
      <c r="E124" s="86" t="s">
        <v>222</v>
      </c>
      <c r="F124" s="82" t="e">
        <f ca="1">VLOOKUP($B124&amp;"_"&amp;$E124,OFFSET([2]stages!$A$1,0,0,COUNTA([2]stages!$A:$A),MATCH(F$1,[2]stages!$2:$2,0)-MATCH("temp_stage",[2]stages!$2:$2,0)+1),MATCH(F$1,[2]stages!$2:$2,0)-MATCH("temp_stage",[2]stages!$2:$2,0)+1,FALSE)</f>
        <v>#N/A</v>
      </c>
      <c r="G124" s="82" t="e">
        <f ca="1">VLOOKUP($B124&amp;"_"&amp;$E124,OFFSET([2]stages!$A$1,0,0,COUNTA([2]stages!$A:$A),MATCH(G$1,[2]stages!$2:$2,0)-MATCH("temp_stage",[2]stages!$2:$2,0)+1),MATCH(G$1,[2]stages!$2:$2,0)-MATCH("temp_stage",[2]stages!$2:$2,0)+1,FALSE)</f>
        <v>#N/A</v>
      </c>
      <c r="H124" s="84">
        <v>0</v>
      </c>
      <c r="I124">
        <v>19</v>
      </c>
      <c r="J124" s="83" t="s">
        <v>199</v>
      </c>
      <c r="K124" s="93" t="str">
        <f>VLOOKUP(I124,[7]stage_hints!$A:$C,3,FALSE)</f>
        <v>ソロ専用チャレンジタワー</v>
      </c>
      <c r="L124" s="94" t="str">
        <f>VLOOKUP(I124,[7]stage_hints!$A:$D,4,FALSE)</f>
        <v>ソロ専用の「チャレンジタワー」では_x000D_各フロアごとにクリア報酬がもらえます</v>
      </c>
      <c r="M124" s="57" t="s">
        <v>214</v>
      </c>
    </row>
    <row r="125" spans="1:13" x14ac:dyDescent="0.15">
      <c r="A125" s="81" t="s">
        <v>202</v>
      </c>
      <c r="B125" s="47">
        <v>65526</v>
      </c>
      <c r="C125" s="82" t="str">
        <f ca="1">VLOOKUP($B125,OFFSET([2]quests!$A$1,0,0,COUNTA([2]quests!$A:$A),MATCH(C$1,[2]quests!$1:$1,0)-MATCH($B$1,[2]quests!$1:$1,0)+1),MATCH(C$1,[2]quests!$1:$1,0)-MATCH($B$1,[2]quests!$1:$1,0)+1,FALSE)</f>
        <v>【LB加藤】検証クエスト</v>
      </c>
      <c r="D125" s="82" t="str">
        <f ca="1">VLOOKUP($B125,OFFSET([2]quests!$A$1,0,0,COUNTA([2]quests!$A:$A),MATCH(D$1,[2]quests!$1:$1,0)-MATCH($B$1,[2]quests!$1:$1,0)+1),MATCH(D$1,[2]quests!$1:$1,0)-MATCH($B$1,[2]quests!$1:$1,0)+1,FALSE)</f>
        <v>検証</v>
      </c>
      <c r="E125" s="86" t="s">
        <v>222</v>
      </c>
      <c r="F125" s="82" t="e">
        <f ca="1">VLOOKUP($B125&amp;"_"&amp;$E125,OFFSET([2]stages!$A$1,0,0,COUNTA([2]stages!$A:$A),MATCH(F$1,[2]stages!$2:$2,0)-MATCH("temp_stage",[2]stages!$2:$2,0)+1),MATCH(F$1,[2]stages!$2:$2,0)-MATCH("temp_stage",[2]stages!$2:$2,0)+1,FALSE)</f>
        <v>#N/A</v>
      </c>
      <c r="G125" s="82" t="e">
        <f ca="1">VLOOKUP($B125&amp;"_"&amp;$E125,OFFSET([2]stages!$A$1,0,0,COUNTA([2]stages!$A:$A),MATCH(G$1,[2]stages!$2:$2,0)-MATCH("temp_stage",[2]stages!$2:$2,0)+1),MATCH(G$1,[2]stages!$2:$2,0)-MATCH("temp_stage",[2]stages!$2:$2,0)+1,FALSE)</f>
        <v>#N/A</v>
      </c>
      <c r="H125" s="84">
        <v>0</v>
      </c>
      <c r="I125">
        <v>21</v>
      </c>
      <c r="J125" s="83" t="s">
        <v>199</v>
      </c>
      <c r="K125" s="93" t="str">
        <f>VLOOKUP(I125,[7]stage_hints!$A:$C,3,FALSE)</f>
        <v>スキルを有効に</v>
      </c>
      <c r="L125" s="94" t="str">
        <f>VLOOKUP(I125,[7]stage_hints!$A:$D,4,FALSE)</f>
        <v>ターン経過でユニットのスキルが使えます_x000D_強力スキルでバトルを有利に進めましょう</v>
      </c>
      <c r="M125" s="57" t="s">
        <v>214</v>
      </c>
    </row>
    <row r="126" spans="1:13" x14ac:dyDescent="0.15">
      <c r="A126" s="81" t="s">
        <v>202</v>
      </c>
      <c r="B126" s="47">
        <v>65526</v>
      </c>
      <c r="C126" s="82" t="str">
        <f ca="1">VLOOKUP($B126,OFFSET([2]quests!$A$1,0,0,COUNTA([2]quests!$A:$A),MATCH(C$1,[2]quests!$1:$1,0)-MATCH($B$1,[2]quests!$1:$1,0)+1),MATCH(C$1,[2]quests!$1:$1,0)-MATCH($B$1,[2]quests!$1:$1,0)+1,FALSE)</f>
        <v>【LB加藤】検証クエスト</v>
      </c>
      <c r="D126" s="82" t="str">
        <f ca="1">VLOOKUP($B126,OFFSET([2]quests!$A$1,0,0,COUNTA([2]quests!$A:$A),MATCH(D$1,[2]quests!$1:$1,0)-MATCH($B$1,[2]quests!$1:$1,0)+1),MATCH(D$1,[2]quests!$1:$1,0)-MATCH($B$1,[2]quests!$1:$1,0)+1,FALSE)</f>
        <v>検証</v>
      </c>
      <c r="E126" s="86" t="s">
        <v>222</v>
      </c>
      <c r="F126" s="82" t="e">
        <f ca="1">VLOOKUP($B126&amp;"_"&amp;$E126,OFFSET([2]stages!$A$1,0,0,COUNTA([2]stages!$A:$A),MATCH(F$1,[2]stages!$2:$2,0)-MATCH("temp_stage",[2]stages!$2:$2,0)+1),MATCH(F$1,[2]stages!$2:$2,0)-MATCH("temp_stage",[2]stages!$2:$2,0)+1,FALSE)</f>
        <v>#N/A</v>
      </c>
      <c r="G126" s="82" t="e">
        <f ca="1">VLOOKUP($B126&amp;"_"&amp;$E126,OFFSET([2]stages!$A$1,0,0,COUNTA([2]stages!$A:$A),MATCH(G$1,[2]stages!$2:$2,0)-MATCH("temp_stage",[2]stages!$2:$2,0)+1),MATCH(G$1,[2]stages!$2:$2,0)-MATCH("temp_stage",[2]stages!$2:$2,0)+1,FALSE)</f>
        <v>#N/A</v>
      </c>
      <c r="H126" s="84">
        <v>0</v>
      </c>
      <c r="I126">
        <v>29</v>
      </c>
      <c r="J126" s="83" t="s">
        <v>199</v>
      </c>
      <c r="K126" s="93" t="str">
        <f>VLOOKUP(I126,[7]stage_hints!$A:$C,3,FALSE)</f>
        <v>「バグ」のメリット</v>
      </c>
      <c r="L126" s="94" t="str">
        <f>VLOOKUP(I126,[7]stage_hints!$A:$D,4,FALSE)</f>
        <v>ユニットの「バグ」を増やすと_x000D_報酬をもらえる確率がアップします</v>
      </c>
      <c r="M126" s="57" t="s">
        <v>214</v>
      </c>
    </row>
    <row r="127" spans="1:13" x14ac:dyDescent="0.15">
      <c r="A127" s="81" t="s">
        <v>202</v>
      </c>
      <c r="B127" s="47">
        <v>65526</v>
      </c>
      <c r="C127" s="82" t="str">
        <f ca="1">VLOOKUP($B127,OFFSET([2]quests!$A$1,0,0,COUNTA([2]quests!$A:$A),MATCH(C$1,[2]quests!$1:$1,0)-MATCH($B$1,[2]quests!$1:$1,0)+1),MATCH(C$1,[2]quests!$1:$1,0)-MATCH($B$1,[2]quests!$1:$1,0)+1,FALSE)</f>
        <v>【LB加藤】検証クエスト</v>
      </c>
      <c r="D127" s="82" t="str">
        <f ca="1">VLOOKUP($B127,OFFSET([2]quests!$A$1,0,0,COUNTA([2]quests!$A:$A),MATCH(D$1,[2]quests!$1:$1,0)-MATCH($B$1,[2]quests!$1:$1,0)+1),MATCH(D$1,[2]quests!$1:$1,0)-MATCH($B$1,[2]quests!$1:$1,0)+1,FALSE)</f>
        <v>検証</v>
      </c>
      <c r="E127" s="86" t="s">
        <v>222</v>
      </c>
      <c r="F127" s="82" t="e">
        <f ca="1">VLOOKUP($B127&amp;"_"&amp;$E127,OFFSET([2]stages!$A$1,0,0,COUNTA([2]stages!$A:$A),MATCH(F$1,[2]stages!$2:$2,0)-MATCH("temp_stage",[2]stages!$2:$2,0)+1),MATCH(F$1,[2]stages!$2:$2,0)-MATCH("temp_stage",[2]stages!$2:$2,0)+1,FALSE)</f>
        <v>#N/A</v>
      </c>
      <c r="G127" s="82" t="e">
        <f ca="1">VLOOKUP($B127&amp;"_"&amp;$E127,OFFSET([2]stages!$A$1,0,0,COUNTA([2]stages!$A:$A),MATCH(G$1,[2]stages!$2:$2,0)-MATCH("temp_stage",[2]stages!$2:$2,0)+1),MATCH(G$1,[2]stages!$2:$2,0)-MATCH("temp_stage",[2]stages!$2:$2,0)+1,FALSE)</f>
        <v>#N/A</v>
      </c>
      <c r="H127" s="84">
        <v>0</v>
      </c>
      <c r="I127">
        <v>30</v>
      </c>
      <c r="J127" s="83" t="s">
        <v>199</v>
      </c>
      <c r="K127" s="93" t="str">
        <f>VLOOKUP(I127,[7]stage_hints!$A:$C,3,FALSE)</f>
        <v>「バグ」の増やし方</v>
      </c>
      <c r="L127" s="94" t="str">
        <f>VLOOKUP(I127,[7]stage_hints!$A:$D,4,FALSE)</f>
        <v>同じユニット同士を強化で合成すると_x000D_「バグ」を増やすことができます</v>
      </c>
      <c r="M127" s="57" t="s">
        <v>214</v>
      </c>
    </row>
    <row r="128" spans="1:13" x14ac:dyDescent="0.15">
      <c r="A128" s="81" t="s">
        <v>202</v>
      </c>
      <c r="B128" s="47">
        <v>65526</v>
      </c>
      <c r="C128" s="82" t="str">
        <f ca="1">VLOOKUP($B128,OFFSET([2]quests!$A$1,0,0,COUNTA([2]quests!$A:$A),MATCH(C$1,[2]quests!$1:$1,0)-MATCH($B$1,[2]quests!$1:$1,0)+1),MATCH(C$1,[2]quests!$1:$1,0)-MATCH($B$1,[2]quests!$1:$1,0)+1,FALSE)</f>
        <v>【LB加藤】検証クエスト</v>
      </c>
      <c r="D128" s="82" t="str">
        <f ca="1">VLOOKUP($B128,OFFSET([2]quests!$A$1,0,0,COUNTA([2]quests!$A:$A),MATCH(D$1,[2]quests!$1:$1,0)-MATCH($B$1,[2]quests!$1:$1,0)+1),MATCH(D$1,[2]quests!$1:$1,0)-MATCH($B$1,[2]quests!$1:$1,0)+1,FALSE)</f>
        <v>検証</v>
      </c>
      <c r="E128" s="86" t="s">
        <v>222</v>
      </c>
      <c r="F128" s="82" t="e">
        <f ca="1">VLOOKUP($B128&amp;"_"&amp;$E128,OFFSET([2]stages!$A$1,0,0,COUNTA([2]stages!$A:$A),MATCH(F$1,[2]stages!$2:$2,0)-MATCH("temp_stage",[2]stages!$2:$2,0)+1),MATCH(F$1,[2]stages!$2:$2,0)-MATCH("temp_stage",[2]stages!$2:$2,0)+1,FALSE)</f>
        <v>#N/A</v>
      </c>
      <c r="G128" s="82" t="e">
        <f ca="1">VLOOKUP($B128&amp;"_"&amp;$E128,OFFSET([2]stages!$A$1,0,0,COUNTA([2]stages!$A:$A),MATCH(G$1,[2]stages!$2:$2,0)-MATCH("temp_stage",[2]stages!$2:$2,0)+1),MATCH(G$1,[2]stages!$2:$2,0)-MATCH("temp_stage",[2]stages!$2:$2,0)+1,FALSE)</f>
        <v>#N/A</v>
      </c>
      <c r="H128" s="84">
        <v>0</v>
      </c>
      <c r="I128">
        <v>32</v>
      </c>
      <c r="J128" s="83" t="s">
        <v>199</v>
      </c>
      <c r="K128" s="93" t="str">
        <f>VLOOKUP(I128,[7]stage_hints!$A:$C,3,FALSE)</f>
        <v>敵の連続攻撃には</v>
      </c>
      <c r="L128" s="94" t="str">
        <f>VLOOKUP(I128,[7]stage_hints!$A:$D,4,FALSE)</f>
        <v>カウンタースキルを持つユニットがいれば_x000D_ダメージ回数分の反撃ができます</v>
      </c>
      <c r="M128" s="57" t="s">
        <v>214</v>
      </c>
    </row>
    <row r="129" spans="1:13" x14ac:dyDescent="0.15">
      <c r="A129" s="81" t="s">
        <v>202</v>
      </c>
      <c r="B129" s="47">
        <v>65526</v>
      </c>
      <c r="C129" s="82" t="str">
        <f ca="1">VLOOKUP($B129,OFFSET([2]quests!$A$1,0,0,COUNTA([2]quests!$A:$A),MATCH(C$1,[2]quests!$1:$1,0)-MATCH($B$1,[2]quests!$1:$1,0)+1),MATCH(C$1,[2]quests!$1:$1,0)-MATCH($B$1,[2]quests!$1:$1,0)+1,FALSE)</f>
        <v>【LB加藤】検証クエスト</v>
      </c>
      <c r="D129" s="82" t="str">
        <f ca="1">VLOOKUP($B129,OFFSET([2]quests!$A$1,0,0,COUNTA([2]quests!$A:$A),MATCH(D$1,[2]quests!$1:$1,0)-MATCH($B$1,[2]quests!$1:$1,0)+1),MATCH(D$1,[2]quests!$1:$1,0)-MATCH($B$1,[2]quests!$1:$1,0)+1,FALSE)</f>
        <v>検証</v>
      </c>
      <c r="E129" s="86" t="s">
        <v>222</v>
      </c>
      <c r="F129" s="82" t="e">
        <f ca="1">VLOOKUP($B129&amp;"_"&amp;$E129,OFFSET([2]stages!$A$1,0,0,COUNTA([2]stages!$A:$A),MATCH(F$1,[2]stages!$2:$2,0)-MATCH("temp_stage",[2]stages!$2:$2,0)+1),MATCH(F$1,[2]stages!$2:$2,0)-MATCH("temp_stage",[2]stages!$2:$2,0)+1,FALSE)</f>
        <v>#N/A</v>
      </c>
      <c r="G129" s="82" t="e">
        <f ca="1">VLOOKUP($B129&amp;"_"&amp;$E129,OFFSET([2]stages!$A$1,0,0,COUNTA([2]stages!$A:$A),MATCH(G$1,[2]stages!$2:$2,0)-MATCH("temp_stage",[2]stages!$2:$2,0)+1),MATCH(G$1,[2]stages!$2:$2,0)-MATCH("temp_stage",[2]stages!$2:$2,0)+1,FALSE)</f>
        <v>#N/A</v>
      </c>
      <c r="H129" s="84">
        <v>0</v>
      </c>
      <c r="I129">
        <v>33</v>
      </c>
      <c r="J129" s="83" t="s">
        <v>199</v>
      </c>
      <c r="K129" s="93" t="str">
        <f>VLOOKUP(I129,[7]stage_hints!$A:$C,3,FALSE)</f>
        <v>敵のカウンター攻撃には</v>
      </c>
      <c r="L129" s="94" t="str">
        <f>VLOOKUP(I129,[7]stage_hints!$A:$D,4,FALSE)</f>
        <v>カウンターブレイクスキルを持っていれば_x000D_敵のカウンターを解除して攻撃ができます</v>
      </c>
      <c r="M129" s="57" t="s">
        <v>214</v>
      </c>
    </row>
    <row r="130" spans="1:13" x14ac:dyDescent="0.15">
      <c r="A130" s="81" t="s">
        <v>202</v>
      </c>
      <c r="B130" s="47">
        <v>65526</v>
      </c>
      <c r="C130" s="82" t="str">
        <f ca="1">VLOOKUP($B130,OFFSET([2]quests!$A$1,0,0,COUNTA([2]quests!$A:$A),MATCH(C$1,[2]quests!$1:$1,0)-MATCH($B$1,[2]quests!$1:$1,0)+1),MATCH(C$1,[2]quests!$1:$1,0)-MATCH($B$1,[2]quests!$1:$1,0)+1,FALSE)</f>
        <v>【LB加藤】検証クエスト</v>
      </c>
      <c r="D130" s="82" t="str">
        <f ca="1">VLOOKUP($B130,OFFSET([2]quests!$A$1,0,0,COUNTA([2]quests!$A:$A),MATCH(D$1,[2]quests!$1:$1,0)-MATCH($B$1,[2]quests!$1:$1,0)+1),MATCH(D$1,[2]quests!$1:$1,0)-MATCH($B$1,[2]quests!$1:$1,0)+1,FALSE)</f>
        <v>検証</v>
      </c>
      <c r="E130" s="86" t="s">
        <v>222</v>
      </c>
      <c r="F130" s="82" t="e">
        <f ca="1">VLOOKUP($B130&amp;"_"&amp;$E130,OFFSET([2]stages!$A$1,0,0,COUNTA([2]stages!$A:$A),MATCH(F$1,[2]stages!$2:$2,0)-MATCH("temp_stage",[2]stages!$2:$2,0)+1),MATCH(F$1,[2]stages!$2:$2,0)-MATCH("temp_stage",[2]stages!$2:$2,0)+1,FALSE)</f>
        <v>#N/A</v>
      </c>
      <c r="G130" s="82" t="e">
        <f ca="1">VLOOKUP($B130&amp;"_"&amp;$E130,OFFSET([2]stages!$A$1,0,0,COUNTA([2]stages!$A:$A),MATCH(G$1,[2]stages!$2:$2,0)-MATCH("temp_stage",[2]stages!$2:$2,0)+1),MATCH(G$1,[2]stages!$2:$2,0)-MATCH("temp_stage",[2]stages!$2:$2,0)+1,FALSE)</f>
        <v>#N/A</v>
      </c>
      <c r="H130" s="84">
        <v>0</v>
      </c>
      <c r="I130">
        <v>34</v>
      </c>
      <c r="J130" s="83" t="s">
        <v>199</v>
      </c>
      <c r="K130" s="93" t="str">
        <f>VLOOKUP(I130,[7]stage_hints!$A:$C,3,FALSE)</f>
        <v>ステータスをスキルで下げられたら</v>
      </c>
      <c r="L130" s="94" t="str">
        <f>VLOOKUP(I130,[7]stage_hints!$A:$D,4,FALSE)</f>
        <v>ステータスダウンのスキルを受けたら_x000D_ステータスアップスキルで上書きしましょう</v>
      </c>
      <c r="M130" s="57" t="s">
        <v>214</v>
      </c>
    </row>
    <row r="131" spans="1:13" x14ac:dyDescent="0.15">
      <c r="A131" s="81" t="s">
        <v>202</v>
      </c>
      <c r="B131" s="47">
        <v>65526</v>
      </c>
      <c r="C131" s="82" t="str">
        <f ca="1">VLOOKUP($B131,OFFSET([2]quests!$A$1,0,0,COUNTA([2]quests!$A:$A),MATCH(C$1,[2]quests!$1:$1,0)-MATCH($B$1,[2]quests!$1:$1,0)+1),MATCH(C$1,[2]quests!$1:$1,0)-MATCH($B$1,[2]quests!$1:$1,0)+1,FALSE)</f>
        <v>【LB加藤】検証クエスト</v>
      </c>
      <c r="D131" s="82" t="str">
        <f ca="1">VLOOKUP($B131,OFFSET([2]quests!$A$1,0,0,COUNTA([2]quests!$A:$A),MATCH(D$1,[2]quests!$1:$1,0)-MATCH($B$1,[2]quests!$1:$1,0)+1),MATCH(D$1,[2]quests!$1:$1,0)-MATCH($B$1,[2]quests!$1:$1,0)+1,FALSE)</f>
        <v>検証</v>
      </c>
      <c r="E131" s="86" t="s">
        <v>222</v>
      </c>
      <c r="F131" s="82" t="e">
        <f ca="1">VLOOKUP($B131&amp;"_"&amp;$E131,OFFSET([2]stages!$A$1,0,0,COUNTA([2]stages!$A:$A),MATCH(F$1,[2]stages!$2:$2,0)-MATCH("temp_stage",[2]stages!$2:$2,0)+1),MATCH(F$1,[2]stages!$2:$2,0)-MATCH("temp_stage",[2]stages!$2:$2,0)+1,FALSE)</f>
        <v>#N/A</v>
      </c>
      <c r="G131" s="82" t="e">
        <f ca="1">VLOOKUP($B131&amp;"_"&amp;$E131,OFFSET([2]stages!$A$1,0,0,COUNTA([2]stages!$A:$A),MATCH(G$1,[2]stages!$2:$2,0)-MATCH("temp_stage",[2]stages!$2:$2,0)+1),MATCH(G$1,[2]stages!$2:$2,0)-MATCH("temp_stage",[2]stages!$2:$2,0)+1,FALSE)</f>
        <v>#N/A</v>
      </c>
      <c r="H131" s="84">
        <v>0</v>
      </c>
      <c r="I131">
        <v>35</v>
      </c>
      <c r="J131" s="83" t="s">
        <v>199</v>
      </c>
      <c r="K131" s="93" t="str">
        <f>VLOOKUP(I131,[7]stage_hints!$A:$C,3,FALSE)</f>
        <v>敵のステータスがスキルで上がったら</v>
      </c>
      <c r="L131" s="94" t="str">
        <f>VLOOKUP(I131,[7]stage_hints!$A:$D,4,FALSE)</f>
        <v>敵のステータスがスキルでアップしたときは_x000D_ステータスダウンスキルで上書きしましょう</v>
      </c>
      <c r="M131" s="57" t="s">
        <v>214</v>
      </c>
    </row>
    <row r="132" spans="1:13" x14ac:dyDescent="0.15">
      <c r="A132" s="81" t="s">
        <v>202</v>
      </c>
      <c r="B132" s="47">
        <v>65526</v>
      </c>
      <c r="C132" s="82" t="str">
        <f ca="1">VLOOKUP($B132,OFFSET([2]quests!$A$1,0,0,COUNTA([2]quests!$A:$A),MATCH(C$1,[2]quests!$1:$1,0)-MATCH($B$1,[2]quests!$1:$1,0)+1),MATCH(C$1,[2]quests!$1:$1,0)-MATCH($B$1,[2]quests!$1:$1,0)+1,FALSE)</f>
        <v>【LB加藤】検証クエスト</v>
      </c>
      <c r="D132" s="82" t="str">
        <f ca="1">VLOOKUP($B132,OFFSET([2]quests!$A$1,0,0,COUNTA([2]quests!$A:$A),MATCH(D$1,[2]quests!$1:$1,0)-MATCH($B$1,[2]quests!$1:$1,0)+1),MATCH(D$1,[2]quests!$1:$1,0)-MATCH($B$1,[2]quests!$1:$1,0)+1,FALSE)</f>
        <v>検証</v>
      </c>
      <c r="E132" s="86" t="s">
        <v>222</v>
      </c>
      <c r="F132" s="82" t="e">
        <f ca="1">VLOOKUP($B132&amp;"_"&amp;$E132,OFFSET([2]stages!$A$1,0,0,COUNTA([2]stages!$A:$A),MATCH(F$1,[2]stages!$2:$2,0)-MATCH("temp_stage",[2]stages!$2:$2,0)+1),MATCH(F$1,[2]stages!$2:$2,0)-MATCH("temp_stage",[2]stages!$2:$2,0)+1,FALSE)</f>
        <v>#N/A</v>
      </c>
      <c r="G132" s="82" t="e">
        <f ca="1">VLOOKUP($B132&amp;"_"&amp;$E132,OFFSET([2]stages!$A$1,0,0,COUNTA([2]stages!$A:$A),MATCH(G$1,[2]stages!$2:$2,0)-MATCH("temp_stage",[2]stages!$2:$2,0)+1),MATCH(G$1,[2]stages!$2:$2,0)-MATCH("temp_stage",[2]stages!$2:$2,0)+1,FALSE)</f>
        <v>#N/A</v>
      </c>
      <c r="H132" s="84">
        <v>0</v>
      </c>
      <c r="I132">
        <v>36</v>
      </c>
      <c r="J132" s="83" t="s">
        <v>199</v>
      </c>
      <c r="K132" s="93" t="str">
        <f>VLOOKUP(I132,[7]stage_hints!$A:$C,3,FALSE)</f>
        <v>チャレンジタワーのボス</v>
      </c>
      <c r="L132" s="94" t="str">
        <f>VLOOKUP(I132,[7]stage_hints!$A:$D,4,FALSE)</f>
        <v>チャレンジタワーでのみ登場するボスは_x000D_一定確率で獲得することができます</v>
      </c>
      <c r="M132" s="57" t="s">
        <v>214</v>
      </c>
    </row>
    <row r="133" spans="1:13" x14ac:dyDescent="0.15">
      <c r="A133" s="81" t="s">
        <v>202</v>
      </c>
      <c r="B133" s="47">
        <v>65526</v>
      </c>
      <c r="C133" s="82" t="str">
        <f ca="1">VLOOKUP($B133,OFFSET([2]quests!$A$1,0,0,COUNTA([2]quests!$A:$A),MATCH(C$1,[2]quests!$1:$1,0)-MATCH($B$1,[2]quests!$1:$1,0)+1),MATCH(C$1,[2]quests!$1:$1,0)-MATCH($B$1,[2]quests!$1:$1,0)+1,FALSE)</f>
        <v>【LB加藤】検証クエスト</v>
      </c>
      <c r="D133" s="82" t="str">
        <f ca="1">VLOOKUP($B133,OFFSET([2]quests!$A$1,0,0,COUNTA([2]quests!$A:$A),MATCH(D$1,[2]quests!$1:$1,0)-MATCH($B$1,[2]quests!$1:$1,0)+1),MATCH(D$1,[2]quests!$1:$1,0)-MATCH($B$1,[2]quests!$1:$1,0)+1,FALSE)</f>
        <v>検証</v>
      </c>
      <c r="E133" s="86" t="s">
        <v>222</v>
      </c>
      <c r="F133" s="82" t="e">
        <f ca="1">VLOOKUP($B133&amp;"_"&amp;$E133,OFFSET([2]stages!$A$1,0,0,COUNTA([2]stages!$A:$A),MATCH(F$1,[2]stages!$2:$2,0)-MATCH("temp_stage",[2]stages!$2:$2,0)+1),MATCH(F$1,[2]stages!$2:$2,0)-MATCH("temp_stage",[2]stages!$2:$2,0)+1,FALSE)</f>
        <v>#N/A</v>
      </c>
      <c r="G133" s="82" t="e">
        <f ca="1">VLOOKUP($B133&amp;"_"&amp;$E133,OFFSET([2]stages!$A$1,0,0,COUNTA([2]stages!$A:$A),MATCH(G$1,[2]stages!$2:$2,0)-MATCH("temp_stage",[2]stages!$2:$2,0)+1),MATCH(G$1,[2]stages!$2:$2,0)-MATCH("temp_stage",[2]stages!$2:$2,0)+1,FALSE)</f>
        <v>#N/A</v>
      </c>
      <c r="H133" s="84">
        <v>0</v>
      </c>
      <c r="I133">
        <v>37</v>
      </c>
      <c r="J133" s="83" t="s">
        <v>199</v>
      </c>
      <c r="K133" s="93" t="str">
        <f>VLOOKUP(I133,[7]stage_hints!$A:$C,3,FALSE)</f>
        <v>限界突破値の引き継ぎ</v>
      </c>
      <c r="L133" s="94" t="str">
        <f>VLOOKUP(I133,[7]stage_hints!$A:$D,4,FALSE)</f>
        <v>同じユニットを強化で合成すると_x000D_限界突破値を引き継げます（覚醒前後も可）</v>
      </c>
      <c r="M133" s="57" t="s">
        <v>214</v>
      </c>
    </row>
    <row r="134" spans="1:13" x14ac:dyDescent="0.15">
      <c r="A134" s="81" t="s">
        <v>202</v>
      </c>
      <c r="B134" s="47">
        <v>65526</v>
      </c>
      <c r="C134" s="82" t="str">
        <f ca="1">VLOOKUP($B134,OFFSET([2]quests!$A$1,0,0,COUNTA([2]quests!$A:$A),MATCH(C$1,[2]quests!$1:$1,0)-MATCH($B$1,[2]quests!$1:$1,0)+1),MATCH(C$1,[2]quests!$1:$1,0)-MATCH($B$1,[2]quests!$1:$1,0)+1,FALSE)</f>
        <v>【LB加藤】検証クエスト</v>
      </c>
      <c r="D134" s="82" t="str">
        <f ca="1">VLOOKUP($B134,OFFSET([2]quests!$A$1,0,0,COUNTA([2]quests!$A:$A),MATCH(D$1,[2]quests!$1:$1,0)-MATCH($B$1,[2]quests!$1:$1,0)+1),MATCH(D$1,[2]quests!$1:$1,0)-MATCH($B$1,[2]quests!$1:$1,0)+1,FALSE)</f>
        <v>検証</v>
      </c>
      <c r="E134" s="86" t="s">
        <v>222</v>
      </c>
      <c r="F134" s="82" t="e">
        <f ca="1">VLOOKUP($B134&amp;"_"&amp;$E134,OFFSET([2]stages!$A$1,0,0,COUNTA([2]stages!$A:$A),MATCH(F$1,[2]stages!$2:$2,0)-MATCH("temp_stage",[2]stages!$2:$2,0)+1),MATCH(F$1,[2]stages!$2:$2,0)-MATCH("temp_stage",[2]stages!$2:$2,0)+1,FALSE)</f>
        <v>#N/A</v>
      </c>
      <c r="G134" s="82" t="e">
        <f ca="1">VLOOKUP($B134&amp;"_"&amp;$E134,OFFSET([2]stages!$A$1,0,0,COUNTA([2]stages!$A:$A),MATCH(G$1,[2]stages!$2:$2,0)-MATCH("temp_stage",[2]stages!$2:$2,0)+1),MATCH(G$1,[2]stages!$2:$2,0)-MATCH("temp_stage",[2]stages!$2:$2,0)+1,FALSE)</f>
        <v>#N/A</v>
      </c>
      <c r="H134" s="84">
        <v>0</v>
      </c>
      <c r="I134">
        <v>39</v>
      </c>
      <c r="J134" s="83" t="s">
        <v>199</v>
      </c>
      <c r="K134" s="93" t="str">
        <f>VLOOKUP(I134,[7]stage_hints!$A:$C,3,FALSE)</f>
        <v>システム適合者を確認</v>
      </c>
      <c r="L134" s="94" t="str">
        <f>VLOOKUP(I134,[7]stage_hints!$A:$D,4,FALSE)</f>
        <v>ALICEが「アナタ」を呼んでいます</v>
      </c>
      <c r="M134" s="57" t="s">
        <v>214</v>
      </c>
    </row>
  </sheetData>
  <phoneticPr fontId="5"/>
  <dataValidations count="1">
    <dataValidation type="list" allowBlank="1" showInputMessage="1" showErrorMessage="1" sqref="A2:A134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N2"/>
  <sheetViews>
    <sheetView showGridLines="0" workbookViewId="0">
      <pane ySplit="1" topLeftCell="A2" activePane="bottomLeft" state="frozen"/>
      <selection pane="bottomLeft" activeCell="B2" sqref="B2"/>
    </sheetView>
  </sheetViews>
  <sheetFormatPr baseColWidth="12" defaultColWidth="13" defaultRowHeight="15" outlineLevelCol="1" x14ac:dyDescent="0.15"/>
  <cols>
    <col min="1" max="1" width="13" style="88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4" x14ac:dyDescent="0.15">
      <c r="A1" s="76" t="s">
        <v>189</v>
      </c>
      <c r="B1" s="73" t="s">
        <v>150</v>
      </c>
      <c r="C1" s="77" t="s">
        <v>191</v>
      </c>
      <c r="D1" s="77" t="s">
        <v>33</v>
      </c>
      <c r="E1" s="73" t="s">
        <v>192</v>
      </c>
      <c r="F1" s="77" t="s">
        <v>18</v>
      </c>
      <c r="G1" s="77" t="s">
        <v>33</v>
      </c>
      <c r="H1" s="73" t="s">
        <v>194</v>
      </c>
      <c r="I1" s="89" t="s">
        <v>195</v>
      </c>
      <c r="J1" s="91" t="s">
        <v>196</v>
      </c>
      <c r="K1" s="79" t="s">
        <v>126</v>
      </c>
      <c r="L1" s="78" t="s">
        <v>187</v>
      </c>
      <c r="M1" s="92" t="s">
        <v>186</v>
      </c>
      <c r="N1" s="80" t="s">
        <v>197</v>
      </c>
    </row>
    <row r="2" spans="1:14" x14ac:dyDescent="0.15">
      <c r="A2" s="81" t="s">
        <v>198</v>
      </c>
      <c r="B2" s="47">
        <v>65526</v>
      </c>
      <c r="C2" s="82" t="str">
        <f ca="1">VLOOKUP($B2,OFFSET([2]quests!$A$1,0,0,COUNTA([2]quests!$A:$A),MATCH(C$1,[2]quests!$1:$1,0)-MATCH($B$1,[2]quests!$1:$1,0)+1),MATCH(C$1,[2]quests!$1:$1,0)-MATCH($B$1,[2]quests!$1:$1,0)+1,FALSE)</f>
        <v>【LB加藤】検証クエスト</v>
      </c>
      <c r="D2" s="82" t="str">
        <f ca="1">VLOOKUP($B2,OFFSET([2]quests!$A$1,0,0,COUNTA([2]quests!$A:$A),MATCH(D$1,[2]quests!$1:$1,0)-MATCH($B$1,[2]quests!$1:$1,0)+1),MATCH(D$1,[2]quests!$1:$1,0)-MATCH($B$1,[2]quests!$1:$1,0)+1,FALSE)</f>
        <v>検証</v>
      </c>
      <c r="E2" s="83">
        <v>1</v>
      </c>
      <c r="F2" s="82" t="str">
        <f ca="1">VLOOKUP($B2&amp;"_"&amp;$E2,OFFSET([2]stages!$A$1,0,0,COUNTA([2]stages!$A:$A),MATCH(F$1,[2]stages!$2:$2,0)-MATCH("temp_stage",[2]stages!$2:$2,0)+1),MATCH(F$1,[2]stages!$2:$2,0)-MATCH("temp_stage",[2]stages!$2:$2,0)+1,FALSE)</f>
        <v>【LB加藤】検証</v>
      </c>
      <c r="G2" s="82" t="str">
        <f ca="1">VLOOKUP($B2&amp;"_"&amp;$E2,OFFSET([2]stages!$A$1,0,0,COUNTA([2]stages!$A:$A),MATCH(G$1,[2]stages!$2:$2,0)-MATCH("temp_stage",[2]stages!$2:$2,0)+1),MATCH(G$1,[2]stages!$2:$2,0)-MATCH("temp_stage",[2]stages!$2:$2,0)+1,FALSE)</f>
        <v>検証</v>
      </c>
      <c r="H2" s="84">
        <v>0</v>
      </c>
      <c r="I2" s="90">
        <f>ROW()-1</f>
        <v>1</v>
      </c>
      <c r="J2" s="85" t="str">
        <f>B2&amp;TEXT(I2,"00")</f>
        <v>6552601</v>
      </c>
      <c r="K2" s="83" t="s">
        <v>199</v>
      </c>
      <c r="L2" s="86" t="s">
        <v>200</v>
      </c>
      <c r="M2" s="87" t="s">
        <v>203</v>
      </c>
      <c r="N2" s="57" t="s">
        <v>201</v>
      </c>
    </row>
  </sheetData>
  <phoneticPr fontId="5"/>
  <dataValidations count="1">
    <dataValidation type="list" allowBlank="1" showInputMessage="1" showErrorMessage="1" sqref="A2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  <outlinePr summaryBelow="0" summaryRight="0"/>
  </sheetPr>
  <dimension ref="A1:X3"/>
  <sheetViews>
    <sheetView showGridLines="0" workbookViewId="0">
      <pane ySplit="1" topLeftCell="A2" activePane="bottomLeft" state="frozen"/>
      <selection pane="bottomLeft" activeCell="G9" sqref="G9"/>
    </sheetView>
  </sheetViews>
  <sheetFormatPr baseColWidth="12" defaultColWidth="13" defaultRowHeight="15" outlineLevelCol="1" x14ac:dyDescent="0.15"/>
  <cols>
    <col min="1" max="1" width="8.33203125" customWidth="1"/>
    <col min="2" max="2" width="7" bestFit="1" customWidth="1"/>
    <col min="3" max="3" width="17" customWidth="1" outlineLevel="1"/>
    <col min="4" max="4" width="18.83203125" customWidth="1" outlineLevel="1"/>
    <col min="5" max="5" width="6.83203125" bestFit="1" customWidth="1"/>
    <col min="6" max="6" width="22.5" customWidth="1" outlineLevel="1"/>
    <col min="7" max="7" width="22" customWidth="1" outlineLevel="1"/>
    <col min="8" max="8" width="9.83203125" bestFit="1" customWidth="1"/>
    <col min="9" max="9" width="12" bestFit="1" customWidth="1"/>
    <col min="10" max="10" width="7.1640625" bestFit="1" customWidth="1"/>
    <col min="11" max="11" width="5.83203125" bestFit="1" customWidth="1"/>
    <col min="12" max="12" width="9" bestFit="1" customWidth="1"/>
    <col min="13" max="13" width="9.6640625" bestFit="1" customWidth="1"/>
    <col min="14" max="14" width="12" customWidth="1" outlineLevel="1"/>
    <col min="15" max="15" width="10" bestFit="1" customWidth="1"/>
    <col min="16" max="16" width="4.5" bestFit="1" customWidth="1"/>
    <col min="17" max="17" width="7.6640625" bestFit="1" customWidth="1"/>
    <col min="18" max="18" width="6.33203125" bestFit="1" customWidth="1"/>
    <col min="19" max="19" width="9" bestFit="1" customWidth="1"/>
    <col min="20" max="20" width="10.1640625" bestFit="1" customWidth="1"/>
    <col min="21" max="21" width="7.5" bestFit="1" customWidth="1"/>
    <col min="22" max="22" width="3.83203125" bestFit="1" customWidth="1"/>
    <col min="23" max="23" width="15" bestFit="1" customWidth="1"/>
    <col min="24" max="24" width="16.83203125" bestFit="1" customWidth="1"/>
  </cols>
  <sheetData>
    <row r="1" spans="1:24" x14ac:dyDescent="0.15">
      <c r="A1" s="97" t="s">
        <v>223</v>
      </c>
      <c r="B1" s="98" t="s">
        <v>224</v>
      </c>
      <c r="C1" s="77" t="s">
        <v>225</v>
      </c>
      <c r="D1" s="77" t="s">
        <v>33</v>
      </c>
      <c r="E1" s="98" t="s">
        <v>226</v>
      </c>
      <c r="F1" s="77" t="s">
        <v>227</v>
      </c>
      <c r="G1" s="77" t="s">
        <v>33</v>
      </c>
      <c r="H1" s="98" t="s">
        <v>228</v>
      </c>
      <c r="I1" s="98" t="s">
        <v>229</v>
      </c>
      <c r="J1" s="98" t="s">
        <v>230</v>
      </c>
      <c r="K1" s="73" t="s">
        <v>231</v>
      </c>
      <c r="L1" s="73" t="s">
        <v>232</v>
      </c>
      <c r="M1" s="73" t="s">
        <v>156</v>
      </c>
      <c r="N1" s="77" t="s">
        <v>16</v>
      </c>
      <c r="O1" s="73" t="s">
        <v>233</v>
      </c>
      <c r="P1" s="73" t="s">
        <v>56</v>
      </c>
      <c r="Q1" s="73" t="s">
        <v>234</v>
      </c>
      <c r="R1" s="73" t="s">
        <v>38</v>
      </c>
      <c r="S1" s="73" t="s">
        <v>40</v>
      </c>
      <c r="T1" s="73" t="s">
        <v>42</v>
      </c>
      <c r="U1" s="73" t="s">
        <v>44</v>
      </c>
      <c r="V1" s="73" t="s">
        <v>46</v>
      </c>
      <c r="W1" s="73" t="s">
        <v>235</v>
      </c>
      <c r="X1" s="73" t="s">
        <v>236</v>
      </c>
    </row>
    <row r="2" spans="1:24" x14ac:dyDescent="0.15">
      <c r="A2" s="99" t="str">
        <f>B2&amp;"_"&amp;E2&amp;"_"&amp;H2&amp;"_"&amp;I2&amp;"_"&amp;J2</f>
        <v>65526_7_everyone_clear_1</v>
      </c>
      <c r="B2" s="47">
        <v>65526</v>
      </c>
      <c r="C2" s="82" t="str">
        <f ca="1">VLOOKUP($B2,OFFSET([2]quests!$A$1,0,0,COUNTA([2]quests!$A:$A),MATCH(C$1,[2]quests!$1:$1,0)-MATCH($B$1,[2]quests!$1:$1,0)+1),MATCH(C$1,[2]quests!$1:$1,0)-MATCH($B$1,[2]quests!$1:$1,0)+1,FALSE)</f>
        <v>【LB加藤】検証クエスト</v>
      </c>
      <c r="D2" s="82" t="str">
        <f ca="1">VLOOKUP($B2,OFFSET([2]quests!$A$1,0,0,COUNTA([2]quests!$A:$A),MATCH(D$1,[2]quests!$1:$1,0)-MATCH($B$1,[2]quests!$1:$1,0)+1),MATCH(D$1,[2]quests!$1:$1,0)-MATCH($B$1,[2]quests!$1:$1,0)+1,FALSE)</f>
        <v>検証</v>
      </c>
      <c r="E2" s="83">
        <v>7</v>
      </c>
      <c r="F2" s="82" t="e">
        <f ca="1">VLOOKUP($B2&amp;"_"&amp;$E2,OFFSET([2]stages!$A$1,0,0,COUNTA([2]stages!$A:$A),MATCH(F$1,[2]stages!$2:$2,0)-MATCH("temp_stage",[2]stages!$2:$2,0)+1),MATCH(F$1,[2]stages!$2:$2,0)-MATCH("temp_stage",[2]stages!$2:$2,0)+1,FALSE)</f>
        <v>#N/A</v>
      </c>
      <c r="G2" s="82" t="e">
        <f ca="1">VLOOKUP($B2&amp;"_"&amp;$E2,OFFSET([2]stages!$A$1,0,0,COUNTA([2]stages!$A:$A),MATCH(G$1,[2]stages!$2:$2,0)-MATCH("temp_stage",[2]stages!$2:$2,0)+1),MATCH(G$1,[2]stages!$2:$2,0)-MATCH("temp_stage",[2]stages!$2:$2,0)+1,FALSE)</f>
        <v>#N/A</v>
      </c>
      <c r="H2" s="84" t="s">
        <v>237</v>
      </c>
      <c r="I2" s="83" t="s">
        <v>238</v>
      </c>
      <c r="J2" s="83">
        <v>1</v>
      </c>
      <c r="K2" s="83">
        <v>610</v>
      </c>
      <c r="L2" s="83" t="s">
        <v>239</v>
      </c>
      <c r="M2" s="83">
        <v>334</v>
      </c>
      <c r="N2" s="100" t="str">
        <f ca="1">IF(L2="unit",VLOOKUP($M2,OFFSET([4]characters!$A$1,0,0,COUNTA([4]characters!$A:$A),MATCH(N$1,[4]characters!$1:$1,0)-MATCH("character_id",[4]characters!$1:$1,0)+1),MATCH(N$1,[4]characters!$1:$1,0)-MATCH("character_id",[4]characters!$1:$1,0)+1,FALSE),"")</f>
        <v>炎のメタルダック</v>
      </c>
      <c r="O2" s="83">
        <v>1</v>
      </c>
      <c r="P2" s="83">
        <v>1</v>
      </c>
      <c r="Q2" s="83">
        <v>1</v>
      </c>
      <c r="R2" s="83">
        <v>0</v>
      </c>
      <c r="S2" s="83">
        <v>0</v>
      </c>
      <c r="T2" s="83">
        <v>0</v>
      </c>
      <c r="U2" s="83">
        <v>0</v>
      </c>
      <c r="V2" s="83">
        <v>1</v>
      </c>
      <c r="W2" s="101" t="s">
        <v>240</v>
      </c>
      <c r="X2" s="102" t="s">
        <v>241</v>
      </c>
    </row>
    <row r="3" spans="1:24" x14ac:dyDescent="0.15">
      <c r="A3" s="99" t="str">
        <f>B3&amp;"_"&amp;E3&amp;"_"&amp;H3&amp;"_"&amp;I3&amp;"_"&amp;J3</f>
        <v>65526_7_everyone_no_continue_1</v>
      </c>
      <c r="B3" s="47">
        <v>65526</v>
      </c>
      <c r="C3" s="82" t="str">
        <f ca="1">VLOOKUP($B3,OFFSET([2]quests!$A$1,0,0,COUNTA([2]quests!$A:$A),MATCH(C$1,[2]quests!$1:$1,0)-MATCH($B$1,[2]quests!$1:$1,0)+1),MATCH(C$1,[2]quests!$1:$1,0)-MATCH($B$1,[2]quests!$1:$1,0)+1,FALSE)</f>
        <v>【LB加藤】検証クエスト</v>
      </c>
      <c r="D3" s="82" t="str">
        <f ca="1">VLOOKUP($B3,OFFSET([2]quests!$A$1,0,0,COUNTA([2]quests!$A:$A),MATCH(D$1,[2]quests!$1:$1,0)-MATCH($B$1,[2]quests!$1:$1,0)+1),MATCH(D$1,[2]quests!$1:$1,0)-MATCH($B$1,[2]quests!$1:$1,0)+1,FALSE)</f>
        <v>検証</v>
      </c>
      <c r="E3" s="83">
        <v>7</v>
      </c>
      <c r="F3" s="82" t="e">
        <f ca="1">VLOOKUP($B3&amp;"_"&amp;$E3,OFFSET([2]stages!$A$1,0,0,COUNTA([2]stages!$A:$A),MATCH(F$1,[2]stages!$2:$2,0)-MATCH("temp_stage",[2]stages!$2:$2,0)+1),MATCH(F$1,[2]stages!$2:$2,0)-MATCH("temp_stage",[2]stages!$2:$2,0)+1,FALSE)</f>
        <v>#N/A</v>
      </c>
      <c r="G3" s="82" t="e">
        <f ca="1">VLOOKUP($B3&amp;"_"&amp;$E3,OFFSET([2]stages!$A$1,0,0,COUNTA([2]stages!$A:$A),MATCH(G$1,[2]stages!$2:$2,0)-MATCH("temp_stage",[2]stages!$2:$2,0)+1),MATCH(G$1,[2]stages!$2:$2,0)-MATCH("temp_stage",[2]stages!$2:$2,0)+1,FALSE)</f>
        <v>#N/A</v>
      </c>
      <c r="H3" s="84" t="s">
        <v>237</v>
      </c>
      <c r="I3" s="83" t="s">
        <v>242</v>
      </c>
      <c r="J3" s="83">
        <v>1</v>
      </c>
      <c r="K3" s="83">
        <v>610</v>
      </c>
      <c r="L3" s="83" t="s">
        <v>239</v>
      </c>
      <c r="M3" s="83">
        <v>334</v>
      </c>
      <c r="N3" s="100" t="str">
        <f ca="1">IF(L3="unit",VLOOKUP($M3,OFFSET([4]characters!$A$1,0,0,COUNTA([4]characters!$A:$A),MATCH(N$1,[4]characters!$1:$1,0)-MATCH("character_id",[4]characters!$1:$1,0)+1),MATCH(N$1,[4]characters!$1:$1,0)-MATCH("character_id",[4]characters!$1:$1,0)+1,FALSE),"")</f>
        <v>炎のメタルダック</v>
      </c>
      <c r="O3" s="83">
        <v>1</v>
      </c>
      <c r="P3" s="83">
        <v>1</v>
      </c>
      <c r="Q3" s="83">
        <v>1</v>
      </c>
      <c r="R3" s="83">
        <v>0</v>
      </c>
      <c r="S3" s="83">
        <v>0</v>
      </c>
      <c r="T3" s="83">
        <v>0</v>
      </c>
      <c r="U3" s="83">
        <v>0</v>
      </c>
      <c r="V3" s="83">
        <v>1</v>
      </c>
      <c r="W3" s="101" t="s">
        <v>240</v>
      </c>
      <c r="X3" s="102" t="s">
        <v>241</v>
      </c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  <vt:lpstr>stage_bonuses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2016-12-26T08:16:54Z</dcterms:modified>
</cp:coreProperties>
</file>