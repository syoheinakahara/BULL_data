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master_excel/"/>
    </mc:Choice>
  </mc:AlternateContent>
  <bookViews>
    <workbookView xWindow="700" yWindow="-17920" windowWidth="26340" windowHeight="13900" tabRatio="936" firstSheet="4" activeTab="15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  <sheet name="Sheet1" sheetId="29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stage_hints_complete!$B$1:$L$2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A2" i="2"/>
  <c r="G3" i="2"/>
  <c r="A3" i="2"/>
  <c r="G4" i="2"/>
  <c r="A4" i="2"/>
  <c r="G5" i="2"/>
  <c r="A5" i="2"/>
  <c r="G6" i="2"/>
  <c r="A6" i="2"/>
  <c r="A2" i="22"/>
  <c r="H2" i="1"/>
  <c r="H3" i="1"/>
  <c r="H4" i="1"/>
  <c r="H5" i="1"/>
  <c r="H6" i="1"/>
  <c r="AB6" i="1"/>
  <c r="AD6" i="1"/>
  <c r="AG6" i="1"/>
  <c r="AE6" i="1"/>
  <c r="AC6" i="1"/>
  <c r="AA6" i="1"/>
  <c r="W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AA5" i="1"/>
  <c r="W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AA4" i="1"/>
  <c r="W4" i="1"/>
  <c r="V4" i="1"/>
  <c r="Q4" i="1"/>
  <c r="P4" i="1"/>
  <c r="O4" i="1"/>
  <c r="N4" i="1"/>
  <c r="M4" i="1"/>
  <c r="J4" i="1"/>
  <c r="I4" i="1"/>
  <c r="D4" i="1"/>
  <c r="F4" i="1"/>
  <c r="E4" i="1"/>
  <c r="A4" i="1"/>
  <c r="AB3" i="1"/>
  <c r="AD3" i="1"/>
  <c r="AG3" i="1"/>
  <c r="AE3" i="1"/>
  <c r="AC3" i="1"/>
  <c r="AA3" i="1"/>
  <c r="W3" i="1"/>
  <c r="V3" i="1"/>
  <c r="Q3" i="1"/>
  <c r="P3" i="1"/>
  <c r="O3" i="1"/>
  <c r="N3" i="1"/>
  <c r="M3" i="1"/>
  <c r="J3" i="1"/>
  <c r="I3" i="1"/>
  <c r="D3" i="1"/>
  <c r="F3" i="1"/>
  <c r="E3" i="1"/>
  <c r="A3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E8" i="16"/>
  <c r="E9" i="16"/>
  <c r="E5" i="16"/>
  <c r="E6" i="16"/>
  <c r="E7" i="16"/>
  <c r="E4" i="16"/>
  <c r="E2" i="24"/>
  <c r="B2" i="24"/>
  <c r="D2" i="2"/>
  <c r="F2" i="24"/>
  <c r="C2" i="24"/>
  <c r="E2" i="2"/>
  <c r="E23" i="16"/>
  <c r="E22" i="16"/>
  <c r="E20" i="16"/>
  <c r="E21" i="16"/>
  <c r="F2" i="22"/>
  <c r="G2" i="22"/>
  <c r="C2" i="22"/>
  <c r="B2" i="2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9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Y2" i="7"/>
  <c r="E16" i="16"/>
  <c r="X2" i="7"/>
  <c r="W2" i="7"/>
  <c r="W2" i="1"/>
  <c r="V2" i="1"/>
  <c r="R2" i="7"/>
  <c r="Q2" i="7"/>
  <c r="P2" i="7"/>
  <c r="O2" i="7"/>
  <c r="N2" i="7"/>
  <c r="AB2" i="1"/>
  <c r="AE2" i="1"/>
  <c r="AD2" i="1"/>
  <c r="AC2" i="1"/>
  <c r="AA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2" i="1"/>
  <c r="A2" i="9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<sst xmlns="http://schemas.openxmlformats.org/spreadsheetml/2006/main" count="1036" uniqueCount="293">
  <si>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</si>
  <si>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</si>
  <si>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</si>
  <si>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</si>
  <si>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</si>
  <si>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</si>
  <si>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</si>
  <si>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</si>
  <si>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</si>
  <si>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</si>
  <si>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</si>
  <si>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</si>
  <si>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</si>
  <si>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</si>
  <si>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</si>
  <si>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</si>
  <si>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</si>
  <si>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</si>
  <si>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</si>
  <si>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</si>
  <si>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</si>
  <si>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</si>
  <si>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</si>
  <si>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</si>
  <si>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</si>
  <si>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</si>
  <si>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</si>
  <si>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</si>
  <si>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</si>
  <si>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</si>
  <si>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</si>
  <si>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</si>
  <si>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</si>
  <si>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</si>
  <si>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</si>
  <si>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</si>
  <si>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</si>
  <si>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</si>
  <si>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</si>
  <si>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</si>
  <si>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</si>
  <si>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</si>
  <si>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</si>
  <si>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</si>
  <si>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</si>
  <si>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</si>
  <si>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</si>
  <si>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</si>
  <si>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</si>
  <si>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</si>
  <si>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</si>
  <si>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</si>
  <si>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</si>
  <si>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</si>
  <si>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</si>
  <si>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</si>
  <si>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</si>
  <si>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</si>
  <si>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</si>
  <si>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</si>
  <si>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</si>
  <si>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</si>
  <si>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</si>
  <si>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</si>
  <si>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</si>
  <si>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</si>
  <si>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</si>
  <si>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</si>
  <si>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</si>
  <si>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</si>
  <si>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</si>
  <si>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</si>
  <si>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</si>
  <si>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</si>
  <si>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</si>
  <si>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</si>
  <si>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</si>
  <si>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</si>
  <si>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</si>
  <si>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</si>
  <si>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</si>
  <si>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</si>
  <si>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</si>
  <si>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</si>
  <si>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[effect:heal, target:enemy_one, val:0.1, animation:enemy_heal]</t>
    <phoneticPr fontId="7"/>
  </si>
  <si>
    <t>恍惚の表情を浮かべている</t>
    <rPh sb="0" eb="2">
      <t>コウコツ</t>
    </rPh>
    <rPh sb="3" eb="5">
      <t>ヒョウジョウ</t>
    </rPh>
    <rPh sb="6" eb="7">
      <t>ウ</t>
    </rPh>
    <phoneticPr fontId="7"/>
  </si>
  <si>
    <t>回復</t>
    <rPh sb="0" eb="2">
      <t>カイフク</t>
    </rPh>
    <phoneticPr fontId="7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</si>
  <si>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</si>
  <si>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</si>
  <si>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</si>
  <si>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</si>
  <si>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</si>
  <si>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</si>
  <si>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</si>
  <si>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</si>
  <si>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</si>
  <si>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</si>
  <si>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</si>
  <si>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</si>
  <si>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</si>
  <si>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</si>
  <si>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</si>
  <si>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</si>
  <si>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</si>
  <si>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</si>
  <si>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</si>
  <si>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</si>
  <si>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</si>
  <si>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</si>
  <si>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</si>
  <si>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</si>
  <si>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</si>
  <si>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</si>
  <si>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</si>
  <si>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</si>
  <si>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</si>
  <si>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</si>
  <si>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</si>
  <si>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</si>
  <si>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</si>
  <si>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</si>
  <si>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</si>
  <si>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</si>
  <si>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</si>
  <si>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</si>
  <si>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</si>
  <si>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</si>
  <si>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</si>
  <si>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</si>
  <si>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</si>
  <si>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</si>
  <si>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</si>
  <si>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</si>
  <si>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</si>
  <si>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</si>
  <si>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</si>
  <si>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</si>
  <si>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</si>
  <si>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</si>
  <si>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</si>
  <si>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</si>
  <si>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</si>
  <si>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</si>
  <si>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</si>
  <si>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</si>
  <si>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</si>
  <si>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</si>
  <si>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</si>
  <si>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</si>
  <si>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</si>
  <si>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</si>
  <si>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</si>
  <si>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</si>
  <si>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</si>
  <si>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</si>
  <si>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</si>
  <si>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</si>
  <si>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</si>
  <si>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</si>
  <si>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</si>
  <si>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</si>
  <si>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</si>
  <si>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</si>
  <si>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</si>
  <si>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</si>
  <si>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</si>
  <si>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</si>
  <si>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</si>
  <si>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</si>
  <si>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</si>
  <si>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</si>
  <si>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</si>
  <si>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</si>
  <si>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</si>
  <si>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</si>
  <si>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</si>
  <si>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</si>
  <si>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</si>
  <si>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</si>
  <si>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</si>
  <si>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</si>
  <si>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</si>
  <si>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</si>
  <si>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</si>
  <si>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</si>
  <si>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</si>
  <si>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</si>
  <si>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</si>
  <si>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</si>
  <si>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</si>
  <si>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</si>
  <si>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</si>
  <si>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skip</t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</si>
  <si>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</si>
  <si>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</si>
  <si>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</si>
  <si>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</si>
  <si>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</si>
  <si>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</si>
  <si>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</si>
  <si>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</si>
  <si>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</si>
  <si>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</si>
  <si>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</si>
  <si>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</si>
  <si>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</si>
  <si>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</si>
  <si>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</si>
  <si>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</si>
  <si>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</si>
  <si>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t>skip</t>
    <phoneticPr fontId="9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</si>
  <si>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</si>
  <si>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</si>
  <si>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</si>
  <si>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</si>
  <si>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</si>
  <si>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</si>
  <si>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</si>
  <si>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</si>
  <si>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</si>
  <si>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</si>
  <si>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初級</t>
    <rPh sb="0" eb="2">
      <t>ショキュウ</t>
    </rPh>
    <phoneticPr fontId="7"/>
  </si>
  <si>
    <t>中級</t>
    <rPh sb="0" eb="2">
      <t>チュウキュウ</t>
    </rPh>
    <phoneticPr fontId="7"/>
  </si>
  <si>
    <t>上級</t>
    <rPh sb="0" eb="2">
      <t>ジョウキュウ</t>
    </rPh>
    <phoneticPr fontId="7"/>
  </si>
  <si>
    <t>超級</t>
    <rPh sb="0" eb="2">
      <t>チョウキュウ</t>
    </rPh>
    <phoneticPr fontId="7"/>
  </si>
  <si>
    <t>超絶級</t>
    <rPh sb="0" eb="2">
      <t>チョウゼツ</t>
    </rPh>
    <rPh sb="2" eb="3">
      <t>キュウ</t>
    </rPh>
    <phoneticPr fontId="7"/>
  </si>
  <si>
    <t>(超)ウィザード級</t>
    <rPh sb="1" eb="2">
      <t>チョウ</t>
    </rPh>
    <rPh sb="8" eb="9">
      <t>キュウ</t>
    </rPh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</si>
  <si>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</si>
  <si>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</si>
  <si>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</si>
  <si>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</si>
  <si>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</si>
  <si>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</si>
  <si>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</si>
  <si>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</si>
  <si>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</si>
  <si>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</si>
  <si>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</si>
  <si>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</si>
  <si>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</si>
  <si>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</si>
  <si>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</si>
  <si>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</si>
  <si>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秘術の果実 × 1</t>
    <rPh sb="0" eb="2">
      <t>ヒジュt</t>
    </rPh>
    <rPh sb="2" eb="5">
      <t>セm</t>
    </rPh>
    <phoneticPr fontId="9"/>
  </si>
  <si>
    <t>ギフトフィーバーの特典</t>
    <rPh sb="9" eb="11">
      <t>トk</t>
    </rPh>
    <phoneticPr fontId="9"/>
  </si>
  <si>
    <t>ギフトフィーバーの特典として
秘術の果実をプレゼント！</t>
    <rPh sb="9" eb="14">
      <t>トクテン</t>
    </rPh>
    <rPh sb="15" eb="17">
      <t>ヒジュt</t>
    </rPh>
    <rPh sb="17" eb="20">
      <t>セm</t>
    </rPh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</si>
  <si>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</si>
  <si>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</si>
  <si>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</si>
  <si>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</si>
  <si>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</si>
  <si>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</si>
  <si>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</si>
  <si>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</si>
  <si>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</si>
  <si>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</si>
  <si>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</si>
  <si>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</si>
  <si>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</si>
  <si>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</si>
  <si>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</si>
  <si>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</si>
  <si>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</si>
  <si>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</si>
  <si>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</si>
  <si>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</si>
  <si>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</si>
  <si>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</si>
  <si>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</si>
  <si>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</si>
  <si>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</si>
  <si>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</si>
  <si>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</si>
  <si>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</si>
  <si>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</si>
  <si>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</si>
  <si>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</si>
  <si>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</si>
  <si>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</si>
  <si>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</si>
  <si>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</si>
  <si>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</si>
  <si>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</si>
  <si>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</si>
  <si>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</si>
  <si>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</si>
  <si>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</si>
  <si>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</si>
  <si>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</si>
  <si>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old</t>
  </si>
  <si>
    <t>ja</t>
    <phoneticPr fontId="9"/>
  </si>
  <si>
    <t>SSS</t>
    <phoneticPr fontId="9"/>
  </si>
  <si>
    <t>View/RankingBattle_Evelution_SSS.ccbi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</si>
</sst>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000000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2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25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28" fillId="0" borderId="0" xfId="0" applyFont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0" fontId="18" fillId="14" borderId="23" xfId="0" applyFont="1" applyFill="1" applyBorder="1" applyAlignment="1">
      <alignment horizontal="center"/>
    </xf>
    <xf numFmtId="0" fontId="18" fillId="0" borderId="0" xfId="432" applyFont="1" applyAlignment="1">
      <alignment vertical="center"/>
    </xf>
    <xf numFmtId="0" fontId="18" fillId="0" borderId="0" xfId="432" applyFont="1" applyAlignment="1">
      <alignment vertical="center" wrapText="1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38" fontId="0" fillId="32" borderId="7" xfId="0" applyNumberFormat="1" applyFill="1" applyBorder="1"/>
    <xf numFmtId="0" fontId="6" fillId="35" borderId="7" xfId="0" applyFont="1" applyFill="1" applyBorder="1" applyAlignment="1">
      <alignment vertical="center"/>
    </xf>
    <xf numFmtId="38" fontId="0" fillId="32" borderId="7" xfId="724" applyFont="1" applyFill="1" applyBorder="1"/>
    <xf numFmtId="0" fontId="0" fillId="32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3" fillId="36" borderId="7" xfId="0" applyFont="1" applyFill="1" applyBorder="1"/>
  </cellXfs>
  <cellStyles count="823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20016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30035</v>
          </cell>
        </row>
        <row r="146">
          <cell r="A146">
            <v>30036</v>
          </cell>
        </row>
        <row r="147">
          <cell r="A147">
            <v>39001</v>
          </cell>
        </row>
        <row r="148">
          <cell r="A148">
            <v>39002</v>
          </cell>
        </row>
        <row r="149">
          <cell r="A149">
            <v>39003</v>
          </cell>
        </row>
        <row r="150">
          <cell r="A150">
            <v>39004</v>
          </cell>
        </row>
        <row r="151">
          <cell r="A151">
            <v>40001</v>
          </cell>
        </row>
        <row r="152">
          <cell r="A152">
            <v>40002</v>
          </cell>
        </row>
        <row r="153">
          <cell r="A153">
            <v>40003</v>
          </cell>
        </row>
        <row r="154">
          <cell r="A154">
            <v>40004</v>
          </cell>
        </row>
        <row r="155">
          <cell r="A155">
            <v>40005</v>
          </cell>
        </row>
        <row r="156">
          <cell r="A156">
            <v>40006</v>
          </cell>
        </row>
        <row r="157">
          <cell r="A157">
            <v>40007</v>
          </cell>
        </row>
        <row r="158">
          <cell r="A158">
            <v>40008</v>
          </cell>
        </row>
        <row r="159">
          <cell r="A159">
            <v>40009</v>
          </cell>
        </row>
        <row r="160">
          <cell r="A160">
            <v>40010</v>
          </cell>
        </row>
        <row r="161">
          <cell r="A161">
            <v>40011</v>
          </cell>
        </row>
        <row r="162">
          <cell r="A162">
            <v>40012</v>
          </cell>
        </row>
        <row r="163">
          <cell r="A163">
            <v>40013</v>
          </cell>
        </row>
        <row r="164">
          <cell r="A164">
            <v>40014</v>
          </cell>
        </row>
        <row r="165">
          <cell r="A165">
            <v>40015</v>
          </cell>
        </row>
        <row r="166">
          <cell r="A166">
            <v>40016</v>
          </cell>
        </row>
        <row r="167">
          <cell r="A167">
            <v>40017</v>
          </cell>
        </row>
        <row r="168">
          <cell r="A168">
            <v>41001</v>
          </cell>
        </row>
        <row r="169">
          <cell r="A169">
            <v>41002</v>
          </cell>
        </row>
        <row r="170">
          <cell r="A170">
            <v>41003</v>
          </cell>
        </row>
        <row r="171">
          <cell r="A171">
            <v>41004</v>
          </cell>
        </row>
        <row r="172">
          <cell r="A172">
            <v>41005</v>
          </cell>
        </row>
        <row r="173">
          <cell r="A173">
            <v>41006</v>
          </cell>
        </row>
        <row r="174">
          <cell r="A174">
            <v>49001</v>
          </cell>
        </row>
        <row r="175">
          <cell r="A175">
            <v>49002</v>
          </cell>
        </row>
        <row r="176">
          <cell r="A176">
            <v>49003</v>
          </cell>
        </row>
        <row r="177">
          <cell r="A177">
            <v>49004</v>
          </cell>
        </row>
        <row r="178">
          <cell r="A178">
            <v>50001</v>
          </cell>
        </row>
        <row r="179">
          <cell r="A179">
            <v>50002</v>
          </cell>
        </row>
        <row r="180">
          <cell r="A180">
            <v>50003</v>
          </cell>
        </row>
        <row r="181">
          <cell r="A181">
            <v>50004</v>
          </cell>
        </row>
        <row r="182">
          <cell r="A182">
            <v>51001</v>
          </cell>
        </row>
        <row r="183">
          <cell r="A183">
            <v>51002</v>
          </cell>
        </row>
        <row r="184">
          <cell r="A184">
            <v>60001</v>
          </cell>
        </row>
        <row r="185">
          <cell r="A185">
            <v>60002</v>
          </cell>
        </row>
        <row r="186">
          <cell r="A186">
            <v>60003</v>
          </cell>
        </row>
        <row r="187">
          <cell r="A187">
            <v>60004</v>
          </cell>
        </row>
        <row r="188">
          <cell r="A188">
            <v>60005</v>
          </cell>
        </row>
        <row r="189">
          <cell r="A189">
            <v>60006</v>
          </cell>
        </row>
        <row r="190">
          <cell r="A190">
            <v>60007</v>
          </cell>
        </row>
        <row r="191">
          <cell r="A191">
            <v>60010</v>
          </cell>
        </row>
        <row r="192">
          <cell r="A192">
            <v>65535</v>
          </cell>
        </row>
        <row r="193">
          <cell r="A193">
            <v>60021</v>
          </cell>
        </row>
        <row r="194">
          <cell r="A194">
            <v>60022</v>
          </cell>
        </row>
        <row r="195">
          <cell r="A195">
            <v>60023</v>
          </cell>
        </row>
        <row r="196">
          <cell r="A19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12001_1</v>
          </cell>
        </row>
        <row r="274">
          <cell r="A274" t="str">
            <v>12001_2</v>
          </cell>
        </row>
        <row r="275">
          <cell r="A275" t="str">
            <v>12001_3</v>
          </cell>
        </row>
        <row r="276">
          <cell r="A276" t="str">
            <v>12002_1</v>
          </cell>
        </row>
        <row r="277">
          <cell r="A277" t="str">
            <v>12002_2</v>
          </cell>
        </row>
        <row r="278">
          <cell r="A278" t="str">
            <v>12003_1</v>
          </cell>
        </row>
        <row r="279">
          <cell r="A279" t="str">
            <v>12003_2</v>
          </cell>
        </row>
        <row r="280">
          <cell r="A280" t="str">
            <v>12003_3</v>
          </cell>
        </row>
        <row r="281">
          <cell r="A281" t="str">
            <v>12003_4</v>
          </cell>
        </row>
        <row r="282">
          <cell r="A282" t="str">
            <v>12004_1</v>
          </cell>
        </row>
        <row r="283">
          <cell r="A283" t="str">
            <v>13001_1</v>
          </cell>
        </row>
        <row r="284">
          <cell r="A284" t="str">
            <v>13001_2</v>
          </cell>
        </row>
        <row r="285">
          <cell r="A285" t="str">
            <v>13001_3</v>
          </cell>
        </row>
        <row r="286">
          <cell r="A286" t="str">
            <v>13001_4</v>
          </cell>
        </row>
        <row r="287">
          <cell r="A287" t="str">
            <v>13001_5</v>
          </cell>
        </row>
        <row r="288">
          <cell r="A288" t="str">
            <v>13001_6</v>
          </cell>
        </row>
        <row r="289">
          <cell r="A289" t="str">
            <v>13001_7</v>
          </cell>
        </row>
        <row r="290">
          <cell r="A290" t="str">
            <v>13001_8</v>
          </cell>
        </row>
        <row r="291">
          <cell r="A291" t="str">
            <v>13001_9</v>
          </cell>
        </row>
        <row r="292">
          <cell r="A292" t="str">
            <v>13001_10</v>
          </cell>
        </row>
        <row r="293">
          <cell r="A293" t="str">
            <v>13001_11</v>
          </cell>
        </row>
        <row r="294">
          <cell r="A294" t="str">
            <v>13001_12</v>
          </cell>
        </row>
        <row r="295">
          <cell r="A295" t="str">
            <v>13001_13</v>
          </cell>
        </row>
        <row r="296">
          <cell r="A296" t="str">
            <v>13001_14</v>
          </cell>
        </row>
        <row r="297">
          <cell r="A297" t="str">
            <v>13001_15</v>
          </cell>
        </row>
        <row r="298">
          <cell r="A298" t="str">
            <v>13001_16</v>
          </cell>
        </row>
        <row r="299">
          <cell r="A299" t="str">
            <v>13001_17</v>
          </cell>
        </row>
        <row r="300">
          <cell r="A300" t="str">
            <v>13001_18</v>
          </cell>
        </row>
        <row r="301">
          <cell r="A301" t="str">
            <v>13001_19</v>
          </cell>
        </row>
        <row r="302">
          <cell r="A302" t="str">
            <v>13001_20</v>
          </cell>
        </row>
        <row r="303">
          <cell r="A303" t="str">
            <v>13001_21</v>
          </cell>
        </row>
        <row r="304">
          <cell r="A304" t="str">
            <v>13001_22</v>
          </cell>
        </row>
        <row r="305">
          <cell r="A305" t="str">
            <v>13001_23</v>
          </cell>
        </row>
        <row r="306">
          <cell r="A306" t="str">
            <v>13001_24</v>
          </cell>
        </row>
        <row r="307">
          <cell r="A307" t="str">
            <v>13001_25</v>
          </cell>
        </row>
        <row r="308">
          <cell r="A308" t="str">
            <v>14001_1</v>
          </cell>
        </row>
        <row r="309">
          <cell r="A309" t="str">
            <v>14001_2</v>
          </cell>
        </row>
        <row r="310">
          <cell r="A310" t="str">
            <v>14001_3</v>
          </cell>
        </row>
        <row r="311">
          <cell r="A311" t="str">
            <v>14001_4</v>
          </cell>
        </row>
        <row r="312">
          <cell r="A312" t="str">
            <v>14001_5</v>
          </cell>
        </row>
        <row r="313">
          <cell r="A313" t="str">
            <v>14001_6</v>
          </cell>
        </row>
        <row r="314">
          <cell r="A314" t="str">
            <v>14001_7</v>
          </cell>
        </row>
        <row r="315">
          <cell r="A315" t="str">
            <v>14001_8</v>
          </cell>
        </row>
        <row r="316">
          <cell r="A316" t="str">
            <v>14002_1</v>
          </cell>
        </row>
        <row r="317">
          <cell r="A317" t="str">
            <v>14002_2</v>
          </cell>
        </row>
        <row r="318">
          <cell r="A318" t="str">
            <v>14003_1</v>
          </cell>
        </row>
        <row r="319">
          <cell r="A319" t="str">
            <v>14003_2</v>
          </cell>
        </row>
        <row r="320">
          <cell r="A320" t="str">
            <v>14003_3</v>
          </cell>
        </row>
        <row r="321">
          <cell r="A321" t="str">
            <v>14003_4</v>
          </cell>
        </row>
        <row r="322">
          <cell r="A322" t="str">
            <v>14004_1</v>
          </cell>
        </row>
        <row r="323">
          <cell r="A323" t="str">
            <v>14004_2</v>
          </cell>
        </row>
        <row r="324">
          <cell r="A324" t="str">
            <v>14004_3</v>
          </cell>
        </row>
        <row r="325">
          <cell r="A325" t="str">
            <v>14004_4</v>
          </cell>
        </row>
        <row r="326">
          <cell r="A326" t="str">
            <v>14005_1</v>
          </cell>
        </row>
        <row r="327">
          <cell r="A327" t="str">
            <v>14006_1</v>
          </cell>
        </row>
        <row r="328">
          <cell r="A328" t="str">
            <v>15027_1</v>
          </cell>
        </row>
        <row r="329">
          <cell r="A329" t="str">
            <v>15027_2</v>
          </cell>
        </row>
        <row r="330">
          <cell r="A330" t="str">
            <v>15027_3</v>
          </cell>
        </row>
        <row r="331">
          <cell r="A331" t="str">
            <v>15027_4</v>
          </cell>
        </row>
        <row r="332">
          <cell r="A332" t="str">
            <v>15028_1</v>
          </cell>
        </row>
        <row r="333">
          <cell r="A333" t="str">
            <v>15028_2</v>
          </cell>
        </row>
        <row r="334">
          <cell r="A334" t="str">
            <v>15028_3</v>
          </cell>
        </row>
        <row r="335">
          <cell r="A335" t="str">
            <v>15028_4</v>
          </cell>
        </row>
        <row r="336">
          <cell r="A336" t="str">
            <v>15029_1</v>
          </cell>
        </row>
        <row r="337">
          <cell r="A337" t="str">
            <v>15029_2</v>
          </cell>
        </row>
        <row r="338">
          <cell r="A338" t="str">
            <v>15029_3</v>
          </cell>
        </row>
        <row r="339">
          <cell r="A339" t="str">
            <v>15029_4</v>
          </cell>
        </row>
        <row r="340">
          <cell r="A340" t="str">
            <v>15030_1</v>
          </cell>
        </row>
        <row r="341">
          <cell r="A341" t="str">
            <v>15030_2</v>
          </cell>
        </row>
        <row r="342">
          <cell r="A342" t="str">
            <v>15030_3</v>
          </cell>
        </row>
        <row r="343">
          <cell r="A343" t="str">
            <v>15030_4</v>
          </cell>
        </row>
        <row r="344">
          <cell r="A344" t="str">
            <v>15031_1</v>
          </cell>
        </row>
        <row r="345">
          <cell r="A345" t="str">
            <v>15031_2</v>
          </cell>
        </row>
        <row r="346">
          <cell r="A346" t="str">
            <v>15031_3</v>
          </cell>
        </row>
        <row r="347">
          <cell r="A347" t="str">
            <v>15031_4</v>
          </cell>
        </row>
        <row r="348">
          <cell r="A348" t="str">
            <v>20001_1</v>
          </cell>
        </row>
        <row r="349">
          <cell r="A349" t="str">
            <v>20001_2</v>
          </cell>
        </row>
        <row r="350">
          <cell r="A350" t="str">
            <v>20001_3</v>
          </cell>
        </row>
        <row r="351">
          <cell r="A351" t="str">
            <v>20002_1</v>
          </cell>
        </row>
        <row r="352">
          <cell r="A352" t="str">
            <v>20002_2</v>
          </cell>
        </row>
        <row r="353">
          <cell r="A353" t="str">
            <v>20002_3</v>
          </cell>
        </row>
        <row r="354">
          <cell r="A354" t="str">
            <v>20003_1</v>
          </cell>
        </row>
        <row r="355">
          <cell r="A355" t="str">
            <v>20003_2</v>
          </cell>
        </row>
        <row r="356">
          <cell r="A356" t="str">
            <v>20003_3</v>
          </cell>
        </row>
        <row r="357">
          <cell r="A357" t="str">
            <v>20004_1</v>
          </cell>
        </row>
        <row r="358">
          <cell r="A358" t="str">
            <v>20004_2</v>
          </cell>
        </row>
        <row r="359">
          <cell r="A359" t="str">
            <v>20004_3</v>
          </cell>
        </row>
        <row r="360">
          <cell r="A360" t="str">
            <v>20005_1</v>
          </cell>
        </row>
        <row r="361">
          <cell r="A361" t="str">
            <v>20005_2</v>
          </cell>
        </row>
        <row r="362">
          <cell r="A362" t="str">
            <v>20005_3</v>
          </cell>
        </row>
        <row r="363">
          <cell r="A363" t="str">
            <v>20006_1</v>
          </cell>
        </row>
        <row r="364">
          <cell r="A364" t="str">
            <v>20006_2</v>
          </cell>
        </row>
        <row r="365">
          <cell r="A365" t="str">
            <v>20006_3</v>
          </cell>
        </row>
        <row r="366">
          <cell r="A366" t="str">
            <v>20007_1</v>
          </cell>
        </row>
        <row r="367">
          <cell r="A367" t="str">
            <v>20007_2</v>
          </cell>
        </row>
        <row r="368">
          <cell r="A368" t="str">
            <v>20007_3</v>
          </cell>
        </row>
        <row r="369">
          <cell r="A369" t="str">
            <v>20008_1</v>
          </cell>
        </row>
        <row r="370">
          <cell r="A370" t="str">
            <v>20008_2</v>
          </cell>
        </row>
        <row r="371">
          <cell r="A371" t="str">
            <v>20008_3</v>
          </cell>
        </row>
        <row r="372">
          <cell r="A372" t="str">
            <v>20009_1</v>
          </cell>
        </row>
        <row r="373">
          <cell r="A373" t="str">
            <v>20009_2</v>
          </cell>
        </row>
        <row r="374">
          <cell r="A374" t="str">
            <v>20009_3</v>
          </cell>
        </row>
        <row r="375">
          <cell r="A375" t="str">
            <v>20010_1</v>
          </cell>
        </row>
        <row r="376">
          <cell r="A376" t="str">
            <v>20010_2</v>
          </cell>
        </row>
        <row r="377">
          <cell r="A377" t="str">
            <v>20010_3</v>
          </cell>
        </row>
        <row r="378">
          <cell r="A378" t="str">
            <v>20011_1</v>
          </cell>
        </row>
        <row r="379">
          <cell r="A379" t="str">
            <v>20011_2</v>
          </cell>
        </row>
        <row r="380">
          <cell r="A380" t="str">
            <v>20011_3</v>
          </cell>
        </row>
        <row r="381">
          <cell r="A381" t="str">
            <v>20012_1</v>
          </cell>
        </row>
        <row r="382">
          <cell r="A382" t="str">
            <v>20012_2</v>
          </cell>
        </row>
        <row r="383">
          <cell r="A383" t="str">
            <v>20012_3</v>
          </cell>
        </row>
        <row r="384">
          <cell r="A384" t="str">
            <v>20013_1</v>
          </cell>
        </row>
        <row r="385">
          <cell r="A385" t="str">
            <v>20013_2</v>
          </cell>
        </row>
        <row r="386">
          <cell r="A386" t="str">
            <v>20013_3</v>
          </cell>
        </row>
        <row r="387">
          <cell r="A387" t="str">
            <v>20014_1</v>
          </cell>
        </row>
        <row r="388">
          <cell r="A388" t="str">
            <v>20014_2</v>
          </cell>
        </row>
        <row r="389">
          <cell r="A389" t="str">
            <v>20014_3</v>
          </cell>
        </row>
        <row r="390">
          <cell r="A390" t="str">
            <v>20015_1</v>
          </cell>
        </row>
        <row r="391">
          <cell r="A391" t="str">
            <v>20015_2</v>
          </cell>
        </row>
        <row r="392">
          <cell r="A392" t="str">
            <v>20015_3</v>
          </cell>
        </row>
        <row r="393">
          <cell r="A393" t="str">
            <v>20016_1</v>
          </cell>
        </row>
        <row r="394">
          <cell r="A394" t="str">
            <v>20016_2</v>
          </cell>
        </row>
        <row r="395">
          <cell r="A395" t="str">
            <v>20016_3</v>
          </cell>
        </row>
        <row r="396">
          <cell r="A396" t="str">
            <v>30001_1</v>
          </cell>
        </row>
        <row r="397">
          <cell r="A397" t="str">
            <v>30001_2</v>
          </cell>
        </row>
        <row r="398">
          <cell r="A398" t="str">
            <v>30001_3</v>
          </cell>
        </row>
        <row r="399">
          <cell r="A399" t="str">
            <v>30002_1</v>
          </cell>
        </row>
        <row r="400">
          <cell r="A400" t="str">
            <v>30002_2</v>
          </cell>
        </row>
        <row r="401">
          <cell r="A401" t="str">
            <v>30002_3</v>
          </cell>
        </row>
        <row r="402">
          <cell r="A402" t="str">
            <v>30003_1</v>
          </cell>
        </row>
        <row r="403">
          <cell r="A403" t="str">
            <v>30003_2</v>
          </cell>
        </row>
        <row r="404">
          <cell r="A404" t="str">
            <v>30003_3</v>
          </cell>
        </row>
        <row r="405">
          <cell r="A405" t="str">
            <v>30004_1</v>
          </cell>
        </row>
        <row r="406">
          <cell r="A406" t="str">
            <v>30004_2</v>
          </cell>
        </row>
        <row r="407">
          <cell r="A407" t="str">
            <v>30004_3</v>
          </cell>
        </row>
        <row r="408">
          <cell r="A408" t="str">
            <v>30005_1</v>
          </cell>
        </row>
        <row r="409">
          <cell r="A409" t="str">
            <v>30005_2</v>
          </cell>
        </row>
        <row r="410">
          <cell r="A410" t="str">
            <v>30005_3</v>
          </cell>
        </row>
        <row r="411">
          <cell r="A411" t="str">
            <v>30006_1</v>
          </cell>
        </row>
        <row r="412">
          <cell r="A412" t="str">
            <v>30006_2</v>
          </cell>
        </row>
        <row r="413">
          <cell r="A413" t="str">
            <v>30006_3</v>
          </cell>
        </row>
        <row r="414">
          <cell r="A414" t="str">
            <v>30007_1</v>
          </cell>
        </row>
        <row r="415">
          <cell r="A415" t="str">
            <v>30007_2</v>
          </cell>
        </row>
        <row r="416">
          <cell r="A416" t="str">
            <v>30007_3</v>
          </cell>
        </row>
        <row r="417">
          <cell r="A417" t="str">
            <v>30008_1</v>
          </cell>
        </row>
        <row r="418">
          <cell r="A418" t="str">
            <v>30008_2</v>
          </cell>
        </row>
        <row r="419">
          <cell r="A419" t="str">
            <v>30008_3</v>
          </cell>
        </row>
        <row r="420">
          <cell r="A420" t="str">
            <v>30009_3</v>
          </cell>
        </row>
        <row r="421">
          <cell r="A421" t="str">
            <v>30009_1</v>
          </cell>
        </row>
        <row r="422">
          <cell r="A422" t="str">
            <v>30009_2</v>
          </cell>
        </row>
        <row r="423">
          <cell r="A423" t="str">
            <v>30010_1</v>
          </cell>
        </row>
        <row r="424">
          <cell r="A424" t="str">
            <v>30010_2</v>
          </cell>
        </row>
        <row r="425">
          <cell r="A425" t="str">
            <v>30010_3</v>
          </cell>
        </row>
        <row r="426">
          <cell r="A426" t="str">
            <v>30011_1</v>
          </cell>
        </row>
        <row r="427">
          <cell r="A427" t="str">
            <v>30011_2</v>
          </cell>
        </row>
        <row r="428">
          <cell r="A428" t="str">
            <v>30011_3</v>
          </cell>
        </row>
        <row r="429">
          <cell r="A429" t="str">
            <v>30012_1</v>
          </cell>
        </row>
        <row r="430">
          <cell r="A430" t="str">
            <v>30012_2</v>
          </cell>
        </row>
        <row r="431">
          <cell r="A431" t="str">
            <v>30012_3</v>
          </cell>
        </row>
        <row r="432">
          <cell r="A432" t="str">
            <v>30013_1</v>
          </cell>
        </row>
        <row r="433">
          <cell r="A433" t="str">
            <v>30013_2</v>
          </cell>
        </row>
        <row r="434">
          <cell r="A434" t="str">
            <v>30014_1</v>
          </cell>
        </row>
        <row r="435">
          <cell r="A435" t="str">
            <v>30014_2</v>
          </cell>
        </row>
        <row r="436">
          <cell r="A436" t="str">
            <v>30015_1</v>
          </cell>
        </row>
        <row r="437">
          <cell r="A437" t="str">
            <v>30015_2</v>
          </cell>
        </row>
        <row r="438">
          <cell r="A438" t="str">
            <v>30016_1</v>
          </cell>
        </row>
        <row r="439">
          <cell r="A439" t="str">
            <v>30016_2</v>
          </cell>
        </row>
        <row r="440">
          <cell r="A440" t="str">
            <v>30017_1</v>
          </cell>
        </row>
        <row r="441">
          <cell r="A441" t="str">
            <v>30017_2</v>
          </cell>
        </row>
        <row r="442">
          <cell r="A442" t="str">
            <v>30018_1</v>
          </cell>
        </row>
        <row r="443">
          <cell r="A443" t="str">
            <v>30018_2</v>
          </cell>
        </row>
        <row r="444">
          <cell r="A444" t="str">
            <v>30019_1</v>
          </cell>
        </row>
        <row r="445">
          <cell r="A445" t="str">
            <v>30019_2</v>
          </cell>
        </row>
        <row r="446">
          <cell r="A446" t="str">
            <v>30020_1</v>
          </cell>
        </row>
        <row r="447">
          <cell r="A447" t="str">
            <v>30020_2</v>
          </cell>
        </row>
        <row r="448">
          <cell r="A448" t="str">
            <v>30021_1</v>
          </cell>
        </row>
        <row r="449">
          <cell r="A449" t="str">
            <v>30021_2</v>
          </cell>
        </row>
        <row r="450">
          <cell r="A450" t="str">
            <v>30021_3</v>
          </cell>
        </row>
        <row r="451">
          <cell r="A451" t="str">
            <v>30022_1</v>
          </cell>
        </row>
        <row r="452">
          <cell r="A452" t="str">
            <v>30022_2</v>
          </cell>
        </row>
        <row r="453">
          <cell r="A453" t="str">
            <v>30023_1</v>
          </cell>
        </row>
        <row r="454">
          <cell r="A454" t="str">
            <v>30023_2</v>
          </cell>
        </row>
        <row r="455">
          <cell r="A455" t="str">
            <v>30023_3</v>
          </cell>
        </row>
        <row r="456">
          <cell r="A456" t="str">
            <v>30024_1</v>
          </cell>
        </row>
        <row r="457">
          <cell r="A457" t="str">
            <v>30024_2</v>
          </cell>
        </row>
        <row r="458">
          <cell r="A458" t="str">
            <v>30024_3</v>
          </cell>
        </row>
        <row r="459">
          <cell r="A459" t="str">
            <v>30025_1</v>
          </cell>
        </row>
        <row r="460">
          <cell r="A460" t="str">
            <v>30025_2</v>
          </cell>
        </row>
        <row r="461">
          <cell r="A461" t="str">
            <v>30025_3</v>
          </cell>
        </row>
        <row r="462">
          <cell r="A462" t="str">
            <v>30026_1</v>
          </cell>
        </row>
        <row r="463">
          <cell r="A463" t="str">
            <v>30026_2</v>
          </cell>
        </row>
        <row r="464">
          <cell r="A464" t="str">
            <v>30026_3</v>
          </cell>
        </row>
        <row r="465">
          <cell r="A465" t="str">
            <v>30027_1</v>
          </cell>
        </row>
        <row r="466">
          <cell r="A466" t="str">
            <v>30027_2</v>
          </cell>
        </row>
        <row r="467">
          <cell r="A467" t="str">
            <v>30027_3</v>
          </cell>
        </row>
        <row r="468">
          <cell r="A468" t="str">
            <v>30028_1</v>
          </cell>
        </row>
        <row r="469">
          <cell r="A469" t="str">
            <v>30028_2</v>
          </cell>
        </row>
        <row r="470">
          <cell r="A470" t="str">
            <v>30028_3</v>
          </cell>
        </row>
        <row r="471">
          <cell r="A471" t="str">
            <v>30029_1</v>
          </cell>
        </row>
        <row r="472">
          <cell r="A472" t="str">
            <v>30029_2</v>
          </cell>
        </row>
        <row r="473">
          <cell r="A473" t="str">
            <v>30029_3</v>
          </cell>
        </row>
        <row r="474">
          <cell r="A474" t="str">
            <v>30030_1</v>
          </cell>
        </row>
        <row r="475">
          <cell r="A475" t="str">
            <v>30030_2</v>
          </cell>
        </row>
        <row r="476">
          <cell r="A476" t="str">
            <v>30030_3</v>
          </cell>
        </row>
        <row r="477">
          <cell r="A477" t="str">
            <v>30031_1</v>
          </cell>
        </row>
        <row r="478">
          <cell r="A478" t="str">
            <v>30031_2</v>
          </cell>
        </row>
        <row r="479">
          <cell r="A479" t="str">
            <v>30031_3</v>
          </cell>
        </row>
        <row r="480">
          <cell r="A480" t="str">
            <v>30032_1</v>
          </cell>
        </row>
        <row r="481">
          <cell r="A481" t="str">
            <v>30032_2</v>
          </cell>
        </row>
        <row r="482">
          <cell r="A482" t="str">
            <v>30032_3</v>
          </cell>
        </row>
        <row r="483">
          <cell r="A483" t="str">
            <v>30033_1</v>
          </cell>
        </row>
        <row r="484">
          <cell r="A484" t="str">
            <v>30033_2</v>
          </cell>
        </row>
        <row r="485">
          <cell r="A485" t="str">
            <v>30033_3</v>
          </cell>
        </row>
        <row r="486">
          <cell r="A486" t="str">
            <v>30034_1</v>
          </cell>
        </row>
        <row r="487">
          <cell r="A487" t="str">
            <v>30034_2</v>
          </cell>
        </row>
        <row r="488">
          <cell r="A488" t="str">
            <v>30034_3</v>
          </cell>
        </row>
        <row r="489">
          <cell r="A489" t="str">
            <v>30035_1</v>
          </cell>
        </row>
        <row r="490">
          <cell r="A490" t="str">
            <v>30035_2</v>
          </cell>
        </row>
        <row r="491">
          <cell r="A491" t="str">
            <v>30035_3</v>
          </cell>
        </row>
        <row r="492">
          <cell r="A492" t="str">
            <v>30036_1</v>
          </cell>
        </row>
        <row r="493">
          <cell r="A493" t="str">
            <v>30036_2</v>
          </cell>
        </row>
        <row r="494">
          <cell r="A494" t="str">
            <v>30036_3</v>
          </cell>
        </row>
        <row r="495">
          <cell r="A495" t="str">
            <v>39001_1</v>
          </cell>
        </row>
        <row r="496">
          <cell r="A496" t="str">
            <v>39001_2</v>
          </cell>
        </row>
        <row r="497">
          <cell r="A497" t="str">
            <v>39001_3</v>
          </cell>
        </row>
        <row r="498">
          <cell r="A498" t="str">
            <v>39001_4</v>
          </cell>
        </row>
        <row r="499">
          <cell r="A499" t="str">
            <v>39001_5</v>
          </cell>
        </row>
        <row r="500">
          <cell r="A500" t="str">
            <v>39002_1</v>
          </cell>
        </row>
        <row r="501">
          <cell r="A501" t="str">
            <v>39002_2</v>
          </cell>
        </row>
        <row r="502">
          <cell r="A502" t="str">
            <v>39002_3</v>
          </cell>
        </row>
        <row r="503">
          <cell r="A503" t="str">
            <v>39002_4</v>
          </cell>
        </row>
        <row r="504">
          <cell r="A504" t="str">
            <v>39003_1</v>
          </cell>
        </row>
        <row r="505">
          <cell r="A505" t="str">
            <v>39003_2</v>
          </cell>
        </row>
        <row r="506">
          <cell r="A506" t="str">
            <v>39003_3</v>
          </cell>
        </row>
        <row r="507">
          <cell r="A507" t="str">
            <v>39003_4</v>
          </cell>
        </row>
        <row r="508">
          <cell r="A508" t="str">
            <v>39004_1</v>
          </cell>
        </row>
        <row r="509">
          <cell r="A509" t="str">
            <v>39004_2</v>
          </cell>
        </row>
        <row r="510">
          <cell r="A510" t="str">
            <v>39004_3</v>
          </cell>
        </row>
        <row r="511">
          <cell r="A511" t="str">
            <v>39004_4</v>
          </cell>
        </row>
        <row r="512">
          <cell r="A512" t="str">
            <v>40001_1</v>
          </cell>
        </row>
        <row r="513">
          <cell r="A513" t="str">
            <v>40002_1</v>
          </cell>
        </row>
        <row r="514">
          <cell r="A514" t="str">
            <v>40002_2</v>
          </cell>
        </row>
        <row r="515">
          <cell r="A515" t="str">
            <v>40002_3</v>
          </cell>
        </row>
        <row r="516">
          <cell r="A516" t="str">
            <v>40003_1</v>
          </cell>
        </row>
        <row r="517">
          <cell r="A517" t="str">
            <v>40004_1</v>
          </cell>
        </row>
        <row r="518">
          <cell r="A518" t="str">
            <v>40005_1</v>
          </cell>
        </row>
        <row r="519">
          <cell r="A519" t="str">
            <v>40006_1</v>
          </cell>
        </row>
        <row r="520">
          <cell r="A520" t="str">
            <v>40007_1</v>
          </cell>
        </row>
        <row r="521">
          <cell r="A521" t="str">
            <v>40008_1</v>
          </cell>
        </row>
        <row r="522">
          <cell r="A522" t="str">
            <v>40009_1</v>
          </cell>
        </row>
        <row r="523">
          <cell r="A523" t="str">
            <v>40010_1</v>
          </cell>
        </row>
        <row r="524">
          <cell r="A524" t="str">
            <v>40011_1</v>
          </cell>
        </row>
        <row r="525">
          <cell r="A525" t="str">
            <v>40012_1</v>
          </cell>
        </row>
        <row r="526">
          <cell r="A526" t="str">
            <v>40013_1</v>
          </cell>
        </row>
        <row r="527">
          <cell r="A527" t="str">
            <v>40014_1</v>
          </cell>
        </row>
        <row r="528">
          <cell r="A528" t="str">
            <v>40015_1</v>
          </cell>
        </row>
        <row r="529">
          <cell r="A529" t="str">
            <v>40016_1</v>
          </cell>
        </row>
        <row r="530">
          <cell r="A530" t="str">
            <v>40016_2</v>
          </cell>
        </row>
        <row r="531">
          <cell r="A531" t="str">
            <v>40017_1</v>
          </cell>
        </row>
        <row r="532">
          <cell r="A532" t="str">
            <v>40017_2</v>
          </cell>
        </row>
        <row r="533">
          <cell r="A533" t="str">
            <v>40017_3</v>
          </cell>
        </row>
        <row r="534">
          <cell r="A534" t="str">
            <v>41001_1</v>
          </cell>
        </row>
        <row r="535">
          <cell r="A535" t="str">
            <v>41001_2</v>
          </cell>
        </row>
        <row r="536">
          <cell r="A536" t="str">
            <v>41001_3</v>
          </cell>
        </row>
        <row r="537">
          <cell r="A537" t="str">
            <v>41002_1</v>
          </cell>
        </row>
        <row r="538">
          <cell r="A538" t="str">
            <v>41002_2</v>
          </cell>
        </row>
        <row r="539">
          <cell r="A539" t="str">
            <v>41002_3</v>
          </cell>
        </row>
        <row r="540">
          <cell r="A540" t="str">
            <v>41003_1</v>
          </cell>
        </row>
        <row r="541">
          <cell r="A541" t="str">
            <v>41003_2</v>
          </cell>
        </row>
        <row r="542">
          <cell r="A542" t="str">
            <v>41003_3</v>
          </cell>
        </row>
        <row r="543">
          <cell r="A543" t="str">
            <v>41004_1</v>
          </cell>
        </row>
        <row r="544">
          <cell r="A544" t="str">
            <v>41004_2</v>
          </cell>
        </row>
        <row r="545">
          <cell r="A545" t="str">
            <v>41004_3</v>
          </cell>
        </row>
        <row r="546">
          <cell r="A546" t="str">
            <v>41005_1</v>
          </cell>
        </row>
        <row r="547">
          <cell r="A547" t="str">
            <v>41005_2</v>
          </cell>
        </row>
        <row r="548">
          <cell r="A548" t="str">
            <v>41005_3</v>
          </cell>
        </row>
        <row r="549">
          <cell r="A549" t="str">
            <v>41006_1</v>
          </cell>
        </row>
        <row r="550">
          <cell r="A550" t="str">
            <v>41006_2</v>
          </cell>
        </row>
        <row r="551">
          <cell r="A551" t="str">
            <v>41006_3</v>
          </cell>
        </row>
        <row r="552">
          <cell r="A552" t="str">
            <v>49001_1</v>
          </cell>
        </row>
        <row r="553">
          <cell r="A553" t="str">
            <v>49002_1</v>
          </cell>
        </row>
        <row r="554">
          <cell r="A554" t="str">
            <v>49002_2</v>
          </cell>
        </row>
        <row r="555">
          <cell r="A555" t="str">
            <v>49003_1</v>
          </cell>
        </row>
        <row r="556">
          <cell r="A556" t="str">
            <v>49003_2</v>
          </cell>
        </row>
        <row r="557">
          <cell r="A557" t="str">
            <v>49004_1</v>
          </cell>
        </row>
        <row r="558">
          <cell r="A558" t="str">
            <v>49004_2</v>
          </cell>
        </row>
        <row r="559">
          <cell r="A559" t="str">
            <v>49004_3</v>
          </cell>
        </row>
        <row r="560">
          <cell r="A560" t="str">
            <v>50001_1</v>
          </cell>
        </row>
        <row r="561">
          <cell r="A561" t="str">
            <v>50002_1</v>
          </cell>
        </row>
        <row r="562">
          <cell r="A562" t="str">
            <v>50003_1</v>
          </cell>
        </row>
        <row r="563">
          <cell r="A563" t="str">
            <v>50004_1</v>
          </cell>
        </row>
        <row r="564">
          <cell r="A564" t="str">
            <v>51001_1</v>
          </cell>
        </row>
        <row r="565">
          <cell r="A565" t="str">
            <v>51002_1</v>
          </cell>
        </row>
        <row r="566">
          <cell r="A566" t="str">
            <v>60001_1</v>
          </cell>
        </row>
        <row r="567">
          <cell r="A567" t="str">
            <v>60002_1</v>
          </cell>
        </row>
        <row r="568">
          <cell r="A568" t="str">
            <v>60002_2</v>
          </cell>
        </row>
        <row r="569">
          <cell r="A569" t="str">
            <v>60003_1</v>
          </cell>
        </row>
        <row r="570">
          <cell r="A570" t="str">
            <v>60003_2</v>
          </cell>
        </row>
        <row r="571">
          <cell r="A571" t="str">
            <v>60003_3</v>
          </cell>
        </row>
        <row r="572">
          <cell r="A572" t="str">
            <v>60004_1</v>
          </cell>
        </row>
        <row r="573">
          <cell r="A573" t="str">
            <v>60005_1</v>
          </cell>
        </row>
        <row r="574">
          <cell r="A574" t="str">
            <v>60006_1</v>
          </cell>
        </row>
        <row r="575">
          <cell r="A575" t="str">
            <v>60006_2</v>
          </cell>
        </row>
        <row r="576">
          <cell r="A576" t="str">
            <v>60006_3</v>
          </cell>
        </row>
        <row r="577">
          <cell r="A577" t="str">
            <v>60007_1</v>
          </cell>
        </row>
        <row r="578">
          <cell r="A578" t="str">
            <v>60007_2</v>
          </cell>
        </row>
        <row r="579">
          <cell r="A579" t="str">
            <v>60007_3</v>
          </cell>
        </row>
        <row r="580">
          <cell r="A580" t="str">
            <v>60010_1</v>
          </cell>
        </row>
        <row r="581">
          <cell r="A581" t="str">
            <v>65535_1</v>
          </cell>
        </row>
        <row r="582">
          <cell r="A582" t="str">
            <v>65535_2</v>
          </cell>
        </row>
        <row r="583">
          <cell r="A583" t="str">
            <v>65535_3</v>
          </cell>
        </row>
        <row r="584">
          <cell r="A584" t="str">
            <v>60021_3</v>
          </cell>
        </row>
        <row r="585">
          <cell r="A585" t="str">
            <v>60022_3</v>
          </cell>
        </row>
        <row r="586">
          <cell r="A586" t="str">
            <v>60023_3</v>
          </cell>
        </row>
        <row r="587">
          <cell r="A587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8001</v>
          </cell>
        </row>
        <row r="979">
          <cell r="A979">
            <v>8002</v>
          </cell>
        </row>
        <row r="980">
          <cell r="A980">
            <v>8003</v>
          </cell>
        </row>
        <row r="981">
          <cell r="A981">
            <v>8004</v>
          </cell>
        </row>
        <row r="982">
          <cell r="A982">
            <v>8005</v>
          </cell>
        </row>
        <row r="983">
          <cell r="A983">
            <v>8006</v>
          </cell>
        </row>
        <row r="984">
          <cell r="A984">
            <v>8007</v>
          </cell>
        </row>
        <row r="985">
          <cell r="A985">
            <v>8008</v>
          </cell>
        </row>
        <row r="986">
          <cell r="A986">
            <v>8009</v>
          </cell>
        </row>
        <row r="987">
          <cell r="A987">
            <v>8010</v>
          </cell>
        </row>
        <row r="988">
          <cell r="A988">
            <v>8011</v>
          </cell>
        </row>
        <row r="989">
          <cell r="A989">
            <v>8012</v>
          </cell>
        </row>
        <row r="990">
          <cell r="A990">
            <v>8013</v>
          </cell>
        </row>
        <row r="991">
          <cell r="A991">
            <v>8014</v>
          </cell>
        </row>
        <row r="992">
          <cell r="A992">
            <v>8015</v>
          </cell>
        </row>
        <row r="993">
          <cell r="A993">
            <v>8016</v>
          </cell>
        </row>
        <row r="994">
          <cell r="A994">
            <v>8017</v>
          </cell>
        </row>
        <row r="995">
          <cell r="A995">
            <v>8018</v>
          </cell>
        </row>
        <row r="996">
          <cell r="A996">
            <v>8019</v>
          </cell>
        </row>
        <row r="997">
          <cell r="A997">
            <v>8020</v>
          </cell>
        </row>
        <row r="998">
          <cell r="A998">
            <v>8021</v>
          </cell>
        </row>
        <row r="999">
          <cell r="A999">
            <v>8022</v>
          </cell>
        </row>
        <row r="1000">
          <cell r="A1000">
            <v>8023</v>
          </cell>
        </row>
        <row r="1001">
          <cell r="A1001">
            <v>8024</v>
          </cell>
        </row>
        <row r="1002">
          <cell r="A1002">
            <v>8025</v>
          </cell>
        </row>
        <row r="1003">
          <cell r="A1003">
            <v>8026</v>
          </cell>
        </row>
        <row r="1004">
          <cell r="A1004">
            <v>8027</v>
          </cell>
        </row>
        <row r="1005">
          <cell r="A1005">
            <v>8028</v>
          </cell>
        </row>
        <row r="1006">
          <cell r="A1006">
            <v>8029</v>
          </cell>
        </row>
        <row r="1007">
          <cell r="A1007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1040</v>
          </cell>
        </row>
        <row r="979">
          <cell r="A979">
            <v>8001</v>
          </cell>
        </row>
        <row r="980">
          <cell r="A980">
            <v>8002</v>
          </cell>
        </row>
        <row r="981">
          <cell r="A981">
            <v>8003</v>
          </cell>
        </row>
        <row r="982">
          <cell r="A982">
            <v>8004</v>
          </cell>
        </row>
        <row r="983">
          <cell r="A983">
            <v>8005</v>
          </cell>
        </row>
        <row r="984">
          <cell r="A984">
            <v>8006</v>
          </cell>
        </row>
        <row r="985">
          <cell r="A985">
            <v>8007</v>
          </cell>
        </row>
        <row r="986">
          <cell r="A986">
            <v>8008</v>
          </cell>
        </row>
        <row r="987">
          <cell r="A987">
            <v>8009</v>
          </cell>
        </row>
        <row r="988">
          <cell r="A988">
            <v>8010</v>
          </cell>
        </row>
        <row r="989">
          <cell r="A989">
            <v>8011</v>
          </cell>
        </row>
        <row r="990">
          <cell r="A990">
            <v>8012</v>
          </cell>
        </row>
        <row r="991">
          <cell r="A991">
            <v>8013</v>
          </cell>
        </row>
        <row r="992">
          <cell r="A992">
            <v>8014</v>
          </cell>
        </row>
        <row r="993">
          <cell r="A993">
            <v>8015</v>
          </cell>
        </row>
        <row r="994">
          <cell r="A994">
            <v>8016</v>
          </cell>
        </row>
        <row r="995">
          <cell r="A995">
            <v>8017</v>
          </cell>
        </row>
        <row r="996">
          <cell r="A996">
            <v>8018</v>
          </cell>
        </row>
        <row r="997">
          <cell r="A997">
            <v>8019</v>
          </cell>
        </row>
        <row r="998">
          <cell r="A998">
            <v>8020</v>
          </cell>
        </row>
        <row r="999">
          <cell r="A999">
            <v>8021</v>
          </cell>
        </row>
        <row r="1000">
          <cell r="A1000">
            <v>8022</v>
          </cell>
        </row>
        <row r="1001">
          <cell r="A1001">
            <v>8023</v>
          </cell>
        </row>
        <row r="1002">
          <cell r="A1002">
            <v>8024</v>
          </cell>
        </row>
        <row r="1003">
          <cell r="A1003">
            <v>8025</v>
          </cell>
        </row>
        <row r="1004">
          <cell r="A1004">
            <v>8026</v>
          </cell>
        </row>
        <row r="1005">
          <cell r="A1005">
            <v>8027</v>
          </cell>
        </row>
        <row r="1006">
          <cell r="A1006">
            <v>8028</v>
          </cell>
        </row>
        <row r="1007">
          <cell r="A1007">
            <v>8029</v>
          </cell>
        </row>
        <row r="1008">
          <cell r="A1008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E24" sqref="E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134</v>
      </c>
      <c r="B1" s="55" t="s">
        <v>104</v>
      </c>
      <c r="C1" s="55" t="s">
        <v>105</v>
      </c>
      <c r="D1" s="55" t="s">
        <v>106</v>
      </c>
      <c r="E1" s="55" t="s">
        <v>107</v>
      </c>
      <c r="F1" s="55" t="s">
        <v>108</v>
      </c>
      <c r="G1" s="55" t="s">
        <v>109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289</v>
      </c>
      <c r="B2" s="57" t="s">
        <v>110</v>
      </c>
      <c r="C2" s="62">
        <v>60010</v>
      </c>
      <c r="D2" s="57" t="s">
        <v>111</v>
      </c>
      <c r="E2" s="56" t="str">
        <f>B2&amp;C2&amp;D2</f>
        <v>floors_60010.tmp</v>
      </c>
      <c r="F2" s="57" t="s">
        <v>112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289</v>
      </c>
      <c r="B3" s="113" t="s">
        <v>257</v>
      </c>
      <c r="C3" s="62">
        <v>60010</v>
      </c>
      <c r="D3" s="57" t="s">
        <v>111</v>
      </c>
      <c r="E3" s="56" t="str">
        <f>B3&amp;C3&amp;D3</f>
        <v>ranking_floors_60010.tmp</v>
      </c>
      <c r="F3" s="57" t="s">
        <v>112</v>
      </c>
      <c r="G3" s="58" t="s">
        <v>0</v>
      </c>
      <c r="H3" s="58" t="s">
        <v>1</v>
      </c>
      <c r="I3" s="58" t="s">
        <v>13</v>
      </c>
      <c r="J3" s="100" t="s">
        <v>227</v>
      </c>
      <c r="K3" s="100" t="s">
        <v>228</v>
      </c>
      <c r="L3" s="100" t="s">
        <v>229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289</v>
      </c>
      <c r="B4" s="113" t="s">
        <v>258</v>
      </c>
      <c r="C4" s="62">
        <v>60010</v>
      </c>
      <c r="D4" s="57" t="s">
        <v>111</v>
      </c>
      <c r="E4" s="56" t="str">
        <f>B4&amp;C4&amp;D4</f>
        <v>ranking_stages_60010.tmp</v>
      </c>
      <c r="F4" s="57" t="s">
        <v>260</v>
      </c>
      <c r="G4" s="58" t="s">
        <v>0</v>
      </c>
      <c r="H4" s="58" t="s">
        <v>1</v>
      </c>
      <c r="I4" s="37" t="s">
        <v>259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289</v>
      </c>
      <c r="B5" s="113" t="s">
        <v>265</v>
      </c>
      <c r="C5" s="62">
        <v>60010</v>
      </c>
      <c r="D5" s="57" t="s">
        <v>111</v>
      </c>
      <c r="E5" s="56" t="str">
        <f t="shared" ref="E5:E7" si="0">B5&amp;C5&amp;D5</f>
        <v>clear_turn_60010.tmp</v>
      </c>
      <c r="F5" s="57" t="s">
        <v>269</v>
      </c>
      <c r="G5" s="58" t="s">
        <v>261</v>
      </c>
      <c r="H5" s="58" t="s">
        <v>262</v>
      </c>
      <c r="I5" s="58" t="s">
        <v>263</v>
      </c>
      <c r="J5" s="58" t="s">
        <v>264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289</v>
      </c>
      <c r="B6" s="113" t="s">
        <v>266</v>
      </c>
      <c r="C6" s="62">
        <v>60010</v>
      </c>
      <c r="D6" s="57" t="s">
        <v>111</v>
      </c>
      <c r="E6" s="56" t="str">
        <f t="shared" si="0"/>
        <v>damage_give_60010.tmp</v>
      </c>
      <c r="F6" s="57" t="s">
        <v>270</v>
      </c>
      <c r="G6" s="58" t="s">
        <v>261</v>
      </c>
      <c r="H6" s="58" t="s">
        <v>262</v>
      </c>
      <c r="I6" s="58" t="s">
        <v>263</v>
      </c>
      <c r="J6" s="58" t="s">
        <v>264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289</v>
      </c>
      <c r="B7" s="113" t="s">
        <v>268</v>
      </c>
      <c r="C7" s="62">
        <v>60010</v>
      </c>
      <c r="D7" s="57" t="s">
        <v>111</v>
      </c>
      <c r="E7" s="56" t="str">
        <f t="shared" si="0"/>
        <v>damage_receive_60010.tmp</v>
      </c>
      <c r="F7" s="57" t="s">
        <v>267</v>
      </c>
      <c r="G7" s="58" t="s">
        <v>261</v>
      </c>
      <c r="H7" s="58" t="s">
        <v>262</v>
      </c>
      <c r="I7" s="58" t="s">
        <v>263</v>
      </c>
      <c r="J7" s="58" t="s">
        <v>264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289</v>
      </c>
      <c r="B8" s="113" t="s">
        <v>278</v>
      </c>
      <c r="C8" s="62">
        <v>60010</v>
      </c>
      <c r="D8" s="57" t="s">
        <v>111</v>
      </c>
      <c r="E8" s="56" t="str">
        <f t="shared" ref="E8:E9" si="1">B8&amp;C8&amp;D8</f>
        <v>ranking_eval_data_60010.tmp</v>
      </c>
      <c r="F8" s="57" t="s">
        <v>280</v>
      </c>
      <c r="G8" s="58" t="s">
        <v>271</v>
      </c>
      <c r="H8" s="58" t="s">
        <v>272</v>
      </c>
      <c r="I8" s="58" t="s">
        <v>273</v>
      </c>
      <c r="J8" s="58" t="s">
        <v>274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289</v>
      </c>
      <c r="B9" s="113" t="s">
        <v>279</v>
      </c>
      <c r="C9" s="62">
        <v>60010</v>
      </c>
      <c r="D9" s="57" t="s">
        <v>111</v>
      </c>
      <c r="E9" s="56" t="str">
        <f t="shared" si="1"/>
        <v>ranking_eval_i18n_60010.tmp</v>
      </c>
      <c r="F9" s="57" t="s">
        <v>280</v>
      </c>
      <c r="G9" s="58" t="s">
        <v>271</v>
      </c>
      <c r="H9" s="112" t="s">
        <v>275</v>
      </c>
      <c r="I9" s="112" t="s">
        <v>276</v>
      </c>
      <c r="J9" s="112" t="s">
        <v>277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289</v>
      </c>
      <c r="B10" s="57" t="s">
        <v>113</v>
      </c>
      <c r="C10" s="62">
        <v>60010</v>
      </c>
      <c r="D10" s="57" t="s">
        <v>111</v>
      </c>
      <c r="E10" s="56" t="str">
        <f>B10&amp;C10&amp;D10</f>
        <v>enemy_habitats_60010.tmp</v>
      </c>
      <c r="F10" s="57" t="s">
        <v>114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183</v>
      </c>
    </row>
    <row r="11" spans="1:30" x14ac:dyDescent="0.15">
      <c r="A11" s="61" t="s">
        <v>289</v>
      </c>
      <c r="B11" s="57" t="s">
        <v>115</v>
      </c>
      <c r="C11" s="62">
        <v>60010</v>
      </c>
      <c r="D11" s="57" t="s">
        <v>111</v>
      </c>
      <c r="E11" s="56" t="str">
        <f>B11&amp;C11&amp;D11</f>
        <v>enemy_habitat_S_60010.tmp</v>
      </c>
      <c r="F11" s="57" t="s">
        <v>116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192</v>
      </c>
      <c r="B12" s="57" t="s">
        <v>117</v>
      </c>
      <c r="C12" s="62">
        <v>60010</v>
      </c>
      <c r="D12" s="57" t="s">
        <v>111</v>
      </c>
      <c r="E12" s="56" t="str">
        <f>B12&amp;C12&amp;D12</f>
        <v>enemy_skill_sets_60010.tmp</v>
      </c>
      <c r="F12" s="57" t="s">
        <v>118</v>
      </c>
      <c r="G12" s="59" t="s">
        <v>22</v>
      </c>
      <c r="H12" s="59" t="s">
        <v>103</v>
      </c>
      <c r="I12" s="59" t="s">
        <v>98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192</v>
      </c>
      <c r="B13" s="57" t="s">
        <v>119</v>
      </c>
      <c r="C13" s="62">
        <v>60010</v>
      </c>
      <c r="D13" s="57" t="s">
        <v>120</v>
      </c>
      <c r="E13" s="56" t="str">
        <f t="shared" ref="E13:E17" si="2">B13&amp;C13&amp;D13</f>
        <v>enemy_skills_tmp_60010.tmp</v>
      </c>
      <c r="F13" s="57" t="s">
        <v>94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192</v>
      </c>
      <c r="B14" s="57" t="s">
        <v>121</v>
      </c>
      <c r="C14" s="62">
        <v>60010</v>
      </c>
      <c r="D14" s="57" t="s">
        <v>111</v>
      </c>
      <c r="E14" s="56" t="str">
        <f>B14&amp;C14&amp;D14</f>
        <v>enemy_skills_i18n_60010.tmp</v>
      </c>
      <c r="F14" s="57" t="s">
        <v>122</v>
      </c>
      <c r="G14" s="58" t="s">
        <v>79</v>
      </c>
      <c r="H14" s="58" t="s">
        <v>95</v>
      </c>
      <c r="I14" s="58" t="s">
        <v>96</v>
      </c>
      <c r="J14" s="58" t="s">
        <v>97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192</v>
      </c>
      <c r="B15" s="57" t="s">
        <v>123</v>
      </c>
      <c r="C15" s="62">
        <v>60010</v>
      </c>
      <c r="D15" s="57" t="s">
        <v>124</v>
      </c>
      <c r="E15" s="56" t="str">
        <f t="shared" si="2"/>
        <v>enemy_skill_triggers_60010.tmp</v>
      </c>
      <c r="F15" s="57" t="s">
        <v>125</v>
      </c>
      <c r="G15" s="58" t="s">
        <v>98</v>
      </c>
      <c r="H15" s="58" t="s">
        <v>99</v>
      </c>
      <c r="I15" s="58" t="s">
        <v>100</v>
      </c>
      <c r="J15" s="58" t="s">
        <v>101</v>
      </c>
      <c r="K15" s="58" t="s">
        <v>126</v>
      </c>
      <c r="L15" s="58" t="s">
        <v>102</v>
      </c>
      <c r="M15" s="58" t="s">
        <v>127</v>
      </c>
      <c r="N15" s="58" t="s">
        <v>128</v>
      </c>
      <c r="O15" s="58" t="s">
        <v>129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61" t="s">
        <v>192</v>
      </c>
      <c r="B16" s="67" t="s">
        <v>182</v>
      </c>
      <c r="C16" s="62">
        <v>60010</v>
      </c>
      <c r="D16" s="67" t="s">
        <v>176</v>
      </c>
      <c r="E16" s="68" t="str">
        <f t="shared" si="2"/>
        <v>stage_bug_bonuses_60010.tmp</v>
      </c>
      <c r="F16" s="67" t="s">
        <v>177</v>
      </c>
      <c r="G16" s="64" t="s">
        <v>154</v>
      </c>
      <c r="H16" s="64" t="s">
        <v>178</v>
      </c>
      <c r="I16" s="64" t="s">
        <v>179</v>
      </c>
      <c r="J16" s="66" t="s">
        <v>180</v>
      </c>
      <c r="K16" s="64" t="s">
        <v>181</v>
      </c>
      <c r="L16" s="64" t="s">
        <v>160</v>
      </c>
      <c r="M16" s="64" t="s">
        <v>161</v>
      </c>
      <c r="N16" s="64" t="s">
        <v>162</v>
      </c>
      <c r="O16" s="64" t="s">
        <v>163</v>
      </c>
      <c r="P16" s="64" t="s">
        <v>164</v>
      </c>
      <c r="Q16" s="64" t="s">
        <v>165</v>
      </c>
      <c r="R16" s="64" t="s">
        <v>166</v>
      </c>
      <c r="S16" s="64" t="s">
        <v>167</v>
      </c>
      <c r="T16" s="64" t="s">
        <v>168</v>
      </c>
      <c r="U16" s="64" t="s">
        <v>169</v>
      </c>
      <c r="V16" s="64" t="s">
        <v>170</v>
      </c>
      <c r="W16" s="64" t="s">
        <v>171</v>
      </c>
    </row>
    <row r="17" spans="1:21" s="76" customFormat="1" x14ac:dyDescent="0.15">
      <c r="A17" s="61" t="s">
        <v>192</v>
      </c>
      <c r="B17" s="67" t="s">
        <v>208</v>
      </c>
      <c r="C17" s="62">
        <v>60010</v>
      </c>
      <c r="D17" s="67" t="s">
        <v>185</v>
      </c>
      <c r="E17" s="68" t="str">
        <f t="shared" si="2"/>
        <v>stage_hints_data_c_60010.tmp</v>
      </c>
      <c r="F17" s="67" t="s">
        <v>217</v>
      </c>
      <c r="G17" s="73" t="s">
        <v>186</v>
      </c>
      <c r="H17" s="73" t="s">
        <v>178</v>
      </c>
      <c r="I17" s="74" t="s">
        <v>187</v>
      </c>
      <c r="J17" s="66" t="s">
        <v>188</v>
      </c>
      <c r="K17" s="75" t="s">
        <v>189</v>
      </c>
    </row>
    <row r="18" spans="1:21" s="76" customFormat="1" x14ac:dyDescent="0.15">
      <c r="A18" s="61" t="s">
        <v>192</v>
      </c>
      <c r="B18" s="67" t="s">
        <v>209</v>
      </c>
      <c r="C18" s="62">
        <v>60010</v>
      </c>
      <c r="D18" s="67" t="s">
        <v>176</v>
      </c>
      <c r="E18" s="68" t="str">
        <f t="shared" ref="E18:E19" si="3">B18&amp;C18&amp;D18</f>
        <v>stage_hints_data_f_60010.tmp</v>
      </c>
      <c r="F18" s="67" t="s">
        <v>219</v>
      </c>
      <c r="G18" s="73" t="s">
        <v>186</v>
      </c>
      <c r="H18" s="73" t="s">
        <v>178</v>
      </c>
      <c r="I18" s="74" t="s">
        <v>187</v>
      </c>
      <c r="J18" s="66" t="s">
        <v>188</v>
      </c>
      <c r="K18" s="75" t="s">
        <v>189</v>
      </c>
    </row>
    <row r="19" spans="1:21" s="76" customFormat="1" x14ac:dyDescent="0.15">
      <c r="A19" s="67" t="s">
        <v>210</v>
      </c>
      <c r="B19" s="67" t="s">
        <v>211</v>
      </c>
      <c r="C19" s="62">
        <v>60010</v>
      </c>
      <c r="D19" s="67" t="s">
        <v>176</v>
      </c>
      <c r="E19" s="68" t="str">
        <f t="shared" si="3"/>
        <v>stage_hints_i18n_60010.tmp</v>
      </c>
      <c r="F19" s="67" t="s">
        <v>220</v>
      </c>
      <c r="G19" s="74" t="s">
        <v>212</v>
      </c>
      <c r="H19" s="97" t="s">
        <v>213</v>
      </c>
      <c r="I19" s="73" t="s">
        <v>214</v>
      </c>
      <c r="J19" s="98" t="s">
        <v>215</v>
      </c>
      <c r="K19" s="75" t="s">
        <v>216</v>
      </c>
    </row>
    <row r="20" spans="1:21" x14ac:dyDescent="0.15">
      <c r="A20" s="67" t="s">
        <v>210</v>
      </c>
      <c r="B20" s="67" t="s">
        <v>211</v>
      </c>
      <c r="C20" s="62">
        <v>60010</v>
      </c>
      <c r="D20" s="67" t="s">
        <v>176</v>
      </c>
      <c r="E20" s="68" t="str">
        <f t="shared" ref="E20:E21" si="4">B20&amp;C20&amp;D20</f>
        <v>stage_hints_i18n_60010.tmp</v>
      </c>
      <c r="F20" s="67" t="s">
        <v>220</v>
      </c>
      <c r="G20" s="74" t="s">
        <v>212</v>
      </c>
      <c r="H20" s="97" t="s">
        <v>213</v>
      </c>
      <c r="I20" s="73" t="s">
        <v>214</v>
      </c>
      <c r="J20" s="98" t="s">
        <v>215</v>
      </c>
      <c r="K20" s="75" t="s">
        <v>216</v>
      </c>
    </row>
    <row r="21" spans="1:21" x14ac:dyDescent="0.15">
      <c r="A21" s="67" t="s">
        <v>210</v>
      </c>
      <c r="B21" s="114" t="s">
        <v>246</v>
      </c>
      <c r="C21" s="62">
        <v>60010</v>
      </c>
      <c r="D21" s="67" t="s">
        <v>176</v>
      </c>
      <c r="E21" s="68" t="str">
        <f t="shared" si="4"/>
        <v>ranking_ACH_60010.tmp</v>
      </c>
      <c r="F21" s="67" t="s">
        <v>247</v>
      </c>
      <c r="G21" s="74" t="s">
        <v>248</v>
      </c>
      <c r="H21" s="97" t="s">
        <v>249</v>
      </c>
      <c r="I21" s="73" t="s">
        <v>250</v>
      </c>
      <c r="J21" s="75" t="s">
        <v>251</v>
      </c>
      <c r="K21" s="75"/>
    </row>
    <row r="22" spans="1:21" x14ac:dyDescent="0.15">
      <c r="A22" s="67" t="s">
        <v>210</v>
      </c>
      <c r="B22" s="115" t="s">
        <v>252</v>
      </c>
      <c r="C22" s="62">
        <v>60010</v>
      </c>
      <c r="D22" s="108" t="s">
        <v>120</v>
      </c>
      <c r="E22" s="109" t="str">
        <f>B22&amp;C22&amp;D22</f>
        <v>gifts_tmp_60010.tmp</v>
      </c>
      <c r="F22" s="67" t="s">
        <v>247</v>
      </c>
      <c r="G22" s="110" t="s">
        <v>253</v>
      </c>
      <c r="H22" s="110" t="s">
        <v>233</v>
      </c>
      <c r="I22" s="110" t="s">
        <v>234</v>
      </c>
      <c r="J22" s="110" t="s">
        <v>234</v>
      </c>
      <c r="K22" s="110" t="s">
        <v>234</v>
      </c>
      <c r="L22" s="110" t="s">
        <v>235</v>
      </c>
      <c r="M22" s="110" t="s">
        <v>235</v>
      </c>
      <c r="N22" s="110" t="s">
        <v>235</v>
      </c>
      <c r="O22" s="116" t="s">
        <v>41</v>
      </c>
      <c r="P22" s="116" t="s">
        <v>45</v>
      </c>
      <c r="Q22" s="116" t="s">
        <v>39</v>
      </c>
      <c r="R22" s="116" t="s">
        <v>286</v>
      </c>
      <c r="S22" s="116" t="s">
        <v>43</v>
      </c>
      <c r="T22" s="116" t="s">
        <v>3</v>
      </c>
      <c r="U22" s="116" t="s">
        <v>37</v>
      </c>
    </row>
    <row r="23" spans="1:21" x14ac:dyDescent="0.15">
      <c r="A23" s="67" t="s">
        <v>210</v>
      </c>
      <c r="B23" s="115" t="s">
        <v>254</v>
      </c>
      <c r="C23" s="62">
        <v>60010</v>
      </c>
      <c r="D23" s="108" t="s">
        <v>120</v>
      </c>
      <c r="E23" s="109" t="str">
        <f>B23&amp;C23&amp;D23</f>
        <v>gifts_i18n_60010.tmp</v>
      </c>
      <c r="F23" s="67" t="s">
        <v>247</v>
      </c>
      <c r="G23" s="110" t="s">
        <v>253</v>
      </c>
      <c r="H23" s="110" t="s">
        <v>236</v>
      </c>
      <c r="I23" s="110" t="s">
        <v>255</v>
      </c>
      <c r="J23" s="110" t="s">
        <v>256</v>
      </c>
      <c r="K23" s="110" t="s">
        <v>239</v>
      </c>
      <c r="L23" s="110"/>
      <c r="M23" s="110"/>
      <c r="N23" s="110"/>
      <c r="O23" s="108"/>
    </row>
  </sheetData>
  <phoneticPr fontId="7"/>
  <dataValidations count="1">
    <dataValidation type="list" allowBlank="1" showInputMessage="1" showErrorMessage="1" sqref="A2:A18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L12" sqref="L1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100" t="s">
        <v>227</v>
      </c>
      <c r="M1" s="100" t="s">
        <v>228</v>
      </c>
      <c r="N1" s="100" t="s">
        <v>229</v>
      </c>
    </row>
    <row r="2" spans="1:14" ht="21" customHeight="1" x14ac:dyDescent="0.15">
      <c r="A2" s="16" t="str">
        <f>G2&amp;"-"&amp;I2</f>
        <v>60010_1-1</v>
      </c>
      <c r="B2" s="16" t="str">
        <f>IF(COUNTIF(enemy_habitats!$H:$H,A2),"OK","NG")</f>
        <v>OK</v>
      </c>
      <c r="C2" s="7">
        <v>60010</v>
      </c>
      <c r="D2" s="11" t="str">
        <f ca="1">VLOOKUP($C2,OFFSET([2]quests!$A$1,0,0,COUNTA([2]quests!$A:$A),MATCH(D$1,[2]quests!$1:$1,0)-MATCH($C$1,[2]quests!$1:$1,0)+1),MATCH(D$1,[2]quests!$1:$1,0)-MATCH($C$1,[2]quests!$1:$1,0)+1,FALSE)</f>
        <v>ラグランジュチャレンジ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ランキング2（ラグランジュ）</v>
      </c>
      <c r="F2" s="21">
        <v>1</v>
      </c>
      <c r="G2" s="23" t="str">
        <f>C2&amp;"_"&amp;F2</f>
        <v>60010_1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【ウィザード級】ラグランジュチャレンジ</v>
      </c>
      <c r="I2" s="21">
        <v>1</v>
      </c>
      <c r="J2" s="12">
        <v>60</v>
      </c>
      <c r="K2" s="12">
        <v>60</v>
      </c>
      <c r="L2" s="69">
        <v>6001011</v>
      </c>
      <c r="M2" s="69">
        <v>6001011</v>
      </c>
      <c r="N2" s="69">
        <v>6001011</v>
      </c>
    </row>
    <row r="3" spans="1:14" ht="21" customHeight="1" x14ac:dyDescent="0.15">
      <c r="A3" s="16" t="str">
        <f t="shared" ref="A3:A6" si="0">G3&amp;"-"&amp;I3</f>
        <v>60010_1-2</v>
      </c>
      <c r="B3" s="16" t="str">
        <f>IF(COUNTIF(enemy_habitats!$H:$H,A3),"OK","NG")</f>
        <v>OK</v>
      </c>
      <c r="C3" s="7">
        <v>60010</v>
      </c>
      <c r="D3" s="11" t="str">
        <f ca="1">VLOOKUP($C3,OFFSET([2]quests!$A$1,0,0,COUNTA([2]quests!$A:$A),MATCH(D$1,[2]quests!$1:$1,0)-MATCH($C$1,[2]quests!$1:$1,0)+1),MATCH(D$1,[2]quests!$1:$1,0)-MATCH($C$1,[2]quests!$1:$1,0)+1,FALSE)</f>
        <v>ラグランジュチャレンジ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ランキング2（ラグランジュ）</v>
      </c>
      <c r="F3" s="21">
        <v>1</v>
      </c>
      <c r="G3" s="23" t="str">
        <f t="shared" ref="G3:G6" si="1">C3&amp;"_"&amp;F3</f>
        <v>60010_1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【ウィザード級】ラグランジュチャレンジ</v>
      </c>
      <c r="I3" s="21">
        <v>2</v>
      </c>
      <c r="J3" s="12">
        <v>60</v>
      </c>
      <c r="K3" s="12">
        <v>60</v>
      </c>
      <c r="L3" s="69">
        <v>6001011</v>
      </c>
      <c r="M3" s="69">
        <v>6001011</v>
      </c>
      <c r="N3" s="69">
        <v>6001011</v>
      </c>
    </row>
    <row r="4" spans="1:14" ht="21" customHeight="1" x14ac:dyDescent="0.15">
      <c r="A4" s="16" t="str">
        <f t="shared" si="0"/>
        <v>60010_1-3</v>
      </c>
      <c r="B4" s="16" t="str">
        <f>IF(COUNTIF(enemy_habitats!$H:$H,A4),"OK","NG")</f>
        <v>OK</v>
      </c>
      <c r="C4" s="7">
        <v>60010</v>
      </c>
      <c r="D4" s="11" t="str">
        <f ca="1">VLOOKUP($C4,OFFSET([2]quests!$A$1,0,0,COUNTA([2]quests!$A:$A),MATCH(D$1,[2]quests!$1:$1,0)-MATCH($C$1,[2]quests!$1:$1,0)+1),MATCH(D$1,[2]quests!$1:$1,0)-MATCH($C$1,[2]quests!$1:$1,0)+1,FALSE)</f>
        <v>ラグランジュチャレンジ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ランキング2（ラグランジュ）</v>
      </c>
      <c r="F4" s="21">
        <v>1</v>
      </c>
      <c r="G4" s="23" t="str">
        <f t="shared" si="1"/>
        <v>60010_1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【ウィザード級】ラグランジュチャレンジ</v>
      </c>
      <c r="I4" s="21">
        <v>3</v>
      </c>
      <c r="J4" s="12">
        <v>60</v>
      </c>
      <c r="K4" s="12">
        <v>60</v>
      </c>
      <c r="L4" s="69">
        <v>6001011</v>
      </c>
      <c r="M4" s="69">
        <v>6001011</v>
      </c>
      <c r="N4" s="69">
        <v>6001011</v>
      </c>
    </row>
    <row r="5" spans="1:14" ht="21" customHeight="1" x14ac:dyDescent="0.15">
      <c r="A5" s="16" t="str">
        <f t="shared" si="0"/>
        <v>60010_1-4</v>
      </c>
      <c r="B5" s="16" t="str">
        <f>IF(COUNTIF(enemy_habitats!$H:$H,A5),"OK","NG")</f>
        <v>OK</v>
      </c>
      <c r="C5" s="7">
        <v>60010</v>
      </c>
      <c r="D5" s="11" t="str">
        <f ca="1">VLOOKUP($C5,OFFSET([2]quests!$A$1,0,0,COUNTA([2]quests!$A:$A),MATCH(D$1,[2]quests!$1:$1,0)-MATCH($C$1,[2]quests!$1:$1,0)+1),MATCH(D$1,[2]quests!$1:$1,0)-MATCH($C$1,[2]quests!$1:$1,0)+1,FALSE)</f>
        <v>ラグランジュチャレンジ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ランキング2（ラグランジュ）</v>
      </c>
      <c r="F5" s="21">
        <v>1</v>
      </c>
      <c r="G5" s="23" t="str">
        <f t="shared" si="1"/>
        <v>60010_1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【ウィザード級】ラグランジュチャレンジ</v>
      </c>
      <c r="I5" s="21">
        <v>4</v>
      </c>
      <c r="J5" s="12">
        <v>60</v>
      </c>
      <c r="K5" s="12">
        <v>60</v>
      </c>
      <c r="L5" s="69">
        <v>6001011</v>
      </c>
      <c r="M5" s="69">
        <v>6001011</v>
      </c>
      <c r="N5" s="69">
        <v>6001011</v>
      </c>
    </row>
    <row r="6" spans="1:14" ht="21" customHeight="1" x14ac:dyDescent="0.15">
      <c r="A6" s="16" t="str">
        <f t="shared" si="0"/>
        <v>60010_1-5</v>
      </c>
      <c r="B6" s="16" t="str">
        <f>IF(COUNTIF(enemy_habitats!$H:$H,A6),"OK","NG")</f>
        <v>OK</v>
      </c>
      <c r="C6" s="7">
        <v>60010</v>
      </c>
      <c r="D6" s="11" t="str">
        <f ca="1">VLOOKUP($C6,OFFSET([2]quests!$A$1,0,0,COUNTA([2]quests!$A:$A),MATCH(D$1,[2]quests!$1:$1,0)-MATCH($C$1,[2]quests!$1:$1,0)+1),MATCH(D$1,[2]quests!$1:$1,0)-MATCH($C$1,[2]quests!$1:$1,0)+1,FALSE)</f>
        <v>ラグランジュチャレンジ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ランキング2（ラグランジュ）</v>
      </c>
      <c r="F6" s="21">
        <v>1</v>
      </c>
      <c r="G6" s="23" t="str">
        <f t="shared" si="1"/>
        <v>60010_1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【ウィザード級】ラグランジュチャレンジ</v>
      </c>
      <c r="I6" s="21">
        <v>5</v>
      </c>
      <c r="J6" s="12">
        <v>60</v>
      </c>
      <c r="K6" s="12">
        <v>60</v>
      </c>
      <c r="L6" s="69">
        <v>6001011</v>
      </c>
      <c r="M6" s="69">
        <v>6001011</v>
      </c>
      <c r="N6" s="69">
        <v>6001011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A3" sqref="A3:XFD4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259</v>
      </c>
    </row>
    <row r="2" spans="1:7" x14ac:dyDescent="0.15">
      <c r="A2" s="7">
        <v>60010</v>
      </c>
      <c r="B2" s="11" t="str">
        <f ca="1">VLOOKUP($A2,OFFSET([2]quests!$A$1,0,0,COUNTA([2]quests!$A:$A),MATCH(B$1,[2]quests!$1:$1,0)-MATCH($A$1,[2]quests!$1:$1,0)+1),MATCH(B$1,[2]quests!$1:$1,0)-MATCH($A$1,[2]quests!$1:$1,0)+1,FALSE)</f>
        <v>ラグランジュチャレンジ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60010</v>
      </c>
      <c r="D2" s="21">
        <v>1</v>
      </c>
      <c r="E2" s="23" t="str">
        <f>A2&amp;"_"&amp;D2</f>
        <v>60010_1</v>
      </c>
      <c r="F2" s="15" t="str">
        <f ca="1">VLOOKUP($E2,OFFSET([2]stages!$A$1,0,0,COUNTA([2]stages!$A:$A),MATCH(F$1,[2]stages!$2:$2,0)-MATCH($E$1,[2]stages!$2:$2,0)+1),MATCH(F$1,[2]stages!$2:$2,0)-MATCH($E$1,[2]stages!$2:$2,0)+1,FALSE)</f>
        <v>【ウィザード級】ラグランジュチャレンジ</v>
      </c>
      <c r="G2" s="117">
        <v>100000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9"/>
  <sheetViews>
    <sheetView workbookViewId="0">
      <selection activeCell="A10" sqref="A10:XFD25"/>
    </sheetView>
  </sheetViews>
  <sheetFormatPr baseColWidth="12" defaultRowHeight="15" x14ac:dyDescent="0.15"/>
  <sheetData>
    <row r="1" spans="1:7" x14ac:dyDescent="0.15">
      <c r="A1" s="58" t="s">
        <v>261</v>
      </c>
      <c r="B1" s="58" t="s">
        <v>262</v>
      </c>
      <c r="C1" s="58" t="s">
        <v>263</v>
      </c>
      <c r="D1" s="58" t="s">
        <v>264</v>
      </c>
      <c r="F1" s="111"/>
      <c r="G1" s="111"/>
    </row>
    <row r="2" spans="1:7" x14ac:dyDescent="0.15">
      <c r="A2" s="119">
        <v>6001011</v>
      </c>
      <c r="B2" s="112">
        <v>1</v>
      </c>
      <c r="C2" s="112">
        <v>0</v>
      </c>
      <c r="D2" s="118">
        <v>10000</v>
      </c>
    </row>
    <row r="3" spans="1:7" x14ac:dyDescent="0.15">
      <c r="A3" s="119">
        <v>6001011</v>
      </c>
      <c r="B3" s="112">
        <v>2</v>
      </c>
      <c r="C3" s="112">
        <v>0</v>
      </c>
      <c r="D3" s="118">
        <v>8000</v>
      </c>
    </row>
    <row r="4" spans="1:7" x14ac:dyDescent="0.15">
      <c r="A4" s="119">
        <v>6001011</v>
      </c>
      <c r="B4" s="112">
        <v>3</v>
      </c>
      <c r="C4" s="112">
        <v>-2000</v>
      </c>
      <c r="D4" s="118">
        <v>11000</v>
      </c>
    </row>
    <row r="5" spans="1:7" x14ac:dyDescent="0.15">
      <c r="A5" s="119">
        <v>6001011</v>
      </c>
      <c r="B5" s="112">
        <v>4</v>
      </c>
      <c r="C5" s="112">
        <v>-2000</v>
      </c>
      <c r="D5" s="118">
        <v>8000</v>
      </c>
    </row>
    <row r="6" spans="1:7" x14ac:dyDescent="0.15">
      <c r="A6" s="119">
        <v>6001011</v>
      </c>
      <c r="B6" s="112">
        <v>5</v>
      </c>
      <c r="C6" s="112">
        <v>-2000</v>
      </c>
      <c r="D6" s="118">
        <v>0</v>
      </c>
    </row>
    <row r="7" spans="1:7" x14ac:dyDescent="0.15">
      <c r="A7" s="119">
        <v>6001011</v>
      </c>
      <c r="B7" s="112">
        <v>6</v>
      </c>
      <c r="C7" s="112">
        <v>-2000</v>
      </c>
      <c r="D7" s="118">
        <v>-16000</v>
      </c>
    </row>
    <row r="8" spans="1:7" x14ac:dyDescent="0.15">
      <c r="A8" s="119">
        <v>6001011</v>
      </c>
      <c r="B8" s="112">
        <v>7</v>
      </c>
      <c r="C8" s="112">
        <v>-2500</v>
      </c>
      <c r="D8" s="118">
        <v>-47500</v>
      </c>
    </row>
    <row r="9" spans="1:7" x14ac:dyDescent="0.15">
      <c r="A9" s="119">
        <v>6001011</v>
      </c>
      <c r="B9" s="112">
        <v>10</v>
      </c>
      <c r="C9" s="112">
        <v>-2500</v>
      </c>
      <c r="D9" s="118">
        <v>-75000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D14"/>
  <sheetViews>
    <sheetView workbookViewId="0">
      <selection activeCell="A3" sqref="A3:A14"/>
    </sheetView>
  </sheetViews>
  <sheetFormatPr baseColWidth="12" defaultRowHeight="15" x14ac:dyDescent="0.15"/>
  <sheetData>
    <row r="1" spans="1:4" x14ac:dyDescent="0.15">
      <c r="A1" s="58" t="s">
        <v>261</v>
      </c>
      <c r="B1" s="58" t="s">
        <v>262</v>
      </c>
      <c r="C1" s="58" t="s">
        <v>263</v>
      </c>
      <c r="D1" s="58" t="s">
        <v>264</v>
      </c>
    </row>
    <row r="2" spans="1:4" x14ac:dyDescent="0.15">
      <c r="A2" s="112">
        <v>6001011</v>
      </c>
      <c r="B2" s="112">
        <v>0</v>
      </c>
      <c r="C2" s="112">
        <v>1</v>
      </c>
      <c r="D2" s="120">
        <v>0</v>
      </c>
    </row>
    <row r="3" spans="1:4" x14ac:dyDescent="0.15">
      <c r="A3" s="112">
        <v>6001011</v>
      </c>
      <c r="B3" s="112">
        <v>5000</v>
      </c>
      <c r="C3" s="112">
        <v>1</v>
      </c>
      <c r="D3" s="120">
        <v>0</v>
      </c>
    </row>
    <row r="4" spans="1:4" x14ac:dyDescent="0.15">
      <c r="A4" s="112">
        <v>6001011</v>
      </c>
      <c r="B4" s="112">
        <v>10000</v>
      </c>
      <c r="C4" s="112">
        <v>1</v>
      </c>
      <c r="D4" s="112">
        <v>2000</v>
      </c>
    </row>
    <row r="5" spans="1:4" x14ac:dyDescent="0.15">
      <c r="A5" s="112">
        <v>6001011</v>
      </c>
      <c r="B5" s="112">
        <v>20000</v>
      </c>
      <c r="C5" s="112">
        <v>1</v>
      </c>
      <c r="D5" s="112">
        <v>5000</v>
      </c>
    </row>
    <row r="6" spans="1:4" x14ac:dyDescent="0.15">
      <c r="A6" s="112">
        <v>6001011</v>
      </c>
      <c r="B6" s="112">
        <v>50000</v>
      </c>
      <c r="C6" s="112">
        <v>1</v>
      </c>
      <c r="D6" s="112">
        <v>15000</v>
      </c>
    </row>
    <row r="7" spans="1:4" x14ac:dyDescent="0.15">
      <c r="A7" s="112">
        <v>6001011</v>
      </c>
      <c r="B7" s="112">
        <v>100000</v>
      </c>
      <c r="C7" s="112">
        <v>1.2</v>
      </c>
      <c r="D7" s="112">
        <v>35000</v>
      </c>
    </row>
    <row r="8" spans="1:4" x14ac:dyDescent="0.15">
      <c r="A8" s="112">
        <v>6001011</v>
      </c>
      <c r="B8" s="112">
        <v>200000</v>
      </c>
      <c r="C8" s="112">
        <v>1.2</v>
      </c>
      <c r="D8" s="112">
        <v>80000</v>
      </c>
    </row>
    <row r="9" spans="1:4" x14ac:dyDescent="0.15">
      <c r="A9" s="112">
        <v>6001011</v>
      </c>
      <c r="B9" s="112">
        <v>300000</v>
      </c>
      <c r="C9" s="112">
        <v>1.3</v>
      </c>
      <c r="D9" s="112">
        <v>200000</v>
      </c>
    </row>
    <row r="10" spans="1:4" x14ac:dyDescent="0.15">
      <c r="A10" s="112">
        <v>6001011</v>
      </c>
      <c r="B10" s="112">
        <v>400000</v>
      </c>
      <c r="C10" s="112">
        <v>1.4</v>
      </c>
      <c r="D10" s="112">
        <v>280000</v>
      </c>
    </row>
    <row r="11" spans="1:4" x14ac:dyDescent="0.15">
      <c r="A11" s="112">
        <v>6001011</v>
      </c>
      <c r="B11" s="112">
        <v>500000</v>
      </c>
      <c r="C11" s="112">
        <v>1.4</v>
      </c>
      <c r="D11" s="112">
        <v>400000</v>
      </c>
    </row>
    <row r="12" spans="1:4" x14ac:dyDescent="0.15">
      <c r="A12" s="112">
        <v>6001011</v>
      </c>
      <c r="B12" s="112">
        <v>600000</v>
      </c>
      <c r="C12" s="112">
        <v>1.5</v>
      </c>
      <c r="D12" s="112">
        <v>540000</v>
      </c>
    </row>
    <row r="13" spans="1:4" x14ac:dyDescent="0.15">
      <c r="A13" s="112">
        <v>6001011</v>
      </c>
      <c r="B13" s="112">
        <v>700000</v>
      </c>
      <c r="C13" s="112">
        <v>1.5</v>
      </c>
      <c r="D13" s="112">
        <v>660000</v>
      </c>
    </row>
    <row r="14" spans="1:4" x14ac:dyDescent="0.15">
      <c r="A14" s="112">
        <v>6001011</v>
      </c>
      <c r="B14" s="112">
        <v>800000</v>
      </c>
      <c r="C14" s="112">
        <v>1.5</v>
      </c>
      <c r="D14" s="112">
        <v>800000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D12"/>
  <sheetViews>
    <sheetView workbookViewId="0">
      <selection activeCell="A3" sqref="A3:A12"/>
    </sheetView>
  </sheetViews>
  <sheetFormatPr baseColWidth="12" defaultRowHeight="15" x14ac:dyDescent="0.15"/>
  <sheetData>
    <row r="1" spans="1:4" x14ac:dyDescent="0.15">
      <c r="A1" s="58" t="s">
        <v>261</v>
      </c>
      <c r="B1" s="58" t="s">
        <v>262</v>
      </c>
      <c r="C1" s="58" t="s">
        <v>263</v>
      </c>
      <c r="D1" s="58" t="s">
        <v>264</v>
      </c>
    </row>
    <row r="2" spans="1:4" x14ac:dyDescent="0.15">
      <c r="A2" s="121">
        <v>6001011</v>
      </c>
      <c r="B2" s="121">
        <v>0</v>
      </c>
      <c r="C2" s="121">
        <v>0</v>
      </c>
      <c r="D2" s="121">
        <v>0</v>
      </c>
    </row>
    <row r="3" spans="1:4" x14ac:dyDescent="0.15">
      <c r="A3" s="121">
        <v>6001011</v>
      </c>
      <c r="B3" s="121">
        <v>0.2</v>
      </c>
      <c r="C3" s="121">
        <v>-1</v>
      </c>
      <c r="D3" s="120">
        <v>-1000</v>
      </c>
    </row>
    <row r="4" spans="1:4" x14ac:dyDescent="0.15">
      <c r="A4" s="121">
        <v>6001011</v>
      </c>
      <c r="B4" s="121">
        <v>0.3</v>
      </c>
      <c r="C4" s="121">
        <v>-1</v>
      </c>
      <c r="D4" s="120">
        <v>-3000</v>
      </c>
    </row>
    <row r="5" spans="1:4" x14ac:dyDescent="0.15">
      <c r="A5" s="121">
        <v>6001011</v>
      </c>
      <c r="B5" s="121">
        <v>0.4</v>
      </c>
      <c r="C5" s="121">
        <v>-1.2</v>
      </c>
      <c r="D5" s="120">
        <v>-6000</v>
      </c>
    </row>
    <row r="6" spans="1:4" x14ac:dyDescent="0.15">
      <c r="A6" s="121">
        <v>6001011</v>
      </c>
      <c r="B6" s="121">
        <v>0.5</v>
      </c>
      <c r="C6" s="121">
        <v>-1.2</v>
      </c>
      <c r="D6" s="120">
        <v>-10000</v>
      </c>
    </row>
    <row r="7" spans="1:4" x14ac:dyDescent="0.15">
      <c r="A7" s="121">
        <v>6001011</v>
      </c>
      <c r="B7" s="121">
        <v>0.6</v>
      </c>
      <c r="C7" s="121">
        <v>-1.3</v>
      </c>
      <c r="D7" s="120">
        <v>-15000</v>
      </c>
    </row>
    <row r="8" spans="1:4" x14ac:dyDescent="0.15">
      <c r="A8" s="121">
        <v>6001011</v>
      </c>
      <c r="B8" s="121">
        <v>0.7</v>
      </c>
      <c r="C8" s="121">
        <v>-1.3</v>
      </c>
      <c r="D8" s="120">
        <v>-20000</v>
      </c>
    </row>
    <row r="9" spans="1:4" x14ac:dyDescent="0.15">
      <c r="A9" s="121">
        <v>6001011</v>
      </c>
      <c r="B9" s="121">
        <v>0.8</v>
      </c>
      <c r="C9" s="121">
        <v>-1.4</v>
      </c>
      <c r="D9" s="120">
        <v>-30000</v>
      </c>
    </row>
    <row r="10" spans="1:4" x14ac:dyDescent="0.15">
      <c r="A10" s="121">
        <v>6001011</v>
      </c>
      <c r="B10" s="121">
        <v>0.9</v>
      </c>
      <c r="C10" s="121">
        <v>-1.4</v>
      </c>
      <c r="D10" s="120">
        <v>-40000</v>
      </c>
    </row>
    <row r="11" spans="1:4" x14ac:dyDescent="0.15">
      <c r="A11" s="121">
        <v>6001011</v>
      </c>
      <c r="B11" s="121">
        <v>1</v>
      </c>
      <c r="C11" s="121">
        <v>-1.5</v>
      </c>
      <c r="D11" s="120">
        <v>-50000</v>
      </c>
    </row>
    <row r="12" spans="1:4" x14ac:dyDescent="0.15">
      <c r="A12" s="121">
        <v>6001011</v>
      </c>
      <c r="B12" s="121">
        <v>2</v>
      </c>
      <c r="C12" s="121">
        <v>-1.5</v>
      </c>
      <c r="D12" s="120">
        <v>-60000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2"/>
  <sheetViews>
    <sheetView workbookViewId="0">
      <selection activeCell="F12" sqref="F12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22" t="s">
        <v>271</v>
      </c>
      <c r="B1" s="122" t="s">
        <v>272</v>
      </c>
      <c r="C1" s="122" t="s">
        <v>273</v>
      </c>
      <c r="D1" s="122" t="s">
        <v>274</v>
      </c>
      <c r="E1" s="123" t="s">
        <v>275</v>
      </c>
      <c r="F1" s="123" t="s">
        <v>276</v>
      </c>
      <c r="G1" s="123" t="s">
        <v>277</v>
      </c>
    </row>
    <row r="2" spans="1:7" x14ac:dyDescent="0.15">
      <c r="A2" s="124">
        <v>1</v>
      </c>
      <c r="B2" s="124">
        <v>60010</v>
      </c>
      <c r="C2" s="124">
        <v>1</v>
      </c>
      <c r="D2" s="124">
        <v>500000</v>
      </c>
      <c r="E2" s="124" t="s">
        <v>290</v>
      </c>
      <c r="F2" s="124" t="s">
        <v>291</v>
      </c>
      <c r="G2" s="124" t="s">
        <v>292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2"/>
  <sheetViews>
    <sheetView workbookViewId="0">
      <selection activeCell="F4" sqref="F4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154</v>
      </c>
      <c r="B1" s="78" t="s">
        <v>16</v>
      </c>
      <c r="C1" s="78" t="s">
        <v>33</v>
      </c>
      <c r="D1" s="73" t="s">
        <v>230</v>
      </c>
      <c r="E1" s="73" t="s">
        <v>231</v>
      </c>
      <c r="F1" s="105" t="s">
        <v>240</v>
      </c>
      <c r="G1" s="101" t="s">
        <v>232</v>
      </c>
      <c r="H1" s="102" t="s">
        <v>233</v>
      </c>
      <c r="I1" s="102" t="s">
        <v>234</v>
      </c>
      <c r="J1" s="102" t="s">
        <v>235</v>
      </c>
      <c r="K1" s="102" t="s">
        <v>281</v>
      </c>
      <c r="L1" s="102" t="s">
        <v>282</v>
      </c>
      <c r="M1" s="103" t="s">
        <v>283</v>
      </c>
      <c r="N1" s="103" t="s">
        <v>284</v>
      </c>
      <c r="O1" s="103" t="s">
        <v>285</v>
      </c>
      <c r="P1" s="103" t="s">
        <v>287</v>
      </c>
      <c r="Q1" s="103" t="s">
        <v>288</v>
      </c>
      <c r="R1" s="103" t="s">
        <v>236</v>
      </c>
      <c r="S1" s="103" t="s">
        <v>237</v>
      </c>
      <c r="T1" s="103" t="s">
        <v>238</v>
      </c>
      <c r="U1" s="103" t="s">
        <v>239</v>
      </c>
    </row>
    <row r="2" spans="1:21" ht="28" x14ac:dyDescent="0.15">
      <c r="A2" s="83">
        <f>floors!$C$2</f>
        <v>60010</v>
      </c>
      <c r="B2" s="84" t="str">
        <f ca="1">VLOOKUP($A2,OFFSET([2]quests!$A$1,0,0,COUNTA([2]quests!$A:$A),MATCH(B$1,[2]quests!$1:$1,0)-MATCH($A$1,[2]quests!$1:$1,0)+1),MATCH(B$1,[2]quests!$1:$1,0)-MATCH($A$1,[2]quests!$1:$1,0)+1,FALSE)</f>
        <v>ラグランジュチャレンジ</v>
      </c>
      <c r="C2" s="84" t="str">
        <f ca="1">VLOOKUP($A2,OFFSET([2]quests!$A$1,0,0,COUNTA([2]quests!$A:$A),MATCH(C$1,[2]quests!$1:$1,0)-MATCH($A$1,[2]quests!$1:$1,0)+1),MATCH(C$1,[2]quests!$1:$1,0)-MATCH($A$1,[2]quests!$1:$1,0)+1,FALSE)</f>
        <v>ランキング2（ラグランジュ）</v>
      </c>
      <c r="D2" s="85">
        <v>1</v>
      </c>
      <c r="E2" s="86">
        <v>1</v>
      </c>
      <c r="F2" s="104" t="str">
        <f>A2&amp;TEXT(E2,"0000")</f>
        <v>600100001</v>
      </c>
      <c r="G2" t="str">
        <f>F2&amp;TEXT(COUNTIF(F$2:F2,F2),"00")</f>
        <v>60010000101</v>
      </c>
      <c r="H2" s="106" t="s">
        <v>241</v>
      </c>
      <c r="I2" s="106">
        <v>125</v>
      </c>
      <c r="J2" s="106">
        <v>1</v>
      </c>
      <c r="K2" s="106">
        <v>0</v>
      </c>
      <c r="L2" s="106">
        <v>0</v>
      </c>
      <c r="M2" s="106">
        <v>0</v>
      </c>
      <c r="N2" s="106">
        <v>0</v>
      </c>
      <c r="O2" s="106">
        <v>1</v>
      </c>
      <c r="P2" s="106">
        <v>1</v>
      </c>
      <c r="Q2" s="106">
        <v>1</v>
      </c>
      <c r="R2" s="106" t="s">
        <v>242</v>
      </c>
      <c r="S2" s="106" t="s">
        <v>243</v>
      </c>
      <c r="T2" s="106" t="s">
        <v>244</v>
      </c>
      <c r="U2" s="107" t="s">
        <v>245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6"/>
  <sheetViews>
    <sheetView showGridLines="0" zoomScale="75" zoomScaleNormal="75" zoomScalePageLayoutView="75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T6" sqref="T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184</v>
      </c>
    </row>
    <row r="2" spans="1:40" ht="21" customHeight="1" x14ac:dyDescent="0.15">
      <c r="A2" s="16" t="str">
        <f ca="1">B2&amp;"_"&amp;C2&amp;"-"&amp;G2&amp;"/"&amp;L2&amp;"&lt;lv"&amp;R2&amp;"&gt;s"&amp;AA2</f>
        <v>60010_1-1/1&lt;lv1&gt;s1</v>
      </c>
      <c r="B2" s="22">
        <v>60010</v>
      </c>
      <c r="C2" s="21">
        <v>1</v>
      </c>
      <c r="D2" s="2" t="str">
        <f>B2&amp;"_"&amp;C2</f>
        <v>60010_1</v>
      </c>
      <c r="E2" s="4" t="str">
        <f ca="1">VLOOKUP($B2,OFFSET([2]quests!$A$1,0,0,COUNTA([2]quests!$A:$A),MATCH(E$1,[2]quests!$1:$1,0)-MATCH($B$1,[2]quests!$1:$1,0)+1),MATCH(E$1,[2]quests!$1:$1,0)-MATCH($B$1,[2]quests!$1:$1,0)+1,FALSE)</f>
        <v>ラグランジュチャレンジ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【ウィザード級】ラグランジュチャレンジ</v>
      </c>
      <c r="G2" s="21">
        <v>1</v>
      </c>
      <c r="H2" s="15" t="str">
        <f>B2&amp;"_"&amp;C2&amp;"-"&amp;G2</f>
        <v>60010_1-1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25">
        <v>1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ref="A3:A6" ca="1" si="0">B3&amp;"_"&amp;C3&amp;"-"&amp;G3&amp;"/"&amp;L3&amp;"&lt;lv"&amp;R3&amp;"&gt;s"&amp;AA3</f>
        <v>60010_1-2/1&lt;lv1&gt;s1</v>
      </c>
      <c r="B3" s="22">
        <v>60010</v>
      </c>
      <c r="C3" s="21">
        <v>1</v>
      </c>
      <c r="D3" s="2" t="str">
        <f t="shared" ref="D3:D6" si="1">B3&amp;"_"&amp;C3</f>
        <v>60010_1</v>
      </c>
      <c r="E3" s="4" t="str">
        <f ca="1">VLOOKUP($B3,OFFSET([2]quests!$A$1,0,0,COUNTA([2]quests!$A:$A),MATCH(E$1,[2]quests!$1:$1,0)-MATCH($B$1,[2]quests!$1:$1,0)+1),MATCH(E$1,[2]quests!$1:$1,0)-MATCH($B$1,[2]quests!$1:$1,0)+1,FALSE)</f>
        <v>ラグランジュチャレンジ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【ウィザード級】ラグランジュチャレンジ</v>
      </c>
      <c r="G3" s="21">
        <v>2</v>
      </c>
      <c r="H3" s="15" t="str">
        <f t="shared" ref="H3:H6" si="2">B3&amp;"_"&amp;C3&amp;"-"&amp;G3</f>
        <v>60010_1-2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ジェリー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1</v>
      </c>
      <c r="AB3" s="24">
        <f t="shared" ref="AB3:AB6" si="3">L3</f>
        <v>1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t="shared" ref="AG3:AG6" ca="1" si="4">AD3</f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60010_1-3/1&lt;lv1&gt;s1</v>
      </c>
      <c r="B4" s="22">
        <v>60010</v>
      </c>
      <c r="C4" s="21">
        <v>1</v>
      </c>
      <c r="D4" s="2" t="str">
        <f t="shared" si="1"/>
        <v>60010_1</v>
      </c>
      <c r="E4" s="4" t="str">
        <f ca="1">VLOOKUP($B4,OFFSET([2]quests!$A$1,0,0,COUNTA([2]quests!$A:$A),MATCH(E$1,[2]quests!$1:$1,0)-MATCH($B$1,[2]quests!$1:$1,0)+1),MATCH(E$1,[2]quests!$1:$1,0)-MATCH($B$1,[2]quests!$1:$1,0)+1,FALSE)</f>
        <v>ラグランジュチャレンジ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【ウィザード級】ラグランジュチャレンジ</v>
      </c>
      <c r="G4" s="21">
        <v>3</v>
      </c>
      <c r="H4" s="15" t="str">
        <f t="shared" si="2"/>
        <v>60010_1-3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ジェリー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</v>
      </c>
      <c r="S4" s="25">
        <v>1</v>
      </c>
      <c r="T4" s="25">
        <v>1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1</v>
      </c>
      <c r="AB4" s="24">
        <f t="shared" si="3"/>
        <v>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7">
        <v>1</v>
      </c>
      <c r="AG4" s="24">
        <f t="shared" ca="1" si="4"/>
        <v>1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0"/>
        <v>60010_1-4/1&lt;lv1&gt;s1</v>
      </c>
      <c r="B5" s="22">
        <v>60010</v>
      </c>
      <c r="C5" s="21">
        <v>1</v>
      </c>
      <c r="D5" s="2" t="str">
        <f t="shared" si="1"/>
        <v>60010_1</v>
      </c>
      <c r="E5" s="4" t="str">
        <f ca="1">VLOOKUP($B5,OFFSET([2]quests!$A$1,0,0,COUNTA([2]quests!$A:$A),MATCH(E$1,[2]quests!$1:$1,0)-MATCH($B$1,[2]quests!$1:$1,0)+1),MATCH(E$1,[2]quests!$1:$1,0)-MATCH($B$1,[2]quests!$1:$1,0)+1,FALSE)</f>
        <v>ラグランジュチャレンジ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【ウィザード級】ラグランジュチャレンジ</v>
      </c>
      <c r="G5" s="21">
        <v>4</v>
      </c>
      <c r="H5" s="15" t="str">
        <f t="shared" si="2"/>
        <v>60010_1-4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ジェリー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</v>
      </c>
      <c r="S5" s="25">
        <v>1</v>
      </c>
      <c r="T5" s="25">
        <v>1</v>
      </c>
      <c r="U5" s="5">
        <v>0</v>
      </c>
      <c r="V5" s="4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1</v>
      </c>
      <c r="AB5" s="24">
        <f t="shared" si="3"/>
        <v>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Drop1T</v>
      </c>
      <c r="AF5" s="7">
        <v>1</v>
      </c>
      <c r="AG5" s="24">
        <f t="shared" ca="1" si="4"/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ca="1" si="0"/>
        <v>60010_1-5/1&lt;lv1&gt;s1</v>
      </c>
      <c r="B6" s="22">
        <v>60010</v>
      </c>
      <c r="C6" s="21">
        <v>1</v>
      </c>
      <c r="D6" s="2" t="str">
        <f t="shared" si="1"/>
        <v>60010_1</v>
      </c>
      <c r="E6" s="4" t="str">
        <f ca="1">VLOOKUP($B6,OFFSET([2]quests!$A$1,0,0,COUNTA([2]quests!$A:$A),MATCH(E$1,[2]quests!$1:$1,0)-MATCH($B$1,[2]quests!$1:$1,0)+1),MATCH(E$1,[2]quests!$1:$1,0)-MATCH($B$1,[2]quests!$1:$1,0)+1,FALSE)</f>
        <v>ラグランジュチャレンジ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【ウィザード級】ラグランジュチャレンジ</v>
      </c>
      <c r="G6" s="21">
        <v>5</v>
      </c>
      <c r="H6" s="15" t="str">
        <f t="shared" si="2"/>
        <v>60010_1-5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ジェリー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5">
        <v>1</v>
      </c>
      <c r="T6" s="25">
        <v>1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1</v>
      </c>
      <c r="AB6" s="24">
        <f t="shared" si="3"/>
        <v>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Drop1T</v>
      </c>
      <c r="AF6" s="7">
        <v>1</v>
      </c>
      <c r="AG6" s="24">
        <f t="shared" ca="1" si="4"/>
        <v>1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F8" sqref="F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133</v>
      </c>
      <c r="X1" s="29" t="s">
        <v>132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60010_1-1/2&lt;lv1&gt;sq1st2</v>
      </c>
      <c r="B2" s="22">
        <v>60010</v>
      </c>
      <c r="C2" s="21">
        <v>1</v>
      </c>
      <c r="D2" s="2" t="str">
        <f>B2&amp;"_"&amp;C2</f>
        <v>60010_1</v>
      </c>
      <c r="E2" s="4" t="str">
        <f ca="1">VLOOKUP($B2,OFFSET([2]quests!$A$1,0,0,COUNTA([2]quests!$A:$A),MATCH(E$1,[2]quests!$1:$1,0)-MATCH($B$1,[2]quests!$1:$1,0)+1),MATCH(E$1,[2]quests!$1:$1,0)-MATCH($B$1,[2]quests!$1:$1,0)+1,FALSE)</f>
        <v>ラグランジュチャレンジ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【ウィザード級】ラグランジュチャレンジ</v>
      </c>
      <c r="G2" s="21">
        <v>1</v>
      </c>
      <c r="H2" s="15" t="str">
        <f>B2&amp;"_"&amp;C2&amp;"-"&amp;G2</f>
        <v>60010_1-1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15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4">
        <f ca="1">VLOOKUP($M2,OFFSET([3]enemies!$A$1,0,0,COUNTA([3]enemies!$A:$A),MATCH(X$1,[3]enemies!$1:$1,0)-MATCH($M$1,[3]enemies!$1:$1,0)+1),MATCH(X$1,[3]enemies!$1:$1,0)-MATCH($M$1,[3]enemies!$1:$1,0)+1,FALSE)</f>
        <v>0</v>
      </c>
      <c r="Y2" s="70">
        <f ca="1">VLOOKUP($M2,OFFSET([3]enemies!$A$1,0,0,COUNTA([3]enemies!$A:$A),MATCH(Y$1,[3]enemies!$1:$1,0)-MATCH($M$1,[3]enemies!$1:$1,0)+1),MATCH(Y$1,[3]enemies!$1:$1,0)-MATCH($M$1,[3]enemies!$1:$1,0)+1,FALSE)</f>
        <v>1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2" sqref="B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65535100_65535100</v>
      </c>
      <c r="B2" s="47">
        <v>65535100</v>
      </c>
      <c r="C2" s="47">
        <v>65535100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7">
        <v>65535100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zoomScale="75" zoomScaleNormal="75" zoomScalePageLayoutView="75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130</v>
      </c>
      <c r="E1" s="40" t="s">
        <v>82</v>
      </c>
      <c r="F1" s="40" t="s">
        <v>83</v>
      </c>
      <c r="G1" s="41" t="s">
        <v>136</v>
      </c>
      <c r="H1" s="41" t="s">
        <v>142</v>
      </c>
      <c r="I1" s="41" t="s">
        <v>144</v>
      </c>
      <c r="J1" s="41" t="s">
        <v>143</v>
      </c>
      <c r="K1" s="41" t="s">
        <v>145</v>
      </c>
      <c r="L1" s="41" t="s">
        <v>137</v>
      </c>
      <c r="M1" s="41" t="s">
        <v>135</v>
      </c>
      <c r="N1" s="41" t="s">
        <v>138</v>
      </c>
      <c r="O1" s="41" t="s">
        <v>146</v>
      </c>
      <c r="P1" s="41" t="s">
        <v>147</v>
      </c>
      <c r="Q1" s="41" t="s">
        <v>148</v>
      </c>
      <c r="R1" s="41" t="s">
        <v>149</v>
      </c>
      <c r="S1" s="41" t="s">
        <v>139</v>
      </c>
      <c r="T1" s="41" t="s">
        <v>140</v>
      </c>
      <c r="U1" s="41" t="s">
        <v>150</v>
      </c>
      <c r="V1" s="41" t="s">
        <v>151</v>
      </c>
      <c r="W1" s="41" t="s">
        <v>152</v>
      </c>
      <c r="X1" s="41" t="s">
        <v>153</v>
      </c>
      <c r="Y1" s="41" t="s">
        <v>141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65535100</v>
      </c>
      <c r="B2" s="47" t="s">
        <v>84</v>
      </c>
      <c r="C2" s="50">
        <v>3</v>
      </c>
      <c r="D2" s="50" t="s">
        <v>131</v>
      </c>
      <c r="E2" s="51" t="s">
        <v>85</v>
      </c>
      <c r="F2" s="51" t="s">
        <v>86</v>
      </c>
      <c r="G2" s="63" t="str">
        <f>IFERROR(LEFT(B2,FIND("],",B2)),B2)</f>
        <v>[effect:heal, target:enemy_one, val:0.1, animation:enemy_heal]</v>
      </c>
      <c r="H2" s="63">
        <f>FIND("effect:",G2)+7</f>
        <v>9</v>
      </c>
      <c r="I2" s="63">
        <f>IFERROR(FIND(",",G2),LEN(G2))</f>
        <v>13</v>
      </c>
      <c r="J2" s="63">
        <f>FIND("target:",G2)+7</f>
        <v>22</v>
      </c>
      <c r="K2" s="63">
        <f>FIND(",",G2,I2+1)</f>
        <v>31</v>
      </c>
      <c r="L2" s="63" t="str">
        <f>IFERROR(VLOOKUP(MID(G2,J2,K2-J2),[6]skilldef!$C:$D,2,FALSE),"-") &amp; " / " &amp; IFERROR(VLOOKUP(MID(G2,H2,I2-H2),[6]skilldef!$A:$B,2,FALSE),"-")</f>
        <v>敵単体に / 回復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pane="bottomLeft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87</v>
      </c>
      <c r="B1" s="42" t="s">
        <v>88</v>
      </c>
      <c r="C1" s="42" t="s">
        <v>89</v>
      </c>
      <c r="D1" s="42" t="s">
        <v>90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91</v>
      </c>
    </row>
    <row r="2" spans="1:11" ht="21" customHeight="1" x14ac:dyDescent="0.15">
      <c r="A2" s="47">
        <v>65535100</v>
      </c>
      <c r="B2" s="47">
        <v>0</v>
      </c>
      <c r="C2" s="47" t="s">
        <v>92</v>
      </c>
      <c r="D2" s="47">
        <v>100</v>
      </c>
      <c r="E2" s="47">
        <v>35</v>
      </c>
      <c r="F2" s="47" t="s">
        <v>93</v>
      </c>
      <c r="G2" s="47">
        <v>1</v>
      </c>
      <c r="H2" s="47" t="s">
        <v>93</v>
      </c>
      <c r="I2" s="47" t="s">
        <v>93</v>
      </c>
      <c r="J2" s="48">
        <f t="shared" ref="J2" si="0">D2</f>
        <v>100</v>
      </c>
    </row>
  </sheetData>
  <autoFilter ref="A1:G1"/>
  <phoneticPr fontId="7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154</v>
      </c>
      <c r="B1" s="64" t="s">
        <v>155</v>
      </c>
      <c r="C1" s="65" t="s">
        <v>156</v>
      </c>
      <c r="D1" s="72" t="s">
        <v>157</v>
      </c>
      <c r="E1" s="66" t="s">
        <v>158</v>
      </c>
      <c r="F1" s="64" t="s">
        <v>159</v>
      </c>
      <c r="G1" s="64" t="s">
        <v>160</v>
      </c>
      <c r="H1" s="64" t="s">
        <v>161</v>
      </c>
      <c r="I1" s="64" t="s">
        <v>162</v>
      </c>
      <c r="J1" s="64" t="s">
        <v>163</v>
      </c>
      <c r="K1" s="64" t="s">
        <v>164</v>
      </c>
      <c r="L1" s="64" t="s">
        <v>165</v>
      </c>
      <c r="M1" s="64" t="s">
        <v>166</v>
      </c>
      <c r="N1" s="64" t="s">
        <v>167</v>
      </c>
      <c r="O1" s="64" t="s">
        <v>168</v>
      </c>
      <c r="P1" s="64" t="s">
        <v>169</v>
      </c>
      <c r="Q1" s="64" t="s">
        <v>170</v>
      </c>
      <c r="R1" s="64" t="s">
        <v>171</v>
      </c>
    </row>
    <row r="2" spans="1:18" x14ac:dyDescent="0.15">
      <c r="A2" s="57">
        <f>floors!C2</f>
        <v>60010</v>
      </c>
      <c r="B2" s="57">
        <v>1</v>
      </c>
      <c r="C2" s="71" t="str">
        <f>A2&amp; "_"&amp;B2</f>
        <v>60010_1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172</v>
      </c>
      <c r="G2" s="57">
        <v>1000</v>
      </c>
      <c r="H2" s="57" t="s">
        <v>173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174</v>
      </c>
      <c r="R2" s="57" t="s">
        <v>175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193</v>
      </c>
      <c r="B1" s="73" t="s">
        <v>194</v>
      </c>
      <c r="C1" s="78" t="s">
        <v>195</v>
      </c>
      <c r="D1" s="78" t="s">
        <v>33</v>
      </c>
      <c r="E1" s="73" t="s">
        <v>196</v>
      </c>
      <c r="F1" s="78" t="s">
        <v>197</v>
      </c>
      <c r="G1" s="78" t="s">
        <v>33</v>
      </c>
      <c r="H1" s="73" t="s">
        <v>198</v>
      </c>
      <c r="I1" s="93" t="s">
        <v>200</v>
      </c>
      <c r="J1" s="80" t="s">
        <v>130</v>
      </c>
      <c r="K1" s="79" t="s">
        <v>191</v>
      </c>
      <c r="L1" s="94" t="s">
        <v>190</v>
      </c>
      <c r="M1" s="81" t="s">
        <v>201</v>
      </c>
    </row>
    <row r="2" spans="1:13" x14ac:dyDescent="0.15">
      <c r="A2" s="82" t="s">
        <v>206</v>
      </c>
      <c r="B2" s="83">
        <f>floors!$C$2</f>
        <v>60010</v>
      </c>
      <c r="C2" s="84" t="str">
        <f ca="1">VLOOKUP($B2,OFFSET([2]quests!$A$1,0,0,COUNTA([2]quests!$A:$A),MATCH(C$1,[2]quests!$1:$1,0)-MATCH($B$1,[2]quests!$1:$1,0)+1),MATCH(C$1,[2]quests!$1:$1,0)-MATCH($B$1,[2]quests!$1:$1,0)+1,FALSE)</f>
        <v>ラグランジュチャレンジ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ランキング2（ラグランジュ）</v>
      </c>
      <c r="E2" s="88" t="s">
        <v>221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203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218</v>
      </c>
    </row>
    <row r="3" spans="1:13" x14ac:dyDescent="0.15">
      <c r="A3" s="82" t="s">
        <v>206</v>
      </c>
      <c r="B3" s="83">
        <f>floors!$C$2</f>
        <v>60010</v>
      </c>
      <c r="C3" s="84" t="str">
        <f ca="1">VLOOKUP($B3,OFFSET([2]quests!$A$1,0,0,COUNTA([2]quests!$A:$A),MATCH(C$1,[2]quests!$1:$1,0)-MATCH($B$1,[2]quests!$1:$1,0)+1),MATCH(C$1,[2]quests!$1:$1,0)-MATCH($B$1,[2]quests!$1:$1,0)+1,FALSE)</f>
        <v>ラグランジュチャレンジ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ランキング2（ラグランジュ）</v>
      </c>
      <c r="E3" s="88" t="s">
        <v>221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203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218</v>
      </c>
    </row>
    <row r="4" spans="1:13" x14ac:dyDescent="0.15">
      <c r="A4" s="82" t="s">
        <v>206</v>
      </c>
      <c r="B4" s="83">
        <f>floors!$C$2</f>
        <v>60010</v>
      </c>
      <c r="C4" s="84" t="str">
        <f ca="1">VLOOKUP($B4,OFFSET([2]quests!$A$1,0,0,COUNTA([2]quests!$A:$A),MATCH(C$1,[2]quests!$1:$1,0)-MATCH($B$1,[2]quests!$1:$1,0)+1),MATCH(C$1,[2]quests!$1:$1,0)-MATCH($B$1,[2]quests!$1:$1,0)+1,FALSE)</f>
        <v>ラグランジュチャレンジ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ランキング2（ラグランジュ）</v>
      </c>
      <c r="E4" s="88" t="s">
        <v>221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203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218</v>
      </c>
    </row>
    <row r="5" spans="1:13" x14ac:dyDescent="0.15">
      <c r="A5" s="82" t="s">
        <v>206</v>
      </c>
      <c r="B5" s="83">
        <f>floors!$C$2</f>
        <v>60010</v>
      </c>
      <c r="C5" s="84" t="str">
        <f ca="1">VLOOKUP($B5,OFFSET([2]quests!$A$1,0,0,COUNTA([2]quests!$A:$A),MATCH(C$1,[2]quests!$1:$1,0)-MATCH($B$1,[2]quests!$1:$1,0)+1),MATCH(C$1,[2]quests!$1:$1,0)-MATCH($B$1,[2]quests!$1:$1,0)+1,FALSE)</f>
        <v>ラグランジュチャレンジ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ランキング2（ラグランジュ）</v>
      </c>
      <c r="E5" s="88" t="s">
        <v>221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203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218</v>
      </c>
    </row>
    <row r="6" spans="1:13" x14ac:dyDescent="0.15">
      <c r="A6" s="82" t="s">
        <v>206</v>
      </c>
      <c r="B6" s="83">
        <f>floors!$C$2</f>
        <v>60010</v>
      </c>
      <c r="C6" s="84" t="str">
        <f ca="1">VLOOKUP($B6,OFFSET([2]quests!$A$1,0,0,COUNTA([2]quests!$A:$A),MATCH(C$1,[2]quests!$1:$1,0)-MATCH($B$1,[2]quests!$1:$1,0)+1),MATCH(C$1,[2]quests!$1:$1,0)-MATCH($B$1,[2]quests!$1:$1,0)+1,FALSE)</f>
        <v>ラグランジュチャレンジ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ランキング2（ラグランジュ）</v>
      </c>
      <c r="E6" s="88" t="s">
        <v>221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203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218</v>
      </c>
    </row>
    <row r="7" spans="1:13" x14ac:dyDescent="0.15">
      <c r="A7" s="82" t="s">
        <v>206</v>
      </c>
      <c r="B7" s="83">
        <f>floors!$C$2</f>
        <v>60010</v>
      </c>
      <c r="C7" s="84" t="str">
        <f ca="1">VLOOKUP($B7,OFFSET([2]quests!$A$1,0,0,COUNTA([2]quests!$A:$A),MATCH(C$1,[2]quests!$1:$1,0)-MATCH($B$1,[2]quests!$1:$1,0)+1),MATCH(C$1,[2]quests!$1:$1,0)-MATCH($B$1,[2]quests!$1:$1,0)+1,FALSE)</f>
        <v>ラグランジュチャレンジ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ランキング2（ラグランジュ）</v>
      </c>
      <c r="E7" s="88" t="s">
        <v>221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203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218</v>
      </c>
    </row>
    <row r="8" spans="1:13" x14ac:dyDescent="0.15">
      <c r="A8" s="82" t="s">
        <v>206</v>
      </c>
      <c r="B8" s="83">
        <f>floors!$C$2</f>
        <v>60010</v>
      </c>
      <c r="C8" s="84" t="str">
        <f ca="1">VLOOKUP($B8,OFFSET([2]quests!$A$1,0,0,COUNTA([2]quests!$A:$A),MATCH(C$1,[2]quests!$1:$1,0)-MATCH($B$1,[2]quests!$1:$1,0)+1),MATCH(C$1,[2]quests!$1:$1,0)-MATCH($B$1,[2]quests!$1:$1,0)+1,FALSE)</f>
        <v>ラグランジュチャレンジ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ランキング2（ラグランジュ）</v>
      </c>
      <c r="E8" s="88" t="s">
        <v>221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203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218</v>
      </c>
    </row>
    <row r="9" spans="1:13" x14ac:dyDescent="0.15">
      <c r="A9" s="82" t="s">
        <v>206</v>
      </c>
      <c r="B9" s="83">
        <f>floors!$C$2</f>
        <v>60010</v>
      </c>
      <c r="C9" s="84" t="str">
        <f ca="1">VLOOKUP($B9,OFFSET([2]quests!$A$1,0,0,COUNTA([2]quests!$A:$A),MATCH(C$1,[2]quests!$1:$1,0)-MATCH($B$1,[2]quests!$1:$1,0)+1),MATCH(C$1,[2]quests!$1:$1,0)-MATCH($B$1,[2]quests!$1:$1,0)+1,FALSE)</f>
        <v>ラグランジュチャレンジ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ランキング2（ラグランジュ）</v>
      </c>
      <c r="E9" s="88" t="s">
        <v>221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203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218</v>
      </c>
    </row>
    <row r="10" spans="1:13" x14ac:dyDescent="0.15">
      <c r="A10" s="82" t="s">
        <v>206</v>
      </c>
      <c r="B10" s="83">
        <f>floors!$C$2</f>
        <v>60010</v>
      </c>
      <c r="C10" s="84" t="str">
        <f ca="1">VLOOKUP($B10,OFFSET([2]quests!$A$1,0,0,COUNTA([2]quests!$A:$A),MATCH(C$1,[2]quests!$1:$1,0)-MATCH($B$1,[2]quests!$1:$1,0)+1),MATCH(C$1,[2]quests!$1:$1,0)-MATCH($B$1,[2]quests!$1:$1,0)+1,FALSE)</f>
        <v>ラグランジュチャレンジ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ランキング2（ラグランジュ）</v>
      </c>
      <c r="E10" s="88" t="s">
        <v>221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203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218</v>
      </c>
    </row>
    <row r="11" spans="1:13" x14ac:dyDescent="0.15">
      <c r="A11" s="82" t="s">
        <v>206</v>
      </c>
      <c r="B11" s="83">
        <f>floors!$C$2</f>
        <v>60010</v>
      </c>
      <c r="C11" s="84" t="str">
        <f ca="1">VLOOKUP($B11,OFFSET([2]quests!$A$1,0,0,COUNTA([2]quests!$A:$A),MATCH(C$1,[2]quests!$1:$1,0)-MATCH($B$1,[2]quests!$1:$1,0)+1),MATCH(C$1,[2]quests!$1:$1,0)-MATCH($B$1,[2]quests!$1:$1,0)+1,FALSE)</f>
        <v>ラグランジュチャレンジ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ランキング2（ラグランジュ）</v>
      </c>
      <c r="E11" s="88" t="s">
        <v>221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203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218</v>
      </c>
    </row>
    <row r="12" spans="1:13" x14ac:dyDescent="0.15">
      <c r="A12" s="82" t="s">
        <v>206</v>
      </c>
      <c r="B12" s="83">
        <f>floors!$C$2</f>
        <v>60010</v>
      </c>
      <c r="C12" s="84" t="str">
        <f ca="1">VLOOKUP($B12,OFFSET([2]quests!$A$1,0,0,COUNTA([2]quests!$A:$A),MATCH(C$1,[2]quests!$1:$1,0)-MATCH($B$1,[2]quests!$1:$1,0)+1),MATCH(C$1,[2]quests!$1:$1,0)-MATCH($B$1,[2]quests!$1:$1,0)+1,FALSE)</f>
        <v>ラグランジュチャレンジ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ランキング2（ラグランジュ）</v>
      </c>
      <c r="E12" s="88" t="s">
        <v>221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203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218</v>
      </c>
    </row>
    <row r="13" spans="1:13" x14ac:dyDescent="0.15">
      <c r="A13" s="82" t="s">
        <v>206</v>
      </c>
      <c r="B13" s="83">
        <f>floors!$C$2</f>
        <v>60010</v>
      </c>
      <c r="C13" s="84" t="str">
        <f ca="1">VLOOKUP($B13,OFFSET([2]quests!$A$1,0,0,COUNTA([2]quests!$A:$A),MATCH(C$1,[2]quests!$1:$1,0)-MATCH($B$1,[2]quests!$1:$1,0)+1),MATCH(C$1,[2]quests!$1:$1,0)-MATCH($B$1,[2]quests!$1:$1,0)+1,FALSE)</f>
        <v>ラグランジュチャレンジ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ランキング2（ラグランジュ）</v>
      </c>
      <c r="E13" s="88" t="s">
        <v>221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203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218</v>
      </c>
    </row>
    <row r="14" spans="1:13" x14ac:dyDescent="0.15">
      <c r="A14" s="82" t="s">
        <v>206</v>
      </c>
      <c r="B14" s="83">
        <f>floors!$C$2</f>
        <v>60010</v>
      </c>
      <c r="C14" s="84" t="str">
        <f ca="1">VLOOKUP($B14,OFFSET([2]quests!$A$1,0,0,COUNTA([2]quests!$A:$A),MATCH(C$1,[2]quests!$1:$1,0)-MATCH($B$1,[2]quests!$1:$1,0)+1),MATCH(C$1,[2]quests!$1:$1,0)-MATCH($B$1,[2]quests!$1:$1,0)+1,FALSE)</f>
        <v>ラグランジュチャレンジ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ランキング2（ラグランジュ）</v>
      </c>
      <c r="E14" s="88" t="s">
        <v>221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203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218</v>
      </c>
    </row>
    <row r="15" spans="1:13" x14ac:dyDescent="0.15">
      <c r="A15" s="82" t="s">
        <v>206</v>
      </c>
      <c r="B15" s="83">
        <f>floors!$C$2</f>
        <v>60010</v>
      </c>
      <c r="C15" s="84" t="str">
        <f ca="1">VLOOKUP($B15,OFFSET([2]quests!$A$1,0,0,COUNTA([2]quests!$A:$A),MATCH(C$1,[2]quests!$1:$1,0)-MATCH($B$1,[2]quests!$1:$1,0)+1),MATCH(C$1,[2]quests!$1:$1,0)-MATCH($B$1,[2]quests!$1:$1,0)+1,FALSE)</f>
        <v>ラグランジュチャレンジ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ランキング2（ラグランジュ）</v>
      </c>
      <c r="E15" s="88" t="s">
        <v>221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203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218</v>
      </c>
    </row>
    <row r="16" spans="1:13" x14ac:dyDescent="0.15">
      <c r="A16" s="82" t="s">
        <v>206</v>
      </c>
      <c r="B16" s="83">
        <f>floors!$C$2</f>
        <v>60010</v>
      </c>
      <c r="C16" s="84" t="str">
        <f ca="1">VLOOKUP($B16,OFFSET([2]quests!$A$1,0,0,COUNTA([2]quests!$A:$A),MATCH(C$1,[2]quests!$1:$1,0)-MATCH($B$1,[2]quests!$1:$1,0)+1),MATCH(C$1,[2]quests!$1:$1,0)-MATCH($B$1,[2]quests!$1:$1,0)+1,FALSE)</f>
        <v>ラグランジュチャレンジ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ランキング2（ラグランジュ）</v>
      </c>
      <c r="E16" s="88" t="s">
        <v>221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203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218</v>
      </c>
    </row>
    <row r="17" spans="1:13" x14ac:dyDescent="0.15">
      <c r="A17" s="82" t="s">
        <v>206</v>
      </c>
      <c r="B17" s="83">
        <f>floors!$C$2</f>
        <v>60010</v>
      </c>
      <c r="C17" s="84" t="str">
        <f ca="1">VLOOKUP($B17,OFFSET([2]quests!$A$1,0,0,COUNTA([2]quests!$A:$A),MATCH(C$1,[2]quests!$1:$1,0)-MATCH($B$1,[2]quests!$1:$1,0)+1),MATCH(C$1,[2]quests!$1:$1,0)-MATCH($B$1,[2]quests!$1:$1,0)+1,FALSE)</f>
        <v>ラグランジュチャレンジ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ランキング2（ラグランジュ）</v>
      </c>
      <c r="E17" s="88" t="s">
        <v>221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203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218</v>
      </c>
    </row>
    <row r="18" spans="1:13" x14ac:dyDescent="0.15">
      <c r="A18" s="82" t="s">
        <v>206</v>
      </c>
      <c r="B18" s="83">
        <f>floors!$C$2</f>
        <v>60010</v>
      </c>
      <c r="C18" s="84" t="str">
        <f ca="1">VLOOKUP($B18,OFFSET([2]quests!$A$1,0,0,COUNTA([2]quests!$A:$A),MATCH(C$1,[2]quests!$1:$1,0)-MATCH($B$1,[2]quests!$1:$1,0)+1),MATCH(C$1,[2]quests!$1:$1,0)-MATCH($B$1,[2]quests!$1:$1,0)+1,FALSE)</f>
        <v>ラグランジュチャレンジ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ランキング2（ラグランジュ）</v>
      </c>
      <c r="E18" s="88" t="s">
        <v>221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203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218</v>
      </c>
    </row>
    <row r="19" spans="1:13" x14ac:dyDescent="0.15">
      <c r="A19" s="82" t="s">
        <v>206</v>
      </c>
      <c r="B19" s="83">
        <f>floors!$C$2</f>
        <v>60010</v>
      </c>
      <c r="C19" s="84" t="str">
        <f ca="1">VLOOKUP($B19,OFFSET([2]quests!$A$1,0,0,COUNTA([2]quests!$A:$A),MATCH(C$1,[2]quests!$1:$1,0)-MATCH($B$1,[2]quests!$1:$1,0)+1),MATCH(C$1,[2]quests!$1:$1,0)-MATCH($B$1,[2]quests!$1:$1,0)+1,FALSE)</f>
        <v>ラグランジュチャレンジ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ランキング2（ラグランジュ）</v>
      </c>
      <c r="E19" s="88" t="s">
        <v>221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203</v>
      </c>
      <c r="K19" s="95" t="str">
        <f>VLOOKUP(I19,[7]stage_hints!$A:$C,3,FALSE)</f>
        <v>ソロ専用チャレンジタワー</v>
      </c>
      <c r="L19" s="96" t="str">
        <f>VLOOKUP(I19,[7]stage_hints!$A:$D,4,FALSE)</f>
        <v>ソロ専用の「チャレンジタワー」では_x000D_各フロアごとにクリア報酬がもらえます</v>
      </c>
      <c r="M19" s="57" t="s">
        <v>218</v>
      </c>
    </row>
    <row r="20" spans="1:13" x14ac:dyDescent="0.15">
      <c r="A20" s="82" t="s">
        <v>206</v>
      </c>
      <c r="B20" s="83">
        <f>floors!$C$2</f>
        <v>60010</v>
      </c>
      <c r="C20" s="84" t="str">
        <f ca="1">VLOOKUP($B20,OFFSET([2]quests!$A$1,0,0,COUNTA([2]quests!$A:$A),MATCH(C$1,[2]quests!$1:$1,0)-MATCH($B$1,[2]quests!$1:$1,0)+1),MATCH(C$1,[2]quests!$1:$1,0)-MATCH($B$1,[2]quests!$1:$1,0)+1,FALSE)</f>
        <v>ラグランジュチャレンジ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ランキング2（ラグランジュ）</v>
      </c>
      <c r="E20" s="88" t="s">
        <v>221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203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218</v>
      </c>
    </row>
    <row r="21" spans="1:13" x14ac:dyDescent="0.15">
      <c r="A21" s="82" t="s">
        <v>206</v>
      </c>
      <c r="B21" s="83">
        <f>floors!$C$2</f>
        <v>60010</v>
      </c>
      <c r="C21" s="84" t="str">
        <f ca="1">VLOOKUP($B21,OFFSET([2]quests!$A$1,0,0,COUNTA([2]quests!$A:$A),MATCH(C$1,[2]quests!$1:$1,0)-MATCH($B$1,[2]quests!$1:$1,0)+1),MATCH(C$1,[2]quests!$1:$1,0)-MATCH($B$1,[2]quests!$1:$1,0)+1,FALSE)</f>
        <v>ラグランジュチャレンジ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ランキング2（ラグランジュ）</v>
      </c>
      <c r="E21" s="88" t="s">
        <v>221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203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218</v>
      </c>
    </row>
    <row r="22" spans="1:13" x14ac:dyDescent="0.15">
      <c r="A22" s="82" t="s">
        <v>206</v>
      </c>
      <c r="B22" s="83">
        <f>floors!$C$2</f>
        <v>60010</v>
      </c>
      <c r="C22" s="84" t="str">
        <f ca="1">VLOOKUP($B22,OFFSET([2]quests!$A$1,0,0,COUNTA([2]quests!$A:$A),MATCH(C$1,[2]quests!$1:$1,0)-MATCH($B$1,[2]quests!$1:$1,0)+1),MATCH(C$1,[2]quests!$1:$1,0)-MATCH($B$1,[2]quests!$1:$1,0)+1,FALSE)</f>
        <v>ラグランジュチャレンジ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ランキング2（ラグランジュ）</v>
      </c>
      <c r="E22" s="88" t="s">
        <v>221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203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218</v>
      </c>
    </row>
    <row r="23" spans="1:13" x14ac:dyDescent="0.15">
      <c r="A23" s="82" t="s">
        <v>206</v>
      </c>
      <c r="B23" s="83">
        <f>floors!$C$2</f>
        <v>60010</v>
      </c>
      <c r="C23" s="84" t="str">
        <f ca="1">VLOOKUP($B23,OFFSET([2]quests!$A$1,0,0,COUNTA([2]quests!$A:$A),MATCH(C$1,[2]quests!$1:$1,0)-MATCH($B$1,[2]quests!$1:$1,0)+1),MATCH(C$1,[2]quests!$1:$1,0)-MATCH($B$1,[2]quests!$1:$1,0)+1,FALSE)</f>
        <v>ラグランジュチャレンジ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ランキング2（ラグランジュ）</v>
      </c>
      <c r="E23" s="88" t="s">
        <v>221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203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218</v>
      </c>
    </row>
    <row r="24" spans="1:13" x14ac:dyDescent="0.15">
      <c r="A24" s="82" t="s">
        <v>206</v>
      </c>
      <c r="B24" s="83">
        <f>floors!$C$2</f>
        <v>60010</v>
      </c>
      <c r="C24" s="84" t="str">
        <f ca="1">VLOOKUP($B24,OFFSET([2]quests!$A$1,0,0,COUNTA([2]quests!$A:$A),MATCH(C$1,[2]quests!$1:$1,0)-MATCH($B$1,[2]quests!$1:$1,0)+1),MATCH(C$1,[2]quests!$1:$1,0)-MATCH($B$1,[2]quests!$1:$1,0)+1,FALSE)</f>
        <v>ラグランジュチャレンジ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ランキング2（ラグランジュ）</v>
      </c>
      <c r="E24" s="88" t="s">
        <v>221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203</v>
      </c>
      <c r="K24" s="95" t="str">
        <f>VLOOKUP(I24,[7]stage_hints!$A:$C,3,FALSE)</f>
        <v>りんごを使って限界突破</v>
      </c>
      <c r="L24" s="96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218</v>
      </c>
    </row>
    <row r="25" spans="1:13" x14ac:dyDescent="0.15">
      <c r="A25" s="82" t="s">
        <v>206</v>
      </c>
      <c r="B25" s="83">
        <f>floors!$C$2</f>
        <v>60010</v>
      </c>
      <c r="C25" s="84" t="str">
        <f ca="1">VLOOKUP($B25,OFFSET([2]quests!$A$1,0,0,COUNTA([2]quests!$A:$A),MATCH(C$1,[2]quests!$1:$1,0)-MATCH($B$1,[2]quests!$1:$1,0)+1),MATCH(C$1,[2]quests!$1:$1,0)-MATCH($B$1,[2]quests!$1:$1,0)+1,FALSE)</f>
        <v>ラグランジュチャレンジ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ランキング2（ラグランジュ）</v>
      </c>
      <c r="E25" s="88" t="s">
        <v>221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203</v>
      </c>
      <c r="K25" s="95" t="str">
        <f>VLOOKUP(I25,[7]stage_hints!$A:$C,3,FALSE)</f>
        <v>スキルレベルアップ</v>
      </c>
      <c r="L25" s="96" t="str">
        <f>VLOOKUP(I25,[7]stage_hints!$A:$D,4,FALSE)</f>
        <v>「クリスタルのりんご」を強化に使うと_x000D_スキルレベルを上げることができます</v>
      </c>
      <c r="M25" s="57" t="s">
        <v>218</v>
      </c>
    </row>
    <row r="26" spans="1:13" x14ac:dyDescent="0.15">
      <c r="A26" s="82" t="s">
        <v>206</v>
      </c>
      <c r="B26" s="83">
        <f>floors!$C$2</f>
        <v>60010</v>
      </c>
      <c r="C26" s="84" t="str">
        <f ca="1">VLOOKUP($B26,OFFSET([2]quests!$A$1,0,0,COUNTA([2]quests!$A:$A),MATCH(C$1,[2]quests!$1:$1,0)-MATCH($B$1,[2]quests!$1:$1,0)+1),MATCH(C$1,[2]quests!$1:$1,0)-MATCH($B$1,[2]quests!$1:$1,0)+1,FALSE)</f>
        <v>ラグランジュチャレンジ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ランキング2（ラグランジュ）</v>
      </c>
      <c r="E26" s="88" t="s">
        <v>221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203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218</v>
      </c>
    </row>
    <row r="27" spans="1:13" x14ac:dyDescent="0.15">
      <c r="A27" s="82" t="s">
        <v>206</v>
      </c>
      <c r="B27" s="83">
        <f>floors!$C$2</f>
        <v>60010</v>
      </c>
      <c r="C27" s="84" t="str">
        <f ca="1">VLOOKUP($B27,OFFSET([2]quests!$A$1,0,0,COUNTA([2]quests!$A:$A),MATCH(C$1,[2]quests!$1:$1,0)-MATCH($B$1,[2]quests!$1:$1,0)+1),MATCH(C$1,[2]quests!$1:$1,0)-MATCH($B$1,[2]quests!$1:$1,0)+1,FALSE)</f>
        <v>ラグランジュチャレンジ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ランキング2（ラグランジュ）</v>
      </c>
      <c r="E27" s="88" t="s">
        <v>221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203</v>
      </c>
      <c r="K27" s="95" t="str">
        <f>VLOOKUP(I27,[7]stage_hints!$A:$C,3,FALSE)</f>
        <v>システム適合者を確認</v>
      </c>
      <c r="L27" s="96" t="str">
        <f>VLOOKUP(I27,[7]stage_hints!$A:$D,4,FALSE)</f>
        <v>ALICEが「アナタ」を呼んでいます</v>
      </c>
      <c r="M27" s="57" t="s">
        <v>218</v>
      </c>
    </row>
    <row r="28" spans="1:13" x14ac:dyDescent="0.15">
      <c r="A28" s="82" t="s">
        <v>206</v>
      </c>
      <c r="B28" s="83">
        <f>floors!$C$2</f>
        <v>60010</v>
      </c>
      <c r="C28" s="84" t="str">
        <f ca="1">VLOOKUP($B28,OFFSET([2]quests!$A$1,0,0,COUNTA([2]quests!$A:$A),MATCH(C$1,[2]quests!$1:$1,0)-MATCH($B$1,[2]quests!$1:$1,0)+1),MATCH(C$1,[2]quests!$1:$1,0)-MATCH($B$1,[2]quests!$1:$1,0)+1,FALSE)</f>
        <v>ラグランジュチャレンジ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ランキング2（ラグランジュ）</v>
      </c>
      <c r="E28" s="88" t="s">
        <v>222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203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218</v>
      </c>
    </row>
    <row r="29" spans="1:13" x14ac:dyDescent="0.15">
      <c r="A29" s="82" t="s">
        <v>206</v>
      </c>
      <c r="B29" s="83">
        <f>floors!$C$2</f>
        <v>60010</v>
      </c>
      <c r="C29" s="84" t="str">
        <f ca="1">VLOOKUP($B29,OFFSET([2]quests!$A$1,0,0,COUNTA([2]quests!$A:$A),MATCH(C$1,[2]quests!$1:$1,0)-MATCH($B$1,[2]quests!$1:$1,0)+1),MATCH(C$1,[2]quests!$1:$1,0)-MATCH($B$1,[2]quests!$1:$1,0)+1,FALSE)</f>
        <v>ラグランジュチャレンジ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ランキング2（ラグランジュ）</v>
      </c>
      <c r="E29" s="88" t="s">
        <v>222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203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218</v>
      </c>
    </row>
    <row r="30" spans="1:13" x14ac:dyDescent="0.15">
      <c r="A30" s="82" t="s">
        <v>206</v>
      </c>
      <c r="B30" s="83">
        <f>floors!$C$2</f>
        <v>60010</v>
      </c>
      <c r="C30" s="84" t="str">
        <f ca="1">VLOOKUP($B30,OFFSET([2]quests!$A$1,0,0,COUNTA([2]quests!$A:$A),MATCH(C$1,[2]quests!$1:$1,0)-MATCH($B$1,[2]quests!$1:$1,0)+1),MATCH(C$1,[2]quests!$1:$1,0)-MATCH($B$1,[2]quests!$1:$1,0)+1,FALSE)</f>
        <v>ラグランジュチャレンジ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ランキング2（ラグランジュ）</v>
      </c>
      <c r="E30" s="88" t="s">
        <v>222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203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218</v>
      </c>
    </row>
    <row r="31" spans="1:13" x14ac:dyDescent="0.15">
      <c r="A31" s="82" t="s">
        <v>206</v>
      </c>
      <c r="B31" s="83">
        <f>floors!$C$2</f>
        <v>60010</v>
      </c>
      <c r="C31" s="84" t="str">
        <f ca="1">VLOOKUP($B31,OFFSET([2]quests!$A$1,0,0,COUNTA([2]quests!$A:$A),MATCH(C$1,[2]quests!$1:$1,0)-MATCH($B$1,[2]quests!$1:$1,0)+1),MATCH(C$1,[2]quests!$1:$1,0)-MATCH($B$1,[2]quests!$1:$1,0)+1,FALSE)</f>
        <v>ラグランジュチャレンジ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ランキング2（ラグランジュ）</v>
      </c>
      <c r="E31" s="88" t="s">
        <v>222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203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218</v>
      </c>
    </row>
    <row r="32" spans="1:13" x14ac:dyDescent="0.15">
      <c r="A32" s="82" t="s">
        <v>206</v>
      </c>
      <c r="B32" s="83">
        <f>floors!$C$2</f>
        <v>60010</v>
      </c>
      <c r="C32" s="84" t="str">
        <f ca="1">VLOOKUP($B32,OFFSET([2]quests!$A$1,0,0,COUNTA([2]quests!$A:$A),MATCH(C$1,[2]quests!$1:$1,0)-MATCH($B$1,[2]quests!$1:$1,0)+1),MATCH(C$1,[2]quests!$1:$1,0)-MATCH($B$1,[2]quests!$1:$1,0)+1,FALSE)</f>
        <v>ラグランジュチャレンジ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ランキング2（ラグランジュ）</v>
      </c>
      <c r="E32" s="88" t="s">
        <v>222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203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218</v>
      </c>
    </row>
    <row r="33" spans="1:13" x14ac:dyDescent="0.15">
      <c r="A33" s="82" t="s">
        <v>206</v>
      </c>
      <c r="B33" s="83">
        <f>floors!$C$2</f>
        <v>60010</v>
      </c>
      <c r="C33" s="84" t="str">
        <f ca="1">VLOOKUP($B33,OFFSET([2]quests!$A$1,0,0,COUNTA([2]quests!$A:$A),MATCH(C$1,[2]quests!$1:$1,0)-MATCH($B$1,[2]quests!$1:$1,0)+1),MATCH(C$1,[2]quests!$1:$1,0)-MATCH($B$1,[2]quests!$1:$1,0)+1,FALSE)</f>
        <v>ラグランジュチャレンジ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ランキング2（ラグランジュ）</v>
      </c>
      <c r="E33" s="88" t="s">
        <v>222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203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218</v>
      </c>
    </row>
    <row r="34" spans="1:13" x14ac:dyDescent="0.15">
      <c r="A34" s="82" t="s">
        <v>206</v>
      </c>
      <c r="B34" s="83">
        <f>floors!$C$2</f>
        <v>60010</v>
      </c>
      <c r="C34" s="84" t="str">
        <f ca="1">VLOOKUP($B34,OFFSET([2]quests!$A$1,0,0,COUNTA([2]quests!$A:$A),MATCH(C$1,[2]quests!$1:$1,0)-MATCH($B$1,[2]quests!$1:$1,0)+1),MATCH(C$1,[2]quests!$1:$1,0)-MATCH($B$1,[2]quests!$1:$1,0)+1,FALSE)</f>
        <v>ラグランジュチャレンジ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ランキング2（ラグランジュ）</v>
      </c>
      <c r="E34" s="88" t="s">
        <v>222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203</v>
      </c>
      <c r="K34" s="95" t="str">
        <f>VLOOKUP(I34,[7]stage_hints!$A:$C,3,FALSE)</f>
        <v>ランク解放クエスト</v>
      </c>
      <c r="L34" s="96" t="str">
        <f>VLOOKUP(I34,[7]stage_hints!$A:$D,4,FALSE)</f>
        <v>一定ランクに到達すると_x000D_報酬付きのランク開放クエストが現れます</v>
      </c>
      <c r="M34" s="57" t="s">
        <v>218</v>
      </c>
    </row>
    <row r="35" spans="1:13" x14ac:dyDescent="0.15">
      <c r="A35" s="82" t="s">
        <v>206</v>
      </c>
      <c r="B35" s="83">
        <f>floors!$C$2</f>
        <v>60010</v>
      </c>
      <c r="C35" s="84" t="str">
        <f ca="1">VLOOKUP($B35,OFFSET([2]quests!$A$1,0,0,COUNTA([2]quests!$A:$A),MATCH(C$1,[2]quests!$1:$1,0)-MATCH($B$1,[2]quests!$1:$1,0)+1),MATCH(C$1,[2]quests!$1:$1,0)-MATCH($B$1,[2]quests!$1:$1,0)+1,FALSE)</f>
        <v>ラグランジュチャレンジ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ランキング2（ラグランジュ）</v>
      </c>
      <c r="E35" s="88" t="s">
        <v>222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203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218</v>
      </c>
    </row>
    <row r="36" spans="1:13" x14ac:dyDescent="0.15">
      <c r="A36" s="82" t="s">
        <v>206</v>
      </c>
      <c r="B36" s="83">
        <f>floors!$C$2</f>
        <v>60010</v>
      </c>
      <c r="C36" s="84" t="str">
        <f ca="1">VLOOKUP($B36,OFFSET([2]quests!$A$1,0,0,COUNTA([2]quests!$A:$A),MATCH(C$1,[2]quests!$1:$1,0)-MATCH($B$1,[2]quests!$1:$1,0)+1),MATCH(C$1,[2]quests!$1:$1,0)-MATCH($B$1,[2]quests!$1:$1,0)+1,FALSE)</f>
        <v>ラグランジュチャレンジ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ランキング2（ラグランジュ）</v>
      </c>
      <c r="E36" s="88" t="s">
        <v>222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203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218</v>
      </c>
    </row>
    <row r="37" spans="1:13" x14ac:dyDescent="0.15">
      <c r="A37" s="82" t="s">
        <v>206</v>
      </c>
      <c r="B37" s="83">
        <f>floors!$C$2</f>
        <v>60010</v>
      </c>
      <c r="C37" s="84" t="str">
        <f ca="1">VLOOKUP($B37,OFFSET([2]quests!$A$1,0,0,COUNTA([2]quests!$A:$A),MATCH(C$1,[2]quests!$1:$1,0)-MATCH($B$1,[2]quests!$1:$1,0)+1),MATCH(C$1,[2]quests!$1:$1,0)-MATCH($B$1,[2]quests!$1:$1,0)+1,FALSE)</f>
        <v>ラグランジュチャレンジ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ランキング2（ラグランジュ）</v>
      </c>
      <c r="E37" s="88" t="s">
        <v>222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203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218</v>
      </c>
    </row>
    <row r="38" spans="1:13" x14ac:dyDescent="0.15">
      <c r="A38" s="82" t="s">
        <v>206</v>
      </c>
      <c r="B38" s="83">
        <f>floors!$C$2</f>
        <v>60010</v>
      </c>
      <c r="C38" s="84" t="str">
        <f ca="1">VLOOKUP($B38,OFFSET([2]quests!$A$1,0,0,COUNTA([2]quests!$A:$A),MATCH(C$1,[2]quests!$1:$1,0)-MATCH($B$1,[2]quests!$1:$1,0)+1),MATCH(C$1,[2]quests!$1:$1,0)-MATCH($B$1,[2]quests!$1:$1,0)+1,FALSE)</f>
        <v>ラグランジュチャレンジ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ランキング2（ラグランジュ）</v>
      </c>
      <c r="E38" s="88" t="s">
        <v>222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203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218</v>
      </c>
    </row>
    <row r="39" spans="1:13" x14ac:dyDescent="0.15">
      <c r="A39" s="82" t="s">
        <v>206</v>
      </c>
      <c r="B39" s="83">
        <f>floors!$C$2</f>
        <v>60010</v>
      </c>
      <c r="C39" s="84" t="str">
        <f ca="1">VLOOKUP($B39,OFFSET([2]quests!$A$1,0,0,COUNTA([2]quests!$A:$A),MATCH(C$1,[2]quests!$1:$1,0)-MATCH($B$1,[2]quests!$1:$1,0)+1),MATCH(C$1,[2]quests!$1:$1,0)-MATCH($B$1,[2]quests!$1:$1,0)+1,FALSE)</f>
        <v>ラグランジュチャレンジ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ランキング2（ラグランジュ）</v>
      </c>
      <c r="E39" s="88" t="s">
        <v>222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203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218</v>
      </c>
    </row>
    <row r="40" spans="1:13" x14ac:dyDescent="0.15">
      <c r="A40" s="82" t="s">
        <v>206</v>
      </c>
      <c r="B40" s="83">
        <f>floors!$C$2</f>
        <v>60010</v>
      </c>
      <c r="C40" s="84" t="str">
        <f ca="1">VLOOKUP($B40,OFFSET([2]quests!$A$1,0,0,COUNTA([2]quests!$A:$A),MATCH(C$1,[2]quests!$1:$1,0)-MATCH($B$1,[2]quests!$1:$1,0)+1),MATCH(C$1,[2]quests!$1:$1,0)-MATCH($B$1,[2]quests!$1:$1,0)+1,FALSE)</f>
        <v>ラグランジュチャレンジ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ランキング2（ラグランジュ）</v>
      </c>
      <c r="E40" s="88" t="s">
        <v>222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203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218</v>
      </c>
    </row>
    <row r="41" spans="1:13" x14ac:dyDescent="0.15">
      <c r="A41" s="82" t="s">
        <v>206</v>
      </c>
      <c r="B41" s="83">
        <f>floors!$C$2</f>
        <v>60010</v>
      </c>
      <c r="C41" s="84" t="str">
        <f ca="1">VLOOKUP($B41,OFFSET([2]quests!$A$1,0,0,COUNTA([2]quests!$A:$A),MATCH(C$1,[2]quests!$1:$1,0)-MATCH($B$1,[2]quests!$1:$1,0)+1),MATCH(C$1,[2]quests!$1:$1,0)-MATCH($B$1,[2]quests!$1:$1,0)+1,FALSE)</f>
        <v>ラグランジュチャレンジ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ランキング2（ラグランジュ）</v>
      </c>
      <c r="E41" s="88" t="s">
        <v>222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203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218</v>
      </c>
    </row>
    <row r="42" spans="1:13" x14ac:dyDescent="0.15">
      <c r="A42" s="82" t="s">
        <v>206</v>
      </c>
      <c r="B42" s="83">
        <f>floors!$C$2</f>
        <v>60010</v>
      </c>
      <c r="C42" s="84" t="str">
        <f ca="1">VLOOKUP($B42,OFFSET([2]quests!$A$1,0,0,COUNTA([2]quests!$A:$A),MATCH(C$1,[2]quests!$1:$1,0)-MATCH($B$1,[2]quests!$1:$1,0)+1),MATCH(C$1,[2]quests!$1:$1,0)-MATCH($B$1,[2]quests!$1:$1,0)+1,FALSE)</f>
        <v>ラグランジュチャレンジ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ランキング2（ラグランジュ）</v>
      </c>
      <c r="E42" s="88" t="s">
        <v>222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203</v>
      </c>
      <c r="K42" s="95" t="str">
        <f>VLOOKUP(I42,[7]stage_hints!$A:$C,3,FALSE)</f>
        <v>ソロ専用チャレンジタワー</v>
      </c>
      <c r="L42" s="96" t="str">
        <f>VLOOKUP(I42,[7]stage_hints!$A:$D,4,FALSE)</f>
        <v>ソロ専用の「チャレンジタワー」では_x000D_各フロアごとにクリア報酬がもらえます</v>
      </c>
      <c r="M42" s="57" t="s">
        <v>218</v>
      </c>
    </row>
    <row r="43" spans="1:13" x14ac:dyDescent="0.15">
      <c r="A43" s="82" t="s">
        <v>206</v>
      </c>
      <c r="B43" s="83">
        <f>floors!$C$2</f>
        <v>60010</v>
      </c>
      <c r="C43" s="84" t="str">
        <f ca="1">VLOOKUP($B43,OFFSET([2]quests!$A$1,0,0,COUNTA([2]quests!$A:$A),MATCH(C$1,[2]quests!$1:$1,0)-MATCH($B$1,[2]quests!$1:$1,0)+1),MATCH(C$1,[2]quests!$1:$1,0)-MATCH($B$1,[2]quests!$1:$1,0)+1,FALSE)</f>
        <v>ラグランジュチャレンジ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ランキング2（ラグランジュ）</v>
      </c>
      <c r="E43" s="88" t="s">
        <v>222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203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218</v>
      </c>
    </row>
    <row r="44" spans="1:13" x14ac:dyDescent="0.15">
      <c r="A44" s="82" t="s">
        <v>206</v>
      </c>
      <c r="B44" s="83">
        <f>floors!$C$2</f>
        <v>60010</v>
      </c>
      <c r="C44" s="84" t="str">
        <f ca="1">VLOOKUP($B44,OFFSET([2]quests!$A$1,0,0,COUNTA([2]quests!$A:$A),MATCH(C$1,[2]quests!$1:$1,0)-MATCH($B$1,[2]quests!$1:$1,0)+1),MATCH(C$1,[2]quests!$1:$1,0)-MATCH($B$1,[2]quests!$1:$1,0)+1,FALSE)</f>
        <v>ラグランジュチャレンジ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ランキング2（ラグランジュ）</v>
      </c>
      <c r="E44" s="88" t="s">
        <v>222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203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218</v>
      </c>
    </row>
    <row r="45" spans="1:13" x14ac:dyDescent="0.15">
      <c r="A45" s="82" t="s">
        <v>206</v>
      </c>
      <c r="B45" s="83">
        <f>floors!$C$2</f>
        <v>60010</v>
      </c>
      <c r="C45" s="84" t="str">
        <f ca="1">VLOOKUP($B45,OFFSET([2]quests!$A$1,0,0,COUNTA([2]quests!$A:$A),MATCH(C$1,[2]quests!$1:$1,0)-MATCH($B$1,[2]quests!$1:$1,0)+1),MATCH(C$1,[2]quests!$1:$1,0)-MATCH($B$1,[2]quests!$1:$1,0)+1,FALSE)</f>
        <v>ラグランジュチャレンジ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ランキング2（ラグランジュ）</v>
      </c>
      <c r="E45" s="88" t="s">
        <v>222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203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218</v>
      </c>
    </row>
    <row r="46" spans="1:13" x14ac:dyDescent="0.15">
      <c r="A46" s="82" t="s">
        <v>206</v>
      </c>
      <c r="B46" s="83">
        <f>floors!$C$2</f>
        <v>60010</v>
      </c>
      <c r="C46" s="84" t="str">
        <f ca="1">VLOOKUP($B46,OFFSET([2]quests!$A$1,0,0,COUNTA([2]quests!$A:$A),MATCH(C$1,[2]quests!$1:$1,0)-MATCH($B$1,[2]quests!$1:$1,0)+1),MATCH(C$1,[2]quests!$1:$1,0)-MATCH($B$1,[2]quests!$1:$1,0)+1,FALSE)</f>
        <v>ラグランジュチャレンジ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ランキング2（ラグランジュ）</v>
      </c>
      <c r="E46" s="88" t="s">
        <v>222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203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218</v>
      </c>
    </row>
    <row r="47" spans="1:13" x14ac:dyDescent="0.15">
      <c r="A47" s="82" t="s">
        <v>206</v>
      </c>
      <c r="B47" s="83">
        <f>floors!$C$2</f>
        <v>60010</v>
      </c>
      <c r="C47" s="84" t="str">
        <f ca="1">VLOOKUP($B47,OFFSET([2]quests!$A$1,0,0,COUNTA([2]quests!$A:$A),MATCH(C$1,[2]quests!$1:$1,0)-MATCH($B$1,[2]quests!$1:$1,0)+1),MATCH(C$1,[2]quests!$1:$1,0)-MATCH($B$1,[2]quests!$1:$1,0)+1,FALSE)</f>
        <v>ラグランジュチャレンジ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ランキング2（ラグランジュ）</v>
      </c>
      <c r="E47" s="88" t="s">
        <v>222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203</v>
      </c>
      <c r="K47" s="95" t="str">
        <f>VLOOKUP(I47,[7]stage_hints!$A:$C,3,FALSE)</f>
        <v>りんごを使って限界突破</v>
      </c>
      <c r="L47" s="96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218</v>
      </c>
    </row>
    <row r="48" spans="1:13" x14ac:dyDescent="0.15">
      <c r="A48" s="82" t="s">
        <v>206</v>
      </c>
      <c r="B48" s="83">
        <f>floors!$C$2</f>
        <v>60010</v>
      </c>
      <c r="C48" s="84" t="str">
        <f ca="1">VLOOKUP($B48,OFFSET([2]quests!$A$1,0,0,COUNTA([2]quests!$A:$A),MATCH(C$1,[2]quests!$1:$1,0)-MATCH($B$1,[2]quests!$1:$1,0)+1),MATCH(C$1,[2]quests!$1:$1,0)-MATCH($B$1,[2]quests!$1:$1,0)+1,FALSE)</f>
        <v>ラグランジュチャレンジ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ランキング2（ラグランジュ）</v>
      </c>
      <c r="E48" s="88" t="s">
        <v>222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203</v>
      </c>
      <c r="K48" s="95" t="str">
        <f>VLOOKUP(I48,[7]stage_hints!$A:$C,3,FALSE)</f>
        <v>スキルレベルアップ</v>
      </c>
      <c r="L48" s="96" t="str">
        <f>VLOOKUP(I48,[7]stage_hints!$A:$D,4,FALSE)</f>
        <v>「クリスタルのりんご」を強化に使うと_x000D_スキルレベルを上げることができます</v>
      </c>
      <c r="M48" s="57" t="s">
        <v>218</v>
      </c>
    </row>
    <row r="49" spans="1:13" x14ac:dyDescent="0.15">
      <c r="A49" s="82" t="s">
        <v>206</v>
      </c>
      <c r="B49" s="83">
        <f>floors!$C$2</f>
        <v>60010</v>
      </c>
      <c r="C49" s="84" t="str">
        <f ca="1">VLOOKUP($B49,OFFSET([2]quests!$A$1,0,0,COUNTA([2]quests!$A:$A),MATCH(C$1,[2]quests!$1:$1,0)-MATCH($B$1,[2]quests!$1:$1,0)+1),MATCH(C$1,[2]quests!$1:$1,0)-MATCH($B$1,[2]quests!$1:$1,0)+1,FALSE)</f>
        <v>ラグランジュチャレンジ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ランキング2（ラグランジュ）</v>
      </c>
      <c r="E49" s="88" t="s">
        <v>222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203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218</v>
      </c>
    </row>
    <row r="50" spans="1:13" x14ac:dyDescent="0.15">
      <c r="A50" s="82" t="s">
        <v>206</v>
      </c>
      <c r="B50" s="83">
        <f>floors!$C$2</f>
        <v>60010</v>
      </c>
      <c r="C50" s="84" t="str">
        <f ca="1">VLOOKUP($B50,OFFSET([2]quests!$A$1,0,0,COUNTA([2]quests!$A:$A),MATCH(C$1,[2]quests!$1:$1,0)-MATCH($B$1,[2]quests!$1:$1,0)+1),MATCH(C$1,[2]quests!$1:$1,0)-MATCH($B$1,[2]quests!$1:$1,0)+1,FALSE)</f>
        <v>ラグランジュチャレンジ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ランキング2（ラグランジュ）</v>
      </c>
      <c r="E50" s="88" t="s">
        <v>222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203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218</v>
      </c>
    </row>
    <row r="51" spans="1:13" x14ac:dyDescent="0.15">
      <c r="A51" s="82" t="s">
        <v>206</v>
      </c>
      <c r="B51" s="83">
        <f>floors!$C$2</f>
        <v>60010</v>
      </c>
      <c r="C51" s="84" t="str">
        <f ca="1">VLOOKUP($B51,OFFSET([2]quests!$A$1,0,0,COUNTA([2]quests!$A:$A),MATCH(C$1,[2]quests!$1:$1,0)-MATCH($B$1,[2]quests!$1:$1,0)+1),MATCH(C$1,[2]quests!$1:$1,0)-MATCH($B$1,[2]quests!$1:$1,0)+1,FALSE)</f>
        <v>ラグランジュチャレンジ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ランキング2（ラグランジュ）</v>
      </c>
      <c r="E51" s="88" t="s">
        <v>222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203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218</v>
      </c>
    </row>
    <row r="52" spans="1:13" x14ac:dyDescent="0.15">
      <c r="A52" s="82" t="s">
        <v>206</v>
      </c>
      <c r="B52" s="83">
        <f>floors!$C$2</f>
        <v>60010</v>
      </c>
      <c r="C52" s="84" t="str">
        <f ca="1">VLOOKUP($B52,OFFSET([2]quests!$A$1,0,0,COUNTA([2]quests!$A:$A),MATCH(C$1,[2]quests!$1:$1,0)-MATCH($B$1,[2]quests!$1:$1,0)+1),MATCH(C$1,[2]quests!$1:$1,0)-MATCH($B$1,[2]quests!$1:$1,0)+1,FALSE)</f>
        <v>ラグランジュチャレンジ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ランキング2（ラグランジュ）</v>
      </c>
      <c r="E52" s="88" t="s">
        <v>222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203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218</v>
      </c>
    </row>
    <row r="53" spans="1:13" x14ac:dyDescent="0.15">
      <c r="A53" s="82" t="s">
        <v>206</v>
      </c>
      <c r="B53" s="83">
        <f>floors!$C$2</f>
        <v>60010</v>
      </c>
      <c r="C53" s="84" t="str">
        <f ca="1">VLOOKUP($B53,OFFSET([2]quests!$A$1,0,0,COUNTA([2]quests!$A:$A),MATCH(C$1,[2]quests!$1:$1,0)-MATCH($B$1,[2]quests!$1:$1,0)+1),MATCH(C$1,[2]quests!$1:$1,0)-MATCH($B$1,[2]quests!$1:$1,0)+1,FALSE)</f>
        <v>ラグランジュチャレンジ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ランキング2（ラグランジュ）</v>
      </c>
      <c r="E53" s="88" t="s">
        <v>222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203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218</v>
      </c>
    </row>
    <row r="54" spans="1:13" x14ac:dyDescent="0.15">
      <c r="A54" s="82" t="s">
        <v>206</v>
      </c>
      <c r="B54" s="83">
        <f>floors!$C$2</f>
        <v>60010</v>
      </c>
      <c r="C54" s="84" t="str">
        <f ca="1">VLOOKUP($B54,OFFSET([2]quests!$A$1,0,0,COUNTA([2]quests!$A:$A),MATCH(C$1,[2]quests!$1:$1,0)-MATCH($B$1,[2]quests!$1:$1,0)+1),MATCH(C$1,[2]quests!$1:$1,0)-MATCH($B$1,[2]quests!$1:$1,0)+1,FALSE)</f>
        <v>ラグランジュチャレンジ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ランキング2（ラグランジュ）</v>
      </c>
      <c r="E54" s="88" t="s">
        <v>222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203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218</v>
      </c>
    </row>
    <row r="55" spans="1:13" x14ac:dyDescent="0.15">
      <c r="A55" s="82" t="s">
        <v>206</v>
      </c>
      <c r="B55" s="83">
        <f>floors!$C$2</f>
        <v>60010</v>
      </c>
      <c r="C55" s="84" t="str">
        <f ca="1">VLOOKUP($B55,OFFSET([2]quests!$A$1,0,0,COUNTA([2]quests!$A:$A),MATCH(C$1,[2]quests!$1:$1,0)-MATCH($B$1,[2]quests!$1:$1,0)+1),MATCH(C$1,[2]quests!$1:$1,0)-MATCH($B$1,[2]quests!$1:$1,0)+1,FALSE)</f>
        <v>ラグランジュチャレンジ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ランキング2（ラグランジュ）</v>
      </c>
      <c r="E55" s="88" t="s">
        <v>222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203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218</v>
      </c>
    </row>
    <row r="56" spans="1:13" x14ac:dyDescent="0.15">
      <c r="A56" s="82" t="s">
        <v>206</v>
      </c>
      <c r="B56" s="83">
        <f>floors!$C$2</f>
        <v>60010</v>
      </c>
      <c r="C56" s="84" t="str">
        <f ca="1">VLOOKUP($B56,OFFSET([2]quests!$A$1,0,0,COUNTA([2]quests!$A:$A),MATCH(C$1,[2]quests!$1:$1,0)-MATCH($B$1,[2]quests!$1:$1,0)+1),MATCH(C$1,[2]quests!$1:$1,0)-MATCH($B$1,[2]quests!$1:$1,0)+1,FALSE)</f>
        <v>ラグランジュチャレンジ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ランキング2（ラグランジュ）</v>
      </c>
      <c r="E56" s="88" t="s">
        <v>222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203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218</v>
      </c>
    </row>
    <row r="57" spans="1:13" x14ac:dyDescent="0.15">
      <c r="A57" s="82" t="s">
        <v>206</v>
      </c>
      <c r="B57" s="83">
        <f>floors!$C$2</f>
        <v>60010</v>
      </c>
      <c r="C57" s="84" t="str">
        <f ca="1">VLOOKUP($B57,OFFSET([2]quests!$A$1,0,0,COUNTA([2]quests!$A:$A),MATCH(C$1,[2]quests!$1:$1,0)-MATCH($B$1,[2]quests!$1:$1,0)+1),MATCH(C$1,[2]quests!$1:$1,0)-MATCH($B$1,[2]quests!$1:$1,0)+1,FALSE)</f>
        <v>ラグランジュチャレンジ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ランキング2（ラグランジュ）</v>
      </c>
      <c r="E57" s="88" t="s">
        <v>222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203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218</v>
      </c>
    </row>
    <row r="58" spans="1:13" x14ac:dyDescent="0.15">
      <c r="A58" s="82" t="s">
        <v>206</v>
      </c>
      <c r="B58" s="83">
        <f>floors!$C$2</f>
        <v>60010</v>
      </c>
      <c r="C58" s="84" t="str">
        <f ca="1">VLOOKUP($B58,OFFSET([2]quests!$A$1,0,0,COUNTA([2]quests!$A:$A),MATCH(C$1,[2]quests!$1:$1,0)-MATCH($B$1,[2]quests!$1:$1,0)+1),MATCH(C$1,[2]quests!$1:$1,0)-MATCH($B$1,[2]quests!$1:$1,0)+1,FALSE)</f>
        <v>ラグランジュチャレンジ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ランキング2（ラグランジュ）</v>
      </c>
      <c r="E58" s="88" t="s">
        <v>222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203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218</v>
      </c>
    </row>
    <row r="59" spans="1:13" x14ac:dyDescent="0.15">
      <c r="A59" s="82" t="s">
        <v>206</v>
      </c>
      <c r="B59" s="83">
        <f>floors!$C$2</f>
        <v>60010</v>
      </c>
      <c r="C59" s="84" t="str">
        <f ca="1">VLOOKUP($B59,OFFSET([2]quests!$A$1,0,0,COUNTA([2]quests!$A:$A),MATCH(C$1,[2]quests!$1:$1,0)-MATCH($B$1,[2]quests!$1:$1,0)+1),MATCH(C$1,[2]quests!$1:$1,0)-MATCH($B$1,[2]quests!$1:$1,0)+1,FALSE)</f>
        <v>ラグランジュチャレンジ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ランキング2（ラグランジュ）</v>
      </c>
      <c r="E59" s="88" t="s">
        <v>222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203</v>
      </c>
      <c r="K59" s="95" t="str">
        <f>VLOOKUP(I59,[7]stage_hints!$A:$C,3,FALSE)</f>
        <v>システム適合者を確認</v>
      </c>
      <c r="L59" s="96" t="str">
        <f>VLOOKUP(I59,[7]stage_hints!$A:$D,4,FALSE)</f>
        <v>ALICEが「アナタ」を呼んでいます</v>
      </c>
      <c r="M59" s="57" t="s">
        <v>218</v>
      </c>
    </row>
    <row r="60" spans="1:13" x14ac:dyDescent="0.15">
      <c r="A60" s="82" t="s">
        <v>206</v>
      </c>
      <c r="B60" s="83">
        <f>floors!$C$2</f>
        <v>60010</v>
      </c>
      <c r="C60" s="84" t="str">
        <f ca="1">VLOOKUP($B60,OFFSET([2]quests!$A$1,0,0,COUNTA([2]quests!$A:$A),MATCH(C$1,[2]quests!$1:$1,0)-MATCH($B$1,[2]quests!$1:$1,0)+1),MATCH(C$1,[2]quests!$1:$1,0)-MATCH($B$1,[2]quests!$1:$1,0)+1,FALSE)</f>
        <v>ラグランジュチャレンジ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ランキング2（ラグランジュ）</v>
      </c>
      <c r="E60" s="88" t="s">
        <v>223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9">
        <v>3</v>
      </c>
      <c r="J60" s="85" t="s">
        <v>203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218</v>
      </c>
    </row>
    <row r="61" spans="1:13" x14ac:dyDescent="0.15">
      <c r="A61" s="82" t="s">
        <v>206</v>
      </c>
      <c r="B61" s="83">
        <f>floors!$C$2</f>
        <v>60010</v>
      </c>
      <c r="C61" s="84" t="str">
        <f ca="1">VLOOKUP($B61,OFFSET([2]quests!$A$1,0,0,COUNTA([2]quests!$A:$A),MATCH(C$1,[2]quests!$1:$1,0)-MATCH($B$1,[2]quests!$1:$1,0)+1),MATCH(C$1,[2]quests!$1:$1,0)-MATCH($B$1,[2]quests!$1:$1,0)+1,FALSE)</f>
        <v>ラグランジュチャレンジ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ランキング2（ラグランジュ）</v>
      </c>
      <c r="E61" s="88" t="s">
        <v>223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9">
        <v>6</v>
      </c>
      <c r="J61" s="85" t="s">
        <v>203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218</v>
      </c>
    </row>
    <row r="62" spans="1:13" x14ac:dyDescent="0.15">
      <c r="A62" s="82" t="s">
        <v>206</v>
      </c>
      <c r="B62" s="83">
        <f>floors!$C$2</f>
        <v>60010</v>
      </c>
      <c r="C62" s="84" t="str">
        <f ca="1">VLOOKUP($B62,OFFSET([2]quests!$A$1,0,0,COUNTA([2]quests!$A:$A),MATCH(C$1,[2]quests!$1:$1,0)-MATCH($B$1,[2]quests!$1:$1,0)+1),MATCH(C$1,[2]quests!$1:$1,0)-MATCH($B$1,[2]quests!$1:$1,0)+1,FALSE)</f>
        <v>ラグランジュチャレンジ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ランキング2（ラグランジュ）</v>
      </c>
      <c r="E62" s="88" t="s">
        <v>223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9">
        <v>7</v>
      </c>
      <c r="J62" s="85" t="s">
        <v>203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218</v>
      </c>
    </row>
    <row r="63" spans="1:13" x14ac:dyDescent="0.15">
      <c r="A63" s="82" t="s">
        <v>206</v>
      </c>
      <c r="B63" s="83">
        <f>floors!$C$2</f>
        <v>60010</v>
      </c>
      <c r="C63" s="84" t="str">
        <f ca="1">VLOOKUP($B63,OFFSET([2]quests!$A$1,0,0,COUNTA([2]quests!$A:$A),MATCH(C$1,[2]quests!$1:$1,0)-MATCH($B$1,[2]quests!$1:$1,0)+1),MATCH(C$1,[2]quests!$1:$1,0)-MATCH($B$1,[2]quests!$1:$1,0)+1,FALSE)</f>
        <v>ラグランジュチャレンジ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ランキング2（ラグランジュ）</v>
      </c>
      <c r="E63" s="88" t="s">
        <v>223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9">
        <v>8</v>
      </c>
      <c r="J63" s="85" t="s">
        <v>203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218</v>
      </c>
    </row>
    <row r="64" spans="1:13" x14ac:dyDescent="0.15">
      <c r="A64" s="82" t="s">
        <v>206</v>
      </c>
      <c r="B64" s="83">
        <f>floors!$C$2</f>
        <v>60010</v>
      </c>
      <c r="C64" s="84" t="str">
        <f ca="1">VLOOKUP($B64,OFFSET([2]quests!$A$1,0,0,COUNTA([2]quests!$A:$A),MATCH(C$1,[2]quests!$1:$1,0)-MATCH($B$1,[2]quests!$1:$1,0)+1),MATCH(C$1,[2]quests!$1:$1,0)-MATCH($B$1,[2]quests!$1:$1,0)+1,FALSE)</f>
        <v>ラグランジュチャレンジ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ランキング2（ラグランジュ）</v>
      </c>
      <c r="E64" s="88" t="s">
        <v>223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9">
        <v>9</v>
      </c>
      <c r="J64" s="85" t="s">
        <v>203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218</v>
      </c>
    </row>
    <row r="65" spans="1:13" x14ac:dyDescent="0.15">
      <c r="A65" s="82" t="s">
        <v>206</v>
      </c>
      <c r="B65" s="83">
        <f>floors!$C$2</f>
        <v>60010</v>
      </c>
      <c r="C65" s="84" t="str">
        <f ca="1">VLOOKUP($B65,OFFSET([2]quests!$A$1,0,0,COUNTA([2]quests!$A:$A),MATCH(C$1,[2]quests!$1:$1,0)-MATCH($B$1,[2]quests!$1:$1,0)+1),MATCH(C$1,[2]quests!$1:$1,0)-MATCH($B$1,[2]quests!$1:$1,0)+1,FALSE)</f>
        <v>ラグランジュチャレンジ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ランキング2（ラグランジュ）</v>
      </c>
      <c r="E65" s="88" t="s">
        <v>223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9">
        <v>10</v>
      </c>
      <c r="J65" s="85" t="s">
        <v>203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218</v>
      </c>
    </row>
    <row r="66" spans="1:13" x14ac:dyDescent="0.15">
      <c r="A66" s="82" t="s">
        <v>206</v>
      </c>
      <c r="B66" s="83">
        <f>floors!$C$2</f>
        <v>60010</v>
      </c>
      <c r="C66" s="84" t="str">
        <f ca="1">VLOOKUP($B66,OFFSET([2]quests!$A$1,0,0,COUNTA([2]quests!$A:$A),MATCH(C$1,[2]quests!$1:$1,0)-MATCH($B$1,[2]quests!$1:$1,0)+1),MATCH(C$1,[2]quests!$1:$1,0)-MATCH($B$1,[2]quests!$1:$1,0)+1,FALSE)</f>
        <v>ラグランジュチャレンジ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ランキング2（ラグランジュ）</v>
      </c>
      <c r="E66" s="88" t="s">
        <v>223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9">
        <v>11</v>
      </c>
      <c r="J66" s="85" t="s">
        <v>203</v>
      </c>
      <c r="K66" s="95" t="str">
        <f>VLOOKUP(I66,[7]stage_hints!$A:$C,3,FALSE)</f>
        <v>ランク解放クエスト</v>
      </c>
      <c r="L66" s="96" t="str">
        <f>VLOOKUP(I66,[7]stage_hints!$A:$D,4,FALSE)</f>
        <v>一定ランクに到達すると_x000D_報酬付きのランク開放クエストが現れます</v>
      </c>
      <c r="M66" s="57" t="s">
        <v>218</v>
      </c>
    </row>
    <row r="67" spans="1:13" x14ac:dyDescent="0.15">
      <c r="A67" s="82" t="s">
        <v>206</v>
      </c>
      <c r="B67" s="83">
        <f>floors!$C$2</f>
        <v>60010</v>
      </c>
      <c r="C67" s="84" t="str">
        <f ca="1">VLOOKUP($B67,OFFSET([2]quests!$A$1,0,0,COUNTA([2]quests!$A:$A),MATCH(C$1,[2]quests!$1:$1,0)-MATCH($B$1,[2]quests!$1:$1,0)+1),MATCH(C$1,[2]quests!$1:$1,0)-MATCH($B$1,[2]quests!$1:$1,0)+1,FALSE)</f>
        <v>ラグランジュチャレンジ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ランキング2（ラグランジュ）</v>
      </c>
      <c r="E67" s="88" t="s">
        <v>223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9">
        <v>12</v>
      </c>
      <c r="J67" s="85" t="s">
        <v>203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218</v>
      </c>
    </row>
    <row r="68" spans="1:13" x14ac:dyDescent="0.15">
      <c r="A68" s="82" t="s">
        <v>206</v>
      </c>
      <c r="B68" s="83">
        <f>floors!$C$2</f>
        <v>60010</v>
      </c>
      <c r="C68" s="84" t="str">
        <f ca="1">VLOOKUP($B68,OFFSET([2]quests!$A$1,0,0,COUNTA([2]quests!$A:$A),MATCH(C$1,[2]quests!$1:$1,0)-MATCH($B$1,[2]quests!$1:$1,0)+1),MATCH(C$1,[2]quests!$1:$1,0)-MATCH($B$1,[2]quests!$1:$1,0)+1,FALSE)</f>
        <v>ラグランジュチャレンジ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ランキング2（ラグランジュ）</v>
      </c>
      <c r="E68" s="88" t="s">
        <v>223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9">
        <v>13</v>
      </c>
      <c r="J68" s="85" t="s">
        <v>203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218</v>
      </c>
    </row>
    <row r="69" spans="1:13" x14ac:dyDescent="0.15">
      <c r="A69" s="82" t="s">
        <v>206</v>
      </c>
      <c r="B69" s="83">
        <f>floors!$C$2</f>
        <v>60010</v>
      </c>
      <c r="C69" s="84" t="str">
        <f ca="1">VLOOKUP($B69,OFFSET([2]quests!$A$1,0,0,COUNTA([2]quests!$A:$A),MATCH(C$1,[2]quests!$1:$1,0)-MATCH($B$1,[2]quests!$1:$1,0)+1),MATCH(C$1,[2]quests!$1:$1,0)-MATCH($B$1,[2]quests!$1:$1,0)+1,FALSE)</f>
        <v>ラグランジュチャレンジ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ランキング2（ラグランジュ）</v>
      </c>
      <c r="E69" s="88" t="s">
        <v>223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9">
        <v>14</v>
      </c>
      <c r="J69" s="85" t="s">
        <v>203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218</v>
      </c>
    </row>
    <row r="70" spans="1:13" x14ac:dyDescent="0.15">
      <c r="A70" s="82" t="s">
        <v>206</v>
      </c>
      <c r="B70" s="83">
        <f>floors!$C$2</f>
        <v>60010</v>
      </c>
      <c r="C70" s="84" t="str">
        <f ca="1">VLOOKUP($B70,OFFSET([2]quests!$A$1,0,0,COUNTA([2]quests!$A:$A),MATCH(C$1,[2]quests!$1:$1,0)-MATCH($B$1,[2]quests!$1:$1,0)+1),MATCH(C$1,[2]quests!$1:$1,0)-MATCH($B$1,[2]quests!$1:$1,0)+1,FALSE)</f>
        <v>ラグランジュチャレンジ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ランキング2（ラグランジュ）</v>
      </c>
      <c r="E70" s="88" t="s">
        <v>223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9">
        <v>15</v>
      </c>
      <c r="J70" s="85" t="s">
        <v>203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218</v>
      </c>
    </row>
    <row r="71" spans="1:13" x14ac:dyDescent="0.15">
      <c r="A71" s="82" t="s">
        <v>206</v>
      </c>
      <c r="B71" s="83">
        <f>floors!$C$2</f>
        <v>60010</v>
      </c>
      <c r="C71" s="84" t="str">
        <f ca="1">VLOOKUP($B71,OFFSET([2]quests!$A$1,0,0,COUNTA([2]quests!$A:$A),MATCH(C$1,[2]quests!$1:$1,0)-MATCH($B$1,[2]quests!$1:$1,0)+1),MATCH(C$1,[2]quests!$1:$1,0)-MATCH($B$1,[2]quests!$1:$1,0)+1,FALSE)</f>
        <v>ラグランジュチャレンジ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ランキング2（ラグランジュ）</v>
      </c>
      <c r="E71" s="88" t="s">
        <v>223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9">
        <v>16</v>
      </c>
      <c r="J71" s="85" t="s">
        <v>203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218</v>
      </c>
    </row>
    <row r="72" spans="1:13" x14ac:dyDescent="0.15">
      <c r="A72" s="82" t="s">
        <v>206</v>
      </c>
      <c r="B72" s="83">
        <f>floors!$C$2</f>
        <v>60010</v>
      </c>
      <c r="C72" s="84" t="str">
        <f ca="1">VLOOKUP($B72,OFFSET([2]quests!$A$1,0,0,COUNTA([2]quests!$A:$A),MATCH(C$1,[2]quests!$1:$1,0)-MATCH($B$1,[2]quests!$1:$1,0)+1),MATCH(C$1,[2]quests!$1:$1,0)-MATCH($B$1,[2]quests!$1:$1,0)+1,FALSE)</f>
        <v>ラグランジュチャレンジ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ランキング2（ラグランジュ）</v>
      </c>
      <c r="E72" s="88" t="s">
        <v>223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9">
        <v>17</v>
      </c>
      <c r="J72" s="85" t="s">
        <v>203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218</v>
      </c>
    </row>
    <row r="73" spans="1:13" x14ac:dyDescent="0.15">
      <c r="A73" s="82" t="s">
        <v>206</v>
      </c>
      <c r="B73" s="83">
        <f>floors!$C$2</f>
        <v>60010</v>
      </c>
      <c r="C73" s="84" t="str">
        <f ca="1">VLOOKUP($B73,OFFSET([2]quests!$A$1,0,0,COUNTA([2]quests!$A:$A),MATCH(C$1,[2]quests!$1:$1,0)-MATCH($B$1,[2]quests!$1:$1,0)+1),MATCH(C$1,[2]quests!$1:$1,0)-MATCH($B$1,[2]quests!$1:$1,0)+1,FALSE)</f>
        <v>ラグランジュチャレンジ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ランキング2（ラグランジュ）</v>
      </c>
      <c r="E73" s="88" t="s">
        <v>223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9">
        <v>18</v>
      </c>
      <c r="J73" s="85" t="s">
        <v>203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218</v>
      </c>
    </row>
    <row r="74" spans="1:13" x14ac:dyDescent="0.15">
      <c r="A74" s="82" t="s">
        <v>206</v>
      </c>
      <c r="B74" s="83">
        <f>floors!$C$2</f>
        <v>60010</v>
      </c>
      <c r="C74" s="84" t="str">
        <f ca="1">VLOOKUP($B74,OFFSET([2]quests!$A$1,0,0,COUNTA([2]quests!$A:$A),MATCH(C$1,[2]quests!$1:$1,0)-MATCH($B$1,[2]quests!$1:$1,0)+1),MATCH(C$1,[2]quests!$1:$1,0)-MATCH($B$1,[2]quests!$1:$1,0)+1,FALSE)</f>
        <v>ラグランジュチャレンジ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ランキング2（ラグランジュ）</v>
      </c>
      <c r="E74" s="88" t="s">
        <v>223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9">
        <v>19</v>
      </c>
      <c r="J74" s="85" t="s">
        <v>203</v>
      </c>
      <c r="K74" s="95" t="str">
        <f>VLOOKUP(I74,[7]stage_hints!$A:$C,3,FALSE)</f>
        <v>ソロ専用チャレンジタワー</v>
      </c>
      <c r="L74" s="96" t="str">
        <f>VLOOKUP(I74,[7]stage_hints!$A:$D,4,FALSE)</f>
        <v>ソロ専用の「チャレンジタワー」では_x000D_各フロアごとにクリア報酬がもらえます</v>
      </c>
      <c r="M74" s="57" t="s">
        <v>218</v>
      </c>
    </row>
    <row r="75" spans="1:13" x14ac:dyDescent="0.15">
      <c r="A75" s="82" t="s">
        <v>206</v>
      </c>
      <c r="B75" s="83">
        <f>floors!$C$2</f>
        <v>60010</v>
      </c>
      <c r="C75" s="84" t="str">
        <f ca="1">VLOOKUP($B75,OFFSET([2]quests!$A$1,0,0,COUNTA([2]quests!$A:$A),MATCH(C$1,[2]quests!$1:$1,0)-MATCH($B$1,[2]quests!$1:$1,0)+1),MATCH(C$1,[2]quests!$1:$1,0)-MATCH($B$1,[2]quests!$1:$1,0)+1,FALSE)</f>
        <v>ラグランジュチャレンジ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ランキング2（ラグランジュ）</v>
      </c>
      <c r="E75" s="88" t="s">
        <v>223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9">
        <v>20</v>
      </c>
      <c r="J75" s="85" t="s">
        <v>203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218</v>
      </c>
    </row>
    <row r="76" spans="1:13" x14ac:dyDescent="0.15">
      <c r="A76" s="82" t="s">
        <v>206</v>
      </c>
      <c r="B76" s="83">
        <f>floors!$C$2</f>
        <v>60010</v>
      </c>
      <c r="C76" s="84" t="str">
        <f ca="1">VLOOKUP($B76,OFFSET([2]quests!$A$1,0,0,COUNTA([2]quests!$A:$A),MATCH(C$1,[2]quests!$1:$1,0)-MATCH($B$1,[2]quests!$1:$1,0)+1),MATCH(C$1,[2]quests!$1:$1,0)-MATCH($B$1,[2]quests!$1:$1,0)+1,FALSE)</f>
        <v>ラグランジュチャレンジ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ランキング2（ラグランジュ）</v>
      </c>
      <c r="E76" s="88" t="s">
        <v>223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9">
        <v>21</v>
      </c>
      <c r="J76" s="85" t="s">
        <v>203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218</v>
      </c>
    </row>
    <row r="77" spans="1:13" x14ac:dyDescent="0.15">
      <c r="A77" s="82" t="s">
        <v>206</v>
      </c>
      <c r="B77" s="83">
        <f>floors!$C$2</f>
        <v>60010</v>
      </c>
      <c r="C77" s="84" t="str">
        <f ca="1">VLOOKUP($B77,OFFSET([2]quests!$A$1,0,0,COUNTA([2]quests!$A:$A),MATCH(C$1,[2]quests!$1:$1,0)-MATCH($B$1,[2]quests!$1:$1,0)+1),MATCH(C$1,[2]quests!$1:$1,0)-MATCH($B$1,[2]quests!$1:$1,0)+1,FALSE)</f>
        <v>ラグランジュチャレンジ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ランキング2（ラグランジュ）</v>
      </c>
      <c r="E77" s="88" t="s">
        <v>223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9">
        <v>22</v>
      </c>
      <c r="J77" s="85" t="s">
        <v>203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218</v>
      </c>
    </row>
    <row r="78" spans="1:13" x14ac:dyDescent="0.15">
      <c r="A78" s="82" t="s">
        <v>206</v>
      </c>
      <c r="B78" s="83">
        <f>floors!$C$2</f>
        <v>60010</v>
      </c>
      <c r="C78" s="84" t="str">
        <f ca="1">VLOOKUP($B78,OFFSET([2]quests!$A$1,0,0,COUNTA([2]quests!$A:$A),MATCH(C$1,[2]quests!$1:$1,0)-MATCH($B$1,[2]quests!$1:$1,0)+1),MATCH(C$1,[2]quests!$1:$1,0)-MATCH($B$1,[2]quests!$1:$1,0)+1,FALSE)</f>
        <v>ラグランジュチャレンジ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ランキング2（ラグランジュ）</v>
      </c>
      <c r="E78" s="88" t="s">
        <v>223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9">
        <v>23</v>
      </c>
      <c r="J78" s="85" t="s">
        <v>203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218</v>
      </c>
    </row>
    <row r="79" spans="1:13" x14ac:dyDescent="0.15">
      <c r="A79" s="82" t="s">
        <v>206</v>
      </c>
      <c r="B79" s="83">
        <f>floors!$C$2</f>
        <v>60010</v>
      </c>
      <c r="C79" s="84" t="str">
        <f ca="1">VLOOKUP($B79,OFFSET([2]quests!$A$1,0,0,COUNTA([2]quests!$A:$A),MATCH(C$1,[2]quests!$1:$1,0)-MATCH($B$1,[2]quests!$1:$1,0)+1),MATCH(C$1,[2]quests!$1:$1,0)-MATCH($B$1,[2]quests!$1:$1,0)+1,FALSE)</f>
        <v>ラグランジュチャレンジ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ランキング2（ラグランジュ）</v>
      </c>
      <c r="E79" s="88" t="s">
        <v>223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9">
        <v>24</v>
      </c>
      <c r="J79" s="85" t="s">
        <v>203</v>
      </c>
      <c r="K79" s="95" t="str">
        <f>VLOOKUP(I79,[7]stage_hints!$A:$C,3,FALSE)</f>
        <v>りんごを使って限界突破</v>
      </c>
      <c r="L79" s="96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218</v>
      </c>
    </row>
    <row r="80" spans="1:13" x14ac:dyDescent="0.15">
      <c r="A80" s="82" t="s">
        <v>206</v>
      </c>
      <c r="B80" s="83">
        <f>floors!$C$2</f>
        <v>60010</v>
      </c>
      <c r="C80" s="84" t="str">
        <f ca="1">VLOOKUP($B80,OFFSET([2]quests!$A$1,0,0,COUNTA([2]quests!$A:$A),MATCH(C$1,[2]quests!$1:$1,0)-MATCH($B$1,[2]quests!$1:$1,0)+1),MATCH(C$1,[2]quests!$1:$1,0)-MATCH($B$1,[2]quests!$1:$1,0)+1,FALSE)</f>
        <v>ラグランジュチャレンジ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ランキング2（ラグランジュ）</v>
      </c>
      <c r="E80" s="88" t="s">
        <v>223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9">
        <v>25</v>
      </c>
      <c r="J80" s="85" t="s">
        <v>203</v>
      </c>
      <c r="K80" s="95" t="str">
        <f>VLOOKUP(I80,[7]stage_hints!$A:$C,3,FALSE)</f>
        <v>スキルレベルアップ</v>
      </c>
      <c r="L80" s="96" t="str">
        <f>VLOOKUP(I80,[7]stage_hints!$A:$D,4,FALSE)</f>
        <v>「クリスタルのりんご」を強化に使うと_x000D_スキルレベルを上げることができます</v>
      </c>
      <c r="M80" s="57" t="s">
        <v>218</v>
      </c>
    </row>
    <row r="81" spans="1:13" x14ac:dyDescent="0.15">
      <c r="A81" s="82" t="s">
        <v>206</v>
      </c>
      <c r="B81" s="83">
        <f>floors!$C$2</f>
        <v>60010</v>
      </c>
      <c r="C81" s="84" t="str">
        <f ca="1">VLOOKUP($B81,OFFSET([2]quests!$A$1,0,0,COUNTA([2]quests!$A:$A),MATCH(C$1,[2]quests!$1:$1,0)-MATCH($B$1,[2]quests!$1:$1,0)+1),MATCH(C$1,[2]quests!$1:$1,0)-MATCH($B$1,[2]quests!$1:$1,0)+1,FALSE)</f>
        <v>ラグランジュチャレンジ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ランキング2（ラグランジュ）</v>
      </c>
      <c r="E81" s="88" t="s">
        <v>223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9">
        <v>26</v>
      </c>
      <c r="J81" s="85" t="s">
        <v>203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218</v>
      </c>
    </row>
    <row r="82" spans="1:13" x14ac:dyDescent="0.15">
      <c r="A82" s="82" t="s">
        <v>206</v>
      </c>
      <c r="B82" s="83">
        <f>floors!$C$2</f>
        <v>60010</v>
      </c>
      <c r="C82" s="84" t="str">
        <f ca="1">VLOOKUP($B82,OFFSET([2]quests!$A$1,0,0,COUNTA([2]quests!$A:$A),MATCH(C$1,[2]quests!$1:$1,0)-MATCH($B$1,[2]quests!$1:$1,0)+1),MATCH(C$1,[2]quests!$1:$1,0)-MATCH($B$1,[2]quests!$1:$1,0)+1,FALSE)</f>
        <v>ラグランジュチャレンジ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ランキング2（ラグランジュ）</v>
      </c>
      <c r="E82" s="88" t="s">
        <v>223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9">
        <v>27</v>
      </c>
      <c r="J82" s="85" t="s">
        <v>203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218</v>
      </c>
    </row>
    <row r="83" spans="1:13" x14ac:dyDescent="0.15">
      <c r="A83" s="82" t="s">
        <v>206</v>
      </c>
      <c r="B83" s="83">
        <f>floors!$C$2</f>
        <v>60010</v>
      </c>
      <c r="C83" s="84" t="str">
        <f ca="1">VLOOKUP($B83,OFFSET([2]quests!$A$1,0,0,COUNTA([2]quests!$A:$A),MATCH(C$1,[2]quests!$1:$1,0)-MATCH($B$1,[2]quests!$1:$1,0)+1),MATCH(C$1,[2]quests!$1:$1,0)-MATCH($B$1,[2]quests!$1:$1,0)+1,FALSE)</f>
        <v>ラグランジュチャレンジ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ランキング2（ラグランジュ）</v>
      </c>
      <c r="E83" s="88" t="s">
        <v>223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9">
        <v>28</v>
      </c>
      <c r="J83" s="85" t="s">
        <v>203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218</v>
      </c>
    </row>
    <row r="84" spans="1:13" x14ac:dyDescent="0.15">
      <c r="A84" s="82" t="s">
        <v>206</v>
      </c>
      <c r="B84" s="83">
        <f>floors!$C$2</f>
        <v>60010</v>
      </c>
      <c r="C84" s="84" t="str">
        <f ca="1">VLOOKUP($B84,OFFSET([2]quests!$A$1,0,0,COUNTA([2]quests!$A:$A),MATCH(C$1,[2]quests!$1:$1,0)-MATCH($B$1,[2]quests!$1:$1,0)+1),MATCH(C$1,[2]quests!$1:$1,0)-MATCH($B$1,[2]quests!$1:$1,0)+1,FALSE)</f>
        <v>ラグランジュチャレンジ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ランキング2（ラグランジュ）</v>
      </c>
      <c r="E84" s="88" t="s">
        <v>223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9">
        <v>29</v>
      </c>
      <c r="J84" s="85" t="s">
        <v>203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218</v>
      </c>
    </row>
    <row r="85" spans="1:13" x14ac:dyDescent="0.15">
      <c r="A85" s="82" t="s">
        <v>206</v>
      </c>
      <c r="B85" s="83">
        <f>floors!$C$2</f>
        <v>60010</v>
      </c>
      <c r="C85" s="84" t="str">
        <f ca="1">VLOOKUP($B85,OFFSET([2]quests!$A$1,0,0,COUNTA([2]quests!$A:$A),MATCH(C$1,[2]quests!$1:$1,0)-MATCH($B$1,[2]quests!$1:$1,0)+1),MATCH(C$1,[2]quests!$1:$1,0)-MATCH($B$1,[2]quests!$1:$1,0)+1,FALSE)</f>
        <v>ラグランジュチャレンジ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ランキング2（ラグランジュ）</v>
      </c>
      <c r="E85" s="88" t="s">
        <v>223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9">
        <v>30</v>
      </c>
      <c r="J85" s="85" t="s">
        <v>203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218</v>
      </c>
    </row>
    <row r="86" spans="1:13" x14ac:dyDescent="0.15">
      <c r="A86" s="82" t="s">
        <v>206</v>
      </c>
      <c r="B86" s="83">
        <f>floors!$C$2</f>
        <v>60010</v>
      </c>
      <c r="C86" s="84" t="str">
        <f ca="1">VLOOKUP($B86,OFFSET([2]quests!$A$1,0,0,COUNTA([2]quests!$A:$A),MATCH(C$1,[2]quests!$1:$1,0)-MATCH($B$1,[2]quests!$1:$1,0)+1),MATCH(C$1,[2]quests!$1:$1,0)-MATCH($B$1,[2]quests!$1:$1,0)+1,FALSE)</f>
        <v>ラグランジュチャレンジ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ランキング2（ラグランジュ）</v>
      </c>
      <c r="E86" s="88" t="s">
        <v>223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9">
        <v>31</v>
      </c>
      <c r="J86" s="85" t="s">
        <v>203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218</v>
      </c>
    </row>
    <row r="87" spans="1:13" x14ac:dyDescent="0.15">
      <c r="A87" s="82" t="s">
        <v>206</v>
      </c>
      <c r="B87" s="83">
        <f>floors!$C$2</f>
        <v>60010</v>
      </c>
      <c r="C87" s="84" t="str">
        <f ca="1">VLOOKUP($B87,OFFSET([2]quests!$A$1,0,0,COUNTA([2]quests!$A:$A),MATCH(C$1,[2]quests!$1:$1,0)-MATCH($B$1,[2]quests!$1:$1,0)+1),MATCH(C$1,[2]quests!$1:$1,0)-MATCH($B$1,[2]quests!$1:$1,0)+1,FALSE)</f>
        <v>ラグランジュチャレンジ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ランキング2（ラグランジュ）</v>
      </c>
      <c r="E87" s="88" t="s">
        <v>223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9">
        <v>32</v>
      </c>
      <c r="J87" s="85" t="s">
        <v>203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218</v>
      </c>
    </row>
    <row r="88" spans="1:13" x14ac:dyDescent="0.15">
      <c r="A88" s="82" t="s">
        <v>206</v>
      </c>
      <c r="B88" s="83">
        <f>floors!$C$2</f>
        <v>60010</v>
      </c>
      <c r="C88" s="84" t="str">
        <f ca="1">VLOOKUP($B88,OFFSET([2]quests!$A$1,0,0,COUNTA([2]quests!$A:$A),MATCH(C$1,[2]quests!$1:$1,0)-MATCH($B$1,[2]quests!$1:$1,0)+1),MATCH(C$1,[2]quests!$1:$1,0)-MATCH($B$1,[2]quests!$1:$1,0)+1,FALSE)</f>
        <v>ラグランジュチャレンジ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ランキング2（ラグランジュ）</v>
      </c>
      <c r="E88" s="88" t="s">
        <v>223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9">
        <v>33</v>
      </c>
      <c r="J88" s="85" t="s">
        <v>203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218</v>
      </c>
    </row>
    <row r="89" spans="1:13" x14ac:dyDescent="0.15">
      <c r="A89" s="82" t="s">
        <v>206</v>
      </c>
      <c r="B89" s="83">
        <f>floors!$C$2</f>
        <v>60010</v>
      </c>
      <c r="C89" s="84" t="str">
        <f ca="1">VLOOKUP($B89,OFFSET([2]quests!$A$1,0,0,COUNTA([2]quests!$A:$A),MATCH(C$1,[2]quests!$1:$1,0)-MATCH($B$1,[2]quests!$1:$1,0)+1),MATCH(C$1,[2]quests!$1:$1,0)-MATCH($B$1,[2]quests!$1:$1,0)+1,FALSE)</f>
        <v>ラグランジュチャレンジ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ランキング2（ラグランジュ）</v>
      </c>
      <c r="E89" s="88" t="s">
        <v>223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9">
        <v>34</v>
      </c>
      <c r="J89" s="85" t="s">
        <v>203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218</v>
      </c>
    </row>
    <row r="90" spans="1:13" x14ac:dyDescent="0.15">
      <c r="A90" s="82" t="s">
        <v>206</v>
      </c>
      <c r="B90" s="83">
        <f>floors!$C$2</f>
        <v>60010</v>
      </c>
      <c r="C90" s="84" t="str">
        <f ca="1">VLOOKUP($B90,OFFSET([2]quests!$A$1,0,0,COUNTA([2]quests!$A:$A),MATCH(C$1,[2]quests!$1:$1,0)-MATCH($B$1,[2]quests!$1:$1,0)+1),MATCH(C$1,[2]quests!$1:$1,0)-MATCH($B$1,[2]quests!$1:$1,0)+1,FALSE)</f>
        <v>ラグランジュチャレンジ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ランキング2（ラグランジュ）</v>
      </c>
      <c r="E90" s="88" t="s">
        <v>223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9">
        <v>35</v>
      </c>
      <c r="J90" s="85" t="s">
        <v>203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218</v>
      </c>
    </row>
    <row r="91" spans="1:13" x14ac:dyDescent="0.15">
      <c r="A91" s="82" t="s">
        <v>206</v>
      </c>
      <c r="B91" s="83">
        <f>floors!$C$2</f>
        <v>60010</v>
      </c>
      <c r="C91" s="84" t="str">
        <f ca="1">VLOOKUP($B91,OFFSET([2]quests!$A$1,0,0,COUNTA([2]quests!$A:$A),MATCH(C$1,[2]quests!$1:$1,0)-MATCH($B$1,[2]quests!$1:$1,0)+1),MATCH(C$1,[2]quests!$1:$1,0)-MATCH($B$1,[2]quests!$1:$1,0)+1,FALSE)</f>
        <v>ラグランジュチャレンジ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ランキング2（ラグランジュ）</v>
      </c>
      <c r="E91" s="88" t="s">
        <v>223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9">
        <v>36</v>
      </c>
      <c r="J91" s="85" t="s">
        <v>203</v>
      </c>
      <c r="K91" s="95" t="str">
        <f>VLOOKUP(I91,[7]stage_hints!$A:$C,3,FALSE)</f>
        <v>チャレンジタワーのボス</v>
      </c>
      <c r="L91" s="96" t="str">
        <f>VLOOKUP(I91,[7]stage_hints!$A:$D,4,FALSE)</f>
        <v>チャレンジタワーでのみ登場するボスは_x000D_一定確率で獲得することができます</v>
      </c>
      <c r="M91" s="57" t="s">
        <v>218</v>
      </c>
    </row>
    <row r="92" spans="1:13" x14ac:dyDescent="0.15">
      <c r="A92" s="82" t="s">
        <v>206</v>
      </c>
      <c r="B92" s="83">
        <f>floors!$C$2</f>
        <v>60010</v>
      </c>
      <c r="C92" s="84" t="str">
        <f ca="1">VLOOKUP($B92,OFFSET([2]quests!$A$1,0,0,COUNTA([2]quests!$A:$A),MATCH(C$1,[2]quests!$1:$1,0)-MATCH($B$1,[2]quests!$1:$1,0)+1),MATCH(C$1,[2]quests!$1:$1,0)-MATCH($B$1,[2]quests!$1:$1,0)+1,FALSE)</f>
        <v>ラグランジュチャレンジ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ランキング2（ラグランジュ）</v>
      </c>
      <c r="E92" s="88" t="s">
        <v>223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9">
        <v>37</v>
      </c>
      <c r="J92" s="85" t="s">
        <v>203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218</v>
      </c>
    </row>
    <row r="93" spans="1:13" x14ac:dyDescent="0.15">
      <c r="A93" s="82" t="s">
        <v>206</v>
      </c>
      <c r="B93" s="83">
        <f>floors!$C$2</f>
        <v>60010</v>
      </c>
      <c r="C93" s="84" t="str">
        <f ca="1">VLOOKUP($B93,OFFSET([2]quests!$A$1,0,0,COUNTA([2]quests!$A:$A),MATCH(C$1,[2]quests!$1:$1,0)-MATCH($B$1,[2]quests!$1:$1,0)+1),MATCH(C$1,[2]quests!$1:$1,0)-MATCH($B$1,[2]quests!$1:$1,0)+1,FALSE)</f>
        <v>ラグランジュチャレンジ</v>
      </c>
      <c r="D93" s="84" t="str">
        <f ca="1">VLOOKUP($B93,OFFSET([2]quests!$A$1,0,0,COUNTA([2]quests!$A:$A),MATCH(D$1,[2]quests!$1:$1,0)-MATCH($B$1,[2]quests!$1:$1,0)+1),MATCH(D$1,[2]quests!$1:$1,0)-MATCH($B$1,[2]quests!$1:$1,0)+1,FALSE)</f>
        <v>ランキング2（ラグランジュ）</v>
      </c>
      <c r="E93" s="88" t="s">
        <v>223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9">
        <v>39</v>
      </c>
      <c r="J93" s="85" t="s">
        <v>203</v>
      </c>
      <c r="K93" s="95" t="str">
        <f>VLOOKUP(I93,[7]stage_hints!$A:$C,3,FALSE)</f>
        <v>システム適合者を確認</v>
      </c>
      <c r="L93" s="96" t="str">
        <f>VLOOKUP(I93,[7]stage_hints!$A:$D,4,FALSE)</f>
        <v>ALICEが「アナタ」を呼んでいます</v>
      </c>
      <c r="M93" s="57" t="s">
        <v>218</v>
      </c>
    </row>
    <row r="94" spans="1:13" x14ac:dyDescent="0.15">
      <c r="A94" s="82" t="s">
        <v>206</v>
      </c>
      <c r="B94" s="83">
        <f>floors!$C$2</f>
        <v>60010</v>
      </c>
      <c r="C94" s="84" t="str">
        <f ca="1">VLOOKUP($B94,OFFSET([2]quests!$A$1,0,0,COUNTA([2]quests!$A:$A),MATCH(C$1,[2]quests!$1:$1,0)-MATCH($B$1,[2]quests!$1:$1,0)+1),MATCH(C$1,[2]quests!$1:$1,0)-MATCH($B$1,[2]quests!$1:$1,0)+1,FALSE)</f>
        <v>ラグランジュチャレンジ</v>
      </c>
      <c r="D94" s="84" t="str">
        <f ca="1">VLOOKUP($B94,OFFSET([2]quests!$A$1,0,0,COUNTA([2]quests!$A:$A),MATCH(D$1,[2]quests!$1:$1,0)-MATCH($B$1,[2]quests!$1:$1,0)+1),MATCH(D$1,[2]quests!$1:$1,0)-MATCH($B$1,[2]quests!$1:$1,0)+1,FALSE)</f>
        <v>ランキング2（ラグランジュ）</v>
      </c>
      <c r="E94" s="88" t="s">
        <v>224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203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218</v>
      </c>
    </row>
    <row r="95" spans="1:13" x14ac:dyDescent="0.15">
      <c r="A95" s="82" t="s">
        <v>206</v>
      </c>
      <c r="B95" s="83">
        <f>floors!$C$2</f>
        <v>60010</v>
      </c>
      <c r="C95" s="84" t="str">
        <f ca="1">VLOOKUP($B95,OFFSET([2]quests!$A$1,0,0,COUNTA([2]quests!$A:$A),MATCH(C$1,[2]quests!$1:$1,0)-MATCH($B$1,[2]quests!$1:$1,0)+1),MATCH(C$1,[2]quests!$1:$1,0)-MATCH($B$1,[2]quests!$1:$1,0)+1,FALSE)</f>
        <v>ラグランジュチャレンジ</v>
      </c>
      <c r="D95" s="84" t="str">
        <f ca="1">VLOOKUP($B95,OFFSET([2]quests!$A$1,0,0,COUNTA([2]quests!$A:$A),MATCH(D$1,[2]quests!$1:$1,0)-MATCH($B$1,[2]quests!$1:$1,0)+1),MATCH(D$1,[2]quests!$1:$1,0)-MATCH($B$1,[2]quests!$1:$1,0)+1,FALSE)</f>
        <v>ランキング2（ラグランジュ）</v>
      </c>
      <c r="E95" s="88" t="s">
        <v>224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203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218</v>
      </c>
    </row>
    <row r="96" spans="1:13" x14ac:dyDescent="0.15">
      <c r="A96" s="82" t="s">
        <v>206</v>
      </c>
      <c r="B96" s="83">
        <f>floors!$C$2</f>
        <v>60010</v>
      </c>
      <c r="C96" s="84" t="str">
        <f ca="1">VLOOKUP($B96,OFFSET([2]quests!$A$1,0,0,COUNTA([2]quests!$A:$A),MATCH(C$1,[2]quests!$1:$1,0)-MATCH($B$1,[2]quests!$1:$1,0)+1),MATCH(C$1,[2]quests!$1:$1,0)-MATCH($B$1,[2]quests!$1:$1,0)+1,FALSE)</f>
        <v>ラグランジュチャレンジ</v>
      </c>
      <c r="D96" s="84" t="str">
        <f ca="1">VLOOKUP($B96,OFFSET([2]quests!$A$1,0,0,COUNTA([2]quests!$A:$A),MATCH(D$1,[2]quests!$1:$1,0)-MATCH($B$1,[2]quests!$1:$1,0)+1),MATCH(D$1,[2]quests!$1:$1,0)-MATCH($B$1,[2]quests!$1:$1,0)+1,FALSE)</f>
        <v>ランキング2（ラグランジュ）</v>
      </c>
      <c r="E96" s="88" t="s">
        <v>224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203</v>
      </c>
      <c r="K96" s="95" t="str">
        <f>VLOOKUP(I96,[7]stage_hints!$A:$C,3,FALSE)</f>
        <v>ソロ専用チャレンジタワー</v>
      </c>
      <c r="L96" s="96" t="str">
        <f>VLOOKUP(I96,[7]stage_hints!$A:$D,4,FALSE)</f>
        <v>ソロ専用の「チャレンジタワー」では_x000D_各フロアごとにクリア報酬がもらえます</v>
      </c>
      <c r="M96" s="57" t="s">
        <v>218</v>
      </c>
    </row>
    <row r="97" spans="1:13" x14ac:dyDescent="0.15">
      <c r="A97" s="82" t="s">
        <v>206</v>
      </c>
      <c r="B97" s="83">
        <f>floors!$C$2</f>
        <v>60010</v>
      </c>
      <c r="C97" s="84" t="str">
        <f ca="1">VLOOKUP($B97,OFFSET([2]quests!$A$1,0,0,COUNTA([2]quests!$A:$A),MATCH(C$1,[2]quests!$1:$1,0)-MATCH($B$1,[2]quests!$1:$1,0)+1),MATCH(C$1,[2]quests!$1:$1,0)-MATCH($B$1,[2]quests!$1:$1,0)+1,FALSE)</f>
        <v>ラグランジュチャレンジ</v>
      </c>
      <c r="D97" s="84" t="str">
        <f ca="1">VLOOKUP($B97,OFFSET([2]quests!$A$1,0,0,COUNTA([2]quests!$A:$A),MATCH(D$1,[2]quests!$1:$1,0)-MATCH($B$1,[2]quests!$1:$1,0)+1),MATCH(D$1,[2]quests!$1:$1,0)-MATCH($B$1,[2]quests!$1:$1,0)+1,FALSE)</f>
        <v>ランキング2（ラグランジュ）</v>
      </c>
      <c r="E97" s="88" t="s">
        <v>224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203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218</v>
      </c>
    </row>
    <row r="98" spans="1:13" x14ac:dyDescent="0.15">
      <c r="A98" s="82" t="s">
        <v>206</v>
      </c>
      <c r="B98" s="83">
        <f>floors!$C$2</f>
        <v>60010</v>
      </c>
      <c r="C98" s="84" t="str">
        <f ca="1">VLOOKUP($B98,OFFSET([2]quests!$A$1,0,0,COUNTA([2]quests!$A:$A),MATCH(C$1,[2]quests!$1:$1,0)-MATCH($B$1,[2]quests!$1:$1,0)+1),MATCH(C$1,[2]quests!$1:$1,0)-MATCH($B$1,[2]quests!$1:$1,0)+1,FALSE)</f>
        <v>ラグランジュチャレンジ</v>
      </c>
      <c r="D98" s="84" t="str">
        <f ca="1">VLOOKUP($B98,OFFSET([2]quests!$A$1,0,0,COUNTA([2]quests!$A:$A),MATCH(D$1,[2]quests!$1:$1,0)-MATCH($B$1,[2]quests!$1:$1,0)+1),MATCH(D$1,[2]quests!$1:$1,0)-MATCH($B$1,[2]quests!$1:$1,0)+1,FALSE)</f>
        <v>ランキング2（ラグランジュ）</v>
      </c>
      <c r="E98" s="88" t="s">
        <v>224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203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218</v>
      </c>
    </row>
    <row r="99" spans="1:13" x14ac:dyDescent="0.15">
      <c r="A99" s="82" t="s">
        <v>206</v>
      </c>
      <c r="B99" s="83">
        <f>floors!$C$2</f>
        <v>60010</v>
      </c>
      <c r="C99" s="84" t="str">
        <f ca="1">VLOOKUP($B99,OFFSET([2]quests!$A$1,0,0,COUNTA([2]quests!$A:$A),MATCH(C$1,[2]quests!$1:$1,0)-MATCH($B$1,[2]quests!$1:$1,0)+1),MATCH(C$1,[2]quests!$1:$1,0)-MATCH($B$1,[2]quests!$1:$1,0)+1,FALSE)</f>
        <v>ラグランジュチャレンジ</v>
      </c>
      <c r="D99" s="84" t="str">
        <f ca="1">VLOOKUP($B99,OFFSET([2]quests!$A$1,0,0,COUNTA([2]quests!$A:$A),MATCH(D$1,[2]quests!$1:$1,0)-MATCH($B$1,[2]quests!$1:$1,0)+1),MATCH(D$1,[2]quests!$1:$1,0)-MATCH($B$1,[2]quests!$1:$1,0)+1,FALSE)</f>
        <v>ランキング2（ラグランジュ）</v>
      </c>
      <c r="E99" s="88" t="s">
        <v>224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203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218</v>
      </c>
    </row>
    <row r="100" spans="1:13" x14ac:dyDescent="0.15">
      <c r="A100" s="82" t="s">
        <v>206</v>
      </c>
      <c r="B100" s="83">
        <f>floors!$C$2</f>
        <v>60010</v>
      </c>
      <c r="C100" s="84" t="str">
        <f ca="1">VLOOKUP($B100,OFFSET([2]quests!$A$1,0,0,COUNTA([2]quests!$A:$A),MATCH(C$1,[2]quests!$1:$1,0)-MATCH($B$1,[2]quests!$1:$1,0)+1),MATCH(C$1,[2]quests!$1:$1,0)-MATCH($B$1,[2]quests!$1:$1,0)+1,FALSE)</f>
        <v>ラグランジュチャレンジ</v>
      </c>
      <c r="D100" s="84" t="str">
        <f ca="1">VLOOKUP($B100,OFFSET([2]quests!$A$1,0,0,COUNTA([2]quests!$A:$A),MATCH(D$1,[2]quests!$1:$1,0)-MATCH($B$1,[2]quests!$1:$1,0)+1),MATCH(D$1,[2]quests!$1:$1,0)-MATCH($B$1,[2]quests!$1:$1,0)+1,FALSE)</f>
        <v>ランキング2（ラグランジュ）</v>
      </c>
      <c r="E100" s="88" t="s">
        <v>224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203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218</v>
      </c>
    </row>
    <row r="101" spans="1:13" x14ac:dyDescent="0.15">
      <c r="A101" s="82" t="s">
        <v>206</v>
      </c>
      <c r="B101" s="83">
        <f>floors!$C$2</f>
        <v>60010</v>
      </c>
      <c r="C101" s="84" t="str">
        <f ca="1">VLOOKUP($B101,OFFSET([2]quests!$A$1,0,0,COUNTA([2]quests!$A:$A),MATCH(C$1,[2]quests!$1:$1,0)-MATCH($B$1,[2]quests!$1:$1,0)+1),MATCH(C$1,[2]quests!$1:$1,0)-MATCH($B$1,[2]quests!$1:$1,0)+1,FALSE)</f>
        <v>ラグランジュチャレンジ</v>
      </c>
      <c r="D101" s="84" t="str">
        <f ca="1">VLOOKUP($B101,OFFSET([2]quests!$A$1,0,0,COUNTA([2]quests!$A:$A),MATCH(D$1,[2]quests!$1:$1,0)-MATCH($B$1,[2]quests!$1:$1,0)+1),MATCH(D$1,[2]quests!$1:$1,0)-MATCH($B$1,[2]quests!$1:$1,0)+1,FALSE)</f>
        <v>ランキング2（ラグランジュ）</v>
      </c>
      <c r="E101" s="88" t="s">
        <v>224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203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218</v>
      </c>
    </row>
    <row r="102" spans="1:13" x14ac:dyDescent="0.15">
      <c r="A102" s="82" t="s">
        <v>206</v>
      </c>
      <c r="B102" s="83">
        <f>floors!$C$2</f>
        <v>60010</v>
      </c>
      <c r="C102" s="84" t="str">
        <f ca="1">VLOOKUP($B102,OFFSET([2]quests!$A$1,0,0,COUNTA([2]quests!$A:$A),MATCH(C$1,[2]quests!$1:$1,0)-MATCH($B$1,[2]quests!$1:$1,0)+1),MATCH(C$1,[2]quests!$1:$1,0)-MATCH($B$1,[2]quests!$1:$1,0)+1,FALSE)</f>
        <v>ラグランジュチャレンジ</v>
      </c>
      <c r="D102" s="84" t="str">
        <f ca="1">VLOOKUP($B102,OFFSET([2]quests!$A$1,0,0,COUNTA([2]quests!$A:$A),MATCH(D$1,[2]quests!$1:$1,0)-MATCH($B$1,[2]quests!$1:$1,0)+1),MATCH(D$1,[2]quests!$1:$1,0)-MATCH($B$1,[2]quests!$1:$1,0)+1,FALSE)</f>
        <v>ランキング2（ラグランジュ）</v>
      </c>
      <c r="E102" s="88" t="s">
        <v>224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203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218</v>
      </c>
    </row>
    <row r="103" spans="1:13" x14ac:dyDescent="0.15">
      <c r="A103" s="82" t="s">
        <v>206</v>
      </c>
      <c r="B103" s="83">
        <f>floors!$C$2</f>
        <v>60010</v>
      </c>
      <c r="C103" s="84" t="str">
        <f ca="1">VLOOKUP($B103,OFFSET([2]quests!$A$1,0,0,COUNTA([2]quests!$A:$A),MATCH(C$1,[2]quests!$1:$1,0)-MATCH($B$1,[2]quests!$1:$1,0)+1),MATCH(C$1,[2]quests!$1:$1,0)-MATCH($B$1,[2]quests!$1:$1,0)+1,FALSE)</f>
        <v>ラグランジュチャレンジ</v>
      </c>
      <c r="D103" s="84" t="str">
        <f ca="1">VLOOKUP($B103,OFFSET([2]quests!$A$1,0,0,COUNTA([2]quests!$A:$A),MATCH(D$1,[2]quests!$1:$1,0)-MATCH($B$1,[2]quests!$1:$1,0)+1),MATCH(D$1,[2]quests!$1:$1,0)-MATCH($B$1,[2]quests!$1:$1,0)+1,FALSE)</f>
        <v>ランキング2（ラグランジュ）</v>
      </c>
      <c r="E103" s="88" t="s">
        <v>224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203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218</v>
      </c>
    </row>
    <row r="104" spans="1:13" x14ac:dyDescent="0.15">
      <c r="A104" s="82" t="s">
        <v>206</v>
      </c>
      <c r="B104" s="83">
        <f>floors!$C$2</f>
        <v>60010</v>
      </c>
      <c r="C104" s="84" t="str">
        <f ca="1">VLOOKUP($B104,OFFSET([2]quests!$A$1,0,0,COUNTA([2]quests!$A:$A),MATCH(C$1,[2]quests!$1:$1,0)-MATCH($B$1,[2]quests!$1:$1,0)+1),MATCH(C$1,[2]quests!$1:$1,0)-MATCH($B$1,[2]quests!$1:$1,0)+1,FALSE)</f>
        <v>ラグランジュチャレンジ</v>
      </c>
      <c r="D104" s="84" t="str">
        <f ca="1">VLOOKUP($B104,OFFSET([2]quests!$A$1,0,0,COUNTA([2]quests!$A:$A),MATCH(D$1,[2]quests!$1:$1,0)-MATCH($B$1,[2]quests!$1:$1,0)+1),MATCH(D$1,[2]quests!$1:$1,0)-MATCH($B$1,[2]quests!$1:$1,0)+1,FALSE)</f>
        <v>ランキング2（ラグランジュ）</v>
      </c>
      <c r="E104" s="88" t="s">
        <v>224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203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218</v>
      </c>
    </row>
    <row r="105" spans="1:13" x14ac:dyDescent="0.15">
      <c r="A105" s="82" t="s">
        <v>206</v>
      </c>
      <c r="B105" s="83">
        <f>floors!$C$2</f>
        <v>60010</v>
      </c>
      <c r="C105" s="84" t="str">
        <f ca="1">VLOOKUP($B105,OFFSET([2]quests!$A$1,0,0,COUNTA([2]quests!$A:$A),MATCH(C$1,[2]quests!$1:$1,0)-MATCH($B$1,[2]quests!$1:$1,0)+1),MATCH(C$1,[2]quests!$1:$1,0)-MATCH($B$1,[2]quests!$1:$1,0)+1,FALSE)</f>
        <v>ラグランジュチャレンジ</v>
      </c>
      <c r="D105" s="84" t="str">
        <f ca="1">VLOOKUP($B105,OFFSET([2]quests!$A$1,0,0,COUNTA([2]quests!$A:$A),MATCH(D$1,[2]quests!$1:$1,0)-MATCH($B$1,[2]quests!$1:$1,0)+1),MATCH(D$1,[2]quests!$1:$1,0)-MATCH($B$1,[2]quests!$1:$1,0)+1,FALSE)</f>
        <v>ランキング2（ラグランジュ）</v>
      </c>
      <c r="E105" s="88" t="s">
        <v>224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203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218</v>
      </c>
    </row>
    <row r="106" spans="1:13" x14ac:dyDescent="0.15">
      <c r="A106" s="82" t="s">
        <v>206</v>
      </c>
      <c r="B106" s="83">
        <f>floors!$C$2</f>
        <v>60010</v>
      </c>
      <c r="C106" s="84" t="str">
        <f ca="1">VLOOKUP($B106,OFFSET([2]quests!$A$1,0,0,COUNTA([2]quests!$A:$A),MATCH(C$1,[2]quests!$1:$1,0)-MATCH($B$1,[2]quests!$1:$1,0)+1),MATCH(C$1,[2]quests!$1:$1,0)-MATCH($B$1,[2]quests!$1:$1,0)+1,FALSE)</f>
        <v>ラグランジュチャレンジ</v>
      </c>
      <c r="D106" s="84" t="str">
        <f ca="1">VLOOKUP($B106,OFFSET([2]quests!$A$1,0,0,COUNTA([2]quests!$A:$A),MATCH(D$1,[2]quests!$1:$1,0)-MATCH($B$1,[2]quests!$1:$1,0)+1),MATCH(D$1,[2]quests!$1:$1,0)-MATCH($B$1,[2]quests!$1:$1,0)+1,FALSE)</f>
        <v>ランキング2（ラグランジュ）</v>
      </c>
      <c r="E106" s="88" t="s">
        <v>224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203</v>
      </c>
      <c r="K106" s="95" t="str">
        <f>VLOOKUP(I106,[7]stage_hints!$A:$C,3,FALSE)</f>
        <v>チャレンジタワーのボス</v>
      </c>
      <c r="L106" s="96" t="str">
        <f>VLOOKUP(I106,[7]stage_hints!$A:$D,4,FALSE)</f>
        <v>チャレンジタワーでのみ登場するボスは_x000D_一定確率で獲得することができます</v>
      </c>
      <c r="M106" s="57" t="s">
        <v>218</v>
      </c>
    </row>
    <row r="107" spans="1:13" x14ac:dyDescent="0.15">
      <c r="A107" s="82" t="s">
        <v>206</v>
      </c>
      <c r="B107" s="83">
        <f>floors!$C$2</f>
        <v>60010</v>
      </c>
      <c r="C107" s="84" t="str">
        <f ca="1">VLOOKUP($B107,OFFSET([2]quests!$A$1,0,0,COUNTA([2]quests!$A:$A),MATCH(C$1,[2]quests!$1:$1,0)-MATCH($B$1,[2]quests!$1:$1,0)+1),MATCH(C$1,[2]quests!$1:$1,0)-MATCH($B$1,[2]quests!$1:$1,0)+1,FALSE)</f>
        <v>ラグランジュチャレンジ</v>
      </c>
      <c r="D107" s="84" t="str">
        <f ca="1">VLOOKUP($B107,OFFSET([2]quests!$A$1,0,0,COUNTA([2]quests!$A:$A),MATCH(D$1,[2]quests!$1:$1,0)-MATCH($B$1,[2]quests!$1:$1,0)+1),MATCH(D$1,[2]quests!$1:$1,0)-MATCH($B$1,[2]quests!$1:$1,0)+1,FALSE)</f>
        <v>ランキング2（ラグランジュ）</v>
      </c>
      <c r="E107" s="88" t="s">
        <v>224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203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218</v>
      </c>
    </row>
    <row r="108" spans="1:13" x14ac:dyDescent="0.15">
      <c r="A108" s="82" t="s">
        <v>206</v>
      </c>
      <c r="B108" s="83">
        <f>floors!$C$2</f>
        <v>60010</v>
      </c>
      <c r="C108" s="84" t="str">
        <f ca="1">VLOOKUP($B108,OFFSET([2]quests!$A$1,0,0,COUNTA([2]quests!$A:$A),MATCH(C$1,[2]quests!$1:$1,0)-MATCH($B$1,[2]quests!$1:$1,0)+1),MATCH(C$1,[2]quests!$1:$1,0)-MATCH($B$1,[2]quests!$1:$1,0)+1,FALSE)</f>
        <v>ラグランジュチャレンジ</v>
      </c>
      <c r="D108" s="84" t="str">
        <f ca="1">VLOOKUP($B108,OFFSET([2]quests!$A$1,0,0,COUNTA([2]quests!$A:$A),MATCH(D$1,[2]quests!$1:$1,0)-MATCH($B$1,[2]quests!$1:$1,0)+1),MATCH(D$1,[2]quests!$1:$1,0)-MATCH($B$1,[2]quests!$1:$1,0)+1,FALSE)</f>
        <v>ランキング2（ラグランジュ）</v>
      </c>
      <c r="E108" s="88" t="s">
        <v>224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203</v>
      </c>
      <c r="K108" s="95" t="str">
        <f>VLOOKUP(I108,[7]stage_hints!$A:$C,3,FALSE)</f>
        <v>システム適合者を確認</v>
      </c>
      <c r="L108" s="96" t="str">
        <f>VLOOKUP(I108,[7]stage_hints!$A:$D,4,FALSE)</f>
        <v>ALICEが「アナタ」を呼んでいます</v>
      </c>
      <c r="M108" s="57" t="s">
        <v>218</v>
      </c>
    </row>
    <row r="109" spans="1:13" x14ac:dyDescent="0.15">
      <c r="A109" s="82" t="s">
        <v>206</v>
      </c>
      <c r="B109" s="83">
        <f>floors!$C$2</f>
        <v>60010</v>
      </c>
      <c r="C109" s="84" t="str">
        <f ca="1">VLOOKUP($B109,OFFSET([2]quests!$A$1,0,0,COUNTA([2]quests!$A:$A),MATCH(C$1,[2]quests!$1:$1,0)-MATCH($B$1,[2]quests!$1:$1,0)+1),MATCH(C$1,[2]quests!$1:$1,0)-MATCH($B$1,[2]quests!$1:$1,0)+1,FALSE)</f>
        <v>ラグランジュチャレンジ</v>
      </c>
      <c r="D109" s="84" t="str">
        <f ca="1">VLOOKUP($B109,OFFSET([2]quests!$A$1,0,0,COUNTA([2]quests!$A:$A),MATCH(D$1,[2]quests!$1:$1,0)-MATCH($B$1,[2]quests!$1:$1,0)+1),MATCH(D$1,[2]quests!$1:$1,0)-MATCH($B$1,[2]quests!$1:$1,0)+1,FALSE)</f>
        <v>ランキング2（ラグランジュ）</v>
      </c>
      <c r="E109" s="88" t="s">
        <v>225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203</v>
      </c>
      <c r="K109" s="95" t="str">
        <f>VLOOKUP(I109,[7]stage_hints!$A:$C,3,FALSE)</f>
        <v>ユニットのお気に入り登録</v>
      </c>
      <c r="L109" s="96" t="str">
        <f>VLOOKUP(I109,[7]stage_hints!$A:$D,4,FALSE)</f>
        <v>大事なユニットを誤って消さないように_x000D_フォルダから「お気に入り登録」しましょう</v>
      </c>
      <c r="M109" s="57" t="s">
        <v>218</v>
      </c>
    </row>
    <row r="110" spans="1:13" x14ac:dyDescent="0.15">
      <c r="A110" s="82" t="s">
        <v>206</v>
      </c>
      <c r="B110" s="83">
        <f>floors!$C$2</f>
        <v>60010</v>
      </c>
      <c r="C110" s="84" t="str">
        <f ca="1">VLOOKUP($B110,OFFSET([2]quests!$A$1,0,0,COUNTA([2]quests!$A:$A),MATCH(C$1,[2]quests!$1:$1,0)-MATCH($B$1,[2]quests!$1:$1,0)+1),MATCH(C$1,[2]quests!$1:$1,0)-MATCH($B$1,[2]quests!$1:$1,0)+1,FALSE)</f>
        <v>ラグランジュチャレンジ</v>
      </c>
      <c r="D110" s="84" t="str">
        <f ca="1">VLOOKUP($B110,OFFSET([2]quests!$A$1,0,0,COUNTA([2]quests!$A:$A),MATCH(D$1,[2]quests!$1:$1,0)-MATCH($B$1,[2]quests!$1:$1,0)+1),MATCH(D$1,[2]quests!$1:$1,0)-MATCH($B$1,[2]quests!$1:$1,0)+1,FALSE)</f>
        <v>ランキング2（ラグランジュ）</v>
      </c>
      <c r="E110" s="88" t="s">
        <v>225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203</v>
      </c>
      <c r="K110" s="95" t="str">
        <f>VLOOKUP(I110,[7]stage_hints!$A:$C,3,FALSE)</f>
        <v>リンクガチャ</v>
      </c>
      <c r="L110" s="96" t="str">
        <f>VLOOKUP(I110,[7]stage_hints!$A:$D,4,FALSE)</f>
        <v>無料のリンクガチャを回して_x000D_経験値素材や売却素材を獲得しましょう</v>
      </c>
      <c r="M110" s="57" t="s">
        <v>218</v>
      </c>
    </row>
    <row r="111" spans="1:13" x14ac:dyDescent="0.15">
      <c r="A111" s="82" t="s">
        <v>206</v>
      </c>
      <c r="B111" s="83">
        <f>floors!$C$2</f>
        <v>60010</v>
      </c>
      <c r="C111" s="84" t="str">
        <f ca="1">VLOOKUP($B111,OFFSET([2]quests!$A$1,0,0,COUNTA([2]quests!$A:$A),MATCH(C$1,[2]quests!$1:$1,0)-MATCH($B$1,[2]quests!$1:$1,0)+1),MATCH(C$1,[2]quests!$1:$1,0)-MATCH($B$1,[2]quests!$1:$1,0)+1,FALSE)</f>
        <v>ラグランジュチャレンジ</v>
      </c>
      <c r="D111" s="84" t="str">
        <f ca="1">VLOOKUP($B111,OFFSET([2]quests!$A$1,0,0,COUNTA([2]quests!$A:$A),MATCH(D$1,[2]quests!$1:$1,0)-MATCH($B$1,[2]quests!$1:$1,0)+1),MATCH(D$1,[2]quests!$1:$1,0)-MATCH($B$1,[2]quests!$1:$1,0)+1,FALSE)</f>
        <v>ランキング2（ラグランジュ）</v>
      </c>
      <c r="E111" s="88" t="s">
        <v>225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203</v>
      </c>
      <c r="K111" s="95" t="str">
        <f>VLOOKUP(I111,[7]stage_hints!$A:$C,3,FALSE)</f>
        <v>ソロ専用チャレンジタワー</v>
      </c>
      <c r="L111" s="96" t="str">
        <f>VLOOKUP(I111,[7]stage_hints!$A:$D,4,FALSE)</f>
        <v>ソロ専用の「チャレンジタワー」では_x000D_各フロアごとにクリア報酬がもらえます</v>
      </c>
      <c r="M111" s="57" t="s">
        <v>218</v>
      </c>
    </row>
    <row r="112" spans="1:13" x14ac:dyDescent="0.15">
      <c r="A112" s="82" t="s">
        <v>206</v>
      </c>
      <c r="B112" s="83">
        <f>floors!$C$2</f>
        <v>60010</v>
      </c>
      <c r="C112" s="84" t="str">
        <f ca="1">VLOOKUP($B112,OFFSET([2]quests!$A$1,0,0,COUNTA([2]quests!$A:$A),MATCH(C$1,[2]quests!$1:$1,0)-MATCH($B$1,[2]quests!$1:$1,0)+1),MATCH(C$1,[2]quests!$1:$1,0)-MATCH($B$1,[2]quests!$1:$1,0)+1,FALSE)</f>
        <v>ラグランジュチャレンジ</v>
      </c>
      <c r="D112" s="84" t="str">
        <f ca="1">VLOOKUP($B112,OFFSET([2]quests!$A$1,0,0,COUNTA([2]quests!$A:$A),MATCH(D$1,[2]quests!$1:$1,0)-MATCH($B$1,[2]quests!$1:$1,0)+1),MATCH(D$1,[2]quests!$1:$1,0)-MATCH($B$1,[2]quests!$1:$1,0)+1,FALSE)</f>
        <v>ランキング2（ラグランジュ）</v>
      </c>
      <c r="E112" s="88" t="s">
        <v>225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203</v>
      </c>
      <c r="K112" s="95" t="str">
        <f>VLOOKUP(I112,[7]stage_hints!$A:$C,3,FALSE)</f>
        <v>スキルを有効に</v>
      </c>
      <c r="L112" s="96" t="str">
        <f>VLOOKUP(I112,[7]stage_hints!$A:$D,4,FALSE)</f>
        <v>ターン経過でユニットのスキルが使えます_x000D_強力スキルでバトルを有利に進めましょう</v>
      </c>
      <c r="M112" s="57" t="s">
        <v>218</v>
      </c>
    </row>
    <row r="113" spans="1:13" x14ac:dyDescent="0.15">
      <c r="A113" s="82" t="s">
        <v>206</v>
      </c>
      <c r="B113" s="83">
        <f>floors!$C$2</f>
        <v>60010</v>
      </c>
      <c r="C113" s="84" t="str">
        <f ca="1">VLOOKUP($B113,OFFSET([2]quests!$A$1,0,0,COUNTA([2]quests!$A:$A),MATCH(C$1,[2]quests!$1:$1,0)-MATCH($B$1,[2]quests!$1:$1,0)+1),MATCH(C$1,[2]quests!$1:$1,0)-MATCH($B$1,[2]quests!$1:$1,0)+1,FALSE)</f>
        <v>ラグランジュチャレンジ</v>
      </c>
      <c r="D113" s="84" t="str">
        <f ca="1">VLOOKUP($B113,OFFSET([2]quests!$A$1,0,0,COUNTA([2]quests!$A:$A),MATCH(D$1,[2]quests!$1:$1,0)-MATCH($B$1,[2]quests!$1:$1,0)+1),MATCH(D$1,[2]quests!$1:$1,0)-MATCH($B$1,[2]quests!$1:$1,0)+1,FALSE)</f>
        <v>ランキング2（ラグランジュ）</v>
      </c>
      <c r="E113" s="88" t="s">
        <v>225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203</v>
      </c>
      <c r="K113" s="95" t="str">
        <f>VLOOKUP(I113,[7]stage_hints!$A:$C,3,FALSE)</f>
        <v>「バグ」のメリット</v>
      </c>
      <c r="L113" s="96" t="str">
        <f>VLOOKUP(I113,[7]stage_hints!$A:$D,4,FALSE)</f>
        <v>ユニットの「バグ」を増やすと_x000D_報酬をもらえる確率がアップします</v>
      </c>
      <c r="M113" s="57" t="s">
        <v>218</v>
      </c>
    </row>
    <row r="114" spans="1:13" x14ac:dyDescent="0.15">
      <c r="A114" s="82" t="s">
        <v>206</v>
      </c>
      <c r="B114" s="83">
        <f>floors!$C$2</f>
        <v>60010</v>
      </c>
      <c r="C114" s="84" t="str">
        <f ca="1">VLOOKUP($B114,OFFSET([2]quests!$A$1,0,0,COUNTA([2]quests!$A:$A),MATCH(C$1,[2]quests!$1:$1,0)-MATCH($B$1,[2]quests!$1:$1,0)+1),MATCH(C$1,[2]quests!$1:$1,0)-MATCH($B$1,[2]quests!$1:$1,0)+1,FALSE)</f>
        <v>ラグランジュチャレンジ</v>
      </c>
      <c r="D114" s="84" t="str">
        <f ca="1">VLOOKUP($B114,OFFSET([2]quests!$A$1,0,0,COUNTA([2]quests!$A:$A),MATCH(D$1,[2]quests!$1:$1,0)-MATCH($B$1,[2]quests!$1:$1,0)+1),MATCH(D$1,[2]quests!$1:$1,0)-MATCH($B$1,[2]quests!$1:$1,0)+1,FALSE)</f>
        <v>ランキング2（ラグランジュ）</v>
      </c>
      <c r="E114" s="88" t="s">
        <v>225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203</v>
      </c>
      <c r="K114" s="95" t="str">
        <f>VLOOKUP(I114,[7]stage_hints!$A:$C,3,FALSE)</f>
        <v>「バグ」の増やし方</v>
      </c>
      <c r="L114" s="96" t="str">
        <f>VLOOKUP(I114,[7]stage_hints!$A:$D,4,FALSE)</f>
        <v>同じユニット同士を強化で合成すると_x000D_「バグ」を増やすことができます</v>
      </c>
      <c r="M114" s="57" t="s">
        <v>218</v>
      </c>
    </row>
    <row r="115" spans="1:13" x14ac:dyDescent="0.15">
      <c r="A115" s="82" t="s">
        <v>206</v>
      </c>
      <c r="B115" s="83">
        <f>floors!$C$2</f>
        <v>60010</v>
      </c>
      <c r="C115" s="84" t="str">
        <f ca="1">VLOOKUP($B115,OFFSET([2]quests!$A$1,0,0,COUNTA([2]quests!$A:$A),MATCH(C$1,[2]quests!$1:$1,0)-MATCH($B$1,[2]quests!$1:$1,0)+1),MATCH(C$1,[2]quests!$1:$1,0)-MATCH($B$1,[2]quests!$1:$1,0)+1,FALSE)</f>
        <v>ラグランジュチャレンジ</v>
      </c>
      <c r="D115" s="84" t="str">
        <f ca="1">VLOOKUP($B115,OFFSET([2]quests!$A$1,0,0,COUNTA([2]quests!$A:$A),MATCH(D$1,[2]quests!$1:$1,0)-MATCH($B$1,[2]quests!$1:$1,0)+1),MATCH(D$1,[2]quests!$1:$1,0)-MATCH($B$1,[2]quests!$1:$1,0)+1,FALSE)</f>
        <v>ランキング2（ラグランジュ）</v>
      </c>
      <c r="E115" s="88" t="s">
        <v>225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203</v>
      </c>
      <c r="K115" s="95" t="str">
        <f>VLOOKUP(I115,[7]stage_hints!$A:$C,3,FALSE)</f>
        <v>敵の連続攻撃には</v>
      </c>
      <c r="L115" s="96" t="str">
        <f>VLOOKUP(I115,[7]stage_hints!$A:$D,4,FALSE)</f>
        <v>カウンタースキルを持つユニットがいれば_x000D_ダメージ回数分の反撃ができます</v>
      </c>
      <c r="M115" s="57" t="s">
        <v>218</v>
      </c>
    </row>
    <row r="116" spans="1:13" x14ac:dyDescent="0.15">
      <c r="A116" s="82" t="s">
        <v>206</v>
      </c>
      <c r="B116" s="83">
        <f>floors!$C$2</f>
        <v>60010</v>
      </c>
      <c r="C116" s="84" t="str">
        <f ca="1">VLOOKUP($B116,OFFSET([2]quests!$A$1,0,0,COUNTA([2]quests!$A:$A),MATCH(C$1,[2]quests!$1:$1,0)-MATCH($B$1,[2]quests!$1:$1,0)+1),MATCH(C$1,[2]quests!$1:$1,0)-MATCH($B$1,[2]quests!$1:$1,0)+1,FALSE)</f>
        <v>ラグランジュチャレンジ</v>
      </c>
      <c r="D116" s="84" t="str">
        <f ca="1">VLOOKUP($B116,OFFSET([2]quests!$A$1,0,0,COUNTA([2]quests!$A:$A),MATCH(D$1,[2]quests!$1:$1,0)-MATCH($B$1,[2]quests!$1:$1,0)+1),MATCH(D$1,[2]quests!$1:$1,0)-MATCH($B$1,[2]quests!$1:$1,0)+1,FALSE)</f>
        <v>ランキング2（ラグランジュ）</v>
      </c>
      <c r="E116" s="88" t="s">
        <v>225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203</v>
      </c>
      <c r="K116" s="95" t="str">
        <f>VLOOKUP(I116,[7]stage_hints!$A:$C,3,FALSE)</f>
        <v>敵のカウンター攻撃には</v>
      </c>
      <c r="L116" s="96" t="str">
        <f>VLOOKUP(I116,[7]stage_hints!$A:$D,4,FALSE)</f>
        <v>カウンターブレイクスキルを持っていれば_x000D_敵のカウンターを解除して攻撃ができます</v>
      </c>
      <c r="M116" s="57" t="s">
        <v>218</v>
      </c>
    </row>
    <row r="117" spans="1:13" x14ac:dyDescent="0.15">
      <c r="A117" s="82" t="s">
        <v>206</v>
      </c>
      <c r="B117" s="83">
        <f>floors!$C$2</f>
        <v>60010</v>
      </c>
      <c r="C117" s="84" t="str">
        <f ca="1">VLOOKUP($B117,OFFSET([2]quests!$A$1,0,0,COUNTA([2]quests!$A:$A),MATCH(C$1,[2]quests!$1:$1,0)-MATCH($B$1,[2]quests!$1:$1,0)+1),MATCH(C$1,[2]quests!$1:$1,0)-MATCH($B$1,[2]quests!$1:$1,0)+1,FALSE)</f>
        <v>ラグランジュチャレンジ</v>
      </c>
      <c r="D117" s="84" t="str">
        <f ca="1">VLOOKUP($B117,OFFSET([2]quests!$A$1,0,0,COUNTA([2]quests!$A:$A),MATCH(D$1,[2]quests!$1:$1,0)-MATCH($B$1,[2]quests!$1:$1,0)+1),MATCH(D$1,[2]quests!$1:$1,0)-MATCH($B$1,[2]quests!$1:$1,0)+1,FALSE)</f>
        <v>ランキング2（ラグランジュ）</v>
      </c>
      <c r="E117" s="88" t="s">
        <v>225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203</v>
      </c>
      <c r="K117" s="95" t="str">
        <f>VLOOKUP(I117,[7]stage_hints!$A:$C,3,FALSE)</f>
        <v>ステータスをスキルで下げられたら</v>
      </c>
      <c r="L117" s="96" t="str">
        <f>VLOOKUP(I117,[7]stage_hints!$A:$D,4,FALSE)</f>
        <v>ステータスダウンのスキルを受けたら_x000D_ステータスアップスキルで上書きしましょう</v>
      </c>
      <c r="M117" s="57" t="s">
        <v>218</v>
      </c>
    </row>
    <row r="118" spans="1:13" x14ac:dyDescent="0.15">
      <c r="A118" s="82" t="s">
        <v>206</v>
      </c>
      <c r="B118" s="83">
        <f>floors!$C$2</f>
        <v>60010</v>
      </c>
      <c r="C118" s="84" t="str">
        <f ca="1">VLOOKUP($B118,OFFSET([2]quests!$A$1,0,0,COUNTA([2]quests!$A:$A),MATCH(C$1,[2]quests!$1:$1,0)-MATCH($B$1,[2]quests!$1:$1,0)+1),MATCH(C$1,[2]quests!$1:$1,0)-MATCH($B$1,[2]quests!$1:$1,0)+1,FALSE)</f>
        <v>ラグランジュチャレンジ</v>
      </c>
      <c r="D118" s="84" t="str">
        <f ca="1">VLOOKUP($B118,OFFSET([2]quests!$A$1,0,0,COUNTA([2]quests!$A:$A),MATCH(D$1,[2]quests!$1:$1,0)-MATCH($B$1,[2]quests!$1:$1,0)+1),MATCH(D$1,[2]quests!$1:$1,0)-MATCH($B$1,[2]quests!$1:$1,0)+1,FALSE)</f>
        <v>ランキング2（ラグランジュ）</v>
      </c>
      <c r="E118" s="88" t="s">
        <v>225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203</v>
      </c>
      <c r="K118" s="95" t="str">
        <f>VLOOKUP(I118,[7]stage_hints!$A:$C,3,FALSE)</f>
        <v>敵のステータスがスキルで上がったら</v>
      </c>
      <c r="L118" s="96" t="str">
        <f>VLOOKUP(I118,[7]stage_hints!$A:$D,4,FALSE)</f>
        <v>敵のステータスがスキルでアップしたときは_x000D_ステータスダウンスキルで上書きしましょう</v>
      </c>
      <c r="M118" s="57" t="s">
        <v>218</v>
      </c>
    </row>
    <row r="119" spans="1:13" x14ac:dyDescent="0.15">
      <c r="A119" s="82" t="s">
        <v>206</v>
      </c>
      <c r="B119" s="83">
        <f>floors!$C$2</f>
        <v>60010</v>
      </c>
      <c r="C119" s="84" t="str">
        <f ca="1">VLOOKUP($B119,OFFSET([2]quests!$A$1,0,0,COUNTA([2]quests!$A:$A),MATCH(C$1,[2]quests!$1:$1,0)-MATCH($B$1,[2]quests!$1:$1,0)+1),MATCH(C$1,[2]quests!$1:$1,0)-MATCH($B$1,[2]quests!$1:$1,0)+1,FALSE)</f>
        <v>ラグランジュチャレンジ</v>
      </c>
      <c r="D119" s="84" t="str">
        <f ca="1">VLOOKUP($B119,OFFSET([2]quests!$A$1,0,0,COUNTA([2]quests!$A:$A),MATCH(D$1,[2]quests!$1:$1,0)-MATCH($B$1,[2]quests!$1:$1,0)+1),MATCH(D$1,[2]quests!$1:$1,0)-MATCH($B$1,[2]quests!$1:$1,0)+1,FALSE)</f>
        <v>ランキング2（ラグランジュ）</v>
      </c>
      <c r="E119" s="88" t="s">
        <v>225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203</v>
      </c>
      <c r="K119" s="95" t="str">
        <f>VLOOKUP(I119,[7]stage_hints!$A:$C,3,FALSE)</f>
        <v>チャレンジタワーのボス</v>
      </c>
      <c r="L119" s="96" t="str">
        <f>VLOOKUP(I119,[7]stage_hints!$A:$D,4,FALSE)</f>
        <v>チャレンジタワーでのみ登場するボスは_x000D_一定確率で獲得することができます</v>
      </c>
      <c r="M119" s="57" t="s">
        <v>218</v>
      </c>
    </row>
    <row r="120" spans="1:13" x14ac:dyDescent="0.15">
      <c r="A120" s="82" t="s">
        <v>206</v>
      </c>
      <c r="B120" s="83">
        <f>floors!$C$2</f>
        <v>60010</v>
      </c>
      <c r="C120" s="84" t="str">
        <f ca="1">VLOOKUP($B120,OFFSET([2]quests!$A$1,0,0,COUNTA([2]quests!$A:$A),MATCH(C$1,[2]quests!$1:$1,0)-MATCH($B$1,[2]quests!$1:$1,0)+1),MATCH(C$1,[2]quests!$1:$1,0)-MATCH($B$1,[2]quests!$1:$1,0)+1,FALSE)</f>
        <v>ラグランジュチャレンジ</v>
      </c>
      <c r="D120" s="84" t="str">
        <f ca="1">VLOOKUP($B120,OFFSET([2]quests!$A$1,0,0,COUNTA([2]quests!$A:$A),MATCH(D$1,[2]quests!$1:$1,0)-MATCH($B$1,[2]quests!$1:$1,0)+1),MATCH(D$1,[2]quests!$1:$1,0)-MATCH($B$1,[2]quests!$1:$1,0)+1,FALSE)</f>
        <v>ランキング2（ラグランジュ）</v>
      </c>
      <c r="E120" s="88" t="s">
        <v>225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203</v>
      </c>
      <c r="K120" s="95" t="str">
        <f>VLOOKUP(I120,[7]stage_hints!$A:$C,3,FALSE)</f>
        <v>限界突破値の引き継ぎ</v>
      </c>
      <c r="L120" s="96" t="str">
        <f>VLOOKUP(I120,[7]stage_hints!$A:$D,4,FALSE)</f>
        <v>同じユニットを強化で合成すると_x000D_限界突破値を引き継げます（覚醒前後も可）</v>
      </c>
      <c r="M120" s="57" t="s">
        <v>218</v>
      </c>
    </row>
    <row r="121" spans="1:13" x14ac:dyDescent="0.15">
      <c r="A121" s="82" t="s">
        <v>206</v>
      </c>
      <c r="B121" s="83">
        <f>floors!$C$2</f>
        <v>60010</v>
      </c>
      <c r="C121" s="84" t="str">
        <f ca="1">VLOOKUP($B121,OFFSET([2]quests!$A$1,0,0,COUNTA([2]quests!$A:$A),MATCH(C$1,[2]quests!$1:$1,0)-MATCH($B$1,[2]quests!$1:$1,0)+1),MATCH(C$1,[2]quests!$1:$1,0)-MATCH($B$1,[2]quests!$1:$1,0)+1,FALSE)</f>
        <v>ラグランジュチャレンジ</v>
      </c>
      <c r="D121" s="84" t="str">
        <f ca="1">VLOOKUP($B121,OFFSET([2]quests!$A$1,0,0,COUNTA([2]quests!$A:$A),MATCH(D$1,[2]quests!$1:$1,0)-MATCH($B$1,[2]quests!$1:$1,0)+1),MATCH(D$1,[2]quests!$1:$1,0)-MATCH($B$1,[2]quests!$1:$1,0)+1,FALSE)</f>
        <v>ランキング2（ラグランジュ）</v>
      </c>
      <c r="E121" s="88" t="s">
        <v>225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203</v>
      </c>
      <c r="K121" s="95" t="str">
        <f>VLOOKUP(I121,[7]stage_hints!$A:$C,3,FALSE)</f>
        <v>システム適合者を確認</v>
      </c>
      <c r="L121" s="96" t="str">
        <f>VLOOKUP(I121,[7]stage_hints!$A:$D,4,FALSE)</f>
        <v>ALICEが「アナタ」を呼んでいます</v>
      </c>
      <c r="M121" s="57" t="s">
        <v>218</v>
      </c>
    </row>
    <row r="122" spans="1:13" x14ac:dyDescent="0.15">
      <c r="A122" s="82" t="s">
        <v>206</v>
      </c>
      <c r="B122" s="83">
        <f>floors!$C$2</f>
        <v>60010</v>
      </c>
      <c r="C122" s="84" t="str">
        <f ca="1">VLOOKUP($B122,OFFSET([2]quests!$A$1,0,0,COUNTA([2]quests!$A:$A),MATCH(C$1,[2]quests!$1:$1,0)-MATCH($B$1,[2]quests!$1:$1,0)+1),MATCH(C$1,[2]quests!$1:$1,0)-MATCH($B$1,[2]quests!$1:$1,0)+1,FALSE)</f>
        <v>ラグランジュチャレンジ</v>
      </c>
      <c r="D122" s="84" t="str">
        <f ca="1">VLOOKUP($B122,OFFSET([2]quests!$A$1,0,0,COUNTA([2]quests!$A:$A),MATCH(D$1,[2]quests!$1:$1,0)-MATCH($B$1,[2]quests!$1:$1,0)+1),MATCH(D$1,[2]quests!$1:$1,0)-MATCH($B$1,[2]quests!$1:$1,0)+1,FALSE)</f>
        <v>ランキング2（ラグランジュ）</v>
      </c>
      <c r="E122" s="88" t="s">
        <v>226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203</v>
      </c>
      <c r="K122" s="95" t="str">
        <f>VLOOKUP(I122,[7]stage_hints!$A:$C,3,FALSE)</f>
        <v>ユニットのお気に入り登録</v>
      </c>
      <c r="L122" s="96" t="str">
        <f>VLOOKUP(I122,[7]stage_hints!$A:$D,4,FALSE)</f>
        <v>大事なユニットを誤って消さないように_x000D_フォルダから「お気に入り登録」しましょう</v>
      </c>
      <c r="M122" s="57" t="s">
        <v>218</v>
      </c>
    </row>
    <row r="123" spans="1:13" x14ac:dyDescent="0.15">
      <c r="A123" s="82" t="s">
        <v>206</v>
      </c>
      <c r="B123" s="83">
        <f>floors!$C$2</f>
        <v>60010</v>
      </c>
      <c r="C123" s="84" t="str">
        <f ca="1">VLOOKUP($B123,OFFSET([2]quests!$A$1,0,0,COUNTA([2]quests!$A:$A),MATCH(C$1,[2]quests!$1:$1,0)-MATCH($B$1,[2]quests!$1:$1,0)+1),MATCH(C$1,[2]quests!$1:$1,0)-MATCH($B$1,[2]quests!$1:$1,0)+1,FALSE)</f>
        <v>ラグランジュチャレンジ</v>
      </c>
      <c r="D123" s="84" t="str">
        <f ca="1">VLOOKUP($B123,OFFSET([2]quests!$A$1,0,0,COUNTA([2]quests!$A:$A),MATCH(D$1,[2]quests!$1:$1,0)-MATCH($B$1,[2]quests!$1:$1,0)+1),MATCH(D$1,[2]quests!$1:$1,0)-MATCH($B$1,[2]quests!$1:$1,0)+1,FALSE)</f>
        <v>ランキング2（ラグランジュ）</v>
      </c>
      <c r="E123" s="88" t="s">
        <v>226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203</v>
      </c>
      <c r="K123" s="95" t="str">
        <f>VLOOKUP(I123,[7]stage_hints!$A:$C,3,FALSE)</f>
        <v>リンクガチャ</v>
      </c>
      <c r="L123" s="96" t="str">
        <f>VLOOKUP(I123,[7]stage_hints!$A:$D,4,FALSE)</f>
        <v>無料のリンクガチャを回して_x000D_経験値素材や売却素材を獲得しましょう</v>
      </c>
      <c r="M123" s="57" t="s">
        <v>218</v>
      </c>
    </row>
    <row r="124" spans="1:13" x14ac:dyDescent="0.15">
      <c r="A124" s="82" t="s">
        <v>206</v>
      </c>
      <c r="B124" s="83">
        <f>floors!$C$2</f>
        <v>60010</v>
      </c>
      <c r="C124" s="84" t="str">
        <f ca="1">VLOOKUP($B124,OFFSET([2]quests!$A$1,0,0,COUNTA([2]quests!$A:$A),MATCH(C$1,[2]quests!$1:$1,0)-MATCH($B$1,[2]quests!$1:$1,0)+1),MATCH(C$1,[2]quests!$1:$1,0)-MATCH($B$1,[2]quests!$1:$1,0)+1,FALSE)</f>
        <v>ラグランジュチャレンジ</v>
      </c>
      <c r="D124" s="84" t="str">
        <f ca="1">VLOOKUP($B124,OFFSET([2]quests!$A$1,0,0,COUNTA([2]quests!$A:$A),MATCH(D$1,[2]quests!$1:$1,0)-MATCH($B$1,[2]quests!$1:$1,0)+1),MATCH(D$1,[2]quests!$1:$1,0)-MATCH($B$1,[2]quests!$1:$1,0)+1,FALSE)</f>
        <v>ランキング2（ラグランジュ）</v>
      </c>
      <c r="E124" s="88" t="s">
        <v>226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203</v>
      </c>
      <c r="K124" s="95" t="str">
        <f>VLOOKUP(I124,[7]stage_hints!$A:$C,3,FALSE)</f>
        <v>ソロ専用チャレンジタワー</v>
      </c>
      <c r="L124" s="96" t="str">
        <f>VLOOKUP(I124,[7]stage_hints!$A:$D,4,FALSE)</f>
        <v>ソロ専用の「チャレンジタワー」では_x000D_各フロアごとにクリア報酬がもらえます</v>
      </c>
      <c r="M124" s="57" t="s">
        <v>218</v>
      </c>
    </row>
    <row r="125" spans="1:13" x14ac:dyDescent="0.15">
      <c r="A125" s="82" t="s">
        <v>206</v>
      </c>
      <c r="B125" s="83">
        <f>floors!$C$2</f>
        <v>60010</v>
      </c>
      <c r="C125" s="84" t="str">
        <f ca="1">VLOOKUP($B125,OFFSET([2]quests!$A$1,0,0,COUNTA([2]quests!$A:$A),MATCH(C$1,[2]quests!$1:$1,0)-MATCH($B$1,[2]quests!$1:$1,0)+1),MATCH(C$1,[2]quests!$1:$1,0)-MATCH($B$1,[2]quests!$1:$1,0)+1,FALSE)</f>
        <v>ラグランジュチャレンジ</v>
      </c>
      <c r="D125" s="84" t="str">
        <f ca="1">VLOOKUP($B125,OFFSET([2]quests!$A$1,0,0,COUNTA([2]quests!$A:$A),MATCH(D$1,[2]quests!$1:$1,0)-MATCH($B$1,[2]quests!$1:$1,0)+1),MATCH(D$1,[2]quests!$1:$1,0)-MATCH($B$1,[2]quests!$1:$1,0)+1,FALSE)</f>
        <v>ランキング2（ラグランジュ）</v>
      </c>
      <c r="E125" s="88" t="s">
        <v>226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203</v>
      </c>
      <c r="K125" s="95" t="str">
        <f>VLOOKUP(I125,[7]stage_hints!$A:$C,3,FALSE)</f>
        <v>スキルを有効に</v>
      </c>
      <c r="L125" s="96" t="str">
        <f>VLOOKUP(I125,[7]stage_hints!$A:$D,4,FALSE)</f>
        <v>ターン経過でユニットのスキルが使えます_x000D_強力スキルでバトルを有利に進めましょう</v>
      </c>
      <c r="M125" s="57" t="s">
        <v>218</v>
      </c>
    </row>
    <row r="126" spans="1:13" x14ac:dyDescent="0.15">
      <c r="A126" s="82" t="s">
        <v>206</v>
      </c>
      <c r="B126" s="83">
        <f>floors!$C$2</f>
        <v>60010</v>
      </c>
      <c r="C126" s="84" t="str">
        <f ca="1">VLOOKUP($B126,OFFSET([2]quests!$A$1,0,0,COUNTA([2]quests!$A:$A),MATCH(C$1,[2]quests!$1:$1,0)-MATCH($B$1,[2]quests!$1:$1,0)+1),MATCH(C$1,[2]quests!$1:$1,0)-MATCH($B$1,[2]quests!$1:$1,0)+1,FALSE)</f>
        <v>ラグランジュチャレンジ</v>
      </c>
      <c r="D126" s="84" t="str">
        <f ca="1">VLOOKUP($B126,OFFSET([2]quests!$A$1,0,0,COUNTA([2]quests!$A:$A),MATCH(D$1,[2]quests!$1:$1,0)-MATCH($B$1,[2]quests!$1:$1,0)+1),MATCH(D$1,[2]quests!$1:$1,0)-MATCH($B$1,[2]quests!$1:$1,0)+1,FALSE)</f>
        <v>ランキング2（ラグランジュ）</v>
      </c>
      <c r="E126" s="88" t="s">
        <v>226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203</v>
      </c>
      <c r="K126" s="95" t="str">
        <f>VLOOKUP(I126,[7]stage_hints!$A:$C,3,FALSE)</f>
        <v>「バグ」のメリット</v>
      </c>
      <c r="L126" s="96" t="str">
        <f>VLOOKUP(I126,[7]stage_hints!$A:$D,4,FALSE)</f>
        <v>ユニットの「バグ」を増やすと_x000D_報酬をもらえる確率がアップします</v>
      </c>
      <c r="M126" s="57" t="s">
        <v>218</v>
      </c>
    </row>
    <row r="127" spans="1:13" x14ac:dyDescent="0.15">
      <c r="A127" s="82" t="s">
        <v>206</v>
      </c>
      <c r="B127" s="83">
        <f>floors!$C$2</f>
        <v>60010</v>
      </c>
      <c r="C127" s="84" t="str">
        <f ca="1">VLOOKUP($B127,OFFSET([2]quests!$A$1,0,0,COUNTA([2]quests!$A:$A),MATCH(C$1,[2]quests!$1:$1,0)-MATCH($B$1,[2]quests!$1:$1,0)+1),MATCH(C$1,[2]quests!$1:$1,0)-MATCH($B$1,[2]quests!$1:$1,0)+1,FALSE)</f>
        <v>ラグランジュチャレンジ</v>
      </c>
      <c r="D127" s="84" t="str">
        <f ca="1">VLOOKUP($B127,OFFSET([2]quests!$A$1,0,0,COUNTA([2]quests!$A:$A),MATCH(D$1,[2]quests!$1:$1,0)-MATCH($B$1,[2]quests!$1:$1,0)+1),MATCH(D$1,[2]quests!$1:$1,0)-MATCH($B$1,[2]quests!$1:$1,0)+1,FALSE)</f>
        <v>ランキング2（ラグランジュ）</v>
      </c>
      <c r="E127" s="88" t="s">
        <v>226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203</v>
      </c>
      <c r="K127" s="95" t="str">
        <f>VLOOKUP(I127,[7]stage_hints!$A:$C,3,FALSE)</f>
        <v>「バグ」の増やし方</v>
      </c>
      <c r="L127" s="96" t="str">
        <f>VLOOKUP(I127,[7]stage_hints!$A:$D,4,FALSE)</f>
        <v>同じユニット同士を強化で合成すると_x000D_「バグ」を増やすことができます</v>
      </c>
      <c r="M127" s="57" t="s">
        <v>218</v>
      </c>
    </row>
    <row r="128" spans="1:13" x14ac:dyDescent="0.15">
      <c r="A128" s="82" t="s">
        <v>206</v>
      </c>
      <c r="B128" s="83">
        <f>floors!$C$2</f>
        <v>60010</v>
      </c>
      <c r="C128" s="84" t="str">
        <f ca="1">VLOOKUP($B128,OFFSET([2]quests!$A$1,0,0,COUNTA([2]quests!$A:$A),MATCH(C$1,[2]quests!$1:$1,0)-MATCH($B$1,[2]quests!$1:$1,0)+1),MATCH(C$1,[2]quests!$1:$1,0)-MATCH($B$1,[2]quests!$1:$1,0)+1,FALSE)</f>
        <v>ラグランジュチャレンジ</v>
      </c>
      <c r="D128" s="84" t="str">
        <f ca="1">VLOOKUP($B128,OFFSET([2]quests!$A$1,0,0,COUNTA([2]quests!$A:$A),MATCH(D$1,[2]quests!$1:$1,0)-MATCH($B$1,[2]quests!$1:$1,0)+1),MATCH(D$1,[2]quests!$1:$1,0)-MATCH($B$1,[2]quests!$1:$1,0)+1,FALSE)</f>
        <v>ランキング2（ラグランジュ）</v>
      </c>
      <c r="E128" s="88" t="s">
        <v>226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203</v>
      </c>
      <c r="K128" s="95" t="str">
        <f>VLOOKUP(I128,[7]stage_hints!$A:$C,3,FALSE)</f>
        <v>敵の連続攻撃には</v>
      </c>
      <c r="L128" s="96" t="str">
        <f>VLOOKUP(I128,[7]stage_hints!$A:$D,4,FALSE)</f>
        <v>カウンタースキルを持つユニットがいれば_x000D_ダメージ回数分の反撃ができます</v>
      </c>
      <c r="M128" s="57" t="s">
        <v>218</v>
      </c>
    </row>
    <row r="129" spans="1:13" x14ac:dyDescent="0.15">
      <c r="A129" s="82" t="s">
        <v>206</v>
      </c>
      <c r="B129" s="83">
        <f>floors!$C$2</f>
        <v>60010</v>
      </c>
      <c r="C129" s="84" t="str">
        <f ca="1">VLOOKUP($B129,OFFSET([2]quests!$A$1,0,0,COUNTA([2]quests!$A:$A),MATCH(C$1,[2]quests!$1:$1,0)-MATCH($B$1,[2]quests!$1:$1,0)+1),MATCH(C$1,[2]quests!$1:$1,0)-MATCH($B$1,[2]quests!$1:$1,0)+1,FALSE)</f>
        <v>ラグランジュチャレンジ</v>
      </c>
      <c r="D129" s="84" t="str">
        <f ca="1">VLOOKUP($B129,OFFSET([2]quests!$A$1,0,0,COUNTA([2]quests!$A:$A),MATCH(D$1,[2]quests!$1:$1,0)-MATCH($B$1,[2]quests!$1:$1,0)+1),MATCH(D$1,[2]quests!$1:$1,0)-MATCH($B$1,[2]quests!$1:$1,0)+1,FALSE)</f>
        <v>ランキング2（ラグランジュ）</v>
      </c>
      <c r="E129" s="88" t="s">
        <v>226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203</v>
      </c>
      <c r="K129" s="95" t="str">
        <f>VLOOKUP(I129,[7]stage_hints!$A:$C,3,FALSE)</f>
        <v>敵のカウンター攻撃には</v>
      </c>
      <c r="L129" s="96" t="str">
        <f>VLOOKUP(I129,[7]stage_hints!$A:$D,4,FALSE)</f>
        <v>カウンターブレイクスキルを持っていれば_x000D_敵のカウンターを解除して攻撃ができます</v>
      </c>
      <c r="M129" s="57" t="s">
        <v>218</v>
      </c>
    </row>
    <row r="130" spans="1:13" x14ac:dyDescent="0.15">
      <c r="A130" s="82" t="s">
        <v>206</v>
      </c>
      <c r="B130" s="83">
        <f>floors!$C$2</f>
        <v>60010</v>
      </c>
      <c r="C130" s="84" t="str">
        <f ca="1">VLOOKUP($B130,OFFSET([2]quests!$A$1,0,0,COUNTA([2]quests!$A:$A),MATCH(C$1,[2]quests!$1:$1,0)-MATCH($B$1,[2]quests!$1:$1,0)+1),MATCH(C$1,[2]quests!$1:$1,0)-MATCH($B$1,[2]quests!$1:$1,0)+1,FALSE)</f>
        <v>ラグランジュチャレンジ</v>
      </c>
      <c r="D130" s="84" t="str">
        <f ca="1">VLOOKUP($B130,OFFSET([2]quests!$A$1,0,0,COUNTA([2]quests!$A:$A),MATCH(D$1,[2]quests!$1:$1,0)-MATCH($B$1,[2]quests!$1:$1,0)+1),MATCH(D$1,[2]quests!$1:$1,0)-MATCH($B$1,[2]quests!$1:$1,0)+1,FALSE)</f>
        <v>ランキング2（ラグランジュ）</v>
      </c>
      <c r="E130" s="88" t="s">
        <v>226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203</v>
      </c>
      <c r="K130" s="95" t="str">
        <f>VLOOKUP(I130,[7]stage_hints!$A:$C,3,FALSE)</f>
        <v>ステータスをスキルで下げられたら</v>
      </c>
      <c r="L130" s="96" t="str">
        <f>VLOOKUP(I130,[7]stage_hints!$A:$D,4,FALSE)</f>
        <v>ステータスダウンのスキルを受けたら_x000D_ステータスアップスキルで上書きしましょう</v>
      </c>
      <c r="M130" s="57" t="s">
        <v>218</v>
      </c>
    </row>
    <row r="131" spans="1:13" x14ac:dyDescent="0.15">
      <c r="A131" s="82" t="s">
        <v>206</v>
      </c>
      <c r="B131" s="83">
        <f>floors!$C$2</f>
        <v>60010</v>
      </c>
      <c r="C131" s="84" t="str">
        <f ca="1">VLOOKUP($B131,OFFSET([2]quests!$A$1,0,0,COUNTA([2]quests!$A:$A),MATCH(C$1,[2]quests!$1:$1,0)-MATCH($B$1,[2]quests!$1:$1,0)+1),MATCH(C$1,[2]quests!$1:$1,0)-MATCH($B$1,[2]quests!$1:$1,0)+1,FALSE)</f>
        <v>ラグランジュチャレンジ</v>
      </c>
      <c r="D131" s="84" t="str">
        <f ca="1">VLOOKUP($B131,OFFSET([2]quests!$A$1,0,0,COUNTA([2]quests!$A:$A),MATCH(D$1,[2]quests!$1:$1,0)-MATCH($B$1,[2]quests!$1:$1,0)+1),MATCH(D$1,[2]quests!$1:$1,0)-MATCH($B$1,[2]quests!$1:$1,0)+1,FALSE)</f>
        <v>ランキング2（ラグランジュ）</v>
      </c>
      <c r="E131" s="88" t="s">
        <v>226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203</v>
      </c>
      <c r="K131" s="95" t="str">
        <f>VLOOKUP(I131,[7]stage_hints!$A:$C,3,FALSE)</f>
        <v>敵のステータスがスキルで上がったら</v>
      </c>
      <c r="L131" s="96" t="str">
        <f>VLOOKUP(I131,[7]stage_hints!$A:$D,4,FALSE)</f>
        <v>敵のステータスがスキルでアップしたときは_x000D_ステータスダウンスキルで上書きしましょう</v>
      </c>
      <c r="M131" s="57" t="s">
        <v>218</v>
      </c>
    </row>
    <row r="132" spans="1:13" x14ac:dyDescent="0.15">
      <c r="A132" s="82" t="s">
        <v>206</v>
      </c>
      <c r="B132" s="83">
        <f>floors!$C$2</f>
        <v>60010</v>
      </c>
      <c r="C132" s="84" t="str">
        <f ca="1">VLOOKUP($B132,OFFSET([2]quests!$A$1,0,0,COUNTA([2]quests!$A:$A),MATCH(C$1,[2]quests!$1:$1,0)-MATCH($B$1,[2]quests!$1:$1,0)+1),MATCH(C$1,[2]quests!$1:$1,0)-MATCH($B$1,[2]quests!$1:$1,0)+1,FALSE)</f>
        <v>ラグランジュチャレンジ</v>
      </c>
      <c r="D132" s="84" t="str">
        <f ca="1">VLOOKUP($B132,OFFSET([2]quests!$A$1,0,0,COUNTA([2]quests!$A:$A),MATCH(D$1,[2]quests!$1:$1,0)-MATCH($B$1,[2]quests!$1:$1,0)+1),MATCH(D$1,[2]quests!$1:$1,0)-MATCH($B$1,[2]quests!$1:$1,0)+1,FALSE)</f>
        <v>ランキング2（ラグランジュ）</v>
      </c>
      <c r="E132" s="88" t="s">
        <v>226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203</v>
      </c>
      <c r="K132" s="95" t="str">
        <f>VLOOKUP(I132,[7]stage_hints!$A:$C,3,FALSE)</f>
        <v>チャレンジタワーのボス</v>
      </c>
      <c r="L132" s="96" t="str">
        <f>VLOOKUP(I132,[7]stage_hints!$A:$D,4,FALSE)</f>
        <v>チャレンジタワーでのみ登場するボスは_x000D_一定確率で獲得することができます</v>
      </c>
      <c r="M132" s="57" t="s">
        <v>218</v>
      </c>
    </row>
    <row r="133" spans="1:13" x14ac:dyDescent="0.15">
      <c r="A133" s="82" t="s">
        <v>206</v>
      </c>
      <c r="B133" s="83">
        <f>floors!$C$2</f>
        <v>60010</v>
      </c>
      <c r="C133" s="84" t="str">
        <f ca="1">VLOOKUP($B133,OFFSET([2]quests!$A$1,0,0,COUNTA([2]quests!$A:$A),MATCH(C$1,[2]quests!$1:$1,0)-MATCH($B$1,[2]quests!$1:$1,0)+1),MATCH(C$1,[2]quests!$1:$1,0)-MATCH($B$1,[2]quests!$1:$1,0)+1,FALSE)</f>
        <v>ラグランジュチャレンジ</v>
      </c>
      <c r="D133" s="84" t="str">
        <f ca="1">VLOOKUP($B133,OFFSET([2]quests!$A$1,0,0,COUNTA([2]quests!$A:$A),MATCH(D$1,[2]quests!$1:$1,0)-MATCH($B$1,[2]quests!$1:$1,0)+1),MATCH(D$1,[2]quests!$1:$1,0)-MATCH($B$1,[2]quests!$1:$1,0)+1,FALSE)</f>
        <v>ランキング2（ラグランジュ）</v>
      </c>
      <c r="E133" s="88" t="s">
        <v>226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203</v>
      </c>
      <c r="K133" s="95" t="str">
        <f>VLOOKUP(I133,[7]stage_hints!$A:$C,3,FALSE)</f>
        <v>限界突破値の引き継ぎ</v>
      </c>
      <c r="L133" s="96" t="str">
        <f>VLOOKUP(I133,[7]stage_hints!$A:$D,4,FALSE)</f>
        <v>同じユニットを強化で合成すると_x000D_限界突破値を引き継げます（覚醒前後も可）</v>
      </c>
      <c r="M133" s="57" t="s">
        <v>218</v>
      </c>
    </row>
    <row r="134" spans="1:13" x14ac:dyDescent="0.15">
      <c r="A134" s="82" t="s">
        <v>206</v>
      </c>
      <c r="B134" s="83">
        <f>floors!$C$2</f>
        <v>60010</v>
      </c>
      <c r="C134" s="84" t="str">
        <f ca="1">VLOOKUP($B134,OFFSET([2]quests!$A$1,0,0,COUNTA([2]quests!$A:$A),MATCH(C$1,[2]quests!$1:$1,0)-MATCH($B$1,[2]quests!$1:$1,0)+1),MATCH(C$1,[2]quests!$1:$1,0)-MATCH($B$1,[2]quests!$1:$1,0)+1,FALSE)</f>
        <v>ラグランジュチャレンジ</v>
      </c>
      <c r="D134" s="84" t="str">
        <f ca="1">VLOOKUP($B134,OFFSET([2]quests!$A$1,0,0,COUNTA([2]quests!$A:$A),MATCH(D$1,[2]quests!$1:$1,0)-MATCH($B$1,[2]quests!$1:$1,0)+1),MATCH(D$1,[2]quests!$1:$1,0)-MATCH($B$1,[2]quests!$1:$1,0)+1,FALSE)</f>
        <v>ランキング2（ラグランジュ）</v>
      </c>
      <c r="E134" s="88" t="s">
        <v>226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203</v>
      </c>
      <c r="K134" s="95" t="str">
        <f>VLOOKUP(I134,[7]stage_hints!$A:$C,3,FALSE)</f>
        <v>システム適合者を確認</v>
      </c>
      <c r="L134" s="96" t="str">
        <f>VLOOKUP(I134,[7]stage_hints!$A:$D,4,FALSE)</f>
        <v>ALICEが「アナタ」を呼んでいます</v>
      </c>
      <c r="M134" s="57" t="s">
        <v>218</v>
      </c>
    </row>
  </sheetData>
  <phoneticPr fontId="7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tabSelected="1" workbookViewId="0">
      <pane ySplit="1" topLeftCell="A2" activePane="bottomLeft" state="frozen"/>
      <selection pane="bottomLeft" activeCell="F9" sqref="F9"/>
    </sheetView>
  </sheetViews>
  <sheetFormatPr baseColWidth="12" defaultColWidth="13" defaultRowHeight="15" outlineLevelCol="1" x14ac:dyDescent="0.15"/>
  <cols>
    <col min="1" max="1" width="13" style="9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193</v>
      </c>
      <c r="B1" s="73" t="s">
        <v>154</v>
      </c>
      <c r="C1" s="78" t="s">
        <v>195</v>
      </c>
      <c r="D1" s="78" t="s">
        <v>33</v>
      </c>
      <c r="E1" s="73" t="s">
        <v>196</v>
      </c>
      <c r="F1" s="78" t="s">
        <v>18</v>
      </c>
      <c r="G1" s="78" t="s">
        <v>33</v>
      </c>
      <c r="H1" s="73" t="s">
        <v>198</v>
      </c>
      <c r="I1" s="91" t="s">
        <v>199</v>
      </c>
      <c r="J1" s="93" t="s">
        <v>200</v>
      </c>
      <c r="K1" s="80" t="s">
        <v>130</v>
      </c>
      <c r="L1" s="79" t="s">
        <v>191</v>
      </c>
      <c r="M1" s="94" t="s">
        <v>190</v>
      </c>
      <c r="N1" s="81" t="s">
        <v>201</v>
      </c>
    </row>
    <row r="2" spans="1:14" x14ac:dyDescent="0.15">
      <c r="A2" s="82" t="s">
        <v>202</v>
      </c>
      <c r="B2" s="83">
        <f>floors!$C$2</f>
        <v>60010</v>
      </c>
      <c r="C2" s="84" t="str">
        <f ca="1">VLOOKUP($B2,OFFSET([2]quests!$A$1,0,0,COUNTA([2]quests!$A:$A),MATCH(C$1,[2]quests!$1:$1,0)-MATCH($B$1,[2]quests!$1:$1,0)+1),MATCH(C$1,[2]quests!$1:$1,0)-MATCH($B$1,[2]quests!$1:$1,0)+1,FALSE)</f>
        <v>ラグランジュチャレンジ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ランキング2（ラグランジュ）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【ウィザード級】ラグランジュチャレンジ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ランキング2（ラグランジュ）</v>
      </c>
      <c r="H2" s="86">
        <v>0</v>
      </c>
      <c r="I2" s="92">
        <f>ROW()-1</f>
        <v>1</v>
      </c>
      <c r="J2" s="87" t="str">
        <f>B2&amp;TEXT(I2,"00")</f>
        <v>6001001</v>
      </c>
      <c r="K2" s="85" t="s">
        <v>203</v>
      </c>
      <c r="L2" s="88" t="s">
        <v>204</v>
      </c>
      <c r="M2" s="89" t="s">
        <v>207</v>
      </c>
      <c r="N2" s="57" t="s">
        <v>205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"/>
  <sheetViews>
    <sheetView workbookViewId="0"/>
  </sheetViews>
  <sheetFormatPr baseColWidth="12" defaultRowHeight="15" x14ac:dyDescent="0.15"/>
  <sheetData/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2016-05-23T07:51:45Z</dcterms:modified>
</cp:coreProperties>
</file>