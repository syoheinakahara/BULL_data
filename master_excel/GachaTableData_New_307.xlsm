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722" codeName="{00000000-0000-0000-0000-000000000000}"/>
  <workbookPr showInkAnnotation="0" codeName="ThisWorkbook" autoCompressPictures="0"/>
  <bookViews>
    <workbookView xWindow="0" yWindow="0" windowWidth="25600" windowHeight="16060" tabRatio="943" activeTab="1"/>
  </bookViews>
  <sheets>
    <sheet name="output" sheetId="103" r:id="rId1"/>
    <sheet name="gacha_307_base" sheetId="94" r:id="rId2"/>
    <sheet name="gacha_select_tables" sheetId="82" r:id="rId3"/>
    <sheet name="gacha_settle_tables" sheetId="96" r:id="rId4"/>
    <sheet name="gacha_bonus_tables" sheetId="98" r:id="rId5"/>
    <sheet name="bug_conf_sheet" sheetId="104" r:id="rId6"/>
    <sheet name="check_sheet" sheetId="105" r:id="rId7"/>
  </sheets>
  <externalReferences>
    <externalReference r:id="rId8"/>
  </externalReferences>
  <definedNames>
    <definedName name="_xlnm._FilterDatabase" localSheetId="1" hidden="1">gacha_307_base!$A$37:$B$63</definedName>
    <definedName name="_xlnm._FilterDatabase" localSheetId="4" hidden="1">gacha_bonus_tables!$B$1:$G$1</definedName>
    <definedName name="_xlnm._FilterDatabase" localSheetId="2" hidden="1">gacha_select_tables!$A$1:$S$160</definedName>
    <definedName name="_xlnm._FilterDatabase" localSheetId="3" hidden="1">gacha_settle_tables!$A$1:$R$5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82" l="1"/>
  <c r="B3" i="82"/>
  <c r="B4" i="82"/>
  <c r="B5" i="82"/>
  <c r="B6" i="82"/>
  <c r="B7" i="82"/>
  <c r="B8" i="82"/>
  <c r="B9" i="82"/>
  <c r="B10" i="82"/>
  <c r="B11" i="82"/>
  <c r="B12" i="82"/>
  <c r="B13" i="82"/>
  <c r="B14" i="82"/>
  <c r="B15" i="82"/>
  <c r="B16" i="82"/>
  <c r="B17" i="82"/>
  <c r="B18" i="82"/>
  <c r="B19" i="82"/>
  <c r="B20" i="82"/>
  <c r="B21" i="82"/>
  <c r="B22" i="82"/>
  <c r="B23" i="82"/>
  <c r="B24" i="82"/>
  <c r="B25" i="82"/>
  <c r="B26" i="82"/>
  <c r="B27" i="82"/>
  <c r="B28" i="82"/>
  <c r="B29" i="82"/>
  <c r="B30" i="82"/>
  <c r="B31" i="82"/>
  <c r="B32" i="82"/>
  <c r="B33" i="82"/>
  <c r="B34" i="82"/>
  <c r="B35" i="82"/>
  <c r="B36" i="82"/>
  <c r="B37" i="82"/>
  <c r="B38" i="82"/>
  <c r="B39" i="82"/>
  <c r="B40" i="82"/>
  <c r="B41" i="82"/>
  <c r="B42" i="82"/>
  <c r="B43" i="82"/>
  <c r="B44" i="82"/>
  <c r="B45" i="82"/>
  <c r="B46" i="82"/>
  <c r="B47" i="82"/>
  <c r="B48" i="82"/>
  <c r="B49" i="82"/>
  <c r="B50" i="82"/>
  <c r="B51" i="82"/>
  <c r="B52" i="82"/>
  <c r="B53" i="82"/>
  <c r="B54" i="82"/>
  <c r="B55" i="82"/>
  <c r="B56" i="82"/>
  <c r="B57" i="82"/>
  <c r="B58" i="82"/>
  <c r="B59" i="82"/>
  <c r="B60" i="82"/>
  <c r="B61" i="82"/>
  <c r="B62" i="82"/>
  <c r="B63" i="82"/>
  <c r="B64" i="82"/>
  <c r="B65" i="82"/>
  <c r="B66" i="82"/>
  <c r="B67" i="82"/>
  <c r="B68" i="82"/>
  <c r="B69" i="82"/>
  <c r="B70" i="82"/>
  <c r="B71" i="82"/>
  <c r="B72" i="82"/>
  <c r="B73" i="82"/>
  <c r="B74" i="82"/>
  <c r="B75" i="82"/>
  <c r="B76" i="82"/>
  <c r="B77" i="82"/>
  <c r="B78" i="82"/>
  <c r="B79" i="82"/>
  <c r="B80" i="82"/>
  <c r="B81" i="82"/>
  <c r="B82" i="82"/>
  <c r="B83" i="82"/>
  <c r="B84" i="82"/>
  <c r="B85" i="82"/>
  <c r="B86" i="82"/>
  <c r="B87" i="82"/>
  <c r="B88" i="82"/>
  <c r="B89" i="82"/>
  <c r="B90" i="82"/>
  <c r="B91" i="82"/>
  <c r="B92" i="82"/>
  <c r="B93" i="82"/>
  <c r="H2" i="82"/>
  <c r="I2" i="82"/>
  <c r="D2" i="82"/>
  <c r="H3" i="82"/>
  <c r="I3" i="82"/>
  <c r="D3" i="82"/>
  <c r="H4" i="82"/>
  <c r="I4" i="82"/>
  <c r="D4" i="82"/>
  <c r="H5" i="82"/>
  <c r="I5" i="82"/>
  <c r="D5" i="82"/>
  <c r="H6" i="82"/>
  <c r="I6" i="82"/>
  <c r="D6" i="82"/>
  <c r="H7" i="82"/>
  <c r="I7" i="82"/>
  <c r="D7" i="82"/>
  <c r="H8" i="82"/>
  <c r="I8" i="82"/>
  <c r="D8" i="82"/>
  <c r="H9" i="82"/>
  <c r="I9" i="82"/>
  <c r="D9" i="82"/>
  <c r="H10" i="82"/>
  <c r="I10" i="82"/>
  <c r="D10" i="82"/>
  <c r="H11" i="82"/>
  <c r="I11" i="82"/>
  <c r="D11" i="82"/>
  <c r="H12" i="82"/>
  <c r="I12" i="82"/>
  <c r="D12" i="82"/>
  <c r="H13" i="82"/>
  <c r="I13" i="82"/>
  <c r="D13" i="82"/>
  <c r="H14" i="82"/>
  <c r="I14" i="82"/>
  <c r="D14" i="82"/>
  <c r="H15" i="82"/>
  <c r="I15" i="82"/>
  <c r="D15" i="82"/>
  <c r="H16" i="82"/>
  <c r="I16" i="82"/>
  <c r="D16" i="82"/>
  <c r="H17" i="82"/>
  <c r="I17" i="82"/>
  <c r="D17" i="82"/>
  <c r="H18" i="82"/>
  <c r="I18" i="82"/>
  <c r="D18" i="82"/>
  <c r="H19" i="82"/>
  <c r="I19" i="82"/>
  <c r="D19" i="82"/>
  <c r="H20" i="82"/>
  <c r="I20" i="82"/>
  <c r="D20" i="82"/>
  <c r="H21" i="82"/>
  <c r="I21" i="82"/>
  <c r="D21" i="82"/>
  <c r="H22" i="82"/>
  <c r="I22" i="82"/>
  <c r="D22" i="82"/>
  <c r="H23" i="82"/>
  <c r="I23" i="82"/>
  <c r="D23" i="82"/>
  <c r="H24" i="82"/>
  <c r="I24" i="82"/>
  <c r="D24" i="82"/>
  <c r="H25" i="82"/>
  <c r="I25" i="82"/>
  <c r="D25" i="82"/>
  <c r="H26" i="82"/>
  <c r="I26" i="82"/>
  <c r="D26" i="82"/>
  <c r="H27" i="82"/>
  <c r="I27" i="82"/>
  <c r="D27" i="82"/>
  <c r="H28" i="82"/>
  <c r="I28" i="82"/>
  <c r="D28" i="82"/>
  <c r="H29" i="82"/>
  <c r="I29" i="82"/>
  <c r="D29" i="82"/>
  <c r="H30" i="82"/>
  <c r="I30" i="82"/>
  <c r="D30" i="82"/>
  <c r="H31" i="82"/>
  <c r="I31" i="82"/>
  <c r="D31" i="82"/>
  <c r="H32" i="82"/>
  <c r="I32" i="82"/>
  <c r="D32" i="82"/>
  <c r="H33" i="82"/>
  <c r="I33" i="82"/>
  <c r="D33" i="82"/>
  <c r="H34" i="82"/>
  <c r="I34" i="82"/>
  <c r="D34" i="82"/>
  <c r="H35" i="82"/>
  <c r="I35" i="82"/>
  <c r="D35" i="82"/>
  <c r="H36" i="82"/>
  <c r="I36" i="82"/>
  <c r="D36" i="82"/>
  <c r="H37" i="82"/>
  <c r="I37" i="82"/>
  <c r="D37" i="82"/>
  <c r="H38" i="82"/>
  <c r="I38" i="82"/>
  <c r="D38" i="82"/>
  <c r="H39" i="82"/>
  <c r="I39" i="82"/>
  <c r="D39" i="82"/>
  <c r="H40" i="82"/>
  <c r="I40" i="82"/>
  <c r="D40" i="82"/>
  <c r="H41" i="82"/>
  <c r="I41" i="82"/>
  <c r="D41" i="82"/>
  <c r="H42" i="82"/>
  <c r="I42" i="82"/>
  <c r="D42" i="82"/>
  <c r="H43" i="82"/>
  <c r="I43" i="82"/>
  <c r="D43" i="82"/>
  <c r="H44" i="82"/>
  <c r="I44" i="82"/>
  <c r="D44" i="82"/>
  <c r="H45" i="82"/>
  <c r="I45" i="82"/>
  <c r="D45" i="82"/>
  <c r="H46" i="82"/>
  <c r="I46" i="82"/>
  <c r="D46" i="82"/>
  <c r="H47" i="82"/>
  <c r="I47" i="82"/>
  <c r="D47" i="82"/>
  <c r="H48" i="82"/>
  <c r="I48" i="82"/>
  <c r="D48" i="82"/>
  <c r="H49" i="82"/>
  <c r="I49" i="82"/>
  <c r="D49" i="82"/>
  <c r="H50" i="82"/>
  <c r="I50" i="82"/>
  <c r="D50" i="82"/>
  <c r="H51" i="82"/>
  <c r="I51" i="82"/>
  <c r="D51" i="82"/>
  <c r="H52" i="82"/>
  <c r="I52" i="82"/>
  <c r="D52" i="82"/>
  <c r="H53" i="82"/>
  <c r="I53" i="82"/>
  <c r="D53" i="82"/>
  <c r="H54" i="82"/>
  <c r="I54" i="82"/>
  <c r="D54" i="82"/>
  <c r="H55" i="82"/>
  <c r="I55" i="82"/>
  <c r="D55" i="82"/>
  <c r="H56" i="82"/>
  <c r="I56" i="82"/>
  <c r="D56" i="82"/>
  <c r="H57" i="82"/>
  <c r="I57" i="82"/>
  <c r="D57" i="82"/>
  <c r="H58" i="82"/>
  <c r="I58" i="82"/>
  <c r="D58" i="82"/>
  <c r="H59" i="82"/>
  <c r="I59" i="82"/>
  <c r="D59" i="82"/>
  <c r="H60" i="82"/>
  <c r="I60" i="82"/>
  <c r="D60" i="82"/>
  <c r="H61" i="82"/>
  <c r="I61" i="82"/>
  <c r="D61" i="82"/>
  <c r="H62" i="82"/>
  <c r="I62" i="82"/>
  <c r="D62" i="82"/>
  <c r="H63" i="82"/>
  <c r="I63" i="82"/>
  <c r="D63" i="82"/>
  <c r="H64" i="82"/>
  <c r="I64" i="82"/>
  <c r="D64" i="82"/>
  <c r="H65" i="82"/>
  <c r="I65" i="82"/>
  <c r="D65" i="82"/>
  <c r="H66" i="82"/>
  <c r="I66" i="82"/>
  <c r="D66" i="82"/>
  <c r="H67" i="82"/>
  <c r="I67" i="82"/>
  <c r="D67" i="82"/>
  <c r="H68" i="82"/>
  <c r="I68" i="82"/>
  <c r="D68" i="82"/>
  <c r="H69" i="82"/>
  <c r="I69" i="82"/>
  <c r="D69" i="82"/>
  <c r="H70" i="82"/>
  <c r="I70" i="82"/>
  <c r="D70" i="82"/>
  <c r="H71" i="82"/>
  <c r="I71" i="82"/>
  <c r="D71" i="82"/>
  <c r="H72" i="82"/>
  <c r="I72" i="82"/>
  <c r="D72" i="82"/>
  <c r="H73" i="82"/>
  <c r="I73" i="82"/>
  <c r="D73" i="82"/>
  <c r="H74" i="82"/>
  <c r="I74" i="82"/>
  <c r="D74" i="82"/>
  <c r="H75" i="82"/>
  <c r="I75" i="82"/>
  <c r="D75" i="82"/>
  <c r="H76" i="82"/>
  <c r="I76" i="82"/>
  <c r="D76" i="82"/>
  <c r="H77" i="82"/>
  <c r="I77" i="82"/>
  <c r="D77" i="82"/>
  <c r="H78" i="82"/>
  <c r="I78" i="82"/>
  <c r="D78" i="82"/>
  <c r="H79" i="82"/>
  <c r="I79" i="82"/>
  <c r="D79" i="82"/>
  <c r="H80" i="82"/>
  <c r="I80" i="82"/>
  <c r="D80" i="82"/>
  <c r="H81" i="82"/>
  <c r="I81" i="82"/>
  <c r="D81" i="82"/>
  <c r="H82" i="82"/>
  <c r="I82" i="82"/>
  <c r="D82" i="82"/>
  <c r="H83" i="82"/>
  <c r="I83" i="82"/>
  <c r="D83" i="82"/>
  <c r="H84" i="82"/>
  <c r="I84" i="82"/>
  <c r="D84" i="82"/>
  <c r="H85" i="82"/>
  <c r="I85" i="82"/>
  <c r="D85" i="82"/>
  <c r="H86" i="82"/>
  <c r="I86" i="82"/>
  <c r="D86" i="82"/>
  <c r="H87" i="82"/>
  <c r="I87" i="82"/>
  <c r="D87" i="82"/>
  <c r="H88" i="82"/>
  <c r="I88" i="82"/>
  <c r="D88" i="82"/>
  <c r="H89" i="82"/>
  <c r="I89" i="82"/>
  <c r="D89" i="82"/>
  <c r="H90" i="82"/>
  <c r="I90" i="82"/>
  <c r="D90" i="82"/>
  <c r="H91" i="82"/>
  <c r="I91" i="82"/>
  <c r="D91" i="82"/>
  <c r="H92" i="82"/>
  <c r="I92" i="82"/>
  <c r="D92" i="82"/>
  <c r="H93" i="82"/>
  <c r="I93" i="82"/>
  <c r="D93" i="82"/>
  <c r="B3" i="104"/>
  <c r="B4" i="104"/>
  <c r="B5" i="104"/>
  <c r="B6" i="104"/>
  <c r="B7" i="104"/>
  <c r="B8" i="104"/>
  <c r="B9" i="104"/>
  <c r="B10" i="104"/>
  <c r="B11" i="104"/>
  <c r="B2" i="104"/>
  <c r="A6" i="94"/>
  <c r="A3" i="94"/>
  <c r="A4" i="94"/>
  <c r="A5" i="94"/>
  <c r="A7" i="94"/>
  <c r="A8" i="94"/>
  <c r="A9" i="94"/>
  <c r="A2" i="94"/>
  <c r="A12" i="94"/>
  <c r="A13" i="94"/>
  <c r="A14" i="94"/>
  <c r="A15" i="94"/>
  <c r="A16" i="94"/>
  <c r="A17" i="94"/>
  <c r="A18" i="94"/>
  <c r="A19" i="94"/>
  <c r="A20" i="94"/>
  <c r="A21" i="94"/>
  <c r="H5" i="105"/>
  <c r="G16" i="105"/>
  <c r="G13" i="105"/>
  <c r="S2" i="82"/>
  <c r="S3" i="82"/>
  <c r="S4" i="82"/>
  <c r="S5" i="82"/>
  <c r="S6" i="82"/>
  <c r="S7" i="82"/>
  <c r="S8" i="82"/>
  <c r="S9" i="82"/>
  <c r="S10" i="82"/>
  <c r="S11" i="82"/>
  <c r="S12" i="82"/>
  <c r="S13" i="82"/>
  <c r="S14" i="82"/>
  <c r="S15" i="82"/>
  <c r="S16" i="82"/>
  <c r="S17" i="82"/>
  <c r="S18" i="82"/>
  <c r="S19" i="82"/>
  <c r="S20" i="82"/>
  <c r="S21" i="82"/>
  <c r="S22" i="82"/>
  <c r="S23" i="82"/>
  <c r="S24" i="82"/>
  <c r="S25" i="82"/>
  <c r="S26" i="82"/>
  <c r="S27" i="82"/>
  <c r="S28" i="82"/>
  <c r="S29" i="82"/>
  <c r="S30" i="82"/>
  <c r="S31" i="82"/>
  <c r="S32" i="82"/>
  <c r="S33" i="82"/>
  <c r="S34" i="82"/>
  <c r="S35" i="82"/>
  <c r="S36" i="82"/>
  <c r="S37" i="82"/>
  <c r="S38" i="82"/>
  <c r="S39" i="82"/>
  <c r="S40" i="82"/>
  <c r="S41" i="82"/>
  <c r="S42" i="82"/>
  <c r="S43" i="82"/>
  <c r="S44" i="82"/>
  <c r="S45" i="82"/>
  <c r="S46" i="82"/>
  <c r="S47" i="82"/>
  <c r="S48" i="82"/>
  <c r="S49" i="82"/>
  <c r="S50" i="82"/>
  <c r="S51" i="82"/>
  <c r="S52" i="82"/>
  <c r="S53" i="82"/>
  <c r="S54" i="82"/>
  <c r="S55" i="82"/>
  <c r="S56" i="82"/>
  <c r="S57" i="82"/>
  <c r="S58" i="82"/>
  <c r="S59" i="82"/>
  <c r="S60" i="82"/>
  <c r="S61" i="82"/>
  <c r="S62" i="82"/>
  <c r="S63" i="82"/>
  <c r="S64" i="82"/>
  <c r="S65" i="82"/>
  <c r="S66" i="82"/>
  <c r="S67" i="82"/>
  <c r="S68" i="82"/>
  <c r="S69" i="82"/>
  <c r="S70" i="82"/>
  <c r="S71" i="82"/>
  <c r="S72" i="82"/>
  <c r="S73" i="82"/>
  <c r="S74" i="82"/>
  <c r="S75" i="82"/>
  <c r="S76" i="82"/>
  <c r="S77" i="82"/>
  <c r="S78" i="82"/>
  <c r="S79" i="82"/>
  <c r="S80" i="82"/>
  <c r="S81" i="82"/>
  <c r="S82" i="82"/>
  <c r="S83" i="82"/>
  <c r="S84" i="82"/>
  <c r="S85" i="82"/>
  <c r="S86" i="82"/>
  <c r="S87" i="82"/>
  <c r="S88" i="82"/>
  <c r="S89" i="82"/>
  <c r="S90" i="82"/>
  <c r="S91" i="82"/>
  <c r="S92" i="82"/>
  <c r="S93" i="82"/>
  <c r="E5" i="105"/>
  <c r="D10" i="105"/>
  <c r="N2" i="82"/>
  <c r="N3" i="82"/>
  <c r="N4" i="82"/>
  <c r="N5" i="82"/>
  <c r="N6" i="82"/>
  <c r="N7" i="82"/>
  <c r="N8" i="82"/>
  <c r="N9" i="82"/>
  <c r="N10" i="82"/>
  <c r="N11" i="82"/>
  <c r="N12" i="82"/>
  <c r="N13" i="82"/>
  <c r="N14" i="82"/>
  <c r="N15" i="82"/>
  <c r="N16" i="82"/>
  <c r="N17" i="82"/>
  <c r="N18" i="82"/>
  <c r="N19" i="82"/>
  <c r="N20" i="82"/>
  <c r="N21" i="82"/>
  <c r="N22" i="82"/>
  <c r="N23" i="82"/>
  <c r="N24" i="82"/>
  <c r="N25" i="82"/>
  <c r="N26" i="82"/>
  <c r="N27" i="82"/>
  <c r="N28" i="82"/>
  <c r="N29" i="82"/>
  <c r="N30" i="82"/>
  <c r="N31" i="82"/>
  <c r="N32" i="82"/>
  <c r="N33" i="82"/>
  <c r="N34" i="82"/>
  <c r="N35" i="82"/>
  <c r="N36" i="82"/>
  <c r="N37" i="82"/>
  <c r="N38" i="82"/>
  <c r="N39" i="82"/>
  <c r="N40" i="82"/>
  <c r="N41" i="82"/>
  <c r="N42" i="82"/>
  <c r="N43" i="82"/>
  <c r="N44" i="82"/>
  <c r="N45" i="82"/>
  <c r="N46" i="82"/>
  <c r="N47" i="82"/>
  <c r="N48" i="82"/>
  <c r="N49" i="82"/>
  <c r="N50" i="82"/>
  <c r="N51" i="82"/>
  <c r="N52" i="82"/>
  <c r="N53" i="82"/>
  <c r="N54" i="82"/>
  <c r="N55" i="82"/>
  <c r="N56" i="82"/>
  <c r="N57" i="82"/>
  <c r="N58" i="82"/>
  <c r="N59" i="82"/>
  <c r="N60" i="82"/>
  <c r="N61" i="82"/>
  <c r="N62" i="82"/>
  <c r="N63" i="82"/>
  <c r="N64" i="82"/>
  <c r="N65" i="82"/>
  <c r="N66" i="82"/>
  <c r="N67" i="82"/>
  <c r="N68" i="82"/>
  <c r="N69" i="82"/>
  <c r="N70" i="82"/>
  <c r="N71" i="82"/>
  <c r="N72" i="82"/>
  <c r="N73" i="82"/>
  <c r="N74" i="82"/>
  <c r="N75" i="82"/>
  <c r="N76" i="82"/>
  <c r="N77" i="82"/>
  <c r="N78" i="82"/>
  <c r="N79" i="82"/>
  <c r="N80" i="82"/>
  <c r="N81" i="82"/>
  <c r="N82" i="82"/>
  <c r="N83" i="82"/>
  <c r="N84" i="82"/>
  <c r="N85" i="82"/>
  <c r="N86" i="82"/>
  <c r="N87" i="82"/>
  <c r="N88" i="82"/>
  <c r="N89" i="82"/>
  <c r="N90" i="82"/>
  <c r="N91" i="82"/>
  <c r="N92" i="82"/>
  <c r="N93" i="82"/>
  <c r="D13" i="105"/>
  <c r="B5" i="105"/>
  <c r="A13" i="105"/>
  <c r="D16" i="105"/>
  <c r="A16" i="105"/>
  <c r="M2" i="82"/>
  <c r="M3" i="82"/>
  <c r="M4" i="82"/>
  <c r="M5" i="82"/>
  <c r="M6" i="82"/>
  <c r="M7" i="82"/>
  <c r="M8" i="82"/>
  <c r="M9" i="82"/>
  <c r="M10" i="82"/>
  <c r="M11" i="82"/>
  <c r="M12" i="82"/>
  <c r="M13" i="82"/>
  <c r="M14" i="82"/>
  <c r="M15" i="82"/>
  <c r="M16" i="82"/>
  <c r="M17" i="82"/>
  <c r="M18" i="82"/>
  <c r="M19" i="82"/>
  <c r="M20" i="82"/>
  <c r="M21" i="82"/>
  <c r="M22" i="82"/>
  <c r="M23" i="82"/>
  <c r="M24" i="82"/>
  <c r="M25" i="82"/>
  <c r="M26" i="82"/>
  <c r="M27" i="82"/>
  <c r="M28" i="82"/>
  <c r="M29" i="82"/>
  <c r="M30" i="82"/>
  <c r="M31" i="82"/>
  <c r="M32" i="82"/>
  <c r="M33" i="82"/>
  <c r="M34" i="82"/>
  <c r="M35" i="82"/>
  <c r="M36" i="82"/>
  <c r="M37" i="82"/>
  <c r="M38" i="82"/>
  <c r="M39" i="82"/>
  <c r="M40" i="82"/>
  <c r="M41" i="82"/>
  <c r="M42" i="82"/>
  <c r="M43" i="82"/>
  <c r="M44" i="82"/>
  <c r="M45" i="82"/>
  <c r="M46" i="82"/>
  <c r="M47" i="82"/>
  <c r="M48" i="82"/>
  <c r="M49" i="82"/>
  <c r="M50" i="82"/>
  <c r="M51" i="82"/>
  <c r="M52" i="82"/>
  <c r="M53" i="82"/>
  <c r="M54" i="82"/>
  <c r="M55" i="82"/>
  <c r="M56" i="82"/>
  <c r="M57" i="82"/>
  <c r="M58" i="82"/>
  <c r="M59" i="82"/>
  <c r="M60" i="82"/>
  <c r="M61" i="82"/>
  <c r="M62" i="82"/>
  <c r="M63" i="82"/>
  <c r="M64" i="82"/>
  <c r="M65" i="82"/>
  <c r="M66" i="82"/>
  <c r="M67" i="82"/>
  <c r="M68" i="82"/>
  <c r="M69" i="82"/>
  <c r="M70" i="82"/>
  <c r="M71" i="82"/>
  <c r="M72" i="82"/>
  <c r="M73" i="82"/>
  <c r="M74" i="82"/>
  <c r="M75" i="82"/>
  <c r="M76" i="82"/>
  <c r="M77" i="82"/>
  <c r="M78" i="82"/>
  <c r="M79" i="82"/>
  <c r="M80" i="82"/>
  <c r="M81" i="82"/>
  <c r="M82" i="82"/>
  <c r="M83" i="82"/>
  <c r="M84" i="82"/>
  <c r="M85" i="82"/>
  <c r="M86" i="82"/>
  <c r="M87" i="82"/>
  <c r="M88" i="82"/>
  <c r="M89" i="82"/>
  <c r="M90" i="82"/>
  <c r="M91" i="82"/>
  <c r="M92" i="82"/>
  <c r="M93" i="82"/>
  <c r="A7" i="105"/>
  <c r="J2" i="82"/>
  <c r="J3" i="82"/>
  <c r="J4" i="82"/>
  <c r="J5" i="82"/>
  <c r="J6" i="82"/>
  <c r="J7" i="82"/>
  <c r="J8" i="82"/>
  <c r="J9" i="82"/>
  <c r="J10" i="82"/>
  <c r="J11" i="82"/>
  <c r="J12" i="82"/>
  <c r="J13" i="82"/>
  <c r="J14" i="82"/>
  <c r="J15" i="82"/>
  <c r="J16" i="82"/>
  <c r="J17" i="82"/>
  <c r="J18" i="82"/>
  <c r="J19" i="82"/>
  <c r="J20" i="82"/>
  <c r="J21" i="82"/>
  <c r="J22" i="82"/>
  <c r="J23" i="82"/>
  <c r="J24" i="82"/>
  <c r="J25" i="82"/>
  <c r="J26" i="82"/>
  <c r="J27" i="82"/>
  <c r="J28" i="82"/>
  <c r="J29" i="82"/>
  <c r="J30" i="82"/>
  <c r="J31" i="82"/>
  <c r="J32" i="82"/>
  <c r="J33" i="82"/>
  <c r="J34" i="82"/>
  <c r="J35" i="82"/>
  <c r="J36" i="82"/>
  <c r="J37" i="82"/>
  <c r="J38" i="82"/>
  <c r="J39" i="82"/>
  <c r="J40" i="82"/>
  <c r="J41" i="82"/>
  <c r="J42" i="82"/>
  <c r="J43" i="82"/>
  <c r="J44" i="82"/>
  <c r="J45" i="82"/>
  <c r="J46" i="82"/>
  <c r="J47" i="82"/>
  <c r="J48" i="82"/>
  <c r="J49" i="82"/>
  <c r="J50" i="82"/>
  <c r="J51" i="82"/>
  <c r="J52" i="82"/>
  <c r="J53" i="82"/>
  <c r="J54" i="82"/>
  <c r="J55" i="82"/>
  <c r="J56" i="82"/>
  <c r="J57" i="82"/>
  <c r="J58" i="82"/>
  <c r="J59" i="82"/>
  <c r="J60" i="82"/>
  <c r="J61" i="82"/>
  <c r="J62" i="82"/>
  <c r="J63" i="82"/>
  <c r="J64" i="82"/>
  <c r="J65" i="82"/>
  <c r="J66" i="82"/>
  <c r="J67" i="82"/>
  <c r="J68" i="82"/>
  <c r="J69" i="82"/>
  <c r="J70" i="82"/>
  <c r="J71" i="82"/>
  <c r="J72" i="82"/>
  <c r="J73" i="82"/>
  <c r="J74" i="82"/>
  <c r="J75" i="82"/>
  <c r="J76" i="82"/>
  <c r="J77" i="82"/>
  <c r="J78" i="82"/>
  <c r="J79" i="82"/>
  <c r="J80" i="82"/>
  <c r="J81" i="82"/>
  <c r="J82" i="82"/>
  <c r="J83" i="82"/>
  <c r="J84" i="82"/>
  <c r="J85" i="82"/>
  <c r="J86" i="82"/>
  <c r="J87" i="82"/>
  <c r="J88" i="82"/>
  <c r="J89" i="82"/>
  <c r="J90" i="82"/>
  <c r="J91" i="82"/>
  <c r="J92" i="82"/>
  <c r="J93" i="82"/>
  <c r="D7" i="105"/>
  <c r="A10" i="105"/>
  <c r="O2" i="82"/>
  <c r="P2" i="82"/>
  <c r="Q2" i="82"/>
  <c r="R2" i="82"/>
  <c r="O3" i="82"/>
  <c r="P3" i="82"/>
  <c r="Q3" i="82"/>
  <c r="R3" i="82"/>
  <c r="O4" i="82"/>
  <c r="P4" i="82"/>
  <c r="Q4" i="82"/>
  <c r="R4" i="82"/>
  <c r="O5" i="82"/>
  <c r="P5" i="82"/>
  <c r="Q5" i="82"/>
  <c r="R5" i="82"/>
  <c r="O6" i="82"/>
  <c r="P6" i="82"/>
  <c r="Q6" i="82"/>
  <c r="R6" i="82"/>
  <c r="O7" i="82"/>
  <c r="P7" i="82"/>
  <c r="Q7" i="82"/>
  <c r="R7" i="82"/>
  <c r="O8" i="82"/>
  <c r="P8" i="82"/>
  <c r="Q8" i="82"/>
  <c r="R8" i="82"/>
  <c r="O9" i="82"/>
  <c r="P9" i="82"/>
  <c r="Q9" i="82"/>
  <c r="R9" i="82"/>
  <c r="O10" i="82"/>
  <c r="P10" i="82"/>
  <c r="Q10" i="82"/>
  <c r="R10" i="82"/>
  <c r="O11" i="82"/>
  <c r="P11" i="82"/>
  <c r="Q11" i="82"/>
  <c r="R11" i="82"/>
  <c r="O12" i="82"/>
  <c r="P12" i="82"/>
  <c r="Q12" i="82"/>
  <c r="R12" i="82"/>
  <c r="O13" i="82"/>
  <c r="P13" i="82"/>
  <c r="Q13" i="82"/>
  <c r="R13" i="82"/>
  <c r="O14" i="82"/>
  <c r="P14" i="82"/>
  <c r="Q14" i="82"/>
  <c r="R14" i="82"/>
  <c r="O15" i="82"/>
  <c r="P15" i="82"/>
  <c r="Q15" i="82"/>
  <c r="R15" i="82"/>
  <c r="O16" i="82"/>
  <c r="P16" i="82"/>
  <c r="Q16" i="82"/>
  <c r="R16" i="82"/>
  <c r="O17" i="82"/>
  <c r="P17" i="82"/>
  <c r="Q17" i="82"/>
  <c r="R17" i="82"/>
  <c r="O18" i="82"/>
  <c r="P18" i="82"/>
  <c r="Q18" i="82"/>
  <c r="R18" i="82"/>
  <c r="O19" i="82"/>
  <c r="P19" i="82"/>
  <c r="Q19" i="82"/>
  <c r="R19" i="82"/>
  <c r="O20" i="82"/>
  <c r="P20" i="82"/>
  <c r="Q20" i="82"/>
  <c r="R20" i="82"/>
  <c r="O21" i="82"/>
  <c r="P21" i="82"/>
  <c r="Q21" i="82"/>
  <c r="R21" i="82"/>
  <c r="O22" i="82"/>
  <c r="P22" i="82"/>
  <c r="Q22" i="82"/>
  <c r="R22" i="82"/>
  <c r="O23" i="82"/>
  <c r="P23" i="82"/>
  <c r="Q23" i="82"/>
  <c r="R23" i="82"/>
  <c r="O24" i="82"/>
  <c r="P24" i="82"/>
  <c r="Q24" i="82"/>
  <c r="R24" i="82"/>
  <c r="O25" i="82"/>
  <c r="P25" i="82"/>
  <c r="Q25" i="82"/>
  <c r="R25" i="82"/>
  <c r="O26" i="82"/>
  <c r="P26" i="82"/>
  <c r="Q26" i="82"/>
  <c r="R26" i="82"/>
  <c r="O27" i="82"/>
  <c r="P27" i="82"/>
  <c r="Q27" i="82"/>
  <c r="R27" i="82"/>
  <c r="O28" i="82"/>
  <c r="P28" i="82"/>
  <c r="Q28" i="82"/>
  <c r="R28" i="82"/>
  <c r="O29" i="82"/>
  <c r="P29" i="82"/>
  <c r="Q29" i="82"/>
  <c r="R29" i="82"/>
  <c r="O30" i="82"/>
  <c r="P30" i="82"/>
  <c r="Q30" i="82"/>
  <c r="R30" i="82"/>
  <c r="O31" i="82"/>
  <c r="P31" i="82"/>
  <c r="Q31" i="82"/>
  <c r="R31" i="82"/>
  <c r="O32" i="82"/>
  <c r="P32" i="82"/>
  <c r="Q32" i="82"/>
  <c r="R32" i="82"/>
  <c r="O33" i="82"/>
  <c r="P33" i="82"/>
  <c r="Q33" i="82"/>
  <c r="R33" i="82"/>
  <c r="O34" i="82"/>
  <c r="P34" i="82"/>
  <c r="Q34" i="82"/>
  <c r="R34" i="82"/>
  <c r="O35" i="82"/>
  <c r="P35" i="82"/>
  <c r="Q35" i="82"/>
  <c r="R35" i="82"/>
  <c r="O36" i="82"/>
  <c r="P36" i="82"/>
  <c r="Q36" i="82"/>
  <c r="R36" i="82"/>
  <c r="O37" i="82"/>
  <c r="P37" i="82"/>
  <c r="Q37" i="82"/>
  <c r="R37" i="82"/>
  <c r="O38" i="82"/>
  <c r="P38" i="82"/>
  <c r="Q38" i="82"/>
  <c r="R38" i="82"/>
  <c r="O39" i="82"/>
  <c r="P39" i="82"/>
  <c r="Q39" i="82"/>
  <c r="R39" i="82"/>
  <c r="O40" i="82"/>
  <c r="P40" i="82"/>
  <c r="Q40" i="82"/>
  <c r="R40" i="82"/>
  <c r="O41" i="82"/>
  <c r="P41" i="82"/>
  <c r="Q41" i="82"/>
  <c r="R41" i="82"/>
  <c r="O42" i="82"/>
  <c r="P42" i="82"/>
  <c r="Q42" i="82"/>
  <c r="R42" i="82"/>
  <c r="O43" i="82"/>
  <c r="P43" i="82"/>
  <c r="Q43" i="82"/>
  <c r="R43" i="82"/>
  <c r="O44" i="82"/>
  <c r="P44" i="82"/>
  <c r="Q44" i="82"/>
  <c r="R44" i="82"/>
  <c r="O45" i="82"/>
  <c r="P45" i="82"/>
  <c r="Q45" i="82"/>
  <c r="R45" i="82"/>
  <c r="O46" i="82"/>
  <c r="P46" i="82"/>
  <c r="Q46" i="82"/>
  <c r="R46" i="82"/>
  <c r="O47" i="82"/>
  <c r="P47" i="82"/>
  <c r="Q47" i="82"/>
  <c r="R47" i="82"/>
  <c r="O48" i="82"/>
  <c r="P48" i="82"/>
  <c r="Q48" i="82"/>
  <c r="R48" i="82"/>
  <c r="O49" i="82"/>
  <c r="P49" i="82"/>
  <c r="Q49" i="82"/>
  <c r="R49" i="82"/>
  <c r="O50" i="82"/>
  <c r="P50" i="82"/>
  <c r="Q50" i="82"/>
  <c r="R50" i="82"/>
  <c r="O51" i="82"/>
  <c r="P51" i="82"/>
  <c r="Q51" i="82"/>
  <c r="R51" i="82"/>
  <c r="O52" i="82"/>
  <c r="P52" i="82"/>
  <c r="Q52" i="82"/>
  <c r="R52" i="82"/>
  <c r="O53" i="82"/>
  <c r="P53" i="82"/>
  <c r="Q53" i="82"/>
  <c r="R53" i="82"/>
  <c r="O54" i="82"/>
  <c r="P54" i="82"/>
  <c r="Q54" i="82"/>
  <c r="R54" i="82"/>
  <c r="O55" i="82"/>
  <c r="P55" i="82"/>
  <c r="Q55" i="82"/>
  <c r="R55" i="82"/>
  <c r="O56" i="82"/>
  <c r="P56" i="82"/>
  <c r="Q56" i="82"/>
  <c r="R56" i="82"/>
  <c r="O57" i="82"/>
  <c r="P57" i="82"/>
  <c r="Q57" i="82"/>
  <c r="R57" i="82"/>
  <c r="O58" i="82"/>
  <c r="P58" i="82"/>
  <c r="Q58" i="82"/>
  <c r="R58" i="82"/>
  <c r="O59" i="82"/>
  <c r="P59" i="82"/>
  <c r="Q59" i="82"/>
  <c r="R59" i="82"/>
  <c r="O60" i="82"/>
  <c r="P60" i="82"/>
  <c r="Q60" i="82"/>
  <c r="R60" i="82"/>
  <c r="O61" i="82"/>
  <c r="P61" i="82"/>
  <c r="Q61" i="82"/>
  <c r="R61" i="82"/>
  <c r="O62" i="82"/>
  <c r="P62" i="82"/>
  <c r="Q62" i="82"/>
  <c r="R62" i="82"/>
  <c r="O63" i="82"/>
  <c r="P63" i="82"/>
  <c r="Q63" i="82"/>
  <c r="R63" i="82"/>
  <c r="O64" i="82"/>
  <c r="P64" i="82"/>
  <c r="Q64" i="82"/>
  <c r="R64" i="82"/>
  <c r="O65" i="82"/>
  <c r="P65" i="82"/>
  <c r="Q65" i="82"/>
  <c r="R65" i="82"/>
  <c r="O66" i="82"/>
  <c r="P66" i="82"/>
  <c r="Q66" i="82"/>
  <c r="R66" i="82"/>
  <c r="O67" i="82"/>
  <c r="P67" i="82"/>
  <c r="Q67" i="82"/>
  <c r="R67" i="82"/>
  <c r="O68" i="82"/>
  <c r="P68" i="82"/>
  <c r="Q68" i="82"/>
  <c r="R68" i="82"/>
  <c r="O69" i="82"/>
  <c r="P69" i="82"/>
  <c r="Q69" i="82"/>
  <c r="R69" i="82"/>
  <c r="O70" i="82"/>
  <c r="P70" i="82"/>
  <c r="Q70" i="82"/>
  <c r="R70" i="82"/>
  <c r="O71" i="82"/>
  <c r="P71" i="82"/>
  <c r="Q71" i="82"/>
  <c r="R71" i="82"/>
  <c r="O72" i="82"/>
  <c r="P72" i="82"/>
  <c r="Q72" i="82"/>
  <c r="R72" i="82"/>
  <c r="O73" i="82"/>
  <c r="P73" i="82"/>
  <c r="Q73" i="82"/>
  <c r="R73" i="82"/>
  <c r="O74" i="82"/>
  <c r="P74" i="82"/>
  <c r="Q74" i="82"/>
  <c r="R74" i="82"/>
  <c r="O75" i="82"/>
  <c r="P75" i="82"/>
  <c r="Q75" i="82"/>
  <c r="R75" i="82"/>
  <c r="O76" i="82"/>
  <c r="P76" i="82"/>
  <c r="Q76" i="82"/>
  <c r="R76" i="82"/>
  <c r="O77" i="82"/>
  <c r="P77" i="82"/>
  <c r="Q77" i="82"/>
  <c r="R77" i="82"/>
  <c r="O78" i="82"/>
  <c r="P78" i="82"/>
  <c r="Q78" i="82"/>
  <c r="R78" i="82"/>
  <c r="O79" i="82"/>
  <c r="P79" i="82"/>
  <c r="Q79" i="82"/>
  <c r="R79" i="82"/>
  <c r="O80" i="82"/>
  <c r="P80" i="82"/>
  <c r="Q80" i="82"/>
  <c r="R80" i="82"/>
  <c r="O81" i="82"/>
  <c r="P81" i="82"/>
  <c r="Q81" i="82"/>
  <c r="R81" i="82"/>
  <c r="O82" i="82"/>
  <c r="P82" i="82"/>
  <c r="Q82" i="82"/>
  <c r="R82" i="82"/>
  <c r="O83" i="82"/>
  <c r="P83" i="82"/>
  <c r="Q83" i="82"/>
  <c r="R83" i="82"/>
  <c r="O84" i="82"/>
  <c r="P84" i="82"/>
  <c r="Q84" i="82"/>
  <c r="R84" i="82"/>
  <c r="O85" i="82"/>
  <c r="P85" i="82"/>
  <c r="Q85" i="82"/>
  <c r="R85" i="82"/>
  <c r="O86" i="82"/>
  <c r="P86" i="82"/>
  <c r="Q86" i="82"/>
  <c r="R86" i="82"/>
  <c r="O87" i="82"/>
  <c r="P87" i="82"/>
  <c r="Q87" i="82"/>
  <c r="R87" i="82"/>
  <c r="O88" i="82"/>
  <c r="P88" i="82"/>
  <c r="Q88" i="82"/>
  <c r="R88" i="82"/>
  <c r="O89" i="82"/>
  <c r="P89" i="82"/>
  <c r="Q89" i="82"/>
  <c r="R89" i="82"/>
  <c r="O90" i="82"/>
  <c r="P90" i="82"/>
  <c r="Q90" i="82"/>
  <c r="R90" i="82"/>
  <c r="O91" i="82"/>
  <c r="P91" i="82"/>
  <c r="Q91" i="82"/>
  <c r="R91" i="82"/>
  <c r="O92" i="82"/>
  <c r="P92" i="82"/>
  <c r="Q92" i="82"/>
  <c r="R92" i="82"/>
  <c r="O93" i="82"/>
  <c r="P93" i="82"/>
  <c r="Q93" i="82"/>
  <c r="R93" i="82"/>
  <c r="B13" i="104"/>
  <c r="L2" i="82"/>
  <c r="L3" i="82"/>
  <c r="L4" i="82"/>
  <c r="L5" i="82"/>
  <c r="L6" i="82"/>
  <c r="L7" i="82"/>
  <c r="L8" i="82"/>
  <c r="L9" i="82"/>
  <c r="L10" i="82"/>
  <c r="L11" i="82"/>
  <c r="L12" i="82"/>
  <c r="L13" i="82"/>
  <c r="L14" i="82"/>
  <c r="L15" i="82"/>
  <c r="L16" i="82"/>
  <c r="L17" i="82"/>
  <c r="L18" i="82"/>
  <c r="L19" i="82"/>
  <c r="L20" i="82"/>
  <c r="L21" i="82"/>
  <c r="L22" i="82"/>
  <c r="L23" i="82"/>
  <c r="L24" i="82"/>
  <c r="L25" i="82"/>
  <c r="L26" i="82"/>
  <c r="L27" i="82"/>
  <c r="L28" i="82"/>
  <c r="L29" i="82"/>
  <c r="L30" i="82"/>
  <c r="L31" i="82"/>
  <c r="L32" i="82"/>
  <c r="L33" i="82"/>
  <c r="L34" i="82"/>
  <c r="L35" i="82"/>
  <c r="L36" i="82"/>
  <c r="L37" i="82"/>
  <c r="L38" i="82"/>
  <c r="L39" i="82"/>
  <c r="L40" i="82"/>
  <c r="L41" i="82"/>
  <c r="L42" i="82"/>
  <c r="L43" i="82"/>
  <c r="L44" i="82"/>
  <c r="L45" i="82"/>
  <c r="L46" i="82"/>
  <c r="L47" i="82"/>
  <c r="L48" i="82"/>
  <c r="L49" i="82"/>
  <c r="L50" i="82"/>
  <c r="L51" i="82"/>
  <c r="L52" i="82"/>
  <c r="L53" i="82"/>
  <c r="L54" i="82"/>
  <c r="L55" i="82"/>
  <c r="L56" i="82"/>
  <c r="L57" i="82"/>
  <c r="L58" i="82"/>
  <c r="L59" i="82"/>
  <c r="L60" i="82"/>
  <c r="L61" i="82"/>
  <c r="L62" i="82"/>
  <c r="L63" i="82"/>
  <c r="L64" i="82"/>
  <c r="L65" i="82"/>
  <c r="L66" i="82"/>
  <c r="L67" i="82"/>
  <c r="L68" i="82"/>
  <c r="L69" i="82"/>
  <c r="L70" i="82"/>
  <c r="L71" i="82"/>
  <c r="L72" i="82"/>
  <c r="L73" i="82"/>
  <c r="L74" i="82"/>
  <c r="L75" i="82"/>
  <c r="L76" i="82"/>
  <c r="L77" i="82"/>
  <c r="L78" i="82"/>
  <c r="L79" i="82"/>
  <c r="L80" i="82"/>
  <c r="L81" i="82"/>
  <c r="L82" i="82"/>
  <c r="L83" i="82"/>
  <c r="L84" i="82"/>
  <c r="L85" i="82"/>
  <c r="L86" i="82"/>
  <c r="L87" i="82"/>
  <c r="L88" i="82"/>
  <c r="L89" i="82"/>
  <c r="L90" i="82"/>
  <c r="L91" i="82"/>
  <c r="L92" i="82"/>
  <c r="L93" i="82"/>
  <c r="G10" i="105"/>
  <c r="G7" i="105"/>
  <c r="A93" i="82"/>
  <c r="A92" i="82"/>
  <c r="A91" i="82"/>
  <c r="A90" i="82"/>
  <c r="A89" i="82"/>
  <c r="A88" i="82"/>
  <c r="A87" i="82"/>
  <c r="A86" i="82"/>
  <c r="A85" i="82"/>
  <c r="A84" i="82"/>
  <c r="A83" i="82"/>
  <c r="A82" i="82"/>
  <c r="A81" i="82"/>
  <c r="A80" i="82"/>
  <c r="A79" i="82"/>
  <c r="A78" i="82"/>
  <c r="A77" i="82"/>
  <c r="A76" i="82"/>
  <c r="A75" i="82"/>
  <c r="A74" i="82"/>
  <c r="A73" i="82"/>
  <c r="A72" i="82"/>
  <c r="A71" i="82"/>
  <c r="A70" i="82"/>
  <c r="A69" i="82"/>
  <c r="A68" i="82"/>
  <c r="A67" i="82"/>
  <c r="A66" i="82"/>
  <c r="A65" i="82"/>
  <c r="A64" i="82"/>
  <c r="A63" i="82"/>
  <c r="A62" i="82"/>
  <c r="A61" i="82"/>
  <c r="A60" i="82"/>
  <c r="A59" i="82"/>
  <c r="A58" i="82"/>
  <c r="A57" i="82"/>
  <c r="A56" i="82"/>
  <c r="A55" i="82"/>
  <c r="A54" i="82"/>
  <c r="A53" i="82"/>
  <c r="A52" i="82"/>
  <c r="A51" i="82"/>
  <c r="A50" i="82"/>
  <c r="A49" i="82"/>
  <c r="A48" i="82"/>
  <c r="A47" i="82"/>
  <c r="A46" i="82"/>
  <c r="A45" i="82"/>
  <c r="A44" i="82"/>
  <c r="A43" i="82"/>
  <c r="A42" i="82"/>
  <c r="A41" i="82"/>
  <c r="A40" i="82"/>
  <c r="A39" i="82"/>
  <c r="A38" i="82"/>
  <c r="A37" i="82"/>
  <c r="A36" i="82"/>
  <c r="A35" i="82"/>
  <c r="A34" i="82"/>
  <c r="A33" i="82"/>
  <c r="A32" i="82"/>
  <c r="A31" i="82"/>
  <c r="A30" i="82"/>
  <c r="A29" i="82"/>
  <c r="A28" i="82"/>
  <c r="A27" i="82"/>
  <c r="A26" i="82"/>
  <c r="A25" i="82"/>
  <c r="A24" i="82"/>
  <c r="A23" i="82"/>
  <c r="A22" i="82"/>
  <c r="A21" i="82"/>
  <c r="A20" i="82"/>
  <c r="A19" i="82"/>
  <c r="A18" i="82"/>
  <c r="A17" i="82"/>
  <c r="A16" i="82"/>
  <c r="A15" i="82"/>
  <c r="A14" i="82"/>
  <c r="A13" i="82"/>
  <c r="A12" i="82"/>
  <c r="A11" i="82"/>
  <c r="A10" i="82"/>
  <c r="A9" i="82"/>
  <c r="A8" i="82"/>
  <c r="A7" i="82"/>
  <c r="A6" i="82"/>
  <c r="A5" i="82"/>
  <c r="A4" i="82"/>
  <c r="A3" i="82"/>
  <c r="A2" i="82"/>
  <c r="K93" i="82"/>
  <c r="G93" i="82"/>
  <c r="C93" i="82"/>
  <c r="K92" i="82"/>
  <c r="G92" i="82"/>
  <c r="C92" i="82"/>
  <c r="K91" i="82"/>
  <c r="G91" i="82"/>
  <c r="C91" i="82"/>
  <c r="K90" i="82"/>
  <c r="G90" i="82"/>
  <c r="C90" i="82"/>
  <c r="K89" i="82"/>
  <c r="G89" i="82"/>
  <c r="C89" i="82"/>
  <c r="K88" i="82"/>
  <c r="G88" i="82"/>
  <c r="C88" i="82"/>
  <c r="K87" i="82"/>
  <c r="G87" i="82"/>
  <c r="C87" i="82"/>
  <c r="K86" i="82"/>
  <c r="G86" i="82"/>
  <c r="C86" i="82"/>
  <c r="K85" i="82"/>
  <c r="G85" i="82"/>
  <c r="C85" i="82"/>
  <c r="K84" i="82"/>
  <c r="G84" i="82"/>
  <c r="C84" i="82"/>
  <c r="K83" i="82"/>
  <c r="G83" i="82"/>
  <c r="C83" i="82"/>
  <c r="K82" i="82"/>
  <c r="G82" i="82"/>
  <c r="C82" i="82"/>
  <c r="K81" i="82"/>
  <c r="G81" i="82"/>
  <c r="C81" i="82"/>
  <c r="K80" i="82"/>
  <c r="G80" i="82"/>
  <c r="C80" i="82"/>
  <c r="K79" i="82"/>
  <c r="G79" i="82"/>
  <c r="C79" i="82"/>
  <c r="K78" i="82"/>
  <c r="G78" i="82"/>
  <c r="C78" i="82"/>
  <c r="K77" i="82"/>
  <c r="G77" i="82"/>
  <c r="C77" i="82"/>
  <c r="K76" i="82"/>
  <c r="G76" i="82"/>
  <c r="C76" i="82"/>
  <c r="K75" i="82"/>
  <c r="G75" i="82"/>
  <c r="C75" i="82"/>
  <c r="K74" i="82"/>
  <c r="G74" i="82"/>
  <c r="C74" i="82"/>
  <c r="K73" i="82"/>
  <c r="G73" i="82"/>
  <c r="C73" i="82"/>
  <c r="K72" i="82"/>
  <c r="G72" i="82"/>
  <c r="C72" i="82"/>
  <c r="K71" i="82"/>
  <c r="G71" i="82"/>
  <c r="C71" i="82"/>
  <c r="K70" i="82"/>
  <c r="G70" i="82"/>
  <c r="C70" i="82"/>
  <c r="K69" i="82"/>
  <c r="G69" i="82"/>
  <c r="C69" i="82"/>
  <c r="K68" i="82"/>
  <c r="G68" i="82"/>
  <c r="C68" i="82"/>
  <c r="K67" i="82"/>
  <c r="G67" i="82"/>
  <c r="C67" i="82"/>
  <c r="K66" i="82"/>
  <c r="G66" i="82"/>
  <c r="C66" i="82"/>
  <c r="K65" i="82"/>
  <c r="G65" i="82"/>
  <c r="C65" i="82"/>
  <c r="K64" i="82"/>
  <c r="G64" i="82"/>
  <c r="C64" i="82"/>
  <c r="K63" i="82"/>
  <c r="G63" i="82"/>
  <c r="C63" i="82"/>
  <c r="K62" i="82"/>
  <c r="G62" i="82"/>
  <c r="C62" i="82"/>
  <c r="K61" i="82"/>
  <c r="G61" i="82"/>
  <c r="C61" i="82"/>
  <c r="K60" i="82"/>
  <c r="G60" i="82"/>
  <c r="C60" i="82"/>
  <c r="K59" i="82"/>
  <c r="G59" i="82"/>
  <c r="C59" i="82"/>
  <c r="K58" i="82"/>
  <c r="G58" i="82"/>
  <c r="C58" i="82"/>
  <c r="K57" i="82"/>
  <c r="G57" i="82"/>
  <c r="C57" i="82"/>
  <c r="K56" i="82"/>
  <c r="G56" i="82"/>
  <c r="C56" i="82"/>
  <c r="K55" i="82"/>
  <c r="G55" i="82"/>
  <c r="C55" i="82"/>
  <c r="K54" i="82"/>
  <c r="G54" i="82"/>
  <c r="C54" i="82"/>
  <c r="K53" i="82"/>
  <c r="G53" i="82"/>
  <c r="C53" i="82"/>
  <c r="K52" i="82"/>
  <c r="G52" i="82"/>
  <c r="C52" i="82"/>
  <c r="K51" i="82"/>
  <c r="G51" i="82"/>
  <c r="C51" i="82"/>
  <c r="K50" i="82"/>
  <c r="G50" i="82"/>
  <c r="C50" i="82"/>
  <c r="K49" i="82"/>
  <c r="G49" i="82"/>
  <c r="C49" i="82"/>
  <c r="K48" i="82"/>
  <c r="G48" i="82"/>
  <c r="C48" i="82"/>
  <c r="K47" i="82"/>
  <c r="G47" i="82"/>
  <c r="C47" i="82"/>
  <c r="K46" i="82"/>
  <c r="G46" i="82"/>
  <c r="C46" i="82"/>
  <c r="K45" i="82"/>
  <c r="G45" i="82"/>
  <c r="C45" i="82"/>
  <c r="K44" i="82"/>
  <c r="G44" i="82"/>
  <c r="C44" i="82"/>
  <c r="K43" i="82"/>
  <c r="G43" i="82"/>
  <c r="C43" i="82"/>
  <c r="K42" i="82"/>
  <c r="G42" i="82"/>
  <c r="C42" i="82"/>
  <c r="K41" i="82"/>
  <c r="G41" i="82"/>
  <c r="C41" i="82"/>
  <c r="K40" i="82"/>
  <c r="G40" i="82"/>
  <c r="C40" i="82"/>
  <c r="K39" i="82"/>
  <c r="G39" i="82"/>
  <c r="C39" i="82"/>
  <c r="K38" i="82"/>
  <c r="G38" i="82"/>
  <c r="C38" i="82"/>
  <c r="K37" i="82"/>
  <c r="G37" i="82"/>
  <c r="C37" i="82"/>
  <c r="K36" i="82"/>
  <c r="G36" i="82"/>
  <c r="C36" i="82"/>
  <c r="K35" i="82"/>
  <c r="G35" i="82"/>
  <c r="C35" i="82"/>
  <c r="K34" i="82"/>
  <c r="G34" i="82"/>
  <c r="C34" i="82"/>
  <c r="K33" i="82"/>
  <c r="G33" i="82"/>
  <c r="C33" i="82"/>
  <c r="K32" i="82"/>
  <c r="G32" i="82"/>
  <c r="C32" i="82"/>
  <c r="K31" i="82"/>
  <c r="G31" i="82"/>
  <c r="C31" i="82"/>
  <c r="K30" i="82"/>
  <c r="G30" i="82"/>
  <c r="C30" i="82"/>
  <c r="K29" i="82"/>
  <c r="G29" i="82"/>
  <c r="C29" i="82"/>
  <c r="K28" i="82"/>
  <c r="G28" i="82"/>
  <c r="C28" i="82"/>
  <c r="K27" i="82"/>
  <c r="G27" i="82"/>
  <c r="C27" i="82"/>
  <c r="K26" i="82"/>
  <c r="G26" i="82"/>
  <c r="C26" i="82"/>
  <c r="K25" i="82"/>
  <c r="G25" i="82"/>
  <c r="C25" i="82"/>
  <c r="K24" i="82"/>
  <c r="G24" i="82"/>
  <c r="C24" i="82"/>
  <c r="K23" i="82"/>
  <c r="G23" i="82"/>
  <c r="C23" i="82"/>
  <c r="K22" i="82"/>
  <c r="G22" i="82"/>
  <c r="C22" i="82"/>
  <c r="K21" i="82"/>
  <c r="G21" i="82"/>
  <c r="C21" i="82"/>
  <c r="K20" i="82"/>
  <c r="G20" i="82"/>
  <c r="C20" i="82"/>
  <c r="K19" i="82"/>
  <c r="G19" i="82"/>
  <c r="C19" i="82"/>
  <c r="K18" i="82"/>
  <c r="G18" i="82"/>
  <c r="C18" i="82"/>
  <c r="K17" i="82"/>
  <c r="G17" i="82"/>
  <c r="C17" i="82"/>
  <c r="K16" i="82"/>
  <c r="G16" i="82"/>
  <c r="C16" i="82"/>
  <c r="K15" i="82"/>
  <c r="G15" i="82"/>
  <c r="C15" i="82"/>
  <c r="K14" i="82"/>
  <c r="G14" i="82"/>
  <c r="C14" i="82"/>
  <c r="K13" i="82"/>
  <c r="G13" i="82"/>
  <c r="C13" i="82"/>
  <c r="K12" i="82"/>
  <c r="G12" i="82"/>
  <c r="C12" i="82"/>
  <c r="K11" i="82"/>
  <c r="G11" i="82"/>
  <c r="C11" i="82"/>
  <c r="K10" i="82"/>
  <c r="G10" i="82"/>
  <c r="C10" i="82"/>
  <c r="K9" i="82"/>
  <c r="G9" i="82"/>
  <c r="C9" i="82"/>
  <c r="K8" i="82"/>
  <c r="G8" i="82"/>
  <c r="C8" i="82"/>
  <c r="K7" i="82"/>
  <c r="G7" i="82"/>
  <c r="C7" i="82"/>
  <c r="K6" i="82"/>
  <c r="G6" i="82"/>
  <c r="C6" i="82"/>
  <c r="K5" i="82"/>
  <c r="G5" i="82"/>
  <c r="C5" i="82"/>
  <c r="K4" i="82"/>
  <c r="G4" i="82"/>
  <c r="C4" i="82"/>
  <c r="K3" i="82"/>
  <c r="G3" i="82"/>
  <c r="C3" i="82"/>
  <c r="K2" i="82"/>
  <c r="G2" i="82"/>
  <c r="C2" i="82"/>
  <c r="C6" i="103"/>
  <c r="E6" i="103"/>
  <c r="C5" i="103"/>
  <c r="E5" i="103"/>
  <c r="C4" i="103"/>
  <c r="C2" i="103"/>
  <c r="C3" i="103"/>
  <c r="E4" i="103"/>
  <c r="E3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L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G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<sst xmlns="http://schemas.openxmlformats.org/spreadsheetml/2006/main" count="156" uniqueCount="93">
  <si>
    <t>character_id</t>
  </si>
  <si>
    <t>character_id</t>
    <phoneticPr fontId="13"/>
  </si>
  <si>
    <t>unit_level</t>
    <phoneticPr fontId="13"/>
  </si>
  <si>
    <t>weight</t>
    <phoneticPr fontId="13"/>
  </si>
  <si>
    <t>rare</t>
    <phoneticPr fontId="13"/>
  </si>
  <si>
    <t>name</t>
    <phoneticPr fontId="13"/>
  </si>
  <si>
    <t>drop_label</t>
    <phoneticPr fontId="13"/>
  </si>
  <si>
    <t>color</t>
    <phoneticPr fontId="13"/>
  </si>
  <si>
    <t>character_type_id</t>
    <phoneticPr fontId="13"/>
  </si>
  <si>
    <t>character_tribe_id</t>
    <phoneticPr fontId="13"/>
  </si>
  <si>
    <t>temp_gacha</t>
    <phoneticPr fontId="13"/>
  </si>
  <si>
    <t>unit_level</t>
  </si>
  <si>
    <t>weight</t>
  </si>
  <si>
    <t>hp_plus</t>
  </si>
  <si>
    <t>attack_plus</t>
  </si>
  <si>
    <t>defense_plus</t>
  </si>
  <si>
    <t>heal_plus</t>
  </si>
  <si>
    <t>bug</t>
  </si>
  <si>
    <t>label</t>
    <phoneticPr fontId="13"/>
  </si>
  <si>
    <t>pickup_flg</t>
    <phoneticPr fontId="13"/>
  </si>
  <si>
    <t>select_table_no</t>
    <phoneticPr fontId="13"/>
  </si>
  <si>
    <t>select_table_no</t>
    <phoneticPr fontId="13"/>
  </si>
  <si>
    <t>bonus_table_no</t>
    <phoneticPr fontId="13"/>
  </si>
  <si>
    <t>bonus_table_no</t>
    <phoneticPr fontId="13"/>
  </si>
  <si>
    <t>weight</t>
    <phoneticPr fontId="13"/>
  </si>
  <si>
    <t>gift_id</t>
    <phoneticPr fontId="13"/>
  </si>
  <si>
    <t>gift_id</t>
    <phoneticPr fontId="13"/>
  </si>
  <si>
    <t>gift_type</t>
    <phoneticPr fontId="13"/>
  </si>
  <si>
    <t>gift_value</t>
    <phoneticPr fontId="13"/>
  </si>
  <si>
    <t>gift_count</t>
    <phoneticPr fontId="13"/>
  </si>
  <si>
    <t>language</t>
    <phoneticPr fontId="13"/>
  </si>
  <si>
    <t>title</t>
    <phoneticPr fontId="13"/>
  </si>
  <si>
    <t>detail</t>
    <phoneticPr fontId="13"/>
  </si>
  <si>
    <t>message</t>
    <phoneticPr fontId="13"/>
  </si>
  <si>
    <t>gift_id</t>
    <phoneticPr fontId="13"/>
  </si>
  <si>
    <t>gift_value</t>
    <phoneticPr fontId="13"/>
  </si>
  <si>
    <t>gift_value</t>
    <phoneticPr fontId="13"/>
  </si>
  <si>
    <t>gift_count</t>
    <phoneticPr fontId="13"/>
  </si>
  <si>
    <t>language</t>
    <phoneticPr fontId="13"/>
  </si>
  <si>
    <t>title</t>
    <phoneticPr fontId="13"/>
  </si>
  <si>
    <t>detail</t>
    <phoneticPr fontId="13"/>
  </si>
  <si>
    <t>message</t>
    <phoneticPr fontId="13"/>
  </si>
  <si>
    <t>gift_type</t>
    <phoneticPr fontId="13"/>
  </si>
  <si>
    <t>備考</t>
    <rPh sb="0" eb="2">
      <t>ビコウ</t>
    </rPh>
    <phoneticPr fontId="13"/>
  </si>
  <si>
    <t>label</t>
    <phoneticPr fontId="13"/>
  </si>
  <si>
    <t>table_no</t>
    <phoneticPr fontId="13"/>
  </si>
  <si>
    <t>character_id</t>
    <phoneticPr fontId="13"/>
  </si>
  <si>
    <t>name</t>
    <phoneticPr fontId="13"/>
  </si>
  <si>
    <t>drop_label</t>
    <phoneticPr fontId="13"/>
  </si>
  <si>
    <t>rare</t>
    <phoneticPr fontId="13"/>
  </si>
  <si>
    <t>character_type_id</t>
    <phoneticPr fontId="13"/>
  </si>
  <si>
    <t>character_tribe_id</t>
    <phoneticPr fontId="13"/>
  </si>
  <si>
    <t>unit_level</t>
    <phoneticPr fontId="13"/>
  </si>
  <si>
    <t>weight</t>
    <phoneticPr fontId="13"/>
  </si>
  <si>
    <t>接頭語</t>
    <rPh sb="0" eb="3">
      <t>セットウゴ</t>
    </rPh>
    <phoneticPr fontId="47"/>
  </si>
  <si>
    <t>識別子</t>
    <rPh sb="0" eb="3">
      <t>シキベツシ</t>
    </rPh>
    <phoneticPr fontId="47"/>
  </si>
  <si>
    <t>形式</t>
    <rPh sb="0" eb="2">
      <t>ケイシキ</t>
    </rPh>
    <phoneticPr fontId="47"/>
  </si>
  <si>
    <t>出力ファイル名</t>
    <rPh sb="0" eb="2">
      <t>シュツリョク</t>
    </rPh>
    <rPh sb="6" eb="7">
      <t>メイ</t>
    </rPh>
    <phoneticPr fontId="47"/>
  </si>
  <si>
    <t>入力シート名</t>
    <rPh sb="0" eb="2">
      <t>ニュウリョク</t>
    </rPh>
    <rPh sb="5" eb="6">
      <t>メイ</t>
    </rPh>
    <phoneticPr fontId="47"/>
  </si>
  <si>
    <t>出力データ</t>
    <rPh sb="0" eb="2">
      <t>シュツリョク</t>
    </rPh>
    <phoneticPr fontId="47"/>
  </si>
  <si>
    <t>.tmp</t>
    <phoneticPr fontId="47"/>
  </si>
  <si>
    <t>.tmp</t>
    <phoneticPr fontId="47"/>
  </si>
  <si>
    <t>gacha_select_tables</t>
    <phoneticPr fontId="47"/>
  </si>
  <si>
    <t>gacha_settle_tables</t>
    <phoneticPr fontId="47"/>
  </si>
  <si>
    <t>gacha_bonus_tables</t>
    <phoneticPr fontId="47"/>
  </si>
  <si>
    <t>gifts_tmp_</t>
    <phoneticPr fontId="13"/>
  </si>
  <si>
    <t>gifts_i18n_</t>
    <phoneticPr fontId="13"/>
  </si>
  <si>
    <t>gacha_select_tables_</t>
  </si>
  <si>
    <r>
      <t>gacha_settle_tables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3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</si>
  <si>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3"/>
  </si>
  <si>
    <t>出力flg</t>
    <rPh sb="0" eb="2">
      <t>シュツリョク</t>
    </rPh>
    <phoneticPr fontId="47"/>
  </si>
  <si>
    <t>old</t>
    <phoneticPr fontId="13"/>
  </si>
  <si>
    <t>PremiumW</t>
  </si>
  <si>
    <t>PremiumN</t>
  </si>
  <si>
    <t>PremiumS</t>
  </si>
  <si>
    <t>PremiumSS</t>
  </si>
  <si>
    <t>label</t>
    <phoneticPr fontId="13"/>
  </si>
  <si>
    <t>color</t>
    <phoneticPr fontId="13"/>
  </si>
  <si>
    <t>rarity</t>
    <phoneticPr fontId="13"/>
  </si>
  <si>
    <t>rarity</t>
    <phoneticPr fontId="13"/>
  </si>
  <si>
    <t>name</t>
    <phoneticPr fontId="13"/>
  </si>
  <si>
    <t>バグ設定ユニット数</t>
    <rPh sb="2" eb="9">
      <t>セッテイy</t>
    </rPh>
    <phoneticPr fontId="13"/>
  </si>
  <si>
    <t>単発ガチャ</t>
    <rPh sb="0" eb="5">
      <t>タンパt</t>
    </rPh>
    <phoneticPr fontId="13"/>
  </si>
  <si>
    <t>unit_level</t>
    <phoneticPr fontId="13"/>
  </si>
  <si>
    <t>フェス限定キャラ数</t>
    <rPh sb="3" eb="8">
      <t>ゲン</t>
    </rPh>
    <rPh sb="8" eb="9">
      <t>シュt</t>
    </rPh>
    <phoneticPr fontId="13"/>
  </si>
  <si>
    <t>１０連ガチャ</t>
    <rPh sb="2" eb="6">
      <t>レン</t>
    </rPh>
    <phoneticPr fontId="13"/>
  </si>
  <si>
    <t>確定枠</t>
    <rPh sb="0" eb="3">
      <t>カクテ</t>
    </rPh>
    <phoneticPr fontId="13"/>
  </si>
  <si>
    <t>今回のガチャID</t>
    <rPh sb="0" eb="3">
      <t>コンカ</t>
    </rPh>
    <phoneticPr fontId="13"/>
  </si>
  <si>
    <t>other</t>
    <phoneticPr fontId="13"/>
  </si>
  <si>
    <t>総ユニット数</t>
    <rPh sb="0" eb="1">
      <t>ソウ</t>
    </rPh>
    <rPh sb="5" eb="6">
      <t>ス</t>
    </rPh>
    <phoneticPr fontId="13"/>
  </si>
  <si>
    <t>総ユニット数</t>
    <rPh sb="0" eb="6">
      <t>ソウユニッt</t>
    </rPh>
    <phoneticPr fontId="13"/>
  </si>
  <si>
    <t>レベル設定ユニット数</t>
    <rPh sb="3" eb="10">
      <t>セッテイy</t>
    </rPh>
    <phoneticPr fontId="13"/>
  </si>
  <si>
    <t>skip</t>
    <phoneticPr fontId="1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</si>
</sst>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9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theme="0"/>
      <name val="ＭＳ Ｐゴシック"/>
      <charset val="128"/>
      <scheme val="minor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</fonts>
  <fills count="2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D9D9D9"/>
        <bgColor rgb="FF000000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3577">
    <xf numFmtId="0" fontId="0" fillId="0" borderId="0"/>
    <xf numFmtId="0" fontId="12" fillId="0" borderId="0"/>
    <xf numFmtId="0" fontId="16" fillId="0" borderId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11" fillId="0" borderId="0"/>
    <xf numFmtId="0" fontId="24" fillId="6" borderId="2" applyNumberFormat="0" applyAlignment="0" applyProtection="0"/>
    <xf numFmtId="0" fontId="25" fillId="7" borderId="0" applyNumberFormat="0" applyBorder="0" applyAlignment="0" applyProtection="0"/>
    <xf numFmtId="0" fontId="26" fillId="8" borderId="3" applyNumberFormat="0" applyAlignment="0" applyProtection="0"/>
    <xf numFmtId="0" fontId="27" fillId="0" borderId="0" applyNumberFormat="0" applyFill="0" applyBorder="0" applyAlignment="0" applyProtection="0"/>
    <xf numFmtId="0" fontId="28" fillId="9" borderId="0" applyNumberFormat="0" applyBorder="0" applyAlignment="0" applyProtection="0"/>
    <xf numFmtId="0" fontId="29" fillId="10" borderId="4" applyNumberFormat="0" applyAlignment="0" applyProtection="0"/>
    <xf numFmtId="0" fontId="30" fillId="0" borderId="0" applyNumberFormat="0" applyFill="0" applyBorder="0" applyAlignment="0" applyProtection="0"/>
    <xf numFmtId="0" fontId="31" fillId="0" borderId="5" applyNumberFormat="0" applyFill="0" applyAlignment="0" applyProtection="0"/>
    <xf numFmtId="0" fontId="32" fillId="0" borderId="6" applyNumberFormat="0" applyFill="0" applyAlignment="0" applyProtection="0"/>
    <xf numFmtId="0" fontId="33" fillId="0" borderId="7" applyNumberFormat="0" applyFill="0" applyAlignment="0" applyProtection="0"/>
    <xf numFmtId="0" fontId="33" fillId="0" borderId="0" applyNumberFormat="0" applyFill="0" applyBorder="0" applyAlignment="0" applyProtection="0"/>
    <xf numFmtId="0" fontId="34" fillId="8" borderId="0" applyNumberFormat="0" applyBorder="0" applyAlignment="0" applyProtection="0"/>
    <xf numFmtId="0" fontId="34" fillId="7" borderId="0" applyNumberFormat="0" applyBorder="0" applyAlignment="0" applyProtection="0"/>
    <xf numFmtId="0" fontId="34" fillId="11" borderId="0" applyNumberFormat="0" applyBorder="0" applyAlignment="0" applyProtection="0"/>
    <xf numFmtId="0" fontId="34" fillId="8" borderId="0" applyNumberFormat="0" applyBorder="0" applyAlignment="0" applyProtection="0"/>
    <xf numFmtId="0" fontId="34" fillId="12" borderId="0" applyNumberFormat="0" applyBorder="0" applyAlignment="0" applyProtection="0"/>
    <xf numFmtId="0" fontId="34" fillId="6" borderId="0" applyNumberFormat="0" applyBorder="0" applyAlignment="0" applyProtection="0"/>
    <xf numFmtId="0" fontId="34" fillId="8" borderId="0" applyNumberFormat="0" applyBorder="0" applyAlignment="0" applyProtection="0"/>
    <xf numFmtId="0" fontId="34" fillId="13" borderId="0" applyNumberFormat="0" applyBorder="0" applyAlignment="0" applyProtection="0"/>
    <xf numFmtId="0" fontId="34" fillId="11" borderId="0" applyNumberFormat="0" applyBorder="0" applyAlignment="0" applyProtection="0"/>
    <xf numFmtId="0" fontId="34" fillId="8" borderId="0" applyNumberFormat="0" applyBorder="0" applyAlignment="0" applyProtection="0"/>
    <xf numFmtId="0" fontId="34" fillId="14" borderId="0" applyNumberFormat="0" applyBorder="0" applyAlignment="0" applyProtection="0"/>
    <xf numFmtId="0" fontId="34" fillId="7" borderId="0" applyNumberFormat="0" applyBorder="0" applyAlignment="0" applyProtection="0"/>
    <xf numFmtId="0" fontId="35" fillId="15" borderId="0" applyNumberFormat="0" applyBorder="0" applyAlignment="0" applyProtection="0"/>
    <xf numFmtId="0" fontId="35" fillId="13" borderId="0" applyNumberFormat="0" applyBorder="0" applyAlignment="0" applyProtection="0"/>
    <xf numFmtId="0" fontId="35" fillId="11" borderId="0" applyNumberFormat="0" applyBorder="0" applyAlignment="0" applyProtection="0"/>
    <xf numFmtId="0" fontId="35" fillId="8" borderId="0" applyNumberFormat="0" applyBorder="0" applyAlignment="0" applyProtection="0"/>
    <xf numFmtId="0" fontId="35" fillId="15" borderId="0" applyNumberFormat="0" applyBorder="0" applyAlignment="0" applyProtection="0"/>
    <xf numFmtId="0" fontId="35" fillId="7" borderId="0" applyNumberFormat="0" applyBorder="0" applyAlignment="0" applyProtection="0"/>
    <xf numFmtId="0" fontId="27" fillId="0" borderId="0" applyNumberFormat="0" applyFill="0" applyBorder="0" applyAlignment="0" applyProtection="0"/>
    <xf numFmtId="0" fontId="35" fillId="15" borderId="0" applyNumberFormat="0" applyBorder="0" applyAlignment="0" applyProtection="0"/>
    <xf numFmtId="0" fontId="35" fillId="16" borderId="0" applyNumberFormat="0" applyBorder="0" applyAlignment="0" applyProtection="0"/>
    <xf numFmtId="0" fontId="35" fillId="11" borderId="0" applyNumberFormat="0" applyBorder="0" applyAlignment="0" applyProtection="0"/>
    <xf numFmtId="0" fontId="35" fillId="17" borderId="0" applyNumberFormat="0" applyBorder="0" applyAlignment="0" applyProtection="0"/>
    <xf numFmtId="0" fontId="35" fillId="15" borderId="0" applyNumberFormat="0" applyBorder="0" applyAlignment="0" applyProtection="0"/>
    <xf numFmtId="0" fontId="35" fillId="13" borderId="0" applyNumberFormat="0" applyBorder="0" applyAlignment="0" applyProtection="0"/>
    <xf numFmtId="0" fontId="36" fillId="18" borderId="0" applyNumberFormat="0" applyBorder="0" applyAlignment="0" applyProtection="0"/>
    <xf numFmtId="0" fontId="25" fillId="7" borderId="0" applyNumberFormat="0" applyBorder="0" applyAlignment="0" applyProtection="0"/>
    <xf numFmtId="0" fontId="37" fillId="0" borderId="8" applyNumberFormat="0" applyFill="0" applyAlignment="0" applyProtection="0"/>
    <xf numFmtId="0" fontId="38" fillId="8" borderId="9" applyNumberFormat="0" applyAlignment="0" applyProtection="0"/>
    <xf numFmtId="0" fontId="38" fillId="19" borderId="9" applyNumberFormat="0" applyAlignment="0" applyProtection="0"/>
    <xf numFmtId="0" fontId="26" fillId="7" borderId="3" applyNumberFormat="0" applyAlignment="0" applyProtection="0"/>
    <xf numFmtId="0" fontId="39" fillId="0" borderId="10" applyNumberFormat="0" applyFill="0" applyAlignment="0" applyProtection="0"/>
    <xf numFmtId="0" fontId="40" fillId="19" borderId="3" applyNumberFormat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11" applyNumberFormat="0" applyFill="0" applyAlignment="0" applyProtection="0"/>
    <xf numFmtId="38" fontId="11" fillId="0" borderId="0" applyFont="0" applyFill="0" applyBorder="0" applyAlignment="0" applyProtection="0">
      <alignment vertical="center"/>
    </xf>
    <xf numFmtId="0" fontId="43" fillId="20" borderId="0" applyNumberFormat="0" applyBorder="0" applyAlignment="0" applyProtection="0"/>
    <xf numFmtId="0" fontId="44" fillId="21" borderId="0" applyNumberFormat="0" applyBorder="0" applyAlignment="0" applyProtection="0"/>
    <xf numFmtId="0" fontId="11" fillId="0" borderId="0"/>
    <xf numFmtId="0" fontId="45" fillId="21" borderId="0" applyNumberFormat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6" fillId="0" borderId="0"/>
    <xf numFmtId="0" fontId="48" fillId="0" borderId="0">
      <alignment vertical="center"/>
    </xf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4" fillId="0" borderId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</cellStyleXfs>
  <cellXfs count="64">
    <xf numFmtId="0" fontId="0" fillId="0" borderId="0" xfId="0"/>
    <xf numFmtId="0" fontId="18" fillId="0" borderId="0" xfId="2" applyFont="1" applyAlignment="1">
      <alignment vertical="center"/>
    </xf>
    <xf numFmtId="0" fontId="18" fillId="0" borderId="1" xfId="2" applyFont="1" applyBorder="1" applyAlignment="1">
      <alignment vertical="center"/>
    </xf>
    <xf numFmtId="0" fontId="18" fillId="3" borderId="1" xfId="2" applyFont="1" applyFill="1" applyBorder="1" applyAlignment="1">
      <alignment horizontal="center" vertical="center"/>
    </xf>
    <xf numFmtId="0" fontId="18" fillId="0" borderId="0" xfId="2" applyFont="1" applyAlignment="1">
      <alignment horizontal="center" vertical="center"/>
    </xf>
    <xf numFmtId="0" fontId="18" fillId="4" borderId="1" xfId="2" applyFont="1" applyFill="1" applyBorder="1" applyAlignment="1">
      <alignment vertical="center"/>
    </xf>
    <xf numFmtId="0" fontId="17" fillId="4" borderId="1" xfId="0" applyFont="1" applyFill="1" applyBorder="1" applyAlignment="1">
      <alignment horizontal="right" vertical="center"/>
    </xf>
    <xf numFmtId="0" fontId="23" fillId="5" borderId="0" xfId="2" applyFont="1" applyFill="1" applyAlignment="1">
      <alignment vertical="center"/>
    </xf>
    <xf numFmtId="0" fontId="18" fillId="3" borderId="1" xfId="2" applyFont="1" applyFill="1" applyBorder="1" applyAlignment="1">
      <alignment vertical="center"/>
    </xf>
    <xf numFmtId="0" fontId="19" fillId="4" borderId="1" xfId="0" applyFont="1" applyFill="1" applyBorder="1" applyAlignment="1">
      <alignment vertical="center"/>
    </xf>
    <xf numFmtId="0" fontId="18" fillId="4" borderId="12" xfId="2" applyFont="1" applyFill="1" applyBorder="1" applyAlignment="1">
      <alignment vertical="center"/>
    </xf>
    <xf numFmtId="0" fontId="18" fillId="0" borderId="13" xfId="2" applyFont="1" applyBorder="1" applyAlignment="1">
      <alignment vertical="center"/>
    </xf>
    <xf numFmtId="0" fontId="19" fillId="3" borderId="1" xfId="0" applyFont="1" applyFill="1" applyBorder="1" applyAlignment="1">
      <alignment vertical="center"/>
    </xf>
    <xf numFmtId="0" fontId="0" fillId="4" borderId="1" xfId="0" applyFill="1" applyBorder="1"/>
    <xf numFmtId="0" fontId="18" fillId="2" borderId="1" xfId="2" applyFont="1" applyFill="1" applyBorder="1" applyAlignment="1">
      <alignment horizontal="left" vertical="center"/>
    </xf>
    <xf numFmtId="0" fontId="18" fillId="3" borderId="1" xfId="2" applyFont="1" applyFill="1" applyBorder="1" applyAlignment="1">
      <alignment horizontal="left" vertical="center"/>
    </xf>
    <xf numFmtId="0" fontId="18" fillId="5" borderId="0" xfId="2" applyFont="1" applyFill="1" applyAlignment="1">
      <alignment vertical="center"/>
    </xf>
    <xf numFmtId="0" fontId="46" fillId="22" borderId="1" xfId="0" applyFont="1" applyFill="1" applyBorder="1" applyAlignment="1">
      <alignment horizontal="left" vertical="center"/>
    </xf>
    <xf numFmtId="0" fontId="18" fillId="2" borderId="1" xfId="2" applyFont="1" applyFill="1" applyBorder="1" applyAlignment="1">
      <alignment horizontal="center" vertical="center"/>
    </xf>
    <xf numFmtId="0" fontId="20" fillId="23" borderId="1" xfId="2978" applyFont="1" applyFill="1" applyBorder="1"/>
    <xf numFmtId="0" fontId="6" fillId="23" borderId="1" xfId="2978" applyFill="1" applyBorder="1"/>
    <xf numFmtId="0" fontId="6" fillId="0" borderId="0" xfId="2978"/>
    <xf numFmtId="0" fontId="6" fillId="0" borderId="1" xfId="2978" applyBorder="1"/>
    <xf numFmtId="0" fontId="6" fillId="2" borderId="1" xfId="2978" applyFill="1" applyBorder="1"/>
    <xf numFmtId="0" fontId="10" fillId="2" borderId="1" xfId="19" applyFont="1" applyFill="1" applyBorder="1"/>
    <xf numFmtId="0" fontId="11" fillId="2" borderId="1" xfId="19" applyFill="1" applyBorder="1"/>
    <xf numFmtId="0" fontId="9" fillId="2" borderId="1" xfId="19" applyFont="1" applyFill="1" applyBorder="1"/>
    <xf numFmtId="0" fontId="7" fillId="2" borderId="1" xfId="19" applyFont="1" applyFill="1" applyBorder="1"/>
    <xf numFmtId="0" fontId="8" fillId="2" borderId="1" xfId="19" applyFont="1" applyFill="1" applyBorder="1"/>
    <xf numFmtId="0" fontId="6" fillId="2" borderId="1" xfId="19" applyFont="1" applyFill="1" applyBorder="1"/>
    <xf numFmtId="0" fontId="5" fillId="0" borderId="1" xfId="2978" applyFont="1" applyBorder="1"/>
    <xf numFmtId="0" fontId="20" fillId="23" borderId="1" xfId="0" applyFont="1" applyFill="1" applyBorder="1"/>
    <xf numFmtId="0" fontId="4" fillId="0" borderId="1" xfId="3036" applyFont="1" applyBorder="1"/>
    <xf numFmtId="0" fontId="18" fillId="0" borderId="0" xfId="2" applyFont="1" applyBorder="1" applyAlignment="1">
      <alignment vertical="center"/>
    </xf>
    <xf numFmtId="0" fontId="46" fillId="24" borderId="1" xfId="0" applyFont="1" applyFill="1" applyBorder="1" applyAlignment="1">
      <alignment horizontal="center" vertical="center"/>
    </xf>
    <xf numFmtId="0" fontId="46" fillId="3" borderId="1" xfId="0" applyFont="1" applyFill="1" applyBorder="1" applyAlignment="1">
      <alignment vertical="center"/>
    </xf>
    <xf numFmtId="0" fontId="0" fillId="4" borderId="1" xfId="0" applyFill="1" applyBorder="1" applyAlignment="1">
      <alignment horizontal="center" vertical="top"/>
    </xf>
    <xf numFmtId="0" fontId="46" fillId="25" borderId="1" xfId="0" applyFont="1" applyFill="1" applyBorder="1" applyAlignment="1">
      <alignment horizontal="center" vertical="center"/>
    </xf>
    <xf numFmtId="0" fontId="0" fillId="4" borderId="0" xfId="0" applyFill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9" xfId="0" applyBorder="1"/>
    <xf numFmtId="0" fontId="0" fillId="26" borderId="16" xfId="0" applyFill="1" applyBorder="1"/>
    <xf numFmtId="0" fontId="0" fillId="26" borderId="18" xfId="0" applyFill="1" applyBorder="1"/>
    <xf numFmtId="0" fontId="0" fillId="3" borderId="1" xfId="0" applyFill="1" applyBorder="1" applyAlignment="1">
      <alignment horizontal="center" vertical="top"/>
    </xf>
    <xf numFmtId="9" fontId="0" fillId="0" borderId="0" xfId="0" applyNumberFormat="1"/>
    <xf numFmtId="0" fontId="0" fillId="4" borderId="0" xfId="0" applyFill="1" applyBorder="1"/>
    <xf numFmtId="0" fontId="0" fillId="25" borderId="0" xfId="0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19" fillId="0" borderId="1" xfId="0" applyFont="1" applyFill="1" applyBorder="1" applyAlignment="1">
      <alignment vertical="center"/>
    </xf>
    <xf numFmtId="0" fontId="0" fillId="0" borderId="0" xfId="0" applyFill="1"/>
    <xf numFmtId="0" fontId="46" fillId="25" borderId="1" xfId="0" applyFont="1" applyFill="1" applyBorder="1" applyAlignment="1">
      <alignment horizontal="right" vertical="center"/>
    </xf>
    <xf numFmtId="0" fontId="46" fillId="25" borderId="12" xfId="0" applyFont="1" applyFill="1" applyBorder="1" applyAlignment="1">
      <alignment horizontal="right" vertical="center"/>
    </xf>
    <xf numFmtId="0" fontId="0" fillId="25" borderId="12" xfId="0" applyFill="1" applyBorder="1" applyAlignment="1">
      <alignment vertical="center"/>
    </xf>
    <xf numFmtId="0" fontId="46" fillId="25" borderId="12" xfId="0" applyFont="1" applyFill="1" applyBorder="1" applyAlignment="1">
      <alignment vertical="center"/>
    </xf>
    <xf numFmtId="0" fontId="0" fillId="0" borderId="0" xfId="0" applyFill="1" applyBorder="1"/>
    <xf numFmtId="0" fontId="0" fillId="4" borderId="0" xfId="0" applyFill="1" applyBorder="1" applyAlignment="1">
      <alignment vertical="center"/>
    </xf>
    <xf numFmtId="0" fontId="0" fillId="0" borderId="0" xfId="0" applyBorder="1"/>
    <xf numFmtId="0" fontId="3" fillId="0" borderId="1" xfId="3036" applyFont="1" applyBorder="1"/>
    <xf numFmtId="0" fontId="46" fillId="27" borderId="1" xfId="0" applyFont="1" applyFill="1" applyBorder="1" applyAlignment="1">
      <alignment vertical="center"/>
    </xf>
    <xf numFmtId="0" fontId="2" fillId="0" borderId="1" xfId="3036" applyFont="1" applyBorder="1"/>
    <xf numFmtId="0" fontId="17" fillId="4" borderId="1" xfId="0" applyFont="1" applyFill="1" applyBorder="1" applyAlignment="1">
      <alignment vertical="center"/>
    </xf>
  </cellXfs>
  <cellStyles count="3577">
    <cellStyle name="" xfId="20"/>
    <cellStyle name="_" xfId="21"/>
    <cellStyle name="__" xfId="22"/>
    <cellStyle name="__÷" xfId="23"/>
    <cellStyle name="«¢" xfId="24"/>
    <cellStyle name="`FbN Z" xfId="25"/>
    <cellStyle name="^Cg" xfId="26"/>
    <cellStyle name="©oµ 1" xfId="27"/>
    <cellStyle name="©oµ 2" xfId="28"/>
    <cellStyle name="©oµ 3" xfId="29"/>
    <cellStyle name="©oµ 4" xfId="30"/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à¾¶" xfId="49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Ç¢" xfId="56"/>
    <cellStyle name="Ê" xfId="57"/>
    <cellStyle name="Excel Built-in Normal" xfId="1"/>
    <cellStyle name="N Z" xfId="58"/>
    <cellStyle name="o_" xfId="59"/>
    <cellStyle name="oÍ" xfId="60"/>
    <cellStyle name="üÍ" xfId="61"/>
    <cellStyle name="v" xfId="62"/>
    <cellStyle name="vZ" xfId="63"/>
    <cellStyle name="x¶" xfId="64"/>
    <cellStyle name="x÷" xfId="65"/>
    <cellStyle name="ýo_ 1" xfId="66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5" builtinId="8" hidden="1"/>
    <cellStyle name="桁区切り 2" xfId="67"/>
    <cellStyle name="青字強調" xfId="68"/>
    <cellStyle name="赤字強調" xfId="69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6" builtinId="9" hidden="1"/>
    <cellStyle name="無題1" xfId="71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externalLink" Target="externalLinks/externalLink1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hp</v>
          </cell>
          <cell r="L413" t="str">
            <v>体力タイプ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コウネン　R4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hp</v>
          </cell>
          <cell r="L414" t="str">
            <v>体力タイプ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ライオネル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4</v>
          </cell>
          <cell r="J445" t="str">
            <v>PremiumN</v>
          </cell>
          <cell r="K445" t="str">
            <v>balance</v>
          </cell>
          <cell r="L445" t="str">
            <v>バランスタイプ</v>
          </cell>
          <cell r="M445" t="str">
            <v>human</v>
          </cell>
        </row>
        <row r="446">
          <cell r="A446">
            <v>445</v>
          </cell>
          <cell r="B446" t="str">
            <v>ja</v>
          </cell>
          <cell r="C446" t="str">
            <v>怒鬣の紳獅 ライオネル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red</v>
          </cell>
          <cell r="I446">
            <v>5</v>
          </cell>
          <cell r="J446" t="str">
            <v>PremiumN</v>
          </cell>
          <cell r="K446" t="str">
            <v>balance</v>
          </cell>
          <cell r="L446" t="str">
            <v>バランスタイプ</v>
          </cell>
          <cell r="M446" t="str">
            <v>human</v>
          </cell>
        </row>
        <row r="447">
          <cell r="A447">
            <v>446</v>
          </cell>
          <cell r="B447" t="str">
            <v>ja</v>
          </cell>
          <cell r="C447" t="str">
            <v>ガラハッド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green</v>
          </cell>
          <cell r="I447">
            <v>4</v>
          </cell>
          <cell r="J447" t="str">
            <v>PremiumN</v>
          </cell>
          <cell r="K447" t="str">
            <v>balance</v>
          </cell>
          <cell r="L447" t="str">
            <v>バランスタイプ</v>
          </cell>
          <cell r="M447" t="str">
            <v>human</v>
          </cell>
        </row>
        <row r="448">
          <cell r="A448">
            <v>447</v>
          </cell>
          <cell r="B448" t="str">
            <v>ja</v>
          </cell>
          <cell r="C448" t="str">
            <v>荒息の銃剣 ガラハッド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green</v>
          </cell>
          <cell r="I448">
            <v>5</v>
          </cell>
          <cell r="J448" t="str">
            <v>PremiumN</v>
          </cell>
          <cell r="K448" t="str">
            <v>balance</v>
          </cell>
          <cell r="L448" t="str">
            <v>バランスタイプ</v>
          </cell>
          <cell r="M448" t="str">
            <v>human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ゴーレム亀</v>
          </cell>
          <cell r="D561" t="str">
            <v>未定</v>
          </cell>
          <cell r="E561" t="str">
            <v>執行者</v>
          </cell>
          <cell r="F561" t="str">
            <v>格好いい</v>
          </cell>
          <cell r="G561" t="str">
            <v>不明</v>
          </cell>
          <cell r="H561" t="str">
            <v>yellow</v>
          </cell>
          <cell r="I561">
            <v>4</v>
          </cell>
          <cell r="J561" t="str">
            <v>PremiumS</v>
          </cell>
          <cell r="K561" t="str">
            <v>hp</v>
          </cell>
          <cell r="L561" t="str">
            <v>体力タイプ</v>
          </cell>
          <cell r="M561" t="str">
            <v>machine</v>
          </cell>
        </row>
        <row r="562">
          <cell r="A562">
            <v>561</v>
          </cell>
          <cell r="B562" t="str">
            <v>ja</v>
          </cell>
          <cell r="C562" t="str">
            <v>ゴーレム亀</v>
          </cell>
          <cell r="D562" t="str">
            <v>未定</v>
          </cell>
          <cell r="E562" t="str">
            <v>執行者</v>
          </cell>
          <cell r="F562" t="str">
            <v>格好いい</v>
          </cell>
          <cell r="G562" t="str">
            <v>不明</v>
          </cell>
          <cell r="H562" t="str">
            <v>yellow</v>
          </cell>
          <cell r="I562">
            <v>5</v>
          </cell>
          <cell r="J562" t="str">
            <v>PremiumS</v>
          </cell>
          <cell r="K562" t="str">
            <v>hp</v>
          </cell>
          <cell r="L562" t="str">
            <v>体力タイプ</v>
          </cell>
          <cell r="M562" t="str">
            <v>machine</v>
          </cell>
        </row>
        <row r="563">
          <cell r="A563">
            <v>562</v>
          </cell>
          <cell r="B563" t="str">
            <v>ja</v>
          </cell>
          <cell r="C563" t="str">
            <v>ラプラス</v>
          </cell>
          <cell r="D563" t="str">
            <v>未定</v>
          </cell>
          <cell r="E563" t="str">
            <v>執行者</v>
          </cell>
          <cell r="F563" t="str">
            <v>格好いい</v>
          </cell>
          <cell r="G563" t="str">
            <v>不明</v>
          </cell>
          <cell r="H563" t="str">
            <v>yellow</v>
          </cell>
          <cell r="I563">
            <v>3</v>
          </cell>
          <cell r="J563" t="str">
            <v>PremiumS</v>
          </cell>
          <cell r="K563" t="str">
            <v>technical</v>
          </cell>
          <cell r="L563" t="str">
            <v>テクニカルタイプ</v>
          </cell>
          <cell r="M563" t="str">
            <v>human</v>
          </cell>
        </row>
        <row r="564">
          <cell r="A564">
            <v>563</v>
          </cell>
          <cell r="B564" t="str">
            <v>ja</v>
          </cell>
          <cell r="C564" t="str">
            <v>ラプラス</v>
          </cell>
          <cell r="D564" t="str">
            <v>未定</v>
          </cell>
          <cell r="E564" t="str">
            <v>執行者</v>
          </cell>
          <cell r="F564" t="str">
            <v>格好いい</v>
          </cell>
          <cell r="G564" t="str">
            <v>不明</v>
          </cell>
          <cell r="H564" t="str">
            <v>yellow</v>
          </cell>
          <cell r="I564">
            <v>4</v>
          </cell>
          <cell r="J564" t="str">
            <v>PremiumS</v>
          </cell>
          <cell r="K564" t="str">
            <v>technical</v>
          </cell>
          <cell r="L564" t="str">
            <v>テクニカルタイプ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空白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メガ秘術の果実（+2）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ギガ秘術の果実（+4）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フェルマー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blue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human</v>
          </cell>
        </row>
        <row r="625">
          <cell r="A625">
            <v>624</v>
          </cell>
          <cell r="B625" t="str">
            <v>ja</v>
          </cell>
          <cell r="C625" t="str">
            <v>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blue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human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DropWizN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フーリエ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4</v>
          </cell>
          <cell r="J630" t="str">
            <v>DropWizN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フーリエ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attack</v>
          </cell>
          <cell r="L643" t="str">
            <v>攻撃タイプ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attack</v>
          </cell>
          <cell r="L644" t="str">
            <v>攻撃タイプ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animal</v>
          </cell>
        </row>
        <row r="676">
          <cell r="A676">
            <v>675</v>
          </cell>
          <cell r="B676" t="str">
            <v>ja</v>
          </cell>
          <cell r="C676" t="str">
            <v>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ユークリッド R6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C02_EV01 R4</v>
          </cell>
          <cell r="D692" t="str">
            <v>イベント:デュラララ01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DR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C02_EV01 R5</v>
          </cell>
          <cell r="D693" t="str">
            <v>イベント:デュラララ01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DR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C02_EV02 R4</v>
          </cell>
          <cell r="D694" t="str">
            <v>イベント:デュラララ01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DR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C02_EV02 R5</v>
          </cell>
          <cell r="D695" t="str">
            <v>イベント:デュラララ01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DR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C02_CP01 R3</v>
          </cell>
          <cell r="D696" t="str">
            <v>イベント:デュラララ01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DR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C02_CP01 R4</v>
          </cell>
          <cell r="D697" t="str">
            <v>イベント:デュラララ01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DR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C02_CP01 R5</v>
          </cell>
          <cell r="D698" t="str">
            <v>イベント:デュラララ01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DR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C02_WIZ01 R4</v>
          </cell>
          <cell r="D699" t="str">
            <v>イベント:デュラララ01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DR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C02_WIZ01 R5</v>
          </cell>
          <cell r="D700" t="str">
            <v>イベント:デュラララ01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DR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C02_WIZ02 R4</v>
          </cell>
          <cell r="D701" t="str">
            <v>イベント:デュラララ01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DR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C02_WIZ02 R5</v>
          </cell>
          <cell r="D702" t="str">
            <v>イベント:デュラララ01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DR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C02_GAC01 R4</v>
          </cell>
          <cell r="D703" t="str">
            <v>ガチャ:デュラララ01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DR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C02_GAC01 R5</v>
          </cell>
          <cell r="D704" t="str">
            <v>ガチャ:デュラララ01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DR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C02_GAC02 R3</v>
          </cell>
          <cell r="D705" t="str">
            <v>ガチャ:デュラララ01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DR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C02_GAC02 R4</v>
          </cell>
          <cell r="D706" t="str">
            <v>ガチャ:デュラララ01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DR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C02_GAC03 R4</v>
          </cell>
          <cell r="D707" t="str">
            <v>ガチャ:デュラララ01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DR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C02_GAC03 R5</v>
          </cell>
          <cell r="D708" t="str">
            <v>ガチャ:デュラララ01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DR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C02_GAC04 R3</v>
          </cell>
          <cell r="D709" t="str">
            <v>ガチャ:デュラララ01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DR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C02_GAC04 R4</v>
          </cell>
          <cell r="D710" t="str">
            <v>ガチャ:デュラララ01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DR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C02_GAC05 R5</v>
          </cell>
          <cell r="D711" t="str">
            <v>ガチャ:デュラララ01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blue</v>
          </cell>
          <cell r="I711">
            <v>5</v>
          </cell>
          <cell r="J711" t="str">
            <v>PremiumSS</v>
          </cell>
          <cell r="K711" t="str">
            <v>dr</v>
          </cell>
          <cell r="L711" t="str">
            <v>DR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C02_GAC05 R6</v>
          </cell>
          <cell r="D712" t="str">
            <v>ガチャ:デュラララ01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blue</v>
          </cell>
          <cell r="I712">
            <v>6</v>
          </cell>
          <cell r="J712" t="str">
            <v>PremiumSS</v>
          </cell>
          <cell r="K712" t="str">
            <v>dr</v>
          </cell>
          <cell r="L712" t="str">
            <v>DR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C02_GAC06 R3</v>
          </cell>
          <cell r="D713" t="str">
            <v>ガチャ:デュラララ01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3</v>
          </cell>
          <cell r="J713" t="str">
            <v>PremiumN</v>
          </cell>
          <cell r="K713" t="str">
            <v>dr</v>
          </cell>
          <cell r="L713" t="str">
            <v>DR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C02_GAC06 R4</v>
          </cell>
          <cell r="D714" t="str">
            <v>ガチャ:デュラララ01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4</v>
          </cell>
          <cell r="J714" t="str">
            <v>PremiumN</v>
          </cell>
          <cell r="K714" t="str">
            <v>dr</v>
          </cell>
          <cell r="L714" t="str">
            <v>DR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C02_GAC07 R3</v>
          </cell>
          <cell r="D715" t="str">
            <v>ガチャ:デュラララ01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DR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C02_GAC07 R4</v>
          </cell>
          <cell r="D716" t="str">
            <v>ガチャ:デュラララ01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DR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C02_GAC08 R5</v>
          </cell>
          <cell r="D717" t="str">
            <v>ガチャ:デュラララ01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DR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C02_GAC08 R6</v>
          </cell>
          <cell r="D718" t="str">
            <v>ガチャ:デュラララ01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DR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C02_GAC09 R4</v>
          </cell>
          <cell r="D719" t="str">
            <v>ガチャ:デュラララ01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DR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C02_GAC09 R5</v>
          </cell>
          <cell r="D720" t="str">
            <v>ガチャ:デュラララ01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DR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blue</v>
          </cell>
          <cell r="I721">
            <v>4</v>
          </cell>
          <cell r="J721" t="str">
            <v>PremiumS</v>
          </cell>
          <cell r="K721" t="str">
            <v>attack</v>
          </cell>
          <cell r="L721" t="str">
            <v>攻撃タイプ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blue</v>
          </cell>
          <cell r="I722">
            <v>5</v>
          </cell>
          <cell r="J722" t="str">
            <v>PremiumS</v>
          </cell>
          <cell r="K722" t="str">
            <v>attack</v>
          </cell>
          <cell r="L722" t="str">
            <v>攻撃タイプ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blue</v>
          </cell>
          <cell r="I723">
            <v>4</v>
          </cell>
          <cell r="J723" t="str">
            <v>PremiumS</v>
          </cell>
          <cell r="K723" t="str">
            <v>attack</v>
          </cell>
          <cell r="L723" t="str">
            <v>攻撃タイプ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blue</v>
          </cell>
          <cell r="I724">
            <v>5</v>
          </cell>
          <cell r="J724" t="str">
            <v>PremiumS</v>
          </cell>
          <cell r="K724" t="str">
            <v>attack</v>
          </cell>
          <cell r="L724" t="str">
            <v>攻撃タイプ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blue</v>
          </cell>
          <cell r="I725">
            <v>5</v>
          </cell>
          <cell r="J725" t="str">
            <v>PremiumS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blue</v>
          </cell>
          <cell r="I726">
            <v>5</v>
          </cell>
          <cell r="J726" t="str">
            <v>PremiumS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blue</v>
          </cell>
          <cell r="I727">
            <v>5</v>
          </cell>
          <cell r="J727" t="str">
            <v>PremiumS</v>
          </cell>
          <cell r="K727" t="str">
            <v>attack</v>
          </cell>
          <cell r="L727" t="str">
            <v>攻撃タイプ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織田信長</v>
          </cell>
          <cell r="D728" t="str">
            <v>イベント:超ウィザード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blue</v>
          </cell>
          <cell r="I728">
            <v>5</v>
          </cell>
          <cell r="J728" t="str">
            <v>PremiumS</v>
          </cell>
          <cell r="K728" t="str">
            <v>attack</v>
          </cell>
          <cell r="L728" t="str">
            <v>攻撃タイプ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blue</v>
          </cell>
          <cell r="I729">
            <v>5</v>
          </cell>
          <cell r="J729" t="str">
            <v>PremiumS</v>
          </cell>
          <cell r="K729" t="str">
            <v>attack</v>
          </cell>
          <cell r="L729" t="str">
            <v>攻撃タイプ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blue</v>
          </cell>
          <cell r="I730">
            <v>5</v>
          </cell>
          <cell r="J730" t="str">
            <v>PremiumS</v>
          </cell>
          <cell r="K730" t="str">
            <v>attack</v>
          </cell>
          <cell r="L730" t="str">
            <v>攻撃タイプ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blue</v>
          </cell>
          <cell r="I731">
            <v>5</v>
          </cell>
          <cell r="J731" t="str">
            <v>PremiumS</v>
          </cell>
          <cell r="K731" t="str">
            <v>attack</v>
          </cell>
          <cell r="L731" t="str">
            <v>攻撃タイプ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blue</v>
          </cell>
          <cell r="I732">
            <v>5</v>
          </cell>
          <cell r="J732" t="str">
            <v>PremiumS</v>
          </cell>
          <cell r="K732" t="str">
            <v>attack</v>
          </cell>
          <cell r="L732" t="str">
            <v>攻撃タイプ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ガラシャ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伊達政宗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5</v>
          </cell>
          <cell r="J734" t="str">
            <v>PremiumS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blue</v>
          </cell>
          <cell r="I735">
            <v>5</v>
          </cell>
          <cell r="J735" t="str">
            <v>PremiumS</v>
          </cell>
          <cell r="K735" t="str">
            <v>attack</v>
          </cell>
          <cell r="L735" t="str">
            <v>攻撃タイプ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上杉謙信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blue</v>
          </cell>
          <cell r="I736">
            <v>5</v>
          </cell>
          <cell r="J736" t="str">
            <v>PremiumS</v>
          </cell>
          <cell r="K736" t="str">
            <v>attack</v>
          </cell>
          <cell r="L736" t="str">
            <v>攻撃タイプ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上杉謙信</v>
          </cell>
          <cell r="D737" t="str">
            <v>ガチャ:戦国01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blue</v>
          </cell>
          <cell r="I737">
            <v>5</v>
          </cell>
          <cell r="J737" t="str">
            <v>PremiumS</v>
          </cell>
          <cell r="K737" t="str">
            <v>attack</v>
          </cell>
          <cell r="L737" t="str">
            <v>攻撃タイプ</v>
          </cell>
          <cell r="M737" t="str">
            <v>human</v>
          </cell>
        </row>
        <row r="738">
          <cell r="A738">
            <v>737</v>
          </cell>
          <cell r="B738" t="str">
            <v>ja</v>
          </cell>
          <cell r="C738" t="str">
            <v>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blue</v>
          </cell>
          <cell r="I738">
            <v>5</v>
          </cell>
          <cell r="J738" t="str">
            <v>PremiumS</v>
          </cell>
          <cell r="K738" t="str">
            <v>attack</v>
          </cell>
          <cell r="L738" t="str">
            <v>攻撃タイプ</v>
          </cell>
          <cell r="M738" t="str">
            <v>human</v>
          </cell>
        </row>
        <row r="739">
          <cell r="A739">
            <v>738</v>
          </cell>
          <cell r="B739" t="str">
            <v>ja</v>
          </cell>
          <cell r="C739" t="str">
            <v>オルトロス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5</v>
          </cell>
          <cell r="J739" t="str">
            <v>PremiumS</v>
          </cell>
          <cell r="K739" t="str">
            <v>attack</v>
          </cell>
          <cell r="L739" t="str">
            <v>攻撃タイプ</v>
          </cell>
          <cell r="M739" t="str">
            <v>human</v>
          </cell>
        </row>
        <row r="740">
          <cell r="A740">
            <v>739</v>
          </cell>
          <cell r="B740" t="str">
            <v>ja</v>
          </cell>
          <cell r="C740" t="str">
            <v>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PremiumS</v>
          </cell>
          <cell r="K740" t="str">
            <v>attack</v>
          </cell>
          <cell r="L740" t="str">
            <v>攻撃タイプ</v>
          </cell>
          <cell r="M740" t="str">
            <v>human</v>
          </cell>
        </row>
        <row r="741">
          <cell r="A741">
            <v>740</v>
          </cell>
          <cell r="B741" t="str">
            <v>ja</v>
          </cell>
          <cell r="C741" t="str">
            <v>ラドン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blue</v>
          </cell>
          <cell r="I741">
            <v>5</v>
          </cell>
          <cell r="J741" t="str">
            <v>PremiumS</v>
          </cell>
          <cell r="K741" t="str">
            <v>attack</v>
          </cell>
          <cell r="L741" t="str">
            <v>攻撃タイプ</v>
          </cell>
          <cell r="M741" t="str">
            <v>human</v>
          </cell>
        </row>
        <row r="742">
          <cell r="A742">
            <v>741</v>
          </cell>
          <cell r="B742" t="str">
            <v>ja</v>
          </cell>
          <cell r="C742" t="str">
            <v>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blue</v>
          </cell>
          <cell r="I742">
            <v>5</v>
          </cell>
          <cell r="J742" t="str">
            <v>PremiumS</v>
          </cell>
          <cell r="K742" t="str">
            <v>attack</v>
          </cell>
          <cell r="L742" t="str">
            <v>攻撃タイプ</v>
          </cell>
          <cell r="M742" t="str">
            <v>human</v>
          </cell>
        </row>
        <row r="743">
          <cell r="A743">
            <v>742</v>
          </cell>
          <cell r="B743" t="str">
            <v>ja</v>
          </cell>
          <cell r="C743" t="str">
            <v>テュポーン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blue</v>
          </cell>
          <cell r="I743">
            <v>5</v>
          </cell>
          <cell r="J743" t="str">
            <v>PremiumS</v>
          </cell>
          <cell r="K743" t="str">
            <v>attack</v>
          </cell>
          <cell r="L743" t="str">
            <v>攻撃タイプ</v>
          </cell>
          <cell r="M743" t="str">
            <v>human</v>
          </cell>
        </row>
        <row r="744">
          <cell r="A744">
            <v>743</v>
          </cell>
          <cell r="B744" t="str">
            <v>ja</v>
          </cell>
          <cell r="C744" t="str">
            <v>パーン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blue</v>
          </cell>
          <cell r="I744">
            <v>5</v>
          </cell>
          <cell r="J744" t="str">
            <v>PremiumS</v>
          </cell>
          <cell r="K744" t="str">
            <v>attack</v>
          </cell>
          <cell r="L744" t="str">
            <v>攻撃タイプ</v>
          </cell>
          <cell r="M744" t="str">
            <v>human</v>
          </cell>
        </row>
        <row r="745">
          <cell r="A745">
            <v>744</v>
          </cell>
          <cell r="B745" t="str">
            <v>ja</v>
          </cell>
          <cell r="C745" t="str">
            <v>パーン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blue</v>
          </cell>
          <cell r="I745">
            <v>5</v>
          </cell>
          <cell r="J745" t="str">
            <v>PremiumS</v>
          </cell>
          <cell r="K745" t="str">
            <v>attack</v>
          </cell>
          <cell r="L745" t="str">
            <v>攻撃タイプ</v>
          </cell>
          <cell r="M745" t="str">
            <v>human</v>
          </cell>
        </row>
        <row r="746">
          <cell r="A746">
            <v>745</v>
          </cell>
          <cell r="B746" t="str">
            <v>ja</v>
          </cell>
          <cell r="C746" t="str">
            <v>パーン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blue</v>
          </cell>
          <cell r="I746">
            <v>5</v>
          </cell>
          <cell r="J746" t="str">
            <v>PremiumS</v>
          </cell>
          <cell r="K746" t="str">
            <v>attack</v>
          </cell>
          <cell r="L746" t="str">
            <v>攻撃タイプ</v>
          </cell>
          <cell r="M746" t="str">
            <v>human</v>
          </cell>
        </row>
        <row r="747">
          <cell r="A747">
            <v>746</v>
          </cell>
          <cell r="B747" t="str">
            <v>ja</v>
          </cell>
          <cell r="C747" t="str">
            <v>ヘルメス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5</v>
          </cell>
          <cell r="J747" t="str">
            <v>PremiumS</v>
          </cell>
          <cell r="K747" t="str">
            <v>attack</v>
          </cell>
          <cell r="L747" t="str">
            <v>攻撃タイプ</v>
          </cell>
          <cell r="M747" t="str">
            <v>human</v>
          </cell>
        </row>
        <row r="748">
          <cell r="A748">
            <v>747</v>
          </cell>
          <cell r="B748" t="str">
            <v>ja</v>
          </cell>
          <cell r="C748" t="str">
            <v>ヘルメス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attack</v>
          </cell>
          <cell r="L748" t="str">
            <v>攻撃タイプ</v>
          </cell>
          <cell r="M748" t="str">
            <v>human</v>
          </cell>
        </row>
        <row r="749">
          <cell r="A749">
            <v>748</v>
          </cell>
          <cell r="B749" t="str">
            <v>ja</v>
          </cell>
          <cell r="C749" t="str">
            <v>ノルン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blue</v>
          </cell>
          <cell r="I749">
            <v>5</v>
          </cell>
          <cell r="J749" t="str">
            <v>PremiumS</v>
          </cell>
          <cell r="K749" t="str">
            <v>attack</v>
          </cell>
          <cell r="L749" t="str">
            <v>攻撃タイプ</v>
          </cell>
          <cell r="M749" t="str">
            <v>human</v>
          </cell>
        </row>
        <row r="750">
          <cell r="A750">
            <v>749</v>
          </cell>
          <cell r="B750" t="str">
            <v>ja</v>
          </cell>
          <cell r="C750" t="str">
            <v>ノルン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blue</v>
          </cell>
          <cell r="I750">
            <v>5</v>
          </cell>
          <cell r="J750" t="str">
            <v>PremiumS</v>
          </cell>
          <cell r="K750" t="str">
            <v>attack</v>
          </cell>
          <cell r="L750" t="str">
            <v>攻撃タイプ</v>
          </cell>
          <cell r="M750" t="str">
            <v>human</v>
          </cell>
        </row>
        <row r="751">
          <cell r="A751">
            <v>750</v>
          </cell>
          <cell r="B751" t="str">
            <v>ja</v>
          </cell>
          <cell r="C751" t="str">
            <v>アポロン</v>
          </cell>
          <cell r="D751" t="str">
            <v>各属性相性良3・黄・R368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blue</v>
          </cell>
          <cell r="I751">
            <v>5</v>
          </cell>
          <cell r="J751" t="str">
            <v>PremiumS</v>
          </cell>
          <cell r="K751" t="str">
            <v>attack</v>
          </cell>
          <cell r="L751" t="str">
            <v>攻撃タイプ</v>
          </cell>
          <cell r="M751" t="str">
            <v>human</v>
          </cell>
        </row>
        <row r="752">
          <cell r="A752">
            <v>751</v>
          </cell>
          <cell r="B752" t="str">
            <v>ja</v>
          </cell>
          <cell r="C752" t="str">
            <v>アポロン</v>
          </cell>
          <cell r="D752" t="str">
            <v>各属性相性良3・黄・R369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blue</v>
          </cell>
          <cell r="I752">
            <v>5</v>
          </cell>
          <cell r="J752" t="str">
            <v>PremiumS</v>
          </cell>
          <cell r="K752" t="str">
            <v>attack</v>
          </cell>
          <cell r="L752" t="str">
            <v>攻撃タイプ</v>
          </cell>
          <cell r="M752" t="str">
            <v>human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各属性相性良3・黄・R370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blue</v>
          </cell>
          <cell r="I753">
            <v>5</v>
          </cell>
          <cell r="J753" t="str">
            <v>PremiumS</v>
          </cell>
          <cell r="K753" t="str">
            <v>attack</v>
          </cell>
          <cell r="L753" t="str">
            <v>攻撃タイプ</v>
          </cell>
          <cell r="M753" t="str">
            <v>human</v>
          </cell>
        </row>
        <row r="754">
          <cell r="A754">
            <v>753</v>
          </cell>
          <cell r="B754" t="str">
            <v>ja</v>
          </cell>
          <cell r="C754" t="str">
            <v>ムラマサ</v>
          </cell>
          <cell r="D754" t="str">
            <v>各属性相性良3・黄・R371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blue</v>
          </cell>
          <cell r="I754">
            <v>6</v>
          </cell>
          <cell r="J754" t="str">
            <v>PremiumS</v>
          </cell>
          <cell r="K754" t="str">
            <v>attack</v>
          </cell>
          <cell r="L754" t="str">
            <v>攻撃タイプ</v>
          </cell>
          <cell r="M754" t="str">
            <v>human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各属性相性良3・黄・R372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blue</v>
          </cell>
          <cell r="I755">
            <v>5</v>
          </cell>
          <cell r="J755" t="str">
            <v>PremiumS</v>
          </cell>
          <cell r="K755" t="str">
            <v>attack</v>
          </cell>
          <cell r="L755" t="str">
            <v>攻撃タイプ</v>
          </cell>
          <cell r="M755" t="str">
            <v>human</v>
          </cell>
        </row>
        <row r="756">
          <cell r="A756">
            <v>755</v>
          </cell>
          <cell r="B756" t="str">
            <v>ja</v>
          </cell>
          <cell r="C756" t="str">
            <v>マサムネ</v>
          </cell>
          <cell r="D756" t="str">
            <v>各属性相性良3・黄・R373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blue</v>
          </cell>
          <cell r="I756">
            <v>6</v>
          </cell>
          <cell r="J756" t="str">
            <v>PremiumS</v>
          </cell>
          <cell r="K756" t="str">
            <v>attack</v>
          </cell>
          <cell r="L756" t="str">
            <v>攻撃タイプ</v>
          </cell>
          <cell r="M756" t="str">
            <v>human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各属性相性良3・黄・R374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4</v>
          </cell>
          <cell r="J757" t="str">
            <v>PremiumSSS</v>
          </cell>
          <cell r="K757" t="str">
            <v>attack</v>
          </cell>
          <cell r="L757" t="str">
            <v>攻撃タイプ</v>
          </cell>
          <cell r="M757" t="str">
            <v>human</v>
          </cell>
        </row>
        <row r="758">
          <cell r="A758">
            <v>757</v>
          </cell>
          <cell r="B758" t="str">
            <v>ja</v>
          </cell>
          <cell r="C758" t="str">
            <v>アメノムラクモ</v>
          </cell>
          <cell r="D758" t="str">
            <v>各属性相性良3・黄・R375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5</v>
          </cell>
          <cell r="J758" t="str">
            <v>PremiumSSS</v>
          </cell>
          <cell r="K758" t="str">
            <v>attack</v>
          </cell>
          <cell r="L758" t="str">
            <v>攻撃タイプ</v>
          </cell>
          <cell r="M758" t="str">
            <v>human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各属性相性良3・黄・R376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PremiumSSS</v>
          </cell>
          <cell r="K759" t="str">
            <v>attack</v>
          </cell>
          <cell r="L759" t="str">
            <v>攻撃タイプ</v>
          </cell>
          <cell r="M759" t="str">
            <v>human</v>
          </cell>
        </row>
        <row r="760">
          <cell r="A760">
            <v>759</v>
          </cell>
          <cell r="B760" t="str">
            <v>ja</v>
          </cell>
          <cell r="C760" t="str">
            <v>雷切</v>
          </cell>
          <cell r="D760" t="str">
            <v>各属性相性良3・黄・R377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PremiumSSS</v>
          </cell>
          <cell r="K760" t="str">
            <v>attack</v>
          </cell>
          <cell r="L760" t="str">
            <v>攻撃タイプ</v>
          </cell>
          <cell r="M760" t="str">
            <v>human</v>
          </cell>
        </row>
        <row r="761">
          <cell r="A761">
            <v>760</v>
          </cell>
          <cell r="B761" t="str">
            <v>ja</v>
          </cell>
          <cell r="C761" t="str">
            <v>クロネッカー</v>
          </cell>
          <cell r="D761" t="str">
            <v>各属性相性良3・黄・R378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クロネッカー</v>
          </cell>
          <cell r="D762" t="str">
            <v>各属性相性良3・黄・R379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各属性相性良3・黄・R380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attack</v>
          </cell>
          <cell r="L763" t="str">
            <v>攻撃タイプ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フィボナッチ</v>
          </cell>
          <cell r="D764" t="str">
            <v>各属性相性良3・黄・R381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attack</v>
          </cell>
          <cell r="L764" t="str">
            <v>攻撃タイプ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バジリスク</v>
          </cell>
          <cell r="D765" t="str">
            <v>各属性相性良3・黄・R382</v>
          </cell>
          <cell r="E765" t="str">
            <v>執行者</v>
          </cell>
          <cell r="F765" t="str">
            <v>格好いい</v>
          </cell>
          <cell r="G765" t="str">
            <v>男性</v>
          </cell>
          <cell r="H765" t="str">
            <v>green</v>
          </cell>
          <cell r="I765">
            <v>4</v>
          </cell>
          <cell r="J765" t="str">
            <v>PremiumSS</v>
          </cell>
          <cell r="K765" t="str">
            <v>attack</v>
          </cell>
          <cell r="L765" t="str">
            <v>攻撃タイプ</v>
          </cell>
          <cell r="M765" t="str">
            <v>dragon</v>
          </cell>
        </row>
        <row r="766">
          <cell r="A766">
            <v>765</v>
          </cell>
          <cell r="B766" t="str">
            <v>ja</v>
          </cell>
          <cell r="C766" t="str">
            <v>バジリスク</v>
          </cell>
          <cell r="D766" t="str">
            <v>各属性相性良3・黄・R383</v>
          </cell>
          <cell r="E766" t="str">
            <v>執行者</v>
          </cell>
          <cell r="F766" t="str">
            <v>格好いい</v>
          </cell>
          <cell r="G766" t="str">
            <v>男性</v>
          </cell>
          <cell r="H766" t="str">
            <v>green</v>
          </cell>
          <cell r="I766">
            <v>5</v>
          </cell>
          <cell r="J766" t="str">
            <v>PremiumSS</v>
          </cell>
          <cell r="K766" t="str">
            <v>attack</v>
          </cell>
          <cell r="L766" t="str">
            <v>攻撃タイプ</v>
          </cell>
          <cell r="M766" t="str">
            <v>dragon</v>
          </cell>
        </row>
        <row r="767">
          <cell r="A767">
            <v>766</v>
          </cell>
          <cell r="B767" t="str">
            <v>ja</v>
          </cell>
          <cell r="C767" t="str">
            <v>イナバ</v>
          </cell>
          <cell r="D767" t="str">
            <v>各属性相性良3・黄・R384</v>
          </cell>
          <cell r="E767" t="str">
            <v>執行者</v>
          </cell>
          <cell r="F767" t="str">
            <v>格好いい</v>
          </cell>
          <cell r="G767" t="str">
            <v>男性</v>
          </cell>
          <cell r="H767" t="str">
            <v>green</v>
          </cell>
          <cell r="I767">
            <v>3</v>
          </cell>
          <cell r="J767" t="str">
            <v>PremiumS</v>
          </cell>
          <cell r="K767" t="str">
            <v>attack</v>
          </cell>
          <cell r="L767" t="str">
            <v>攻撃タイプ</v>
          </cell>
          <cell r="M767" t="str">
            <v>animal</v>
          </cell>
        </row>
        <row r="768">
          <cell r="A768">
            <v>767</v>
          </cell>
          <cell r="B768" t="str">
            <v>ja</v>
          </cell>
          <cell r="C768" t="str">
            <v>イナバ</v>
          </cell>
          <cell r="D768" t="str">
            <v>各属性相性良3・黄・R385</v>
          </cell>
          <cell r="E768" t="str">
            <v>執行者</v>
          </cell>
          <cell r="F768" t="str">
            <v>格好いい</v>
          </cell>
          <cell r="G768" t="str">
            <v>男性</v>
          </cell>
          <cell r="H768" t="str">
            <v>green</v>
          </cell>
          <cell r="I768">
            <v>4</v>
          </cell>
          <cell r="J768" t="str">
            <v>PremiumSS</v>
          </cell>
          <cell r="K768" t="str">
            <v>attack</v>
          </cell>
          <cell r="L768" t="str">
            <v>攻撃タイプ</v>
          </cell>
          <cell r="M768" t="str">
            <v>animal</v>
          </cell>
        </row>
        <row r="769">
          <cell r="A769">
            <v>768</v>
          </cell>
          <cell r="B769" t="str">
            <v>ja</v>
          </cell>
          <cell r="C769" t="str">
            <v>イナバ</v>
          </cell>
          <cell r="D769" t="str">
            <v>各属性相性良3・黄・R386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5</v>
          </cell>
          <cell r="J769" t="str">
            <v>PremiumSS</v>
          </cell>
          <cell r="K769" t="str">
            <v>attack</v>
          </cell>
          <cell r="L769" t="str">
            <v>攻撃タイプ</v>
          </cell>
          <cell r="M769" t="str">
            <v>animal</v>
          </cell>
        </row>
        <row r="770">
          <cell r="A770">
            <v>769</v>
          </cell>
          <cell r="B770" t="str">
            <v>ja</v>
          </cell>
          <cell r="C770" t="str">
            <v>ミケランジェロ</v>
          </cell>
          <cell r="D770" t="str">
            <v>各属性相性良3・黄・R387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3</v>
          </cell>
          <cell r="J770" t="str">
            <v>PremiumS</v>
          </cell>
          <cell r="K770" t="str">
            <v>attack</v>
          </cell>
          <cell r="L770" t="str">
            <v>攻撃タイプ</v>
          </cell>
          <cell r="M770" t="str">
            <v>unknown</v>
          </cell>
        </row>
        <row r="771">
          <cell r="A771">
            <v>770</v>
          </cell>
          <cell r="B771" t="str">
            <v>ja</v>
          </cell>
          <cell r="C771" t="str">
            <v>侵食破壊性ミケランジェロ</v>
          </cell>
          <cell r="D771" t="str">
            <v>各属性相性良3・黄・R388</v>
          </cell>
          <cell r="E771" t="str">
            <v>執行者</v>
          </cell>
          <cell r="F771" t="str">
            <v>格好いい</v>
          </cell>
          <cell r="G771" t="str">
            <v>男性</v>
          </cell>
          <cell r="H771" t="str">
            <v>green</v>
          </cell>
          <cell r="I771">
            <v>4</v>
          </cell>
          <cell r="J771" t="str">
            <v>PremiumS</v>
          </cell>
          <cell r="K771" t="str">
            <v>attack</v>
          </cell>
          <cell r="L771" t="str">
            <v>攻撃タイプ</v>
          </cell>
          <cell r="M771" t="str">
            <v>unknown</v>
          </cell>
        </row>
        <row r="772">
          <cell r="A772">
            <v>771</v>
          </cell>
          <cell r="B772" t="str">
            <v>ja</v>
          </cell>
          <cell r="C772" t="str">
            <v>ミケランジェロ</v>
          </cell>
          <cell r="D772" t="str">
            <v>各属性相性良3・黄・R389</v>
          </cell>
          <cell r="E772" t="str">
            <v>執行者</v>
          </cell>
          <cell r="F772" t="str">
            <v>格好いい</v>
          </cell>
          <cell r="G772" t="str">
            <v>男性</v>
          </cell>
          <cell r="H772" t="str">
            <v>green</v>
          </cell>
          <cell r="I772">
            <v>5</v>
          </cell>
          <cell r="J772" t="str">
            <v>PremiumS</v>
          </cell>
          <cell r="K772" t="str">
            <v>attack</v>
          </cell>
          <cell r="L772" t="str">
            <v>攻撃タイプ</v>
          </cell>
          <cell r="M772" t="str">
            <v>unknown</v>
          </cell>
        </row>
        <row r="773">
          <cell r="A773">
            <v>772</v>
          </cell>
          <cell r="B773" t="str">
            <v>ja</v>
          </cell>
          <cell r="C773" t="str">
            <v>ガラハッド</v>
          </cell>
          <cell r="D773" t="str">
            <v>各属性相性良3・黄・R390</v>
          </cell>
          <cell r="E773" t="str">
            <v>執行者</v>
          </cell>
          <cell r="F773" t="str">
            <v>格好いい</v>
          </cell>
          <cell r="G773" t="str">
            <v>男性</v>
          </cell>
          <cell r="H773" t="str">
            <v>green</v>
          </cell>
          <cell r="I773">
            <v>3</v>
          </cell>
          <cell r="J773" t="str">
            <v>PremiumS</v>
          </cell>
          <cell r="K773" t="str">
            <v>attack</v>
          </cell>
          <cell r="L773" t="str">
            <v>攻撃タイプ</v>
          </cell>
          <cell r="M773" t="str">
            <v>human</v>
          </cell>
        </row>
        <row r="774">
          <cell r="A774">
            <v>773</v>
          </cell>
          <cell r="B774" t="str">
            <v>ja</v>
          </cell>
          <cell r="C774" t="str">
            <v>レイブン</v>
          </cell>
          <cell r="D774" t="str">
            <v>各属性相性良3・黄・R391</v>
          </cell>
          <cell r="E774" t="str">
            <v>執行者</v>
          </cell>
          <cell r="F774" t="str">
            <v>格好いい</v>
          </cell>
          <cell r="G774" t="str">
            <v>男性</v>
          </cell>
          <cell r="H774" t="str">
            <v>green</v>
          </cell>
          <cell r="I774">
            <v>4</v>
          </cell>
          <cell r="J774" t="str">
            <v>PremiumSS</v>
          </cell>
          <cell r="K774" t="str">
            <v>attack</v>
          </cell>
          <cell r="L774" t="str">
            <v>攻撃タイプ</v>
          </cell>
          <cell r="M774" t="str">
            <v>human</v>
          </cell>
        </row>
        <row r="775">
          <cell r="A775">
            <v>774</v>
          </cell>
          <cell r="B775" t="str">
            <v>ja</v>
          </cell>
          <cell r="C775" t="str">
            <v>レイブン</v>
          </cell>
          <cell r="D775" t="str">
            <v>各属性相性良3・黄・R392</v>
          </cell>
          <cell r="E775" t="str">
            <v>執行者</v>
          </cell>
          <cell r="F775" t="str">
            <v>格好いい</v>
          </cell>
          <cell r="G775" t="str">
            <v>男性</v>
          </cell>
          <cell r="H775" t="str">
            <v>green</v>
          </cell>
          <cell r="I775">
            <v>5</v>
          </cell>
          <cell r="J775" t="str">
            <v>PremiumSS</v>
          </cell>
          <cell r="K775" t="str">
            <v>attack</v>
          </cell>
          <cell r="L775" t="str">
            <v>攻撃タイプ</v>
          </cell>
          <cell r="M775" t="str">
            <v>human</v>
          </cell>
        </row>
        <row r="776">
          <cell r="A776">
            <v>775</v>
          </cell>
          <cell r="B776" t="str">
            <v>ja</v>
          </cell>
          <cell r="C776" t="str">
            <v>チャリオット</v>
          </cell>
          <cell r="D776" t="str">
            <v>各属性相性良3・黄・R393</v>
          </cell>
          <cell r="E776" t="str">
            <v>執行者</v>
          </cell>
          <cell r="F776" t="str">
            <v>格好いい</v>
          </cell>
          <cell r="G776" t="str">
            <v>男性</v>
          </cell>
          <cell r="H776" t="str">
            <v>blue</v>
          </cell>
          <cell r="I776">
            <v>4</v>
          </cell>
          <cell r="J776" t="str">
            <v>PremiumSS</v>
          </cell>
          <cell r="K776" t="str">
            <v>heal</v>
          </cell>
          <cell r="L776" t="str">
            <v>回復タイプ</v>
          </cell>
          <cell r="M776" t="str">
            <v>human</v>
          </cell>
        </row>
        <row r="777">
          <cell r="A777">
            <v>776</v>
          </cell>
          <cell r="B777" t="str">
            <v>ja</v>
          </cell>
          <cell r="C777" t="str">
            <v>チャリオット</v>
          </cell>
          <cell r="D777" t="str">
            <v>各属性相性良3・黄・R394</v>
          </cell>
          <cell r="E777" t="str">
            <v>執行者</v>
          </cell>
          <cell r="F777" t="str">
            <v>格好いい</v>
          </cell>
          <cell r="G777" t="str">
            <v>男性</v>
          </cell>
          <cell r="H777" t="str">
            <v>blue</v>
          </cell>
          <cell r="I777">
            <v>5</v>
          </cell>
          <cell r="J777" t="str">
            <v>PremiumSS</v>
          </cell>
          <cell r="K777" t="str">
            <v>heal</v>
          </cell>
          <cell r="L777" t="str">
            <v>回復タイプ</v>
          </cell>
          <cell r="M777" t="str">
            <v>human</v>
          </cell>
        </row>
        <row r="778">
          <cell r="A778">
            <v>777</v>
          </cell>
          <cell r="B778" t="str">
            <v>ja</v>
          </cell>
          <cell r="C778" t="str">
            <v>ミズチ</v>
          </cell>
          <cell r="D778" t="str">
            <v>各属性相性良3・黄・R395</v>
          </cell>
          <cell r="E778" t="str">
            <v>執行者</v>
          </cell>
          <cell r="F778" t="str">
            <v>格好いい</v>
          </cell>
          <cell r="G778" t="str">
            <v>男性</v>
          </cell>
          <cell r="H778" t="str">
            <v>blue</v>
          </cell>
          <cell r="I778">
            <v>3</v>
          </cell>
          <cell r="J778" t="str">
            <v>PremiumS</v>
          </cell>
          <cell r="K778" t="str">
            <v>balance</v>
          </cell>
          <cell r="L778" t="str">
            <v>バランスタイプ</v>
          </cell>
          <cell r="M778" t="str">
            <v>dragon</v>
          </cell>
        </row>
        <row r="779">
          <cell r="A779">
            <v>778</v>
          </cell>
          <cell r="B779" t="str">
            <v>ja</v>
          </cell>
          <cell r="C779" t="str">
            <v>ミズチ</v>
          </cell>
          <cell r="D779" t="str">
            <v>各属性相性良3・黄・R396</v>
          </cell>
          <cell r="E779" t="str">
            <v>執行者</v>
          </cell>
          <cell r="F779" t="str">
            <v>格好いい</v>
          </cell>
          <cell r="G779" t="str">
            <v>男性</v>
          </cell>
          <cell r="H779" t="str">
            <v>blue</v>
          </cell>
          <cell r="I779">
            <v>4</v>
          </cell>
          <cell r="J779" t="str">
            <v>PremiumS</v>
          </cell>
          <cell r="K779" t="str">
            <v>balance</v>
          </cell>
          <cell r="L779" t="str">
            <v>バランスタイプ</v>
          </cell>
          <cell r="M779" t="str">
            <v>dragon</v>
          </cell>
        </row>
        <row r="780">
          <cell r="A780">
            <v>779</v>
          </cell>
          <cell r="B780" t="str">
            <v>ja</v>
          </cell>
          <cell r="C780" t="str">
            <v>ミズチ</v>
          </cell>
          <cell r="D780" t="str">
            <v>各属性相性良3・黄・R397</v>
          </cell>
          <cell r="E780" t="str">
            <v>執行者</v>
          </cell>
          <cell r="F780" t="str">
            <v>格好いい</v>
          </cell>
          <cell r="G780" t="str">
            <v>男性</v>
          </cell>
          <cell r="H780" t="str">
            <v>blue</v>
          </cell>
          <cell r="I780">
            <v>5</v>
          </cell>
          <cell r="J780" t="str">
            <v>PremiumS</v>
          </cell>
          <cell r="K780" t="str">
            <v>balance</v>
          </cell>
          <cell r="L780" t="str">
            <v>バランスタイプ</v>
          </cell>
          <cell r="M780" t="str">
            <v>dragon</v>
          </cell>
        </row>
        <row r="781">
          <cell r="A781">
            <v>780</v>
          </cell>
          <cell r="B781" t="str">
            <v>ja</v>
          </cell>
          <cell r="C781" t="str">
            <v>ラブレター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3</v>
          </cell>
          <cell r="J781" t="str">
            <v>PremiumS</v>
          </cell>
          <cell r="K781" t="str">
            <v>heal</v>
          </cell>
          <cell r="L781" t="str">
            <v>回復タイプ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連鎖告白型ラブレター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4</v>
          </cell>
          <cell r="J782" t="str">
            <v>PremiumS</v>
          </cell>
          <cell r="K782" t="str">
            <v>heal</v>
          </cell>
          <cell r="L782" t="str">
            <v>回復タイプ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ラブレター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blue</v>
          </cell>
          <cell r="I783">
            <v>5</v>
          </cell>
          <cell r="J783" t="str">
            <v>PremiumS</v>
          </cell>
          <cell r="K783" t="str">
            <v>heal</v>
          </cell>
          <cell r="L783" t="str">
            <v>回復タイプ</v>
          </cell>
          <cell r="M783" t="str">
            <v>unknown</v>
          </cell>
        </row>
        <row r="784">
          <cell r="A784">
            <v>783</v>
          </cell>
          <cell r="B784" t="str">
            <v>ja</v>
          </cell>
          <cell r="C784" t="str">
            <v>ガレス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blue</v>
          </cell>
          <cell r="I784">
            <v>3</v>
          </cell>
          <cell r="J784" t="str">
            <v>PremiumS</v>
          </cell>
          <cell r="K784" t="str">
            <v>technical</v>
          </cell>
          <cell r="L784" t="str">
            <v>テクニカルタイプ</v>
          </cell>
          <cell r="M784" t="str">
            <v>human</v>
          </cell>
        </row>
        <row r="785">
          <cell r="A785">
            <v>784</v>
          </cell>
          <cell r="B785" t="str">
            <v>ja</v>
          </cell>
          <cell r="C785" t="str">
            <v>ガレス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4</v>
          </cell>
          <cell r="J785" t="str">
            <v>PremiumS</v>
          </cell>
          <cell r="K785" t="str">
            <v>technical</v>
          </cell>
          <cell r="L785" t="str">
            <v>テクニカルタイプ</v>
          </cell>
          <cell r="M785" t="str">
            <v>human</v>
          </cell>
        </row>
        <row r="786">
          <cell r="A786">
            <v>785</v>
          </cell>
          <cell r="B786" t="str">
            <v>ja</v>
          </cell>
          <cell r="C786" t="str">
            <v>ガレス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blue</v>
          </cell>
          <cell r="I786">
            <v>5</v>
          </cell>
          <cell r="J786" t="str">
            <v>PremiumS</v>
          </cell>
          <cell r="K786" t="str">
            <v>technical</v>
          </cell>
          <cell r="L786" t="str">
            <v>テクニカルタイプ</v>
          </cell>
          <cell r="M786" t="str">
            <v>human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各属性相性良3・黄・R404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hp</v>
          </cell>
          <cell r="L787" t="str">
            <v>体力タイプ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ヘイウェイ</v>
          </cell>
          <cell r="D788" t="str">
            <v>各属性相性良3・黄・R405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hp</v>
          </cell>
          <cell r="L788" t="str">
            <v>体力タイプ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PremiumSSS</v>
          </cell>
          <cell r="K789" t="str">
            <v>attack</v>
          </cell>
          <cell r="L789" t="str">
            <v>攻撃タイプ</v>
          </cell>
          <cell r="M789" t="str">
            <v>animal</v>
          </cell>
        </row>
        <row r="790">
          <cell r="A790">
            <v>789</v>
          </cell>
          <cell r="B790" t="str">
            <v>ja</v>
          </cell>
          <cell r="C790" t="str">
            <v>パブロフ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PremiumSSS</v>
          </cell>
          <cell r="K790" t="str">
            <v>attack</v>
          </cell>
          <cell r="L790" t="str">
            <v>攻撃タイプ</v>
          </cell>
          <cell r="M790" t="str">
            <v>animal</v>
          </cell>
        </row>
        <row r="791">
          <cell r="A791">
            <v>790</v>
          </cell>
          <cell r="B791" t="str">
            <v>ja</v>
          </cell>
          <cell r="C791" t="str">
            <v>ノイマン</v>
          </cell>
          <cell r="D791" t="str">
            <v>各属性相性良3・黄・R408</v>
          </cell>
          <cell r="E791" t="str">
            <v>執行者</v>
          </cell>
          <cell r="F791" t="str">
            <v>格好いい</v>
          </cell>
          <cell r="G791" t="str">
            <v>男性</v>
          </cell>
          <cell r="H791" t="str">
            <v>blue</v>
          </cell>
          <cell r="I791">
            <v>5</v>
          </cell>
          <cell r="J791" t="str">
            <v>PremiumSS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ノイマンR6</v>
          </cell>
          <cell r="D792" t="str">
            <v>各属性相性良3・黄・R409</v>
          </cell>
          <cell r="E792" t="str">
            <v>執行者</v>
          </cell>
          <cell r="F792" t="str">
            <v>格好いい</v>
          </cell>
          <cell r="G792" t="str">
            <v>男性</v>
          </cell>
          <cell r="H792" t="str">
            <v>blue</v>
          </cell>
          <cell r="I792">
            <v>6</v>
          </cell>
          <cell r="J792" t="str">
            <v>PremiumSS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ゼノン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balance</v>
          </cell>
          <cell r="L793" t="str">
            <v>バランスタイプ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ゼノン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balance</v>
          </cell>
          <cell r="L794" t="str">
            <v>バランスタイプ</v>
          </cell>
          <cell r="M794" t="str">
            <v>human</v>
          </cell>
        </row>
        <row r="795">
          <cell r="A795">
            <v>794</v>
          </cell>
          <cell r="B795" t="str">
            <v>ja</v>
          </cell>
          <cell r="C795" t="str">
            <v>制服ハッピー</v>
          </cell>
          <cell r="D795" t="str">
            <v>各属性相性良3・黄・R412</v>
          </cell>
          <cell r="E795" t="str">
            <v>執行者</v>
          </cell>
          <cell r="F795" t="str">
            <v>格好いい</v>
          </cell>
          <cell r="G795" t="str">
            <v>男性</v>
          </cell>
          <cell r="H795" t="str">
            <v>green</v>
          </cell>
          <cell r="I795">
            <v>4</v>
          </cell>
          <cell r="J795" t="str">
            <v>PremiumS</v>
          </cell>
          <cell r="K795" t="str">
            <v>attack</v>
          </cell>
          <cell r="L795" t="str">
            <v>攻撃タイプ</v>
          </cell>
          <cell r="M795" t="str">
            <v>human</v>
          </cell>
        </row>
        <row r="796">
          <cell r="A796">
            <v>795</v>
          </cell>
          <cell r="B796" t="str">
            <v>ja</v>
          </cell>
          <cell r="C796" t="str">
            <v>桜りんご</v>
          </cell>
          <cell r="D796" t="str">
            <v>各属性相性良3・黄・R413</v>
          </cell>
          <cell r="E796" t="str">
            <v>執行者</v>
          </cell>
          <cell r="F796" t="str">
            <v>格好いい</v>
          </cell>
          <cell r="G796" t="str">
            <v>男性</v>
          </cell>
          <cell r="H796" t="str">
            <v>blue</v>
          </cell>
          <cell r="I796">
            <v>5</v>
          </cell>
          <cell r="J796" t="str">
            <v>PremiumS</v>
          </cell>
          <cell r="K796" t="str">
            <v>attack</v>
          </cell>
          <cell r="L796" t="str">
            <v>攻撃タイプ</v>
          </cell>
          <cell r="M796" t="str">
            <v>human</v>
          </cell>
        </row>
        <row r="797">
          <cell r="A797">
            <v>796</v>
          </cell>
          <cell r="B797" t="str">
            <v>ja</v>
          </cell>
          <cell r="C797" t="str">
            <v>ラグランジュ</v>
          </cell>
          <cell r="D797" t="str">
            <v>各属性相性良3・黄・R414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blue</v>
          </cell>
          <cell r="I797">
            <v>6</v>
          </cell>
          <cell r="J797" t="str">
            <v>PremiumS</v>
          </cell>
          <cell r="K797" t="str">
            <v>attack</v>
          </cell>
          <cell r="L797" t="str">
            <v>攻撃タイプ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blue</v>
          </cell>
          <cell r="I798">
            <v>6</v>
          </cell>
          <cell r="J798" t="str">
            <v>PremiumS</v>
          </cell>
          <cell r="K798" t="str">
            <v>attack</v>
          </cell>
          <cell r="L798" t="str">
            <v>攻撃タイプ</v>
          </cell>
          <cell r="M798" t="str">
            <v>human</v>
          </cell>
        </row>
        <row r="799">
          <cell r="A799">
            <v>798</v>
          </cell>
          <cell r="B799" t="str">
            <v>ja</v>
          </cell>
          <cell r="C799" t="str">
            <v>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blue</v>
          </cell>
          <cell r="I799">
            <v>6</v>
          </cell>
          <cell r="J799" t="str">
            <v>PremiumS</v>
          </cell>
          <cell r="K799" t="str">
            <v>attack</v>
          </cell>
          <cell r="L799" t="str">
            <v>攻撃タイプ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blue</v>
          </cell>
          <cell r="I800">
            <v>6</v>
          </cell>
          <cell r="J800" t="str">
            <v>PremiumS</v>
          </cell>
          <cell r="K800" t="str">
            <v>attack</v>
          </cell>
          <cell r="L800" t="str">
            <v>攻撃タイプ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ヘンペルR6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PremiumS</v>
          </cell>
          <cell r="K802" t="str">
            <v>attack</v>
          </cell>
          <cell r="L802" t="str">
            <v>攻撃タイプ</v>
          </cell>
          <cell r="M802" t="str">
            <v>human</v>
          </cell>
        </row>
        <row r="803">
          <cell r="A803">
            <v>802</v>
          </cell>
          <cell r="B803" t="str">
            <v>ja</v>
          </cell>
          <cell r="C803" t="str">
            <v>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blue</v>
          </cell>
          <cell r="I803">
            <v>6</v>
          </cell>
          <cell r="J803" t="str">
            <v>PremiumS</v>
          </cell>
          <cell r="K803" t="str">
            <v>attack</v>
          </cell>
          <cell r="L803" t="str">
            <v>攻撃タイプ</v>
          </cell>
          <cell r="M803" t="str">
            <v>human</v>
          </cell>
        </row>
        <row r="804">
          <cell r="A804">
            <v>803</v>
          </cell>
          <cell r="B804" t="str">
            <v>ja</v>
          </cell>
          <cell r="C804" t="str">
            <v>パラケルスス(旧イゾルデ)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blue</v>
          </cell>
          <cell r="I804">
            <v>6</v>
          </cell>
          <cell r="J804" t="str">
            <v>PremiumS</v>
          </cell>
          <cell r="K804" t="str">
            <v>attack</v>
          </cell>
          <cell r="L804" t="str">
            <v>攻撃タイプ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ファラデー(旧トール)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blue</v>
          </cell>
          <cell r="I805">
            <v>6</v>
          </cell>
          <cell r="J805" t="str">
            <v>PremiumS</v>
          </cell>
          <cell r="K805" t="str">
            <v>attack</v>
          </cell>
          <cell r="L805" t="str">
            <v>攻撃タイプ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R6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PremiumN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R6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PremiumN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 xml:space="preserve">R6 フォルネウス 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PremiumN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R6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R6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R6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PremiumS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R6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R6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PremiumS</v>
          </cell>
          <cell r="K813" t="str">
            <v>attack</v>
          </cell>
          <cell r="L813" t="str">
            <v>攻撃タイプ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R6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R6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PremiumS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blue</v>
          </cell>
          <cell r="I816">
            <v>6</v>
          </cell>
          <cell r="J816" t="str">
            <v>PremiumSS</v>
          </cell>
          <cell r="K816" t="str">
            <v>attack</v>
          </cell>
          <cell r="L816" t="str">
            <v>攻撃タイプ</v>
          </cell>
          <cell r="M816" t="str">
            <v>human</v>
          </cell>
        </row>
        <row r="817">
          <cell r="A817">
            <v>816</v>
          </cell>
          <cell r="B817" t="str">
            <v>ja</v>
          </cell>
          <cell r="C817" t="str">
            <v>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blue</v>
          </cell>
          <cell r="I817">
            <v>6</v>
          </cell>
          <cell r="J817" t="str">
            <v>PremiumS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ドロシー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blue</v>
          </cell>
          <cell r="I818">
            <v>6</v>
          </cell>
          <cell r="J818" t="str">
            <v>PremiumSS</v>
          </cell>
          <cell r="K818" t="str">
            <v>attack</v>
          </cell>
          <cell r="L818" t="str">
            <v>攻撃タイプ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blue</v>
          </cell>
          <cell r="I819">
            <v>6</v>
          </cell>
          <cell r="J819" t="str">
            <v>PremiumS</v>
          </cell>
          <cell r="K819" t="str">
            <v>attack</v>
          </cell>
          <cell r="L819" t="str">
            <v>攻撃タイプ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attack</v>
          </cell>
          <cell r="L820" t="str">
            <v>攻撃タイプ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blue</v>
          </cell>
          <cell r="I821">
            <v>6</v>
          </cell>
          <cell r="J821" t="str">
            <v>PremiumS</v>
          </cell>
          <cell r="K821" t="str">
            <v>attack</v>
          </cell>
          <cell r="L821" t="str">
            <v>攻撃タイプ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ペロー(長靴をはいた猫)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blue</v>
          </cell>
          <cell r="I822">
            <v>6</v>
          </cell>
          <cell r="J822" t="str">
            <v>PremiumSS</v>
          </cell>
          <cell r="K822" t="str">
            <v>attack</v>
          </cell>
          <cell r="L822" t="str">
            <v>攻撃タイプ</v>
          </cell>
          <cell r="M822" t="str">
            <v>human</v>
          </cell>
        </row>
        <row r="823">
          <cell r="A823">
            <v>822</v>
          </cell>
          <cell r="B823" t="str">
            <v>ja</v>
          </cell>
          <cell r="C823" t="str">
            <v>グリム兄弟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blue</v>
          </cell>
          <cell r="I823">
            <v>6</v>
          </cell>
          <cell r="J823" t="str">
            <v>PremiumS</v>
          </cell>
          <cell r="K823" t="str">
            <v>attack</v>
          </cell>
          <cell r="L823" t="str">
            <v>攻撃タイプ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blue</v>
          </cell>
          <cell r="I824">
            <v>6</v>
          </cell>
          <cell r="J824" t="str">
            <v>PremiumSS</v>
          </cell>
          <cell r="K824" t="str">
            <v>attack</v>
          </cell>
          <cell r="L824" t="str">
            <v>攻撃タイプ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子供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blue</v>
          </cell>
          <cell r="I825">
            <v>6</v>
          </cell>
          <cell r="J825" t="str">
            <v>PremiumS</v>
          </cell>
          <cell r="K825" t="str">
            <v>attack</v>
          </cell>
          <cell r="L825" t="str">
            <v>攻撃タイプ</v>
          </cell>
          <cell r="M825" t="str">
            <v>human</v>
          </cell>
        </row>
        <row r="826">
          <cell r="A826">
            <v>825</v>
          </cell>
          <cell r="B826" t="str">
            <v>ja</v>
          </cell>
          <cell r="C826" t="str">
            <v>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attack</v>
          </cell>
          <cell r="L826" t="str">
            <v>攻撃タイプ</v>
          </cell>
          <cell r="M826" t="str">
            <v>human</v>
          </cell>
        </row>
        <row r="827">
          <cell r="A827">
            <v>826</v>
          </cell>
          <cell r="B827" t="str">
            <v>ja</v>
          </cell>
          <cell r="C827" t="str">
            <v>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blue</v>
          </cell>
          <cell r="I827">
            <v>6</v>
          </cell>
          <cell r="J827" t="str">
            <v>PremiumS</v>
          </cell>
          <cell r="K827" t="str">
            <v>attack</v>
          </cell>
          <cell r="L827" t="str">
            <v>攻撃タイプ</v>
          </cell>
          <cell r="M827" t="str">
            <v>human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blue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human</v>
          </cell>
        </row>
        <row r="829">
          <cell r="A829">
            <v>828</v>
          </cell>
          <cell r="B829" t="str">
            <v>ja</v>
          </cell>
          <cell r="C829" t="str">
            <v>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PremiumS</v>
          </cell>
          <cell r="K829" t="str">
            <v>attack</v>
          </cell>
          <cell r="L829" t="str">
            <v>攻撃タイプ</v>
          </cell>
          <cell r="M829" t="str">
            <v>human</v>
          </cell>
        </row>
        <row r="830">
          <cell r="A830">
            <v>829</v>
          </cell>
          <cell r="B830" t="str">
            <v>ja</v>
          </cell>
          <cell r="C830" t="str">
            <v>猫又（化け猫)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blue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human</v>
          </cell>
        </row>
        <row r="831">
          <cell r="A831">
            <v>830</v>
          </cell>
          <cell r="B831" t="str">
            <v>ja</v>
          </cell>
          <cell r="C831" t="str">
            <v>カラス天狗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blue</v>
          </cell>
          <cell r="I831">
            <v>6</v>
          </cell>
          <cell r="J831" t="str">
            <v>PremiumS</v>
          </cell>
          <cell r="K831" t="str">
            <v>attack</v>
          </cell>
          <cell r="L831" t="str">
            <v>攻撃タイプ</v>
          </cell>
          <cell r="M831" t="str">
            <v>human</v>
          </cell>
        </row>
        <row r="832">
          <cell r="A832">
            <v>831</v>
          </cell>
          <cell r="B832" t="str">
            <v>ja</v>
          </cell>
          <cell r="C832" t="str">
            <v>ぬらりひょん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blue</v>
          </cell>
          <cell r="I832">
            <v>6</v>
          </cell>
          <cell r="J832" t="str">
            <v>PremiumSS</v>
          </cell>
          <cell r="K832" t="str">
            <v>attack</v>
          </cell>
          <cell r="L832" t="str">
            <v>攻撃タイプ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鬼（酒呑童子）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blue</v>
          </cell>
          <cell r="I833">
            <v>6</v>
          </cell>
          <cell r="J833" t="str">
            <v>PremiumS</v>
          </cell>
          <cell r="K833" t="str">
            <v>attack</v>
          </cell>
          <cell r="L833" t="str">
            <v>攻撃タイプ</v>
          </cell>
          <cell r="M833" t="str">
            <v>human</v>
          </cell>
        </row>
        <row r="834">
          <cell r="A834">
            <v>833</v>
          </cell>
          <cell r="B834" t="str">
            <v>ja</v>
          </cell>
          <cell r="C834" t="str">
            <v>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blue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human</v>
          </cell>
        </row>
        <row r="835">
          <cell r="A835">
            <v>834</v>
          </cell>
          <cell r="B835" t="str">
            <v>ja</v>
          </cell>
          <cell r="C835" t="str">
            <v>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PremiumS</v>
          </cell>
          <cell r="K835" t="str">
            <v>attack</v>
          </cell>
          <cell r="L835" t="str">
            <v>攻撃タイプ</v>
          </cell>
          <cell r="M835" t="str">
            <v>human</v>
          </cell>
        </row>
        <row r="836">
          <cell r="A836">
            <v>835</v>
          </cell>
          <cell r="B836" t="str">
            <v>ja</v>
          </cell>
          <cell r="C836" t="str">
            <v>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attack</v>
          </cell>
          <cell r="L836" t="str">
            <v>攻撃タイプ</v>
          </cell>
          <cell r="M836" t="str">
            <v>human</v>
          </cell>
        </row>
        <row r="837">
          <cell r="A837">
            <v>836</v>
          </cell>
          <cell r="B837" t="str">
            <v>ja</v>
          </cell>
          <cell r="C837" t="str">
            <v>マーラ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blue</v>
          </cell>
          <cell r="I837">
            <v>6</v>
          </cell>
          <cell r="J837" t="str">
            <v>PremiumS</v>
          </cell>
          <cell r="K837" t="str">
            <v>attack</v>
          </cell>
          <cell r="L837" t="str">
            <v>攻撃タイプ</v>
          </cell>
          <cell r="M837" t="str">
            <v>human</v>
          </cell>
        </row>
        <row r="838">
          <cell r="A838">
            <v>837</v>
          </cell>
          <cell r="B838" t="str">
            <v>ja</v>
          </cell>
          <cell r="C838" t="str">
            <v>ちびハンプティ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PremiumSS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blue</v>
          </cell>
          <cell r="I839">
            <v>6</v>
          </cell>
          <cell r="J839" t="str">
            <v>PremiumS</v>
          </cell>
          <cell r="K839" t="str">
            <v>attack</v>
          </cell>
          <cell r="L839" t="str">
            <v>攻撃タイプ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blue</v>
          </cell>
          <cell r="I840">
            <v>6</v>
          </cell>
          <cell r="J840" t="str">
            <v>PremiumSS</v>
          </cell>
          <cell r="K840" t="str">
            <v>attack</v>
          </cell>
          <cell r="L840" t="str">
            <v>攻撃タイプ</v>
          </cell>
          <cell r="M840" t="str">
            <v>human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O6"/>
  <sheetViews>
    <sheetView workbookViewId="0">
      <selection activeCell="A4" sqref="A4"/>
    </sheetView>
  </sheetViews>
  <sheetFormatPr baseColWidth="12" defaultRowHeight="18" x14ac:dyDescent="0"/>
  <cols>
    <col min="1" max="1" width="12.83203125" style="21"/>
    <col min="2" max="2" width="14.83203125" style="21" bestFit="1" customWidth="1"/>
    <col min="3" max="4" width="12.83203125" style="21"/>
    <col min="5" max="5" width="17.6640625" style="21" bestFit="1" customWidth="1"/>
    <col min="6" max="6" width="22.1640625" style="21" bestFit="1" customWidth="1"/>
    <col min="7" max="16384" width="12.83203125" style="21"/>
  </cols>
  <sheetData>
    <row r="1" spans="1:15">
      <c r="A1" s="31" t="s">
        <v>70</v>
      </c>
      <c r="B1" s="19" t="s">
        <v>54</v>
      </c>
      <c r="C1" s="19" t="s">
        <v>55</v>
      </c>
      <c r="D1" s="19" t="s">
        <v>56</v>
      </c>
      <c r="E1" s="19" t="s">
        <v>57</v>
      </c>
      <c r="F1" s="19" t="s">
        <v>58</v>
      </c>
      <c r="G1" s="19" t="s">
        <v>59</v>
      </c>
      <c r="H1" s="19"/>
      <c r="I1" s="19"/>
      <c r="J1" s="19"/>
      <c r="K1" s="19"/>
      <c r="L1" s="20"/>
      <c r="M1" s="20"/>
      <c r="N1" s="20"/>
      <c r="O1" s="20"/>
    </row>
    <row r="2" spans="1:15">
      <c r="A2" s="32" t="s">
        <v>71</v>
      </c>
      <c r="B2" s="22" t="s">
        <v>67</v>
      </c>
      <c r="C2" s="22" t="str">
        <f ca="1">MID(
  CELL("filename",B1),
  FIND("New_",CELL("filename",B1))+4,
  FIND(".xlsm",CELL("filename",B1))-FIND("New_",CELL("filename",B1))-4
)</f>
        <v>307</v>
      </c>
      <c r="D2" s="22" t="s">
        <v>60</v>
      </c>
      <c r="E2" s="20" t="str">
        <f ca="1">B2&amp;C2&amp;D2</f>
        <v>gacha_select_tables_307.tmp</v>
      </c>
      <c r="F2" s="22" t="s">
        <v>62</v>
      </c>
      <c r="G2" s="24" t="s">
        <v>21</v>
      </c>
      <c r="H2" s="25" t="s">
        <v>0</v>
      </c>
      <c r="I2" s="25" t="s">
        <v>11</v>
      </c>
      <c r="J2" s="25" t="s">
        <v>12</v>
      </c>
      <c r="K2" s="25" t="s">
        <v>13</v>
      </c>
      <c r="L2" s="25" t="s">
        <v>14</v>
      </c>
      <c r="M2" s="25" t="s">
        <v>15</v>
      </c>
      <c r="N2" s="25" t="s">
        <v>16</v>
      </c>
      <c r="O2" s="25" t="s">
        <v>17</v>
      </c>
    </row>
    <row r="3" spans="1:15">
      <c r="A3" s="62" t="s">
        <v>92</v>
      </c>
      <c r="B3" s="30" t="s">
        <v>68</v>
      </c>
      <c r="C3" s="22" t="str">
        <f ca="1">MID(
  CELL("filename",B2),
  FIND("New_",CELL("filename",B2))+4,
  FIND(".xlsm",CELL("filename",B2))-FIND("New_",CELL("filename",B2))-4
)</f>
        <v>307</v>
      </c>
      <c r="D3" s="22" t="s">
        <v>61</v>
      </c>
      <c r="E3" s="20" t="str">
        <f ca="1">B3&amp;C3&amp;D3</f>
        <v>gacha_settle_tables_307.tmp</v>
      </c>
      <c r="F3" s="22" t="s">
        <v>63</v>
      </c>
      <c r="G3" s="24" t="s">
        <v>21</v>
      </c>
      <c r="H3" s="25" t="s">
        <v>0</v>
      </c>
      <c r="I3" s="25" t="s">
        <v>11</v>
      </c>
      <c r="J3" s="25" t="s">
        <v>12</v>
      </c>
      <c r="K3" s="25" t="s">
        <v>13</v>
      </c>
      <c r="L3" s="25" t="s">
        <v>14</v>
      </c>
      <c r="M3" s="25" t="s">
        <v>15</v>
      </c>
      <c r="N3" s="25" t="s">
        <v>16</v>
      </c>
      <c r="O3" s="25" t="s">
        <v>17</v>
      </c>
    </row>
    <row r="4" spans="1:15">
      <c r="A4" s="60" t="s">
        <v>92</v>
      </c>
      <c r="B4" s="30" t="s">
        <v>69</v>
      </c>
      <c r="C4" s="22" t="str">
        <f ca="1">MID(
  CELL("filename",B3),
  FIND("New_",CELL("filename",B3))+4,
  FIND(".xlsm",CELL("filename",B3))-FIND("New_",CELL("filename",B3))-4
)</f>
        <v>307</v>
      </c>
      <c r="D4" s="22" t="s">
        <v>61</v>
      </c>
      <c r="E4" s="20" t="str">
        <f ca="1">B4&amp;C4&amp;D4</f>
        <v>gacha_bonus_tables_307.tmp</v>
      </c>
      <c r="F4" s="22" t="s">
        <v>64</v>
      </c>
      <c r="G4" s="24" t="s">
        <v>23</v>
      </c>
      <c r="H4" s="26" t="s">
        <v>26</v>
      </c>
      <c r="I4" s="24" t="s">
        <v>24</v>
      </c>
      <c r="J4" s="23"/>
      <c r="K4" s="23"/>
      <c r="L4" s="23"/>
      <c r="M4" s="23"/>
      <c r="N4" s="23"/>
      <c r="O4" s="23"/>
    </row>
    <row r="5" spans="1:15">
      <c r="A5" s="60" t="s">
        <v>92</v>
      </c>
      <c r="B5" s="22" t="s">
        <v>65</v>
      </c>
      <c r="C5" s="22" t="str">
        <f ca="1">MID(
  CELL("filename",B4),
  FIND("New_",CELL("filename",B4))+4,
  FIND(".xlsm",CELL("filename",B4))-FIND("New_",CELL("filename",B4))-4
)</f>
        <v>307</v>
      </c>
      <c r="D5" s="22" t="s">
        <v>61</v>
      </c>
      <c r="E5" s="20" t="str">
        <f ca="1">B5&amp;C5&amp;D5</f>
        <v>gifts_tmp_307.tmp</v>
      </c>
      <c r="F5" s="22" t="s">
        <v>64</v>
      </c>
      <c r="G5" s="26" t="s">
        <v>34</v>
      </c>
      <c r="H5" s="27" t="s">
        <v>42</v>
      </c>
      <c r="I5" s="26" t="s">
        <v>35</v>
      </c>
      <c r="J5" s="26" t="s">
        <v>36</v>
      </c>
      <c r="K5" s="26" t="s">
        <v>36</v>
      </c>
      <c r="L5" s="26" t="s">
        <v>37</v>
      </c>
      <c r="M5" s="26" t="s">
        <v>37</v>
      </c>
      <c r="N5" s="26" t="s">
        <v>37</v>
      </c>
      <c r="O5" s="22"/>
    </row>
    <row r="6" spans="1:15">
      <c r="A6" s="60" t="s">
        <v>92</v>
      </c>
      <c r="B6" s="22" t="s">
        <v>66</v>
      </c>
      <c r="C6" s="22" t="str">
        <f ca="1">MID(
  CELL("filename",B5),
  FIND("New_",CELL("filename",B5))+4,
  FIND(".xlsm",CELL("filename",B5))-FIND("New_",CELL("filename",B5))-4
)</f>
        <v>307</v>
      </c>
      <c r="D6" s="22" t="s">
        <v>61</v>
      </c>
      <c r="E6" s="20" t="str">
        <f ca="1">B6&amp;C6&amp;D6</f>
        <v>gifts_i18n_307.tmp</v>
      </c>
      <c r="F6" s="22" t="s">
        <v>64</v>
      </c>
      <c r="G6" s="26" t="s">
        <v>25</v>
      </c>
      <c r="H6" s="28" t="s">
        <v>38</v>
      </c>
      <c r="I6" s="28" t="s">
        <v>39</v>
      </c>
      <c r="J6" s="28" t="s">
        <v>40</v>
      </c>
      <c r="K6" s="28" t="s">
        <v>41</v>
      </c>
      <c r="L6" s="29"/>
      <c r="M6" s="26"/>
      <c r="N6" s="26"/>
      <c r="O6" s="22"/>
    </row>
  </sheetData>
  <phoneticPr fontId="13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theme="1"/>
  </sheetPr>
  <dimension ref="A1:I70"/>
  <sheetViews>
    <sheetView tabSelected="1" workbookViewId="0">
      <selection activeCell="B12" sqref="B12:B21"/>
    </sheetView>
  </sheetViews>
  <sheetFormatPr baseColWidth="12" defaultRowHeight="14" x14ac:dyDescent="0"/>
  <cols>
    <col min="1" max="1" width="15.1640625" style="52" customWidth="1"/>
    <col min="2" max="3" width="12.83203125" style="52"/>
  </cols>
  <sheetData>
    <row r="1" spans="1:5">
      <c r="A1" t="s">
        <v>18</v>
      </c>
      <c r="B1" t="s">
        <v>12</v>
      </c>
      <c r="C1" t="s">
        <v>76</v>
      </c>
      <c r="D1" t="s">
        <v>79</v>
      </c>
      <c r="E1" t="s">
        <v>78</v>
      </c>
    </row>
    <row r="2" spans="1:5">
      <c r="A2" s="12" t="str">
        <f>0&amp;C2&amp;D2</f>
        <v>0</v>
      </c>
      <c r="B2"/>
      <c r="C2" s="49"/>
    </row>
    <row r="3" spans="1:5">
      <c r="A3" s="12" t="str">
        <f t="shared" ref="A3:A9" si="0">0&amp;C3&amp;D3&amp;E3</f>
        <v>0PremiumW4</v>
      </c>
      <c r="B3">
        <v>1988</v>
      </c>
      <c r="C3" s="49" t="s">
        <v>72</v>
      </c>
      <c r="D3">
        <v>4</v>
      </c>
    </row>
    <row r="4" spans="1:5">
      <c r="A4" s="12" t="str">
        <f t="shared" si="0"/>
        <v>0PremiumN4</v>
      </c>
      <c r="B4">
        <v>17003</v>
      </c>
      <c r="C4" s="49" t="s">
        <v>73</v>
      </c>
      <c r="D4">
        <v>4</v>
      </c>
    </row>
    <row r="5" spans="1:5">
      <c r="A5" s="12" t="str">
        <f t="shared" si="0"/>
        <v>0PremiumS4</v>
      </c>
      <c r="B5">
        <v>32217</v>
      </c>
      <c r="C5" s="49" t="s">
        <v>74</v>
      </c>
      <c r="D5">
        <v>4</v>
      </c>
    </row>
    <row r="6" spans="1:5">
      <c r="A6" s="12" t="str">
        <f t="shared" si="0"/>
        <v>0PremiumSS4</v>
      </c>
      <c r="B6">
        <v>2486</v>
      </c>
      <c r="C6" s="49" t="s">
        <v>75</v>
      </c>
      <c r="D6">
        <v>4</v>
      </c>
    </row>
    <row r="7" spans="1:5">
      <c r="A7" s="12" t="str">
        <f t="shared" si="0"/>
        <v>0PremiumN5</v>
      </c>
      <c r="B7">
        <v>886</v>
      </c>
      <c r="C7" s="49" t="s">
        <v>73</v>
      </c>
      <c r="D7">
        <v>5</v>
      </c>
    </row>
    <row r="8" spans="1:5">
      <c r="A8" s="12" t="str">
        <f t="shared" si="0"/>
        <v>0PremiumS5</v>
      </c>
      <c r="B8">
        <v>1678</v>
      </c>
      <c r="C8" s="49" t="s">
        <v>74</v>
      </c>
      <c r="D8">
        <v>5</v>
      </c>
    </row>
    <row r="9" spans="1:5">
      <c r="A9" s="12" t="str">
        <f t="shared" si="0"/>
        <v>0PremiumSS5</v>
      </c>
      <c r="B9">
        <v>129</v>
      </c>
      <c r="C9" s="49" t="s">
        <v>75</v>
      </c>
      <c r="D9">
        <v>5</v>
      </c>
    </row>
    <row r="10" spans="1:5">
      <c r="A10" s="12"/>
      <c r="B10"/>
      <c r="C10" s="58"/>
    </row>
    <row r="11" spans="1:5">
      <c r="A11" s="51"/>
      <c r="B11"/>
      <c r="C11" s="57"/>
    </row>
    <row r="12" spans="1:5">
      <c r="A12" s="12" t="str">
        <f t="shared" ref="A12:A21" si="1">1&amp;C12&amp;D12&amp;E12</f>
        <v>1PremiumW3</v>
      </c>
      <c r="B12">
        <v>1309</v>
      </c>
      <c r="C12" s="48" t="s">
        <v>72</v>
      </c>
      <c r="D12">
        <v>3</v>
      </c>
    </row>
    <row r="13" spans="1:5">
      <c r="A13" s="12" t="str">
        <f t="shared" si="1"/>
        <v>1PremiumN3</v>
      </c>
      <c r="B13">
        <v>8835</v>
      </c>
      <c r="C13" s="48" t="s">
        <v>73</v>
      </c>
      <c r="D13">
        <v>3</v>
      </c>
    </row>
    <row r="14" spans="1:5">
      <c r="A14" s="12" t="str">
        <f t="shared" si="1"/>
        <v>1PremiumS3</v>
      </c>
      <c r="B14">
        <v>16741</v>
      </c>
      <c r="C14" s="48" t="s">
        <v>74</v>
      </c>
      <c r="D14">
        <v>3</v>
      </c>
    </row>
    <row r="15" spans="1:5">
      <c r="A15" s="12" t="str">
        <f t="shared" si="1"/>
        <v>1PremiumW4</v>
      </c>
      <c r="B15">
        <v>1309</v>
      </c>
      <c r="C15" s="48" t="s">
        <v>72</v>
      </c>
      <c r="D15">
        <v>4</v>
      </c>
    </row>
    <row r="16" spans="1:5">
      <c r="A16" s="12" t="str">
        <f t="shared" si="1"/>
        <v>1PremiumN4</v>
      </c>
      <c r="B16">
        <v>7943</v>
      </c>
      <c r="C16" s="48" t="s">
        <v>73</v>
      </c>
      <c r="D16">
        <v>4</v>
      </c>
    </row>
    <row r="17" spans="1:9">
      <c r="A17" s="12" t="str">
        <f t="shared" si="1"/>
        <v>1PremiumS4</v>
      </c>
      <c r="B17">
        <v>15050</v>
      </c>
      <c r="C17" s="48" t="s">
        <v>74</v>
      </c>
      <c r="D17">
        <v>4</v>
      </c>
      <c r="H17" s="47"/>
      <c r="I17" s="47"/>
    </row>
    <row r="18" spans="1:9">
      <c r="A18" s="12" t="str">
        <f t="shared" si="1"/>
        <v>1PremiumSS4</v>
      </c>
      <c r="B18">
        <v>2483</v>
      </c>
      <c r="C18" s="48" t="s">
        <v>75</v>
      </c>
      <c r="D18">
        <v>4</v>
      </c>
    </row>
    <row r="19" spans="1:9">
      <c r="A19" s="12" t="str">
        <f t="shared" si="1"/>
        <v>1PremiumN5</v>
      </c>
      <c r="B19">
        <v>892</v>
      </c>
      <c r="C19" s="48" t="s">
        <v>73</v>
      </c>
      <c r="D19">
        <v>5</v>
      </c>
    </row>
    <row r="20" spans="1:9">
      <c r="A20" s="12" t="str">
        <f t="shared" si="1"/>
        <v>1PremiumS5</v>
      </c>
      <c r="B20">
        <v>1691</v>
      </c>
      <c r="C20" s="49" t="s">
        <v>74</v>
      </c>
      <c r="D20">
        <v>5</v>
      </c>
    </row>
    <row r="21" spans="1:9">
      <c r="A21" s="12" t="str">
        <f t="shared" si="1"/>
        <v>1PremiumSS5</v>
      </c>
      <c r="B21">
        <v>132</v>
      </c>
      <c r="C21" s="49" t="s">
        <v>75</v>
      </c>
      <c r="D21">
        <v>5</v>
      </c>
    </row>
    <row r="22" spans="1:9">
      <c r="A22" s="12"/>
      <c r="B22"/>
      <c r="C22" s="49"/>
    </row>
    <row r="23" spans="1:9">
      <c r="A23" s="12"/>
      <c r="B23"/>
      <c r="C23" s="48"/>
    </row>
    <row r="24" spans="1:9">
      <c r="A24" s="12"/>
      <c r="B24"/>
      <c r="C24" s="48"/>
    </row>
    <row r="25" spans="1:9">
      <c r="A25" s="12"/>
      <c r="B25"/>
      <c r="C25" s="38"/>
    </row>
    <row r="26" spans="1:9">
      <c r="A26" s="12"/>
      <c r="B26"/>
      <c r="C26" s="38"/>
    </row>
    <row r="27" spans="1:9">
      <c r="A27" s="12"/>
      <c r="B27"/>
      <c r="C27" s="38"/>
    </row>
    <row r="28" spans="1:9">
      <c r="A28" s="12"/>
      <c r="B28"/>
      <c r="C28" s="38"/>
    </row>
    <row r="29" spans="1:9">
      <c r="A29" s="12"/>
      <c r="B29"/>
      <c r="C29" s="38"/>
    </row>
    <row r="30" spans="1:9">
      <c r="A30" s="51"/>
      <c r="B30"/>
      <c r="C30"/>
    </row>
    <row r="31" spans="1:9">
      <c r="A31" s="51"/>
      <c r="C31" s="57"/>
    </row>
    <row r="32" spans="1:9">
      <c r="A32" s="51"/>
      <c r="C32" s="50"/>
    </row>
    <row r="33" spans="1:3">
      <c r="A33" s="51"/>
      <c r="C33" s="50"/>
    </row>
    <row r="34" spans="1:3">
      <c r="A34" s="51"/>
      <c r="C34" s="50"/>
    </row>
    <row r="35" spans="1:3">
      <c r="A35" s="51"/>
      <c r="C35" s="57"/>
    </row>
    <row r="36" spans="1:3">
      <c r="A36" s="51"/>
      <c r="C36" s="57"/>
    </row>
    <row r="37" spans="1:3">
      <c r="A37" s="51"/>
    </row>
    <row r="38" spans="1:3">
      <c r="A38" s="51"/>
    </row>
    <row r="39" spans="1:3">
      <c r="A39" s="51"/>
    </row>
    <row r="40" spans="1:3">
      <c r="A40" s="51"/>
    </row>
    <row r="43" spans="1:3">
      <c r="A43" s="51"/>
      <c r="C43" s="50"/>
    </row>
    <row r="44" spans="1:3">
      <c r="A44" s="51"/>
      <c r="C44" s="50"/>
    </row>
    <row r="45" spans="1:3">
      <c r="A45" s="51"/>
      <c r="C45" s="50"/>
    </row>
    <row r="46" spans="1:3">
      <c r="A46" s="51"/>
      <c r="C46" s="50"/>
    </row>
    <row r="47" spans="1:3">
      <c r="A47" s="51"/>
      <c r="C47" s="50"/>
    </row>
    <row r="48" spans="1:3">
      <c r="A48" s="51"/>
      <c r="C48" s="50"/>
    </row>
    <row r="49" spans="1:3">
      <c r="A49" s="51"/>
      <c r="C49" s="50"/>
    </row>
    <row r="50" spans="1:3">
      <c r="A50" s="51"/>
    </row>
    <row r="51" spans="1:3">
      <c r="A51" s="51"/>
    </row>
    <row r="52" spans="1:3">
      <c r="A52" s="51"/>
    </row>
    <row r="55" spans="1:3">
      <c r="A55" s="51"/>
      <c r="C55" s="50"/>
    </row>
    <row r="56" spans="1:3">
      <c r="A56" s="51"/>
      <c r="C56" s="50"/>
    </row>
    <row r="57" spans="1:3">
      <c r="A57" s="51"/>
      <c r="C57" s="50"/>
    </row>
    <row r="58" spans="1:3">
      <c r="A58" s="51"/>
      <c r="C58" s="50"/>
    </row>
    <row r="59" spans="1:3">
      <c r="A59" s="51"/>
      <c r="C59" s="50"/>
    </row>
    <row r="60" spans="1:3">
      <c r="A60" s="51"/>
      <c r="C60" s="50"/>
    </row>
    <row r="61" spans="1:3">
      <c r="A61" s="51"/>
      <c r="C61" s="50"/>
    </row>
    <row r="64" spans="1:3">
      <c r="A64" s="51"/>
      <c r="C64" s="50"/>
    </row>
    <row r="65" spans="1:3">
      <c r="A65" s="51"/>
      <c r="C65" s="50"/>
    </row>
    <row r="66" spans="1:3">
      <c r="A66" s="51"/>
      <c r="C66" s="50"/>
    </row>
    <row r="67" spans="1:3">
      <c r="A67" s="51"/>
      <c r="C67" s="50"/>
    </row>
    <row r="68" spans="1:3">
      <c r="A68" s="51"/>
      <c r="C68" s="50"/>
    </row>
    <row r="69" spans="1:3">
      <c r="A69" s="51"/>
      <c r="C69" s="50"/>
    </row>
    <row r="70" spans="1:3">
      <c r="A70" s="51"/>
      <c r="C70" s="50"/>
    </row>
  </sheetData>
  <phoneticPr fontId="13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S170"/>
  <sheetViews>
    <sheetView showGridLines="0" zoomScale="75" zoomScaleNormal="75" zoomScalePageLayoutView="75" workbookViewId="0">
      <pane ySplit="1" topLeftCell="A67" activePane="bottomLeft" state="frozen"/>
      <selection activeCell="M24" sqref="M24"/>
      <selection pane="bottomLeft" activeCell="F93" sqref="F93"/>
    </sheetView>
  </sheetViews>
  <sheetFormatPr baseColWidth="12" defaultRowHeight="21" customHeight="1" outlineLevelCol="1" x14ac:dyDescent="0"/>
  <cols>
    <col min="1" max="1" width="9.6640625" style="7" bestFit="1" customWidth="1"/>
    <col min="2" max="2" width="12.6640625" style="1" bestFit="1" customWidth="1"/>
    <col min="3" max="3" width="17.6640625" style="1" bestFit="1" customWidth="1" outlineLevel="1"/>
    <col min="4" max="4" width="17.6640625" style="1" customWidth="1" outlineLevel="1"/>
    <col min="5" max="5" width="7.5" style="1" customWidth="1"/>
    <col min="6" max="6" width="10.5" style="1" customWidth="1"/>
    <col min="7" max="7" width="23.33203125" style="1" customWidth="1" outlineLevel="1"/>
    <col min="8" max="8" width="13.6640625" style="1" customWidth="1" outlineLevel="1"/>
    <col min="9" max="9" width="9.6640625" style="1" customWidth="1" outlineLevel="1"/>
    <col min="10" max="10" width="10.5" style="4" customWidth="1" outlineLevel="1"/>
    <col min="11" max="11" width="18.83203125" style="1" customWidth="1" outlineLevel="1"/>
    <col min="12" max="12" width="19" style="1" customWidth="1" outlineLevel="1"/>
    <col min="13" max="13" width="11.33203125" style="1" bestFit="1" customWidth="1"/>
    <col min="14" max="14" width="13.1640625" style="1" bestFit="1" customWidth="1"/>
    <col min="15" max="16384" width="12.83203125" style="1"/>
  </cols>
  <sheetData>
    <row r="1" spans="1:19" ht="21" customHeight="1">
      <c r="A1" s="7" t="s">
        <v>10</v>
      </c>
      <c r="B1" s="14" t="s">
        <v>20</v>
      </c>
      <c r="C1" s="3" t="s">
        <v>43</v>
      </c>
      <c r="D1" s="3" t="s">
        <v>44</v>
      </c>
      <c r="E1" s="18" t="s">
        <v>45</v>
      </c>
      <c r="F1" s="18" t="s">
        <v>46</v>
      </c>
      <c r="G1" s="3" t="s">
        <v>47</v>
      </c>
      <c r="H1" s="3" t="s">
        <v>48</v>
      </c>
      <c r="I1" s="3" t="s">
        <v>49</v>
      </c>
      <c r="J1" s="3" t="s">
        <v>77</v>
      </c>
      <c r="K1" s="3" t="s">
        <v>50</v>
      </c>
      <c r="L1" s="3" t="s">
        <v>51</v>
      </c>
      <c r="M1" s="18" t="s">
        <v>53</v>
      </c>
      <c r="N1" s="18" t="s">
        <v>52</v>
      </c>
      <c r="O1" s="34" t="s">
        <v>13</v>
      </c>
      <c r="P1" s="34" t="s">
        <v>14</v>
      </c>
      <c r="Q1" s="34" t="s">
        <v>15</v>
      </c>
      <c r="R1" s="34" t="s">
        <v>16</v>
      </c>
      <c r="S1" s="34" t="s">
        <v>17</v>
      </c>
    </row>
    <row r="2" spans="1:19" ht="21" customHeight="1">
      <c r="A2" s="7" t="str">
        <f t="shared" ref="A2:A61" si="0">B2&amp;F2</f>
        <v>3070133</v>
      </c>
      <c r="B2" s="2" t="str">
        <f t="shared" ref="B2:B63" si="1">307&amp;E2</f>
        <v>3070</v>
      </c>
      <c r="C2" s="8" t="str">
        <f t="shared" ref="C2:C35" si="2">E2&amp;H2&amp;I2</f>
        <v>0PremiumW4</v>
      </c>
      <c r="D2" s="8" t="str">
        <f t="shared" ref="D2:D62" si="3">E2&amp;H2&amp;I2</f>
        <v>0PremiumW4</v>
      </c>
      <c r="E2" s="10">
        <v>0</v>
      </c>
      <c r="F2" s="63">
        <v>133</v>
      </c>
      <c r="G2" s="8" t="str">
        <f>VLOOKUP(F2,[1]characters!$A:$C,3,FALSE)</f>
        <v>迅雷の刀剣 ハヤト</v>
      </c>
      <c r="H2" s="8" t="str">
        <f>VLOOKUP(F2,[1]characters!$A:$J,10,FALSE)</f>
        <v>PremiumW</v>
      </c>
      <c r="I2" s="8">
        <f>VLOOKUP(F2,[1]characters!$A:$I,9,FALSE)</f>
        <v>4</v>
      </c>
      <c r="J2" s="8" t="str">
        <f>VLOOKUP(F2,[1]characters!$A:$H,8,FALSE)</f>
        <v>yellow</v>
      </c>
      <c r="K2" s="8" t="str">
        <f>VLOOKUP(F2,[1]characters!$A:$K,11,FALSE)</f>
        <v>attack</v>
      </c>
      <c r="L2" s="8" t="str">
        <f>VLOOKUP(F2,[1]characters!$A:$M,13,FALSE)</f>
        <v>human</v>
      </c>
      <c r="M2" s="13">
        <f>VLOOKUP(D2,gacha_307_base!A:B,2,FALSE)</f>
        <v>1988</v>
      </c>
      <c r="N2" s="35">
        <f>IFERROR(VLOOKUP($F2,bug_conf_sheet!$A:$H,3,FALSE),VLOOKUP("other",bug_conf_sheet!$A:$H,3,FALSE))</f>
        <v>1</v>
      </c>
      <c r="O2" s="35">
        <f>IFERROR(VLOOKUP($F2,bug_conf_sheet!$A:$H,4,FALSE),VLOOKUP("other",bug_conf_sheet!$A:$H,4,FALSE))</f>
        <v>0</v>
      </c>
      <c r="P2" s="35">
        <f>IFERROR(VLOOKUP($F2,bug_conf_sheet!$A:$H,5,FALSE),VLOOKUP("other",bug_conf_sheet!$A:$H,5,FALSE))</f>
        <v>0</v>
      </c>
      <c r="Q2" s="35">
        <f>IFERROR(VLOOKUP($F2,bug_conf_sheet!$A:$H,6,FALSE),VLOOKUP("other",bug_conf_sheet!$A:$H,6,FALSE))</f>
        <v>0</v>
      </c>
      <c r="R2" s="35">
        <f>IFERROR(VLOOKUP($F2,bug_conf_sheet!$A:$H,7,FALSE),VLOOKUP("other",bug_conf_sheet!$A:$H,7,FALSE))</f>
        <v>0</v>
      </c>
      <c r="S2" s="35">
        <f>IFERROR(VLOOKUP($F2,bug_conf_sheet!$A:$H,8,FALSE),VLOOKUP("other",bug_conf_sheet!$A:$H,8,FALSE))</f>
        <v>1</v>
      </c>
    </row>
    <row r="3" spans="1:19" ht="21" customHeight="1">
      <c r="A3" s="7" t="str">
        <f t="shared" si="0"/>
        <v>3070167</v>
      </c>
      <c r="B3" s="2" t="str">
        <f t="shared" si="1"/>
        <v>3070</v>
      </c>
      <c r="C3" s="8" t="str">
        <f t="shared" si="2"/>
        <v>0PremiumN4</v>
      </c>
      <c r="D3" s="8" t="str">
        <f t="shared" si="3"/>
        <v>0PremiumN4</v>
      </c>
      <c r="E3" s="10">
        <v>0</v>
      </c>
      <c r="F3" s="63">
        <v>167</v>
      </c>
      <c r="G3" s="8" t="str">
        <f>VLOOKUP(F3,[1]characters!$A:$C,3,FALSE)</f>
        <v>逆徒 ベリアル</v>
      </c>
      <c r="H3" s="8" t="str">
        <f>VLOOKUP(F3,[1]characters!$A:$J,10,FALSE)</f>
        <v>PremiumN</v>
      </c>
      <c r="I3" s="8">
        <f>VLOOKUP(F3,[1]characters!$A:$I,9,FALSE)</f>
        <v>4</v>
      </c>
      <c r="J3" s="8" t="str">
        <f>VLOOKUP(F3,[1]characters!$A:$H,8,FALSE)</f>
        <v>red</v>
      </c>
      <c r="K3" s="8" t="str">
        <f>VLOOKUP(F3,[1]characters!$A:$K,11,FALSE)</f>
        <v>attack</v>
      </c>
      <c r="L3" s="8" t="str">
        <f>VLOOKUP(F3,[1]characters!$A:$M,13,FALSE)</f>
        <v>god</v>
      </c>
      <c r="M3" s="13">
        <f>VLOOKUP(D3,gacha_307_base!A:B,2,FALSE)</f>
        <v>17003</v>
      </c>
      <c r="N3" s="35">
        <f>IFERROR(VLOOKUP($F3,bug_conf_sheet!$A:$H,3,FALSE),VLOOKUP("other",bug_conf_sheet!$A:$H,3,FALSE))</f>
        <v>1</v>
      </c>
      <c r="O3" s="35">
        <f>IFERROR(VLOOKUP($F3,bug_conf_sheet!$A:$H,4,FALSE),VLOOKUP("other",bug_conf_sheet!$A:$H,4,FALSE))</f>
        <v>0</v>
      </c>
      <c r="P3" s="35">
        <f>IFERROR(VLOOKUP($F3,bug_conf_sheet!$A:$H,5,FALSE),VLOOKUP("other",bug_conf_sheet!$A:$H,5,FALSE))</f>
        <v>0</v>
      </c>
      <c r="Q3" s="35">
        <f>IFERROR(VLOOKUP($F3,bug_conf_sheet!$A:$H,6,FALSE),VLOOKUP("other",bug_conf_sheet!$A:$H,6,FALSE))</f>
        <v>0</v>
      </c>
      <c r="R3" s="35">
        <f>IFERROR(VLOOKUP($F3,bug_conf_sheet!$A:$H,7,FALSE),VLOOKUP("other",bug_conf_sheet!$A:$H,7,FALSE))</f>
        <v>0</v>
      </c>
      <c r="S3" s="35">
        <f>IFERROR(VLOOKUP($F3,bug_conf_sheet!$A:$H,8,FALSE),VLOOKUP("other",bug_conf_sheet!$A:$H,8,FALSE))</f>
        <v>1</v>
      </c>
    </row>
    <row r="4" spans="1:19" ht="21" customHeight="1">
      <c r="A4" s="7" t="str">
        <f t="shared" si="0"/>
        <v>3070168</v>
      </c>
      <c r="B4" s="2" t="str">
        <f t="shared" si="1"/>
        <v>3070</v>
      </c>
      <c r="C4" s="8" t="str">
        <f t="shared" si="2"/>
        <v>0PremiumN5</v>
      </c>
      <c r="D4" s="8" t="str">
        <f t="shared" si="3"/>
        <v>0PremiumN5</v>
      </c>
      <c r="E4" s="10">
        <v>0</v>
      </c>
      <c r="F4" s="63">
        <v>168</v>
      </c>
      <c r="G4" s="8" t="str">
        <f>VLOOKUP(F4,[1]characters!$A:$C,3,FALSE)</f>
        <v>猛進の大逆者 ベリアル</v>
      </c>
      <c r="H4" s="8" t="str">
        <f>VLOOKUP(F4,[1]characters!$A:$J,10,FALSE)</f>
        <v>PremiumN</v>
      </c>
      <c r="I4" s="8">
        <f>VLOOKUP(F4,[1]characters!$A:$I,9,FALSE)</f>
        <v>5</v>
      </c>
      <c r="J4" s="8" t="str">
        <f>VLOOKUP(F4,[1]characters!$A:$H,8,FALSE)</f>
        <v>red</v>
      </c>
      <c r="K4" s="8" t="str">
        <f>VLOOKUP(F4,[1]characters!$A:$K,11,FALSE)</f>
        <v>attack</v>
      </c>
      <c r="L4" s="8" t="str">
        <f>VLOOKUP(F4,[1]characters!$A:$M,13,FALSE)</f>
        <v>god</v>
      </c>
      <c r="M4" s="13">
        <f>VLOOKUP(D4,gacha_307_base!A:B,2,FALSE)</f>
        <v>886</v>
      </c>
      <c r="N4" s="35">
        <f>IFERROR(VLOOKUP($F4,bug_conf_sheet!$A:$H,3,FALSE),VLOOKUP("other",bug_conf_sheet!$A:$H,3,FALSE))</f>
        <v>1</v>
      </c>
      <c r="O4" s="35">
        <f>IFERROR(VLOOKUP($F4,bug_conf_sheet!$A:$H,4,FALSE),VLOOKUP("other",bug_conf_sheet!$A:$H,4,FALSE))</f>
        <v>0</v>
      </c>
      <c r="P4" s="35">
        <f>IFERROR(VLOOKUP($F4,bug_conf_sheet!$A:$H,5,FALSE),VLOOKUP("other",bug_conf_sheet!$A:$H,5,FALSE))</f>
        <v>0</v>
      </c>
      <c r="Q4" s="35">
        <f>IFERROR(VLOOKUP($F4,bug_conf_sheet!$A:$H,6,FALSE),VLOOKUP("other",bug_conf_sheet!$A:$H,6,FALSE))</f>
        <v>0</v>
      </c>
      <c r="R4" s="35">
        <f>IFERROR(VLOOKUP($F4,bug_conf_sheet!$A:$H,7,FALSE),VLOOKUP("other",bug_conf_sheet!$A:$H,7,FALSE))</f>
        <v>0</v>
      </c>
      <c r="S4" s="35">
        <f>IFERROR(VLOOKUP($F4,bug_conf_sheet!$A:$H,8,FALSE),VLOOKUP("other",bug_conf_sheet!$A:$H,8,FALSE))</f>
        <v>1</v>
      </c>
    </row>
    <row r="5" spans="1:19" ht="21" customHeight="1">
      <c r="A5" s="7" t="str">
        <f t="shared" si="0"/>
        <v>3070200</v>
      </c>
      <c r="B5" s="2" t="str">
        <f t="shared" si="1"/>
        <v>3070</v>
      </c>
      <c r="C5" s="8" t="str">
        <f t="shared" si="2"/>
        <v>0PremiumN4</v>
      </c>
      <c r="D5" s="8" t="str">
        <f t="shared" si="3"/>
        <v>0PremiumN4</v>
      </c>
      <c r="E5" s="10">
        <v>0</v>
      </c>
      <c r="F5" s="63">
        <v>200</v>
      </c>
      <c r="G5" s="8" t="str">
        <f>VLOOKUP(F5,[1]characters!$A:$C,3,FALSE)</f>
        <v>大剣士 ジークフリート</v>
      </c>
      <c r="H5" s="8" t="str">
        <f>VLOOKUP(F5,[1]characters!$A:$J,10,FALSE)</f>
        <v>PremiumN</v>
      </c>
      <c r="I5" s="8">
        <f>VLOOKUP(F5,[1]characters!$A:$I,9,FALSE)</f>
        <v>4</v>
      </c>
      <c r="J5" s="8" t="str">
        <f>VLOOKUP(F5,[1]characters!$A:$H,8,FALSE)</f>
        <v>blue</v>
      </c>
      <c r="K5" s="8" t="str">
        <f>VLOOKUP(F5,[1]characters!$A:$K,11,FALSE)</f>
        <v>balance</v>
      </c>
      <c r="L5" s="8" t="str">
        <f>VLOOKUP(F5,[1]characters!$A:$M,13,FALSE)</f>
        <v>human</v>
      </c>
      <c r="M5" s="13">
        <f>VLOOKUP(D5,gacha_307_base!A:B,2,FALSE)</f>
        <v>17003</v>
      </c>
      <c r="N5" s="35">
        <f>IFERROR(VLOOKUP($F5,bug_conf_sheet!$A:$H,3,FALSE),VLOOKUP("other",bug_conf_sheet!$A:$H,3,FALSE))</f>
        <v>1</v>
      </c>
      <c r="O5" s="35">
        <f>IFERROR(VLOOKUP($F5,bug_conf_sheet!$A:$H,4,FALSE),VLOOKUP("other",bug_conf_sheet!$A:$H,4,FALSE))</f>
        <v>0</v>
      </c>
      <c r="P5" s="35">
        <f>IFERROR(VLOOKUP($F5,bug_conf_sheet!$A:$H,5,FALSE),VLOOKUP("other",bug_conf_sheet!$A:$H,5,FALSE))</f>
        <v>0</v>
      </c>
      <c r="Q5" s="35">
        <f>IFERROR(VLOOKUP($F5,bug_conf_sheet!$A:$H,6,FALSE),VLOOKUP("other",bug_conf_sheet!$A:$H,6,FALSE))</f>
        <v>0</v>
      </c>
      <c r="R5" s="35">
        <f>IFERROR(VLOOKUP($F5,bug_conf_sheet!$A:$H,7,FALSE),VLOOKUP("other",bug_conf_sheet!$A:$H,7,FALSE))</f>
        <v>0</v>
      </c>
      <c r="S5" s="35">
        <f>IFERROR(VLOOKUP($F5,bug_conf_sheet!$A:$H,8,FALSE),VLOOKUP("other",bug_conf_sheet!$A:$H,8,FALSE))</f>
        <v>1</v>
      </c>
    </row>
    <row r="6" spans="1:19" ht="21" customHeight="1">
      <c r="A6" s="7" t="str">
        <f t="shared" si="0"/>
        <v>3070201</v>
      </c>
      <c r="B6" s="2" t="str">
        <f t="shared" si="1"/>
        <v>3070</v>
      </c>
      <c r="C6" s="8" t="str">
        <f t="shared" si="2"/>
        <v>0PremiumN5</v>
      </c>
      <c r="D6" s="8" t="str">
        <f t="shared" si="3"/>
        <v>0PremiumN5</v>
      </c>
      <c r="E6" s="10">
        <v>0</v>
      </c>
      <c r="F6" s="63">
        <v>201</v>
      </c>
      <c r="G6" s="8" t="str">
        <f>VLOOKUP(F6,[1]characters!$A:$C,3,FALSE)</f>
        <v>斬空の大破剣 ジークフリート</v>
      </c>
      <c r="H6" s="8" t="str">
        <f>VLOOKUP(F6,[1]characters!$A:$J,10,FALSE)</f>
        <v>PremiumN</v>
      </c>
      <c r="I6" s="8">
        <f>VLOOKUP(F6,[1]characters!$A:$I,9,FALSE)</f>
        <v>5</v>
      </c>
      <c r="J6" s="8" t="str">
        <f>VLOOKUP(F6,[1]characters!$A:$H,8,FALSE)</f>
        <v>blue</v>
      </c>
      <c r="K6" s="8" t="str">
        <f>VLOOKUP(F6,[1]characters!$A:$K,11,FALSE)</f>
        <v>balance</v>
      </c>
      <c r="L6" s="8" t="str">
        <f>VLOOKUP(F6,[1]characters!$A:$M,13,FALSE)</f>
        <v>human</v>
      </c>
      <c r="M6" s="13">
        <f>VLOOKUP(D6,gacha_307_base!A:B,2,FALSE)</f>
        <v>886</v>
      </c>
      <c r="N6" s="35">
        <f>IFERROR(VLOOKUP($F6,bug_conf_sheet!$A:$H,3,FALSE),VLOOKUP("other",bug_conf_sheet!$A:$H,3,FALSE))</f>
        <v>1</v>
      </c>
      <c r="O6" s="35">
        <f>IFERROR(VLOOKUP($F6,bug_conf_sheet!$A:$H,4,FALSE),VLOOKUP("other",bug_conf_sheet!$A:$H,4,FALSE))</f>
        <v>0</v>
      </c>
      <c r="P6" s="35">
        <f>IFERROR(VLOOKUP($F6,bug_conf_sheet!$A:$H,5,FALSE),VLOOKUP("other",bug_conf_sheet!$A:$H,5,FALSE))</f>
        <v>0</v>
      </c>
      <c r="Q6" s="35">
        <f>IFERROR(VLOOKUP($F6,bug_conf_sheet!$A:$H,6,FALSE),VLOOKUP("other",bug_conf_sheet!$A:$H,6,FALSE))</f>
        <v>0</v>
      </c>
      <c r="R6" s="35">
        <f>IFERROR(VLOOKUP($F6,bug_conf_sheet!$A:$H,7,FALSE),VLOOKUP("other",bug_conf_sheet!$A:$H,7,FALSE))</f>
        <v>0</v>
      </c>
      <c r="S6" s="35">
        <f>IFERROR(VLOOKUP($F6,bug_conf_sheet!$A:$H,8,FALSE),VLOOKUP("other",bug_conf_sheet!$A:$H,8,FALSE))</f>
        <v>1</v>
      </c>
    </row>
    <row r="7" spans="1:19" ht="21" customHeight="1">
      <c r="A7" s="7" t="str">
        <f t="shared" si="0"/>
        <v>3070203</v>
      </c>
      <c r="B7" s="2" t="str">
        <f t="shared" si="1"/>
        <v>3070</v>
      </c>
      <c r="C7" s="8" t="str">
        <f t="shared" si="2"/>
        <v>0PremiumN4</v>
      </c>
      <c r="D7" s="8" t="str">
        <f t="shared" si="3"/>
        <v>0PremiumN4</v>
      </c>
      <c r="E7" s="10">
        <v>0</v>
      </c>
      <c r="F7" s="63">
        <v>203</v>
      </c>
      <c r="G7" s="8" t="str">
        <f>VLOOKUP(F7,[1]characters!$A:$C,3,FALSE)</f>
        <v>焔神 プロメテウス</v>
      </c>
      <c r="H7" s="8" t="str">
        <f>VLOOKUP(F7,[1]characters!$A:$J,10,FALSE)</f>
        <v>PremiumN</v>
      </c>
      <c r="I7" s="8">
        <f>VLOOKUP(F7,[1]characters!$A:$I,9,FALSE)</f>
        <v>4</v>
      </c>
      <c r="J7" s="8" t="str">
        <f>VLOOKUP(F7,[1]characters!$A:$H,8,FALSE)</f>
        <v>red</v>
      </c>
      <c r="K7" s="8" t="str">
        <f>VLOOKUP(F7,[1]characters!$A:$K,11,FALSE)</f>
        <v>hp</v>
      </c>
      <c r="L7" s="8" t="str">
        <f>VLOOKUP(F7,[1]characters!$A:$M,13,FALSE)</f>
        <v>god</v>
      </c>
      <c r="M7" s="13">
        <f>VLOOKUP(D7,gacha_307_base!A:B,2,FALSE)</f>
        <v>17003</v>
      </c>
      <c r="N7" s="35">
        <f>IFERROR(VLOOKUP($F7,bug_conf_sheet!$A:$H,3,FALSE),VLOOKUP("other",bug_conf_sheet!$A:$H,3,FALSE))</f>
        <v>1</v>
      </c>
      <c r="O7" s="35">
        <f>IFERROR(VLOOKUP($F7,bug_conf_sheet!$A:$H,4,FALSE),VLOOKUP("other",bug_conf_sheet!$A:$H,4,FALSE))</f>
        <v>0</v>
      </c>
      <c r="P7" s="35">
        <f>IFERROR(VLOOKUP($F7,bug_conf_sheet!$A:$H,5,FALSE),VLOOKUP("other",bug_conf_sheet!$A:$H,5,FALSE))</f>
        <v>0</v>
      </c>
      <c r="Q7" s="35">
        <f>IFERROR(VLOOKUP($F7,bug_conf_sheet!$A:$H,6,FALSE),VLOOKUP("other",bug_conf_sheet!$A:$H,6,FALSE))</f>
        <v>0</v>
      </c>
      <c r="R7" s="35">
        <f>IFERROR(VLOOKUP($F7,bug_conf_sheet!$A:$H,7,FALSE),VLOOKUP("other",bug_conf_sheet!$A:$H,7,FALSE))</f>
        <v>0</v>
      </c>
      <c r="S7" s="35">
        <f>IFERROR(VLOOKUP($F7,bug_conf_sheet!$A:$H,8,FALSE),VLOOKUP("other",bug_conf_sheet!$A:$H,8,FALSE))</f>
        <v>1</v>
      </c>
    </row>
    <row r="8" spans="1:19" ht="21" customHeight="1">
      <c r="A8" s="7" t="str">
        <f t="shared" si="0"/>
        <v>3070204</v>
      </c>
      <c r="B8" s="2" t="str">
        <f t="shared" si="1"/>
        <v>3070</v>
      </c>
      <c r="C8" s="8" t="str">
        <f t="shared" si="2"/>
        <v>0PremiumN5</v>
      </c>
      <c r="D8" s="8" t="str">
        <f t="shared" si="3"/>
        <v>0PremiumN5</v>
      </c>
      <c r="E8" s="10">
        <v>0</v>
      </c>
      <c r="F8" s="63">
        <v>204</v>
      </c>
      <c r="G8" s="8" t="str">
        <f>VLOOKUP(F8,[1]characters!$A:$C,3,FALSE)</f>
        <v>慟哭の巨焔 プロメテウス</v>
      </c>
      <c r="H8" s="8" t="str">
        <f>VLOOKUP(F8,[1]characters!$A:$J,10,FALSE)</f>
        <v>PremiumN</v>
      </c>
      <c r="I8" s="8">
        <f>VLOOKUP(F8,[1]characters!$A:$I,9,FALSE)</f>
        <v>5</v>
      </c>
      <c r="J8" s="8" t="str">
        <f>VLOOKUP(F8,[1]characters!$A:$H,8,FALSE)</f>
        <v>red</v>
      </c>
      <c r="K8" s="8" t="str">
        <f>VLOOKUP(F8,[1]characters!$A:$K,11,FALSE)</f>
        <v>hp</v>
      </c>
      <c r="L8" s="8" t="str">
        <f>VLOOKUP(F8,[1]characters!$A:$M,13,FALSE)</f>
        <v>god</v>
      </c>
      <c r="M8" s="13">
        <f>VLOOKUP(D8,gacha_307_base!A:B,2,FALSE)</f>
        <v>886</v>
      </c>
      <c r="N8" s="35">
        <f>IFERROR(VLOOKUP($F8,bug_conf_sheet!$A:$H,3,FALSE),VLOOKUP("other",bug_conf_sheet!$A:$H,3,FALSE))</f>
        <v>1</v>
      </c>
      <c r="O8" s="35">
        <f>IFERROR(VLOOKUP($F8,bug_conf_sheet!$A:$H,4,FALSE),VLOOKUP("other",bug_conf_sheet!$A:$H,4,FALSE))</f>
        <v>0</v>
      </c>
      <c r="P8" s="35">
        <f>IFERROR(VLOOKUP($F8,bug_conf_sheet!$A:$H,5,FALSE),VLOOKUP("other",bug_conf_sheet!$A:$H,5,FALSE))</f>
        <v>0</v>
      </c>
      <c r="Q8" s="35">
        <f>IFERROR(VLOOKUP($F8,bug_conf_sheet!$A:$H,6,FALSE),VLOOKUP("other",bug_conf_sheet!$A:$H,6,FALSE))</f>
        <v>0</v>
      </c>
      <c r="R8" s="35">
        <f>IFERROR(VLOOKUP($F8,bug_conf_sheet!$A:$H,7,FALSE),VLOOKUP("other",bug_conf_sheet!$A:$H,7,FALSE))</f>
        <v>0</v>
      </c>
      <c r="S8" s="35">
        <f>IFERROR(VLOOKUP($F8,bug_conf_sheet!$A:$H,8,FALSE),VLOOKUP("other",bug_conf_sheet!$A:$H,8,FALSE))</f>
        <v>1</v>
      </c>
    </row>
    <row r="9" spans="1:19" ht="21" customHeight="1">
      <c r="A9" s="7" t="str">
        <f t="shared" si="0"/>
        <v>3070224</v>
      </c>
      <c r="B9" s="2" t="str">
        <f t="shared" si="1"/>
        <v>3070</v>
      </c>
      <c r="C9" s="8" t="str">
        <f t="shared" si="2"/>
        <v>0PremiumN4</v>
      </c>
      <c r="D9" s="8" t="str">
        <f t="shared" si="3"/>
        <v>0PremiumN4</v>
      </c>
      <c r="E9" s="10">
        <v>0</v>
      </c>
      <c r="F9" s="63">
        <v>224</v>
      </c>
      <c r="G9" s="8" t="str">
        <f>VLOOKUP(F9,[1]characters!$A:$C,3,FALSE)</f>
        <v>巨腕 ヘラクレス</v>
      </c>
      <c r="H9" s="8" t="str">
        <f>VLOOKUP(F9,[1]characters!$A:$J,10,FALSE)</f>
        <v>PremiumN</v>
      </c>
      <c r="I9" s="8">
        <f>VLOOKUP(F9,[1]characters!$A:$I,9,FALSE)</f>
        <v>4</v>
      </c>
      <c r="J9" s="8" t="str">
        <f>VLOOKUP(F9,[1]characters!$A:$H,8,FALSE)</f>
        <v>yellow</v>
      </c>
      <c r="K9" s="8" t="str">
        <f>VLOOKUP(F9,[1]characters!$A:$K,11,FALSE)</f>
        <v>balance</v>
      </c>
      <c r="L9" s="8" t="str">
        <f>VLOOKUP(F9,[1]characters!$A:$M,13,FALSE)</f>
        <v>human</v>
      </c>
      <c r="M9" s="13">
        <f>VLOOKUP(D9,gacha_307_base!A:B,2,FALSE)</f>
        <v>17003</v>
      </c>
      <c r="N9" s="35">
        <f>IFERROR(VLOOKUP($F9,bug_conf_sheet!$A:$H,3,FALSE),VLOOKUP("other",bug_conf_sheet!$A:$H,3,FALSE))</f>
        <v>1</v>
      </c>
      <c r="O9" s="35">
        <f>IFERROR(VLOOKUP($F9,bug_conf_sheet!$A:$H,4,FALSE),VLOOKUP("other",bug_conf_sheet!$A:$H,4,FALSE))</f>
        <v>0</v>
      </c>
      <c r="P9" s="35">
        <f>IFERROR(VLOOKUP($F9,bug_conf_sheet!$A:$H,5,FALSE),VLOOKUP("other",bug_conf_sheet!$A:$H,5,FALSE))</f>
        <v>0</v>
      </c>
      <c r="Q9" s="35">
        <f>IFERROR(VLOOKUP($F9,bug_conf_sheet!$A:$H,6,FALSE),VLOOKUP("other",bug_conf_sheet!$A:$H,6,FALSE))</f>
        <v>0</v>
      </c>
      <c r="R9" s="35">
        <f>IFERROR(VLOOKUP($F9,bug_conf_sheet!$A:$H,7,FALSE),VLOOKUP("other",bug_conf_sheet!$A:$H,7,FALSE))</f>
        <v>0</v>
      </c>
      <c r="S9" s="35">
        <f>IFERROR(VLOOKUP($F9,bug_conf_sheet!$A:$H,8,FALSE),VLOOKUP("other",bug_conf_sheet!$A:$H,8,FALSE))</f>
        <v>1</v>
      </c>
    </row>
    <row r="10" spans="1:19" ht="21" customHeight="1">
      <c r="A10" s="7" t="str">
        <f t="shared" si="0"/>
        <v>3070225</v>
      </c>
      <c r="B10" s="2" t="str">
        <f t="shared" si="1"/>
        <v>3070</v>
      </c>
      <c r="C10" s="8" t="str">
        <f t="shared" si="2"/>
        <v>0PremiumN5</v>
      </c>
      <c r="D10" s="8" t="str">
        <f t="shared" si="3"/>
        <v>0PremiumN5</v>
      </c>
      <c r="E10" s="10">
        <v>0</v>
      </c>
      <c r="F10" s="63">
        <v>225</v>
      </c>
      <c r="G10" s="8" t="str">
        <f>VLOOKUP(F10,[1]characters!$A:$C,3,FALSE)</f>
        <v>咆哮の巨獅腕 ヘラクレス</v>
      </c>
      <c r="H10" s="8" t="str">
        <f>VLOOKUP(F10,[1]characters!$A:$J,10,FALSE)</f>
        <v>PremiumN</v>
      </c>
      <c r="I10" s="8">
        <f>VLOOKUP(F10,[1]characters!$A:$I,9,FALSE)</f>
        <v>5</v>
      </c>
      <c r="J10" s="8" t="str">
        <f>VLOOKUP(F10,[1]characters!$A:$H,8,FALSE)</f>
        <v>yellow</v>
      </c>
      <c r="K10" s="8" t="str">
        <f>VLOOKUP(F10,[1]characters!$A:$K,11,FALSE)</f>
        <v>balance</v>
      </c>
      <c r="L10" s="8" t="str">
        <f>VLOOKUP(F10,[1]characters!$A:$M,13,FALSE)</f>
        <v>human</v>
      </c>
      <c r="M10" s="13">
        <f>VLOOKUP(D10,gacha_307_base!A:B,2,FALSE)</f>
        <v>886</v>
      </c>
      <c r="N10" s="35">
        <f>IFERROR(VLOOKUP($F10,bug_conf_sheet!$A:$H,3,FALSE),VLOOKUP("other",bug_conf_sheet!$A:$H,3,FALSE))</f>
        <v>1</v>
      </c>
      <c r="O10" s="35">
        <f>IFERROR(VLOOKUP($F10,bug_conf_sheet!$A:$H,4,FALSE),VLOOKUP("other",bug_conf_sheet!$A:$H,4,FALSE))</f>
        <v>0</v>
      </c>
      <c r="P10" s="35">
        <f>IFERROR(VLOOKUP($F10,bug_conf_sheet!$A:$H,5,FALSE),VLOOKUP("other",bug_conf_sheet!$A:$H,5,FALSE))</f>
        <v>0</v>
      </c>
      <c r="Q10" s="35">
        <f>IFERROR(VLOOKUP($F10,bug_conf_sheet!$A:$H,6,FALSE),VLOOKUP("other",bug_conf_sheet!$A:$H,6,FALSE))</f>
        <v>0</v>
      </c>
      <c r="R10" s="35">
        <f>IFERROR(VLOOKUP($F10,bug_conf_sheet!$A:$H,7,FALSE),VLOOKUP("other",bug_conf_sheet!$A:$H,7,FALSE))</f>
        <v>0</v>
      </c>
      <c r="S10" s="35">
        <f>IFERROR(VLOOKUP($F10,bug_conf_sheet!$A:$H,8,FALSE),VLOOKUP("other",bug_conf_sheet!$A:$H,8,FALSE))</f>
        <v>1</v>
      </c>
    </row>
    <row r="11" spans="1:19" ht="21" customHeight="1">
      <c r="A11" s="7" t="str">
        <f t="shared" si="0"/>
        <v>3070227</v>
      </c>
      <c r="B11" s="2" t="str">
        <f t="shared" si="1"/>
        <v>3070</v>
      </c>
      <c r="C11" s="8" t="str">
        <f t="shared" si="2"/>
        <v>0PremiumS4</v>
      </c>
      <c r="D11" s="8" t="str">
        <f t="shared" si="3"/>
        <v>0PremiumS4</v>
      </c>
      <c r="E11" s="10">
        <v>0</v>
      </c>
      <c r="F11" s="63">
        <v>227</v>
      </c>
      <c r="G11" s="8" t="str">
        <f>VLOOKUP(F11,[1]characters!$A:$C,3,FALSE)</f>
        <v>滅弾 アレス</v>
      </c>
      <c r="H11" s="8" t="str">
        <f>VLOOKUP(F11,[1]characters!$A:$J,10,FALSE)</f>
        <v>PremiumS</v>
      </c>
      <c r="I11" s="8">
        <f>VLOOKUP(F11,[1]characters!$A:$I,9,FALSE)</f>
        <v>4</v>
      </c>
      <c r="J11" s="8" t="str">
        <f>VLOOKUP(F11,[1]characters!$A:$H,8,FALSE)</f>
        <v>red</v>
      </c>
      <c r="K11" s="8" t="str">
        <f>VLOOKUP(F11,[1]characters!$A:$K,11,FALSE)</f>
        <v>attack</v>
      </c>
      <c r="L11" s="8" t="str">
        <f>VLOOKUP(F11,[1]characters!$A:$M,13,FALSE)</f>
        <v>god</v>
      </c>
      <c r="M11" s="13">
        <f>VLOOKUP(D11,gacha_307_base!A:B,2,FALSE)</f>
        <v>32217</v>
      </c>
      <c r="N11" s="35">
        <f>IFERROR(VLOOKUP($F11,bug_conf_sheet!$A:$H,3,FALSE),VLOOKUP("other",bug_conf_sheet!$A:$H,3,FALSE))</f>
        <v>1</v>
      </c>
      <c r="O11" s="35">
        <f>IFERROR(VLOOKUP($F11,bug_conf_sheet!$A:$H,4,FALSE),VLOOKUP("other",bug_conf_sheet!$A:$H,4,FALSE))</f>
        <v>0</v>
      </c>
      <c r="P11" s="35">
        <f>IFERROR(VLOOKUP($F11,bug_conf_sheet!$A:$H,5,FALSE),VLOOKUP("other",bug_conf_sheet!$A:$H,5,FALSE))</f>
        <v>0</v>
      </c>
      <c r="Q11" s="35">
        <f>IFERROR(VLOOKUP($F11,bug_conf_sheet!$A:$H,6,FALSE),VLOOKUP("other",bug_conf_sheet!$A:$H,6,FALSE))</f>
        <v>0</v>
      </c>
      <c r="R11" s="35">
        <f>IFERROR(VLOOKUP($F11,bug_conf_sheet!$A:$H,7,FALSE),VLOOKUP("other",bug_conf_sheet!$A:$H,7,FALSE))</f>
        <v>0</v>
      </c>
      <c r="S11" s="35">
        <f>IFERROR(VLOOKUP($F11,bug_conf_sheet!$A:$H,8,FALSE),VLOOKUP("other",bug_conf_sheet!$A:$H,8,FALSE))</f>
        <v>1</v>
      </c>
    </row>
    <row r="12" spans="1:19" ht="21" customHeight="1">
      <c r="A12" s="7" t="str">
        <f t="shared" si="0"/>
        <v>3070228</v>
      </c>
      <c r="B12" s="2" t="str">
        <f t="shared" si="1"/>
        <v>3070</v>
      </c>
      <c r="C12" s="8" t="str">
        <f t="shared" si="2"/>
        <v>0PremiumS5</v>
      </c>
      <c r="D12" s="8" t="str">
        <f t="shared" si="3"/>
        <v>0PremiumS5</v>
      </c>
      <c r="E12" s="10">
        <v>0</v>
      </c>
      <c r="F12" s="63">
        <v>228</v>
      </c>
      <c r="G12" s="8" t="str">
        <f>VLOOKUP(F12,[1]characters!$A:$C,3,FALSE)</f>
        <v>殲滅の掃射砲 アレス</v>
      </c>
      <c r="H12" s="8" t="str">
        <f>VLOOKUP(F12,[1]characters!$A:$J,10,FALSE)</f>
        <v>PremiumS</v>
      </c>
      <c r="I12" s="8">
        <f>VLOOKUP(F12,[1]characters!$A:$I,9,FALSE)</f>
        <v>5</v>
      </c>
      <c r="J12" s="8" t="str">
        <f>VLOOKUP(F12,[1]characters!$A:$H,8,FALSE)</f>
        <v>red</v>
      </c>
      <c r="K12" s="8" t="str">
        <f>VLOOKUP(F12,[1]characters!$A:$K,11,FALSE)</f>
        <v>attack</v>
      </c>
      <c r="L12" s="8" t="str">
        <f>VLOOKUP(F12,[1]characters!$A:$M,13,FALSE)</f>
        <v>god</v>
      </c>
      <c r="M12" s="13">
        <f>VLOOKUP(D12,gacha_307_base!A:B,2,FALSE)</f>
        <v>1678</v>
      </c>
      <c r="N12" s="35">
        <f>IFERROR(VLOOKUP($F12,bug_conf_sheet!$A:$H,3,FALSE),VLOOKUP("other",bug_conf_sheet!$A:$H,3,FALSE))</f>
        <v>1</v>
      </c>
      <c r="O12" s="35">
        <f>IFERROR(VLOOKUP($F12,bug_conf_sheet!$A:$H,4,FALSE),VLOOKUP("other",bug_conf_sheet!$A:$H,4,FALSE))</f>
        <v>0</v>
      </c>
      <c r="P12" s="35">
        <f>IFERROR(VLOOKUP($F12,bug_conf_sheet!$A:$H,5,FALSE),VLOOKUP("other",bug_conf_sheet!$A:$H,5,FALSE))</f>
        <v>0</v>
      </c>
      <c r="Q12" s="35">
        <f>IFERROR(VLOOKUP($F12,bug_conf_sheet!$A:$H,6,FALSE),VLOOKUP("other",bug_conf_sheet!$A:$H,6,FALSE))</f>
        <v>0</v>
      </c>
      <c r="R12" s="35">
        <f>IFERROR(VLOOKUP($F12,bug_conf_sheet!$A:$H,7,FALSE),VLOOKUP("other",bug_conf_sheet!$A:$H,7,FALSE))</f>
        <v>0</v>
      </c>
      <c r="S12" s="35">
        <f>IFERROR(VLOOKUP($F12,bug_conf_sheet!$A:$H,8,FALSE),VLOOKUP("other",bug_conf_sheet!$A:$H,8,FALSE))</f>
        <v>1</v>
      </c>
    </row>
    <row r="13" spans="1:19" ht="21" customHeight="1">
      <c r="A13" s="7" t="str">
        <f t="shared" si="0"/>
        <v>3070320</v>
      </c>
      <c r="B13" s="2" t="str">
        <f t="shared" si="1"/>
        <v>3070</v>
      </c>
      <c r="C13" s="8" t="str">
        <f t="shared" si="2"/>
        <v>0PremiumSS4</v>
      </c>
      <c r="D13" s="8" t="str">
        <f t="shared" si="3"/>
        <v>0PremiumSS4</v>
      </c>
      <c r="E13" s="10">
        <v>0</v>
      </c>
      <c r="F13" s="63">
        <v>320</v>
      </c>
      <c r="G13" s="8" t="str">
        <f>VLOOKUP(F13,[1]characters!$A:$C,3,FALSE)</f>
        <v>烈志士 近藤勇</v>
      </c>
      <c r="H13" s="8" t="str">
        <f>VLOOKUP(F13,[1]characters!$A:$J,10,FALSE)</f>
        <v>PremiumSS</v>
      </c>
      <c r="I13" s="8">
        <f>VLOOKUP(F13,[1]characters!$A:$I,9,FALSE)</f>
        <v>4</v>
      </c>
      <c r="J13" s="8" t="str">
        <f>VLOOKUP(F13,[1]characters!$A:$H,8,FALSE)</f>
        <v>red</v>
      </c>
      <c r="K13" s="8" t="str">
        <f>VLOOKUP(F13,[1]characters!$A:$K,11,FALSE)</f>
        <v>hp</v>
      </c>
      <c r="L13" s="8" t="str">
        <f>VLOOKUP(F13,[1]characters!$A:$M,13,FALSE)</f>
        <v>human</v>
      </c>
      <c r="M13" s="13">
        <f>VLOOKUP(D13,gacha_307_base!A:B,2,FALSE)</f>
        <v>2486</v>
      </c>
      <c r="N13" s="35">
        <f>IFERROR(VLOOKUP($F13,bug_conf_sheet!$A:$H,3,FALSE),VLOOKUP("other",bug_conf_sheet!$A:$H,3,FALSE))</f>
        <v>1</v>
      </c>
      <c r="O13" s="35">
        <f>IFERROR(VLOOKUP($F13,bug_conf_sheet!$A:$H,4,FALSE),VLOOKUP("other",bug_conf_sheet!$A:$H,4,FALSE))</f>
        <v>0</v>
      </c>
      <c r="P13" s="35">
        <f>IFERROR(VLOOKUP($F13,bug_conf_sheet!$A:$H,5,FALSE),VLOOKUP("other",bug_conf_sheet!$A:$H,5,FALSE))</f>
        <v>0</v>
      </c>
      <c r="Q13" s="35">
        <f>IFERROR(VLOOKUP($F13,bug_conf_sheet!$A:$H,6,FALSE),VLOOKUP("other",bug_conf_sheet!$A:$H,6,FALSE))</f>
        <v>0</v>
      </c>
      <c r="R13" s="35">
        <f>IFERROR(VLOOKUP($F13,bug_conf_sheet!$A:$H,7,FALSE),VLOOKUP("other",bug_conf_sheet!$A:$H,7,FALSE))</f>
        <v>0</v>
      </c>
      <c r="S13" s="35">
        <f>IFERROR(VLOOKUP($F13,bug_conf_sheet!$A:$H,8,FALSE),VLOOKUP("other",bug_conf_sheet!$A:$H,8,FALSE))</f>
        <v>1</v>
      </c>
    </row>
    <row r="14" spans="1:19" ht="21" customHeight="1">
      <c r="A14" s="7" t="str">
        <f t="shared" si="0"/>
        <v>3070321</v>
      </c>
      <c r="B14" s="2" t="str">
        <f t="shared" si="1"/>
        <v>3070</v>
      </c>
      <c r="C14" s="8" t="str">
        <f t="shared" si="2"/>
        <v>0PremiumSS5</v>
      </c>
      <c r="D14" s="8" t="str">
        <f t="shared" si="3"/>
        <v>0PremiumSS5</v>
      </c>
      <c r="E14" s="10">
        <v>0</v>
      </c>
      <c r="F14" s="63">
        <v>321</v>
      </c>
      <c r="G14" s="8" t="str">
        <f>VLOOKUP(F14,[1]characters!$A:$C,3,FALSE)</f>
        <v>巌鉄の烈志士 近藤勇</v>
      </c>
      <c r="H14" s="8" t="str">
        <f>VLOOKUP(F14,[1]characters!$A:$J,10,FALSE)</f>
        <v>PremiumSS</v>
      </c>
      <c r="I14" s="8">
        <f>VLOOKUP(F14,[1]characters!$A:$I,9,FALSE)</f>
        <v>5</v>
      </c>
      <c r="J14" s="8" t="str">
        <f>VLOOKUP(F14,[1]characters!$A:$H,8,FALSE)</f>
        <v>red</v>
      </c>
      <c r="K14" s="8" t="str">
        <f>VLOOKUP(F14,[1]characters!$A:$K,11,FALSE)</f>
        <v>hp</v>
      </c>
      <c r="L14" s="8" t="str">
        <f>VLOOKUP(F14,[1]characters!$A:$M,13,FALSE)</f>
        <v>human</v>
      </c>
      <c r="M14" s="13">
        <f>VLOOKUP(D14,gacha_307_base!A:B,2,FALSE)</f>
        <v>129</v>
      </c>
      <c r="N14" s="35">
        <f>IFERROR(VLOOKUP($F14,bug_conf_sheet!$A:$H,3,FALSE),VLOOKUP("other",bug_conf_sheet!$A:$H,3,FALSE))</f>
        <v>1</v>
      </c>
      <c r="O14" s="35">
        <f>IFERROR(VLOOKUP($F14,bug_conf_sheet!$A:$H,4,FALSE),VLOOKUP("other",bug_conf_sheet!$A:$H,4,FALSE))</f>
        <v>0</v>
      </c>
      <c r="P14" s="35">
        <f>IFERROR(VLOOKUP($F14,bug_conf_sheet!$A:$H,5,FALSE),VLOOKUP("other",bug_conf_sheet!$A:$H,5,FALSE))</f>
        <v>0</v>
      </c>
      <c r="Q14" s="35">
        <f>IFERROR(VLOOKUP($F14,bug_conf_sheet!$A:$H,6,FALSE),VLOOKUP("other",bug_conf_sheet!$A:$H,6,FALSE))</f>
        <v>0</v>
      </c>
      <c r="R14" s="35">
        <f>IFERROR(VLOOKUP($F14,bug_conf_sheet!$A:$H,7,FALSE),VLOOKUP("other",bug_conf_sheet!$A:$H,7,FALSE))</f>
        <v>0</v>
      </c>
      <c r="S14" s="35">
        <f>IFERROR(VLOOKUP($F14,bug_conf_sheet!$A:$H,8,FALSE),VLOOKUP("other",bug_conf_sheet!$A:$H,8,FALSE))</f>
        <v>1</v>
      </c>
    </row>
    <row r="15" spans="1:19" ht="21" customHeight="1">
      <c r="A15" s="7" t="str">
        <f t="shared" si="0"/>
        <v>3070393</v>
      </c>
      <c r="B15" s="2" t="str">
        <f t="shared" si="1"/>
        <v>3070</v>
      </c>
      <c r="C15" s="8" t="str">
        <f t="shared" si="2"/>
        <v>0PremiumS4</v>
      </c>
      <c r="D15" s="8" t="str">
        <f t="shared" si="3"/>
        <v>0PremiumS4</v>
      </c>
      <c r="E15" s="10">
        <v>0</v>
      </c>
      <c r="F15" s="63">
        <v>393</v>
      </c>
      <c r="G15" s="8" t="str">
        <f>VLOOKUP(F15,[1]characters!$A:$C,3,FALSE)</f>
        <v>影縫い ピーターパン</v>
      </c>
      <c r="H15" s="8" t="str">
        <f>VLOOKUP(F15,[1]characters!$A:$J,10,FALSE)</f>
        <v>PremiumS</v>
      </c>
      <c r="I15" s="8">
        <f>VLOOKUP(F15,[1]characters!$A:$I,9,FALSE)</f>
        <v>4</v>
      </c>
      <c r="J15" s="8" t="str">
        <f>VLOOKUP(F15,[1]characters!$A:$H,8,FALSE)</f>
        <v>green</v>
      </c>
      <c r="K15" s="8" t="str">
        <f>VLOOKUP(F15,[1]characters!$A:$K,11,FALSE)</f>
        <v>attack</v>
      </c>
      <c r="L15" s="8" t="str">
        <f>VLOOKUP(F15,[1]characters!$A:$M,13,FALSE)</f>
        <v>human</v>
      </c>
      <c r="M15" s="13">
        <f>VLOOKUP(D15,gacha_307_base!A:B,2,FALSE)</f>
        <v>32217</v>
      </c>
      <c r="N15" s="35">
        <f>IFERROR(VLOOKUP($F15,bug_conf_sheet!$A:$H,3,FALSE),VLOOKUP("other",bug_conf_sheet!$A:$H,3,FALSE))</f>
        <v>1</v>
      </c>
      <c r="O15" s="35">
        <f>IFERROR(VLOOKUP($F15,bug_conf_sheet!$A:$H,4,FALSE),VLOOKUP("other",bug_conf_sheet!$A:$H,4,FALSE))</f>
        <v>0</v>
      </c>
      <c r="P15" s="35">
        <f>IFERROR(VLOOKUP($F15,bug_conf_sheet!$A:$H,5,FALSE),VLOOKUP("other",bug_conf_sheet!$A:$H,5,FALSE))</f>
        <v>0</v>
      </c>
      <c r="Q15" s="35">
        <f>IFERROR(VLOOKUP($F15,bug_conf_sheet!$A:$H,6,FALSE),VLOOKUP("other",bug_conf_sheet!$A:$H,6,FALSE))</f>
        <v>0</v>
      </c>
      <c r="R15" s="35">
        <f>IFERROR(VLOOKUP($F15,bug_conf_sheet!$A:$H,7,FALSE),VLOOKUP("other",bug_conf_sheet!$A:$H,7,FALSE))</f>
        <v>0</v>
      </c>
      <c r="S15" s="35">
        <f>IFERROR(VLOOKUP($F15,bug_conf_sheet!$A:$H,8,FALSE),VLOOKUP("other",bug_conf_sheet!$A:$H,8,FALSE))</f>
        <v>1</v>
      </c>
    </row>
    <row r="16" spans="1:19" ht="21" customHeight="1">
      <c r="A16" s="7" t="str">
        <f t="shared" si="0"/>
        <v>3070394</v>
      </c>
      <c r="B16" s="2" t="str">
        <f t="shared" si="1"/>
        <v>3070</v>
      </c>
      <c r="C16" s="8" t="str">
        <f t="shared" si="2"/>
        <v>0PremiumS5</v>
      </c>
      <c r="D16" s="8" t="str">
        <f t="shared" si="3"/>
        <v>0PremiumS5</v>
      </c>
      <c r="E16" s="10">
        <v>0</v>
      </c>
      <c r="F16" s="63">
        <v>394</v>
      </c>
      <c r="G16" s="8" t="str">
        <f>VLOOKUP(F16,[1]characters!$A:$C,3,FALSE)</f>
        <v>影求の悪童 ピーターパン</v>
      </c>
      <c r="H16" s="8" t="str">
        <f>VLOOKUP(F16,[1]characters!$A:$J,10,FALSE)</f>
        <v>PremiumS</v>
      </c>
      <c r="I16" s="8">
        <f>VLOOKUP(F16,[1]characters!$A:$I,9,FALSE)</f>
        <v>5</v>
      </c>
      <c r="J16" s="8" t="str">
        <f>VLOOKUP(F16,[1]characters!$A:$H,8,FALSE)</f>
        <v>green</v>
      </c>
      <c r="K16" s="8" t="str">
        <f>VLOOKUP(F16,[1]characters!$A:$K,11,FALSE)</f>
        <v>attack</v>
      </c>
      <c r="L16" s="8" t="str">
        <f>VLOOKUP(F16,[1]characters!$A:$M,13,FALSE)</f>
        <v>human</v>
      </c>
      <c r="M16" s="13">
        <f>VLOOKUP(D16,gacha_307_base!A:B,2,FALSE)</f>
        <v>1678</v>
      </c>
      <c r="N16" s="35">
        <f>IFERROR(VLOOKUP($F16,bug_conf_sheet!$A:$H,3,FALSE),VLOOKUP("other",bug_conf_sheet!$A:$H,3,FALSE))</f>
        <v>1</v>
      </c>
      <c r="O16" s="35">
        <f>IFERROR(VLOOKUP($F16,bug_conf_sheet!$A:$H,4,FALSE),VLOOKUP("other",bug_conf_sheet!$A:$H,4,FALSE))</f>
        <v>0</v>
      </c>
      <c r="P16" s="35">
        <f>IFERROR(VLOOKUP($F16,bug_conf_sheet!$A:$H,5,FALSE),VLOOKUP("other",bug_conf_sheet!$A:$H,5,FALSE))</f>
        <v>0</v>
      </c>
      <c r="Q16" s="35">
        <f>IFERROR(VLOOKUP($F16,bug_conf_sheet!$A:$H,6,FALSE),VLOOKUP("other",bug_conf_sheet!$A:$H,6,FALSE))</f>
        <v>0</v>
      </c>
      <c r="R16" s="35">
        <f>IFERROR(VLOOKUP($F16,bug_conf_sheet!$A:$H,7,FALSE),VLOOKUP("other",bug_conf_sheet!$A:$H,7,FALSE))</f>
        <v>0</v>
      </c>
      <c r="S16" s="35">
        <f>IFERROR(VLOOKUP($F16,bug_conf_sheet!$A:$H,8,FALSE),VLOOKUP("other",bug_conf_sheet!$A:$H,8,FALSE))</f>
        <v>1</v>
      </c>
    </row>
    <row r="17" spans="1:19" ht="21" customHeight="1">
      <c r="A17" s="7" t="str">
        <f t="shared" si="0"/>
        <v>3070408</v>
      </c>
      <c r="B17" s="2" t="str">
        <f t="shared" si="1"/>
        <v>3070</v>
      </c>
      <c r="C17" s="8" t="str">
        <f t="shared" si="2"/>
        <v>0PremiumSS4</v>
      </c>
      <c r="D17" s="8" t="str">
        <f t="shared" si="3"/>
        <v>0PremiumSS4</v>
      </c>
      <c r="E17" s="10">
        <v>0</v>
      </c>
      <c r="F17" s="63">
        <v>408</v>
      </c>
      <c r="G17" s="8" t="str">
        <f>VLOOKUP(F17,[1]characters!$A:$C,3,FALSE)</f>
        <v>皇魔 アスタロト</v>
      </c>
      <c r="H17" s="8" t="str">
        <f>VLOOKUP(F17,[1]characters!$A:$J,10,FALSE)</f>
        <v>PremiumSS</v>
      </c>
      <c r="I17" s="8">
        <f>VLOOKUP(F17,[1]characters!$A:$I,9,FALSE)</f>
        <v>4</v>
      </c>
      <c r="J17" s="8" t="str">
        <f>VLOOKUP(F17,[1]characters!$A:$H,8,FALSE)</f>
        <v>yellow</v>
      </c>
      <c r="K17" s="8" t="str">
        <f>VLOOKUP(F17,[1]characters!$A:$K,11,FALSE)</f>
        <v>attack</v>
      </c>
      <c r="L17" s="8" t="str">
        <f>VLOOKUP(F17,[1]characters!$A:$M,13,FALSE)</f>
        <v>god</v>
      </c>
      <c r="M17" s="13">
        <f>VLOOKUP(D17,gacha_307_base!A:B,2,FALSE)</f>
        <v>2486</v>
      </c>
      <c r="N17" s="35">
        <f>IFERROR(VLOOKUP($F17,bug_conf_sheet!$A:$H,3,FALSE),VLOOKUP("other",bug_conf_sheet!$A:$H,3,FALSE))</f>
        <v>1</v>
      </c>
      <c r="O17" s="35">
        <f>IFERROR(VLOOKUP($F17,bug_conf_sheet!$A:$H,4,FALSE),VLOOKUP("other",bug_conf_sheet!$A:$H,4,FALSE))</f>
        <v>0</v>
      </c>
      <c r="P17" s="35">
        <f>IFERROR(VLOOKUP($F17,bug_conf_sheet!$A:$H,5,FALSE),VLOOKUP("other",bug_conf_sheet!$A:$H,5,FALSE))</f>
        <v>0</v>
      </c>
      <c r="Q17" s="35">
        <f>IFERROR(VLOOKUP($F17,bug_conf_sheet!$A:$H,6,FALSE),VLOOKUP("other",bug_conf_sheet!$A:$H,6,FALSE))</f>
        <v>0</v>
      </c>
      <c r="R17" s="35">
        <f>IFERROR(VLOOKUP($F17,bug_conf_sheet!$A:$H,7,FALSE),VLOOKUP("other",bug_conf_sheet!$A:$H,7,FALSE))</f>
        <v>0</v>
      </c>
      <c r="S17" s="35">
        <f>IFERROR(VLOOKUP($F17,bug_conf_sheet!$A:$H,8,FALSE),VLOOKUP("other",bug_conf_sheet!$A:$H,8,FALSE))</f>
        <v>1</v>
      </c>
    </row>
    <row r="18" spans="1:19" ht="21" customHeight="1">
      <c r="A18" s="7" t="str">
        <f t="shared" si="0"/>
        <v>3070409</v>
      </c>
      <c r="B18" s="2" t="str">
        <f t="shared" si="1"/>
        <v>3070</v>
      </c>
      <c r="C18" s="8" t="str">
        <f t="shared" si="2"/>
        <v>0PremiumSS5</v>
      </c>
      <c r="D18" s="8" t="str">
        <f t="shared" si="3"/>
        <v>0PremiumSS5</v>
      </c>
      <c r="E18" s="10">
        <v>0</v>
      </c>
      <c r="F18" s="63">
        <v>409</v>
      </c>
      <c r="G18" s="8" t="str">
        <f>VLOOKUP(F18,[1]characters!$A:$C,3,FALSE)</f>
        <v>天眼の皇貴魔 アスタロト</v>
      </c>
      <c r="H18" s="8" t="str">
        <f>VLOOKUP(F18,[1]characters!$A:$J,10,FALSE)</f>
        <v>PremiumSS</v>
      </c>
      <c r="I18" s="8">
        <f>VLOOKUP(F18,[1]characters!$A:$I,9,FALSE)</f>
        <v>5</v>
      </c>
      <c r="J18" s="8" t="str">
        <f>VLOOKUP(F18,[1]characters!$A:$H,8,FALSE)</f>
        <v>yellow</v>
      </c>
      <c r="K18" s="8" t="str">
        <f>VLOOKUP(F18,[1]characters!$A:$K,11,FALSE)</f>
        <v>attack</v>
      </c>
      <c r="L18" s="8" t="str">
        <f>VLOOKUP(F18,[1]characters!$A:$M,13,FALSE)</f>
        <v>god</v>
      </c>
      <c r="M18" s="13">
        <f>VLOOKUP(D18,gacha_307_base!A:B,2,FALSE)</f>
        <v>129</v>
      </c>
      <c r="N18" s="35">
        <f>IFERROR(VLOOKUP($F18,bug_conf_sheet!$A:$H,3,FALSE),VLOOKUP("other",bug_conf_sheet!$A:$H,3,FALSE))</f>
        <v>1</v>
      </c>
      <c r="O18" s="35">
        <f>IFERROR(VLOOKUP($F18,bug_conf_sheet!$A:$H,4,FALSE),VLOOKUP("other",bug_conf_sheet!$A:$H,4,FALSE))</f>
        <v>0</v>
      </c>
      <c r="P18" s="35">
        <f>IFERROR(VLOOKUP($F18,bug_conf_sheet!$A:$H,5,FALSE),VLOOKUP("other",bug_conf_sheet!$A:$H,5,FALSE))</f>
        <v>0</v>
      </c>
      <c r="Q18" s="35">
        <f>IFERROR(VLOOKUP($F18,bug_conf_sheet!$A:$H,6,FALSE),VLOOKUP("other",bug_conf_sheet!$A:$H,6,FALSE))</f>
        <v>0</v>
      </c>
      <c r="R18" s="35">
        <f>IFERROR(VLOOKUP($F18,bug_conf_sheet!$A:$H,7,FALSE),VLOOKUP("other",bug_conf_sheet!$A:$H,7,FALSE))</f>
        <v>0</v>
      </c>
      <c r="S18" s="35">
        <f>IFERROR(VLOOKUP($F18,bug_conf_sheet!$A:$H,8,FALSE),VLOOKUP("other",bug_conf_sheet!$A:$H,8,FALSE))</f>
        <v>1</v>
      </c>
    </row>
    <row r="19" spans="1:19" ht="21" customHeight="1">
      <c r="A19" s="7" t="str">
        <f t="shared" si="0"/>
        <v>3070437</v>
      </c>
      <c r="B19" s="2" t="str">
        <f t="shared" si="1"/>
        <v>3070</v>
      </c>
      <c r="C19" s="8" t="str">
        <f t="shared" si="2"/>
        <v>0PremiumS4</v>
      </c>
      <c r="D19" s="8" t="str">
        <f t="shared" si="3"/>
        <v>0PremiumS4</v>
      </c>
      <c r="E19" s="10">
        <v>0</v>
      </c>
      <c r="F19" s="63">
        <v>437</v>
      </c>
      <c r="G19" s="8" t="str">
        <f>VLOOKUP(F19,[1]characters!$A:$C,3,FALSE)</f>
        <v>忘却者 カカシ</v>
      </c>
      <c r="H19" s="8" t="str">
        <f>VLOOKUP(F19,[1]characters!$A:$J,10,FALSE)</f>
        <v>PremiumS</v>
      </c>
      <c r="I19" s="8">
        <f>VLOOKUP(F19,[1]characters!$A:$I,9,FALSE)</f>
        <v>4</v>
      </c>
      <c r="J19" s="8" t="str">
        <f>VLOOKUP(F19,[1]characters!$A:$H,8,FALSE)</f>
        <v>green</v>
      </c>
      <c r="K19" s="8" t="str">
        <f>VLOOKUP(F19,[1]characters!$A:$K,11,FALSE)</f>
        <v>technical</v>
      </c>
      <c r="L19" s="8" t="str">
        <f>VLOOKUP(F19,[1]characters!$A:$M,13,FALSE)</f>
        <v>human</v>
      </c>
      <c r="M19" s="13">
        <f>VLOOKUP(D19,gacha_307_base!A:B,2,FALSE)</f>
        <v>32217</v>
      </c>
      <c r="N19" s="35">
        <f>IFERROR(VLOOKUP($F19,bug_conf_sheet!$A:$H,3,FALSE),VLOOKUP("other",bug_conf_sheet!$A:$H,3,FALSE))</f>
        <v>1</v>
      </c>
      <c r="O19" s="35">
        <f>IFERROR(VLOOKUP($F19,bug_conf_sheet!$A:$H,4,FALSE),VLOOKUP("other",bug_conf_sheet!$A:$H,4,FALSE))</f>
        <v>0</v>
      </c>
      <c r="P19" s="35">
        <f>IFERROR(VLOOKUP($F19,bug_conf_sheet!$A:$H,5,FALSE),VLOOKUP("other",bug_conf_sheet!$A:$H,5,FALSE))</f>
        <v>0</v>
      </c>
      <c r="Q19" s="35">
        <f>IFERROR(VLOOKUP($F19,bug_conf_sheet!$A:$H,6,FALSE),VLOOKUP("other",bug_conf_sheet!$A:$H,6,FALSE))</f>
        <v>0</v>
      </c>
      <c r="R19" s="35">
        <f>IFERROR(VLOOKUP($F19,bug_conf_sheet!$A:$H,7,FALSE),VLOOKUP("other",bug_conf_sheet!$A:$H,7,FALSE))</f>
        <v>0</v>
      </c>
      <c r="S19" s="35">
        <f>IFERROR(VLOOKUP($F19,bug_conf_sheet!$A:$H,8,FALSE),VLOOKUP("other",bug_conf_sheet!$A:$H,8,FALSE))</f>
        <v>1</v>
      </c>
    </row>
    <row r="20" spans="1:19" ht="21" customHeight="1">
      <c r="A20" s="7" t="str">
        <f t="shared" si="0"/>
        <v>3070438</v>
      </c>
      <c r="B20" s="2" t="str">
        <f t="shared" si="1"/>
        <v>3070</v>
      </c>
      <c r="C20" s="8" t="str">
        <f t="shared" si="2"/>
        <v>0PremiumS5</v>
      </c>
      <c r="D20" s="8" t="str">
        <f t="shared" si="3"/>
        <v>0PremiumS5</v>
      </c>
      <c r="E20" s="10">
        <v>0</v>
      </c>
      <c r="F20" s="63">
        <v>438</v>
      </c>
      <c r="G20" s="8" t="str">
        <f>VLOOKUP(F20,[1]characters!$A:$C,3,FALSE)</f>
        <v>記憶の奪還 カカシ</v>
      </c>
      <c r="H20" s="8" t="str">
        <f>VLOOKUP(F20,[1]characters!$A:$J,10,FALSE)</f>
        <v>PremiumS</v>
      </c>
      <c r="I20" s="8">
        <f>VLOOKUP(F20,[1]characters!$A:$I,9,FALSE)</f>
        <v>5</v>
      </c>
      <c r="J20" s="8" t="str">
        <f>VLOOKUP(F20,[1]characters!$A:$H,8,FALSE)</f>
        <v>green</v>
      </c>
      <c r="K20" s="8" t="str">
        <f>VLOOKUP(F20,[1]characters!$A:$K,11,FALSE)</f>
        <v>technical</v>
      </c>
      <c r="L20" s="8" t="str">
        <f>VLOOKUP(F20,[1]characters!$A:$M,13,FALSE)</f>
        <v>human</v>
      </c>
      <c r="M20" s="13">
        <f>VLOOKUP(D20,gacha_307_base!A:B,2,FALSE)</f>
        <v>1678</v>
      </c>
      <c r="N20" s="35">
        <f>IFERROR(VLOOKUP($F20,bug_conf_sheet!$A:$H,3,FALSE),VLOOKUP("other",bug_conf_sheet!$A:$H,3,FALSE))</f>
        <v>1</v>
      </c>
      <c r="O20" s="35">
        <f>IFERROR(VLOOKUP($F20,bug_conf_sheet!$A:$H,4,FALSE),VLOOKUP("other",bug_conf_sheet!$A:$H,4,FALSE))</f>
        <v>0</v>
      </c>
      <c r="P20" s="35">
        <f>IFERROR(VLOOKUP($F20,bug_conf_sheet!$A:$H,5,FALSE),VLOOKUP("other",bug_conf_sheet!$A:$H,5,FALSE))</f>
        <v>0</v>
      </c>
      <c r="Q20" s="35">
        <f>IFERROR(VLOOKUP($F20,bug_conf_sheet!$A:$H,6,FALSE),VLOOKUP("other",bug_conf_sheet!$A:$H,6,FALSE))</f>
        <v>0</v>
      </c>
      <c r="R20" s="35">
        <f>IFERROR(VLOOKUP($F20,bug_conf_sheet!$A:$H,7,FALSE),VLOOKUP("other",bug_conf_sheet!$A:$H,7,FALSE))</f>
        <v>0</v>
      </c>
      <c r="S20" s="35">
        <f>IFERROR(VLOOKUP($F20,bug_conf_sheet!$A:$H,8,FALSE),VLOOKUP("other",bug_conf_sheet!$A:$H,8,FALSE))</f>
        <v>1</v>
      </c>
    </row>
    <row r="21" spans="1:19" ht="21" customHeight="1">
      <c r="A21" s="7" t="str">
        <f t="shared" si="0"/>
        <v>3070463</v>
      </c>
      <c r="B21" s="2" t="str">
        <f t="shared" si="1"/>
        <v>3070</v>
      </c>
      <c r="C21" s="8" t="str">
        <f t="shared" si="2"/>
        <v>0PremiumS4</v>
      </c>
      <c r="D21" s="8" t="str">
        <f t="shared" si="3"/>
        <v>0PremiumS4</v>
      </c>
      <c r="E21" s="10">
        <v>0</v>
      </c>
      <c r="F21" s="63">
        <v>463</v>
      </c>
      <c r="G21" s="8" t="str">
        <f>VLOOKUP(F21,[1]characters!$A:$C,3,FALSE)</f>
        <v>燻銀 ガウェイン</v>
      </c>
      <c r="H21" s="8" t="str">
        <f>VLOOKUP(F21,[1]characters!$A:$J,10,FALSE)</f>
        <v>PremiumS</v>
      </c>
      <c r="I21" s="8">
        <f>VLOOKUP(F21,[1]characters!$A:$I,9,FALSE)</f>
        <v>4</v>
      </c>
      <c r="J21" s="8" t="str">
        <f>VLOOKUP(F21,[1]characters!$A:$H,8,FALSE)</f>
        <v>red</v>
      </c>
      <c r="K21" s="8" t="str">
        <f>VLOOKUP(F21,[1]characters!$A:$K,11,FALSE)</f>
        <v>hp</v>
      </c>
      <c r="L21" s="8" t="str">
        <f>VLOOKUP(F21,[1]characters!$A:$M,13,FALSE)</f>
        <v>human</v>
      </c>
      <c r="M21" s="13">
        <f>VLOOKUP(D21,gacha_307_base!A:B,2,FALSE)</f>
        <v>32217</v>
      </c>
      <c r="N21" s="35">
        <f>IFERROR(VLOOKUP($F21,bug_conf_sheet!$A:$H,3,FALSE),VLOOKUP("other",bug_conf_sheet!$A:$H,3,FALSE))</f>
        <v>1</v>
      </c>
      <c r="O21" s="35">
        <f>IFERROR(VLOOKUP($F21,bug_conf_sheet!$A:$H,4,FALSE),VLOOKUP("other",bug_conf_sheet!$A:$H,4,FALSE))</f>
        <v>0</v>
      </c>
      <c r="P21" s="35">
        <f>IFERROR(VLOOKUP($F21,bug_conf_sheet!$A:$H,5,FALSE),VLOOKUP("other",bug_conf_sheet!$A:$H,5,FALSE))</f>
        <v>0</v>
      </c>
      <c r="Q21" s="35">
        <f>IFERROR(VLOOKUP($F21,bug_conf_sheet!$A:$H,6,FALSE),VLOOKUP("other",bug_conf_sheet!$A:$H,6,FALSE))</f>
        <v>0</v>
      </c>
      <c r="R21" s="35">
        <f>IFERROR(VLOOKUP($F21,bug_conf_sheet!$A:$H,7,FALSE),VLOOKUP("other",bug_conf_sheet!$A:$H,7,FALSE))</f>
        <v>0</v>
      </c>
      <c r="S21" s="35">
        <f>IFERROR(VLOOKUP($F21,bug_conf_sheet!$A:$H,8,FALSE),VLOOKUP("other",bug_conf_sheet!$A:$H,8,FALSE))</f>
        <v>1</v>
      </c>
    </row>
    <row r="22" spans="1:19" ht="21" customHeight="1">
      <c r="A22" s="7" t="str">
        <f t="shared" si="0"/>
        <v>3070464</v>
      </c>
      <c r="B22" s="2" t="str">
        <f t="shared" si="1"/>
        <v>3070</v>
      </c>
      <c r="C22" s="8" t="str">
        <f t="shared" si="2"/>
        <v>0PremiumS5</v>
      </c>
      <c r="D22" s="8" t="str">
        <f t="shared" si="3"/>
        <v>0PremiumS5</v>
      </c>
      <c r="E22" s="10">
        <v>0</v>
      </c>
      <c r="F22" s="63">
        <v>464</v>
      </c>
      <c r="G22" s="8" t="str">
        <f>VLOOKUP(F22,[1]characters!$A:$C,3,FALSE)</f>
        <v>円熟の弾導 ガウェイン</v>
      </c>
      <c r="H22" s="8" t="str">
        <f>VLOOKUP(F22,[1]characters!$A:$J,10,FALSE)</f>
        <v>PremiumS</v>
      </c>
      <c r="I22" s="8">
        <f>VLOOKUP(F22,[1]characters!$A:$I,9,FALSE)</f>
        <v>5</v>
      </c>
      <c r="J22" s="8" t="str">
        <f>VLOOKUP(F22,[1]characters!$A:$H,8,FALSE)</f>
        <v>red</v>
      </c>
      <c r="K22" s="8" t="str">
        <f>VLOOKUP(F22,[1]characters!$A:$K,11,FALSE)</f>
        <v>hp</v>
      </c>
      <c r="L22" s="8" t="str">
        <f>VLOOKUP(F22,[1]characters!$A:$M,13,FALSE)</f>
        <v>human</v>
      </c>
      <c r="M22" s="13">
        <f>VLOOKUP(D22,gacha_307_base!A:B,2,FALSE)</f>
        <v>1678</v>
      </c>
      <c r="N22" s="35">
        <f>IFERROR(VLOOKUP($F22,bug_conf_sheet!$A:$H,3,FALSE),VLOOKUP("other",bug_conf_sheet!$A:$H,3,FALSE))</f>
        <v>1</v>
      </c>
      <c r="O22" s="35">
        <f>IFERROR(VLOOKUP($F22,bug_conf_sheet!$A:$H,4,FALSE),VLOOKUP("other",bug_conf_sheet!$A:$H,4,FALSE))</f>
        <v>0</v>
      </c>
      <c r="P22" s="35">
        <f>IFERROR(VLOOKUP($F22,bug_conf_sheet!$A:$H,5,FALSE),VLOOKUP("other",bug_conf_sheet!$A:$H,5,FALSE))</f>
        <v>0</v>
      </c>
      <c r="Q22" s="35">
        <f>IFERROR(VLOOKUP($F22,bug_conf_sheet!$A:$H,6,FALSE),VLOOKUP("other",bug_conf_sheet!$A:$H,6,FALSE))</f>
        <v>0</v>
      </c>
      <c r="R22" s="35">
        <f>IFERROR(VLOOKUP($F22,bug_conf_sheet!$A:$H,7,FALSE),VLOOKUP("other",bug_conf_sheet!$A:$H,7,FALSE))</f>
        <v>0</v>
      </c>
      <c r="S22" s="35">
        <f>IFERROR(VLOOKUP($F22,bug_conf_sheet!$A:$H,8,FALSE),VLOOKUP("other",bug_conf_sheet!$A:$H,8,FALSE))</f>
        <v>1</v>
      </c>
    </row>
    <row r="23" spans="1:19" ht="21" customHeight="1">
      <c r="A23" s="7" t="str">
        <f t="shared" si="0"/>
        <v>3070465</v>
      </c>
      <c r="B23" s="2" t="str">
        <f t="shared" si="1"/>
        <v>3070</v>
      </c>
      <c r="C23" s="8" t="str">
        <f t="shared" si="2"/>
        <v>0PremiumSS4</v>
      </c>
      <c r="D23" s="8" t="str">
        <f t="shared" si="3"/>
        <v>0PremiumSS4</v>
      </c>
      <c r="E23" s="10">
        <v>0</v>
      </c>
      <c r="F23" s="63">
        <v>465</v>
      </c>
      <c r="G23" s="8" t="str">
        <f>VLOOKUP(F23,[1]characters!$A:$C,3,FALSE)</f>
        <v>真撃 ランスロット</v>
      </c>
      <c r="H23" s="8" t="str">
        <f>VLOOKUP(F23,[1]characters!$A:$J,10,FALSE)</f>
        <v>PremiumSS</v>
      </c>
      <c r="I23" s="8">
        <f>VLOOKUP(F23,[1]characters!$A:$I,9,FALSE)</f>
        <v>4</v>
      </c>
      <c r="J23" s="8" t="str">
        <f>VLOOKUP(F23,[1]characters!$A:$H,8,FALSE)</f>
        <v>green</v>
      </c>
      <c r="K23" s="8" t="str">
        <f>VLOOKUP(F23,[1]characters!$A:$K,11,FALSE)</f>
        <v>balance</v>
      </c>
      <c r="L23" s="8" t="str">
        <f>VLOOKUP(F23,[1]characters!$A:$M,13,FALSE)</f>
        <v>human</v>
      </c>
      <c r="M23" s="13">
        <f>VLOOKUP(D23,gacha_307_base!A:B,2,FALSE)</f>
        <v>2486</v>
      </c>
      <c r="N23" s="35">
        <f>IFERROR(VLOOKUP($F23,bug_conf_sheet!$A:$H,3,FALSE),VLOOKUP("other",bug_conf_sheet!$A:$H,3,FALSE))</f>
        <v>1</v>
      </c>
      <c r="O23" s="35">
        <f>IFERROR(VLOOKUP($F23,bug_conf_sheet!$A:$H,4,FALSE),VLOOKUP("other",bug_conf_sheet!$A:$H,4,FALSE))</f>
        <v>0</v>
      </c>
      <c r="P23" s="35">
        <f>IFERROR(VLOOKUP($F23,bug_conf_sheet!$A:$H,5,FALSE),VLOOKUP("other",bug_conf_sheet!$A:$H,5,FALSE))</f>
        <v>0</v>
      </c>
      <c r="Q23" s="35">
        <f>IFERROR(VLOOKUP($F23,bug_conf_sheet!$A:$H,6,FALSE),VLOOKUP("other",bug_conf_sheet!$A:$H,6,FALSE))</f>
        <v>0</v>
      </c>
      <c r="R23" s="35">
        <f>IFERROR(VLOOKUP($F23,bug_conf_sheet!$A:$H,7,FALSE),VLOOKUP("other",bug_conf_sheet!$A:$H,7,FALSE))</f>
        <v>0</v>
      </c>
      <c r="S23" s="35">
        <f>IFERROR(VLOOKUP($F23,bug_conf_sheet!$A:$H,8,FALSE),VLOOKUP("other",bug_conf_sheet!$A:$H,8,FALSE))</f>
        <v>1</v>
      </c>
    </row>
    <row r="24" spans="1:19" ht="21" customHeight="1">
      <c r="A24" s="7" t="str">
        <f t="shared" si="0"/>
        <v>3070466</v>
      </c>
      <c r="B24" s="2" t="str">
        <f t="shared" si="1"/>
        <v>3070</v>
      </c>
      <c r="C24" s="8" t="str">
        <f t="shared" si="2"/>
        <v>0PremiumSS5</v>
      </c>
      <c r="D24" s="8" t="str">
        <f t="shared" si="3"/>
        <v>0PremiumSS5</v>
      </c>
      <c r="E24" s="10">
        <v>0</v>
      </c>
      <c r="F24" s="63">
        <v>466</v>
      </c>
      <c r="G24" s="8" t="str">
        <f>VLOOKUP(F24,[1]characters!$A:$C,3,FALSE)</f>
        <v>真断の勇覇 ランスロット</v>
      </c>
      <c r="H24" s="8" t="str">
        <f>VLOOKUP(F24,[1]characters!$A:$J,10,FALSE)</f>
        <v>PremiumSS</v>
      </c>
      <c r="I24" s="8">
        <f>VLOOKUP(F24,[1]characters!$A:$I,9,FALSE)</f>
        <v>5</v>
      </c>
      <c r="J24" s="8" t="str">
        <f>VLOOKUP(F24,[1]characters!$A:$H,8,FALSE)</f>
        <v>green</v>
      </c>
      <c r="K24" s="8" t="str">
        <f>VLOOKUP(F24,[1]characters!$A:$K,11,FALSE)</f>
        <v>balance</v>
      </c>
      <c r="L24" s="8" t="str">
        <f>VLOOKUP(F24,[1]characters!$A:$M,13,FALSE)</f>
        <v>human</v>
      </c>
      <c r="M24" s="13">
        <f>VLOOKUP(D24,gacha_307_base!A:B,2,FALSE)</f>
        <v>129</v>
      </c>
      <c r="N24" s="35">
        <f>IFERROR(VLOOKUP($F24,bug_conf_sheet!$A:$H,3,FALSE),VLOOKUP("other",bug_conf_sheet!$A:$H,3,FALSE))</f>
        <v>1</v>
      </c>
      <c r="O24" s="35">
        <f>IFERROR(VLOOKUP($F24,bug_conf_sheet!$A:$H,4,FALSE),VLOOKUP("other",bug_conf_sheet!$A:$H,4,FALSE))</f>
        <v>0</v>
      </c>
      <c r="P24" s="35">
        <f>IFERROR(VLOOKUP($F24,bug_conf_sheet!$A:$H,5,FALSE),VLOOKUP("other",bug_conf_sheet!$A:$H,5,FALSE))</f>
        <v>0</v>
      </c>
      <c r="Q24" s="35">
        <f>IFERROR(VLOOKUP($F24,bug_conf_sheet!$A:$H,6,FALSE),VLOOKUP("other",bug_conf_sheet!$A:$H,6,FALSE))</f>
        <v>0</v>
      </c>
      <c r="R24" s="35">
        <f>IFERROR(VLOOKUP($F24,bug_conf_sheet!$A:$H,7,FALSE),VLOOKUP("other",bug_conf_sheet!$A:$H,7,FALSE))</f>
        <v>0</v>
      </c>
      <c r="S24" s="35">
        <f>IFERROR(VLOOKUP($F24,bug_conf_sheet!$A:$H,8,FALSE),VLOOKUP("other",bug_conf_sheet!$A:$H,8,FALSE))</f>
        <v>1</v>
      </c>
    </row>
    <row r="25" spans="1:19" ht="21" customHeight="1">
      <c r="A25" s="7" t="str">
        <f t="shared" si="0"/>
        <v>3070470</v>
      </c>
      <c r="B25" s="2" t="str">
        <f t="shared" si="1"/>
        <v>3070</v>
      </c>
      <c r="C25" s="8" t="str">
        <f t="shared" si="2"/>
        <v>0PremiumS4</v>
      </c>
      <c r="D25" s="8" t="str">
        <f t="shared" si="3"/>
        <v>0PremiumS4</v>
      </c>
      <c r="E25" s="10">
        <v>0</v>
      </c>
      <c r="F25" s="63">
        <v>470</v>
      </c>
      <c r="G25" s="8" t="str">
        <f>VLOOKUP(F25,[1]characters!$A:$C,3,FALSE)</f>
        <v>純心 トリスタン</v>
      </c>
      <c r="H25" s="8" t="str">
        <f>VLOOKUP(F25,[1]characters!$A:$J,10,FALSE)</f>
        <v>PremiumS</v>
      </c>
      <c r="I25" s="8">
        <f>VLOOKUP(F25,[1]characters!$A:$I,9,FALSE)</f>
        <v>4</v>
      </c>
      <c r="J25" s="8" t="str">
        <f>VLOOKUP(F25,[1]characters!$A:$H,8,FALSE)</f>
        <v>yellow</v>
      </c>
      <c r="K25" s="8" t="str">
        <f>VLOOKUP(F25,[1]characters!$A:$K,11,FALSE)</f>
        <v>attack</v>
      </c>
      <c r="L25" s="8" t="str">
        <f>VLOOKUP(F25,[1]characters!$A:$M,13,FALSE)</f>
        <v>human</v>
      </c>
      <c r="M25" s="13">
        <f>VLOOKUP(D25,gacha_307_base!A:B,2,FALSE)</f>
        <v>32217</v>
      </c>
      <c r="N25" s="35">
        <f>IFERROR(VLOOKUP($F25,bug_conf_sheet!$A:$H,3,FALSE),VLOOKUP("other",bug_conf_sheet!$A:$H,3,FALSE))</f>
        <v>1</v>
      </c>
      <c r="O25" s="35">
        <f>IFERROR(VLOOKUP($F25,bug_conf_sheet!$A:$H,4,FALSE),VLOOKUP("other",bug_conf_sheet!$A:$H,4,FALSE))</f>
        <v>0</v>
      </c>
      <c r="P25" s="35">
        <f>IFERROR(VLOOKUP($F25,bug_conf_sheet!$A:$H,5,FALSE),VLOOKUP("other",bug_conf_sheet!$A:$H,5,FALSE))</f>
        <v>0</v>
      </c>
      <c r="Q25" s="35">
        <f>IFERROR(VLOOKUP($F25,bug_conf_sheet!$A:$H,6,FALSE),VLOOKUP("other",bug_conf_sheet!$A:$H,6,FALSE))</f>
        <v>0</v>
      </c>
      <c r="R25" s="35">
        <f>IFERROR(VLOOKUP($F25,bug_conf_sheet!$A:$H,7,FALSE),VLOOKUP("other",bug_conf_sheet!$A:$H,7,FALSE))</f>
        <v>0</v>
      </c>
      <c r="S25" s="35">
        <f>IFERROR(VLOOKUP($F25,bug_conf_sheet!$A:$H,8,FALSE),VLOOKUP("other",bug_conf_sheet!$A:$H,8,FALSE))</f>
        <v>1</v>
      </c>
    </row>
    <row r="26" spans="1:19" ht="21" customHeight="1">
      <c r="A26" s="7" t="str">
        <f t="shared" si="0"/>
        <v>3070471</v>
      </c>
      <c r="B26" s="2" t="str">
        <f t="shared" si="1"/>
        <v>3070</v>
      </c>
      <c r="C26" s="8" t="str">
        <f t="shared" si="2"/>
        <v>0PremiumS5</v>
      </c>
      <c r="D26" s="8" t="str">
        <f t="shared" si="3"/>
        <v>0PremiumS5</v>
      </c>
      <c r="E26" s="10">
        <v>0</v>
      </c>
      <c r="F26" s="63">
        <v>471</v>
      </c>
      <c r="G26" s="8" t="str">
        <f>VLOOKUP(F26,[1]characters!$A:$C,3,FALSE)</f>
        <v>不可避の爆激 トリスタン</v>
      </c>
      <c r="H26" s="8" t="str">
        <f>VLOOKUP(F26,[1]characters!$A:$J,10,FALSE)</f>
        <v>PremiumS</v>
      </c>
      <c r="I26" s="8">
        <f>VLOOKUP(F26,[1]characters!$A:$I,9,FALSE)</f>
        <v>5</v>
      </c>
      <c r="J26" s="8" t="str">
        <f>VLOOKUP(F26,[1]characters!$A:$H,8,FALSE)</f>
        <v>yellow</v>
      </c>
      <c r="K26" s="8" t="str">
        <f>VLOOKUP(F26,[1]characters!$A:$K,11,FALSE)</f>
        <v>attack</v>
      </c>
      <c r="L26" s="8" t="str">
        <f>VLOOKUP(F26,[1]characters!$A:$M,13,FALSE)</f>
        <v>human</v>
      </c>
      <c r="M26" s="13">
        <f>VLOOKUP(D26,gacha_307_base!A:B,2,FALSE)</f>
        <v>1678</v>
      </c>
      <c r="N26" s="35">
        <f>IFERROR(VLOOKUP($F26,bug_conf_sheet!$A:$H,3,FALSE),VLOOKUP("other",bug_conf_sheet!$A:$H,3,FALSE))</f>
        <v>1</v>
      </c>
      <c r="O26" s="35">
        <f>IFERROR(VLOOKUP($F26,bug_conf_sheet!$A:$H,4,FALSE),VLOOKUP("other",bug_conf_sheet!$A:$H,4,FALSE))</f>
        <v>0</v>
      </c>
      <c r="P26" s="35">
        <f>IFERROR(VLOOKUP($F26,bug_conf_sheet!$A:$H,5,FALSE),VLOOKUP("other",bug_conf_sheet!$A:$H,5,FALSE))</f>
        <v>0</v>
      </c>
      <c r="Q26" s="35">
        <f>IFERROR(VLOOKUP($F26,bug_conf_sheet!$A:$H,6,FALSE),VLOOKUP("other",bug_conf_sheet!$A:$H,6,FALSE))</f>
        <v>0</v>
      </c>
      <c r="R26" s="35">
        <f>IFERROR(VLOOKUP($F26,bug_conf_sheet!$A:$H,7,FALSE),VLOOKUP("other",bug_conf_sheet!$A:$H,7,FALSE))</f>
        <v>0</v>
      </c>
      <c r="S26" s="35">
        <f>IFERROR(VLOOKUP($F26,bug_conf_sheet!$A:$H,8,FALSE),VLOOKUP("other",bug_conf_sheet!$A:$H,8,FALSE))</f>
        <v>1</v>
      </c>
    </row>
    <row r="27" spans="1:19" ht="21" customHeight="1">
      <c r="A27" s="7" t="str">
        <f t="shared" si="0"/>
        <v>3070479</v>
      </c>
      <c r="B27" s="2" t="str">
        <f t="shared" si="1"/>
        <v>3070</v>
      </c>
      <c r="C27" s="8" t="str">
        <f t="shared" si="2"/>
        <v>0PremiumSS4</v>
      </c>
      <c r="D27" s="8" t="str">
        <f t="shared" si="3"/>
        <v>0PremiumSS4</v>
      </c>
      <c r="E27" s="10">
        <v>0</v>
      </c>
      <c r="F27" s="63">
        <v>479</v>
      </c>
      <c r="G27" s="8" t="str">
        <f>VLOOKUP(F27,[1]characters!$A:$C,3,FALSE)</f>
        <v>フール</v>
      </c>
      <c r="H27" s="8" t="str">
        <f>VLOOKUP(F27,[1]characters!$A:$J,10,FALSE)</f>
        <v>PremiumSS</v>
      </c>
      <c r="I27" s="8">
        <f>VLOOKUP(F27,[1]characters!$A:$I,9,FALSE)</f>
        <v>4</v>
      </c>
      <c r="J27" s="8" t="str">
        <f>VLOOKUP(F27,[1]characters!$A:$H,8,FALSE)</f>
        <v>blue</v>
      </c>
      <c r="K27" s="8" t="str">
        <f>VLOOKUP(F27,[1]characters!$A:$K,11,FALSE)</f>
        <v>technical</v>
      </c>
      <c r="L27" s="8" t="str">
        <f>VLOOKUP(F27,[1]characters!$A:$M,13,FALSE)</f>
        <v>god</v>
      </c>
      <c r="M27" s="13">
        <f>VLOOKUP(D27,gacha_307_base!A:B,2,FALSE)</f>
        <v>2486</v>
      </c>
      <c r="N27" s="35">
        <f>IFERROR(VLOOKUP($F27,bug_conf_sheet!$A:$H,3,FALSE),VLOOKUP("other",bug_conf_sheet!$A:$H,3,FALSE))</f>
        <v>1</v>
      </c>
      <c r="O27" s="35">
        <f>IFERROR(VLOOKUP($F27,bug_conf_sheet!$A:$H,4,FALSE),VLOOKUP("other",bug_conf_sheet!$A:$H,4,FALSE))</f>
        <v>0</v>
      </c>
      <c r="P27" s="35">
        <f>IFERROR(VLOOKUP($F27,bug_conf_sheet!$A:$H,5,FALSE),VLOOKUP("other",bug_conf_sheet!$A:$H,5,FALSE))</f>
        <v>0</v>
      </c>
      <c r="Q27" s="35">
        <f>IFERROR(VLOOKUP($F27,bug_conf_sheet!$A:$H,6,FALSE),VLOOKUP("other",bug_conf_sheet!$A:$H,6,FALSE))</f>
        <v>0</v>
      </c>
      <c r="R27" s="35">
        <f>IFERROR(VLOOKUP($F27,bug_conf_sheet!$A:$H,7,FALSE),VLOOKUP("other",bug_conf_sheet!$A:$H,7,FALSE))</f>
        <v>0</v>
      </c>
      <c r="S27" s="35">
        <f>IFERROR(VLOOKUP($F27,bug_conf_sheet!$A:$H,8,FALSE),VLOOKUP("other",bug_conf_sheet!$A:$H,8,FALSE))</f>
        <v>1</v>
      </c>
    </row>
    <row r="28" spans="1:19" ht="21" customHeight="1">
      <c r="A28" s="7" t="str">
        <f t="shared" si="0"/>
        <v>3070480</v>
      </c>
      <c r="B28" s="2" t="str">
        <f t="shared" si="1"/>
        <v>3070</v>
      </c>
      <c r="C28" s="8" t="str">
        <f t="shared" si="2"/>
        <v>0PremiumSS5</v>
      </c>
      <c r="D28" s="8" t="str">
        <f t="shared" si="3"/>
        <v>0PremiumSS5</v>
      </c>
      <c r="E28" s="10">
        <v>0</v>
      </c>
      <c r="F28" s="63">
        <v>480</v>
      </c>
      <c r="G28" s="8" t="str">
        <f>VLOOKUP(F28,[1]characters!$A:$C,3,FALSE)</f>
        <v>夢幻の愚者フール</v>
      </c>
      <c r="H28" s="8" t="str">
        <f>VLOOKUP(F28,[1]characters!$A:$J,10,FALSE)</f>
        <v>PremiumSS</v>
      </c>
      <c r="I28" s="8">
        <f>VLOOKUP(F28,[1]characters!$A:$I,9,FALSE)</f>
        <v>5</v>
      </c>
      <c r="J28" s="8" t="str">
        <f>VLOOKUP(F28,[1]characters!$A:$H,8,FALSE)</f>
        <v>blue</v>
      </c>
      <c r="K28" s="8" t="str">
        <f>VLOOKUP(F28,[1]characters!$A:$K,11,FALSE)</f>
        <v>technical</v>
      </c>
      <c r="L28" s="8" t="str">
        <f>VLOOKUP(F28,[1]characters!$A:$M,13,FALSE)</f>
        <v>god</v>
      </c>
      <c r="M28" s="13">
        <f>VLOOKUP(D28,gacha_307_base!A:B,2,FALSE)</f>
        <v>129</v>
      </c>
      <c r="N28" s="35">
        <f>IFERROR(VLOOKUP($F28,bug_conf_sheet!$A:$H,3,FALSE),VLOOKUP("other",bug_conf_sheet!$A:$H,3,FALSE))</f>
        <v>1</v>
      </c>
      <c r="O28" s="35">
        <f>IFERROR(VLOOKUP($F28,bug_conf_sheet!$A:$H,4,FALSE),VLOOKUP("other",bug_conf_sheet!$A:$H,4,FALSE))</f>
        <v>0</v>
      </c>
      <c r="P28" s="35">
        <f>IFERROR(VLOOKUP($F28,bug_conf_sheet!$A:$H,5,FALSE),VLOOKUP("other",bug_conf_sheet!$A:$H,5,FALSE))</f>
        <v>0</v>
      </c>
      <c r="Q28" s="35">
        <f>IFERROR(VLOOKUP($F28,bug_conf_sheet!$A:$H,6,FALSE),VLOOKUP("other",bug_conf_sheet!$A:$H,6,FALSE))</f>
        <v>0</v>
      </c>
      <c r="R28" s="35">
        <f>IFERROR(VLOOKUP($F28,bug_conf_sheet!$A:$H,7,FALSE),VLOOKUP("other",bug_conf_sheet!$A:$H,7,FALSE))</f>
        <v>0</v>
      </c>
      <c r="S28" s="35">
        <f>IFERROR(VLOOKUP($F28,bug_conf_sheet!$A:$H,8,FALSE),VLOOKUP("other",bug_conf_sheet!$A:$H,8,FALSE))</f>
        <v>1</v>
      </c>
    </row>
    <row r="29" spans="1:19" ht="21" customHeight="1">
      <c r="A29" s="7" t="str">
        <f t="shared" si="0"/>
        <v>3070482</v>
      </c>
      <c r="B29" s="2" t="str">
        <f t="shared" si="1"/>
        <v>3070</v>
      </c>
      <c r="C29" s="8" t="str">
        <f t="shared" si="2"/>
        <v>0PremiumS4</v>
      </c>
      <c r="D29" s="8" t="str">
        <f t="shared" si="3"/>
        <v>0PremiumS4</v>
      </c>
      <c r="E29" s="10">
        <v>0</v>
      </c>
      <c r="F29" s="63">
        <v>482</v>
      </c>
      <c r="G29" s="8" t="str">
        <f>VLOOKUP(F29,[1]characters!$A:$C,3,FALSE)</f>
        <v>魁僧 沢庵宗彭</v>
      </c>
      <c r="H29" s="8" t="str">
        <f>VLOOKUP(F29,[1]characters!$A:$J,10,FALSE)</f>
        <v>PremiumS</v>
      </c>
      <c r="I29" s="8">
        <f>VLOOKUP(F29,[1]characters!$A:$I,9,FALSE)</f>
        <v>4</v>
      </c>
      <c r="J29" s="8" t="str">
        <f>VLOOKUP(F29,[1]characters!$A:$H,8,FALSE)</f>
        <v>yellow</v>
      </c>
      <c r="K29" s="8" t="str">
        <f>VLOOKUP(F29,[1]characters!$A:$K,11,FALSE)</f>
        <v>hp</v>
      </c>
      <c r="L29" s="8" t="str">
        <f>VLOOKUP(F29,[1]characters!$A:$M,13,FALSE)</f>
        <v>human</v>
      </c>
      <c r="M29" s="13">
        <f>VLOOKUP(D29,gacha_307_base!A:B,2,FALSE)</f>
        <v>32217</v>
      </c>
      <c r="N29" s="35">
        <f>IFERROR(VLOOKUP($F29,bug_conf_sheet!$A:$H,3,FALSE),VLOOKUP("other",bug_conf_sheet!$A:$H,3,FALSE))</f>
        <v>1</v>
      </c>
      <c r="O29" s="35">
        <f>IFERROR(VLOOKUP($F29,bug_conf_sheet!$A:$H,4,FALSE),VLOOKUP("other",bug_conf_sheet!$A:$H,4,FALSE))</f>
        <v>0</v>
      </c>
      <c r="P29" s="35">
        <f>IFERROR(VLOOKUP($F29,bug_conf_sheet!$A:$H,5,FALSE),VLOOKUP("other",bug_conf_sheet!$A:$H,5,FALSE))</f>
        <v>0</v>
      </c>
      <c r="Q29" s="35">
        <f>IFERROR(VLOOKUP($F29,bug_conf_sheet!$A:$H,6,FALSE),VLOOKUP("other",bug_conf_sheet!$A:$H,6,FALSE))</f>
        <v>0</v>
      </c>
      <c r="R29" s="35">
        <f>IFERROR(VLOOKUP($F29,bug_conf_sheet!$A:$H,7,FALSE),VLOOKUP("other",bug_conf_sheet!$A:$H,7,FALSE))</f>
        <v>0</v>
      </c>
      <c r="S29" s="35">
        <f>IFERROR(VLOOKUP($F29,bug_conf_sheet!$A:$H,8,FALSE),VLOOKUP("other",bug_conf_sheet!$A:$H,8,FALSE))</f>
        <v>1</v>
      </c>
    </row>
    <row r="30" spans="1:19" ht="21" customHeight="1">
      <c r="A30" s="7" t="str">
        <f t="shared" si="0"/>
        <v>3070483</v>
      </c>
      <c r="B30" s="2" t="str">
        <f t="shared" si="1"/>
        <v>3070</v>
      </c>
      <c r="C30" s="8" t="str">
        <f t="shared" si="2"/>
        <v>0PremiumS5</v>
      </c>
      <c r="D30" s="8" t="str">
        <f t="shared" si="3"/>
        <v>0PremiumS5</v>
      </c>
      <c r="E30" s="10">
        <v>0</v>
      </c>
      <c r="F30" s="63">
        <v>483</v>
      </c>
      <c r="G30" s="8" t="str">
        <f>VLOOKUP(F30,[1]characters!$A:$C,3,FALSE)</f>
        <v xml:space="preserve">命経死遂 沢庵宗彭 </v>
      </c>
      <c r="H30" s="8" t="str">
        <f>VLOOKUP(F30,[1]characters!$A:$J,10,FALSE)</f>
        <v>PremiumS</v>
      </c>
      <c r="I30" s="8">
        <f>VLOOKUP(F30,[1]characters!$A:$I,9,FALSE)</f>
        <v>5</v>
      </c>
      <c r="J30" s="8" t="str">
        <f>VLOOKUP(F30,[1]characters!$A:$H,8,FALSE)</f>
        <v>yellow</v>
      </c>
      <c r="K30" s="8" t="str">
        <f>VLOOKUP(F30,[1]characters!$A:$K,11,FALSE)</f>
        <v>hp</v>
      </c>
      <c r="L30" s="8" t="str">
        <f>VLOOKUP(F30,[1]characters!$A:$M,13,FALSE)</f>
        <v>human</v>
      </c>
      <c r="M30" s="13">
        <f>VLOOKUP(D30,gacha_307_base!A:B,2,FALSE)</f>
        <v>1678</v>
      </c>
      <c r="N30" s="35">
        <f>IFERROR(VLOOKUP($F30,bug_conf_sheet!$A:$H,3,FALSE),VLOOKUP("other",bug_conf_sheet!$A:$H,3,FALSE))</f>
        <v>1</v>
      </c>
      <c r="O30" s="35">
        <f>IFERROR(VLOOKUP($F30,bug_conf_sheet!$A:$H,4,FALSE),VLOOKUP("other",bug_conf_sheet!$A:$H,4,FALSE))</f>
        <v>0</v>
      </c>
      <c r="P30" s="35">
        <f>IFERROR(VLOOKUP($F30,bug_conf_sheet!$A:$H,5,FALSE),VLOOKUP("other",bug_conf_sheet!$A:$H,5,FALSE))</f>
        <v>0</v>
      </c>
      <c r="Q30" s="35">
        <f>IFERROR(VLOOKUP($F30,bug_conf_sheet!$A:$H,6,FALSE),VLOOKUP("other",bug_conf_sheet!$A:$H,6,FALSE))</f>
        <v>0</v>
      </c>
      <c r="R30" s="35">
        <f>IFERROR(VLOOKUP($F30,bug_conf_sheet!$A:$H,7,FALSE),VLOOKUP("other",bug_conf_sheet!$A:$H,7,FALSE))</f>
        <v>0</v>
      </c>
      <c r="S30" s="35">
        <f>IFERROR(VLOOKUP($F30,bug_conf_sheet!$A:$H,8,FALSE),VLOOKUP("other",bug_conf_sheet!$A:$H,8,FALSE))</f>
        <v>1</v>
      </c>
    </row>
    <row r="31" spans="1:19" ht="21" customHeight="1">
      <c r="A31" s="7" t="str">
        <f t="shared" si="0"/>
        <v>3070494</v>
      </c>
      <c r="B31" s="2" t="str">
        <f t="shared" si="1"/>
        <v>3070</v>
      </c>
      <c r="C31" s="8" t="str">
        <f t="shared" si="2"/>
        <v>0PremiumSS4</v>
      </c>
      <c r="D31" s="8" t="str">
        <f t="shared" si="3"/>
        <v>0PremiumSS4</v>
      </c>
      <c r="E31" s="10">
        <v>0</v>
      </c>
      <c r="F31" s="63">
        <v>494</v>
      </c>
      <c r="G31" s="8" t="str">
        <f>VLOOKUP(F31,[1]characters!$A:$C,3,FALSE)</f>
        <v>ハーメルン</v>
      </c>
      <c r="H31" s="8" t="str">
        <f>VLOOKUP(F31,[1]characters!$A:$J,10,FALSE)</f>
        <v>PremiumSS</v>
      </c>
      <c r="I31" s="8">
        <f>VLOOKUP(F31,[1]characters!$A:$I,9,FALSE)</f>
        <v>4</v>
      </c>
      <c r="J31" s="8" t="str">
        <f>VLOOKUP(F31,[1]characters!$A:$H,8,FALSE)</f>
        <v>green</v>
      </c>
      <c r="K31" s="8" t="str">
        <f>VLOOKUP(F31,[1]characters!$A:$K,11,FALSE)</f>
        <v>technical</v>
      </c>
      <c r="L31" s="8" t="str">
        <f>VLOOKUP(F31,[1]characters!$A:$M,13,FALSE)</f>
        <v>human</v>
      </c>
      <c r="M31" s="13">
        <f>VLOOKUP(D31,gacha_307_base!A:B,2,FALSE)</f>
        <v>2486</v>
      </c>
      <c r="N31" s="35">
        <f>IFERROR(VLOOKUP($F31,bug_conf_sheet!$A:$H,3,FALSE),VLOOKUP("other",bug_conf_sheet!$A:$H,3,FALSE))</f>
        <v>1</v>
      </c>
      <c r="O31" s="35">
        <f>IFERROR(VLOOKUP($F31,bug_conf_sheet!$A:$H,4,FALSE),VLOOKUP("other",bug_conf_sheet!$A:$H,4,FALSE))</f>
        <v>0</v>
      </c>
      <c r="P31" s="35">
        <f>IFERROR(VLOOKUP($F31,bug_conf_sheet!$A:$H,5,FALSE),VLOOKUP("other",bug_conf_sheet!$A:$H,5,FALSE))</f>
        <v>0</v>
      </c>
      <c r="Q31" s="35">
        <f>IFERROR(VLOOKUP($F31,bug_conf_sheet!$A:$H,6,FALSE),VLOOKUP("other",bug_conf_sheet!$A:$H,6,FALSE))</f>
        <v>0</v>
      </c>
      <c r="R31" s="35">
        <f>IFERROR(VLOOKUP($F31,bug_conf_sheet!$A:$H,7,FALSE),VLOOKUP("other",bug_conf_sheet!$A:$H,7,FALSE))</f>
        <v>0</v>
      </c>
      <c r="S31" s="35">
        <f>IFERROR(VLOOKUP($F31,bug_conf_sheet!$A:$H,8,FALSE),VLOOKUP("other",bug_conf_sheet!$A:$H,8,FALSE))</f>
        <v>1</v>
      </c>
    </row>
    <row r="32" spans="1:19" ht="21" customHeight="1">
      <c r="A32" s="7" t="str">
        <f t="shared" si="0"/>
        <v>3070495</v>
      </c>
      <c r="B32" s="2" t="str">
        <f t="shared" si="1"/>
        <v>3070</v>
      </c>
      <c r="C32" s="8" t="str">
        <f t="shared" si="2"/>
        <v>0PremiumSS5</v>
      </c>
      <c r="D32" s="8" t="str">
        <f t="shared" si="3"/>
        <v>0PremiumSS5</v>
      </c>
      <c r="E32" s="10">
        <v>0</v>
      </c>
      <c r="F32" s="63">
        <v>495</v>
      </c>
      <c r="G32" s="8" t="str">
        <f>VLOOKUP(F32,[1]characters!$A:$C,3,FALSE)</f>
        <v>鼠災呼ぶ笛音 ハーメルン</v>
      </c>
      <c r="H32" s="8" t="str">
        <f>VLOOKUP(F32,[1]characters!$A:$J,10,FALSE)</f>
        <v>PremiumSS</v>
      </c>
      <c r="I32" s="8">
        <f>VLOOKUP(F32,[1]characters!$A:$I,9,FALSE)</f>
        <v>5</v>
      </c>
      <c r="J32" s="8" t="str">
        <f>VLOOKUP(F32,[1]characters!$A:$H,8,FALSE)</f>
        <v>green</v>
      </c>
      <c r="K32" s="8" t="str">
        <f>VLOOKUP(F32,[1]characters!$A:$K,11,FALSE)</f>
        <v>technical</v>
      </c>
      <c r="L32" s="8" t="str">
        <f>VLOOKUP(F32,[1]characters!$A:$M,13,FALSE)</f>
        <v>human</v>
      </c>
      <c r="M32" s="13">
        <f>VLOOKUP(D32,gacha_307_base!A:B,2,FALSE)</f>
        <v>129</v>
      </c>
      <c r="N32" s="35">
        <f>IFERROR(VLOOKUP($F32,bug_conf_sheet!$A:$H,3,FALSE),VLOOKUP("other",bug_conf_sheet!$A:$H,3,FALSE))</f>
        <v>1</v>
      </c>
      <c r="O32" s="35">
        <f>IFERROR(VLOOKUP($F32,bug_conf_sheet!$A:$H,4,FALSE),VLOOKUP("other",bug_conf_sheet!$A:$H,4,FALSE))</f>
        <v>0</v>
      </c>
      <c r="P32" s="35">
        <f>IFERROR(VLOOKUP($F32,bug_conf_sheet!$A:$H,5,FALSE),VLOOKUP("other",bug_conf_sheet!$A:$H,5,FALSE))</f>
        <v>0</v>
      </c>
      <c r="Q32" s="35">
        <f>IFERROR(VLOOKUP($F32,bug_conf_sheet!$A:$H,6,FALSE),VLOOKUP("other",bug_conf_sheet!$A:$H,6,FALSE))</f>
        <v>0</v>
      </c>
      <c r="R32" s="35">
        <f>IFERROR(VLOOKUP($F32,bug_conf_sheet!$A:$H,7,FALSE),VLOOKUP("other",bug_conf_sheet!$A:$H,7,FALSE))</f>
        <v>0</v>
      </c>
      <c r="S32" s="35">
        <f>IFERROR(VLOOKUP($F32,bug_conf_sheet!$A:$H,8,FALSE),VLOOKUP("other",bug_conf_sheet!$A:$H,8,FALSE))</f>
        <v>1</v>
      </c>
    </row>
    <row r="33" spans="1:19" ht="21" customHeight="1">
      <c r="A33" s="7" t="str">
        <f t="shared" si="0"/>
        <v>3070497</v>
      </c>
      <c r="B33" s="2" t="str">
        <f t="shared" si="1"/>
        <v>3070</v>
      </c>
      <c r="C33" s="8" t="str">
        <f t="shared" si="2"/>
        <v>0PremiumS4</v>
      </c>
      <c r="D33" s="8" t="str">
        <f t="shared" si="3"/>
        <v>0PremiumS4</v>
      </c>
      <c r="E33" s="10">
        <v>0</v>
      </c>
      <c r="F33" s="63">
        <v>497</v>
      </c>
      <c r="G33" s="8" t="str">
        <f>VLOOKUP(F33,[1]characters!$A:$C,3,FALSE)</f>
        <v>偏愛の野獣 エスタブ</v>
      </c>
      <c r="H33" s="8" t="str">
        <f>VLOOKUP(F33,[1]characters!$A:$J,10,FALSE)</f>
        <v>PremiumS</v>
      </c>
      <c r="I33" s="8">
        <f>VLOOKUP(F33,[1]characters!$A:$I,9,FALSE)</f>
        <v>4</v>
      </c>
      <c r="J33" s="8" t="str">
        <f>VLOOKUP(F33,[1]characters!$A:$H,8,FALSE)</f>
        <v>blue</v>
      </c>
      <c r="K33" s="8" t="str">
        <f>VLOOKUP(F33,[1]characters!$A:$K,11,FALSE)</f>
        <v>attack</v>
      </c>
      <c r="L33" s="8" t="str">
        <f>VLOOKUP(F33,[1]characters!$A:$M,13,FALSE)</f>
        <v>human</v>
      </c>
      <c r="M33" s="13">
        <f>VLOOKUP(D33,gacha_307_base!A:B,2,FALSE)</f>
        <v>32217</v>
      </c>
      <c r="N33" s="35">
        <f>IFERROR(VLOOKUP($F33,bug_conf_sheet!$A:$H,3,FALSE),VLOOKUP("other",bug_conf_sheet!$A:$H,3,FALSE))</f>
        <v>1</v>
      </c>
      <c r="O33" s="35">
        <f>IFERROR(VLOOKUP($F33,bug_conf_sheet!$A:$H,4,FALSE),VLOOKUP("other",bug_conf_sheet!$A:$H,4,FALSE))</f>
        <v>0</v>
      </c>
      <c r="P33" s="35">
        <f>IFERROR(VLOOKUP($F33,bug_conf_sheet!$A:$H,5,FALSE),VLOOKUP("other",bug_conf_sheet!$A:$H,5,FALSE))</f>
        <v>0</v>
      </c>
      <c r="Q33" s="35">
        <f>IFERROR(VLOOKUP($F33,bug_conf_sheet!$A:$H,6,FALSE),VLOOKUP("other",bug_conf_sheet!$A:$H,6,FALSE))</f>
        <v>0</v>
      </c>
      <c r="R33" s="35">
        <f>IFERROR(VLOOKUP($F33,bug_conf_sheet!$A:$H,7,FALSE),VLOOKUP("other",bug_conf_sheet!$A:$H,7,FALSE))</f>
        <v>0</v>
      </c>
      <c r="S33" s="35">
        <f>IFERROR(VLOOKUP($F33,bug_conf_sheet!$A:$H,8,FALSE),VLOOKUP("other",bug_conf_sheet!$A:$H,8,FALSE))</f>
        <v>1</v>
      </c>
    </row>
    <row r="34" spans="1:19" ht="21" customHeight="1">
      <c r="A34" s="7" t="str">
        <f t="shared" si="0"/>
        <v>3070498</v>
      </c>
      <c r="B34" s="2" t="str">
        <f t="shared" si="1"/>
        <v>3070</v>
      </c>
      <c r="C34" s="8" t="str">
        <f t="shared" si="2"/>
        <v>0PremiumS5</v>
      </c>
      <c r="D34" s="8" t="str">
        <f t="shared" si="3"/>
        <v>0PremiumS5</v>
      </c>
      <c r="E34" s="10">
        <v>0</v>
      </c>
      <c r="F34" s="63">
        <v>498</v>
      </c>
      <c r="G34" s="8" t="str">
        <f>VLOOKUP(F34,[1]characters!$A:$C,3,FALSE)</f>
        <v>自愛の高魔 エスタブ</v>
      </c>
      <c r="H34" s="8" t="str">
        <f>VLOOKUP(F34,[1]characters!$A:$J,10,FALSE)</f>
        <v>PremiumS</v>
      </c>
      <c r="I34" s="8">
        <f>VLOOKUP(F34,[1]characters!$A:$I,9,FALSE)</f>
        <v>5</v>
      </c>
      <c r="J34" s="8" t="str">
        <f>VLOOKUP(F34,[1]characters!$A:$H,8,FALSE)</f>
        <v>blue</v>
      </c>
      <c r="K34" s="8" t="str">
        <f>VLOOKUP(F34,[1]characters!$A:$K,11,FALSE)</f>
        <v>attack</v>
      </c>
      <c r="L34" s="8" t="str">
        <f>VLOOKUP(F34,[1]characters!$A:$M,13,FALSE)</f>
        <v>human</v>
      </c>
      <c r="M34" s="13">
        <f>VLOOKUP(D34,gacha_307_base!A:B,2,FALSE)</f>
        <v>1678</v>
      </c>
      <c r="N34" s="35">
        <f>IFERROR(VLOOKUP($F34,bug_conf_sheet!$A:$H,3,FALSE),VLOOKUP("other",bug_conf_sheet!$A:$H,3,FALSE))</f>
        <v>1</v>
      </c>
      <c r="O34" s="35">
        <f>IFERROR(VLOOKUP($F34,bug_conf_sheet!$A:$H,4,FALSE),VLOOKUP("other",bug_conf_sheet!$A:$H,4,FALSE))</f>
        <v>0</v>
      </c>
      <c r="P34" s="35">
        <f>IFERROR(VLOOKUP($F34,bug_conf_sheet!$A:$H,5,FALSE),VLOOKUP("other",bug_conf_sheet!$A:$H,5,FALSE))</f>
        <v>0</v>
      </c>
      <c r="Q34" s="35">
        <f>IFERROR(VLOOKUP($F34,bug_conf_sheet!$A:$H,6,FALSE),VLOOKUP("other",bug_conf_sheet!$A:$H,6,FALSE))</f>
        <v>0</v>
      </c>
      <c r="R34" s="35">
        <f>IFERROR(VLOOKUP($F34,bug_conf_sheet!$A:$H,7,FALSE),VLOOKUP("other",bug_conf_sheet!$A:$H,7,FALSE))</f>
        <v>0</v>
      </c>
      <c r="S34" s="35">
        <f>IFERROR(VLOOKUP($F34,bug_conf_sheet!$A:$H,8,FALSE),VLOOKUP("other",bug_conf_sheet!$A:$H,8,FALSE))</f>
        <v>1</v>
      </c>
    </row>
    <row r="35" spans="1:19" ht="21" customHeight="1">
      <c r="A35" s="7" t="str">
        <f t="shared" si="0"/>
        <v>3070597</v>
      </c>
      <c r="B35" s="2" t="str">
        <f t="shared" si="1"/>
        <v>3070</v>
      </c>
      <c r="C35" s="8" t="str">
        <f t="shared" si="2"/>
        <v>0PremiumS4</v>
      </c>
      <c r="D35" s="8" t="str">
        <f t="shared" si="3"/>
        <v>0PremiumS4</v>
      </c>
      <c r="E35" s="10">
        <v>0</v>
      </c>
      <c r="F35" s="63">
        <v>597</v>
      </c>
      <c r="G35" s="8" t="str">
        <f>VLOOKUP(F35,[1]characters!$A:$C,3,FALSE)</f>
        <v>灼熱の魂 ムスペルヘイム</v>
      </c>
      <c r="H35" s="8" t="str">
        <f>VLOOKUP(F35,[1]characters!$A:$J,10,FALSE)</f>
        <v>PremiumS</v>
      </c>
      <c r="I35" s="8">
        <f>VLOOKUP(F35,[1]characters!$A:$I,9,FALSE)</f>
        <v>4</v>
      </c>
      <c r="J35" s="8" t="str">
        <f>VLOOKUP(F35,[1]characters!$A:$H,8,FALSE)</f>
        <v>red</v>
      </c>
      <c r="K35" s="8" t="str">
        <f>VLOOKUP(F35,[1]characters!$A:$K,11,FALSE)</f>
        <v>balance</v>
      </c>
      <c r="L35" s="8" t="str">
        <f>VLOOKUP(F35,[1]characters!$A:$M,13,FALSE)</f>
        <v>human</v>
      </c>
      <c r="M35" s="13">
        <f>VLOOKUP(D35,gacha_307_base!A:B,2,FALSE)</f>
        <v>32217</v>
      </c>
      <c r="N35" s="35">
        <f>IFERROR(VLOOKUP($F35,bug_conf_sheet!$A:$H,3,FALSE),VLOOKUP("other",bug_conf_sheet!$A:$H,3,FALSE))</f>
        <v>1</v>
      </c>
      <c r="O35" s="35">
        <f>IFERROR(VLOOKUP($F35,bug_conf_sheet!$A:$H,4,FALSE),VLOOKUP("other",bug_conf_sheet!$A:$H,4,FALSE))</f>
        <v>0</v>
      </c>
      <c r="P35" s="35">
        <f>IFERROR(VLOOKUP($F35,bug_conf_sheet!$A:$H,5,FALSE),VLOOKUP("other",bug_conf_sheet!$A:$H,5,FALSE))</f>
        <v>0</v>
      </c>
      <c r="Q35" s="35">
        <f>IFERROR(VLOOKUP($F35,bug_conf_sheet!$A:$H,6,FALSE),VLOOKUP("other",bug_conf_sheet!$A:$H,6,FALSE))</f>
        <v>0</v>
      </c>
      <c r="R35" s="35">
        <f>IFERROR(VLOOKUP($F35,bug_conf_sheet!$A:$H,7,FALSE),VLOOKUP("other",bug_conf_sheet!$A:$H,7,FALSE))</f>
        <v>0</v>
      </c>
      <c r="S35" s="35">
        <f>IFERROR(VLOOKUP($F35,bug_conf_sheet!$A:$H,8,FALSE),VLOOKUP("other",bug_conf_sheet!$A:$H,8,FALSE))</f>
        <v>1</v>
      </c>
    </row>
    <row r="36" spans="1:19" ht="21" customHeight="1">
      <c r="A36" s="7" t="str">
        <f t="shared" si="0"/>
        <v>3070598</v>
      </c>
      <c r="B36" s="2" t="str">
        <f t="shared" si="1"/>
        <v>3070</v>
      </c>
      <c r="C36" s="8" t="str">
        <f t="shared" ref="C36:C76" si="4">E36&amp;H36&amp;I36</f>
        <v>0PremiumS5</v>
      </c>
      <c r="D36" s="8" t="str">
        <f t="shared" si="3"/>
        <v>0PremiumS5</v>
      </c>
      <c r="E36" s="10">
        <v>0</v>
      </c>
      <c r="F36" s="63">
        <v>598</v>
      </c>
      <c r="G36" s="8" t="str">
        <f>VLOOKUP(F36,[1]characters!$A:$C,3,FALSE)</f>
        <v>焼燃の情熱 ムスペルヘイム</v>
      </c>
      <c r="H36" s="8" t="str">
        <f>VLOOKUP(F36,[1]characters!$A:$J,10,FALSE)</f>
        <v>PremiumS</v>
      </c>
      <c r="I36" s="8">
        <f>VLOOKUP(F36,[1]characters!$A:$I,9,FALSE)</f>
        <v>5</v>
      </c>
      <c r="J36" s="8" t="str">
        <f>VLOOKUP(F36,[1]characters!$A:$H,8,FALSE)</f>
        <v>red</v>
      </c>
      <c r="K36" s="8" t="str">
        <f>VLOOKUP(F36,[1]characters!$A:$K,11,FALSE)</f>
        <v>balance</v>
      </c>
      <c r="L36" s="8" t="str">
        <f>VLOOKUP(F36,[1]characters!$A:$M,13,FALSE)</f>
        <v>human</v>
      </c>
      <c r="M36" s="13">
        <f>VLOOKUP(D36,gacha_307_base!A:B,2,FALSE)</f>
        <v>1678</v>
      </c>
      <c r="N36" s="35">
        <f>IFERROR(VLOOKUP($F36,bug_conf_sheet!$A:$H,3,FALSE),VLOOKUP("other",bug_conf_sheet!$A:$H,3,FALSE))</f>
        <v>1</v>
      </c>
      <c r="O36" s="35">
        <f>IFERROR(VLOOKUP($F36,bug_conf_sheet!$A:$H,4,FALSE),VLOOKUP("other",bug_conf_sheet!$A:$H,4,FALSE))</f>
        <v>0</v>
      </c>
      <c r="P36" s="35">
        <f>IFERROR(VLOOKUP($F36,bug_conf_sheet!$A:$H,5,FALSE),VLOOKUP("other",bug_conf_sheet!$A:$H,5,FALSE))</f>
        <v>0</v>
      </c>
      <c r="Q36" s="35">
        <f>IFERROR(VLOOKUP($F36,bug_conf_sheet!$A:$H,6,FALSE),VLOOKUP("other",bug_conf_sheet!$A:$H,6,FALSE))</f>
        <v>0</v>
      </c>
      <c r="R36" s="35">
        <f>IFERROR(VLOOKUP($F36,bug_conf_sheet!$A:$H,7,FALSE),VLOOKUP("other",bug_conf_sheet!$A:$H,7,FALSE))</f>
        <v>0</v>
      </c>
      <c r="S36" s="35">
        <f>IFERROR(VLOOKUP($F36,bug_conf_sheet!$A:$H,8,FALSE),VLOOKUP("other",bug_conf_sheet!$A:$H,8,FALSE))</f>
        <v>1</v>
      </c>
    </row>
    <row r="37" spans="1:19" ht="21" customHeight="1">
      <c r="A37" s="7" t="str">
        <f t="shared" si="0"/>
        <v>3070605</v>
      </c>
      <c r="B37" s="2" t="str">
        <f t="shared" si="1"/>
        <v>3070</v>
      </c>
      <c r="C37" s="8" t="str">
        <f t="shared" si="4"/>
        <v>0PremiumS4</v>
      </c>
      <c r="D37" s="8" t="str">
        <f t="shared" si="3"/>
        <v>0PremiumS4</v>
      </c>
      <c r="E37" s="10">
        <v>0</v>
      </c>
      <c r="F37" s="63">
        <v>605</v>
      </c>
      <c r="G37" s="8" t="str">
        <f>VLOOKUP(F37,[1]characters!$A:$C,3,FALSE)</f>
        <v>祝福される光耀 バルドル</v>
      </c>
      <c r="H37" s="8" t="str">
        <f>VLOOKUP(F37,[1]characters!$A:$J,10,FALSE)</f>
        <v>PremiumS</v>
      </c>
      <c r="I37" s="8">
        <f>VLOOKUP(F37,[1]characters!$A:$I,9,FALSE)</f>
        <v>4</v>
      </c>
      <c r="J37" s="8" t="str">
        <f>VLOOKUP(F37,[1]characters!$A:$H,8,FALSE)</f>
        <v>yellow</v>
      </c>
      <c r="K37" s="8" t="str">
        <f>VLOOKUP(F37,[1]characters!$A:$K,11,FALSE)</f>
        <v>heal</v>
      </c>
      <c r="L37" s="8" t="str">
        <f>VLOOKUP(F37,[1]characters!$A:$M,13,FALSE)</f>
        <v>god</v>
      </c>
      <c r="M37" s="13">
        <f>VLOOKUP(D37,gacha_307_base!A:B,2,FALSE)</f>
        <v>32217</v>
      </c>
      <c r="N37" s="35">
        <f>IFERROR(VLOOKUP($F37,bug_conf_sheet!$A:$H,3,FALSE),VLOOKUP("other",bug_conf_sheet!$A:$H,3,FALSE))</f>
        <v>1</v>
      </c>
      <c r="O37" s="35">
        <f>IFERROR(VLOOKUP($F37,bug_conf_sheet!$A:$H,4,FALSE),VLOOKUP("other",bug_conf_sheet!$A:$H,4,FALSE))</f>
        <v>0</v>
      </c>
      <c r="P37" s="35">
        <f>IFERROR(VLOOKUP($F37,bug_conf_sheet!$A:$H,5,FALSE),VLOOKUP("other",bug_conf_sheet!$A:$H,5,FALSE))</f>
        <v>0</v>
      </c>
      <c r="Q37" s="35">
        <f>IFERROR(VLOOKUP($F37,bug_conf_sheet!$A:$H,6,FALSE),VLOOKUP("other",bug_conf_sheet!$A:$H,6,FALSE))</f>
        <v>0</v>
      </c>
      <c r="R37" s="35">
        <f>IFERROR(VLOOKUP($F37,bug_conf_sheet!$A:$H,7,FALSE),VLOOKUP("other",bug_conf_sheet!$A:$H,7,FALSE))</f>
        <v>0</v>
      </c>
      <c r="S37" s="35">
        <f>IFERROR(VLOOKUP($F37,bug_conf_sheet!$A:$H,8,FALSE),VLOOKUP("other",bug_conf_sheet!$A:$H,8,FALSE))</f>
        <v>1</v>
      </c>
    </row>
    <row r="38" spans="1:19" ht="21" customHeight="1">
      <c r="A38" s="7" t="str">
        <f t="shared" si="0"/>
        <v>3070606</v>
      </c>
      <c r="B38" s="2" t="str">
        <f t="shared" si="1"/>
        <v>3070</v>
      </c>
      <c r="C38" s="8" t="str">
        <f t="shared" si="4"/>
        <v>0PremiumS5</v>
      </c>
      <c r="D38" s="8" t="str">
        <f t="shared" si="3"/>
        <v>0PremiumS5</v>
      </c>
      <c r="E38" s="10">
        <v>0</v>
      </c>
      <c r="F38" s="63">
        <v>606</v>
      </c>
      <c r="G38" s="8" t="str">
        <f>VLOOKUP(F38,[1]characters!$A:$C,3,FALSE)</f>
        <v>冀望の光芒 バルドル</v>
      </c>
      <c r="H38" s="8" t="str">
        <f>VLOOKUP(F38,[1]characters!$A:$J,10,FALSE)</f>
        <v>PremiumS</v>
      </c>
      <c r="I38" s="8">
        <f>VLOOKUP(F38,[1]characters!$A:$I,9,FALSE)</f>
        <v>5</v>
      </c>
      <c r="J38" s="8" t="str">
        <f>VLOOKUP(F38,[1]characters!$A:$H,8,FALSE)</f>
        <v>yellow</v>
      </c>
      <c r="K38" s="8" t="str">
        <f>VLOOKUP(F38,[1]characters!$A:$K,11,FALSE)</f>
        <v>heal</v>
      </c>
      <c r="L38" s="8" t="str">
        <f>VLOOKUP(F38,[1]characters!$A:$M,13,FALSE)</f>
        <v>god</v>
      </c>
      <c r="M38" s="13">
        <f>VLOOKUP(D38,gacha_307_base!A:B,2,FALSE)</f>
        <v>1678</v>
      </c>
      <c r="N38" s="35">
        <f>IFERROR(VLOOKUP($F38,bug_conf_sheet!$A:$H,3,FALSE),VLOOKUP("other",bug_conf_sheet!$A:$H,3,FALSE))</f>
        <v>1</v>
      </c>
      <c r="O38" s="35">
        <f>IFERROR(VLOOKUP($F38,bug_conf_sheet!$A:$H,4,FALSE),VLOOKUP("other",bug_conf_sheet!$A:$H,4,FALSE))</f>
        <v>0</v>
      </c>
      <c r="P38" s="35">
        <f>IFERROR(VLOOKUP($F38,bug_conf_sheet!$A:$H,5,FALSE),VLOOKUP("other",bug_conf_sheet!$A:$H,5,FALSE))</f>
        <v>0</v>
      </c>
      <c r="Q38" s="35">
        <f>IFERROR(VLOOKUP($F38,bug_conf_sheet!$A:$H,6,FALSE),VLOOKUP("other",bug_conf_sheet!$A:$H,6,FALSE))</f>
        <v>0</v>
      </c>
      <c r="R38" s="35">
        <f>IFERROR(VLOOKUP($F38,bug_conf_sheet!$A:$H,7,FALSE),VLOOKUP("other",bug_conf_sheet!$A:$H,7,FALSE))</f>
        <v>0</v>
      </c>
      <c r="S38" s="35">
        <f>IFERROR(VLOOKUP($F38,bug_conf_sheet!$A:$H,8,FALSE),VLOOKUP("other",bug_conf_sheet!$A:$H,8,FALSE))</f>
        <v>1</v>
      </c>
    </row>
    <row r="39" spans="1:19" ht="21" customHeight="1">
      <c r="A39" s="7" t="str">
        <f t="shared" si="0"/>
        <v>3070660</v>
      </c>
      <c r="B39" s="2" t="str">
        <f t="shared" si="1"/>
        <v>3070</v>
      </c>
      <c r="C39" s="8" t="str">
        <f t="shared" si="4"/>
        <v>0PremiumSS4</v>
      </c>
      <c r="D39" s="8" t="str">
        <f t="shared" si="3"/>
        <v>0PremiumSS4</v>
      </c>
      <c r="E39" s="10">
        <v>0</v>
      </c>
      <c r="F39" s="63">
        <v>660</v>
      </c>
      <c r="G39" s="8" t="str">
        <f>VLOOKUP(F39,[1]characters!$A:$C,3,FALSE)</f>
        <v>烏天狗 フウガ</v>
      </c>
      <c r="H39" s="8" t="str">
        <f>VLOOKUP(F39,[1]characters!$A:$J,10,FALSE)</f>
        <v>PremiumSS</v>
      </c>
      <c r="I39" s="8">
        <f>VLOOKUP(F39,[1]characters!$A:$I,9,FALSE)</f>
        <v>4</v>
      </c>
      <c r="J39" s="8" t="str">
        <f>VLOOKUP(F39,[1]characters!$A:$H,8,FALSE)</f>
        <v>green</v>
      </c>
      <c r="K39" s="8" t="str">
        <f>VLOOKUP(F39,[1]characters!$A:$K,11,FALSE)</f>
        <v>balance</v>
      </c>
      <c r="L39" s="8" t="str">
        <f>VLOOKUP(F39,[1]characters!$A:$M,13,FALSE)</f>
        <v>animal</v>
      </c>
      <c r="M39" s="13">
        <f>VLOOKUP(D39,gacha_307_base!A:B,2,FALSE)</f>
        <v>2486</v>
      </c>
      <c r="N39" s="35">
        <f>IFERROR(VLOOKUP($F39,bug_conf_sheet!$A:$H,3,FALSE),VLOOKUP("other",bug_conf_sheet!$A:$H,3,FALSE))</f>
        <v>1</v>
      </c>
      <c r="O39" s="35">
        <f>IFERROR(VLOOKUP($F39,bug_conf_sheet!$A:$H,4,FALSE),VLOOKUP("other",bug_conf_sheet!$A:$H,4,FALSE))</f>
        <v>0</v>
      </c>
      <c r="P39" s="35">
        <f>IFERROR(VLOOKUP($F39,bug_conf_sheet!$A:$H,5,FALSE),VLOOKUP("other",bug_conf_sheet!$A:$H,5,FALSE))</f>
        <v>0</v>
      </c>
      <c r="Q39" s="35">
        <f>IFERROR(VLOOKUP($F39,bug_conf_sheet!$A:$H,6,FALSE),VLOOKUP("other",bug_conf_sheet!$A:$H,6,FALSE))</f>
        <v>0</v>
      </c>
      <c r="R39" s="35">
        <f>IFERROR(VLOOKUP($F39,bug_conf_sheet!$A:$H,7,FALSE),VLOOKUP("other",bug_conf_sheet!$A:$H,7,FALSE))</f>
        <v>0</v>
      </c>
      <c r="S39" s="35">
        <f>IFERROR(VLOOKUP($F39,bug_conf_sheet!$A:$H,8,FALSE),VLOOKUP("other",bug_conf_sheet!$A:$H,8,FALSE))</f>
        <v>1</v>
      </c>
    </row>
    <row r="40" spans="1:19" ht="21" customHeight="1">
      <c r="A40" s="7" t="str">
        <f t="shared" si="0"/>
        <v>3070661</v>
      </c>
      <c r="B40" s="2" t="str">
        <f t="shared" si="1"/>
        <v>3070</v>
      </c>
      <c r="C40" s="8" t="str">
        <f t="shared" si="4"/>
        <v>0PremiumSS5</v>
      </c>
      <c r="D40" s="8" t="str">
        <f t="shared" si="3"/>
        <v>0PremiumSS5</v>
      </c>
      <c r="E40" s="10">
        <v>0</v>
      </c>
      <c r="F40" s="63">
        <v>661</v>
      </c>
      <c r="G40" s="8" t="str">
        <f>VLOOKUP(F40,[1]characters!$A:$C,3,FALSE)</f>
        <v>疾風の天狗礫 フウガ</v>
      </c>
      <c r="H40" s="8" t="str">
        <f>VLOOKUP(F40,[1]characters!$A:$J,10,FALSE)</f>
        <v>PremiumSS</v>
      </c>
      <c r="I40" s="8">
        <f>VLOOKUP(F40,[1]characters!$A:$I,9,FALSE)</f>
        <v>5</v>
      </c>
      <c r="J40" s="8" t="str">
        <f>VLOOKUP(F40,[1]characters!$A:$H,8,FALSE)</f>
        <v>green</v>
      </c>
      <c r="K40" s="8" t="str">
        <f>VLOOKUP(F40,[1]characters!$A:$K,11,FALSE)</f>
        <v>balance</v>
      </c>
      <c r="L40" s="8" t="str">
        <f>VLOOKUP(F40,[1]characters!$A:$M,13,FALSE)</f>
        <v>animal</v>
      </c>
      <c r="M40" s="13">
        <f>VLOOKUP(D40,gacha_307_base!A:B,2,FALSE)</f>
        <v>129</v>
      </c>
      <c r="N40" s="35">
        <f>IFERROR(VLOOKUP($F40,bug_conf_sheet!$A:$H,3,FALSE),VLOOKUP("other",bug_conf_sheet!$A:$H,3,FALSE))</f>
        <v>1</v>
      </c>
      <c r="O40" s="35">
        <f>IFERROR(VLOOKUP($F40,bug_conf_sheet!$A:$H,4,FALSE),VLOOKUP("other",bug_conf_sheet!$A:$H,4,FALSE))</f>
        <v>0</v>
      </c>
      <c r="P40" s="35">
        <f>IFERROR(VLOOKUP($F40,bug_conf_sheet!$A:$H,5,FALSE),VLOOKUP("other",bug_conf_sheet!$A:$H,5,FALSE))</f>
        <v>0</v>
      </c>
      <c r="Q40" s="35">
        <f>IFERROR(VLOOKUP($F40,bug_conf_sheet!$A:$H,6,FALSE),VLOOKUP("other",bug_conf_sheet!$A:$H,6,FALSE))</f>
        <v>0</v>
      </c>
      <c r="R40" s="35">
        <f>IFERROR(VLOOKUP($F40,bug_conf_sheet!$A:$H,7,FALSE),VLOOKUP("other",bug_conf_sheet!$A:$H,7,FALSE))</f>
        <v>0</v>
      </c>
      <c r="S40" s="35">
        <f>IFERROR(VLOOKUP($F40,bug_conf_sheet!$A:$H,8,FALSE),VLOOKUP("other",bug_conf_sheet!$A:$H,8,FALSE))</f>
        <v>1</v>
      </c>
    </row>
    <row r="41" spans="1:19" ht="21" customHeight="1">
      <c r="A41" s="7" t="str">
        <f t="shared" si="0"/>
        <v>3071132</v>
      </c>
      <c r="B41" s="2" t="str">
        <f t="shared" si="1"/>
        <v>3071</v>
      </c>
      <c r="C41" s="8" t="str">
        <f t="shared" si="4"/>
        <v>1PremiumW3</v>
      </c>
      <c r="D41" s="8" t="str">
        <f t="shared" si="3"/>
        <v>1PremiumW3</v>
      </c>
      <c r="E41" s="10">
        <v>1</v>
      </c>
      <c r="F41" s="63">
        <v>132</v>
      </c>
      <c r="G41" s="8" t="str">
        <f>VLOOKUP(F41,[1]characters!$A:$C,3,FALSE)</f>
        <v>鳥人ハヤト</v>
      </c>
      <c r="H41" s="8" t="str">
        <f>VLOOKUP(F41,[1]characters!$A:$J,10,FALSE)</f>
        <v>PremiumW</v>
      </c>
      <c r="I41" s="8">
        <f>VLOOKUP(F41,[1]characters!$A:$I,9,FALSE)</f>
        <v>3</v>
      </c>
      <c r="J41" s="8" t="str">
        <f>VLOOKUP(F41,[1]characters!$A:$H,8,FALSE)</f>
        <v>yellow</v>
      </c>
      <c r="K41" s="8" t="str">
        <f>VLOOKUP(F41,[1]characters!$A:$K,11,FALSE)</f>
        <v>attack</v>
      </c>
      <c r="L41" s="8" t="str">
        <f>VLOOKUP(F41,[1]characters!$A:$M,13,FALSE)</f>
        <v>human</v>
      </c>
      <c r="M41" s="13">
        <f>VLOOKUP(D41,gacha_307_base!A:B,2,FALSE)</f>
        <v>1309</v>
      </c>
      <c r="N41" s="35">
        <f>IFERROR(VLOOKUP($F41,bug_conf_sheet!$A:$H,3,FALSE),VLOOKUP("other",bug_conf_sheet!$A:$H,3,FALSE))</f>
        <v>1</v>
      </c>
      <c r="O41" s="35">
        <f>IFERROR(VLOOKUP($F41,bug_conf_sheet!$A:$H,4,FALSE),VLOOKUP("other",bug_conf_sheet!$A:$H,4,FALSE))</f>
        <v>0</v>
      </c>
      <c r="P41" s="35">
        <f>IFERROR(VLOOKUP($F41,bug_conf_sheet!$A:$H,5,FALSE),VLOOKUP("other",bug_conf_sheet!$A:$H,5,FALSE))</f>
        <v>0</v>
      </c>
      <c r="Q41" s="35">
        <f>IFERROR(VLOOKUP($F41,bug_conf_sheet!$A:$H,6,FALSE),VLOOKUP("other",bug_conf_sheet!$A:$H,6,FALSE))</f>
        <v>0</v>
      </c>
      <c r="R41" s="35">
        <f>IFERROR(VLOOKUP($F41,bug_conf_sheet!$A:$H,7,FALSE),VLOOKUP("other",bug_conf_sheet!$A:$H,7,FALSE))</f>
        <v>0</v>
      </c>
      <c r="S41" s="35">
        <f>IFERROR(VLOOKUP($F41,bug_conf_sheet!$A:$H,8,FALSE),VLOOKUP("other",bug_conf_sheet!$A:$H,8,FALSE))</f>
        <v>1</v>
      </c>
    </row>
    <row r="42" spans="1:19" ht="21" customHeight="1">
      <c r="A42" s="7" t="str">
        <f t="shared" si="0"/>
        <v>3071133</v>
      </c>
      <c r="B42" s="2" t="str">
        <f t="shared" si="1"/>
        <v>3071</v>
      </c>
      <c r="C42" s="8" t="str">
        <f t="shared" si="4"/>
        <v>1PremiumW4</v>
      </c>
      <c r="D42" s="8" t="str">
        <f t="shared" si="3"/>
        <v>1PremiumW4</v>
      </c>
      <c r="E42" s="10">
        <v>1</v>
      </c>
      <c r="F42" s="63">
        <v>133</v>
      </c>
      <c r="G42" s="8" t="str">
        <f>VLOOKUP(F42,[1]characters!$A:$C,3,FALSE)</f>
        <v>迅雷の刀剣 ハヤト</v>
      </c>
      <c r="H42" s="8" t="str">
        <f>VLOOKUP(F42,[1]characters!$A:$J,10,FALSE)</f>
        <v>PremiumW</v>
      </c>
      <c r="I42" s="8">
        <f>VLOOKUP(F42,[1]characters!$A:$I,9,FALSE)</f>
        <v>4</v>
      </c>
      <c r="J42" s="8" t="str">
        <f>VLOOKUP(F42,[1]characters!$A:$H,8,FALSE)</f>
        <v>yellow</v>
      </c>
      <c r="K42" s="8" t="str">
        <f>VLOOKUP(F42,[1]characters!$A:$K,11,FALSE)</f>
        <v>attack</v>
      </c>
      <c r="L42" s="8" t="str">
        <f>VLOOKUP(F42,[1]characters!$A:$M,13,FALSE)</f>
        <v>human</v>
      </c>
      <c r="M42" s="13">
        <f>VLOOKUP(D42,gacha_307_base!A:B,2,FALSE)</f>
        <v>1309</v>
      </c>
      <c r="N42" s="35">
        <f>IFERROR(VLOOKUP($F42,bug_conf_sheet!$A:$H,3,FALSE),VLOOKUP("other",bug_conf_sheet!$A:$H,3,FALSE))</f>
        <v>1</v>
      </c>
      <c r="O42" s="35">
        <f>IFERROR(VLOOKUP($F42,bug_conf_sheet!$A:$H,4,FALSE),VLOOKUP("other",bug_conf_sheet!$A:$H,4,FALSE))</f>
        <v>0</v>
      </c>
      <c r="P42" s="35">
        <f>IFERROR(VLOOKUP($F42,bug_conf_sheet!$A:$H,5,FALSE),VLOOKUP("other",bug_conf_sheet!$A:$H,5,FALSE))</f>
        <v>0</v>
      </c>
      <c r="Q42" s="35">
        <f>IFERROR(VLOOKUP($F42,bug_conf_sheet!$A:$H,6,FALSE),VLOOKUP("other",bug_conf_sheet!$A:$H,6,FALSE))</f>
        <v>0</v>
      </c>
      <c r="R42" s="35">
        <f>IFERROR(VLOOKUP($F42,bug_conf_sheet!$A:$H,7,FALSE),VLOOKUP("other",bug_conf_sheet!$A:$H,7,FALSE))</f>
        <v>0</v>
      </c>
      <c r="S42" s="35">
        <f>IFERROR(VLOOKUP($F42,bug_conf_sheet!$A:$H,8,FALSE),VLOOKUP("other",bug_conf_sheet!$A:$H,8,FALSE))</f>
        <v>1</v>
      </c>
    </row>
    <row r="43" spans="1:19" ht="21" customHeight="1">
      <c r="A43" s="7" t="str">
        <f t="shared" si="0"/>
        <v>3071166</v>
      </c>
      <c r="B43" s="2" t="str">
        <f t="shared" si="1"/>
        <v>3071</v>
      </c>
      <c r="C43" s="8" t="str">
        <f t="shared" si="4"/>
        <v>1PremiumN3</v>
      </c>
      <c r="D43" s="8" t="str">
        <f t="shared" si="3"/>
        <v>1PremiumN3</v>
      </c>
      <c r="E43" s="10">
        <v>1</v>
      </c>
      <c r="F43" s="63">
        <v>166</v>
      </c>
      <c r="G43" s="8" t="str">
        <f>VLOOKUP(F43,[1]characters!$A:$C,3,FALSE)</f>
        <v>ベリアル</v>
      </c>
      <c r="H43" s="8" t="str">
        <f>VLOOKUP(F43,[1]characters!$A:$J,10,FALSE)</f>
        <v>PremiumN</v>
      </c>
      <c r="I43" s="8">
        <f>VLOOKUP(F43,[1]characters!$A:$I,9,FALSE)</f>
        <v>3</v>
      </c>
      <c r="J43" s="8" t="str">
        <f>VLOOKUP(F43,[1]characters!$A:$H,8,FALSE)</f>
        <v>red</v>
      </c>
      <c r="K43" s="8" t="str">
        <f>VLOOKUP(F43,[1]characters!$A:$K,11,FALSE)</f>
        <v>attack</v>
      </c>
      <c r="L43" s="8" t="str">
        <f>VLOOKUP(F43,[1]characters!$A:$M,13,FALSE)</f>
        <v>god</v>
      </c>
      <c r="M43" s="13">
        <f>VLOOKUP(D43,gacha_307_base!A:B,2,FALSE)</f>
        <v>8835</v>
      </c>
      <c r="N43" s="35">
        <f>IFERROR(VLOOKUP($F43,bug_conf_sheet!$A:$H,3,FALSE),VLOOKUP("other",bug_conf_sheet!$A:$H,3,FALSE))</f>
        <v>1</v>
      </c>
      <c r="O43" s="35">
        <f>IFERROR(VLOOKUP($F43,bug_conf_sheet!$A:$H,4,FALSE),VLOOKUP("other",bug_conf_sheet!$A:$H,4,FALSE))</f>
        <v>0</v>
      </c>
      <c r="P43" s="35">
        <f>IFERROR(VLOOKUP($F43,bug_conf_sheet!$A:$H,5,FALSE),VLOOKUP("other",bug_conf_sheet!$A:$H,5,FALSE))</f>
        <v>0</v>
      </c>
      <c r="Q43" s="35">
        <f>IFERROR(VLOOKUP($F43,bug_conf_sheet!$A:$H,6,FALSE),VLOOKUP("other",bug_conf_sheet!$A:$H,6,FALSE))</f>
        <v>0</v>
      </c>
      <c r="R43" s="35">
        <f>IFERROR(VLOOKUP($F43,bug_conf_sheet!$A:$H,7,FALSE),VLOOKUP("other",bug_conf_sheet!$A:$H,7,FALSE))</f>
        <v>0</v>
      </c>
      <c r="S43" s="35">
        <f>IFERROR(VLOOKUP($F43,bug_conf_sheet!$A:$H,8,FALSE),VLOOKUP("other",bug_conf_sheet!$A:$H,8,FALSE))</f>
        <v>1</v>
      </c>
    </row>
    <row r="44" spans="1:19" ht="21" customHeight="1">
      <c r="A44" s="7" t="str">
        <f t="shared" si="0"/>
        <v>3071167</v>
      </c>
      <c r="B44" s="2" t="str">
        <f t="shared" si="1"/>
        <v>3071</v>
      </c>
      <c r="C44" s="8" t="str">
        <f t="shared" si="4"/>
        <v>1PremiumN4</v>
      </c>
      <c r="D44" s="8" t="str">
        <f t="shared" si="3"/>
        <v>1PremiumN4</v>
      </c>
      <c r="E44" s="10">
        <v>1</v>
      </c>
      <c r="F44" s="63">
        <v>167</v>
      </c>
      <c r="G44" s="8" t="str">
        <f>VLOOKUP(F44,[1]characters!$A:$C,3,FALSE)</f>
        <v>逆徒 ベリアル</v>
      </c>
      <c r="H44" s="8" t="str">
        <f>VLOOKUP(F44,[1]characters!$A:$J,10,FALSE)</f>
        <v>PremiumN</v>
      </c>
      <c r="I44" s="8">
        <f>VLOOKUP(F44,[1]characters!$A:$I,9,FALSE)</f>
        <v>4</v>
      </c>
      <c r="J44" s="8" t="str">
        <f>VLOOKUP(F44,[1]characters!$A:$H,8,FALSE)</f>
        <v>red</v>
      </c>
      <c r="K44" s="8" t="str">
        <f>VLOOKUP(F44,[1]characters!$A:$K,11,FALSE)</f>
        <v>attack</v>
      </c>
      <c r="L44" s="8" t="str">
        <f>VLOOKUP(F44,[1]characters!$A:$M,13,FALSE)</f>
        <v>god</v>
      </c>
      <c r="M44" s="13">
        <f>VLOOKUP(D44,gacha_307_base!A:B,2,FALSE)</f>
        <v>7943</v>
      </c>
      <c r="N44" s="35">
        <f>IFERROR(VLOOKUP($F44,bug_conf_sheet!$A:$H,3,FALSE),VLOOKUP("other",bug_conf_sheet!$A:$H,3,FALSE))</f>
        <v>1</v>
      </c>
      <c r="O44" s="35">
        <f>IFERROR(VLOOKUP($F44,bug_conf_sheet!$A:$H,4,FALSE),VLOOKUP("other",bug_conf_sheet!$A:$H,4,FALSE))</f>
        <v>0</v>
      </c>
      <c r="P44" s="35">
        <f>IFERROR(VLOOKUP($F44,bug_conf_sheet!$A:$H,5,FALSE),VLOOKUP("other",bug_conf_sheet!$A:$H,5,FALSE))</f>
        <v>0</v>
      </c>
      <c r="Q44" s="35">
        <f>IFERROR(VLOOKUP($F44,bug_conf_sheet!$A:$H,6,FALSE),VLOOKUP("other",bug_conf_sheet!$A:$H,6,FALSE))</f>
        <v>0</v>
      </c>
      <c r="R44" s="35">
        <f>IFERROR(VLOOKUP($F44,bug_conf_sheet!$A:$H,7,FALSE),VLOOKUP("other",bug_conf_sheet!$A:$H,7,FALSE))</f>
        <v>0</v>
      </c>
      <c r="S44" s="35">
        <f>IFERROR(VLOOKUP($F44,bug_conf_sheet!$A:$H,8,FALSE),VLOOKUP("other",bug_conf_sheet!$A:$H,8,FALSE))</f>
        <v>1</v>
      </c>
    </row>
    <row r="45" spans="1:19" ht="21" customHeight="1">
      <c r="A45" s="7" t="str">
        <f t="shared" si="0"/>
        <v>3071168</v>
      </c>
      <c r="B45" s="2" t="str">
        <f t="shared" si="1"/>
        <v>3071</v>
      </c>
      <c r="C45" s="8" t="str">
        <f t="shared" si="4"/>
        <v>1PremiumN5</v>
      </c>
      <c r="D45" s="8" t="str">
        <f t="shared" si="3"/>
        <v>1PremiumN5</v>
      </c>
      <c r="E45" s="10">
        <v>1</v>
      </c>
      <c r="F45" s="63">
        <v>168</v>
      </c>
      <c r="G45" s="8" t="str">
        <f>VLOOKUP(F45,[1]characters!$A:$C,3,FALSE)</f>
        <v>猛進の大逆者 ベリアル</v>
      </c>
      <c r="H45" s="8" t="str">
        <f>VLOOKUP(F45,[1]characters!$A:$J,10,FALSE)</f>
        <v>PremiumN</v>
      </c>
      <c r="I45" s="8">
        <f>VLOOKUP(F45,[1]characters!$A:$I,9,FALSE)</f>
        <v>5</v>
      </c>
      <c r="J45" s="8" t="str">
        <f>VLOOKUP(F45,[1]characters!$A:$H,8,FALSE)</f>
        <v>red</v>
      </c>
      <c r="K45" s="8" t="str">
        <f>VLOOKUP(F45,[1]characters!$A:$K,11,FALSE)</f>
        <v>attack</v>
      </c>
      <c r="L45" s="8" t="str">
        <f>VLOOKUP(F45,[1]characters!$A:$M,13,FALSE)</f>
        <v>god</v>
      </c>
      <c r="M45" s="13">
        <f>VLOOKUP(D45,gacha_307_base!A:B,2,FALSE)</f>
        <v>892</v>
      </c>
      <c r="N45" s="35">
        <f>IFERROR(VLOOKUP($F45,bug_conf_sheet!$A:$H,3,FALSE),VLOOKUP("other",bug_conf_sheet!$A:$H,3,FALSE))</f>
        <v>1</v>
      </c>
      <c r="O45" s="35">
        <f>IFERROR(VLOOKUP($F45,bug_conf_sheet!$A:$H,4,FALSE),VLOOKUP("other",bug_conf_sheet!$A:$H,4,FALSE))</f>
        <v>0</v>
      </c>
      <c r="P45" s="35">
        <f>IFERROR(VLOOKUP($F45,bug_conf_sheet!$A:$H,5,FALSE),VLOOKUP("other",bug_conf_sheet!$A:$H,5,FALSE))</f>
        <v>0</v>
      </c>
      <c r="Q45" s="35">
        <f>IFERROR(VLOOKUP($F45,bug_conf_sheet!$A:$H,6,FALSE),VLOOKUP("other",bug_conf_sheet!$A:$H,6,FALSE))</f>
        <v>0</v>
      </c>
      <c r="R45" s="35">
        <f>IFERROR(VLOOKUP($F45,bug_conf_sheet!$A:$H,7,FALSE),VLOOKUP("other",bug_conf_sheet!$A:$H,7,FALSE))</f>
        <v>0</v>
      </c>
      <c r="S45" s="35">
        <f>IFERROR(VLOOKUP($F45,bug_conf_sheet!$A:$H,8,FALSE),VLOOKUP("other",bug_conf_sheet!$A:$H,8,FALSE))</f>
        <v>1</v>
      </c>
    </row>
    <row r="46" spans="1:19" ht="21" customHeight="1">
      <c r="A46" s="7" t="str">
        <f t="shared" si="0"/>
        <v>3071199</v>
      </c>
      <c r="B46" s="2" t="str">
        <f t="shared" si="1"/>
        <v>3071</v>
      </c>
      <c r="C46" s="8" t="str">
        <f t="shared" si="4"/>
        <v>1PremiumN3</v>
      </c>
      <c r="D46" s="8" t="str">
        <f t="shared" si="3"/>
        <v>1PremiumN3</v>
      </c>
      <c r="E46" s="10">
        <v>1</v>
      </c>
      <c r="F46" s="63">
        <v>199</v>
      </c>
      <c r="G46" s="8" t="str">
        <f>VLOOKUP(F46,[1]characters!$A:$C,3,FALSE)</f>
        <v>ジークフリート</v>
      </c>
      <c r="H46" s="8" t="str">
        <f>VLOOKUP(F46,[1]characters!$A:$J,10,FALSE)</f>
        <v>PremiumN</v>
      </c>
      <c r="I46" s="8">
        <f>VLOOKUP(F46,[1]characters!$A:$I,9,FALSE)</f>
        <v>3</v>
      </c>
      <c r="J46" s="8" t="str">
        <f>VLOOKUP(F46,[1]characters!$A:$H,8,FALSE)</f>
        <v>blue</v>
      </c>
      <c r="K46" s="8" t="str">
        <f>VLOOKUP(F46,[1]characters!$A:$K,11,FALSE)</f>
        <v>balance</v>
      </c>
      <c r="L46" s="8" t="str">
        <f>VLOOKUP(F46,[1]characters!$A:$M,13,FALSE)</f>
        <v>human</v>
      </c>
      <c r="M46" s="13">
        <f>VLOOKUP(D46,gacha_307_base!A:B,2,FALSE)</f>
        <v>8835</v>
      </c>
      <c r="N46" s="35">
        <f>IFERROR(VLOOKUP($F46,bug_conf_sheet!$A:$H,3,FALSE),VLOOKUP("other",bug_conf_sheet!$A:$H,3,FALSE))</f>
        <v>1</v>
      </c>
      <c r="O46" s="35">
        <f>IFERROR(VLOOKUP($F46,bug_conf_sheet!$A:$H,4,FALSE),VLOOKUP("other",bug_conf_sheet!$A:$H,4,FALSE))</f>
        <v>0</v>
      </c>
      <c r="P46" s="35">
        <f>IFERROR(VLOOKUP($F46,bug_conf_sheet!$A:$H,5,FALSE),VLOOKUP("other",bug_conf_sheet!$A:$H,5,FALSE))</f>
        <v>0</v>
      </c>
      <c r="Q46" s="35">
        <f>IFERROR(VLOOKUP($F46,bug_conf_sheet!$A:$H,6,FALSE),VLOOKUP("other",bug_conf_sheet!$A:$H,6,FALSE))</f>
        <v>0</v>
      </c>
      <c r="R46" s="35">
        <f>IFERROR(VLOOKUP($F46,bug_conf_sheet!$A:$H,7,FALSE),VLOOKUP("other",bug_conf_sheet!$A:$H,7,FALSE))</f>
        <v>0</v>
      </c>
      <c r="S46" s="35">
        <f>IFERROR(VLOOKUP($F46,bug_conf_sheet!$A:$H,8,FALSE),VLOOKUP("other",bug_conf_sheet!$A:$H,8,FALSE))</f>
        <v>1</v>
      </c>
    </row>
    <row r="47" spans="1:19" ht="21" customHeight="1">
      <c r="A47" s="7" t="str">
        <f t="shared" si="0"/>
        <v>3071200</v>
      </c>
      <c r="B47" s="2" t="str">
        <f t="shared" si="1"/>
        <v>3071</v>
      </c>
      <c r="C47" s="8" t="str">
        <f t="shared" si="4"/>
        <v>1PremiumN4</v>
      </c>
      <c r="D47" s="8" t="str">
        <f t="shared" si="3"/>
        <v>1PremiumN4</v>
      </c>
      <c r="E47" s="10">
        <v>1</v>
      </c>
      <c r="F47" s="63">
        <v>200</v>
      </c>
      <c r="G47" s="8" t="str">
        <f>VLOOKUP(F47,[1]characters!$A:$C,3,FALSE)</f>
        <v>大剣士 ジークフリート</v>
      </c>
      <c r="H47" s="8" t="str">
        <f>VLOOKUP(F47,[1]characters!$A:$J,10,FALSE)</f>
        <v>PremiumN</v>
      </c>
      <c r="I47" s="8">
        <f>VLOOKUP(F47,[1]characters!$A:$I,9,FALSE)</f>
        <v>4</v>
      </c>
      <c r="J47" s="8" t="str">
        <f>VLOOKUP(F47,[1]characters!$A:$H,8,FALSE)</f>
        <v>blue</v>
      </c>
      <c r="K47" s="8" t="str">
        <f>VLOOKUP(F47,[1]characters!$A:$K,11,FALSE)</f>
        <v>balance</v>
      </c>
      <c r="L47" s="8" t="str">
        <f>VLOOKUP(F47,[1]characters!$A:$M,13,FALSE)</f>
        <v>human</v>
      </c>
      <c r="M47" s="13">
        <f>VLOOKUP(D47,gacha_307_base!A:B,2,FALSE)</f>
        <v>7943</v>
      </c>
      <c r="N47" s="35">
        <f>IFERROR(VLOOKUP($F47,bug_conf_sheet!$A:$H,3,FALSE),VLOOKUP("other",bug_conf_sheet!$A:$H,3,FALSE))</f>
        <v>1</v>
      </c>
      <c r="O47" s="35">
        <f>IFERROR(VLOOKUP($F47,bug_conf_sheet!$A:$H,4,FALSE),VLOOKUP("other",bug_conf_sheet!$A:$H,4,FALSE))</f>
        <v>0</v>
      </c>
      <c r="P47" s="35">
        <f>IFERROR(VLOOKUP($F47,bug_conf_sheet!$A:$H,5,FALSE),VLOOKUP("other",bug_conf_sheet!$A:$H,5,FALSE))</f>
        <v>0</v>
      </c>
      <c r="Q47" s="35">
        <f>IFERROR(VLOOKUP($F47,bug_conf_sheet!$A:$H,6,FALSE),VLOOKUP("other",bug_conf_sheet!$A:$H,6,FALSE))</f>
        <v>0</v>
      </c>
      <c r="R47" s="35">
        <f>IFERROR(VLOOKUP($F47,bug_conf_sheet!$A:$H,7,FALSE),VLOOKUP("other",bug_conf_sheet!$A:$H,7,FALSE))</f>
        <v>0</v>
      </c>
      <c r="S47" s="35">
        <f>IFERROR(VLOOKUP($F47,bug_conf_sheet!$A:$H,8,FALSE),VLOOKUP("other",bug_conf_sheet!$A:$H,8,FALSE))</f>
        <v>1</v>
      </c>
    </row>
    <row r="48" spans="1:19" ht="21" customHeight="1">
      <c r="A48" s="7" t="str">
        <f t="shared" si="0"/>
        <v>3071201</v>
      </c>
      <c r="B48" s="2" t="str">
        <f t="shared" si="1"/>
        <v>3071</v>
      </c>
      <c r="C48" s="8" t="str">
        <f t="shared" si="4"/>
        <v>1PremiumN5</v>
      </c>
      <c r="D48" s="8" t="str">
        <f t="shared" si="3"/>
        <v>1PremiumN5</v>
      </c>
      <c r="E48" s="10">
        <v>1</v>
      </c>
      <c r="F48" s="63">
        <v>201</v>
      </c>
      <c r="G48" s="8" t="str">
        <f>VLOOKUP(F48,[1]characters!$A:$C,3,FALSE)</f>
        <v>斬空の大破剣 ジークフリート</v>
      </c>
      <c r="H48" s="8" t="str">
        <f>VLOOKUP(F48,[1]characters!$A:$J,10,FALSE)</f>
        <v>PremiumN</v>
      </c>
      <c r="I48" s="8">
        <f>VLOOKUP(F48,[1]characters!$A:$I,9,FALSE)</f>
        <v>5</v>
      </c>
      <c r="J48" s="8" t="str">
        <f>VLOOKUP(F48,[1]characters!$A:$H,8,FALSE)</f>
        <v>blue</v>
      </c>
      <c r="K48" s="8" t="str">
        <f>VLOOKUP(F48,[1]characters!$A:$K,11,FALSE)</f>
        <v>balance</v>
      </c>
      <c r="L48" s="8" t="str">
        <f>VLOOKUP(F48,[1]characters!$A:$M,13,FALSE)</f>
        <v>human</v>
      </c>
      <c r="M48" s="13">
        <f>VLOOKUP(D48,gacha_307_base!A:B,2,FALSE)</f>
        <v>892</v>
      </c>
      <c r="N48" s="35">
        <f>IFERROR(VLOOKUP($F48,bug_conf_sheet!$A:$H,3,FALSE),VLOOKUP("other",bug_conf_sheet!$A:$H,3,FALSE))</f>
        <v>1</v>
      </c>
      <c r="O48" s="35">
        <f>IFERROR(VLOOKUP($F48,bug_conf_sheet!$A:$H,4,FALSE),VLOOKUP("other",bug_conf_sheet!$A:$H,4,FALSE))</f>
        <v>0</v>
      </c>
      <c r="P48" s="35">
        <f>IFERROR(VLOOKUP($F48,bug_conf_sheet!$A:$H,5,FALSE),VLOOKUP("other",bug_conf_sheet!$A:$H,5,FALSE))</f>
        <v>0</v>
      </c>
      <c r="Q48" s="35">
        <f>IFERROR(VLOOKUP($F48,bug_conf_sheet!$A:$H,6,FALSE),VLOOKUP("other",bug_conf_sheet!$A:$H,6,FALSE))</f>
        <v>0</v>
      </c>
      <c r="R48" s="35">
        <f>IFERROR(VLOOKUP($F48,bug_conf_sheet!$A:$H,7,FALSE),VLOOKUP("other",bug_conf_sheet!$A:$H,7,FALSE))</f>
        <v>0</v>
      </c>
      <c r="S48" s="35">
        <f>IFERROR(VLOOKUP($F48,bug_conf_sheet!$A:$H,8,FALSE),VLOOKUP("other",bug_conf_sheet!$A:$H,8,FALSE))</f>
        <v>1</v>
      </c>
    </row>
    <row r="49" spans="1:19" ht="21" customHeight="1">
      <c r="A49" s="7" t="str">
        <f t="shared" si="0"/>
        <v>3071202</v>
      </c>
      <c r="B49" s="2" t="str">
        <f t="shared" si="1"/>
        <v>3071</v>
      </c>
      <c r="C49" s="8" t="str">
        <f t="shared" si="4"/>
        <v>1PremiumN3</v>
      </c>
      <c r="D49" s="8" t="str">
        <f t="shared" si="3"/>
        <v>1PremiumN3</v>
      </c>
      <c r="E49" s="10">
        <v>1</v>
      </c>
      <c r="F49" s="63">
        <v>202</v>
      </c>
      <c r="G49" s="8" t="str">
        <f>VLOOKUP(F49,[1]characters!$A:$C,3,FALSE)</f>
        <v>プロメテウス</v>
      </c>
      <c r="H49" s="8" t="str">
        <f>VLOOKUP(F49,[1]characters!$A:$J,10,FALSE)</f>
        <v>PremiumN</v>
      </c>
      <c r="I49" s="8">
        <f>VLOOKUP(F49,[1]characters!$A:$I,9,FALSE)</f>
        <v>3</v>
      </c>
      <c r="J49" s="8" t="str">
        <f>VLOOKUP(F49,[1]characters!$A:$H,8,FALSE)</f>
        <v>red</v>
      </c>
      <c r="K49" s="8" t="str">
        <f>VLOOKUP(F49,[1]characters!$A:$K,11,FALSE)</f>
        <v>hp</v>
      </c>
      <c r="L49" s="8" t="str">
        <f>VLOOKUP(F49,[1]characters!$A:$M,13,FALSE)</f>
        <v>god</v>
      </c>
      <c r="M49" s="13">
        <f>VLOOKUP(D49,gacha_307_base!A:B,2,FALSE)</f>
        <v>8835</v>
      </c>
      <c r="N49" s="35">
        <f>IFERROR(VLOOKUP($F49,bug_conf_sheet!$A:$H,3,FALSE),VLOOKUP("other",bug_conf_sheet!$A:$H,3,FALSE))</f>
        <v>1</v>
      </c>
      <c r="O49" s="35">
        <f>IFERROR(VLOOKUP($F49,bug_conf_sheet!$A:$H,4,FALSE),VLOOKUP("other",bug_conf_sheet!$A:$H,4,FALSE))</f>
        <v>0</v>
      </c>
      <c r="P49" s="35">
        <f>IFERROR(VLOOKUP($F49,bug_conf_sheet!$A:$H,5,FALSE),VLOOKUP("other",bug_conf_sheet!$A:$H,5,FALSE))</f>
        <v>0</v>
      </c>
      <c r="Q49" s="35">
        <f>IFERROR(VLOOKUP($F49,bug_conf_sheet!$A:$H,6,FALSE),VLOOKUP("other",bug_conf_sheet!$A:$H,6,FALSE))</f>
        <v>0</v>
      </c>
      <c r="R49" s="35">
        <f>IFERROR(VLOOKUP($F49,bug_conf_sheet!$A:$H,7,FALSE),VLOOKUP("other",bug_conf_sheet!$A:$H,7,FALSE))</f>
        <v>0</v>
      </c>
      <c r="S49" s="35">
        <f>IFERROR(VLOOKUP($F49,bug_conf_sheet!$A:$H,8,FALSE),VLOOKUP("other",bug_conf_sheet!$A:$H,8,FALSE))</f>
        <v>1</v>
      </c>
    </row>
    <row r="50" spans="1:19" ht="21" customHeight="1">
      <c r="A50" s="7" t="str">
        <f t="shared" si="0"/>
        <v>3071203</v>
      </c>
      <c r="B50" s="2" t="str">
        <f t="shared" si="1"/>
        <v>3071</v>
      </c>
      <c r="C50" s="8" t="str">
        <f t="shared" si="4"/>
        <v>1PremiumN4</v>
      </c>
      <c r="D50" s="8" t="str">
        <f t="shared" si="3"/>
        <v>1PremiumN4</v>
      </c>
      <c r="E50" s="10">
        <v>1</v>
      </c>
      <c r="F50" s="63">
        <v>203</v>
      </c>
      <c r="G50" s="8" t="str">
        <f>VLOOKUP(F50,[1]characters!$A:$C,3,FALSE)</f>
        <v>焔神 プロメテウス</v>
      </c>
      <c r="H50" s="8" t="str">
        <f>VLOOKUP(F50,[1]characters!$A:$J,10,FALSE)</f>
        <v>PremiumN</v>
      </c>
      <c r="I50" s="8">
        <f>VLOOKUP(F50,[1]characters!$A:$I,9,FALSE)</f>
        <v>4</v>
      </c>
      <c r="J50" s="8" t="str">
        <f>VLOOKUP(F50,[1]characters!$A:$H,8,FALSE)</f>
        <v>red</v>
      </c>
      <c r="K50" s="8" t="str">
        <f>VLOOKUP(F50,[1]characters!$A:$K,11,FALSE)</f>
        <v>hp</v>
      </c>
      <c r="L50" s="8" t="str">
        <f>VLOOKUP(F50,[1]characters!$A:$M,13,FALSE)</f>
        <v>god</v>
      </c>
      <c r="M50" s="13">
        <f>VLOOKUP(D50,gacha_307_base!A:B,2,FALSE)</f>
        <v>7943</v>
      </c>
      <c r="N50" s="35">
        <f>IFERROR(VLOOKUP($F50,bug_conf_sheet!$A:$H,3,FALSE),VLOOKUP("other",bug_conf_sheet!$A:$H,3,FALSE))</f>
        <v>1</v>
      </c>
      <c r="O50" s="35">
        <f>IFERROR(VLOOKUP($F50,bug_conf_sheet!$A:$H,4,FALSE),VLOOKUP("other",bug_conf_sheet!$A:$H,4,FALSE))</f>
        <v>0</v>
      </c>
      <c r="P50" s="35">
        <f>IFERROR(VLOOKUP($F50,bug_conf_sheet!$A:$H,5,FALSE),VLOOKUP("other",bug_conf_sheet!$A:$H,5,FALSE))</f>
        <v>0</v>
      </c>
      <c r="Q50" s="35">
        <f>IFERROR(VLOOKUP($F50,bug_conf_sheet!$A:$H,6,FALSE),VLOOKUP("other",bug_conf_sheet!$A:$H,6,FALSE))</f>
        <v>0</v>
      </c>
      <c r="R50" s="35">
        <f>IFERROR(VLOOKUP($F50,bug_conf_sheet!$A:$H,7,FALSE),VLOOKUP("other",bug_conf_sheet!$A:$H,7,FALSE))</f>
        <v>0</v>
      </c>
      <c r="S50" s="35">
        <f>IFERROR(VLOOKUP($F50,bug_conf_sheet!$A:$H,8,FALSE),VLOOKUP("other",bug_conf_sheet!$A:$H,8,FALSE))</f>
        <v>1</v>
      </c>
    </row>
    <row r="51" spans="1:19" ht="21" customHeight="1">
      <c r="A51" s="7" t="str">
        <f t="shared" si="0"/>
        <v>3071204</v>
      </c>
      <c r="B51" s="2" t="str">
        <f t="shared" si="1"/>
        <v>3071</v>
      </c>
      <c r="C51" s="8" t="str">
        <f t="shared" si="4"/>
        <v>1PremiumN5</v>
      </c>
      <c r="D51" s="8" t="str">
        <f t="shared" si="3"/>
        <v>1PremiumN5</v>
      </c>
      <c r="E51" s="10">
        <v>1</v>
      </c>
      <c r="F51" s="63">
        <v>204</v>
      </c>
      <c r="G51" s="8" t="str">
        <f>VLOOKUP(F51,[1]characters!$A:$C,3,FALSE)</f>
        <v>慟哭の巨焔 プロメテウス</v>
      </c>
      <c r="H51" s="8" t="str">
        <f>VLOOKUP(F51,[1]characters!$A:$J,10,FALSE)</f>
        <v>PremiumN</v>
      </c>
      <c r="I51" s="8">
        <f>VLOOKUP(F51,[1]characters!$A:$I,9,FALSE)</f>
        <v>5</v>
      </c>
      <c r="J51" s="8" t="str">
        <f>VLOOKUP(F51,[1]characters!$A:$H,8,FALSE)</f>
        <v>red</v>
      </c>
      <c r="K51" s="8" t="str">
        <f>VLOOKUP(F51,[1]characters!$A:$K,11,FALSE)</f>
        <v>hp</v>
      </c>
      <c r="L51" s="8" t="str">
        <f>VLOOKUP(F51,[1]characters!$A:$M,13,FALSE)</f>
        <v>god</v>
      </c>
      <c r="M51" s="13">
        <f>VLOOKUP(D51,gacha_307_base!A:B,2,FALSE)</f>
        <v>892</v>
      </c>
      <c r="N51" s="35">
        <f>IFERROR(VLOOKUP($F51,bug_conf_sheet!$A:$H,3,FALSE),VLOOKUP("other",bug_conf_sheet!$A:$H,3,FALSE))</f>
        <v>1</v>
      </c>
      <c r="O51" s="35">
        <f>IFERROR(VLOOKUP($F51,bug_conf_sheet!$A:$H,4,FALSE),VLOOKUP("other",bug_conf_sheet!$A:$H,4,FALSE))</f>
        <v>0</v>
      </c>
      <c r="P51" s="35">
        <f>IFERROR(VLOOKUP($F51,bug_conf_sheet!$A:$H,5,FALSE),VLOOKUP("other",bug_conf_sheet!$A:$H,5,FALSE))</f>
        <v>0</v>
      </c>
      <c r="Q51" s="35">
        <f>IFERROR(VLOOKUP($F51,bug_conf_sheet!$A:$H,6,FALSE),VLOOKUP("other",bug_conf_sheet!$A:$H,6,FALSE))</f>
        <v>0</v>
      </c>
      <c r="R51" s="35">
        <f>IFERROR(VLOOKUP($F51,bug_conf_sheet!$A:$H,7,FALSE),VLOOKUP("other",bug_conf_sheet!$A:$H,7,FALSE))</f>
        <v>0</v>
      </c>
      <c r="S51" s="35">
        <f>IFERROR(VLOOKUP($F51,bug_conf_sheet!$A:$H,8,FALSE),VLOOKUP("other",bug_conf_sheet!$A:$H,8,FALSE))</f>
        <v>1</v>
      </c>
    </row>
    <row r="52" spans="1:19" ht="21" customHeight="1">
      <c r="A52" s="7" t="str">
        <f t="shared" si="0"/>
        <v>3071223</v>
      </c>
      <c r="B52" s="2" t="str">
        <f t="shared" si="1"/>
        <v>3071</v>
      </c>
      <c r="C52" s="8" t="str">
        <f t="shared" si="4"/>
        <v>1PremiumN3</v>
      </c>
      <c r="D52" s="8" t="str">
        <f t="shared" si="3"/>
        <v>1PremiumN3</v>
      </c>
      <c r="E52" s="10">
        <v>1</v>
      </c>
      <c r="F52" s="63">
        <v>223</v>
      </c>
      <c r="G52" s="8" t="str">
        <f>VLOOKUP(F52,[1]characters!$A:$C,3,FALSE)</f>
        <v>ヘラクレス</v>
      </c>
      <c r="H52" s="8" t="str">
        <f>VLOOKUP(F52,[1]characters!$A:$J,10,FALSE)</f>
        <v>PremiumN</v>
      </c>
      <c r="I52" s="8">
        <f>VLOOKUP(F52,[1]characters!$A:$I,9,FALSE)</f>
        <v>3</v>
      </c>
      <c r="J52" s="8" t="str">
        <f>VLOOKUP(F52,[1]characters!$A:$H,8,FALSE)</f>
        <v>yellow</v>
      </c>
      <c r="K52" s="8" t="str">
        <f>VLOOKUP(F52,[1]characters!$A:$K,11,FALSE)</f>
        <v>balance</v>
      </c>
      <c r="L52" s="8" t="str">
        <f>VLOOKUP(F52,[1]characters!$A:$M,13,FALSE)</f>
        <v>human</v>
      </c>
      <c r="M52" s="13">
        <f>VLOOKUP(D52,gacha_307_base!A:B,2,FALSE)</f>
        <v>8835</v>
      </c>
      <c r="N52" s="35">
        <f>IFERROR(VLOOKUP($F52,bug_conf_sheet!$A:$H,3,FALSE),VLOOKUP("other",bug_conf_sheet!$A:$H,3,FALSE))</f>
        <v>1</v>
      </c>
      <c r="O52" s="35">
        <f>IFERROR(VLOOKUP($F52,bug_conf_sheet!$A:$H,4,FALSE),VLOOKUP("other",bug_conf_sheet!$A:$H,4,FALSE))</f>
        <v>0</v>
      </c>
      <c r="P52" s="35">
        <f>IFERROR(VLOOKUP($F52,bug_conf_sheet!$A:$H,5,FALSE),VLOOKUP("other",bug_conf_sheet!$A:$H,5,FALSE))</f>
        <v>0</v>
      </c>
      <c r="Q52" s="35">
        <f>IFERROR(VLOOKUP($F52,bug_conf_sheet!$A:$H,6,FALSE),VLOOKUP("other",bug_conf_sheet!$A:$H,6,FALSE))</f>
        <v>0</v>
      </c>
      <c r="R52" s="35">
        <f>IFERROR(VLOOKUP($F52,bug_conf_sheet!$A:$H,7,FALSE),VLOOKUP("other",bug_conf_sheet!$A:$H,7,FALSE))</f>
        <v>0</v>
      </c>
      <c r="S52" s="35">
        <f>IFERROR(VLOOKUP($F52,bug_conf_sheet!$A:$H,8,FALSE),VLOOKUP("other",bug_conf_sheet!$A:$H,8,FALSE))</f>
        <v>1</v>
      </c>
    </row>
    <row r="53" spans="1:19" ht="21" customHeight="1">
      <c r="A53" s="7" t="str">
        <f t="shared" si="0"/>
        <v>3071224</v>
      </c>
      <c r="B53" s="2" t="str">
        <f t="shared" si="1"/>
        <v>3071</v>
      </c>
      <c r="C53" s="8" t="str">
        <f t="shared" si="4"/>
        <v>1PremiumN4</v>
      </c>
      <c r="D53" s="8" t="str">
        <f t="shared" si="3"/>
        <v>1PremiumN4</v>
      </c>
      <c r="E53" s="10">
        <v>1</v>
      </c>
      <c r="F53" s="63">
        <v>224</v>
      </c>
      <c r="G53" s="8" t="str">
        <f>VLOOKUP(F53,[1]characters!$A:$C,3,FALSE)</f>
        <v>巨腕 ヘラクレス</v>
      </c>
      <c r="H53" s="8" t="str">
        <f>VLOOKUP(F53,[1]characters!$A:$J,10,FALSE)</f>
        <v>PremiumN</v>
      </c>
      <c r="I53" s="8">
        <f>VLOOKUP(F53,[1]characters!$A:$I,9,FALSE)</f>
        <v>4</v>
      </c>
      <c r="J53" s="8" t="str">
        <f>VLOOKUP(F53,[1]characters!$A:$H,8,FALSE)</f>
        <v>yellow</v>
      </c>
      <c r="K53" s="8" t="str">
        <f>VLOOKUP(F53,[1]characters!$A:$K,11,FALSE)</f>
        <v>balance</v>
      </c>
      <c r="L53" s="8" t="str">
        <f>VLOOKUP(F53,[1]characters!$A:$M,13,FALSE)</f>
        <v>human</v>
      </c>
      <c r="M53" s="13">
        <f>VLOOKUP(D53,gacha_307_base!A:B,2,FALSE)</f>
        <v>7943</v>
      </c>
      <c r="N53" s="35">
        <f>IFERROR(VLOOKUP($F53,bug_conf_sheet!$A:$H,3,FALSE),VLOOKUP("other",bug_conf_sheet!$A:$H,3,FALSE))</f>
        <v>1</v>
      </c>
      <c r="O53" s="35">
        <f>IFERROR(VLOOKUP($F53,bug_conf_sheet!$A:$H,4,FALSE),VLOOKUP("other",bug_conf_sheet!$A:$H,4,FALSE))</f>
        <v>0</v>
      </c>
      <c r="P53" s="35">
        <f>IFERROR(VLOOKUP($F53,bug_conf_sheet!$A:$H,5,FALSE),VLOOKUP("other",bug_conf_sheet!$A:$H,5,FALSE))</f>
        <v>0</v>
      </c>
      <c r="Q53" s="35">
        <f>IFERROR(VLOOKUP($F53,bug_conf_sheet!$A:$H,6,FALSE),VLOOKUP("other",bug_conf_sheet!$A:$H,6,FALSE))</f>
        <v>0</v>
      </c>
      <c r="R53" s="35">
        <f>IFERROR(VLOOKUP($F53,bug_conf_sheet!$A:$H,7,FALSE),VLOOKUP("other",bug_conf_sheet!$A:$H,7,FALSE))</f>
        <v>0</v>
      </c>
      <c r="S53" s="35">
        <f>IFERROR(VLOOKUP($F53,bug_conf_sheet!$A:$H,8,FALSE),VLOOKUP("other",bug_conf_sheet!$A:$H,8,FALSE))</f>
        <v>1</v>
      </c>
    </row>
    <row r="54" spans="1:19" ht="21" customHeight="1">
      <c r="A54" s="7" t="str">
        <f t="shared" si="0"/>
        <v>3071225</v>
      </c>
      <c r="B54" s="2" t="str">
        <f t="shared" si="1"/>
        <v>3071</v>
      </c>
      <c r="C54" s="8" t="str">
        <f t="shared" si="4"/>
        <v>1PremiumN5</v>
      </c>
      <c r="D54" s="8" t="str">
        <f t="shared" si="3"/>
        <v>1PremiumN5</v>
      </c>
      <c r="E54" s="10">
        <v>1</v>
      </c>
      <c r="F54" s="63">
        <v>225</v>
      </c>
      <c r="G54" s="8" t="str">
        <f>VLOOKUP(F54,[1]characters!$A:$C,3,FALSE)</f>
        <v>咆哮の巨獅腕 ヘラクレス</v>
      </c>
      <c r="H54" s="8" t="str">
        <f>VLOOKUP(F54,[1]characters!$A:$J,10,FALSE)</f>
        <v>PremiumN</v>
      </c>
      <c r="I54" s="8">
        <f>VLOOKUP(F54,[1]characters!$A:$I,9,FALSE)</f>
        <v>5</v>
      </c>
      <c r="J54" s="8" t="str">
        <f>VLOOKUP(F54,[1]characters!$A:$H,8,FALSE)</f>
        <v>yellow</v>
      </c>
      <c r="K54" s="8" t="str">
        <f>VLOOKUP(F54,[1]characters!$A:$K,11,FALSE)</f>
        <v>balance</v>
      </c>
      <c r="L54" s="8" t="str">
        <f>VLOOKUP(F54,[1]characters!$A:$M,13,FALSE)</f>
        <v>human</v>
      </c>
      <c r="M54" s="13">
        <f>VLOOKUP(D54,gacha_307_base!A:B,2,FALSE)</f>
        <v>892</v>
      </c>
      <c r="N54" s="35">
        <f>IFERROR(VLOOKUP($F54,bug_conf_sheet!$A:$H,3,FALSE),VLOOKUP("other",bug_conf_sheet!$A:$H,3,FALSE))</f>
        <v>1</v>
      </c>
      <c r="O54" s="35">
        <f>IFERROR(VLOOKUP($F54,bug_conf_sheet!$A:$H,4,FALSE),VLOOKUP("other",bug_conf_sheet!$A:$H,4,FALSE))</f>
        <v>0</v>
      </c>
      <c r="P54" s="35">
        <f>IFERROR(VLOOKUP($F54,bug_conf_sheet!$A:$H,5,FALSE),VLOOKUP("other",bug_conf_sheet!$A:$H,5,FALSE))</f>
        <v>0</v>
      </c>
      <c r="Q54" s="35">
        <f>IFERROR(VLOOKUP($F54,bug_conf_sheet!$A:$H,6,FALSE),VLOOKUP("other",bug_conf_sheet!$A:$H,6,FALSE))</f>
        <v>0</v>
      </c>
      <c r="R54" s="35">
        <f>IFERROR(VLOOKUP($F54,bug_conf_sheet!$A:$H,7,FALSE),VLOOKUP("other",bug_conf_sheet!$A:$H,7,FALSE))</f>
        <v>0</v>
      </c>
      <c r="S54" s="35">
        <f>IFERROR(VLOOKUP($F54,bug_conf_sheet!$A:$H,8,FALSE),VLOOKUP("other",bug_conf_sheet!$A:$H,8,FALSE))</f>
        <v>1</v>
      </c>
    </row>
    <row r="55" spans="1:19" ht="21" customHeight="1">
      <c r="A55" s="7" t="str">
        <f t="shared" si="0"/>
        <v>3071226</v>
      </c>
      <c r="B55" s="2" t="str">
        <f t="shared" si="1"/>
        <v>3071</v>
      </c>
      <c r="C55" s="8" t="str">
        <f t="shared" si="4"/>
        <v>1PremiumS3</v>
      </c>
      <c r="D55" s="8" t="str">
        <f t="shared" si="3"/>
        <v>1PremiumS3</v>
      </c>
      <c r="E55" s="10">
        <v>1</v>
      </c>
      <c r="F55" s="63">
        <v>226</v>
      </c>
      <c r="G55" s="8" t="str">
        <f>VLOOKUP(F55,[1]characters!$A:$C,3,FALSE)</f>
        <v>アレス</v>
      </c>
      <c r="H55" s="8" t="str">
        <f>VLOOKUP(F55,[1]characters!$A:$J,10,FALSE)</f>
        <v>PremiumS</v>
      </c>
      <c r="I55" s="8">
        <f>VLOOKUP(F55,[1]characters!$A:$I,9,FALSE)</f>
        <v>3</v>
      </c>
      <c r="J55" s="8" t="str">
        <f>VLOOKUP(F55,[1]characters!$A:$H,8,FALSE)</f>
        <v>red</v>
      </c>
      <c r="K55" s="8" t="str">
        <f>VLOOKUP(F55,[1]characters!$A:$K,11,FALSE)</f>
        <v>attack</v>
      </c>
      <c r="L55" s="8" t="str">
        <f>VLOOKUP(F55,[1]characters!$A:$M,13,FALSE)</f>
        <v>god</v>
      </c>
      <c r="M55" s="13">
        <f>VLOOKUP(D55,gacha_307_base!A:B,2,FALSE)</f>
        <v>16741</v>
      </c>
      <c r="N55" s="35">
        <f>IFERROR(VLOOKUP($F55,bug_conf_sheet!$A:$H,3,FALSE),VLOOKUP("other",bug_conf_sheet!$A:$H,3,FALSE))</f>
        <v>1</v>
      </c>
      <c r="O55" s="35">
        <f>IFERROR(VLOOKUP($F55,bug_conf_sheet!$A:$H,4,FALSE),VLOOKUP("other",bug_conf_sheet!$A:$H,4,FALSE))</f>
        <v>0</v>
      </c>
      <c r="P55" s="35">
        <f>IFERROR(VLOOKUP($F55,bug_conf_sheet!$A:$H,5,FALSE),VLOOKUP("other",bug_conf_sheet!$A:$H,5,FALSE))</f>
        <v>0</v>
      </c>
      <c r="Q55" s="35">
        <f>IFERROR(VLOOKUP($F55,bug_conf_sheet!$A:$H,6,FALSE),VLOOKUP("other",bug_conf_sheet!$A:$H,6,FALSE))</f>
        <v>0</v>
      </c>
      <c r="R55" s="35">
        <f>IFERROR(VLOOKUP($F55,bug_conf_sheet!$A:$H,7,FALSE),VLOOKUP("other",bug_conf_sheet!$A:$H,7,FALSE))</f>
        <v>0</v>
      </c>
      <c r="S55" s="35">
        <f>IFERROR(VLOOKUP($F55,bug_conf_sheet!$A:$H,8,FALSE),VLOOKUP("other",bug_conf_sheet!$A:$H,8,FALSE))</f>
        <v>1</v>
      </c>
    </row>
    <row r="56" spans="1:19" ht="21" customHeight="1">
      <c r="A56" s="7" t="str">
        <f t="shared" si="0"/>
        <v>3071227</v>
      </c>
      <c r="B56" s="2" t="str">
        <f t="shared" si="1"/>
        <v>3071</v>
      </c>
      <c r="C56" s="8" t="str">
        <f t="shared" si="4"/>
        <v>1PremiumS4</v>
      </c>
      <c r="D56" s="8" t="str">
        <f t="shared" si="3"/>
        <v>1PremiumS4</v>
      </c>
      <c r="E56" s="10">
        <v>1</v>
      </c>
      <c r="F56" s="63">
        <v>227</v>
      </c>
      <c r="G56" s="8" t="str">
        <f>VLOOKUP(F56,[1]characters!$A:$C,3,FALSE)</f>
        <v>滅弾 アレス</v>
      </c>
      <c r="H56" s="8" t="str">
        <f>VLOOKUP(F56,[1]characters!$A:$J,10,FALSE)</f>
        <v>PremiumS</v>
      </c>
      <c r="I56" s="8">
        <f>VLOOKUP(F56,[1]characters!$A:$I,9,FALSE)</f>
        <v>4</v>
      </c>
      <c r="J56" s="8" t="str">
        <f>VLOOKUP(F56,[1]characters!$A:$H,8,FALSE)</f>
        <v>red</v>
      </c>
      <c r="K56" s="8" t="str">
        <f>VLOOKUP(F56,[1]characters!$A:$K,11,FALSE)</f>
        <v>attack</v>
      </c>
      <c r="L56" s="8" t="str">
        <f>VLOOKUP(F56,[1]characters!$A:$M,13,FALSE)</f>
        <v>god</v>
      </c>
      <c r="M56" s="13">
        <f>VLOOKUP(D56,gacha_307_base!A:B,2,FALSE)</f>
        <v>15050</v>
      </c>
      <c r="N56" s="35">
        <f>IFERROR(VLOOKUP($F56,bug_conf_sheet!$A:$H,3,FALSE),VLOOKUP("other",bug_conf_sheet!$A:$H,3,FALSE))</f>
        <v>1</v>
      </c>
      <c r="O56" s="35">
        <f>IFERROR(VLOOKUP($F56,bug_conf_sheet!$A:$H,4,FALSE),VLOOKUP("other",bug_conf_sheet!$A:$H,4,FALSE))</f>
        <v>0</v>
      </c>
      <c r="P56" s="35">
        <f>IFERROR(VLOOKUP($F56,bug_conf_sheet!$A:$H,5,FALSE),VLOOKUP("other",bug_conf_sheet!$A:$H,5,FALSE))</f>
        <v>0</v>
      </c>
      <c r="Q56" s="35">
        <f>IFERROR(VLOOKUP($F56,bug_conf_sheet!$A:$H,6,FALSE),VLOOKUP("other",bug_conf_sheet!$A:$H,6,FALSE))</f>
        <v>0</v>
      </c>
      <c r="R56" s="35">
        <f>IFERROR(VLOOKUP($F56,bug_conf_sheet!$A:$H,7,FALSE),VLOOKUP("other",bug_conf_sheet!$A:$H,7,FALSE))</f>
        <v>0</v>
      </c>
      <c r="S56" s="35">
        <f>IFERROR(VLOOKUP($F56,bug_conf_sheet!$A:$H,8,FALSE),VLOOKUP("other",bug_conf_sheet!$A:$H,8,FALSE))</f>
        <v>1</v>
      </c>
    </row>
    <row r="57" spans="1:19" ht="21" customHeight="1">
      <c r="A57" s="7" t="str">
        <f t="shared" si="0"/>
        <v>3071228</v>
      </c>
      <c r="B57" s="2" t="str">
        <f t="shared" si="1"/>
        <v>3071</v>
      </c>
      <c r="C57" s="8" t="str">
        <f t="shared" si="4"/>
        <v>1PremiumS5</v>
      </c>
      <c r="D57" s="8" t="str">
        <f t="shared" si="3"/>
        <v>1PremiumS5</v>
      </c>
      <c r="E57" s="10">
        <v>1</v>
      </c>
      <c r="F57" s="63">
        <v>228</v>
      </c>
      <c r="G57" s="8" t="str">
        <f>VLOOKUP(F57,[1]characters!$A:$C,3,FALSE)</f>
        <v>殲滅の掃射砲 アレス</v>
      </c>
      <c r="H57" s="8" t="str">
        <f>VLOOKUP(F57,[1]characters!$A:$J,10,FALSE)</f>
        <v>PremiumS</v>
      </c>
      <c r="I57" s="8">
        <f>VLOOKUP(F57,[1]characters!$A:$I,9,FALSE)</f>
        <v>5</v>
      </c>
      <c r="J57" s="8" t="str">
        <f>VLOOKUP(F57,[1]characters!$A:$H,8,FALSE)</f>
        <v>red</v>
      </c>
      <c r="K57" s="8" t="str">
        <f>VLOOKUP(F57,[1]characters!$A:$K,11,FALSE)</f>
        <v>attack</v>
      </c>
      <c r="L57" s="8" t="str">
        <f>VLOOKUP(F57,[1]characters!$A:$M,13,FALSE)</f>
        <v>god</v>
      </c>
      <c r="M57" s="13">
        <f>VLOOKUP(D57,gacha_307_base!A:B,2,FALSE)</f>
        <v>1691</v>
      </c>
      <c r="N57" s="35">
        <f>IFERROR(VLOOKUP($F57,bug_conf_sheet!$A:$H,3,FALSE),VLOOKUP("other",bug_conf_sheet!$A:$H,3,FALSE))</f>
        <v>1</v>
      </c>
      <c r="O57" s="35">
        <f>IFERROR(VLOOKUP($F57,bug_conf_sheet!$A:$H,4,FALSE),VLOOKUP("other",bug_conf_sheet!$A:$H,4,FALSE))</f>
        <v>0</v>
      </c>
      <c r="P57" s="35">
        <f>IFERROR(VLOOKUP($F57,bug_conf_sheet!$A:$H,5,FALSE),VLOOKUP("other",bug_conf_sheet!$A:$H,5,FALSE))</f>
        <v>0</v>
      </c>
      <c r="Q57" s="35">
        <f>IFERROR(VLOOKUP($F57,bug_conf_sheet!$A:$H,6,FALSE),VLOOKUP("other",bug_conf_sheet!$A:$H,6,FALSE))</f>
        <v>0</v>
      </c>
      <c r="R57" s="35">
        <f>IFERROR(VLOOKUP($F57,bug_conf_sheet!$A:$H,7,FALSE),VLOOKUP("other",bug_conf_sheet!$A:$H,7,FALSE))</f>
        <v>0</v>
      </c>
      <c r="S57" s="35">
        <f>IFERROR(VLOOKUP($F57,bug_conf_sheet!$A:$H,8,FALSE),VLOOKUP("other",bug_conf_sheet!$A:$H,8,FALSE))</f>
        <v>1</v>
      </c>
    </row>
    <row r="58" spans="1:19" ht="21" customHeight="1">
      <c r="A58" s="7" t="str">
        <f t="shared" si="0"/>
        <v>3071320</v>
      </c>
      <c r="B58" s="2" t="str">
        <f t="shared" si="1"/>
        <v>3071</v>
      </c>
      <c r="C58" s="8" t="str">
        <f t="shared" si="4"/>
        <v>1PremiumSS4</v>
      </c>
      <c r="D58" s="8" t="str">
        <f t="shared" si="3"/>
        <v>1PremiumSS4</v>
      </c>
      <c r="E58" s="10">
        <v>1</v>
      </c>
      <c r="F58" s="63">
        <v>320</v>
      </c>
      <c r="G58" s="8" t="str">
        <f>VLOOKUP(F58,[1]characters!$A:$C,3,FALSE)</f>
        <v>烈志士 近藤勇</v>
      </c>
      <c r="H58" s="8" t="str">
        <f>VLOOKUP(F58,[1]characters!$A:$J,10,FALSE)</f>
        <v>PremiumSS</v>
      </c>
      <c r="I58" s="8">
        <f>VLOOKUP(F58,[1]characters!$A:$I,9,FALSE)</f>
        <v>4</v>
      </c>
      <c r="J58" s="8" t="str">
        <f>VLOOKUP(F58,[1]characters!$A:$H,8,FALSE)</f>
        <v>red</v>
      </c>
      <c r="K58" s="8" t="str">
        <f>VLOOKUP(F58,[1]characters!$A:$K,11,FALSE)</f>
        <v>hp</v>
      </c>
      <c r="L58" s="8" t="str">
        <f>VLOOKUP(F58,[1]characters!$A:$M,13,FALSE)</f>
        <v>human</v>
      </c>
      <c r="M58" s="13">
        <f>VLOOKUP(D58,gacha_307_base!A:B,2,FALSE)</f>
        <v>2483</v>
      </c>
      <c r="N58" s="35">
        <f>IFERROR(VLOOKUP($F58,bug_conf_sheet!$A:$H,3,FALSE),VLOOKUP("other",bug_conf_sheet!$A:$H,3,FALSE))</f>
        <v>1</v>
      </c>
      <c r="O58" s="35">
        <f>IFERROR(VLOOKUP($F58,bug_conf_sheet!$A:$H,4,FALSE),VLOOKUP("other",bug_conf_sheet!$A:$H,4,FALSE))</f>
        <v>0</v>
      </c>
      <c r="P58" s="35">
        <f>IFERROR(VLOOKUP($F58,bug_conf_sheet!$A:$H,5,FALSE),VLOOKUP("other",bug_conf_sheet!$A:$H,5,FALSE))</f>
        <v>0</v>
      </c>
      <c r="Q58" s="35">
        <f>IFERROR(VLOOKUP($F58,bug_conf_sheet!$A:$H,6,FALSE),VLOOKUP("other",bug_conf_sheet!$A:$H,6,FALSE))</f>
        <v>0</v>
      </c>
      <c r="R58" s="35">
        <f>IFERROR(VLOOKUP($F58,bug_conf_sheet!$A:$H,7,FALSE),VLOOKUP("other",bug_conf_sheet!$A:$H,7,FALSE))</f>
        <v>0</v>
      </c>
      <c r="S58" s="35">
        <f>IFERROR(VLOOKUP($F58,bug_conf_sheet!$A:$H,8,FALSE),VLOOKUP("other",bug_conf_sheet!$A:$H,8,FALSE))</f>
        <v>1</v>
      </c>
    </row>
    <row r="59" spans="1:19" ht="21" customHeight="1">
      <c r="A59" s="7" t="str">
        <f t="shared" si="0"/>
        <v>3071321</v>
      </c>
      <c r="B59" s="2" t="str">
        <f t="shared" si="1"/>
        <v>3071</v>
      </c>
      <c r="C59" s="8" t="str">
        <f t="shared" si="4"/>
        <v>1PremiumSS5</v>
      </c>
      <c r="D59" s="8" t="str">
        <f t="shared" si="3"/>
        <v>1PremiumSS5</v>
      </c>
      <c r="E59" s="10">
        <v>1</v>
      </c>
      <c r="F59" s="63">
        <v>321</v>
      </c>
      <c r="G59" s="8" t="str">
        <f>VLOOKUP(F59,[1]characters!$A:$C,3,FALSE)</f>
        <v>巌鉄の烈志士 近藤勇</v>
      </c>
      <c r="H59" s="8" t="str">
        <f>VLOOKUP(F59,[1]characters!$A:$J,10,FALSE)</f>
        <v>PremiumSS</v>
      </c>
      <c r="I59" s="8">
        <f>VLOOKUP(F59,[1]characters!$A:$I,9,FALSE)</f>
        <v>5</v>
      </c>
      <c r="J59" s="8" t="str">
        <f>VLOOKUP(F59,[1]characters!$A:$H,8,FALSE)</f>
        <v>red</v>
      </c>
      <c r="K59" s="8" t="str">
        <f>VLOOKUP(F59,[1]characters!$A:$K,11,FALSE)</f>
        <v>hp</v>
      </c>
      <c r="L59" s="8" t="str">
        <f>VLOOKUP(F59,[1]characters!$A:$M,13,FALSE)</f>
        <v>human</v>
      </c>
      <c r="M59" s="13">
        <f>VLOOKUP(D59,gacha_307_base!A:B,2,FALSE)</f>
        <v>132</v>
      </c>
      <c r="N59" s="35">
        <f>IFERROR(VLOOKUP($F59,bug_conf_sheet!$A:$H,3,FALSE),VLOOKUP("other",bug_conf_sheet!$A:$H,3,FALSE))</f>
        <v>1</v>
      </c>
      <c r="O59" s="35">
        <f>IFERROR(VLOOKUP($F59,bug_conf_sheet!$A:$H,4,FALSE),VLOOKUP("other",bug_conf_sheet!$A:$H,4,FALSE))</f>
        <v>0</v>
      </c>
      <c r="P59" s="35">
        <f>IFERROR(VLOOKUP($F59,bug_conf_sheet!$A:$H,5,FALSE),VLOOKUP("other",bug_conf_sheet!$A:$H,5,FALSE))</f>
        <v>0</v>
      </c>
      <c r="Q59" s="35">
        <f>IFERROR(VLOOKUP($F59,bug_conf_sheet!$A:$H,6,FALSE),VLOOKUP("other",bug_conf_sheet!$A:$H,6,FALSE))</f>
        <v>0</v>
      </c>
      <c r="R59" s="35">
        <f>IFERROR(VLOOKUP($F59,bug_conf_sheet!$A:$H,7,FALSE),VLOOKUP("other",bug_conf_sheet!$A:$H,7,FALSE))</f>
        <v>0</v>
      </c>
      <c r="S59" s="35">
        <f>IFERROR(VLOOKUP($F59,bug_conf_sheet!$A:$H,8,FALSE),VLOOKUP("other",bug_conf_sheet!$A:$H,8,FALSE))</f>
        <v>1</v>
      </c>
    </row>
    <row r="60" spans="1:19" ht="21" customHeight="1">
      <c r="A60" s="7" t="str">
        <f t="shared" si="0"/>
        <v>3071392</v>
      </c>
      <c r="B60" s="2" t="str">
        <f t="shared" si="1"/>
        <v>3071</v>
      </c>
      <c r="C60" s="8" t="str">
        <f t="shared" si="4"/>
        <v>1PremiumS3</v>
      </c>
      <c r="D60" s="8" t="str">
        <f t="shared" si="3"/>
        <v>1PremiumS3</v>
      </c>
      <c r="E60" s="10">
        <v>1</v>
      </c>
      <c r="F60" s="63">
        <v>392</v>
      </c>
      <c r="G60" s="8" t="str">
        <f>VLOOKUP(F60,[1]characters!$A:$C,3,FALSE)</f>
        <v>ピーターパン</v>
      </c>
      <c r="H60" s="8" t="str">
        <f>VLOOKUP(F60,[1]characters!$A:$J,10,FALSE)</f>
        <v>PremiumS</v>
      </c>
      <c r="I60" s="8">
        <f>VLOOKUP(F60,[1]characters!$A:$I,9,FALSE)</f>
        <v>3</v>
      </c>
      <c r="J60" s="8" t="str">
        <f>VLOOKUP(F60,[1]characters!$A:$H,8,FALSE)</f>
        <v>green</v>
      </c>
      <c r="K60" s="8" t="str">
        <f>VLOOKUP(F60,[1]characters!$A:$K,11,FALSE)</f>
        <v>attack</v>
      </c>
      <c r="L60" s="8" t="str">
        <f>VLOOKUP(F60,[1]characters!$A:$M,13,FALSE)</f>
        <v>human</v>
      </c>
      <c r="M60" s="13">
        <f>VLOOKUP(D60,gacha_307_base!A:B,2,FALSE)</f>
        <v>16741</v>
      </c>
      <c r="N60" s="35">
        <f>IFERROR(VLOOKUP($F60,bug_conf_sheet!$A:$H,3,FALSE),VLOOKUP("other",bug_conf_sheet!$A:$H,3,FALSE))</f>
        <v>1</v>
      </c>
      <c r="O60" s="35">
        <f>IFERROR(VLOOKUP($F60,bug_conf_sheet!$A:$H,4,FALSE),VLOOKUP("other",bug_conf_sheet!$A:$H,4,FALSE))</f>
        <v>0</v>
      </c>
      <c r="P60" s="35">
        <f>IFERROR(VLOOKUP($F60,bug_conf_sheet!$A:$H,5,FALSE),VLOOKUP("other",bug_conf_sheet!$A:$H,5,FALSE))</f>
        <v>0</v>
      </c>
      <c r="Q60" s="35">
        <f>IFERROR(VLOOKUP($F60,bug_conf_sheet!$A:$H,6,FALSE),VLOOKUP("other",bug_conf_sheet!$A:$H,6,FALSE))</f>
        <v>0</v>
      </c>
      <c r="R60" s="35">
        <f>IFERROR(VLOOKUP($F60,bug_conf_sheet!$A:$H,7,FALSE),VLOOKUP("other",bug_conf_sheet!$A:$H,7,FALSE))</f>
        <v>0</v>
      </c>
      <c r="S60" s="35">
        <f>IFERROR(VLOOKUP($F60,bug_conf_sheet!$A:$H,8,FALSE),VLOOKUP("other",bug_conf_sheet!$A:$H,8,FALSE))</f>
        <v>1</v>
      </c>
    </row>
    <row r="61" spans="1:19" ht="21" customHeight="1">
      <c r="A61" s="7" t="str">
        <f t="shared" si="0"/>
        <v>3071393</v>
      </c>
      <c r="B61" s="2" t="str">
        <f t="shared" si="1"/>
        <v>3071</v>
      </c>
      <c r="C61" s="8" t="str">
        <f t="shared" si="4"/>
        <v>1PremiumS4</v>
      </c>
      <c r="D61" s="8" t="str">
        <f t="shared" si="3"/>
        <v>1PremiumS4</v>
      </c>
      <c r="E61" s="10">
        <v>1</v>
      </c>
      <c r="F61" s="63">
        <v>393</v>
      </c>
      <c r="G61" s="8" t="str">
        <f>VLOOKUP(F61,[1]characters!$A:$C,3,FALSE)</f>
        <v>影縫い ピーターパン</v>
      </c>
      <c r="H61" s="8" t="str">
        <f>VLOOKUP(F61,[1]characters!$A:$J,10,FALSE)</f>
        <v>PremiumS</v>
      </c>
      <c r="I61" s="8">
        <f>VLOOKUP(F61,[1]characters!$A:$I,9,FALSE)</f>
        <v>4</v>
      </c>
      <c r="J61" s="8" t="str">
        <f>VLOOKUP(F61,[1]characters!$A:$H,8,FALSE)</f>
        <v>green</v>
      </c>
      <c r="K61" s="8" t="str">
        <f>VLOOKUP(F61,[1]characters!$A:$K,11,FALSE)</f>
        <v>attack</v>
      </c>
      <c r="L61" s="8" t="str">
        <f>VLOOKUP(F61,[1]characters!$A:$M,13,FALSE)</f>
        <v>human</v>
      </c>
      <c r="M61" s="13">
        <f>VLOOKUP(D61,gacha_307_base!A:B,2,FALSE)</f>
        <v>15050</v>
      </c>
      <c r="N61" s="35">
        <f>IFERROR(VLOOKUP($F61,bug_conf_sheet!$A:$H,3,FALSE),VLOOKUP("other",bug_conf_sheet!$A:$H,3,FALSE))</f>
        <v>1</v>
      </c>
      <c r="O61" s="35">
        <f>IFERROR(VLOOKUP($F61,bug_conf_sheet!$A:$H,4,FALSE),VLOOKUP("other",bug_conf_sheet!$A:$H,4,FALSE))</f>
        <v>0</v>
      </c>
      <c r="P61" s="35">
        <f>IFERROR(VLOOKUP($F61,bug_conf_sheet!$A:$H,5,FALSE),VLOOKUP("other",bug_conf_sheet!$A:$H,5,FALSE))</f>
        <v>0</v>
      </c>
      <c r="Q61" s="35">
        <f>IFERROR(VLOOKUP($F61,bug_conf_sheet!$A:$H,6,FALSE),VLOOKUP("other",bug_conf_sheet!$A:$H,6,FALSE))</f>
        <v>0</v>
      </c>
      <c r="R61" s="35">
        <f>IFERROR(VLOOKUP($F61,bug_conf_sheet!$A:$H,7,FALSE),VLOOKUP("other",bug_conf_sheet!$A:$H,7,FALSE))</f>
        <v>0</v>
      </c>
      <c r="S61" s="35">
        <f>IFERROR(VLOOKUP($F61,bug_conf_sheet!$A:$H,8,FALSE),VLOOKUP("other",bug_conf_sheet!$A:$H,8,FALSE))</f>
        <v>1</v>
      </c>
    </row>
    <row r="62" spans="1:19" ht="21" customHeight="1">
      <c r="A62" s="7" t="str">
        <f t="shared" ref="A62:A93" si="5">B62&amp;F62</f>
        <v>3071394</v>
      </c>
      <c r="B62" s="2" t="str">
        <f t="shared" si="1"/>
        <v>3071</v>
      </c>
      <c r="C62" s="8" t="str">
        <f t="shared" si="4"/>
        <v>1PremiumS5</v>
      </c>
      <c r="D62" s="8" t="str">
        <f t="shared" si="3"/>
        <v>1PremiumS5</v>
      </c>
      <c r="E62" s="10">
        <v>1</v>
      </c>
      <c r="F62" s="63">
        <v>394</v>
      </c>
      <c r="G62" s="8" t="str">
        <f>VLOOKUP(F62,[1]characters!$A:$C,3,FALSE)</f>
        <v>影求の悪童 ピーターパン</v>
      </c>
      <c r="H62" s="8" t="str">
        <f>VLOOKUP(F62,[1]characters!$A:$J,10,FALSE)</f>
        <v>PremiumS</v>
      </c>
      <c r="I62" s="8">
        <f>VLOOKUP(F62,[1]characters!$A:$I,9,FALSE)</f>
        <v>5</v>
      </c>
      <c r="J62" s="8" t="str">
        <f>VLOOKUP(F62,[1]characters!$A:$H,8,FALSE)</f>
        <v>green</v>
      </c>
      <c r="K62" s="8" t="str">
        <f>VLOOKUP(F62,[1]characters!$A:$K,11,FALSE)</f>
        <v>attack</v>
      </c>
      <c r="L62" s="8" t="str">
        <f>VLOOKUP(F62,[1]characters!$A:$M,13,FALSE)</f>
        <v>human</v>
      </c>
      <c r="M62" s="13">
        <f>VLOOKUP(D62,gacha_307_base!A:B,2,FALSE)</f>
        <v>1691</v>
      </c>
      <c r="N62" s="35">
        <f>IFERROR(VLOOKUP($F62,bug_conf_sheet!$A:$H,3,FALSE),VLOOKUP("other",bug_conf_sheet!$A:$H,3,FALSE))</f>
        <v>1</v>
      </c>
      <c r="O62" s="35">
        <f>IFERROR(VLOOKUP($F62,bug_conf_sheet!$A:$H,4,FALSE),VLOOKUP("other",bug_conf_sheet!$A:$H,4,FALSE))</f>
        <v>0</v>
      </c>
      <c r="P62" s="35">
        <f>IFERROR(VLOOKUP($F62,bug_conf_sheet!$A:$H,5,FALSE),VLOOKUP("other",bug_conf_sheet!$A:$H,5,FALSE))</f>
        <v>0</v>
      </c>
      <c r="Q62" s="35">
        <f>IFERROR(VLOOKUP($F62,bug_conf_sheet!$A:$H,6,FALSE),VLOOKUP("other",bug_conf_sheet!$A:$H,6,FALSE))</f>
        <v>0</v>
      </c>
      <c r="R62" s="35">
        <f>IFERROR(VLOOKUP($F62,bug_conf_sheet!$A:$H,7,FALSE),VLOOKUP("other",bug_conf_sheet!$A:$H,7,FALSE))</f>
        <v>0</v>
      </c>
      <c r="S62" s="35">
        <f>IFERROR(VLOOKUP($F62,bug_conf_sheet!$A:$H,8,FALSE),VLOOKUP("other",bug_conf_sheet!$A:$H,8,FALSE))</f>
        <v>1</v>
      </c>
    </row>
    <row r="63" spans="1:19" ht="21" customHeight="1">
      <c r="A63" s="7" t="str">
        <f t="shared" si="5"/>
        <v>3071408</v>
      </c>
      <c r="B63" s="2" t="str">
        <f t="shared" si="1"/>
        <v>3071</v>
      </c>
      <c r="C63" s="8" t="str">
        <f t="shared" si="4"/>
        <v>1PremiumSS4</v>
      </c>
      <c r="D63" s="8" t="str">
        <f t="shared" ref="D63:D93" si="6">E63&amp;H63&amp;I63</f>
        <v>1PremiumSS4</v>
      </c>
      <c r="E63" s="10">
        <v>1</v>
      </c>
      <c r="F63" s="63">
        <v>408</v>
      </c>
      <c r="G63" s="8" t="str">
        <f>VLOOKUP(F63,[1]characters!$A:$C,3,FALSE)</f>
        <v>皇魔 アスタロト</v>
      </c>
      <c r="H63" s="8" t="str">
        <f>VLOOKUP(F63,[1]characters!$A:$J,10,FALSE)</f>
        <v>PremiumSS</v>
      </c>
      <c r="I63" s="8">
        <f>VLOOKUP(F63,[1]characters!$A:$I,9,FALSE)</f>
        <v>4</v>
      </c>
      <c r="J63" s="8" t="str">
        <f>VLOOKUP(F63,[1]characters!$A:$H,8,FALSE)</f>
        <v>yellow</v>
      </c>
      <c r="K63" s="8" t="str">
        <f>VLOOKUP(F63,[1]characters!$A:$K,11,FALSE)</f>
        <v>attack</v>
      </c>
      <c r="L63" s="8" t="str">
        <f>VLOOKUP(F63,[1]characters!$A:$M,13,FALSE)</f>
        <v>god</v>
      </c>
      <c r="M63" s="13">
        <f>VLOOKUP(D63,gacha_307_base!A:B,2,FALSE)</f>
        <v>2483</v>
      </c>
      <c r="N63" s="35">
        <f>IFERROR(VLOOKUP($F63,bug_conf_sheet!$A:$H,3,FALSE),VLOOKUP("other",bug_conf_sheet!$A:$H,3,FALSE))</f>
        <v>1</v>
      </c>
      <c r="O63" s="35">
        <f>IFERROR(VLOOKUP($F63,bug_conf_sheet!$A:$H,4,FALSE),VLOOKUP("other",bug_conf_sheet!$A:$H,4,FALSE))</f>
        <v>0</v>
      </c>
      <c r="P63" s="35">
        <f>IFERROR(VLOOKUP($F63,bug_conf_sheet!$A:$H,5,FALSE),VLOOKUP("other",bug_conf_sheet!$A:$H,5,FALSE))</f>
        <v>0</v>
      </c>
      <c r="Q63" s="35">
        <f>IFERROR(VLOOKUP($F63,bug_conf_sheet!$A:$H,6,FALSE),VLOOKUP("other",bug_conf_sheet!$A:$H,6,FALSE))</f>
        <v>0</v>
      </c>
      <c r="R63" s="35">
        <f>IFERROR(VLOOKUP($F63,bug_conf_sheet!$A:$H,7,FALSE),VLOOKUP("other",bug_conf_sheet!$A:$H,7,FALSE))</f>
        <v>0</v>
      </c>
      <c r="S63" s="35">
        <f>IFERROR(VLOOKUP($F63,bug_conf_sheet!$A:$H,8,FALSE),VLOOKUP("other",bug_conf_sheet!$A:$H,8,FALSE))</f>
        <v>1</v>
      </c>
    </row>
    <row r="64" spans="1:19" ht="21" customHeight="1">
      <c r="A64" s="7" t="str">
        <f t="shared" si="5"/>
        <v>3071409</v>
      </c>
      <c r="B64" s="2" t="str">
        <f t="shared" ref="B64:B93" si="7">307&amp;E64</f>
        <v>3071</v>
      </c>
      <c r="C64" s="8" t="str">
        <f t="shared" si="4"/>
        <v>1PremiumSS5</v>
      </c>
      <c r="D64" s="8" t="str">
        <f t="shared" si="6"/>
        <v>1PremiumSS5</v>
      </c>
      <c r="E64" s="10">
        <v>1</v>
      </c>
      <c r="F64" s="63">
        <v>409</v>
      </c>
      <c r="G64" s="8" t="str">
        <f>VLOOKUP(F64,[1]characters!$A:$C,3,FALSE)</f>
        <v>天眼の皇貴魔 アスタロト</v>
      </c>
      <c r="H64" s="8" t="str">
        <f>VLOOKUP(F64,[1]characters!$A:$J,10,FALSE)</f>
        <v>PremiumSS</v>
      </c>
      <c r="I64" s="8">
        <f>VLOOKUP(F64,[1]characters!$A:$I,9,FALSE)</f>
        <v>5</v>
      </c>
      <c r="J64" s="8" t="str">
        <f>VLOOKUP(F64,[1]characters!$A:$H,8,FALSE)</f>
        <v>yellow</v>
      </c>
      <c r="K64" s="8" t="str">
        <f>VLOOKUP(F64,[1]characters!$A:$K,11,FALSE)</f>
        <v>attack</v>
      </c>
      <c r="L64" s="8" t="str">
        <f>VLOOKUP(F64,[1]characters!$A:$M,13,FALSE)</f>
        <v>god</v>
      </c>
      <c r="M64" s="13">
        <f>VLOOKUP(D64,gacha_307_base!A:B,2,FALSE)</f>
        <v>132</v>
      </c>
      <c r="N64" s="35">
        <f>IFERROR(VLOOKUP($F64,bug_conf_sheet!$A:$H,3,FALSE),VLOOKUP("other",bug_conf_sheet!$A:$H,3,FALSE))</f>
        <v>1</v>
      </c>
      <c r="O64" s="35">
        <f>IFERROR(VLOOKUP($F64,bug_conf_sheet!$A:$H,4,FALSE),VLOOKUP("other",bug_conf_sheet!$A:$H,4,FALSE))</f>
        <v>0</v>
      </c>
      <c r="P64" s="35">
        <f>IFERROR(VLOOKUP($F64,bug_conf_sheet!$A:$H,5,FALSE),VLOOKUP("other",bug_conf_sheet!$A:$H,5,FALSE))</f>
        <v>0</v>
      </c>
      <c r="Q64" s="35">
        <f>IFERROR(VLOOKUP($F64,bug_conf_sheet!$A:$H,6,FALSE),VLOOKUP("other",bug_conf_sheet!$A:$H,6,FALSE))</f>
        <v>0</v>
      </c>
      <c r="R64" s="35">
        <f>IFERROR(VLOOKUP($F64,bug_conf_sheet!$A:$H,7,FALSE),VLOOKUP("other",bug_conf_sheet!$A:$H,7,FALSE))</f>
        <v>0</v>
      </c>
      <c r="S64" s="35">
        <f>IFERROR(VLOOKUP($F64,bug_conf_sheet!$A:$H,8,FALSE),VLOOKUP("other",bug_conf_sheet!$A:$H,8,FALSE))</f>
        <v>1</v>
      </c>
    </row>
    <row r="65" spans="1:19" ht="21" customHeight="1">
      <c r="A65" s="7" t="str">
        <f t="shared" si="5"/>
        <v>3071436</v>
      </c>
      <c r="B65" s="2" t="str">
        <f t="shared" si="7"/>
        <v>3071</v>
      </c>
      <c r="C65" s="8" t="str">
        <f t="shared" si="4"/>
        <v>1PremiumS3</v>
      </c>
      <c r="D65" s="8" t="str">
        <f t="shared" si="6"/>
        <v>1PremiumS3</v>
      </c>
      <c r="E65" s="10">
        <v>1</v>
      </c>
      <c r="F65" s="63">
        <v>436</v>
      </c>
      <c r="G65" s="8" t="str">
        <f>VLOOKUP(F65,[1]characters!$A:$C,3,FALSE)</f>
        <v>カカシ</v>
      </c>
      <c r="H65" s="8" t="str">
        <f>VLOOKUP(F65,[1]characters!$A:$J,10,FALSE)</f>
        <v>PremiumS</v>
      </c>
      <c r="I65" s="8">
        <f>VLOOKUP(F65,[1]characters!$A:$I,9,FALSE)</f>
        <v>3</v>
      </c>
      <c r="J65" s="8" t="str">
        <f>VLOOKUP(F65,[1]characters!$A:$H,8,FALSE)</f>
        <v>green</v>
      </c>
      <c r="K65" s="8" t="str">
        <f>VLOOKUP(F65,[1]characters!$A:$K,11,FALSE)</f>
        <v>technical</v>
      </c>
      <c r="L65" s="8" t="str">
        <f>VLOOKUP(F65,[1]characters!$A:$M,13,FALSE)</f>
        <v>human</v>
      </c>
      <c r="M65" s="13">
        <f>VLOOKUP(D65,gacha_307_base!A:B,2,FALSE)</f>
        <v>16741</v>
      </c>
      <c r="N65" s="35">
        <f>IFERROR(VLOOKUP($F65,bug_conf_sheet!$A:$H,3,FALSE),VLOOKUP("other",bug_conf_sheet!$A:$H,3,FALSE))</f>
        <v>1</v>
      </c>
      <c r="O65" s="35">
        <f>IFERROR(VLOOKUP($F65,bug_conf_sheet!$A:$H,4,FALSE),VLOOKUP("other",bug_conf_sheet!$A:$H,4,FALSE))</f>
        <v>0</v>
      </c>
      <c r="P65" s="35">
        <f>IFERROR(VLOOKUP($F65,bug_conf_sheet!$A:$H,5,FALSE),VLOOKUP("other",bug_conf_sheet!$A:$H,5,FALSE))</f>
        <v>0</v>
      </c>
      <c r="Q65" s="35">
        <f>IFERROR(VLOOKUP($F65,bug_conf_sheet!$A:$H,6,FALSE),VLOOKUP("other",bug_conf_sheet!$A:$H,6,FALSE))</f>
        <v>0</v>
      </c>
      <c r="R65" s="35">
        <f>IFERROR(VLOOKUP($F65,bug_conf_sheet!$A:$H,7,FALSE),VLOOKUP("other",bug_conf_sheet!$A:$H,7,FALSE))</f>
        <v>0</v>
      </c>
      <c r="S65" s="35">
        <f>IFERROR(VLOOKUP($F65,bug_conf_sheet!$A:$H,8,FALSE),VLOOKUP("other",bug_conf_sheet!$A:$H,8,FALSE))</f>
        <v>1</v>
      </c>
    </row>
    <row r="66" spans="1:19" ht="21" customHeight="1">
      <c r="A66" s="7" t="str">
        <f t="shared" si="5"/>
        <v>3071437</v>
      </c>
      <c r="B66" s="2" t="str">
        <f t="shared" si="7"/>
        <v>3071</v>
      </c>
      <c r="C66" s="8" t="str">
        <f t="shared" si="4"/>
        <v>1PremiumS4</v>
      </c>
      <c r="D66" s="8" t="str">
        <f t="shared" si="6"/>
        <v>1PremiumS4</v>
      </c>
      <c r="E66" s="10">
        <v>1</v>
      </c>
      <c r="F66" s="63">
        <v>437</v>
      </c>
      <c r="G66" s="8" t="str">
        <f>VLOOKUP(F66,[1]characters!$A:$C,3,FALSE)</f>
        <v>忘却者 カカシ</v>
      </c>
      <c r="H66" s="8" t="str">
        <f>VLOOKUP(F66,[1]characters!$A:$J,10,FALSE)</f>
        <v>PremiumS</v>
      </c>
      <c r="I66" s="8">
        <f>VLOOKUP(F66,[1]characters!$A:$I,9,FALSE)</f>
        <v>4</v>
      </c>
      <c r="J66" s="8" t="str">
        <f>VLOOKUP(F66,[1]characters!$A:$H,8,FALSE)</f>
        <v>green</v>
      </c>
      <c r="K66" s="8" t="str">
        <f>VLOOKUP(F66,[1]characters!$A:$K,11,FALSE)</f>
        <v>technical</v>
      </c>
      <c r="L66" s="8" t="str">
        <f>VLOOKUP(F66,[1]characters!$A:$M,13,FALSE)</f>
        <v>human</v>
      </c>
      <c r="M66" s="13">
        <f>VLOOKUP(D66,gacha_307_base!A:B,2,FALSE)</f>
        <v>15050</v>
      </c>
      <c r="N66" s="35">
        <f>IFERROR(VLOOKUP($F66,bug_conf_sheet!$A:$H,3,FALSE),VLOOKUP("other",bug_conf_sheet!$A:$H,3,FALSE))</f>
        <v>1</v>
      </c>
      <c r="O66" s="35">
        <f>IFERROR(VLOOKUP($F66,bug_conf_sheet!$A:$H,4,FALSE),VLOOKUP("other",bug_conf_sheet!$A:$H,4,FALSE))</f>
        <v>0</v>
      </c>
      <c r="P66" s="35">
        <f>IFERROR(VLOOKUP($F66,bug_conf_sheet!$A:$H,5,FALSE),VLOOKUP("other",bug_conf_sheet!$A:$H,5,FALSE))</f>
        <v>0</v>
      </c>
      <c r="Q66" s="35">
        <f>IFERROR(VLOOKUP($F66,bug_conf_sheet!$A:$H,6,FALSE),VLOOKUP("other",bug_conf_sheet!$A:$H,6,FALSE))</f>
        <v>0</v>
      </c>
      <c r="R66" s="35">
        <f>IFERROR(VLOOKUP($F66,bug_conf_sheet!$A:$H,7,FALSE),VLOOKUP("other",bug_conf_sheet!$A:$H,7,FALSE))</f>
        <v>0</v>
      </c>
      <c r="S66" s="35">
        <f>IFERROR(VLOOKUP($F66,bug_conf_sheet!$A:$H,8,FALSE),VLOOKUP("other",bug_conf_sheet!$A:$H,8,FALSE))</f>
        <v>1</v>
      </c>
    </row>
    <row r="67" spans="1:19" ht="21" customHeight="1">
      <c r="A67" s="7" t="str">
        <f t="shared" si="5"/>
        <v>3071438</v>
      </c>
      <c r="B67" s="2" t="str">
        <f t="shared" si="7"/>
        <v>3071</v>
      </c>
      <c r="C67" s="8" t="str">
        <f t="shared" si="4"/>
        <v>1PremiumS5</v>
      </c>
      <c r="D67" s="8" t="str">
        <f t="shared" si="6"/>
        <v>1PremiumS5</v>
      </c>
      <c r="E67" s="10">
        <v>1</v>
      </c>
      <c r="F67" s="63">
        <v>438</v>
      </c>
      <c r="G67" s="8" t="str">
        <f>VLOOKUP(F67,[1]characters!$A:$C,3,FALSE)</f>
        <v>記憶の奪還 カカシ</v>
      </c>
      <c r="H67" s="8" t="str">
        <f>VLOOKUP(F67,[1]characters!$A:$J,10,FALSE)</f>
        <v>PremiumS</v>
      </c>
      <c r="I67" s="8">
        <f>VLOOKUP(F67,[1]characters!$A:$I,9,FALSE)</f>
        <v>5</v>
      </c>
      <c r="J67" s="8" t="str">
        <f>VLOOKUP(F67,[1]characters!$A:$H,8,FALSE)</f>
        <v>green</v>
      </c>
      <c r="K67" s="8" t="str">
        <f>VLOOKUP(F67,[1]characters!$A:$K,11,FALSE)</f>
        <v>technical</v>
      </c>
      <c r="L67" s="8" t="str">
        <f>VLOOKUP(F67,[1]characters!$A:$M,13,FALSE)</f>
        <v>human</v>
      </c>
      <c r="M67" s="13">
        <f>VLOOKUP(D67,gacha_307_base!A:B,2,FALSE)</f>
        <v>1691</v>
      </c>
      <c r="N67" s="35">
        <f>IFERROR(VLOOKUP($F67,bug_conf_sheet!$A:$H,3,FALSE),VLOOKUP("other",bug_conf_sheet!$A:$H,3,FALSE))</f>
        <v>1</v>
      </c>
      <c r="O67" s="35">
        <f>IFERROR(VLOOKUP($F67,bug_conf_sheet!$A:$H,4,FALSE),VLOOKUP("other",bug_conf_sheet!$A:$H,4,FALSE))</f>
        <v>0</v>
      </c>
      <c r="P67" s="35">
        <f>IFERROR(VLOOKUP($F67,bug_conf_sheet!$A:$H,5,FALSE),VLOOKUP("other",bug_conf_sheet!$A:$H,5,FALSE))</f>
        <v>0</v>
      </c>
      <c r="Q67" s="35">
        <f>IFERROR(VLOOKUP($F67,bug_conf_sheet!$A:$H,6,FALSE),VLOOKUP("other",bug_conf_sheet!$A:$H,6,FALSE))</f>
        <v>0</v>
      </c>
      <c r="R67" s="35">
        <f>IFERROR(VLOOKUP($F67,bug_conf_sheet!$A:$H,7,FALSE),VLOOKUP("other",bug_conf_sheet!$A:$H,7,FALSE))</f>
        <v>0</v>
      </c>
      <c r="S67" s="35">
        <f>IFERROR(VLOOKUP($F67,bug_conf_sheet!$A:$H,8,FALSE),VLOOKUP("other",bug_conf_sheet!$A:$H,8,FALSE))</f>
        <v>1</v>
      </c>
    </row>
    <row r="68" spans="1:19" ht="21" customHeight="1">
      <c r="A68" s="7" t="str">
        <f t="shared" si="5"/>
        <v>3071462</v>
      </c>
      <c r="B68" s="2" t="str">
        <f t="shared" si="7"/>
        <v>3071</v>
      </c>
      <c r="C68" s="8" t="str">
        <f t="shared" si="4"/>
        <v>1PremiumS3</v>
      </c>
      <c r="D68" s="8" t="str">
        <f t="shared" si="6"/>
        <v>1PremiumS3</v>
      </c>
      <c r="E68" s="10">
        <v>1</v>
      </c>
      <c r="F68" s="63">
        <v>462</v>
      </c>
      <c r="G68" s="8" t="str">
        <f>VLOOKUP(F68,[1]characters!$A:$C,3,FALSE)</f>
        <v>ガウェイン</v>
      </c>
      <c r="H68" s="8" t="str">
        <f>VLOOKUP(F68,[1]characters!$A:$J,10,FALSE)</f>
        <v>PremiumS</v>
      </c>
      <c r="I68" s="8">
        <f>VLOOKUP(F68,[1]characters!$A:$I,9,FALSE)</f>
        <v>3</v>
      </c>
      <c r="J68" s="8" t="str">
        <f>VLOOKUP(F68,[1]characters!$A:$H,8,FALSE)</f>
        <v>red</v>
      </c>
      <c r="K68" s="8" t="str">
        <f>VLOOKUP(F68,[1]characters!$A:$K,11,FALSE)</f>
        <v>hp</v>
      </c>
      <c r="L68" s="8" t="str">
        <f>VLOOKUP(F68,[1]characters!$A:$M,13,FALSE)</f>
        <v>human</v>
      </c>
      <c r="M68" s="13">
        <f>VLOOKUP(D68,gacha_307_base!A:B,2,FALSE)</f>
        <v>16741</v>
      </c>
      <c r="N68" s="35">
        <f>IFERROR(VLOOKUP($F68,bug_conf_sheet!$A:$H,3,FALSE),VLOOKUP("other",bug_conf_sheet!$A:$H,3,FALSE))</f>
        <v>1</v>
      </c>
      <c r="O68" s="35">
        <f>IFERROR(VLOOKUP($F68,bug_conf_sheet!$A:$H,4,FALSE),VLOOKUP("other",bug_conf_sheet!$A:$H,4,FALSE))</f>
        <v>0</v>
      </c>
      <c r="P68" s="35">
        <f>IFERROR(VLOOKUP($F68,bug_conf_sheet!$A:$H,5,FALSE),VLOOKUP("other",bug_conf_sheet!$A:$H,5,FALSE))</f>
        <v>0</v>
      </c>
      <c r="Q68" s="35">
        <f>IFERROR(VLOOKUP($F68,bug_conf_sheet!$A:$H,6,FALSE),VLOOKUP("other",bug_conf_sheet!$A:$H,6,FALSE))</f>
        <v>0</v>
      </c>
      <c r="R68" s="35">
        <f>IFERROR(VLOOKUP($F68,bug_conf_sheet!$A:$H,7,FALSE),VLOOKUP("other",bug_conf_sheet!$A:$H,7,FALSE))</f>
        <v>0</v>
      </c>
      <c r="S68" s="35">
        <f>IFERROR(VLOOKUP($F68,bug_conf_sheet!$A:$H,8,FALSE),VLOOKUP("other",bug_conf_sheet!$A:$H,8,FALSE))</f>
        <v>1</v>
      </c>
    </row>
    <row r="69" spans="1:19" ht="21" customHeight="1">
      <c r="A69" s="7" t="str">
        <f t="shared" si="5"/>
        <v>3071463</v>
      </c>
      <c r="B69" s="2" t="str">
        <f t="shared" si="7"/>
        <v>3071</v>
      </c>
      <c r="C69" s="8" t="str">
        <f t="shared" si="4"/>
        <v>1PremiumS4</v>
      </c>
      <c r="D69" s="8" t="str">
        <f t="shared" si="6"/>
        <v>1PremiumS4</v>
      </c>
      <c r="E69" s="10">
        <v>1</v>
      </c>
      <c r="F69" s="63">
        <v>463</v>
      </c>
      <c r="G69" s="8" t="str">
        <f>VLOOKUP(F69,[1]characters!$A:$C,3,FALSE)</f>
        <v>燻銀 ガウェイン</v>
      </c>
      <c r="H69" s="8" t="str">
        <f>VLOOKUP(F69,[1]characters!$A:$J,10,FALSE)</f>
        <v>PremiumS</v>
      </c>
      <c r="I69" s="8">
        <f>VLOOKUP(F69,[1]characters!$A:$I,9,FALSE)</f>
        <v>4</v>
      </c>
      <c r="J69" s="8" t="str">
        <f>VLOOKUP(F69,[1]characters!$A:$H,8,FALSE)</f>
        <v>red</v>
      </c>
      <c r="K69" s="8" t="str">
        <f>VLOOKUP(F69,[1]characters!$A:$K,11,FALSE)</f>
        <v>hp</v>
      </c>
      <c r="L69" s="8" t="str">
        <f>VLOOKUP(F69,[1]characters!$A:$M,13,FALSE)</f>
        <v>human</v>
      </c>
      <c r="M69" s="13">
        <f>VLOOKUP(D69,gacha_307_base!A:B,2,FALSE)</f>
        <v>15050</v>
      </c>
      <c r="N69" s="35">
        <f>IFERROR(VLOOKUP($F69,bug_conf_sheet!$A:$H,3,FALSE),VLOOKUP("other",bug_conf_sheet!$A:$H,3,FALSE))</f>
        <v>1</v>
      </c>
      <c r="O69" s="35">
        <f>IFERROR(VLOOKUP($F69,bug_conf_sheet!$A:$H,4,FALSE),VLOOKUP("other",bug_conf_sheet!$A:$H,4,FALSE))</f>
        <v>0</v>
      </c>
      <c r="P69" s="35">
        <f>IFERROR(VLOOKUP($F69,bug_conf_sheet!$A:$H,5,FALSE),VLOOKUP("other",bug_conf_sheet!$A:$H,5,FALSE))</f>
        <v>0</v>
      </c>
      <c r="Q69" s="35">
        <f>IFERROR(VLOOKUP($F69,bug_conf_sheet!$A:$H,6,FALSE),VLOOKUP("other",bug_conf_sheet!$A:$H,6,FALSE))</f>
        <v>0</v>
      </c>
      <c r="R69" s="35">
        <f>IFERROR(VLOOKUP($F69,bug_conf_sheet!$A:$H,7,FALSE),VLOOKUP("other",bug_conf_sheet!$A:$H,7,FALSE))</f>
        <v>0</v>
      </c>
      <c r="S69" s="35">
        <f>IFERROR(VLOOKUP($F69,bug_conf_sheet!$A:$H,8,FALSE),VLOOKUP("other",bug_conf_sheet!$A:$H,8,FALSE))</f>
        <v>1</v>
      </c>
    </row>
    <row r="70" spans="1:19" ht="21" customHeight="1">
      <c r="A70" s="7" t="str">
        <f t="shared" si="5"/>
        <v>3071464</v>
      </c>
      <c r="B70" s="2" t="str">
        <f t="shared" si="7"/>
        <v>3071</v>
      </c>
      <c r="C70" s="8" t="str">
        <f t="shared" si="4"/>
        <v>1PremiumS5</v>
      </c>
      <c r="D70" s="8" t="str">
        <f t="shared" si="6"/>
        <v>1PremiumS5</v>
      </c>
      <c r="E70" s="10">
        <v>1</v>
      </c>
      <c r="F70" s="63">
        <v>464</v>
      </c>
      <c r="G70" s="8" t="str">
        <f>VLOOKUP(F70,[1]characters!$A:$C,3,FALSE)</f>
        <v>円熟の弾導 ガウェイン</v>
      </c>
      <c r="H70" s="8" t="str">
        <f>VLOOKUP(F70,[1]characters!$A:$J,10,FALSE)</f>
        <v>PremiumS</v>
      </c>
      <c r="I70" s="8">
        <f>VLOOKUP(F70,[1]characters!$A:$I,9,FALSE)</f>
        <v>5</v>
      </c>
      <c r="J70" s="8" t="str">
        <f>VLOOKUP(F70,[1]characters!$A:$H,8,FALSE)</f>
        <v>red</v>
      </c>
      <c r="K70" s="8" t="str">
        <f>VLOOKUP(F70,[1]characters!$A:$K,11,FALSE)</f>
        <v>hp</v>
      </c>
      <c r="L70" s="8" t="str">
        <f>VLOOKUP(F70,[1]characters!$A:$M,13,FALSE)</f>
        <v>human</v>
      </c>
      <c r="M70" s="13">
        <f>VLOOKUP(D70,gacha_307_base!A:B,2,FALSE)</f>
        <v>1691</v>
      </c>
      <c r="N70" s="35">
        <f>IFERROR(VLOOKUP($F70,bug_conf_sheet!$A:$H,3,FALSE),VLOOKUP("other",bug_conf_sheet!$A:$H,3,FALSE))</f>
        <v>1</v>
      </c>
      <c r="O70" s="35">
        <f>IFERROR(VLOOKUP($F70,bug_conf_sheet!$A:$H,4,FALSE),VLOOKUP("other",bug_conf_sheet!$A:$H,4,FALSE))</f>
        <v>0</v>
      </c>
      <c r="P70" s="35">
        <f>IFERROR(VLOOKUP($F70,bug_conf_sheet!$A:$H,5,FALSE),VLOOKUP("other",bug_conf_sheet!$A:$H,5,FALSE))</f>
        <v>0</v>
      </c>
      <c r="Q70" s="35">
        <f>IFERROR(VLOOKUP($F70,bug_conf_sheet!$A:$H,6,FALSE),VLOOKUP("other",bug_conf_sheet!$A:$H,6,FALSE))</f>
        <v>0</v>
      </c>
      <c r="R70" s="35">
        <f>IFERROR(VLOOKUP($F70,bug_conf_sheet!$A:$H,7,FALSE),VLOOKUP("other",bug_conf_sheet!$A:$H,7,FALSE))</f>
        <v>0</v>
      </c>
      <c r="S70" s="35">
        <f>IFERROR(VLOOKUP($F70,bug_conf_sheet!$A:$H,8,FALSE),VLOOKUP("other",bug_conf_sheet!$A:$H,8,FALSE))</f>
        <v>1</v>
      </c>
    </row>
    <row r="71" spans="1:19" ht="21" customHeight="1">
      <c r="A71" s="7" t="str">
        <f t="shared" si="5"/>
        <v>3071465</v>
      </c>
      <c r="B71" s="2" t="str">
        <f t="shared" si="7"/>
        <v>3071</v>
      </c>
      <c r="C71" s="8" t="str">
        <f t="shared" si="4"/>
        <v>1PremiumSS4</v>
      </c>
      <c r="D71" s="8" t="str">
        <f t="shared" si="6"/>
        <v>1PremiumSS4</v>
      </c>
      <c r="E71" s="10">
        <v>1</v>
      </c>
      <c r="F71" s="63">
        <v>465</v>
      </c>
      <c r="G71" s="8" t="str">
        <f>VLOOKUP(F71,[1]characters!$A:$C,3,FALSE)</f>
        <v>真撃 ランスロット</v>
      </c>
      <c r="H71" s="8" t="str">
        <f>VLOOKUP(F71,[1]characters!$A:$J,10,FALSE)</f>
        <v>PremiumSS</v>
      </c>
      <c r="I71" s="8">
        <f>VLOOKUP(F71,[1]characters!$A:$I,9,FALSE)</f>
        <v>4</v>
      </c>
      <c r="J71" s="8" t="str">
        <f>VLOOKUP(F71,[1]characters!$A:$H,8,FALSE)</f>
        <v>green</v>
      </c>
      <c r="K71" s="8" t="str">
        <f>VLOOKUP(F71,[1]characters!$A:$K,11,FALSE)</f>
        <v>balance</v>
      </c>
      <c r="L71" s="8" t="str">
        <f>VLOOKUP(F71,[1]characters!$A:$M,13,FALSE)</f>
        <v>human</v>
      </c>
      <c r="M71" s="13">
        <f>VLOOKUP(D71,gacha_307_base!A:B,2,FALSE)</f>
        <v>2483</v>
      </c>
      <c r="N71" s="35">
        <f>IFERROR(VLOOKUP($F71,bug_conf_sheet!$A:$H,3,FALSE),VLOOKUP("other",bug_conf_sheet!$A:$H,3,FALSE))</f>
        <v>1</v>
      </c>
      <c r="O71" s="35">
        <f>IFERROR(VLOOKUP($F71,bug_conf_sheet!$A:$H,4,FALSE),VLOOKUP("other",bug_conf_sheet!$A:$H,4,FALSE))</f>
        <v>0</v>
      </c>
      <c r="P71" s="35">
        <f>IFERROR(VLOOKUP($F71,bug_conf_sheet!$A:$H,5,FALSE),VLOOKUP("other",bug_conf_sheet!$A:$H,5,FALSE))</f>
        <v>0</v>
      </c>
      <c r="Q71" s="35">
        <f>IFERROR(VLOOKUP($F71,bug_conf_sheet!$A:$H,6,FALSE),VLOOKUP("other",bug_conf_sheet!$A:$H,6,FALSE))</f>
        <v>0</v>
      </c>
      <c r="R71" s="35">
        <f>IFERROR(VLOOKUP($F71,bug_conf_sheet!$A:$H,7,FALSE),VLOOKUP("other",bug_conf_sheet!$A:$H,7,FALSE))</f>
        <v>0</v>
      </c>
      <c r="S71" s="35">
        <f>IFERROR(VLOOKUP($F71,bug_conf_sheet!$A:$H,8,FALSE),VLOOKUP("other",bug_conf_sheet!$A:$H,8,FALSE))</f>
        <v>1</v>
      </c>
    </row>
    <row r="72" spans="1:19" ht="21" customHeight="1">
      <c r="A72" s="7" t="str">
        <f t="shared" si="5"/>
        <v>3071466</v>
      </c>
      <c r="B72" s="2" t="str">
        <f t="shared" si="7"/>
        <v>3071</v>
      </c>
      <c r="C72" s="8" t="str">
        <f t="shared" si="4"/>
        <v>1PremiumSS5</v>
      </c>
      <c r="D72" s="8" t="str">
        <f t="shared" si="6"/>
        <v>1PremiumSS5</v>
      </c>
      <c r="E72" s="10">
        <v>1</v>
      </c>
      <c r="F72" s="63">
        <v>466</v>
      </c>
      <c r="G72" s="8" t="str">
        <f>VLOOKUP(F72,[1]characters!$A:$C,3,FALSE)</f>
        <v>真断の勇覇 ランスロット</v>
      </c>
      <c r="H72" s="8" t="str">
        <f>VLOOKUP(F72,[1]characters!$A:$J,10,FALSE)</f>
        <v>PremiumSS</v>
      </c>
      <c r="I72" s="8">
        <f>VLOOKUP(F72,[1]characters!$A:$I,9,FALSE)</f>
        <v>5</v>
      </c>
      <c r="J72" s="8" t="str">
        <f>VLOOKUP(F72,[1]characters!$A:$H,8,FALSE)</f>
        <v>green</v>
      </c>
      <c r="K72" s="8" t="str">
        <f>VLOOKUP(F72,[1]characters!$A:$K,11,FALSE)</f>
        <v>balance</v>
      </c>
      <c r="L72" s="8" t="str">
        <f>VLOOKUP(F72,[1]characters!$A:$M,13,FALSE)</f>
        <v>human</v>
      </c>
      <c r="M72" s="13">
        <f>VLOOKUP(D72,gacha_307_base!A:B,2,FALSE)</f>
        <v>132</v>
      </c>
      <c r="N72" s="35">
        <f>IFERROR(VLOOKUP($F72,bug_conf_sheet!$A:$H,3,FALSE),VLOOKUP("other",bug_conf_sheet!$A:$H,3,FALSE))</f>
        <v>1</v>
      </c>
      <c r="O72" s="35">
        <f>IFERROR(VLOOKUP($F72,bug_conf_sheet!$A:$H,4,FALSE),VLOOKUP("other",bug_conf_sheet!$A:$H,4,FALSE))</f>
        <v>0</v>
      </c>
      <c r="P72" s="35">
        <f>IFERROR(VLOOKUP($F72,bug_conf_sheet!$A:$H,5,FALSE),VLOOKUP("other",bug_conf_sheet!$A:$H,5,FALSE))</f>
        <v>0</v>
      </c>
      <c r="Q72" s="35">
        <f>IFERROR(VLOOKUP($F72,bug_conf_sheet!$A:$H,6,FALSE),VLOOKUP("other",bug_conf_sheet!$A:$H,6,FALSE))</f>
        <v>0</v>
      </c>
      <c r="R72" s="35">
        <f>IFERROR(VLOOKUP($F72,bug_conf_sheet!$A:$H,7,FALSE),VLOOKUP("other",bug_conf_sheet!$A:$H,7,FALSE))</f>
        <v>0</v>
      </c>
      <c r="S72" s="35">
        <f>IFERROR(VLOOKUP($F72,bug_conf_sheet!$A:$H,8,FALSE),VLOOKUP("other",bug_conf_sheet!$A:$H,8,FALSE))</f>
        <v>1</v>
      </c>
    </row>
    <row r="73" spans="1:19" ht="21" customHeight="1">
      <c r="A73" s="7" t="str">
        <f t="shared" si="5"/>
        <v>3071469</v>
      </c>
      <c r="B73" s="2" t="str">
        <f t="shared" si="7"/>
        <v>3071</v>
      </c>
      <c r="C73" s="8" t="str">
        <f t="shared" si="4"/>
        <v>1PremiumS3</v>
      </c>
      <c r="D73" s="8" t="str">
        <f t="shared" si="6"/>
        <v>1PremiumS3</v>
      </c>
      <c r="E73" s="10">
        <v>1</v>
      </c>
      <c r="F73" s="63">
        <v>469</v>
      </c>
      <c r="G73" s="8" t="str">
        <f>VLOOKUP(F73,[1]characters!$A:$C,3,FALSE)</f>
        <v>トリスタン</v>
      </c>
      <c r="H73" s="8" t="str">
        <f>VLOOKUP(F73,[1]characters!$A:$J,10,FALSE)</f>
        <v>PremiumS</v>
      </c>
      <c r="I73" s="8">
        <f>VLOOKUP(F73,[1]characters!$A:$I,9,FALSE)</f>
        <v>3</v>
      </c>
      <c r="J73" s="8" t="str">
        <f>VLOOKUP(F73,[1]characters!$A:$H,8,FALSE)</f>
        <v>yellow</v>
      </c>
      <c r="K73" s="8" t="str">
        <f>VLOOKUP(F73,[1]characters!$A:$K,11,FALSE)</f>
        <v>attack</v>
      </c>
      <c r="L73" s="8" t="str">
        <f>VLOOKUP(F73,[1]characters!$A:$M,13,FALSE)</f>
        <v>human</v>
      </c>
      <c r="M73" s="13">
        <f>VLOOKUP(D73,gacha_307_base!A:B,2,FALSE)</f>
        <v>16741</v>
      </c>
      <c r="N73" s="35">
        <f>IFERROR(VLOOKUP($F73,bug_conf_sheet!$A:$H,3,FALSE),VLOOKUP("other",bug_conf_sheet!$A:$H,3,FALSE))</f>
        <v>1</v>
      </c>
      <c r="O73" s="35">
        <f>IFERROR(VLOOKUP($F73,bug_conf_sheet!$A:$H,4,FALSE),VLOOKUP("other",bug_conf_sheet!$A:$H,4,FALSE))</f>
        <v>0</v>
      </c>
      <c r="P73" s="35">
        <f>IFERROR(VLOOKUP($F73,bug_conf_sheet!$A:$H,5,FALSE),VLOOKUP("other",bug_conf_sheet!$A:$H,5,FALSE))</f>
        <v>0</v>
      </c>
      <c r="Q73" s="35">
        <f>IFERROR(VLOOKUP($F73,bug_conf_sheet!$A:$H,6,FALSE),VLOOKUP("other",bug_conf_sheet!$A:$H,6,FALSE))</f>
        <v>0</v>
      </c>
      <c r="R73" s="35">
        <f>IFERROR(VLOOKUP($F73,bug_conf_sheet!$A:$H,7,FALSE),VLOOKUP("other",bug_conf_sheet!$A:$H,7,FALSE))</f>
        <v>0</v>
      </c>
      <c r="S73" s="35">
        <f>IFERROR(VLOOKUP($F73,bug_conf_sheet!$A:$H,8,FALSE),VLOOKUP("other",bug_conf_sheet!$A:$H,8,FALSE))</f>
        <v>1</v>
      </c>
    </row>
    <row r="74" spans="1:19" ht="21" customHeight="1">
      <c r="A74" s="7" t="str">
        <f t="shared" si="5"/>
        <v>3071470</v>
      </c>
      <c r="B74" s="2" t="str">
        <f t="shared" si="7"/>
        <v>3071</v>
      </c>
      <c r="C74" s="8" t="str">
        <f t="shared" si="4"/>
        <v>1PremiumS4</v>
      </c>
      <c r="D74" s="8" t="str">
        <f t="shared" si="6"/>
        <v>1PremiumS4</v>
      </c>
      <c r="E74" s="10">
        <v>1</v>
      </c>
      <c r="F74" s="63">
        <v>470</v>
      </c>
      <c r="G74" s="8" t="str">
        <f>VLOOKUP(F74,[1]characters!$A:$C,3,FALSE)</f>
        <v>純心 トリスタン</v>
      </c>
      <c r="H74" s="8" t="str">
        <f>VLOOKUP(F74,[1]characters!$A:$J,10,FALSE)</f>
        <v>PremiumS</v>
      </c>
      <c r="I74" s="8">
        <f>VLOOKUP(F74,[1]characters!$A:$I,9,FALSE)</f>
        <v>4</v>
      </c>
      <c r="J74" s="8" t="str">
        <f>VLOOKUP(F74,[1]characters!$A:$H,8,FALSE)</f>
        <v>yellow</v>
      </c>
      <c r="K74" s="8" t="str">
        <f>VLOOKUP(F74,[1]characters!$A:$K,11,FALSE)</f>
        <v>attack</v>
      </c>
      <c r="L74" s="8" t="str">
        <f>VLOOKUP(F74,[1]characters!$A:$M,13,FALSE)</f>
        <v>human</v>
      </c>
      <c r="M74" s="13">
        <f>VLOOKUP(D74,gacha_307_base!A:B,2,FALSE)</f>
        <v>15050</v>
      </c>
      <c r="N74" s="35">
        <f>IFERROR(VLOOKUP($F74,bug_conf_sheet!$A:$H,3,FALSE),VLOOKUP("other",bug_conf_sheet!$A:$H,3,FALSE))</f>
        <v>1</v>
      </c>
      <c r="O74" s="35">
        <f>IFERROR(VLOOKUP($F74,bug_conf_sheet!$A:$H,4,FALSE),VLOOKUP("other",bug_conf_sheet!$A:$H,4,FALSE))</f>
        <v>0</v>
      </c>
      <c r="P74" s="35">
        <f>IFERROR(VLOOKUP($F74,bug_conf_sheet!$A:$H,5,FALSE),VLOOKUP("other",bug_conf_sheet!$A:$H,5,FALSE))</f>
        <v>0</v>
      </c>
      <c r="Q74" s="35">
        <f>IFERROR(VLOOKUP($F74,bug_conf_sheet!$A:$H,6,FALSE),VLOOKUP("other",bug_conf_sheet!$A:$H,6,FALSE))</f>
        <v>0</v>
      </c>
      <c r="R74" s="35">
        <f>IFERROR(VLOOKUP($F74,bug_conf_sheet!$A:$H,7,FALSE),VLOOKUP("other",bug_conf_sheet!$A:$H,7,FALSE))</f>
        <v>0</v>
      </c>
      <c r="S74" s="35">
        <f>IFERROR(VLOOKUP($F74,bug_conf_sheet!$A:$H,8,FALSE),VLOOKUP("other",bug_conf_sheet!$A:$H,8,FALSE))</f>
        <v>1</v>
      </c>
    </row>
    <row r="75" spans="1:19" ht="21" customHeight="1">
      <c r="A75" s="7" t="str">
        <f t="shared" si="5"/>
        <v>3071471</v>
      </c>
      <c r="B75" s="2" t="str">
        <f t="shared" si="7"/>
        <v>3071</v>
      </c>
      <c r="C75" s="8" t="str">
        <f t="shared" si="4"/>
        <v>1PremiumS5</v>
      </c>
      <c r="D75" s="8" t="str">
        <f t="shared" si="6"/>
        <v>1PremiumS5</v>
      </c>
      <c r="E75" s="10">
        <v>1</v>
      </c>
      <c r="F75" s="63">
        <v>471</v>
      </c>
      <c r="G75" s="8" t="str">
        <f>VLOOKUP(F75,[1]characters!$A:$C,3,FALSE)</f>
        <v>不可避の爆激 トリスタン</v>
      </c>
      <c r="H75" s="8" t="str">
        <f>VLOOKUP(F75,[1]characters!$A:$J,10,FALSE)</f>
        <v>PremiumS</v>
      </c>
      <c r="I75" s="8">
        <f>VLOOKUP(F75,[1]characters!$A:$I,9,FALSE)</f>
        <v>5</v>
      </c>
      <c r="J75" s="8" t="str">
        <f>VLOOKUP(F75,[1]characters!$A:$H,8,FALSE)</f>
        <v>yellow</v>
      </c>
      <c r="K75" s="8" t="str">
        <f>VLOOKUP(F75,[1]characters!$A:$K,11,FALSE)</f>
        <v>attack</v>
      </c>
      <c r="L75" s="8" t="str">
        <f>VLOOKUP(F75,[1]characters!$A:$M,13,FALSE)</f>
        <v>human</v>
      </c>
      <c r="M75" s="13">
        <f>VLOOKUP(D75,gacha_307_base!A:B,2,FALSE)</f>
        <v>1691</v>
      </c>
      <c r="N75" s="35">
        <f>IFERROR(VLOOKUP($F75,bug_conf_sheet!$A:$H,3,FALSE),VLOOKUP("other",bug_conf_sheet!$A:$H,3,FALSE))</f>
        <v>1</v>
      </c>
      <c r="O75" s="35">
        <f>IFERROR(VLOOKUP($F75,bug_conf_sheet!$A:$H,4,FALSE),VLOOKUP("other",bug_conf_sheet!$A:$H,4,FALSE))</f>
        <v>0</v>
      </c>
      <c r="P75" s="35">
        <f>IFERROR(VLOOKUP($F75,bug_conf_sheet!$A:$H,5,FALSE),VLOOKUP("other",bug_conf_sheet!$A:$H,5,FALSE))</f>
        <v>0</v>
      </c>
      <c r="Q75" s="35">
        <f>IFERROR(VLOOKUP($F75,bug_conf_sheet!$A:$H,6,FALSE),VLOOKUP("other",bug_conf_sheet!$A:$H,6,FALSE))</f>
        <v>0</v>
      </c>
      <c r="R75" s="35">
        <f>IFERROR(VLOOKUP($F75,bug_conf_sheet!$A:$H,7,FALSE),VLOOKUP("other",bug_conf_sheet!$A:$H,7,FALSE))</f>
        <v>0</v>
      </c>
      <c r="S75" s="35">
        <f>IFERROR(VLOOKUP($F75,bug_conf_sheet!$A:$H,8,FALSE),VLOOKUP("other",bug_conf_sheet!$A:$H,8,FALSE))</f>
        <v>1</v>
      </c>
    </row>
    <row r="76" spans="1:19" ht="21" customHeight="1">
      <c r="A76" s="7" t="str">
        <f t="shared" si="5"/>
        <v>3071479</v>
      </c>
      <c r="B76" s="2" t="str">
        <f t="shared" si="7"/>
        <v>3071</v>
      </c>
      <c r="C76" s="8" t="str">
        <f t="shared" si="4"/>
        <v>1PremiumSS4</v>
      </c>
      <c r="D76" s="8" t="str">
        <f t="shared" si="6"/>
        <v>1PremiumSS4</v>
      </c>
      <c r="E76" s="10">
        <v>1</v>
      </c>
      <c r="F76" s="63">
        <v>479</v>
      </c>
      <c r="G76" s="8" t="str">
        <f>VLOOKUP(F76,[1]characters!$A:$C,3,FALSE)</f>
        <v>フール</v>
      </c>
      <c r="H76" s="8" t="str">
        <f>VLOOKUP(F76,[1]characters!$A:$J,10,FALSE)</f>
        <v>PremiumSS</v>
      </c>
      <c r="I76" s="8">
        <f>VLOOKUP(F76,[1]characters!$A:$I,9,FALSE)</f>
        <v>4</v>
      </c>
      <c r="J76" s="8" t="str">
        <f>VLOOKUP(F76,[1]characters!$A:$H,8,FALSE)</f>
        <v>blue</v>
      </c>
      <c r="K76" s="8" t="str">
        <f>VLOOKUP(F76,[1]characters!$A:$K,11,FALSE)</f>
        <v>technical</v>
      </c>
      <c r="L76" s="8" t="str">
        <f>VLOOKUP(F76,[1]characters!$A:$M,13,FALSE)</f>
        <v>god</v>
      </c>
      <c r="M76" s="13">
        <f>VLOOKUP(D76,gacha_307_base!A:B,2,FALSE)</f>
        <v>2483</v>
      </c>
      <c r="N76" s="35">
        <f>IFERROR(VLOOKUP($F76,bug_conf_sheet!$A:$H,3,FALSE),VLOOKUP("other",bug_conf_sheet!$A:$H,3,FALSE))</f>
        <v>1</v>
      </c>
      <c r="O76" s="35">
        <f>IFERROR(VLOOKUP($F76,bug_conf_sheet!$A:$H,4,FALSE),VLOOKUP("other",bug_conf_sheet!$A:$H,4,FALSE))</f>
        <v>0</v>
      </c>
      <c r="P76" s="35">
        <f>IFERROR(VLOOKUP($F76,bug_conf_sheet!$A:$H,5,FALSE),VLOOKUP("other",bug_conf_sheet!$A:$H,5,FALSE))</f>
        <v>0</v>
      </c>
      <c r="Q76" s="35">
        <f>IFERROR(VLOOKUP($F76,bug_conf_sheet!$A:$H,6,FALSE),VLOOKUP("other",bug_conf_sheet!$A:$H,6,FALSE))</f>
        <v>0</v>
      </c>
      <c r="R76" s="35">
        <f>IFERROR(VLOOKUP($F76,bug_conf_sheet!$A:$H,7,FALSE),VLOOKUP("other",bug_conf_sheet!$A:$H,7,FALSE))</f>
        <v>0</v>
      </c>
      <c r="S76" s="35">
        <f>IFERROR(VLOOKUP($F76,bug_conf_sheet!$A:$H,8,FALSE),VLOOKUP("other",bug_conf_sheet!$A:$H,8,FALSE))</f>
        <v>1</v>
      </c>
    </row>
    <row r="77" spans="1:19" ht="21" customHeight="1">
      <c r="A77" s="7" t="str">
        <f t="shared" si="5"/>
        <v>3071480</v>
      </c>
      <c r="B77" s="2" t="str">
        <f t="shared" si="7"/>
        <v>3071</v>
      </c>
      <c r="C77" s="8" t="str">
        <f t="shared" ref="C77:C93" si="8">E77&amp;H77&amp;I77</f>
        <v>1PremiumSS5</v>
      </c>
      <c r="D77" s="8" t="str">
        <f t="shared" si="6"/>
        <v>1PremiumSS5</v>
      </c>
      <c r="E77" s="10">
        <v>1</v>
      </c>
      <c r="F77" s="63">
        <v>480</v>
      </c>
      <c r="G77" s="8" t="str">
        <f>VLOOKUP(F77,[1]characters!$A:$C,3,FALSE)</f>
        <v>夢幻の愚者フール</v>
      </c>
      <c r="H77" s="8" t="str">
        <f>VLOOKUP(F77,[1]characters!$A:$J,10,FALSE)</f>
        <v>PremiumSS</v>
      </c>
      <c r="I77" s="8">
        <f>VLOOKUP(F77,[1]characters!$A:$I,9,FALSE)</f>
        <v>5</v>
      </c>
      <c r="J77" s="8" t="str">
        <f>VLOOKUP(F77,[1]characters!$A:$H,8,FALSE)</f>
        <v>blue</v>
      </c>
      <c r="K77" s="8" t="str">
        <f>VLOOKUP(F77,[1]characters!$A:$K,11,FALSE)</f>
        <v>technical</v>
      </c>
      <c r="L77" s="8" t="str">
        <f>VLOOKUP(F77,[1]characters!$A:$M,13,FALSE)</f>
        <v>god</v>
      </c>
      <c r="M77" s="13">
        <f>VLOOKUP(D77,gacha_307_base!A:B,2,FALSE)</f>
        <v>132</v>
      </c>
      <c r="N77" s="35">
        <f>IFERROR(VLOOKUP($F77,bug_conf_sheet!$A:$H,3,FALSE),VLOOKUP("other",bug_conf_sheet!$A:$H,3,FALSE))</f>
        <v>1</v>
      </c>
      <c r="O77" s="35">
        <f>IFERROR(VLOOKUP($F77,bug_conf_sheet!$A:$H,4,FALSE),VLOOKUP("other",bug_conf_sheet!$A:$H,4,FALSE))</f>
        <v>0</v>
      </c>
      <c r="P77" s="35">
        <f>IFERROR(VLOOKUP($F77,bug_conf_sheet!$A:$H,5,FALSE),VLOOKUP("other",bug_conf_sheet!$A:$H,5,FALSE))</f>
        <v>0</v>
      </c>
      <c r="Q77" s="35">
        <f>IFERROR(VLOOKUP($F77,bug_conf_sheet!$A:$H,6,FALSE),VLOOKUP("other",bug_conf_sheet!$A:$H,6,FALSE))</f>
        <v>0</v>
      </c>
      <c r="R77" s="35">
        <f>IFERROR(VLOOKUP($F77,bug_conf_sheet!$A:$H,7,FALSE),VLOOKUP("other",bug_conf_sheet!$A:$H,7,FALSE))</f>
        <v>0</v>
      </c>
      <c r="S77" s="35">
        <f>IFERROR(VLOOKUP($F77,bug_conf_sheet!$A:$H,8,FALSE),VLOOKUP("other",bug_conf_sheet!$A:$H,8,FALSE))</f>
        <v>1</v>
      </c>
    </row>
    <row r="78" spans="1:19" ht="21" customHeight="1">
      <c r="A78" s="7" t="str">
        <f t="shared" si="5"/>
        <v>3071481</v>
      </c>
      <c r="B78" s="2" t="str">
        <f t="shared" si="7"/>
        <v>3071</v>
      </c>
      <c r="C78" s="8" t="str">
        <f t="shared" si="8"/>
        <v>1PremiumS3</v>
      </c>
      <c r="D78" s="8" t="str">
        <f t="shared" si="6"/>
        <v>1PremiumS3</v>
      </c>
      <c r="E78" s="10">
        <v>1</v>
      </c>
      <c r="F78" s="63">
        <v>481</v>
      </c>
      <c r="G78" s="8" t="str">
        <f>VLOOKUP(F78,[1]characters!$A:$C,3,FALSE)</f>
        <v>沢庵宗彭</v>
      </c>
      <c r="H78" s="8" t="str">
        <f>VLOOKUP(F78,[1]characters!$A:$J,10,FALSE)</f>
        <v>PremiumS</v>
      </c>
      <c r="I78" s="8">
        <f>VLOOKUP(F78,[1]characters!$A:$I,9,FALSE)</f>
        <v>3</v>
      </c>
      <c r="J78" s="8" t="str">
        <f>VLOOKUP(F78,[1]characters!$A:$H,8,FALSE)</f>
        <v>yellow</v>
      </c>
      <c r="K78" s="8" t="str">
        <f>VLOOKUP(F78,[1]characters!$A:$K,11,FALSE)</f>
        <v>hp</v>
      </c>
      <c r="L78" s="8" t="str">
        <f>VLOOKUP(F78,[1]characters!$A:$M,13,FALSE)</f>
        <v>human</v>
      </c>
      <c r="M78" s="13">
        <f>VLOOKUP(D78,gacha_307_base!A:B,2,FALSE)</f>
        <v>16741</v>
      </c>
      <c r="N78" s="35">
        <f>IFERROR(VLOOKUP($F78,bug_conf_sheet!$A:$H,3,FALSE),VLOOKUP("other",bug_conf_sheet!$A:$H,3,FALSE))</f>
        <v>1</v>
      </c>
      <c r="O78" s="35">
        <f>IFERROR(VLOOKUP($F78,bug_conf_sheet!$A:$H,4,FALSE),VLOOKUP("other",bug_conf_sheet!$A:$H,4,FALSE))</f>
        <v>0</v>
      </c>
      <c r="P78" s="35">
        <f>IFERROR(VLOOKUP($F78,bug_conf_sheet!$A:$H,5,FALSE),VLOOKUP("other",bug_conf_sheet!$A:$H,5,FALSE))</f>
        <v>0</v>
      </c>
      <c r="Q78" s="35">
        <f>IFERROR(VLOOKUP($F78,bug_conf_sheet!$A:$H,6,FALSE),VLOOKUP("other",bug_conf_sheet!$A:$H,6,FALSE))</f>
        <v>0</v>
      </c>
      <c r="R78" s="35">
        <f>IFERROR(VLOOKUP($F78,bug_conf_sheet!$A:$H,7,FALSE),VLOOKUP("other",bug_conf_sheet!$A:$H,7,FALSE))</f>
        <v>0</v>
      </c>
      <c r="S78" s="35">
        <f>IFERROR(VLOOKUP($F78,bug_conf_sheet!$A:$H,8,FALSE),VLOOKUP("other",bug_conf_sheet!$A:$H,8,FALSE))</f>
        <v>1</v>
      </c>
    </row>
    <row r="79" spans="1:19" ht="21" customHeight="1">
      <c r="A79" s="7" t="str">
        <f t="shared" si="5"/>
        <v>3071482</v>
      </c>
      <c r="B79" s="2" t="str">
        <f t="shared" si="7"/>
        <v>3071</v>
      </c>
      <c r="C79" s="8" t="str">
        <f t="shared" si="8"/>
        <v>1PremiumS4</v>
      </c>
      <c r="D79" s="8" t="str">
        <f t="shared" si="6"/>
        <v>1PremiumS4</v>
      </c>
      <c r="E79" s="10">
        <v>1</v>
      </c>
      <c r="F79" s="63">
        <v>482</v>
      </c>
      <c r="G79" s="8" t="str">
        <f>VLOOKUP(F79,[1]characters!$A:$C,3,FALSE)</f>
        <v>魁僧 沢庵宗彭</v>
      </c>
      <c r="H79" s="8" t="str">
        <f>VLOOKUP(F79,[1]characters!$A:$J,10,FALSE)</f>
        <v>PremiumS</v>
      </c>
      <c r="I79" s="8">
        <f>VLOOKUP(F79,[1]characters!$A:$I,9,FALSE)</f>
        <v>4</v>
      </c>
      <c r="J79" s="8" t="str">
        <f>VLOOKUP(F79,[1]characters!$A:$H,8,FALSE)</f>
        <v>yellow</v>
      </c>
      <c r="K79" s="8" t="str">
        <f>VLOOKUP(F79,[1]characters!$A:$K,11,FALSE)</f>
        <v>hp</v>
      </c>
      <c r="L79" s="8" t="str">
        <f>VLOOKUP(F79,[1]characters!$A:$M,13,FALSE)</f>
        <v>human</v>
      </c>
      <c r="M79" s="13">
        <f>VLOOKUP(D79,gacha_307_base!A:B,2,FALSE)</f>
        <v>15050</v>
      </c>
      <c r="N79" s="35">
        <f>IFERROR(VLOOKUP($F79,bug_conf_sheet!$A:$H,3,FALSE),VLOOKUP("other",bug_conf_sheet!$A:$H,3,FALSE))</f>
        <v>1</v>
      </c>
      <c r="O79" s="35">
        <f>IFERROR(VLOOKUP($F79,bug_conf_sheet!$A:$H,4,FALSE),VLOOKUP("other",bug_conf_sheet!$A:$H,4,FALSE))</f>
        <v>0</v>
      </c>
      <c r="P79" s="35">
        <f>IFERROR(VLOOKUP($F79,bug_conf_sheet!$A:$H,5,FALSE),VLOOKUP("other",bug_conf_sheet!$A:$H,5,FALSE))</f>
        <v>0</v>
      </c>
      <c r="Q79" s="35">
        <f>IFERROR(VLOOKUP($F79,bug_conf_sheet!$A:$H,6,FALSE),VLOOKUP("other",bug_conf_sheet!$A:$H,6,FALSE))</f>
        <v>0</v>
      </c>
      <c r="R79" s="35">
        <f>IFERROR(VLOOKUP($F79,bug_conf_sheet!$A:$H,7,FALSE),VLOOKUP("other",bug_conf_sheet!$A:$H,7,FALSE))</f>
        <v>0</v>
      </c>
      <c r="S79" s="35">
        <f>IFERROR(VLOOKUP($F79,bug_conf_sheet!$A:$H,8,FALSE),VLOOKUP("other",bug_conf_sheet!$A:$H,8,FALSE))</f>
        <v>1</v>
      </c>
    </row>
    <row r="80" spans="1:19" ht="21" customHeight="1">
      <c r="A80" s="7" t="str">
        <f t="shared" si="5"/>
        <v>3071483</v>
      </c>
      <c r="B80" s="2" t="str">
        <f t="shared" si="7"/>
        <v>3071</v>
      </c>
      <c r="C80" s="8" t="str">
        <f t="shared" si="8"/>
        <v>1PremiumS5</v>
      </c>
      <c r="D80" s="8" t="str">
        <f t="shared" si="6"/>
        <v>1PremiumS5</v>
      </c>
      <c r="E80" s="10">
        <v>1</v>
      </c>
      <c r="F80" s="63">
        <v>483</v>
      </c>
      <c r="G80" s="8" t="str">
        <f>VLOOKUP(F80,[1]characters!$A:$C,3,FALSE)</f>
        <v xml:space="preserve">命経死遂 沢庵宗彭 </v>
      </c>
      <c r="H80" s="8" t="str">
        <f>VLOOKUP(F80,[1]characters!$A:$J,10,FALSE)</f>
        <v>PremiumS</v>
      </c>
      <c r="I80" s="8">
        <f>VLOOKUP(F80,[1]characters!$A:$I,9,FALSE)</f>
        <v>5</v>
      </c>
      <c r="J80" s="8" t="str">
        <f>VLOOKUP(F80,[1]characters!$A:$H,8,FALSE)</f>
        <v>yellow</v>
      </c>
      <c r="K80" s="8" t="str">
        <f>VLOOKUP(F80,[1]characters!$A:$K,11,FALSE)</f>
        <v>hp</v>
      </c>
      <c r="L80" s="8" t="str">
        <f>VLOOKUP(F80,[1]characters!$A:$M,13,FALSE)</f>
        <v>human</v>
      </c>
      <c r="M80" s="13">
        <f>VLOOKUP(D80,gacha_307_base!A:B,2,FALSE)</f>
        <v>1691</v>
      </c>
      <c r="N80" s="35">
        <f>IFERROR(VLOOKUP($F80,bug_conf_sheet!$A:$H,3,FALSE),VLOOKUP("other",bug_conf_sheet!$A:$H,3,FALSE))</f>
        <v>1</v>
      </c>
      <c r="O80" s="35">
        <f>IFERROR(VLOOKUP($F80,bug_conf_sheet!$A:$H,4,FALSE),VLOOKUP("other",bug_conf_sheet!$A:$H,4,FALSE))</f>
        <v>0</v>
      </c>
      <c r="P80" s="35">
        <f>IFERROR(VLOOKUP($F80,bug_conf_sheet!$A:$H,5,FALSE),VLOOKUP("other",bug_conf_sheet!$A:$H,5,FALSE))</f>
        <v>0</v>
      </c>
      <c r="Q80" s="35">
        <f>IFERROR(VLOOKUP($F80,bug_conf_sheet!$A:$H,6,FALSE),VLOOKUP("other",bug_conf_sheet!$A:$H,6,FALSE))</f>
        <v>0</v>
      </c>
      <c r="R80" s="35">
        <f>IFERROR(VLOOKUP($F80,bug_conf_sheet!$A:$H,7,FALSE),VLOOKUP("other",bug_conf_sheet!$A:$H,7,FALSE))</f>
        <v>0</v>
      </c>
      <c r="S80" s="35">
        <f>IFERROR(VLOOKUP($F80,bug_conf_sheet!$A:$H,8,FALSE),VLOOKUP("other",bug_conf_sheet!$A:$H,8,FALSE))</f>
        <v>1</v>
      </c>
    </row>
    <row r="81" spans="1:19" ht="21" customHeight="1">
      <c r="A81" s="7" t="str">
        <f t="shared" si="5"/>
        <v>3071494</v>
      </c>
      <c r="B81" s="2" t="str">
        <f t="shared" si="7"/>
        <v>3071</v>
      </c>
      <c r="C81" s="8" t="str">
        <f t="shared" si="8"/>
        <v>1PremiumSS4</v>
      </c>
      <c r="D81" s="8" t="str">
        <f t="shared" si="6"/>
        <v>1PremiumSS4</v>
      </c>
      <c r="E81" s="10">
        <v>1</v>
      </c>
      <c r="F81" s="63">
        <v>494</v>
      </c>
      <c r="G81" s="8" t="str">
        <f>VLOOKUP(F81,[1]characters!$A:$C,3,FALSE)</f>
        <v>ハーメルン</v>
      </c>
      <c r="H81" s="8" t="str">
        <f>VLOOKUP(F81,[1]characters!$A:$J,10,FALSE)</f>
        <v>PremiumSS</v>
      </c>
      <c r="I81" s="8">
        <f>VLOOKUP(F81,[1]characters!$A:$I,9,FALSE)</f>
        <v>4</v>
      </c>
      <c r="J81" s="8" t="str">
        <f>VLOOKUP(F81,[1]characters!$A:$H,8,FALSE)</f>
        <v>green</v>
      </c>
      <c r="K81" s="8" t="str">
        <f>VLOOKUP(F81,[1]characters!$A:$K,11,FALSE)</f>
        <v>technical</v>
      </c>
      <c r="L81" s="8" t="str">
        <f>VLOOKUP(F81,[1]characters!$A:$M,13,FALSE)</f>
        <v>human</v>
      </c>
      <c r="M81" s="13">
        <f>VLOOKUP(D81,gacha_307_base!A:B,2,FALSE)</f>
        <v>2483</v>
      </c>
      <c r="N81" s="35">
        <f>IFERROR(VLOOKUP($F81,bug_conf_sheet!$A:$H,3,FALSE),VLOOKUP("other",bug_conf_sheet!$A:$H,3,FALSE))</f>
        <v>1</v>
      </c>
      <c r="O81" s="35">
        <f>IFERROR(VLOOKUP($F81,bug_conf_sheet!$A:$H,4,FALSE),VLOOKUP("other",bug_conf_sheet!$A:$H,4,FALSE))</f>
        <v>0</v>
      </c>
      <c r="P81" s="35">
        <f>IFERROR(VLOOKUP($F81,bug_conf_sheet!$A:$H,5,FALSE),VLOOKUP("other",bug_conf_sheet!$A:$H,5,FALSE))</f>
        <v>0</v>
      </c>
      <c r="Q81" s="35">
        <f>IFERROR(VLOOKUP($F81,bug_conf_sheet!$A:$H,6,FALSE),VLOOKUP("other",bug_conf_sheet!$A:$H,6,FALSE))</f>
        <v>0</v>
      </c>
      <c r="R81" s="35">
        <f>IFERROR(VLOOKUP($F81,bug_conf_sheet!$A:$H,7,FALSE),VLOOKUP("other",bug_conf_sheet!$A:$H,7,FALSE))</f>
        <v>0</v>
      </c>
      <c r="S81" s="35">
        <f>IFERROR(VLOOKUP($F81,bug_conf_sheet!$A:$H,8,FALSE),VLOOKUP("other",bug_conf_sheet!$A:$H,8,FALSE))</f>
        <v>1</v>
      </c>
    </row>
    <row r="82" spans="1:19" ht="21" customHeight="1">
      <c r="A82" s="7" t="str">
        <f t="shared" si="5"/>
        <v>3071495</v>
      </c>
      <c r="B82" s="2" t="str">
        <f t="shared" si="7"/>
        <v>3071</v>
      </c>
      <c r="C82" s="8" t="str">
        <f t="shared" si="8"/>
        <v>1PremiumSS5</v>
      </c>
      <c r="D82" s="8" t="str">
        <f t="shared" si="6"/>
        <v>1PremiumSS5</v>
      </c>
      <c r="E82" s="10">
        <v>1</v>
      </c>
      <c r="F82" s="63">
        <v>495</v>
      </c>
      <c r="G82" s="8" t="str">
        <f>VLOOKUP(F82,[1]characters!$A:$C,3,FALSE)</f>
        <v>鼠災呼ぶ笛音 ハーメルン</v>
      </c>
      <c r="H82" s="8" t="str">
        <f>VLOOKUP(F82,[1]characters!$A:$J,10,FALSE)</f>
        <v>PremiumSS</v>
      </c>
      <c r="I82" s="8">
        <f>VLOOKUP(F82,[1]characters!$A:$I,9,FALSE)</f>
        <v>5</v>
      </c>
      <c r="J82" s="8" t="str">
        <f>VLOOKUP(F82,[1]characters!$A:$H,8,FALSE)</f>
        <v>green</v>
      </c>
      <c r="K82" s="8" t="str">
        <f>VLOOKUP(F82,[1]characters!$A:$K,11,FALSE)</f>
        <v>technical</v>
      </c>
      <c r="L82" s="8" t="str">
        <f>VLOOKUP(F82,[1]characters!$A:$M,13,FALSE)</f>
        <v>human</v>
      </c>
      <c r="M82" s="13">
        <f>VLOOKUP(D82,gacha_307_base!A:B,2,FALSE)</f>
        <v>132</v>
      </c>
      <c r="N82" s="35">
        <f>IFERROR(VLOOKUP($F82,bug_conf_sheet!$A:$H,3,FALSE),VLOOKUP("other",bug_conf_sheet!$A:$H,3,FALSE))</f>
        <v>1</v>
      </c>
      <c r="O82" s="35">
        <f>IFERROR(VLOOKUP($F82,bug_conf_sheet!$A:$H,4,FALSE),VLOOKUP("other",bug_conf_sheet!$A:$H,4,FALSE))</f>
        <v>0</v>
      </c>
      <c r="P82" s="35">
        <f>IFERROR(VLOOKUP($F82,bug_conf_sheet!$A:$H,5,FALSE),VLOOKUP("other",bug_conf_sheet!$A:$H,5,FALSE))</f>
        <v>0</v>
      </c>
      <c r="Q82" s="35">
        <f>IFERROR(VLOOKUP($F82,bug_conf_sheet!$A:$H,6,FALSE),VLOOKUP("other",bug_conf_sheet!$A:$H,6,FALSE))</f>
        <v>0</v>
      </c>
      <c r="R82" s="35">
        <f>IFERROR(VLOOKUP($F82,bug_conf_sheet!$A:$H,7,FALSE),VLOOKUP("other",bug_conf_sheet!$A:$H,7,FALSE))</f>
        <v>0</v>
      </c>
      <c r="S82" s="35">
        <f>IFERROR(VLOOKUP($F82,bug_conf_sheet!$A:$H,8,FALSE),VLOOKUP("other",bug_conf_sheet!$A:$H,8,FALSE))</f>
        <v>1</v>
      </c>
    </row>
    <row r="83" spans="1:19" ht="21" customHeight="1">
      <c r="A83" s="7" t="str">
        <f t="shared" si="5"/>
        <v>3071496</v>
      </c>
      <c r="B83" s="2" t="str">
        <f t="shared" si="7"/>
        <v>3071</v>
      </c>
      <c r="C83" s="8" t="str">
        <f t="shared" si="8"/>
        <v>1PremiumS3</v>
      </c>
      <c r="D83" s="8" t="str">
        <f t="shared" si="6"/>
        <v>1PremiumS3</v>
      </c>
      <c r="E83" s="10">
        <v>1</v>
      </c>
      <c r="F83" s="63">
        <v>496</v>
      </c>
      <c r="G83" s="8" t="str">
        <f>VLOOKUP(F83,[1]characters!$A:$C,3,FALSE)</f>
        <v>エスタブ</v>
      </c>
      <c r="H83" s="8" t="str">
        <f>VLOOKUP(F83,[1]characters!$A:$J,10,FALSE)</f>
        <v>PremiumS</v>
      </c>
      <c r="I83" s="8">
        <f>VLOOKUP(F83,[1]characters!$A:$I,9,FALSE)</f>
        <v>3</v>
      </c>
      <c r="J83" s="8" t="str">
        <f>VLOOKUP(F83,[1]characters!$A:$H,8,FALSE)</f>
        <v>blue</v>
      </c>
      <c r="K83" s="8" t="str">
        <f>VLOOKUP(F83,[1]characters!$A:$K,11,FALSE)</f>
        <v>attack</v>
      </c>
      <c r="L83" s="8" t="str">
        <f>VLOOKUP(F83,[1]characters!$A:$M,13,FALSE)</f>
        <v>human</v>
      </c>
      <c r="M83" s="13">
        <f>VLOOKUP(D83,gacha_307_base!A:B,2,FALSE)</f>
        <v>16741</v>
      </c>
      <c r="N83" s="35">
        <f>IFERROR(VLOOKUP($F83,bug_conf_sheet!$A:$H,3,FALSE),VLOOKUP("other",bug_conf_sheet!$A:$H,3,FALSE))</f>
        <v>1</v>
      </c>
      <c r="O83" s="35">
        <f>IFERROR(VLOOKUP($F83,bug_conf_sheet!$A:$H,4,FALSE),VLOOKUP("other",bug_conf_sheet!$A:$H,4,FALSE))</f>
        <v>0</v>
      </c>
      <c r="P83" s="35">
        <f>IFERROR(VLOOKUP($F83,bug_conf_sheet!$A:$H,5,FALSE),VLOOKUP("other",bug_conf_sheet!$A:$H,5,FALSE))</f>
        <v>0</v>
      </c>
      <c r="Q83" s="35">
        <f>IFERROR(VLOOKUP($F83,bug_conf_sheet!$A:$H,6,FALSE),VLOOKUP("other",bug_conf_sheet!$A:$H,6,FALSE))</f>
        <v>0</v>
      </c>
      <c r="R83" s="35">
        <f>IFERROR(VLOOKUP($F83,bug_conf_sheet!$A:$H,7,FALSE),VLOOKUP("other",bug_conf_sheet!$A:$H,7,FALSE))</f>
        <v>0</v>
      </c>
      <c r="S83" s="35">
        <f>IFERROR(VLOOKUP($F83,bug_conf_sheet!$A:$H,8,FALSE),VLOOKUP("other",bug_conf_sheet!$A:$H,8,FALSE))</f>
        <v>1</v>
      </c>
    </row>
    <row r="84" spans="1:19" ht="21" customHeight="1">
      <c r="A84" s="7" t="str">
        <f t="shared" si="5"/>
        <v>3071497</v>
      </c>
      <c r="B84" s="2" t="str">
        <f t="shared" si="7"/>
        <v>3071</v>
      </c>
      <c r="C84" s="8" t="str">
        <f t="shared" si="8"/>
        <v>1PremiumS4</v>
      </c>
      <c r="D84" s="8" t="str">
        <f t="shared" si="6"/>
        <v>1PremiumS4</v>
      </c>
      <c r="E84" s="10">
        <v>1</v>
      </c>
      <c r="F84" s="63">
        <v>497</v>
      </c>
      <c r="G84" s="8" t="str">
        <f>VLOOKUP(F84,[1]characters!$A:$C,3,FALSE)</f>
        <v>偏愛の野獣 エスタブ</v>
      </c>
      <c r="H84" s="8" t="str">
        <f>VLOOKUP(F84,[1]characters!$A:$J,10,FALSE)</f>
        <v>PremiumS</v>
      </c>
      <c r="I84" s="8">
        <f>VLOOKUP(F84,[1]characters!$A:$I,9,FALSE)</f>
        <v>4</v>
      </c>
      <c r="J84" s="8" t="str">
        <f>VLOOKUP(F84,[1]characters!$A:$H,8,FALSE)</f>
        <v>blue</v>
      </c>
      <c r="K84" s="8" t="str">
        <f>VLOOKUP(F84,[1]characters!$A:$K,11,FALSE)</f>
        <v>attack</v>
      </c>
      <c r="L84" s="8" t="str">
        <f>VLOOKUP(F84,[1]characters!$A:$M,13,FALSE)</f>
        <v>human</v>
      </c>
      <c r="M84" s="13">
        <f>VLOOKUP(D84,gacha_307_base!A:B,2,FALSE)</f>
        <v>15050</v>
      </c>
      <c r="N84" s="35">
        <f>IFERROR(VLOOKUP($F84,bug_conf_sheet!$A:$H,3,FALSE),VLOOKUP("other",bug_conf_sheet!$A:$H,3,FALSE))</f>
        <v>1</v>
      </c>
      <c r="O84" s="35">
        <f>IFERROR(VLOOKUP($F84,bug_conf_sheet!$A:$H,4,FALSE),VLOOKUP("other",bug_conf_sheet!$A:$H,4,FALSE))</f>
        <v>0</v>
      </c>
      <c r="P84" s="35">
        <f>IFERROR(VLOOKUP($F84,bug_conf_sheet!$A:$H,5,FALSE),VLOOKUP("other",bug_conf_sheet!$A:$H,5,FALSE))</f>
        <v>0</v>
      </c>
      <c r="Q84" s="35">
        <f>IFERROR(VLOOKUP($F84,bug_conf_sheet!$A:$H,6,FALSE),VLOOKUP("other",bug_conf_sheet!$A:$H,6,FALSE))</f>
        <v>0</v>
      </c>
      <c r="R84" s="35">
        <f>IFERROR(VLOOKUP($F84,bug_conf_sheet!$A:$H,7,FALSE),VLOOKUP("other",bug_conf_sheet!$A:$H,7,FALSE))</f>
        <v>0</v>
      </c>
      <c r="S84" s="35">
        <f>IFERROR(VLOOKUP($F84,bug_conf_sheet!$A:$H,8,FALSE),VLOOKUP("other",bug_conf_sheet!$A:$H,8,FALSE))</f>
        <v>1</v>
      </c>
    </row>
    <row r="85" spans="1:19" ht="21" customHeight="1">
      <c r="A85" s="7" t="str">
        <f t="shared" si="5"/>
        <v>3071498</v>
      </c>
      <c r="B85" s="2" t="str">
        <f t="shared" si="7"/>
        <v>3071</v>
      </c>
      <c r="C85" s="8" t="str">
        <f t="shared" si="8"/>
        <v>1PremiumS5</v>
      </c>
      <c r="D85" s="8" t="str">
        <f t="shared" si="6"/>
        <v>1PremiumS5</v>
      </c>
      <c r="E85" s="10">
        <v>1</v>
      </c>
      <c r="F85" s="63">
        <v>498</v>
      </c>
      <c r="G85" s="8" t="str">
        <f>VLOOKUP(F85,[1]characters!$A:$C,3,FALSE)</f>
        <v>自愛の高魔 エスタブ</v>
      </c>
      <c r="H85" s="8" t="str">
        <f>VLOOKUP(F85,[1]characters!$A:$J,10,FALSE)</f>
        <v>PremiumS</v>
      </c>
      <c r="I85" s="8">
        <f>VLOOKUP(F85,[1]characters!$A:$I,9,FALSE)</f>
        <v>5</v>
      </c>
      <c r="J85" s="8" t="str">
        <f>VLOOKUP(F85,[1]characters!$A:$H,8,FALSE)</f>
        <v>blue</v>
      </c>
      <c r="K85" s="8" t="str">
        <f>VLOOKUP(F85,[1]characters!$A:$K,11,FALSE)</f>
        <v>attack</v>
      </c>
      <c r="L85" s="8" t="str">
        <f>VLOOKUP(F85,[1]characters!$A:$M,13,FALSE)</f>
        <v>human</v>
      </c>
      <c r="M85" s="13">
        <f>VLOOKUP(D85,gacha_307_base!A:B,2,FALSE)</f>
        <v>1691</v>
      </c>
      <c r="N85" s="35">
        <f>IFERROR(VLOOKUP($F85,bug_conf_sheet!$A:$H,3,FALSE),VLOOKUP("other",bug_conf_sheet!$A:$H,3,FALSE))</f>
        <v>1</v>
      </c>
      <c r="O85" s="35">
        <f>IFERROR(VLOOKUP($F85,bug_conf_sheet!$A:$H,4,FALSE),VLOOKUP("other",bug_conf_sheet!$A:$H,4,FALSE))</f>
        <v>0</v>
      </c>
      <c r="P85" s="35">
        <f>IFERROR(VLOOKUP($F85,bug_conf_sheet!$A:$H,5,FALSE),VLOOKUP("other",bug_conf_sheet!$A:$H,5,FALSE))</f>
        <v>0</v>
      </c>
      <c r="Q85" s="35">
        <f>IFERROR(VLOOKUP($F85,bug_conf_sheet!$A:$H,6,FALSE),VLOOKUP("other",bug_conf_sheet!$A:$H,6,FALSE))</f>
        <v>0</v>
      </c>
      <c r="R85" s="35">
        <f>IFERROR(VLOOKUP($F85,bug_conf_sheet!$A:$H,7,FALSE),VLOOKUP("other",bug_conf_sheet!$A:$H,7,FALSE))</f>
        <v>0</v>
      </c>
      <c r="S85" s="35">
        <f>IFERROR(VLOOKUP($F85,bug_conf_sheet!$A:$H,8,FALSE),VLOOKUP("other",bug_conf_sheet!$A:$H,8,FALSE))</f>
        <v>1</v>
      </c>
    </row>
    <row r="86" spans="1:19" ht="21" customHeight="1">
      <c r="A86" s="7" t="str">
        <f t="shared" si="5"/>
        <v>3071596</v>
      </c>
      <c r="B86" s="2" t="str">
        <f t="shared" si="7"/>
        <v>3071</v>
      </c>
      <c r="C86" s="8" t="str">
        <f t="shared" si="8"/>
        <v>1PremiumS3</v>
      </c>
      <c r="D86" s="8" t="str">
        <f t="shared" si="6"/>
        <v>1PremiumS3</v>
      </c>
      <c r="E86" s="10">
        <v>1</v>
      </c>
      <c r="F86" s="63">
        <v>596</v>
      </c>
      <c r="G86" s="8" t="str">
        <f>VLOOKUP(F86,[1]characters!$A:$C,3,FALSE)</f>
        <v>ムスペルヘイム</v>
      </c>
      <c r="H86" s="8" t="str">
        <f>VLOOKUP(F86,[1]characters!$A:$J,10,FALSE)</f>
        <v>PremiumS</v>
      </c>
      <c r="I86" s="8">
        <f>VLOOKUP(F86,[1]characters!$A:$I,9,FALSE)</f>
        <v>3</v>
      </c>
      <c r="J86" s="8" t="str">
        <f>VLOOKUP(F86,[1]characters!$A:$H,8,FALSE)</f>
        <v>red</v>
      </c>
      <c r="K86" s="8" t="str">
        <f>VLOOKUP(F86,[1]characters!$A:$K,11,FALSE)</f>
        <v>balance</v>
      </c>
      <c r="L86" s="8" t="str">
        <f>VLOOKUP(F86,[1]characters!$A:$M,13,FALSE)</f>
        <v>human</v>
      </c>
      <c r="M86" s="13">
        <f>VLOOKUP(D86,gacha_307_base!A:B,2,FALSE)</f>
        <v>16741</v>
      </c>
      <c r="N86" s="35">
        <f>IFERROR(VLOOKUP($F86,bug_conf_sheet!$A:$H,3,FALSE),VLOOKUP("other",bug_conf_sheet!$A:$H,3,FALSE))</f>
        <v>1</v>
      </c>
      <c r="O86" s="35">
        <f>IFERROR(VLOOKUP($F86,bug_conf_sheet!$A:$H,4,FALSE),VLOOKUP("other",bug_conf_sheet!$A:$H,4,FALSE))</f>
        <v>0</v>
      </c>
      <c r="P86" s="35">
        <f>IFERROR(VLOOKUP($F86,bug_conf_sheet!$A:$H,5,FALSE),VLOOKUP("other",bug_conf_sheet!$A:$H,5,FALSE))</f>
        <v>0</v>
      </c>
      <c r="Q86" s="35">
        <f>IFERROR(VLOOKUP($F86,bug_conf_sheet!$A:$H,6,FALSE),VLOOKUP("other",bug_conf_sheet!$A:$H,6,FALSE))</f>
        <v>0</v>
      </c>
      <c r="R86" s="35">
        <f>IFERROR(VLOOKUP($F86,bug_conf_sheet!$A:$H,7,FALSE),VLOOKUP("other",bug_conf_sheet!$A:$H,7,FALSE))</f>
        <v>0</v>
      </c>
      <c r="S86" s="35">
        <f>IFERROR(VLOOKUP($F86,bug_conf_sheet!$A:$H,8,FALSE),VLOOKUP("other",bug_conf_sheet!$A:$H,8,FALSE))</f>
        <v>1</v>
      </c>
    </row>
    <row r="87" spans="1:19" ht="21" customHeight="1">
      <c r="A87" s="7" t="str">
        <f t="shared" si="5"/>
        <v>3071597</v>
      </c>
      <c r="B87" s="2" t="str">
        <f t="shared" si="7"/>
        <v>3071</v>
      </c>
      <c r="C87" s="8" t="str">
        <f t="shared" si="8"/>
        <v>1PremiumS4</v>
      </c>
      <c r="D87" s="8" t="str">
        <f t="shared" si="6"/>
        <v>1PremiumS4</v>
      </c>
      <c r="E87" s="10">
        <v>1</v>
      </c>
      <c r="F87" s="63">
        <v>597</v>
      </c>
      <c r="G87" s="8" t="str">
        <f>VLOOKUP(F87,[1]characters!$A:$C,3,FALSE)</f>
        <v>灼熱の魂 ムスペルヘイム</v>
      </c>
      <c r="H87" s="8" t="str">
        <f>VLOOKUP(F87,[1]characters!$A:$J,10,FALSE)</f>
        <v>PremiumS</v>
      </c>
      <c r="I87" s="8">
        <f>VLOOKUP(F87,[1]characters!$A:$I,9,FALSE)</f>
        <v>4</v>
      </c>
      <c r="J87" s="8" t="str">
        <f>VLOOKUP(F87,[1]characters!$A:$H,8,FALSE)</f>
        <v>red</v>
      </c>
      <c r="K87" s="8" t="str">
        <f>VLOOKUP(F87,[1]characters!$A:$K,11,FALSE)</f>
        <v>balance</v>
      </c>
      <c r="L87" s="8" t="str">
        <f>VLOOKUP(F87,[1]characters!$A:$M,13,FALSE)</f>
        <v>human</v>
      </c>
      <c r="M87" s="13">
        <f>VLOOKUP(D87,gacha_307_base!A:B,2,FALSE)</f>
        <v>15050</v>
      </c>
      <c r="N87" s="35">
        <f>IFERROR(VLOOKUP($F87,bug_conf_sheet!$A:$H,3,FALSE),VLOOKUP("other",bug_conf_sheet!$A:$H,3,FALSE))</f>
        <v>1</v>
      </c>
      <c r="O87" s="35">
        <f>IFERROR(VLOOKUP($F87,bug_conf_sheet!$A:$H,4,FALSE),VLOOKUP("other",bug_conf_sheet!$A:$H,4,FALSE))</f>
        <v>0</v>
      </c>
      <c r="P87" s="35">
        <f>IFERROR(VLOOKUP($F87,bug_conf_sheet!$A:$H,5,FALSE),VLOOKUP("other",bug_conf_sheet!$A:$H,5,FALSE))</f>
        <v>0</v>
      </c>
      <c r="Q87" s="35">
        <f>IFERROR(VLOOKUP($F87,bug_conf_sheet!$A:$H,6,FALSE),VLOOKUP("other",bug_conf_sheet!$A:$H,6,FALSE))</f>
        <v>0</v>
      </c>
      <c r="R87" s="35">
        <f>IFERROR(VLOOKUP($F87,bug_conf_sheet!$A:$H,7,FALSE),VLOOKUP("other",bug_conf_sheet!$A:$H,7,FALSE))</f>
        <v>0</v>
      </c>
      <c r="S87" s="35">
        <f>IFERROR(VLOOKUP($F87,bug_conf_sheet!$A:$H,8,FALSE),VLOOKUP("other",bug_conf_sheet!$A:$H,8,FALSE))</f>
        <v>1</v>
      </c>
    </row>
    <row r="88" spans="1:19" ht="21" customHeight="1">
      <c r="A88" s="7" t="str">
        <f t="shared" si="5"/>
        <v>3071598</v>
      </c>
      <c r="B88" s="2" t="str">
        <f t="shared" si="7"/>
        <v>3071</v>
      </c>
      <c r="C88" s="8" t="str">
        <f t="shared" si="8"/>
        <v>1PremiumS5</v>
      </c>
      <c r="D88" s="8" t="str">
        <f t="shared" si="6"/>
        <v>1PremiumS5</v>
      </c>
      <c r="E88" s="10">
        <v>1</v>
      </c>
      <c r="F88" s="63">
        <v>598</v>
      </c>
      <c r="G88" s="8" t="str">
        <f>VLOOKUP(F88,[1]characters!$A:$C,3,FALSE)</f>
        <v>焼燃の情熱 ムスペルヘイム</v>
      </c>
      <c r="H88" s="8" t="str">
        <f>VLOOKUP(F88,[1]characters!$A:$J,10,FALSE)</f>
        <v>PremiumS</v>
      </c>
      <c r="I88" s="8">
        <f>VLOOKUP(F88,[1]characters!$A:$I,9,FALSE)</f>
        <v>5</v>
      </c>
      <c r="J88" s="8" t="str">
        <f>VLOOKUP(F88,[1]characters!$A:$H,8,FALSE)</f>
        <v>red</v>
      </c>
      <c r="K88" s="8" t="str">
        <f>VLOOKUP(F88,[1]characters!$A:$K,11,FALSE)</f>
        <v>balance</v>
      </c>
      <c r="L88" s="8" t="str">
        <f>VLOOKUP(F88,[1]characters!$A:$M,13,FALSE)</f>
        <v>human</v>
      </c>
      <c r="M88" s="13">
        <f>VLOOKUP(D88,gacha_307_base!A:B,2,FALSE)</f>
        <v>1691</v>
      </c>
      <c r="N88" s="35">
        <f>IFERROR(VLOOKUP($F88,bug_conf_sheet!$A:$H,3,FALSE),VLOOKUP("other",bug_conf_sheet!$A:$H,3,FALSE))</f>
        <v>1</v>
      </c>
      <c r="O88" s="35">
        <f>IFERROR(VLOOKUP($F88,bug_conf_sheet!$A:$H,4,FALSE),VLOOKUP("other",bug_conf_sheet!$A:$H,4,FALSE))</f>
        <v>0</v>
      </c>
      <c r="P88" s="35">
        <f>IFERROR(VLOOKUP($F88,bug_conf_sheet!$A:$H,5,FALSE),VLOOKUP("other",bug_conf_sheet!$A:$H,5,FALSE))</f>
        <v>0</v>
      </c>
      <c r="Q88" s="35">
        <f>IFERROR(VLOOKUP($F88,bug_conf_sheet!$A:$H,6,FALSE),VLOOKUP("other",bug_conf_sheet!$A:$H,6,FALSE))</f>
        <v>0</v>
      </c>
      <c r="R88" s="35">
        <f>IFERROR(VLOOKUP($F88,bug_conf_sheet!$A:$H,7,FALSE),VLOOKUP("other",bug_conf_sheet!$A:$H,7,FALSE))</f>
        <v>0</v>
      </c>
      <c r="S88" s="35">
        <f>IFERROR(VLOOKUP($F88,bug_conf_sheet!$A:$H,8,FALSE),VLOOKUP("other",bug_conf_sheet!$A:$H,8,FALSE))</f>
        <v>1</v>
      </c>
    </row>
    <row r="89" spans="1:19" ht="21" customHeight="1">
      <c r="A89" s="7" t="str">
        <f t="shared" si="5"/>
        <v>3071604</v>
      </c>
      <c r="B89" s="2" t="str">
        <f t="shared" si="7"/>
        <v>3071</v>
      </c>
      <c r="C89" s="8" t="str">
        <f t="shared" si="8"/>
        <v>1PremiumS3</v>
      </c>
      <c r="D89" s="8" t="str">
        <f t="shared" si="6"/>
        <v>1PremiumS3</v>
      </c>
      <c r="E89" s="10">
        <v>1</v>
      </c>
      <c r="F89" s="63">
        <v>604</v>
      </c>
      <c r="G89" s="8" t="str">
        <f>VLOOKUP(F89,[1]characters!$A:$C,3,FALSE)</f>
        <v>バルドル</v>
      </c>
      <c r="H89" s="8" t="str">
        <f>VLOOKUP(F89,[1]characters!$A:$J,10,FALSE)</f>
        <v>PremiumS</v>
      </c>
      <c r="I89" s="8">
        <f>VLOOKUP(F89,[1]characters!$A:$I,9,FALSE)</f>
        <v>3</v>
      </c>
      <c r="J89" s="8" t="str">
        <f>VLOOKUP(F89,[1]characters!$A:$H,8,FALSE)</f>
        <v>yellow</v>
      </c>
      <c r="K89" s="8" t="str">
        <f>VLOOKUP(F89,[1]characters!$A:$K,11,FALSE)</f>
        <v>heal</v>
      </c>
      <c r="L89" s="8" t="str">
        <f>VLOOKUP(F89,[1]characters!$A:$M,13,FALSE)</f>
        <v>god</v>
      </c>
      <c r="M89" s="13">
        <f>VLOOKUP(D89,gacha_307_base!A:B,2,FALSE)</f>
        <v>16741</v>
      </c>
      <c r="N89" s="35">
        <f>IFERROR(VLOOKUP($F89,bug_conf_sheet!$A:$H,3,FALSE),VLOOKUP("other",bug_conf_sheet!$A:$H,3,FALSE))</f>
        <v>1</v>
      </c>
      <c r="O89" s="35">
        <f>IFERROR(VLOOKUP($F89,bug_conf_sheet!$A:$H,4,FALSE),VLOOKUP("other",bug_conf_sheet!$A:$H,4,FALSE))</f>
        <v>0</v>
      </c>
      <c r="P89" s="35">
        <f>IFERROR(VLOOKUP($F89,bug_conf_sheet!$A:$H,5,FALSE),VLOOKUP("other",bug_conf_sheet!$A:$H,5,FALSE))</f>
        <v>0</v>
      </c>
      <c r="Q89" s="35">
        <f>IFERROR(VLOOKUP($F89,bug_conf_sheet!$A:$H,6,FALSE),VLOOKUP("other",bug_conf_sheet!$A:$H,6,FALSE))</f>
        <v>0</v>
      </c>
      <c r="R89" s="35">
        <f>IFERROR(VLOOKUP($F89,bug_conf_sheet!$A:$H,7,FALSE),VLOOKUP("other",bug_conf_sheet!$A:$H,7,FALSE))</f>
        <v>0</v>
      </c>
      <c r="S89" s="35">
        <f>IFERROR(VLOOKUP($F89,bug_conf_sheet!$A:$H,8,FALSE),VLOOKUP("other",bug_conf_sheet!$A:$H,8,FALSE))</f>
        <v>1</v>
      </c>
    </row>
    <row r="90" spans="1:19" ht="21" customHeight="1">
      <c r="A90" s="7" t="str">
        <f t="shared" si="5"/>
        <v>3071605</v>
      </c>
      <c r="B90" s="2" t="str">
        <f t="shared" si="7"/>
        <v>3071</v>
      </c>
      <c r="C90" s="8" t="str">
        <f t="shared" si="8"/>
        <v>1PremiumS4</v>
      </c>
      <c r="D90" s="8" t="str">
        <f t="shared" si="6"/>
        <v>1PremiumS4</v>
      </c>
      <c r="E90" s="10">
        <v>1</v>
      </c>
      <c r="F90" s="63">
        <v>605</v>
      </c>
      <c r="G90" s="8" t="str">
        <f>VLOOKUP(F90,[1]characters!$A:$C,3,FALSE)</f>
        <v>祝福される光耀 バルドル</v>
      </c>
      <c r="H90" s="8" t="str">
        <f>VLOOKUP(F90,[1]characters!$A:$J,10,FALSE)</f>
        <v>PremiumS</v>
      </c>
      <c r="I90" s="8">
        <f>VLOOKUP(F90,[1]characters!$A:$I,9,FALSE)</f>
        <v>4</v>
      </c>
      <c r="J90" s="8" t="str">
        <f>VLOOKUP(F90,[1]characters!$A:$H,8,FALSE)</f>
        <v>yellow</v>
      </c>
      <c r="K90" s="8" t="str">
        <f>VLOOKUP(F90,[1]characters!$A:$K,11,FALSE)</f>
        <v>heal</v>
      </c>
      <c r="L90" s="8" t="str">
        <f>VLOOKUP(F90,[1]characters!$A:$M,13,FALSE)</f>
        <v>god</v>
      </c>
      <c r="M90" s="13">
        <f>VLOOKUP(D90,gacha_307_base!A:B,2,FALSE)</f>
        <v>15050</v>
      </c>
      <c r="N90" s="35">
        <f>IFERROR(VLOOKUP($F90,bug_conf_sheet!$A:$H,3,FALSE),VLOOKUP("other",bug_conf_sheet!$A:$H,3,FALSE))</f>
        <v>1</v>
      </c>
      <c r="O90" s="35">
        <f>IFERROR(VLOOKUP($F90,bug_conf_sheet!$A:$H,4,FALSE),VLOOKUP("other",bug_conf_sheet!$A:$H,4,FALSE))</f>
        <v>0</v>
      </c>
      <c r="P90" s="35">
        <f>IFERROR(VLOOKUP($F90,bug_conf_sheet!$A:$H,5,FALSE),VLOOKUP("other",bug_conf_sheet!$A:$H,5,FALSE))</f>
        <v>0</v>
      </c>
      <c r="Q90" s="35">
        <f>IFERROR(VLOOKUP($F90,bug_conf_sheet!$A:$H,6,FALSE),VLOOKUP("other",bug_conf_sheet!$A:$H,6,FALSE))</f>
        <v>0</v>
      </c>
      <c r="R90" s="35">
        <f>IFERROR(VLOOKUP($F90,bug_conf_sheet!$A:$H,7,FALSE),VLOOKUP("other",bug_conf_sheet!$A:$H,7,FALSE))</f>
        <v>0</v>
      </c>
      <c r="S90" s="35">
        <f>IFERROR(VLOOKUP($F90,bug_conf_sheet!$A:$H,8,FALSE),VLOOKUP("other",bug_conf_sheet!$A:$H,8,FALSE))</f>
        <v>1</v>
      </c>
    </row>
    <row r="91" spans="1:19" ht="21" customHeight="1">
      <c r="A91" s="7" t="str">
        <f t="shared" si="5"/>
        <v>3071606</v>
      </c>
      <c r="B91" s="2" t="str">
        <f t="shared" si="7"/>
        <v>3071</v>
      </c>
      <c r="C91" s="8" t="str">
        <f t="shared" si="8"/>
        <v>1PremiumS5</v>
      </c>
      <c r="D91" s="8" t="str">
        <f t="shared" si="6"/>
        <v>1PremiumS5</v>
      </c>
      <c r="E91" s="10">
        <v>1</v>
      </c>
      <c r="F91" s="63">
        <v>606</v>
      </c>
      <c r="G91" s="8" t="str">
        <f>VLOOKUP(F91,[1]characters!$A:$C,3,FALSE)</f>
        <v>冀望の光芒 バルドル</v>
      </c>
      <c r="H91" s="8" t="str">
        <f>VLOOKUP(F91,[1]characters!$A:$J,10,FALSE)</f>
        <v>PremiumS</v>
      </c>
      <c r="I91" s="8">
        <f>VLOOKUP(F91,[1]characters!$A:$I,9,FALSE)</f>
        <v>5</v>
      </c>
      <c r="J91" s="8" t="str">
        <f>VLOOKUP(F91,[1]characters!$A:$H,8,FALSE)</f>
        <v>yellow</v>
      </c>
      <c r="K91" s="8" t="str">
        <f>VLOOKUP(F91,[1]characters!$A:$K,11,FALSE)</f>
        <v>heal</v>
      </c>
      <c r="L91" s="8" t="str">
        <f>VLOOKUP(F91,[1]characters!$A:$M,13,FALSE)</f>
        <v>god</v>
      </c>
      <c r="M91" s="13">
        <f>VLOOKUP(D91,gacha_307_base!A:B,2,FALSE)</f>
        <v>1691</v>
      </c>
      <c r="N91" s="35">
        <f>IFERROR(VLOOKUP($F91,bug_conf_sheet!$A:$H,3,FALSE),VLOOKUP("other",bug_conf_sheet!$A:$H,3,FALSE))</f>
        <v>1</v>
      </c>
      <c r="O91" s="35">
        <f>IFERROR(VLOOKUP($F91,bug_conf_sheet!$A:$H,4,FALSE),VLOOKUP("other",bug_conf_sheet!$A:$H,4,FALSE))</f>
        <v>0</v>
      </c>
      <c r="P91" s="35">
        <f>IFERROR(VLOOKUP($F91,bug_conf_sheet!$A:$H,5,FALSE),VLOOKUP("other",bug_conf_sheet!$A:$H,5,FALSE))</f>
        <v>0</v>
      </c>
      <c r="Q91" s="35">
        <f>IFERROR(VLOOKUP($F91,bug_conf_sheet!$A:$H,6,FALSE),VLOOKUP("other",bug_conf_sheet!$A:$H,6,FALSE))</f>
        <v>0</v>
      </c>
      <c r="R91" s="35">
        <f>IFERROR(VLOOKUP($F91,bug_conf_sheet!$A:$H,7,FALSE),VLOOKUP("other",bug_conf_sheet!$A:$H,7,FALSE))</f>
        <v>0</v>
      </c>
      <c r="S91" s="35">
        <f>IFERROR(VLOOKUP($F91,bug_conf_sheet!$A:$H,8,FALSE),VLOOKUP("other",bug_conf_sheet!$A:$H,8,FALSE))</f>
        <v>1</v>
      </c>
    </row>
    <row r="92" spans="1:19" ht="21" customHeight="1">
      <c r="A92" s="7" t="str">
        <f t="shared" si="5"/>
        <v>3071660</v>
      </c>
      <c r="B92" s="2" t="str">
        <f t="shared" si="7"/>
        <v>3071</v>
      </c>
      <c r="C92" s="8" t="str">
        <f t="shared" si="8"/>
        <v>1PremiumSS4</v>
      </c>
      <c r="D92" s="8" t="str">
        <f t="shared" si="6"/>
        <v>1PremiumSS4</v>
      </c>
      <c r="E92" s="10">
        <v>1</v>
      </c>
      <c r="F92" s="63">
        <v>660</v>
      </c>
      <c r="G92" s="8" t="str">
        <f>VLOOKUP(F92,[1]characters!$A:$C,3,FALSE)</f>
        <v>烏天狗 フウガ</v>
      </c>
      <c r="H92" s="8" t="str">
        <f>VLOOKUP(F92,[1]characters!$A:$J,10,FALSE)</f>
        <v>PremiumSS</v>
      </c>
      <c r="I92" s="8">
        <f>VLOOKUP(F92,[1]characters!$A:$I,9,FALSE)</f>
        <v>4</v>
      </c>
      <c r="J92" s="8" t="str">
        <f>VLOOKUP(F92,[1]characters!$A:$H,8,FALSE)</f>
        <v>green</v>
      </c>
      <c r="K92" s="8" t="str">
        <f>VLOOKUP(F92,[1]characters!$A:$K,11,FALSE)</f>
        <v>balance</v>
      </c>
      <c r="L92" s="8" t="str">
        <f>VLOOKUP(F92,[1]characters!$A:$M,13,FALSE)</f>
        <v>animal</v>
      </c>
      <c r="M92" s="13">
        <f>VLOOKUP(D92,gacha_307_base!A:B,2,FALSE)</f>
        <v>2483</v>
      </c>
      <c r="N92" s="35">
        <f>IFERROR(VLOOKUP($F92,bug_conf_sheet!$A:$H,3,FALSE),VLOOKUP("other",bug_conf_sheet!$A:$H,3,FALSE))</f>
        <v>1</v>
      </c>
      <c r="O92" s="35">
        <f>IFERROR(VLOOKUP($F92,bug_conf_sheet!$A:$H,4,FALSE),VLOOKUP("other",bug_conf_sheet!$A:$H,4,FALSE))</f>
        <v>0</v>
      </c>
      <c r="P92" s="35">
        <f>IFERROR(VLOOKUP($F92,bug_conf_sheet!$A:$H,5,FALSE),VLOOKUP("other",bug_conf_sheet!$A:$H,5,FALSE))</f>
        <v>0</v>
      </c>
      <c r="Q92" s="35">
        <f>IFERROR(VLOOKUP($F92,bug_conf_sheet!$A:$H,6,FALSE),VLOOKUP("other",bug_conf_sheet!$A:$H,6,FALSE))</f>
        <v>0</v>
      </c>
      <c r="R92" s="35">
        <f>IFERROR(VLOOKUP($F92,bug_conf_sheet!$A:$H,7,FALSE),VLOOKUP("other",bug_conf_sheet!$A:$H,7,FALSE))</f>
        <v>0</v>
      </c>
      <c r="S92" s="35">
        <f>IFERROR(VLOOKUP($F92,bug_conf_sheet!$A:$H,8,FALSE),VLOOKUP("other",bug_conf_sheet!$A:$H,8,FALSE))</f>
        <v>1</v>
      </c>
    </row>
    <row r="93" spans="1:19" ht="21" customHeight="1">
      <c r="A93" s="7" t="str">
        <f t="shared" si="5"/>
        <v>3071661</v>
      </c>
      <c r="B93" s="2" t="str">
        <f t="shared" si="7"/>
        <v>3071</v>
      </c>
      <c r="C93" s="8" t="str">
        <f t="shared" si="8"/>
        <v>1PremiumSS5</v>
      </c>
      <c r="D93" s="8" t="str">
        <f t="shared" si="6"/>
        <v>1PremiumSS5</v>
      </c>
      <c r="E93" s="10">
        <v>1</v>
      </c>
      <c r="F93" s="63">
        <v>661</v>
      </c>
      <c r="G93" s="8" t="str">
        <f>VLOOKUP(F93,[1]characters!$A:$C,3,FALSE)</f>
        <v>疾風の天狗礫 フウガ</v>
      </c>
      <c r="H93" s="8" t="str">
        <f>VLOOKUP(F93,[1]characters!$A:$J,10,FALSE)</f>
        <v>PremiumSS</v>
      </c>
      <c r="I93" s="8">
        <f>VLOOKUP(F93,[1]characters!$A:$I,9,FALSE)</f>
        <v>5</v>
      </c>
      <c r="J93" s="8" t="str">
        <f>VLOOKUP(F93,[1]characters!$A:$H,8,FALSE)</f>
        <v>green</v>
      </c>
      <c r="K93" s="8" t="str">
        <f>VLOOKUP(F93,[1]characters!$A:$K,11,FALSE)</f>
        <v>balance</v>
      </c>
      <c r="L93" s="8" t="str">
        <f>VLOOKUP(F93,[1]characters!$A:$M,13,FALSE)</f>
        <v>animal</v>
      </c>
      <c r="M93" s="13">
        <f>VLOOKUP(D93,gacha_307_base!A:B,2,FALSE)</f>
        <v>132</v>
      </c>
      <c r="N93" s="35">
        <f>IFERROR(VLOOKUP($F93,bug_conf_sheet!$A:$H,3,FALSE),VLOOKUP("other",bug_conf_sheet!$A:$H,3,FALSE))</f>
        <v>1</v>
      </c>
      <c r="O93" s="35">
        <f>IFERROR(VLOOKUP($F93,bug_conf_sheet!$A:$H,4,FALSE),VLOOKUP("other",bug_conf_sheet!$A:$H,4,FALSE))</f>
        <v>0</v>
      </c>
      <c r="P93" s="35">
        <f>IFERROR(VLOOKUP($F93,bug_conf_sheet!$A:$H,5,FALSE),VLOOKUP("other",bug_conf_sheet!$A:$H,5,FALSE))</f>
        <v>0</v>
      </c>
      <c r="Q93" s="35">
        <f>IFERROR(VLOOKUP($F93,bug_conf_sheet!$A:$H,6,FALSE),VLOOKUP("other",bug_conf_sheet!$A:$H,6,FALSE))</f>
        <v>0</v>
      </c>
      <c r="R93" s="35">
        <f>IFERROR(VLOOKUP($F93,bug_conf_sheet!$A:$H,7,FALSE),VLOOKUP("other",bug_conf_sheet!$A:$H,7,FALSE))</f>
        <v>0</v>
      </c>
      <c r="S93" s="35">
        <f>IFERROR(VLOOKUP($F93,bug_conf_sheet!$A:$H,8,FALSE),VLOOKUP("other",bug_conf_sheet!$A:$H,8,FALSE))</f>
        <v>1</v>
      </c>
    </row>
    <row r="94" spans="1:19" ht="21" customHeight="1">
      <c r="B94" s="2"/>
      <c r="C94" s="8"/>
      <c r="D94" s="8"/>
      <c r="E94" s="10"/>
      <c r="F94" s="6"/>
      <c r="G94" s="8"/>
      <c r="H94" s="8"/>
      <c r="I94" s="8"/>
      <c r="J94" s="8"/>
      <c r="K94" s="8"/>
      <c r="L94" s="8"/>
      <c r="M94" s="13"/>
      <c r="N94" s="35"/>
      <c r="O94" s="35"/>
      <c r="P94" s="35"/>
      <c r="Q94" s="35"/>
      <c r="R94" s="35"/>
      <c r="S94" s="35"/>
    </row>
    <row r="95" spans="1:19" ht="21" customHeight="1">
      <c r="B95" s="2"/>
      <c r="C95" s="8"/>
      <c r="D95" s="8"/>
      <c r="E95" s="10"/>
      <c r="F95" s="6"/>
      <c r="G95" s="8"/>
      <c r="H95" s="8"/>
      <c r="I95" s="8"/>
      <c r="J95" s="8"/>
      <c r="K95" s="8"/>
      <c r="L95" s="8"/>
      <c r="M95" s="13"/>
      <c r="N95" s="35"/>
      <c r="O95" s="35"/>
      <c r="P95" s="35"/>
      <c r="Q95" s="35"/>
      <c r="R95" s="35"/>
      <c r="S95" s="35"/>
    </row>
    <row r="96" spans="1:19" ht="21" customHeight="1">
      <c r="B96" s="2"/>
      <c r="C96" s="8"/>
      <c r="D96" s="8"/>
      <c r="E96" s="10"/>
      <c r="F96" s="6"/>
      <c r="G96" s="8"/>
      <c r="H96" s="8"/>
      <c r="I96" s="8"/>
      <c r="J96" s="8"/>
      <c r="K96" s="8"/>
      <c r="L96" s="8"/>
      <c r="M96" s="13"/>
      <c r="N96" s="35"/>
      <c r="O96" s="35"/>
      <c r="P96" s="35"/>
      <c r="Q96" s="35"/>
      <c r="R96" s="35"/>
      <c r="S96" s="35"/>
    </row>
    <row r="97" spans="2:19" ht="21" customHeight="1">
      <c r="B97" s="2"/>
      <c r="C97" s="8"/>
      <c r="D97" s="8"/>
      <c r="E97" s="10"/>
      <c r="F97" s="6"/>
      <c r="G97" s="8"/>
      <c r="H97" s="8"/>
      <c r="I97" s="8"/>
      <c r="J97" s="8"/>
      <c r="K97" s="8"/>
      <c r="L97" s="8"/>
      <c r="M97" s="13"/>
      <c r="N97" s="35"/>
      <c r="O97" s="35"/>
      <c r="P97" s="35"/>
      <c r="Q97" s="35"/>
      <c r="R97" s="35"/>
      <c r="S97" s="35"/>
    </row>
    <row r="98" spans="2:19" ht="21" customHeight="1">
      <c r="B98" s="2"/>
      <c r="C98" s="8"/>
      <c r="D98" s="8"/>
      <c r="E98" s="10"/>
      <c r="F98" s="6"/>
      <c r="G98" s="8"/>
      <c r="H98" s="8"/>
      <c r="I98" s="8"/>
      <c r="J98" s="8"/>
      <c r="K98" s="8"/>
      <c r="L98" s="8"/>
      <c r="M98" s="13"/>
      <c r="N98" s="35"/>
      <c r="O98" s="35"/>
      <c r="P98" s="35"/>
      <c r="Q98" s="35"/>
      <c r="R98" s="35"/>
      <c r="S98" s="35"/>
    </row>
    <row r="99" spans="2:19" ht="21" customHeight="1">
      <c r="B99" s="2"/>
      <c r="C99" s="8"/>
      <c r="D99" s="8"/>
      <c r="E99" s="10"/>
      <c r="F99" s="6"/>
      <c r="G99" s="8"/>
      <c r="H99" s="8"/>
      <c r="I99" s="8"/>
      <c r="J99" s="8"/>
      <c r="K99" s="8"/>
      <c r="L99" s="8"/>
      <c r="M99" s="13"/>
      <c r="N99" s="35"/>
      <c r="O99" s="35"/>
      <c r="P99" s="35"/>
      <c r="Q99" s="35"/>
      <c r="R99" s="35"/>
      <c r="S99" s="35"/>
    </row>
    <row r="100" spans="2:19" ht="21" customHeight="1">
      <c r="B100" s="2"/>
      <c r="C100" s="8"/>
      <c r="D100" s="8"/>
      <c r="E100" s="10"/>
      <c r="F100" s="6"/>
      <c r="G100" s="8"/>
      <c r="H100" s="8"/>
      <c r="I100" s="8"/>
      <c r="J100" s="8"/>
      <c r="K100" s="8"/>
      <c r="L100" s="8"/>
      <c r="M100" s="13"/>
      <c r="N100" s="35"/>
      <c r="O100" s="35"/>
      <c r="P100" s="35"/>
      <c r="Q100" s="35"/>
      <c r="R100" s="35"/>
      <c r="S100" s="35"/>
    </row>
    <row r="101" spans="2:19" ht="21" customHeight="1">
      <c r="B101" s="2"/>
      <c r="C101" s="8"/>
      <c r="D101" s="8"/>
      <c r="E101" s="10"/>
      <c r="F101" s="6"/>
      <c r="G101" s="8"/>
      <c r="H101" s="8"/>
      <c r="I101" s="8"/>
      <c r="J101" s="8"/>
      <c r="K101" s="8"/>
      <c r="L101" s="8"/>
      <c r="M101" s="13"/>
      <c r="N101" s="35"/>
      <c r="O101" s="35"/>
      <c r="P101" s="35"/>
      <c r="Q101" s="35"/>
      <c r="R101" s="35"/>
      <c r="S101" s="35"/>
    </row>
    <row r="102" spans="2:19" ht="21" customHeight="1">
      <c r="B102" s="2"/>
      <c r="C102" s="8"/>
      <c r="D102" s="8"/>
      <c r="E102" s="10"/>
      <c r="F102" s="6"/>
      <c r="G102" s="8"/>
      <c r="H102" s="8"/>
      <c r="I102" s="8"/>
      <c r="J102" s="8"/>
      <c r="K102" s="8"/>
      <c r="L102" s="8"/>
      <c r="M102" s="13"/>
      <c r="N102" s="35"/>
      <c r="O102" s="35"/>
      <c r="P102" s="35"/>
      <c r="Q102" s="35"/>
      <c r="R102" s="35"/>
      <c r="S102" s="35"/>
    </row>
    <row r="103" spans="2:19" ht="21" customHeight="1">
      <c r="B103" s="2"/>
      <c r="C103" s="8"/>
      <c r="D103" s="8"/>
      <c r="E103" s="10"/>
      <c r="F103" s="6"/>
      <c r="G103" s="8"/>
      <c r="H103" s="8"/>
      <c r="I103" s="8"/>
      <c r="J103" s="8"/>
      <c r="K103" s="8"/>
      <c r="L103" s="8"/>
      <c r="M103" s="13"/>
      <c r="N103" s="35"/>
      <c r="O103" s="35"/>
      <c r="P103" s="35"/>
      <c r="Q103" s="35"/>
      <c r="R103" s="35"/>
      <c r="S103" s="35"/>
    </row>
    <row r="104" spans="2:19" ht="21" customHeight="1">
      <c r="B104" s="2"/>
      <c r="C104" s="8"/>
      <c r="D104" s="8"/>
      <c r="E104" s="10"/>
      <c r="F104" s="6"/>
      <c r="G104" s="8"/>
      <c r="H104" s="8"/>
      <c r="I104" s="8"/>
      <c r="J104" s="8"/>
      <c r="K104" s="8"/>
      <c r="L104" s="8"/>
      <c r="M104" s="13"/>
      <c r="N104" s="35"/>
      <c r="O104" s="35"/>
      <c r="P104" s="35"/>
      <c r="Q104" s="35"/>
      <c r="R104" s="35"/>
      <c r="S104" s="35"/>
    </row>
    <row r="105" spans="2:19" ht="21" customHeight="1">
      <c r="B105" s="2"/>
      <c r="C105" s="8"/>
      <c r="D105" s="8"/>
      <c r="E105" s="10"/>
      <c r="F105" s="6"/>
      <c r="G105" s="8"/>
      <c r="H105" s="8"/>
      <c r="I105" s="8"/>
      <c r="J105" s="8"/>
      <c r="K105" s="8"/>
      <c r="L105" s="8"/>
      <c r="M105" s="13"/>
      <c r="N105" s="35"/>
      <c r="O105" s="35"/>
      <c r="P105" s="35"/>
      <c r="Q105" s="35"/>
      <c r="R105" s="35"/>
      <c r="S105" s="35"/>
    </row>
    <row r="106" spans="2:19" ht="21" customHeight="1">
      <c r="B106" s="2"/>
      <c r="C106" s="8"/>
      <c r="D106" s="8"/>
      <c r="E106" s="10"/>
      <c r="F106" s="6"/>
      <c r="G106" s="8"/>
      <c r="H106" s="8"/>
      <c r="I106" s="8"/>
      <c r="J106" s="8"/>
      <c r="K106" s="8"/>
      <c r="L106" s="8"/>
      <c r="M106" s="13"/>
      <c r="N106" s="35"/>
      <c r="O106" s="35"/>
      <c r="P106" s="35"/>
      <c r="Q106" s="35"/>
      <c r="R106" s="35"/>
      <c r="S106" s="35"/>
    </row>
    <row r="107" spans="2:19" ht="21" customHeight="1">
      <c r="B107" s="2"/>
      <c r="C107" s="8"/>
      <c r="D107" s="8"/>
      <c r="E107" s="10"/>
      <c r="F107" s="6"/>
      <c r="G107" s="8"/>
      <c r="H107" s="8"/>
      <c r="I107" s="8"/>
      <c r="J107" s="8"/>
      <c r="K107" s="8"/>
      <c r="L107" s="8"/>
      <c r="M107" s="13"/>
      <c r="N107" s="35"/>
      <c r="O107" s="35"/>
      <c r="P107" s="35"/>
      <c r="Q107" s="35"/>
      <c r="R107" s="35"/>
      <c r="S107" s="35"/>
    </row>
    <row r="108" spans="2:19" ht="21" customHeight="1">
      <c r="B108" s="2"/>
      <c r="C108" s="8"/>
      <c r="D108" s="8"/>
      <c r="E108" s="10"/>
      <c r="F108" s="6"/>
      <c r="G108" s="8"/>
      <c r="H108" s="8"/>
      <c r="I108" s="8"/>
      <c r="J108" s="8"/>
      <c r="K108" s="8"/>
      <c r="L108" s="8"/>
      <c r="M108" s="13"/>
      <c r="N108" s="35"/>
      <c r="O108" s="35"/>
      <c r="P108" s="35"/>
      <c r="Q108" s="35"/>
      <c r="R108" s="35"/>
      <c r="S108" s="35"/>
    </row>
    <row r="109" spans="2:19" ht="21" customHeight="1">
      <c r="B109" s="2"/>
      <c r="C109" s="8"/>
      <c r="D109" s="8"/>
      <c r="E109" s="10"/>
      <c r="F109" s="6"/>
      <c r="G109" s="8"/>
      <c r="H109" s="8"/>
      <c r="I109" s="8"/>
      <c r="J109" s="8"/>
      <c r="K109" s="8"/>
      <c r="L109" s="8"/>
      <c r="M109" s="13"/>
      <c r="N109" s="35"/>
      <c r="O109" s="35"/>
      <c r="P109" s="35"/>
      <c r="Q109" s="35"/>
      <c r="R109" s="35"/>
      <c r="S109" s="35"/>
    </row>
    <row r="110" spans="2:19" ht="21" customHeight="1">
      <c r="B110" s="2"/>
      <c r="C110" s="8"/>
      <c r="D110" s="8"/>
      <c r="E110" s="10"/>
      <c r="F110" s="6"/>
      <c r="G110" s="8"/>
      <c r="H110" s="8"/>
      <c r="I110" s="8"/>
      <c r="J110" s="8"/>
      <c r="K110" s="8"/>
      <c r="L110" s="8"/>
      <c r="M110" s="13"/>
      <c r="N110" s="35"/>
      <c r="O110" s="35"/>
      <c r="P110" s="35"/>
      <c r="Q110" s="35"/>
      <c r="R110" s="35"/>
      <c r="S110" s="35"/>
    </row>
    <row r="111" spans="2:19" ht="21" customHeight="1">
      <c r="B111" s="2"/>
      <c r="C111" s="8"/>
      <c r="D111" s="8"/>
      <c r="E111" s="10"/>
      <c r="F111" s="9"/>
      <c r="G111" s="8"/>
      <c r="H111" s="8"/>
      <c r="I111" s="8"/>
      <c r="J111" s="8"/>
      <c r="K111" s="8"/>
      <c r="L111" s="8"/>
      <c r="M111" s="13"/>
      <c r="N111" s="35"/>
      <c r="O111" s="35"/>
      <c r="P111" s="35"/>
      <c r="Q111" s="35"/>
      <c r="R111" s="35"/>
      <c r="S111" s="35"/>
    </row>
    <row r="112" spans="2:19" ht="21" customHeight="1">
      <c r="B112" s="2"/>
      <c r="C112" s="8"/>
      <c r="D112" s="8"/>
      <c r="E112" s="10"/>
      <c r="F112" s="9"/>
      <c r="G112" s="8"/>
      <c r="H112" s="8"/>
      <c r="I112" s="8"/>
      <c r="J112" s="8"/>
      <c r="K112" s="8"/>
      <c r="L112" s="8"/>
      <c r="M112" s="13"/>
      <c r="N112" s="35"/>
      <c r="O112" s="35"/>
      <c r="P112" s="35"/>
      <c r="Q112" s="35"/>
      <c r="R112" s="35"/>
      <c r="S112" s="35"/>
    </row>
    <row r="113" spans="1:19" ht="21" customHeight="1">
      <c r="B113" s="2"/>
      <c r="C113" s="8"/>
      <c r="D113" s="8"/>
      <c r="E113" s="10"/>
      <c r="F113" s="9"/>
      <c r="G113" s="8"/>
      <c r="H113" s="8"/>
      <c r="I113" s="8"/>
      <c r="J113" s="8"/>
      <c r="K113" s="8"/>
      <c r="L113" s="8"/>
      <c r="M113" s="13"/>
      <c r="N113" s="35"/>
      <c r="O113" s="35"/>
      <c r="P113" s="35"/>
      <c r="Q113" s="35"/>
      <c r="R113" s="35"/>
      <c r="S113" s="35"/>
    </row>
    <row r="114" spans="1:19" ht="21" customHeight="1">
      <c r="B114" s="2"/>
      <c r="C114" s="8"/>
      <c r="D114" s="8"/>
      <c r="E114" s="10"/>
      <c r="F114" s="9"/>
      <c r="G114" s="8"/>
      <c r="H114" s="8"/>
      <c r="I114" s="8"/>
      <c r="J114" s="8"/>
      <c r="K114" s="8"/>
      <c r="L114" s="8"/>
      <c r="M114" s="13"/>
      <c r="N114" s="35"/>
      <c r="O114" s="35"/>
      <c r="P114" s="35"/>
      <c r="Q114" s="35"/>
      <c r="R114" s="35"/>
      <c r="S114" s="35"/>
    </row>
    <row r="115" spans="1:19" s="11" customFormat="1" ht="21" customHeight="1" thickBot="1">
      <c r="A115" s="7"/>
      <c r="B115" s="2"/>
      <c r="C115" s="8"/>
      <c r="D115" s="8"/>
      <c r="E115" s="10"/>
      <c r="F115" s="6"/>
      <c r="G115" s="8"/>
      <c r="H115" s="8"/>
      <c r="I115" s="8"/>
      <c r="J115" s="8"/>
      <c r="K115" s="8"/>
      <c r="L115" s="8"/>
      <c r="M115" s="13"/>
      <c r="N115" s="35"/>
      <c r="O115" s="35"/>
      <c r="P115" s="35"/>
      <c r="Q115" s="35"/>
      <c r="R115" s="35"/>
      <c r="S115" s="35"/>
    </row>
    <row r="116" spans="1:19" ht="21" customHeight="1">
      <c r="B116" s="2"/>
      <c r="C116" s="8"/>
      <c r="D116" s="8"/>
      <c r="E116" s="10"/>
      <c r="F116" s="6"/>
      <c r="G116" s="8"/>
      <c r="H116" s="8"/>
      <c r="I116" s="8"/>
      <c r="J116" s="8"/>
      <c r="K116" s="8"/>
      <c r="L116" s="8"/>
      <c r="M116" s="13"/>
      <c r="N116" s="35"/>
      <c r="O116" s="35"/>
      <c r="P116" s="35"/>
      <c r="Q116" s="35"/>
      <c r="R116" s="35"/>
      <c r="S116" s="35"/>
    </row>
    <row r="117" spans="1:19" ht="21" customHeight="1">
      <c r="B117" s="2"/>
      <c r="C117" s="8"/>
      <c r="D117" s="8"/>
      <c r="E117" s="10"/>
      <c r="F117" s="6"/>
      <c r="G117" s="8"/>
      <c r="H117" s="8"/>
      <c r="I117" s="8"/>
      <c r="J117" s="8"/>
      <c r="K117" s="8"/>
      <c r="L117" s="8"/>
      <c r="M117" s="13"/>
      <c r="N117" s="35"/>
      <c r="O117" s="35"/>
      <c r="P117" s="35"/>
      <c r="Q117" s="35"/>
      <c r="R117" s="35"/>
      <c r="S117" s="35"/>
    </row>
    <row r="118" spans="1:19" ht="21" customHeight="1">
      <c r="B118" s="2"/>
      <c r="C118" s="8"/>
      <c r="D118" s="8"/>
      <c r="E118" s="10"/>
      <c r="F118" s="6"/>
      <c r="G118" s="8"/>
      <c r="H118" s="8"/>
      <c r="I118" s="8"/>
      <c r="J118" s="8"/>
      <c r="K118" s="8"/>
      <c r="L118" s="8"/>
      <c r="M118" s="13"/>
      <c r="N118" s="35"/>
      <c r="O118" s="35"/>
      <c r="P118" s="35"/>
      <c r="Q118" s="35"/>
      <c r="R118" s="35"/>
      <c r="S118" s="35"/>
    </row>
    <row r="119" spans="1:19" ht="21" customHeight="1">
      <c r="B119" s="2"/>
      <c r="C119" s="8"/>
      <c r="D119" s="8"/>
      <c r="E119" s="10"/>
      <c r="F119" s="6"/>
      <c r="G119" s="8"/>
      <c r="H119" s="8"/>
      <c r="I119" s="8"/>
      <c r="J119" s="8"/>
      <c r="K119" s="8"/>
      <c r="L119" s="8"/>
      <c r="M119" s="13"/>
      <c r="N119" s="35"/>
      <c r="O119" s="35"/>
      <c r="P119" s="35"/>
      <c r="Q119" s="35"/>
      <c r="R119" s="35"/>
      <c r="S119" s="35"/>
    </row>
    <row r="120" spans="1:19" ht="21" customHeight="1">
      <c r="B120" s="2"/>
      <c r="C120" s="8"/>
      <c r="D120" s="8"/>
      <c r="E120" s="10"/>
      <c r="F120" s="6"/>
      <c r="G120" s="8"/>
      <c r="H120" s="8"/>
      <c r="I120" s="8"/>
      <c r="J120" s="8"/>
      <c r="K120" s="8"/>
      <c r="L120" s="8"/>
      <c r="M120" s="13"/>
      <c r="N120" s="35"/>
      <c r="O120" s="35"/>
      <c r="P120" s="35"/>
      <c r="Q120" s="35"/>
      <c r="R120" s="35"/>
      <c r="S120" s="35"/>
    </row>
    <row r="121" spans="1:19" ht="21" customHeight="1">
      <c r="B121" s="2"/>
      <c r="C121" s="8"/>
      <c r="D121" s="8"/>
      <c r="E121" s="10"/>
      <c r="F121" s="6"/>
      <c r="G121" s="8"/>
      <c r="H121" s="8"/>
      <c r="I121" s="8"/>
      <c r="J121" s="8"/>
      <c r="K121" s="8"/>
      <c r="L121" s="8"/>
      <c r="M121" s="13"/>
      <c r="N121" s="35"/>
      <c r="O121" s="35"/>
      <c r="P121" s="35"/>
      <c r="Q121" s="35"/>
      <c r="R121" s="35"/>
      <c r="S121" s="35"/>
    </row>
    <row r="122" spans="1:19" ht="21" customHeight="1">
      <c r="B122" s="2"/>
      <c r="C122" s="8"/>
      <c r="D122" s="8"/>
      <c r="E122" s="10"/>
      <c r="F122" s="6"/>
      <c r="G122" s="8"/>
      <c r="H122" s="8"/>
      <c r="I122" s="8"/>
      <c r="J122" s="8"/>
      <c r="K122" s="8"/>
      <c r="L122" s="8"/>
      <c r="M122" s="13"/>
      <c r="N122" s="35"/>
      <c r="O122" s="35"/>
      <c r="P122" s="35"/>
      <c r="Q122" s="35"/>
      <c r="R122" s="35"/>
      <c r="S122" s="35"/>
    </row>
    <row r="123" spans="1:19" ht="21" customHeight="1">
      <c r="B123" s="2"/>
      <c r="C123" s="8"/>
      <c r="D123" s="8"/>
      <c r="E123" s="10"/>
      <c r="F123" s="6"/>
      <c r="G123" s="8"/>
      <c r="H123" s="8"/>
      <c r="I123" s="8"/>
      <c r="J123" s="8"/>
      <c r="K123" s="8"/>
      <c r="L123" s="8"/>
      <c r="M123" s="13"/>
      <c r="N123" s="35"/>
      <c r="O123" s="35"/>
      <c r="P123" s="35"/>
      <c r="Q123" s="35"/>
      <c r="R123" s="35"/>
      <c r="S123" s="35"/>
    </row>
    <row r="124" spans="1:19" ht="21" customHeight="1">
      <c r="B124" s="2"/>
      <c r="C124" s="8"/>
      <c r="D124" s="8"/>
      <c r="E124" s="10"/>
      <c r="F124" s="6"/>
      <c r="G124" s="8"/>
      <c r="H124" s="8"/>
      <c r="I124" s="8"/>
      <c r="J124" s="8"/>
      <c r="K124" s="8"/>
      <c r="L124" s="8"/>
      <c r="M124" s="13"/>
      <c r="N124" s="35"/>
      <c r="O124" s="35"/>
      <c r="P124" s="35"/>
      <c r="Q124" s="35"/>
      <c r="R124" s="35"/>
      <c r="S124" s="35"/>
    </row>
    <row r="125" spans="1:19" ht="21" customHeight="1">
      <c r="B125" s="2"/>
      <c r="C125" s="8"/>
      <c r="D125" s="8"/>
      <c r="E125" s="10"/>
      <c r="F125" s="6"/>
      <c r="G125" s="8"/>
      <c r="H125" s="8"/>
      <c r="I125" s="8"/>
      <c r="J125" s="8"/>
      <c r="K125" s="8"/>
      <c r="L125" s="8"/>
      <c r="M125" s="13"/>
      <c r="N125" s="35"/>
      <c r="O125" s="35"/>
      <c r="P125" s="35"/>
      <c r="Q125" s="35"/>
      <c r="R125" s="35"/>
      <c r="S125" s="35"/>
    </row>
    <row r="126" spans="1:19" ht="21" customHeight="1">
      <c r="B126" s="2"/>
      <c r="C126" s="8"/>
      <c r="D126" s="8"/>
      <c r="E126" s="10"/>
      <c r="F126" s="6"/>
      <c r="G126" s="8"/>
      <c r="H126" s="8"/>
      <c r="I126" s="8"/>
      <c r="J126" s="8"/>
      <c r="K126" s="8"/>
      <c r="L126" s="8"/>
      <c r="M126" s="13"/>
      <c r="N126" s="35"/>
      <c r="O126" s="35"/>
      <c r="P126" s="35"/>
      <c r="Q126" s="35"/>
      <c r="R126" s="35"/>
      <c r="S126" s="35"/>
    </row>
    <row r="127" spans="1:19" ht="21" customHeight="1">
      <c r="B127" s="2"/>
      <c r="C127" s="8"/>
      <c r="D127" s="8"/>
      <c r="E127" s="10"/>
      <c r="F127" s="6"/>
      <c r="G127" s="8"/>
      <c r="H127" s="8"/>
      <c r="I127" s="8"/>
      <c r="J127" s="8"/>
      <c r="K127" s="8"/>
      <c r="L127" s="8"/>
      <c r="M127" s="13"/>
      <c r="N127" s="35"/>
      <c r="O127" s="35"/>
      <c r="P127" s="35"/>
      <c r="Q127" s="35"/>
      <c r="R127" s="35"/>
      <c r="S127" s="35"/>
    </row>
    <row r="128" spans="1:19" ht="21" customHeight="1">
      <c r="B128" s="2"/>
      <c r="C128" s="8"/>
      <c r="D128" s="8"/>
      <c r="E128" s="10"/>
      <c r="F128" s="6"/>
      <c r="G128" s="8"/>
      <c r="H128" s="8"/>
      <c r="I128" s="8"/>
      <c r="J128" s="8"/>
      <c r="K128" s="8"/>
      <c r="L128" s="8"/>
      <c r="M128" s="13"/>
      <c r="N128" s="35"/>
      <c r="O128" s="35"/>
      <c r="P128" s="35"/>
      <c r="Q128" s="35"/>
      <c r="R128" s="35"/>
      <c r="S128" s="35"/>
    </row>
    <row r="129" spans="2:19" ht="21" customHeight="1">
      <c r="B129" s="2"/>
      <c r="C129" s="8"/>
      <c r="D129" s="8"/>
      <c r="E129" s="10"/>
      <c r="F129" s="6"/>
      <c r="G129" s="8"/>
      <c r="H129" s="8"/>
      <c r="I129" s="8"/>
      <c r="J129" s="8"/>
      <c r="K129" s="8"/>
      <c r="L129" s="8"/>
      <c r="M129" s="13"/>
      <c r="N129" s="35"/>
      <c r="O129" s="35"/>
      <c r="P129" s="35"/>
      <c r="Q129" s="35"/>
      <c r="R129" s="35"/>
      <c r="S129" s="35"/>
    </row>
    <row r="130" spans="2:19" ht="21" customHeight="1">
      <c r="B130" s="2"/>
      <c r="C130" s="8"/>
      <c r="D130" s="8"/>
      <c r="E130" s="10"/>
      <c r="F130" s="6"/>
      <c r="G130" s="8"/>
      <c r="H130" s="8"/>
      <c r="I130" s="8"/>
      <c r="J130" s="8"/>
      <c r="K130" s="8"/>
      <c r="L130" s="8"/>
      <c r="M130" s="13"/>
      <c r="N130" s="35"/>
      <c r="O130" s="35"/>
      <c r="P130" s="35"/>
      <c r="Q130" s="35"/>
      <c r="R130" s="35"/>
      <c r="S130" s="35"/>
    </row>
    <row r="131" spans="2:19" ht="21" customHeight="1">
      <c r="B131" s="2"/>
      <c r="C131" s="8"/>
      <c r="D131" s="8"/>
      <c r="E131" s="10"/>
      <c r="F131" s="6"/>
      <c r="G131" s="8"/>
      <c r="H131" s="8"/>
      <c r="I131" s="8"/>
      <c r="J131" s="8"/>
      <c r="K131" s="8"/>
      <c r="L131" s="8"/>
      <c r="M131" s="13"/>
      <c r="N131" s="35"/>
      <c r="O131" s="35"/>
      <c r="P131" s="35"/>
      <c r="Q131" s="35"/>
      <c r="R131" s="35"/>
      <c r="S131" s="35"/>
    </row>
    <row r="132" spans="2:19" ht="21" customHeight="1">
      <c r="B132" s="2"/>
      <c r="C132" s="8"/>
      <c r="D132" s="8"/>
      <c r="E132" s="10"/>
      <c r="F132" s="6"/>
      <c r="G132" s="8"/>
      <c r="H132" s="8"/>
      <c r="I132" s="8"/>
      <c r="J132" s="8"/>
      <c r="K132" s="8"/>
      <c r="L132" s="8"/>
      <c r="M132" s="13"/>
      <c r="N132" s="35"/>
      <c r="O132" s="35"/>
      <c r="P132" s="35"/>
      <c r="Q132" s="35"/>
      <c r="R132" s="35"/>
      <c r="S132" s="35"/>
    </row>
    <row r="133" spans="2:19" ht="21" customHeight="1">
      <c r="B133" s="2"/>
      <c r="C133" s="8"/>
      <c r="D133" s="8"/>
      <c r="E133" s="10"/>
      <c r="F133" s="6"/>
      <c r="G133" s="8"/>
      <c r="H133" s="8"/>
      <c r="I133" s="8"/>
      <c r="J133" s="8"/>
      <c r="K133" s="8"/>
      <c r="L133" s="8"/>
      <c r="M133" s="13"/>
      <c r="N133" s="35"/>
      <c r="O133" s="35"/>
      <c r="P133" s="35"/>
      <c r="Q133" s="35"/>
      <c r="R133" s="35"/>
      <c r="S133" s="35"/>
    </row>
    <row r="134" spans="2:19" ht="21" customHeight="1">
      <c r="B134" s="2"/>
      <c r="C134" s="8"/>
      <c r="D134" s="8"/>
      <c r="E134" s="10"/>
      <c r="F134" s="6"/>
      <c r="G134" s="8"/>
      <c r="H134" s="8"/>
      <c r="I134" s="8"/>
      <c r="J134" s="8"/>
      <c r="K134" s="8"/>
      <c r="L134" s="8"/>
      <c r="M134" s="13"/>
      <c r="N134" s="35"/>
      <c r="O134" s="35"/>
      <c r="P134" s="35"/>
      <c r="Q134" s="35"/>
      <c r="R134" s="35"/>
      <c r="S134" s="35"/>
    </row>
    <row r="135" spans="2:19" ht="21" customHeight="1">
      <c r="B135" s="2"/>
      <c r="C135" s="8"/>
      <c r="D135" s="8"/>
      <c r="E135" s="10"/>
      <c r="F135" s="6"/>
      <c r="G135" s="8"/>
      <c r="H135" s="8"/>
      <c r="I135" s="8"/>
      <c r="J135" s="8"/>
      <c r="K135" s="8"/>
      <c r="L135" s="8"/>
      <c r="M135" s="13"/>
      <c r="N135" s="35"/>
      <c r="O135" s="35"/>
      <c r="P135" s="35"/>
      <c r="Q135" s="35"/>
      <c r="R135" s="35"/>
      <c r="S135" s="35"/>
    </row>
    <row r="136" spans="2:19" ht="21" customHeight="1">
      <c r="B136" s="2"/>
      <c r="C136" s="8"/>
      <c r="D136" s="8"/>
      <c r="E136" s="10"/>
      <c r="F136" s="6"/>
      <c r="G136" s="8"/>
      <c r="H136" s="8"/>
      <c r="I136" s="8"/>
      <c r="J136" s="8"/>
      <c r="K136" s="8"/>
      <c r="L136" s="8"/>
      <c r="M136" s="13"/>
      <c r="N136" s="35"/>
      <c r="O136" s="35"/>
      <c r="P136" s="35"/>
      <c r="Q136" s="35"/>
      <c r="R136" s="35"/>
      <c r="S136" s="35"/>
    </row>
    <row r="137" spans="2:19" ht="21" customHeight="1">
      <c r="B137" s="2"/>
      <c r="C137" s="8"/>
      <c r="D137" s="8"/>
      <c r="E137" s="10"/>
      <c r="F137" s="6"/>
      <c r="G137" s="8"/>
      <c r="H137" s="8"/>
      <c r="I137" s="8"/>
      <c r="J137" s="8"/>
      <c r="K137" s="8"/>
      <c r="L137" s="8"/>
      <c r="M137" s="13"/>
      <c r="N137" s="35"/>
      <c r="O137" s="35"/>
      <c r="P137" s="35"/>
      <c r="Q137" s="35"/>
      <c r="R137" s="35"/>
      <c r="S137" s="35"/>
    </row>
    <row r="138" spans="2:19" ht="21" customHeight="1">
      <c r="B138" s="2"/>
      <c r="C138" s="8"/>
      <c r="D138" s="8"/>
      <c r="E138" s="10"/>
      <c r="F138" s="6"/>
      <c r="G138" s="8"/>
      <c r="H138" s="8"/>
      <c r="I138" s="8"/>
      <c r="J138" s="8"/>
      <c r="K138" s="8"/>
      <c r="L138" s="8"/>
      <c r="M138" s="13"/>
      <c r="N138" s="35"/>
      <c r="O138" s="35"/>
      <c r="P138" s="35"/>
      <c r="Q138" s="35"/>
      <c r="R138" s="35"/>
      <c r="S138" s="35"/>
    </row>
    <row r="139" spans="2:19" ht="21" customHeight="1">
      <c r="B139" s="2"/>
      <c r="C139" s="8"/>
      <c r="D139" s="8"/>
      <c r="E139" s="10"/>
      <c r="F139" s="6"/>
      <c r="G139" s="8"/>
      <c r="H139" s="8"/>
      <c r="I139" s="8"/>
      <c r="J139" s="8"/>
      <c r="K139" s="8"/>
      <c r="L139" s="8"/>
      <c r="M139" s="13"/>
      <c r="N139" s="35"/>
      <c r="O139" s="35"/>
      <c r="P139" s="35"/>
      <c r="Q139" s="35"/>
      <c r="R139" s="35"/>
      <c r="S139" s="35"/>
    </row>
    <row r="140" spans="2:19" ht="21" customHeight="1">
      <c r="B140" s="2"/>
      <c r="C140" s="8"/>
      <c r="D140" s="8"/>
      <c r="E140" s="10"/>
      <c r="F140" s="6"/>
      <c r="G140" s="8"/>
      <c r="H140" s="8"/>
      <c r="I140" s="8"/>
      <c r="J140" s="8"/>
      <c r="K140" s="8"/>
      <c r="L140" s="8"/>
      <c r="M140" s="13"/>
      <c r="N140" s="35"/>
      <c r="O140" s="35"/>
      <c r="P140" s="35"/>
      <c r="Q140" s="35"/>
      <c r="R140" s="35"/>
      <c r="S140" s="35"/>
    </row>
    <row r="141" spans="2:19" ht="21" customHeight="1">
      <c r="B141" s="2"/>
      <c r="C141" s="8"/>
      <c r="D141" s="8"/>
      <c r="E141" s="10"/>
      <c r="F141" s="6"/>
      <c r="G141" s="8"/>
      <c r="H141" s="8"/>
      <c r="I141" s="8"/>
      <c r="J141" s="8"/>
      <c r="K141" s="8"/>
      <c r="L141" s="8"/>
      <c r="M141" s="13"/>
      <c r="N141" s="35"/>
      <c r="O141" s="35"/>
      <c r="P141" s="35"/>
      <c r="Q141" s="35"/>
      <c r="R141" s="35"/>
      <c r="S141" s="35"/>
    </row>
    <row r="142" spans="2:19" ht="21" customHeight="1">
      <c r="B142" s="2"/>
      <c r="C142" s="8"/>
      <c r="D142" s="8"/>
      <c r="E142" s="10"/>
      <c r="F142" s="6"/>
      <c r="G142" s="8"/>
      <c r="H142" s="8"/>
      <c r="I142" s="8"/>
      <c r="J142" s="8"/>
      <c r="K142" s="8"/>
      <c r="L142" s="8"/>
      <c r="M142" s="13"/>
      <c r="N142" s="35"/>
      <c r="O142" s="35"/>
      <c r="P142" s="35"/>
      <c r="Q142" s="35"/>
      <c r="R142" s="35"/>
      <c r="S142" s="35"/>
    </row>
    <row r="143" spans="2:19" ht="21" customHeight="1">
      <c r="B143" s="2"/>
      <c r="C143" s="8"/>
      <c r="D143" s="8"/>
      <c r="E143" s="10"/>
      <c r="F143" s="6"/>
      <c r="G143" s="8"/>
      <c r="H143" s="8"/>
      <c r="I143" s="8"/>
      <c r="J143" s="8"/>
      <c r="K143" s="8"/>
      <c r="L143" s="8"/>
      <c r="M143" s="13"/>
      <c r="N143" s="35"/>
      <c r="O143" s="35"/>
      <c r="P143" s="35"/>
      <c r="Q143" s="35"/>
      <c r="R143" s="35"/>
      <c r="S143" s="35"/>
    </row>
    <row r="144" spans="2:19" ht="21" customHeight="1">
      <c r="B144" s="2"/>
      <c r="C144" s="8"/>
      <c r="D144" s="8"/>
      <c r="E144" s="10"/>
      <c r="F144" s="6"/>
      <c r="G144" s="8"/>
      <c r="H144" s="8"/>
      <c r="I144" s="8"/>
      <c r="J144" s="8"/>
      <c r="K144" s="8"/>
      <c r="L144" s="8"/>
      <c r="M144" s="13"/>
      <c r="N144" s="35"/>
      <c r="O144" s="35"/>
      <c r="P144" s="35"/>
      <c r="Q144" s="35"/>
      <c r="R144" s="35"/>
      <c r="S144" s="35"/>
    </row>
    <row r="145" spans="2:19" ht="21" customHeight="1">
      <c r="B145" s="2"/>
      <c r="C145" s="8"/>
      <c r="D145" s="8"/>
      <c r="E145" s="10"/>
      <c r="F145" s="6"/>
      <c r="G145" s="8"/>
      <c r="H145" s="8"/>
      <c r="I145" s="8"/>
      <c r="J145" s="8"/>
      <c r="K145" s="8"/>
      <c r="L145" s="8"/>
      <c r="M145" s="13"/>
      <c r="N145" s="35"/>
      <c r="O145" s="35"/>
      <c r="P145" s="35"/>
      <c r="Q145" s="35"/>
      <c r="R145" s="35"/>
      <c r="S145" s="35"/>
    </row>
    <row r="146" spans="2:19" ht="21" customHeight="1">
      <c r="B146" s="2"/>
      <c r="C146" s="8"/>
      <c r="D146" s="8"/>
      <c r="E146" s="10"/>
      <c r="F146" s="6"/>
      <c r="G146" s="8"/>
      <c r="H146" s="8"/>
      <c r="I146" s="8"/>
      <c r="J146" s="8"/>
      <c r="K146" s="8"/>
      <c r="L146" s="8"/>
      <c r="M146" s="13"/>
      <c r="N146" s="35"/>
      <c r="O146" s="35"/>
      <c r="P146" s="35"/>
      <c r="Q146" s="35"/>
      <c r="R146" s="35"/>
      <c r="S146" s="35"/>
    </row>
    <row r="147" spans="2:19" ht="21" customHeight="1">
      <c r="B147" s="2"/>
      <c r="C147" s="8"/>
      <c r="D147" s="8"/>
      <c r="E147" s="10"/>
      <c r="F147" s="6"/>
      <c r="G147" s="8"/>
      <c r="H147" s="8"/>
      <c r="I147" s="8"/>
      <c r="J147" s="8"/>
      <c r="K147" s="8"/>
      <c r="L147" s="8"/>
      <c r="M147" s="13"/>
      <c r="N147" s="35"/>
      <c r="O147" s="35"/>
      <c r="P147" s="35"/>
      <c r="Q147" s="35"/>
      <c r="R147" s="35"/>
      <c r="S147" s="35"/>
    </row>
    <row r="148" spans="2:19" ht="21" customHeight="1">
      <c r="B148" s="2"/>
      <c r="C148" s="8"/>
      <c r="D148" s="8"/>
      <c r="E148" s="10"/>
      <c r="F148" s="6"/>
      <c r="G148" s="8"/>
      <c r="H148" s="8"/>
      <c r="I148" s="8"/>
      <c r="J148" s="8"/>
      <c r="K148" s="8"/>
      <c r="L148" s="8"/>
      <c r="M148" s="13"/>
      <c r="N148" s="35"/>
      <c r="O148" s="35"/>
      <c r="P148" s="35"/>
      <c r="Q148" s="35"/>
      <c r="R148" s="35"/>
      <c r="S148" s="35"/>
    </row>
    <row r="149" spans="2:19" ht="21" customHeight="1">
      <c r="B149" s="2"/>
      <c r="C149" s="8"/>
      <c r="D149" s="8"/>
      <c r="E149" s="10"/>
      <c r="F149" s="6"/>
      <c r="G149" s="8"/>
      <c r="H149" s="8"/>
      <c r="I149" s="8"/>
      <c r="J149" s="8"/>
      <c r="K149" s="8"/>
      <c r="L149" s="8"/>
      <c r="M149" s="13"/>
      <c r="N149" s="35"/>
      <c r="O149" s="35"/>
      <c r="P149" s="35"/>
      <c r="Q149" s="35"/>
      <c r="R149" s="35"/>
      <c r="S149" s="35"/>
    </row>
    <row r="150" spans="2:19" ht="21" customHeight="1">
      <c r="B150" s="2"/>
      <c r="C150" s="8"/>
      <c r="D150" s="8"/>
      <c r="E150" s="10"/>
      <c r="F150" s="6"/>
      <c r="G150" s="8"/>
      <c r="H150" s="8"/>
      <c r="I150" s="8"/>
      <c r="J150" s="8"/>
      <c r="K150" s="8"/>
      <c r="L150" s="8"/>
      <c r="M150" s="13"/>
      <c r="N150" s="35"/>
      <c r="O150" s="35"/>
      <c r="P150" s="35"/>
      <c r="Q150" s="35"/>
      <c r="R150" s="35"/>
      <c r="S150" s="35"/>
    </row>
    <row r="151" spans="2:19" ht="21" customHeight="1">
      <c r="B151" s="2"/>
      <c r="C151" s="8"/>
      <c r="D151" s="8"/>
      <c r="E151" s="10"/>
      <c r="F151" s="6"/>
      <c r="G151" s="8"/>
      <c r="H151" s="8"/>
      <c r="I151" s="8"/>
      <c r="J151" s="8"/>
      <c r="K151" s="8"/>
      <c r="L151" s="8"/>
      <c r="M151" s="13"/>
      <c r="N151" s="35"/>
      <c r="O151" s="35"/>
      <c r="P151" s="35"/>
      <c r="Q151" s="35"/>
      <c r="R151" s="35"/>
      <c r="S151" s="35"/>
    </row>
    <row r="152" spans="2:19" ht="21" customHeight="1">
      <c r="B152" s="2"/>
      <c r="C152" s="8"/>
      <c r="D152" s="8"/>
      <c r="E152" s="10"/>
      <c r="F152" s="6"/>
      <c r="G152" s="8"/>
      <c r="H152" s="8"/>
      <c r="I152" s="8"/>
      <c r="J152" s="8"/>
      <c r="K152" s="8"/>
      <c r="L152" s="8"/>
      <c r="M152" s="13"/>
      <c r="N152" s="35"/>
      <c r="O152" s="35"/>
      <c r="P152" s="35"/>
      <c r="Q152" s="35"/>
      <c r="R152" s="35"/>
      <c r="S152" s="35"/>
    </row>
    <row r="153" spans="2:19" ht="21" customHeight="1">
      <c r="B153" s="2"/>
      <c r="C153" s="8"/>
      <c r="D153" s="8"/>
      <c r="E153" s="10"/>
      <c r="F153" s="6"/>
      <c r="G153" s="8"/>
      <c r="H153" s="8"/>
      <c r="I153" s="8"/>
      <c r="J153" s="8"/>
      <c r="K153" s="8"/>
      <c r="L153" s="8"/>
      <c r="M153" s="13"/>
      <c r="N153" s="35"/>
      <c r="O153" s="35"/>
      <c r="P153" s="35"/>
      <c r="Q153" s="35"/>
      <c r="R153" s="35"/>
      <c r="S153" s="35"/>
    </row>
    <row r="154" spans="2:19" ht="21" customHeight="1">
      <c r="B154" s="2"/>
      <c r="C154" s="8"/>
      <c r="D154" s="8"/>
      <c r="E154" s="10"/>
      <c r="F154" s="6"/>
      <c r="G154" s="8"/>
      <c r="H154" s="8"/>
      <c r="I154" s="8"/>
      <c r="J154" s="8"/>
      <c r="K154" s="8"/>
      <c r="L154" s="8"/>
      <c r="M154" s="13"/>
      <c r="N154" s="35"/>
      <c r="O154" s="35"/>
      <c r="P154" s="35"/>
      <c r="Q154" s="35"/>
      <c r="R154" s="35"/>
      <c r="S154" s="35"/>
    </row>
    <row r="155" spans="2:19" ht="21" customHeight="1">
      <c r="B155" s="2"/>
      <c r="C155" s="8"/>
      <c r="D155" s="8"/>
      <c r="E155" s="10"/>
      <c r="F155" s="6"/>
      <c r="G155" s="8"/>
      <c r="H155" s="8"/>
      <c r="I155" s="8"/>
      <c r="J155" s="8"/>
      <c r="K155" s="8"/>
      <c r="L155" s="8"/>
      <c r="M155" s="13"/>
      <c r="N155" s="35"/>
      <c r="O155" s="35"/>
      <c r="P155" s="35"/>
      <c r="Q155" s="35"/>
      <c r="R155" s="35"/>
      <c r="S155" s="35"/>
    </row>
    <row r="156" spans="2:19" ht="21" customHeight="1">
      <c r="B156" s="2"/>
      <c r="C156" s="8"/>
      <c r="D156" s="8"/>
      <c r="E156" s="10"/>
      <c r="F156" s="6"/>
      <c r="G156" s="8"/>
      <c r="H156" s="8"/>
      <c r="I156" s="8"/>
      <c r="J156" s="8"/>
      <c r="K156" s="8"/>
      <c r="L156" s="8"/>
      <c r="M156" s="13"/>
      <c r="N156" s="35"/>
      <c r="O156" s="35"/>
      <c r="P156" s="35"/>
      <c r="Q156" s="35"/>
      <c r="R156" s="35"/>
      <c r="S156" s="35"/>
    </row>
    <row r="157" spans="2:19" ht="21" customHeight="1">
      <c r="B157" s="2"/>
      <c r="C157" s="8"/>
      <c r="D157" s="8"/>
      <c r="E157" s="10"/>
      <c r="F157" s="6"/>
      <c r="G157" s="8"/>
      <c r="H157" s="8"/>
      <c r="I157" s="8"/>
      <c r="J157" s="8"/>
      <c r="K157" s="8"/>
      <c r="L157" s="8"/>
      <c r="M157" s="13"/>
      <c r="N157" s="35"/>
      <c r="O157" s="35"/>
      <c r="P157" s="35"/>
      <c r="Q157" s="35"/>
      <c r="R157" s="35"/>
      <c r="S157" s="35"/>
    </row>
    <row r="158" spans="2:19" ht="21" customHeight="1">
      <c r="B158" s="2"/>
      <c r="C158" s="8"/>
      <c r="D158" s="8"/>
      <c r="E158" s="10"/>
      <c r="F158" s="6"/>
      <c r="G158" s="8"/>
      <c r="H158" s="8"/>
      <c r="I158" s="8"/>
      <c r="J158" s="8"/>
      <c r="K158" s="8"/>
      <c r="L158" s="8"/>
      <c r="M158" s="13"/>
      <c r="N158" s="35"/>
      <c r="O158" s="35"/>
      <c r="P158" s="35"/>
      <c r="Q158" s="35"/>
      <c r="R158" s="35"/>
      <c r="S158" s="35"/>
    </row>
    <row r="159" spans="2:19" ht="21" customHeight="1">
      <c r="B159" s="2"/>
      <c r="C159" s="8"/>
      <c r="D159" s="8"/>
      <c r="E159" s="10"/>
      <c r="F159" s="6"/>
      <c r="G159" s="8"/>
      <c r="H159" s="8"/>
      <c r="I159" s="8"/>
      <c r="J159" s="8"/>
      <c r="K159" s="8"/>
      <c r="L159" s="8"/>
      <c r="M159" s="13"/>
      <c r="N159" s="35"/>
      <c r="O159" s="35"/>
      <c r="P159" s="35"/>
      <c r="Q159" s="35"/>
      <c r="R159" s="35"/>
      <c r="S159" s="35"/>
    </row>
    <row r="160" spans="2:19" ht="21" customHeight="1">
      <c r="B160" s="2"/>
      <c r="C160" s="8"/>
      <c r="D160" s="8"/>
      <c r="E160" s="10"/>
      <c r="F160" s="6"/>
      <c r="G160" s="8"/>
      <c r="H160" s="8"/>
      <c r="I160" s="8"/>
      <c r="J160" s="8"/>
      <c r="K160" s="8"/>
      <c r="L160" s="8"/>
      <c r="M160" s="13"/>
      <c r="N160" s="35"/>
      <c r="O160" s="35"/>
      <c r="P160" s="35"/>
      <c r="Q160" s="35"/>
      <c r="R160" s="35"/>
      <c r="S160" s="35"/>
    </row>
    <row r="161" spans="2:19" ht="21" customHeight="1">
      <c r="B161" s="2"/>
      <c r="C161" s="8"/>
      <c r="D161" s="8"/>
      <c r="E161" s="10"/>
      <c r="F161" s="6"/>
      <c r="G161" s="8"/>
      <c r="H161" s="8"/>
      <c r="I161" s="8"/>
      <c r="J161" s="8"/>
      <c r="K161" s="8"/>
      <c r="L161" s="8"/>
      <c r="M161" s="13"/>
      <c r="N161" s="35"/>
      <c r="O161" s="35"/>
      <c r="P161" s="35"/>
      <c r="Q161" s="35"/>
      <c r="R161" s="35"/>
      <c r="S161" s="35"/>
    </row>
    <row r="162" spans="2:19" ht="21" customHeight="1">
      <c r="B162" s="2"/>
      <c r="C162" s="8"/>
      <c r="D162" s="8"/>
      <c r="E162" s="10"/>
      <c r="F162" s="6"/>
      <c r="G162" s="8"/>
      <c r="H162" s="8"/>
      <c r="I162" s="8"/>
      <c r="J162" s="8"/>
      <c r="K162" s="8"/>
      <c r="L162" s="8"/>
      <c r="M162" s="13"/>
      <c r="N162" s="35"/>
      <c r="O162" s="35"/>
      <c r="P162" s="35"/>
      <c r="Q162" s="35"/>
      <c r="R162" s="35"/>
      <c r="S162" s="35"/>
    </row>
    <row r="163" spans="2:19" ht="21" customHeight="1">
      <c r="B163" s="2"/>
      <c r="C163" s="8"/>
      <c r="D163" s="8"/>
      <c r="E163" s="10"/>
      <c r="F163" s="6"/>
      <c r="G163" s="8"/>
      <c r="H163" s="8"/>
      <c r="I163" s="8"/>
      <c r="J163" s="8"/>
      <c r="K163" s="8"/>
      <c r="L163" s="8"/>
      <c r="M163" s="13"/>
      <c r="N163" s="35"/>
      <c r="O163" s="35"/>
      <c r="P163" s="35"/>
      <c r="Q163" s="35"/>
      <c r="R163" s="35"/>
      <c r="S163" s="35"/>
    </row>
    <row r="164" spans="2:19" ht="21" customHeight="1">
      <c r="B164" s="2"/>
      <c r="C164" s="8"/>
      <c r="D164" s="8"/>
      <c r="E164" s="10"/>
      <c r="F164" s="6"/>
      <c r="G164" s="8"/>
      <c r="H164" s="8"/>
      <c r="I164" s="8"/>
      <c r="J164" s="8"/>
      <c r="K164" s="8"/>
      <c r="L164" s="8"/>
      <c r="M164" s="13"/>
      <c r="N164" s="35"/>
      <c r="O164" s="35"/>
      <c r="P164" s="35"/>
      <c r="Q164" s="35"/>
      <c r="R164" s="35"/>
      <c r="S164" s="35"/>
    </row>
    <row r="165" spans="2:19" ht="21" customHeight="1">
      <c r="B165" s="2"/>
      <c r="C165" s="8"/>
      <c r="D165" s="8"/>
      <c r="E165" s="10"/>
      <c r="F165" s="6"/>
      <c r="G165" s="8"/>
      <c r="H165" s="8"/>
      <c r="I165" s="8"/>
      <c r="J165" s="8"/>
      <c r="K165" s="8"/>
      <c r="L165" s="8"/>
      <c r="M165" s="13"/>
      <c r="N165" s="35"/>
      <c r="O165" s="35"/>
      <c r="P165" s="35"/>
      <c r="Q165" s="35"/>
      <c r="R165" s="35"/>
      <c r="S165" s="35"/>
    </row>
    <row r="166" spans="2:19" ht="21" customHeight="1">
      <c r="B166" s="2"/>
      <c r="C166" s="8"/>
      <c r="D166" s="8"/>
      <c r="E166" s="10"/>
      <c r="F166" s="6"/>
      <c r="G166" s="8"/>
      <c r="H166" s="8"/>
      <c r="I166" s="8"/>
      <c r="J166" s="8"/>
      <c r="K166" s="8"/>
      <c r="L166" s="8"/>
      <c r="M166" s="13"/>
      <c r="N166" s="35"/>
      <c r="O166" s="35"/>
      <c r="P166" s="35"/>
      <c r="Q166" s="35"/>
      <c r="R166" s="35"/>
      <c r="S166" s="35"/>
    </row>
    <row r="167" spans="2:19" ht="21" customHeight="1">
      <c r="B167" s="2"/>
      <c r="C167" s="8"/>
      <c r="D167" s="8"/>
      <c r="E167" s="10"/>
      <c r="F167" s="6"/>
      <c r="G167" s="8"/>
      <c r="H167" s="8"/>
      <c r="I167" s="8"/>
      <c r="J167" s="8"/>
      <c r="K167" s="8"/>
      <c r="L167" s="8"/>
      <c r="M167" s="13"/>
      <c r="N167" s="35"/>
      <c r="O167" s="35"/>
      <c r="P167" s="35"/>
      <c r="Q167" s="35"/>
      <c r="R167" s="35"/>
      <c r="S167" s="35"/>
    </row>
    <row r="168" spans="2:19" ht="21" customHeight="1">
      <c r="B168" s="2"/>
      <c r="C168" s="8"/>
      <c r="D168" s="8"/>
      <c r="E168" s="10"/>
      <c r="F168" s="6"/>
      <c r="G168" s="8"/>
      <c r="H168" s="8"/>
      <c r="I168" s="8"/>
      <c r="J168" s="8"/>
      <c r="K168" s="8"/>
      <c r="L168" s="8"/>
      <c r="M168" s="13"/>
      <c r="N168" s="35"/>
      <c r="O168" s="35"/>
      <c r="P168" s="35"/>
      <c r="Q168" s="35"/>
      <c r="R168" s="35"/>
      <c r="S168" s="35"/>
    </row>
    <row r="169" spans="2:19" ht="21" customHeight="1">
      <c r="B169" s="2"/>
      <c r="C169" s="8"/>
      <c r="D169" s="8"/>
      <c r="E169" s="10"/>
      <c r="F169" s="6"/>
      <c r="G169" s="8"/>
      <c r="H169" s="8"/>
      <c r="I169" s="8"/>
      <c r="J169" s="8"/>
      <c r="K169" s="8"/>
      <c r="L169" s="8"/>
      <c r="M169" s="13"/>
      <c r="N169" s="35"/>
      <c r="O169" s="35"/>
      <c r="P169" s="35"/>
      <c r="Q169" s="35"/>
      <c r="R169" s="35"/>
      <c r="S169" s="35"/>
    </row>
    <row r="170" spans="2:19" ht="21" customHeight="1">
      <c r="B170" s="2"/>
      <c r="C170" s="8"/>
      <c r="D170" s="8"/>
      <c r="E170" s="10"/>
      <c r="F170" s="6"/>
      <c r="G170" s="8"/>
      <c r="H170" s="8"/>
      <c r="I170" s="8"/>
      <c r="J170" s="8"/>
      <c r="K170" s="8"/>
      <c r="L170" s="8"/>
      <c r="M170" s="13"/>
      <c r="N170" s="35"/>
      <c r="O170" s="35"/>
      <c r="P170" s="35"/>
      <c r="Q170" s="35"/>
      <c r="R170" s="35"/>
      <c r="S170" s="35"/>
    </row>
  </sheetData>
  <autoFilter ref="A1:S160"/>
  <sortState ref="A2:S189">
    <sortCondition ref="B2:B189"/>
    <sortCondition ref="F2:F189"/>
  </sortState>
  <phoneticPr fontId="13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R73"/>
  <sheetViews>
    <sheetView showGridLines="0" workbookViewId="0">
      <pane ySplit="1" topLeftCell="A2" activePane="bottomLeft" state="frozen"/>
      <selection activeCell="M24" sqref="M24"/>
      <selection pane="bottomLeft" activeCell="D8" sqref="D8"/>
    </sheetView>
  </sheetViews>
  <sheetFormatPr baseColWidth="12" defaultRowHeight="21" customHeight="1" outlineLevelCol="1" x14ac:dyDescent="0"/>
  <cols>
    <col min="1" max="1" width="9.6640625" style="7" bestFit="1" customWidth="1"/>
    <col min="2" max="2" width="14.6640625" style="1" bestFit="1" customWidth="1"/>
    <col min="3" max="3" width="13.33203125" style="1" bestFit="1" customWidth="1" outlineLevel="1"/>
    <col min="4" max="4" width="10.83203125" style="1" bestFit="1" customWidth="1" outlineLevel="1"/>
    <col min="5" max="5" width="12.6640625" style="1" bestFit="1" customWidth="1"/>
    <col min="6" max="6" width="25.1640625" style="1" bestFit="1" customWidth="1" outlineLevel="1"/>
    <col min="7" max="7" width="11" style="1" bestFit="1" customWidth="1" outlineLevel="1"/>
    <col min="8" max="8" width="7" style="1" bestFit="1" customWidth="1" outlineLevel="1"/>
    <col min="9" max="9" width="7.83203125" style="4" bestFit="1" customWidth="1" outlineLevel="1"/>
    <col min="10" max="10" width="16.1640625" style="1" bestFit="1" customWidth="1" outlineLevel="1"/>
    <col min="11" max="11" width="16.33203125" style="1" bestFit="1" customWidth="1" outlineLevel="1"/>
    <col min="12" max="12" width="8.6640625" style="1" bestFit="1" customWidth="1"/>
    <col min="13" max="13" width="10.5" style="1" bestFit="1" customWidth="1"/>
    <col min="14" max="14" width="6.5" style="1" bestFit="1" customWidth="1"/>
    <col min="15" max="15" width="9.33203125" style="1" bestFit="1" customWidth="1"/>
    <col min="16" max="16" width="10.33203125" style="1" bestFit="1" customWidth="1"/>
    <col min="17" max="17" width="7.6640625" style="1" bestFit="1" customWidth="1"/>
    <col min="18" max="18" width="4" style="1" bestFit="1" customWidth="1"/>
    <col min="19" max="16384" width="12.83203125" style="1"/>
  </cols>
  <sheetData>
    <row r="1" spans="1:18" ht="21" customHeight="1">
      <c r="A1" s="7" t="s">
        <v>10</v>
      </c>
      <c r="B1" s="14" t="s">
        <v>20</v>
      </c>
      <c r="C1" s="3" t="s">
        <v>18</v>
      </c>
      <c r="D1" s="15" t="s">
        <v>19</v>
      </c>
      <c r="E1" s="14" t="s">
        <v>1</v>
      </c>
      <c r="F1" s="3" t="s">
        <v>5</v>
      </c>
      <c r="G1" s="15" t="s">
        <v>6</v>
      </c>
      <c r="H1" s="15" t="s">
        <v>4</v>
      </c>
      <c r="I1" s="15" t="s">
        <v>7</v>
      </c>
      <c r="J1" s="15" t="s">
        <v>8</v>
      </c>
      <c r="K1" s="15" t="s">
        <v>9</v>
      </c>
      <c r="L1" s="14" t="s">
        <v>3</v>
      </c>
      <c r="M1" s="14" t="s">
        <v>2</v>
      </c>
      <c r="N1" s="34" t="s">
        <v>13</v>
      </c>
      <c r="O1" s="34" t="s">
        <v>14</v>
      </c>
      <c r="P1" s="34" t="s">
        <v>15</v>
      </c>
      <c r="Q1" s="34" t="s">
        <v>16</v>
      </c>
      <c r="R1" s="34" t="s">
        <v>17</v>
      </c>
    </row>
    <row r="2" spans="1:18" ht="21" customHeight="1">
      <c r="B2" s="2"/>
      <c r="C2" s="8"/>
      <c r="E2" s="6"/>
      <c r="F2" s="8"/>
      <c r="G2" s="8"/>
      <c r="H2" s="8"/>
      <c r="I2" s="8"/>
      <c r="J2" s="8"/>
      <c r="K2" s="8"/>
      <c r="L2" s="33"/>
      <c r="M2" s="35"/>
      <c r="N2" s="35"/>
      <c r="O2" s="35"/>
      <c r="P2" s="35"/>
      <c r="Q2" s="35"/>
      <c r="R2" s="35"/>
    </row>
    <row r="3" spans="1:18" ht="21" customHeight="1">
      <c r="B3" s="2"/>
      <c r="C3" s="8"/>
      <c r="E3" s="6"/>
      <c r="F3" s="8"/>
      <c r="G3" s="8"/>
      <c r="H3" s="8"/>
      <c r="I3" s="8"/>
      <c r="J3" s="8"/>
      <c r="K3" s="8"/>
      <c r="L3" s="33"/>
      <c r="M3" s="35"/>
      <c r="N3" s="35"/>
      <c r="O3" s="35"/>
      <c r="P3" s="35"/>
      <c r="Q3" s="35"/>
      <c r="R3" s="35"/>
    </row>
    <row r="4" spans="1:18" ht="21" customHeight="1">
      <c r="B4" s="2"/>
      <c r="C4" s="8"/>
      <c r="E4" s="6"/>
      <c r="F4" s="8"/>
      <c r="G4" s="8"/>
      <c r="H4" s="8"/>
      <c r="I4" s="8"/>
      <c r="J4" s="8"/>
      <c r="K4" s="8"/>
      <c r="L4" s="33"/>
      <c r="M4" s="35"/>
      <c r="N4" s="35"/>
      <c r="O4" s="35"/>
      <c r="P4" s="35"/>
      <c r="Q4" s="35"/>
      <c r="R4" s="35"/>
    </row>
    <row r="5" spans="1:18" ht="21" customHeight="1">
      <c r="B5" s="2"/>
      <c r="C5" s="8"/>
      <c r="E5" s="6"/>
      <c r="F5" s="8"/>
      <c r="G5" s="8"/>
      <c r="H5" s="8"/>
      <c r="I5" s="8"/>
      <c r="J5" s="8"/>
      <c r="K5" s="8"/>
      <c r="L5" s="33"/>
      <c r="M5" s="35"/>
      <c r="N5" s="35"/>
      <c r="O5" s="35"/>
      <c r="P5" s="35"/>
      <c r="Q5" s="35"/>
      <c r="R5" s="35"/>
    </row>
    <row r="6" spans="1:18" ht="21" customHeight="1">
      <c r="B6" s="2"/>
      <c r="C6" s="8"/>
      <c r="E6" s="6"/>
      <c r="F6" s="8"/>
      <c r="G6" s="8"/>
      <c r="H6" s="8"/>
      <c r="I6" s="8"/>
      <c r="J6" s="8"/>
      <c r="K6" s="8"/>
      <c r="L6" s="33"/>
      <c r="M6" s="35"/>
      <c r="N6" s="35"/>
      <c r="O6" s="35"/>
      <c r="P6" s="35"/>
      <c r="Q6" s="35"/>
      <c r="R6" s="35"/>
    </row>
    <row r="7" spans="1:18" ht="21" customHeight="1">
      <c r="B7" s="2"/>
      <c r="C7" s="8"/>
      <c r="E7" s="6"/>
      <c r="F7" s="8"/>
      <c r="G7" s="8"/>
      <c r="H7" s="8"/>
      <c r="I7" s="8"/>
      <c r="J7" s="8"/>
      <c r="K7" s="8"/>
      <c r="L7" s="33"/>
      <c r="M7" s="35"/>
      <c r="N7" s="35"/>
      <c r="O7" s="35"/>
      <c r="P7" s="35"/>
      <c r="Q7" s="35"/>
      <c r="R7" s="35"/>
    </row>
    <row r="8" spans="1:18" ht="21" customHeight="1">
      <c r="B8" s="2"/>
      <c r="C8" s="8"/>
      <c r="E8" s="6"/>
      <c r="F8" s="8"/>
      <c r="G8" s="8"/>
      <c r="H8" s="8"/>
      <c r="I8" s="8"/>
      <c r="J8" s="8"/>
      <c r="K8" s="8"/>
      <c r="L8" s="33"/>
      <c r="M8" s="35"/>
      <c r="N8" s="35"/>
      <c r="O8" s="35"/>
      <c r="P8" s="35"/>
      <c r="Q8" s="35"/>
      <c r="R8" s="35"/>
    </row>
    <row r="9" spans="1:18" ht="21" customHeight="1">
      <c r="B9" s="2"/>
      <c r="C9" s="8"/>
      <c r="E9" s="6"/>
      <c r="F9" s="8"/>
      <c r="G9" s="8"/>
      <c r="H9" s="8"/>
      <c r="I9" s="8"/>
      <c r="J9" s="8"/>
      <c r="K9" s="8"/>
      <c r="L9" s="33"/>
      <c r="M9" s="35"/>
      <c r="N9" s="35"/>
      <c r="O9" s="35"/>
      <c r="P9" s="35"/>
      <c r="Q9" s="35"/>
      <c r="R9" s="35"/>
    </row>
    <row r="10" spans="1:18" ht="21" customHeight="1">
      <c r="B10" s="2"/>
      <c r="C10" s="8"/>
      <c r="E10" s="6"/>
      <c r="F10" s="8"/>
      <c r="G10" s="8"/>
      <c r="H10" s="8"/>
      <c r="I10" s="8"/>
      <c r="J10" s="8"/>
      <c r="K10" s="8"/>
      <c r="L10" s="33"/>
      <c r="M10" s="35"/>
      <c r="N10" s="35"/>
      <c r="O10" s="35"/>
      <c r="P10" s="35"/>
      <c r="Q10" s="35"/>
      <c r="R10" s="35"/>
    </row>
    <row r="11" spans="1:18" ht="21" customHeight="1">
      <c r="B11" s="2"/>
      <c r="C11" s="8"/>
      <c r="E11" s="6"/>
      <c r="F11" s="8"/>
      <c r="G11" s="8"/>
      <c r="H11" s="8"/>
      <c r="I11" s="8"/>
      <c r="J11" s="8"/>
      <c r="K11" s="8"/>
      <c r="L11" s="33"/>
      <c r="M11" s="35"/>
      <c r="N11" s="35"/>
      <c r="O11" s="35"/>
      <c r="P11" s="35"/>
      <c r="Q11" s="35"/>
      <c r="R11" s="35"/>
    </row>
    <row r="12" spans="1:18" ht="21" customHeight="1">
      <c r="B12" s="2"/>
      <c r="C12" s="8"/>
      <c r="E12" s="55"/>
      <c r="F12" s="8"/>
      <c r="G12" s="8"/>
      <c r="H12" s="8"/>
      <c r="I12" s="8"/>
      <c r="J12" s="8"/>
      <c r="K12" s="8"/>
      <c r="L12" s="33"/>
      <c r="M12" s="35"/>
      <c r="N12" s="35"/>
      <c r="O12" s="35"/>
      <c r="P12" s="35"/>
      <c r="Q12" s="35"/>
      <c r="R12" s="35"/>
    </row>
    <row r="13" spans="1:18" ht="21" customHeight="1">
      <c r="B13" s="2"/>
      <c r="C13" s="8"/>
      <c r="E13" s="55"/>
      <c r="F13" s="8"/>
      <c r="G13" s="8"/>
      <c r="H13" s="8"/>
      <c r="I13" s="8"/>
      <c r="J13" s="8"/>
      <c r="K13" s="8"/>
      <c r="L13" s="33"/>
      <c r="M13" s="35"/>
      <c r="N13" s="35"/>
      <c r="O13" s="35"/>
      <c r="P13" s="35"/>
      <c r="Q13" s="35"/>
      <c r="R13" s="35"/>
    </row>
    <row r="14" spans="1:18" ht="21" customHeight="1">
      <c r="B14" s="2"/>
      <c r="C14" s="8"/>
      <c r="E14" s="54"/>
      <c r="F14" s="8"/>
      <c r="G14" s="8"/>
      <c r="H14" s="8"/>
      <c r="I14" s="8"/>
      <c r="J14" s="8"/>
      <c r="K14" s="8"/>
      <c r="L14" s="33"/>
      <c r="M14" s="35"/>
      <c r="N14" s="35"/>
      <c r="O14" s="35"/>
      <c r="P14" s="35"/>
      <c r="Q14" s="35"/>
      <c r="R14" s="35"/>
    </row>
    <row r="15" spans="1:18" ht="21" customHeight="1">
      <c r="B15" s="2"/>
      <c r="C15" s="8"/>
      <c r="E15" s="54"/>
      <c r="F15" s="8"/>
      <c r="G15" s="8"/>
      <c r="H15" s="8"/>
      <c r="I15" s="8"/>
      <c r="J15" s="8"/>
      <c r="K15" s="8"/>
      <c r="L15" s="33"/>
      <c r="M15" s="35"/>
      <c r="N15" s="35"/>
      <c r="O15" s="35"/>
      <c r="P15" s="35"/>
      <c r="Q15" s="35"/>
      <c r="R15" s="35"/>
    </row>
    <row r="16" spans="1:18" ht="21" customHeight="1">
      <c r="B16" s="2"/>
      <c r="C16" s="8"/>
      <c r="E16" s="53"/>
      <c r="F16" s="8"/>
      <c r="G16" s="8"/>
      <c r="H16" s="8"/>
      <c r="I16" s="8"/>
      <c r="J16" s="8"/>
      <c r="K16" s="8"/>
      <c r="L16" s="33"/>
      <c r="M16" s="35"/>
      <c r="N16" s="35"/>
      <c r="O16" s="35"/>
      <c r="P16" s="35"/>
      <c r="Q16" s="35"/>
      <c r="R16" s="35"/>
    </row>
    <row r="17" spans="2:18" ht="21" customHeight="1">
      <c r="B17" s="2"/>
      <c r="C17" s="8"/>
      <c r="E17" s="56"/>
      <c r="F17" s="8"/>
      <c r="G17" s="8"/>
      <c r="H17" s="8"/>
      <c r="I17" s="8"/>
      <c r="J17" s="8"/>
      <c r="K17" s="8"/>
      <c r="L17" s="33"/>
      <c r="M17" s="35"/>
      <c r="N17" s="35"/>
      <c r="O17" s="35"/>
      <c r="P17" s="35"/>
      <c r="Q17" s="35"/>
      <c r="R17" s="35"/>
    </row>
    <row r="18" spans="2:18" ht="21" customHeight="1">
      <c r="B18" s="2"/>
      <c r="C18" s="8"/>
      <c r="E18" s="56"/>
      <c r="F18" s="8"/>
      <c r="G18" s="8"/>
      <c r="H18" s="8"/>
      <c r="I18" s="8"/>
      <c r="J18" s="8"/>
      <c r="K18" s="8"/>
      <c r="L18" s="33"/>
      <c r="M18" s="35"/>
      <c r="N18" s="35"/>
      <c r="O18" s="35"/>
      <c r="P18" s="35"/>
      <c r="Q18" s="35"/>
      <c r="R18" s="35"/>
    </row>
    <row r="19" spans="2:18" ht="21" customHeight="1">
      <c r="B19" s="2"/>
      <c r="C19" s="8"/>
      <c r="E19" s="56"/>
      <c r="F19" s="8"/>
      <c r="G19" s="8"/>
      <c r="H19" s="8"/>
      <c r="I19" s="8"/>
      <c r="J19" s="8"/>
      <c r="K19" s="8"/>
      <c r="L19" s="33"/>
      <c r="M19" s="35"/>
      <c r="N19" s="35"/>
      <c r="O19" s="35"/>
      <c r="P19" s="35"/>
      <c r="Q19" s="35"/>
      <c r="R19" s="35"/>
    </row>
    <row r="20" spans="2:18" ht="21" customHeight="1">
      <c r="B20" s="2"/>
      <c r="C20" s="8"/>
      <c r="E20" s="56"/>
      <c r="F20" s="8"/>
      <c r="G20" s="8"/>
      <c r="H20" s="8"/>
      <c r="I20" s="8"/>
      <c r="J20" s="8"/>
      <c r="K20" s="8"/>
      <c r="L20" s="33"/>
      <c r="M20" s="35"/>
      <c r="N20" s="35"/>
      <c r="O20" s="35"/>
      <c r="P20" s="35"/>
      <c r="Q20" s="35"/>
      <c r="R20" s="35"/>
    </row>
    <row r="21" spans="2:18" ht="21" customHeight="1">
      <c r="B21" s="2"/>
      <c r="C21" s="8"/>
      <c r="E21" s="56"/>
      <c r="F21" s="8"/>
      <c r="G21" s="8"/>
      <c r="H21" s="8"/>
      <c r="I21" s="8"/>
      <c r="J21" s="8"/>
      <c r="K21" s="8"/>
      <c r="L21" s="33"/>
      <c r="M21" s="35"/>
      <c r="N21" s="35"/>
      <c r="O21" s="35"/>
      <c r="P21" s="35"/>
      <c r="Q21" s="35"/>
      <c r="R21" s="35"/>
    </row>
    <row r="22" spans="2:18" ht="21" customHeight="1">
      <c r="B22" s="2"/>
      <c r="C22" s="8"/>
      <c r="E22" s="56"/>
      <c r="F22" s="8"/>
      <c r="G22" s="8"/>
      <c r="H22" s="8"/>
      <c r="I22" s="8"/>
      <c r="J22" s="8"/>
      <c r="K22" s="8"/>
      <c r="L22" s="33"/>
      <c r="M22" s="35"/>
      <c r="N22" s="35"/>
      <c r="O22" s="35"/>
      <c r="P22" s="35"/>
      <c r="Q22" s="35"/>
      <c r="R22" s="35"/>
    </row>
    <row r="23" spans="2:18" ht="21" customHeight="1">
      <c r="B23" s="2"/>
      <c r="C23" s="8"/>
      <c r="E23" s="56"/>
      <c r="F23" s="8"/>
      <c r="G23" s="8"/>
      <c r="H23" s="8"/>
      <c r="I23" s="8"/>
      <c r="J23" s="8"/>
      <c r="K23" s="8"/>
      <c r="L23" s="33"/>
      <c r="M23" s="35"/>
      <c r="N23" s="35"/>
      <c r="O23" s="35"/>
      <c r="P23" s="35"/>
      <c r="Q23" s="35"/>
      <c r="R23" s="35"/>
    </row>
    <row r="24" spans="2:18" ht="21" customHeight="1">
      <c r="B24" s="2"/>
      <c r="C24" s="8"/>
      <c r="E24" s="56"/>
      <c r="F24" s="8"/>
      <c r="G24" s="8"/>
      <c r="H24" s="8"/>
      <c r="I24" s="8"/>
      <c r="J24" s="8"/>
      <c r="K24" s="8"/>
      <c r="L24" s="33"/>
      <c r="M24" s="35"/>
      <c r="N24" s="35"/>
      <c r="O24" s="35"/>
      <c r="P24" s="35"/>
      <c r="Q24" s="35"/>
      <c r="R24" s="35"/>
    </row>
    <row r="25" spans="2:18" ht="21" customHeight="1">
      <c r="B25" s="2"/>
      <c r="C25" s="8"/>
      <c r="E25" s="56"/>
      <c r="F25" s="8"/>
      <c r="G25" s="8"/>
      <c r="H25" s="8"/>
      <c r="I25" s="8"/>
      <c r="J25" s="8"/>
      <c r="K25" s="8"/>
      <c r="L25" s="33"/>
      <c r="M25" s="35"/>
      <c r="N25" s="35"/>
      <c r="O25" s="35"/>
      <c r="P25" s="35"/>
      <c r="Q25" s="35"/>
      <c r="R25" s="35"/>
    </row>
    <row r="26" spans="2:18" ht="21" customHeight="1">
      <c r="B26" s="2"/>
      <c r="C26" s="8"/>
      <c r="E26" s="56"/>
      <c r="F26" s="8"/>
      <c r="G26" s="8"/>
      <c r="H26" s="8"/>
      <c r="I26" s="8"/>
      <c r="J26" s="8"/>
      <c r="K26" s="8"/>
      <c r="L26" s="33"/>
      <c r="M26" s="35"/>
      <c r="N26" s="35"/>
      <c r="O26" s="35"/>
      <c r="P26" s="35"/>
      <c r="Q26" s="35"/>
      <c r="R26" s="35"/>
    </row>
    <row r="27" spans="2:18" ht="21" customHeight="1">
      <c r="B27" s="2"/>
      <c r="C27" s="8"/>
      <c r="E27" s="56"/>
      <c r="F27" s="8"/>
      <c r="G27" s="8"/>
      <c r="H27" s="8"/>
      <c r="I27" s="8"/>
      <c r="J27" s="8"/>
      <c r="K27" s="8"/>
      <c r="L27" s="33"/>
      <c r="M27" s="35"/>
      <c r="N27" s="35"/>
      <c r="O27" s="35"/>
      <c r="P27" s="35"/>
      <c r="Q27" s="35"/>
      <c r="R27" s="35"/>
    </row>
    <row r="28" spans="2:18" ht="21" customHeight="1">
      <c r="B28" s="2"/>
      <c r="C28" s="8"/>
      <c r="E28" s="56"/>
      <c r="F28" s="8"/>
      <c r="G28" s="8"/>
      <c r="H28" s="8"/>
      <c r="I28" s="8"/>
      <c r="J28" s="8"/>
      <c r="K28" s="8"/>
      <c r="L28" s="33"/>
      <c r="M28" s="35"/>
      <c r="N28" s="35"/>
      <c r="O28" s="35"/>
      <c r="P28" s="35"/>
      <c r="Q28" s="35"/>
      <c r="R28" s="35"/>
    </row>
    <row r="29" spans="2:18" ht="21" customHeight="1">
      <c r="B29" s="2"/>
      <c r="C29" s="8"/>
      <c r="E29" s="56"/>
      <c r="F29" s="8"/>
      <c r="G29" s="8"/>
      <c r="H29" s="8"/>
      <c r="I29" s="8"/>
      <c r="J29" s="8"/>
      <c r="K29" s="8"/>
      <c r="L29" s="33"/>
      <c r="M29" s="35"/>
      <c r="N29" s="35"/>
      <c r="O29" s="35"/>
      <c r="P29" s="35"/>
      <c r="Q29" s="35"/>
      <c r="R29" s="35"/>
    </row>
    <row r="30" spans="2:18" ht="21" customHeight="1">
      <c r="B30" s="2"/>
      <c r="C30" s="8"/>
      <c r="E30" s="56"/>
      <c r="F30" s="8"/>
      <c r="G30" s="8"/>
      <c r="H30" s="8"/>
      <c r="I30" s="8"/>
      <c r="J30" s="8"/>
      <c r="K30" s="8"/>
      <c r="L30" s="33"/>
      <c r="M30" s="35"/>
      <c r="N30" s="35"/>
      <c r="O30" s="35"/>
      <c r="P30" s="35"/>
      <c r="Q30" s="35"/>
      <c r="R30" s="35"/>
    </row>
    <row r="31" spans="2:18" ht="21" customHeight="1">
      <c r="B31" s="2"/>
      <c r="C31" s="8"/>
      <c r="E31" s="56"/>
      <c r="F31" s="8"/>
      <c r="G31" s="8"/>
      <c r="H31" s="8"/>
      <c r="I31" s="8"/>
      <c r="J31" s="8"/>
      <c r="K31" s="8"/>
      <c r="L31" s="33"/>
      <c r="M31" s="35"/>
      <c r="N31" s="35"/>
      <c r="O31" s="35"/>
      <c r="P31" s="35"/>
      <c r="Q31" s="35"/>
      <c r="R31" s="35"/>
    </row>
    <row r="32" spans="2:18" ht="21" customHeight="1">
      <c r="B32" s="2"/>
      <c r="C32" s="8"/>
      <c r="E32" s="56"/>
      <c r="F32" s="8"/>
      <c r="G32" s="8"/>
      <c r="H32" s="8"/>
      <c r="I32" s="8"/>
      <c r="J32" s="8"/>
      <c r="K32" s="8"/>
      <c r="L32" s="33"/>
      <c r="M32" s="35"/>
      <c r="N32" s="35"/>
      <c r="O32" s="35"/>
      <c r="P32" s="35"/>
      <c r="Q32" s="35"/>
      <c r="R32" s="35"/>
    </row>
    <row r="33" spans="2:18" ht="21" customHeight="1">
      <c r="B33" s="2"/>
      <c r="C33" s="8"/>
      <c r="E33" s="54"/>
      <c r="F33" s="8"/>
      <c r="G33" s="8"/>
      <c r="H33" s="8"/>
      <c r="I33" s="8"/>
      <c r="J33" s="8"/>
      <c r="K33" s="8"/>
      <c r="L33" s="33"/>
      <c r="M33" s="35"/>
      <c r="N33" s="35"/>
      <c r="O33" s="35"/>
      <c r="P33" s="35"/>
      <c r="Q33" s="35"/>
      <c r="R33" s="35"/>
    </row>
    <row r="34" spans="2:18" ht="21" customHeight="1">
      <c r="B34" s="2"/>
      <c r="C34" s="8"/>
      <c r="E34" s="54"/>
      <c r="F34" s="8"/>
      <c r="G34" s="8"/>
      <c r="H34" s="8"/>
      <c r="I34" s="8"/>
      <c r="J34" s="8"/>
      <c r="K34" s="8"/>
      <c r="L34" s="33"/>
      <c r="M34" s="35"/>
      <c r="N34" s="35"/>
      <c r="O34" s="35"/>
      <c r="P34" s="35"/>
      <c r="Q34" s="35"/>
      <c r="R34" s="35"/>
    </row>
    <row r="35" spans="2:18" ht="21" customHeight="1">
      <c r="B35" s="2"/>
      <c r="C35" s="8"/>
      <c r="E35" s="54"/>
      <c r="F35" s="8"/>
      <c r="G35" s="8"/>
      <c r="H35" s="8"/>
      <c r="I35" s="8"/>
      <c r="J35" s="8"/>
      <c r="K35" s="8"/>
      <c r="L35" s="33"/>
      <c r="M35" s="35"/>
      <c r="N35" s="35"/>
      <c r="O35" s="35"/>
      <c r="P35" s="35"/>
      <c r="Q35" s="35"/>
      <c r="R35" s="35"/>
    </row>
    <row r="36" spans="2:18" ht="21" customHeight="1">
      <c r="B36" s="2"/>
      <c r="C36" s="8"/>
      <c r="E36" s="54"/>
      <c r="F36" s="8"/>
      <c r="G36" s="8"/>
      <c r="H36" s="8"/>
      <c r="I36" s="8"/>
      <c r="J36" s="8"/>
      <c r="K36" s="8"/>
      <c r="L36" s="33"/>
      <c r="M36" s="35"/>
      <c r="N36" s="35"/>
      <c r="O36" s="35"/>
      <c r="P36" s="35"/>
      <c r="Q36" s="35"/>
      <c r="R36" s="35"/>
    </row>
    <row r="37" spans="2:18" ht="21" customHeight="1">
      <c r="B37" s="2"/>
      <c r="C37" s="8"/>
      <c r="E37" s="55"/>
      <c r="F37" s="8"/>
      <c r="G37" s="8"/>
      <c r="H37" s="8"/>
      <c r="I37" s="8"/>
      <c r="J37" s="8"/>
      <c r="K37" s="8"/>
      <c r="L37" s="33"/>
      <c r="M37" s="35"/>
      <c r="N37" s="35"/>
      <c r="O37" s="35"/>
      <c r="P37" s="35"/>
      <c r="Q37" s="35"/>
      <c r="R37" s="35"/>
    </row>
    <row r="38" spans="2:18" ht="21" customHeight="1">
      <c r="B38" s="2"/>
      <c r="C38" s="8"/>
      <c r="E38" s="54"/>
      <c r="F38" s="8"/>
      <c r="G38" s="8"/>
      <c r="H38" s="8"/>
      <c r="I38" s="8"/>
      <c r="J38" s="8"/>
      <c r="K38" s="8"/>
      <c r="L38" s="33"/>
      <c r="M38" s="35"/>
      <c r="N38" s="35"/>
      <c r="O38" s="35"/>
      <c r="P38" s="35"/>
      <c r="Q38" s="35"/>
      <c r="R38" s="35"/>
    </row>
    <row r="39" spans="2:18" ht="21" customHeight="1">
      <c r="B39" s="2"/>
      <c r="C39" s="8"/>
      <c r="E39" s="54"/>
      <c r="F39" s="8"/>
      <c r="G39" s="8"/>
      <c r="H39" s="8"/>
      <c r="I39" s="8"/>
      <c r="J39" s="8"/>
      <c r="K39" s="8"/>
      <c r="L39" s="33"/>
      <c r="M39" s="35"/>
      <c r="N39" s="35"/>
      <c r="O39" s="35"/>
      <c r="P39" s="35"/>
      <c r="Q39" s="35"/>
      <c r="R39" s="35"/>
    </row>
    <row r="40" spans="2:18" ht="21" customHeight="1">
      <c r="B40" s="2"/>
      <c r="C40" s="8"/>
      <c r="E40" s="54"/>
      <c r="F40" s="8"/>
      <c r="G40" s="8"/>
      <c r="H40" s="8"/>
      <c r="I40" s="8"/>
      <c r="J40" s="8"/>
      <c r="K40" s="8"/>
      <c r="L40" s="33"/>
      <c r="M40" s="35"/>
      <c r="N40" s="35"/>
      <c r="O40" s="35"/>
      <c r="P40" s="35"/>
      <c r="Q40" s="35"/>
      <c r="R40" s="35"/>
    </row>
    <row r="41" spans="2:18" ht="21" customHeight="1">
      <c r="B41" s="2"/>
      <c r="C41" s="8"/>
      <c r="E41" s="54"/>
      <c r="F41" s="8"/>
      <c r="G41" s="8"/>
      <c r="H41" s="8"/>
      <c r="I41" s="8"/>
      <c r="J41" s="8"/>
      <c r="K41" s="8"/>
      <c r="L41" s="33"/>
      <c r="M41" s="35"/>
      <c r="N41" s="35"/>
      <c r="O41" s="35"/>
      <c r="P41" s="35"/>
      <c r="Q41" s="35"/>
      <c r="R41" s="35"/>
    </row>
    <row r="42" spans="2:18" ht="21" customHeight="1">
      <c r="B42" s="2"/>
      <c r="C42" s="8"/>
      <c r="E42" s="54"/>
      <c r="F42" s="8"/>
      <c r="G42" s="8"/>
      <c r="H42" s="8"/>
      <c r="I42" s="8"/>
      <c r="J42" s="8"/>
      <c r="K42" s="8"/>
      <c r="L42" s="33"/>
      <c r="M42" s="35"/>
      <c r="N42" s="35"/>
      <c r="O42" s="35"/>
      <c r="P42" s="35"/>
      <c r="Q42" s="35"/>
      <c r="R42" s="35"/>
    </row>
    <row r="43" spans="2:18" ht="21" customHeight="1">
      <c r="B43" s="2"/>
      <c r="C43" s="8"/>
      <c r="E43" s="54"/>
      <c r="F43" s="8"/>
      <c r="G43" s="8"/>
      <c r="H43" s="8"/>
      <c r="I43" s="8"/>
      <c r="J43" s="8"/>
      <c r="K43" s="8"/>
      <c r="L43" s="33"/>
      <c r="M43" s="35"/>
      <c r="N43" s="35"/>
      <c r="O43" s="35"/>
      <c r="P43" s="35"/>
      <c r="Q43" s="35"/>
      <c r="R43" s="35"/>
    </row>
    <row r="44" spans="2:18" ht="21" customHeight="1">
      <c r="B44" s="2"/>
      <c r="C44" s="8"/>
      <c r="E44" s="54"/>
      <c r="F44" s="8"/>
      <c r="G44" s="8"/>
      <c r="H44" s="8"/>
      <c r="I44" s="8"/>
      <c r="J44" s="8"/>
      <c r="K44" s="8"/>
      <c r="L44" s="33"/>
      <c r="M44" s="35"/>
      <c r="N44" s="35"/>
      <c r="O44" s="35"/>
      <c r="P44" s="35"/>
      <c r="Q44" s="35"/>
      <c r="R44" s="35"/>
    </row>
    <row r="45" spans="2:18" ht="21" customHeight="1">
      <c r="B45" s="2"/>
      <c r="C45" s="8"/>
      <c r="E45" s="54"/>
      <c r="F45" s="8"/>
      <c r="G45" s="8"/>
      <c r="H45" s="8"/>
      <c r="I45" s="8"/>
      <c r="J45" s="8"/>
      <c r="K45" s="8"/>
      <c r="L45" s="33"/>
      <c r="M45" s="35"/>
      <c r="N45" s="35"/>
      <c r="O45" s="35"/>
      <c r="P45" s="35"/>
      <c r="Q45" s="35"/>
      <c r="R45" s="35"/>
    </row>
    <row r="46" spans="2:18" ht="21" customHeight="1">
      <c r="B46" s="2"/>
      <c r="C46" s="8"/>
      <c r="E46" s="54"/>
      <c r="F46" s="8"/>
      <c r="G46" s="8"/>
      <c r="H46" s="8"/>
      <c r="I46" s="8"/>
      <c r="J46" s="8"/>
      <c r="K46" s="8"/>
      <c r="L46" s="33"/>
      <c r="M46" s="35"/>
      <c r="N46" s="35"/>
      <c r="O46" s="35"/>
      <c r="P46" s="35"/>
      <c r="Q46" s="35"/>
      <c r="R46" s="35"/>
    </row>
    <row r="47" spans="2:18" ht="21" customHeight="1">
      <c r="B47" s="2"/>
      <c r="C47" s="8"/>
      <c r="E47" s="54"/>
      <c r="F47" s="8"/>
      <c r="G47" s="8"/>
      <c r="H47" s="8"/>
      <c r="I47" s="8"/>
      <c r="J47" s="8"/>
      <c r="K47" s="8"/>
      <c r="L47" s="33"/>
      <c r="M47" s="35"/>
      <c r="N47" s="35"/>
      <c r="O47" s="35"/>
      <c r="P47" s="35"/>
      <c r="Q47" s="35"/>
      <c r="R47" s="35"/>
    </row>
    <row r="48" spans="2:18" ht="21" customHeight="1">
      <c r="B48" s="2"/>
      <c r="C48" s="8"/>
      <c r="E48" s="54"/>
      <c r="F48" s="8"/>
      <c r="G48" s="8"/>
      <c r="H48" s="8"/>
      <c r="I48" s="8"/>
      <c r="J48" s="8"/>
      <c r="K48" s="8"/>
      <c r="L48" s="33"/>
      <c r="M48" s="35"/>
      <c r="N48" s="35"/>
      <c r="O48" s="35"/>
      <c r="P48" s="35"/>
      <c r="Q48" s="35"/>
      <c r="R48" s="35"/>
    </row>
    <row r="49" spans="2:18" ht="21" customHeight="1">
      <c r="B49" s="2"/>
      <c r="C49" s="8"/>
      <c r="E49" s="54"/>
      <c r="F49" s="8"/>
      <c r="G49" s="8"/>
      <c r="H49" s="8"/>
      <c r="I49" s="8"/>
      <c r="J49" s="8"/>
      <c r="K49" s="8"/>
      <c r="L49" s="33"/>
      <c r="M49" s="35"/>
      <c r="N49" s="35"/>
      <c r="O49" s="35"/>
      <c r="P49" s="35"/>
      <c r="Q49" s="35"/>
      <c r="R49" s="35"/>
    </row>
    <row r="50" spans="2:18" ht="21" customHeight="1">
      <c r="B50" s="2"/>
      <c r="C50" s="8"/>
      <c r="E50" s="54"/>
      <c r="F50" s="8"/>
      <c r="G50" s="8"/>
      <c r="H50" s="8"/>
      <c r="I50" s="8"/>
      <c r="J50" s="8"/>
      <c r="K50" s="8"/>
      <c r="L50" s="33"/>
      <c r="M50" s="35"/>
      <c r="N50" s="35"/>
      <c r="O50" s="35"/>
      <c r="P50" s="35"/>
      <c r="Q50" s="35"/>
      <c r="R50" s="35"/>
    </row>
    <row r="51" spans="2:18" ht="21" customHeight="1">
      <c r="B51" s="2"/>
      <c r="C51" s="8"/>
      <c r="E51" s="54"/>
      <c r="F51" s="8"/>
      <c r="G51" s="8"/>
      <c r="H51" s="8"/>
      <c r="I51" s="8"/>
      <c r="J51" s="8"/>
      <c r="K51" s="8"/>
      <c r="L51" s="33"/>
      <c r="M51" s="35"/>
      <c r="N51" s="35"/>
      <c r="O51" s="35"/>
      <c r="P51" s="35"/>
      <c r="Q51" s="35"/>
      <c r="R51" s="35"/>
    </row>
    <row r="52" spans="2:18" ht="21" customHeight="1">
      <c r="B52" s="2"/>
      <c r="C52" s="8"/>
      <c r="E52" s="54"/>
      <c r="F52" s="8"/>
      <c r="G52" s="8"/>
      <c r="H52" s="8"/>
      <c r="I52" s="8"/>
      <c r="J52" s="8"/>
      <c r="K52" s="8"/>
      <c r="L52" s="33"/>
      <c r="M52" s="35"/>
      <c r="N52" s="35"/>
      <c r="O52" s="35"/>
      <c r="P52" s="35"/>
      <c r="Q52" s="35"/>
      <c r="R52" s="35"/>
    </row>
    <row r="53" spans="2:18" ht="21" customHeight="1">
      <c r="B53" s="2"/>
      <c r="C53" s="8"/>
      <c r="E53" s="54"/>
      <c r="F53" s="8"/>
      <c r="G53" s="8"/>
      <c r="H53" s="8"/>
      <c r="I53" s="8"/>
      <c r="J53" s="8"/>
      <c r="K53" s="8"/>
      <c r="L53" s="33"/>
      <c r="M53" s="35"/>
      <c r="N53" s="35"/>
      <c r="O53" s="35"/>
      <c r="P53" s="35"/>
      <c r="Q53" s="35"/>
      <c r="R53" s="35"/>
    </row>
    <row r="54" spans="2:18" ht="21" customHeight="1">
      <c r="B54" s="2"/>
      <c r="C54" s="8"/>
      <c r="E54" s="54"/>
      <c r="F54" s="8"/>
      <c r="G54" s="8"/>
      <c r="H54" s="8"/>
      <c r="I54" s="8"/>
      <c r="J54" s="8"/>
      <c r="K54" s="8"/>
      <c r="L54" s="33"/>
      <c r="M54" s="35"/>
      <c r="N54" s="35"/>
      <c r="O54" s="35"/>
      <c r="P54" s="35"/>
      <c r="Q54" s="35"/>
      <c r="R54" s="35"/>
    </row>
    <row r="55" spans="2:18" ht="21" customHeight="1">
      <c r="B55" s="2"/>
      <c r="C55" s="8"/>
      <c r="E55" s="54"/>
      <c r="F55" s="8"/>
      <c r="G55" s="8"/>
      <c r="H55" s="8"/>
      <c r="I55" s="8"/>
      <c r="J55" s="8"/>
      <c r="K55" s="8"/>
      <c r="L55" s="33"/>
      <c r="M55" s="35"/>
      <c r="N55" s="35"/>
      <c r="O55" s="35"/>
      <c r="P55" s="35"/>
      <c r="Q55" s="35"/>
      <c r="R55" s="35"/>
    </row>
    <row r="56" spans="2:18" ht="21" customHeight="1">
      <c r="B56" s="2"/>
      <c r="C56" s="8"/>
      <c r="E56" s="54"/>
      <c r="F56" s="8"/>
      <c r="G56" s="8"/>
      <c r="H56" s="8"/>
      <c r="I56" s="8"/>
      <c r="J56" s="8"/>
      <c r="K56" s="8"/>
      <c r="L56" s="33"/>
      <c r="M56" s="35"/>
      <c r="N56" s="35"/>
      <c r="O56" s="35"/>
      <c r="P56" s="35"/>
      <c r="Q56" s="35"/>
      <c r="R56" s="35"/>
    </row>
    <row r="57" spans="2:18" ht="21" customHeight="1">
      <c r="B57" s="2"/>
      <c r="C57" s="8"/>
      <c r="E57" s="54"/>
      <c r="F57" s="8"/>
      <c r="G57" s="8"/>
      <c r="H57" s="8"/>
      <c r="I57" s="8"/>
      <c r="J57" s="8"/>
      <c r="K57" s="8"/>
      <c r="L57" s="33"/>
      <c r="M57" s="35"/>
      <c r="N57" s="35"/>
      <c r="O57" s="35"/>
      <c r="P57" s="35"/>
      <c r="Q57" s="35"/>
      <c r="R57" s="35"/>
    </row>
    <row r="58" spans="2:18" ht="21" customHeight="1">
      <c r="B58" s="2"/>
      <c r="C58" s="8"/>
      <c r="E58" s="55"/>
      <c r="F58" s="8"/>
      <c r="G58" s="8"/>
      <c r="H58" s="8"/>
      <c r="I58" s="8"/>
      <c r="J58" s="8"/>
      <c r="K58" s="8"/>
      <c r="L58" s="33"/>
      <c r="M58" s="35"/>
      <c r="N58" s="35"/>
      <c r="O58" s="35"/>
      <c r="P58" s="35"/>
      <c r="Q58" s="35"/>
      <c r="R58" s="35"/>
    </row>
    <row r="59" spans="2:18" ht="21" customHeight="1">
      <c r="B59" s="2"/>
      <c r="C59" s="8"/>
      <c r="E59" s="54"/>
      <c r="F59" s="8"/>
      <c r="G59" s="8"/>
      <c r="H59" s="8"/>
      <c r="I59" s="8"/>
      <c r="J59" s="8"/>
      <c r="K59" s="8"/>
      <c r="L59" s="33"/>
      <c r="M59" s="35"/>
      <c r="N59" s="35"/>
      <c r="O59" s="35"/>
      <c r="P59" s="35"/>
      <c r="Q59" s="35"/>
      <c r="R59" s="35"/>
    </row>
    <row r="60" spans="2:18" ht="21" customHeight="1">
      <c r="B60" s="2"/>
      <c r="C60" s="8"/>
      <c r="E60" s="54"/>
      <c r="F60" s="8"/>
      <c r="G60" s="8"/>
      <c r="H60" s="8"/>
      <c r="I60" s="8"/>
      <c r="J60" s="8"/>
      <c r="K60" s="8"/>
      <c r="L60" s="33"/>
      <c r="M60" s="35"/>
      <c r="N60" s="35"/>
      <c r="O60" s="35"/>
      <c r="P60" s="35"/>
      <c r="Q60" s="35"/>
      <c r="R60" s="35"/>
    </row>
    <row r="61" spans="2:18" ht="21" customHeight="1">
      <c r="B61" s="2"/>
      <c r="C61" s="8"/>
      <c r="E61" s="54"/>
      <c r="F61" s="8"/>
      <c r="G61" s="8"/>
      <c r="H61" s="8"/>
      <c r="I61" s="8"/>
      <c r="J61" s="8"/>
      <c r="K61" s="8"/>
      <c r="L61" s="33"/>
      <c r="M61" s="35"/>
      <c r="N61" s="35"/>
      <c r="O61" s="35"/>
      <c r="P61" s="35"/>
      <c r="Q61" s="35"/>
      <c r="R61" s="35"/>
    </row>
    <row r="62" spans="2:18" ht="21" customHeight="1">
      <c r="B62" s="2"/>
      <c r="C62" s="8"/>
      <c r="E62" s="54"/>
      <c r="F62" s="8"/>
      <c r="G62" s="8"/>
      <c r="H62" s="8"/>
      <c r="I62" s="8"/>
      <c r="J62" s="8"/>
      <c r="K62" s="8"/>
      <c r="L62" s="33"/>
      <c r="M62" s="35"/>
      <c r="N62" s="35"/>
      <c r="O62" s="35"/>
      <c r="P62" s="35"/>
      <c r="Q62" s="35"/>
      <c r="R62" s="35"/>
    </row>
    <row r="63" spans="2:18" ht="21" customHeight="1">
      <c r="B63" s="2"/>
      <c r="C63" s="8"/>
      <c r="E63" s="54"/>
      <c r="F63" s="8"/>
      <c r="G63" s="8"/>
      <c r="H63" s="8"/>
      <c r="I63" s="8"/>
      <c r="J63" s="8"/>
      <c r="K63" s="8"/>
      <c r="L63" s="33"/>
      <c r="M63" s="35"/>
      <c r="N63" s="35"/>
      <c r="O63" s="35"/>
      <c r="P63" s="35"/>
      <c r="Q63" s="35"/>
      <c r="R63" s="35"/>
    </row>
    <row r="64" spans="2:18" ht="21" customHeight="1">
      <c r="B64" s="2"/>
      <c r="C64" s="8"/>
      <c r="E64" s="54"/>
      <c r="F64" s="8"/>
      <c r="G64" s="8"/>
      <c r="H64" s="8"/>
      <c r="I64" s="8"/>
      <c r="J64" s="8"/>
      <c r="K64" s="8"/>
      <c r="L64" s="33"/>
      <c r="M64" s="35"/>
      <c r="N64" s="35"/>
      <c r="O64" s="35"/>
      <c r="P64" s="35"/>
      <c r="Q64" s="35"/>
      <c r="R64" s="35"/>
    </row>
    <row r="65" spans="2:18" ht="21" customHeight="1">
      <c r="B65" s="2"/>
      <c r="C65" s="8"/>
      <c r="E65" s="54"/>
      <c r="F65" s="8"/>
      <c r="G65" s="8"/>
      <c r="H65" s="8"/>
      <c r="I65" s="8"/>
      <c r="J65" s="8"/>
      <c r="K65" s="8"/>
      <c r="L65" s="33"/>
      <c r="M65" s="35"/>
      <c r="N65" s="35"/>
      <c r="O65" s="35"/>
      <c r="P65" s="35"/>
      <c r="Q65" s="35"/>
      <c r="R65" s="35"/>
    </row>
    <row r="66" spans="2:18" ht="21" customHeight="1">
      <c r="B66" s="2"/>
      <c r="C66" s="8"/>
      <c r="E66" s="54"/>
      <c r="F66" s="8"/>
      <c r="G66" s="8"/>
      <c r="H66" s="8"/>
      <c r="I66" s="8"/>
      <c r="J66" s="8"/>
      <c r="K66" s="8"/>
      <c r="L66" s="33"/>
      <c r="M66" s="35"/>
      <c r="N66" s="35"/>
      <c r="O66" s="35"/>
      <c r="P66" s="35"/>
      <c r="Q66" s="35"/>
      <c r="R66" s="35"/>
    </row>
    <row r="67" spans="2:18" ht="21" customHeight="1">
      <c r="B67" s="2"/>
      <c r="C67" s="8"/>
      <c r="E67" s="54"/>
      <c r="F67" s="8"/>
      <c r="G67" s="8"/>
      <c r="H67" s="8"/>
      <c r="I67" s="8"/>
      <c r="J67" s="8"/>
      <c r="K67" s="8"/>
      <c r="L67" s="33"/>
      <c r="M67" s="35"/>
      <c r="N67" s="35"/>
      <c r="O67" s="35"/>
      <c r="P67" s="35"/>
      <c r="Q67" s="35"/>
      <c r="R67" s="35"/>
    </row>
    <row r="68" spans="2:18" ht="21" customHeight="1">
      <c r="B68" s="2"/>
      <c r="C68" s="8"/>
      <c r="E68" s="54"/>
      <c r="F68" s="8"/>
      <c r="G68" s="8"/>
      <c r="H68" s="8"/>
      <c r="I68" s="8"/>
      <c r="J68" s="8"/>
      <c r="K68" s="8"/>
      <c r="L68" s="33"/>
      <c r="M68" s="35"/>
      <c r="N68" s="35"/>
      <c r="O68" s="35"/>
      <c r="P68" s="35"/>
      <c r="Q68" s="35"/>
      <c r="R68" s="35"/>
    </row>
    <row r="69" spans="2:18" ht="21" customHeight="1">
      <c r="B69" s="2"/>
      <c r="C69" s="8"/>
      <c r="E69" s="54"/>
      <c r="F69" s="8"/>
      <c r="G69" s="8"/>
      <c r="H69" s="8"/>
      <c r="I69" s="8"/>
      <c r="J69" s="8"/>
      <c r="K69" s="8"/>
      <c r="L69" s="33"/>
      <c r="M69" s="35"/>
      <c r="N69" s="35"/>
      <c r="O69" s="35"/>
      <c r="P69" s="35"/>
      <c r="Q69" s="35"/>
      <c r="R69" s="35"/>
    </row>
    <row r="70" spans="2:18" ht="21" customHeight="1">
      <c r="B70" s="2"/>
      <c r="C70" s="8"/>
      <c r="E70" s="54"/>
      <c r="F70" s="8"/>
      <c r="G70" s="8"/>
      <c r="H70" s="8"/>
      <c r="I70" s="8"/>
      <c r="J70" s="8"/>
      <c r="K70" s="8"/>
      <c r="L70" s="33"/>
      <c r="M70" s="35"/>
      <c r="N70" s="35"/>
      <c r="O70" s="35"/>
      <c r="P70" s="35"/>
      <c r="Q70" s="35"/>
      <c r="R70" s="35"/>
    </row>
    <row r="71" spans="2:18" ht="21" customHeight="1">
      <c r="B71" s="2"/>
      <c r="C71" s="8"/>
      <c r="E71" s="54"/>
      <c r="F71" s="8"/>
      <c r="G71" s="8"/>
      <c r="H71" s="8"/>
      <c r="I71" s="8"/>
      <c r="J71" s="8"/>
      <c r="K71" s="8"/>
      <c r="L71" s="33"/>
      <c r="M71" s="35"/>
      <c r="N71" s="35"/>
      <c r="O71" s="35"/>
      <c r="P71" s="35"/>
      <c r="Q71" s="35"/>
      <c r="R71" s="35"/>
    </row>
    <row r="72" spans="2:18" ht="21" customHeight="1">
      <c r="B72" s="2"/>
      <c r="C72" s="8"/>
      <c r="E72" s="54"/>
      <c r="F72" s="8"/>
      <c r="G72" s="8"/>
      <c r="H72" s="8"/>
      <c r="I72" s="8"/>
      <c r="J72" s="8"/>
      <c r="K72" s="8"/>
      <c r="L72" s="33"/>
      <c r="M72" s="35"/>
      <c r="N72" s="35"/>
      <c r="O72" s="35"/>
      <c r="P72" s="35"/>
      <c r="Q72" s="35"/>
      <c r="R72" s="35"/>
    </row>
    <row r="73" spans="2:18" ht="21" customHeight="1">
      <c r="B73" s="2"/>
      <c r="C73" s="8"/>
      <c r="E73" s="54"/>
      <c r="F73" s="8"/>
      <c r="G73" s="8"/>
      <c r="H73" s="8"/>
      <c r="I73" s="8"/>
      <c r="J73" s="8"/>
      <c r="K73" s="8"/>
      <c r="L73" s="33"/>
      <c r="M73" s="35"/>
      <c r="N73" s="35"/>
      <c r="O73" s="35"/>
      <c r="P73" s="35"/>
      <c r="Q73" s="35"/>
      <c r="R73" s="35"/>
    </row>
  </sheetData>
  <autoFilter ref="A1:R5"/>
  <phoneticPr fontId="13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K1"/>
  <sheetViews>
    <sheetView showGridLines="0" workbookViewId="0">
      <pane ySplit="1" topLeftCell="A2" activePane="bottomLeft" state="frozen"/>
      <selection activeCell="M24" sqref="M24"/>
      <selection pane="bottomLeft" activeCell="F17" sqref="F17"/>
    </sheetView>
  </sheetViews>
  <sheetFormatPr baseColWidth="12" defaultRowHeight="21" customHeight="1" outlineLevelCol="1" x14ac:dyDescent="0"/>
  <cols>
    <col min="1" max="1" width="12.83203125" style="16"/>
    <col min="2" max="2" width="14.6640625" style="1" bestFit="1" customWidth="1"/>
    <col min="3" max="3" width="14.1640625" style="1" bestFit="1" customWidth="1"/>
    <col min="4" max="5" width="14.1640625" style="1" customWidth="1" outlineLevel="1"/>
    <col min="6" max="6" width="16.5" style="1" customWidth="1" outlineLevel="1"/>
    <col min="7" max="8" width="8.6640625" style="1" bestFit="1" customWidth="1"/>
    <col min="9" max="10" width="12.83203125" style="1"/>
    <col min="11" max="11" width="18.83203125" style="1" bestFit="1" customWidth="1"/>
    <col min="12" max="16384" width="12.83203125" style="1"/>
  </cols>
  <sheetData>
    <row r="1" spans="1:11" ht="21" customHeight="1">
      <c r="A1" s="7" t="s">
        <v>10</v>
      </c>
      <c r="B1" s="14" t="s">
        <v>22</v>
      </c>
      <c r="C1" s="26" t="s">
        <v>25</v>
      </c>
      <c r="D1" s="17" t="s">
        <v>27</v>
      </c>
      <c r="E1" s="17" t="s">
        <v>28</v>
      </c>
      <c r="F1" s="17" t="s">
        <v>29</v>
      </c>
      <c r="G1" s="14" t="s">
        <v>3</v>
      </c>
      <c r="H1" s="14" t="s">
        <v>30</v>
      </c>
      <c r="I1" s="14" t="s">
        <v>31</v>
      </c>
      <c r="J1" s="14" t="s">
        <v>32</v>
      </c>
      <c r="K1" s="14" t="s">
        <v>33</v>
      </c>
    </row>
  </sheetData>
  <autoFilter ref="B1:G1"/>
  <phoneticPr fontId="13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FF0000"/>
  </sheetPr>
  <dimension ref="A1:H13"/>
  <sheetViews>
    <sheetView workbookViewId="0">
      <pane ySplit="1" topLeftCell="A2" activePane="bottomLeft" state="frozen"/>
      <selection pane="bottomLeft" activeCell="H29" sqref="H29"/>
    </sheetView>
  </sheetViews>
  <sheetFormatPr baseColWidth="12" defaultRowHeight="14" x14ac:dyDescent="0"/>
  <cols>
    <col min="2" max="2" width="36.6640625" customWidth="1"/>
    <col min="3" max="8" width="12.5" customWidth="1"/>
  </cols>
  <sheetData>
    <row r="1" spans="1:8">
      <c r="A1" s="13" t="s">
        <v>1</v>
      </c>
      <c r="B1" s="46" t="s">
        <v>80</v>
      </c>
      <c r="C1" s="36" t="s">
        <v>83</v>
      </c>
      <c r="D1" s="37" t="s">
        <v>13</v>
      </c>
      <c r="E1" s="37" t="s">
        <v>14</v>
      </c>
      <c r="F1" s="37" t="s">
        <v>15</v>
      </c>
      <c r="G1" s="37" t="s">
        <v>16</v>
      </c>
      <c r="H1" s="37" t="s">
        <v>17</v>
      </c>
    </row>
    <row r="2" spans="1:8">
      <c r="A2" s="6"/>
      <c r="B2" s="61" t="str">
        <f>IFERROR(VLOOKUP(A2,[1]characters!$A:$C,3,FALSE),"")</f>
        <v/>
      </c>
      <c r="C2" s="5"/>
      <c r="D2" s="5"/>
      <c r="E2" s="5"/>
      <c r="F2" s="5"/>
      <c r="G2" s="5"/>
      <c r="H2" s="13"/>
    </row>
    <row r="3" spans="1:8">
      <c r="A3" s="6"/>
      <c r="B3" s="61" t="str">
        <f>IFERROR(VLOOKUP(A3,[1]characters!$A:$C,3,FALSE),"")</f>
        <v/>
      </c>
      <c r="C3" s="5"/>
      <c r="D3" s="5"/>
      <c r="E3" s="5"/>
      <c r="F3" s="5"/>
      <c r="G3" s="5"/>
      <c r="H3" s="13"/>
    </row>
    <row r="4" spans="1:8">
      <c r="A4" s="6"/>
      <c r="B4" s="61" t="str">
        <f>IFERROR(VLOOKUP(A4,[1]characters!$A:$C,3,FALSE),"")</f>
        <v/>
      </c>
      <c r="C4" s="5"/>
      <c r="D4" s="5"/>
      <c r="E4" s="5"/>
      <c r="F4" s="5"/>
      <c r="G4" s="5"/>
      <c r="H4" s="13"/>
    </row>
    <row r="5" spans="1:8">
      <c r="A5" s="6"/>
      <c r="B5" s="61" t="str">
        <f>IFERROR(VLOOKUP(A5,[1]characters!$A:$C,3,FALSE),"")</f>
        <v/>
      </c>
      <c r="C5" s="5"/>
      <c r="D5" s="5"/>
      <c r="E5" s="5"/>
      <c r="F5" s="5"/>
      <c r="G5" s="5"/>
      <c r="H5" s="13"/>
    </row>
    <row r="6" spans="1:8">
      <c r="A6" s="6"/>
      <c r="B6" s="61" t="str">
        <f>IFERROR(VLOOKUP(A6,[1]characters!$A:$C,3,FALSE),"")</f>
        <v/>
      </c>
      <c r="C6" s="5"/>
      <c r="D6" s="5"/>
      <c r="E6" s="5"/>
      <c r="F6" s="5"/>
      <c r="G6" s="5"/>
      <c r="H6" s="13"/>
    </row>
    <row r="7" spans="1:8">
      <c r="A7" s="6"/>
      <c r="B7" s="61" t="str">
        <f>IFERROR(VLOOKUP(A7,[1]characters!$A:$C,3,FALSE),"")</f>
        <v/>
      </c>
      <c r="C7" s="5"/>
      <c r="D7" s="5"/>
      <c r="E7" s="5"/>
      <c r="F7" s="5"/>
      <c r="G7" s="5"/>
      <c r="H7" s="13"/>
    </row>
    <row r="8" spans="1:8">
      <c r="A8" s="6"/>
      <c r="B8" s="61" t="str">
        <f>IFERROR(VLOOKUP(A8,[1]characters!$A:$C,3,FALSE),"")</f>
        <v/>
      </c>
      <c r="C8" s="5"/>
      <c r="D8" s="5"/>
      <c r="E8" s="5"/>
      <c r="F8" s="5"/>
      <c r="G8" s="5"/>
      <c r="H8" s="13"/>
    </row>
    <row r="9" spans="1:8">
      <c r="A9" s="6"/>
      <c r="B9" s="61" t="str">
        <f>IFERROR(VLOOKUP(A9,[1]characters!$A:$C,3,FALSE),"")</f>
        <v/>
      </c>
      <c r="C9" s="5"/>
      <c r="D9" s="5"/>
      <c r="E9" s="5"/>
      <c r="F9" s="5"/>
      <c r="G9" s="5"/>
      <c r="H9" s="13"/>
    </row>
    <row r="10" spans="1:8">
      <c r="A10" s="6"/>
      <c r="B10" s="61" t="str">
        <f>IFERROR(VLOOKUP(A10,[1]characters!$A:$C,3,FALSE),"")</f>
        <v/>
      </c>
      <c r="C10" s="5"/>
      <c r="D10" s="5"/>
      <c r="E10" s="5"/>
      <c r="F10" s="5"/>
      <c r="G10" s="5"/>
      <c r="H10" s="13"/>
    </row>
    <row r="11" spans="1:8">
      <c r="A11" s="6"/>
      <c r="B11" s="61" t="str">
        <f>IFERROR(VLOOKUP(A11,[1]characters!$A:$C,3,FALSE),"")</f>
        <v/>
      </c>
      <c r="C11" s="5"/>
      <c r="D11" s="5"/>
      <c r="E11" s="5"/>
      <c r="F11" s="5"/>
      <c r="G11" s="5"/>
      <c r="H11" s="13"/>
    </row>
    <row r="12" spans="1:8">
      <c r="A12" s="6"/>
      <c r="B12" s="8"/>
      <c r="C12" s="5"/>
      <c r="D12" s="5"/>
      <c r="E12" s="5"/>
      <c r="F12" s="5"/>
      <c r="G12" s="5"/>
      <c r="H12" s="13"/>
    </row>
    <row r="13" spans="1:8">
      <c r="A13" s="13" t="s">
        <v>88</v>
      </c>
      <c r="B13" s="8" t="str">
        <f>IFERROR(VLOOKUP(A13,[1]characters!$A:$C,3,FALSE),"")</f>
        <v/>
      </c>
      <c r="C13" s="5">
        <v>1</v>
      </c>
      <c r="D13" s="5">
        <v>0</v>
      </c>
      <c r="E13" s="5">
        <v>0</v>
      </c>
      <c r="F13" s="5">
        <v>0</v>
      </c>
      <c r="G13" s="5">
        <v>0</v>
      </c>
      <c r="H13" s="13">
        <v>1</v>
      </c>
    </row>
  </sheetData>
  <phoneticPr fontId="13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rgb="FFFF0000"/>
  </sheetPr>
  <dimension ref="A2:H16"/>
  <sheetViews>
    <sheetView workbookViewId="0">
      <selection activeCell="A4" sqref="A4"/>
    </sheetView>
  </sheetViews>
  <sheetFormatPr baseColWidth="12" defaultRowHeight="14" x14ac:dyDescent="0"/>
  <cols>
    <col min="1" max="3" width="12.83203125" customWidth="1"/>
  </cols>
  <sheetData>
    <row r="2" spans="1:8">
      <c r="A2" t="s">
        <v>87</v>
      </c>
    </row>
    <row r="3" spans="1:8">
      <c r="A3" s="38">
        <v>307</v>
      </c>
    </row>
    <row r="5" spans="1:8">
      <c r="A5" s="39" t="s">
        <v>82</v>
      </c>
      <c r="B5" s="40" t="str">
        <f>$A$3 &amp; "1"</f>
        <v>3071</v>
      </c>
      <c r="C5" s="59"/>
      <c r="D5" s="39" t="s">
        <v>85</v>
      </c>
      <c r="E5" s="40" t="str">
        <f>$A$3 &amp; "0"</f>
        <v>3070</v>
      </c>
      <c r="F5" s="59"/>
      <c r="G5" s="39" t="s">
        <v>86</v>
      </c>
      <c r="H5" s="40" t="str">
        <f>$A$3 &amp; "3"</f>
        <v>3073</v>
      </c>
    </row>
    <row r="6" spans="1:8">
      <c r="A6" s="41" t="s">
        <v>84</v>
      </c>
      <c r="B6" s="42"/>
      <c r="C6" s="59"/>
      <c r="D6" s="41" t="s">
        <v>84</v>
      </c>
      <c r="E6" s="42"/>
      <c r="F6" s="59"/>
      <c r="G6" s="41" t="s">
        <v>84</v>
      </c>
      <c r="H6" s="42"/>
    </row>
    <row r="7" spans="1:8">
      <c r="A7" s="44">
        <f>COUNTIFS(gacha_select_tables!$H:$H,"PremiumSSS",gacha_select_tables!$B:$B,B5)</f>
        <v>0</v>
      </c>
      <c r="B7" s="42"/>
      <c r="C7" s="59"/>
      <c r="D7" s="44">
        <f>COUNTIFS(gacha_select_tables!$H:$H,"PremiumSSS",gacha_select_tables!$B:$B,E5)</f>
        <v>0</v>
      </c>
      <c r="E7" s="42"/>
      <c r="F7" s="59"/>
      <c r="G7" s="44">
        <f>COUNTIF(gacha_settle_tables!G:G,"PremiumSSS")</f>
        <v>0</v>
      </c>
      <c r="H7" s="42"/>
    </row>
    <row r="8" spans="1:8">
      <c r="A8" s="41"/>
      <c r="B8" s="42"/>
      <c r="C8" s="59"/>
      <c r="D8" s="41"/>
      <c r="E8" s="42"/>
      <c r="F8" s="59"/>
      <c r="G8" s="41"/>
      <c r="H8" s="42"/>
    </row>
    <row r="9" spans="1:8">
      <c r="A9" s="41" t="s">
        <v>81</v>
      </c>
      <c r="B9" s="42"/>
      <c r="C9" s="59"/>
      <c r="D9" s="41" t="s">
        <v>81</v>
      </c>
      <c r="E9" s="42"/>
      <c r="F9" s="59"/>
      <c r="G9" s="41" t="s">
        <v>81</v>
      </c>
      <c r="H9" s="42"/>
    </row>
    <row r="10" spans="1:8">
      <c r="A10" s="44">
        <f>COUNTIFS(gacha_select_tables!$S:$S,"&gt;1",gacha_select_tables!$B:$B,B5)</f>
        <v>0</v>
      </c>
      <c r="B10" s="42"/>
      <c r="C10" s="59"/>
      <c r="D10" s="44">
        <f>COUNTIFS(gacha_select_tables!$S:$S,"&gt;1", gacha_select_tables!$B:$B,E5)</f>
        <v>0</v>
      </c>
      <c r="E10" s="42"/>
      <c r="F10" s="59"/>
      <c r="G10" s="44">
        <f>COUNTIF(gacha_settle_tables!$R:$R,"&gt;1")</f>
        <v>0</v>
      </c>
      <c r="H10" s="42"/>
    </row>
    <row r="11" spans="1:8">
      <c r="A11" s="41"/>
      <c r="B11" s="42"/>
      <c r="C11" s="59"/>
      <c r="D11" s="41"/>
      <c r="E11" s="42"/>
      <c r="F11" s="59"/>
      <c r="G11" s="41"/>
      <c r="H11" s="42"/>
    </row>
    <row r="12" spans="1:8">
      <c r="A12" s="41" t="s">
        <v>91</v>
      </c>
      <c r="B12" s="42"/>
      <c r="C12" s="59"/>
      <c r="D12" s="41" t="s">
        <v>91</v>
      </c>
      <c r="E12" s="42"/>
      <c r="F12" s="59"/>
      <c r="G12" s="41" t="s">
        <v>91</v>
      </c>
      <c r="H12" s="42"/>
    </row>
    <row r="13" spans="1:8">
      <c r="A13" s="44">
        <f>COUNTIFS(gacha_select_tables!$N:$N,"&gt;1",gacha_select_tables!$B:$B,B5)</f>
        <v>0</v>
      </c>
      <c r="B13" s="42"/>
      <c r="C13" s="59"/>
      <c r="D13" s="44">
        <f>COUNTIFS(gacha_select_tables!$N:$N,"&gt;1", gacha_select_tables!$B:$B,E5)</f>
        <v>0</v>
      </c>
      <c r="E13" s="42"/>
      <c r="F13" s="59"/>
      <c r="G13" s="44">
        <f>COUNTIF(gacha_settle_tables!$M:$M,"&gt;1")</f>
        <v>0</v>
      </c>
      <c r="H13" s="42"/>
    </row>
    <row r="14" spans="1:8">
      <c r="A14" s="41"/>
      <c r="B14" s="42"/>
      <c r="C14" s="59"/>
      <c r="D14" s="41"/>
      <c r="E14" s="42"/>
      <c r="F14" s="59"/>
      <c r="G14" s="41"/>
      <c r="H14" s="42"/>
    </row>
    <row r="15" spans="1:8">
      <c r="A15" s="41" t="s">
        <v>89</v>
      </c>
      <c r="B15" s="42"/>
      <c r="C15" s="59"/>
      <c r="D15" s="41" t="s">
        <v>90</v>
      </c>
      <c r="E15" s="42"/>
      <c r="F15" s="59"/>
      <c r="G15" s="41" t="s">
        <v>90</v>
      </c>
      <c r="H15" s="42"/>
    </row>
    <row r="16" spans="1:8">
      <c r="A16" s="45">
        <f>COUNTIF(gacha_select_tables!$B:$B,B5)</f>
        <v>53</v>
      </c>
      <c r="B16" s="43"/>
      <c r="C16" s="59"/>
      <c r="D16" s="45">
        <f>COUNTIF(gacha_select_tables!$B:$B,E5)</f>
        <v>39</v>
      </c>
      <c r="E16" s="43"/>
      <c r="F16" s="59"/>
      <c r="G16" s="45">
        <f>COUNTIF(gacha_settle_tables!B:B,H5)</f>
        <v>0</v>
      </c>
      <c r="H16" s="43"/>
    </row>
  </sheetData>
  <phoneticPr fontId="13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output</vt:lpstr>
      <vt:lpstr>gacha_307_base</vt:lpstr>
      <vt:lpstr>gacha_select_tables</vt:lpstr>
      <vt:lpstr>gacha_settle_tables</vt:lpstr>
      <vt:lpstr>gacha_bonus_tables</vt:lpstr>
      <vt:lpstr>bug_conf_sheet</vt:lpstr>
      <vt:lpstr>check_sheet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takigawa Mio</cp:lastModifiedBy>
  <dcterms:created xsi:type="dcterms:W3CDTF">2015-04-01T12:34:09Z</dcterms:created>
  <dcterms:modified xsi:type="dcterms:W3CDTF">2016-03-14T06:41:42Z</dcterms:modified>
</cp:coreProperties>
</file>