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27610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nagaminesusumutakashi/BULL_data/master_excel/"/>
    </mc:Choice>
  </mc:AlternateContent>
  <bookViews>
    <workbookView xWindow="0" yWindow="460" windowWidth="25360" windowHeight="15820" tabRatio="963" activeTab="10"/>
  </bookViews>
  <sheets>
    <sheet name="output" sheetId="49" r:id="rId1"/>
    <sheet name="units" sheetId="23" r:id="rId2"/>
    <sheet name="unit_skills" sheetId="52" r:id="rId3"/>
    <sheet name="crash_skills" sheetId="53" r:id="rId4"/>
    <sheet name="unit_serifs" sheetId="50" r:id="rId5"/>
    <sheet name="unit_serifs_i18n" sheetId="54" r:id="rId6"/>
    <sheet name="awake_materials" sheetId="3" r:id="rId7"/>
    <sheet name="書き出し" sheetId="55" r:id="rId8"/>
    <sheet name="→base値" sheetId="51" r:id="rId9"/>
    <sheet name="ghosts_label" sheetId="56" r:id="rId10"/>
    <sheet name="コスト" sheetId="13" r:id="rId11"/>
    <sheet name="レベル" sheetId="12" r:id="rId12"/>
    <sheet name="経験値" sheetId="10" r:id="rId13"/>
    <sheet name="RC6SV" sheetId="11" r:id="rId14"/>
    <sheet name="ビット" sheetId="15" r:id="rId15"/>
  </sheets>
  <externalReferences>
    <externalReference r:id="rId16"/>
    <externalReference r:id="rId17"/>
  </externalReferences>
  <definedNames>
    <definedName name="_xlnm._FilterDatabase" localSheetId="6" hidden="1">awake_materials!$B$1:$H$1</definedName>
    <definedName name="_xlnm._FilterDatabase" localSheetId="3" hidden="1">crash_skills!$A$1:$J$1</definedName>
    <definedName name="_xlnm._FilterDatabase" localSheetId="2" hidden="1">unit_skills!$A$1:$S$1</definedName>
    <definedName name="_xlnm._FilterDatabase" localSheetId="1" hidden="1">units!$A$1:$BQ$2</definedName>
    <definedName name="base_character_id">awake_materials!$B$1</definedName>
    <definedName name="character_id">units!$A$1</definedName>
    <definedName name="LIMIT">INDIRECT("Definitions.xlsm!LIMIT")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3" i="23" l="1"/>
  <c r="G3" i="23"/>
  <c r="BC3" i="23"/>
  <c r="H4" i="23"/>
  <c r="G4" i="23"/>
  <c r="BC4" i="23"/>
  <c r="H5" i="23"/>
  <c r="G5" i="23"/>
  <c r="BC5" i="23"/>
  <c r="H6" i="23"/>
  <c r="G6" i="23"/>
  <c r="BC6" i="23"/>
  <c r="H7" i="23"/>
  <c r="G7" i="23"/>
  <c r="BC7" i="23"/>
  <c r="H8" i="23"/>
  <c r="G8" i="23"/>
  <c r="BC8" i="23"/>
  <c r="H9" i="23"/>
  <c r="G9" i="23"/>
  <c r="BC9" i="23"/>
  <c r="H10" i="23"/>
  <c r="G10" i="23"/>
  <c r="BC10" i="23"/>
  <c r="H11" i="23"/>
  <c r="G11" i="23"/>
  <c r="BC11" i="23"/>
  <c r="H12" i="23"/>
  <c r="G12" i="23"/>
  <c r="BC12" i="23"/>
  <c r="H13" i="23"/>
  <c r="G13" i="23"/>
  <c r="BC13" i="23"/>
  <c r="H14" i="23"/>
  <c r="G14" i="23"/>
  <c r="BC14" i="23"/>
  <c r="H15" i="23"/>
  <c r="G15" i="23"/>
  <c r="BC15" i="23"/>
  <c r="H16" i="23"/>
  <c r="G16" i="23"/>
  <c r="BC16" i="23"/>
  <c r="H17" i="23"/>
  <c r="G17" i="23"/>
  <c r="BC17" i="23"/>
  <c r="H18" i="23"/>
  <c r="G18" i="23"/>
  <c r="BC18" i="23"/>
  <c r="H19" i="23"/>
  <c r="G19" i="23"/>
  <c r="BC19" i="23"/>
  <c r="H20" i="23"/>
  <c r="G20" i="23"/>
  <c r="BC20" i="23"/>
  <c r="H21" i="23"/>
  <c r="G21" i="23"/>
  <c r="BC21" i="23"/>
  <c r="H22" i="23"/>
  <c r="G22" i="23"/>
  <c r="BC22" i="23"/>
  <c r="H23" i="23"/>
  <c r="G23" i="23"/>
  <c r="BC23" i="23"/>
  <c r="H24" i="23"/>
  <c r="G24" i="23"/>
  <c r="BC24" i="23"/>
  <c r="H25" i="23"/>
  <c r="G25" i="23"/>
  <c r="BC25" i="23"/>
  <c r="H26" i="23"/>
  <c r="G26" i="23"/>
  <c r="BC26" i="23"/>
  <c r="H27" i="23"/>
  <c r="G27" i="23"/>
  <c r="BC27" i="23"/>
  <c r="H28" i="23"/>
  <c r="G28" i="23"/>
  <c r="BC28" i="23"/>
  <c r="H29" i="23"/>
  <c r="G29" i="23"/>
  <c r="BC29" i="23"/>
  <c r="H30" i="23"/>
  <c r="G30" i="23"/>
  <c r="BC30" i="23"/>
  <c r="H31" i="23"/>
  <c r="G31" i="23"/>
  <c r="BC31" i="23"/>
  <c r="H32" i="23"/>
  <c r="G32" i="23"/>
  <c r="BC32" i="23"/>
  <c r="H33" i="23"/>
  <c r="G33" i="23"/>
  <c r="BC33" i="23"/>
  <c r="H34" i="23"/>
  <c r="G34" i="23"/>
  <c r="BC34" i="23"/>
  <c r="H35" i="23"/>
  <c r="G35" i="23"/>
  <c r="BC35" i="23"/>
  <c r="H36" i="23"/>
  <c r="G36" i="23"/>
  <c r="BC36" i="23"/>
  <c r="H2" i="23"/>
  <c r="G2" i="23"/>
  <c r="BC2" i="23"/>
  <c r="AL3" i="23"/>
  <c r="AL4" i="23"/>
  <c r="AL5" i="23"/>
  <c r="AL6" i="23"/>
  <c r="AL7" i="23"/>
  <c r="AL8" i="23"/>
  <c r="AL9" i="23"/>
  <c r="AL10" i="23"/>
  <c r="AL11" i="23"/>
  <c r="AL12" i="23"/>
  <c r="AL13" i="23"/>
  <c r="AL14" i="23"/>
  <c r="AL15" i="23"/>
  <c r="AL16" i="23"/>
  <c r="AL17" i="23"/>
  <c r="AL18" i="23"/>
  <c r="AL19" i="23"/>
  <c r="AL20" i="23"/>
  <c r="AL21" i="23"/>
  <c r="AL22" i="23"/>
  <c r="AL23" i="23"/>
  <c r="AL24" i="23"/>
  <c r="AL25" i="23"/>
  <c r="AL26" i="23"/>
  <c r="AL27" i="23"/>
  <c r="AL28" i="23"/>
  <c r="AL29" i="23"/>
  <c r="AL30" i="23"/>
  <c r="AL31" i="23"/>
  <c r="AL32" i="23"/>
  <c r="AL33" i="23"/>
  <c r="AL34" i="23"/>
  <c r="AL35" i="23"/>
  <c r="AL36" i="23"/>
  <c r="AL2" i="23"/>
  <c r="O3" i="23"/>
  <c r="O4" i="23"/>
  <c r="O5" i="23"/>
  <c r="O6" i="23"/>
  <c r="O7" i="23"/>
  <c r="O8" i="23"/>
  <c r="O9" i="23"/>
  <c r="O10" i="23"/>
  <c r="O11" i="23"/>
  <c r="O12" i="23"/>
  <c r="O13" i="23"/>
  <c r="O14" i="23"/>
  <c r="O15" i="23"/>
  <c r="O16" i="23"/>
  <c r="O17" i="23"/>
  <c r="O18" i="23"/>
  <c r="O19" i="23"/>
  <c r="O20" i="23"/>
  <c r="O21" i="23"/>
  <c r="O22" i="23"/>
  <c r="O23" i="23"/>
  <c r="O24" i="23"/>
  <c r="O25" i="23"/>
  <c r="O26" i="23"/>
  <c r="O27" i="23"/>
  <c r="O28" i="23"/>
  <c r="O29" i="23"/>
  <c r="O30" i="23"/>
  <c r="O31" i="23"/>
  <c r="O32" i="23"/>
  <c r="O33" i="23"/>
  <c r="O34" i="23"/>
  <c r="O35" i="23"/>
  <c r="O36" i="23"/>
  <c r="O2" i="23"/>
  <c r="N5" i="23"/>
  <c r="N6" i="23"/>
  <c r="N7" i="23"/>
  <c r="N8" i="23"/>
  <c r="N9" i="23"/>
  <c r="N10" i="23"/>
  <c r="N11" i="23"/>
  <c r="N12" i="23"/>
  <c r="N13" i="23"/>
  <c r="N14" i="23"/>
  <c r="N15" i="23"/>
  <c r="N16" i="23"/>
  <c r="N17" i="23"/>
  <c r="N18" i="23"/>
  <c r="N19" i="23"/>
  <c r="N20" i="23"/>
  <c r="N21" i="23"/>
  <c r="N22" i="23"/>
  <c r="N23" i="23"/>
  <c r="N24" i="23"/>
  <c r="N25" i="23"/>
  <c r="N26" i="23"/>
  <c r="N27" i="23"/>
  <c r="N28" i="23"/>
  <c r="N29" i="23"/>
  <c r="N30" i="23"/>
  <c r="N31" i="23"/>
  <c r="N32" i="23"/>
  <c r="N33" i="23"/>
  <c r="N34" i="23"/>
  <c r="N35" i="23"/>
  <c r="N36" i="23"/>
  <c r="N2" i="23"/>
  <c r="N3" i="23"/>
  <c r="N4" i="23"/>
  <c r="G11" i="13"/>
  <c r="G10" i="13"/>
  <c r="G9" i="13"/>
  <c r="G8" i="13"/>
  <c r="G4" i="13"/>
  <c r="G3" i="13"/>
  <c r="G2" i="13"/>
  <c r="BR3" i="23"/>
  <c r="BR4" i="23"/>
  <c r="BR5" i="23"/>
  <c r="BR6" i="23"/>
  <c r="BR7" i="23"/>
  <c r="BR8" i="23"/>
  <c r="BR9" i="23"/>
  <c r="BR10" i="23"/>
  <c r="BR11" i="23"/>
  <c r="BR12" i="23"/>
  <c r="BR13" i="23"/>
  <c r="BR14" i="23"/>
  <c r="BR15" i="23"/>
  <c r="BR30" i="23"/>
  <c r="BR31" i="23"/>
  <c r="BR32" i="23"/>
  <c r="BR33" i="23"/>
  <c r="BR34" i="23"/>
  <c r="BR35" i="23"/>
  <c r="BR36" i="23"/>
  <c r="BR2" i="23"/>
  <c r="F21" i="53"/>
  <c r="G30" i="3"/>
  <c r="F36" i="3"/>
  <c r="F37" i="3"/>
  <c r="F32" i="3"/>
  <c r="F33" i="3"/>
  <c r="G34" i="3"/>
  <c r="G15" i="3"/>
  <c r="G19" i="3"/>
  <c r="G11" i="3"/>
  <c r="G53" i="54"/>
  <c r="C2" i="54"/>
  <c r="C3" i="54"/>
  <c r="C4" i="54"/>
  <c r="C5" i="54"/>
  <c r="C6" i="54"/>
  <c r="C7" i="54"/>
  <c r="C8" i="54"/>
  <c r="C9" i="54"/>
  <c r="C10" i="54"/>
  <c r="C11" i="54"/>
  <c r="C12" i="54"/>
  <c r="C13" i="54"/>
  <c r="C14" i="54"/>
  <c r="C15" i="54"/>
  <c r="C16" i="54"/>
  <c r="C17" i="54"/>
  <c r="C18" i="54"/>
  <c r="C19" i="54"/>
  <c r="C20" i="54"/>
  <c r="C21" i="54"/>
  <c r="C22" i="54"/>
  <c r="C23" i="54"/>
  <c r="C24" i="54"/>
  <c r="C25" i="54"/>
  <c r="C26" i="54"/>
  <c r="C27" i="54"/>
  <c r="C28" i="54"/>
  <c r="C29" i="54"/>
  <c r="C30" i="54"/>
  <c r="C31" i="54"/>
  <c r="C32" i="54"/>
  <c r="C33" i="54"/>
  <c r="C34" i="54"/>
  <c r="C35" i="54"/>
  <c r="C36" i="54"/>
  <c r="C37" i="54"/>
  <c r="C38" i="54"/>
  <c r="C39" i="54"/>
  <c r="C40" i="54"/>
  <c r="C41" i="54"/>
  <c r="C42" i="54"/>
  <c r="C43" i="54"/>
  <c r="C44" i="54"/>
  <c r="C45" i="54"/>
  <c r="C46" i="54"/>
  <c r="C47" i="54"/>
  <c r="C48" i="54"/>
  <c r="C49" i="54"/>
  <c r="C50" i="54"/>
  <c r="C51" i="54"/>
  <c r="C52" i="54"/>
  <c r="C53" i="54"/>
  <c r="C54" i="54"/>
  <c r="C55" i="54"/>
  <c r="C56" i="54"/>
  <c r="C57" i="54"/>
  <c r="C58" i="54"/>
  <c r="C59" i="54"/>
  <c r="C60" i="54"/>
  <c r="C61" i="54"/>
  <c r="C62" i="54"/>
  <c r="C63" i="54"/>
  <c r="C64" i="54"/>
  <c r="C65" i="54"/>
  <c r="C66" i="54"/>
  <c r="C67" i="54"/>
  <c r="C68" i="54"/>
  <c r="D71" i="50"/>
  <c r="G71" i="50"/>
  <c r="AH15" i="23"/>
  <c r="AH14" i="23"/>
  <c r="AH13" i="23"/>
  <c r="AH11" i="23"/>
  <c r="AH12" i="23"/>
  <c r="B16" i="23"/>
  <c r="B17" i="23"/>
  <c r="A31" i="55"/>
  <c r="A39" i="55"/>
  <c r="A38" i="55"/>
  <c r="A32" i="3"/>
  <c r="A33" i="3"/>
  <c r="A34" i="3"/>
  <c r="A35" i="3"/>
  <c r="A2" i="3"/>
  <c r="B4" i="23"/>
  <c r="C2" i="3"/>
  <c r="D2" i="3"/>
  <c r="E2" i="3"/>
  <c r="G2" i="3"/>
  <c r="A3" i="3"/>
  <c r="C3" i="3"/>
  <c r="D3" i="3"/>
  <c r="E3" i="3"/>
  <c r="G3" i="3"/>
  <c r="A4" i="3"/>
  <c r="C4" i="3"/>
  <c r="D4" i="3"/>
  <c r="E4" i="3"/>
  <c r="G4" i="3"/>
  <c r="A5" i="3"/>
  <c r="C5" i="3"/>
  <c r="D5" i="3"/>
  <c r="E5" i="3"/>
  <c r="G5" i="3"/>
  <c r="A6" i="3"/>
  <c r="C6" i="3"/>
  <c r="D6" i="3"/>
  <c r="E6" i="3"/>
  <c r="G6" i="3"/>
  <c r="A7" i="3"/>
  <c r="C7" i="3"/>
  <c r="D7" i="3"/>
  <c r="E7" i="3"/>
  <c r="G7" i="3"/>
  <c r="A8" i="3"/>
  <c r="C8" i="3"/>
  <c r="D8" i="3"/>
  <c r="E8" i="3"/>
  <c r="G8" i="3"/>
  <c r="A9" i="3"/>
  <c r="B18" i="23"/>
  <c r="C9" i="3"/>
  <c r="D9" i="3"/>
  <c r="E9" i="3"/>
  <c r="G9" i="3"/>
  <c r="A10" i="3"/>
  <c r="C10" i="3"/>
  <c r="D10" i="3"/>
  <c r="E10" i="3"/>
  <c r="G10" i="3"/>
  <c r="A11" i="3"/>
  <c r="C11" i="3"/>
  <c r="D11" i="3"/>
  <c r="E11" i="3"/>
  <c r="A12" i="3"/>
  <c r="C12" i="3"/>
  <c r="D12" i="3"/>
  <c r="E12" i="3"/>
  <c r="G12" i="3"/>
  <c r="A13" i="3"/>
  <c r="B20" i="23"/>
  <c r="C13" i="3"/>
  <c r="D13" i="3"/>
  <c r="E13" i="3"/>
  <c r="G13" i="3"/>
  <c r="A14" i="3"/>
  <c r="C14" i="3"/>
  <c r="D14" i="3"/>
  <c r="E14" i="3"/>
  <c r="G14" i="3"/>
  <c r="A15" i="3"/>
  <c r="C15" i="3"/>
  <c r="D15" i="3"/>
  <c r="E15" i="3"/>
  <c r="A16" i="3"/>
  <c r="C16" i="3"/>
  <c r="D16" i="3"/>
  <c r="E16" i="3"/>
  <c r="G16" i="3"/>
  <c r="A17" i="3"/>
  <c r="B22" i="23"/>
  <c r="C17" i="3"/>
  <c r="D17" i="3"/>
  <c r="E17" i="3"/>
  <c r="G17" i="3"/>
  <c r="A18" i="3"/>
  <c r="C18" i="3"/>
  <c r="D18" i="3"/>
  <c r="E18" i="3"/>
  <c r="G18" i="3"/>
  <c r="A19" i="3"/>
  <c r="C19" i="3"/>
  <c r="D19" i="3"/>
  <c r="E19" i="3"/>
  <c r="A20" i="3"/>
  <c r="C20" i="3"/>
  <c r="D20" i="3"/>
  <c r="E20" i="3"/>
  <c r="G20" i="3"/>
  <c r="A21" i="3"/>
  <c r="B24" i="23"/>
  <c r="C21" i="3"/>
  <c r="D21" i="3"/>
  <c r="E21" i="3"/>
  <c r="G21" i="3"/>
  <c r="A22" i="3"/>
  <c r="C22" i="3"/>
  <c r="D22" i="3"/>
  <c r="E22" i="3"/>
  <c r="G22" i="3"/>
  <c r="A23" i="3"/>
  <c r="C23" i="3"/>
  <c r="D23" i="3"/>
  <c r="E23" i="3"/>
  <c r="G23" i="3"/>
  <c r="A24" i="3"/>
  <c r="B26" i="23"/>
  <c r="C24" i="3"/>
  <c r="D24" i="3"/>
  <c r="E24" i="3"/>
  <c r="G24" i="3"/>
  <c r="A25" i="3"/>
  <c r="C25" i="3"/>
  <c r="D25" i="3"/>
  <c r="E25" i="3"/>
  <c r="G25" i="3"/>
  <c r="A26" i="3"/>
  <c r="C26" i="3"/>
  <c r="D26" i="3"/>
  <c r="E26" i="3"/>
  <c r="G26" i="3"/>
  <c r="A27" i="3"/>
  <c r="B28" i="23"/>
  <c r="C27" i="3"/>
  <c r="D27" i="3"/>
  <c r="E27" i="3"/>
  <c r="G27" i="3"/>
  <c r="A28" i="3"/>
  <c r="C28" i="3"/>
  <c r="D28" i="3"/>
  <c r="E28" i="3"/>
  <c r="G28" i="3"/>
  <c r="A29" i="3"/>
  <c r="C29" i="3"/>
  <c r="D29" i="3"/>
  <c r="E29" i="3"/>
  <c r="G29" i="3"/>
  <c r="A30" i="3"/>
  <c r="B30" i="23"/>
  <c r="C30" i="3"/>
  <c r="D30" i="3"/>
  <c r="E30" i="3"/>
  <c r="A31" i="3"/>
  <c r="C31" i="3"/>
  <c r="D31" i="3"/>
  <c r="E31" i="3"/>
  <c r="G31" i="3"/>
  <c r="C32" i="3"/>
  <c r="D32" i="3"/>
  <c r="E32" i="3"/>
  <c r="G32" i="3"/>
  <c r="C33" i="3"/>
  <c r="D33" i="3"/>
  <c r="E33" i="3"/>
  <c r="G33" i="3"/>
  <c r="B32" i="23"/>
  <c r="C34" i="3"/>
  <c r="D34" i="3"/>
  <c r="E34" i="3"/>
  <c r="C35" i="3"/>
  <c r="D35" i="3"/>
  <c r="E35" i="3"/>
  <c r="G35" i="3"/>
  <c r="A36" i="3"/>
  <c r="C36" i="3"/>
  <c r="D36" i="3"/>
  <c r="E36" i="3"/>
  <c r="G36" i="3"/>
  <c r="A37" i="3"/>
  <c r="C37" i="3"/>
  <c r="D37" i="3"/>
  <c r="E37" i="3"/>
  <c r="G37" i="3"/>
  <c r="A38" i="3"/>
  <c r="B34" i="23"/>
  <c r="C38" i="3"/>
  <c r="D38" i="3"/>
  <c r="E38" i="3"/>
  <c r="G38" i="3"/>
  <c r="A39" i="3"/>
  <c r="C39" i="3"/>
  <c r="D39" i="3"/>
  <c r="E39" i="3"/>
  <c r="G39" i="3"/>
  <c r="A40" i="3"/>
  <c r="B35" i="23"/>
  <c r="C40" i="3"/>
  <c r="D40" i="3"/>
  <c r="E40" i="3"/>
  <c r="G40" i="3"/>
  <c r="A41" i="3"/>
  <c r="C41" i="3"/>
  <c r="D41" i="3"/>
  <c r="E41" i="3"/>
  <c r="G41" i="3"/>
  <c r="A42" i="3"/>
  <c r="C42" i="3"/>
  <c r="D42" i="3"/>
  <c r="E42" i="3"/>
  <c r="G42" i="3"/>
  <c r="A47" i="55"/>
  <c r="A46" i="55"/>
  <c r="A43" i="55"/>
  <c r="A44" i="55"/>
  <c r="A45" i="55"/>
  <c r="A42" i="55"/>
  <c r="A37" i="55"/>
  <c r="A18" i="55"/>
  <c r="A35" i="55"/>
  <c r="A33" i="55"/>
  <c r="A34" i="55"/>
  <c r="A30" i="55"/>
  <c r="A29" i="55"/>
  <c r="I17" i="52"/>
  <c r="A26" i="55"/>
  <c r="A25" i="55"/>
  <c r="A24" i="55"/>
  <c r="A23" i="55"/>
  <c r="A21" i="55"/>
  <c r="A20" i="55"/>
  <c r="A19" i="55"/>
  <c r="A16" i="55"/>
  <c r="A15" i="55"/>
  <c r="A14" i="55"/>
  <c r="A13" i="55"/>
  <c r="B2" i="23"/>
  <c r="B25" i="23"/>
  <c r="B29" i="23"/>
  <c r="B27" i="23"/>
  <c r="A9" i="55"/>
  <c r="B3" i="23"/>
  <c r="B5" i="23"/>
  <c r="B23" i="23"/>
  <c r="B21" i="23"/>
  <c r="B19" i="23"/>
  <c r="A10" i="55"/>
  <c r="A8" i="55"/>
  <c r="B36" i="23"/>
  <c r="B31" i="23"/>
  <c r="B33" i="23"/>
  <c r="B6" i="23"/>
  <c r="B7" i="23"/>
  <c r="B8" i="23"/>
  <c r="B9" i="23"/>
  <c r="B10" i="23"/>
  <c r="B11" i="23"/>
  <c r="B12" i="23"/>
  <c r="B13" i="23"/>
  <c r="B14" i="23"/>
  <c r="B15" i="23"/>
  <c r="BD5" i="23"/>
  <c r="Q5" i="23"/>
  <c r="S5" i="23"/>
  <c r="W5" i="23"/>
  <c r="AA5" i="23"/>
  <c r="I5" i="23"/>
  <c r="J5" i="23"/>
  <c r="BK5" i="23"/>
  <c r="T5" i="23"/>
  <c r="AB5" i="23"/>
  <c r="K5" i="23"/>
  <c r="BL5" i="23"/>
  <c r="E30" i="52"/>
  <c r="I29" i="52"/>
  <c r="I27" i="52"/>
  <c r="D27" i="52"/>
  <c r="BD19" i="23"/>
  <c r="Q19" i="23"/>
  <c r="S19" i="23"/>
  <c r="W19" i="23"/>
  <c r="AA19" i="23"/>
  <c r="I19" i="23"/>
  <c r="J19" i="23"/>
  <c r="BK19" i="23"/>
  <c r="T19" i="23"/>
  <c r="AB19" i="23"/>
  <c r="K19" i="23"/>
  <c r="BL19" i="23"/>
  <c r="BD18" i="23"/>
  <c r="Q18" i="23"/>
  <c r="T18" i="23"/>
  <c r="W18" i="23"/>
  <c r="AB18" i="23"/>
  <c r="I18" i="23"/>
  <c r="K18" i="23"/>
  <c r="BL18" i="23"/>
  <c r="E17" i="52"/>
  <c r="E16" i="52"/>
  <c r="G3" i="52"/>
  <c r="G4" i="52"/>
  <c r="G5" i="52"/>
  <c r="G6" i="52"/>
  <c r="G7" i="52"/>
  <c r="G8" i="52"/>
  <c r="G9" i="52"/>
  <c r="G10" i="52"/>
  <c r="G11" i="52"/>
  <c r="G12" i="52"/>
  <c r="G13" i="52"/>
  <c r="G14" i="52"/>
  <c r="G15" i="52"/>
  <c r="G16" i="52"/>
  <c r="G17" i="52"/>
  <c r="G18" i="52"/>
  <c r="G19" i="52"/>
  <c r="G20" i="52"/>
  <c r="G21" i="52"/>
  <c r="G22" i="52"/>
  <c r="G23" i="52"/>
  <c r="G24" i="52"/>
  <c r="G56" i="54"/>
  <c r="B17" i="50"/>
  <c r="D17" i="50"/>
  <c r="F17" i="50"/>
  <c r="G17" i="50"/>
  <c r="B18" i="50"/>
  <c r="D18" i="50"/>
  <c r="F18" i="50"/>
  <c r="G18" i="50"/>
  <c r="B19" i="50"/>
  <c r="D19" i="50"/>
  <c r="F19" i="50"/>
  <c r="G19" i="50"/>
  <c r="B20" i="50"/>
  <c r="D20" i="50"/>
  <c r="F20" i="50"/>
  <c r="G20" i="50"/>
  <c r="B21" i="50"/>
  <c r="D21" i="50"/>
  <c r="F21" i="50"/>
  <c r="G21" i="50"/>
  <c r="D16" i="50"/>
  <c r="G16" i="50"/>
  <c r="F16" i="50"/>
  <c r="B16" i="50"/>
  <c r="B12" i="54"/>
  <c r="B13" i="54"/>
  <c r="B14" i="54"/>
  <c r="B15" i="54"/>
  <c r="B16" i="54"/>
  <c r="B17" i="54"/>
  <c r="B3" i="54"/>
  <c r="B4" i="54"/>
  <c r="B5" i="54"/>
  <c r="B6" i="54"/>
  <c r="B7" i="54"/>
  <c r="B8" i="54"/>
  <c r="B9" i="54"/>
  <c r="B10" i="54"/>
  <c r="B11" i="54"/>
  <c r="B18" i="54"/>
  <c r="B19" i="54"/>
  <c r="B20" i="54"/>
  <c r="B21" i="54"/>
  <c r="B22" i="54"/>
  <c r="B23" i="54"/>
  <c r="B24" i="54"/>
  <c r="B25" i="54"/>
  <c r="B26" i="54"/>
  <c r="B27" i="54"/>
  <c r="B28" i="54"/>
  <c r="B29" i="54"/>
  <c r="B30" i="54"/>
  <c r="B31" i="54"/>
  <c r="B32" i="54"/>
  <c r="B33" i="54"/>
  <c r="B34" i="54"/>
  <c r="B35" i="54"/>
  <c r="B36" i="54"/>
  <c r="B37" i="54"/>
  <c r="B38" i="54"/>
  <c r="B39" i="54"/>
  <c r="B40" i="54"/>
  <c r="B41" i="54"/>
  <c r="B42" i="54"/>
  <c r="B43" i="54"/>
  <c r="B44" i="54"/>
  <c r="B45" i="54"/>
  <c r="B46" i="54"/>
  <c r="B47" i="54"/>
  <c r="B48" i="54"/>
  <c r="B49" i="54"/>
  <c r="B50" i="54"/>
  <c r="B51" i="54"/>
  <c r="B52" i="54"/>
  <c r="B53" i="54"/>
  <c r="B54" i="54"/>
  <c r="B55" i="54"/>
  <c r="B56" i="54"/>
  <c r="B57" i="54"/>
  <c r="B58" i="54"/>
  <c r="B59" i="54"/>
  <c r="B60" i="54"/>
  <c r="B61" i="54"/>
  <c r="B62" i="54"/>
  <c r="B63" i="54"/>
  <c r="B64" i="54"/>
  <c r="B65" i="54"/>
  <c r="B66" i="54"/>
  <c r="B67" i="54"/>
  <c r="B68" i="54"/>
  <c r="B2" i="54"/>
  <c r="D88" i="50"/>
  <c r="D93" i="50"/>
  <c r="D86" i="50"/>
  <c r="D92" i="50"/>
  <c r="D89" i="50"/>
  <c r="B93" i="50"/>
  <c r="F93" i="50"/>
  <c r="G93" i="50"/>
  <c r="D80" i="50"/>
  <c r="D84" i="50"/>
  <c r="G84" i="50"/>
  <c r="F84" i="50"/>
  <c r="B84" i="50"/>
  <c r="D79" i="50"/>
  <c r="D83" i="50"/>
  <c r="G83" i="50"/>
  <c r="F83" i="50"/>
  <c r="B83" i="50"/>
  <c r="D82" i="50"/>
  <c r="G82" i="50"/>
  <c r="F82" i="50"/>
  <c r="B82" i="50"/>
  <c r="D81" i="50"/>
  <c r="G81" i="50"/>
  <c r="F81" i="50"/>
  <c r="B81" i="50"/>
  <c r="G80" i="50"/>
  <c r="F80" i="50"/>
  <c r="B80" i="50"/>
  <c r="G79" i="50"/>
  <c r="F79" i="50"/>
  <c r="B79" i="50"/>
  <c r="D78" i="50"/>
  <c r="G78" i="50"/>
  <c r="F78" i="50"/>
  <c r="B78" i="50"/>
  <c r="D73" i="50"/>
  <c r="D77" i="50"/>
  <c r="G77" i="50"/>
  <c r="F77" i="50"/>
  <c r="B77" i="50"/>
  <c r="D72" i="50"/>
  <c r="D76" i="50"/>
  <c r="G76" i="50"/>
  <c r="F76" i="50"/>
  <c r="B76" i="50"/>
  <c r="D75" i="50"/>
  <c r="G75" i="50"/>
  <c r="F75" i="50"/>
  <c r="B75" i="50"/>
  <c r="D74" i="50"/>
  <c r="G74" i="50"/>
  <c r="F74" i="50"/>
  <c r="B74" i="50"/>
  <c r="G73" i="50"/>
  <c r="F73" i="50"/>
  <c r="B73" i="50"/>
  <c r="G72" i="50"/>
  <c r="F72" i="50"/>
  <c r="B72" i="50"/>
  <c r="F71" i="50"/>
  <c r="B71" i="50"/>
  <c r="D65" i="50"/>
  <c r="D69" i="50"/>
  <c r="D66" i="50"/>
  <c r="D70" i="50"/>
  <c r="B69" i="50"/>
  <c r="F69" i="50"/>
  <c r="G69" i="50"/>
  <c r="B70" i="50"/>
  <c r="F70" i="50"/>
  <c r="G70" i="50"/>
  <c r="B85" i="50"/>
  <c r="D85" i="50"/>
  <c r="F85" i="50"/>
  <c r="G85" i="50"/>
  <c r="B86" i="50"/>
  <c r="F86" i="50"/>
  <c r="G86" i="50"/>
  <c r="B87" i="50"/>
  <c r="D87" i="50"/>
  <c r="F87" i="50"/>
  <c r="G87" i="50"/>
  <c r="B88" i="50"/>
  <c r="F88" i="50"/>
  <c r="G88" i="50"/>
  <c r="B89" i="50"/>
  <c r="F89" i="50"/>
  <c r="G89" i="50"/>
  <c r="B90" i="50"/>
  <c r="D90" i="50"/>
  <c r="F90" i="50"/>
  <c r="G90" i="50"/>
  <c r="B91" i="50"/>
  <c r="D91" i="50"/>
  <c r="F91" i="50"/>
  <c r="G91" i="50"/>
  <c r="B92" i="50"/>
  <c r="F92" i="50"/>
  <c r="G92" i="50"/>
  <c r="D59" i="50"/>
  <c r="D63" i="50"/>
  <c r="D58" i="50"/>
  <c r="D62" i="50"/>
  <c r="D52" i="50"/>
  <c r="D56" i="50"/>
  <c r="D51" i="50"/>
  <c r="D55" i="50"/>
  <c r="D45" i="50"/>
  <c r="D49" i="50"/>
  <c r="D44" i="50"/>
  <c r="D48" i="50"/>
  <c r="D38" i="50"/>
  <c r="D42" i="50"/>
  <c r="D37" i="50"/>
  <c r="D41" i="50"/>
  <c r="D31" i="50"/>
  <c r="D35" i="50"/>
  <c r="D30" i="50"/>
  <c r="D34" i="50"/>
  <c r="D24" i="50"/>
  <c r="D28" i="50"/>
  <c r="D23" i="50"/>
  <c r="D27" i="50"/>
  <c r="D22" i="50"/>
  <c r="F22" i="50"/>
  <c r="G22" i="50"/>
  <c r="F23" i="50"/>
  <c r="G23" i="50"/>
  <c r="D11" i="50"/>
  <c r="D15" i="50"/>
  <c r="D10" i="50"/>
  <c r="D14" i="50"/>
  <c r="D4" i="50"/>
  <c r="D8" i="50"/>
  <c r="D3" i="50"/>
  <c r="D7" i="50"/>
  <c r="B3" i="50"/>
  <c r="F3" i="50"/>
  <c r="G3" i="50"/>
  <c r="B4" i="50"/>
  <c r="F4" i="50"/>
  <c r="G4" i="50"/>
  <c r="B5" i="50"/>
  <c r="D5" i="50"/>
  <c r="F5" i="50"/>
  <c r="G5" i="50"/>
  <c r="B6" i="50"/>
  <c r="D6" i="50"/>
  <c r="F6" i="50"/>
  <c r="G6" i="50"/>
  <c r="B7" i="50"/>
  <c r="F7" i="50"/>
  <c r="G7" i="50"/>
  <c r="B8" i="50"/>
  <c r="F8" i="50"/>
  <c r="G8" i="50"/>
  <c r="B9" i="50"/>
  <c r="D9" i="50"/>
  <c r="F9" i="50"/>
  <c r="G9" i="50"/>
  <c r="B10" i="50"/>
  <c r="F10" i="50"/>
  <c r="G10" i="50"/>
  <c r="B11" i="50"/>
  <c r="F11" i="50"/>
  <c r="G11" i="50"/>
  <c r="B12" i="50"/>
  <c r="D12" i="50"/>
  <c r="F12" i="50"/>
  <c r="G12" i="50"/>
  <c r="B13" i="50"/>
  <c r="D13" i="50"/>
  <c r="F13" i="50"/>
  <c r="G13" i="50"/>
  <c r="B14" i="50"/>
  <c r="F14" i="50"/>
  <c r="G14" i="50"/>
  <c r="B15" i="50"/>
  <c r="F15" i="50"/>
  <c r="G15" i="50"/>
  <c r="B22" i="50"/>
  <c r="B23" i="50"/>
  <c r="B24" i="50"/>
  <c r="F24" i="50"/>
  <c r="G24" i="50"/>
  <c r="B25" i="50"/>
  <c r="D25" i="50"/>
  <c r="F25" i="50"/>
  <c r="G25" i="50"/>
  <c r="B26" i="50"/>
  <c r="D26" i="50"/>
  <c r="F26" i="50"/>
  <c r="G26" i="50"/>
  <c r="B27" i="50"/>
  <c r="F27" i="50"/>
  <c r="G27" i="50"/>
  <c r="B28" i="50"/>
  <c r="F28" i="50"/>
  <c r="G28" i="50"/>
  <c r="B29" i="50"/>
  <c r="D29" i="50"/>
  <c r="F29" i="50"/>
  <c r="G29" i="50"/>
  <c r="B30" i="50"/>
  <c r="F30" i="50"/>
  <c r="G30" i="50"/>
  <c r="B31" i="50"/>
  <c r="F31" i="50"/>
  <c r="G31" i="50"/>
  <c r="B32" i="50"/>
  <c r="D32" i="50"/>
  <c r="F32" i="50"/>
  <c r="G32" i="50"/>
  <c r="B33" i="50"/>
  <c r="D33" i="50"/>
  <c r="F33" i="50"/>
  <c r="G33" i="50"/>
  <c r="B34" i="50"/>
  <c r="F34" i="50"/>
  <c r="G34" i="50"/>
  <c r="B35" i="50"/>
  <c r="F35" i="50"/>
  <c r="G35" i="50"/>
  <c r="B36" i="50"/>
  <c r="D36" i="50"/>
  <c r="F36" i="50"/>
  <c r="G36" i="50"/>
  <c r="B37" i="50"/>
  <c r="F37" i="50"/>
  <c r="G37" i="50"/>
  <c r="B38" i="50"/>
  <c r="F38" i="50"/>
  <c r="G38" i="50"/>
  <c r="B39" i="50"/>
  <c r="D39" i="50"/>
  <c r="F39" i="50"/>
  <c r="G39" i="50"/>
  <c r="B40" i="50"/>
  <c r="D40" i="50"/>
  <c r="F40" i="50"/>
  <c r="G40" i="50"/>
  <c r="B41" i="50"/>
  <c r="F41" i="50"/>
  <c r="G41" i="50"/>
  <c r="B42" i="50"/>
  <c r="F42" i="50"/>
  <c r="G42" i="50"/>
  <c r="B43" i="50"/>
  <c r="D43" i="50"/>
  <c r="F43" i="50"/>
  <c r="G43" i="50"/>
  <c r="B44" i="50"/>
  <c r="F44" i="50"/>
  <c r="G44" i="50"/>
  <c r="B45" i="50"/>
  <c r="F45" i="50"/>
  <c r="G45" i="50"/>
  <c r="B46" i="50"/>
  <c r="D46" i="50"/>
  <c r="F46" i="50"/>
  <c r="G46" i="50"/>
  <c r="B47" i="50"/>
  <c r="D47" i="50"/>
  <c r="F47" i="50"/>
  <c r="G47" i="50"/>
  <c r="B48" i="50"/>
  <c r="F48" i="50"/>
  <c r="G48" i="50"/>
  <c r="B49" i="50"/>
  <c r="F49" i="50"/>
  <c r="G49" i="50"/>
  <c r="B50" i="50"/>
  <c r="D50" i="50"/>
  <c r="F50" i="50"/>
  <c r="G50" i="50"/>
  <c r="B51" i="50"/>
  <c r="F51" i="50"/>
  <c r="G51" i="50"/>
  <c r="B52" i="50"/>
  <c r="F52" i="50"/>
  <c r="G52" i="50"/>
  <c r="B53" i="50"/>
  <c r="D53" i="50"/>
  <c r="F53" i="50"/>
  <c r="G53" i="50"/>
  <c r="B54" i="50"/>
  <c r="D54" i="50"/>
  <c r="F54" i="50"/>
  <c r="G54" i="50"/>
  <c r="B55" i="50"/>
  <c r="F55" i="50"/>
  <c r="G55" i="50"/>
  <c r="B56" i="50"/>
  <c r="F56" i="50"/>
  <c r="G56" i="50"/>
  <c r="B57" i="50"/>
  <c r="D57" i="50"/>
  <c r="F57" i="50"/>
  <c r="G57" i="50"/>
  <c r="B58" i="50"/>
  <c r="F58" i="50"/>
  <c r="G58" i="50"/>
  <c r="B59" i="50"/>
  <c r="F59" i="50"/>
  <c r="G59" i="50"/>
  <c r="B60" i="50"/>
  <c r="D60" i="50"/>
  <c r="F60" i="50"/>
  <c r="G60" i="50"/>
  <c r="B61" i="50"/>
  <c r="D61" i="50"/>
  <c r="F61" i="50"/>
  <c r="G61" i="50"/>
  <c r="B62" i="50"/>
  <c r="F62" i="50"/>
  <c r="G62" i="50"/>
  <c r="B63" i="50"/>
  <c r="F63" i="50"/>
  <c r="G63" i="50"/>
  <c r="B64" i="50"/>
  <c r="D64" i="50"/>
  <c r="F64" i="50"/>
  <c r="G64" i="50"/>
  <c r="B65" i="50"/>
  <c r="F65" i="50"/>
  <c r="G65" i="50"/>
  <c r="B66" i="50"/>
  <c r="F66" i="50"/>
  <c r="G66" i="50"/>
  <c r="B67" i="50"/>
  <c r="D67" i="50"/>
  <c r="F67" i="50"/>
  <c r="G67" i="50"/>
  <c r="B68" i="50"/>
  <c r="D68" i="50"/>
  <c r="F68" i="50"/>
  <c r="G68" i="50"/>
  <c r="D2" i="50"/>
  <c r="G2" i="50"/>
  <c r="F2" i="50"/>
  <c r="B2" i="50"/>
  <c r="C36" i="23"/>
  <c r="D36" i="23"/>
  <c r="E36" i="23"/>
  <c r="F36" i="23"/>
  <c r="I36" i="23"/>
  <c r="J36" i="23"/>
  <c r="K36" i="23"/>
  <c r="L36" i="23"/>
  <c r="M36" i="23"/>
  <c r="P36" i="23"/>
  <c r="Q36" i="23"/>
  <c r="R36" i="23"/>
  <c r="S36" i="23"/>
  <c r="T36" i="23"/>
  <c r="U36" i="23"/>
  <c r="V36" i="23"/>
  <c r="W36" i="23"/>
  <c r="X36" i="23"/>
  <c r="Y36" i="23"/>
  <c r="Z36" i="23"/>
  <c r="AA36" i="23"/>
  <c r="AB36" i="23"/>
  <c r="AC36" i="23"/>
  <c r="AD36" i="23"/>
  <c r="AF36" i="23"/>
  <c r="AE4" i="23"/>
  <c r="AE16" i="23"/>
  <c r="AE18" i="23"/>
  <c r="AE20" i="23"/>
  <c r="AE22" i="23"/>
  <c r="AE24" i="23"/>
  <c r="AE26" i="23"/>
  <c r="AE28" i="23"/>
  <c r="AE30" i="23"/>
  <c r="AE32" i="23"/>
  <c r="AE34" i="23"/>
  <c r="AG34" i="23"/>
  <c r="AG35" i="23"/>
  <c r="AG36" i="23"/>
  <c r="AH36" i="23"/>
  <c r="AI36" i="23"/>
  <c r="AK36" i="23"/>
  <c r="AM36" i="23"/>
  <c r="AN36" i="23"/>
  <c r="AP36" i="23"/>
  <c r="J36" i="52"/>
  <c r="AQ36" i="23"/>
  <c r="AR36" i="23"/>
  <c r="AS36" i="23"/>
  <c r="AT36" i="23"/>
  <c r="G36" i="53"/>
  <c r="AU36" i="23"/>
  <c r="AV36" i="23"/>
  <c r="AW36" i="23"/>
  <c r="AX36" i="23"/>
  <c r="BD36" i="23"/>
  <c r="BE36" i="23"/>
  <c r="I35" i="23"/>
  <c r="J35" i="23"/>
  <c r="BF36" i="23"/>
  <c r="BK36" i="23"/>
  <c r="BG36" i="23"/>
  <c r="BL36" i="23"/>
  <c r="BH36" i="23"/>
  <c r="BM36" i="23"/>
  <c r="BI36" i="23"/>
  <c r="BN36" i="23"/>
  <c r="BJ36" i="23"/>
  <c r="V5" i="23"/>
  <c r="AD5" i="23"/>
  <c r="M5" i="23"/>
  <c r="BN5" i="23"/>
  <c r="BD3" i="23"/>
  <c r="Q3" i="23"/>
  <c r="V3" i="23"/>
  <c r="W3" i="23"/>
  <c r="AD3" i="23"/>
  <c r="I3" i="23"/>
  <c r="M3" i="23"/>
  <c r="BN3" i="23"/>
  <c r="BD2" i="23"/>
  <c r="Q2" i="23"/>
  <c r="T2" i="23"/>
  <c r="W2" i="23"/>
  <c r="AB2" i="23"/>
  <c r="I2" i="23"/>
  <c r="K2" i="23"/>
  <c r="BL2" i="23"/>
  <c r="T3" i="23"/>
  <c r="AB3" i="23"/>
  <c r="K3" i="23"/>
  <c r="BL3" i="23"/>
  <c r="E16" i="53"/>
  <c r="E19" i="52"/>
  <c r="E18" i="52"/>
  <c r="E21" i="52"/>
  <c r="E20" i="52"/>
  <c r="BD22" i="23"/>
  <c r="Q22" i="23"/>
  <c r="T22" i="23"/>
  <c r="W22" i="23"/>
  <c r="AB22" i="23"/>
  <c r="I22" i="23"/>
  <c r="K22" i="23"/>
  <c r="BL22" i="23"/>
  <c r="BD23" i="23"/>
  <c r="Q23" i="23"/>
  <c r="T23" i="23"/>
  <c r="W23" i="23"/>
  <c r="AB23" i="23"/>
  <c r="I23" i="23"/>
  <c r="K23" i="23"/>
  <c r="BL23" i="23"/>
  <c r="BD21" i="23"/>
  <c r="Q21" i="23"/>
  <c r="T21" i="23"/>
  <c r="W21" i="23"/>
  <c r="AB21" i="23"/>
  <c r="I21" i="23"/>
  <c r="K21" i="23"/>
  <c r="BL21" i="23"/>
  <c r="AT3" i="23"/>
  <c r="AT4" i="23"/>
  <c r="AT5" i="23"/>
  <c r="AT6" i="23"/>
  <c r="AT7" i="23"/>
  <c r="AT8" i="23"/>
  <c r="AT9" i="23"/>
  <c r="AT10" i="23"/>
  <c r="AT11" i="23"/>
  <c r="AT12" i="23"/>
  <c r="AT13" i="23"/>
  <c r="AT14" i="23"/>
  <c r="AT15" i="23"/>
  <c r="AT16" i="23"/>
  <c r="AT17" i="23"/>
  <c r="AT18" i="23"/>
  <c r="AT19" i="23"/>
  <c r="AT20" i="23"/>
  <c r="AT21" i="23"/>
  <c r="AT22" i="23"/>
  <c r="AT23" i="23"/>
  <c r="AT24" i="23"/>
  <c r="AT25" i="23"/>
  <c r="AT26" i="23"/>
  <c r="AT27" i="23"/>
  <c r="AT28" i="23"/>
  <c r="AT29" i="23"/>
  <c r="AT30" i="23"/>
  <c r="AT31" i="23"/>
  <c r="AT32" i="23"/>
  <c r="AT33" i="23"/>
  <c r="AT34" i="23"/>
  <c r="AT35" i="23"/>
  <c r="AT2" i="23"/>
  <c r="AP3" i="23"/>
  <c r="AP4" i="23"/>
  <c r="AP5" i="23"/>
  <c r="AP6" i="23"/>
  <c r="AP7" i="23"/>
  <c r="AP8" i="23"/>
  <c r="AP9" i="23"/>
  <c r="AP10" i="23"/>
  <c r="AP11" i="23"/>
  <c r="AP12" i="23"/>
  <c r="AP13" i="23"/>
  <c r="AP14" i="23"/>
  <c r="AP15" i="23"/>
  <c r="AP16" i="23"/>
  <c r="AP17" i="23"/>
  <c r="AP18" i="23"/>
  <c r="AP19" i="23"/>
  <c r="AP20" i="23"/>
  <c r="AP21" i="23"/>
  <c r="AP22" i="23"/>
  <c r="AP23" i="23"/>
  <c r="AP24" i="23"/>
  <c r="AP25" i="23"/>
  <c r="AP26" i="23"/>
  <c r="AP27" i="23"/>
  <c r="AP28" i="23"/>
  <c r="AP29" i="23"/>
  <c r="AP30" i="23"/>
  <c r="AP31" i="23"/>
  <c r="AP32" i="23"/>
  <c r="AP33" i="23"/>
  <c r="AP34" i="23"/>
  <c r="AP35" i="23"/>
  <c r="AP2" i="23"/>
  <c r="G3" i="53"/>
  <c r="G4" i="53"/>
  <c r="G5" i="53"/>
  <c r="G6" i="53"/>
  <c r="G7" i="53"/>
  <c r="G8" i="53"/>
  <c r="G9" i="53"/>
  <c r="G10" i="53"/>
  <c r="G11" i="53"/>
  <c r="G12" i="53"/>
  <c r="G13" i="53"/>
  <c r="G14" i="53"/>
  <c r="G15" i="53"/>
  <c r="G16" i="53"/>
  <c r="G17" i="53"/>
  <c r="G18" i="53"/>
  <c r="G19" i="53"/>
  <c r="G20" i="53"/>
  <c r="G21" i="53"/>
  <c r="G22" i="53"/>
  <c r="G23" i="53"/>
  <c r="G24" i="53"/>
  <c r="G25" i="53"/>
  <c r="G26" i="53"/>
  <c r="G27" i="53"/>
  <c r="G28" i="53"/>
  <c r="G29" i="53"/>
  <c r="G30" i="53"/>
  <c r="G31" i="53"/>
  <c r="G32" i="53"/>
  <c r="G33" i="53"/>
  <c r="G34" i="53"/>
  <c r="G35" i="53"/>
  <c r="E4" i="53"/>
  <c r="E5" i="53"/>
  <c r="E6" i="53"/>
  <c r="E7" i="53"/>
  <c r="E8" i="53"/>
  <c r="E9" i="53"/>
  <c r="E10" i="53"/>
  <c r="E11" i="53"/>
  <c r="E12" i="53"/>
  <c r="E13" i="53"/>
  <c r="E14" i="53"/>
  <c r="E15" i="53"/>
  <c r="E17" i="53"/>
  <c r="E18" i="53"/>
  <c r="E19" i="53"/>
  <c r="E20" i="53"/>
  <c r="E21" i="53"/>
  <c r="E22" i="53"/>
  <c r="E23" i="53"/>
  <c r="E24" i="53"/>
  <c r="E25" i="53"/>
  <c r="E26" i="53"/>
  <c r="E27" i="53"/>
  <c r="E28" i="53"/>
  <c r="E29" i="53"/>
  <c r="E30" i="53"/>
  <c r="E31" i="53"/>
  <c r="E32" i="53"/>
  <c r="E33" i="53"/>
  <c r="E34" i="53"/>
  <c r="E35" i="53"/>
  <c r="E36" i="53"/>
  <c r="E3" i="53"/>
  <c r="J4" i="52"/>
  <c r="E4" i="52"/>
  <c r="H4" i="52"/>
  <c r="J5" i="52"/>
  <c r="E5" i="52"/>
  <c r="H5" i="52"/>
  <c r="J6" i="52"/>
  <c r="E6" i="52"/>
  <c r="H6" i="52"/>
  <c r="J7" i="52"/>
  <c r="E7" i="52"/>
  <c r="F7" i="52"/>
  <c r="H7" i="52"/>
  <c r="J8" i="52"/>
  <c r="E8" i="52"/>
  <c r="H8" i="52"/>
  <c r="J9" i="52"/>
  <c r="E9" i="52"/>
  <c r="H9" i="52"/>
  <c r="J10" i="52"/>
  <c r="E10" i="52"/>
  <c r="H10" i="52"/>
  <c r="J11" i="52"/>
  <c r="E11" i="52"/>
  <c r="H11" i="52"/>
  <c r="J12" i="52"/>
  <c r="E12" i="52"/>
  <c r="H12" i="52"/>
  <c r="J13" i="52"/>
  <c r="E13" i="52"/>
  <c r="H13" i="52"/>
  <c r="J14" i="52"/>
  <c r="E14" i="52"/>
  <c r="H14" i="52"/>
  <c r="J15" i="52"/>
  <c r="E15" i="52"/>
  <c r="H15" i="52"/>
  <c r="J16" i="52"/>
  <c r="H16" i="52"/>
  <c r="J17" i="52"/>
  <c r="H17" i="52"/>
  <c r="J18" i="52"/>
  <c r="H18" i="52"/>
  <c r="J19" i="52"/>
  <c r="H19" i="52"/>
  <c r="J20" i="52"/>
  <c r="H20" i="52"/>
  <c r="J21" i="52"/>
  <c r="H21" i="52"/>
  <c r="J22" i="52"/>
  <c r="E22" i="52"/>
  <c r="H22" i="52"/>
  <c r="J23" i="52"/>
  <c r="E23" i="52"/>
  <c r="H23" i="52"/>
  <c r="J24" i="52"/>
  <c r="E24" i="52"/>
  <c r="H24" i="52"/>
  <c r="J25" i="52"/>
  <c r="E25" i="52"/>
  <c r="G25" i="52"/>
  <c r="H25" i="52"/>
  <c r="J26" i="52"/>
  <c r="E26" i="52"/>
  <c r="F26" i="52"/>
  <c r="G26" i="52"/>
  <c r="H26" i="52"/>
  <c r="J27" i="52"/>
  <c r="E27" i="52"/>
  <c r="F27" i="52"/>
  <c r="G27" i="52"/>
  <c r="H27" i="52"/>
  <c r="J28" i="52"/>
  <c r="E28" i="52"/>
  <c r="F28" i="52"/>
  <c r="G28" i="52"/>
  <c r="H28" i="52"/>
  <c r="J29" i="52"/>
  <c r="E29" i="52"/>
  <c r="F29" i="52"/>
  <c r="G29" i="52"/>
  <c r="H29" i="52"/>
  <c r="J30" i="52"/>
  <c r="G30" i="52"/>
  <c r="H30" i="52"/>
  <c r="J31" i="52"/>
  <c r="E31" i="52"/>
  <c r="G31" i="52"/>
  <c r="H31" i="52"/>
  <c r="J32" i="52"/>
  <c r="E32" i="52"/>
  <c r="G32" i="52"/>
  <c r="H32" i="52"/>
  <c r="J33" i="52"/>
  <c r="E33" i="52"/>
  <c r="F33" i="52"/>
  <c r="H33" i="52"/>
  <c r="J34" i="52"/>
  <c r="E34" i="52"/>
  <c r="F34" i="52"/>
  <c r="G34" i="52"/>
  <c r="H34" i="52"/>
  <c r="J35" i="52"/>
  <c r="E35" i="52"/>
  <c r="F35" i="52"/>
  <c r="G35" i="52"/>
  <c r="H35" i="52"/>
  <c r="E36" i="52"/>
  <c r="F36" i="52"/>
  <c r="G36" i="52"/>
  <c r="H36" i="52"/>
  <c r="J3" i="52"/>
  <c r="E3" i="52"/>
  <c r="H3" i="52"/>
  <c r="G2" i="53"/>
  <c r="AU16" i="23"/>
  <c r="AU17" i="23"/>
  <c r="C33" i="23"/>
  <c r="D33" i="23"/>
  <c r="E33" i="23"/>
  <c r="F33" i="23"/>
  <c r="I33" i="23"/>
  <c r="J33" i="23"/>
  <c r="K33" i="23"/>
  <c r="L33" i="23"/>
  <c r="M33" i="23"/>
  <c r="P33" i="23"/>
  <c r="Q33" i="23"/>
  <c r="R33" i="23"/>
  <c r="S33" i="23"/>
  <c r="T33" i="23"/>
  <c r="U33" i="23"/>
  <c r="V33" i="23"/>
  <c r="W33" i="23"/>
  <c r="X33" i="23"/>
  <c r="Y33" i="23"/>
  <c r="Z33" i="23"/>
  <c r="AA33" i="23"/>
  <c r="AB33" i="23"/>
  <c r="AC33" i="23"/>
  <c r="AD33" i="23"/>
  <c r="AF33" i="23"/>
  <c r="AG32" i="23"/>
  <c r="AG33" i="23"/>
  <c r="AH33" i="23"/>
  <c r="AI33" i="23"/>
  <c r="AK33" i="23"/>
  <c r="AM33" i="23"/>
  <c r="AN33" i="23"/>
  <c r="J2" i="52"/>
  <c r="AQ33" i="23"/>
  <c r="AR33" i="23"/>
  <c r="AS33" i="23"/>
  <c r="AU33" i="23"/>
  <c r="AV33" i="23"/>
  <c r="AW33" i="23"/>
  <c r="AX33" i="23"/>
  <c r="BD33" i="23"/>
  <c r="BE33" i="23"/>
  <c r="I32" i="23"/>
  <c r="J32" i="23"/>
  <c r="BF33" i="23"/>
  <c r="BK33" i="23"/>
  <c r="BG33" i="23"/>
  <c r="BL33" i="23"/>
  <c r="BH33" i="23"/>
  <c r="BM33" i="23"/>
  <c r="BI33" i="23"/>
  <c r="BN33" i="23"/>
  <c r="BJ33" i="23"/>
  <c r="C34" i="23"/>
  <c r="D34" i="23"/>
  <c r="E34" i="23"/>
  <c r="F34" i="23"/>
  <c r="I34" i="23"/>
  <c r="J34" i="23"/>
  <c r="K34" i="23"/>
  <c r="L34" i="23"/>
  <c r="M34" i="23"/>
  <c r="P34" i="23"/>
  <c r="Q34" i="23"/>
  <c r="R34" i="23"/>
  <c r="S34" i="23"/>
  <c r="T34" i="23"/>
  <c r="U34" i="23"/>
  <c r="V34" i="23"/>
  <c r="W34" i="23"/>
  <c r="X34" i="23"/>
  <c r="Y34" i="23"/>
  <c r="Z34" i="23"/>
  <c r="AA34" i="23"/>
  <c r="AB34" i="23"/>
  <c r="AC34" i="23"/>
  <c r="AD34" i="23"/>
  <c r="AF34" i="23"/>
  <c r="AH34" i="23"/>
  <c r="AI34" i="23"/>
  <c r="AK34" i="23"/>
  <c r="AM34" i="23"/>
  <c r="AN34" i="23"/>
  <c r="AQ34" i="23"/>
  <c r="AR34" i="23"/>
  <c r="AS34" i="23"/>
  <c r="AU34" i="23"/>
  <c r="AV34" i="23"/>
  <c r="AW34" i="23"/>
  <c r="AX34" i="23"/>
  <c r="BD34" i="23"/>
  <c r="BE34" i="23"/>
  <c r="BF34" i="23"/>
  <c r="BK34" i="23"/>
  <c r="BG34" i="23"/>
  <c r="BL34" i="23"/>
  <c r="BH34" i="23"/>
  <c r="BM34" i="23"/>
  <c r="BI34" i="23"/>
  <c r="BN34" i="23"/>
  <c r="BJ34" i="23"/>
  <c r="C35" i="23"/>
  <c r="D35" i="23"/>
  <c r="E35" i="23"/>
  <c r="F35" i="23"/>
  <c r="K35" i="23"/>
  <c r="L35" i="23"/>
  <c r="M35" i="23"/>
  <c r="P35" i="23"/>
  <c r="Q35" i="23"/>
  <c r="R35" i="23"/>
  <c r="S35" i="23"/>
  <c r="T35" i="23"/>
  <c r="U35" i="23"/>
  <c r="V35" i="23"/>
  <c r="W35" i="23"/>
  <c r="X35" i="23"/>
  <c r="Y35" i="23"/>
  <c r="Z35" i="23"/>
  <c r="AA35" i="23"/>
  <c r="AB35" i="23"/>
  <c r="AC35" i="23"/>
  <c r="AD35" i="23"/>
  <c r="AF35" i="23"/>
  <c r="AH35" i="23"/>
  <c r="AI35" i="23"/>
  <c r="AK35" i="23"/>
  <c r="AM35" i="23"/>
  <c r="AN35" i="23"/>
  <c r="AQ35" i="23"/>
  <c r="AR35" i="23"/>
  <c r="AS35" i="23"/>
  <c r="AU35" i="23"/>
  <c r="AV35" i="23"/>
  <c r="AW35" i="23"/>
  <c r="AX35" i="23"/>
  <c r="BD35" i="23"/>
  <c r="BE35" i="23"/>
  <c r="BF35" i="23"/>
  <c r="BK35" i="23"/>
  <c r="BG35" i="23"/>
  <c r="BL35" i="23"/>
  <c r="BH35" i="23"/>
  <c r="BM35" i="23"/>
  <c r="BI35" i="23"/>
  <c r="BN35" i="23"/>
  <c r="BJ35" i="23"/>
  <c r="C31" i="23"/>
  <c r="D31" i="23"/>
  <c r="E31" i="23"/>
  <c r="F31" i="23"/>
  <c r="I31" i="23"/>
  <c r="J31" i="23"/>
  <c r="K31" i="23"/>
  <c r="L31" i="23"/>
  <c r="M31" i="23"/>
  <c r="P31" i="23"/>
  <c r="Q31" i="23"/>
  <c r="R31" i="23"/>
  <c r="S31" i="23"/>
  <c r="T31" i="23"/>
  <c r="U31" i="23"/>
  <c r="V31" i="23"/>
  <c r="W31" i="23"/>
  <c r="X31" i="23"/>
  <c r="Y31" i="23"/>
  <c r="Z31" i="23"/>
  <c r="AA31" i="23"/>
  <c r="AB31" i="23"/>
  <c r="AC31" i="23"/>
  <c r="AD31" i="23"/>
  <c r="AF31" i="23"/>
  <c r="AG30" i="23"/>
  <c r="AG31" i="23"/>
  <c r="AH31" i="23"/>
  <c r="AI31" i="23"/>
  <c r="AK31" i="23"/>
  <c r="AM31" i="23"/>
  <c r="AN31" i="23"/>
  <c r="AQ31" i="23"/>
  <c r="AR31" i="23"/>
  <c r="AS31" i="23"/>
  <c r="AU31" i="23"/>
  <c r="AV31" i="23"/>
  <c r="AW31" i="23"/>
  <c r="AX31" i="23"/>
  <c r="BD31" i="23"/>
  <c r="BE31" i="23"/>
  <c r="I30" i="23"/>
  <c r="J30" i="23"/>
  <c r="BF31" i="23"/>
  <c r="BK31" i="23"/>
  <c r="BG31" i="23"/>
  <c r="BL31" i="23"/>
  <c r="BH31" i="23"/>
  <c r="BM31" i="23"/>
  <c r="BI31" i="23"/>
  <c r="BN31" i="23"/>
  <c r="BJ31" i="23"/>
  <c r="C32" i="23"/>
  <c r="D32" i="23"/>
  <c r="E32" i="23"/>
  <c r="F32" i="23"/>
  <c r="K32" i="23"/>
  <c r="L32" i="23"/>
  <c r="M32" i="23"/>
  <c r="P32" i="23"/>
  <c r="Q32" i="23"/>
  <c r="R32" i="23"/>
  <c r="S32" i="23"/>
  <c r="T32" i="23"/>
  <c r="U32" i="23"/>
  <c r="V32" i="23"/>
  <c r="W32" i="23"/>
  <c r="X32" i="23"/>
  <c r="Y32" i="23"/>
  <c r="Z32" i="23"/>
  <c r="AA32" i="23"/>
  <c r="AB32" i="23"/>
  <c r="AC32" i="23"/>
  <c r="AD32" i="23"/>
  <c r="AF32" i="23"/>
  <c r="AH32" i="23"/>
  <c r="AI32" i="23"/>
  <c r="AK32" i="23"/>
  <c r="AM32" i="23"/>
  <c r="AN32" i="23"/>
  <c r="AQ32" i="23"/>
  <c r="AR32" i="23"/>
  <c r="AS32" i="23"/>
  <c r="AU32" i="23"/>
  <c r="AV32" i="23"/>
  <c r="AW32" i="23"/>
  <c r="AX32" i="23"/>
  <c r="BD32" i="23"/>
  <c r="BE32" i="23"/>
  <c r="BF32" i="23"/>
  <c r="BK32" i="23"/>
  <c r="BG32" i="23"/>
  <c r="BL32" i="23"/>
  <c r="BH32" i="23"/>
  <c r="BM32" i="23"/>
  <c r="BI32" i="23"/>
  <c r="BN32" i="23"/>
  <c r="BJ32" i="23"/>
  <c r="C23" i="23"/>
  <c r="D23" i="23"/>
  <c r="E23" i="23"/>
  <c r="F23" i="23"/>
  <c r="J23" i="23"/>
  <c r="L23" i="23"/>
  <c r="M23" i="23"/>
  <c r="P23" i="23"/>
  <c r="R23" i="23"/>
  <c r="S23" i="23"/>
  <c r="U23" i="23"/>
  <c r="V23" i="23"/>
  <c r="X23" i="23"/>
  <c r="Y23" i="23"/>
  <c r="Z23" i="23"/>
  <c r="AA23" i="23"/>
  <c r="AC23" i="23"/>
  <c r="AD23" i="23"/>
  <c r="AF23" i="23"/>
  <c r="AG22" i="23"/>
  <c r="AG23" i="23"/>
  <c r="AH23" i="23"/>
  <c r="AI23" i="23"/>
  <c r="AK23" i="23"/>
  <c r="AM23" i="23"/>
  <c r="AN23" i="23"/>
  <c r="AQ23" i="23"/>
  <c r="AR23" i="23"/>
  <c r="AS23" i="23"/>
  <c r="AU23" i="23"/>
  <c r="AV23" i="23"/>
  <c r="AW23" i="23"/>
  <c r="AX23" i="23"/>
  <c r="BE23" i="23"/>
  <c r="J22" i="23"/>
  <c r="BF23" i="23"/>
  <c r="BK23" i="23"/>
  <c r="BG23" i="23"/>
  <c r="BH23" i="23"/>
  <c r="BM23" i="23"/>
  <c r="BI23" i="23"/>
  <c r="BN23" i="23"/>
  <c r="BJ23" i="23"/>
  <c r="C24" i="23"/>
  <c r="D24" i="23"/>
  <c r="E24" i="23"/>
  <c r="F24" i="23"/>
  <c r="I24" i="23"/>
  <c r="J24" i="23"/>
  <c r="K24" i="23"/>
  <c r="L24" i="23"/>
  <c r="M24" i="23"/>
  <c r="P24" i="23"/>
  <c r="Q24" i="23"/>
  <c r="R24" i="23"/>
  <c r="S24" i="23"/>
  <c r="T24" i="23"/>
  <c r="U24" i="23"/>
  <c r="V24" i="23"/>
  <c r="W24" i="23"/>
  <c r="X24" i="23"/>
  <c r="Y24" i="23"/>
  <c r="Z24" i="23"/>
  <c r="AA24" i="23"/>
  <c r="AB24" i="23"/>
  <c r="AC24" i="23"/>
  <c r="AD24" i="23"/>
  <c r="AF24" i="23"/>
  <c r="AG24" i="23"/>
  <c r="AH24" i="23"/>
  <c r="AI24" i="23"/>
  <c r="AK24" i="23"/>
  <c r="AM24" i="23"/>
  <c r="AN24" i="23"/>
  <c r="AQ24" i="23"/>
  <c r="AR24" i="23"/>
  <c r="AS24" i="23"/>
  <c r="AU24" i="23"/>
  <c r="AV24" i="23"/>
  <c r="AW24" i="23"/>
  <c r="AX24" i="23"/>
  <c r="BD24" i="23"/>
  <c r="BE24" i="23"/>
  <c r="BF24" i="23"/>
  <c r="BK24" i="23"/>
  <c r="BG24" i="23"/>
  <c r="BL24" i="23"/>
  <c r="BH24" i="23"/>
  <c r="BM24" i="23"/>
  <c r="BI24" i="23"/>
  <c r="BN24" i="23"/>
  <c r="BJ24" i="23"/>
  <c r="C25" i="23"/>
  <c r="D25" i="23"/>
  <c r="E25" i="23"/>
  <c r="F25" i="23"/>
  <c r="I25" i="23"/>
  <c r="J25" i="23"/>
  <c r="K25" i="23"/>
  <c r="L25" i="23"/>
  <c r="M25" i="23"/>
  <c r="P25" i="23"/>
  <c r="Q25" i="23"/>
  <c r="R25" i="23"/>
  <c r="S25" i="23"/>
  <c r="T25" i="23"/>
  <c r="U25" i="23"/>
  <c r="V25" i="23"/>
  <c r="W25" i="23"/>
  <c r="X25" i="23"/>
  <c r="Y25" i="23"/>
  <c r="Z25" i="23"/>
  <c r="AA25" i="23"/>
  <c r="AB25" i="23"/>
  <c r="AC25" i="23"/>
  <c r="AD25" i="23"/>
  <c r="AF25" i="23"/>
  <c r="AG25" i="23"/>
  <c r="AH25" i="23"/>
  <c r="AI25" i="23"/>
  <c r="AK25" i="23"/>
  <c r="AM25" i="23"/>
  <c r="AN25" i="23"/>
  <c r="AQ25" i="23"/>
  <c r="AR25" i="23"/>
  <c r="AS25" i="23"/>
  <c r="AU25" i="23"/>
  <c r="AV25" i="23"/>
  <c r="AW25" i="23"/>
  <c r="AX25" i="23"/>
  <c r="BD25" i="23"/>
  <c r="BE25" i="23"/>
  <c r="BF25" i="23"/>
  <c r="BK25" i="23"/>
  <c r="BG25" i="23"/>
  <c r="BL25" i="23"/>
  <c r="BH25" i="23"/>
  <c r="BM25" i="23"/>
  <c r="BI25" i="23"/>
  <c r="BN25" i="23"/>
  <c r="BJ25" i="23"/>
  <c r="C26" i="23"/>
  <c r="D26" i="23"/>
  <c r="E26" i="23"/>
  <c r="F26" i="23"/>
  <c r="I26" i="23"/>
  <c r="J26" i="23"/>
  <c r="K26" i="23"/>
  <c r="L26" i="23"/>
  <c r="M26" i="23"/>
  <c r="P26" i="23"/>
  <c r="Q26" i="23"/>
  <c r="R26" i="23"/>
  <c r="S26" i="23"/>
  <c r="T26" i="23"/>
  <c r="U26" i="23"/>
  <c r="V26" i="23"/>
  <c r="W26" i="23"/>
  <c r="X26" i="23"/>
  <c r="Y26" i="23"/>
  <c r="Z26" i="23"/>
  <c r="AA26" i="23"/>
  <c r="AB26" i="23"/>
  <c r="AC26" i="23"/>
  <c r="AD26" i="23"/>
  <c r="AF26" i="23"/>
  <c r="AG26" i="23"/>
  <c r="AH26" i="23"/>
  <c r="AI26" i="23"/>
  <c r="AK26" i="23"/>
  <c r="AM26" i="23"/>
  <c r="AN26" i="23"/>
  <c r="AQ26" i="23"/>
  <c r="AR26" i="23"/>
  <c r="AS26" i="23"/>
  <c r="AU26" i="23"/>
  <c r="AV26" i="23"/>
  <c r="AW26" i="23"/>
  <c r="AX26" i="23"/>
  <c r="BD26" i="23"/>
  <c r="BE26" i="23"/>
  <c r="BF26" i="23"/>
  <c r="BK26" i="23"/>
  <c r="BG26" i="23"/>
  <c r="BL26" i="23"/>
  <c r="BH26" i="23"/>
  <c r="BM26" i="23"/>
  <c r="BI26" i="23"/>
  <c r="BN26" i="23"/>
  <c r="BJ26" i="23"/>
  <c r="C27" i="23"/>
  <c r="D27" i="23"/>
  <c r="E27" i="23"/>
  <c r="F27" i="23"/>
  <c r="I27" i="23"/>
  <c r="J27" i="23"/>
  <c r="K27" i="23"/>
  <c r="L27" i="23"/>
  <c r="M27" i="23"/>
  <c r="P27" i="23"/>
  <c r="Q27" i="23"/>
  <c r="R27" i="23"/>
  <c r="S27" i="23"/>
  <c r="T27" i="23"/>
  <c r="U27" i="23"/>
  <c r="V27" i="23"/>
  <c r="W27" i="23"/>
  <c r="X27" i="23"/>
  <c r="Y27" i="23"/>
  <c r="Z27" i="23"/>
  <c r="AA27" i="23"/>
  <c r="AB27" i="23"/>
  <c r="AC27" i="23"/>
  <c r="AD27" i="23"/>
  <c r="AF27" i="23"/>
  <c r="AG27" i="23"/>
  <c r="AH27" i="23"/>
  <c r="AI27" i="23"/>
  <c r="AK27" i="23"/>
  <c r="AM27" i="23"/>
  <c r="AN27" i="23"/>
  <c r="AQ27" i="23"/>
  <c r="AR27" i="23"/>
  <c r="AS27" i="23"/>
  <c r="AU27" i="23"/>
  <c r="AV27" i="23"/>
  <c r="AW27" i="23"/>
  <c r="AX27" i="23"/>
  <c r="BD27" i="23"/>
  <c r="BE27" i="23"/>
  <c r="BF27" i="23"/>
  <c r="BK27" i="23"/>
  <c r="BG27" i="23"/>
  <c r="BL27" i="23"/>
  <c r="BH27" i="23"/>
  <c r="BM27" i="23"/>
  <c r="BI27" i="23"/>
  <c r="BN27" i="23"/>
  <c r="BJ27" i="23"/>
  <c r="C28" i="23"/>
  <c r="D28" i="23"/>
  <c r="E28" i="23"/>
  <c r="F28" i="23"/>
  <c r="I28" i="23"/>
  <c r="J28" i="23"/>
  <c r="K28" i="23"/>
  <c r="L28" i="23"/>
  <c r="M28" i="23"/>
  <c r="P28" i="23"/>
  <c r="Q28" i="23"/>
  <c r="R28" i="23"/>
  <c r="S28" i="23"/>
  <c r="T28" i="23"/>
  <c r="U28" i="23"/>
  <c r="V28" i="23"/>
  <c r="W28" i="23"/>
  <c r="X28" i="23"/>
  <c r="Y28" i="23"/>
  <c r="Z28" i="23"/>
  <c r="AA28" i="23"/>
  <c r="AB28" i="23"/>
  <c r="AC28" i="23"/>
  <c r="AD28" i="23"/>
  <c r="AF28" i="23"/>
  <c r="AG28" i="23"/>
  <c r="AH28" i="23"/>
  <c r="AI28" i="23"/>
  <c r="AK28" i="23"/>
  <c r="AM28" i="23"/>
  <c r="AN28" i="23"/>
  <c r="AQ28" i="23"/>
  <c r="AR28" i="23"/>
  <c r="AS28" i="23"/>
  <c r="AU28" i="23"/>
  <c r="AV28" i="23"/>
  <c r="AW28" i="23"/>
  <c r="AX28" i="23"/>
  <c r="BD28" i="23"/>
  <c r="BE28" i="23"/>
  <c r="BF28" i="23"/>
  <c r="BK28" i="23"/>
  <c r="BG28" i="23"/>
  <c r="BL28" i="23"/>
  <c r="BH28" i="23"/>
  <c r="BM28" i="23"/>
  <c r="BI28" i="23"/>
  <c r="BN28" i="23"/>
  <c r="BJ28" i="23"/>
  <c r="C29" i="23"/>
  <c r="D29" i="23"/>
  <c r="E29" i="23"/>
  <c r="F29" i="23"/>
  <c r="I29" i="23"/>
  <c r="J29" i="23"/>
  <c r="K29" i="23"/>
  <c r="L29" i="23"/>
  <c r="M29" i="23"/>
  <c r="P29" i="23"/>
  <c r="Q29" i="23"/>
  <c r="R29" i="23"/>
  <c r="S29" i="23"/>
  <c r="T29" i="23"/>
  <c r="U29" i="23"/>
  <c r="V29" i="23"/>
  <c r="W29" i="23"/>
  <c r="X29" i="23"/>
  <c r="Y29" i="23"/>
  <c r="Z29" i="23"/>
  <c r="AA29" i="23"/>
  <c r="AB29" i="23"/>
  <c r="AC29" i="23"/>
  <c r="AD29" i="23"/>
  <c r="AF29" i="23"/>
  <c r="AG29" i="23"/>
  <c r="AH29" i="23"/>
  <c r="AI29" i="23"/>
  <c r="AK29" i="23"/>
  <c r="AM29" i="23"/>
  <c r="AN29" i="23"/>
  <c r="AQ29" i="23"/>
  <c r="AR29" i="23"/>
  <c r="AS29" i="23"/>
  <c r="AU29" i="23"/>
  <c r="AV29" i="23"/>
  <c r="AW29" i="23"/>
  <c r="AX29" i="23"/>
  <c r="BD29" i="23"/>
  <c r="BE29" i="23"/>
  <c r="BF29" i="23"/>
  <c r="BK29" i="23"/>
  <c r="BG29" i="23"/>
  <c r="BL29" i="23"/>
  <c r="BH29" i="23"/>
  <c r="BM29" i="23"/>
  <c r="BI29" i="23"/>
  <c r="BN29" i="23"/>
  <c r="BJ29" i="23"/>
  <c r="C30" i="23"/>
  <c r="D30" i="23"/>
  <c r="E30" i="23"/>
  <c r="F30" i="23"/>
  <c r="K30" i="23"/>
  <c r="L30" i="23"/>
  <c r="M30" i="23"/>
  <c r="P30" i="23"/>
  <c r="Q30" i="23"/>
  <c r="R30" i="23"/>
  <c r="S30" i="23"/>
  <c r="T30" i="23"/>
  <c r="U30" i="23"/>
  <c r="V30" i="23"/>
  <c r="W30" i="23"/>
  <c r="X30" i="23"/>
  <c r="Y30" i="23"/>
  <c r="Z30" i="23"/>
  <c r="AA30" i="23"/>
  <c r="AB30" i="23"/>
  <c r="AC30" i="23"/>
  <c r="AD30" i="23"/>
  <c r="AF30" i="23"/>
  <c r="AH30" i="23"/>
  <c r="AI30" i="23"/>
  <c r="AK30" i="23"/>
  <c r="AM30" i="23"/>
  <c r="AN30" i="23"/>
  <c r="AQ30" i="23"/>
  <c r="AR30" i="23"/>
  <c r="AS30" i="23"/>
  <c r="AU30" i="23"/>
  <c r="AV30" i="23"/>
  <c r="AW30" i="23"/>
  <c r="AX30" i="23"/>
  <c r="BD30" i="23"/>
  <c r="BE30" i="23"/>
  <c r="BF30" i="23"/>
  <c r="BK30" i="23"/>
  <c r="BG30" i="23"/>
  <c r="BL30" i="23"/>
  <c r="BH30" i="23"/>
  <c r="BM30" i="23"/>
  <c r="BI30" i="23"/>
  <c r="BN30" i="23"/>
  <c r="BJ30" i="23"/>
  <c r="C4" i="23"/>
  <c r="D4" i="23"/>
  <c r="E4" i="23"/>
  <c r="F4" i="23"/>
  <c r="I4" i="23"/>
  <c r="J4" i="23"/>
  <c r="K4" i="23"/>
  <c r="L4" i="23"/>
  <c r="M4" i="23"/>
  <c r="P4" i="23"/>
  <c r="Q4" i="23"/>
  <c r="R4" i="23"/>
  <c r="S4" i="23"/>
  <c r="T4" i="23"/>
  <c r="U4" i="23"/>
  <c r="V4" i="23"/>
  <c r="W4" i="23"/>
  <c r="X4" i="23"/>
  <c r="Y4" i="23"/>
  <c r="Z4" i="23"/>
  <c r="AA4" i="23"/>
  <c r="AB4" i="23"/>
  <c r="AC4" i="23"/>
  <c r="AD4" i="23"/>
  <c r="AF4" i="23"/>
  <c r="AG4" i="23"/>
  <c r="AH4" i="23"/>
  <c r="AI4" i="23"/>
  <c r="AK4" i="23"/>
  <c r="AM4" i="23"/>
  <c r="AN4" i="23"/>
  <c r="AQ4" i="23"/>
  <c r="AR4" i="23"/>
  <c r="AS4" i="23"/>
  <c r="AU4" i="23"/>
  <c r="AV4" i="23"/>
  <c r="AW4" i="23"/>
  <c r="AX4" i="23"/>
  <c r="BD4" i="23"/>
  <c r="BE4" i="23"/>
  <c r="BF4" i="23"/>
  <c r="BK4" i="23"/>
  <c r="BG4" i="23"/>
  <c r="BL4" i="23"/>
  <c r="BH4" i="23"/>
  <c r="BM4" i="23"/>
  <c r="BI4" i="23"/>
  <c r="BN4" i="23"/>
  <c r="BJ4" i="23"/>
  <c r="C5" i="23"/>
  <c r="D5" i="23"/>
  <c r="E5" i="23"/>
  <c r="F5" i="23"/>
  <c r="L5" i="23"/>
  <c r="P5" i="23"/>
  <c r="R5" i="23"/>
  <c r="U5" i="23"/>
  <c r="X5" i="23"/>
  <c r="Y5" i="23"/>
  <c r="Z5" i="23"/>
  <c r="AC5" i="23"/>
  <c r="AF5" i="23"/>
  <c r="AG5" i="23"/>
  <c r="AH5" i="23"/>
  <c r="AI5" i="23"/>
  <c r="AK5" i="23"/>
  <c r="AM5" i="23"/>
  <c r="AN5" i="23"/>
  <c r="AQ5" i="23"/>
  <c r="AR5" i="23"/>
  <c r="AS5" i="23"/>
  <c r="AU5" i="23"/>
  <c r="AV5" i="23"/>
  <c r="AW5" i="23"/>
  <c r="AX5" i="23"/>
  <c r="BE5" i="23"/>
  <c r="BF5" i="23"/>
  <c r="BG5" i="23"/>
  <c r="BH5" i="23"/>
  <c r="BM5" i="23"/>
  <c r="BI5" i="23"/>
  <c r="BJ5" i="23"/>
  <c r="C6" i="23"/>
  <c r="D6" i="23"/>
  <c r="E6" i="23"/>
  <c r="F6" i="23"/>
  <c r="I6" i="23"/>
  <c r="J6" i="23"/>
  <c r="K6" i="23"/>
  <c r="L6" i="23"/>
  <c r="M6" i="23"/>
  <c r="P6" i="23"/>
  <c r="Q6" i="23"/>
  <c r="R6" i="23"/>
  <c r="S6" i="23"/>
  <c r="T6" i="23"/>
  <c r="U6" i="23"/>
  <c r="V6" i="23"/>
  <c r="W6" i="23"/>
  <c r="X6" i="23"/>
  <c r="Y6" i="23"/>
  <c r="Z6" i="23"/>
  <c r="AA6" i="23"/>
  <c r="AB6" i="23"/>
  <c r="AC6" i="23"/>
  <c r="AD6" i="23"/>
  <c r="AF6" i="23"/>
  <c r="AH6" i="23"/>
  <c r="AI6" i="23"/>
  <c r="AK6" i="23"/>
  <c r="AM6" i="23"/>
  <c r="AN6" i="23"/>
  <c r="AQ6" i="23"/>
  <c r="AR6" i="23"/>
  <c r="AS6" i="23"/>
  <c r="AU6" i="23"/>
  <c r="AV6" i="23"/>
  <c r="AW6" i="23"/>
  <c r="AX6" i="23"/>
  <c r="BD6" i="23"/>
  <c r="BE6" i="23"/>
  <c r="BF6" i="23"/>
  <c r="BK6" i="23"/>
  <c r="BG6" i="23"/>
  <c r="BL6" i="23"/>
  <c r="BH6" i="23"/>
  <c r="BM6" i="23"/>
  <c r="BI6" i="23"/>
  <c r="BN6" i="23"/>
  <c r="BJ6" i="23"/>
  <c r="C7" i="23"/>
  <c r="D7" i="23"/>
  <c r="E7" i="23"/>
  <c r="F7" i="23"/>
  <c r="I7" i="23"/>
  <c r="J7" i="23"/>
  <c r="K7" i="23"/>
  <c r="L7" i="23"/>
  <c r="M7" i="23"/>
  <c r="P7" i="23"/>
  <c r="Q7" i="23"/>
  <c r="R7" i="23"/>
  <c r="S7" i="23"/>
  <c r="T7" i="23"/>
  <c r="U7" i="23"/>
  <c r="V7" i="23"/>
  <c r="W7" i="23"/>
  <c r="X7" i="23"/>
  <c r="Y7" i="23"/>
  <c r="Z7" i="23"/>
  <c r="AA7" i="23"/>
  <c r="AB7" i="23"/>
  <c r="AC7" i="23"/>
  <c r="AD7" i="23"/>
  <c r="AF7" i="23"/>
  <c r="AH7" i="23"/>
  <c r="AI7" i="23"/>
  <c r="AK7" i="23"/>
  <c r="AM7" i="23"/>
  <c r="AN7" i="23"/>
  <c r="AQ7" i="23"/>
  <c r="AR7" i="23"/>
  <c r="AS7" i="23"/>
  <c r="AU7" i="23"/>
  <c r="AV7" i="23"/>
  <c r="AW7" i="23"/>
  <c r="AX7" i="23"/>
  <c r="BD7" i="23"/>
  <c r="BE7" i="23"/>
  <c r="BF7" i="23"/>
  <c r="BK7" i="23"/>
  <c r="BG7" i="23"/>
  <c r="BL7" i="23"/>
  <c r="BH7" i="23"/>
  <c r="BM7" i="23"/>
  <c r="BI7" i="23"/>
  <c r="BN7" i="23"/>
  <c r="BJ7" i="23"/>
  <c r="C8" i="23"/>
  <c r="D8" i="23"/>
  <c r="E8" i="23"/>
  <c r="F8" i="23"/>
  <c r="I8" i="23"/>
  <c r="J8" i="23"/>
  <c r="K8" i="23"/>
  <c r="L8" i="23"/>
  <c r="M8" i="23"/>
  <c r="P8" i="23"/>
  <c r="Q8" i="23"/>
  <c r="R8" i="23"/>
  <c r="S8" i="23"/>
  <c r="T8" i="23"/>
  <c r="U8" i="23"/>
  <c r="V8" i="23"/>
  <c r="W8" i="23"/>
  <c r="X8" i="23"/>
  <c r="Y8" i="23"/>
  <c r="Z8" i="23"/>
  <c r="AA8" i="23"/>
  <c r="AB8" i="23"/>
  <c r="AC8" i="23"/>
  <c r="AD8" i="23"/>
  <c r="AF8" i="23"/>
  <c r="AH8" i="23"/>
  <c r="AI8" i="23"/>
  <c r="AK8" i="23"/>
  <c r="AM8" i="23"/>
  <c r="AN8" i="23"/>
  <c r="AQ8" i="23"/>
  <c r="AR8" i="23"/>
  <c r="AS8" i="23"/>
  <c r="AU8" i="23"/>
  <c r="AV8" i="23"/>
  <c r="AW8" i="23"/>
  <c r="AX8" i="23"/>
  <c r="BD8" i="23"/>
  <c r="BE8" i="23"/>
  <c r="BF8" i="23"/>
  <c r="BK8" i="23"/>
  <c r="BG8" i="23"/>
  <c r="BL8" i="23"/>
  <c r="BH8" i="23"/>
  <c r="BM8" i="23"/>
  <c r="BI8" i="23"/>
  <c r="BN8" i="23"/>
  <c r="BJ8" i="23"/>
  <c r="C9" i="23"/>
  <c r="D9" i="23"/>
  <c r="E9" i="23"/>
  <c r="F9" i="23"/>
  <c r="I9" i="23"/>
  <c r="J9" i="23"/>
  <c r="K9" i="23"/>
  <c r="L9" i="23"/>
  <c r="M9" i="23"/>
  <c r="P9" i="23"/>
  <c r="Q9" i="23"/>
  <c r="R9" i="23"/>
  <c r="S9" i="23"/>
  <c r="T9" i="23"/>
  <c r="U9" i="23"/>
  <c r="V9" i="23"/>
  <c r="W9" i="23"/>
  <c r="X9" i="23"/>
  <c r="Y9" i="23"/>
  <c r="Z9" i="23"/>
  <c r="AA9" i="23"/>
  <c r="AB9" i="23"/>
  <c r="AC9" i="23"/>
  <c r="AD9" i="23"/>
  <c r="AF9" i="23"/>
  <c r="AH9" i="23"/>
  <c r="AI9" i="23"/>
  <c r="AK9" i="23"/>
  <c r="AM9" i="23"/>
  <c r="AN9" i="23"/>
  <c r="AQ9" i="23"/>
  <c r="AR9" i="23"/>
  <c r="AS9" i="23"/>
  <c r="AU9" i="23"/>
  <c r="AV9" i="23"/>
  <c r="AW9" i="23"/>
  <c r="AX9" i="23"/>
  <c r="BD9" i="23"/>
  <c r="BE9" i="23"/>
  <c r="BF9" i="23"/>
  <c r="BK9" i="23"/>
  <c r="BG9" i="23"/>
  <c r="BL9" i="23"/>
  <c r="BH9" i="23"/>
  <c r="BM9" i="23"/>
  <c r="BI9" i="23"/>
  <c r="BN9" i="23"/>
  <c r="BJ9" i="23"/>
  <c r="C10" i="23"/>
  <c r="D10" i="23"/>
  <c r="E10" i="23"/>
  <c r="F10" i="23"/>
  <c r="I10" i="23"/>
  <c r="J10" i="23"/>
  <c r="K10" i="23"/>
  <c r="L10" i="23"/>
  <c r="M10" i="23"/>
  <c r="P10" i="23"/>
  <c r="Q10" i="23"/>
  <c r="R10" i="23"/>
  <c r="S10" i="23"/>
  <c r="T10" i="23"/>
  <c r="U10" i="23"/>
  <c r="V10" i="23"/>
  <c r="W10" i="23"/>
  <c r="X10" i="23"/>
  <c r="Y10" i="23"/>
  <c r="Z10" i="23"/>
  <c r="AA10" i="23"/>
  <c r="AB10" i="23"/>
  <c r="AC10" i="23"/>
  <c r="AD10" i="23"/>
  <c r="AF10" i="23"/>
  <c r="AH10" i="23"/>
  <c r="AI10" i="23"/>
  <c r="AK10" i="23"/>
  <c r="AM10" i="23"/>
  <c r="AN10" i="23"/>
  <c r="AQ10" i="23"/>
  <c r="AR10" i="23"/>
  <c r="AS10" i="23"/>
  <c r="AU10" i="23"/>
  <c r="AV10" i="23"/>
  <c r="AW10" i="23"/>
  <c r="AX10" i="23"/>
  <c r="BD10" i="23"/>
  <c r="BE10" i="23"/>
  <c r="BF10" i="23"/>
  <c r="BK10" i="23"/>
  <c r="BG10" i="23"/>
  <c r="BL10" i="23"/>
  <c r="BH10" i="23"/>
  <c r="BM10" i="23"/>
  <c r="BI10" i="23"/>
  <c r="BN10" i="23"/>
  <c r="BJ10" i="23"/>
  <c r="C11" i="23"/>
  <c r="D11" i="23"/>
  <c r="E11" i="23"/>
  <c r="F11" i="23"/>
  <c r="I11" i="23"/>
  <c r="J11" i="23"/>
  <c r="K11" i="23"/>
  <c r="L11" i="23"/>
  <c r="M11" i="23"/>
  <c r="P11" i="23"/>
  <c r="Q11" i="23"/>
  <c r="R11" i="23"/>
  <c r="S11" i="23"/>
  <c r="T11" i="23"/>
  <c r="U11" i="23"/>
  <c r="V11" i="23"/>
  <c r="W11" i="23"/>
  <c r="X11" i="23"/>
  <c r="Y11" i="23"/>
  <c r="Z11" i="23"/>
  <c r="AA11" i="23"/>
  <c r="AB11" i="23"/>
  <c r="AC11" i="23"/>
  <c r="AD11" i="23"/>
  <c r="AF11" i="23"/>
  <c r="AI11" i="23"/>
  <c r="AK11" i="23"/>
  <c r="AM11" i="23"/>
  <c r="AN11" i="23"/>
  <c r="AQ11" i="23"/>
  <c r="AR11" i="23"/>
  <c r="AS11" i="23"/>
  <c r="AU11" i="23"/>
  <c r="AV11" i="23"/>
  <c r="AW11" i="23"/>
  <c r="AX11" i="23"/>
  <c r="BD11" i="23"/>
  <c r="BE11" i="23"/>
  <c r="BF11" i="23"/>
  <c r="BK11" i="23"/>
  <c r="BG11" i="23"/>
  <c r="BL11" i="23"/>
  <c r="BH11" i="23"/>
  <c r="BM11" i="23"/>
  <c r="BI11" i="23"/>
  <c r="BN11" i="23"/>
  <c r="BJ11" i="23"/>
  <c r="C12" i="23"/>
  <c r="D12" i="23"/>
  <c r="E12" i="23"/>
  <c r="F12" i="23"/>
  <c r="I12" i="23"/>
  <c r="J12" i="23"/>
  <c r="K12" i="23"/>
  <c r="L12" i="23"/>
  <c r="M12" i="23"/>
  <c r="P12" i="23"/>
  <c r="Q12" i="23"/>
  <c r="R12" i="23"/>
  <c r="S12" i="23"/>
  <c r="T12" i="23"/>
  <c r="U12" i="23"/>
  <c r="V12" i="23"/>
  <c r="W12" i="23"/>
  <c r="X12" i="23"/>
  <c r="Y12" i="23"/>
  <c r="Z12" i="23"/>
  <c r="AA12" i="23"/>
  <c r="AB12" i="23"/>
  <c r="AC12" i="23"/>
  <c r="AD12" i="23"/>
  <c r="AF12" i="23"/>
  <c r="AI12" i="23"/>
  <c r="AK12" i="23"/>
  <c r="AM12" i="23"/>
  <c r="AN12" i="23"/>
  <c r="AQ12" i="23"/>
  <c r="AR12" i="23"/>
  <c r="AS12" i="23"/>
  <c r="AU12" i="23"/>
  <c r="AV12" i="23"/>
  <c r="AW12" i="23"/>
  <c r="AX12" i="23"/>
  <c r="BD12" i="23"/>
  <c r="BE12" i="23"/>
  <c r="BF12" i="23"/>
  <c r="BK12" i="23"/>
  <c r="BG12" i="23"/>
  <c r="BL12" i="23"/>
  <c r="BH12" i="23"/>
  <c r="BM12" i="23"/>
  <c r="BI12" i="23"/>
  <c r="BN12" i="23"/>
  <c r="BJ12" i="23"/>
  <c r="C13" i="23"/>
  <c r="D13" i="23"/>
  <c r="E13" i="23"/>
  <c r="F13" i="23"/>
  <c r="I13" i="23"/>
  <c r="J13" i="23"/>
  <c r="K13" i="23"/>
  <c r="L13" i="23"/>
  <c r="M13" i="23"/>
  <c r="P13" i="23"/>
  <c r="Q13" i="23"/>
  <c r="R13" i="23"/>
  <c r="S13" i="23"/>
  <c r="T13" i="23"/>
  <c r="U13" i="23"/>
  <c r="V13" i="23"/>
  <c r="W13" i="23"/>
  <c r="X13" i="23"/>
  <c r="Y13" i="23"/>
  <c r="Z13" i="23"/>
  <c r="AA13" i="23"/>
  <c r="AB13" i="23"/>
  <c r="AC13" i="23"/>
  <c r="AD13" i="23"/>
  <c r="AF13" i="23"/>
  <c r="AI13" i="23"/>
  <c r="AK13" i="23"/>
  <c r="AM13" i="23"/>
  <c r="AN13" i="23"/>
  <c r="AQ13" i="23"/>
  <c r="AR13" i="23"/>
  <c r="AS13" i="23"/>
  <c r="AU13" i="23"/>
  <c r="AV13" i="23"/>
  <c r="AW13" i="23"/>
  <c r="AX13" i="23"/>
  <c r="BD13" i="23"/>
  <c r="BE13" i="23"/>
  <c r="BF13" i="23"/>
  <c r="BK13" i="23"/>
  <c r="BG13" i="23"/>
  <c r="BL13" i="23"/>
  <c r="BH13" i="23"/>
  <c r="BM13" i="23"/>
  <c r="BI13" i="23"/>
  <c r="BN13" i="23"/>
  <c r="BJ13" i="23"/>
  <c r="C14" i="23"/>
  <c r="D14" i="23"/>
  <c r="E14" i="23"/>
  <c r="F14" i="23"/>
  <c r="I14" i="23"/>
  <c r="J14" i="23"/>
  <c r="K14" i="23"/>
  <c r="L14" i="23"/>
  <c r="M14" i="23"/>
  <c r="P14" i="23"/>
  <c r="Q14" i="23"/>
  <c r="R14" i="23"/>
  <c r="S14" i="23"/>
  <c r="T14" i="23"/>
  <c r="U14" i="23"/>
  <c r="V14" i="23"/>
  <c r="W14" i="23"/>
  <c r="X14" i="23"/>
  <c r="Y14" i="23"/>
  <c r="Z14" i="23"/>
  <c r="AA14" i="23"/>
  <c r="AB14" i="23"/>
  <c r="AC14" i="23"/>
  <c r="AD14" i="23"/>
  <c r="AF14" i="23"/>
  <c r="AI14" i="23"/>
  <c r="AK14" i="23"/>
  <c r="AM14" i="23"/>
  <c r="AN14" i="23"/>
  <c r="AQ14" i="23"/>
  <c r="AR14" i="23"/>
  <c r="AS14" i="23"/>
  <c r="AU14" i="23"/>
  <c r="AV14" i="23"/>
  <c r="AW14" i="23"/>
  <c r="AX14" i="23"/>
  <c r="BD14" i="23"/>
  <c r="BE14" i="23"/>
  <c r="BF14" i="23"/>
  <c r="BK14" i="23"/>
  <c r="BG14" i="23"/>
  <c r="BL14" i="23"/>
  <c r="BH14" i="23"/>
  <c r="BM14" i="23"/>
  <c r="BI14" i="23"/>
  <c r="BN14" i="23"/>
  <c r="BJ14" i="23"/>
  <c r="C15" i="23"/>
  <c r="D15" i="23"/>
  <c r="E15" i="23"/>
  <c r="F15" i="23"/>
  <c r="I15" i="23"/>
  <c r="J15" i="23"/>
  <c r="K15" i="23"/>
  <c r="L15" i="23"/>
  <c r="M15" i="23"/>
  <c r="P15" i="23"/>
  <c r="Q15" i="23"/>
  <c r="R15" i="23"/>
  <c r="S15" i="23"/>
  <c r="T15" i="23"/>
  <c r="U15" i="23"/>
  <c r="V15" i="23"/>
  <c r="W15" i="23"/>
  <c r="X15" i="23"/>
  <c r="Y15" i="23"/>
  <c r="Z15" i="23"/>
  <c r="AA15" i="23"/>
  <c r="AB15" i="23"/>
  <c r="AC15" i="23"/>
  <c r="AD15" i="23"/>
  <c r="AF15" i="23"/>
  <c r="AI15" i="23"/>
  <c r="AK15" i="23"/>
  <c r="AM15" i="23"/>
  <c r="AN15" i="23"/>
  <c r="AQ15" i="23"/>
  <c r="AR15" i="23"/>
  <c r="AS15" i="23"/>
  <c r="AU15" i="23"/>
  <c r="AV15" i="23"/>
  <c r="AW15" i="23"/>
  <c r="AX15" i="23"/>
  <c r="BD15" i="23"/>
  <c r="BE15" i="23"/>
  <c r="BF15" i="23"/>
  <c r="BK15" i="23"/>
  <c r="BG15" i="23"/>
  <c r="BL15" i="23"/>
  <c r="BH15" i="23"/>
  <c r="BM15" i="23"/>
  <c r="BI15" i="23"/>
  <c r="BN15" i="23"/>
  <c r="BJ15" i="23"/>
  <c r="C16" i="23"/>
  <c r="D16" i="23"/>
  <c r="E16" i="23"/>
  <c r="F16" i="23"/>
  <c r="I16" i="23"/>
  <c r="J16" i="23"/>
  <c r="K16" i="23"/>
  <c r="L16" i="23"/>
  <c r="M16" i="23"/>
  <c r="P16" i="23"/>
  <c r="Q16" i="23"/>
  <c r="R16" i="23"/>
  <c r="S16" i="23"/>
  <c r="T16" i="23"/>
  <c r="U16" i="23"/>
  <c r="V16" i="23"/>
  <c r="W16" i="23"/>
  <c r="X16" i="23"/>
  <c r="Y16" i="23"/>
  <c r="Z16" i="23"/>
  <c r="AA16" i="23"/>
  <c r="AB16" i="23"/>
  <c r="AC16" i="23"/>
  <c r="AD16" i="23"/>
  <c r="AF16" i="23"/>
  <c r="AG16" i="23"/>
  <c r="AH16" i="23"/>
  <c r="AI16" i="23"/>
  <c r="AK16" i="23"/>
  <c r="AM16" i="23"/>
  <c r="AN16" i="23"/>
  <c r="AQ16" i="23"/>
  <c r="AR16" i="23"/>
  <c r="AS16" i="23"/>
  <c r="AV16" i="23"/>
  <c r="AW16" i="23"/>
  <c r="AX16" i="23"/>
  <c r="BD16" i="23"/>
  <c r="BE16" i="23"/>
  <c r="BF16" i="23"/>
  <c r="BK16" i="23"/>
  <c r="BG16" i="23"/>
  <c r="BL16" i="23"/>
  <c r="BH16" i="23"/>
  <c r="BM16" i="23"/>
  <c r="BI16" i="23"/>
  <c r="BN16" i="23"/>
  <c r="BJ16" i="23"/>
  <c r="C17" i="23"/>
  <c r="D17" i="23"/>
  <c r="E17" i="23"/>
  <c r="F17" i="23"/>
  <c r="I17" i="23"/>
  <c r="J17" i="23"/>
  <c r="K17" i="23"/>
  <c r="L17" i="23"/>
  <c r="M17" i="23"/>
  <c r="P17" i="23"/>
  <c r="Q17" i="23"/>
  <c r="R17" i="23"/>
  <c r="S17" i="23"/>
  <c r="T17" i="23"/>
  <c r="U17" i="23"/>
  <c r="V17" i="23"/>
  <c r="W17" i="23"/>
  <c r="X17" i="23"/>
  <c r="Y17" i="23"/>
  <c r="Z17" i="23"/>
  <c r="AA17" i="23"/>
  <c r="AB17" i="23"/>
  <c r="AC17" i="23"/>
  <c r="AD17" i="23"/>
  <c r="AF17" i="23"/>
  <c r="AG17" i="23"/>
  <c r="AH17" i="23"/>
  <c r="AI17" i="23"/>
  <c r="AK17" i="23"/>
  <c r="AM17" i="23"/>
  <c r="AN17" i="23"/>
  <c r="AQ17" i="23"/>
  <c r="AR17" i="23"/>
  <c r="AS17" i="23"/>
  <c r="AV17" i="23"/>
  <c r="AW17" i="23"/>
  <c r="AX17" i="23"/>
  <c r="BD17" i="23"/>
  <c r="BE17" i="23"/>
  <c r="BF17" i="23"/>
  <c r="BK17" i="23"/>
  <c r="BG17" i="23"/>
  <c r="BL17" i="23"/>
  <c r="BH17" i="23"/>
  <c r="BM17" i="23"/>
  <c r="BI17" i="23"/>
  <c r="BN17" i="23"/>
  <c r="BJ17" i="23"/>
  <c r="C18" i="23"/>
  <c r="D18" i="23"/>
  <c r="E18" i="23"/>
  <c r="F18" i="23"/>
  <c r="J18" i="23"/>
  <c r="L18" i="23"/>
  <c r="M18" i="23"/>
  <c r="P18" i="23"/>
  <c r="R18" i="23"/>
  <c r="S18" i="23"/>
  <c r="U18" i="23"/>
  <c r="V18" i="23"/>
  <c r="X18" i="23"/>
  <c r="Y18" i="23"/>
  <c r="Z18" i="23"/>
  <c r="AA18" i="23"/>
  <c r="AC18" i="23"/>
  <c r="AD18" i="23"/>
  <c r="AF18" i="23"/>
  <c r="AG18" i="23"/>
  <c r="AH18" i="23"/>
  <c r="AI18" i="23"/>
  <c r="AK18" i="23"/>
  <c r="AM18" i="23"/>
  <c r="AN18" i="23"/>
  <c r="AQ18" i="23"/>
  <c r="AR18" i="23"/>
  <c r="AS18" i="23"/>
  <c r="AU18" i="23"/>
  <c r="AV18" i="23"/>
  <c r="AW18" i="23"/>
  <c r="AX18" i="23"/>
  <c r="BE18" i="23"/>
  <c r="BF18" i="23"/>
  <c r="BK18" i="23"/>
  <c r="BG18" i="23"/>
  <c r="BH18" i="23"/>
  <c r="BM18" i="23"/>
  <c r="BI18" i="23"/>
  <c r="BN18" i="23"/>
  <c r="BJ18" i="23"/>
  <c r="C19" i="23"/>
  <c r="D19" i="23"/>
  <c r="E19" i="23"/>
  <c r="F19" i="23"/>
  <c r="L19" i="23"/>
  <c r="M19" i="23"/>
  <c r="P19" i="23"/>
  <c r="R19" i="23"/>
  <c r="U19" i="23"/>
  <c r="V19" i="23"/>
  <c r="X19" i="23"/>
  <c r="Y19" i="23"/>
  <c r="Z19" i="23"/>
  <c r="AC19" i="23"/>
  <c r="AD19" i="23"/>
  <c r="AF19" i="23"/>
  <c r="AG19" i="23"/>
  <c r="AH19" i="23"/>
  <c r="AI19" i="23"/>
  <c r="AK19" i="23"/>
  <c r="AM19" i="23"/>
  <c r="AN19" i="23"/>
  <c r="AQ19" i="23"/>
  <c r="AR19" i="23"/>
  <c r="AS19" i="23"/>
  <c r="AU19" i="23"/>
  <c r="AV19" i="23"/>
  <c r="AW19" i="23"/>
  <c r="AX19" i="23"/>
  <c r="BE19" i="23"/>
  <c r="BF19" i="23"/>
  <c r="BG19" i="23"/>
  <c r="BH19" i="23"/>
  <c r="BM19" i="23"/>
  <c r="BI19" i="23"/>
  <c r="BN19" i="23"/>
  <c r="BJ19" i="23"/>
  <c r="C20" i="23"/>
  <c r="D20" i="23"/>
  <c r="E20" i="23"/>
  <c r="F20" i="23"/>
  <c r="I20" i="23"/>
  <c r="J20" i="23"/>
  <c r="K20" i="23"/>
  <c r="L20" i="23"/>
  <c r="M20" i="23"/>
  <c r="P20" i="23"/>
  <c r="Q20" i="23"/>
  <c r="R20" i="23"/>
  <c r="S20" i="23"/>
  <c r="T20" i="23"/>
  <c r="U20" i="23"/>
  <c r="V20" i="23"/>
  <c r="W20" i="23"/>
  <c r="X20" i="23"/>
  <c r="Y20" i="23"/>
  <c r="Z20" i="23"/>
  <c r="AA20" i="23"/>
  <c r="AB20" i="23"/>
  <c r="AC20" i="23"/>
  <c r="AD20" i="23"/>
  <c r="AF20" i="23"/>
  <c r="AG20" i="23"/>
  <c r="AH20" i="23"/>
  <c r="AI20" i="23"/>
  <c r="AK20" i="23"/>
  <c r="AM20" i="23"/>
  <c r="AN20" i="23"/>
  <c r="AQ20" i="23"/>
  <c r="AR20" i="23"/>
  <c r="AS20" i="23"/>
  <c r="AU20" i="23"/>
  <c r="AV20" i="23"/>
  <c r="AW20" i="23"/>
  <c r="AX20" i="23"/>
  <c r="BD20" i="23"/>
  <c r="BE20" i="23"/>
  <c r="BF20" i="23"/>
  <c r="BK20" i="23"/>
  <c r="BG20" i="23"/>
  <c r="BL20" i="23"/>
  <c r="BH20" i="23"/>
  <c r="BM20" i="23"/>
  <c r="BI20" i="23"/>
  <c r="BN20" i="23"/>
  <c r="BJ20" i="23"/>
  <c r="C21" i="23"/>
  <c r="D21" i="23"/>
  <c r="E21" i="23"/>
  <c r="F21" i="23"/>
  <c r="J21" i="23"/>
  <c r="L21" i="23"/>
  <c r="M21" i="23"/>
  <c r="P21" i="23"/>
  <c r="R21" i="23"/>
  <c r="S21" i="23"/>
  <c r="U21" i="23"/>
  <c r="V21" i="23"/>
  <c r="X21" i="23"/>
  <c r="Y21" i="23"/>
  <c r="Z21" i="23"/>
  <c r="AA21" i="23"/>
  <c r="AC21" i="23"/>
  <c r="AD21" i="23"/>
  <c r="AF21" i="23"/>
  <c r="AG21" i="23"/>
  <c r="AH21" i="23"/>
  <c r="AI21" i="23"/>
  <c r="AK21" i="23"/>
  <c r="AM21" i="23"/>
  <c r="AN21" i="23"/>
  <c r="AQ21" i="23"/>
  <c r="AR21" i="23"/>
  <c r="AS21" i="23"/>
  <c r="AU21" i="23"/>
  <c r="AV21" i="23"/>
  <c r="AW21" i="23"/>
  <c r="AX21" i="23"/>
  <c r="BE21" i="23"/>
  <c r="BF21" i="23"/>
  <c r="BK21" i="23"/>
  <c r="BG21" i="23"/>
  <c r="BH21" i="23"/>
  <c r="BM21" i="23"/>
  <c r="BI21" i="23"/>
  <c r="BN21" i="23"/>
  <c r="BJ21" i="23"/>
  <c r="C22" i="23"/>
  <c r="D22" i="23"/>
  <c r="E22" i="23"/>
  <c r="F22" i="23"/>
  <c r="L22" i="23"/>
  <c r="M22" i="23"/>
  <c r="P22" i="23"/>
  <c r="R22" i="23"/>
  <c r="S22" i="23"/>
  <c r="U22" i="23"/>
  <c r="V22" i="23"/>
  <c r="X22" i="23"/>
  <c r="Y22" i="23"/>
  <c r="Z22" i="23"/>
  <c r="AA22" i="23"/>
  <c r="AC22" i="23"/>
  <c r="AD22" i="23"/>
  <c r="AF22" i="23"/>
  <c r="AH22" i="23"/>
  <c r="AI22" i="23"/>
  <c r="AK22" i="23"/>
  <c r="AM22" i="23"/>
  <c r="AN22" i="23"/>
  <c r="AQ22" i="23"/>
  <c r="AR22" i="23"/>
  <c r="AS22" i="23"/>
  <c r="AU22" i="23"/>
  <c r="AV22" i="23"/>
  <c r="AW22" i="23"/>
  <c r="AX22" i="23"/>
  <c r="BE22" i="23"/>
  <c r="BF22" i="23"/>
  <c r="BK22" i="23"/>
  <c r="BG22" i="23"/>
  <c r="BH22" i="23"/>
  <c r="BM22" i="23"/>
  <c r="BI22" i="23"/>
  <c r="BN22" i="23"/>
  <c r="BJ22" i="23"/>
  <c r="C3" i="23"/>
  <c r="D3" i="23"/>
  <c r="E3" i="23"/>
  <c r="F3" i="23"/>
  <c r="J3" i="23"/>
  <c r="L3" i="23"/>
  <c r="P3" i="23"/>
  <c r="R3" i="23"/>
  <c r="S3" i="23"/>
  <c r="U3" i="23"/>
  <c r="X3" i="23"/>
  <c r="Y3" i="23"/>
  <c r="Z3" i="23"/>
  <c r="AA3" i="23"/>
  <c r="AC3" i="23"/>
  <c r="AF3" i="23"/>
  <c r="AG2" i="23"/>
  <c r="AG3" i="23"/>
  <c r="AH3" i="23"/>
  <c r="AI3" i="23"/>
  <c r="AK3" i="23"/>
  <c r="AM3" i="23"/>
  <c r="AN3" i="23"/>
  <c r="AQ3" i="23"/>
  <c r="AR3" i="23"/>
  <c r="AS3" i="23"/>
  <c r="AU3" i="23"/>
  <c r="AV3" i="23"/>
  <c r="AW3" i="23"/>
  <c r="AX3" i="23"/>
  <c r="BE3" i="23"/>
  <c r="J2" i="23"/>
  <c r="BF3" i="23"/>
  <c r="BK3" i="23"/>
  <c r="BG3" i="23"/>
  <c r="BH3" i="23"/>
  <c r="BM3" i="23"/>
  <c r="BI3" i="23"/>
  <c r="BJ3" i="23"/>
  <c r="E2" i="53"/>
  <c r="H2" i="52"/>
  <c r="E2" i="52"/>
  <c r="AN2" i="23"/>
  <c r="AM2" i="23"/>
  <c r="AI2" i="23"/>
  <c r="AS2" i="23"/>
  <c r="AR2" i="23"/>
  <c r="AQ2" i="23"/>
  <c r="V2" i="23"/>
  <c r="AD2" i="23"/>
  <c r="M2" i="23"/>
  <c r="BN2" i="23"/>
  <c r="U2" i="23"/>
  <c r="AC2" i="23"/>
  <c r="L2" i="23"/>
  <c r="BM2" i="23"/>
  <c r="S2" i="23"/>
  <c r="AA2" i="23"/>
  <c r="BK2" i="23"/>
  <c r="BE2" i="23"/>
  <c r="BJ2" i="23"/>
  <c r="BI2" i="23"/>
  <c r="BH2" i="23"/>
  <c r="BG2" i="23"/>
  <c r="BF2" i="23"/>
  <c r="AX2" i="23"/>
  <c r="AW2" i="23"/>
  <c r="AV2" i="23"/>
  <c r="AU2" i="23"/>
  <c r="AK2" i="23"/>
  <c r="AH2" i="23"/>
  <c r="AF2" i="23"/>
  <c r="Y2" i="23"/>
  <c r="Z2" i="23"/>
  <c r="X2" i="23"/>
  <c r="R2" i="23"/>
  <c r="P2" i="23"/>
  <c r="F2" i="23"/>
  <c r="E2" i="23"/>
  <c r="D2" i="23"/>
  <c r="C2" i="23"/>
  <c r="E8" i="49"/>
  <c r="E7" i="49"/>
  <c r="E6" i="49"/>
  <c r="E5" i="49"/>
  <c r="E9" i="49"/>
  <c r="E10" i="49"/>
  <c r="E3" i="49"/>
  <c r="E4" i="49"/>
  <c r="E2" i="49"/>
</calcChain>
</file>

<file path=xl/sharedStrings.xml><?xml version="1.0" encoding="utf-8"?>
<sst xmlns="http://schemas.openxmlformats.org/spreadsheetml/2006/main" count="1455" uniqueCount="572">
  <si>
    <t>color</t>
  </si>
  <si>
    <t>rare</t>
  </si>
  <si>
    <t>max_level</t>
  </si>
  <si>
    <t>cost</t>
  </si>
  <si>
    <t>valid_flg</t>
  </si>
  <si>
    <t>進化前RC6SV</t>
  </si>
  <si>
    <t>進化前MAXレベル</t>
  </si>
  <si>
    <t>Drop1W</t>
  </si>
  <si>
    <t>Drop1N</t>
  </si>
  <si>
    <t>PremiumS</t>
  </si>
  <si>
    <t>ラベル</t>
  </si>
  <si>
    <t>-</t>
  </si>
  <si>
    <t>限定キャラ</t>
  </si>
  <si>
    <t>特殊キャラ</t>
  </si>
  <si>
    <t>強化合成時の取得経験値</t>
  </si>
  <si>
    <t>レアレリティ</t>
  </si>
  <si>
    <t>金額</t>
  </si>
  <si>
    <t>character_id</t>
  </si>
  <si>
    <t>character_type_id</t>
  </si>
  <si>
    <t>drop_label</t>
  </si>
  <si>
    <t>unit_skill_id</t>
  </si>
  <si>
    <t>成長速度名</t>
    <rPh sb="0" eb="4">
      <t>セイチョウソクド</t>
    </rPh>
    <rPh sb="4" eb="5">
      <t>メイ</t>
    </rPh>
    <phoneticPr fontId="10"/>
  </si>
  <si>
    <t>RC6SV</t>
    <phoneticPr fontId="10"/>
  </si>
  <si>
    <t>HP係数</t>
    <rPh sb="2" eb="4">
      <t>ケイスウ</t>
    </rPh>
    <phoneticPr fontId="10"/>
  </si>
  <si>
    <t>攻撃係数</t>
    <rPh sb="0" eb="2">
      <t>コウゲキ</t>
    </rPh>
    <rPh sb="2" eb="4">
      <t>ケイスウ</t>
    </rPh>
    <phoneticPr fontId="10"/>
  </si>
  <si>
    <t>回復係数</t>
    <rPh sb="0" eb="2">
      <t>カイフク</t>
    </rPh>
    <rPh sb="2" eb="4">
      <t>ケイスウ</t>
    </rPh>
    <phoneticPr fontId="10"/>
  </si>
  <si>
    <t>防御係数</t>
    <rPh sb="0" eb="2">
      <t>ボウギョ</t>
    </rPh>
    <rPh sb="2" eb="4">
      <t>ケイスウ</t>
    </rPh>
    <phoneticPr fontId="10"/>
  </si>
  <si>
    <t>特徴</t>
    <rPh sb="0" eb="2">
      <t>トクチョウ</t>
    </rPh>
    <phoneticPr fontId="10"/>
  </si>
  <si>
    <t>訴求軸</t>
    <phoneticPr fontId="10"/>
  </si>
  <si>
    <t>性別</t>
    <phoneticPr fontId="10"/>
  </si>
  <si>
    <t>勢力</t>
    <rPh sb="0" eb="2">
      <t>セイリョク</t>
    </rPh>
    <phoneticPr fontId="10"/>
  </si>
  <si>
    <t>スキルタイプ</t>
    <phoneticPr fontId="10"/>
  </si>
  <si>
    <t>character_main_tribe_id</t>
    <phoneticPr fontId="10"/>
  </si>
  <si>
    <t>character_sub_tribe_id</t>
    <phoneticPr fontId="10"/>
  </si>
  <si>
    <t>調整後</t>
    <rPh sb="0" eb="2">
      <t>チョウセイ</t>
    </rPh>
    <rPh sb="2" eb="3">
      <t>アト</t>
    </rPh>
    <phoneticPr fontId="10"/>
  </si>
  <si>
    <t>使用せず</t>
    <rPh sb="0" eb="2">
      <t>シヨウ</t>
    </rPh>
    <phoneticPr fontId="9"/>
  </si>
  <si>
    <t>material_character_id</t>
  </si>
  <si>
    <t>material_count</t>
  </si>
  <si>
    <t>base_character_id</t>
    <phoneticPr fontId="9"/>
  </si>
  <si>
    <t>awake_price</t>
    <phoneticPr fontId="11"/>
  </si>
  <si>
    <t>name</t>
    <phoneticPr fontId="9"/>
  </si>
  <si>
    <t>name</t>
    <phoneticPr fontId="9"/>
  </si>
  <si>
    <t>rare</t>
    <phoneticPr fontId="9"/>
  </si>
  <si>
    <t>drop_label</t>
    <phoneticPr fontId="9"/>
  </si>
  <si>
    <t>name</t>
    <phoneticPr fontId="10"/>
  </si>
  <si>
    <t>name</t>
    <phoneticPr fontId="10"/>
  </si>
  <si>
    <t>awake_price</t>
    <phoneticPr fontId="10"/>
  </si>
  <si>
    <t>NULL</t>
  </si>
  <si>
    <t>攻撃係数</t>
    <rPh sb="0" eb="2">
      <t>コウゲキ</t>
    </rPh>
    <rPh sb="2" eb="4">
      <t>ケイスウ</t>
    </rPh>
    <phoneticPr fontId="9"/>
  </si>
  <si>
    <t>HP係数</t>
    <rPh sb="2" eb="4">
      <t>ケイスウ</t>
    </rPh>
    <phoneticPr fontId="9"/>
  </si>
  <si>
    <t>防御系数</t>
    <rPh sb="0" eb="4">
      <t>ボウギョケイスウ</t>
    </rPh>
    <phoneticPr fontId="9"/>
  </si>
  <si>
    <t>回復系数</t>
    <rPh sb="0" eb="4">
      <t>カイフクケイスウ</t>
    </rPh>
    <phoneticPr fontId="9"/>
  </si>
  <si>
    <t>name</t>
    <phoneticPr fontId="10"/>
  </si>
  <si>
    <t>name</t>
    <phoneticPr fontId="10"/>
  </si>
  <si>
    <t>HP係数</t>
    <rPh sb="2" eb="4">
      <t>ケイスウ</t>
    </rPh>
    <phoneticPr fontId="10"/>
  </si>
  <si>
    <t>攻撃系数</t>
    <rPh sb="0" eb="4">
      <t>コウゲキケイスウ</t>
    </rPh>
    <phoneticPr fontId="10"/>
  </si>
  <si>
    <t>回復系数</t>
    <rPh sb="0" eb="4">
      <t>カイフクケイスウ</t>
    </rPh>
    <phoneticPr fontId="10"/>
  </si>
  <si>
    <t>base_character_id</t>
    <phoneticPr fontId="11"/>
  </si>
  <si>
    <t>base_character_id</t>
    <phoneticPr fontId="10"/>
  </si>
  <si>
    <t>required_exp_200</t>
  </si>
  <si>
    <t>required_exp_150</t>
  </si>
  <si>
    <t>required_exp_100</t>
  </si>
  <si>
    <t>required_exp_70</t>
  </si>
  <si>
    <t>required_exp_50</t>
  </si>
  <si>
    <t>rare</t>
    <phoneticPr fontId="9"/>
  </si>
  <si>
    <t>base_material_exp</t>
    <phoneticPr fontId="9"/>
  </si>
  <si>
    <t>base_material_exp</t>
    <phoneticPr fontId="10"/>
  </si>
  <si>
    <t>growth_speed</t>
    <phoneticPr fontId="10"/>
  </si>
  <si>
    <t>exp_table</t>
    <phoneticPr fontId="10"/>
  </si>
  <si>
    <t>base_soldprice</t>
    <phoneticPr fontId="10"/>
  </si>
  <si>
    <t>min_hp</t>
    <phoneticPr fontId="10"/>
  </si>
  <si>
    <t>min_attack</t>
    <phoneticPr fontId="10"/>
  </si>
  <si>
    <t>min_defense</t>
    <phoneticPr fontId="10"/>
  </si>
  <si>
    <t>min_heal</t>
    <phoneticPr fontId="10"/>
  </si>
  <si>
    <t>max_hp</t>
    <phoneticPr fontId="10"/>
  </si>
  <si>
    <t>max_defense</t>
    <phoneticPr fontId="10"/>
  </si>
  <si>
    <t>max_heal</t>
    <phoneticPr fontId="10"/>
  </si>
  <si>
    <t>skip</t>
    <phoneticPr fontId="10"/>
  </si>
  <si>
    <t>min_max</t>
    <phoneticPr fontId="10"/>
  </si>
  <si>
    <t>growth_speed</t>
    <phoneticPr fontId="11"/>
  </si>
  <si>
    <t>exp_table</t>
    <phoneticPr fontId="11"/>
  </si>
  <si>
    <t>base_material_exp</t>
    <phoneticPr fontId="11"/>
  </si>
  <si>
    <t>base_soldprice</t>
    <phoneticPr fontId="11"/>
  </si>
  <si>
    <t>skip</t>
    <phoneticPr fontId="11"/>
  </si>
  <si>
    <t>min_max</t>
    <phoneticPr fontId="11"/>
  </si>
  <si>
    <t>level_test</t>
    <phoneticPr fontId="11"/>
  </si>
  <si>
    <t>level_test</t>
    <phoneticPr fontId="9"/>
  </si>
  <si>
    <t>min_hp</t>
  </si>
  <si>
    <t>min_attack</t>
  </si>
  <si>
    <t>min_defense</t>
  </si>
  <si>
    <t>min_heal</t>
  </si>
  <si>
    <t>max_hp</t>
  </si>
  <si>
    <t>max_defense</t>
  </si>
  <si>
    <t>max_heal</t>
  </si>
  <si>
    <t>max_attack</t>
    <phoneticPr fontId="11"/>
  </si>
  <si>
    <t>max_attack</t>
    <phoneticPr fontId="10"/>
  </si>
  <si>
    <t>drop_label</t>
    <phoneticPr fontId="11"/>
  </si>
  <si>
    <t>max_bug</t>
    <phoneticPr fontId="10"/>
  </si>
  <si>
    <t>max_bug</t>
    <phoneticPr fontId="11"/>
  </si>
  <si>
    <t>temp_awake</t>
    <phoneticPr fontId="9"/>
  </si>
  <si>
    <t>awake_character_id</t>
    <phoneticPr fontId="10"/>
  </si>
  <si>
    <t>awake_character_id</t>
    <phoneticPr fontId="11"/>
  </si>
  <si>
    <t>crash_skill_id</t>
    <phoneticPr fontId="10"/>
  </si>
  <si>
    <t>crash_skill_id</t>
    <phoneticPr fontId="11"/>
  </si>
  <si>
    <t>等級</t>
    <rPh sb="0" eb="2">
      <t>トウキュウ</t>
    </rPh>
    <phoneticPr fontId="10"/>
  </si>
  <si>
    <t>comment</t>
    <phoneticPr fontId="10"/>
  </si>
  <si>
    <t>character_id</t>
    <phoneticPr fontId="10"/>
  </si>
  <si>
    <t>name</t>
    <phoneticPr fontId="10"/>
  </si>
  <si>
    <t>進化に必要なビット</t>
    <phoneticPr fontId="9"/>
  </si>
  <si>
    <t>売却時のビット価格</t>
    <rPh sb="0" eb="3">
      <t>バイキャクジ</t>
    </rPh>
    <rPh sb="7" eb="9">
      <t>カカク</t>
    </rPh>
    <phoneticPr fontId="9"/>
  </si>
  <si>
    <t>name</t>
    <phoneticPr fontId="10"/>
  </si>
  <si>
    <t>防御係数</t>
    <rPh sb="0" eb="2">
      <t>ボウギョケイスウ</t>
    </rPh>
    <rPh sb="2" eb="4">
      <t>ケイスウ</t>
    </rPh>
    <phoneticPr fontId="10"/>
  </si>
  <si>
    <t>接頭語</t>
    <rPh sb="0" eb="3">
      <t>セットウゴ</t>
    </rPh>
    <phoneticPr fontId="22"/>
  </si>
  <si>
    <t>識別子</t>
    <rPh sb="0" eb="3">
      <t>シキベツシ</t>
    </rPh>
    <phoneticPr fontId="22"/>
  </si>
  <si>
    <t>形式</t>
    <rPh sb="0" eb="2">
      <t>ケイシキ</t>
    </rPh>
    <phoneticPr fontId="22"/>
  </si>
  <si>
    <t>出力ファイル名</t>
    <rPh sb="0" eb="2">
      <t>シュツリョク</t>
    </rPh>
    <rPh sb="6" eb="7">
      <t>メイ</t>
    </rPh>
    <phoneticPr fontId="22"/>
  </si>
  <si>
    <t>入力シート名</t>
    <rPh sb="0" eb="2">
      <t>ニュウリョク</t>
    </rPh>
    <rPh sb="5" eb="6">
      <t>メイ</t>
    </rPh>
    <phoneticPr fontId="22"/>
  </si>
  <si>
    <t>出力データ</t>
    <rPh sb="0" eb="2">
      <t>シュツリョク</t>
    </rPh>
    <phoneticPr fontId="22"/>
  </si>
  <si>
    <t>units</t>
  </si>
  <si>
    <t>awake_materials</t>
  </si>
  <si>
    <t>units</t>
    <phoneticPr fontId="22"/>
  </si>
  <si>
    <t>出力flg</t>
    <rPh sb="0" eb="2">
      <t>シュツリョク</t>
    </rPh>
    <phoneticPr fontId="22"/>
  </si>
  <si>
    <t>material_bug</t>
    <phoneticPr fontId="22"/>
  </si>
  <si>
    <t>material_bug</t>
    <phoneticPr fontId="9"/>
  </si>
  <si>
    <t>.tmp</t>
    <phoneticPr fontId="22"/>
  </si>
  <si>
    <t>units_</t>
    <phoneticPr fontId="22"/>
  </si>
  <si>
    <t>awake_materials_</t>
    <phoneticPr fontId="22"/>
  </si>
  <si>
    <t>unit_levels_calc_</t>
    <phoneticPr fontId="22"/>
  </si>
  <si>
    <t>.tmp</t>
    <phoneticPr fontId="22"/>
  </si>
  <si>
    <t>serif_type</t>
  </si>
  <si>
    <t>language</t>
    <phoneticPr fontId="22"/>
  </si>
  <si>
    <t>unit_serifs_data_</t>
    <phoneticPr fontId="22"/>
  </si>
  <si>
    <t>unit_serifs_i18n_</t>
    <phoneticPr fontId="22"/>
  </si>
  <si>
    <t>unit_serifs</t>
    <phoneticPr fontId="22"/>
  </si>
  <si>
    <t>character_id</t>
    <phoneticPr fontId="22"/>
  </si>
  <si>
    <t>serif_id</t>
    <phoneticPr fontId="22"/>
  </si>
  <si>
    <t>serif_id</t>
    <phoneticPr fontId="22"/>
  </si>
  <si>
    <t>language</t>
    <phoneticPr fontId="22"/>
  </si>
  <si>
    <t>serif</t>
    <phoneticPr fontId="22"/>
  </si>
  <si>
    <t>unit_skills_data_</t>
    <phoneticPr fontId="22"/>
  </si>
  <si>
    <t>.tmp</t>
    <phoneticPr fontId="22"/>
  </si>
  <si>
    <t>unit_skills</t>
  </si>
  <si>
    <t>skill_cost</t>
  </si>
  <si>
    <t>skill_up_pattern_id</t>
  </si>
  <si>
    <t>effect_param</t>
  </si>
  <si>
    <t>unit_skills_i18n_</t>
    <phoneticPr fontId="22"/>
  </si>
  <si>
    <t>unit_skill_id</t>
    <phoneticPr fontId="22"/>
  </si>
  <si>
    <t>name</t>
    <phoneticPr fontId="22"/>
  </si>
  <si>
    <t>comment</t>
    <phoneticPr fontId="22"/>
  </si>
  <si>
    <t>crash_skills_data_</t>
    <phoneticPr fontId="22"/>
  </si>
  <si>
    <t>.tmp</t>
    <phoneticPr fontId="22"/>
  </si>
  <si>
    <t>crash_skills</t>
  </si>
  <si>
    <t>crash_skill_id</t>
    <phoneticPr fontId="22"/>
  </si>
  <si>
    <t>crash_skills_i18n_</t>
    <phoneticPr fontId="22"/>
  </si>
  <si>
    <t>.tmp</t>
    <phoneticPr fontId="22"/>
  </si>
  <si>
    <t>crash_skill_id</t>
    <phoneticPr fontId="22"/>
  </si>
  <si>
    <t>language</t>
  </si>
  <si>
    <t>name</t>
  </si>
  <si>
    <t>comment</t>
  </si>
  <si>
    <t>comment</t>
    <phoneticPr fontId="9"/>
  </si>
  <si>
    <t>文字数</t>
    <rPh sb="0" eb="3">
      <t>モj</t>
    </rPh>
    <phoneticPr fontId="22"/>
  </si>
  <si>
    <t>skill_up_pattern_id</t>
    <phoneticPr fontId="22"/>
  </si>
  <si>
    <t>effect_param</t>
    <phoneticPr fontId="9"/>
  </si>
  <si>
    <t>ダメージ</t>
    <phoneticPr fontId="9"/>
  </si>
  <si>
    <t>回復</t>
    <rPh sb="0" eb="2">
      <t>カイフク</t>
    </rPh>
    <phoneticPr fontId="9"/>
  </si>
  <si>
    <t>バフ</t>
    <phoneticPr fontId="9"/>
  </si>
  <si>
    <t>デバフ</t>
    <phoneticPr fontId="9"/>
  </si>
  <si>
    <t>パズル</t>
    <phoneticPr fontId="9"/>
  </si>
  <si>
    <t>その他</t>
    <rPh sb="2" eb="3">
      <t>タ</t>
    </rPh>
    <phoneticPr fontId="9"/>
  </si>
  <si>
    <t>等級</t>
    <rPh sb="0" eb="2">
      <t>トウキュウ</t>
    </rPh>
    <phoneticPr fontId="9"/>
  </si>
  <si>
    <t>分類</t>
    <rPh sb="0" eb="2">
      <t>ブンルイ</t>
    </rPh>
    <phoneticPr fontId="9"/>
  </si>
  <si>
    <t>valid_flg</t>
    <phoneticPr fontId="9"/>
  </si>
  <si>
    <t>effect_param</t>
    <phoneticPr fontId="9"/>
  </si>
  <si>
    <t>文字数チェック</t>
    <rPh sb="0" eb="7">
      <t>モジスウty</t>
    </rPh>
    <phoneticPr fontId="22"/>
  </si>
  <si>
    <t>comment</t>
    <phoneticPr fontId="9"/>
  </si>
  <si>
    <t>name</t>
    <phoneticPr fontId="9"/>
  </si>
  <si>
    <t>language</t>
    <phoneticPr fontId="22"/>
  </si>
  <si>
    <t>crash_skill_id</t>
    <phoneticPr fontId="9"/>
  </si>
  <si>
    <t>NULL</t>
    <phoneticPr fontId="9"/>
  </si>
  <si>
    <t>対象ユニット</t>
    <rPh sb="0" eb="6">
      <t>タイショ</t>
    </rPh>
    <phoneticPr fontId="22"/>
  </si>
  <si>
    <t>ja</t>
    <phoneticPr fontId="22"/>
  </si>
  <si>
    <t>ja</t>
    <phoneticPr fontId="22"/>
  </si>
  <si>
    <t>miku16</t>
  </si>
  <si>
    <t>miku16</t>
    <phoneticPr fontId="22"/>
  </si>
  <si>
    <t>miku16</t>
    <phoneticPr fontId="22"/>
  </si>
  <si>
    <t>old</t>
  </si>
  <si>
    <t>[effect:damage_anti_tribe, target:enemy_one, tribe:unknown, val1:3.375, val2:0.94,  animation:damage_one_green05]</t>
    <phoneticPr fontId="22"/>
  </si>
  <si>
    <t>[effect:damage_anti_tribe, target:enemy_one, tribe:unknown, val1:3.0, val2:0.94, animation:damage_one_yellow04],[effect:heal_ratio, val:0.3, animation:heal_unit, animation:heal03_unit01]</t>
    <phoneticPr fontId="22"/>
  </si>
  <si>
    <t>[effect:change_panel_ratio, turn:3, block_type:blue, val:0.05],[effect:enhance_unit, target:unit_yellow, turn:3, status:attack, val:0.21, calc:mul, animation:enhance_unit_all_attack04_unit01],,[effect:enhance_unit, target:unit_yellow, turn:3, status:heal, val:0.45, calc:mul, animation:enhance_unit_all_heal04_unit01]</t>
    <phoneticPr fontId="22"/>
  </si>
  <si>
    <t>調整メモ</t>
    <rPh sb="0" eb="2">
      <t>チョ</t>
    </rPh>
    <phoneticPr fontId="9"/>
  </si>
  <si>
    <t>V3キラーユニット。汎用性をなくし、今後のミクイベント以外では扱いづらいユニットに</t>
    <rPh sb="10" eb="13">
      <t>ハン</t>
    </rPh>
    <rPh sb="18" eb="21">
      <t>コンg</t>
    </rPh>
    <rPh sb="27" eb="31">
      <t>イガイデh</t>
    </rPh>
    <rPh sb="31" eb="36">
      <t>アt</t>
    </rPh>
    <phoneticPr fontId="22"/>
  </si>
  <si>
    <t>[effect:cure, bad_status:dis_heart, animation:cure01],[effect:heal_ratio, val:2.625, animation:heal03],[effect:change_panel_ratio, turn:3, block_type:heal, val:0.6]</t>
    <phoneticPr fontId="22"/>
  </si>
  <si>
    <t>HP大回復＋3ターンの間回復パネルの出現率大UP＋ハート無効状態を解除する</t>
    <rPh sb="2" eb="3">
      <t>ダ</t>
    </rPh>
    <phoneticPr fontId="22"/>
  </si>
  <si>
    <t>HP中回復＋3ターンの間回復パネルの出現率大UP＋ハート無効状態を解除する</t>
    <rPh sb="2" eb="3">
      <t>チュ</t>
    </rPh>
    <phoneticPr fontId="22"/>
  </si>
  <si>
    <t>[effect:cure, bad_status:dis_heart, animation:cure01],[effect:heal_ratio, val:1.35, animation:heal03],[effect:change_panel_ratio, turn:3, block_type:heal, val:0.6]</t>
    <phoneticPr fontId="22"/>
  </si>
  <si>
    <t>[effect:change_panel_ratio, turn:3, block_type:blue, val:0.05],[effect:enhance_unit, target:unit_yellow, turn:3, status:attack, val:0.175, calc:mul, animation:enhance_unit_all_attack04_unit01],,[effect:enhance_unit, target:unit_yellow, turn:3, status:heal, val:0.315, calc:mul, animation:enhance_unit_all_heal04_unit01]</t>
    <phoneticPr fontId="22"/>
  </si>
  <si>
    <t>1体に小ダメージ
Unknownに効果特大</t>
    <phoneticPr fontId="22"/>
  </si>
  <si>
    <t>1体に大ダメージ
Unknownに効果特大</t>
    <phoneticPr fontId="22"/>
  </si>
  <si>
    <t>Unknownに効果特大の
単体ダメージ+攻撃力小UP</t>
    <rPh sb="10" eb="12">
      <t>トクダ</t>
    </rPh>
    <phoneticPr fontId="22"/>
  </si>
  <si>
    <t>Unknownに効果特大の
単体ダメージ+HP大回復</t>
    <phoneticPr fontId="22"/>
  </si>
  <si>
    <t>1体に小ダメージ
Unknownに効果特大</t>
    <phoneticPr fontId="22"/>
  </si>
  <si>
    <t>アペンド・ヘキサノート</t>
    <phoneticPr fontId="22"/>
  </si>
  <si>
    <t>ファースト・ポップス</t>
    <phoneticPr fontId="22"/>
  </si>
  <si>
    <t>ファースト・ポップス</t>
    <phoneticPr fontId="22"/>
  </si>
  <si>
    <t>セカンド・エレクトロ</t>
    <phoneticPr fontId="22"/>
  </si>
  <si>
    <t>サード・ジャジー</t>
    <phoneticPr fontId="22"/>
  </si>
  <si>
    <t>サード・ジャジー</t>
    <phoneticPr fontId="22"/>
  </si>
  <si>
    <t>セカンド・ダンシング</t>
    <phoneticPr fontId="22"/>
  </si>
  <si>
    <t>セカンド・ダンシング</t>
    <phoneticPr fontId="22"/>
  </si>
  <si>
    <t>プロトボイス・ストレート</t>
    <phoneticPr fontId="22"/>
  </si>
  <si>
    <t>プロトボイス・ストレート</t>
    <phoneticPr fontId="22"/>
  </si>
  <si>
    <t>プロトボイス・クリア</t>
    <phoneticPr fontId="22"/>
  </si>
  <si>
    <t>プロトボイス・クリア</t>
    <phoneticPr fontId="22"/>
  </si>
  <si>
    <t>リプレイス＆アペンド</t>
    <phoneticPr fontId="22"/>
  </si>
  <si>
    <t>ソング・レボリューション</t>
    <phoneticPr fontId="22"/>
  </si>
  <si>
    <t>ソング・レボリューション</t>
    <phoneticPr fontId="22"/>
  </si>
  <si>
    <t>ボイスユニゾン・シャープ</t>
    <phoneticPr fontId="22"/>
  </si>
  <si>
    <t>ボイスユニゾン・ダブルシャープ</t>
    <phoneticPr fontId="22"/>
  </si>
  <si>
    <t>ボイスユニゾン・フラット</t>
    <phoneticPr fontId="22"/>
  </si>
  <si>
    <t>ボイスユニゾン・ダブルフラット</t>
    <phoneticPr fontId="22"/>
  </si>
  <si>
    <t>オーバーサウンド・バイリンガル</t>
    <phoneticPr fontId="22"/>
  </si>
  <si>
    <t>オーバーサウンド・バイリンガル</t>
    <phoneticPr fontId="22"/>
  </si>
  <si>
    <t>レッドトーン・オルタナティヴ</t>
    <phoneticPr fontId="22"/>
  </si>
  <si>
    <t>レッドトーン・オルタナティヴ</t>
    <phoneticPr fontId="22"/>
  </si>
  <si>
    <t>ブルートーン・オールマイティ</t>
    <phoneticPr fontId="22"/>
  </si>
  <si>
    <t>ブルートーン・オールマイティ</t>
    <phoneticPr fontId="22"/>
  </si>
  <si>
    <t>SCパネルを3つ生成する</t>
    <rPh sb="8" eb="12">
      <t>セイセ</t>
    </rPh>
    <phoneticPr fontId="22"/>
  </si>
  <si>
    <t>自身の回復力に比例して
単体に大ダメージ</t>
    <rPh sb="3" eb="5">
      <t>カ</t>
    </rPh>
    <rPh sb="5" eb="6">
      <t>リョk</t>
    </rPh>
    <rPh sb="7" eb="11">
      <t>ヒレ</t>
    </rPh>
    <rPh sb="12" eb="15">
      <t>タンタ</t>
    </rPh>
    <rPh sb="15" eb="20">
      <t>ダイダメーj</t>
    </rPh>
    <phoneticPr fontId="22"/>
  </si>
  <si>
    <t>ポリッシュト・ボイス</t>
    <phoneticPr fontId="22"/>
  </si>
  <si>
    <t>ポリッシュト・ボイス</t>
    <phoneticPr fontId="22"/>
  </si>
  <si>
    <t>HPを大回復</t>
    <rPh sb="3" eb="4">
      <t>ダイ</t>
    </rPh>
    <phoneticPr fontId="22"/>
  </si>
  <si>
    <t>SCパネルを3つ生成する</t>
    <rPh sb="8" eb="11">
      <t>セイセ</t>
    </rPh>
    <phoneticPr fontId="22"/>
  </si>
  <si>
    <t>[effect:special_block,val:12, count:3, animation:change_block]</t>
    <phoneticPr fontId="22"/>
  </si>
  <si>
    <t>3ターンの間HPを小回復し、回復力を特大UPする</t>
    <rPh sb="5" eb="6">
      <t>アイd</t>
    </rPh>
    <rPh sb="14" eb="17">
      <t>カイフk</t>
    </rPh>
    <rPh sb="18" eb="20">
      <t>トk</t>
    </rPh>
    <phoneticPr fontId="22"/>
  </si>
  <si>
    <t>3ターンの間HPを小回復し、回復力を特大UPする</t>
    <phoneticPr fontId="22"/>
  </si>
  <si>
    <t>V3・インプルーヴ</t>
    <phoneticPr fontId="22"/>
  </si>
  <si>
    <t>V3・インプルーヴ</t>
    <phoneticPr fontId="22"/>
  </si>
  <si>
    <t>全体に赤属性の小ダメージ</t>
    <phoneticPr fontId="22"/>
  </si>
  <si>
    <t>3ターンの間全ユニットの攻撃力を小UP</t>
    <phoneticPr fontId="22"/>
  </si>
  <si>
    <t>単体に黄属性の小ダメージ</t>
    <phoneticPr fontId="22"/>
  </si>
  <si>
    <t>3ターンの間全ユニットの攻撃力を小UP</t>
    <phoneticPr fontId="22"/>
  </si>
  <si>
    <t>単体に緑属性の小ダメージ</t>
    <phoneticPr fontId="22"/>
  </si>
  <si>
    <t>3ターンの間全ユニットの回復力を小UP</t>
    <phoneticPr fontId="22"/>
  </si>
  <si>
    <t>[effect:reduction, target:unit_all, turn:1, color:all, val:0.5, animation:reduction_one03]</t>
    <phoneticPr fontId="22"/>
  </si>
  <si>
    <t>1ターンの間全属性の敵から受けるダメージを50%軽減する</t>
    <phoneticPr fontId="22"/>
  </si>
  <si>
    <t>[effect:heal_ratio, val:0.45, animation:heal_unit, animation:heal03_unit01]</t>
  </si>
  <si>
    <t>[effect:damage, target:enemy_one, color:red, val:1.5, animation:damage_one_red02]</t>
  </si>
  <si>
    <t>[effect:damage, target:enemy_one, color:green, val:1.5, animation:damage_one_green02]</t>
  </si>
  <si>
    <t>[effect:damage, target:enemy_one, color:blue, val:1.5, animation:damage_one_blue02]</t>
  </si>
  <si>
    <t>[effect:damage, target:enemy_one, color:yellow, val:1.5, animation:damage_one_yellow02]</t>
  </si>
  <si>
    <t>[effect:damage_fix, target:enemy_one, color:green, val:1600, animation:damage_one_green02]</t>
  </si>
  <si>
    <t>[effect:damage, target:enemy_all, color:blue, val:0.75, animation:damage_all_blue02]</t>
  </si>
  <si>
    <t>[effect:damage, target:enemy_all, color:yellow, val:0.75, animation:damage_all_yellow02]</t>
  </si>
  <si>
    <t>スノウフレイム</t>
    <phoneticPr fontId="22"/>
  </si>
  <si>
    <t>インテリスノウ</t>
    <phoneticPr fontId="22"/>
  </si>
  <si>
    <t>スノウヒール</t>
    <phoneticPr fontId="22"/>
  </si>
  <si>
    <t>大雪放電</t>
    <rPh sb="0" eb="2">
      <t>オオユk</t>
    </rPh>
    <rPh sb="2" eb="4">
      <t>ホ</t>
    </rPh>
    <phoneticPr fontId="22"/>
  </si>
  <si>
    <t>スノウ・チアリング</t>
    <phoneticPr fontId="22"/>
  </si>
  <si>
    <t>スノウ・グリーン</t>
    <phoneticPr fontId="22"/>
  </si>
  <si>
    <t>スノウ・ナビゲイト</t>
    <phoneticPr fontId="22"/>
  </si>
  <si>
    <t>全方位かまくらガード</t>
    <rPh sb="0" eb="3">
      <t>ゼンホウ</t>
    </rPh>
    <phoneticPr fontId="22"/>
  </si>
  <si>
    <t>ウィンターフレイム</t>
    <phoneticPr fontId="22"/>
  </si>
  <si>
    <t>ウィンタープラント</t>
    <phoneticPr fontId="22"/>
  </si>
  <si>
    <t>ウィンターアイス</t>
    <phoneticPr fontId="22"/>
  </si>
  <si>
    <t>ウィンターライト</t>
    <phoneticPr fontId="22"/>
  </si>
  <si>
    <t>雪日の煙日</t>
    <rPh sb="0" eb="1">
      <t>ユk</t>
    </rPh>
    <rPh sb="1" eb="3">
      <t>ジツ</t>
    </rPh>
    <rPh sb="3" eb="4">
      <t>ケムr</t>
    </rPh>
    <rPh sb="4" eb="5">
      <t>ヒ</t>
    </rPh>
    <phoneticPr fontId="22"/>
  </si>
  <si>
    <t>ウィンターナイフ</t>
    <phoneticPr fontId="22"/>
  </si>
  <si>
    <t>雪日の拡凍</t>
    <rPh sb="1" eb="2">
      <t>ニt</t>
    </rPh>
    <rPh sb="3" eb="4">
      <t>ヒr</t>
    </rPh>
    <rPh sb="4" eb="5">
      <t>イ</t>
    </rPh>
    <phoneticPr fontId="22"/>
  </si>
  <si>
    <t>雪日の拡光</t>
    <rPh sb="0" eb="1">
      <t>ユk</t>
    </rPh>
    <rPh sb="1" eb="3">
      <t>ヒ</t>
    </rPh>
    <rPh sb="3" eb="4">
      <t>カク</t>
    </rPh>
    <rPh sb="4" eb="5">
      <t>ヒk</t>
    </rPh>
    <phoneticPr fontId="22"/>
  </si>
  <si>
    <t>緑雪の全攻</t>
    <rPh sb="0" eb="1">
      <t>リョクセ</t>
    </rPh>
    <rPh sb="1" eb="2">
      <t>ユk</t>
    </rPh>
    <rPh sb="3" eb="4">
      <t>ゼン</t>
    </rPh>
    <rPh sb="4" eb="5">
      <t>コウゲキ</t>
    </rPh>
    <phoneticPr fontId="22"/>
  </si>
  <si>
    <t>雪電の囲攻</t>
    <rPh sb="0" eb="1">
      <t>ユk</t>
    </rPh>
    <rPh sb="1" eb="2">
      <t>デンk</t>
    </rPh>
    <rPh sb="3" eb="4">
      <t>カk</t>
    </rPh>
    <rPh sb="4" eb="5">
      <t>コウゲk</t>
    </rPh>
    <phoneticPr fontId="22"/>
  </si>
  <si>
    <t>frame_type</t>
    <phoneticPr fontId="22"/>
  </si>
  <si>
    <t>serif</t>
    <phoneticPr fontId="22"/>
  </si>
  <si>
    <t>ja</t>
    <phoneticPr fontId="22"/>
  </si>
  <si>
    <t>maru</t>
    <phoneticPr fontId="22"/>
  </si>
  <si>
    <t>ja</t>
    <phoneticPr fontId="22"/>
  </si>
  <si>
    <t>giza</t>
    <phoneticPr fontId="22"/>
  </si>
  <si>
    <t>ja</t>
    <phoneticPr fontId="22"/>
  </si>
  <si>
    <t>maru</t>
    <phoneticPr fontId="22"/>
  </si>
  <si>
    <t>ja</t>
    <phoneticPr fontId="22"/>
  </si>
  <si>
    <t>ja</t>
    <phoneticPr fontId="22"/>
  </si>
  <si>
    <t>ja</t>
    <phoneticPr fontId="22"/>
  </si>
  <si>
    <t>ja</t>
    <phoneticPr fontId="22"/>
  </si>
  <si>
    <t>giza</t>
    <phoneticPr fontId="22"/>
  </si>
  <si>
    <t>unit_serifs_i18n</t>
    <phoneticPr fontId="22"/>
  </si>
  <si>
    <t>スノウアレグロマーチ</t>
    <phoneticPr fontId="22"/>
  </si>
  <si>
    <t>スノウアレグロマーチ</t>
    <phoneticPr fontId="22"/>
  </si>
  <si>
    <t>レッツ！スノウフェスティバル！</t>
    <phoneticPr fontId="22"/>
  </si>
  <si>
    <t>レッツ！スノウフェスティバル！</t>
    <phoneticPr fontId="22"/>
  </si>
  <si>
    <t>ラビットジャンプ</t>
    <phoneticPr fontId="22"/>
  </si>
  <si>
    <t>アップテンポ</t>
    <phoneticPr fontId="22"/>
  </si>
  <si>
    <t>アップテンポ</t>
    <phoneticPr fontId="22"/>
  </si>
  <si>
    <t>ハピネスジャンプ！</t>
    <phoneticPr fontId="22"/>
  </si>
  <si>
    <t>ハピネスジャンプ！</t>
    <phoneticPr fontId="22"/>
  </si>
  <si>
    <t>フォールミラクル</t>
    <phoneticPr fontId="22"/>
  </si>
  <si>
    <t>フォールミラクル</t>
    <phoneticPr fontId="22"/>
  </si>
  <si>
    <t>ユキネキック</t>
    <phoneticPr fontId="22"/>
  </si>
  <si>
    <t>ユキネキック</t>
    <phoneticPr fontId="22"/>
  </si>
  <si>
    <t>ユキネダイブ</t>
    <phoneticPr fontId="22"/>
  </si>
  <si>
    <t>盛り上がっていくよー！</t>
    <rPh sb="0" eb="1">
      <t>モ</t>
    </rPh>
    <rPh sb="2" eb="6">
      <t>アガt</t>
    </rPh>
    <phoneticPr fontId="22"/>
  </si>
  <si>
    <t>いっくよー！！</t>
    <phoneticPr fontId="22"/>
  </si>
  <si>
    <t>早く早くっ♪</t>
    <rPh sb="0" eb="2">
      <t>ハy</t>
    </rPh>
    <rPh sb="2" eb="4">
      <t>ハy</t>
    </rPh>
    <phoneticPr fontId="22"/>
  </si>
  <si>
    <t>次、行ってみよー♪</t>
    <rPh sb="0" eb="1">
      <t>ツg</t>
    </rPh>
    <rPh sb="2" eb="8">
      <t>イッt</t>
    </rPh>
    <phoneticPr fontId="22"/>
  </si>
  <si>
    <t>みんなで歌おっ！</t>
    <rPh sb="4" eb="6">
      <t>ウt</t>
    </rPh>
    <phoneticPr fontId="22"/>
  </si>
  <si>
    <t>kumo</t>
    <phoneticPr fontId="22"/>
  </si>
  <si>
    <t>ワタシの声…届きますか？</t>
    <rPh sb="4" eb="5">
      <t>コ</t>
    </rPh>
    <rPh sb="6" eb="11">
      <t>トドk</t>
    </rPh>
    <phoneticPr fontId="22"/>
  </si>
  <si>
    <t>いきます…！</t>
    <phoneticPr fontId="22"/>
  </si>
  <si>
    <t>力に変えます…！</t>
    <rPh sb="0" eb="2">
      <t>チカr</t>
    </rPh>
    <rPh sb="2" eb="6">
      <t>カエマs</t>
    </rPh>
    <phoneticPr fontId="22"/>
  </si>
  <si>
    <t>ワタシの歌よ…響け…！</t>
    <rPh sb="4" eb="6">
      <t>ウt</t>
    </rPh>
    <rPh sb="7" eb="9">
      <t>ヒb</t>
    </rPh>
    <phoneticPr fontId="22"/>
  </si>
  <si>
    <t>もっと鋭く…！</t>
    <rPh sb="3" eb="5">
      <t>スルd</t>
    </rPh>
    <phoneticPr fontId="22"/>
  </si>
  <si>
    <t>maru</t>
    <phoneticPr fontId="22"/>
  </si>
  <si>
    <t>わたしの歌声で！</t>
    <rPh sb="4" eb="6">
      <t>ウt</t>
    </rPh>
    <phoneticPr fontId="22"/>
  </si>
  <si>
    <t>いっきますよ！</t>
    <phoneticPr fontId="22"/>
  </si>
  <si>
    <t>ラララ〜♪</t>
    <phoneticPr fontId="22"/>
  </si>
  <si>
    <t>ライブ、スタートッ！！</t>
    <phoneticPr fontId="22"/>
  </si>
  <si>
    <t>歌うよっ！</t>
    <rPh sb="0" eb="3">
      <t>ウt</t>
    </rPh>
    <phoneticPr fontId="22"/>
  </si>
  <si>
    <t>giza</t>
    <phoneticPr fontId="22"/>
  </si>
  <si>
    <t>giza</t>
    <phoneticPr fontId="22"/>
  </si>
  <si>
    <t>いきます！</t>
    <phoneticPr fontId="22"/>
  </si>
  <si>
    <t>音域を広げます！</t>
    <rPh sb="0" eb="3">
      <t>オンイk</t>
    </rPh>
    <rPh sb="3" eb="7">
      <t>ヒロg</t>
    </rPh>
    <phoneticPr fontId="22"/>
  </si>
  <si>
    <t>私の歌に任せてください！</t>
    <rPh sb="0" eb="2">
      <t>ワタシ</t>
    </rPh>
    <rPh sb="2" eb="4">
      <t>ウt</t>
    </rPh>
    <rPh sb="4" eb="11">
      <t>マカs</t>
    </rPh>
    <phoneticPr fontId="22"/>
  </si>
  <si>
    <t>歌に力を！</t>
    <rPh sb="0" eb="2">
      <t>ウt</t>
    </rPh>
    <rPh sb="2" eb="3">
      <t>チカr</t>
    </rPh>
    <phoneticPr fontId="22"/>
  </si>
  <si>
    <t>giza</t>
    <phoneticPr fontId="22"/>
  </si>
  <si>
    <t>maru</t>
    <phoneticPr fontId="22"/>
  </si>
  <si>
    <t>kumo</t>
    <phoneticPr fontId="22"/>
  </si>
  <si>
    <t>kumo</t>
    <phoneticPr fontId="22"/>
  </si>
  <si>
    <t>アタシの歌でぇえ！！</t>
    <rPh sb="4" eb="5">
      <t>ウt</t>
    </rPh>
    <phoneticPr fontId="22"/>
  </si>
  <si>
    <t>いっくぞぉぉおおお！</t>
    <phoneticPr fontId="22"/>
  </si>
  <si>
    <t>ペースアップするよ！</t>
    <phoneticPr fontId="22"/>
  </si>
  <si>
    <t>アタシの出番だぁあ！！</t>
    <rPh sb="4" eb="6">
      <t>デバン</t>
    </rPh>
    <phoneticPr fontId="22"/>
  </si>
  <si>
    <t>アタシに任せなさーい！</t>
    <rPh sb="0" eb="10">
      <t>アタs</t>
    </rPh>
    <phoneticPr fontId="22"/>
  </si>
  <si>
    <t>ボクの歌なら！</t>
    <rPh sb="3" eb="4">
      <t>ウt</t>
    </rPh>
    <phoneticPr fontId="22"/>
  </si>
  <si>
    <t>いくよ！</t>
    <phoneticPr fontId="22"/>
  </si>
  <si>
    <t>テンポアップするよ！</t>
    <phoneticPr fontId="22"/>
  </si>
  <si>
    <t>ボクの出番だね！</t>
    <rPh sb="3" eb="5">
      <t>デバン</t>
    </rPh>
    <phoneticPr fontId="22"/>
  </si>
  <si>
    <t>ついてこれる？</t>
    <phoneticPr fontId="22"/>
  </si>
  <si>
    <t>私の歌声なら！</t>
    <rPh sb="0" eb="1">
      <t>ワタs</t>
    </rPh>
    <rPh sb="2" eb="3">
      <t>ウt</t>
    </rPh>
    <rPh sb="3" eb="4">
      <t>ウr</t>
    </rPh>
    <phoneticPr fontId="22"/>
  </si>
  <si>
    <t>私の歌よ届けー</t>
    <rPh sb="0" eb="1">
      <t>ワタs</t>
    </rPh>
    <rPh sb="2" eb="4">
      <t>ウt</t>
    </rPh>
    <rPh sb="4" eb="6">
      <t>トドk</t>
    </rPh>
    <phoneticPr fontId="22"/>
  </si>
  <si>
    <t>いきますよ</t>
    <phoneticPr fontId="22"/>
  </si>
  <si>
    <t>響いて！</t>
    <rPh sb="0" eb="3">
      <t>ヒb</t>
    </rPh>
    <phoneticPr fontId="22"/>
  </si>
  <si>
    <t>Sing a song ♪</t>
    <phoneticPr fontId="22"/>
  </si>
  <si>
    <t>テンポよく行くわよ！</t>
    <rPh sb="5" eb="9">
      <t>イk</t>
    </rPh>
    <phoneticPr fontId="22"/>
  </si>
  <si>
    <t>ふふっ行くわよ</t>
    <rPh sb="3" eb="7">
      <t>イk</t>
    </rPh>
    <phoneticPr fontId="22"/>
  </si>
  <si>
    <t>ワタシが決めるわ！</t>
    <rPh sb="4" eb="8">
      <t>キm</t>
    </rPh>
    <phoneticPr fontId="22"/>
  </si>
  <si>
    <t>アンコールありがとー！！</t>
    <phoneticPr fontId="22"/>
  </si>
  <si>
    <t>楽しくなってきたぁ！</t>
    <rPh sb="0" eb="9">
      <t>タン</t>
    </rPh>
    <phoneticPr fontId="22"/>
  </si>
  <si>
    <t>え、いかなきゃダメ？</t>
    <phoneticPr fontId="22"/>
  </si>
  <si>
    <t>明日から本気出す！</t>
    <rPh sb="0" eb="4">
      <t>アs</t>
    </rPh>
    <rPh sb="4" eb="6">
      <t>ホンk</t>
    </rPh>
    <rPh sb="6" eb="8">
      <t>ダs</t>
    </rPh>
    <phoneticPr fontId="22"/>
  </si>
  <si>
    <t>うーん、どうしようかな</t>
    <phoneticPr fontId="22"/>
  </si>
  <si>
    <t>オーディエンスに応えよう</t>
    <rPh sb="8" eb="12">
      <t>コタ</t>
    </rPh>
    <phoneticPr fontId="22"/>
  </si>
  <si>
    <t>盛り上がってきたね！</t>
    <rPh sb="0" eb="1">
      <t>モ</t>
    </rPh>
    <rPh sb="2" eb="9">
      <t>アガッt</t>
    </rPh>
    <phoneticPr fontId="22"/>
  </si>
  <si>
    <t>ゆきますよ！</t>
    <phoneticPr fontId="22"/>
  </si>
  <si>
    <t>イエ〜イ♪</t>
    <phoneticPr fontId="22"/>
  </si>
  <si>
    <t>一緒に楽しもう♪</t>
    <rPh sb="0" eb="3">
      <t>イッsy</t>
    </rPh>
    <rPh sb="3" eb="7">
      <t>タノs</t>
    </rPh>
    <phoneticPr fontId="22"/>
  </si>
  <si>
    <t>あたしの歌で！</t>
    <rPh sb="4" eb="6">
      <t>ウt</t>
    </rPh>
    <phoneticPr fontId="22"/>
  </si>
  <si>
    <t>いっきますよー！！</t>
    <phoneticPr fontId="22"/>
  </si>
  <si>
    <t>魔法、使っちゃいます！</t>
    <rPh sb="0" eb="2">
      <t>マホ</t>
    </rPh>
    <rPh sb="3" eb="10">
      <t>ツカッty</t>
    </rPh>
    <phoneticPr fontId="22"/>
  </si>
  <si>
    <t>雪ミク2016もよろしくね！</t>
    <rPh sb="0" eb="1">
      <t>ユk</t>
    </rPh>
    <phoneticPr fontId="22"/>
  </si>
  <si>
    <t>真っ白に染めちゃいます！</t>
    <rPh sb="0" eb="1">
      <t>マ</t>
    </rPh>
    <rPh sb="2" eb="4">
      <t>シr</t>
    </rPh>
    <rPh sb="4" eb="11">
      <t>ソm</t>
    </rPh>
    <phoneticPr fontId="22"/>
  </si>
  <si>
    <t>覚悟ウサ！</t>
    <rPh sb="0" eb="2">
      <t>カクg</t>
    </rPh>
    <phoneticPr fontId="22"/>
  </si>
  <si>
    <t>キックだウサ！</t>
    <phoneticPr fontId="22"/>
  </si>
  <si>
    <t>一緒に飛び出すウサ！</t>
    <rPh sb="0" eb="3">
      <t>イッsy</t>
    </rPh>
    <rPh sb="3" eb="7">
      <t>トb</t>
    </rPh>
    <phoneticPr fontId="22"/>
  </si>
  <si>
    <t>ジャンプだウサ！</t>
    <phoneticPr fontId="22"/>
  </si>
  <si>
    <t>華麗に決めるウサ！</t>
    <rPh sb="0" eb="6">
      <t>カr</t>
    </rPh>
    <phoneticPr fontId="22"/>
  </si>
  <si>
    <t>飛び込むウサ！</t>
    <rPh sb="0" eb="1">
      <t>ト</t>
    </rPh>
    <rPh sb="2" eb="3">
      <t>コ</t>
    </rPh>
    <phoneticPr fontId="22"/>
  </si>
  <si>
    <t>character_id</t>
    <phoneticPr fontId="22"/>
  </si>
  <si>
    <t>name</t>
    <phoneticPr fontId="22"/>
  </si>
  <si>
    <t>serif_type</t>
    <phoneticPr fontId="22"/>
  </si>
  <si>
    <t>serif_id</t>
    <phoneticPr fontId="22"/>
  </si>
  <si>
    <t>language</t>
    <phoneticPr fontId="22"/>
  </si>
  <si>
    <t>frame_type</t>
  </si>
  <si>
    <t>serif</t>
    <phoneticPr fontId="22"/>
  </si>
  <si>
    <t>ja</t>
    <phoneticPr fontId="22"/>
  </si>
  <si>
    <t>cskill</t>
    <phoneticPr fontId="22"/>
  </si>
  <si>
    <t>skill</t>
    <phoneticPr fontId="22"/>
  </si>
  <si>
    <t>skill</t>
    <phoneticPr fontId="22"/>
  </si>
  <si>
    <t>cskill</t>
    <phoneticPr fontId="22"/>
  </si>
  <si>
    <t>frame_type</t>
    <phoneticPr fontId="22"/>
  </si>
  <si>
    <t>ハッピー♪</t>
    <phoneticPr fontId="22"/>
  </si>
  <si>
    <t>Happy♪</t>
    <phoneticPr fontId="22"/>
  </si>
  <si>
    <t>ハッピー＊</t>
    <phoneticPr fontId="22"/>
  </si>
  <si>
    <t>みんなで集まればあったかいよ！</t>
    <rPh sb="4" eb="8">
      <t>アツマr</t>
    </rPh>
    <phoneticPr fontId="22"/>
  </si>
  <si>
    <t>バチッっとするよ！</t>
    <phoneticPr fontId="22"/>
  </si>
  <si>
    <t>静電気に気をつけて！</t>
    <rPh sb="0" eb="3">
      <t>セイデンk</t>
    </rPh>
    <rPh sb="4" eb="9">
      <t>キw</t>
    </rPh>
    <phoneticPr fontId="22"/>
  </si>
  <si>
    <t>kumo</t>
    <phoneticPr fontId="22"/>
  </si>
  <si>
    <t>giza</t>
  </si>
  <si>
    <t>giza</t>
    <phoneticPr fontId="22"/>
  </si>
  <si>
    <t>skill</t>
    <phoneticPr fontId="22"/>
  </si>
  <si>
    <t>skill</t>
    <phoneticPr fontId="22"/>
  </si>
  <si>
    <t>cskill</t>
    <phoneticPr fontId="22"/>
  </si>
  <si>
    <t>1体に小ダメージ</t>
    <rPh sb="1" eb="2">
      <t>タ</t>
    </rPh>
    <rPh sb="3" eb="4">
      <t>ショ</t>
    </rPh>
    <phoneticPr fontId="22"/>
  </si>
  <si>
    <t>全体に威力800の攻撃</t>
    <rPh sb="0" eb="2">
      <t>ゼンタ</t>
    </rPh>
    <rPh sb="3" eb="5">
      <t>イリョk</t>
    </rPh>
    <rPh sb="9" eb="11">
      <t>コウゲk</t>
    </rPh>
    <phoneticPr fontId="22"/>
  </si>
  <si>
    <t>1体に威力1600の攻撃</t>
    <rPh sb="1" eb="2">
      <t>タイ</t>
    </rPh>
    <rPh sb="3" eb="5">
      <t>イリョk</t>
    </rPh>
    <rPh sb="10" eb="12">
      <t>コウゲk</t>
    </rPh>
    <phoneticPr fontId="22"/>
  </si>
  <si>
    <t>全体に小ダメージ</t>
    <rPh sb="0" eb="2">
      <t>ゼンタ</t>
    </rPh>
    <rPh sb="3" eb="4">
      <t>ショ</t>
    </rPh>
    <phoneticPr fontId="22"/>
  </si>
  <si>
    <t>全体に小ダメージ</t>
    <rPh sb="0" eb="3">
      <t>ゼンタ</t>
    </rPh>
    <rPh sb="3" eb="4">
      <t>ショ</t>
    </rPh>
    <phoneticPr fontId="22"/>
  </si>
  <si>
    <t>[effect:heal_ratio, val:1.8, animation:heal03]</t>
    <phoneticPr fontId="22"/>
  </si>
  <si>
    <t>[effect:damage_fix, target:enemy_all, color:green, val:400, animation:damage_all_green01]</t>
    <phoneticPr fontId="22"/>
  </si>
  <si>
    <t>全体に威力400の攻撃</t>
    <rPh sb="0" eb="2">
      <t>ゼン</t>
    </rPh>
    <rPh sb="3" eb="5">
      <t>イリョk</t>
    </rPh>
    <rPh sb="9" eb="11">
      <t>コウゲk</t>
    </rPh>
    <phoneticPr fontId="22"/>
  </si>
  <si>
    <t>[effect:damage_fix, target:enemy_all, color:yellow, val:800, animation:damage_all_yellow01]</t>
    <phoneticPr fontId="22"/>
  </si>
  <si>
    <t>HPを中回復</t>
    <rPh sb="3" eb="4">
      <t>チュウ</t>
    </rPh>
    <rPh sb="4" eb="6">
      <t>カ</t>
    </rPh>
    <phoneticPr fontId="22"/>
  </si>
  <si>
    <t>cskill</t>
    <phoneticPr fontId="22"/>
  </si>
  <si>
    <t>3ターン緑属性の攻撃力と防御力を超大UP＋1ターン緑パネルの出現率大UP</t>
    <rPh sb="16" eb="17">
      <t>チョ</t>
    </rPh>
    <phoneticPr fontId="22"/>
  </si>
  <si>
    <t>[effect:special_block,val:12, count:3, animation:change_block]</t>
    <phoneticPr fontId="22"/>
  </si>
  <si>
    <t>[effect:special_block,val:8, count:3, animation:change_block]</t>
    <phoneticPr fontId="22"/>
  </si>
  <si>
    <t>[effect:damage, target:enemy_one, color:red, val:8.16, animation:damage_one_red04]</t>
    <phoneticPr fontId="22"/>
  </si>
  <si>
    <t>[effect:damage, target:enemy_one, color:red, val:8.16, animation:damage_one_red04]</t>
    <phoneticPr fontId="22"/>
  </si>
  <si>
    <t>SCパネルを1つ生成(威力大)+1ターン緑の攻撃力UP(時限式・お邪魔を吸収し効果UP)</t>
    <rPh sb="20" eb="21">
      <t>ミドr</t>
    </rPh>
    <rPh sb="22" eb="24">
      <t>コウゲk</t>
    </rPh>
    <rPh sb="24" eb="25">
      <t>リョク</t>
    </rPh>
    <rPh sb="28" eb="31">
      <t>ジゲンシk</t>
    </rPh>
    <rPh sb="39" eb="41">
      <t>コウk</t>
    </rPh>
    <phoneticPr fontId="22"/>
  </si>
  <si>
    <t>[effect:damage, target:enemy_one, color:blue, val:5.95, animation:damage_one_blue04]</t>
    <phoneticPr fontId="22"/>
  </si>
  <si>
    <t>3ターンの間青属性のユニットのパネルタップ回数を増やす＋緑パネルを青パネルに変換する</t>
    <rPh sb="6" eb="7">
      <t>ア</t>
    </rPh>
    <rPh sb="28" eb="29">
      <t>ミドr</t>
    </rPh>
    <rPh sb="33" eb="34">
      <t>ア</t>
    </rPh>
    <rPh sb="38" eb="40">
      <t>ヘンカン</t>
    </rPh>
    <phoneticPr fontId="22"/>
  </si>
  <si>
    <t>3ターンの間赤属性のユニットの攻撃力と防御力と回復力を特大UP</t>
    <rPh sb="6" eb="7">
      <t>アk</t>
    </rPh>
    <rPh sb="23" eb="26">
      <t>カイフクリョク</t>
    </rPh>
    <rPh sb="27" eb="29">
      <t>トクダイ</t>
    </rPh>
    <phoneticPr fontId="22"/>
  </si>
  <si>
    <t>[effect:enhance_unit, target:unit_red, turn:3, status:attack, val:0.21, calc:mul, animation:enhance_unit_all_attack04_unit01],[effect:enhance_unit, target:unit_red, turn:3, status:defense, val:1080, calc:add, animation:enhance_unit_all_defense04_unit01],[effect:enhance_unit, target:unit_red, turn:3, status:heal, val:0.45, calc:mul, animation:enhance_unit_all_heal04_unit01]</t>
    <phoneticPr fontId="22"/>
  </si>
  <si>
    <t>3ターン全ユニットの回復力特大UP+赤パネルをハートパネルに変換</t>
    <rPh sb="4" eb="10">
      <t>ゼン</t>
    </rPh>
    <rPh sb="10" eb="13">
      <t>カ</t>
    </rPh>
    <rPh sb="13" eb="15">
      <t>トクダ</t>
    </rPh>
    <rPh sb="18" eb="19">
      <t>アk</t>
    </rPh>
    <rPh sb="30" eb="32">
      <t>ヘン</t>
    </rPh>
    <phoneticPr fontId="22"/>
  </si>
  <si>
    <t>単体に青属性の大ダメージ</t>
    <rPh sb="3" eb="4">
      <t>ア</t>
    </rPh>
    <rPh sb="7" eb="8">
      <t>トクダ</t>
    </rPh>
    <phoneticPr fontId="22"/>
  </si>
  <si>
    <t>単体に赤属性の特大ダメージ</t>
    <rPh sb="3" eb="4">
      <t>アk</t>
    </rPh>
    <rPh sb="7" eb="8">
      <t>トクダ</t>
    </rPh>
    <rPh sb="8" eb="9">
      <t>トクダ</t>
    </rPh>
    <phoneticPr fontId="22"/>
  </si>
  <si>
    <t>単体に赤属性の特大ダメージ</t>
    <rPh sb="3" eb="4">
      <t>アk</t>
    </rPh>
    <rPh sb="7" eb="8">
      <t>トク</t>
    </rPh>
    <rPh sb="8" eb="9">
      <t>トクダ</t>
    </rPh>
    <phoneticPr fontId="22"/>
  </si>
  <si>
    <t>[effect:damage, target:enemy_one, color:blue, val:5.95, animation:damage_one_blue04]</t>
    <phoneticPr fontId="22"/>
  </si>
  <si>
    <t>[effect:enhance_unit, target:unit_all, turn:3, status:heal, val:0.6, calc:mul, animation:enhance_unit_all_heal02_unit01],[effect:regenerate, turn:3, val:0.405, animation:heal_unit]</t>
    <phoneticPr fontId="22"/>
  </si>
  <si>
    <t>[effect:change_panel_ratio, turn:1, block_type:green, val:0.8,animation:block_incidence04],[effect:enhance_unit, target:unit_green, turn:3, status:attack, val:0.28, calc:mul, animation:enhance_unit_all_attack04_unit01],[effect:enhance_unit, target:unit_green, turn:3, status:defense, val:1440, calc:add, animation:enhance_unit_all_defense04_unit01]</t>
    <phoneticPr fontId="22"/>
  </si>
  <si>
    <t>3ターン黄属性の攻撃力と回復力を大UP＋3ターン青パネルの出現率DOWN</t>
    <phoneticPr fontId="22"/>
  </si>
  <si>
    <t>3ターン黄属性の攻撃力と回復力を特大UP＋3ターン青パネルの出現率DOWN</t>
    <phoneticPr fontId="22"/>
  </si>
  <si>
    <t>ランダムでCパネル（大）を3つ生成する</t>
    <rPh sb="15" eb="17">
      <t>セイセ</t>
    </rPh>
    <phoneticPr fontId="22"/>
  </si>
  <si>
    <t>全体に中ダメージ
Unknownに効果超大</t>
    <rPh sb="19" eb="20">
      <t>チョウ</t>
    </rPh>
    <phoneticPr fontId="9"/>
  </si>
  <si>
    <t>1体に特大ダメージ</t>
    <rPh sb="1" eb="2">
      <t>タンタ</t>
    </rPh>
    <rPh sb="3" eb="5">
      <t>トk</t>
    </rPh>
    <rPh sb="5" eb="9">
      <t>トクダ</t>
    </rPh>
    <phoneticPr fontId="22"/>
  </si>
  <si>
    <t>1体に大ダメージ</t>
    <rPh sb="1" eb="2">
      <t>タンタ</t>
    </rPh>
    <rPh sb="3" eb="4">
      <t>ダ</t>
    </rPh>
    <phoneticPr fontId="22"/>
  </si>
  <si>
    <t>全体に大ダメージ</t>
    <rPh sb="0" eb="2">
      <t>ゼン</t>
    </rPh>
    <rPh sb="3" eb="4">
      <t>ダ</t>
    </rPh>
    <phoneticPr fontId="22"/>
  </si>
  <si>
    <t>1体に中ダメージ</t>
    <phoneticPr fontId="22"/>
  </si>
  <si>
    <t xml:space="preserve">[effect:damage_heal, target:enemy_one, color:yellow, val:2.0, animation:damage_one_yellow04]    </t>
    <phoneticPr fontId="22"/>
  </si>
  <si>
    <t>[effect:damage, target:enemy_one, color:red, val:2.0, animation:damage_one_red04]</t>
    <phoneticPr fontId="22"/>
  </si>
  <si>
    <t>[effect:damage_anti_tribe, target:enemy_all, tribe:unknown, val1:2.0, val2:0.66, animation:damage_all_red04]</t>
    <phoneticPr fontId="22"/>
  </si>
  <si>
    <t>[effect:damage_anti_tribe, target:enemy_all, tribe:unknown, val1:2.0, val2:0.66, animation:damage_all_red04]</t>
    <phoneticPr fontId="22"/>
  </si>
  <si>
    <t>[effect:damage, target:enemy_one, color:blue, val:2.25, animation:damage_one_blue04]</t>
  </si>
  <si>
    <t>[effect:damage, target:enemy_one, color:blue, val:2.25, animation:damage_one_blue04]</t>
    <phoneticPr fontId="22"/>
  </si>
  <si>
    <t>[effect:damage, target:enemy_all, color:blue, val:1.0, animation:damage_all_blue04]</t>
    <phoneticPr fontId="22"/>
  </si>
  <si>
    <t>[effect:damage, target:enemy_one, color:blue, val:0.75, animation:damage_one_blue01],[effect:heal_ratio, val:0.18, animation:heal_unit, animation:heal02_unit01]</t>
    <phoneticPr fontId="22"/>
  </si>
  <si>
    <t>[effect:damage, target:enemy_one, color:blue, val:1.75, animation:damage_one_blue03]</t>
  </si>
  <si>
    <t>[effect:damage, target:enemy_one, color:blue, val:1.75, animation:damage_one_blue03]</t>
    <phoneticPr fontId="22"/>
  </si>
  <si>
    <t>[effect:damage, target:enemy_one, color:blue, val:2.0, animation:damage_one_blue04]</t>
    <phoneticPr fontId="22"/>
  </si>
  <si>
    <t>[effect:damage_fix, target:enemy_all, color:red, val:800, animation:damage_all_red02]</t>
    <phoneticPr fontId="22"/>
  </si>
  <si>
    <t>R3</t>
    <phoneticPr fontId="22"/>
  </si>
  <si>
    <t>R4</t>
    <phoneticPr fontId="22"/>
  </si>
  <si>
    <t>R5</t>
    <phoneticPr fontId="22"/>
  </si>
  <si>
    <t>ユニット名</t>
    <rPh sb="4" eb="5">
      <t>メ</t>
    </rPh>
    <phoneticPr fontId="22"/>
  </si>
  <si>
    <t>スキル</t>
    <phoneticPr fontId="22"/>
  </si>
  <si>
    <t>Cスキル</t>
    <phoneticPr fontId="22"/>
  </si>
  <si>
    <t>覚醒素材</t>
    <rPh sb="0" eb="2">
      <t>カクセ</t>
    </rPh>
    <rPh sb="2" eb="4">
      <t>ソザ</t>
    </rPh>
    <phoneticPr fontId="22"/>
  </si>
  <si>
    <t>ハッピー＊3000！</t>
    <phoneticPr fontId="22"/>
  </si>
  <si>
    <t>スノウ＊マジック</t>
    <phoneticPr fontId="22"/>
  </si>
  <si>
    <t>セカンド・エレクトロ</t>
    <phoneticPr fontId="22"/>
  </si>
  <si>
    <t>[effect:enhance_unit, target:unit_blue, turn:3, status:action, val:1.0, calc:mul, animation:enhance_unit_one_action01],[effect:change_block, new_block:block_blue, target:block_green, count:0, val:0, animation:change_block]</t>
    <phoneticPr fontId="22"/>
  </si>
  <si>
    <t>HPを大回復</t>
    <rPh sb="3" eb="4">
      <t>ダ</t>
    </rPh>
    <phoneticPr fontId="22"/>
  </si>
  <si>
    <t>HPを150回復する</t>
    <phoneticPr fontId="22"/>
  </si>
  <si>
    <t>[effect:heal_fix, val:150, animation:heal01]</t>
    <phoneticPr fontId="22"/>
  </si>
  <si>
    <t>[effect:damage, target:enemy_all, color:red, val:1.02, animation:damage_all_red01]</t>
    <phoneticPr fontId="22"/>
  </si>
  <si>
    <t>[effect:enhance_unit, target:unit_all, turn:3, status:attack, val:0.1, calc:mul, animation:enhance_unit_all_attack01]</t>
    <phoneticPr fontId="22"/>
  </si>
  <si>
    <t>[effect:damage, target:enemy_one, color:yellow, val:2.04, animation:damage_one_yellow01]</t>
    <phoneticPr fontId="22"/>
  </si>
  <si>
    <t>[effect:enhance_unit, target:unit_all, turn:3, status:attack, val:0.1, calc:mul, animation:enhance_unit_all_attack01]</t>
    <phoneticPr fontId="22"/>
  </si>
  <si>
    <t>[effect:damage, target:enemy_one, color:green, val:2.04, animation:damage_one_green01]</t>
    <phoneticPr fontId="22"/>
  </si>
  <si>
    <t>[effect:enhance_unit, target:unit_all, turn:3, status:heal, val:0.125, calc:mul, animation:enhance_unit_all_heal01]</t>
    <phoneticPr fontId="22"/>
  </si>
  <si>
    <t>[effect:damage, target:enemy_one, color:yellow, val:2.04, animation:damage_one_yellow01]</t>
    <phoneticPr fontId="22"/>
  </si>
  <si>
    <t>Are you ready?</t>
    <phoneticPr fontId="22"/>
  </si>
  <si>
    <t>[effect:damage_anti_tribe, target:enemy_one, tribe:unknown, val1:3.0, val2:0.94, animation:damage_one_green04],[effect:enhance_unit, target:unit_all, turn:1, status:attack, val:0.015, calc:mul,animation:enhance_unit_all_attack01_unit01]</t>
    <phoneticPr fontId="22"/>
  </si>
  <si>
    <t>[effect:change_block, new_block:block_heart, target:block_red, count:0, val:0, animation:change_block],[effect:enhance_unit, target:unit_all, turn:3, status:heal, val:0.6, calc:mul, animation:enhance_unit_all_heal04]</t>
    <phoneticPr fontId="22"/>
  </si>
  <si>
    <t>1体に小ダメージ+
HPを中回復</t>
    <rPh sb="1" eb="2">
      <t>タイ</t>
    </rPh>
    <rPh sb="3" eb="8">
      <t>ショ</t>
    </rPh>
    <phoneticPr fontId="22"/>
  </si>
  <si>
    <t>SNOW MIKU 2016開催中！</t>
    <phoneticPr fontId="22"/>
  </si>
  <si>
    <t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t>
    <phoneticPr fontId="22"/>
  </si>
  <si>
    <t>[effect:damage_anti_tribe, target:enemy_one, tribe:unknown, val1:3.375, val2:1.31,  animation:damage_one_yellow04]</t>
    <phoneticPr fontId="22"/>
  </si>
  <si>
    <t>sell_ghosts</t>
    <phoneticPr fontId="22"/>
  </si>
  <si>
    <t>label</t>
    <phoneticPr fontId="22"/>
  </si>
  <si>
    <t>sell_ghosts</t>
    <phoneticPr fontId="22"/>
  </si>
  <si>
    <t>Drop1T</t>
    <phoneticPr fontId="22"/>
  </si>
  <si>
    <t>Drop1W</t>
    <phoneticPr fontId="22"/>
  </si>
  <si>
    <t>Drop1N</t>
    <phoneticPr fontId="22"/>
  </si>
  <si>
    <t>Drop1S</t>
    <phoneticPr fontId="22"/>
  </si>
  <si>
    <t>Drop2N</t>
    <phoneticPr fontId="22"/>
  </si>
  <si>
    <t>Drop2W</t>
    <phoneticPr fontId="22"/>
  </si>
  <si>
    <t>DropWizW</t>
    <phoneticPr fontId="22"/>
  </si>
  <si>
    <t>DropWizN</t>
    <phoneticPr fontId="22"/>
  </si>
  <si>
    <t>DropWizS</t>
    <phoneticPr fontId="22"/>
  </si>
  <si>
    <t>DropWizSS</t>
    <phoneticPr fontId="22"/>
  </si>
  <si>
    <t>DropWizSSS</t>
    <phoneticPr fontId="22"/>
  </si>
  <si>
    <t>Material</t>
    <phoneticPr fontId="22"/>
  </si>
  <si>
    <t>PremiumW</t>
    <phoneticPr fontId="22"/>
  </si>
  <si>
    <t>PremiumN</t>
    <phoneticPr fontId="22"/>
  </si>
  <si>
    <t>PremiumS</t>
    <phoneticPr fontId="22"/>
  </si>
  <si>
    <t>PremiumSS</t>
    <phoneticPr fontId="22"/>
  </si>
  <si>
    <t>PremiumSSw</t>
    <phoneticPr fontId="22"/>
  </si>
  <si>
    <t>PremiumSSS</t>
    <phoneticPr fontId="22"/>
  </si>
  <si>
    <t>sell_ghosts</t>
    <phoneticPr fontId="10"/>
  </si>
  <si>
    <t>ラベル/レアリティ</t>
    <phoneticPr fontId="9"/>
  </si>
  <si>
    <t>DropWizSSS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</si>
  <si>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</si>
  <si>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</si>
  <si>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</si>
  <si>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</si>
  <si>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</si>
  <si>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</si>
  <si>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</si>
  <si>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-</t>
    <phoneticPr fontId="9"/>
  </si>
  <si>
    <t>PremiumSSS</t>
    <phoneticPr fontId="9"/>
  </si>
  <si>
    <t>PremiumSSw</t>
    <phoneticPr fontId="9"/>
  </si>
  <si>
    <t>-</t>
    <phoneticPr fontId="9"/>
  </si>
  <si>
    <t>PremiumSS</t>
    <phoneticPr fontId="9"/>
  </si>
  <si>
    <t>-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</si>
  <si>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</si>
  <si>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</si>
  <si>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</si>
  <si>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</si>
  <si>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</si>
  <si>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</si>
  <si>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</si>
  <si>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</si>
  <si>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</si>
  <si>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</si>
  <si>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DropWizSS</t>
    <phoneticPr fontId="9"/>
  </si>
  <si>
    <t>-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</si>
  <si>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</si>
  <si>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</si>
  <si>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</si>
  <si>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</si>
  <si>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</si>
  <si>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</si>
  <si>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</si>
  <si>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</si>
  <si>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</si>
  <si>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</si>
  <si>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</si>
  <si>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</si>
  <si>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</si>
  <si>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</si>
  <si>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</si>
  <si>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</si>
  <si>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-</t>
    <phoneticPr fontId="9"/>
  </si>
  <si>
    <t>required_exp_300</t>
    <phoneticPr fontId="9"/>
  </si>
  <si>
    <t>DropWizSS</t>
    <phoneticPr fontId="9"/>
  </si>
  <si>
    <t>required_exp_250</t>
    <phoneticPr fontId="9"/>
  </si>
  <si>
    <t>DropWizS</t>
    <phoneticPr fontId="9"/>
  </si>
  <si>
    <t>required_exp_250</t>
    <phoneticPr fontId="9"/>
  </si>
  <si>
    <t>DropWizN</t>
    <phoneticPr fontId="9"/>
  </si>
  <si>
    <t>DropWizW</t>
    <phoneticPr fontId="9"/>
  </si>
  <si>
    <t>-</t>
    <phoneticPr fontId="9"/>
  </si>
  <si>
    <t>PremiumL</t>
    <phoneticPr fontId="9"/>
  </si>
  <si>
    <t>PremiumSSS</t>
    <phoneticPr fontId="9"/>
  </si>
  <si>
    <t>-</t>
    <phoneticPr fontId="9"/>
  </si>
  <si>
    <t>required_exp_300</t>
    <phoneticPr fontId="9"/>
  </si>
  <si>
    <t>PremiumSSw</t>
    <phoneticPr fontId="9"/>
  </si>
  <si>
    <t>required_exp_200</t>
    <phoneticPr fontId="9"/>
  </si>
  <si>
    <t>PremiumSS</t>
    <phoneticPr fontId="9"/>
  </si>
  <si>
    <t>required_exp_200</t>
    <phoneticPr fontId="9"/>
  </si>
  <si>
    <t>PremiumN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</si>
  <si>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</si>
  <si>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</si>
  <si>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</si>
  <si>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</si>
  <si>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</si>
  <si>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</si>
  <si>
    <t>DropWizSSS</t>
    <phoneticPr fontId="9"/>
  </si>
  <si>
    <t>DropWizSS</t>
    <phoneticPr fontId="9"/>
  </si>
  <si>
    <t>DropWizS</t>
    <phoneticPr fontId="9"/>
  </si>
  <si>
    <t>DropWizN</t>
    <phoneticPr fontId="9"/>
  </si>
  <si>
    <t>DropWizW</t>
    <phoneticPr fontId="9"/>
  </si>
  <si>
    <t>PremiumL</t>
    <phoneticPr fontId="9"/>
  </si>
  <si>
    <t>PremiumSSS</t>
    <phoneticPr fontId="9"/>
  </si>
  <si>
    <t>PremiumSSw</t>
    <phoneticPr fontId="9"/>
  </si>
  <si>
    <t>PremiumSS</t>
    <phoneticPr fontId="9"/>
  </si>
  <si>
    <t>PremiumN</t>
    <phoneticPr fontId="9"/>
  </si>
  <si>
    <t>PremiumW</t>
    <phoneticPr fontId="9"/>
  </si>
  <si>
    <t>Drop2S</t>
    <phoneticPr fontId="9"/>
  </si>
  <si>
    <t>Drop2N</t>
    <phoneticPr fontId="9"/>
  </si>
  <si>
    <t>Drop2W</t>
    <phoneticPr fontId="9"/>
  </si>
  <si>
    <t>Drop1S</t>
    <phoneticPr fontId="9"/>
  </si>
  <si>
    <t>Drop1T</t>
    <phoneticPr fontId="9"/>
  </si>
  <si>
    <t>Material</t>
    <phoneticPr fontId="9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</si>
</sst>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2"/>
      <color theme="1"/>
      <name val="ＭＳ Ｐゴシック"/>
      <family val="2"/>
      <charset val="128"/>
      <scheme val="minor"/>
    </font>
    <font>
      <sz val="12"/>
      <color indexed="8"/>
      <name val="Times New Roman"/>
      <family val="1"/>
    </font>
    <font>
      <sz val="12"/>
      <color indexed="8"/>
      <name val="ＭＳ Ｐゴシック"/>
      <family val="3"/>
      <charset val="128"/>
    </font>
    <font>
      <sz val="11"/>
      <color indexed="8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15"/>
      <name val="ＭＳ Ｐゴシック"/>
      <family val="3"/>
      <charset val="128"/>
    </font>
    <font>
      <sz val="10"/>
      <color indexed="8"/>
      <name val="Arial"/>
      <family val="2"/>
    </font>
    <font>
      <sz val="10"/>
      <color indexed="8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6"/>
      <name val="ＭＳ Ｐゴシック"/>
      <family val="3"/>
      <charset val="128"/>
    </font>
    <font>
      <sz val="10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  <scheme val="minor"/>
    </font>
    <font>
      <sz val="10"/>
      <color rgb="FF000000"/>
      <name val="ＭＳ Ｐゴシック"/>
      <family val="3"/>
      <charset val="128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ajor"/>
    </font>
    <font>
      <sz val="10"/>
      <color indexed="8"/>
      <name val="ＭＳ Ｐゴシック"/>
      <family val="3"/>
      <charset val="128"/>
      <scheme val="major"/>
    </font>
    <font>
      <sz val="10"/>
      <color theme="0"/>
      <name val="ＭＳ Ｐゴシック"/>
      <family val="3"/>
      <charset val="128"/>
    </font>
    <font>
      <u/>
      <sz val="12"/>
      <color theme="10"/>
      <name val="ＭＳ Ｐゴシック"/>
      <family val="2"/>
      <charset val="128"/>
      <scheme val="minor"/>
    </font>
    <font>
      <u/>
      <sz val="12"/>
      <color theme="1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color indexed="8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0"/>
      <color rgb="FF000000"/>
      <name val="‚lＳ Ｐゴシック"/>
      <family val="3"/>
      <charset val="128"/>
    </font>
    <font>
      <sz val="12"/>
      <color rgb="FF000000"/>
      <name val="ＭＳ Ｐゴシック"/>
      <charset val="128"/>
      <scheme val="minor"/>
    </font>
    <font>
      <sz val="12"/>
      <color rgb="FFFF0000"/>
      <name val="ＭＳ Ｐゴシック"/>
      <family val="2"/>
      <charset val="128"/>
      <scheme val="minor"/>
    </font>
    <font>
      <sz val="10"/>
      <color rgb="FFFF0000"/>
      <name val="ＭＳ Ｐゴシック"/>
      <charset val="128"/>
      <scheme val="minor"/>
    </font>
    <font>
      <sz val="10"/>
      <color rgb="FFFF0000"/>
      <name val="ＭＳ Ｐゴシック"/>
      <charset val="128"/>
    </font>
    <font>
      <sz val="12"/>
      <color rgb="FFFF0000"/>
      <name val="ＭＳ Ｐゴシック"/>
      <charset val="128"/>
    </font>
  </fonts>
  <fills count="27">
    <fill>
      <patternFill patternType="none"/>
    </fill>
    <fill>
      <patternFill patternType="gray125"/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indexed="22"/>
        <bgColor indexed="55"/>
      </patternFill>
    </fill>
    <fill>
      <patternFill patternType="solid">
        <fgColor indexed="53"/>
        <bgColor indexed="52"/>
      </patternFill>
    </fill>
    <fill>
      <patternFill patternType="solid">
        <fgColor indexed="10"/>
        <bgColor indexed="6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 tint="-0.14999847407452621"/>
        <bgColor indexed="59"/>
      </patternFill>
    </fill>
    <fill>
      <patternFill patternType="solid">
        <fgColor theme="0" tint="-0.14999847407452621"/>
        <bgColor indexed="31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79998168889431442"/>
        <bgColor indexed="27"/>
      </patternFill>
    </fill>
    <fill>
      <patternFill patternType="solid">
        <fgColor theme="0" tint="-0.14999847407452621"/>
        <bgColor indexed="5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008000"/>
        <bgColor indexed="59"/>
      </patternFill>
    </fill>
    <fill>
      <patternFill patternType="solid">
        <fgColor rgb="FF008000"/>
        <bgColor indexed="40"/>
      </patternFill>
    </fill>
    <fill>
      <patternFill patternType="solid">
        <fgColor theme="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6" tint="0.79998168889431442"/>
        <bgColor indexed="59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79998168889431442"/>
        <bgColor indexed="55"/>
      </patternFill>
    </fill>
    <fill>
      <patternFill patternType="solid">
        <fgColor theme="9" tint="0.79998168889431442"/>
        <bgColor indexed="64"/>
      </patternFill>
    </fill>
  </fills>
  <borders count="31">
    <border>
      <left/>
      <right/>
      <top/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8"/>
      </top>
      <bottom style="thin">
        <color indexed="8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auto="1"/>
      </right>
      <top style="thin">
        <color auto="1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indexed="8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indexed="8"/>
      </bottom>
      <diagonal/>
    </border>
  </borders>
  <cellStyleXfs count="5066">
    <xf numFmtId="0" fontId="0" fillId="0" borderId="0"/>
    <xf numFmtId="0" fontId="7" fillId="0" borderId="0"/>
    <xf numFmtId="38" fontId="1" fillId="0" borderId="0" applyFill="0" applyBorder="0" applyAlignment="0" applyProtection="0"/>
    <xf numFmtId="0" fontId="6" fillId="2" borderId="0" applyNumberFormat="0" applyBorder="0" applyAlignment="0" applyProtection="0"/>
    <xf numFmtId="0" fontId="5" fillId="3" borderId="0" applyNumberFormat="0" applyBorder="0" applyAlignment="0" applyProtection="0"/>
    <xf numFmtId="0" fontId="2" fillId="0" borderId="0"/>
    <xf numFmtId="0" fontId="3" fillId="0" borderId="0">
      <alignment vertical="center"/>
    </xf>
    <xf numFmtId="0" fontId="3" fillId="0" borderId="0">
      <alignment vertical="center"/>
    </xf>
    <xf numFmtId="0" fontId="4" fillId="3" borderId="0" applyNumberFormat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4" fillId="0" borderId="0">
      <alignment vertical="center"/>
    </xf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  <xf numFmtId="0" fontId="20" fillId="0" borderId="0" applyNumberFormat="0" applyFill="0" applyBorder="0" applyAlignment="0" applyProtection="0"/>
    <xf numFmtId="0" fontId="21" fillId="0" borderId="0" applyNumberFormat="0" applyFill="0" applyBorder="0" applyAlignment="0" applyProtection="0"/>
  </cellStyleXfs>
  <cellXfs count="201">
    <xf numFmtId="0" fontId="0" fillId="0" borderId="0" xfId="0"/>
    <xf numFmtId="0" fontId="0" fillId="0" borderId="0" xfId="0" applyFont="1" applyFill="1"/>
    <xf numFmtId="0" fontId="0" fillId="0" borderId="0" xfId="0" applyFont="1"/>
    <xf numFmtId="0" fontId="13" fillId="0" borderId="0" xfId="0" applyFont="1"/>
    <xf numFmtId="0" fontId="16" fillId="0" borderId="0" xfId="0" applyFont="1" applyAlignment="1">
      <alignment horizontal="center" vertical="center"/>
    </xf>
    <xf numFmtId="0" fontId="16" fillId="7" borderId="4" xfId="0" applyFont="1" applyFill="1" applyBorder="1" applyAlignment="1">
      <alignment horizontal="left" vertical="center"/>
    </xf>
    <xf numFmtId="0" fontId="16" fillId="0" borderId="8" xfId="0" applyFont="1" applyFill="1" applyBorder="1" applyAlignment="1">
      <alignment vertical="center"/>
    </xf>
    <xf numFmtId="0" fontId="16" fillId="7" borderId="9" xfId="0" applyFont="1" applyFill="1" applyBorder="1" applyAlignment="1">
      <alignment horizontal="left" vertical="center"/>
    </xf>
    <xf numFmtId="0" fontId="16" fillId="10" borderId="1" xfId="0" applyFont="1" applyFill="1" applyBorder="1" applyAlignment="1">
      <alignment vertical="center"/>
    </xf>
    <xf numFmtId="0" fontId="16" fillId="0" borderId="1" xfId="0" applyFont="1" applyBorder="1" applyAlignment="1">
      <alignment vertical="center"/>
    </xf>
    <xf numFmtId="0" fontId="16" fillId="0" borderId="4" xfId="0" applyFont="1" applyBorder="1" applyAlignment="1">
      <alignment horizontal="left" vertical="center"/>
    </xf>
    <xf numFmtId="0" fontId="16" fillId="7" borderId="4" xfId="0" applyFont="1" applyFill="1" applyBorder="1" applyAlignment="1">
      <alignment horizontal="right" vertical="center"/>
    </xf>
    <xf numFmtId="0" fontId="16" fillId="0" borderId="0" xfId="0" applyFont="1" applyAlignment="1">
      <alignment horizontal="left" vertical="center"/>
    </xf>
    <xf numFmtId="0" fontId="16" fillId="7" borderId="0" xfId="0" applyFont="1" applyFill="1" applyAlignment="1">
      <alignment horizontal="left" vertical="center"/>
    </xf>
    <xf numFmtId="0" fontId="16" fillId="7" borderId="0" xfId="0" applyFont="1" applyFill="1" applyAlignment="1">
      <alignment vertical="center"/>
    </xf>
    <xf numFmtId="0" fontId="16" fillId="0" borderId="0" xfId="0" applyFont="1" applyAlignment="1">
      <alignment horizontal="right" vertical="center"/>
    </xf>
    <xf numFmtId="0" fontId="13" fillId="7" borderId="1" xfId="0" applyFont="1" applyFill="1" applyBorder="1" applyAlignment="1">
      <alignment vertical="center"/>
    </xf>
    <xf numFmtId="0" fontId="16" fillId="10" borderId="3" xfId="0" applyFont="1" applyFill="1" applyBorder="1" applyAlignment="1">
      <alignment vertical="center"/>
    </xf>
    <xf numFmtId="0" fontId="16" fillId="0" borderId="4" xfId="0" applyFont="1" applyFill="1" applyBorder="1" applyAlignment="1">
      <alignment horizontal="right" vertical="center" wrapText="1"/>
    </xf>
    <xf numFmtId="0" fontId="16" fillId="12" borderId="4" xfId="0" applyFont="1" applyFill="1" applyBorder="1" applyAlignment="1">
      <alignment horizontal="center" vertical="center" wrapText="1"/>
    </xf>
    <xf numFmtId="0" fontId="12" fillId="9" borderId="4" xfId="0" applyFont="1" applyFill="1" applyBorder="1" applyAlignment="1">
      <alignment horizontal="center"/>
    </xf>
    <xf numFmtId="0" fontId="16" fillId="13" borderId="4" xfId="0" applyFont="1" applyFill="1" applyBorder="1"/>
    <xf numFmtId="0" fontId="16" fillId="4" borderId="1" xfId="0" applyFont="1" applyFill="1" applyBorder="1" applyAlignment="1">
      <alignment vertical="center"/>
    </xf>
    <xf numFmtId="0" fontId="8" fillId="4" borderId="1" xfId="0" applyFont="1" applyFill="1" applyBorder="1" applyAlignment="1">
      <alignment vertical="center"/>
    </xf>
    <xf numFmtId="0" fontId="16" fillId="0" borderId="0" xfId="0" applyFont="1" applyAlignment="1">
      <alignment vertical="center"/>
    </xf>
    <xf numFmtId="0" fontId="8" fillId="0" borderId="1" xfId="0" applyFont="1" applyBorder="1" applyAlignment="1">
      <alignment vertical="center"/>
    </xf>
    <xf numFmtId="0" fontId="8" fillId="0" borderId="19" xfId="0" applyFont="1" applyBorder="1" applyAlignment="1">
      <alignment vertical="center"/>
    </xf>
    <xf numFmtId="0" fontId="8" fillId="0" borderId="4" xfId="0" applyFont="1" applyFill="1" applyBorder="1" applyAlignment="1">
      <alignment vertical="center"/>
    </xf>
    <xf numFmtId="0" fontId="16" fillId="5" borderId="0" xfId="0" applyFont="1" applyFill="1" applyAlignment="1">
      <alignment vertical="center"/>
    </xf>
    <xf numFmtId="0" fontId="8" fillId="0" borderId="1" xfId="0" applyFont="1" applyFill="1" applyBorder="1" applyAlignment="1">
      <alignment vertical="center"/>
    </xf>
    <xf numFmtId="0" fontId="16" fillId="6" borderId="0" xfId="0" applyFont="1" applyFill="1" applyAlignment="1">
      <alignment vertical="center"/>
    </xf>
    <xf numFmtId="0" fontId="16" fillId="4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vertical="center"/>
    </xf>
    <xf numFmtId="0" fontId="8" fillId="4" borderId="1" xfId="0" applyFont="1" applyFill="1" applyBorder="1" applyAlignment="1">
      <alignment horizontal="center" vertical="center"/>
    </xf>
    <xf numFmtId="0" fontId="8" fillId="0" borderId="20" xfId="0" applyFont="1" applyBorder="1" applyAlignment="1">
      <alignment vertical="center"/>
    </xf>
    <xf numFmtId="0" fontId="16" fillId="0" borderId="19" xfId="0" applyFont="1" applyBorder="1" applyAlignment="1">
      <alignment vertical="center"/>
    </xf>
    <xf numFmtId="0" fontId="16" fillId="0" borderId="20" xfId="0" applyFont="1" applyBorder="1" applyAlignment="1">
      <alignment vertical="center"/>
    </xf>
    <xf numFmtId="0" fontId="16" fillId="0" borderId="4" xfId="0" applyFont="1" applyBorder="1" applyAlignment="1">
      <alignment vertical="center"/>
    </xf>
    <xf numFmtId="0" fontId="16" fillId="0" borderId="4" xfId="0" applyFont="1" applyBorder="1" applyAlignment="1">
      <alignment horizontal="center" vertical="center"/>
    </xf>
    <xf numFmtId="0" fontId="8" fillId="14" borderId="10" xfId="0" applyFont="1" applyFill="1" applyBorder="1" applyAlignment="1">
      <alignment vertical="center"/>
    </xf>
    <xf numFmtId="0" fontId="16" fillId="14" borderId="4" xfId="0" applyFont="1" applyFill="1" applyBorder="1" applyAlignment="1">
      <alignment vertical="center"/>
    </xf>
    <xf numFmtId="0" fontId="13" fillId="0" borderId="4" xfId="0" applyFont="1" applyBorder="1" applyAlignment="1">
      <alignment horizontal="right" vertical="center" wrapText="1"/>
    </xf>
    <xf numFmtId="0" fontId="13" fillId="12" borderId="4" xfId="0" applyFont="1" applyFill="1" applyBorder="1" applyAlignment="1">
      <alignment horizontal="center" vertical="center" wrapText="1"/>
    </xf>
    <xf numFmtId="0" fontId="16" fillId="12" borderId="6" xfId="0" applyFont="1" applyFill="1" applyBorder="1" applyAlignment="1">
      <alignment horizontal="center" vertical="center" wrapText="1"/>
    </xf>
    <xf numFmtId="0" fontId="14" fillId="0" borderId="4" xfId="0" applyFont="1" applyBorder="1" applyAlignment="1">
      <alignment horizontal="right" vertical="center" wrapText="1"/>
    </xf>
    <xf numFmtId="0" fontId="16" fillId="0" borderId="3" xfId="0" applyFont="1" applyFill="1" applyBorder="1" applyAlignment="1">
      <alignment vertical="center"/>
    </xf>
    <xf numFmtId="0" fontId="16" fillId="0" borderId="0" xfId="0" applyFont="1" applyFill="1" applyAlignment="1">
      <alignment vertical="center"/>
    </xf>
    <xf numFmtId="0" fontId="8" fillId="14" borderId="1" xfId="0" applyFont="1" applyFill="1" applyBorder="1" applyAlignment="1">
      <alignment vertical="center"/>
    </xf>
    <xf numFmtId="0" fontId="16" fillId="7" borderId="8" xfId="0" applyFont="1" applyFill="1" applyBorder="1" applyAlignment="1">
      <alignment horizontal="right" vertical="center"/>
    </xf>
    <xf numFmtId="0" fontId="17" fillId="4" borderId="4" xfId="0" applyFont="1" applyFill="1" applyBorder="1" applyAlignment="1">
      <alignment horizontal="center" vertical="center"/>
    </xf>
    <xf numFmtId="0" fontId="18" fillId="4" borderId="4" xfId="0" applyFont="1" applyFill="1" applyBorder="1" applyAlignment="1">
      <alignment horizontal="center" vertical="center"/>
    </xf>
    <xf numFmtId="0" fontId="18" fillId="0" borderId="4" xfId="0" applyFont="1" applyBorder="1" applyAlignment="1">
      <alignment horizontal="center" vertical="center"/>
    </xf>
    <xf numFmtId="0" fontId="18" fillId="0" borderId="4" xfId="0" applyFont="1" applyFill="1" applyBorder="1" applyAlignment="1">
      <alignment horizontal="center" vertical="center"/>
    </xf>
    <xf numFmtId="0" fontId="17" fillId="0" borderId="4" xfId="0" applyFont="1" applyBorder="1" applyAlignment="1">
      <alignment horizontal="center" vertical="center" wrapText="1"/>
    </xf>
    <xf numFmtId="0" fontId="17" fillId="0" borderId="12" xfId="0" applyFont="1" applyBorder="1" applyAlignment="1">
      <alignment horizontal="center" vertical="center" wrapText="1"/>
    </xf>
    <xf numFmtId="0" fontId="13" fillId="0" borderId="4" xfId="0" applyFont="1" applyBorder="1" applyAlignment="1">
      <alignment horizontal="center" vertical="center" wrapText="1"/>
    </xf>
    <xf numFmtId="0" fontId="18" fillId="0" borderId="7" xfId="0" applyFont="1" applyBorder="1" applyAlignment="1">
      <alignment horizontal="center" vertical="center"/>
    </xf>
    <xf numFmtId="0" fontId="16" fillId="7" borderId="1" xfId="0" applyFont="1" applyFill="1" applyBorder="1" applyAlignment="1">
      <alignment horizontal="left" vertical="center"/>
    </xf>
    <xf numFmtId="0" fontId="16" fillId="7" borderId="1" xfId="0" applyFont="1" applyFill="1" applyBorder="1" applyAlignment="1">
      <alignment horizontal="right" vertical="center"/>
    </xf>
    <xf numFmtId="0" fontId="15" fillId="11" borderId="0" xfId="0" applyFont="1" applyFill="1" applyBorder="1" applyAlignment="1">
      <alignment horizontal="center" vertical="center"/>
    </xf>
    <xf numFmtId="0" fontId="14" fillId="11" borderId="0" xfId="0" applyFont="1" applyFill="1" applyBorder="1" applyAlignment="1">
      <alignment horizontal="center" vertical="center"/>
    </xf>
    <xf numFmtId="0" fontId="13" fillId="11" borderId="0" xfId="0" applyFont="1" applyFill="1" applyAlignment="1">
      <alignment vertical="center"/>
    </xf>
    <xf numFmtId="0" fontId="16" fillId="7" borderId="3" xfId="0" applyFont="1" applyFill="1" applyBorder="1" applyAlignment="1">
      <alignment horizontal="left" vertical="center"/>
    </xf>
    <xf numFmtId="0" fontId="15" fillId="8" borderId="0" xfId="0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23" fillId="19" borderId="0" xfId="0" applyFont="1" applyFill="1"/>
    <xf numFmtId="0" fontId="16" fillId="0" borderId="4" xfId="0" applyFont="1" applyFill="1" applyBorder="1" applyAlignment="1">
      <alignment vertical="center"/>
    </xf>
    <xf numFmtId="0" fontId="13" fillId="15" borderId="4" xfId="0" applyFont="1" applyFill="1" applyBorder="1" applyAlignment="1">
      <alignment vertical="center"/>
    </xf>
    <xf numFmtId="0" fontId="16" fillId="15" borderId="10" xfId="0" applyFont="1" applyFill="1" applyBorder="1" applyAlignment="1">
      <alignment horizontal="right" vertical="center"/>
    </xf>
    <xf numFmtId="0" fontId="8" fillId="7" borderId="1" xfId="0" applyFont="1" applyFill="1" applyBorder="1" applyAlignment="1">
      <alignment vertical="center"/>
    </xf>
    <xf numFmtId="0" fontId="8" fillId="7" borderId="2" xfId="0" applyFont="1" applyFill="1" applyBorder="1" applyAlignment="1">
      <alignment vertical="center"/>
    </xf>
    <xf numFmtId="0" fontId="16" fillId="7" borderId="4" xfId="0" applyFont="1" applyFill="1" applyBorder="1" applyAlignment="1">
      <alignment vertical="center"/>
    </xf>
    <xf numFmtId="0" fontId="12" fillId="7" borderId="0" xfId="0" applyFont="1" applyFill="1" applyAlignment="1">
      <alignment vertical="center"/>
    </xf>
    <xf numFmtId="0" fontId="19" fillId="0" borderId="0" xfId="0" applyFont="1" applyFill="1" applyAlignment="1">
      <alignment vertical="center"/>
    </xf>
    <xf numFmtId="0" fontId="8" fillId="14" borderId="21" xfId="0" applyFont="1" applyFill="1" applyBorder="1" applyAlignment="1">
      <alignment horizontal="center" vertical="center"/>
    </xf>
    <xf numFmtId="0" fontId="8" fillId="14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2" xfId="0" applyFont="1" applyFill="1" applyBorder="1" applyAlignment="1">
      <alignment horizontal="center" vertical="center"/>
    </xf>
    <xf numFmtId="0" fontId="8" fillId="0" borderId="4" xfId="0" applyFont="1" applyFill="1" applyBorder="1" applyAlignment="1">
      <alignment horizontal="center" vertical="center"/>
    </xf>
    <xf numFmtId="0" fontId="17" fillId="0" borderId="4" xfId="0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left" vertical="center"/>
    </xf>
    <xf numFmtId="0" fontId="15" fillId="8" borderId="7" xfId="0" applyFont="1" applyFill="1" applyBorder="1" applyAlignment="1">
      <alignment horizontal="left" vertical="center"/>
    </xf>
    <xf numFmtId="0" fontId="19" fillId="16" borderId="4" xfId="0" applyFont="1" applyFill="1" applyBorder="1" applyAlignment="1">
      <alignment horizontal="left" vertical="center"/>
    </xf>
    <xf numFmtId="0" fontId="15" fillId="11" borderId="14" xfId="0" applyFont="1" applyFill="1" applyBorder="1" applyAlignment="1">
      <alignment horizontal="left" vertical="center"/>
    </xf>
    <xf numFmtId="0" fontId="12" fillId="8" borderId="7" xfId="0" applyFont="1" applyFill="1" applyBorder="1" applyAlignment="1">
      <alignment horizontal="left" vertical="center"/>
    </xf>
    <xf numFmtId="0" fontId="15" fillId="11" borderId="7" xfId="0" applyFont="1" applyFill="1" applyBorder="1" applyAlignment="1">
      <alignment horizontal="left" vertical="center"/>
    </xf>
    <xf numFmtId="0" fontId="15" fillId="7" borderId="7" xfId="0" applyFont="1" applyFill="1" applyBorder="1" applyAlignment="1">
      <alignment horizontal="left" vertical="center"/>
    </xf>
    <xf numFmtId="0" fontId="12" fillId="9" borderId="13" xfId="0" applyFont="1" applyFill="1" applyBorder="1" applyAlignment="1">
      <alignment horizontal="left" vertical="center"/>
    </xf>
    <xf numFmtId="0" fontId="15" fillId="8" borderId="15" xfId="0" applyFont="1" applyFill="1" applyBorder="1" applyAlignment="1">
      <alignment horizontal="left" vertical="center"/>
    </xf>
    <xf numFmtId="0" fontId="15" fillId="11" borderId="6" xfId="0" applyFont="1" applyFill="1" applyBorder="1" applyAlignment="1">
      <alignment horizontal="left" vertical="center"/>
    </xf>
    <xf numFmtId="0" fontId="12" fillId="9" borderId="1" xfId="0" applyFont="1" applyFill="1" applyBorder="1" applyAlignment="1">
      <alignment horizontal="left" vertical="center"/>
    </xf>
    <xf numFmtId="0" fontId="15" fillId="8" borderId="4" xfId="0" applyFont="1" applyFill="1" applyBorder="1" applyAlignment="1">
      <alignment horizontal="left" vertical="center"/>
    </xf>
    <xf numFmtId="0" fontId="15" fillId="8" borderId="5" xfId="0" applyFont="1" applyFill="1" applyBorder="1" applyAlignment="1">
      <alignment horizontal="left" vertical="center"/>
    </xf>
    <xf numFmtId="0" fontId="19" fillId="17" borderId="16" xfId="0" applyFont="1" applyFill="1" applyBorder="1" applyAlignment="1">
      <alignment horizontal="left" vertical="center"/>
    </xf>
    <xf numFmtId="0" fontId="19" fillId="18" borderId="1" xfId="0" applyFont="1" applyFill="1" applyBorder="1" applyAlignment="1">
      <alignment horizontal="left" vertical="center"/>
    </xf>
    <xf numFmtId="0" fontId="15" fillId="7" borderId="14" xfId="0" applyFont="1" applyFill="1" applyBorder="1" applyAlignment="1">
      <alignment horizontal="left" vertical="center"/>
    </xf>
    <xf numFmtId="0" fontId="15" fillId="7" borderId="6" xfId="0" applyFont="1" applyFill="1" applyBorder="1" applyAlignment="1">
      <alignment horizontal="left" vertical="center"/>
    </xf>
    <xf numFmtId="0" fontId="12" fillId="0" borderId="17" xfId="0" applyFont="1" applyFill="1" applyBorder="1" applyAlignment="1">
      <alignment horizontal="left" vertical="center"/>
    </xf>
    <xf numFmtId="0" fontId="12" fillId="9" borderId="18" xfId="0" applyFont="1" applyFill="1" applyBorder="1" applyAlignment="1">
      <alignment horizontal="left" vertical="center"/>
    </xf>
    <xf numFmtId="0" fontId="12" fillId="9" borderId="3" xfId="0" applyFont="1" applyFill="1" applyBorder="1" applyAlignment="1">
      <alignment horizontal="left" vertical="center"/>
    </xf>
    <xf numFmtId="0" fontId="12" fillId="9" borderId="4" xfId="0" applyFont="1" applyFill="1" applyBorder="1" applyAlignment="1">
      <alignment horizontal="left" vertical="center"/>
    </xf>
    <xf numFmtId="0" fontId="19" fillId="16" borderId="17" xfId="0" applyFont="1" applyFill="1" applyBorder="1" applyAlignment="1">
      <alignment horizontal="left" vertical="center"/>
    </xf>
    <xf numFmtId="0" fontId="19" fillId="17" borderId="17" xfId="0" applyFont="1" applyFill="1" applyBorder="1" applyAlignment="1">
      <alignment horizontal="left" vertical="center"/>
    </xf>
    <xf numFmtId="0" fontId="19" fillId="16" borderId="11" xfId="0" applyFont="1" applyFill="1" applyBorder="1" applyAlignment="1">
      <alignment horizontal="left" vertical="center"/>
    </xf>
    <xf numFmtId="0" fontId="19" fillId="16" borderId="12" xfId="0" applyFont="1" applyFill="1" applyBorder="1" applyAlignment="1">
      <alignment horizontal="left" vertical="center"/>
    </xf>
    <xf numFmtId="0" fontId="8" fillId="20" borderId="1" xfId="0" applyFont="1" applyFill="1" applyBorder="1" applyAlignment="1">
      <alignment horizontal="center" vertical="center"/>
    </xf>
    <xf numFmtId="0" fontId="8" fillId="0" borderId="10" xfId="0" applyFont="1" applyFill="1" applyBorder="1" applyAlignment="1">
      <alignment vertical="center"/>
    </xf>
    <xf numFmtId="0" fontId="23" fillId="21" borderId="4" xfId="0" applyFont="1" applyFill="1" applyBorder="1"/>
    <xf numFmtId="0" fontId="0" fillId="21" borderId="4" xfId="0" applyFill="1" applyBorder="1"/>
    <xf numFmtId="0" fontId="0" fillId="0" borderId="4" xfId="0" applyBorder="1"/>
    <xf numFmtId="0" fontId="13" fillId="8" borderId="0" xfId="0" applyFont="1" applyFill="1" applyBorder="1" applyAlignment="1">
      <alignment horizontal="center" vertical="center"/>
    </xf>
    <xf numFmtId="0" fontId="16" fillId="8" borderId="0" xfId="0" applyFont="1" applyFill="1" applyBorder="1" applyAlignment="1">
      <alignment horizontal="center" vertical="center"/>
    </xf>
    <xf numFmtId="0" fontId="0" fillId="0" borderId="4" xfId="0" applyFill="1" applyBorder="1"/>
    <xf numFmtId="0" fontId="0" fillId="8" borderId="4" xfId="0" applyFill="1" applyBorder="1"/>
    <xf numFmtId="0" fontId="12" fillId="22" borderId="4" xfId="0" applyFont="1" applyFill="1" applyBorder="1" applyAlignment="1">
      <alignment horizontal="center"/>
    </xf>
    <xf numFmtId="0" fontId="0" fillId="0" borderId="4" xfId="0" applyFont="1" applyBorder="1"/>
    <xf numFmtId="0" fontId="0" fillId="23" borderId="4" xfId="0" applyFill="1" applyBorder="1"/>
    <xf numFmtId="0" fontId="0" fillId="11" borderId="6" xfId="0" applyFill="1" applyBorder="1"/>
    <xf numFmtId="0" fontId="0" fillId="11" borderId="4" xfId="0" applyFill="1" applyBorder="1"/>
    <xf numFmtId="0" fontId="13" fillId="0" borderId="4" xfId="0" applyFont="1" applyFill="1" applyBorder="1" applyAlignment="1">
      <alignment vertical="center"/>
    </xf>
    <xf numFmtId="0" fontId="13" fillId="11" borderId="7" xfId="0" applyFont="1" applyFill="1" applyBorder="1" applyAlignment="1">
      <alignment horizontal="center" vertical="center"/>
    </xf>
    <xf numFmtId="0" fontId="13" fillId="11" borderId="15" xfId="0" applyFont="1" applyFill="1" applyBorder="1" applyAlignment="1">
      <alignment horizontal="center" vertical="center"/>
    </xf>
    <xf numFmtId="0" fontId="13" fillId="8" borderId="15" xfId="0" applyFont="1" applyFill="1" applyBorder="1" applyAlignment="1">
      <alignment horizontal="center" vertical="center"/>
    </xf>
    <xf numFmtId="0" fontId="13" fillId="8" borderId="22" xfId="0" applyFont="1" applyFill="1" applyBorder="1" applyAlignment="1">
      <alignment horizontal="center" vertical="center"/>
    </xf>
    <xf numFmtId="0" fontId="13" fillId="11" borderId="22" xfId="0" applyFont="1" applyFill="1" applyBorder="1" applyAlignment="1">
      <alignment horizontal="center" vertical="center"/>
    </xf>
    <xf numFmtId="0" fontId="13" fillId="7" borderId="22" xfId="0" applyFont="1" applyFill="1" applyBorder="1" applyAlignment="1">
      <alignment horizontal="center" vertical="center"/>
    </xf>
    <xf numFmtId="0" fontId="13" fillId="7" borderId="6" xfId="0" applyFont="1" applyFill="1" applyBorder="1" applyAlignment="1">
      <alignment horizontal="left" vertical="center"/>
    </xf>
    <xf numFmtId="0" fontId="13" fillId="7" borderId="4" xfId="0" applyFont="1" applyFill="1" applyBorder="1" applyAlignment="1">
      <alignment horizontal="left" vertical="center"/>
    </xf>
    <xf numFmtId="0" fontId="13" fillId="7" borderId="5" xfId="0" applyFont="1" applyFill="1" applyBorder="1" applyAlignment="1">
      <alignment horizontal="left" vertical="center"/>
    </xf>
    <xf numFmtId="0" fontId="13" fillId="7" borderId="7" xfId="0" applyFont="1" applyFill="1" applyBorder="1" applyAlignment="1">
      <alignment horizontal="center" vertical="center"/>
    </xf>
    <xf numFmtId="0" fontId="13" fillId="7" borderId="7" xfId="0" applyFont="1" applyFill="1" applyBorder="1" applyAlignment="1">
      <alignment horizontal="left" vertical="center"/>
    </xf>
    <xf numFmtId="0" fontId="13" fillId="0" borderId="0" xfId="0" applyFont="1" applyFill="1" applyAlignment="1">
      <alignment horizontal="center" vertical="center"/>
    </xf>
    <xf numFmtId="0" fontId="13" fillId="0" borderId="0" xfId="0" applyFont="1" applyFill="1" applyAlignment="1">
      <alignment vertical="center"/>
    </xf>
    <xf numFmtId="0" fontId="25" fillId="0" borderId="0" xfId="0" applyFont="1" applyFill="1" applyAlignment="1">
      <alignment vertical="center"/>
    </xf>
    <xf numFmtId="0" fontId="16" fillId="20" borderId="4" xfId="0" applyFont="1" applyFill="1" applyBorder="1" applyAlignment="1">
      <alignment horizontal="left" vertical="center"/>
    </xf>
    <xf numFmtId="0" fontId="26" fillId="0" borderId="7" xfId="0" applyFont="1" applyFill="1" applyBorder="1" applyAlignment="1">
      <alignment horizontal="right" vertical="center" wrapText="1"/>
    </xf>
    <xf numFmtId="0" fontId="14" fillId="0" borderId="4" xfId="0" applyFont="1" applyFill="1" applyBorder="1" applyAlignment="1">
      <alignment horizontal="left" vertical="center" wrapText="1"/>
    </xf>
    <xf numFmtId="0" fontId="26" fillId="0" borderId="7" xfId="0" applyFont="1" applyFill="1" applyBorder="1" applyAlignment="1">
      <alignment horizontal="left" vertical="center" wrapText="1"/>
    </xf>
    <xf numFmtId="0" fontId="13" fillId="0" borderId="4" xfId="0" applyFont="1" applyFill="1" applyBorder="1" applyAlignment="1">
      <alignment horizontal="left" vertical="center" wrapText="1"/>
    </xf>
    <xf numFmtId="0" fontId="13" fillId="0" borderId="7" xfId="0" applyFont="1" applyFill="1" applyBorder="1" applyAlignment="1">
      <alignment horizontal="right" vertical="center" wrapText="1"/>
    </xf>
    <xf numFmtId="0" fontId="27" fillId="0" borderId="4" xfId="0" applyFont="1" applyFill="1" applyBorder="1" applyAlignment="1">
      <alignment horizontal="center" vertical="center" wrapText="1"/>
    </xf>
    <xf numFmtId="0" fontId="14" fillId="0" borderId="4" xfId="0" applyFont="1" applyFill="1" applyBorder="1" applyAlignment="1">
      <alignment horizontal="center" vertical="center" wrapText="1"/>
    </xf>
    <xf numFmtId="0" fontId="13" fillId="0" borderId="4" xfId="0" applyFont="1" applyFill="1" applyBorder="1" applyAlignment="1">
      <alignment horizontal="center" vertical="center"/>
    </xf>
    <xf numFmtId="0" fontId="13" fillId="0" borderId="7" xfId="0" applyFont="1" applyFill="1" applyBorder="1" applyAlignment="1">
      <alignment horizontal="left" vertical="center" wrapText="1"/>
    </xf>
    <xf numFmtId="0" fontId="13" fillId="15" borderId="4" xfId="0" applyFont="1" applyFill="1" applyBorder="1" applyAlignment="1">
      <alignment horizontal="left" vertical="center" wrapText="1"/>
    </xf>
    <xf numFmtId="0" fontId="25" fillId="0" borderId="7" xfId="0" applyFont="1" applyFill="1" applyBorder="1" applyAlignment="1">
      <alignment vertical="center"/>
    </xf>
    <xf numFmtId="0" fontId="25" fillId="0" borderId="7" xfId="0" applyFont="1" applyFill="1" applyBorder="1" applyAlignment="1">
      <alignment vertical="center" wrapText="1"/>
    </xf>
    <xf numFmtId="0" fontId="13" fillId="0" borderId="4" xfId="0" applyFont="1" applyFill="1" applyBorder="1" applyAlignment="1">
      <alignment wrapText="1"/>
    </xf>
    <xf numFmtId="0" fontId="16" fillId="0" borderId="1" xfId="0" applyFont="1" applyFill="1" applyBorder="1" applyAlignment="1">
      <alignment horizontal="left" vertical="center"/>
    </xf>
    <xf numFmtId="0" fontId="0" fillId="24" borderId="4" xfId="0" applyFill="1" applyBorder="1"/>
    <xf numFmtId="0" fontId="16" fillId="0" borderId="23" xfId="0" applyFont="1" applyFill="1" applyBorder="1" applyAlignment="1">
      <alignment horizontal="right" vertical="center"/>
    </xf>
    <xf numFmtId="0" fontId="0" fillId="0" borderId="4" xfId="0" applyNumberFormat="1" applyFill="1" applyBorder="1"/>
    <xf numFmtId="0" fontId="14" fillId="0" borderId="0" xfId="0" applyFont="1" applyAlignment="1">
      <alignment horizontal="left" vertical="center"/>
    </xf>
    <xf numFmtId="0" fontId="16" fillId="0" borderId="23" xfId="0" applyFont="1" applyFill="1" applyBorder="1" applyAlignment="1">
      <alignment vertical="center"/>
    </xf>
    <xf numFmtId="0" fontId="28" fillId="0" borderId="7" xfId="0" applyFont="1" applyFill="1" applyBorder="1"/>
    <xf numFmtId="0" fontId="29" fillId="0" borderId="4" xfId="0" applyFont="1" applyFill="1" applyBorder="1"/>
    <xf numFmtId="0" fontId="29" fillId="0" borderId="7" xfId="0" applyFont="1" applyFill="1" applyBorder="1"/>
    <xf numFmtId="0" fontId="29" fillId="0" borderId="4" xfId="0" applyNumberFormat="1" applyFont="1" applyFill="1" applyBorder="1"/>
    <xf numFmtId="0" fontId="30" fillId="0" borderId="4" xfId="0" applyFont="1" applyFill="1" applyBorder="1" applyAlignment="1">
      <alignment horizontal="left" vertical="center" wrapText="1"/>
    </xf>
    <xf numFmtId="0" fontId="31" fillId="0" borderId="0" xfId="0" applyFont="1" applyAlignment="1">
      <alignment vertical="center"/>
    </xf>
    <xf numFmtId="0" fontId="32" fillId="0" borderId="4" xfId="0" applyFont="1" applyFill="1" applyBorder="1"/>
    <xf numFmtId="0" fontId="32" fillId="0" borderId="7" xfId="0" applyFont="1" applyFill="1" applyBorder="1"/>
    <xf numFmtId="0" fontId="32" fillId="0" borderId="4" xfId="0" applyNumberFormat="1" applyFont="1" applyFill="1" applyBorder="1"/>
    <xf numFmtId="0" fontId="31" fillId="0" borderId="4" xfId="0" applyFont="1" applyFill="1" applyBorder="1" applyAlignment="1">
      <alignment horizontal="left" vertical="center" wrapText="1"/>
    </xf>
    <xf numFmtId="0" fontId="31" fillId="0" borderId="0" xfId="0" applyFont="1" applyFill="1" applyBorder="1" applyAlignment="1">
      <alignment vertical="center"/>
    </xf>
    <xf numFmtId="0" fontId="16" fillId="0" borderId="24" xfId="0" applyFont="1" applyFill="1" applyBorder="1" applyAlignment="1">
      <alignment vertical="center"/>
    </xf>
    <xf numFmtId="0" fontId="0" fillId="0" borderId="0" xfId="0" applyBorder="1"/>
    <xf numFmtId="0" fontId="16" fillId="0" borderId="0" xfId="0" applyFont="1" applyFill="1" applyBorder="1" applyAlignment="1">
      <alignment vertical="center"/>
    </xf>
    <xf numFmtId="0" fontId="14" fillId="0" borderId="4" xfId="0" applyFont="1" applyBorder="1" applyAlignment="1">
      <alignment horizontal="left" vertical="center" wrapText="1"/>
    </xf>
    <xf numFmtId="0" fontId="13" fillId="20" borderId="4" xfId="0" applyFont="1" applyFill="1" applyBorder="1" applyAlignment="1">
      <alignment horizontal="left" vertical="center" wrapText="1"/>
    </xf>
    <xf numFmtId="0" fontId="13" fillId="0" borderId="4" xfId="0" applyFont="1" applyFill="1" applyBorder="1"/>
    <xf numFmtId="0" fontId="14" fillId="0" borderId="4" xfId="0" applyFont="1" applyFill="1" applyBorder="1" applyAlignment="1">
      <alignment vertical="center" wrapText="1"/>
    </xf>
    <xf numFmtId="0" fontId="14" fillId="0" borderId="4" xfId="0" applyFont="1" applyBorder="1"/>
    <xf numFmtId="0" fontId="14" fillId="0" borderId="4" xfId="0" applyFont="1" applyFill="1" applyBorder="1" applyAlignment="1">
      <alignment wrapText="1"/>
    </xf>
    <xf numFmtId="0" fontId="14" fillId="0" borderId="25" xfId="0" applyFont="1" applyBorder="1" applyAlignment="1">
      <alignment horizontal="left" vertical="center"/>
    </xf>
    <xf numFmtId="0" fontId="16" fillId="0" borderId="0" xfId="0" applyFont="1" applyFill="1" applyAlignment="1">
      <alignment horizontal="left" vertical="center"/>
    </xf>
    <xf numFmtId="0" fontId="14" fillId="0" borderId="25" xfId="0" applyFont="1" applyFill="1" applyBorder="1" applyAlignment="1">
      <alignment horizontal="left" vertical="center"/>
    </xf>
    <xf numFmtId="0" fontId="14" fillId="0" borderId="7" xfId="0" applyFont="1" applyBorder="1" applyAlignment="1">
      <alignment horizontal="right" vertical="center" wrapText="1"/>
    </xf>
    <xf numFmtId="0" fontId="16" fillId="15" borderId="4" xfId="0" applyFont="1" applyFill="1" applyBorder="1" applyAlignment="1">
      <alignment horizontal="left" vertical="center"/>
    </xf>
    <xf numFmtId="0" fontId="16" fillId="25" borderId="3" xfId="0" applyFont="1" applyFill="1" applyBorder="1" applyAlignment="1">
      <alignment horizontal="center" vertical="center"/>
    </xf>
    <xf numFmtId="0" fontId="8" fillId="25" borderId="20" xfId="0" applyFont="1" applyFill="1" applyBorder="1" applyAlignment="1">
      <alignment horizontal="center" vertical="center"/>
    </xf>
    <xf numFmtId="0" fontId="8" fillId="25" borderId="10" xfId="0" applyFont="1" applyFill="1" applyBorder="1" applyAlignment="1">
      <alignment horizontal="center" vertical="center"/>
    </xf>
    <xf numFmtId="0" fontId="8" fillId="26" borderId="10" xfId="0" applyFont="1" applyFill="1" applyBorder="1" applyAlignment="1">
      <alignment vertical="center"/>
    </xf>
    <xf numFmtId="0" fontId="8" fillId="25" borderId="19" xfId="0" applyFont="1" applyFill="1" applyBorder="1" applyAlignment="1">
      <alignment horizontal="center" vertical="center"/>
    </xf>
    <xf numFmtId="0" fontId="8" fillId="25" borderId="4" xfId="0" applyFont="1" applyFill="1" applyBorder="1" applyAlignment="1">
      <alignment horizontal="center" vertical="center"/>
    </xf>
    <xf numFmtId="0" fontId="8" fillId="26" borderId="4" xfId="0" applyFont="1" applyFill="1" applyBorder="1" applyAlignment="1">
      <alignment vertical="center"/>
    </xf>
    <xf numFmtId="0" fontId="8" fillId="25" borderId="26" xfId="0" applyFont="1" applyFill="1" applyBorder="1" applyAlignment="1">
      <alignment horizontal="center" vertical="center"/>
    </xf>
    <xf numFmtId="0" fontId="8" fillId="25" borderId="27" xfId="0" applyFont="1" applyFill="1" applyBorder="1" applyAlignment="1">
      <alignment horizontal="center" vertical="center"/>
    </xf>
    <xf numFmtId="0" fontId="8" fillId="26" borderId="27" xfId="0" applyFont="1" applyFill="1" applyBorder="1" applyAlignment="1">
      <alignment vertical="center"/>
    </xf>
    <xf numFmtId="0" fontId="16" fillId="25" borderId="21" xfId="0" applyFont="1" applyFill="1" applyBorder="1" applyAlignment="1">
      <alignment horizontal="center" vertical="center"/>
    </xf>
    <xf numFmtId="0" fontId="8" fillId="25" borderId="28" xfId="0" applyFont="1" applyFill="1" applyBorder="1" applyAlignment="1">
      <alignment horizontal="center" vertical="center"/>
    </xf>
    <xf numFmtId="0" fontId="8" fillId="25" borderId="12" xfId="0" applyFont="1" applyFill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/>
    </xf>
    <xf numFmtId="0" fontId="8" fillId="25" borderId="29" xfId="0" applyFont="1" applyFill="1" applyBorder="1" applyAlignment="1">
      <alignment horizontal="center" vertical="center"/>
    </xf>
    <xf numFmtId="0" fontId="16" fillId="26" borderId="4" xfId="0" applyFont="1" applyFill="1" applyBorder="1" applyAlignment="1">
      <alignment vertical="center"/>
    </xf>
    <xf numFmtId="0" fontId="8" fillId="25" borderId="6" xfId="0" applyFont="1" applyFill="1" applyBorder="1" applyAlignment="1">
      <alignment horizontal="center" vertical="center"/>
    </xf>
    <xf numFmtId="0" fontId="8" fillId="25" borderId="30" xfId="0" applyFont="1" applyFill="1" applyBorder="1" applyAlignment="1">
      <alignment horizontal="center" vertical="center"/>
    </xf>
    <xf numFmtId="0" fontId="18" fillId="26" borderId="4" xfId="0" applyFont="1" applyFill="1" applyBorder="1" applyAlignment="1">
      <alignment horizontal="center" vertical="center"/>
    </xf>
    <xf numFmtId="0" fontId="17" fillId="26" borderId="4" xfId="0" applyFont="1" applyFill="1" applyBorder="1" applyAlignment="1">
      <alignment horizontal="center" vertical="center" wrapText="1"/>
    </xf>
    <xf numFmtId="0" fontId="17" fillId="26" borderId="12" xfId="0" applyFont="1" applyFill="1" applyBorder="1" applyAlignment="1">
      <alignment horizontal="center" vertical="center" wrapText="1"/>
    </xf>
    <xf numFmtId="0" fontId="8" fillId="26" borderId="1" xfId="0" applyFont="1" applyFill="1" applyBorder="1" applyAlignment="1">
      <alignment vertical="center"/>
    </xf>
  </cellXfs>
  <cellStyles count="5066">
    <cellStyle name="Excel Built-in Normal" xfId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ハイパーリンク" xfId="37" builtinId="8" hidden="1"/>
    <cellStyle name="ハイパーリンク" xfId="39" builtinId="8" hidden="1"/>
    <cellStyle name="ハイパーリンク" xfId="41" builtinId="8" hidden="1"/>
    <cellStyle name="ハイパーリンク" xfId="43" builtinId="8" hidden="1"/>
    <cellStyle name="ハイパーリンク" xfId="45" builtinId="8" hidden="1"/>
    <cellStyle name="ハイパーリンク" xfId="47" builtinId="8" hidden="1"/>
    <cellStyle name="ハイパーリンク" xfId="49" builtinId="8" hidden="1"/>
    <cellStyle name="ハイパーリンク" xfId="51" builtinId="8" hidden="1"/>
    <cellStyle name="ハイパーリンク" xfId="53" builtinId="8" hidden="1"/>
    <cellStyle name="ハイパーリンク" xfId="55" builtinId="8" hidden="1"/>
    <cellStyle name="ハイパーリンク" xfId="57" builtinId="8" hidden="1"/>
    <cellStyle name="ハイパーリンク" xfId="59" builtinId="8" hidden="1"/>
    <cellStyle name="ハイパーリンク" xfId="61" builtinId="8" hidden="1"/>
    <cellStyle name="ハイパーリンク" xfId="63" builtinId="8" hidden="1"/>
    <cellStyle name="ハイパーリンク" xfId="65" builtinId="8" hidden="1"/>
    <cellStyle name="ハイパーリンク" xfId="67" builtinId="8" hidden="1"/>
    <cellStyle name="ハイパーリンク" xfId="69" builtinId="8" hidden="1"/>
    <cellStyle name="ハイパーリンク" xfId="71" builtinId="8" hidden="1"/>
    <cellStyle name="ハイパーリンク" xfId="73" builtinId="8" hidden="1"/>
    <cellStyle name="ハイパーリンク" xfId="75" builtinId="8" hidden="1"/>
    <cellStyle name="ハイパーリンク" xfId="77" builtinId="8" hidden="1"/>
    <cellStyle name="ハイパーリンク" xfId="79" builtinId="8" hidden="1"/>
    <cellStyle name="ハイパーリンク" xfId="81" builtinId="8" hidden="1"/>
    <cellStyle name="ハイパーリンク" xfId="83" builtinId="8" hidden="1"/>
    <cellStyle name="ハイパーリンク" xfId="85" builtinId="8" hidden="1"/>
    <cellStyle name="ハイパーリンク" xfId="87" builtinId="8" hidden="1"/>
    <cellStyle name="ハイパーリンク" xfId="89" builtinId="8" hidden="1"/>
    <cellStyle name="ハイパーリンク" xfId="91" builtinId="8" hidden="1"/>
    <cellStyle name="ハイパーリンク" xfId="93" builtinId="8" hidden="1"/>
    <cellStyle name="ハイパーリンク" xfId="95" builtinId="8" hidden="1"/>
    <cellStyle name="ハイパーリンク" xfId="97" builtinId="8" hidden="1"/>
    <cellStyle name="ハイパーリンク" xfId="99" builtinId="8" hidden="1"/>
    <cellStyle name="ハイパーリンク" xfId="101" builtinId="8" hidden="1"/>
    <cellStyle name="ハイパーリンク" xfId="103" builtinId="8" hidden="1"/>
    <cellStyle name="ハイパーリンク" xfId="105" builtinId="8" hidden="1"/>
    <cellStyle name="ハイパーリンク" xfId="107" builtinId="8" hidden="1"/>
    <cellStyle name="ハイパーリンク" xfId="109" builtinId="8" hidden="1"/>
    <cellStyle name="ハイパーリンク" xfId="111" builtinId="8" hidden="1"/>
    <cellStyle name="ハイパーリンク" xfId="113" builtinId="8" hidden="1"/>
    <cellStyle name="ハイパーリンク" xfId="115" builtinId="8" hidden="1"/>
    <cellStyle name="ハイパーリンク" xfId="117" builtinId="8" hidden="1"/>
    <cellStyle name="ハイパーリンク" xfId="119" builtinId="8" hidden="1"/>
    <cellStyle name="ハイパーリンク" xfId="121" builtinId="8" hidden="1"/>
    <cellStyle name="ハイパーリンク" xfId="123" builtinId="8" hidden="1"/>
    <cellStyle name="ハイパーリンク" xfId="125" builtinId="8" hidden="1"/>
    <cellStyle name="ハイパーリンク" xfId="127" builtinId="8" hidden="1"/>
    <cellStyle name="ハイパーリンク" xfId="129" builtinId="8" hidden="1"/>
    <cellStyle name="ハイパーリンク" xfId="131" builtinId="8" hidden="1"/>
    <cellStyle name="ハイパーリンク" xfId="133" builtinId="8" hidden="1"/>
    <cellStyle name="ハイパーリンク" xfId="135" builtinId="8" hidden="1"/>
    <cellStyle name="ハイパーリンク" xfId="137" builtinId="8" hidden="1"/>
    <cellStyle name="ハイパーリンク" xfId="139" builtinId="8" hidden="1"/>
    <cellStyle name="ハイパーリンク" xfId="141" builtinId="8" hidden="1"/>
    <cellStyle name="ハイパーリンク" xfId="143" builtinId="8" hidden="1"/>
    <cellStyle name="ハイパーリンク" xfId="145" builtinId="8" hidden="1"/>
    <cellStyle name="ハイパーリンク" xfId="147" builtinId="8" hidden="1"/>
    <cellStyle name="ハイパーリンク" xfId="149" builtinId="8" hidden="1"/>
    <cellStyle name="ハイパーリンク" xfId="151" builtinId="8" hidden="1"/>
    <cellStyle name="ハイパーリンク" xfId="153" builtinId="8" hidden="1"/>
    <cellStyle name="ハイパーリンク" xfId="155" builtinId="8" hidden="1"/>
    <cellStyle name="ハイパーリンク" xfId="157" builtinId="8" hidden="1"/>
    <cellStyle name="ハイパーリンク" xfId="159" builtinId="8" hidden="1"/>
    <cellStyle name="ハイパーリンク" xfId="161" builtinId="8" hidden="1"/>
    <cellStyle name="ハイパーリンク" xfId="163" builtinId="8" hidden="1"/>
    <cellStyle name="ハイパーリンク" xfId="165" builtinId="8" hidden="1"/>
    <cellStyle name="ハイパーリンク" xfId="167" builtinId="8" hidden="1"/>
    <cellStyle name="ハイパーリンク" xfId="169" builtinId="8" hidden="1"/>
    <cellStyle name="ハイパーリンク" xfId="171" builtinId="8" hidden="1"/>
    <cellStyle name="ハイパーリンク" xfId="173" builtinId="8" hidden="1"/>
    <cellStyle name="ハイパーリンク" xfId="175" builtinId="8" hidden="1"/>
    <cellStyle name="ハイパーリンク" xfId="177" builtinId="8" hidden="1"/>
    <cellStyle name="ハイパーリンク" xfId="179" builtinId="8" hidden="1"/>
    <cellStyle name="ハイパーリンク" xfId="181" builtinId="8" hidden="1"/>
    <cellStyle name="ハイパーリンク" xfId="183" builtinId="8" hidden="1"/>
    <cellStyle name="ハイパーリンク" xfId="185" builtinId="8" hidden="1"/>
    <cellStyle name="ハイパーリンク" xfId="187" builtinId="8" hidden="1"/>
    <cellStyle name="ハイパーリンク" xfId="189" builtinId="8" hidden="1"/>
    <cellStyle name="ハイパーリンク" xfId="191" builtinId="8" hidden="1"/>
    <cellStyle name="ハイパーリンク" xfId="193" builtinId="8" hidden="1"/>
    <cellStyle name="ハイパーリンク" xfId="195" builtinId="8" hidden="1"/>
    <cellStyle name="ハイパーリンク" xfId="197" builtinId="8" hidden="1"/>
    <cellStyle name="ハイパーリンク" xfId="199" builtinId="8" hidden="1"/>
    <cellStyle name="ハイパーリンク" xfId="201" builtinId="8" hidden="1"/>
    <cellStyle name="ハイパーリンク" xfId="203" builtinId="8" hidden="1"/>
    <cellStyle name="ハイパーリンク" xfId="205" builtinId="8" hidden="1"/>
    <cellStyle name="ハイパーリンク" xfId="207" builtinId="8" hidden="1"/>
    <cellStyle name="ハイパーリンク" xfId="209" builtinId="8" hidden="1"/>
    <cellStyle name="ハイパーリンク" xfId="211" builtinId="8" hidden="1"/>
    <cellStyle name="ハイパーリンク" xfId="213" builtinId="8" hidden="1"/>
    <cellStyle name="ハイパーリンク" xfId="215" builtinId="8" hidden="1"/>
    <cellStyle name="ハイパーリンク" xfId="217" builtinId="8" hidden="1"/>
    <cellStyle name="ハイパーリンク" xfId="219" builtinId="8" hidden="1"/>
    <cellStyle name="ハイパーリンク" xfId="221" builtinId="8" hidden="1"/>
    <cellStyle name="ハイパーリンク" xfId="223" builtinId="8" hidden="1"/>
    <cellStyle name="ハイパーリンク" xfId="225" builtinId="8" hidden="1"/>
    <cellStyle name="ハイパーリンク" xfId="227" builtinId="8" hidden="1"/>
    <cellStyle name="ハイパーリンク" xfId="229" builtinId="8" hidden="1"/>
    <cellStyle name="ハイパーリンク" xfId="231" builtinId="8" hidden="1"/>
    <cellStyle name="ハイパーリンク" xfId="233" builtinId="8" hidden="1"/>
    <cellStyle name="ハイパーリンク" xfId="235" builtinId="8" hidden="1"/>
    <cellStyle name="ハイパーリンク" xfId="237" builtinId="8" hidden="1"/>
    <cellStyle name="ハイパーリンク" xfId="239" builtinId="8" hidden="1"/>
    <cellStyle name="ハイパーリンク" xfId="241" builtinId="8" hidden="1"/>
    <cellStyle name="ハイパーリンク" xfId="243" builtinId="8" hidden="1"/>
    <cellStyle name="ハイパーリンク" xfId="245" builtinId="8" hidden="1"/>
    <cellStyle name="ハイパーリンク" xfId="247" builtinId="8" hidden="1"/>
    <cellStyle name="ハイパーリンク" xfId="249" builtinId="8" hidden="1"/>
    <cellStyle name="ハイパーリンク" xfId="251" builtinId="8" hidden="1"/>
    <cellStyle name="ハイパーリンク" xfId="253" builtinId="8" hidden="1"/>
    <cellStyle name="ハイパーリンク" xfId="255" builtinId="8" hidden="1"/>
    <cellStyle name="ハイパーリンク" xfId="257" builtinId="8" hidden="1"/>
    <cellStyle name="ハイパーリンク" xfId="259" builtinId="8" hidden="1"/>
    <cellStyle name="ハイパーリンク" xfId="261" builtinId="8" hidden="1"/>
    <cellStyle name="ハイパーリンク" xfId="263" builtinId="8" hidden="1"/>
    <cellStyle name="ハイパーリンク" xfId="265" builtinId="8" hidden="1"/>
    <cellStyle name="ハイパーリンク" xfId="267" builtinId="8" hidden="1"/>
    <cellStyle name="ハイパーリンク" xfId="269" builtinId="8" hidden="1"/>
    <cellStyle name="ハイパーリンク" xfId="271" builtinId="8" hidden="1"/>
    <cellStyle name="ハイパーリンク" xfId="273" builtinId="8" hidden="1"/>
    <cellStyle name="ハイパーリンク" xfId="275" builtinId="8" hidden="1"/>
    <cellStyle name="ハイパーリンク" xfId="277" builtinId="8" hidden="1"/>
    <cellStyle name="ハイパーリンク" xfId="279" builtinId="8" hidden="1"/>
    <cellStyle name="ハイパーリンク" xfId="281" builtinId="8" hidden="1"/>
    <cellStyle name="ハイパーリンク" xfId="283" builtinId="8" hidden="1"/>
    <cellStyle name="ハイパーリンク" xfId="285" builtinId="8" hidden="1"/>
    <cellStyle name="ハイパーリンク" xfId="287" builtinId="8" hidden="1"/>
    <cellStyle name="ハイパーリンク" xfId="289" builtinId="8" hidden="1"/>
    <cellStyle name="ハイパーリンク" xfId="291" builtinId="8" hidden="1"/>
    <cellStyle name="ハイパーリンク" xfId="293" builtinId="8" hidden="1"/>
    <cellStyle name="ハイパーリンク" xfId="295" builtinId="8" hidden="1"/>
    <cellStyle name="ハイパーリンク" xfId="297" builtinId="8" hidden="1"/>
    <cellStyle name="ハイパーリンク" xfId="299" builtinId="8" hidden="1"/>
    <cellStyle name="ハイパーリンク" xfId="301" builtinId="8" hidden="1"/>
    <cellStyle name="ハイパーリンク" xfId="303" builtinId="8" hidden="1"/>
    <cellStyle name="ハイパーリンク" xfId="305" builtinId="8" hidden="1"/>
    <cellStyle name="ハイパーリンク" xfId="307" builtinId="8" hidden="1"/>
    <cellStyle name="ハイパーリンク" xfId="309" builtinId="8" hidden="1"/>
    <cellStyle name="ハイパーリンク" xfId="311" builtinId="8" hidden="1"/>
    <cellStyle name="ハイパーリンク" xfId="313" builtinId="8" hidden="1"/>
    <cellStyle name="ハイパーリンク" xfId="315" builtinId="8" hidden="1"/>
    <cellStyle name="ハイパーリンク" xfId="317" builtinId="8" hidden="1"/>
    <cellStyle name="ハイパーリンク" xfId="319" builtinId="8" hidden="1"/>
    <cellStyle name="ハイパーリンク" xfId="321" builtinId="8" hidden="1"/>
    <cellStyle name="ハイパーリンク" xfId="323" builtinId="8" hidden="1"/>
    <cellStyle name="ハイパーリンク" xfId="325" builtinId="8" hidden="1"/>
    <cellStyle name="ハイパーリンク" xfId="327" builtinId="8" hidden="1"/>
    <cellStyle name="ハイパーリンク" xfId="329" builtinId="8" hidden="1"/>
    <cellStyle name="ハイパーリンク" xfId="331" builtinId="8" hidden="1"/>
    <cellStyle name="ハイパーリンク" xfId="333" builtinId="8" hidden="1"/>
    <cellStyle name="ハイパーリンク" xfId="335" builtinId="8" hidden="1"/>
    <cellStyle name="ハイパーリンク" xfId="337" builtinId="8" hidden="1"/>
    <cellStyle name="ハイパーリンク" xfId="339" builtinId="8" hidden="1"/>
    <cellStyle name="ハイパーリンク" xfId="341" builtinId="8" hidden="1"/>
    <cellStyle name="ハイパーリンク" xfId="343" builtinId="8" hidden="1"/>
    <cellStyle name="ハイパーリンク" xfId="345" builtinId="8" hidden="1"/>
    <cellStyle name="ハイパーリンク" xfId="347" builtinId="8" hidden="1"/>
    <cellStyle name="ハイパーリンク" xfId="349" builtinId="8" hidden="1"/>
    <cellStyle name="ハイパーリンク" xfId="351" builtinId="8" hidden="1"/>
    <cellStyle name="ハイパーリンク" xfId="353" builtinId="8" hidden="1"/>
    <cellStyle name="ハイパーリンク" xfId="355" builtinId="8" hidden="1"/>
    <cellStyle name="ハイパーリンク" xfId="357" builtinId="8" hidden="1"/>
    <cellStyle name="ハイパーリンク" xfId="359" builtinId="8" hidden="1"/>
    <cellStyle name="ハイパーリンク" xfId="361" builtinId="8" hidden="1"/>
    <cellStyle name="ハイパーリンク" xfId="363" builtinId="8" hidden="1"/>
    <cellStyle name="ハイパーリンク" xfId="365" builtinId="8" hidden="1"/>
    <cellStyle name="ハイパーリンク" xfId="367" builtinId="8" hidden="1"/>
    <cellStyle name="ハイパーリンク" xfId="369" builtinId="8" hidden="1"/>
    <cellStyle name="ハイパーリンク" xfId="371" builtinId="8" hidden="1"/>
    <cellStyle name="ハイパーリンク" xfId="373" builtinId="8" hidden="1"/>
    <cellStyle name="ハイパーリンク" xfId="375" builtinId="8" hidden="1"/>
    <cellStyle name="ハイパーリンク" xfId="377" builtinId="8" hidden="1"/>
    <cellStyle name="ハイパーリンク" xfId="379" builtinId="8" hidden="1"/>
    <cellStyle name="ハイパーリンク" xfId="381" builtinId="8" hidden="1"/>
    <cellStyle name="ハイパーリンク" xfId="383" builtinId="8" hidden="1"/>
    <cellStyle name="ハイパーリンク" xfId="385" builtinId="8" hidden="1"/>
    <cellStyle name="ハイパーリンク" xfId="387" builtinId="8" hidden="1"/>
    <cellStyle name="ハイパーリンク" xfId="389" builtinId="8" hidden="1"/>
    <cellStyle name="ハイパーリンク" xfId="391" builtinId="8" hidden="1"/>
    <cellStyle name="ハイパーリンク" xfId="393" builtinId="8" hidden="1"/>
    <cellStyle name="ハイパーリンク" xfId="395" builtinId="8" hidden="1"/>
    <cellStyle name="ハイパーリンク" xfId="397" builtinId="8" hidden="1"/>
    <cellStyle name="ハイパーリンク" xfId="399" builtinId="8" hidden="1"/>
    <cellStyle name="ハイパーリンク" xfId="401" builtinId="8" hidden="1"/>
    <cellStyle name="ハイパーリンク" xfId="403" builtinId="8" hidden="1"/>
    <cellStyle name="ハイパーリンク" xfId="405" builtinId="8" hidden="1"/>
    <cellStyle name="ハイパーリンク" xfId="407" builtinId="8" hidden="1"/>
    <cellStyle name="ハイパーリンク" xfId="409" builtinId="8" hidden="1"/>
    <cellStyle name="ハイパーリンク" xfId="411" builtinId="8" hidden="1"/>
    <cellStyle name="ハイパーリンク" xfId="413" builtinId="8" hidden="1"/>
    <cellStyle name="ハイパーリンク" xfId="415" builtinId="8" hidden="1"/>
    <cellStyle name="ハイパーリンク" xfId="417" builtinId="8" hidden="1"/>
    <cellStyle name="ハイパーリンク" xfId="419" builtinId="8" hidden="1"/>
    <cellStyle name="ハイパーリンク" xfId="421" builtinId="8" hidden="1"/>
    <cellStyle name="ハイパーリンク" xfId="423" builtinId="8" hidden="1"/>
    <cellStyle name="ハイパーリンク" xfId="425" builtinId="8" hidden="1"/>
    <cellStyle name="ハイパーリンク" xfId="427" builtinId="8" hidden="1"/>
    <cellStyle name="ハイパーリンク" xfId="429" builtinId="8" hidden="1"/>
    <cellStyle name="ハイパーリンク" xfId="431" builtinId="8" hidden="1"/>
    <cellStyle name="ハイパーリンク" xfId="433" builtinId="8" hidden="1"/>
    <cellStyle name="ハイパーリンク" xfId="435" builtinId="8" hidden="1"/>
    <cellStyle name="ハイパーリンク" xfId="437" builtinId="8" hidden="1"/>
    <cellStyle name="ハイパーリンク" xfId="439" builtinId="8" hidden="1"/>
    <cellStyle name="ハイパーリンク" xfId="441" builtinId="8" hidden="1"/>
    <cellStyle name="ハイパーリンク" xfId="443" builtinId="8" hidden="1"/>
    <cellStyle name="ハイパーリンク" xfId="445" builtinId="8" hidden="1"/>
    <cellStyle name="ハイパーリンク" xfId="447" builtinId="8" hidden="1"/>
    <cellStyle name="ハイパーリンク" xfId="449" builtinId="8" hidden="1"/>
    <cellStyle name="ハイパーリンク" xfId="451" builtinId="8" hidden="1"/>
    <cellStyle name="ハイパーリンク" xfId="453" builtinId="8" hidden="1"/>
    <cellStyle name="ハイパーリンク" xfId="455" builtinId="8" hidden="1"/>
    <cellStyle name="ハイパーリンク" xfId="457" builtinId="8" hidden="1"/>
    <cellStyle name="ハイパーリンク" xfId="459" builtinId="8" hidden="1"/>
    <cellStyle name="ハイパーリンク" xfId="461" builtinId="8" hidden="1"/>
    <cellStyle name="ハイパーリンク" xfId="463" builtinId="8" hidden="1"/>
    <cellStyle name="ハイパーリンク" xfId="465" builtinId="8" hidden="1"/>
    <cellStyle name="ハイパーリンク" xfId="467" builtinId="8" hidden="1"/>
    <cellStyle name="ハイパーリンク" xfId="469" builtinId="8" hidden="1"/>
    <cellStyle name="ハイパーリンク" xfId="471" builtinId="8" hidden="1"/>
    <cellStyle name="ハイパーリンク" xfId="473" builtinId="8" hidden="1"/>
    <cellStyle name="ハイパーリンク" xfId="475" builtinId="8" hidden="1"/>
    <cellStyle name="ハイパーリンク" xfId="477" builtinId="8" hidden="1"/>
    <cellStyle name="ハイパーリンク" xfId="479" builtinId="8" hidden="1"/>
    <cellStyle name="ハイパーリンク" xfId="481" builtinId="8" hidden="1"/>
    <cellStyle name="ハイパーリンク" xfId="483" builtinId="8" hidden="1"/>
    <cellStyle name="ハイパーリンク" xfId="485" builtinId="8" hidden="1"/>
    <cellStyle name="ハイパーリンク" xfId="487" builtinId="8" hidden="1"/>
    <cellStyle name="ハイパーリンク" xfId="489" builtinId="8" hidden="1"/>
    <cellStyle name="ハイパーリンク" xfId="491" builtinId="8" hidden="1"/>
    <cellStyle name="ハイパーリンク" xfId="493" builtinId="8" hidden="1"/>
    <cellStyle name="ハイパーリンク" xfId="495" builtinId="8" hidden="1"/>
    <cellStyle name="ハイパーリンク" xfId="497" builtinId="8" hidden="1"/>
    <cellStyle name="ハイパーリンク" xfId="499" builtinId="8" hidden="1"/>
    <cellStyle name="ハイパーリンク" xfId="501" builtinId="8" hidden="1"/>
    <cellStyle name="ハイパーリンク" xfId="503" builtinId="8" hidden="1"/>
    <cellStyle name="ハイパーリンク" xfId="505" builtinId="8" hidden="1"/>
    <cellStyle name="ハイパーリンク" xfId="507" builtinId="8" hidden="1"/>
    <cellStyle name="ハイパーリンク" xfId="509" builtinId="8" hidden="1"/>
    <cellStyle name="ハイパーリンク" xfId="511" builtinId="8" hidden="1"/>
    <cellStyle name="ハイパーリンク" xfId="513" builtinId="8" hidden="1"/>
    <cellStyle name="ハイパーリンク" xfId="515" builtinId="8" hidden="1"/>
    <cellStyle name="ハイパーリンク" xfId="517" builtinId="8" hidden="1"/>
    <cellStyle name="ハイパーリンク" xfId="519" builtinId="8" hidden="1"/>
    <cellStyle name="ハイパーリンク" xfId="521" builtinId="8" hidden="1"/>
    <cellStyle name="ハイパーリンク" xfId="523" builtinId="8" hidden="1"/>
    <cellStyle name="ハイパーリンク" xfId="525" builtinId="8" hidden="1"/>
    <cellStyle name="ハイパーリンク" xfId="527" builtinId="8" hidden="1"/>
    <cellStyle name="ハイパーリンク" xfId="529" builtinId="8" hidden="1"/>
    <cellStyle name="ハイパーリンク" xfId="531" builtinId="8" hidden="1"/>
    <cellStyle name="ハイパーリンク" xfId="533" builtinId="8" hidden="1"/>
    <cellStyle name="ハイパーリンク" xfId="535" builtinId="8" hidden="1"/>
    <cellStyle name="ハイパーリンク" xfId="537" builtinId="8" hidden="1"/>
    <cellStyle name="ハイパーリンク" xfId="539" builtinId="8" hidden="1"/>
    <cellStyle name="ハイパーリンク" xfId="541" builtinId="8" hidden="1"/>
    <cellStyle name="ハイパーリンク" xfId="543" builtinId="8" hidden="1"/>
    <cellStyle name="ハイパーリンク" xfId="545" builtinId="8" hidden="1"/>
    <cellStyle name="ハイパーリンク" xfId="547" builtinId="8" hidden="1"/>
    <cellStyle name="ハイパーリンク" xfId="549" builtinId="8" hidden="1"/>
    <cellStyle name="ハイパーリンク" xfId="551" builtinId="8" hidden="1"/>
    <cellStyle name="ハイパーリンク" xfId="553" builtinId="8" hidden="1"/>
    <cellStyle name="ハイパーリンク" xfId="555" builtinId="8" hidden="1"/>
    <cellStyle name="ハイパーリンク" xfId="557" builtinId="8" hidden="1"/>
    <cellStyle name="ハイパーリンク" xfId="559" builtinId="8" hidden="1"/>
    <cellStyle name="ハイパーリンク" xfId="561" builtinId="8" hidden="1"/>
    <cellStyle name="ハイパーリンク" xfId="563" builtinId="8" hidden="1"/>
    <cellStyle name="ハイパーリンク" xfId="565" builtinId="8" hidden="1"/>
    <cellStyle name="ハイパーリンク" xfId="567" builtinId="8" hidden="1"/>
    <cellStyle name="ハイパーリンク" xfId="569" builtinId="8" hidden="1"/>
    <cellStyle name="ハイパーリンク" xfId="571" builtinId="8" hidden="1"/>
    <cellStyle name="ハイパーリンク" xfId="573" builtinId="8" hidden="1"/>
    <cellStyle name="ハイパーリンク" xfId="575" builtinId="8" hidden="1"/>
    <cellStyle name="ハイパーリンク" xfId="577" builtinId="8" hidden="1"/>
    <cellStyle name="ハイパーリンク" xfId="579" builtinId="8" hidden="1"/>
    <cellStyle name="ハイパーリンク" xfId="581" builtinId="8" hidden="1"/>
    <cellStyle name="ハイパーリンク" xfId="583" builtinId="8" hidden="1"/>
    <cellStyle name="ハイパーリンク" xfId="585" builtinId="8" hidden="1"/>
    <cellStyle name="ハイパーリンク" xfId="587" builtinId="8" hidden="1"/>
    <cellStyle name="ハイパーリンク" xfId="589" builtinId="8" hidden="1"/>
    <cellStyle name="ハイパーリンク" xfId="591" builtinId="8" hidden="1"/>
    <cellStyle name="ハイパーリンク" xfId="593" builtinId="8" hidden="1"/>
    <cellStyle name="ハイパーリンク" xfId="595" builtinId="8" hidden="1"/>
    <cellStyle name="ハイパーリンク" xfId="597" builtinId="8" hidden="1"/>
    <cellStyle name="ハイパーリンク" xfId="599" builtinId="8" hidden="1"/>
    <cellStyle name="ハイパーリンク" xfId="601" builtinId="8" hidden="1"/>
    <cellStyle name="ハイパーリンク" xfId="603" builtinId="8" hidden="1"/>
    <cellStyle name="ハイパーリンク" xfId="605" builtinId="8" hidden="1"/>
    <cellStyle name="ハイパーリンク" xfId="607" builtinId="8" hidden="1"/>
    <cellStyle name="ハイパーリンク" xfId="609" builtinId="8" hidden="1"/>
    <cellStyle name="ハイパーリンク" xfId="611" builtinId="8" hidden="1"/>
    <cellStyle name="ハイパーリンク" xfId="613" builtinId="8" hidden="1"/>
    <cellStyle name="ハイパーリンク" xfId="615" builtinId="8" hidden="1"/>
    <cellStyle name="ハイパーリンク" xfId="617" builtinId="8" hidden="1"/>
    <cellStyle name="ハイパーリンク" xfId="619" builtinId="8" hidden="1"/>
    <cellStyle name="ハイパーリンク" xfId="621" builtinId="8" hidden="1"/>
    <cellStyle name="ハイパーリンク" xfId="623" builtinId="8" hidden="1"/>
    <cellStyle name="ハイパーリンク" xfId="625" builtinId="8" hidden="1"/>
    <cellStyle name="ハイパーリンク" xfId="627" builtinId="8" hidden="1"/>
    <cellStyle name="ハイパーリンク" xfId="629" builtinId="8" hidden="1"/>
    <cellStyle name="ハイパーリンク" xfId="631" builtinId="8" hidden="1"/>
    <cellStyle name="ハイパーリンク" xfId="633" builtinId="8" hidden="1"/>
    <cellStyle name="ハイパーリンク" xfId="635" builtinId="8" hidden="1"/>
    <cellStyle name="ハイパーリンク" xfId="637" builtinId="8" hidden="1"/>
    <cellStyle name="ハイパーリンク" xfId="639" builtinId="8" hidden="1"/>
    <cellStyle name="ハイパーリンク" xfId="641" builtinId="8" hidden="1"/>
    <cellStyle name="ハイパーリンク" xfId="643" builtinId="8" hidden="1"/>
    <cellStyle name="ハイパーリンク" xfId="645" builtinId="8" hidden="1"/>
    <cellStyle name="ハイパーリンク" xfId="647" builtinId="8" hidden="1"/>
    <cellStyle name="ハイパーリンク" xfId="649" builtinId="8" hidden="1"/>
    <cellStyle name="ハイパーリンク" xfId="651" builtinId="8" hidden="1"/>
    <cellStyle name="ハイパーリンク" xfId="653" builtinId="8" hidden="1"/>
    <cellStyle name="ハイパーリンク" xfId="655" builtinId="8" hidden="1"/>
    <cellStyle name="ハイパーリンク" xfId="657" builtinId="8" hidden="1"/>
    <cellStyle name="ハイパーリンク" xfId="659" builtinId="8" hidden="1"/>
    <cellStyle name="ハイパーリンク" xfId="661" builtinId="8" hidden="1"/>
    <cellStyle name="ハイパーリンク" xfId="663" builtinId="8" hidden="1"/>
    <cellStyle name="ハイパーリンク" xfId="665" builtinId="8" hidden="1"/>
    <cellStyle name="ハイパーリンク" xfId="667" builtinId="8" hidden="1"/>
    <cellStyle name="ハイパーリンク" xfId="669" builtinId="8" hidden="1"/>
    <cellStyle name="ハイパーリンク" xfId="671" builtinId="8" hidden="1"/>
    <cellStyle name="ハイパーリンク" xfId="673" builtinId="8" hidden="1"/>
    <cellStyle name="ハイパーリンク" xfId="675" builtinId="8" hidden="1"/>
    <cellStyle name="ハイパーリンク" xfId="677" builtinId="8" hidden="1"/>
    <cellStyle name="ハイパーリンク" xfId="679" builtinId="8" hidden="1"/>
    <cellStyle name="ハイパーリンク" xfId="681" builtinId="8" hidden="1"/>
    <cellStyle name="ハイパーリンク" xfId="683" builtinId="8" hidden="1"/>
    <cellStyle name="ハイパーリンク" xfId="685" builtinId="8" hidden="1"/>
    <cellStyle name="ハイパーリンク" xfId="687" builtinId="8" hidden="1"/>
    <cellStyle name="ハイパーリンク" xfId="689" builtinId="8" hidden="1"/>
    <cellStyle name="ハイパーリンク" xfId="691" builtinId="8" hidden="1"/>
    <cellStyle name="ハイパーリンク" xfId="693" builtinId="8" hidden="1"/>
    <cellStyle name="ハイパーリンク" xfId="695" builtinId="8" hidden="1"/>
    <cellStyle name="ハイパーリンク" xfId="697" builtinId="8" hidden="1"/>
    <cellStyle name="ハイパーリンク" xfId="699" builtinId="8" hidden="1"/>
    <cellStyle name="ハイパーリンク" xfId="701" builtinId="8" hidden="1"/>
    <cellStyle name="ハイパーリンク" xfId="703" builtinId="8" hidden="1"/>
    <cellStyle name="ハイパーリンク" xfId="705" builtinId="8" hidden="1"/>
    <cellStyle name="ハイパーリンク" xfId="707" builtinId="8" hidden="1"/>
    <cellStyle name="ハイパーリンク" xfId="709" builtinId="8" hidden="1"/>
    <cellStyle name="ハイパーリンク" xfId="711" builtinId="8" hidden="1"/>
    <cellStyle name="ハイパーリンク" xfId="713" builtinId="8" hidden="1"/>
    <cellStyle name="ハイパーリンク" xfId="715" builtinId="8" hidden="1"/>
    <cellStyle name="ハイパーリンク" xfId="717" builtinId="8" hidden="1"/>
    <cellStyle name="ハイパーリンク" xfId="719" builtinId="8" hidden="1"/>
    <cellStyle name="ハイパーリンク" xfId="721" builtinId="8" hidden="1"/>
    <cellStyle name="ハイパーリンク" xfId="723" builtinId="8" hidden="1"/>
    <cellStyle name="ハイパーリンク" xfId="725" builtinId="8" hidden="1"/>
    <cellStyle name="ハイパーリンク" xfId="727" builtinId="8" hidden="1"/>
    <cellStyle name="ハイパーリンク" xfId="729" builtinId="8" hidden="1"/>
    <cellStyle name="ハイパーリンク" xfId="731" builtinId="8" hidden="1"/>
    <cellStyle name="ハイパーリンク" xfId="733" builtinId="8" hidden="1"/>
    <cellStyle name="ハイパーリンク" xfId="735" builtinId="8" hidden="1"/>
    <cellStyle name="ハイパーリンク" xfId="737" builtinId="8" hidden="1"/>
    <cellStyle name="ハイパーリンク" xfId="739" builtinId="8" hidden="1"/>
    <cellStyle name="ハイパーリンク" xfId="741" builtinId="8" hidden="1"/>
    <cellStyle name="ハイパーリンク" xfId="743" builtinId="8" hidden="1"/>
    <cellStyle name="ハイパーリンク" xfId="745" builtinId="8" hidden="1"/>
    <cellStyle name="ハイパーリンク" xfId="747" builtinId="8" hidden="1"/>
    <cellStyle name="ハイパーリンク" xfId="749" builtinId="8" hidden="1"/>
    <cellStyle name="ハイパーリンク" xfId="751" builtinId="8" hidden="1"/>
    <cellStyle name="ハイパーリンク" xfId="753" builtinId="8" hidden="1"/>
    <cellStyle name="ハイパーリンク" xfId="755" builtinId="8" hidden="1"/>
    <cellStyle name="ハイパーリンク" xfId="757" builtinId="8" hidden="1"/>
    <cellStyle name="ハイパーリンク" xfId="759" builtinId="8" hidden="1"/>
    <cellStyle name="ハイパーリンク" xfId="761" builtinId="8" hidden="1"/>
    <cellStyle name="ハイパーリンク" xfId="763" builtinId="8" hidden="1"/>
    <cellStyle name="ハイパーリンク" xfId="765" builtinId="8" hidden="1"/>
    <cellStyle name="ハイパーリンク" xfId="767" builtinId="8" hidden="1"/>
    <cellStyle name="ハイパーリンク" xfId="769" builtinId="8" hidden="1"/>
    <cellStyle name="ハイパーリンク" xfId="771" builtinId="8" hidden="1"/>
    <cellStyle name="ハイパーリンク" xfId="773" builtinId="8" hidden="1"/>
    <cellStyle name="ハイパーリンク" xfId="775" builtinId="8" hidden="1"/>
    <cellStyle name="ハイパーリンク" xfId="777" builtinId="8" hidden="1"/>
    <cellStyle name="ハイパーリンク" xfId="779" builtinId="8" hidden="1"/>
    <cellStyle name="ハイパーリンク" xfId="781" builtinId="8" hidden="1"/>
    <cellStyle name="ハイパーリンク" xfId="783" builtinId="8" hidden="1"/>
    <cellStyle name="ハイパーリンク" xfId="785" builtinId="8" hidden="1"/>
    <cellStyle name="ハイパーリンク" xfId="787" builtinId="8" hidden="1"/>
    <cellStyle name="ハイパーリンク" xfId="789" builtinId="8" hidden="1"/>
    <cellStyle name="ハイパーリンク" xfId="791" builtinId="8" hidden="1"/>
    <cellStyle name="ハイパーリンク" xfId="793" builtinId="8" hidden="1"/>
    <cellStyle name="ハイパーリンク" xfId="795" builtinId="8" hidden="1"/>
    <cellStyle name="ハイパーリンク" xfId="797" builtinId="8" hidden="1"/>
    <cellStyle name="ハイパーリンク" xfId="799" builtinId="8" hidden="1"/>
    <cellStyle name="ハイパーリンク" xfId="801" builtinId="8" hidden="1"/>
    <cellStyle name="ハイパーリンク" xfId="803" builtinId="8" hidden="1"/>
    <cellStyle name="ハイパーリンク" xfId="805" builtinId="8" hidden="1"/>
    <cellStyle name="ハイパーリンク" xfId="807" builtinId="8" hidden="1"/>
    <cellStyle name="ハイパーリンク" xfId="809" builtinId="8" hidden="1"/>
    <cellStyle name="ハイパーリンク" xfId="811" builtinId="8" hidden="1"/>
    <cellStyle name="ハイパーリンク" xfId="813" builtinId="8" hidden="1"/>
    <cellStyle name="ハイパーリンク" xfId="815" builtinId="8" hidden="1"/>
    <cellStyle name="ハイパーリンク" xfId="817" builtinId="8" hidden="1"/>
    <cellStyle name="ハイパーリンク" xfId="819" builtinId="8" hidden="1"/>
    <cellStyle name="ハイパーリンク" xfId="821" builtinId="8" hidden="1"/>
    <cellStyle name="ハイパーリンク" xfId="823" builtinId="8" hidden="1"/>
    <cellStyle name="ハイパーリンク" xfId="825" builtinId="8" hidden="1"/>
    <cellStyle name="ハイパーリンク" xfId="827" builtinId="8" hidden="1"/>
    <cellStyle name="ハイパーリンク" xfId="829" builtinId="8" hidden="1"/>
    <cellStyle name="ハイパーリンク" xfId="831" builtinId="8" hidden="1"/>
    <cellStyle name="ハイパーリンク" xfId="833" builtinId="8" hidden="1"/>
    <cellStyle name="ハイパーリンク" xfId="835" builtinId="8" hidden="1"/>
    <cellStyle name="ハイパーリンク" xfId="837" builtinId="8" hidden="1"/>
    <cellStyle name="ハイパーリンク" xfId="839" builtinId="8" hidden="1"/>
    <cellStyle name="ハイパーリンク" xfId="841" builtinId="8" hidden="1"/>
    <cellStyle name="ハイパーリンク" xfId="843" builtinId="8" hidden="1"/>
    <cellStyle name="ハイパーリンク" xfId="845" builtinId="8" hidden="1"/>
    <cellStyle name="ハイパーリンク" xfId="847" builtinId="8" hidden="1"/>
    <cellStyle name="ハイパーリンク" xfId="849" builtinId="8" hidden="1"/>
    <cellStyle name="ハイパーリンク" xfId="851" builtinId="8" hidden="1"/>
    <cellStyle name="ハイパーリンク" xfId="853" builtinId="8" hidden="1"/>
    <cellStyle name="ハイパーリンク" xfId="855" builtinId="8" hidden="1"/>
    <cellStyle name="ハイパーリンク" xfId="857" builtinId="8" hidden="1"/>
    <cellStyle name="ハイパーリンク" xfId="859" builtinId="8" hidden="1"/>
    <cellStyle name="ハイパーリンク" xfId="861" builtinId="8" hidden="1"/>
    <cellStyle name="ハイパーリンク" xfId="863" builtinId="8" hidden="1"/>
    <cellStyle name="ハイパーリンク" xfId="865" builtinId="8" hidden="1"/>
    <cellStyle name="ハイパーリンク" xfId="867" builtinId="8" hidden="1"/>
    <cellStyle name="ハイパーリンク" xfId="869" builtinId="8" hidden="1"/>
    <cellStyle name="ハイパーリンク" xfId="871" builtinId="8" hidden="1"/>
    <cellStyle name="ハイパーリンク" xfId="873" builtinId="8" hidden="1"/>
    <cellStyle name="ハイパーリンク" xfId="875" builtinId="8" hidden="1"/>
    <cellStyle name="ハイパーリンク" xfId="877" builtinId="8" hidden="1"/>
    <cellStyle name="ハイパーリンク" xfId="879" builtinId="8" hidden="1"/>
    <cellStyle name="ハイパーリンク" xfId="881" builtinId="8" hidden="1"/>
    <cellStyle name="ハイパーリンク" xfId="883" builtinId="8" hidden="1"/>
    <cellStyle name="ハイパーリンク" xfId="885" builtinId="8" hidden="1"/>
    <cellStyle name="ハイパーリンク" xfId="887" builtinId="8" hidden="1"/>
    <cellStyle name="ハイパーリンク" xfId="889" builtinId="8" hidden="1"/>
    <cellStyle name="ハイパーリンク" xfId="891" builtinId="8" hidden="1"/>
    <cellStyle name="ハイパーリンク" xfId="893" builtinId="8" hidden="1"/>
    <cellStyle name="ハイパーリンク" xfId="895" builtinId="8" hidden="1"/>
    <cellStyle name="ハイパーリンク" xfId="897" builtinId="8" hidden="1"/>
    <cellStyle name="ハイパーリンク" xfId="899" builtinId="8" hidden="1"/>
    <cellStyle name="ハイパーリンク" xfId="901" builtinId="8" hidden="1"/>
    <cellStyle name="ハイパーリンク" xfId="903" builtinId="8" hidden="1"/>
    <cellStyle name="ハイパーリンク" xfId="905" builtinId="8" hidden="1"/>
    <cellStyle name="ハイパーリンク" xfId="907" builtinId="8" hidden="1"/>
    <cellStyle name="ハイパーリンク" xfId="909" builtinId="8" hidden="1"/>
    <cellStyle name="ハイパーリンク" xfId="911" builtinId="8" hidden="1"/>
    <cellStyle name="ハイパーリンク" xfId="913" builtinId="8" hidden="1"/>
    <cellStyle name="ハイパーリンク" xfId="915" builtinId="8" hidden="1"/>
    <cellStyle name="ハイパーリンク" xfId="917" builtinId="8" hidden="1"/>
    <cellStyle name="ハイパーリンク" xfId="919" builtinId="8" hidden="1"/>
    <cellStyle name="ハイパーリンク" xfId="921" builtinId="8" hidden="1"/>
    <cellStyle name="ハイパーリンク" xfId="923" builtinId="8" hidden="1"/>
    <cellStyle name="ハイパーリンク" xfId="925" builtinId="8" hidden="1"/>
    <cellStyle name="ハイパーリンク" xfId="927" builtinId="8" hidden="1"/>
    <cellStyle name="ハイパーリンク" xfId="929" builtinId="8" hidden="1"/>
    <cellStyle name="ハイパーリンク" xfId="931" builtinId="8" hidden="1"/>
    <cellStyle name="ハイパーリンク" xfId="933" builtinId="8" hidden="1"/>
    <cellStyle name="ハイパーリンク" xfId="935" builtinId="8" hidden="1"/>
    <cellStyle name="ハイパーリンク" xfId="937" builtinId="8" hidden="1"/>
    <cellStyle name="ハイパーリンク" xfId="939" builtinId="8" hidden="1"/>
    <cellStyle name="ハイパーリンク" xfId="941" builtinId="8" hidden="1"/>
    <cellStyle name="ハイパーリンク" xfId="943" builtinId="8" hidden="1"/>
    <cellStyle name="ハイパーリンク" xfId="945" builtinId="8" hidden="1"/>
    <cellStyle name="ハイパーリンク" xfId="947" builtinId="8" hidden="1"/>
    <cellStyle name="ハイパーリンク" xfId="949" builtinId="8" hidden="1"/>
    <cellStyle name="ハイパーリンク" xfId="951" builtinId="8" hidden="1"/>
    <cellStyle name="ハイパーリンク" xfId="953" builtinId="8" hidden="1"/>
    <cellStyle name="ハイパーリンク" xfId="955" builtinId="8" hidden="1"/>
    <cellStyle name="ハイパーリンク" xfId="957" builtinId="8" hidden="1"/>
    <cellStyle name="ハイパーリンク" xfId="959" builtinId="8" hidden="1"/>
    <cellStyle name="ハイパーリンク" xfId="961" builtinId="8" hidden="1"/>
    <cellStyle name="ハイパーリンク" xfId="963" builtinId="8" hidden="1"/>
    <cellStyle name="ハイパーリンク" xfId="965" builtinId="8" hidden="1"/>
    <cellStyle name="ハイパーリンク" xfId="967" builtinId="8" hidden="1"/>
    <cellStyle name="ハイパーリンク" xfId="969" builtinId="8" hidden="1"/>
    <cellStyle name="ハイパーリンク" xfId="971" builtinId="8" hidden="1"/>
    <cellStyle name="ハイパーリンク" xfId="973" builtinId="8" hidden="1"/>
    <cellStyle name="ハイパーリンク" xfId="975" builtinId="8" hidden="1"/>
    <cellStyle name="ハイパーリンク" xfId="977" builtinId="8" hidden="1"/>
    <cellStyle name="ハイパーリンク" xfId="979" builtinId="8" hidden="1"/>
    <cellStyle name="ハイパーリンク" xfId="981" builtinId="8" hidden="1"/>
    <cellStyle name="ハイパーリンク" xfId="983" builtinId="8" hidden="1"/>
    <cellStyle name="ハイパーリンク" xfId="985" builtinId="8" hidden="1"/>
    <cellStyle name="ハイパーリンク" xfId="987" builtinId="8" hidden="1"/>
    <cellStyle name="ハイパーリンク" xfId="989" builtinId="8" hidden="1"/>
    <cellStyle name="ハイパーリンク" xfId="991" builtinId="8" hidden="1"/>
    <cellStyle name="ハイパーリンク" xfId="993" builtinId="8" hidden="1"/>
    <cellStyle name="ハイパーリンク" xfId="995" builtinId="8" hidden="1"/>
    <cellStyle name="ハイパーリンク" xfId="997" builtinId="8" hidden="1"/>
    <cellStyle name="ハイパーリンク" xfId="999" builtinId="8" hidden="1"/>
    <cellStyle name="ハイパーリンク" xfId="1001" builtinId="8" hidden="1"/>
    <cellStyle name="ハイパーリンク" xfId="1003" builtinId="8" hidden="1"/>
    <cellStyle name="ハイパーリンク" xfId="1005" builtinId="8" hidden="1"/>
    <cellStyle name="ハイパーリンク" xfId="1007" builtinId="8" hidden="1"/>
    <cellStyle name="ハイパーリンク" xfId="1009" builtinId="8" hidden="1"/>
    <cellStyle name="ハイパーリンク" xfId="1011" builtinId="8" hidden="1"/>
    <cellStyle name="ハイパーリンク" xfId="1013" builtinId="8" hidden="1"/>
    <cellStyle name="ハイパーリンク" xfId="1015" builtinId="8" hidden="1"/>
    <cellStyle name="ハイパーリンク" xfId="1017" builtinId="8" hidden="1"/>
    <cellStyle name="ハイパーリンク" xfId="1019" builtinId="8" hidden="1"/>
    <cellStyle name="ハイパーリンク" xfId="1021" builtinId="8" hidden="1"/>
    <cellStyle name="ハイパーリンク" xfId="1023" builtinId="8" hidden="1"/>
    <cellStyle name="ハイパーリンク" xfId="1025" builtinId="8" hidden="1"/>
    <cellStyle name="ハイパーリンク" xfId="1027" builtinId="8" hidden="1"/>
    <cellStyle name="ハイパーリンク" xfId="1029" builtinId="8" hidden="1"/>
    <cellStyle name="ハイパーリンク" xfId="1031" builtinId="8" hidden="1"/>
    <cellStyle name="ハイパーリンク" xfId="1033" builtinId="8" hidden="1"/>
    <cellStyle name="ハイパーリンク" xfId="1035" builtinId="8" hidden="1"/>
    <cellStyle name="ハイパーリンク" xfId="1037" builtinId="8" hidden="1"/>
    <cellStyle name="ハイパーリンク" xfId="1039" builtinId="8" hidden="1"/>
    <cellStyle name="ハイパーリンク" xfId="1041" builtinId="8" hidden="1"/>
    <cellStyle name="ハイパーリンク" xfId="1043" builtinId="8" hidden="1"/>
    <cellStyle name="ハイパーリンク" xfId="1045" builtinId="8" hidden="1"/>
    <cellStyle name="ハイパーリンク" xfId="1047" builtinId="8" hidden="1"/>
    <cellStyle name="ハイパーリンク" xfId="1049" builtinId="8" hidden="1"/>
    <cellStyle name="ハイパーリンク" xfId="1051" builtinId="8" hidden="1"/>
    <cellStyle name="ハイパーリンク" xfId="1053" builtinId="8" hidden="1"/>
    <cellStyle name="ハイパーリンク" xfId="1055" builtinId="8" hidden="1"/>
    <cellStyle name="ハイパーリンク" xfId="1057" builtinId="8" hidden="1"/>
    <cellStyle name="ハイパーリンク" xfId="1059" builtinId="8" hidden="1"/>
    <cellStyle name="ハイパーリンク" xfId="1061" builtinId="8" hidden="1"/>
    <cellStyle name="ハイパーリンク" xfId="1063" builtinId="8" hidden="1"/>
    <cellStyle name="ハイパーリンク" xfId="1065" builtinId="8" hidden="1"/>
    <cellStyle name="ハイパーリンク" xfId="1067" builtinId="8" hidden="1"/>
    <cellStyle name="ハイパーリンク" xfId="1069" builtinId="8" hidden="1"/>
    <cellStyle name="ハイパーリンク" xfId="1071" builtinId="8" hidden="1"/>
    <cellStyle name="ハイパーリンク" xfId="1073" builtinId="8" hidden="1"/>
    <cellStyle name="ハイパーリンク" xfId="1075" builtinId="8" hidden="1"/>
    <cellStyle name="ハイパーリンク" xfId="1077" builtinId="8" hidden="1"/>
    <cellStyle name="ハイパーリンク" xfId="1079" builtinId="8" hidden="1"/>
    <cellStyle name="ハイパーリンク" xfId="1081" builtinId="8" hidden="1"/>
    <cellStyle name="ハイパーリンク" xfId="1083" builtinId="8" hidden="1"/>
    <cellStyle name="ハイパーリンク" xfId="1085" builtinId="8" hidden="1"/>
    <cellStyle name="ハイパーリンク" xfId="1087" builtinId="8" hidden="1"/>
    <cellStyle name="ハイパーリンク" xfId="1089" builtinId="8" hidden="1"/>
    <cellStyle name="ハイパーリンク" xfId="1091" builtinId="8" hidden="1"/>
    <cellStyle name="ハイパーリンク" xfId="1093" builtinId="8" hidden="1"/>
    <cellStyle name="ハイパーリンク" xfId="1095" builtinId="8" hidden="1"/>
    <cellStyle name="ハイパーリンク" xfId="1097" builtinId="8" hidden="1"/>
    <cellStyle name="ハイパーリンク" xfId="1099" builtinId="8" hidden="1"/>
    <cellStyle name="ハイパーリンク" xfId="1101" builtinId="8" hidden="1"/>
    <cellStyle name="ハイパーリンク" xfId="1103" builtinId="8" hidden="1"/>
    <cellStyle name="ハイパーリンク" xfId="1105" builtinId="8" hidden="1"/>
    <cellStyle name="ハイパーリンク" xfId="1107" builtinId="8" hidden="1"/>
    <cellStyle name="ハイパーリンク" xfId="1109" builtinId="8" hidden="1"/>
    <cellStyle name="ハイパーリンク" xfId="1111" builtinId="8" hidden="1"/>
    <cellStyle name="ハイパーリンク" xfId="1113" builtinId="8" hidden="1"/>
    <cellStyle name="ハイパーリンク" xfId="1115" builtinId="8" hidden="1"/>
    <cellStyle name="ハイパーリンク" xfId="1117" builtinId="8" hidden="1"/>
    <cellStyle name="ハイパーリンク" xfId="1119" builtinId="8" hidden="1"/>
    <cellStyle name="ハイパーリンク" xfId="1121" builtinId="8" hidden="1"/>
    <cellStyle name="ハイパーリンク" xfId="1123" builtinId="8" hidden="1"/>
    <cellStyle name="ハイパーリンク" xfId="1125" builtinId="8" hidden="1"/>
    <cellStyle name="ハイパーリンク" xfId="1127" builtinId="8" hidden="1"/>
    <cellStyle name="ハイパーリンク" xfId="1129" builtinId="8" hidden="1"/>
    <cellStyle name="ハイパーリンク" xfId="1131" builtinId="8" hidden="1"/>
    <cellStyle name="ハイパーリンク" xfId="1133" builtinId="8" hidden="1"/>
    <cellStyle name="ハイパーリンク" xfId="1135" builtinId="8" hidden="1"/>
    <cellStyle name="ハイパーリンク" xfId="1137" builtinId="8" hidden="1"/>
    <cellStyle name="ハイパーリンク" xfId="1139" builtinId="8" hidden="1"/>
    <cellStyle name="ハイパーリンク" xfId="1141" builtinId="8" hidden="1"/>
    <cellStyle name="ハイパーリンク" xfId="1143" builtinId="8" hidden="1"/>
    <cellStyle name="ハイパーリンク" xfId="1145" builtinId="8" hidden="1"/>
    <cellStyle name="ハイパーリンク" xfId="1147" builtinId="8" hidden="1"/>
    <cellStyle name="ハイパーリンク" xfId="1149" builtinId="8" hidden="1"/>
    <cellStyle name="ハイパーリンク" xfId="1151" builtinId="8" hidden="1"/>
    <cellStyle name="ハイパーリンク" xfId="1153" builtinId="8" hidden="1"/>
    <cellStyle name="ハイパーリンク" xfId="1155" builtinId="8" hidden="1"/>
    <cellStyle name="ハイパーリンク" xfId="1157" builtinId="8" hidden="1"/>
    <cellStyle name="ハイパーリンク" xfId="1159" builtinId="8" hidden="1"/>
    <cellStyle name="ハイパーリンク" xfId="1161" builtinId="8" hidden="1"/>
    <cellStyle name="ハイパーリンク" xfId="1163" builtinId="8" hidden="1"/>
    <cellStyle name="ハイパーリンク" xfId="1165" builtinId="8" hidden="1"/>
    <cellStyle name="ハイパーリンク" xfId="1167" builtinId="8" hidden="1"/>
    <cellStyle name="ハイパーリンク" xfId="1169" builtinId="8" hidden="1"/>
    <cellStyle name="ハイパーリンク" xfId="1171" builtinId="8" hidden="1"/>
    <cellStyle name="ハイパーリンク" xfId="1173" builtinId="8" hidden="1"/>
    <cellStyle name="ハイパーリンク" xfId="1175" builtinId="8" hidden="1"/>
    <cellStyle name="ハイパーリンク" xfId="1177" builtinId="8" hidden="1"/>
    <cellStyle name="ハイパーリンク" xfId="1179" builtinId="8" hidden="1"/>
    <cellStyle name="ハイパーリンク" xfId="1181" builtinId="8" hidden="1"/>
    <cellStyle name="ハイパーリンク" xfId="1183" builtinId="8" hidden="1"/>
    <cellStyle name="ハイパーリンク" xfId="1185" builtinId="8" hidden="1"/>
    <cellStyle name="ハイパーリンク" xfId="1187" builtinId="8" hidden="1"/>
    <cellStyle name="ハイパーリンク" xfId="1189" builtinId="8" hidden="1"/>
    <cellStyle name="ハイパーリンク" xfId="1191" builtinId="8" hidden="1"/>
    <cellStyle name="ハイパーリンク" xfId="1193" builtinId="8" hidden="1"/>
    <cellStyle name="ハイパーリンク" xfId="1195" builtinId="8" hidden="1"/>
    <cellStyle name="ハイパーリンク" xfId="1197" builtinId="8" hidden="1"/>
    <cellStyle name="ハイパーリンク" xfId="1199" builtinId="8" hidden="1"/>
    <cellStyle name="ハイパーリンク" xfId="1201" builtinId="8" hidden="1"/>
    <cellStyle name="ハイパーリンク" xfId="1203" builtinId="8" hidden="1"/>
    <cellStyle name="ハイパーリンク" xfId="1205" builtinId="8" hidden="1"/>
    <cellStyle name="ハイパーリンク" xfId="1207" builtinId="8" hidden="1"/>
    <cellStyle name="ハイパーリンク" xfId="1209" builtinId="8" hidden="1"/>
    <cellStyle name="ハイパーリンク" xfId="1211" builtinId="8" hidden="1"/>
    <cellStyle name="ハイパーリンク" xfId="1213" builtinId="8" hidden="1"/>
    <cellStyle name="ハイパーリンク" xfId="1215" builtinId="8" hidden="1"/>
    <cellStyle name="ハイパーリンク" xfId="1217" builtinId="8" hidden="1"/>
    <cellStyle name="ハイパーリンク" xfId="1219" builtinId="8" hidden="1"/>
    <cellStyle name="ハイパーリンク" xfId="1221" builtinId="8" hidden="1"/>
    <cellStyle name="ハイパーリンク" xfId="1223" builtinId="8" hidden="1"/>
    <cellStyle name="ハイパーリンク" xfId="1225" builtinId="8" hidden="1"/>
    <cellStyle name="ハイパーリンク" xfId="1227" builtinId="8" hidden="1"/>
    <cellStyle name="ハイパーリンク" xfId="1229" builtinId="8" hidden="1"/>
    <cellStyle name="ハイパーリンク" xfId="1231" builtinId="8" hidden="1"/>
    <cellStyle name="ハイパーリンク" xfId="1233" builtinId="8" hidden="1"/>
    <cellStyle name="ハイパーリンク" xfId="1235" builtinId="8" hidden="1"/>
    <cellStyle name="ハイパーリンク" xfId="1237" builtinId="8" hidden="1"/>
    <cellStyle name="ハイパーリンク" xfId="1239" builtinId="8" hidden="1"/>
    <cellStyle name="ハイパーリンク" xfId="1241" builtinId="8" hidden="1"/>
    <cellStyle name="ハイパーリンク" xfId="1243" builtinId="8" hidden="1"/>
    <cellStyle name="ハイパーリンク" xfId="1245" builtinId="8" hidden="1"/>
    <cellStyle name="ハイパーリンク" xfId="1247" builtinId="8" hidden="1"/>
    <cellStyle name="ハイパーリンク" xfId="1249" builtinId="8" hidden="1"/>
    <cellStyle name="ハイパーリンク" xfId="1251" builtinId="8" hidden="1"/>
    <cellStyle name="ハイパーリンク" xfId="1253" builtinId="8" hidden="1"/>
    <cellStyle name="ハイパーリンク" xfId="1255" builtinId="8" hidden="1"/>
    <cellStyle name="ハイパーリンク" xfId="1257" builtinId="8" hidden="1"/>
    <cellStyle name="ハイパーリンク" xfId="1259" builtinId="8" hidden="1"/>
    <cellStyle name="ハイパーリンク" xfId="1261" builtinId="8" hidden="1"/>
    <cellStyle name="ハイパーリンク" xfId="1263" builtinId="8" hidden="1"/>
    <cellStyle name="ハイパーリンク" xfId="1265" builtinId="8" hidden="1"/>
    <cellStyle name="ハイパーリンク" xfId="1267" builtinId="8" hidden="1"/>
    <cellStyle name="ハイパーリンク" xfId="1269" builtinId="8" hidden="1"/>
    <cellStyle name="ハイパーリンク" xfId="1271" builtinId="8" hidden="1"/>
    <cellStyle name="ハイパーリンク" xfId="1273" builtinId="8" hidden="1"/>
    <cellStyle name="ハイパーリンク" xfId="1275" builtinId="8" hidden="1"/>
    <cellStyle name="ハイパーリンク" xfId="1277" builtinId="8" hidden="1"/>
    <cellStyle name="ハイパーリンク" xfId="1279" builtinId="8" hidden="1"/>
    <cellStyle name="ハイパーリンク" xfId="1281" builtinId="8" hidden="1"/>
    <cellStyle name="ハイパーリンク" xfId="1283" builtinId="8" hidden="1"/>
    <cellStyle name="ハイパーリンク" xfId="1285" builtinId="8" hidden="1"/>
    <cellStyle name="ハイパーリンク" xfId="1287" builtinId="8" hidden="1"/>
    <cellStyle name="ハイパーリンク" xfId="1289" builtinId="8" hidden="1"/>
    <cellStyle name="ハイパーリンク" xfId="1291" builtinId="8" hidden="1"/>
    <cellStyle name="ハイパーリンク" xfId="1293" builtinId="8" hidden="1"/>
    <cellStyle name="ハイパーリンク" xfId="1295" builtinId="8" hidden="1"/>
    <cellStyle name="ハイパーリンク" xfId="1297" builtinId="8" hidden="1"/>
    <cellStyle name="ハイパーリンク" xfId="1299" builtinId="8" hidden="1"/>
    <cellStyle name="ハイパーリンク" xfId="1301" builtinId="8" hidden="1"/>
    <cellStyle name="ハイパーリンク" xfId="1303" builtinId="8" hidden="1"/>
    <cellStyle name="ハイパーリンク" xfId="1305" builtinId="8" hidden="1"/>
    <cellStyle name="ハイパーリンク" xfId="1307" builtinId="8" hidden="1"/>
    <cellStyle name="ハイパーリンク" xfId="1309" builtinId="8" hidden="1"/>
    <cellStyle name="ハイパーリンク" xfId="1311" builtinId="8" hidden="1"/>
    <cellStyle name="ハイパーリンク" xfId="1313" builtinId="8" hidden="1"/>
    <cellStyle name="ハイパーリンク" xfId="1315" builtinId="8" hidden="1"/>
    <cellStyle name="ハイパーリンク" xfId="1317" builtinId="8" hidden="1"/>
    <cellStyle name="ハイパーリンク" xfId="1319" builtinId="8" hidden="1"/>
    <cellStyle name="ハイパーリンク" xfId="1321" builtinId="8" hidden="1"/>
    <cellStyle name="ハイパーリンク" xfId="1323" builtinId="8" hidden="1"/>
    <cellStyle name="ハイパーリンク" xfId="1325" builtinId="8" hidden="1"/>
    <cellStyle name="ハイパーリンク" xfId="1327" builtinId="8" hidden="1"/>
    <cellStyle name="ハイパーリンク" xfId="1329" builtinId="8" hidden="1"/>
    <cellStyle name="ハイパーリンク" xfId="1331" builtinId="8" hidden="1"/>
    <cellStyle name="ハイパーリンク" xfId="1333" builtinId="8" hidden="1"/>
    <cellStyle name="ハイパーリンク" xfId="1335" builtinId="8" hidden="1"/>
    <cellStyle name="ハイパーリンク" xfId="1337" builtinId="8" hidden="1"/>
    <cellStyle name="ハイパーリンク" xfId="1339" builtinId="8" hidden="1"/>
    <cellStyle name="ハイパーリンク" xfId="1341" builtinId="8" hidden="1"/>
    <cellStyle name="ハイパーリンク" xfId="1343" builtinId="8" hidden="1"/>
    <cellStyle name="ハイパーリンク" xfId="1345" builtinId="8" hidden="1"/>
    <cellStyle name="ハイパーリンク" xfId="1347" builtinId="8" hidden="1"/>
    <cellStyle name="ハイパーリンク" xfId="1349" builtinId="8" hidden="1"/>
    <cellStyle name="ハイパーリンク" xfId="1351" builtinId="8" hidden="1"/>
    <cellStyle name="ハイパーリンク" xfId="1353" builtinId="8" hidden="1"/>
    <cellStyle name="ハイパーリンク" xfId="1355" builtinId="8" hidden="1"/>
    <cellStyle name="ハイパーリンク" xfId="1357" builtinId="8" hidden="1"/>
    <cellStyle name="ハイパーリンク" xfId="1359" builtinId="8" hidden="1"/>
    <cellStyle name="ハイパーリンク" xfId="1361" builtinId="8" hidden="1"/>
    <cellStyle name="ハイパーリンク" xfId="1363" builtinId="8" hidden="1"/>
    <cellStyle name="ハイパーリンク" xfId="1365" builtinId="8" hidden="1"/>
    <cellStyle name="ハイパーリンク" xfId="1367" builtinId="8" hidden="1"/>
    <cellStyle name="ハイパーリンク" xfId="1369" builtinId="8" hidden="1"/>
    <cellStyle name="ハイパーリンク" xfId="1371" builtinId="8" hidden="1"/>
    <cellStyle name="ハイパーリンク" xfId="1373" builtinId="8" hidden="1"/>
    <cellStyle name="ハイパーリンク" xfId="1375" builtinId="8" hidden="1"/>
    <cellStyle name="ハイパーリンク" xfId="1377" builtinId="8" hidden="1"/>
    <cellStyle name="ハイパーリンク" xfId="1379" builtinId="8" hidden="1"/>
    <cellStyle name="ハイパーリンク" xfId="1381" builtinId="8" hidden="1"/>
    <cellStyle name="ハイパーリンク" xfId="1383" builtinId="8" hidden="1"/>
    <cellStyle name="ハイパーリンク" xfId="1385" builtinId="8" hidden="1"/>
    <cellStyle name="ハイパーリンク" xfId="1387" builtinId="8" hidden="1"/>
    <cellStyle name="ハイパーリンク" xfId="1389" builtinId="8" hidden="1"/>
    <cellStyle name="ハイパーリンク" xfId="1391" builtinId="8" hidden="1"/>
    <cellStyle name="ハイパーリンク" xfId="1393" builtinId="8" hidden="1"/>
    <cellStyle name="ハイパーリンク" xfId="1395" builtinId="8" hidden="1"/>
    <cellStyle name="ハイパーリンク" xfId="1397" builtinId="8" hidden="1"/>
    <cellStyle name="ハイパーリンク" xfId="1399" builtinId="8" hidden="1"/>
    <cellStyle name="ハイパーリンク" xfId="1401" builtinId="8" hidden="1"/>
    <cellStyle name="ハイパーリンク" xfId="1403" builtinId="8" hidden="1"/>
    <cellStyle name="ハイパーリンク" xfId="1405" builtinId="8" hidden="1"/>
    <cellStyle name="ハイパーリンク" xfId="1407" builtinId="8" hidden="1"/>
    <cellStyle name="ハイパーリンク" xfId="1409" builtinId="8" hidden="1"/>
    <cellStyle name="ハイパーリンク" xfId="1411" builtinId="8" hidden="1"/>
    <cellStyle name="ハイパーリンク" xfId="1413" builtinId="8" hidden="1"/>
    <cellStyle name="ハイパーリンク" xfId="1415" builtinId="8" hidden="1"/>
    <cellStyle name="ハイパーリンク" xfId="1417" builtinId="8" hidden="1"/>
    <cellStyle name="ハイパーリンク" xfId="1419" builtinId="8" hidden="1"/>
    <cellStyle name="ハイパーリンク" xfId="1421" builtinId="8" hidden="1"/>
    <cellStyle name="ハイパーリンク" xfId="1423" builtinId="8" hidden="1"/>
    <cellStyle name="ハイパーリンク" xfId="1425" builtinId="8" hidden="1"/>
    <cellStyle name="ハイパーリンク" xfId="1427" builtinId="8" hidden="1"/>
    <cellStyle name="ハイパーリンク" xfId="1429" builtinId="8" hidden="1"/>
    <cellStyle name="ハイパーリンク" xfId="1431" builtinId="8" hidden="1"/>
    <cellStyle name="ハイパーリンク" xfId="1433" builtinId="8" hidden="1"/>
    <cellStyle name="ハイパーリンク" xfId="1435" builtinId="8" hidden="1"/>
    <cellStyle name="ハイパーリンク" xfId="1437" builtinId="8" hidden="1"/>
    <cellStyle name="ハイパーリンク" xfId="1439" builtinId="8" hidden="1"/>
    <cellStyle name="ハイパーリンク" xfId="1441" builtinId="8" hidden="1"/>
    <cellStyle name="ハイパーリンク" xfId="1443" builtinId="8" hidden="1"/>
    <cellStyle name="ハイパーリンク" xfId="1445" builtinId="8" hidden="1"/>
    <cellStyle name="ハイパーリンク" xfId="1447" builtinId="8" hidden="1"/>
    <cellStyle name="ハイパーリンク" xfId="1449" builtinId="8" hidden="1"/>
    <cellStyle name="ハイパーリンク" xfId="1451" builtinId="8" hidden="1"/>
    <cellStyle name="ハイパーリンク" xfId="1453" builtinId="8" hidden="1"/>
    <cellStyle name="ハイパーリンク" xfId="1455" builtinId="8" hidden="1"/>
    <cellStyle name="ハイパーリンク" xfId="1457" builtinId="8" hidden="1"/>
    <cellStyle name="ハイパーリンク" xfId="1459" builtinId="8" hidden="1"/>
    <cellStyle name="ハイパーリンク" xfId="1461" builtinId="8" hidden="1"/>
    <cellStyle name="ハイパーリンク" xfId="1463" builtinId="8" hidden="1"/>
    <cellStyle name="ハイパーリンク" xfId="1465" builtinId="8" hidden="1"/>
    <cellStyle name="ハイパーリンク" xfId="1467" builtinId="8" hidden="1"/>
    <cellStyle name="ハイパーリンク" xfId="1469" builtinId="8" hidden="1"/>
    <cellStyle name="ハイパーリンク" xfId="1471" builtinId="8" hidden="1"/>
    <cellStyle name="ハイパーリンク" xfId="1473" builtinId="8" hidden="1"/>
    <cellStyle name="ハイパーリンク" xfId="1475" builtinId="8" hidden="1"/>
    <cellStyle name="ハイパーリンク" xfId="1477" builtinId="8" hidden="1"/>
    <cellStyle name="ハイパーリンク" xfId="1479" builtinId="8" hidden="1"/>
    <cellStyle name="ハイパーリンク" xfId="1481" builtinId="8" hidden="1"/>
    <cellStyle name="ハイパーリンク" xfId="1483" builtinId="8" hidden="1"/>
    <cellStyle name="ハイパーリンク" xfId="1485" builtinId="8" hidden="1"/>
    <cellStyle name="ハイパーリンク" xfId="1487" builtinId="8" hidden="1"/>
    <cellStyle name="ハイパーリンク" xfId="1489" builtinId="8" hidden="1"/>
    <cellStyle name="ハイパーリンク" xfId="1491" builtinId="8" hidden="1"/>
    <cellStyle name="ハイパーリンク" xfId="1493" builtinId="8" hidden="1"/>
    <cellStyle name="ハイパーリンク" xfId="1495" builtinId="8" hidden="1"/>
    <cellStyle name="ハイパーリンク" xfId="1497" builtinId="8" hidden="1"/>
    <cellStyle name="ハイパーリンク" xfId="1499" builtinId="8" hidden="1"/>
    <cellStyle name="ハイパーリンク" xfId="1501" builtinId="8" hidden="1"/>
    <cellStyle name="ハイパーリンク" xfId="1503" builtinId="8" hidden="1"/>
    <cellStyle name="ハイパーリンク" xfId="1505" builtinId="8" hidden="1"/>
    <cellStyle name="ハイパーリンク" xfId="1507" builtinId="8" hidden="1"/>
    <cellStyle name="ハイパーリンク" xfId="1509" builtinId="8" hidden="1"/>
    <cellStyle name="ハイパーリンク" xfId="1511" builtinId="8" hidden="1"/>
    <cellStyle name="ハイパーリンク" xfId="1513" builtinId="8" hidden="1"/>
    <cellStyle name="ハイパーリンク" xfId="1515" builtinId="8" hidden="1"/>
    <cellStyle name="ハイパーリンク" xfId="1517" builtinId="8" hidden="1"/>
    <cellStyle name="ハイパーリンク" xfId="1519" builtinId="8" hidden="1"/>
    <cellStyle name="ハイパーリンク" xfId="1521" builtinId="8" hidden="1"/>
    <cellStyle name="ハイパーリンク" xfId="1523" builtinId="8" hidden="1"/>
    <cellStyle name="ハイパーリンク" xfId="1525" builtinId="8" hidden="1"/>
    <cellStyle name="ハイパーリンク" xfId="1527" builtinId="8" hidden="1"/>
    <cellStyle name="ハイパーリンク" xfId="1529" builtinId="8" hidden="1"/>
    <cellStyle name="ハイパーリンク" xfId="1531" builtinId="8" hidden="1"/>
    <cellStyle name="ハイパーリンク" xfId="1533" builtinId="8" hidden="1"/>
    <cellStyle name="ハイパーリンク" xfId="1535" builtinId="8" hidden="1"/>
    <cellStyle name="ハイパーリンク" xfId="1537" builtinId="8" hidden="1"/>
    <cellStyle name="ハイパーリンク" xfId="1539" builtinId="8" hidden="1"/>
    <cellStyle name="ハイパーリンク" xfId="1541" builtinId="8" hidden="1"/>
    <cellStyle name="ハイパーリンク" xfId="1543" builtinId="8" hidden="1"/>
    <cellStyle name="ハイパーリンク" xfId="1545" builtinId="8" hidden="1"/>
    <cellStyle name="ハイパーリンク" xfId="1547" builtinId="8" hidden="1"/>
    <cellStyle name="ハイパーリンク" xfId="1549" builtinId="8" hidden="1"/>
    <cellStyle name="ハイパーリンク" xfId="1551" builtinId="8" hidden="1"/>
    <cellStyle name="ハイパーリンク" xfId="1553" builtinId="8" hidden="1"/>
    <cellStyle name="ハイパーリンク" xfId="1555" builtinId="8" hidden="1"/>
    <cellStyle name="ハイパーリンク" xfId="1557" builtinId="8" hidden="1"/>
    <cellStyle name="ハイパーリンク" xfId="1559" builtinId="8" hidden="1"/>
    <cellStyle name="ハイパーリンク" xfId="1561" builtinId="8" hidden="1"/>
    <cellStyle name="ハイパーリンク" xfId="1563" builtinId="8" hidden="1"/>
    <cellStyle name="ハイパーリンク" xfId="1565" builtinId="8" hidden="1"/>
    <cellStyle name="ハイパーリンク" xfId="1567" builtinId="8" hidden="1"/>
    <cellStyle name="ハイパーリンク" xfId="1569" builtinId="8" hidden="1"/>
    <cellStyle name="ハイパーリンク" xfId="1571" builtinId="8" hidden="1"/>
    <cellStyle name="ハイパーリンク" xfId="1573" builtinId="8" hidden="1"/>
    <cellStyle name="ハイパーリンク" xfId="1575" builtinId="8" hidden="1"/>
    <cellStyle name="ハイパーリンク" xfId="1577" builtinId="8" hidden="1"/>
    <cellStyle name="ハイパーリンク" xfId="1579" builtinId="8" hidden="1"/>
    <cellStyle name="ハイパーリンク" xfId="1581" builtinId="8" hidden="1"/>
    <cellStyle name="ハイパーリンク" xfId="1583" builtinId="8" hidden="1"/>
    <cellStyle name="ハイパーリンク" xfId="1585" builtinId="8" hidden="1"/>
    <cellStyle name="ハイパーリンク" xfId="1587" builtinId="8" hidden="1"/>
    <cellStyle name="ハイパーリンク" xfId="1589" builtinId="8" hidden="1"/>
    <cellStyle name="ハイパーリンク" xfId="1591" builtinId="8" hidden="1"/>
    <cellStyle name="ハイパーリンク" xfId="1593" builtinId="8" hidden="1"/>
    <cellStyle name="ハイパーリンク" xfId="1595" builtinId="8" hidden="1"/>
    <cellStyle name="ハイパーリンク" xfId="1597" builtinId="8" hidden="1"/>
    <cellStyle name="ハイパーリンク" xfId="1599" builtinId="8" hidden="1"/>
    <cellStyle name="ハイパーリンク" xfId="1601" builtinId="8" hidden="1"/>
    <cellStyle name="ハイパーリンク" xfId="1603" builtinId="8" hidden="1"/>
    <cellStyle name="ハイパーリンク" xfId="1605" builtinId="8" hidden="1"/>
    <cellStyle name="ハイパーリンク" xfId="1607" builtinId="8" hidden="1"/>
    <cellStyle name="ハイパーリンク" xfId="1609" builtinId="8" hidden="1"/>
    <cellStyle name="ハイパーリンク" xfId="1611" builtinId="8" hidden="1"/>
    <cellStyle name="ハイパーリンク" xfId="1613" builtinId="8" hidden="1"/>
    <cellStyle name="ハイパーリンク" xfId="1615" builtinId="8" hidden="1"/>
    <cellStyle name="ハイパーリンク" xfId="1617" builtinId="8" hidden="1"/>
    <cellStyle name="ハイパーリンク" xfId="1619" builtinId="8" hidden="1"/>
    <cellStyle name="ハイパーリンク" xfId="1621" builtinId="8" hidden="1"/>
    <cellStyle name="ハイパーリンク" xfId="1623" builtinId="8" hidden="1"/>
    <cellStyle name="ハイパーリンク" xfId="1625" builtinId="8" hidden="1"/>
    <cellStyle name="ハイパーリンク" xfId="1627" builtinId="8" hidden="1"/>
    <cellStyle name="ハイパーリンク" xfId="1629" builtinId="8" hidden="1"/>
    <cellStyle name="ハイパーリンク" xfId="1631" builtinId="8" hidden="1"/>
    <cellStyle name="ハイパーリンク" xfId="1633" builtinId="8" hidden="1"/>
    <cellStyle name="ハイパーリンク" xfId="1635" builtinId="8" hidden="1"/>
    <cellStyle name="ハイパーリンク" xfId="1637" builtinId="8" hidden="1"/>
    <cellStyle name="ハイパーリンク" xfId="1639" builtinId="8" hidden="1"/>
    <cellStyle name="ハイパーリンク" xfId="1641" builtinId="8" hidden="1"/>
    <cellStyle name="ハイパーリンク" xfId="1643" builtinId="8" hidden="1"/>
    <cellStyle name="ハイパーリンク" xfId="1645" builtinId="8" hidden="1"/>
    <cellStyle name="ハイパーリンク" xfId="1647" builtinId="8" hidden="1"/>
    <cellStyle name="ハイパーリンク" xfId="1649" builtinId="8" hidden="1"/>
    <cellStyle name="ハイパーリンク" xfId="1651" builtinId="8" hidden="1"/>
    <cellStyle name="ハイパーリンク" xfId="1653" builtinId="8" hidden="1"/>
    <cellStyle name="ハイパーリンク" xfId="1655" builtinId="8" hidden="1"/>
    <cellStyle name="ハイパーリンク" xfId="1657" builtinId="8" hidden="1"/>
    <cellStyle name="ハイパーリンク" xfId="1659" builtinId="8" hidden="1"/>
    <cellStyle name="ハイパーリンク" xfId="1661" builtinId="8" hidden="1"/>
    <cellStyle name="ハイパーリンク" xfId="1663" builtinId="8" hidden="1"/>
    <cellStyle name="ハイパーリンク" xfId="1665" builtinId="8" hidden="1"/>
    <cellStyle name="ハイパーリンク" xfId="1667" builtinId="8" hidden="1"/>
    <cellStyle name="ハイパーリンク" xfId="1669" builtinId="8" hidden="1"/>
    <cellStyle name="ハイパーリンク" xfId="1671" builtinId="8" hidden="1"/>
    <cellStyle name="ハイパーリンク" xfId="1673" builtinId="8" hidden="1"/>
    <cellStyle name="ハイパーリンク" xfId="1675" builtinId="8" hidden="1"/>
    <cellStyle name="ハイパーリンク" xfId="1677" builtinId="8" hidden="1"/>
    <cellStyle name="ハイパーリンク" xfId="1679" builtinId="8" hidden="1"/>
    <cellStyle name="ハイパーリンク" xfId="1681" builtinId="8" hidden="1"/>
    <cellStyle name="ハイパーリンク" xfId="1683" builtinId="8" hidden="1"/>
    <cellStyle name="ハイパーリンク" xfId="1685" builtinId="8" hidden="1"/>
    <cellStyle name="ハイパーリンク" xfId="1687" builtinId="8" hidden="1"/>
    <cellStyle name="ハイパーリンク" xfId="1689" builtinId="8" hidden="1"/>
    <cellStyle name="ハイパーリンク" xfId="1691" builtinId="8" hidden="1"/>
    <cellStyle name="ハイパーリンク" xfId="1693" builtinId="8" hidden="1"/>
    <cellStyle name="ハイパーリンク" xfId="1695" builtinId="8" hidden="1"/>
    <cellStyle name="ハイパーリンク" xfId="1697" builtinId="8" hidden="1"/>
    <cellStyle name="ハイパーリンク" xfId="1699" builtinId="8" hidden="1"/>
    <cellStyle name="ハイパーリンク" xfId="1701" builtinId="8" hidden="1"/>
    <cellStyle name="ハイパーリンク" xfId="1703" builtinId="8" hidden="1"/>
    <cellStyle name="ハイパーリンク" xfId="1705" builtinId="8" hidden="1"/>
    <cellStyle name="ハイパーリンク" xfId="1707" builtinId="8" hidden="1"/>
    <cellStyle name="ハイパーリンク" xfId="1709" builtinId="8" hidden="1"/>
    <cellStyle name="ハイパーリンク" xfId="1711" builtinId="8" hidden="1"/>
    <cellStyle name="ハイパーリンク" xfId="1713" builtinId="8" hidden="1"/>
    <cellStyle name="ハイパーリンク" xfId="1715" builtinId="8" hidden="1"/>
    <cellStyle name="ハイパーリンク" xfId="1717" builtinId="8" hidden="1"/>
    <cellStyle name="ハイパーリンク" xfId="1719" builtinId="8" hidden="1"/>
    <cellStyle name="ハイパーリンク" xfId="1721" builtinId="8" hidden="1"/>
    <cellStyle name="ハイパーリンク" xfId="1723" builtinId="8" hidden="1"/>
    <cellStyle name="ハイパーリンク" xfId="1725" builtinId="8" hidden="1"/>
    <cellStyle name="ハイパーリンク" xfId="1727" builtinId="8" hidden="1"/>
    <cellStyle name="ハイパーリンク" xfId="1729" builtinId="8" hidden="1"/>
    <cellStyle name="ハイパーリンク" xfId="1731" builtinId="8" hidden="1"/>
    <cellStyle name="ハイパーリンク" xfId="1733" builtinId="8" hidden="1"/>
    <cellStyle name="ハイパーリンク" xfId="1735" builtinId="8" hidden="1"/>
    <cellStyle name="ハイパーリンク" xfId="1737" builtinId="8" hidden="1"/>
    <cellStyle name="ハイパーリンク" xfId="1739" builtinId="8" hidden="1"/>
    <cellStyle name="ハイパーリンク" xfId="1741" builtinId="8" hidden="1"/>
    <cellStyle name="ハイパーリンク" xfId="1743" builtinId="8" hidden="1"/>
    <cellStyle name="ハイパーリンク" xfId="1745" builtinId="8" hidden="1"/>
    <cellStyle name="ハイパーリンク" xfId="1747" builtinId="8" hidden="1"/>
    <cellStyle name="ハイパーリンク" xfId="1749" builtinId="8" hidden="1"/>
    <cellStyle name="ハイパーリンク" xfId="1751" builtinId="8" hidden="1"/>
    <cellStyle name="ハイパーリンク" xfId="1753" builtinId="8" hidden="1"/>
    <cellStyle name="ハイパーリンク" xfId="1755" builtinId="8" hidden="1"/>
    <cellStyle name="ハイパーリンク" xfId="1757" builtinId="8" hidden="1"/>
    <cellStyle name="ハイパーリンク" xfId="1759" builtinId="8" hidden="1"/>
    <cellStyle name="ハイパーリンク" xfId="1761" builtinId="8" hidden="1"/>
    <cellStyle name="ハイパーリンク" xfId="1763" builtinId="8" hidden="1"/>
    <cellStyle name="ハイパーリンク" xfId="1765" builtinId="8" hidden="1"/>
    <cellStyle name="ハイパーリンク" xfId="1767" builtinId="8" hidden="1"/>
    <cellStyle name="ハイパーリンク" xfId="1769" builtinId="8" hidden="1"/>
    <cellStyle name="ハイパーリンク" xfId="1771" builtinId="8" hidden="1"/>
    <cellStyle name="ハイパーリンク" xfId="1773" builtinId="8" hidden="1"/>
    <cellStyle name="ハイパーリンク" xfId="1775" builtinId="8" hidden="1"/>
    <cellStyle name="ハイパーリンク" xfId="1777" builtinId="8" hidden="1"/>
    <cellStyle name="ハイパーリンク" xfId="1779" builtinId="8" hidden="1"/>
    <cellStyle name="ハイパーリンク" xfId="1781" builtinId="8" hidden="1"/>
    <cellStyle name="ハイパーリンク" xfId="1783" builtinId="8" hidden="1"/>
    <cellStyle name="ハイパーリンク" xfId="1785" builtinId="8" hidden="1"/>
    <cellStyle name="ハイパーリンク" xfId="1787" builtinId="8" hidden="1"/>
    <cellStyle name="ハイパーリンク" xfId="1789" builtinId="8" hidden="1"/>
    <cellStyle name="ハイパーリンク" xfId="1791" builtinId="8" hidden="1"/>
    <cellStyle name="ハイパーリンク" xfId="1793" builtinId="8" hidden="1"/>
    <cellStyle name="ハイパーリンク" xfId="1795" builtinId="8" hidden="1"/>
    <cellStyle name="ハイパーリンク" xfId="1797" builtinId="8" hidden="1"/>
    <cellStyle name="ハイパーリンク" xfId="1799" builtinId="8" hidden="1"/>
    <cellStyle name="ハイパーリンク" xfId="1801" builtinId="8" hidden="1"/>
    <cellStyle name="ハイパーリンク" xfId="1803" builtinId="8" hidden="1"/>
    <cellStyle name="ハイパーリンク" xfId="1805" builtinId="8" hidden="1"/>
    <cellStyle name="ハイパーリンク" xfId="1807" builtinId="8" hidden="1"/>
    <cellStyle name="ハイパーリンク" xfId="1809" builtinId="8" hidden="1"/>
    <cellStyle name="ハイパーリンク" xfId="1811" builtinId="8" hidden="1"/>
    <cellStyle name="ハイパーリンク" xfId="1813" builtinId="8" hidden="1"/>
    <cellStyle name="ハイパーリンク" xfId="1815" builtinId="8" hidden="1"/>
    <cellStyle name="ハイパーリンク" xfId="1817" builtinId="8" hidden="1"/>
    <cellStyle name="ハイパーリンク" xfId="1819" builtinId="8" hidden="1"/>
    <cellStyle name="ハイパーリンク" xfId="1821" builtinId="8" hidden="1"/>
    <cellStyle name="ハイパーリンク" xfId="1823" builtinId="8" hidden="1"/>
    <cellStyle name="ハイパーリンク" xfId="1825" builtinId="8" hidden="1"/>
    <cellStyle name="ハイパーリンク" xfId="1827" builtinId="8" hidden="1"/>
    <cellStyle name="ハイパーリンク" xfId="1829" builtinId="8" hidden="1"/>
    <cellStyle name="ハイパーリンク" xfId="1831" builtinId="8" hidden="1"/>
    <cellStyle name="ハイパーリンク" xfId="1833" builtinId="8" hidden="1"/>
    <cellStyle name="ハイパーリンク" xfId="1835" builtinId="8" hidden="1"/>
    <cellStyle name="ハイパーリンク" xfId="1837" builtinId="8" hidden="1"/>
    <cellStyle name="ハイパーリンク" xfId="1839" builtinId="8" hidden="1"/>
    <cellStyle name="ハイパーリンク" xfId="1841" builtinId="8" hidden="1"/>
    <cellStyle name="ハイパーリンク" xfId="1843" builtinId="8" hidden="1"/>
    <cellStyle name="ハイパーリンク" xfId="1845" builtinId="8" hidden="1"/>
    <cellStyle name="ハイパーリンク" xfId="1847" builtinId="8" hidden="1"/>
    <cellStyle name="ハイパーリンク" xfId="1849" builtinId="8" hidden="1"/>
    <cellStyle name="ハイパーリンク" xfId="1851" builtinId="8" hidden="1"/>
    <cellStyle name="ハイパーリンク" xfId="1853" builtinId="8" hidden="1"/>
    <cellStyle name="ハイパーリンク" xfId="1855" builtinId="8" hidden="1"/>
    <cellStyle name="ハイパーリンク" xfId="1857" builtinId="8" hidden="1"/>
    <cellStyle name="ハイパーリンク" xfId="1859" builtinId="8" hidden="1"/>
    <cellStyle name="ハイパーリンク" xfId="1861" builtinId="8" hidden="1"/>
    <cellStyle name="ハイパーリンク" xfId="1863" builtinId="8" hidden="1"/>
    <cellStyle name="ハイパーリンク" xfId="1865" builtinId="8" hidden="1"/>
    <cellStyle name="ハイパーリンク" xfId="1867" builtinId="8" hidden="1"/>
    <cellStyle name="ハイパーリンク" xfId="1869" builtinId="8" hidden="1"/>
    <cellStyle name="ハイパーリンク" xfId="1871" builtinId="8" hidden="1"/>
    <cellStyle name="ハイパーリンク" xfId="1873" builtinId="8" hidden="1"/>
    <cellStyle name="ハイパーリンク" xfId="1875" builtinId="8" hidden="1"/>
    <cellStyle name="ハイパーリンク" xfId="1877" builtinId="8" hidden="1"/>
    <cellStyle name="ハイパーリンク" xfId="1879" builtinId="8" hidden="1"/>
    <cellStyle name="ハイパーリンク" xfId="1881" builtinId="8" hidden="1"/>
    <cellStyle name="ハイパーリンク" xfId="1883" builtinId="8" hidden="1"/>
    <cellStyle name="ハイパーリンク" xfId="1885" builtinId="8" hidden="1"/>
    <cellStyle name="ハイパーリンク" xfId="1887" builtinId="8" hidden="1"/>
    <cellStyle name="ハイパーリンク" xfId="1889" builtinId="8" hidden="1"/>
    <cellStyle name="ハイパーリンク" xfId="1891" builtinId="8" hidden="1"/>
    <cellStyle name="ハイパーリンク" xfId="1893" builtinId="8" hidden="1"/>
    <cellStyle name="ハイパーリンク" xfId="1895" builtinId="8" hidden="1"/>
    <cellStyle name="ハイパーリンク" xfId="1897" builtinId="8" hidden="1"/>
    <cellStyle name="ハイパーリンク" xfId="1899" builtinId="8" hidden="1"/>
    <cellStyle name="ハイパーリンク" xfId="1901" builtinId="8" hidden="1"/>
    <cellStyle name="ハイパーリンク" xfId="1903" builtinId="8" hidden="1"/>
    <cellStyle name="ハイパーリンク" xfId="1905" builtinId="8" hidden="1"/>
    <cellStyle name="ハイパーリンク" xfId="1907" builtinId="8" hidden="1"/>
    <cellStyle name="ハイパーリンク" xfId="1909" builtinId="8" hidden="1"/>
    <cellStyle name="ハイパーリンク" xfId="1911" builtinId="8" hidden="1"/>
    <cellStyle name="ハイパーリンク" xfId="1913" builtinId="8" hidden="1"/>
    <cellStyle name="ハイパーリンク" xfId="1915" builtinId="8" hidden="1"/>
    <cellStyle name="ハイパーリンク" xfId="1917" builtinId="8" hidden="1"/>
    <cellStyle name="ハイパーリンク" xfId="1919" builtinId="8" hidden="1"/>
    <cellStyle name="ハイパーリンク" xfId="1921" builtinId="8" hidden="1"/>
    <cellStyle name="ハイパーリンク" xfId="1923" builtinId="8" hidden="1"/>
    <cellStyle name="ハイパーリンク" xfId="1925" builtinId="8" hidden="1"/>
    <cellStyle name="ハイパーリンク" xfId="1927" builtinId="8" hidden="1"/>
    <cellStyle name="ハイパーリンク" xfId="1929" builtinId="8" hidden="1"/>
    <cellStyle name="ハイパーリンク" xfId="1931" builtinId="8" hidden="1"/>
    <cellStyle name="ハイパーリンク" xfId="1933" builtinId="8" hidden="1"/>
    <cellStyle name="ハイパーリンク" xfId="1935" builtinId="8" hidden="1"/>
    <cellStyle name="ハイパーリンク" xfId="1937" builtinId="8" hidden="1"/>
    <cellStyle name="ハイパーリンク" xfId="1939" builtinId="8" hidden="1"/>
    <cellStyle name="ハイパーリンク" xfId="1941" builtinId="8" hidden="1"/>
    <cellStyle name="ハイパーリンク" xfId="1943" builtinId="8" hidden="1"/>
    <cellStyle name="ハイパーリンク" xfId="1945" builtinId="8" hidden="1"/>
    <cellStyle name="ハイパーリンク" xfId="1947" builtinId="8" hidden="1"/>
    <cellStyle name="ハイパーリンク" xfId="1949" builtinId="8" hidden="1"/>
    <cellStyle name="ハイパーリンク" xfId="1951" builtinId="8" hidden="1"/>
    <cellStyle name="ハイパーリンク" xfId="1953" builtinId="8" hidden="1"/>
    <cellStyle name="ハイパーリンク" xfId="1955" builtinId="8" hidden="1"/>
    <cellStyle name="ハイパーリンク" xfId="1957" builtinId="8" hidden="1"/>
    <cellStyle name="ハイパーリンク" xfId="1959" builtinId="8" hidden="1"/>
    <cellStyle name="ハイパーリンク" xfId="1961" builtinId="8" hidden="1"/>
    <cellStyle name="ハイパーリンク" xfId="1963" builtinId="8" hidden="1"/>
    <cellStyle name="ハイパーリンク" xfId="1965" builtinId="8" hidden="1"/>
    <cellStyle name="ハイパーリンク" xfId="1967" builtinId="8" hidden="1"/>
    <cellStyle name="ハイパーリンク" xfId="1969" builtinId="8" hidden="1"/>
    <cellStyle name="ハイパーリンク" xfId="1971" builtinId="8" hidden="1"/>
    <cellStyle name="ハイパーリンク" xfId="1973" builtinId="8" hidden="1"/>
    <cellStyle name="ハイパーリンク" xfId="1975" builtinId="8" hidden="1"/>
    <cellStyle name="ハイパーリンク" xfId="1977" builtinId="8" hidden="1"/>
    <cellStyle name="ハイパーリンク" xfId="1979" builtinId="8" hidden="1"/>
    <cellStyle name="ハイパーリンク" xfId="1981" builtinId="8" hidden="1"/>
    <cellStyle name="ハイパーリンク" xfId="1983" builtinId="8" hidden="1"/>
    <cellStyle name="ハイパーリンク" xfId="1985" builtinId="8" hidden="1"/>
    <cellStyle name="ハイパーリンク" xfId="1987" builtinId="8" hidden="1"/>
    <cellStyle name="ハイパーリンク" xfId="1989" builtinId="8" hidden="1"/>
    <cellStyle name="ハイパーリンク" xfId="1991" builtinId="8" hidden="1"/>
    <cellStyle name="ハイパーリンク" xfId="1993" builtinId="8" hidden="1"/>
    <cellStyle name="ハイパーリンク" xfId="1995" builtinId="8" hidden="1"/>
    <cellStyle name="ハイパーリンク" xfId="1997" builtinId="8" hidden="1"/>
    <cellStyle name="ハイパーリンク" xfId="1999" builtinId="8" hidden="1"/>
    <cellStyle name="ハイパーリンク" xfId="2001" builtinId="8" hidden="1"/>
    <cellStyle name="ハイパーリンク" xfId="2003" builtinId="8" hidden="1"/>
    <cellStyle name="ハイパーリンク" xfId="2005" builtinId="8" hidden="1"/>
    <cellStyle name="ハイパーリンク" xfId="2007" builtinId="8" hidden="1"/>
    <cellStyle name="ハイパーリンク" xfId="2009" builtinId="8" hidden="1"/>
    <cellStyle name="ハイパーリンク" xfId="2011" builtinId="8" hidden="1"/>
    <cellStyle name="ハイパーリンク" xfId="2013" builtinId="8" hidden="1"/>
    <cellStyle name="ハイパーリンク" xfId="2015" builtinId="8" hidden="1"/>
    <cellStyle name="ハイパーリンク" xfId="2017" builtinId="8" hidden="1"/>
    <cellStyle name="ハイパーリンク" xfId="2019" builtinId="8" hidden="1"/>
    <cellStyle name="ハイパーリンク" xfId="2021" builtinId="8" hidden="1"/>
    <cellStyle name="ハイパーリンク" xfId="2023" builtinId="8" hidden="1"/>
    <cellStyle name="ハイパーリンク" xfId="2025" builtinId="8" hidden="1"/>
    <cellStyle name="ハイパーリンク" xfId="2027" builtinId="8" hidden="1"/>
    <cellStyle name="ハイパーリンク" xfId="2029" builtinId="8" hidden="1"/>
    <cellStyle name="ハイパーリンク" xfId="2031" builtinId="8" hidden="1"/>
    <cellStyle name="ハイパーリンク" xfId="2033" builtinId="8" hidden="1"/>
    <cellStyle name="ハイパーリンク" xfId="2035" builtinId="8" hidden="1"/>
    <cellStyle name="ハイパーリンク" xfId="2037" builtinId="8" hidden="1"/>
    <cellStyle name="ハイパーリンク" xfId="2039" builtinId="8" hidden="1"/>
    <cellStyle name="ハイパーリンク" xfId="2041" builtinId="8" hidden="1"/>
    <cellStyle name="ハイパーリンク" xfId="2043" builtinId="8" hidden="1"/>
    <cellStyle name="ハイパーリンク" xfId="2045" builtinId="8" hidden="1"/>
    <cellStyle name="ハイパーリンク" xfId="2047" builtinId="8" hidden="1"/>
    <cellStyle name="ハイパーリンク" xfId="2049" builtinId="8" hidden="1"/>
    <cellStyle name="ハイパーリンク" xfId="2051" builtinId="8" hidden="1"/>
    <cellStyle name="ハイパーリンク" xfId="2053" builtinId="8" hidden="1"/>
    <cellStyle name="ハイパーリンク" xfId="2055" builtinId="8" hidden="1"/>
    <cellStyle name="ハイパーリンク" xfId="2057" builtinId="8" hidden="1"/>
    <cellStyle name="ハイパーリンク" xfId="2059" builtinId="8" hidden="1"/>
    <cellStyle name="ハイパーリンク" xfId="2061" builtinId="8" hidden="1"/>
    <cellStyle name="ハイパーリンク" xfId="2063" builtinId="8" hidden="1"/>
    <cellStyle name="ハイパーリンク" xfId="2065" builtinId="8" hidden="1"/>
    <cellStyle name="ハイパーリンク" xfId="2067" builtinId="8" hidden="1"/>
    <cellStyle name="ハイパーリンク" xfId="2069" builtinId="8" hidden="1"/>
    <cellStyle name="ハイパーリンク" xfId="2071" builtinId="8" hidden="1"/>
    <cellStyle name="ハイパーリンク" xfId="2073" builtinId="8" hidden="1"/>
    <cellStyle name="ハイパーリンク" xfId="2075" builtinId="8" hidden="1"/>
    <cellStyle name="ハイパーリンク" xfId="2077" builtinId="8" hidden="1"/>
    <cellStyle name="ハイパーリンク" xfId="2079" builtinId="8" hidden="1"/>
    <cellStyle name="ハイパーリンク" xfId="2081" builtinId="8" hidden="1"/>
    <cellStyle name="ハイパーリンク" xfId="2083" builtinId="8" hidden="1"/>
    <cellStyle name="ハイパーリンク" xfId="2085" builtinId="8" hidden="1"/>
    <cellStyle name="ハイパーリンク" xfId="2087" builtinId="8" hidden="1"/>
    <cellStyle name="ハイパーリンク" xfId="2089" builtinId="8" hidden="1"/>
    <cellStyle name="ハイパーリンク" xfId="2091" builtinId="8" hidden="1"/>
    <cellStyle name="ハイパーリンク" xfId="2093" builtinId="8" hidden="1"/>
    <cellStyle name="ハイパーリンク" xfId="2095" builtinId="8" hidden="1"/>
    <cellStyle name="ハイパーリンク" xfId="2097" builtinId="8" hidden="1"/>
    <cellStyle name="ハイパーリンク" xfId="2099" builtinId="8" hidden="1"/>
    <cellStyle name="ハイパーリンク" xfId="2101" builtinId="8" hidden="1"/>
    <cellStyle name="ハイパーリンク" xfId="2103" builtinId="8" hidden="1"/>
    <cellStyle name="ハイパーリンク" xfId="2105" builtinId="8" hidden="1"/>
    <cellStyle name="ハイパーリンク" xfId="2107" builtinId="8" hidden="1"/>
    <cellStyle name="ハイパーリンク" xfId="2109" builtinId="8" hidden="1"/>
    <cellStyle name="ハイパーリンク" xfId="2111" builtinId="8" hidden="1"/>
    <cellStyle name="ハイパーリンク" xfId="2113" builtinId="8" hidden="1"/>
    <cellStyle name="ハイパーリンク" xfId="2115" builtinId="8" hidden="1"/>
    <cellStyle name="ハイパーリンク" xfId="2117" builtinId="8" hidden="1"/>
    <cellStyle name="ハイパーリンク" xfId="2119" builtinId="8" hidden="1"/>
    <cellStyle name="ハイパーリンク" xfId="2121" builtinId="8" hidden="1"/>
    <cellStyle name="ハイパーリンク" xfId="2123" builtinId="8" hidden="1"/>
    <cellStyle name="ハイパーリンク" xfId="2125" builtinId="8" hidden="1"/>
    <cellStyle name="ハイパーリンク" xfId="2127" builtinId="8" hidden="1"/>
    <cellStyle name="ハイパーリンク" xfId="2129" builtinId="8" hidden="1"/>
    <cellStyle name="ハイパーリンク" xfId="2131" builtinId="8" hidden="1"/>
    <cellStyle name="ハイパーリンク" xfId="2133" builtinId="8" hidden="1"/>
    <cellStyle name="ハイパーリンク" xfId="2135" builtinId="8" hidden="1"/>
    <cellStyle name="ハイパーリンク" xfId="2137" builtinId="8" hidden="1"/>
    <cellStyle name="ハイパーリンク" xfId="2139" builtinId="8" hidden="1"/>
    <cellStyle name="ハイパーリンク" xfId="2141" builtinId="8" hidden="1"/>
    <cellStyle name="ハイパーリンク" xfId="2143" builtinId="8" hidden="1"/>
    <cellStyle name="ハイパーリンク" xfId="2145" builtinId="8" hidden="1"/>
    <cellStyle name="ハイパーリンク" xfId="2147" builtinId="8" hidden="1"/>
    <cellStyle name="ハイパーリンク" xfId="2149" builtinId="8" hidden="1"/>
    <cellStyle name="ハイパーリンク" xfId="2151" builtinId="8" hidden="1"/>
    <cellStyle name="ハイパーリンク" xfId="2153" builtinId="8" hidden="1"/>
    <cellStyle name="ハイパーリンク" xfId="2155" builtinId="8" hidden="1"/>
    <cellStyle name="ハイパーリンク" xfId="2157" builtinId="8" hidden="1"/>
    <cellStyle name="ハイパーリンク" xfId="2159" builtinId="8" hidden="1"/>
    <cellStyle name="ハイパーリンク" xfId="2161" builtinId="8" hidden="1"/>
    <cellStyle name="ハイパーリンク" xfId="2163" builtinId="8" hidden="1"/>
    <cellStyle name="ハイパーリンク" xfId="2165" builtinId="8" hidden="1"/>
    <cellStyle name="ハイパーリンク" xfId="2167" builtinId="8" hidden="1"/>
    <cellStyle name="ハイパーリンク" xfId="2169" builtinId="8" hidden="1"/>
    <cellStyle name="ハイパーリンク" xfId="2171" builtinId="8" hidden="1"/>
    <cellStyle name="ハイパーリンク" xfId="2173" builtinId="8" hidden="1"/>
    <cellStyle name="ハイパーリンク" xfId="2175" builtinId="8" hidden="1"/>
    <cellStyle name="ハイパーリンク" xfId="2177" builtinId="8" hidden="1"/>
    <cellStyle name="ハイパーリンク" xfId="2179" builtinId="8" hidden="1"/>
    <cellStyle name="ハイパーリンク" xfId="2181" builtinId="8" hidden="1"/>
    <cellStyle name="ハイパーリンク" xfId="2183" builtinId="8" hidden="1"/>
    <cellStyle name="ハイパーリンク" xfId="2185" builtinId="8" hidden="1"/>
    <cellStyle name="ハイパーリンク" xfId="2187" builtinId="8" hidden="1"/>
    <cellStyle name="ハイパーリンク" xfId="2189" builtinId="8" hidden="1"/>
    <cellStyle name="ハイパーリンク" xfId="2191" builtinId="8" hidden="1"/>
    <cellStyle name="ハイパーリンク" xfId="2193" builtinId="8" hidden="1"/>
    <cellStyle name="ハイパーリンク" xfId="2195" builtinId="8" hidden="1"/>
    <cellStyle name="ハイパーリンク" xfId="2197" builtinId="8" hidden="1"/>
    <cellStyle name="ハイパーリンク" xfId="2199" builtinId="8" hidden="1"/>
    <cellStyle name="ハイパーリンク" xfId="2201" builtinId="8" hidden="1"/>
    <cellStyle name="ハイパーリンク" xfId="2203" builtinId="8" hidden="1"/>
    <cellStyle name="ハイパーリンク" xfId="2205" builtinId="8" hidden="1"/>
    <cellStyle name="ハイパーリンク" xfId="2207" builtinId="8" hidden="1"/>
    <cellStyle name="ハイパーリンク" xfId="2209" builtinId="8" hidden="1"/>
    <cellStyle name="ハイパーリンク" xfId="2211" builtinId="8" hidden="1"/>
    <cellStyle name="ハイパーリンク" xfId="2213" builtinId="8" hidden="1"/>
    <cellStyle name="ハイパーリンク" xfId="2215" builtinId="8" hidden="1"/>
    <cellStyle name="ハイパーリンク" xfId="2217" builtinId="8" hidden="1"/>
    <cellStyle name="ハイパーリンク" xfId="2219" builtinId="8" hidden="1"/>
    <cellStyle name="ハイパーリンク" xfId="2221" builtinId="8" hidden="1"/>
    <cellStyle name="ハイパーリンク" xfId="2223" builtinId="8" hidden="1"/>
    <cellStyle name="ハイパーリンク" xfId="2225" builtinId="8" hidden="1"/>
    <cellStyle name="ハイパーリンク" xfId="2227" builtinId="8" hidden="1"/>
    <cellStyle name="ハイパーリンク" xfId="2229" builtinId="8" hidden="1"/>
    <cellStyle name="ハイパーリンク" xfId="2231" builtinId="8" hidden="1"/>
    <cellStyle name="ハイパーリンク" xfId="2233" builtinId="8" hidden="1"/>
    <cellStyle name="ハイパーリンク" xfId="2235" builtinId="8" hidden="1"/>
    <cellStyle name="ハイパーリンク" xfId="2237" builtinId="8" hidden="1"/>
    <cellStyle name="ハイパーリンク" xfId="2239" builtinId="8" hidden="1"/>
    <cellStyle name="ハイパーリンク" xfId="2241" builtinId="8" hidden="1"/>
    <cellStyle name="ハイパーリンク" xfId="2243" builtinId="8" hidden="1"/>
    <cellStyle name="ハイパーリンク" xfId="2245" builtinId="8" hidden="1"/>
    <cellStyle name="ハイパーリンク" xfId="2247" builtinId="8" hidden="1"/>
    <cellStyle name="ハイパーリンク" xfId="2249" builtinId="8" hidden="1"/>
    <cellStyle name="ハイパーリンク" xfId="2251" builtinId="8" hidden="1"/>
    <cellStyle name="ハイパーリンク" xfId="2253" builtinId="8" hidden="1"/>
    <cellStyle name="ハイパーリンク" xfId="2255" builtinId="8" hidden="1"/>
    <cellStyle name="ハイパーリンク" xfId="2257" builtinId="8" hidden="1"/>
    <cellStyle name="ハイパーリンク" xfId="2259" builtinId="8" hidden="1"/>
    <cellStyle name="ハイパーリンク" xfId="2261" builtinId="8" hidden="1"/>
    <cellStyle name="ハイパーリンク" xfId="2263" builtinId="8" hidden="1"/>
    <cellStyle name="ハイパーリンク" xfId="2265" builtinId="8" hidden="1"/>
    <cellStyle name="ハイパーリンク" xfId="2267" builtinId="8" hidden="1"/>
    <cellStyle name="ハイパーリンク" xfId="2269" builtinId="8" hidden="1"/>
    <cellStyle name="ハイパーリンク" xfId="2271" builtinId="8" hidden="1"/>
    <cellStyle name="ハイパーリンク" xfId="2273" builtinId="8" hidden="1"/>
    <cellStyle name="ハイパーリンク" xfId="2275" builtinId="8" hidden="1"/>
    <cellStyle name="ハイパーリンク" xfId="2277" builtinId="8" hidden="1"/>
    <cellStyle name="ハイパーリンク" xfId="2279" builtinId="8" hidden="1"/>
    <cellStyle name="ハイパーリンク" xfId="2281" builtinId="8" hidden="1"/>
    <cellStyle name="ハイパーリンク" xfId="2283" builtinId="8" hidden="1"/>
    <cellStyle name="ハイパーリンク" xfId="2285" builtinId="8" hidden="1"/>
    <cellStyle name="ハイパーリンク" xfId="2287" builtinId="8" hidden="1"/>
    <cellStyle name="ハイパーリンク" xfId="2289" builtinId="8" hidden="1"/>
    <cellStyle name="ハイパーリンク" xfId="2291" builtinId="8" hidden="1"/>
    <cellStyle name="ハイパーリンク" xfId="2293" builtinId="8" hidden="1"/>
    <cellStyle name="ハイパーリンク" xfId="2295" builtinId="8" hidden="1"/>
    <cellStyle name="ハイパーリンク" xfId="2297" builtinId="8" hidden="1"/>
    <cellStyle name="ハイパーリンク" xfId="2299" builtinId="8" hidden="1"/>
    <cellStyle name="ハイパーリンク" xfId="2301" builtinId="8" hidden="1"/>
    <cellStyle name="ハイパーリンク" xfId="2303" builtinId="8" hidden="1"/>
    <cellStyle name="ハイパーリンク" xfId="2305" builtinId="8" hidden="1"/>
    <cellStyle name="ハイパーリンク" xfId="2307" builtinId="8" hidden="1"/>
    <cellStyle name="ハイパーリンク" xfId="2309" builtinId="8" hidden="1"/>
    <cellStyle name="ハイパーリンク" xfId="2311" builtinId="8" hidden="1"/>
    <cellStyle name="ハイパーリンク" xfId="2313" builtinId="8" hidden="1"/>
    <cellStyle name="ハイパーリンク" xfId="2315" builtinId="8" hidden="1"/>
    <cellStyle name="ハイパーリンク" xfId="2317" builtinId="8" hidden="1"/>
    <cellStyle name="ハイパーリンク" xfId="2319" builtinId="8" hidden="1"/>
    <cellStyle name="ハイパーリンク" xfId="2321" builtinId="8" hidden="1"/>
    <cellStyle name="ハイパーリンク" xfId="2323" builtinId="8" hidden="1"/>
    <cellStyle name="ハイパーリンク" xfId="2325" builtinId="8" hidden="1"/>
    <cellStyle name="ハイパーリンク" xfId="2327" builtinId="8" hidden="1"/>
    <cellStyle name="ハイパーリンク" xfId="2329" builtinId="8" hidden="1"/>
    <cellStyle name="ハイパーリンク" xfId="2331" builtinId="8" hidden="1"/>
    <cellStyle name="ハイパーリンク" xfId="2333" builtinId="8" hidden="1"/>
    <cellStyle name="ハイパーリンク" xfId="2335" builtinId="8" hidden="1"/>
    <cellStyle name="ハイパーリンク" xfId="2337" builtinId="8" hidden="1"/>
    <cellStyle name="ハイパーリンク" xfId="2339" builtinId="8" hidden="1"/>
    <cellStyle name="ハイパーリンク" xfId="2341" builtinId="8" hidden="1"/>
    <cellStyle name="ハイパーリンク" xfId="2343" builtinId="8" hidden="1"/>
    <cellStyle name="ハイパーリンク" xfId="2345" builtinId="8" hidden="1"/>
    <cellStyle name="ハイパーリンク" xfId="2347" builtinId="8" hidden="1"/>
    <cellStyle name="ハイパーリンク" xfId="2349" builtinId="8" hidden="1"/>
    <cellStyle name="ハイパーリンク" xfId="2351" builtinId="8" hidden="1"/>
    <cellStyle name="ハイパーリンク" xfId="2353" builtinId="8" hidden="1"/>
    <cellStyle name="ハイパーリンク" xfId="2355" builtinId="8" hidden="1"/>
    <cellStyle name="ハイパーリンク" xfId="2357" builtinId="8" hidden="1"/>
    <cellStyle name="ハイパーリンク" xfId="2359" builtinId="8" hidden="1"/>
    <cellStyle name="ハイパーリンク" xfId="2361" builtinId="8" hidden="1"/>
    <cellStyle name="ハイパーリンク" xfId="2363" builtinId="8" hidden="1"/>
    <cellStyle name="ハイパーリンク" xfId="2365" builtinId="8" hidden="1"/>
    <cellStyle name="ハイパーリンク" xfId="2367" builtinId="8" hidden="1"/>
    <cellStyle name="ハイパーリンク" xfId="2369" builtinId="8" hidden="1"/>
    <cellStyle name="ハイパーリンク" xfId="2371" builtinId="8" hidden="1"/>
    <cellStyle name="ハイパーリンク" xfId="2373" builtinId="8" hidden="1"/>
    <cellStyle name="ハイパーリンク" xfId="2375" builtinId="8" hidden="1"/>
    <cellStyle name="ハイパーリンク" xfId="2377" builtinId="8" hidden="1"/>
    <cellStyle name="ハイパーリンク" xfId="2379" builtinId="8" hidden="1"/>
    <cellStyle name="ハイパーリンク" xfId="2381" builtinId="8" hidden="1"/>
    <cellStyle name="ハイパーリンク" xfId="2383" builtinId="8" hidden="1"/>
    <cellStyle name="ハイパーリンク" xfId="2385" builtinId="8" hidden="1"/>
    <cellStyle name="ハイパーリンク" xfId="2387" builtinId="8" hidden="1"/>
    <cellStyle name="ハイパーリンク" xfId="2389" builtinId="8" hidden="1"/>
    <cellStyle name="ハイパーリンク" xfId="2391" builtinId="8" hidden="1"/>
    <cellStyle name="ハイパーリンク" xfId="2393" builtinId="8" hidden="1"/>
    <cellStyle name="ハイパーリンク" xfId="2395" builtinId="8" hidden="1"/>
    <cellStyle name="ハイパーリンク" xfId="2397" builtinId="8" hidden="1"/>
    <cellStyle name="ハイパーリンク" xfId="2399" builtinId="8" hidden="1"/>
    <cellStyle name="ハイパーリンク" xfId="2401" builtinId="8" hidden="1"/>
    <cellStyle name="ハイパーリンク" xfId="2403" builtinId="8" hidden="1"/>
    <cellStyle name="ハイパーリンク" xfId="2405" builtinId="8" hidden="1"/>
    <cellStyle name="ハイパーリンク" xfId="2407" builtinId="8" hidden="1"/>
    <cellStyle name="ハイパーリンク" xfId="2409" builtinId="8" hidden="1"/>
    <cellStyle name="ハイパーリンク" xfId="2411" builtinId="8" hidden="1"/>
    <cellStyle name="ハイパーリンク" xfId="2413" builtinId="8" hidden="1"/>
    <cellStyle name="ハイパーリンク" xfId="2415" builtinId="8" hidden="1"/>
    <cellStyle name="ハイパーリンク" xfId="2417" builtinId="8" hidden="1"/>
    <cellStyle name="ハイパーリンク" xfId="2419" builtinId="8" hidden="1"/>
    <cellStyle name="ハイパーリンク" xfId="2421" builtinId="8" hidden="1"/>
    <cellStyle name="ハイパーリンク" xfId="2423" builtinId="8" hidden="1"/>
    <cellStyle name="ハイパーリンク" xfId="2425" builtinId="8" hidden="1"/>
    <cellStyle name="ハイパーリンク" xfId="2427" builtinId="8" hidden="1"/>
    <cellStyle name="ハイパーリンク" xfId="2429" builtinId="8" hidden="1"/>
    <cellStyle name="ハイパーリンク" xfId="2431" builtinId="8" hidden="1"/>
    <cellStyle name="ハイパーリンク" xfId="2433" builtinId="8" hidden="1"/>
    <cellStyle name="ハイパーリンク" xfId="2435" builtinId="8" hidden="1"/>
    <cellStyle name="ハイパーリンク" xfId="2437" builtinId="8" hidden="1"/>
    <cellStyle name="ハイパーリンク" xfId="2439" builtinId="8" hidden="1"/>
    <cellStyle name="ハイパーリンク" xfId="2441" builtinId="8" hidden="1"/>
    <cellStyle name="ハイパーリンク" xfId="2443" builtinId="8" hidden="1"/>
    <cellStyle name="ハイパーリンク" xfId="2445" builtinId="8" hidden="1"/>
    <cellStyle name="ハイパーリンク" xfId="2447" builtinId="8" hidden="1"/>
    <cellStyle name="ハイパーリンク" xfId="2449" builtinId="8" hidden="1"/>
    <cellStyle name="ハイパーリンク" xfId="2451" builtinId="8" hidden="1"/>
    <cellStyle name="ハイパーリンク" xfId="2453" builtinId="8" hidden="1"/>
    <cellStyle name="ハイパーリンク" xfId="2455" builtinId="8" hidden="1"/>
    <cellStyle name="ハイパーリンク" xfId="2457" builtinId="8" hidden="1"/>
    <cellStyle name="ハイパーリンク" xfId="2459" builtinId="8" hidden="1"/>
    <cellStyle name="ハイパーリンク" xfId="2461" builtinId="8" hidden="1"/>
    <cellStyle name="ハイパーリンク" xfId="2463" builtinId="8" hidden="1"/>
    <cellStyle name="ハイパーリンク" xfId="2465" builtinId="8" hidden="1"/>
    <cellStyle name="ハイパーリンク" xfId="2467" builtinId="8" hidden="1"/>
    <cellStyle name="ハイパーリンク" xfId="2469" builtinId="8" hidden="1"/>
    <cellStyle name="ハイパーリンク" xfId="2471" builtinId="8" hidden="1"/>
    <cellStyle name="ハイパーリンク" xfId="2473" builtinId="8" hidden="1"/>
    <cellStyle name="ハイパーリンク" xfId="2475" builtinId="8" hidden="1"/>
    <cellStyle name="ハイパーリンク" xfId="2477" builtinId="8" hidden="1"/>
    <cellStyle name="ハイパーリンク" xfId="2479" builtinId="8" hidden="1"/>
    <cellStyle name="ハイパーリンク" xfId="2481" builtinId="8" hidden="1"/>
    <cellStyle name="ハイパーリンク" xfId="2483" builtinId="8" hidden="1"/>
    <cellStyle name="ハイパーリンク" xfId="2485" builtinId="8" hidden="1"/>
    <cellStyle name="ハイパーリンク" xfId="2487" builtinId="8" hidden="1"/>
    <cellStyle name="ハイパーリンク" xfId="2489" builtinId="8" hidden="1"/>
    <cellStyle name="ハイパーリンク" xfId="2491" builtinId="8" hidden="1"/>
    <cellStyle name="ハイパーリンク" xfId="2493" builtinId="8" hidden="1"/>
    <cellStyle name="ハイパーリンク" xfId="2495" builtinId="8" hidden="1"/>
    <cellStyle name="ハイパーリンク" xfId="2497" builtinId="8" hidden="1"/>
    <cellStyle name="ハイパーリンク" xfId="2499" builtinId="8" hidden="1"/>
    <cellStyle name="ハイパーリンク" xfId="2501" builtinId="8" hidden="1"/>
    <cellStyle name="ハイパーリンク" xfId="2503" builtinId="8" hidden="1"/>
    <cellStyle name="ハイパーリンク" xfId="2505" builtinId="8" hidden="1"/>
    <cellStyle name="ハイパーリンク" xfId="2507" builtinId="8" hidden="1"/>
    <cellStyle name="ハイパーリンク" xfId="2509" builtinId="8" hidden="1"/>
    <cellStyle name="ハイパーリンク" xfId="2511" builtinId="8" hidden="1"/>
    <cellStyle name="ハイパーリンク" xfId="2513" builtinId="8" hidden="1"/>
    <cellStyle name="ハイパーリンク" xfId="2515" builtinId="8" hidden="1"/>
    <cellStyle name="ハイパーリンク" xfId="2517" builtinId="8" hidden="1"/>
    <cellStyle name="ハイパーリンク" xfId="2519" builtinId="8" hidden="1"/>
    <cellStyle name="ハイパーリンク" xfId="2521" builtinId="8" hidden="1"/>
    <cellStyle name="ハイパーリンク" xfId="2523" builtinId="8" hidden="1"/>
    <cellStyle name="ハイパーリンク" xfId="2525" builtinId="8" hidden="1"/>
    <cellStyle name="ハイパーリンク" xfId="2527" builtinId="8" hidden="1"/>
    <cellStyle name="ハイパーリンク" xfId="2529" builtinId="8" hidden="1"/>
    <cellStyle name="ハイパーリンク" xfId="2531" builtinId="8" hidden="1"/>
    <cellStyle name="ハイパーリンク" xfId="2533" builtinId="8" hidden="1"/>
    <cellStyle name="ハイパーリンク" xfId="2535" builtinId="8" hidden="1"/>
    <cellStyle name="ハイパーリンク" xfId="2537" builtinId="8" hidden="1"/>
    <cellStyle name="ハイパーリンク" xfId="2539" builtinId="8" hidden="1"/>
    <cellStyle name="ハイパーリンク" xfId="2541" builtinId="8" hidden="1"/>
    <cellStyle name="ハイパーリンク" xfId="2543" builtinId="8" hidden="1"/>
    <cellStyle name="ハイパーリンク" xfId="2545" builtinId="8" hidden="1"/>
    <cellStyle name="ハイパーリンク" xfId="2547" builtinId="8" hidden="1"/>
    <cellStyle name="ハイパーリンク" xfId="2549" builtinId="8" hidden="1"/>
    <cellStyle name="ハイパーリンク" xfId="2551" builtinId="8" hidden="1"/>
    <cellStyle name="ハイパーリンク" xfId="2553" builtinId="8" hidden="1"/>
    <cellStyle name="ハイパーリンク" xfId="2555" builtinId="8" hidden="1"/>
    <cellStyle name="ハイパーリンク" xfId="2557" builtinId="8" hidden="1"/>
    <cellStyle name="ハイパーリンク" xfId="2559" builtinId="8" hidden="1"/>
    <cellStyle name="ハイパーリンク" xfId="2561" builtinId="8" hidden="1"/>
    <cellStyle name="ハイパーリンク" xfId="2563" builtinId="8" hidden="1"/>
    <cellStyle name="ハイパーリンク" xfId="2565" builtinId="8" hidden="1"/>
    <cellStyle name="ハイパーリンク" xfId="2567" builtinId="8" hidden="1"/>
    <cellStyle name="ハイパーリンク" xfId="2569" builtinId="8" hidden="1"/>
    <cellStyle name="ハイパーリンク" xfId="2571" builtinId="8" hidden="1"/>
    <cellStyle name="ハイパーリンク" xfId="2573" builtinId="8" hidden="1"/>
    <cellStyle name="ハイパーリンク" xfId="2575" builtinId="8" hidden="1"/>
    <cellStyle name="ハイパーリンク" xfId="2577" builtinId="8" hidden="1"/>
    <cellStyle name="ハイパーリンク" xfId="2579" builtinId="8" hidden="1"/>
    <cellStyle name="ハイパーリンク" xfId="2581" builtinId="8" hidden="1"/>
    <cellStyle name="ハイパーリンク" xfId="2583" builtinId="8" hidden="1"/>
    <cellStyle name="ハイパーリンク" xfId="2585" builtinId="8" hidden="1"/>
    <cellStyle name="ハイパーリンク" xfId="2587" builtinId="8" hidden="1"/>
    <cellStyle name="ハイパーリンク" xfId="2589" builtinId="8" hidden="1"/>
    <cellStyle name="ハイパーリンク" xfId="2591" builtinId="8" hidden="1"/>
    <cellStyle name="ハイパーリンク" xfId="2593" builtinId="8" hidden="1"/>
    <cellStyle name="ハイパーリンク" xfId="2595" builtinId="8" hidden="1"/>
    <cellStyle name="ハイパーリンク" xfId="2597" builtinId="8" hidden="1"/>
    <cellStyle name="ハイパーリンク" xfId="2599" builtinId="8" hidden="1"/>
    <cellStyle name="ハイパーリンク" xfId="2601" builtinId="8" hidden="1"/>
    <cellStyle name="ハイパーリンク" xfId="2603" builtinId="8" hidden="1"/>
    <cellStyle name="ハイパーリンク" xfId="2605" builtinId="8" hidden="1"/>
    <cellStyle name="ハイパーリンク" xfId="2607" builtinId="8" hidden="1"/>
    <cellStyle name="ハイパーリンク" xfId="2609" builtinId="8" hidden="1"/>
    <cellStyle name="ハイパーリンク" xfId="2611" builtinId="8" hidden="1"/>
    <cellStyle name="ハイパーリンク" xfId="2613" builtinId="8" hidden="1"/>
    <cellStyle name="ハイパーリンク" xfId="2615" builtinId="8" hidden="1"/>
    <cellStyle name="ハイパーリンク" xfId="2617" builtinId="8" hidden="1"/>
    <cellStyle name="ハイパーリンク" xfId="2619" builtinId="8" hidden="1"/>
    <cellStyle name="ハイパーリンク" xfId="2621" builtinId="8" hidden="1"/>
    <cellStyle name="ハイパーリンク" xfId="2623" builtinId="8" hidden="1"/>
    <cellStyle name="ハイパーリンク" xfId="2625" builtinId="8" hidden="1"/>
    <cellStyle name="ハイパーリンク" xfId="2627" builtinId="8" hidden="1"/>
    <cellStyle name="ハイパーリンク" xfId="2629" builtinId="8" hidden="1"/>
    <cellStyle name="ハイパーリンク" xfId="2631" builtinId="8" hidden="1"/>
    <cellStyle name="ハイパーリンク" xfId="2633" builtinId="8" hidden="1"/>
    <cellStyle name="ハイパーリンク" xfId="2635" builtinId="8" hidden="1"/>
    <cellStyle name="ハイパーリンク" xfId="2637" builtinId="8" hidden="1"/>
    <cellStyle name="ハイパーリンク" xfId="2639" builtinId="8" hidden="1"/>
    <cellStyle name="ハイパーリンク" xfId="2641" builtinId="8" hidden="1"/>
    <cellStyle name="ハイパーリンク" xfId="2643" builtinId="8" hidden="1"/>
    <cellStyle name="ハイパーリンク" xfId="2645" builtinId="8" hidden="1"/>
    <cellStyle name="ハイパーリンク" xfId="2647" builtinId="8" hidden="1"/>
    <cellStyle name="ハイパーリンク" xfId="2649" builtinId="8" hidden="1"/>
    <cellStyle name="ハイパーリンク" xfId="2651" builtinId="8" hidden="1"/>
    <cellStyle name="ハイパーリンク" xfId="2653" builtinId="8" hidden="1"/>
    <cellStyle name="ハイパーリンク" xfId="2655" builtinId="8" hidden="1"/>
    <cellStyle name="ハイパーリンク" xfId="2657" builtinId="8" hidden="1"/>
    <cellStyle name="ハイパーリンク" xfId="2659" builtinId="8" hidden="1"/>
    <cellStyle name="ハイパーリンク" xfId="2661" builtinId="8" hidden="1"/>
    <cellStyle name="ハイパーリンク" xfId="2663" builtinId="8" hidden="1"/>
    <cellStyle name="ハイパーリンク" xfId="2665" builtinId="8" hidden="1"/>
    <cellStyle name="ハイパーリンク" xfId="2667" builtinId="8" hidden="1"/>
    <cellStyle name="ハイパーリンク" xfId="2669" builtinId="8" hidden="1"/>
    <cellStyle name="ハイパーリンク" xfId="2671" builtinId="8" hidden="1"/>
    <cellStyle name="ハイパーリンク" xfId="2673" builtinId="8" hidden="1"/>
    <cellStyle name="ハイパーリンク" xfId="2675" builtinId="8" hidden="1"/>
    <cellStyle name="ハイパーリンク" xfId="2677" builtinId="8" hidden="1"/>
    <cellStyle name="ハイパーリンク" xfId="2679" builtinId="8" hidden="1"/>
    <cellStyle name="ハイパーリンク" xfId="2681" builtinId="8" hidden="1"/>
    <cellStyle name="ハイパーリンク" xfId="2683" builtinId="8" hidden="1"/>
    <cellStyle name="ハイパーリンク" xfId="2685" builtinId="8" hidden="1"/>
    <cellStyle name="ハイパーリンク" xfId="2687" builtinId="8" hidden="1"/>
    <cellStyle name="ハイパーリンク" xfId="2689" builtinId="8" hidden="1"/>
    <cellStyle name="ハイパーリンク" xfId="2691" builtinId="8" hidden="1"/>
    <cellStyle name="ハイパーリンク" xfId="2693" builtinId="8" hidden="1"/>
    <cellStyle name="ハイパーリンク" xfId="2695" builtinId="8" hidden="1"/>
    <cellStyle name="ハイパーリンク" xfId="2697" builtinId="8" hidden="1"/>
    <cellStyle name="ハイパーリンク" xfId="2699" builtinId="8" hidden="1"/>
    <cellStyle name="ハイパーリンク" xfId="2701" builtinId="8" hidden="1"/>
    <cellStyle name="ハイパーリンク" xfId="2703" builtinId="8" hidden="1"/>
    <cellStyle name="ハイパーリンク" xfId="2705" builtinId="8" hidden="1"/>
    <cellStyle name="ハイパーリンク" xfId="2707" builtinId="8" hidden="1"/>
    <cellStyle name="ハイパーリンク" xfId="2709" builtinId="8" hidden="1"/>
    <cellStyle name="ハイパーリンク" xfId="2711" builtinId="8" hidden="1"/>
    <cellStyle name="ハイパーリンク" xfId="2713" builtinId="8" hidden="1"/>
    <cellStyle name="ハイパーリンク" xfId="2715" builtinId="8" hidden="1"/>
    <cellStyle name="ハイパーリンク" xfId="2717" builtinId="8" hidden="1"/>
    <cellStyle name="ハイパーリンク" xfId="2719" builtinId="8" hidden="1"/>
    <cellStyle name="ハイパーリンク" xfId="2721" builtinId="8" hidden="1"/>
    <cellStyle name="ハイパーリンク" xfId="2723" builtinId="8" hidden="1"/>
    <cellStyle name="ハイパーリンク" xfId="2725" builtinId="8" hidden="1"/>
    <cellStyle name="ハイパーリンク" xfId="2727" builtinId="8" hidden="1"/>
    <cellStyle name="ハイパーリンク" xfId="2729" builtinId="8" hidden="1"/>
    <cellStyle name="ハイパーリンク" xfId="2731" builtinId="8" hidden="1"/>
    <cellStyle name="ハイパーリンク" xfId="2733" builtinId="8" hidden="1"/>
    <cellStyle name="ハイパーリンク" xfId="2735" builtinId="8" hidden="1"/>
    <cellStyle name="ハイパーリンク" xfId="2737" builtinId="8" hidden="1"/>
    <cellStyle name="ハイパーリンク" xfId="2739" builtinId="8" hidden="1"/>
    <cellStyle name="ハイパーリンク" xfId="2741" builtinId="8" hidden="1"/>
    <cellStyle name="ハイパーリンク" xfId="2743" builtinId="8" hidden="1"/>
    <cellStyle name="ハイパーリンク" xfId="2745" builtinId="8" hidden="1"/>
    <cellStyle name="ハイパーリンク" xfId="2747" builtinId="8" hidden="1"/>
    <cellStyle name="ハイパーリンク" xfId="2749" builtinId="8" hidden="1"/>
    <cellStyle name="ハイパーリンク" xfId="2751" builtinId="8" hidden="1"/>
    <cellStyle name="ハイパーリンク" xfId="2753" builtinId="8" hidden="1"/>
    <cellStyle name="ハイパーリンク" xfId="2755" builtinId="8" hidden="1"/>
    <cellStyle name="ハイパーリンク" xfId="2757" builtinId="8" hidden="1"/>
    <cellStyle name="ハイパーリンク" xfId="2759" builtinId="8" hidden="1"/>
    <cellStyle name="ハイパーリンク" xfId="2761" builtinId="8" hidden="1"/>
    <cellStyle name="ハイパーリンク" xfId="2763" builtinId="8" hidden="1"/>
    <cellStyle name="ハイパーリンク" xfId="2765" builtinId="8" hidden="1"/>
    <cellStyle name="ハイパーリンク" xfId="2767" builtinId="8" hidden="1"/>
    <cellStyle name="ハイパーリンク" xfId="2769" builtinId="8" hidden="1"/>
    <cellStyle name="ハイパーリンク" xfId="2771" builtinId="8" hidden="1"/>
    <cellStyle name="ハイパーリンク" xfId="2773" builtinId="8" hidden="1"/>
    <cellStyle name="ハイパーリンク" xfId="2775" builtinId="8" hidden="1"/>
    <cellStyle name="ハイパーリンク" xfId="2777" builtinId="8" hidden="1"/>
    <cellStyle name="ハイパーリンク" xfId="2779" builtinId="8" hidden="1"/>
    <cellStyle name="ハイパーリンク" xfId="2781" builtinId="8" hidden="1"/>
    <cellStyle name="ハイパーリンク" xfId="2783" builtinId="8" hidden="1"/>
    <cellStyle name="ハイパーリンク" xfId="2785" builtinId="8" hidden="1"/>
    <cellStyle name="ハイパーリンク" xfId="2787" builtinId="8" hidden="1"/>
    <cellStyle name="ハイパーリンク" xfId="2789" builtinId="8" hidden="1"/>
    <cellStyle name="ハイパーリンク" xfId="2791" builtinId="8" hidden="1"/>
    <cellStyle name="ハイパーリンク" xfId="2793" builtinId="8" hidden="1"/>
    <cellStyle name="ハイパーリンク" xfId="2795" builtinId="8" hidden="1"/>
    <cellStyle name="ハイパーリンク" xfId="2797" builtinId="8" hidden="1"/>
    <cellStyle name="ハイパーリンク" xfId="2799" builtinId="8" hidden="1"/>
    <cellStyle name="ハイパーリンク" xfId="2801" builtinId="8" hidden="1"/>
    <cellStyle name="ハイパーリンク" xfId="2803" builtinId="8" hidden="1"/>
    <cellStyle name="ハイパーリンク" xfId="2805" builtinId="8" hidden="1"/>
    <cellStyle name="ハイパーリンク" xfId="2807" builtinId="8" hidden="1"/>
    <cellStyle name="ハイパーリンク" xfId="2809" builtinId="8" hidden="1"/>
    <cellStyle name="ハイパーリンク" xfId="2811" builtinId="8" hidden="1"/>
    <cellStyle name="ハイパーリンク" xfId="2813" builtinId="8" hidden="1"/>
    <cellStyle name="ハイパーリンク" xfId="2815" builtinId="8" hidden="1"/>
    <cellStyle name="ハイパーリンク" xfId="2817" builtinId="8" hidden="1"/>
    <cellStyle name="ハイパーリンク" xfId="2819" builtinId="8" hidden="1"/>
    <cellStyle name="ハイパーリンク" xfId="2821" builtinId="8" hidden="1"/>
    <cellStyle name="ハイパーリンク" xfId="2823" builtinId="8" hidden="1"/>
    <cellStyle name="ハイパーリンク" xfId="2825" builtinId="8" hidden="1"/>
    <cellStyle name="ハイパーリンク" xfId="2827" builtinId="8" hidden="1"/>
    <cellStyle name="ハイパーリンク" xfId="2829" builtinId="8" hidden="1"/>
    <cellStyle name="ハイパーリンク" xfId="2831" builtinId="8" hidden="1"/>
    <cellStyle name="ハイパーリンク" xfId="2833" builtinId="8" hidden="1"/>
    <cellStyle name="ハイパーリンク" xfId="2835" builtinId="8" hidden="1"/>
    <cellStyle name="ハイパーリンク" xfId="2837" builtinId="8" hidden="1"/>
    <cellStyle name="ハイパーリンク" xfId="2839" builtinId="8" hidden="1"/>
    <cellStyle name="ハイパーリンク" xfId="2841" builtinId="8" hidden="1"/>
    <cellStyle name="ハイパーリンク" xfId="2843" builtinId="8" hidden="1"/>
    <cellStyle name="ハイパーリンク" xfId="2845" builtinId="8" hidden="1"/>
    <cellStyle name="ハイパーリンク" xfId="2847" builtinId="8" hidden="1"/>
    <cellStyle name="ハイパーリンク" xfId="2849" builtinId="8" hidden="1"/>
    <cellStyle name="ハイパーリンク" xfId="2851" builtinId="8" hidden="1"/>
    <cellStyle name="ハイパーリンク" xfId="2853" builtinId="8" hidden="1"/>
    <cellStyle name="ハイパーリンク" xfId="2855" builtinId="8" hidden="1"/>
    <cellStyle name="ハイパーリンク" xfId="2857" builtinId="8" hidden="1"/>
    <cellStyle name="ハイパーリンク" xfId="2859" builtinId="8" hidden="1"/>
    <cellStyle name="ハイパーリンク" xfId="2861" builtinId="8" hidden="1"/>
    <cellStyle name="ハイパーリンク" xfId="2863" builtinId="8" hidden="1"/>
    <cellStyle name="ハイパーリンク" xfId="2865" builtinId="8" hidden="1"/>
    <cellStyle name="ハイパーリンク" xfId="2867" builtinId="8" hidden="1"/>
    <cellStyle name="ハイパーリンク" xfId="2869" builtinId="8" hidden="1"/>
    <cellStyle name="ハイパーリンク" xfId="2871" builtinId="8" hidden="1"/>
    <cellStyle name="ハイパーリンク" xfId="2873" builtinId="8" hidden="1"/>
    <cellStyle name="ハイパーリンク" xfId="2875" builtinId="8" hidden="1"/>
    <cellStyle name="ハイパーリンク" xfId="2877" builtinId="8" hidden="1"/>
    <cellStyle name="ハイパーリンク" xfId="2879" builtinId="8" hidden="1"/>
    <cellStyle name="ハイパーリンク" xfId="2881" builtinId="8" hidden="1"/>
    <cellStyle name="ハイパーリンク" xfId="2883" builtinId="8" hidden="1"/>
    <cellStyle name="ハイパーリンク" xfId="2885" builtinId="8" hidden="1"/>
    <cellStyle name="ハイパーリンク" xfId="2887" builtinId="8" hidden="1"/>
    <cellStyle name="ハイパーリンク" xfId="2889" builtinId="8" hidden="1"/>
    <cellStyle name="ハイパーリンク" xfId="2891" builtinId="8" hidden="1"/>
    <cellStyle name="ハイパーリンク" xfId="2893" builtinId="8" hidden="1"/>
    <cellStyle name="ハイパーリンク" xfId="2895" builtinId="8" hidden="1"/>
    <cellStyle name="ハイパーリンク" xfId="2897" builtinId="8" hidden="1"/>
    <cellStyle name="ハイパーリンク" xfId="2899" builtinId="8" hidden="1"/>
    <cellStyle name="ハイパーリンク" xfId="2901" builtinId="8" hidden="1"/>
    <cellStyle name="ハイパーリンク" xfId="2903" builtinId="8" hidden="1"/>
    <cellStyle name="ハイパーリンク" xfId="2905" builtinId="8" hidden="1"/>
    <cellStyle name="ハイパーリンク" xfId="2907" builtinId="8" hidden="1"/>
    <cellStyle name="ハイパーリンク" xfId="2909" builtinId="8" hidden="1"/>
    <cellStyle name="ハイパーリンク" xfId="2911" builtinId="8" hidden="1"/>
    <cellStyle name="ハイパーリンク" xfId="2913" builtinId="8" hidden="1"/>
    <cellStyle name="ハイパーリンク" xfId="2915" builtinId="8" hidden="1"/>
    <cellStyle name="ハイパーリンク" xfId="2917" builtinId="8" hidden="1"/>
    <cellStyle name="ハイパーリンク" xfId="2919" builtinId="8" hidden="1"/>
    <cellStyle name="ハイパーリンク" xfId="2921" builtinId="8" hidden="1"/>
    <cellStyle name="ハイパーリンク" xfId="2923" builtinId="8" hidden="1"/>
    <cellStyle name="ハイパーリンク" xfId="2925" builtinId="8" hidden="1"/>
    <cellStyle name="ハイパーリンク" xfId="2927" builtinId="8" hidden="1"/>
    <cellStyle name="ハイパーリンク" xfId="2929" builtinId="8" hidden="1"/>
    <cellStyle name="ハイパーリンク" xfId="2931" builtinId="8" hidden="1"/>
    <cellStyle name="ハイパーリンク" xfId="2933" builtinId="8" hidden="1"/>
    <cellStyle name="ハイパーリンク" xfId="2935" builtinId="8" hidden="1"/>
    <cellStyle name="ハイパーリンク" xfId="2937" builtinId="8" hidden="1"/>
    <cellStyle name="ハイパーリンク" xfId="2939" builtinId="8" hidden="1"/>
    <cellStyle name="ハイパーリンク" xfId="2941" builtinId="8" hidden="1"/>
    <cellStyle name="ハイパーリンク" xfId="2943" builtinId="8" hidden="1"/>
    <cellStyle name="ハイパーリンク" xfId="2945" builtinId="8" hidden="1"/>
    <cellStyle name="ハイパーリンク" xfId="2947" builtinId="8" hidden="1"/>
    <cellStyle name="ハイパーリンク" xfId="2949" builtinId="8" hidden="1"/>
    <cellStyle name="ハイパーリンク" xfId="2951" builtinId="8" hidden="1"/>
    <cellStyle name="ハイパーリンク" xfId="2953" builtinId="8" hidden="1"/>
    <cellStyle name="ハイパーリンク" xfId="2955" builtinId="8" hidden="1"/>
    <cellStyle name="ハイパーリンク" xfId="2957" builtinId="8" hidden="1"/>
    <cellStyle name="ハイパーリンク" xfId="2959" builtinId="8" hidden="1"/>
    <cellStyle name="ハイパーリンク" xfId="2961" builtinId="8" hidden="1"/>
    <cellStyle name="ハイパーリンク" xfId="2963" builtinId="8" hidden="1"/>
    <cellStyle name="ハイパーリンク" xfId="2965" builtinId="8" hidden="1"/>
    <cellStyle name="ハイパーリンク" xfId="2967" builtinId="8" hidden="1"/>
    <cellStyle name="ハイパーリンク" xfId="2969" builtinId="8" hidden="1"/>
    <cellStyle name="ハイパーリンク" xfId="2971" builtinId="8" hidden="1"/>
    <cellStyle name="ハイパーリンク" xfId="2973" builtinId="8" hidden="1"/>
    <cellStyle name="ハイパーリンク" xfId="2975" builtinId="8" hidden="1"/>
    <cellStyle name="ハイパーリンク" xfId="2977" builtinId="8" hidden="1"/>
    <cellStyle name="ハイパーリンク" xfId="2979" builtinId="8" hidden="1"/>
    <cellStyle name="ハイパーリンク" xfId="2981" builtinId="8" hidden="1"/>
    <cellStyle name="ハイパーリンク" xfId="2983" builtinId="8" hidden="1"/>
    <cellStyle name="ハイパーリンク" xfId="2985" builtinId="8" hidden="1"/>
    <cellStyle name="ハイパーリンク" xfId="2987" builtinId="8" hidden="1"/>
    <cellStyle name="ハイパーリンク" xfId="2989" builtinId="8" hidden="1"/>
    <cellStyle name="ハイパーリンク" xfId="2991" builtinId="8" hidden="1"/>
    <cellStyle name="ハイパーリンク" xfId="2993" builtinId="8" hidden="1"/>
    <cellStyle name="ハイパーリンク" xfId="2995" builtinId="8" hidden="1"/>
    <cellStyle name="ハイパーリンク" xfId="2997" builtinId="8" hidden="1"/>
    <cellStyle name="ハイパーリンク" xfId="2999" builtinId="8" hidden="1"/>
    <cellStyle name="ハイパーリンク" xfId="3001" builtinId="8" hidden="1"/>
    <cellStyle name="ハイパーリンク" xfId="3003" builtinId="8" hidden="1"/>
    <cellStyle name="ハイパーリンク" xfId="3005" builtinId="8" hidden="1"/>
    <cellStyle name="ハイパーリンク" xfId="3007" builtinId="8" hidden="1"/>
    <cellStyle name="ハイパーリンク" xfId="3009" builtinId="8" hidden="1"/>
    <cellStyle name="ハイパーリンク" xfId="3011" builtinId="8" hidden="1"/>
    <cellStyle name="ハイパーリンク" xfId="3013" builtinId="8" hidden="1"/>
    <cellStyle name="ハイパーリンク" xfId="3015" builtinId="8" hidden="1"/>
    <cellStyle name="ハイパーリンク" xfId="3017" builtinId="8" hidden="1"/>
    <cellStyle name="ハイパーリンク" xfId="3019" builtinId="8" hidden="1"/>
    <cellStyle name="ハイパーリンク" xfId="3021" builtinId="8" hidden="1"/>
    <cellStyle name="ハイパーリンク" xfId="3023" builtinId="8" hidden="1"/>
    <cellStyle name="ハイパーリンク" xfId="3025" builtinId="8" hidden="1"/>
    <cellStyle name="ハイパーリンク" xfId="3027" builtinId="8" hidden="1"/>
    <cellStyle name="ハイパーリンク" xfId="3029" builtinId="8" hidden="1"/>
    <cellStyle name="ハイパーリンク" xfId="3031" builtinId="8" hidden="1"/>
    <cellStyle name="ハイパーリンク" xfId="3033" builtinId="8" hidden="1"/>
    <cellStyle name="ハイパーリンク" xfId="3035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5" builtinId="8" hidden="1"/>
    <cellStyle name="ハイパーリンク" xfId="3577" builtinId="8" hidden="1"/>
    <cellStyle name="ハイパーリンク" xfId="3579" builtinId="8" hidden="1"/>
    <cellStyle name="ハイパーリンク" xfId="3581" builtinId="8" hidden="1"/>
    <cellStyle name="ハイパーリンク" xfId="3583" builtinId="8" hidden="1"/>
    <cellStyle name="ハイパーリンク" xfId="3585" builtinId="8" hidden="1"/>
    <cellStyle name="ハイパーリンク" xfId="3587" builtinId="8" hidden="1"/>
    <cellStyle name="ハイパーリンク" xfId="3589" builtinId="8" hidden="1"/>
    <cellStyle name="ハイパーリンク" xfId="3591" builtinId="8" hidden="1"/>
    <cellStyle name="ハイパーリンク" xfId="3593" builtinId="8" hidden="1"/>
    <cellStyle name="ハイパーリンク" xfId="3595" builtinId="8" hidden="1"/>
    <cellStyle name="ハイパーリンク" xfId="3597" builtinId="8" hidden="1"/>
    <cellStyle name="ハイパーリンク" xfId="3599" builtinId="8" hidden="1"/>
    <cellStyle name="ハイパーリンク" xfId="3601" builtinId="8" hidden="1"/>
    <cellStyle name="ハイパーリンク" xfId="3603" builtinId="8" hidden="1"/>
    <cellStyle name="ハイパーリンク" xfId="3605" builtinId="8" hidden="1"/>
    <cellStyle name="ハイパーリンク" xfId="3607" builtinId="8" hidden="1"/>
    <cellStyle name="ハイパーリンク" xfId="3609" builtinId="8" hidden="1"/>
    <cellStyle name="ハイパーリンク" xfId="3611" builtinId="8" hidden="1"/>
    <cellStyle name="ハイパーリンク" xfId="3613" builtinId="8" hidden="1"/>
    <cellStyle name="ハイパーリンク" xfId="3615" builtinId="8" hidden="1"/>
    <cellStyle name="ハイパーリンク" xfId="3617" builtinId="8" hidden="1"/>
    <cellStyle name="ハイパーリンク" xfId="3619" builtinId="8" hidden="1"/>
    <cellStyle name="ハイパーリンク" xfId="3621" builtinId="8" hidden="1"/>
    <cellStyle name="ハイパーリンク" xfId="3623" builtinId="8" hidden="1"/>
    <cellStyle name="ハイパーリンク" xfId="3625" builtinId="8" hidden="1"/>
    <cellStyle name="ハイパーリンク" xfId="3627" builtinId="8" hidden="1"/>
    <cellStyle name="ハイパーリンク" xfId="3629" builtinId="8" hidden="1"/>
    <cellStyle name="ハイパーリンク" xfId="3631" builtinId="8" hidden="1"/>
    <cellStyle name="ハイパーリンク" xfId="3633" builtinId="8" hidden="1"/>
    <cellStyle name="ハイパーリンク" xfId="3635" builtinId="8" hidden="1"/>
    <cellStyle name="ハイパーリンク" xfId="3637" builtinId="8" hidden="1"/>
    <cellStyle name="ハイパーリンク" xfId="3639" builtinId="8" hidden="1"/>
    <cellStyle name="ハイパーリンク" xfId="3641" builtinId="8" hidden="1"/>
    <cellStyle name="ハイパーリンク" xfId="3643" builtinId="8" hidden="1"/>
    <cellStyle name="ハイパーリンク" xfId="3645" builtinId="8" hidden="1"/>
    <cellStyle name="ハイパーリンク" xfId="3647" builtinId="8" hidden="1"/>
    <cellStyle name="ハイパーリンク" xfId="3649" builtinId="8" hidden="1"/>
    <cellStyle name="ハイパーリンク" xfId="3651" builtinId="8" hidden="1"/>
    <cellStyle name="ハイパーリンク" xfId="3653" builtinId="8" hidden="1"/>
    <cellStyle name="ハイパーリンク" xfId="3655" builtinId="8" hidden="1"/>
    <cellStyle name="ハイパーリンク" xfId="3657" builtinId="8" hidden="1"/>
    <cellStyle name="ハイパーリンク" xfId="3659" builtinId="8" hidden="1"/>
    <cellStyle name="ハイパーリンク" xfId="3661" builtinId="8" hidden="1"/>
    <cellStyle name="ハイパーリンク" xfId="3663" builtinId="8" hidden="1"/>
    <cellStyle name="ハイパーリンク" xfId="3665" builtinId="8" hidden="1"/>
    <cellStyle name="ハイパーリンク" xfId="3667" builtinId="8" hidden="1"/>
    <cellStyle name="ハイパーリンク" xfId="3669" builtinId="8" hidden="1"/>
    <cellStyle name="ハイパーリンク" xfId="3671" builtinId="8" hidden="1"/>
    <cellStyle name="ハイパーリンク" xfId="3673" builtinId="8" hidden="1"/>
    <cellStyle name="ハイパーリンク" xfId="3675" builtinId="8" hidden="1"/>
    <cellStyle name="ハイパーリンク" xfId="3677" builtinId="8" hidden="1"/>
    <cellStyle name="ハイパーリンク" xfId="3679" builtinId="8" hidden="1"/>
    <cellStyle name="ハイパーリンク" xfId="3681" builtinId="8" hidden="1"/>
    <cellStyle name="ハイパーリンク" xfId="3683" builtinId="8" hidden="1"/>
    <cellStyle name="ハイパーリンク" xfId="3685" builtinId="8" hidden="1"/>
    <cellStyle name="ハイパーリンク" xfId="3687" builtinId="8" hidden="1"/>
    <cellStyle name="ハイパーリンク" xfId="3689" builtinId="8" hidden="1"/>
    <cellStyle name="ハイパーリンク" xfId="3691" builtinId="8" hidden="1"/>
    <cellStyle name="ハイパーリンク" xfId="3693" builtinId="8" hidden="1"/>
    <cellStyle name="ハイパーリンク" xfId="3695" builtinId="8" hidden="1"/>
    <cellStyle name="ハイパーリンク" xfId="3697" builtinId="8" hidden="1"/>
    <cellStyle name="ハイパーリンク" xfId="3699" builtinId="8" hidden="1"/>
    <cellStyle name="ハイパーリンク" xfId="3701" builtinId="8" hidden="1"/>
    <cellStyle name="ハイパーリンク" xfId="3703" builtinId="8" hidden="1"/>
    <cellStyle name="ハイパーリンク" xfId="3705" builtinId="8" hidden="1"/>
    <cellStyle name="ハイパーリンク" xfId="3707" builtinId="8" hidden="1"/>
    <cellStyle name="ハイパーリンク" xfId="3709" builtinId="8" hidden="1"/>
    <cellStyle name="ハイパーリンク" xfId="3711" builtinId="8" hidden="1"/>
    <cellStyle name="ハイパーリンク" xfId="3713" builtinId="8" hidden="1"/>
    <cellStyle name="ハイパーリンク" xfId="3715" builtinId="8" hidden="1"/>
    <cellStyle name="ハイパーリンク" xfId="3717" builtinId="8" hidden="1"/>
    <cellStyle name="ハイパーリンク" xfId="3719" builtinId="8" hidden="1"/>
    <cellStyle name="ハイパーリンク" xfId="3721" builtinId="8" hidden="1"/>
    <cellStyle name="ハイパーリンク" xfId="3723" builtinId="8" hidden="1"/>
    <cellStyle name="ハイパーリンク" xfId="3725" builtinId="8" hidden="1"/>
    <cellStyle name="ハイパーリンク" xfId="3727" builtinId="8" hidden="1"/>
    <cellStyle name="ハイパーリンク" xfId="3729" builtinId="8" hidden="1"/>
    <cellStyle name="ハイパーリンク" xfId="3731" builtinId="8" hidden="1"/>
    <cellStyle name="ハイパーリンク" xfId="3733" builtinId="8" hidden="1"/>
    <cellStyle name="ハイパーリンク" xfId="3735" builtinId="8" hidden="1"/>
    <cellStyle name="ハイパーリンク" xfId="3737" builtinId="8" hidden="1"/>
    <cellStyle name="ハイパーリンク" xfId="3739" builtinId="8" hidden="1"/>
    <cellStyle name="ハイパーリンク" xfId="3741" builtinId="8" hidden="1"/>
    <cellStyle name="ハイパーリンク" xfId="3743" builtinId="8" hidden="1"/>
    <cellStyle name="ハイパーリンク" xfId="3745" builtinId="8" hidden="1"/>
    <cellStyle name="ハイパーリンク" xfId="3747" builtinId="8" hidden="1"/>
    <cellStyle name="ハイパーリンク" xfId="3749" builtinId="8" hidden="1"/>
    <cellStyle name="ハイパーリンク" xfId="3751" builtinId="8" hidden="1"/>
    <cellStyle name="ハイパーリンク" xfId="3753" builtinId="8" hidden="1"/>
    <cellStyle name="ハイパーリンク" xfId="3755" builtinId="8" hidden="1"/>
    <cellStyle name="ハイパーリンク" xfId="3757" builtinId="8" hidden="1"/>
    <cellStyle name="ハイパーリンク" xfId="3759" builtinId="8" hidden="1"/>
    <cellStyle name="ハイパーリンク" xfId="3761" builtinId="8" hidden="1"/>
    <cellStyle name="ハイパーリンク" xfId="3763" builtinId="8" hidden="1"/>
    <cellStyle name="ハイパーリンク" xfId="3765" builtinId="8" hidden="1"/>
    <cellStyle name="ハイパーリンク" xfId="3767" builtinId="8" hidden="1"/>
    <cellStyle name="ハイパーリンク" xfId="3769" builtinId="8" hidden="1"/>
    <cellStyle name="ハイパーリンク" xfId="3771" builtinId="8" hidden="1"/>
    <cellStyle name="ハイパーリンク" xfId="3773" builtinId="8" hidden="1"/>
    <cellStyle name="ハイパーリンク" xfId="3775" builtinId="8" hidden="1"/>
    <cellStyle name="ハイパーリンク" xfId="3777" builtinId="8" hidden="1"/>
    <cellStyle name="ハイパーリンク" xfId="3779" builtinId="8" hidden="1"/>
    <cellStyle name="ハイパーリンク" xfId="3781" builtinId="8" hidden="1"/>
    <cellStyle name="ハイパーリンク" xfId="3783" builtinId="8" hidden="1"/>
    <cellStyle name="ハイパーリンク" xfId="3785" builtinId="8" hidden="1"/>
    <cellStyle name="ハイパーリンク" xfId="3787" builtinId="8" hidden="1"/>
    <cellStyle name="ハイパーリンク" xfId="3789" builtinId="8" hidden="1"/>
    <cellStyle name="ハイパーリンク" xfId="3791" builtinId="8" hidden="1"/>
    <cellStyle name="ハイパーリンク" xfId="3793" builtinId="8" hidden="1"/>
    <cellStyle name="ハイパーリンク" xfId="3795" builtinId="8" hidden="1"/>
    <cellStyle name="ハイパーリンク" xfId="3797" builtinId="8" hidden="1"/>
    <cellStyle name="ハイパーリンク" xfId="3799" builtinId="8" hidden="1"/>
    <cellStyle name="ハイパーリンク" xfId="3801" builtinId="8" hidden="1"/>
    <cellStyle name="ハイパーリンク" xfId="3803" builtinId="8" hidden="1"/>
    <cellStyle name="ハイパーリンク" xfId="3805" builtinId="8" hidden="1"/>
    <cellStyle name="ハイパーリンク" xfId="3807" builtinId="8" hidden="1"/>
    <cellStyle name="ハイパーリンク" xfId="3809" builtinId="8" hidden="1"/>
    <cellStyle name="ハイパーリンク" xfId="3811" builtinId="8" hidden="1"/>
    <cellStyle name="ハイパーリンク" xfId="3813" builtinId="8" hidden="1"/>
    <cellStyle name="ハイパーリンク" xfId="3815" builtinId="8" hidden="1"/>
    <cellStyle name="ハイパーリンク" xfId="3817" builtinId="8" hidden="1"/>
    <cellStyle name="ハイパーリンク" xfId="3819" builtinId="8" hidden="1"/>
    <cellStyle name="ハイパーリンク" xfId="3821" builtinId="8" hidden="1"/>
    <cellStyle name="ハイパーリンク" xfId="3823" builtinId="8" hidden="1"/>
    <cellStyle name="ハイパーリンク" xfId="3825" builtinId="8" hidden="1"/>
    <cellStyle name="ハイパーリンク" xfId="3827" builtinId="8" hidden="1"/>
    <cellStyle name="ハイパーリンク" xfId="3829" builtinId="8" hidden="1"/>
    <cellStyle name="ハイパーリンク" xfId="3831" builtinId="8" hidden="1"/>
    <cellStyle name="ハイパーリンク" xfId="3833" builtinId="8" hidden="1"/>
    <cellStyle name="ハイパーリンク" xfId="3835" builtinId="8" hidden="1"/>
    <cellStyle name="ハイパーリンク" xfId="3837" builtinId="8" hidden="1"/>
    <cellStyle name="ハイパーリンク" xfId="3839" builtinId="8" hidden="1"/>
    <cellStyle name="ハイパーリンク" xfId="3841" builtinId="8" hidden="1"/>
    <cellStyle name="ハイパーリンク" xfId="3843" builtinId="8" hidden="1"/>
    <cellStyle name="ハイパーリンク" xfId="3845" builtinId="8" hidden="1"/>
    <cellStyle name="ハイパーリンク" xfId="3847" builtinId="8" hidden="1"/>
    <cellStyle name="ハイパーリンク" xfId="3849" builtinId="8" hidden="1"/>
    <cellStyle name="ハイパーリンク" xfId="3851" builtinId="8" hidden="1"/>
    <cellStyle name="ハイパーリンク" xfId="3853" builtinId="8" hidden="1"/>
    <cellStyle name="ハイパーリンク" xfId="3855" builtinId="8" hidden="1"/>
    <cellStyle name="ハイパーリンク" xfId="3857" builtinId="8" hidden="1"/>
    <cellStyle name="ハイパーリンク" xfId="3859" builtinId="8" hidden="1"/>
    <cellStyle name="ハイパーリンク" xfId="3861" builtinId="8" hidden="1"/>
    <cellStyle name="ハイパーリンク" xfId="3863" builtinId="8" hidden="1"/>
    <cellStyle name="ハイパーリンク" xfId="3865" builtinId="8" hidden="1"/>
    <cellStyle name="ハイパーリンク" xfId="3867" builtinId="8" hidden="1"/>
    <cellStyle name="ハイパーリンク" xfId="3869" builtinId="8" hidden="1"/>
    <cellStyle name="ハイパーリンク" xfId="3871" builtinId="8" hidden="1"/>
    <cellStyle name="ハイパーリンク" xfId="3873" builtinId="8" hidden="1"/>
    <cellStyle name="ハイパーリンク" xfId="3875" builtinId="8" hidden="1"/>
    <cellStyle name="ハイパーリンク" xfId="3877" builtinId="8" hidden="1"/>
    <cellStyle name="ハイパーリンク" xfId="3879" builtinId="8" hidden="1"/>
    <cellStyle name="ハイパーリンク" xfId="3881" builtinId="8" hidden="1"/>
    <cellStyle name="ハイパーリンク" xfId="3883" builtinId="8" hidden="1"/>
    <cellStyle name="ハイパーリンク" xfId="3885" builtinId="8" hidden="1"/>
    <cellStyle name="ハイパーリンク" xfId="3887" builtinId="8" hidden="1"/>
    <cellStyle name="ハイパーリンク" xfId="3889" builtinId="8" hidden="1"/>
    <cellStyle name="ハイパーリンク" xfId="3891" builtinId="8" hidden="1"/>
    <cellStyle name="ハイパーリンク" xfId="3893" builtinId="8" hidden="1"/>
    <cellStyle name="ハイパーリンク" xfId="3895" builtinId="8" hidden="1"/>
    <cellStyle name="ハイパーリンク" xfId="3897" builtinId="8" hidden="1"/>
    <cellStyle name="ハイパーリンク" xfId="3899" builtinId="8" hidden="1"/>
    <cellStyle name="ハイパーリンク" xfId="3901" builtinId="8" hidden="1"/>
    <cellStyle name="ハイパーリンク" xfId="3903" builtinId="8" hidden="1"/>
    <cellStyle name="ハイパーリンク" xfId="3905" builtinId="8" hidden="1"/>
    <cellStyle name="ハイパーリンク" xfId="3907" builtinId="8" hidden="1"/>
    <cellStyle name="ハイパーリンク" xfId="3909" builtinId="8" hidden="1"/>
    <cellStyle name="ハイパーリンク" xfId="3911" builtinId="8" hidden="1"/>
    <cellStyle name="ハイパーリンク" xfId="3913" builtinId="8" hidden="1"/>
    <cellStyle name="ハイパーリンク" xfId="3915" builtinId="8" hidden="1"/>
    <cellStyle name="ハイパーリンク" xfId="3917" builtinId="8" hidden="1"/>
    <cellStyle name="ハイパーリンク" xfId="3919" builtinId="8" hidden="1"/>
    <cellStyle name="ハイパーリンク" xfId="3921" builtinId="8" hidden="1"/>
    <cellStyle name="ハイパーリンク" xfId="3923" builtinId="8" hidden="1"/>
    <cellStyle name="ハイパーリンク" xfId="3925" builtinId="8" hidden="1"/>
    <cellStyle name="ハイパーリンク" xfId="3927" builtinId="8" hidden="1"/>
    <cellStyle name="ハイパーリンク" xfId="3929" builtinId="8" hidden="1"/>
    <cellStyle name="ハイパーリンク" xfId="3931" builtinId="8" hidden="1"/>
    <cellStyle name="ハイパーリンク" xfId="3933" builtinId="8" hidden="1"/>
    <cellStyle name="ハイパーリンク" xfId="3935" builtinId="8" hidden="1"/>
    <cellStyle name="ハイパーリンク" xfId="3937" builtinId="8" hidden="1"/>
    <cellStyle name="ハイパーリンク" xfId="3939" builtinId="8" hidden="1"/>
    <cellStyle name="ハイパーリンク" xfId="3941" builtinId="8" hidden="1"/>
    <cellStyle name="ハイパーリンク" xfId="3943" builtinId="8" hidden="1"/>
    <cellStyle name="ハイパーリンク" xfId="3945" builtinId="8" hidden="1"/>
    <cellStyle name="ハイパーリンク" xfId="3947" builtinId="8" hidden="1"/>
    <cellStyle name="ハイパーリンク" xfId="3949" builtinId="8" hidden="1"/>
    <cellStyle name="ハイパーリンク" xfId="3951" builtinId="8" hidden="1"/>
    <cellStyle name="ハイパーリンク" xfId="3953" builtinId="8" hidden="1"/>
    <cellStyle name="ハイパーリンク" xfId="3955" builtinId="8" hidden="1"/>
    <cellStyle name="ハイパーリンク" xfId="3957" builtinId="8" hidden="1"/>
    <cellStyle name="ハイパーリンク" xfId="3959" builtinId="8" hidden="1"/>
    <cellStyle name="ハイパーリンク" xfId="3961" builtinId="8" hidden="1"/>
    <cellStyle name="ハイパーリンク" xfId="3963" builtinId="8" hidden="1"/>
    <cellStyle name="ハイパーリンク" xfId="3965" builtinId="8" hidden="1"/>
    <cellStyle name="ハイパーリンク" xfId="3967" builtinId="8" hidden="1"/>
    <cellStyle name="ハイパーリンク" xfId="3969" builtinId="8" hidden="1"/>
    <cellStyle name="ハイパーリンク" xfId="3971" builtinId="8" hidden="1"/>
    <cellStyle name="ハイパーリンク" xfId="3973" builtinId="8" hidden="1"/>
    <cellStyle name="ハイパーリンク" xfId="3975" builtinId="8" hidden="1"/>
    <cellStyle name="ハイパーリンク" xfId="3977" builtinId="8" hidden="1"/>
    <cellStyle name="ハイパーリンク" xfId="3979" builtinId="8" hidden="1"/>
    <cellStyle name="ハイパーリンク" xfId="3981" builtinId="8" hidden="1"/>
    <cellStyle name="ハイパーリンク" xfId="3983" builtinId="8" hidden="1"/>
    <cellStyle name="ハイパーリンク" xfId="3985" builtinId="8" hidden="1"/>
    <cellStyle name="ハイパーリンク" xfId="3987" builtinId="8" hidden="1"/>
    <cellStyle name="ハイパーリンク" xfId="3989" builtinId="8" hidden="1"/>
    <cellStyle name="ハイパーリンク" xfId="3991" builtinId="8" hidden="1"/>
    <cellStyle name="ハイパーリンク" xfId="3993" builtinId="8" hidden="1"/>
    <cellStyle name="ハイパーリンク" xfId="3995" builtinId="8" hidden="1"/>
    <cellStyle name="ハイパーリンク" xfId="3997" builtinId="8" hidden="1"/>
    <cellStyle name="ハイパーリンク" xfId="3999" builtinId="8" hidden="1"/>
    <cellStyle name="ハイパーリンク" xfId="4001" builtinId="8" hidden="1"/>
    <cellStyle name="ハイパーリンク" xfId="4003" builtinId="8" hidden="1"/>
    <cellStyle name="ハイパーリンク" xfId="4005" builtinId="8" hidden="1"/>
    <cellStyle name="ハイパーリンク" xfId="4007" builtinId="8" hidden="1"/>
    <cellStyle name="ハイパーリンク" xfId="4009" builtinId="8" hidden="1"/>
    <cellStyle name="ハイパーリンク" xfId="4011" builtinId="8" hidden="1"/>
    <cellStyle name="ハイパーリンク" xfId="4013" builtinId="8" hidden="1"/>
    <cellStyle name="ハイパーリンク" xfId="4015" builtinId="8" hidden="1"/>
    <cellStyle name="ハイパーリンク" xfId="4017" builtinId="8" hidden="1"/>
    <cellStyle name="ハイパーリンク" xfId="4019" builtinId="8" hidden="1"/>
    <cellStyle name="ハイパーリンク" xfId="4021" builtinId="8" hidden="1"/>
    <cellStyle name="ハイパーリンク" xfId="4023" builtinId="8" hidden="1"/>
    <cellStyle name="ハイパーリンク" xfId="4025" builtinId="8" hidden="1"/>
    <cellStyle name="ハイパーリンク" xfId="4027" builtinId="8" hidden="1"/>
    <cellStyle name="ハイパーリンク" xfId="4029" builtinId="8" hidden="1"/>
    <cellStyle name="ハイパーリンク" xfId="4031" builtinId="8" hidden="1"/>
    <cellStyle name="ハイパーリンク" xfId="4033" builtinId="8" hidden="1"/>
    <cellStyle name="ハイパーリンク" xfId="4035" builtinId="8" hidden="1"/>
    <cellStyle name="ハイパーリンク" xfId="4037" builtinId="8" hidden="1"/>
    <cellStyle name="ハイパーリンク" xfId="4039" builtinId="8" hidden="1"/>
    <cellStyle name="ハイパーリンク" xfId="4041" builtinId="8" hidden="1"/>
    <cellStyle name="ハイパーリンク" xfId="4043" builtinId="8" hidden="1"/>
    <cellStyle name="ハイパーリンク" xfId="4045" builtinId="8" hidden="1"/>
    <cellStyle name="ハイパーリンク" xfId="4047" builtinId="8" hidden="1"/>
    <cellStyle name="ハイパーリンク" xfId="4049" builtinId="8" hidden="1"/>
    <cellStyle name="ハイパーリンク" xfId="4051" builtinId="8" hidden="1"/>
    <cellStyle name="ハイパーリンク" xfId="4053" builtinId="8" hidden="1"/>
    <cellStyle name="ハイパーリンク" xfId="4055" builtinId="8" hidden="1"/>
    <cellStyle name="ハイパーリンク" xfId="4057" builtinId="8" hidden="1"/>
    <cellStyle name="ハイパーリンク" xfId="4059" builtinId="8" hidden="1"/>
    <cellStyle name="ハイパーリンク" xfId="4061" builtinId="8" hidden="1"/>
    <cellStyle name="ハイパーリンク" xfId="4063" builtinId="8" hidden="1"/>
    <cellStyle name="ハイパーリンク" xfId="4065" builtinId="8" hidden="1"/>
    <cellStyle name="ハイパーリンク" xfId="4067" builtinId="8" hidden="1"/>
    <cellStyle name="ハイパーリンク" xfId="4069" builtinId="8" hidden="1"/>
    <cellStyle name="ハイパーリンク" xfId="4071" builtinId="8" hidden="1"/>
    <cellStyle name="ハイパーリンク" xfId="4073" builtinId="8" hidden="1"/>
    <cellStyle name="ハイパーリンク" xfId="4075" builtinId="8" hidden="1"/>
    <cellStyle name="ハイパーリンク" xfId="4077" builtinId="8" hidden="1"/>
    <cellStyle name="ハイパーリンク" xfId="4079" builtinId="8" hidden="1"/>
    <cellStyle name="ハイパーリンク" xfId="4081" builtinId="8" hidden="1"/>
    <cellStyle name="ハイパーリンク" xfId="4083" builtinId="8" hidden="1"/>
    <cellStyle name="ハイパーリンク" xfId="4085" builtinId="8" hidden="1"/>
    <cellStyle name="ハイパーリンク" xfId="4087" builtinId="8" hidden="1"/>
    <cellStyle name="ハイパーリンク" xfId="4089" builtinId="8" hidden="1"/>
    <cellStyle name="ハイパーリンク" xfId="4091" builtinId="8" hidden="1"/>
    <cellStyle name="ハイパーリンク" xfId="4093" builtinId="8" hidden="1"/>
    <cellStyle name="ハイパーリンク" xfId="4095" builtinId="8" hidden="1"/>
    <cellStyle name="ハイパーリンク" xfId="4097" builtinId="8" hidden="1"/>
    <cellStyle name="ハイパーリンク" xfId="4099" builtinId="8" hidden="1"/>
    <cellStyle name="ハイパーリンク" xfId="4101" builtinId="8" hidden="1"/>
    <cellStyle name="ハイパーリンク" xfId="4103" builtinId="8" hidden="1"/>
    <cellStyle name="ハイパーリンク" xfId="4105" builtinId="8" hidden="1"/>
    <cellStyle name="ハイパーリンク" xfId="4107" builtinId="8" hidden="1"/>
    <cellStyle name="ハイパーリンク" xfId="4109" builtinId="8" hidden="1"/>
    <cellStyle name="ハイパーリンク" xfId="4111" builtinId="8" hidden="1"/>
    <cellStyle name="ハイパーリンク" xfId="4113" builtinId="8" hidden="1"/>
    <cellStyle name="ハイパーリンク" xfId="4115" builtinId="8" hidden="1"/>
    <cellStyle name="ハイパーリンク" xfId="4117" builtinId="8" hidden="1"/>
    <cellStyle name="ハイパーリンク" xfId="4119" builtinId="8" hidden="1"/>
    <cellStyle name="ハイパーリンク" xfId="4121" builtinId="8" hidden="1"/>
    <cellStyle name="ハイパーリンク" xfId="4123" builtinId="8" hidden="1"/>
    <cellStyle name="ハイパーリンク" xfId="4125" builtinId="8" hidden="1"/>
    <cellStyle name="ハイパーリンク" xfId="4127" builtinId="8" hidden="1"/>
    <cellStyle name="ハイパーリンク" xfId="4129" builtinId="8" hidden="1"/>
    <cellStyle name="ハイパーリンク" xfId="4131" builtinId="8" hidden="1"/>
    <cellStyle name="ハイパーリンク" xfId="4133" builtinId="8" hidden="1"/>
    <cellStyle name="ハイパーリンク" xfId="4135" builtinId="8" hidden="1"/>
    <cellStyle name="ハイパーリンク" xfId="4137" builtinId="8" hidden="1"/>
    <cellStyle name="ハイパーリンク" xfId="4139" builtinId="8" hidden="1"/>
    <cellStyle name="ハイパーリンク" xfId="4141" builtinId="8" hidden="1"/>
    <cellStyle name="ハイパーリンク" xfId="4143" builtinId="8" hidden="1"/>
    <cellStyle name="ハイパーリンク" xfId="4145" builtinId="8" hidden="1"/>
    <cellStyle name="ハイパーリンク" xfId="4147" builtinId="8" hidden="1"/>
    <cellStyle name="ハイパーリンク" xfId="4149" builtinId="8" hidden="1"/>
    <cellStyle name="ハイパーリンク" xfId="4151" builtinId="8" hidden="1"/>
    <cellStyle name="ハイパーリンク" xfId="4153" builtinId="8" hidden="1"/>
    <cellStyle name="ハイパーリンク" xfId="4155" builtinId="8" hidden="1"/>
    <cellStyle name="ハイパーリンク" xfId="4157" builtinId="8" hidden="1"/>
    <cellStyle name="ハイパーリンク" xfId="4159" builtinId="8" hidden="1"/>
    <cellStyle name="ハイパーリンク" xfId="4161" builtinId="8" hidden="1"/>
    <cellStyle name="ハイパーリンク" xfId="4163" builtinId="8" hidden="1"/>
    <cellStyle name="ハイパーリンク" xfId="4165" builtinId="8" hidden="1"/>
    <cellStyle name="ハイパーリンク" xfId="4167" builtinId="8" hidden="1"/>
    <cellStyle name="ハイパーリンク" xfId="4169" builtinId="8" hidden="1"/>
    <cellStyle name="ハイパーリンク" xfId="4171" builtinId="8" hidden="1"/>
    <cellStyle name="ハイパーリンク" xfId="4173" builtinId="8" hidden="1"/>
    <cellStyle name="ハイパーリンク" xfId="4175" builtinId="8" hidden="1"/>
    <cellStyle name="ハイパーリンク" xfId="4177" builtinId="8" hidden="1"/>
    <cellStyle name="ハイパーリンク" xfId="4179" builtinId="8" hidden="1"/>
    <cellStyle name="ハイパーリンク" xfId="4181" builtinId="8" hidden="1"/>
    <cellStyle name="ハイパーリンク" xfId="4183" builtinId="8" hidden="1"/>
    <cellStyle name="ハイパーリンク" xfId="4185" builtinId="8" hidden="1"/>
    <cellStyle name="ハイパーリンク" xfId="4187" builtinId="8" hidden="1"/>
    <cellStyle name="ハイパーリンク" xfId="4189" builtinId="8" hidden="1"/>
    <cellStyle name="ハイパーリンク" xfId="4191" builtinId="8" hidden="1"/>
    <cellStyle name="ハイパーリンク" xfId="4193" builtinId="8" hidden="1"/>
    <cellStyle name="ハイパーリンク" xfId="4195" builtinId="8" hidden="1"/>
    <cellStyle name="ハイパーリンク" xfId="4197" builtinId="8" hidden="1"/>
    <cellStyle name="ハイパーリンク" xfId="4199" builtinId="8" hidden="1"/>
    <cellStyle name="ハイパーリンク" xfId="4201" builtinId="8" hidden="1"/>
    <cellStyle name="ハイパーリンク" xfId="4203" builtinId="8" hidden="1"/>
    <cellStyle name="ハイパーリンク" xfId="4205" builtinId="8" hidden="1"/>
    <cellStyle name="ハイパーリンク" xfId="4207" builtinId="8" hidden="1"/>
    <cellStyle name="ハイパーリンク" xfId="4209" builtinId="8" hidden="1"/>
    <cellStyle name="ハイパーリンク" xfId="4211" builtinId="8" hidden="1"/>
    <cellStyle name="ハイパーリンク" xfId="4213" builtinId="8" hidden="1"/>
    <cellStyle name="ハイパーリンク" xfId="4215" builtinId="8" hidden="1"/>
    <cellStyle name="ハイパーリンク" xfId="4217" builtinId="8" hidden="1"/>
    <cellStyle name="ハイパーリンク" xfId="4219" builtinId="8" hidden="1"/>
    <cellStyle name="ハイパーリンク" xfId="4221" builtinId="8" hidden="1"/>
    <cellStyle name="ハイパーリンク" xfId="4223" builtinId="8" hidden="1"/>
    <cellStyle name="ハイパーリンク" xfId="4225" builtinId="8" hidden="1"/>
    <cellStyle name="ハイパーリンク" xfId="4227" builtinId="8" hidden="1"/>
    <cellStyle name="ハイパーリンク" xfId="4229" builtinId="8" hidden="1"/>
    <cellStyle name="ハイパーリンク" xfId="4231" builtinId="8" hidden="1"/>
    <cellStyle name="ハイパーリンク" xfId="4233" builtinId="8" hidden="1"/>
    <cellStyle name="ハイパーリンク" xfId="4235" builtinId="8" hidden="1"/>
    <cellStyle name="ハイパーリンク" xfId="4237" builtinId="8" hidden="1"/>
    <cellStyle name="ハイパーリンク" xfId="4239" builtinId="8" hidden="1"/>
    <cellStyle name="ハイパーリンク" xfId="4241" builtinId="8" hidden="1"/>
    <cellStyle name="ハイパーリンク" xfId="4243" builtinId="8" hidden="1"/>
    <cellStyle name="ハイパーリンク" xfId="4245" builtinId="8" hidden="1"/>
    <cellStyle name="ハイパーリンク" xfId="4247" builtinId="8" hidden="1"/>
    <cellStyle name="ハイパーリンク" xfId="4249" builtinId="8" hidden="1"/>
    <cellStyle name="ハイパーリンク" xfId="4251" builtinId="8" hidden="1"/>
    <cellStyle name="ハイパーリンク" xfId="4253" builtinId="8" hidden="1"/>
    <cellStyle name="ハイパーリンク" xfId="4255" builtinId="8" hidden="1"/>
    <cellStyle name="ハイパーリンク" xfId="4257" builtinId="8" hidden="1"/>
    <cellStyle name="ハイパーリンク" xfId="4259" builtinId="8" hidden="1"/>
    <cellStyle name="ハイパーリンク" xfId="4261" builtinId="8" hidden="1"/>
    <cellStyle name="ハイパーリンク" xfId="4263" builtinId="8" hidden="1"/>
    <cellStyle name="ハイパーリンク" xfId="4265" builtinId="8" hidden="1"/>
    <cellStyle name="ハイパーリンク" xfId="4267" builtinId="8" hidden="1"/>
    <cellStyle name="ハイパーリンク" xfId="4269" builtinId="8" hidden="1"/>
    <cellStyle name="ハイパーリンク" xfId="4271" builtinId="8" hidden="1"/>
    <cellStyle name="ハイパーリンク" xfId="4273" builtinId="8" hidden="1"/>
    <cellStyle name="ハイパーリンク" xfId="4275" builtinId="8" hidden="1"/>
    <cellStyle name="ハイパーリンク" xfId="4277" builtinId="8" hidden="1"/>
    <cellStyle name="ハイパーリンク" xfId="4279" builtinId="8" hidden="1"/>
    <cellStyle name="ハイパーリンク" xfId="4281" builtinId="8" hidden="1"/>
    <cellStyle name="ハイパーリンク" xfId="4283" builtinId="8" hidden="1"/>
    <cellStyle name="ハイパーリンク" xfId="4285" builtinId="8" hidden="1"/>
    <cellStyle name="ハイパーリンク" xfId="4287" builtinId="8" hidden="1"/>
    <cellStyle name="ハイパーリンク" xfId="4289" builtinId="8" hidden="1"/>
    <cellStyle name="ハイパーリンク" xfId="4291" builtinId="8" hidden="1"/>
    <cellStyle name="ハイパーリンク" xfId="4293" builtinId="8" hidden="1"/>
    <cellStyle name="ハイパーリンク" xfId="4295" builtinId="8" hidden="1"/>
    <cellStyle name="ハイパーリンク" xfId="4297" builtinId="8" hidden="1"/>
    <cellStyle name="ハイパーリンク" xfId="4299" builtinId="8" hidden="1"/>
    <cellStyle name="ハイパーリンク" xfId="4301" builtinId="8" hidden="1"/>
    <cellStyle name="ハイパーリンク" xfId="4303" builtinId="8" hidden="1"/>
    <cellStyle name="ハイパーリンク" xfId="4305" builtinId="8" hidden="1"/>
    <cellStyle name="ハイパーリンク" xfId="4307" builtinId="8" hidden="1"/>
    <cellStyle name="ハイパーリンク" xfId="4309" builtinId="8" hidden="1"/>
    <cellStyle name="ハイパーリンク" xfId="4311" builtinId="8" hidden="1"/>
    <cellStyle name="ハイパーリンク" xfId="4313" builtinId="8" hidden="1"/>
    <cellStyle name="ハイパーリンク" xfId="4315" builtinId="8" hidden="1"/>
    <cellStyle name="ハイパーリンク" xfId="4317" builtinId="8" hidden="1"/>
    <cellStyle name="ハイパーリンク" xfId="4319" builtinId="8" hidden="1"/>
    <cellStyle name="ハイパーリンク" xfId="4321" builtinId="8" hidden="1"/>
    <cellStyle name="ハイパーリンク" xfId="4323" builtinId="8" hidden="1"/>
    <cellStyle name="ハイパーリンク" xfId="4325" builtinId="8" hidden="1"/>
    <cellStyle name="ハイパーリンク" xfId="4327" builtinId="8" hidden="1"/>
    <cellStyle name="ハイパーリンク" xfId="4329" builtinId="8" hidden="1"/>
    <cellStyle name="ハイパーリンク" xfId="4331" builtinId="8" hidden="1"/>
    <cellStyle name="ハイパーリンク" xfId="4333" builtinId="8" hidden="1"/>
    <cellStyle name="ハイパーリンク" xfId="4335" builtinId="8" hidden="1"/>
    <cellStyle name="ハイパーリンク" xfId="4337" builtinId="8" hidden="1"/>
    <cellStyle name="ハイパーリンク" xfId="4339" builtinId="8" hidden="1"/>
    <cellStyle name="ハイパーリンク" xfId="4341" builtinId="8" hidden="1"/>
    <cellStyle name="ハイパーリンク" xfId="4343" builtinId="8" hidden="1"/>
    <cellStyle name="ハイパーリンク" xfId="4345" builtinId="8" hidden="1"/>
    <cellStyle name="ハイパーリンク" xfId="4347" builtinId="8" hidden="1"/>
    <cellStyle name="ハイパーリンク" xfId="4349" builtinId="8" hidden="1"/>
    <cellStyle name="ハイパーリンク" xfId="4351" builtinId="8" hidden="1"/>
    <cellStyle name="ハイパーリンク" xfId="4353" builtinId="8" hidden="1"/>
    <cellStyle name="ハイパーリンク" xfId="4355" builtinId="8" hidden="1"/>
    <cellStyle name="ハイパーリンク" xfId="4357" builtinId="8" hidden="1"/>
    <cellStyle name="ハイパーリンク" xfId="4359" builtinId="8" hidden="1"/>
    <cellStyle name="ハイパーリンク" xfId="4361" builtinId="8" hidden="1"/>
    <cellStyle name="ハイパーリンク" xfId="4363" builtinId="8" hidden="1"/>
    <cellStyle name="ハイパーリンク" xfId="4365" builtinId="8" hidden="1"/>
    <cellStyle name="ハイパーリンク" xfId="4367" builtinId="8" hidden="1"/>
    <cellStyle name="ハイパーリンク" xfId="4369" builtinId="8" hidden="1"/>
    <cellStyle name="ハイパーリンク" xfId="4371" builtinId="8" hidden="1"/>
    <cellStyle name="ハイパーリンク" xfId="4374" builtinId="8" hidden="1"/>
    <cellStyle name="ハイパーリンク" xfId="4376" builtinId="8" hidden="1"/>
    <cellStyle name="ハイパーリンク" xfId="4378" builtinId="8" hidden="1"/>
    <cellStyle name="ハイパーリンク" xfId="4380" builtinId="8" hidden="1"/>
    <cellStyle name="ハイパーリンク" xfId="4382" builtinId="8" hidden="1"/>
    <cellStyle name="ハイパーリンク" xfId="4384" builtinId="8" hidden="1"/>
    <cellStyle name="ハイパーリンク" xfId="4386" builtinId="8" hidden="1"/>
    <cellStyle name="ハイパーリンク" xfId="4388" builtinId="8" hidden="1"/>
    <cellStyle name="ハイパーリンク" xfId="4390" builtinId="8" hidden="1"/>
    <cellStyle name="ハイパーリンク" xfId="4392" builtinId="8" hidden="1"/>
    <cellStyle name="ハイパーリンク" xfId="4394" builtinId="8" hidden="1"/>
    <cellStyle name="ハイパーリンク" xfId="4396" builtinId="8" hidden="1"/>
    <cellStyle name="ハイパーリンク" xfId="4398" builtinId="8" hidden="1"/>
    <cellStyle name="ハイパーリンク" xfId="4400" builtinId="8" hidden="1"/>
    <cellStyle name="ハイパーリンク" xfId="4402" builtinId="8" hidden="1"/>
    <cellStyle name="ハイパーリンク" xfId="4404" builtinId="8" hidden="1"/>
    <cellStyle name="ハイパーリンク" xfId="4406" builtinId="8" hidden="1"/>
    <cellStyle name="ハイパーリンク" xfId="4408" builtinId="8" hidden="1"/>
    <cellStyle name="ハイパーリンク" xfId="4410" builtinId="8" hidden="1"/>
    <cellStyle name="ハイパーリンク" xfId="4412" builtinId="8" hidden="1"/>
    <cellStyle name="ハイパーリンク" xfId="4414" builtinId="8" hidden="1"/>
    <cellStyle name="ハイパーリンク" xfId="4416" builtinId="8" hidden="1"/>
    <cellStyle name="ハイパーリンク" xfId="4418" builtinId="8" hidden="1"/>
    <cellStyle name="ハイパーリンク" xfId="4420" builtinId="8" hidden="1"/>
    <cellStyle name="ハイパーリンク" xfId="4422" builtinId="8" hidden="1"/>
    <cellStyle name="ハイパーリンク" xfId="4424" builtinId="8" hidden="1"/>
    <cellStyle name="ハイパーリンク" xfId="4426" builtinId="8" hidden="1"/>
    <cellStyle name="ハイパーリンク" xfId="4428" builtinId="8" hidden="1"/>
    <cellStyle name="ハイパーリンク" xfId="4430" builtinId="8" hidden="1"/>
    <cellStyle name="ハイパーリンク" xfId="4432" builtinId="8" hidden="1"/>
    <cellStyle name="ハイパーリンク" xfId="4434" builtinId="8" hidden="1"/>
    <cellStyle name="ハイパーリンク" xfId="4436" builtinId="8" hidden="1"/>
    <cellStyle name="ハイパーリンク" xfId="4438" builtinId="8" hidden="1"/>
    <cellStyle name="ハイパーリンク" xfId="4440" builtinId="8" hidden="1"/>
    <cellStyle name="ハイパーリンク" xfId="4442" builtinId="8" hidden="1"/>
    <cellStyle name="ハイパーリンク" xfId="4444" builtinId="8" hidden="1"/>
    <cellStyle name="ハイパーリンク" xfId="4446" builtinId="8" hidden="1"/>
    <cellStyle name="ハイパーリンク" xfId="4448" builtinId="8" hidden="1"/>
    <cellStyle name="ハイパーリンク" xfId="4450" builtinId="8" hidden="1"/>
    <cellStyle name="ハイパーリンク" xfId="4452" builtinId="8" hidden="1"/>
    <cellStyle name="ハイパーリンク" xfId="4454" builtinId="8" hidden="1"/>
    <cellStyle name="ハイパーリンク" xfId="4456" builtinId="8" hidden="1"/>
    <cellStyle name="ハイパーリンク" xfId="4458" builtinId="8" hidden="1"/>
    <cellStyle name="ハイパーリンク" xfId="4460" builtinId="8" hidden="1"/>
    <cellStyle name="ハイパーリンク" xfId="4462" builtinId="8" hidden="1"/>
    <cellStyle name="ハイパーリンク" xfId="4464" builtinId="8" hidden="1"/>
    <cellStyle name="ハイパーリンク" xfId="4466" builtinId="8" hidden="1"/>
    <cellStyle name="ハイパーリンク" xfId="4468" builtinId="8" hidden="1"/>
    <cellStyle name="ハイパーリンク" xfId="4470" builtinId="8" hidden="1"/>
    <cellStyle name="ハイパーリンク" xfId="4472" builtinId="8" hidden="1"/>
    <cellStyle name="ハイパーリンク" xfId="4474" builtinId="8" hidden="1"/>
    <cellStyle name="ハイパーリンク" xfId="4476" builtinId="8" hidden="1"/>
    <cellStyle name="ハイパーリンク" xfId="4478" builtinId="8" hidden="1"/>
    <cellStyle name="ハイパーリンク" xfId="4480" builtinId="8" hidden="1"/>
    <cellStyle name="ハイパーリンク" xfId="4482" builtinId="8" hidden="1"/>
    <cellStyle name="ハイパーリンク" xfId="4484" builtinId="8" hidden="1"/>
    <cellStyle name="ハイパーリンク" xfId="4486" builtinId="8" hidden="1"/>
    <cellStyle name="ハイパーリンク" xfId="4488" builtinId="8" hidden="1"/>
    <cellStyle name="ハイパーリンク" xfId="4490" builtinId="8" hidden="1"/>
    <cellStyle name="ハイパーリンク" xfId="4492" builtinId="8" hidden="1"/>
    <cellStyle name="ハイパーリンク" xfId="4494" builtinId="8" hidden="1"/>
    <cellStyle name="ハイパーリンク" xfId="4496" builtinId="8" hidden="1"/>
    <cellStyle name="ハイパーリンク" xfId="4498" builtinId="8" hidden="1"/>
    <cellStyle name="ハイパーリンク" xfId="4500" builtinId="8" hidden="1"/>
    <cellStyle name="ハイパーリンク" xfId="4502" builtinId="8" hidden="1"/>
    <cellStyle name="ハイパーリンク" xfId="4504" builtinId="8" hidden="1"/>
    <cellStyle name="ハイパーリンク" xfId="4506" builtinId="8" hidden="1"/>
    <cellStyle name="ハイパーリンク" xfId="4508" builtinId="8" hidden="1"/>
    <cellStyle name="ハイパーリンク" xfId="4510" builtinId="8" hidden="1"/>
    <cellStyle name="ハイパーリンク" xfId="4512" builtinId="8" hidden="1"/>
    <cellStyle name="ハイパーリンク" xfId="4514" builtinId="8" hidden="1"/>
    <cellStyle name="ハイパーリンク" xfId="4516" builtinId="8" hidden="1"/>
    <cellStyle name="ハイパーリンク" xfId="4518" builtinId="8" hidden="1"/>
    <cellStyle name="ハイパーリンク" xfId="4520" builtinId="8" hidden="1"/>
    <cellStyle name="ハイパーリンク" xfId="4522" builtinId="8" hidden="1"/>
    <cellStyle name="ハイパーリンク" xfId="4524" builtinId="8" hidden="1"/>
    <cellStyle name="ハイパーリンク" xfId="4526" builtinId="8" hidden="1"/>
    <cellStyle name="ハイパーリンク" xfId="4528" builtinId="8" hidden="1"/>
    <cellStyle name="ハイパーリンク" xfId="4530" builtinId="8" hidden="1"/>
    <cellStyle name="ハイパーリンク" xfId="4532" builtinId="8" hidden="1"/>
    <cellStyle name="ハイパーリンク" xfId="4534" builtinId="8" hidden="1"/>
    <cellStyle name="ハイパーリンク" xfId="4536" builtinId="8" hidden="1"/>
    <cellStyle name="ハイパーリンク" xfId="4538" builtinId="8" hidden="1"/>
    <cellStyle name="ハイパーリンク" xfId="4540" builtinId="8" hidden="1"/>
    <cellStyle name="ハイパーリンク" xfId="4542" builtinId="8" hidden="1"/>
    <cellStyle name="ハイパーリンク" xfId="4544" builtinId="8" hidden="1"/>
    <cellStyle name="ハイパーリンク" xfId="4546" builtinId="8" hidden="1"/>
    <cellStyle name="ハイパーリンク" xfId="4548" builtinId="8" hidden="1"/>
    <cellStyle name="ハイパーリンク" xfId="4550" builtinId="8" hidden="1"/>
    <cellStyle name="ハイパーリンク" xfId="4552" builtinId="8" hidden="1"/>
    <cellStyle name="ハイパーリンク" xfId="4554" builtinId="8" hidden="1"/>
    <cellStyle name="ハイパーリンク" xfId="4556" builtinId="8" hidden="1"/>
    <cellStyle name="ハイパーリンク" xfId="4558" builtinId="8" hidden="1"/>
    <cellStyle name="ハイパーリンク" xfId="4560" builtinId="8" hidden="1"/>
    <cellStyle name="ハイパーリンク" xfId="4562" builtinId="8" hidden="1"/>
    <cellStyle name="ハイパーリンク" xfId="4564" builtinId="8" hidden="1"/>
    <cellStyle name="ハイパーリンク" xfId="4566" builtinId="8" hidden="1"/>
    <cellStyle name="ハイパーリンク" xfId="4568" builtinId="8" hidden="1"/>
    <cellStyle name="ハイパーリンク" xfId="4570" builtinId="8" hidden="1"/>
    <cellStyle name="ハイパーリンク" xfId="4572" builtinId="8" hidden="1"/>
    <cellStyle name="ハイパーリンク" xfId="4574" builtinId="8" hidden="1"/>
    <cellStyle name="ハイパーリンク" xfId="4576" builtinId="8" hidden="1"/>
    <cellStyle name="ハイパーリンク" xfId="4578" builtinId="8" hidden="1"/>
    <cellStyle name="ハイパーリンク" xfId="4580" builtinId="8" hidden="1"/>
    <cellStyle name="ハイパーリンク" xfId="4582" builtinId="8" hidden="1"/>
    <cellStyle name="ハイパーリンク" xfId="4584" builtinId="8" hidden="1"/>
    <cellStyle name="ハイパーリンク" xfId="4586" builtinId="8" hidden="1"/>
    <cellStyle name="ハイパーリンク" xfId="4588" builtinId="8" hidden="1"/>
    <cellStyle name="ハイパーリンク" xfId="4590" builtinId="8" hidden="1"/>
    <cellStyle name="ハイパーリンク" xfId="4592" builtinId="8" hidden="1"/>
    <cellStyle name="ハイパーリンク" xfId="4594" builtinId="8" hidden="1"/>
    <cellStyle name="ハイパーリンク" xfId="4596" builtinId="8" hidden="1"/>
    <cellStyle name="ハイパーリンク" xfId="4598" builtinId="8" hidden="1"/>
    <cellStyle name="ハイパーリンク" xfId="4600" builtinId="8" hidden="1"/>
    <cellStyle name="ハイパーリンク" xfId="4602" builtinId="8" hidden="1"/>
    <cellStyle name="ハイパーリンク" xfId="4604" builtinId="8" hidden="1"/>
    <cellStyle name="ハイパーリンク" xfId="4606" builtinId="8" hidden="1"/>
    <cellStyle name="ハイパーリンク" xfId="4608" builtinId="8" hidden="1"/>
    <cellStyle name="ハイパーリンク" xfId="4610" builtinId="8" hidden="1"/>
    <cellStyle name="ハイパーリンク" xfId="4612" builtinId="8" hidden="1"/>
    <cellStyle name="ハイパーリンク" xfId="4614" builtinId="8" hidden="1"/>
    <cellStyle name="ハイパーリンク" xfId="4616" builtinId="8" hidden="1"/>
    <cellStyle name="ハイパーリンク" xfId="4618" builtinId="8" hidden="1"/>
    <cellStyle name="ハイパーリンク" xfId="4620" builtinId="8" hidden="1"/>
    <cellStyle name="ハイパーリンク" xfId="4622" builtinId="8" hidden="1"/>
    <cellStyle name="ハイパーリンク" xfId="4624" builtinId="8" hidden="1"/>
    <cellStyle name="ハイパーリンク" xfId="4626" builtinId="8" hidden="1"/>
    <cellStyle name="ハイパーリンク" xfId="4628" builtinId="8" hidden="1"/>
    <cellStyle name="ハイパーリンク" xfId="4630" builtinId="8" hidden="1"/>
    <cellStyle name="ハイパーリンク" xfId="4632" builtinId="8" hidden="1"/>
    <cellStyle name="ハイパーリンク" xfId="4634" builtinId="8" hidden="1"/>
    <cellStyle name="ハイパーリンク" xfId="4636" builtinId="8" hidden="1"/>
    <cellStyle name="ハイパーリンク" xfId="4638" builtinId="8" hidden="1"/>
    <cellStyle name="ハイパーリンク" xfId="4640" builtinId="8" hidden="1"/>
    <cellStyle name="ハイパーリンク" xfId="4642" builtinId="8" hidden="1"/>
    <cellStyle name="ハイパーリンク" xfId="4644" builtinId="8" hidden="1"/>
    <cellStyle name="ハイパーリンク" xfId="4646" builtinId="8" hidden="1"/>
    <cellStyle name="ハイパーリンク" xfId="4648" builtinId="8" hidden="1"/>
    <cellStyle name="ハイパーリンク" xfId="4650" builtinId="8" hidden="1"/>
    <cellStyle name="ハイパーリンク" xfId="4652" builtinId="8" hidden="1"/>
    <cellStyle name="ハイパーリンク" xfId="4654" builtinId="8" hidden="1"/>
    <cellStyle name="ハイパーリンク" xfId="4656" builtinId="8" hidden="1"/>
    <cellStyle name="ハイパーリンク" xfId="4658" builtinId="8" hidden="1"/>
    <cellStyle name="ハイパーリンク" xfId="4660" builtinId="8" hidden="1"/>
    <cellStyle name="ハイパーリンク" xfId="4662" builtinId="8" hidden="1"/>
    <cellStyle name="ハイパーリンク" xfId="4664" builtinId="8" hidden="1"/>
    <cellStyle name="ハイパーリンク" xfId="4666" builtinId="8" hidden="1"/>
    <cellStyle name="ハイパーリンク" xfId="4668" builtinId="8" hidden="1"/>
    <cellStyle name="ハイパーリンク" xfId="4670" builtinId="8" hidden="1"/>
    <cellStyle name="ハイパーリンク" xfId="4672" builtinId="8" hidden="1"/>
    <cellStyle name="ハイパーリンク" xfId="4674" builtinId="8" hidden="1"/>
    <cellStyle name="ハイパーリンク" xfId="4676" builtinId="8" hidden="1"/>
    <cellStyle name="ハイパーリンク" xfId="4678" builtinId="8" hidden="1"/>
    <cellStyle name="ハイパーリンク" xfId="4680" builtinId="8" hidden="1"/>
    <cellStyle name="ハイパーリンク" xfId="4682" builtinId="8" hidden="1"/>
    <cellStyle name="ハイパーリンク" xfId="4684" builtinId="8" hidden="1"/>
    <cellStyle name="ハイパーリンク" xfId="4686" builtinId="8" hidden="1"/>
    <cellStyle name="ハイパーリンク" xfId="4688" builtinId="8" hidden="1"/>
    <cellStyle name="ハイパーリンク" xfId="4690" builtinId="8" hidden="1"/>
    <cellStyle name="ハイパーリンク" xfId="4692" builtinId="8" hidden="1"/>
    <cellStyle name="ハイパーリンク" xfId="4694" builtinId="8" hidden="1"/>
    <cellStyle name="ハイパーリンク" xfId="4696" builtinId="8" hidden="1"/>
    <cellStyle name="ハイパーリンク" xfId="4698" builtinId="8" hidden="1"/>
    <cellStyle name="ハイパーリンク" xfId="4700" builtinId="8" hidden="1"/>
    <cellStyle name="ハイパーリンク" xfId="4702" builtinId="8" hidden="1"/>
    <cellStyle name="ハイパーリンク" xfId="4704" builtinId="8" hidden="1"/>
    <cellStyle name="ハイパーリンク" xfId="4706" builtinId="8" hidden="1"/>
    <cellStyle name="ハイパーリンク" xfId="4708" builtinId="8" hidden="1"/>
    <cellStyle name="ハイパーリンク" xfId="4710" builtinId="8" hidden="1"/>
    <cellStyle name="ハイパーリンク" xfId="4712" builtinId="8" hidden="1"/>
    <cellStyle name="ハイパーリンク" xfId="4714" builtinId="8" hidden="1"/>
    <cellStyle name="ハイパーリンク" xfId="4716" builtinId="8" hidden="1"/>
    <cellStyle name="ハイパーリンク" xfId="4718" builtinId="8" hidden="1"/>
    <cellStyle name="ハイパーリンク" xfId="4720" builtinId="8" hidden="1"/>
    <cellStyle name="ハイパーリンク" xfId="4722" builtinId="8" hidden="1"/>
    <cellStyle name="ハイパーリンク" xfId="4724" builtinId="8" hidden="1"/>
    <cellStyle name="ハイパーリンク" xfId="4726" builtinId="8" hidden="1"/>
    <cellStyle name="ハイパーリンク" xfId="4728" builtinId="8" hidden="1"/>
    <cellStyle name="ハイパーリンク" xfId="4730" builtinId="8" hidden="1"/>
    <cellStyle name="ハイパーリンク" xfId="4732" builtinId="8" hidden="1"/>
    <cellStyle name="ハイパーリンク" xfId="4734" builtinId="8" hidden="1"/>
    <cellStyle name="ハイパーリンク" xfId="4736" builtinId="8" hidden="1"/>
    <cellStyle name="ハイパーリンク" xfId="4738" builtinId="8" hidden="1"/>
    <cellStyle name="ハイパーリンク" xfId="4740" builtinId="8" hidden="1"/>
    <cellStyle name="ハイパーリンク" xfId="4742" builtinId="8" hidden="1"/>
    <cellStyle name="ハイパーリンク" xfId="4744" builtinId="8" hidden="1"/>
    <cellStyle name="ハイパーリンク" xfId="4746" builtinId="8" hidden="1"/>
    <cellStyle name="ハイパーリンク" xfId="4748" builtinId="8" hidden="1"/>
    <cellStyle name="ハイパーリンク" xfId="4750" builtinId="8" hidden="1"/>
    <cellStyle name="ハイパーリンク" xfId="4752" builtinId="8" hidden="1"/>
    <cellStyle name="ハイパーリンク" xfId="4754" builtinId="8" hidden="1"/>
    <cellStyle name="ハイパーリンク" xfId="4756" builtinId="8" hidden="1"/>
    <cellStyle name="ハイパーリンク" xfId="4758" builtinId="8" hidden="1"/>
    <cellStyle name="ハイパーリンク" xfId="4760" builtinId="8" hidden="1"/>
    <cellStyle name="ハイパーリンク" xfId="4762" builtinId="8" hidden="1"/>
    <cellStyle name="ハイパーリンク" xfId="4764" builtinId="8" hidden="1"/>
    <cellStyle name="ハイパーリンク" xfId="4766" builtinId="8" hidden="1"/>
    <cellStyle name="ハイパーリンク" xfId="4768" builtinId="8" hidden="1"/>
    <cellStyle name="ハイパーリンク" xfId="4770" builtinId="8" hidden="1"/>
    <cellStyle name="ハイパーリンク" xfId="4772" builtinId="8" hidden="1"/>
    <cellStyle name="ハイパーリンク" xfId="4774" builtinId="8" hidden="1"/>
    <cellStyle name="ハイパーリンク" xfId="4776" builtinId="8" hidden="1"/>
    <cellStyle name="ハイパーリンク" xfId="4778" builtinId="8" hidden="1"/>
    <cellStyle name="ハイパーリンク" xfId="4780" builtinId="8" hidden="1"/>
    <cellStyle name="ハイパーリンク" xfId="4782" builtinId="8" hidden="1"/>
    <cellStyle name="ハイパーリンク" xfId="4784" builtinId="8" hidden="1"/>
    <cellStyle name="ハイパーリンク" xfId="4786" builtinId="8" hidden="1"/>
    <cellStyle name="ハイパーリンク" xfId="4788" builtinId="8" hidden="1"/>
    <cellStyle name="ハイパーリンク" xfId="4790" builtinId="8" hidden="1"/>
    <cellStyle name="ハイパーリンク" xfId="4792" builtinId="8" hidden="1"/>
    <cellStyle name="ハイパーリンク" xfId="4794" builtinId="8" hidden="1"/>
    <cellStyle name="ハイパーリンク" xfId="4796" builtinId="8" hidden="1"/>
    <cellStyle name="ハイパーリンク" xfId="4798" builtinId="8" hidden="1"/>
    <cellStyle name="ハイパーリンク" xfId="4800" builtinId="8" hidden="1"/>
    <cellStyle name="ハイパーリンク" xfId="4802" builtinId="8" hidden="1"/>
    <cellStyle name="ハイパーリンク" xfId="4804" builtinId="8" hidden="1"/>
    <cellStyle name="ハイパーリンク" xfId="4806" builtinId="8" hidden="1"/>
    <cellStyle name="ハイパーリンク" xfId="4808" builtinId="8" hidden="1"/>
    <cellStyle name="ハイパーリンク" xfId="4810" builtinId="8" hidden="1"/>
    <cellStyle name="ハイパーリンク" xfId="4812" builtinId="8" hidden="1"/>
    <cellStyle name="ハイパーリンク" xfId="4814" builtinId="8" hidden="1"/>
    <cellStyle name="ハイパーリンク" xfId="4816" builtinId="8" hidden="1"/>
    <cellStyle name="ハイパーリンク" xfId="4818" builtinId="8" hidden="1"/>
    <cellStyle name="ハイパーリンク" xfId="4820" builtinId="8" hidden="1"/>
    <cellStyle name="ハイパーリンク" xfId="4822" builtinId="8" hidden="1"/>
    <cellStyle name="ハイパーリンク" xfId="4824" builtinId="8" hidden="1"/>
    <cellStyle name="ハイパーリンク" xfId="4826" builtinId="8" hidden="1"/>
    <cellStyle name="ハイパーリンク" xfId="4828" builtinId="8" hidden="1"/>
    <cellStyle name="ハイパーリンク" xfId="4830" builtinId="8" hidden="1"/>
    <cellStyle name="ハイパーリンク" xfId="4832" builtinId="8" hidden="1"/>
    <cellStyle name="ハイパーリンク" xfId="4834" builtinId="8" hidden="1"/>
    <cellStyle name="ハイパーリンク" xfId="4836" builtinId="8" hidden="1"/>
    <cellStyle name="ハイパーリンク" xfId="4838" builtinId="8" hidden="1"/>
    <cellStyle name="ハイパーリンク" xfId="4840" builtinId="8" hidden="1"/>
    <cellStyle name="ハイパーリンク" xfId="4842" builtinId="8" hidden="1"/>
    <cellStyle name="ハイパーリンク" xfId="4844" builtinId="8" hidden="1"/>
    <cellStyle name="ハイパーリンク" xfId="4846" builtinId="8" hidden="1"/>
    <cellStyle name="ハイパーリンク" xfId="4848" builtinId="8" hidden="1"/>
    <cellStyle name="ハイパーリンク" xfId="4850" builtinId="8" hidden="1"/>
    <cellStyle name="ハイパーリンク" xfId="4852" builtinId="8" hidden="1"/>
    <cellStyle name="ハイパーリンク" xfId="4854" builtinId="8" hidden="1"/>
    <cellStyle name="ハイパーリンク" xfId="4856" builtinId="8" hidden="1"/>
    <cellStyle name="ハイパーリンク" xfId="4858" builtinId="8" hidden="1"/>
    <cellStyle name="ハイパーリンク" xfId="4860" builtinId="8" hidden="1"/>
    <cellStyle name="ハイパーリンク" xfId="4862" builtinId="8" hidden="1"/>
    <cellStyle name="ハイパーリンク" xfId="4864" builtinId="8" hidden="1"/>
    <cellStyle name="ハイパーリンク" xfId="4866" builtinId="8" hidden="1"/>
    <cellStyle name="ハイパーリンク" xfId="4868" builtinId="8" hidden="1"/>
    <cellStyle name="ハイパーリンク" xfId="4870" builtinId="8" hidden="1"/>
    <cellStyle name="ハイパーリンク" xfId="4872" builtinId="8" hidden="1"/>
    <cellStyle name="ハイパーリンク" xfId="4874" builtinId="8" hidden="1"/>
    <cellStyle name="ハイパーリンク" xfId="4876" builtinId="8" hidden="1"/>
    <cellStyle name="ハイパーリンク" xfId="4878" builtinId="8" hidden="1"/>
    <cellStyle name="ハイパーリンク" xfId="4880" builtinId="8" hidden="1"/>
    <cellStyle name="ハイパーリンク" xfId="4882" builtinId="8" hidden="1"/>
    <cellStyle name="ハイパーリンク" xfId="4884" builtinId="8" hidden="1"/>
    <cellStyle name="ハイパーリンク" xfId="4886" builtinId="8" hidden="1"/>
    <cellStyle name="ハイパーリンク" xfId="4888" builtinId="8" hidden="1"/>
    <cellStyle name="ハイパーリンク" xfId="4890" builtinId="8" hidden="1"/>
    <cellStyle name="ハイパーリンク" xfId="4892" builtinId="8" hidden="1"/>
    <cellStyle name="ハイパーリンク" xfId="4894" builtinId="8" hidden="1"/>
    <cellStyle name="ハイパーリンク" xfId="4896" builtinId="8" hidden="1"/>
    <cellStyle name="ハイパーリンク" xfId="4898" builtinId="8" hidden="1"/>
    <cellStyle name="ハイパーリンク" xfId="4900" builtinId="8" hidden="1"/>
    <cellStyle name="ハイパーリンク" xfId="4902" builtinId="8" hidden="1"/>
    <cellStyle name="ハイパーリンク" xfId="4904" builtinId="8" hidden="1"/>
    <cellStyle name="ハイパーリンク" xfId="4906" builtinId="8" hidden="1"/>
    <cellStyle name="ハイパーリンク" xfId="4908" builtinId="8" hidden="1"/>
    <cellStyle name="ハイパーリンク" xfId="4910" builtinId="8" hidden="1"/>
    <cellStyle name="ハイパーリンク" xfId="4912" builtinId="8" hidden="1"/>
    <cellStyle name="ハイパーリンク" xfId="4914" builtinId="8" hidden="1"/>
    <cellStyle name="ハイパーリンク" xfId="4916" builtinId="8" hidden="1"/>
    <cellStyle name="ハイパーリンク" xfId="4918" builtinId="8" hidden="1"/>
    <cellStyle name="ハイパーリンク" xfId="4920" builtinId="8" hidden="1"/>
    <cellStyle name="ハイパーリンク" xfId="4922" builtinId="8" hidden="1"/>
    <cellStyle name="ハイパーリンク" xfId="4924" builtinId="8" hidden="1"/>
    <cellStyle name="ハイパーリンク" xfId="4926" builtinId="8" hidden="1"/>
    <cellStyle name="ハイパーリンク" xfId="4928" builtinId="8" hidden="1"/>
    <cellStyle name="ハイパーリンク" xfId="4930" builtinId="8" hidden="1"/>
    <cellStyle name="ハイパーリンク" xfId="4932" builtinId="8" hidden="1"/>
    <cellStyle name="ハイパーリンク" xfId="4934" builtinId="8" hidden="1"/>
    <cellStyle name="ハイパーリンク" xfId="4936" builtinId="8" hidden="1"/>
    <cellStyle name="ハイパーリンク" xfId="4938" builtinId="8" hidden="1"/>
    <cellStyle name="ハイパーリンク" xfId="4940" builtinId="8" hidden="1"/>
    <cellStyle name="ハイパーリンク" xfId="4942" builtinId="8" hidden="1"/>
    <cellStyle name="ハイパーリンク" xfId="4944" builtinId="8" hidden="1"/>
    <cellStyle name="ハイパーリンク" xfId="4946" builtinId="8" hidden="1"/>
    <cellStyle name="ハイパーリンク" xfId="4948" builtinId="8" hidden="1"/>
    <cellStyle name="ハイパーリンク" xfId="4950" builtinId="8" hidden="1"/>
    <cellStyle name="ハイパーリンク" xfId="4952" builtinId="8" hidden="1"/>
    <cellStyle name="ハイパーリンク" xfId="4954" builtinId="8" hidden="1"/>
    <cellStyle name="ハイパーリンク" xfId="4956" builtinId="8" hidden="1"/>
    <cellStyle name="ハイパーリンク" xfId="4958" builtinId="8" hidden="1"/>
    <cellStyle name="ハイパーリンク" xfId="4960" builtinId="8" hidden="1"/>
    <cellStyle name="ハイパーリンク" xfId="4962" builtinId="8" hidden="1"/>
    <cellStyle name="ハイパーリンク" xfId="4964" builtinId="8" hidden="1"/>
    <cellStyle name="ハイパーリンク" xfId="4966" builtinId="8" hidden="1"/>
    <cellStyle name="ハイパーリンク" xfId="4968" builtinId="8" hidden="1"/>
    <cellStyle name="ハイパーリンク" xfId="4970" builtinId="8" hidden="1"/>
    <cellStyle name="ハイパーリンク" xfId="4972" builtinId="8" hidden="1"/>
    <cellStyle name="ハイパーリンク" xfId="4974" builtinId="8" hidden="1"/>
    <cellStyle name="ハイパーリンク" xfId="4976" builtinId="8" hidden="1"/>
    <cellStyle name="ハイパーリンク" xfId="4978" builtinId="8" hidden="1"/>
    <cellStyle name="ハイパーリンク" xfId="4980" builtinId="8" hidden="1"/>
    <cellStyle name="ハイパーリンク" xfId="4982" builtinId="8" hidden="1"/>
    <cellStyle name="ハイパーリンク" xfId="4984" builtinId="8" hidden="1"/>
    <cellStyle name="ハイパーリンク" xfId="4986" builtinId="8" hidden="1"/>
    <cellStyle name="ハイパーリンク" xfId="4988" builtinId="8" hidden="1"/>
    <cellStyle name="ハイパーリンク" xfId="4990" builtinId="8" hidden="1"/>
    <cellStyle name="ハイパーリンク" xfId="4992" builtinId="8" hidden="1"/>
    <cellStyle name="ハイパーリンク" xfId="4994" builtinId="8" hidden="1"/>
    <cellStyle name="ハイパーリンク" xfId="4996" builtinId="8" hidden="1"/>
    <cellStyle name="ハイパーリンク" xfId="4998" builtinId="8" hidden="1"/>
    <cellStyle name="ハイパーリンク" xfId="5000" builtinId="8" hidden="1"/>
    <cellStyle name="ハイパーリンク" xfId="5002" builtinId="8" hidden="1"/>
    <cellStyle name="ハイパーリンク" xfId="5004" builtinId="8" hidden="1"/>
    <cellStyle name="ハイパーリンク" xfId="5006" builtinId="8" hidden="1"/>
    <cellStyle name="ハイパーリンク" xfId="5008" builtinId="8" hidden="1"/>
    <cellStyle name="ハイパーリンク" xfId="5010" builtinId="8" hidden="1"/>
    <cellStyle name="ハイパーリンク" xfId="5012" builtinId="8" hidden="1"/>
    <cellStyle name="ハイパーリンク" xfId="5014" builtinId="8" hidden="1"/>
    <cellStyle name="ハイパーリンク" xfId="5016" builtinId="8" hidden="1"/>
    <cellStyle name="ハイパーリンク" xfId="5018" builtinId="8" hidden="1"/>
    <cellStyle name="ハイパーリンク" xfId="5020" builtinId="8" hidden="1"/>
    <cellStyle name="ハイパーリンク" xfId="5022" builtinId="8" hidden="1"/>
    <cellStyle name="ハイパーリンク" xfId="5024" builtinId="8" hidden="1"/>
    <cellStyle name="ハイパーリンク" xfId="5026" builtinId="8" hidden="1"/>
    <cellStyle name="ハイパーリンク" xfId="5028" builtinId="8" hidden="1"/>
    <cellStyle name="ハイパーリンク" xfId="5030" builtinId="8" hidden="1"/>
    <cellStyle name="ハイパーリンク" xfId="5032" builtinId="8" hidden="1"/>
    <cellStyle name="ハイパーリンク" xfId="5034" builtinId="8" hidden="1"/>
    <cellStyle name="ハイパーリンク" xfId="5036" builtinId="8" hidden="1"/>
    <cellStyle name="ハイパーリンク" xfId="5038" builtinId="8" hidden="1"/>
    <cellStyle name="ハイパーリンク" xfId="5040" builtinId="8" hidden="1"/>
    <cellStyle name="ハイパーリンク" xfId="5042" builtinId="8" hidden="1"/>
    <cellStyle name="ハイパーリンク" xfId="5044" builtinId="8" hidden="1"/>
    <cellStyle name="ハイパーリンク" xfId="5046" builtinId="8" hidden="1"/>
    <cellStyle name="ハイパーリンク" xfId="5048" builtinId="8" hidden="1"/>
    <cellStyle name="ハイパーリンク" xfId="5050" builtinId="8" hidden="1"/>
    <cellStyle name="ハイパーリンク" xfId="5052" builtinId="8" hidden="1"/>
    <cellStyle name="ハイパーリンク" xfId="5054" builtinId="8" hidden="1"/>
    <cellStyle name="ハイパーリンク" xfId="5056" builtinId="8" hidden="1"/>
    <cellStyle name="ハイパーリンク" xfId="5058" builtinId="8" hidden="1"/>
    <cellStyle name="ハイパーリンク" xfId="5060" builtinId="8" hidden="1"/>
    <cellStyle name="ハイパーリンク" xfId="5062" builtinId="8" hidden="1"/>
    <cellStyle name="ハイパーリンク" xfId="5064" builtinId="8" hidden="1"/>
    <cellStyle name="桁区切り 2" xfId="2"/>
    <cellStyle name="標準" xfId="0" builtinId="0"/>
    <cellStyle name="標準 2" xfId="5"/>
    <cellStyle name="標準 2 2" xfId="4373"/>
    <cellStyle name="標準 3" xfId="6"/>
    <cellStyle name="標準 4" xfId="7"/>
    <cellStyle name="無題1" xfId="8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  <cellStyle name="表示済みのハイパーリンク" xfId="38" builtinId="9" hidden="1"/>
    <cellStyle name="表示済みのハイパーリンク" xfId="40" builtinId="9" hidden="1"/>
    <cellStyle name="表示済みのハイパーリンク" xfId="42" builtinId="9" hidden="1"/>
    <cellStyle name="表示済みのハイパーリンク" xfId="44" builtinId="9" hidden="1"/>
    <cellStyle name="表示済みのハイパーリンク" xfId="46" builtinId="9" hidden="1"/>
    <cellStyle name="表示済みのハイパーリンク" xfId="48" builtinId="9" hidden="1"/>
    <cellStyle name="表示済みのハイパーリンク" xfId="50" builtinId="9" hidden="1"/>
    <cellStyle name="表示済みのハイパーリンク" xfId="52" builtinId="9" hidden="1"/>
    <cellStyle name="表示済みのハイパーリンク" xfId="54" builtinId="9" hidden="1"/>
    <cellStyle name="表示済みのハイパーリンク" xfId="56" builtinId="9" hidden="1"/>
    <cellStyle name="表示済みのハイパーリンク" xfId="58" builtinId="9" hidden="1"/>
    <cellStyle name="表示済みのハイパーリンク" xfId="60" builtinId="9" hidden="1"/>
    <cellStyle name="表示済みのハイパーリンク" xfId="62" builtinId="9" hidden="1"/>
    <cellStyle name="表示済みのハイパーリンク" xfId="64" builtinId="9" hidden="1"/>
    <cellStyle name="表示済みのハイパーリンク" xfId="66" builtinId="9" hidden="1"/>
    <cellStyle name="表示済みのハイパーリンク" xfId="68" builtinId="9" hidden="1"/>
    <cellStyle name="表示済みのハイパーリンク" xfId="70" builtinId="9" hidden="1"/>
    <cellStyle name="表示済みのハイパーリンク" xfId="72" builtinId="9" hidden="1"/>
    <cellStyle name="表示済みのハイパーリンク" xfId="74" builtinId="9" hidden="1"/>
    <cellStyle name="表示済みのハイパーリンク" xfId="76" builtinId="9" hidden="1"/>
    <cellStyle name="表示済みのハイパーリンク" xfId="78" builtinId="9" hidden="1"/>
    <cellStyle name="表示済みのハイパーリンク" xfId="80" builtinId="9" hidden="1"/>
    <cellStyle name="表示済みのハイパーリンク" xfId="82" builtinId="9" hidden="1"/>
    <cellStyle name="表示済みのハイパーリンク" xfId="84" builtinId="9" hidden="1"/>
    <cellStyle name="表示済みのハイパーリンク" xfId="86" builtinId="9" hidden="1"/>
    <cellStyle name="表示済みのハイパーリンク" xfId="88" builtinId="9" hidden="1"/>
    <cellStyle name="表示済みのハイパーリンク" xfId="90" builtinId="9" hidden="1"/>
    <cellStyle name="表示済みのハイパーリンク" xfId="92" builtinId="9" hidden="1"/>
    <cellStyle name="表示済みのハイパーリンク" xfId="94" builtinId="9" hidden="1"/>
    <cellStyle name="表示済みのハイパーリンク" xfId="96" builtinId="9" hidden="1"/>
    <cellStyle name="表示済みのハイパーリンク" xfId="98" builtinId="9" hidden="1"/>
    <cellStyle name="表示済みのハイパーリンク" xfId="100" builtinId="9" hidden="1"/>
    <cellStyle name="表示済みのハイパーリンク" xfId="102" builtinId="9" hidden="1"/>
    <cellStyle name="表示済みのハイパーリンク" xfId="104" builtinId="9" hidden="1"/>
    <cellStyle name="表示済みのハイパーリンク" xfId="106" builtinId="9" hidden="1"/>
    <cellStyle name="表示済みのハイパーリンク" xfId="108" builtinId="9" hidden="1"/>
    <cellStyle name="表示済みのハイパーリンク" xfId="110" builtinId="9" hidden="1"/>
    <cellStyle name="表示済みのハイパーリンク" xfId="112" builtinId="9" hidden="1"/>
    <cellStyle name="表示済みのハイパーリンク" xfId="114" builtinId="9" hidden="1"/>
    <cellStyle name="表示済みのハイパーリンク" xfId="116" builtinId="9" hidden="1"/>
    <cellStyle name="表示済みのハイパーリンク" xfId="118" builtinId="9" hidden="1"/>
    <cellStyle name="表示済みのハイパーリンク" xfId="120" builtinId="9" hidden="1"/>
    <cellStyle name="表示済みのハイパーリンク" xfId="122" builtinId="9" hidden="1"/>
    <cellStyle name="表示済みのハイパーリンク" xfId="124" builtinId="9" hidden="1"/>
    <cellStyle name="表示済みのハイパーリンク" xfId="126" builtinId="9" hidden="1"/>
    <cellStyle name="表示済みのハイパーリンク" xfId="128" builtinId="9" hidden="1"/>
    <cellStyle name="表示済みのハイパーリンク" xfId="130" builtinId="9" hidden="1"/>
    <cellStyle name="表示済みのハイパーリンク" xfId="132" builtinId="9" hidden="1"/>
    <cellStyle name="表示済みのハイパーリンク" xfId="134" builtinId="9" hidden="1"/>
    <cellStyle name="表示済みのハイパーリンク" xfId="136" builtinId="9" hidden="1"/>
    <cellStyle name="表示済みのハイパーリンク" xfId="138" builtinId="9" hidden="1"/>
    <cellStyle name="表示済みのハイパーリンク" xfId="140" builtinId="9" hidden="1"/>
    <cellStyle name="表示済みのハイパーリンク" xfId="142" builtinId="9" hidden="1"/>
    <cellStyle name="表示済みのハイパーリンク" xfId="144" builtinId="9" hidden="1"/>
    <cellStyle name="表示済みのハイパーリンク" xfId="146" builtinId="9" hidden="1"/>
    <cellStyle name="表示済みのハイパーリンク" xfId="148" builtinId="9" hidden="1"/>
    <cellStyle name="表示済みのハイパーリンク" xfId="150" builtinId="9" hidden="1"/>
    <cellStyle name="表示済みのハイパーリンク" xfId="152" builtinId="9" hidden="1"/>
    <cellStyle name="表示済みのハイパーリンク" xfId="154" builtinId="9" hidden="1"/>
    <cellStyle name="表示済みのハイパーリンク" xfId="156" builtinId="9" hidden="1"/>
    <cellStyle name="表示済みのハイパーリンク" xfId="158" builtinId="9" hidden="1"/>
    <cellStyle name="表示済みのハイパーリンク" xfId="160" builtinId="9" hidden="1"/>
    <cellStyle name="表示済みのハイパーリンク" xfId="162" builtinId="9" hidden="1"/>
    <cellStyle name="表示済みのハイパーリンク" xfId="164" builtinId="9" hidden="1"/>
    <cellStyle name="表示済みのハイパーリンク" xfId="166" builtinId="9" hidden="1"/>
    <cellStyle name="表示済みのハイパーリンク" xfId="168" builtinId="9" hidden="1"/>
    <cellStyle name="表示済みのハイパーリンク" xfId="170" builtinId="9" hidden="1"/>
    <cellStyle name="表示済みのハイパーリンク" xfId="172" builtinId="9" hidden="1"/>
    <cellStyle name="表示済みのハイパーリンク" xfId="174" builtinId="9" hidden="1"/>
    <cellStyle name="表示済みのハイパーリンク" xfId="176" builtinId="9" hidden="1"/>
    <cellStyle name="表示済みのハイパーリンク" xfId="178" builtinId="9" hidden="1"/>
    <cellStyle name="表示済みのハイパーリンク" xfId="180" builtinId="9" hidden="1"/>
    <cellStyle name="表示済みのハイパーリンク" xfId="182" builtinId="9" hidden="1"/>
    <cellStyle name="表示済みのハイパーリンク" xfId="184" builtinId="9" hidden="1"/>
    <cellStyle name="表示済みのハイパーリンク" xfId="186" builtinId="9" hidden="1"/>
    <cellStyle name="表示済みのハイパーリンク" xfId="188" builtinId="9" hidden="1"/>
    <cellStyle name="表示済みのハイパーリンク" xfId="190" builtinId="9" hidden="1"/>
    <cellStyle name="表示済みのハイパーリンク" xfId="192" builtinId="9" hidden="1"/>
    <cellStyle name="表示済みのハイパーリンク" xfId="194" builtinId="9" hidden="1"/>
    <cellStyle name="表示済みのハイパーリンク" xfId="196" builtinId="9" hidden="1"/>
    <cellStyle name="表示済みのハイパーリンク" xfId="198" builtinId="9" hidden="1"/>
    <cellStyle name="表示済みのハイパーリンク" xfId="200" builtinId="9" hidden="1"/>
    <cellStyle name="表示済みのハイパーリンク" xfId="202" builtinId="9" hidden="1"/>
    <cellStyle name="表示済みのハイパーリンク" xfId="204" builtinId="9" hidden="1"/>
    <cellStyle name="表示済みのハイパーリンク" xfId="206" builtinId="9" hidden="1"/>
    <cellStyle name="表示済みのハイパーリンク" xfId="208" builtinId="9" hidden="1"/>
    <cellStyle name="表示済みのハイパーリンク" xfId="210" builtinId="9" hidden="1"/>
    <cellStyle name="表示済みのハイパーリンク" xfId="212" builtinId="9" hidden="1"/>
    <cellStyle name="表示済みのハイパーリンク" xfId="214" builtinId="9" hidden="1"/>
    <cellStyle name="表示済みのハイパーリンク" xfId="216" builtinId="9" hidden="1"/>
    <cellStyle name="表示済みのハイパーリンク" xfId="218" builtinId="9" hidden="1"/>
    <cellStyle name="表示済みのハイパーリンク" xfId="220" builtinId="9" hidden="1"/>
    <cellStyle name="表示済みのハイパーリンク" xfId="222" builtinId="9" hidden="1"/>
    <cellStyle name="表示済みのハイパーリンク" xfId="224" builtinId="9" hidden="1"/>
    <cellStyle name="表示済みのハイパーリンク" xfId="226" builtinId="9" hidden="1"/>
    <cellStyle name="表示済みのハイパーリンク" xfId="228" builtinId="9" hidden="1"/>
    <cellStyle name="表示済みのハイパーリンク" xfId="230" builtinId="9" hidden="1"/>
    <cellStyle name="表示済みのハイパーリンク" xfId="232" builtinId="9" hidden="1"/>
    <cellStyle name="表示済みのハイパーリンク" xfId="234" builtinId="9" hidden="1"/>
    <cellStyle name="表示済みのハイパーリンク" xfId="236" builtinId="9" hidden="1"/>
    <cellStyle name="表示済みのハイパーリンク" xfId="238" builtinId="9" hidden="1"/>
    <cellStyle name="表示済みのハイパーリンク" xfId="240" builtinId="9" hidden="1"/>
    <cellStyle name="表示済みのハイパーリンク" xfId="242" builtinId="9" hidden="1"/>
    <cellStyle name="表示済みのハイパーリンク" xfId="244" builtinId="9" hidden="1"/>
    <cellStyle name="表示済みのハイパーリンク" xfId="246" builtinId="9" hidden="1"/>
    <cellStyle name="表示済みのハイパーリンク" xfId="248" builtinId="9" hidden="1"/>
    <cellStyle name="表示済みのハイパーリンク" xfId="250" builtinId="9" hidden="1"/>
    <cellStyle name="表示済みのハイパーリンク" xfId="252" builtinId="9" hidden="1"/>
    <cellStyle name="表示済みのハイパーリンク" xfId="254" builtinId="9" hidden="1"/>
    <cellStyle name="表示済みのハイパーリンク" xfId="256" builtinId="9" hidden="1"/>
    <cellStyle name="表示済みのハイパーリンク" xfId="258" builtinId="9" hidden="1"/>
    <cellStyle name="表示済みのハイパーリンク" xfId="260" builtinId="9" hidden="1"/>
    <cellStyle name="表示済みのハイパーリンク" xfId="262" builtinId="9" hidden="1"/>
    <cellStyle name="表示済みのハイパーリンク" xfId="264" builtinId="9" hidden="1"/>
    <cellStyle name="表示済みのハイパーリンク" xfId="266" builtinId="9" hidden="1"/>
    <cellStyle name="表示済みのハイパーリンク" xfId="268" builtinId="9" hidden="1"/>
    <cellStyle name="表示済みのハイパーリンク" xfId="270" builtinId="9" hidden="1"/>
    <cellStyle name="表示済みのハイパーリンク" xfId="272" builtinId="9" hidden="1"/>
    <cellStyle name="表示済みのハイパーリンク" xfId="274" builtinId="9" hidden="1"/>
    <cellStyle name="表示済みのハイパーリンク" xfId="276" builtinId="9" hidden="1"/>
    <cellStyle name="表示済みのハイパーリンク" xfId="278" builtinId="9" hidden="1"/>
    <cellStyle name="表示済みのハイパーリンク" xfId="280" builtinId="9" hidden="1"/>
    <cellStyle name="表示済みのハイパーリンク" xfId="282" builtinId="9" hidden="1"/>
    <cellStyle name="表示済みのハイパーリンク" xfId="284" builtinId="9" hidden="1"/>
    <cellStyle name="表示済みのハイパーリンク" xfId="286" builtinId="9" hidden="1"/>
    <cellStyle name="表示済みのハイパーリンク" xfId="288" builtinId="9" hidden="1"/>
    <cellStyle name="表示済みのハイパーリンク" xfId="290" builtinId="9" hidden="1"/>
    <cellStyle name="表示済みのハイパーリンク" xfId="292" builtinId="9" hidden="1"/>
    <cellStyle name="表示済みのハイパーリンク" xfId="294" builtinId="9" hidden="1"/>
    <cellStyle name="表示済みのハイパーリンク" xfId="296" builtinId="9" hidden="1"/>
    <cellStyle name="表示済みのハイパーリンク" xfId="298" builtinId="9" hidden="1"/>
    <cellStyle name="表示済みのハイパーリンク" xfId="300" builtinId="9" hidden="1"/>
    <cellStyle name="表示済みのハイパーリンク" xfId="302" builtinId="9" hidden="1"/>
    <cellStyle name="表示済みのハイパーリンク" xfId="304" builtinId="9" hidden="1"/>
    <cellStyle name="表示済みのハイパーリンク" xfId="306" builtinId="9" hidden="1"/>
    <cellStyle name="表示済みのハイパーリンク" xfId="308" builtinId="9" hidden="1"/>
    <cellStyle name="表示済みのハイパーリンク" xfId="310" builtinId="9" hidden="1"/>
    <cellStyle name="表示済みのハイパーリンク" xfId="312" builtinId="9" hidden="1"/>
    <cellStyle name="表示済みのハイパーリンク" xfId="314" builtinId="9" hidden="1"/>
    <cellStyle name="表示済みのハイパーリンク" xfId="316" builtinId="9" hidden="1"/>
    <cellStyle name="表示済みのハイパーリンク" xfId="318" builtinId="9" hidden="1"/>
    <cellStyle name="表示済みのハイパーリンク" xfId="320" builtinId="9" hidden="1"/>
    <cellStyle name="表示済みのハイパーリンク" xfId="322" builtinId="9" hidden="1"/>
    <cellStyle name="表示済みのハイパーリンク" xfId="324" builtinId="9" hidden="1"/>
    <cellStyle name="表示済みのハイパーリンク" xfId="326" builtinId="9" hidden="1"/>
    <cellStyle name="表示済みのハイパーリンク" xfId="328" builtinId="9" hidden="1"/>
    <cellStyle name="表示済みのハイパーリンク" xfId="330" builtinId="9" hidden="1"/>
    <cellStyle name="表示済みのハイパーリンク" xfId="332" builtinId="9" hidden="1"/>
    <cellStyle name="表示済みのハイパーリンク" xfId="334" builtinId="9" hidden="1"/>
    <cellStyle name="表示済みのハイパーリンク" xfId="336" builtinId="9" hidden="1"/>
    <cellStyle name="表示済みのハイパーリンク" xfId="338" builtinId="9" hidden="1"/>
    <cellStyle name="表示済みのハイパーリンク" xfId="340" builtinId="9" hidden="1"/>
    <cellStyle name="表示済みのハイパーリンク" xfId="342" builtinId="9" hidden="1"/>
    <cellStyle name="表示済みのハイパーリンク" xfId="344" builtinId="9" hidden="1"/>
    <cellStyle name="表示済みのハイパーリンク" xfId="346" builtinId="9" hidden="1"/>
    <cellStyle name="表示済みのハイパーリンク" xfId="348" builtinId="9" hidden="1"/>
    <cellStyle name="表示済みのハイパーリンク" xfId="350" builtinId="9" hidden="1"/>
    <cellStyle name="表示済みのハイパーリンク" xfId="352" builtinId="9" hidden="1"/>
    <cellStyle name="表示済みのハイパーリンク" xfId="354" builtinId="9" hidden="1"/>
    <cellStyle name="表示済みのハイパーリンク" xfId="356" builtinId="9" hidden="1"/>
    <cellStyle name="表示済みのハイパーリンク" xfId="358" builtinId="9" hidden="1"/>
    <cellStyle name="表示済みのハイパーリンク" xfId="360" builtinId="9" hidden="1"/>
    <cellStyle name="表示済みのハイパーリンク" xfId="362" builtinId="9" hidden="1"/>
    <cellStyle name="表示済みのハイパーリンク" xfId="364" builtinId="9" hidden="1"/>
    <cellStyle name="表示済みのハイパーリンク" xfId="366" builtinId="9" hidden="1"/>
    <cellStyle name="表示済みのハイパーリンク" xfId="368" builtinId="9" hidden="1"/>
    <cellStyle name="表示済みのハイパーリンク" xfId="370" builtinId="9" hidden="1"/>
    <cellStyle name="表示済みのハイパーリンク" xfId="372" builtinId="9" hidden="1"/>
    <cellStyle name="表示済みのハイパーリンク" xfId="374" builtinId="9" hidden="1"/>
    <cellStyle name="表示済みのハイパーリンク" xfId="376" builtinId="9" hidden="1"/>
    <cellStyle name="表示済みのハイパーリンク" xfId="378" builtinId="9" hidden="1"/>
    <cellStyle name="表示済みのハイパーリンク" xfId="380" builtinId="9" hidden="1"/>
    <cellStyle name="表示済みのハイパーリンク" xfId="382" builtinId="9" hidden="1"/>
    <cellStyle name="表示済みのハイパーリンク" xfId="384" builtinId="9" hidden="1"/>
    <cellStyle name="表示済みのハイパーリンク" xfId="386" builtinId="9" hidden="1"/>
    <cellStyle name="表示済みのハイパーリンク" xfId="388" builtinId="9" hidden="1"/>
    <cellStyle name="表示済みのハイパーリンク" xfId="390" builtinId="9" hidden="1"/>
    <cellStyle name="表示済みのハイパーリンク" xfId="392" builtinId="9" hidden="1"/>
    <cellStyle name="表示済みのハイパーリンク" xfId="394" builtinId="9" hidden="1"/>
    <cellStyle name="表示済みのハイパーリンク" xfId="396" builtinId="9" hidden="1"/>
    <cellStyle name="表示済みのハイパーリンク" xfId="398" builtinId="9" hidden="1"/>
    <cellStyle name="表示済みのハイパーリンク" xfId="400" builtinId="9" hidden="1"/>
    <cellStyle name="表示済みのハイパーリンク" xfId="402" builtinId="9" hidden="1"/>
    <cellStyle name="表示済みのハイパーリンク" xfId="404" builtinId="9" hidden="1"/>
    <cellStyle name="表示済みのハイパーリンク" xfId="406" builtinId="9" hidden="1"/>
    <cellStyle name="表示済みのハイパーリンク" xfId="408" builtinId="9" hidden="1"/>
    <cellStyle name="表示済みのハイパーリンク" xfId="410" builtinId="9" hidden="1"/>
    <cellStyle name="表示済みのハイパーリンク" xfId="412" builtinId="9" hidden="1"/>
    <cellStyle name="表示済みのハイパーリンク" xfId="414" builtinId="9" hidden="1"/>
    <cellStyle name="表示済みのハイパーリンク" xfId="416" builtinId="9" hidden="1"/>
    <cellStyle name="表示済みのハイパーリンク" xfId="418" builtinId="9" hidden="1"/>
    <cellStyle name="表示済みのハイパーリンク" xfId="420" builtinId="9" hidden="1"/>
    <cellStyle name="表示済みのハイパーリンク" xfId="422" builtinId="9" hidden="1"/>
    <cellStyle name="表示済みのハイパーリンク" xfId="424" builtinId="9" hidden="1"/>
    <cellStyle name="表示済みのハイパーリンク" xfId="426" builtinId="9" hidden="1"/>
    <cellStyle name="表示済みのハイパーリンク" xfId="428" builtinId="9" hidden="1"/>
    <cellStyle name="表示済みのハイパーリンク" xfId="430" builtinId="9" hidden="1"/>
    <cellStyle name="表示済みのハイパーリンク" xfId="432" builtinId="9" hidden="1"/>
    <cellStyle name="表示済みのハイパーリンク" xfId="434" builtinId="9" hidden="1"/>
    <cellStyle name="表示済みのハイパーリンク" xfId="436" builtinId="9" hidden="1"/>
    <cellStyle name="表示済みのハイパーリンク" xfId="438" builtinId="9" hidden="1"/>
    <cellStyle name="表示済みのハイパーリンク" xfId="440" builtinId="9" hidden="1"/>
    <cellStyle name="表示済みのハイパーリンク" xfId="442" builtinId="9" hidden="1"/>
    <cellStyle name="表示済みのハイパーリンク" xfId="444" builtinId="9" hidden="1"/>
    <cellStyle name="表示済みのハイパーリンク" xfId="446" builtinId="9" hidden="1"/>
    <cellStyle name="表示済みのハイパーリンク" xfId="448" builtinId="9" hidden="1"/>
    <cellStyle name="表示済みのハイパーリンク" xfId="450" builtinId="9" hidden="1"/>
    <cellStyle name="表示済みのハイパーリンク" xfId="452" builtinId="9" hidden="1"/>
    <cellStyle name="表示済みのハイパーリンク" xfId="454" builtinId="9" hidden="1"/>
    <cellStyle name="表示済みのハイパーリンク" xfId="456" builtinId="9" hidden="1"/>
    <cellStyle name="表示済みのハイパーリンク" xfId="458" builtinId="9" hidden="1"/>
    <cellStyle name="表示済みのハイパーリンク" xfId="460" builtinId="9" hidden="1"/>
    <cellStyle name="表示済みのハイパーリンク" xfId="462" builtinId="9" hidden="1"/>
    <cellStyle name="表示済みのハイパーリンク" xfId="464" builtinId="9" hidden="1"/>
    <cellStyle name="表示済みのハイパーリンク" xfId="466" builtinId="9" hidden="1"/>
    <cellStyle name="表示済みのハイパーリンク" xfId="468" builtinId="9" hidden="1"/>
    <cellStyle name="表示済みのハイパーリンク" xfId="470" builtinId="9" hidden="1"/>
    <cellStyle name="表示済みのハイパーリンク" xfId="472" builtinId="9" hidden="1"/>
    <cellStyle name="表示済みのハイパーリンク" xfId="474" builtinId="9" hidden="1"/>
    <cellStyle name="表示済みのハイパーリンク" xfId="476" builtinId="9" hidden="1"/>
    <cellStyle name="表示済みのハイパーリンク" xfId="478" builtinId="9" hidden="1"/>
    <cellStyle name="表示済みのハイパーリンク" xfId="480" builtinId="9" hidden="1"/>
    <cellStyle name="表示済みのハイパーリンク" xfId="482" builtinId="9" hidden="1"/>
    <cellStyle name="表示済みのハイパーリンク" xfId="484" builtinId="9" hidden="1"/>
    <cellStyle name="表示済みのハイパーリンク" xfId="486" builtinId="9" hidden="1"/>
    <cellStyle name="表示済みのハイパーリンク" xfId="488" builtinId="9" hidden="1"/>
    <cellStyle name="表示済みのハイパーリンク" xfId="490" builtinId="9" hidden="1"/>
    <cellStyle name="表示済みのハイパーリンク" xfId="492" builtinId="9" hidden="1"/>
    <cellStyle name="表示済みのハイパーリンク" xfId="494" builtinId="9" hidden="1"/>
    <cellStyle name="表示済みのハイパーリンク" xfId="496" builtinId="9" hidden="1"/>
    <cellStyle name="表示済みのハイパーリンク" xfId="498" builtinId="9" hidden="1"/>
    <cellStyle name="表示済みのハイパーリンク" xfId="500" builtinId="9" hidden="1"/>
    <cellStyle name="表示済みのハイパーリンク" xfId="502" builtinId="9" hidden="1"/>
    <cellStyle name="表示済みのハイパーリンク" xfId="504" builtinId="9" hidden="1"/>
    <cellStyle name="表示済みのハイパーリンク" xfId="506" builtinId="9" hidden="1"/>
    <cellStyle name="表示済みのハイパーリンク" xfId="508" builtinId="9" hidden="1"/>
    <cellStyle name="表示済みのハイパーリンク" xfId="510" builtinId="9" hidden="1"/>
    <cellStyle name="表示済みのハイパーリンク" xfId="512" builtinId="9" hidden="1"/>
    <cellStyle name="表示済みのハイパーリンク" xfId="514" builtinId="9" hidden="1"/>
    <cellStyle name="表示済みのハイパーリンク" xfId="516" builtinId="9" hidden="1"/>
    <cellStyle name="表示済みのハイパーリンク" xfId="518" builtinId="9" hidden="1"/>
    <cellStyle name="表示済みのハイパーリンク" xfId="520" builtinId="9" hidden="1"/>
    <cellStyle name="表示済みのハイパーリンク" xfId="522" builtinId="9" hidden="1"/>
    <cellStyle name="表示済みのハイパーリンク" xfId="524" builtinId="9" hidden="1"/>
    <cellStyle name="表示済みのハイパーリンク" xfId="526" builtinId="9" hidden="1"/>
    <cellStyle name="表示済みのハイパーリンク" xfId="528" builtinId="9" hidden="1"/>
    <cellStyle name="表示済みのハイパーリンク" xfId="530" builtinId="9" hidden="1"/>
    <cellStyle name="表示済みのハイパーリンク" xfId="532" builtinId="9" hidden="1"/>
    <cellStyle name="表示済みのハイパーリンク" xfId="534" builtinId="9" hidden="1"/>
    <cellStyle name="表示済みのハイパーリンク" xfId="536" builtinId="9" hidden="1"/>
    <cellStyle name="表示済みのハイパーリンク" xfId="538" builtinId="9" hidden="1"/>
    <cellStyle name="表示済みのハイパーリンク" xfId="540" builtinId="9" hidden="1"/>
    <cellStyle name="表示済みのハイパーリンク" xfId="542" builtinId="9" hidden="1"/>
    <cellStyle name="表示済みのハイパーリンク" xfId="544" builtinId="9" hidden="1"/>
    <cellStyle name="表示済みのハイパーリンク" xfId="546" builtinId="9" hidden="1"/>
    <cellStyle name="表示済みのハイパーリンク" xfId="548" builtinId="9" hidden="1"/>
    <cellStyle name="表示済みのハイパーリンク" xfId="550" builtinId="9" hidden="1"/>
    <cellStyle name="表示済みのハイパーリンク" xfId="552" builtinId="9" hidden="1"/>
    <cellStyle name="表示済みのハイパーリンク" xfId="554" builtinId="9" hidden="1"/>
    <cellStyle name="表示済みのハイパーリンク" xfId="556" builtinId="9" hidden="1"/>
    <cellStyle name="表示済みのハイパーリンク" xfId="558" builtinId="9" hidden="1"/>
    <cellStyle name="表示済みのハイパーリンク" xfId="560" builtinId="9" hidden="1"/>
    <cellStyle name="表示済みのハイパーリンク" xfId="562" builtinId="9" hidden="1"/>
    <cellStyle name="表示済みのハイパーリンク" xfId="564" builtinId="9" hidden="1"/>
    <cellStyle name="表示済みのハイパーリンク" xfId="566" builtinId="9" hidden="1"/>
    <cellStyle name="表示済みのハイパーリンク" xfId="568" builtinId="9" hidden="1"/>
    <cellStyle name="表示済みのハイパーリンク" xfId="570" builtinId="9" hidden="1"/>
    <cellStyle name="表示済みのハイパーリンク" xfId="572" builtinId="9" hidden="1"/>
    <cellStyle name="表示済みのハイパーリンク" xfId="574" builtinId="9" hidden="1"/>
    <cellStyle name="表示済みのハイパーリンク" xfId="576" builtinId="9" hidden="1"/>
    <cellStyle name="表示済みのハイパーリンク" xfId="578" builtinId="9" hidden="1"/>
    <cellStyle name="表示済みのハイパーリンク" xfId="580" builtinId="9" hidden="1"/>
    <cellStyle name="表示済みのハイパーリンク" xfId="582" builtinId="9" hidden="1"/>
    <cellStyle name="表示済みのハイパーリンク" xfId="584" builtinId="9" hidden="1"/>
    <cellStyle name="表示済みのハイパーリンク" xfId="586" builtinId="9" hidden="1"/>
    <cellStyle name="表示済みのハイパーリンク" xfId="588" builtinId="9" hidden="1"/>
    <cellStyle name="表示済みのハイパーリンク" xfId="590" builtinId="9" hidden="1"/>
    <cellStyle name="表示済みのハイパーリンク" xfId="592" builtinId="9" hidden="1"/>
    <cellStyle name="表示済みのハイパーリンク" xfId="594" builtinId="9" hidden="1"/>
    <cellStyle name="表示済みのハイパーリンク" xfId="596" builtinId="9" hidden="1"/>
    <cellStyle name="表示済みのハイパーリンク" xfId="598" builtinId="9" hidden="1"/>
    <cellStyle name="表示済みのハイパーリンク" xfId="600" builtinId="9" hidden="1"/>
    <cellStyle name="表示済みのハイパーリンク" xfId="602" builtinId="9" hidden="1"/>
    <cellStyle name="表示済みのハイパーリンク" xfId="604" builtinId="9" hidden="1"/>
    <cellStyle name="表示済みのハイパーリンク" xfId="606" builtinId="9" hidden="1"/>
    <cellStyle name="表示済みのハイパーリンク" xfId="608" builtinId="9" hidden="1"/>
    <cellStyle name="表示済みのハイパーリンク" xfId="610" builtinId="9" hidden="1"/>
    <cellStyle name="表示済みのハイパーリンク" xfId="612" builtinId="9" hidden="1"/>
    <cellStyle name="表示済みのハイパーリンク" xfId="614" builtinId="9" hidden="1"/>
    <cellStyle name="表示済みのハイパーリンク" xfId="616" builtinId="9" hidden="1"/>
    <cellStyle name="表示済みのハイパーリンク" xfId="618" builtinId="9" hidden="1"/>
    <cellStyle name="表示済みのハイパーリンク" xfId="620" builtinId="9" hidden="1"/>
    <cellStyle name="表示済みのハイパーリンク" xfId="622" builtinId="9" hidden="1"/>
    <cellStyle name="表示済みのハイパーリンク" xfId="624" builtinId="9" hidden="1"/>
    <cellStyle name="表示済みのハイパーリンク" xfId="626" builtinId="9" hidden="1"/>
    <cellStyle name="表示済みのハイパーリンク" xfId="628" builtinId="9" hidden="1"/>
    <cellStyle name="表示済みのハイパーリンク" xfId="630" builtinId="9" hidden="1"/>
    <cellStyle name="表示済みのハイパーリンク" xfId="632" builtinId="9" hidden="1"/>
    <cellStyle name="表示済みのハイパーリンク" xfId="634" builtinId="9" hidden="1"/>
    <cellStyle name="表示済みのハイパーリンク" xfId="636" builtinId="9" hidden="1"/>
    <cellStyle name="表示済みのハイパーリンク" xfId="638" builtinId="9" hidden="1"/>
    <cellStyle name="表示済みのハイパーリンク" xfId="640" builtinId="9" hidden="1"/>
    <cellStyle name="表示済みのハイパーリンク" xfId="642" builtinId="9" hidden="1"/>
    <cellStyle name="表示済みのハイパーリンク" xfId="644" builtinId="9" hidden="1"/>
    <cellStyle name="表示済みのハイパーリンク" xfId="646" builtinId="9" hidden="1"/>
    <cellStyle name="表示済みのハイパーリンク" xfId="648" builtinId="9" hidden="1"/>
    <cellStyle name="表示済みのハイパーリンク" xfId="650" builtinId="9" hidden="1"/>
    <cellStyle name="表示済みのハイパーリンク" xfId="652" builtinId="9" hidden="1"/>
    <cellStyle name="表示済みのハイパーリンク" xfId="654" builtinId="9" hidden="1"/>
    <cellStyle name="表示済みのハイパーリンク" xfId="656" builtinId="9" hidden="1"/>
    <cellStyle name="表示済みのハイパーリンク" xfId="658" builtinId="9" hidden="1"/>
    <cellStyle name="表示済みのハイパーリンク" xfId="660" builtinId="9" hidden="1"/>
    <cellStyle name="表示済みのハイパーリンク" xfId="662" builtinId="9" hidden="1"/>
    <cellStyle name="表示済みのハイパーリンク" xfId="664" builtinId="9" hidden="1"/>
    <cellStyle name="表示済みのハイパーリンク" xfId="666" builtinId="9" hidden="1"/>
    <cellStyle name="表示済みのハイパーリンク" xfId="668" builtinId="9" hidden="1"/>
    <cellStyle name="表示済みのハイパーリンク" xfId="670" builtinId="9" hidden="1"/>
    <cellStyle name="表示済みのハイパーリンク" xfId="672" builtinId="9" hidden="1"/>
    <cellStyle name="表示済みのハイパーリンク" xfId="674" builtinId="9" hidden="1"/>
    <cellStyle name="表示済みのハイパーリンク" xfId="676" builtinId="9" hidden="1"/>
    <cellStyle name="表示済みのハイパーリンク" xfId="678" builtinId="9" hidden="1"/>
    <cellStyle name="表示済みのハイパーリンク" xfId="680" builtinId="9" hidden="1"/>
    <cellStyle name="表示済みのハイパーリンク" xfId="682" builtinId="9" hidden="1"/>
    <cellStyle name="表示済みのハイパーリンク" xfId="684" builtinId="9" hidden="1"/>
    <cellStyle name="表示済みのハイパーリンク" xfId="686" builtinId="9" hidden="1"/>
    <cellStyle name="表示済みのハイパーリンク" xfId="688" builtinId="9" hidden="1"/>
    <cellStyle name="表示済みのハイパーリンク" xfId="690" builtinId="9" hidden="1"/>
    <cellStyle name="表示済みのハイパーリンク" xfId="692" builtinId="9" hidden="1"/>
    <cellStyle name="表示済みのハイパーリンク" xfId="694" builtinId="9" hidden="1"/>
    <cellStyle name="表示済みのハイパーリンク" xfId="696" builtinId="9" hidden="1"/>
    <cellStyle name="表示済みのハイパーリンク" xfId="698" builtinId="9" hidden="1"/>
    <cellStyle name="表示済みのハイパーリンク" xfId="700" builtinId="9" hidden="1"/>
    <cellStyle name="表示済みのハイパーリンク" xfId="702" builtinId="9" hidden="1"/>
    <cellStyle name="表示済みのハイパーリンク" xfId="704" builtinId="9" hidden="1"/>
    <cellStyle name="表示済みのハイパーリンク" xfId="706" builtinId="9" hidden="1"/>
    <cellStyle name="表示済みのハイパーリンク" xfId="708" builtinId="9" hidden="1"/>
    <cellStyle name="表示済みのハイパーリンク" xfId="710" builtinId="9" hidden="1"/>
    <cellStyle name="表示済みのハイパーリンク" xfId="712" builtinId="9" hidden="1"/>
    <cellStyle name="表示済みのハイパーリンク" xfId="714" builtinId="9" hidden="1"/>
    <cellStyle name="表示済みのハイパーリンク" xfId="716" builtinId="9" hidden="1"/>
    <cellStyle name="表示済みのハイパーリンク" xfId="718" builtinId="9" hidden="1"/>
    <cellStyle name="表示済みのハイパーリンク" xfId="720" builtinId="9" hidden="1"/>
    <cellStyle name="表示済みのハイパーリンク" xfId="722" builtinId="9" hidden="1"/>
    <cellStyle name="表示済みのハイパーリンク" xfId="724" builtinId="9" hidden="1"/>
    <cellStyle name="表示済みのハイパーリンク" xfId="726" builtinId="9" hidden="1"/>
    <cellStyle name="表示済みのハイパーリンク" xfId="728" builtinId="9" hidden="1"/>
    <cellStyle name="表示済みのハイパーリンク" xfId="730" builtinId="9" hidden="1"/>
    <cellStyle name="表示済みのハイパーリンク" xfId="732" builtinId="9" hidden="1"/>
    <cellStyle name="表示済みのハイパーリンク" xfId="734" builtinId="9" hidden="1"/>
    <cellStyle name="表示済みのハイパーリンク" xfId="736" builtinId="9" hidden="1"/>
    <cellStyle name="表示済みのハイパーリンク" xfId="738" builtinId="9" hidden="1"/>
    <cellStyle name="表示済みのハイパーリンク" xfId="740" builtinId="9" hidden="1"/>
    <cellStyle name="表示済みのハイパーリンク" xfId="742" builtinId="9" hidden="1"/>
    <cellStyle name="表示済みのハイパーリンク" xfId="744" builtinId="9" hidden="1"/>
    <cellStyle name="表示済みのハイパーリンク" xfId="746" builtinId="9" hidden="1"/>
    <cellStyle name="表示済みのハイパーリンク" xfId="748" builtinId="9" hidden="1"/>
    <cellStyle name="表示済みのハイパーリンク" xfId="750" builtinId="9" hidden="1"/>
    <cellStyle name="表示済みのハイパーリンク" xfId="752" builtinId="9" hidden="1"/>
    <cellStyle name="表示済みのハイパーリンク" xfId="754" builtinId="9" hidden="1"/>
    <cellStyle name="表示済みのハイパーリンク" xfId="756" builtinId="9" hidden="1"/>
    <cellStyle name="表示済みのハイパーリンク" xfId="758" builtinId="9" hidden="1"/>
    <cellStyle name="表示済みのハイパーリンク" xfId="760" builtinId="9" hidden="1"/>
    <cellStyle name="表示済みのハイパーリンク" xfId="762" builtinId="9" hidden="1"/>
    <cellStyle name="表示済みのハイパーリンク" xfId="764" builtinId="9" hidden="1"/>
    <cellStyle name="表示済みのハイパーリンク" xfId="766" builtinId="9" hidden="1"/>
    <cellStyle name="表示済みのハイパーリンク" xfId="768" builtinId="9" hidden="1"/>
    <cellStyle name="表示済みのハイパーリンク" xfId="770" builtinId="9" hidden="1"/>
    <cellStyle name="表示済みのハイパーリンク" xfId="772" builtinId="9" hidden="1"/>
    <cellStyle name="表示済みのハイパーリンク" xfId="774" builtinId="9" hidden="1"/>
    <cellStyle name="表示済みのハイパーリンク" xfId="776" builtinId="9" hidden="1"/>
    <cellStyle name="表示済みのハイパーリンク" xfId="778" builtinId="9" hidden="1"/>
    <cellStyle name="表示済みのハイパーリンク" xfId="780" builtinId="9" hidden="1"/>
    <cellStyle name="表示済みのハイパーリンク" xfId="782" builtinId="9" hidden="1"/>
    <cellStyle name="表示済みのハイパーリンク" xfId="784" builtinId="9" hidden="1"/>
    <cellStyle name="表示済みのハイパーリンク" xfId="786" builtinId="9" hidden="1"/>
    <cellStyle name="表示済みのハイパーリンク" xfId="788" builtinId="9" hidden="1"/>
    <cellStyle name="表示済みのハイパーリンク" xfId="790" builtinId="9" hidden="1"/>
    <cellStyle name="表示済みのハイパーリンク" xfId="792" builtinId="9" hidden="1"/>
    <cellStyle name="表示済みのハイパーリンク" xfId="794" builtinId="9" hidden="1"/>
    <cellStyle name="表示済みのハイパーリンク" xfId="796" builtinId="9" hidden="1"/>
    <cellStyle name="表示済みのハイパーリンク" xfId="798" builtinId="9" hidden="1"/>
    <cellStyle name="表示済みのハイパーリンク" xfId="800" builtinId="9" hidden="1"/>
    <cellStyle name="表示済みのハイパーリンク" xfId="802" builtinId="9" hidden="1"/>
    <cellStyle name="表示済みのハイパーリンク" xfId="804" builtinId="9" hidden="1"/>
    <cellStyle name="表示済みのハイパーリンク" xfId="806" builtinId="9" hidden="1"/>
    <cellStyle name="表示済みのハイパーリンク" xfId="808" builtinId="9" hidden="1"/>
    <cellStyle name="表示済みのハイパーリンク" xfId="810" builtinId="9" hidden="1"/>
    <cellStyle name="表示済みのハイパーリンク" xfId="812" builtinId="9" hidden="1"/>
    <cellStyle name="表示済みのハイパーリンク" xfId="814" builtinId="9" hidden="1"/>
    <cellStyle name="表示済みのハイパーリンク" xfId="816" builtinId="9" hidden="1"/>
    <cellStyle name="表示済みのハイパーリンク" xfId="818" builtinId="9" hidden="1"/>
    <cellStyle name="表示済みのハイパーリンク" xfId="820" builtinId="9" hidden="1"/>
    <cellStyle name="表示済みのハイパーリンク" xfId="822" builtinId="9" hidden="1"/>
    <cellStyle name="表示済みのハイパーリンク" xfId="824" builtinId="9" hidden="1"/>
    <cellStyle name="表示済みのハイパーリンク" xfId="826" builtinId="9" hidden="1"/>
    <cellStyle name="表示済みのハイパーリンク" xfId="828" builtinId="9" hidden="1"/>
    <cellStyle name="表示済みのハイパーリンク" xfId="830" builtinId="9" hidden="1"/>
    <cellStyle name="表示済みのハイパーリンク" xfId="832" builtinId="9" hidden="1"/>
    <cellStyle name="表示済みのハイパーリンク" xfId="834" builtinId="9" hidden="1"/>
    <cellStyle name="表示済みのハイパーリンク" xfId="836" builtinId="9" hidden="1"/>
    <cellStyle name="表示済みのハイパーリンク" xfId="838" builtinId="9" hidden="1"/>
    <cellStyle name="表示済みのハイパーリンク" xfId="840" builtinId="9" hidden="1"/>
    <cellStyle name="表示済みのハイパーリンク" xfId="842" builtinId="9" hidden="1"/>
    <cellStyle name="表示済みのハイパーリンク" xfId="844" builtinId="9" hidden="1"/>
    <cellStyle name="表示済みのハイパーリンク" xfId="846" builtinId="9" hidden="1"/>
    <cellStyle name="表示済みのハイパーリンク" xfId="848" builtinId="9" hidden="1"/>
    <cellStyle name="表示済みのハイパーリンク" xfId="850" builtinId="9" hidden="1"/>
    <cellStyle name="表示済みのハイパーリンク" xfId="852" builtinId="9" hidden="1"/>
    <cellStyle name="表示済みのハイパーリンク" xfId="854" builtinId="9" hidden="1"/>
    <cellStyle name="表示済みのハイパーリンク" xfId="856" builtinId="9" hidden="1"/>
    <cellStyle name="表示済みのハイパーリンク" xfId="858" builtinId="9" hidden="1"/>
    <cellStyle name="表示済みのハイパーリンク" xfId="860" builtinId="9" hidden="1"/>
    <cellStyle name="表示済みのハイパーリンク" xfId="862" builtinId="9" hidden="1"/>
    <cellStyle name="表示済みのハイパーリンク" xfId="864" builtinId="9" hidden="1"/>
    <cellStyle name="表示済みのハイパーリンク" xfId="866" builtinId="9" hidden="1"/>
    <cellStyle name="表示済みのハイパーリンク" xfId="868" builtinId="9" hidden="1"/>
    <cellStyle name="表示済みのハイパーリンク" xfId="870" builtinId="9" hidden="1"/>
    <cellStyle name="表示済みのハイパーリンク" xfId="872" builtinId="9" hidden="1"/>
    <cellStyle name="表示済みのハイパーリンク" xfId="874" builtinId="9" hidden="1"/>
    <cellStyle name="表示済みのハイパーリンク" xfId="876" builtinId="9" hidden="1"/>
    <cellStyle name="表示済みのハイパーリンク" xfId="878" builtinId="9" hidden="1"/>
    <cellStyle name="表示済みのハイパーリンク" xfId="880" builtinId="9" hidden="1"/>
    <cellStyle name="表示済みのハイパーリンク" xfId="882" builtinId="9" hidden="1"/>
    <cellStyle name="表示済みのハイパーリンク" xfId="884" builtinId="9" hidden="1"/>
    <cellStyle name="表示済みのハイパーリンク" xfId="886" builtinId="9" hidden="1"/>
    <cellStyle name="表示済みのハイパーリンク" xfId="888" builtinId="9" hidden="1"/>
    <cellStyle name="表示済みのハイパーリンク" xfId="890" builtinId="9" hidden="1"/>
    <cellStyle name="表示済みのハイパーリンク" xfId="892" builtinId="9" hidden="1"/>
    <cellStyle name="表示済みのハイパーリンク" xfId="894" builtinId="9" hidden="1"/>
    <cellStyle name="表示済みのハイパーリンク" xfId="896" builtinId="9" hidden="1"/>
    <cellStyle name="表示済みのハイパーリンク" xfId="898" builtinId="9" hidden="1"/>
    <cellStyle name="表示済みのハイパーリンク" xfId="900" builtinId="9" hidden="1"/>
    <cellStyle name="表示済みのハイパーリンク" xfId="902" builtinId="9" hidden="1"/>
    <cellStyle name="表示済みのハイパーリンク" xfId="904" builtinId="9" hidden="1"/>
    <cellStyle name="表示済みのハイパーリンク" xfId="906" builtinId="9" hidden="1"/>
    <cellStyle name="表示済みのハイパーリンク" xfId="908" builtinId="9" hidden="1"/>
    <cellStyle name="表示済みのハイパーリンク" xfId="910" builtinId="9" hidden="1"/>
    <cellStyle name="表示済みのハイパーリンク" xfId="912" builtinId="9" hidden="1"/>
    <cellStyle name="表示済みのハイパーリンク" xfId="914" builtinId="9" hidden="1"/>
    <cellStyle name="表示済みのハイパーリンク" xfId="916" builtinId="9" hidden="1"/>
    <cellStyle name="表示済みのハイパーリンク" xfId="918" builtinId="9" hidden="1"/>
    <cellStyle name="表示済みのハイパーリンク" xfId="920" builtinId="9" hidden="1"/>
    <cellStyle name="表示済みのハイパーリンク" xfId="922" builtinId="9" hidden="1"/>
    <cellStyle name="表示済みのハイパーリンク" xfId="924" builtinId="9" hidden="1"/>
    <cellStyle name="表示済みのハイパーリンク" xfId="926" builtinId="9" hidden="1"/>
    <cellStyle name="表示済みのハイパーリンク" xfId="928" builtinId="9" hidden="1"/>
    <cellStyle name="表示済みのハイパーリンク" xfId="930" builtinId="9" hidden="1"/>
    <cellStyle name="表示済みのハイパーリンク" xfId="932" builtinId="9" hidden="1"/>
    <cellStyle name="表示済みのハイパーリンク" xfId="934" builtinId="9" hidden="1"/>
    <cellStyle name="表示済みのハイパーリンク" xfId="936" builtinId="9" hidden="1"/>
    <cellStyle name="表示済みのハイパーリンク" xfId="938" builtinId="9" hidden="1"/>
    <cellStyle name="表示済みのハイパーリンク" xfId="940" builtinId="9" hidden="1"/>
    <cellStyle name="表示済みのハイパーリンク" xfId="942" builtinId="9" hidden="1"/>
    <cellStyle name="表示済みのハイパーリンク" xfId="944" builtinId="9" hidden="1"/>
    <cellStyle name="表示済みのハイパーリンク" xfId="946" builtinId="9" hidden="1"/>
    <cellStyle name="表示済みのハイパーリンク" xfId="948" builtinId="9" hidden="1"/>
    <cellStyle name="表示済みのハイパーリンク" xfId="950" builtinId="9" hidden="1"/>
    <cellStyle name="表示済みのハイパーリンク" xfId="952" builtinId="9" hidden="1"/>
    <cellStyle name="表示済みのハイパーリンク" xfId="954" builtinId="9" hidden="1"/>
    <cellStyle name="表示済みのハイパーリンク" xfId="956" builtinId="9" hidden="1"/>
    <cellStyle name="表示済みのハイパーリンク" xfId="958" builtinId="9" hidden="1"/>
    <cellStyle name="表示済みのハイパーリンク" xfId="960" builtinId="9" hidden="1"/>
    <cellStyle name="表示済みのハイパーリンク" xfId="962" builtinId="9" hidden="1"/>
    <cellStyle name="表示済みのハイパーリンク" xfId="964" builtinId="9" hidden="1"/>
    <cellStyle name="表示済みのハイパーリンク" xfId="966" builtinId="9" hidden="1"/>
    <cellStyle name="表示済みのハイパーリンク" xfId="968" builtinId="9" hidden="1"/>
    <cellStyle name="表示済みのハイパーリンク" xfId="970" builtinId="9" hidden="1"/>
    <cellStyle name="表示済みのハイパーリンク" xfId="972" builtinId="9" hidden="1"/>
    <cellStyle name="表示済みのハイパーリンク" xfId="974" builtinId="9" hidden="1"/>
    <cellStyle name="表示済みのハイパーリンク" xfId="976" builtinId="9" hidden="1"/>
    <cellStyle name="表示済みのハイパーリンク" xfId="978" builtinId="9" hidden="1"/>
    <cellStyle name="表示済みのハイパーリンク" xfId="980" builtinId="9" hidden="1"/>
    <cellStyle name="表示済みのハイパーリンク" xfId="982" builtinId="9" hidden="1"/>
    <cellStyle name="表示済みのハイパーリンク" xfId="984" builtinId="9" hidden="1"/>
    <cellStyle name="表示済みのハイパーリンク" xfId="986" builtinId="9" hidden="1"/>
    <cellStyle name="表示済みのハイパーリンク" xfId="988" builtinId="9" hidden="1"/>
    <cellStyle name="表示済みのハイパーリンク" xfId="990" builtinId="9" hidden="1"/>
    <cellStyle name="表示済みのハイパーリンク" xfId="992" builtinId="9" hidden="1"/>
    <cellStyle name="表示済みのハイパーリンク" xfId="994" builtinId="9" hidden="1"/>
    <cellStyle name="表示済みのハイパーリンク" xfId="996" builtinId="9" hidden="1"/>
    <cellStyle name="表示済みのハイパーリンク" xfId="998" builtinId="9" hidden="1"/>
    <cellStyle name="表示済みのハイパーリンク" xfId="1000" builtinId="9" hidden="1"/>
    <cellStyle name="表示済みのハイパーリンク" xfId="1002" builtinId="9" hidden="1"/>
    <cellStyle name="表示済みのハイパーリンク" xfId="1004" builtinId="9" hidden="1"/>
    <cellStyle name="表示済みのハイパーリンク" xfId="1006" builtinId="9" hidden="1"/>
    <cellStyle name="表示済みのハイパーリンク" xfId="1008" builtinId="9" hidden="1"/>
    <cellStyle name="表示済みのハイパーリンク" xfId="1010" builtinId="9" hidden="1"/>
    <cellStyle name="表示済みのハイパーリンク" xfId="1012" builtinId="9" hidden="1"/>
    <cellStyle name="表示済みのハイパーリンク" xfId="1014" builtinId="9" hidden="1"/>
    <cellStyle name="表示済みのハイパーリンク" xfId="1016" builtinId="9" hidden="1"/>
    <cellStyle name="表示済みのハイパーリンク" xfId="1018" builtinId="9" hidden="1"/>
    <cellStyle name="表示済みのハイパーリンク" xfId="1020" builtinId="9" hidden="1"/>
    <cellStyle name="表示済みのハイパーリンク" xfId="1022" builtinId="9" hidden="1"/>
    <cellStyle name="表示済みのハイパーリンク" xfId="1024" builtinId="9" hidden="1"/>
    <cellStyle name="表示済みのハイパーリンク" xfId="1026" builtinId="9" hidden="1"/>
    <cellStyle name="表示済みのハイパーリンク" xfId="1028" builtinId="9" hidden="1"/>
    <cellStyle name="表示済みのハイパーリンク" xfId="1030" builtinId="9" hidden="1"/>
    <cellStyle name="表示済みのハイパーリンク" xfId="1032" builtinId="9" hidden="1"/>
    <cellStyle name="表示済みのハイパーリンク" xfId="1034" builtinId="9" hidden="1"/>
    <cellStyle name="表示済みのハイパーリンク" xfId="1036" builtinId="9" hidden="1"/>
    <cellStyle name="表示済みのハイパーリンク" xfId="1038" builtinId="9" hidden="1"/>
    <cellStyle name="表示済みのハイパーリンク" xfId="1040" builtinId="9" hidden="1"/>
    <cellStyle name="表示済みのハイパーリンク" xfId="1042" builtinId="9" hidden="1"/>
    <cellStyle name="表示済みのハイパーリンク" xfId="1044" builtinId="9" hidden="1"/>
    <cellStyle name="表示済みのハイパーリンク" xfId="1046" builtinId="9" hidden="1"/>
    <cellStyle name="表示済みのハイパーリンク" xfId="1048" builtinId="9" hidden="1"/>
    <cellStyle name="表示済みのハイパーリンク" xfId="1050" builtinId="9" hidden="1"/>
    <cellStyle name="表示済みのハイパーリンク" xfId="1052" builtinId="9" hidden="1"/>
    <cellStyle name="表示済みのハイパーリンク" xfId="1054" builtinId="9" hidden="1"/>
    <cellStyle name="表示済みのハイパーリンク" xfId="1056" builtinId="9" hidden="1"/>
    <cellStyle name="表示済みのハイパーリンク" xfId="1058" builtinId="9" hidden="1"/>
    <cellStyle name="表示済みのハイパーリンク" xfId="1060" builtinId="9" hidden="1"/>
    <cellStyle name="表示済みのハイパーリンク" xfId="1062" builtinId="9" hidden="1"/>
    <cellStyle name="表示済みのハイパーリンク" xfId="1064" builtinId="9" hidden="1"/>
    <cellStyle name="表示済みのハイパーリンク" xfId="1066" builtinId="9" hidden="1"/>
    <cellStyle name="表示済みのハイパーリンク" xfId="1068" builtinId="9" hidden="1"/>
    <cellStyle name="表示済みのハイパーリンク" xfId="1070" builtinId="9" hidden="1"/>
    <cellStyle name="表示済みのハイパーリンク" xfId="1072" builtinId="9" hidden="1"/>
    <cellStyle name="表示済みのハイパーリンク" xfId="1074" builtinId="9" hidden="1"/>
    <cellStyle name="表示済みのハイパーリンク" xfId="1076" builtinId="9" hidden="1"/>
    <cellStyle name="表示済みのハイパーリンク" xfId="1078" builtinId="9" hidden="1"/>
    <cellStyle name="表示済みのハイパーリンク" xfId="1080" builtinId="9" hidden="1"/>
    <cellStyle name="表示済みのハイパーリンク" xfId="1082" builtinId="9" hidden="1"/>
    <cellStyle name="表示済みのハイパーリンク" xfId="1084" builtinId="9" hidden="1"/>
    <cellStyle name="表示済みのハイパーリンク" xfId="1086" builtinId="9" hidden="1"/>
    <cellStyle name="表示済みのハイパーリンク" xfId="1088" builtinId="9" hidden="1"/>
    <cellStyle name="表示済みのハイパーリンク" xfId="1090" builtinId="9" hidden="1"/>
    <cellStyle name="表示済みのハイパーリンク" xfId="1092" builtinId="9" hidden="1"/>
    <cellStyle name="表示済みのハイパーリンク" xfId="1094" builtinId="9" hidden="1"/>
    <cellStyle name="表示済みのハイパーリンク" xfId="1096" builtinId="9" hidden="1"/>
    <cellStyle name="表示済みのハイパーリンク" xfId="1098" builtinId="9" hidden="1"/>
    <cellStyle name="表示済みのハイパーリンク" xfId="1100" builtinId="9" hidden="1"/>
    <cellStyle name="表示済みのハイパーリンク" xfId="1102" builtinId="9" hidden="1"/>
    <cellStyle name="表示済みのハイパーリンク" xfId="1104" builtinId="9" hidden="1"/>
    <cellStyle name="表示済みのハイパーリンク" xfId="1106" builtinId="9" hidden="1"/>
    <cellStyle name="表示済みのハイパーリンク" xfId="1108" builtinId="9" hidden="1"/>
    <cellStyle name="表示済みのハイパーリンク" xfId="1110" builtinId="9" hidden="1"/>
    <cellStyle name="表示済みのハイパーリンク" xfId="1112" builtinId="9" hidden="1"/>
    <cellStyle name="表示済みのハイパーリンク" xfId="1114" builtinId="9" hidden="1"/>
    <cellStyle name="表示済みのハイパーリンク" xfId="1116" builtinId="9" hidden="1"/>
    <cellStyle name="表示済みのハイパーリンク" xfId="1118" builtinId="9" hidden="1"/>
    <cellStyle name="表示済みのハイパーリンク" xfId="1120" builtinId="9" hidden="1"/>
    <cellStyle name="表示済みのハイパーリンク" xfId="1122" builtinId="9" hidden="1"/>
    <cellStyle name="表示済みのハイパーリンク" xfId="1124" builtinId="9" hidden="1"/>
    <cellStyle name="表示済みのハイパーリンク" xfId="1126" builtinId="9" hidden="1"/>
    <cellStyle name="表示済みのハイパーリンク" xfId="1128" builtinId="9" hidden="1"/>
    <cellStyle name="表示済みのハイパーリンク" xfId="1130" builtinId="9" hidden="1"/>
    <cellStyle name="表示済みのハイパーリンク" xfId="1132" builtinId="9" hidden="1"/>
    <cellStyle name="表示済みのハイパーリンク" xfId="1134" builtinId="9" hidden="1"/>
    <cellStyle name="表示済みのハイパーリンク" xfId="1136" builtinId="9" hidden="1"/>
    <cellStyle name="表示済みのハイパーリンク" xfId="1138" builtinId="9" hidden="1"/>
    <cellStyle name="表示済みのハイパーリンク" xfId="1140" builtinId="9" hidden="1"/>
    <cellStyle name="表示済みのハイパーリンク" xfId="1142" builtinId="9" hidden="1"/>
    <cellStyle name="表示済みのハイパーリンク" xfId="1144" builtinId="9" hidden="1"/>
    <cellStyle name="表示済みのハイパーリンク" xfId="1146" builtinId="9" hidden="1"/>
    <cellStyle name="表示済みのハイパーリンク" xfId="1148" builtinId="9" hidden="1"/>
    <cellStyle name="表示済みのハイパーリンク" xfId="1150" builtinId="9" hidden="1"/>
    <cellStyle name="表示済みのハイパーリンク" xfId="1152" builtinId="9" hidden="1"/>
    <cellStyle name="表示済みのハイパーリンク" xfId="1154" builtinId="9" hidden="1"/>
    <cellStyle name="表示済みのハイパーリンク" xfId="1156" builtinId="9" hidden="1"/>
    <cellStyle name="表示済みのハイパーリンク" xfId="1158" builtinId="9" hidden="1"/>
    <cellStyle name="表示済みのハイパーリンク" xfId="1160" builtinId="9" hidden="1"/>
    <cellStyle name="表示済みのハイパーリンク" xfId="1162" builtinId="9" hidden="1"/>
    <cellStyle name="表示済みのハイパーリンク" xfId="1164" builtinId="9" hidden="1"/>
    <cellStyle name="表示済みのハイパーリンク" xfId="1166" builtinId="9" hidden="1"/>
    <cellStyle name="表示済みのハイパーリンク" xfId="1168" builtinId="9" hidden="1"/>
    <cellStyle name="表示済みのハイパーリンク" xfId="1170" builtinId="9" hidden="1"/>
    <cellStyle name="表示済みのハイパーリンク" xfId="1172" builtinId="9" hidden="1"/>
    <cellStyle name="表示済みのハイパーリンク" xfId="1174" builtinId="9" hidden="1"/>
    <cellStyle name="表示済みのハイパーリンク" xfId="1176" builtinId="9" hidden="1"/>
    <cellStyle name="表示済みのハイパーリンク" xfId="1178" builtinId="9" hidden="1"/>
    <cellStyle name="表示済みのハイパーリンク" xfId="1180" builtinId="9" hidden="1"/>
    <cellStyle name="表示済みのハイパーリンク" xfId="1182" builtinId="9" hidden="1"/>
    <cellStyle name="表示済みのハイパーリンク" xfId="1184" builtinId="9" hidden="1"/>
    <cellStyle name="表示済みのハイパーリンク" xfId="1186" builtinId="9" hidden="1"/>
    <cellStyle name="表示済みのハイパーリンク" xfId="1188" builtinId="9" hidden="1"/>
    <cellStyle name="表示済みのハイパーリンク" xfId="1190" builtinId="9" hidden="1"/>
    <cellStyle name="表示済みのハイパーリンク" xfId="1192" builtinId="9" hidden="1"/>
    <cellStyle name="表示済みのハイパーリンク" xfId="1194" builtinId="9" hidden="1"/>
    <cellStyle name="表示済みのハイパーリンク" xfId="1196" builtinId="9" hidden="1"/>
    <cellStyle name="表示済みのハイパーリンク" xfId="1198" builtinId="9" hidden="1"/>
    <cellStyle name="表示済みのハイパーリンク" xfId="1200" builtinId="9" hidden="1"/>
    <cellStyle name="表示済みのハイパーリンク" xfId="1202" builtinId="9" hidden="1"/>
    <cellStyle name="表示済みのハイパーリンク" xfId="1204" builtinId="9" hidden="1"/>
    <cellStyle name="表示済みのハイパーリンク" xfId="1206" builtinId="9" hidden="1"/>
    <cellStyle name="表示済みのハイパーリンク" xfId="1208" builtinId="9" hidden="1"/>
    <cellStyle name="表示済みのハイパーリンク" xfId="1210" builtinId="9" hidden="1"/>
    <cellStyle name="表示済みのハイパーリンク" xfId="1212" builtinId="9" hidden="1"/>
    <cellStyle name="表示済みのハイパーリンク" xfId="1214" builtinId="9" hidden="1"/>
    <cellStyle name="表示済みのハイパーリンク" xfId="1216" builtinId="9" hidden="1"/>
    <cellStyle name="表示済みのハイパーリンク" xfId="1218" builtinId="9" hidden="1"/>
    <cellStyle name="表示済みのハイパーリンク" xfId="1220" builtinId="9" hidden="1"/>
    <cellStyle name="表示済みのハイパーリンク" xfId="1222" builtinId="9" hidden="1"/>
    <cellStyle name="表示済みのハイパーリンク" xfId="1224" builtinId="9" hidden="1"/>
    <cellStyle name="表示済みのハイパーリンク" xfId="1226" builtinId="9" hidden="1"/>
    <cellStyle name="表示済みのハイパーリンク" xfId="1228" builtinId="9" hidden="1"/>
    <cellStyle name="表示済みのハイパーリンク" xfId="1230" builtinId="9" hidden="1"/>
    <cellStyle name="表示済みのハイパーリンク" xfId="1232" builtinId="9" hidden="1"/>
    <cellStyle name="表示済みのハイパーリンク" xfId="1234" builtinId="9" hidden="1"/>
    <cellStyle name="表示済みのハイパーリンク" xfId="1236" builtinId="9" hidden="1"/>
    <cellStyle name="表示済みのハイパーリンク" xfId="1238" builtinId="9" hidden="1"/>
    <cellStyle name="表示済みのハイパーリンク" xfId="1240" builtinId="9" hidden="1"/>
    <cellStyle name="表示済みのハイパーリンク" xfId="1242" builtinId="9" hidden="1"/>
    <cellStyle name="表示済みのハイパーリンク" xfId="1244" builtinId="9" hidden="1"/>
    <cellStyle name="表示済みのハイパーリンク" xfId="1246" builtinId="9" hidden="1"/>
    <cellStyle name="表示済みのハイパーリンク" xfId="1248" builtinId="9" hidden="1"/>
    <cellStyle name="表示済みのハイパーリンク" xfId="1250" builtinId="9" hidden="1"/>
    <cellStyle name="表示済みのハイパーリンク" xfId="1252" builtinId="9" hidden="1"/>
    <cellStyle name="表示済みのハイパーリンク" xfId="1254" builtinId="9" hidden="1"/>
    <cellStyle name="表示済みのハイパーリンク" xfId="1256" builtinId="9" hidden="1"/>
    <cellStyle name="表示済みのハイパーリンク" xfId="1258" builtinId="9" hidden="1"/>
    <cellStyle name="表示済みのハイパーリンク" xfId="1260" builtinId="9" hidden="1"/>
    <cellStyle name="表示済みのハイパーリンク" xfId="1262" builtinId="9" hidden="1"/>
    <cellStyle name="表示済みのハイパーリンク" xfId="1264" builtinId="9" hidden="1"/>
    <cellStyle name="表示済みのハイパーリンク" xfId="1266" builtinId="9" hidden="1"/>
    <cellStyle name="表示済みのハイパーリンク" xfId="1268" builtinId="9" hidden="1"/>
    <cellStyle name="表示済みのハイパーリンク" xfId="1270" builtinId="9" hidden="1"/>
    <cellStyle name="表示済みのハイパーリンク" xfId="1272" builtinId="9" hidden="1"/>
    <cellStyle name="表示済みのハイパーリンク" xfId="1274" builtinId="9" hidden="1"/>
    <cellStyle name="表示済みのハイパーリンク" xfId="1276" builtinId="9" hidden="1"/>
    <cellStyle name="表示済みのハイパーリンク" xfId="1278" builtinId="9" hidden="1"/>
    <cellStyle name="表示済みのハイパーリンク" xfId="1280" builtinId="9" hidden="1"/>
    <cellStyle name="表示済みのハイパーリンク" xfId="1282" builtinId="9" hidden="1"/>
    <cellStyle name="表示済みのハイパーリンク" xfId="1284" builtinId="9" hidden="1"/>
    <cellStyle name="表示済みのハイパーリンク" xfId="1286" builtinId="9" hidden="1"/>
    <cellStyle name="表示済みのハイパーリンク" xfId="1288" builtinId="9" hidden="1"/>
    <cellStyle name="表示済みのハイパーリンク" xfId="1290" builtinId="9" hidden="1"/>
    <cellStyle name="表示済みのハイパーリンク" xfId="1292" builtinId="9" hidden="1"/>
    <cellStyle name="表示済みのハイパーリンク" xfId="1294" builtinId="9" hidden="1"/>
    <cellStyle name="表示済みのハイパーリンク" xfId="1296" builtinId="9" hidden="1"/>
    <cellStyle name="表示済みのハイパーリンク" xfId="1298" builtinId="9" hidden="1"/>
    <cellStyle name="表示済みのハイパーリンク" xfId="1300" builtinId="9" hidden="1"/>
    <cellStyle name="表示済みのハイパーリンク" xfId="1302" builtinId="9" hidden="1"/>
    <cellStyle name="表示済みのハイパーリンク" xfId="1304" builtinId="9" hidden="1"/>
    <cellStyle name="表示済みのハイパーリンク" xfId="1306" builtinId="9" hidden="1"/>
    <cellStyle name="表示済みのハイパーリンク" xfId="1308" builtinId="9" hidden="1"/>
    <cellStyle name="表示済みのハイパーリンク" xfId="1310" builtinId="9" hidden="1"/>
    <cellStyle name="表示済みのハイパーリンク" xfId="1312" builtinId="9" hidden="1"/>
    <cellStyle name="表示済みのハイパーリンク" xfId="1314" builtinId="9" hidden="1"/>
    <cellStyle name="表示済みのハイパーリンク" xfId="1316" builtinId="9" hidden="1"/>
    <cellStyle name="表示済みのハイパーリンク" xfId="1318" builtinId="9" hidden="1"/>
    <cellStyle name="表示済みのハイパーリンク" xfId="1320" builtinId="9" hidden="1"/>
    <cellStyle name="表示済みのハイパーリンク" xfId="1322" builtinId="9" hidden="1"/>
    <cellStyle name="表示済みのハイパーリンク" xfId="1324" builtinId="9" hidden="1"/>
    <cellStyle name="表示済みのハイパーリンク" xfId="1326" builtinId="9" hidden="1"/>
    <cellStyle name="表示済みのハイパーリンク" xfId="1328" builtinId="9" hidden="1"/>
    <cellStyle name="表示済みのハイパーリンク" xfId="1330" builtinId="9" hidden="1"/>
    <cellStyle name="表示済みのハイパーリンク" xfId="1332" builtinId="9" hidden="1"/>
    <cellStyle name="表示済みのハイパーリンク" xfId="1334" builtinId="9" hidden="1"/>
    <cellStyle name="表示済みのハイパーリンク" xfId="1336" builtinId="9" hidden="1"/>
    <cellStyle name="表示済みのハイパーリンク" xfId="1338" builtinId="9" hidden="1"/>
    <cellStyle name="表示済みのハイパーリンク" xfId="1340" builtinId="9" hidden="1"/>
    <cellStyle name="表示済みのハイパーリンク" xfId="1342" builtinId="9" hidden="1"/>
    <cellStyle name="表示済みのハイパーリンク" xfId="1344" builtinId="9" hidden="1"/>
    <cellStyle name="表示済みのハイパーリンク" xfId="1346" builtinId="9" hidden="1"/>
    <cellStyle name="表示済みのハイパーリンク" xfId="1348" builtinId="9" hidden="1"/>
    <cellStyle name="表示済みのハイパーリンク" xfId="1350" builtinId="9" hidden="1"/>
    <cellStyle name="表示済みのハイパーリンク" xfId="1352" builtinId="9" hidden="1"/>
    <cellStyle name="表示済みのハイパーリンク" xfId="1354" builtinId="9" hidden="1"/>
    <cellStyle name="表示済みのハイパーリンク" xfId="1356" builtinId="9" hidden="1"/>
    <cellStyle name="表示済みのハイパーリンク" xfId="1358" builtinId="9" hidden="1"/>
    <cellStyle name="表示済みのハイパーリンク" xfId="1360" builtinId="9" hidden="1"/>
    <cellStyle name="表示済みのハイパーリンク" xfId="1362" builtinId="9" hidden="1"/>
    <cellStyle name="表示済みのハイパーリンク" xfId="1364" builtinId="9" hidden="1"/>
    <cellStyle name="表示済みのハイパーリンク" xfId="1366" builtinId="9" hidden="1"/>
    <cellStyle name="表示済みのハイパーリンク" xfId="1368" builtinId="9" hidden="1"/>
    <cellStyle name="表示済みのハイパーリンク" xfId="1370" builtinId="9" hidden="1"/>
    <cellStyle name="表示済みのハイパーリンク" xfId="1372" builtinId="9" hidden="1"/>
    <cellStyle name="表示済みのハイパーリンク" xfId="1374" builtinId="9" hidden="1"/>
    <cellStyle name="表示済みのハイパーリンク" xfId="1376" builtinId="9" hidden="1"/>
    <cellStyle name="表示済みのハイパーリンク" xfId="1378" builtinId="9" hidden="1"/>
    <cellStyle name="表示済みのハイパーリンク" xfId="1380" builtinId="9" hidden="1"/>
    <cellStyle name="表示済みのハイパーリンク" xfId="1382" builtinId="9" hidden="1"/>
    <cellStyle name="表示済みのハイパーリンク" xfId="1384" builtinId="9" hidden="1"/>
    <cellStyle name="表示済みのハイパーリンク" xfId="1386" builtinId="9" hidden="1"/>
    <cellStyle name="表示済みのハイパーリンク" xfId="1388" builtinId="9" hidden="1"/>
    <cellStyle name="表示済みのハイパーリンク" xfId="1390" builtinId="9" hidden="1"/>
    <cellStyle name="表示済みのハイパーリンク" xfId="1392" builtinId="9" hidden="1"/>
    <cellStyle name="表示済みのハイパーリンク" xfId="1394" builtinId="9" hidden="1"/>
    <cellStyle name="表示済みのハイパーリンク" xfId="1396" builtinId="9" hidden="1"/>
    <cellStyle name="表示済みのハイパーリンク" xfId="1398" builtinId="9" hidden="1"/>
    <cellStyle name="表示済みのハイパーリンク" xfId="1400" builtinId="9" hidden="1"/>
    <cellStyle name="表示済みのハイパーリンク" xfId="1402" builtinId="9" hidden="1"/>
    <cellStyle name="表示済みのハイパーリンク" xfId="1404" builtinId="9" hidden="1"/>
    <cellStyle name="表示済みのハイパーリンク" xfId="1406" builtinId="9" hidden="1"/>
    <cellStyle name="表示済みのハイパーリンク" xfId="1408" builtinId="9" hidden="1"/>
    <cellStyle name="表示済みのハイパーリンク" xfId="1410" builtinId="9" hidden="1"/>
    <cellStyle name="表示済みのハイパーリンク" xfId="1412" builtinId="9" hidden="1"/>
    <cellStyle name="表示済みのハイパーリンク" xfId="1414" builtinId="9" hidden="1"/>
    <cellStyle name="表示済みのハイパーリンク" xfId="1416" builtinId="9" hidden="1"/>
    <cellStyle name="表示済みのハイパーリンク" xfId="1418" builtinId="9" hidden="1"/>
    <cellStyle name="表示済みのハイパーリンク" xfId="1420" builtinId="9" hidden="1"/>
    <cellStyle name="表示済みのハイパーリンク" xfId="1422" builtinId="9" hidden="1"/>
    <cellStyle name="表示済みのハイパーリンク" xfId="1424" builtinId="9" hidden="1"/>
    <cellStyle name="表示済みのハイパーリンク" xfId="1426" builtinId="9" hidden="1"/>
    <cellStyle name="表示済みのハイパーリンク" xfId="1428" builtinId="9" hidden="1"/>
    <cellStyle name="表示済みのハイパーリンク" xfId="1430" builtinId="9" hidden="1"/>
    <cellStyle name="表示済みのハイパーリンク" xfId="1432" builtinId="9" hidden="1"/>
    <cellStyle name="表示済みのハイパーリンク" xfId="1434" builtinId="9" hidden="1"/>
    <cellStyle name="表示済みのハイパーリンク" xfId="1436" builtinId="9" hidden="1"/>
    <cellStyle name="表示済みのハイパーリンク" xfId="1438" builtinId="9" hidden="1"/>
    <cellStyle name="表示済みのハイパーリンク" xfId="1440" builtinId="9" hidden="1"/>
    <cellStyle name="表示済みのハイパーリンク" xfId="1442" builtinId="9" hidden="1"/>
    <cellStyle name="表示済みのハイパーリンク" xfId="1444" builtinId="9" hidden="1"/>
    <cellStyle name="表示済みのハイパーリンク" xfId="1446" builtinId="9" hidden="1"/>
    <cellStyle name="表示済みのハイパーリンク" xfId="1448" builtinId="9" hidden="1"/>
    <cellStyle name="表示済みのハイパーリンク" xfId="1450" builtinId="9" hidden="1"/>
    <cellStyle name="表示済みのハイパーリンク" xfId="1452" builtinId="9" hidden="1"/>
    <cellStyle name="表示済みのハイパーリンク" xfId="1454" builtinId="9" hidden="1"/>
    <cellStyle name="表示済みのハイパーリンク" xfId="1456" builtinId="9" hidden="1"/>
    <cellStyle name="表示済みのハイパーリンク" xfId="1458" builtinId="9" hidden="1"/>
    <cellStyle name="表示済みのハイパーリンク" xfId="1460" builtinId="9" hidden="1"/>
    <cellStyle name="表示済みのハイパーリンク" xfId="1462" builtinId="9" hidden="1"/>
    <cellStyle name="表示済みのハイパーリンク" xfId="1464" builtinId="9" hidden="1"/>
    <cellStyle name="表示済みのハイパーリンク" xfId="1466" builtinId="9" hidden="1"/>
    <cellStyle name="表示済みのハイパーリンク" xfId="1468" builtinId="9" hidden="1"/>
    <cellStyle name="表示済みのハイパーリンク" xfId="1470" builtinId="9" hidden="1"/>
    <cellStyle name="表示済みのハイパーリンク" xfId="1472" builtinId="9" hidden="1"/>
    <cellStyle name="表示済みのハイパーリンク" xfId="1474" builtinId="9" hidden="1"/>
    <cellStyle name="表示済みのハイパーリンク" xfId="1476" builtinId="9" hidden="1"/>
    <cellStyle name="表示済みのハイパーリンク" xfId="1478" builtinId="9" hidden="1"/>
    <cellStyle name="表示済みのハイパーリンク" xfId="1480" builtinId="9" hidden="1"/>
    <cellStyle name="表示済みのハイパーリンク" xfId="1482" builtinId="9" hidden="1"/>
    <cellStyle name="表示済みのハイパーリンク" xfId="1484" builtinId="9" hidden="1"/>
    <cellStyle name="表示済みのハイパーリンク" xfId="1486" builtinId="9" hidden="1"/>
    <cellStyle name="表示済みのハイパーリンク" xfId="1488" builtinId="9" hidden="1"/>
    <cellStyle name="表示済みのハイパーリンク" xfId="1490" builtinId="9" hidden="1"/>
    <cellStyle name="表示済みのハイパーリンク" xfId="1492" builtinId="9" hidden="1"/>
    <cellStyle name="表示済みのハイパーリンク" xfId="1494" builtinId="9" hidden="1"/>
    <cellStyle name="表示済みのハイパーリンク" xfId="1496" builtinId="9" hidden="1"/>
    <cellStyle name="表示済みのハイパーリンク" xfId="1498" builtinId="9" hidden="1"/>
    <cellStyle name="表示済みのハイパーリンク" xfId="1500" builtinId="9" hidden="1"/>
    <cellStyle name="表示済みのハイパーリンク" xfId="1502" builtinId="9" hidden="1"/>
    <cellStyle name="表示済みのハイパーリンク" xfId="1504" builtinId="9" hidden="1"/>
    <cellStyle name="表示済みのハイパーリンク" xfId="1506" builtinId="9" hidden="1"/>
    <cellStyle name="表示済みのハイパーリンク" xfId="1508" builtinId="9" hidden="1"/>
    <cellStyle name="表示済みのハイパーリンク" xfId="1510" builtinId="9" hidden="1"/>
    <cellStyle name="表示済みのハイパーリンク" xfId="1512" builtinId="9" hidden="1"/>
    <cellStyle name="表示済みのハイパーリンク" xfId="1514" builtinId="9" hidden="1"/>
    <cellStyle name="表示済みのハイパーリンク" xfId="1516" builtinId="9" hidden="1"/>
    <cellStyle name="表示済みのハイパーリンク" xfId="1518" builtinId="9" hidden="1"/>
    <cellStyle name="表示済みのハイパーリンク" xfId="1520" builtinId="9" hidden="1"/>
    <cellStyle name="表示済みのハイパーリンク" xfId="1522" builtinId="9" hidden="1"/>
    <cellStyle name="表示済みのハイパーリンク" xfId="1524" builtinId="9" hidden="1"/>
    <cellStyle name="表示済みのハイパーリンク" xfId="1526" builtinId="9" hidden="1"/>
    <cellStyle name="表示済みのハイパーリンク" xfId="1528" builtinId="9" hidden="1"/>
    <cellStyle name="表示済みのハイパーリンク" xfId="1530" builtinId="9" hidden="1"/>
    <cellStyle name="表示済みのハイパーリンク" xfId="1532" builtinId="9" hidden="1"/>
    <cellStyle name="表示済みのハイパーリンク" xfId="1534" builtinId="9" hidden="1"/>
    <cellStyle name="表示済みのハイパーリンク" xfId="1536" builtinId="9" hidden="1"/>
    <cellStyle name="表示済みのハイパーリンク" xfId="1538" builtinId="9" hidden="1"/>
    <cellStyle name="表示済みのハイパーリンク" xfId="1540" builtinId="9" hidden="1"/>
    <cellStyle name="表示済みのハイパーリンク" xfId="1542" builtinId="9" hidden="1"/>
    <cellStyle name="表示済みのハイパーリンク" xfId="1544" builtinId="9" hidden="1"/>
    <cellStyle name="表示済みのハイパーリンク" xfId="1546" builtinId="9" hidden="1"/>
    <cellStyle name="表示済みのハイパーリンク" xfId="1548" builtinId="9" hidden="1"/>
    <cellStyle name="表示済みのハイパーリンク" xfId="1550" builtinId="9" hidden="1"/>
    <cellStyle name="表示済みのハイパーリンク" xfId="1552" builtinId="9" hidden="1"/>
    <cellStyle name="表示済みのハイパーリンク" xfId="1554" builtinId="9" hidden="1"/>
    <cellStyle name="表示済みのハイパーリンク" xfId="1556" builtinId="9" hidden="1"/>
    <cellStyle name="表示済みのハイパーリンク" xfId="1558" builtinId="9" hidden="1"/>
    <cellStyle name="表示済みのハイパーリンク" xfId="1560" builtinId="9" hidden="1"/>
    <cellStyle name="表示済みのハイパーリンク" xfId="1562" builtinId="9" hidden="1"/>
    <cellStyle name="表示済みのハイパーリンク" xfId="1564" builtinId="9" hidden="1"/>
    <cellStyle name="表示済みのハイパーリンク" xfId="1566" builtinId="9" hidden="1"/>
    <cellStyle name="表示済みのハイパーリンク" xfId="1568" builtinId="9" hidden="1"/>
    <cellStyle name="表示済みのハイパーリンク" xfId="1570" builtinId="9" hidden="1"/>
    <cellStyle name="表示済みのハイパーリンク" xfId="1572" builtinId="9" hidden="1"/>
    <cellStyle name="表示済みのハイパーリンク" xfId="1574" builtinId="9" hidden="1"/>
    <cellStyle name="表示済みのハイパーリンク" xfId="1576" builtinId="9" hidden="1"/>
    <cellStyle name="表示済みのハイパーリンク" xfId="1578" builtinId="9" hidden="1"/>
    <cellStyle name="表示済みのハイパーリンク" xfId="1580" builtinId="9" hidden="1"/>
    <cellStyle name="表示済みのハイパーリンク" xfId="1582" builtinId="9" hidden="1"/>
    <cellStyle name="表示済みのハイパーリンク" xfId="1584" builtinId="9" hidden="1"/>
    <cellStyle name="表示済みのハイパーリンク" xfId="1586" builtinId="9" hidden="1"/>
    <cellStyle name="表示済みのハイパーリンク" xfId="1588" builtinId="9" hidden="1"/>
    <cellStyle name="表示済みのハイパーリンク" xfId="1590" builtinId="9" hidden="1"/>
    <cellStyle name="表示済みのハイパーリンク" xfId="1592" builtinId="9" hidden="1"/>
    <cellStyle name="表示済みのハイパーリンク" xfId="1594" builtinId="9" hidden="1"/>
    <cellStyle name="表示済みのハイパーリンク" xfId="1596" builtinId="9" hidden="1"/>
    <cellStyle name="表示済みのハイパーリンク" xfId="1598" builtinId="9" hidden="1"/>
    <cellStyle name="表示済みのハイパーリンク" xfId="1600" builtinId="9" hidden="1"/>
    <cellStyle name="表示済みのハイパーリンク" xfId="1602" builtinId="9" hidden="1"/>
    <cellStyle name="表示済みのハイパーリンク" xfId="1604" builtinId="9" hidden="1"/>
    <cellStyle name="表示済みのハイパーリンク" xfId="1606" builtinId="9" hidden="1"/>
    <cellStyle name="表示済みのハイパーリンク" xfId="1608" builtinId="9" hidden="1"/>
    <cellStyle name="表示済みのハイパーリンク" xfId="1610" builtinId="9" hidden="1"/>
    <cellStyle name="表示済みのハイパーリンク" xfId="1612" builtinId="9" hidden="1"/>
    <cellStyle name="表示済みのハイパーリンク" xfId="1614" builtinId="9" hidden="1"/>
    <cellStyle name="表示済みのハイパーリンク" xfId="1616" builtinId="9" hidden="1"/>
    <cellStyle name="表示済みのハイパーリンク" xfId="1618" builtinId="9" hidden="1"/>
    <cellStyle name="表示済みのハイパーリンク" xfId="1620" builtinId="9" hidden="1"/>
    <cellStyle name="表示済みのハイパーリンク" xfId="1622" builtinId="9" hidden="1"/>
    <cellStyle name="表示済みのハイパーリンク" xfId="1624" builtinId="9" hidden="1"/>
    <cellStyle name="表示済みのハイパーリンク" xfId="1626" builtinId="9" hidden="1"/>
    <cellStyle name="表示済みのハイパーリンク" xfId="1628" builtinId="9" hidden="1"/>
    <cellStyle name="表示済みのハイパーリンク" xfId="1630" builtinId="9" hidden="1"/>
    <cellStyle name="表示済みのハイパーリンク" xfId="1632" builtinId="9" hidden="1"/>
    <cellStyle name="表示済みのハイパーリンク" xfId="1634" builtinId="9" hidden="1"/>
    <cellStyle name="表示済みのハイパーリンク" xfId="1636" builtinId="9" hidden="1"/>
    <cellStyle name="表示済みのハイパーリンク" xfId="1638" builtinId="9" hidden="1"/>
    <cellStyle name="表示済みのハイパーリンク" xfId="1640" builtinId="9" hidden="1"/>
    <cellStyle name="表示済みのハイパーリンク" xfId="1642" builtinId="9" hidden="1"/>
    <cellStyle name="表示済みのハイパーリンク" xfId="1644" builtinId="9" hidden="1"/>
    <cellStyle name="表示済みのハイパーリンク" xfId="1646" builtinId="9" hidden="1"/>
    <cellStyle name="表示済みのハイパーリンク" xfId="1648" builtinId="9" hidden="1"/>
    <cellStyle name="表示済みのハイパーリンク" xfId="1650" builtinId="9" hidden="1"/>
    <cellStyle name="表示済みのハイパーリンク" xfId="1652" builtinId="9" hidden="1"/>
    <cellStyle name="表示済みのハイパーリンク" xfId="1654" builtinId="9" hidden="1"/>
    <cellStyle name="表示済みのハイパーリンク" xfId="1656" builtinId="9" hidden="1"/>
    <cellStyle name="表示済みのハイパーリンク" xfId="1658" builtinId="9" hidden="1"/>
    <cellStyle name="表示済みのハイパーリンク" xfId="1660" builtinId="9" hidden="1"/>
    <cellStyle name="表示済みのハイパーリンク" xfId="1662" builtinId="9" hidden="1"/>
    <cellStyle name="表示済みのハイパーリンク" xfId="1664" builtinId="9" hidden="1"/>
    <cellStyle name="表示済みのハイパーリンク" xfId="1666" builtinId="9" hidden="1"/>
    <cellStyle name="表示済みのハイパーリンク" xfId="1668" builtinId="9" hidden="1"/>
    <cellStyle name="表示済みのハイパーリンク" xfId="1670" builtinId="9" hidden="1"/>
    <cellStyle name="表示済みのハイパーリンク" xfId="1672" builtinId="9" hidden="1"/>
    <cellStyle name="表示済みのハイパーリンク" xfId="1674" builtinId="9" hidden="1"/>
    <cellStyle name="表示済みのハイパーリンク" xfId="1676" builtinId="9" hidden="1"/>
    <cellStyle name="表示済みのハイパーリンク" xfId="1678" builtinId="9" hidden="1"/>
    <cellStyle name="表示済みのハイパーリンク" xfId="1680" builtinId="9" hidden="1"/>
    <cellStyle name="表示済みのハイパーリンク" xfId="1682" builtinId="9" hidden="1"/>
    <cellStyle name="表示済みのハイパーリンク" xfId="1684" builtinId="9" hidden="1"/>
    <cellStyle name="表示済みのハイパーリンク" xfId="1686" builtinId="9" hidden="1"/>
    <cellStyle name="表示済みのハイパーリンク" xfId="1688" builtinId="9" hidden="1"/>
    <cellStyle name="表示済みのハイパーリンク" xfId="1690" builtinId="9" hidden="1"/>
    <cellStyle name="表示済みのハイパーリンク" xfId="1692" builtinId="9" hidden="1"/>
    <cellStyle name="表示済みのハイパーリンク" xfId="1694" builtinId="9" hidden="1"/>
    <cellStyle name="表示済みのハイパーリンク" xfId="1696" builtinId="9" hidden="1"/>
    <cellStyle name="表示済みのハイパーリンク" xfId="1698" builtinId="9" hidden="1"/>
    <cellStyle name="表示済みのハイパーリンク" xfId="1700" builtinId="9" hidden="1"/>
    <cellStyle name="表示済みのハイパーリンク" xfId="1702" builtinId="9" hidden="1"/>
    <cellStyle name="表示済みのハイパーリンク" xfId="1704" builtinId="9" hidden="1"/>
    <cellStyle name="表示済みのハイパーリンク" xfId="1706" builtinId="9" hidden="1"/>
    <cellStyle name="表示済みのハイパーリンク" xfId="1708" builtinId="9" hidden="1"/>
    <cellStyle name="表示済みのハイパーリンク" xfId="1710" builtinId="9" hidden="1"/>
    <cellStyle name="表示済みのハイパーリンク" xfId="1712" builtinId="9" hidden="1"/>
    <cellStyle name="表示済みのハイパーリンク" xfId="1714" builtinId="9" hidden="1"/>
    <cellStyle name="表示済みのハイパーリンク" xfId="1716" builtinId="9" hidden="1"/>
    <cellStyle name="表示済みのハイパーリンク" xfId="1718" builtinId="9" hidden="1"/>
    <cellStyle name="表示済みのハイパーリンク" xfId="1720" builtinId="9" hidden="1"/>
    <cellStyle name="表示済みのハイパーリンク" xfId="1722" builtinId="9" hidden="1"/>
    <cellStyle name="表示済みのハイパーリンク" xfId="1724" builtinId="9" hidden="1"/>
    <cellStyle name="表示済みのハイパーリンク" xfId="1726" builtinId="9" hidden="1"/>
    <cellStyle name="表示済みのハイパーリンク" xfId="1728" builtinId="9" hidden="1"/>
    <cellStyle name="表示済みのハイパーリンク" xfId="1730" builtinId="9" hidden="1"/>
    <cellStyle name="表示済みのハイパーリンク" xfId="1732" builtinId="9" hidden="1"/>
    <cellStyle name="表示済みのハイパーリンク" xfId="1734" builtinId="9" hidden="1"/>
    <cellStyle name="表示済みのハイパーリンク" xfId="1736" builtinId="9" hidden="1"/>
    <cellStyle name="表示済みのハイパーリンク" xfId="1738" builtinId="9" hidden="1"/>
    <cellStyle name="表示済みのハイパーリンク" xfId="1740" builtinId="9" hidden="1"/>
    <cellStyle name="表示済みのハイパーリンク" xfId="1742" builtinId="9" hidden="1"/>
    <cellStyle name="表示済みのハイパーリンク" xfId="1744" builtinId="9" hidden="1"/>
    <cellStyle name="表示済みのハイパーリンク" xfId="1746" builtinId="9" hidden="1"/>
    <cellStyle name="表示済みのハイパーリンク" xfId="1748" builtinId="9" hidden="1"/>
    <cellStyle name="表示済みのハイパーリンク" xfId="1750" builtinId="9" hidden="1"/>
    <cellStyle name="表示済みのハイパーリンク" xfId="1752" builtinId="9" hidden="1"/>
    <cellStyle name="表示済みのハイパーリンク" xfId="1754" builtinId="9" hidden="1"/>
    <cellStyle name="表示済みのハイパーリンク" xfId="1756" builtinId="9" hidden="1"/>
    <cellStyle name="表示済みのハイパーリンク" xfId="1758" builtinId="9" hidden="1"/>
    <cellStyle name="表示済みのハイパーリンク" xfId="1760" builtinId="9" hidden="1"/>
    <cellStyle name="表示済みのハイパーリンク" xfId="1762" builtinId="9" hidden="1"/>
    <cellStyle name="表示済みのハイパーリンク" xfId="1764" builtinId="9" hidden="1"/>
    <cellStyle name="表示済みのハイパーリンク" xfId="1766" builtinId="9" hidden="1"/>
    <cellStyle name="表示済みのハイパーリンク" xfId="1768" builtinId="9" hidden="1"/>
    <cellStyle name="表示済みのハイパーリンク" xfId="1770" builtinId="9" hidden="1"/>
    <cellStyle name="表示済みのハイパーリンク" xfId="1772" builtinId="9" hidden="1"/>
    <cellStyle name="表示済みのハイパーリンク" xfId="1774" builtinId="9" hidden="1"/>
    <cellStyle name="表示済みのハイパーリンク" xfId="1776" builtinId="9" hidden="1"/>
    <cellStyle name="表示済みのハイパーリンク" xfId="1778" builtinId="9" hidden="1"/>
    <cellStyle name="表示済みのハイパーリンク" xfId="1780" builtinId="9" hidden="1"/>
    <cellStyle name="表示済みのハイパーリンク" xfId="1782" builtinId="9" hidden="1"/>
    <cellStyle name="表示済みのハイパーリンク" xfId="1784" builtinId="9" hidden="1"/>
    <cellStyle name="表示済みのハイパーリンク" xfId="1786" builtinId="9" hidden="1"/>
    <cellStyle name="表示済みのハイパーリンク" xfId="1788" builtinId="9" hidden="1"/>
    <cellStyle name="表示済みのハイパーリンク" xfId="1790" builtinId="9" hidden="1"/>
    <cellStyle name="表示済みのハイパーリンク" xfId="1792" builtinId="9" hidden="1"/>
    <cellStyle name="表示済みのハイパーリンク" xfId="1794" builtinId="9" hidden="1"/>
    <cellStyle name="表示済みのハイパーリンク" xfId="1796" builtinId="9" hidden="1"/>
    <cellStyle name="表示済みのハイパーリンク" xfId="1798" builtinId="9" hidden="1"/>
    <cellStyle name="表示済みのハイパーリンク" xfId="1800" builtinId="9" hidden="1"/>
    <cellStyle name="表示済みのハイパーリンク" xfId="1802" builtinId="9" hidden="1"/>
    <cellStyle name="表示済みのハイパーリンク" xfId="1804" builtinId="9" hidden="1"/>
    <cellStyle name="表示済みのハイパーリンク" xfId="1806" builtinId="9" hidden="1"/>
    <cellStyle name="表示済みのハイパーリンク" xfId="1808" builtinId="9" hidden="1"/>
    <cellStyle name="表示済みのハイパーリンク" xfId="1810" builtinId="9" hidden="1"/>
    <cellStyle name="表示済みのハイパーリンク" xfId="1812" builtinId="9" hidden="1"/>
    <cellStyle name="表示済みのハイパーリンク" xfId="1814" builtinId="9" hidden="1"/>
    <cellStyle name="表示済みのハイパーリンク" xfId="1816" builtinId="9" hidden="1"/>
    <cellStyle name="表示済みのハイパーリンク" xfId="1818" builtinId="9" hidden="1"/>
    <cellStyle name="表示済みのハイパーリンク" xfId="1820" builtinId="9" hidden="1"/>
    <cellStyle name="表示済みのハイパーリンク" xfId="1822" builtinId="9" hidden="1"/>
    <cellStyle name="表示済みのハイパーリンク" xfId="1824" builtinId="9" hidden="1"/>
    <cellStyle name="表示済みのハイパーリンク" xfId="1826" builtinId="9" hidden="1"/>
    <cellStyle name="表示済みのハイパーリンク" xfId="1828" builtinId="9" hidden="1"/>
    <cellStyle name="表示済みのハイパーリンク" xfId="1830" builtinId="9" hidden="1"/>
    <cellStyle name="表示済みのハイパーリンク" xfId="1832" builtinId="9" hidden="1"/>
    <cellStyle name="表示済みのハイパーリンク" xfId="1834" builtinId="9" hidden="1"/>
    <cellStyle name="表示済みのハイパーリンク" xfId="1836" builtinId="9" hidden="1"/>
    <cellStyle name="表示済みのハイパーリンク" xfId="1838" builtinId="9" hidden="1"/>
    <cellStyle name="表示済みのハイパーリンク" xfId="1840" builtinId="9" hidden="1"/>
    <cellStyle name="表示済みのハイパーリンク" xfId="1842" builtinId="9" hidden="1"/>
    <cellStyle name="表示済みのハイパーリンク" xfId="1844" builtinId="9" hidden="1"/>
    <cellStyle name="表示済みのハイパーリンク" xfId="1846" builtinId="9" hidden="1"/>
    <cellStyle name="表示済みのハイパーリンク" xfId="1848" builtinId="9" hidden="1"/>
    <cellStyle name="表示済みのハイパーリンク" xfId="1850" builtinId="9" hidden="1"/>
    <cellStyle name="表示済みのハイパーリンク" xfId="1852" builtinId="9" hidden="1"/>
    <cellStyle name="表示済みのハイパーリンク" xfId="1854" builtinId="9" hidden="1"/>
    <cellStyle name="表示済みのハイパーリンク" xfId="1856" builtinId="9" hidden="1"/>
    <cellStyle name="表示済みのハイパーリンク" xfId="1858" builtinId="9" hidden="1"/>
    <cellStyle name="表示済みのハイパーリンク" xfId="1860" builtinId="9" hidden="1"/>
    <cellStyle name="表示済みのハイパーリンク" xfId="1862" builtinId="9" hidden="1"/>
    <cellStyle name="表示済みのハイパーリンク" xfId="1864" builtinId="9" hidden="1"/>
    <cellStyle name="表示済みのハイパーリンク" xfId="1866" builtinId="9" hidden="1"/>
    <cellStyle name="表示済みのハイパーリンク" xfId="1868" builtinId="9" hidden="1"/>
    <cellStyle name="表示済みのハイパーリンク" xfId="1870" builtinId="9" hidden="1"/>
    <cellStyle name="表示済みのハイパーリンク" xfId="1872" builtinId="9" hidden="1"/>
    <cellStyle name="表示済みのハイパーリンク" xfId="1874" builtinId="9" hidden="1"/>
    <cellStyle name="表示済みのハイパーリンク" xfId="1876" builtinId="9" hidden="1"/>
    <cellStyle name="表示済みのハイパーリンク" xfId="1878" builtinId="9" hidden="1"/>
    <cellStyle name="表示済みのハイパーリンク" xfId="1880" builtinId="9" hidden="1"/>
    <cellStyle name="表示済みのハイパーリンク" xfId="1882" builtinId="9" hidden="1"/>
    <cellStyle name="表示済みのハイパーリンク" xfId="1884" builtinId="9" hidden="1"/>
    <cellStyle name="表示済みのハイパーリンク" xfId="1886" builtinId="9" hidden="1"/>
    <cellStyle name="表示済みのハイパーリンク" xfId="1888" builtinId="9" hidden="1"/>
    <cellStyle name="表示済みのハイパーリンク" xfId="1890" builtinId="9" hidden="1"/>
    <cellStyle name="表示済みのハイパーリンク" xfId="1892" builtinId="9" hidden="1"/>
    <cellStyle name="表示済みのハイパーリンク" xfId="1894" builtinId="9" hidden="1"/>
    <cellStyle name="表示済みのハイパーリンク" xfId="1896" builtinId="9" hidden="1"/>
    <cellStyle name="表示済みのハイパーリンク" xfId="1898" builtinId="9" hidden="1"/>
    <cellStyle name="表示済みのハイパーリンク" xfId="1900" builtinId="9" hidden="1"/>
    <cellStyle name="表示済みのハイパーリンク" xfId="1902" builtinId="9" hidden="1"/>
    <cellStyle name="表示済みのハイパーリンク" xfId="1904" builtinId="9" hidden="1"/>
    <cellStyle name="表示済みのハイパーリンク" xfId="1906" builtinId="9" hidden="1"/>
    <cellStyle name="表示済みのハイパーリンク" xfId="1908" builtinId="9" hidden="1"/>
    <cellStyle name="表示済みのハイパーリンク" xfId="1910" builtinId="9" hidden="1"/>
    <cellStyle name="表示済みのハイパーリンク" xfId="1912" builtinId="9" hidden="1"/>
    <cellStyle name="表示済みのハイパーリンク" xfId="1914" builtinId="9" hidden="1"/>
    <cellStyle name="表示済みのハイパーリンク" xfId="1916" builtinId="9" hidden="1"/>
    <cellStyle name="表示済みのハイパーリンク" xfId="1918" builtinId="9" hidden="1"/>
    <cellStyle name="表示済みのハイパーリンク" xfId="1920" builtinId="9" hidden="1"/>
    <cellStyle name="表示済みのハイパーリンク" xfId="1922" builtinId="9" hidden="1"/>
    <cellStyle name="表示済みのハイパーリンク" xfId="1924" builtinId="9" hidden="1"/>
    <cellStyle name="表示済みのハイパーリンク" xfId="1926" builtinId="9" hidden="1"/>
    <cellStyle name="表示済みのハイパーリンク" xfId="1928" builtinId="9" hidden="1"/>
    <cellStyle name="表示済みのハイパーリンク" xfId="1930" builtinId="9" hidden="1"/>
    <cellStyle name="表示済みのハイパーリンク" xfId="1932" builtinId="9" hidden="1"/>
    <cellStyle name="表示済みのハイパーリンク" xfId="1934" builtinId="9" hidden="1"/>
    <cellStyle name="表示済みのハイパーリンク" xfId="1936" builtinId="9" hidden="1"/>
    <cellStyle name="表示済みのハイパーリンク" xfId="1938" builtinId="9" hidden="1"/>
    <cellStyle name="表示済みのハイパーリンク" xfId="1940" builtinId="9" hidden="1"/>
    <cellStyle name="表示済みのハイパーリンク" xfId="1942" builtinId="9" hidden="1"/>
    <cellStyle name="表示済みのハイパーリンク" xfId="1944" builtinId="9" hidden="1"/>
    <cellStyle name="表示済みのハイパーリンク" xfId="1946" builtinId="9" hidden="1"/>
    <cellStyle name="表示済みのハイパーリンク" xfId="1948" builtinId="9" hidden="1"/>
    <cellStyle name="表示済みのハイパーリンク" xfId="1950" builtinId="9" hidden="1"/>
    <cellStyle name="表示済みのハイパーリンク" xfId="1952" builtinId="9" hidden="1"/>
    <cellStyle name="表示済みのハイパーリンク" xfId="1954" builtinId="9" hidden="1"/>
    <cellStyle name="表示済みのハイパーリンク" xfId="1956" builtinId="9" hidden="1"/>
    <cellStyle name="表示済みのハイパーリンク" xfId="1958" builtinId="9" hidden="1"/>
    <cellStyle name="表示済みのハイパーリンク" xfId="1960" builtinId="9" hidden="1"/>
    <cellStyle name="表示済みのハイパーリンク" xfId="1962" builtinId="9" hidden="1"/>
    <cellStyle name="表示済みのハイパーリンク" xfId="1964" builtinId="9" hidden="1"/>
    <cellStyle name="表示済みのハイパーリンク" xfId="1966" builtinId="9" hidden="1"/>
    <cellStyle name="表示済みのハイパーリンク" xfId="1968" builtinId="9" hidden="1"/>
    <cellStyle name="表示済みのハイパーリンク" xfId="1970" builtinId="9" hidden="1"/>
    <cellStyle name="表示済みのハイパーリンク" xfId="1972" builtinId="9" hidden="1"/>
    <cellStyle name="表示済みのハイパーリンク" xfId="1974" builtinId="9" hidden="1"/>
    <cellStyle name="表示済みのハイパーリンク" xfId="1976" builtinId="9" hidden="1"/>
    <cellStyle name="表示済みのハイパーリンク" xfId="1978" builtinId="9" hidden="1"/>
    <cellStyle name="表示済みのハイパーリンク" xfId="1980" builtinId="9" hidden="1"/>
    <cellStyle name="表示済みのハイパーリンク" xfId="1982" builtinId="9" hidden="1"/>
    <cellStyle name="表示済みのハイパーリンク" xfId="1984" builtinId="9" hidden="1"/>
    <cellStyle name="表示済みのハイパーリンク" xfId="1986" builtinId="9" hidden="1"/>
    <cellStyle name="表示済みのハイパーリンク" xfId="1988" builtinId="9" hidden="1"/>
    <cellStyle name="表示済みのハイパーリンク" xfId="1990" builtinId="9" hidden="1"/>
    <cellStyle name="表示済みのハイパーリンク" xfId="1992" builtinId="9" hidden="1"/>
    <cellStyle name="表示済みのハイパーリンク" xfId="1994" builtinId="9" hidden="1"/>
    <cellStyle name="表示済みのハイパーリンク" xfId="1996" builtinId="9" hidden="1"/>
    <cellStyle name="表示済みのハイパーリンク" xfId="1998" builtinId="9" hidden="1"/>
    <cellStyle name="表示済みのハイパーリンク" xfId="2000" builtinId="9" hidden="1"/>
    <cellStyle name="表示済みのハイパーリンク" xfId="2002" builtinId="9" hidden="1"/>
    <cellStyle name="表示済みのハイパーリンク" xfId="2004" builtinId="9" hidden="1"/>
    <cellStyle name="表示済みのハイパーリンク" xfId="2006" builtinId="9" hidden="1"/>
    <cellStyle name="表示済みのハイパーリンク" xfId="2008" builtinId="9" hidden="1"/>
    <cellStyle name="表示済みのハイパーリンク" xfId="2010" builtinId="9" hidden="1"/>
    <cellStyle name="表示済みのハイパーリンク" xfId="2012" builtinId="9" hidden="1"/>
    <cellStyle name="表示済みのハイパーリンク" xfId="2014" builtinId="9" hidden="1"/>
    <cellStyle name="表示済みのハイパーリンク" xfId="2016" builtinId="9" hidden="1"/>
    <cellStyle name="表示済みのハイパーリンク" xfId="2018" builtinId="9" hidden="1"/>
    <cellStyle name="表示済みのハイパーリンク" xfId="2020" builtinId="9" hidden="1"/>
    <cellStyle name="表示済みのハイパーリンク" xfId="2022" builtinId="9" hidden="1"/>
    <cellStyle name="表示済みのハイパーリンク" xfId="2024" builtinId="9" hidden="1"/>
    <cellStyle name="表示済みのハイパーリンク" xfId="2026" builtinId="9" hidden="1"/>
    <cellStyle name="表示済みのハイパーリンク" xfId="2028" builtinId="9" hidden="1"/>
    <cellStyle name="表示済みのハイパーリンク" xfId="2030" builtinId="9" hidden="1"/>
    <cellStyle name="表示済みのハイパーリンク" xfId="2032" builtinId="9" hidden="1"/>
    <cellStyle name="表示済みのハイパーリンク" xfId="2034" builtinId="9" hidden="1"/>
    <cellStyle name="表示済みのハイパーリンク" xfId="2036" builtinId="9" hidden="1"/>
    <cellStyle name="表示済みのハイパーリンク" xfId="2038" builtinId="9" hidden="1"/>
    <cellStyle name="表示済みのハイパーリンク" xfId="2040" builtinId="9" hidden="1"/>
    <cellStyle name="表示済みのハイパーリンク" xfId="2042" builtinId="9" hidden="1"/>
    <cellStyle name="表示済みのハイパーリンク" xfId="2044" builtinId="9" hidden="1"/>
    <cellStyle name="表示済みのハイパーリンク" xfId="2046" builtinId="9" hidden="1"/>
    <cellStyle name="表示済みのハイパーリンク" xfId="2048" builtinId="9" hidden="1"/>
    <cellStyle name="表示済みのハイパーリンク" xfId="2050" builtinId="9" hidden="1"/>
    <cellStyle name="表示済みのハイパーリンク" xfId="2052" builtinId="9" hidden="1"/>
    <cellStyle name="表示済みのハイパーリンク" xfId="2054" builtinId="9" hidden="1"/>
    <cellStyle name="表示済みのハイパーリンク" xfId="2056" builtinId="9" hidden="1"/>
    <cellStyle name="表示済みのハイパーリンク" xfId="2058" builtinId="9" hidden="1"/>
    <cellStyle name="表示済みのハイパーリンク" xfId="2060" builtinId="9" hidden="1"/>
    <cellStyle name="表示済みのハイパーリンク" xfId="2062" builtinId="9" hidden="1"/>
    <cellStyle name="表示済みのハイパーリンク" xfId="2064" builtinId="9" hidden="1"/>
    <cellStyle name="表示済みのハイパーリンク" xfId="2066" builtinId="9" hidden="1"/>
    <cellStyle name="表示済みのハイパーリンク" xfId="2068" builtinId="9" hidden="1"/>
    <cellStyle name="表示済みのハイパーリンク" xfId="2070" builtinId="9" hidden="1"/>
    <cellStyle name="表示済みのハイパーリンク" xfId="2072" builtinId="9" hidden="1"/>
    <cellStyle name="表示済みのハイパーリンク" xfId="2074" builtinId="9" hidden="1"/>
    <cellStyle name="表示済みのハイパーリンク" xfId="2076" builtinId="9" hidden="1"/>
    <cellStyle name="表示済みのハイパーリンク" xfId="2078" builtinId="9" hidden="1"/>
    <cellStyle name="表示済みのハイパーリンク" xfId="2080" builtinId="9" hidden="1"/>
    <cellStyle name="表示済みのハイパーリンク" xfId="2082" builtinId="9" hidden="1"/>
    <cellStyle name="表示済みのハイパーリンク" xfId="2084" builtinId="9" hidden="1"/>
    <cellStyle name="表示済みのハイパーリンク" xfId="2086" builtinId="9" hidden="1"/>
    <cellStyle name="表示済みのハイパーリンク" xfId="2088" builtinId="9" hidden="1"/>
    <cellStyle name="表示済みのハイパーリンク" xfId="2090" builtinId="9" hidden="1"/>
    <cellStyle name="表示済みのハイパーリンク" xfId="2092" builtinId="9" hidden="1"/>
    <cellStyle name="表示済みのハイパーリンク" xfId="2094" builtinId="9" hidden="1"/>
    <cellStyle name="表示済みのハイパーリンク" xfId="2096" builtinId="9" hidden="1"/>
    <cellStyle name="表示済みのハイパーリンク" xfId="2098" builtinId="9" hidden="1"/>
    <cellStyle name="表示済みのハイパーリンク" xfId="2100" builtinId="9" hidden="1"/>
    <cellStyle name="表示済みのハイパーリンク" xfId="2102" builtinId="9" hidden="1"/>
    <cellStyle name="表示済みのハイパーリンク" xfId="2104" builtinId="9" hidden="1"/>
    <cellStyle name="表示済みのハイパーリンク" xfId="2106" builtinId="9" hidden="1"/>
    <cellStyle name="表示済みのハイパーリンク" xfId="2108" builtinId="9" hidden="1"/>
    <cellStyle name="表示済みのハイパーリンク" xfId="2110" builtinId="9" hidden="1"/>
    <cellStyle name="表示済みのハイパーリンク" xfId="2112" builtinId="9" hidden="1"/>
    <cellStyle name="表示済みのハイパーリンク" xfId="2114" builtinId="9" hidden="1"/>
    <cellStyle name="表示済みのハイパーリンク" xfId="2116" builtinId="9" hidden="1"/>
    <cellStyle name="表示済みのハイパーリンク" xfId="2118" builtinId="9" hidden="1"/>
    <cellStyle name="表示済みのハイパーリンク" xfId="2120" builtinId="9" hidden="1"/>
    <cellStyle name="表示済みのハイパーリンク" xfId="2122" builtinId="9" hidden="1"/>
    <cellStyle name="表示済みのハイパーリンク" xfId="2124" builtinId="9" hidden="1"/>
    <cellStyle name="表示済みのハイパーリンク" xfId="2126" builtinId="9" hidden="1"/>
    <cellStyle name="表示済みのハイパーリンク" xfId="2128" builtinId="9" hidden="1"/>
    <cellStyle name="表示済みのハイパーリンク" xfId="2130" builtinId="9" hidden="1"/>
    <cellStyle name="表示済みのハイパーリンク" xfId="2132" builtinId="9" hidden="1"/>
    <cellStyle name="表示済みのハイパーリンク" xfId="2134" builtinId="9" hidden="1"/>
    <cellStyle name="表示済みのハイパーリンク" xfId="2136" builtinId="9" hidden="1"/>
    <cellStyle name="表示済みのハイパーリンク" xfId="2138" builtinId="9" hidden="1"/>
    <cellStyle name="表示済みのハイパーリンク" xfId="2140" builtinId="9" hidden="1"/>
    <cellStyle name="表示済みのハイパーリンク" xfId="2142" builtinId="9" hidden="1"/>
    <cellStyle name="表示済みのハイパーリンク" xfId="2144" builtinId="9" hidden="1"/>
    <cellStyle name="表示済みのハイパーリンク" xfId="2146" builtinId="9" hidden="1"/>
    <cellStyle name="表示済みのハイパーリンク" xfId="2148" builtinId="9" hidden="1"/>
    <cellStyle name="表示済みのハイパーリンク" xfId="2150" builtinId="9" hidden="1"/>
    <cellStyle name="表示済みのハイパーリンク" xfId="2152" builtinId="9" hidden="1"/>
    <cellStyle name="表示済みのハイパーリンク" xfId="2154" builtinId="9" hidden="1"/>
    <cellStyle name="表示済みのハイパーリンク" xfId="2156" builtinId="9" hidden="1"/>
    <cellStyle name="表示済みのハイパーリンク" xfId="2158" builtinId="9" hidden="1"/>
    <cellStyle name="表示済みのハイパーリンク" xfId="2160" builtinId="9" hidden="1"/>
    <cellStyle name="表示済みのハイパーリンク" xfId="2162" builtinId="9" hidden="1"/>
    <cellStyle name="表示済みのハイパーリンク" xfId="2164" builtinId="9" hidden="1"/>
    <cellStyle name="表示済みのハイパーリンク" xfId="2166" builtinId="9" hidden="1"/>
    <cellStyle name="表示済みのハイパーリンク" xfId="2168" builtinId="9" hidden="1"/>
    <cellStyle name="表示済みのハイパーリンク" xfId="2170" builtinId="9" hidden="1"/>
    <cellStyle name="表示済みのハイパーリンク" xfId="2172" builtinId="9" hidden="1"/>
    <cellStyle name="表示済みのハイパーリンク" xfId="2174" builtinId="9" hidden="1"/>
    <cellStyle name="表示済みのハイパーリンク" xfId="2176" builtinId="9" hidden="1"/>
    <cellStyle name="表示済みのハイパーリンク" xfId="2178" builtinId="9" hidden="1"/>
    <cellStyle name="表示済みのハイパーリンク" xfId="2180" builtinId="9" hidden="1"/>
    <cellStyle name="表示済みのハイパーリンク" xfId="2182" builtinId="9" hidden="1"/>
    <cellStyle name="表示済みのハイパーリンク" xfId="2184" builtinId="9" hidden="1"/>
    <cellStyle name="表示済みのハイパーリンク" xfId="2186" builtinId="9" hidden="1"/>
    <cellStyle name="表示済みのハイパーリンク" xfId="2188" builtinId="9" hidden="1"/>
    <cellStyle name="表示済みのハイパーリンク" xfId="2190" builtinId="9" hidden="1"/>
    <cellStyle name="表示済みのハイパーリンク" xfId="2192" builtinId="9" hidden="1"/>
    <cellStyle name="表示済みのハイパーリンク" xfId="2194" builtinId="9" hidden="1"/>
    <cellStyle name="表示済みのハイパーリンク" xfId="2196" builtinId="9" hidden="1"/>
    <cellStyle name="表示済みのハイパーリンク" xfId="2198" builtinId="9" hidden="1"/>
    <cellStyle name="表示済みのハイパーリンク" xfId="2200" builtinId="9" hidden="1"/>
    <cellStyle name="表示済みのハイパーリンク" xfId="2202" builtinId="9" hidden="1"/>
    <cellStyle name="表示済みのハイパーリンク" xfId="2204" builtinId="9" hidden="1"/>
    <cellStyle name="表示済みのハイパーリンク" xfId="2206" builtinId="9" hidden="1"/>
    <cellStyle name="表示済みのハイパーリンク" xfId="2208" builtinId="9" hidden="1"/>
    <cellStyle name="表示済みのハイパーリンク" xfId="2210" builtinId="9" hidden="1"/>
    <cellStyle name="表示済みのハイパーリンク" xfId="2212" builtinId="9" hidden="1"/>
    <cellStyle name="表示済みのハイパーリンク" xfId="2214" builtinId="9" hidden="1"/>
    <cellStyle name="表示済みのハイパーリンク" xfId="2216" builtinId="9" hidden="1"/>
    <cellStyle name="表示済みのハイパーリンク" xfId="2218" builtinId="9" hidden="1"/>
    <cellStyle name="表示済みのハイパーリンク" xfId="2220" builtinId="9" hidden="1"/>
    <cellStyle name="表示済みのハイパーリンク" xfId="2222" builtinId="9" hidden="1"/>
    <cellStyle name="表示済みのハイパーリンク" xfId="2224" builtinId="9" hidden="1"/>
    <cellStyle name="表示済みのハイパーリンク" xfId="2226" builtinId="9" hidden="1"/>
    <cellStyle name="表示済みのハイパーリンク" xfId="2228" builtinId="9" hidden="1"/>
    <cellStyle name="表示済みのハイパーリンク" xfId="2230" builtinId="9" hidden="1"/>
    <cellStyle name="表示済みのハイパーリンク" xfId="2232" builtinId="9" hidden="1"/>
    <cellStyle name="表示済みのハイパーリンク" xfId="2234" builtinId="9" hidden="1"/>
    <cellStyle name="表示済みのハイパーリンク" xfId="2236" builtinId="9" hidden="1"/>
    <cellStyle name="表示済みのハイパーリンク" xfId="2238" builtinId="9" hidden="1"/>
    <cellStyle name="表示済みのハイパーリンク" xfId="2240" builtinId="9" hidden="1"/>
    <cellStyle name="表示済みのハイパーリンク" xfId="2242" builtinId="9" hidden="1"/>
    <cellStyle name="表示済みのハイパーリンク" xfId="2244" builtinId="9" hidden="1"/>
    <cellStyle name="表示済みのハイパーリンク" xfId="2246" builtinId="9" hidden="1"/>
    <cellStyle name="表示済みのハイパーリンク" xfId="2248" builtinId="9" hidden="1"/>
    <cellStyle name="表示済みのハイパーリンク" xfId="2250" builtinId="9" hidden="1"/>
    <cellStyle name="表示済みのハイパーリンク" xfId="2252" builtinId="9" hidden="1"/>
    <cellStyle name="表示済みのハイパーリンク" xfId="2254" builtinId="9" hidden="1"/>
    <cellStyle name="表示済みのハイパーリンク" xfId="2256" builtinId="9" hidden="1"/>
    <cellStyle name="表示済みのハイパーリンク" xfId="2258" builtinId="9" hidden="1"/>
    <cellStyle name="表示済みのハイパーリンク" xfId="2260" builtinId="9" hidden="1"/>
    <cellStyle name="表示済みのハイパーリンク" xfId="2262" builtinId="9" hidden="1"/>
    <cellStyle name="表示済みのハイパーリンク" xfId="2264" builtinId="9" hidden="1"/>
    <cellStyle name="表示済みのハイパーリンク" xfId="2266" builtinId="9" hidden="1"/>
    <cellStyle name="表示済みのハイパーリンク" xfId="2268" builtinId="9" hidden="1"/>
    <cellStyle name="表示済みのハイパーリンク" xfId="2270" builtinId="9" hidden="1"/>
    <cellStyle name="表示済みのハイパーリンク" xfId="2272" builtinId="9" hidden="1"/>
    <cellStyle name="表示済みのハイパーリンク" xfId="2274" builtinId="9" hidden="1"/>
    <cellStyle name="表示済みのハイパーリンク" xfId="2276" builtinId="9" hidden="1"/>
    <cellStyle name="表示済みのハイパーリンク" xfId="2278" builtinId="9" hidden="1"/>
    <cellStyle name="表示済みのハイパーリンク" xfId="2280" builtinId="9" hidden="1"/>
    <cellStyle name="表示済みのハイパーリンク" xfId="2282" builtinId="9" hidden="1"/>
    <cellStyle name="表示済みのハイパーリンク" xfId="2284" builtinId="9" hidden="1"/>
    <cellStyle name="表示済みのハイパーリンク" xfId="2286" builtinId="9" hidden="1"/>
    <cellStyle name="表示済みのハイパーリンク" xfId="2288" builtinId="9" hidden="1"/>
    <cellStyle name="表示済みのハイパーリンク" xfId="2290" builtinId="9" hidden="1"/>
    <cellStyle name="表示済みのハイパーリンク" xfId="2292" builtinId="9" hidden="1"/>
    <cellStyle name="表示済みのハイパーリンク" xfId="2294" builtinId="9" hidden="1"/>
    <cellStyle name="表示済みのハイパーリンク" xfId="2296" builtinId="9" hidden="1"/>
    <cellStyle name="表示済みのハイパーリンク" xfId="2298" builtinId="9" hidden="1"/>
    <cellStyle name="表示済みのハイパーリンク" xfId="2300" builtinId="9" hidden="1"/>
    <cellStyle name="表示済みのハイパーリンク" xfId="2302" builtinId="9" hidden="1"/>
    <cellStyle name="表示済みのハイパーリンク" xfId="2304" builtinId="9" hidden="1"/>
    <cellStyle name="表示済みのハイパーリンク" xfId="2306" builtinId="9" hidden="1"/>
    <cellStyle name="表示済みのハイパーリンク" xfId="2308" builtinId="9" hidden="1"/>
    <cellStyle name="表示済みのハイパーリンク" xfId="2310" builtinId="9" hidden="1"/>
    <cellStyle name="表示済みのハイパーリンク" xfId="2312" builtinId="9" hidden="1"/>
    <cellStyle name="表示済みのハイパーリンク" xfId="2314" builtinId="9" hidden="1"/>
    <cellStyle name="表示済みのハイパーリンク" xfId="2316" builtinId="9" hidden="1"/>
    <cellStyle name="表示済みのハイパーリンク" xfId="2318" builtinId="9" hidden="1"/>
    <cellStyle name="表示済みのハイパーリンク" xfId="2320" builtinId="9" hidden="1"/>
    <cellStyle name="表示済みのハイパーリンク" xfId="2322" builtinId="9" hidden="1"/>
    <cellStyle name="表示済みのハイパーリンク" xfId="2324" builtinId="9" hidden="1"/>
    <cellStyle name="表示済みのハイパーリンク" xfId="2326" builtinId="9" hidden="1"/>
    <cellStyle name="表示済みのハイパーリンク" xfId="2328" builtinId="9" hidden="1"/>
    <cellStyle name="表示済みのハイパーリンク" xfId="2330" builtinId="9" hidden="1"/>
    <cellStyle name="表示済みのハイパーリンク" xfId="2332" builtinId="9" hidden="1"/>
    <cellStyle name="表示済みのハイパーリンク" xfId="2334" builtinId="9" hidden="1"/>
    <cellStyle name="表示済みのハイパーリンク" xfId="2336" builtinId="9" hidden="1"/>
    <cellStyle name="表示済みのハイパーリンク" xfId="2338" builtinId="9" hidden="1"/>
    <cellStyle name="表示済みのハイパーリンク" xfId="2340" builtinId="9" hidden="1"/>
    <cellStyle name="表示済みのハイパーリンク" xfId="2342" builtinId="9" hidden="1"/>
    <cellStyle name="表示済みのハイパーリンク" xfId="2344" builtinId="9" hidden="1"/>
    <cellStyle name="表示済みのハイパーリンク" xfId="2346" builtinId="9" hidden="1"/>
    <cellStyle name="表示済みのハイパーリンク" xfId="2348" builtinId="9" hidden="1"/>
    <cellStyle name="表示済みのハイパーリンク" xfId="2350" builtinId="9" hidden="1"/>
    <cellStyle name="表示済みのハイパーリンク" xfId="2352" builtinId="9" hidden="1"/>
    <cellStyle name="表示済みのハイパーリンク" xfId="2354" builtinId="9" hidden="1"/>
    <cellStyle name="表示済みのハイパーリンク" xfId="2356" builtinId="9" hidden="1"/>
    <cellStyle name="表示済みのハイパーリンク" xfId="2358" builtinId="9" hidden="1"/>
    <cellStyle name="表示済みのハイパーリンク" xfId="2360" builtinId="9" hidden="1"/>
    <cellStyle name="表示済みのハイパーリンク" xfId="2362" builtinId="9" hidden="1"/>
    <cellStyle name="表示済みのハイパーリンク" xfId="2364" builtinId="9" hidden="1"/>
    <cellStyle name="表示済みのハイパーリンク" xfId="2366" builtinId="9" hidden="1"/>
    <cellStyle name="表示済みのハイパーリンク" xfId="2368" builtinId="9" hidden="1"/>
    <cellStyle name="表示済みのハイパーリンク" xfId="2370" builtinId="9" hidden="1"/>
    <cellStyle name="表示済みのハイパーリンク" xfId="2372" builtinId="9" hidden="1"/>
    <cellStyle name="表示済みのハイパーリンク" xfId="2374" builtinId="9" hidden="1"/>
    <cellStyle name="表示済みのハイパーリンク" xfId="2376" builtinId="9" hidden="1"/>
    <cellStyle name="表示済みのハイパーリンク" xfId="2378" builtinId="9" hidden="1"/>
    <cellStyle name="表示済みのハイパーリンク" xfId="2380" builtinId="9" hidden="1"/>
    <cellStyle name="表示済みのハイパーリンク" xfId="2382" builtinId="9" hidden="1"/>
    <cellStyle name="表示済みのハイパーリンク" xfId="2384" builtinId="9" hidden="1"/>
    <cellStyle name="表示済みのハイパーリンク" xfId="2386" builtinId="9" hidden="1"/>
    <cellStyle name="表示済みのハイパーリンク" xfId="2388" builtinId="9" hidden="1"/>
    <cellStyle name="表示済みのハイパーリンク" xfId="2390" builtinId="9" hidden="1"/>
    <cellStyle name="表示済みのハイパーリンク" xfId="2392" builtinId="9" hidden="1"/>
    <cellStyle name="表示済みのハイパーリンク" xfId="2394" builtinId="9" hidden="1"/>
    <cellStyle name="表示済みのハイパーリンク" xfId="2396" builtinId="9" hidden="1"/>
    <cellStyle name="表示済みのハイパーリンク" xfId="2398" builtinId="9" hidden="1"/>
    <cellStyle name="表示済みのハイパーリンク" xfId="2400" builtinId="9" hidden="1"/>
    <cellStyle name="表示済みのハイパーリンク" xfId="2402" builtinId="9" hidden="1"/>
    <cellStyle name="表示済みのハイパーリンク" xfId="2404" builtinId="9" hidden="1"/>
    <cellStyle name="表示済みのハイパーリンク" xfId="2406" builtinId="9" hidden="1"/>
    <cellStyle name="表示済みのハイパーリンク" xfId="2408" builtinId="9" hidden="1"/>
    <cellStyle name="表示済みのハイパーリンク" xfId="2410" builtinId="9" hidden="1"/>
    <cellStyle name="表示済みのハイパーリンク" xfId="2412" builtinId="9" hidden="1"/>
    <cellStyle name="表示済みのハイパーリンク" xfId="2414" builtinId="9" hidden="1"/>
    <cellStyle name="表示済みのハイパーリンク" xfId="2416" builtinId="9" hidden="1"/>
    <cellStyle name="表示済みのハイパーリンク" xfId="2418" builtinId="9" hidden="1"/>
    <cellStyle name="表示済みのハイパーリンク" xfId="2420" builtinId="9" hidden="1"/>
    <cellStyle name="表示済みのハイパーリンク" xfId="2422" builtinId="9" hidden="1"/>
    <cellStyle name="表示済みのハイパーリンク" xfId="2424" builtinId="9" hidden="1"/>
    <cellStyle name="表示済みのハイパーリンク" xfId="2426" builtinId="9" hidden="1"/>
    <cellStyle name="表示済みのハイパーリンク" xfId="2428" builtinId="9" hidden="1"/>
    <cellStyle name="表示済みのハイパーリンク" xfId="2430" builtinId="9" hidden="1"/>
    <cellStyle name="表示済みのハイパーリンク" xfId="2432" builtinId="9" hidden="1"/>
    <cellStyle name="表示済みのハイパーリンク" xfId="2434" builtinId="9" hidden="1"/>
    <cellStyle name="表示済みのハイパーリンク" xfId="2436" builtinId="9" hidden="1"/>
    <cellStyle name="表示済みのハイパーリンク" xfId="2438" builtinId="9" hidden="1"/>
    <cellStyle name="表示済みのハイパーリンク" xfId="2440" builtinId="9" hidden="1"/>
    <cellStyle name="表示済みのハイパーリンク" xfId="2442" builtinId="9" hidden="1"/>
    <cellStyle name="表示済みのハイパーリンク" xfId="2444" builtinId="9" hidden="1"/>
    <cellStyle name="表示済みのハイパーリンク" xfId="2446" builtinId="9" hidden="1"/>
    <cellStyle name="表示済みのハイパーリンク" xfId="2448" builtinId="9" hidden="1"/>
    <cellStyle name="表示済みのハイパーリンク" xfId="2450" builtinId="9" hidden="1"/>
    <cellStyle name="表示済みのハイパーリンク" xfId="2452" builtinId="9" hidden="1"/>
    <cellStyle name="表示済みのハイパーリンク" xfId="2454" builtinId="9" hidden="1"/>
    <cellStyle name="表示済みのハイパーリンク" xfId="2456" builtinId="9" hidden="1"/>
    <cellStyle name="表示済みのハイパーリンク" xfId="2458" builtinId="9" hidden="1"/>
    <cellStyle name="表示済みのハイパーリンク" xfId="2460" builtinId="9" hidden="1"/>
    <cellStyle name="表示済みのハイパーリンク" xfId="2462" builtinId="9" hidden="1"/>
    <cellStyle name="表示済みのハイパーリンク" xfId="2464" builtinId="9" hidden="1"/>
    <cellStyle name="表示済みのハイパーリンク" xfId="2466" builtinId="9" hidden="1"/>
    <cellStyle name="表示済みのハイパーリンク" xfId="2468" builtinId="9" hidden="1"/>
    <cellStyle name="表示済みのハイパーリンク" xfId="2470" builtinId="9" hidden="1"/>
    <cellStyle name="表示済みのハイパーリンク" xfId="2472" builtinId="9" hidden="1"/>
    <cellStyle name="表示済みのハイパーリンク" xfId="2474" builtinId="9" hidden="1"/>
    <cellStyle name="表示済みのハイパーリンク" xfId="2476" builtinId="9" hidden="1"/>
    <cellStyle name="表示済みのハイパーリンク" xfId="2478" builtinId="9" hidden="1"/>
    <cellStyle name="表示済みのハイパーリンク" xfId="2480" builtinId="9" hidden="1"/>
    <cellStyle name="表示済みのハイパーリンク" xfId="2482" builtinId="9" hidden="1"/>
    <cellStyle name="表示済みのハイパーリンク" xfId="2484" builtinId="9" hidden="1"/>
    <cellStyle name="表示済みのハイパーリンク" xfId="2486" builtinId="9" hidden="1"/>
    <cellStyle name="表示済みのハイパーリンク" xfId="2488" builtinId="9" hidden="1"/>
    <cellStyle name="表示済みのハイパーリンク" xfId="2490" builtinId="9" hidden="1"/>
    <cellStyle name="表示済みのハイパーリンク" xfId="2492" builtinId="9" hidden="1"/>
    <cellStyle name="表示済みのハイパーリンク" xfId="2494" builtinId="9" hidden="1"/>
    <cellStyle name="表示済みのハイパーリンク" xfId="2496" builtinId="9" hidden="1"/>
    <cellStyle name="表示済みのハイパーリンク" xfId="2498" builtinId="9" hidden="1"/>
    <cellStyle name="表示済みのハイパーリンク" xfId="2500" builtinId="9" hidden="1"/>
    <cellStyle name="表示済みのハイパーリンク" xfId="2502" builtinId="9" hidden="1"/>
    <cellStyle name="表示済みのハイパーリンク" xfId="2504" builtinId="9" hidden="1"/>
    <cellStyle name="表示済みのハイパーリンク" xfId="2506" builtinId="9" hidden="1"/>
    <cellStyle name="表示済みのハイパーリンク" xfId="2508" builtinId="9" hidden="1"/>
    <cellStyle name="表示済みのハイパーリンク" xfId="2510" builtinId="9" hidden="1"/>
    <cellStyle name="表示済みのハイパーリンク" xfId="2512" builtinId="9" hidden="1"/>
    <cellStyle name="表示済みのハイパーリンク" xfId="2514" builtinId="9" hidden="1"/>
    <cellStyle name="表示済みのハイパーリンク" xfId="2516" builtinId="9" hidden="1"/>
    <cellStyle name="表示済みのハイパーリンク" xfId="2518" builtinId="9" hidden="1"/>
    <cellStyle name="表示済みのハイパーリンク" xfId="2520" builtinId="9" hidden="1"/>
    <cellStyle name="表示済みのハイパーリンク" xfId="2522" builtinId="9" hidden="1"/>
    <cellStyle name="表示済みのハイパーリンク" xfId="2524" builtinId="9" hidden="1"/>
    <cellStyle name="表示済みのハイパーリンク" xfId="2526" builtinId="9" hidden="1"/>
    <cellStyle name="表示済みのハイパーリンク" xfId="2528" builtinId="9" hidden="1"/>
    <cellStyle name="表示済みのハイパーリンク" xfId="2530" builtinId="9" hidden="1"/>
    <cellStyle name="表示済みのハイパーリンク" xfId="2532" builtinId="9" hidden="1"/>
    <cellStyle name="表示済みのハイパーリンク" xfId="2534" builtinId="9" hidden="1"/>
    <cellStyle name="表示済みのハイパーリンク" xfId="2536" builtinId="9" hidden="1"/>
    <cellStyle name="表示済みのハイパーリンク" xfId="2538" builtinId="9" hidden="1"/>
    <cellStyle name="表示済みのハイパーリンク" xfId="2540" builtinId="9" hidden="1"/>
    <cellStyle name="表示済みのハイパーリンク" xfId="2542" builtinId="9" hidden="1"/>
    <cellStyle name="表示済みのハイパーリンク" xfId="2544" builtinId="9" hidden="1"/>
    <cellStyle name="表示済みのハイパーリンク" xfId="2546" builtinId="9" hidden="1"/>
    <cellStyle name="表示済みのハイパーリンク" xfId="2548" builtinId="9" hidden="1"/>
    <cellStyle name="表示済みのハイパーリンク" xfId="2550" builtinId="9" hidden="1"/>
    <cellStyle name="表示済みのハイパーリンク" xfId="2552" builtinId="9" hidden="1"/>
    <cellStyle name="表示済みのハイパーリンク" xfId="2554" builtinId="9" hidden="1"/>
    <cellStyle name="表示済みのハイパーリンク" xfId="2556" builtinId="9" hidden="1"/>
    <cellStyle name="表示済みのハイパーリンク" xfId="2558" builtinId="9" hidden="1"/>
    <cellStyle name="表示済みのハイパーリンク" xfId="2560" builtinId="9" hidden="1"/>
    <cellStyle name="表示済みのハイパーリンク" xfId="2562" builtinId="9" hidden="1"/>
    <cellStyle name="表示済みのハイパーリンク" xfId="2564" builtinId="9" hidden="1"/>
    <cellStyle name="表示済みのハイパーリンク" xfId="2566" builtinId="9" hidden="1"/>
    <cellStyle name="表示済みのハイパーリンク" xfId="2568" builtinId="9" hidden="1"/>
    <cellStyle name="表示済みのハイパーリンク" xfId="2570" builtinId="9" hidden="1"/>
    <cellStyle name="表示済みのハイパーリンク" xfId="2572" builtinId="9" hidden="1"/>
    <cellStyle name="表示済みのハイパーリンク" xfId="2574" builtinId="9" hidden="1"/>
    <cellStyle name="表示済みのハイパーリンク" xfId="2576" builtinId="9" hidden="1"/>
    <cellStyle name="表示済みのハイパーリンク" xfId="2578" builtinId="9" hidden="1"/>
    <cellStyle name="表示済みのハイパーリンク" xfId="2580" builtinId="9" hidden="1"/>
    <cellStyle name="表示済みのハイパーリンク" xfId="2582" builtinId="9" hidden="1"/>
    <cellStyle name="表示済みのハイパーリンク" xfId="2584" builtinId="9" hidden="1"/>
    <cellStyle name="表示済みのハイパーリンク" xfId="2586" builtinId="9" hidden="1"/>
    <cellStyle name="表示済みのハイパーリンク" xfId="2588" builtinId="9" hidden="1"/>
    <cellStyle name="表示済みのハイパーリンク" xfId="2590" builtinId="9" hidden="1"/>
    <cellStyle name="表示済みのハイパーリンク" xfId="2592" builtinId="9" hidden="1"/>
    <cellStyle name="表示済みのハイパーリンク" xfId="2594" builtinId="9" hidden="1"/>
    <cellStyle name="表示済みのハイパーリンク" xfId="2596" builtinId="9" hidden="1"/>
    <cellStyle name="表示済みのハイパーリンク" xfId="2598" builtinId="9" hidden="1"/>
    <cellStyle name="表示済みのハイパーリンク" xfId="2600" builtinId="9" hidden="1"/>
    <cellStyle name="表示済みのハイパーリンク" xfId="2602" builtinId="9" hidden="1"/>
    <cellStyle name="表示済みのハイパーリンク" xfId="2604" builtinId="9" hidden="1"/>
    <cellStyle name="表示済みのハイパーリンク" xfId="2606" builtinId="9" hidden="1"/>
    <cellStyle name="表示済みのハイパーリンク" xfId="2608" builtinId="9" hidden="1"/>
    <cellStyle name="表示済みのハイパーリンク" xfId="2610" builtinId="9" hidden="1"/>
    <cellStyle name="表示済みのハイパーリンク" xfId="2612" builtinId="9" hidden="1"/>
    <cellStyle name="表示済みのハイパーリンク" xfId="2614" builtinId="9" hidden="1"/>
    <cellStyle name="表示済みのハイパーリンク" xfId="2616" builtinId="9" hidden="1"/>
    <cellStyle name="表示済みのハイパーリンク" xfId="2618" builtinId="9" hidden="1"/>
    <cellStyle name="表示済みのハイパーリンク" xfId="2620" builtinId="9" hidden="1"/>
    <cellStyle name="表示済みのハイパーリンク" xfId="2622" builtinId="9" hidden="1"/>
    <cellStyle name="表示済みのハイパーリンク" xfId="2624" builtinId="9" hidden="1"/>
    <cellStyle name="表示済みのハイパーリンク" xfId="2626" builtinId="9" hidden="1"/>
    <cellStyle name="表示済みのハイパーリンク" xfId="2628" builtinId="9" hidden="1"/>
    <cellStyle name="表示済みのハイパーリンク" xfId="2630" builtinId="9" hidden="1"/>
    <cellStyle name="表示済みのハイパーリンク" xfId="2632" builtinId="9" hidden="1"/>
    <cellStyle name="表示済みのハイパーリンク" xfId="2634" builtinId="9" hidden="1"/>
    <cellStyle name="表示済みのハイパーリンク" xfId="2636" builtinId="9" hidden="1"/>
    <cellStyle name="表示済みのハイパーリンク" xfId="2638" builtinId="9" hidden="1"/>
    <cellStyle name="表示済みのハイパーリンク" xfId="2640" builtinId="9" hidden="1"/>
    <cellStyle name="表示済みのハイパーリンク" xfId="2642" builtinId="9" hidden="1"/>
    <cellStyle name="表示済みのハイパーリンク" xfId="2644" builtinId="9" hidden="1"/>
    <cellStyle name="表示済みのハイパーリンク" xfId="2646" builtinId="9" hidden="1"/>
    <cellStyle name="表示済みのハイパーリンク" xfId="2648" builtinId="9" hidden="1"/>
    <cellStyle name="表示済みのハイパーリンク" xfId="2650" builtinId="9" hidden="1"/>
    <cellStyle name="表示済みのハイパーリンク" xfId="2652" builtinId="9" hidden="1"/>
    <cellStyle name="表示済みのハイパーリンク" xfId="2654" builtinId="9" hidden="1"/>
    <cellStyle name="表示済みのハイパーリンク" xfId="2656" builtinId="9" hidden="1"/>
    <cellStyle name="表示済みのハイパーリンク" xfId="2658" builtinId="9" hidden="1"/>
    <cellStyle name="表示済みのハイパーリンク" xfId="2660" builtinId="9" hidden="1"/>
    <cellStyle name="表示済みのハイパーリンク" xfId="2662" builtinId="9" hidden="1"/>
    <cellStyle name="表示済みのハイパーリンク" xfId="2664" builtinId="9" hidden="1"/>
    <cellStyle name="表示済みのハイパーリンク" xfId="2666" builtinId="9" hidden="1"/>
    <cellStyle name="表示済みのハイパーリンク" xfId="2668" builtinId="9" hidden="1"/>
    <cellStyle name="表示済みのハイパーリンク" xfId="2670" builtinId="9" hidden="1"/>
    <cellStyle name="表示済みのハイパーリンク" xfId="2672" builtinId="9" hidden="1"/>
    <cellStyle name="表示済みのハイパーリンク" xfId="2674" builtinId="9" hidden="1"/>
    <cellStyle name="表示済みのハイパーリンク" xfId="2676" builtinId="9" hidden="1"/>
    <cellStyle name="表示済みのハイパーリンク" xfId="2678" builtinId="9" hidden="1"/>
    <cellStyle name="表示済みのハイパーリンク" xfId="2680" builtinId="9" hidden="1"/>
    <cellStyle name="表示済みのハイパーリンク" xfId="2682" builtinId="9" hidden="1"/>
    <cellStyle name="表示済みのハイパーリンク" xfId="2684" builtinId="9" hidden="1"/>
    <cellStyle name="表示済みのハイパーリンク" xfId="2686" builtinId="9" hidden="1"/>
    <cellStyle name="表示済みのハイパーリンク" xfId="2688" builtinId="9" hidden="1"/>
    <cellStyle name="表示済みのハイパーリンク" xfId="2690" builtinId="9" hidden="1"/>
    <cellStyle name="表示済みのハイパーリンク" xfId="2692" builtinId="9" hidden="1"/>
    <cellStyle name="表示済みのハイパーリンク" xfId="2694" builtinId="9" hidden="1"/>
    <cellStyle name="表示済みのハイパーリンク" xfId="2696" builtinId="9" hidden="1"/>
    <cellStyle name="表示済みのハイパーリンク" xfId="2698" builtinId="9" hidden="1"/>
    <cellStyle name="表示済みのハイパーリンク" xfId="2700" builtinId="9" hidden="1"/>
    <cellStyle name="表示済みのハイパーリンク" xfId="2702" builtinId="9" hidden="1"/>
    <cellStyle name="表示済みのハイパーリンク" xfId="2704" builtinId="9" hidden="1"/>
    <cellStyle name="表示済みのハイパーリンク" xfId="2706" builtinId="9" hidden="1"/>
    <cellStyle name="表示済みのハイパーリンク" xfId="2708" builtinId="9" hidden="1"/>
    <cellStyle name="表示済みのハイパーリンク" xfId="2710" builtinId="9" hidden="1"/>
    <cellStyle name="表示済みのハイパーリンク" xfId="2712" builtinId="9" hidden="1"/>
    <cellStyle name="表示済みのハイパーリンク" xfId="2714" builtinId="9" hidden="1"/>
    <cellStyle name="表示済みのハイパーリンク" xfId="2716" builtinId="9" hidden="1"/>
    <cellStyle name="表示済みのハイパーリンク" xfId="2718" builtinId="9" hidden="1"/>
    <cellStyle name="表示済みのハイパーリンク" xfId="2720" builtinId="9" hidden="1"/>
    <cellStyle name="表示済みのハイパーリンク" xfId="2722" builtinId="9" hidden="1"/>
    <cellStyle name="表示済みのハイパーリンク" xfId="2724" builtinId="9" hidden="1"/>
    <cellStyle name="表示済みのハイパーリンク" xfId="2726" builtinId="9" hidden="1"/>
    <cellStyle name="表示済みのハイパーリンク" xfId="2728" builtinId="9" hidden="1"/>
    <cellStyle name="表示済みのハイパーリンク" xfId="2730" builtinId="9" hidden="1"/>
    <cellStyle name="表示済みのハイパーリンク" xfId="2732" builtinId="9" hidden="1"/>
    <cellStyle name="表示済みのハイパーリンク" xfId="2734" builtinId="9" hidden="1"/>
    <cellStyle name="表示済みのハイパーリンク" xfId="2736" builtinId="9" hidden="1"/>
    <cellStyle name="表示済みのハイパーリンク" xfId="2738" builtinId="9" hidden="1"/>
    <cellStyle name="表示済みのハイパーリンク" xfId="2740" builtinId="9" hidden="1"/>
    <cellStyle name="表示済みのハイパーリンク" xfId="2742" builtinId="9" hidden="1"/>
    <cellStyle name="表示済みのハイパーリンク" xfId="2744" builtinId="9" hidden="1"/>
    <cellStyle name="表示済みのハイパーリンク" xfId="2746" builtinId="9" hidden="1"/>
    <cellStyle name="表示済みのハイパーリンク" xfId="2748" builtinId="9" hidden="1"/>
    <cellStyle name="表示済みのハイパーリンク" xfId="2750" builtinId="9" hidden="1"/>
    <cellStyle name="表示済みのハイパーリンク" xfId="2752" builtinId="9" hidden="1"/>
    <cellStyle name="表示済みのハイパーリンク" xfId="2754" builtinId="9" hidden="1"/>
    <cellStyle name="表示済みのハイパーリンク" xfId="2756" builtinId="9" hidden="1"/>
    <cellStyle name="表示済みのハイパーリンク" xfId="2758" builtinId="9" hidden="1"/>
    <cellStyle name="表示済みのハイパーリンク" xfId="2760" builtinId="9" hidden="1"/>
    <cellStyle name="表示済みのハイパーリンク" xfId="2762" builtinId="9" hidden="1"/>
    <cellStyle name="表示済みのハイパーリンク" xfId="2764" builtinId="9" hidden="1"/>
    <cellStyle name="表示済みのハイパーリンク" xfId="2766" builtinId="9" hidden="1"/>
    <cellStyle name="表示済みのハイパーリンク" xfId="2768" builtinId="9" hidden="1"/>
    <cellStyle name="表示済みのハイパーリンク" xfId="2770" builtinId="9" hidden="1"/>
    <cellStyle name="表示済みのハイパーリンク" xfId="2772" builtinId="9" hidden="1"/>
    <cellStyle name="表示済みのハイパーリンク" xfId="2774" builtinId="9" hidden="1"/>
    <cellStyle name="表示済みのハイパーリンク" xfId="2776" builtinId="9" hidden="1"/>
    <cellStyle name="表示済みのハイパーリンク" xfId="2778" builtinId="9" hidden="1"/>
    <cellStyle name="表示済みのハイパーリンク" xfId="2780" builtinId="9" hidden="1"/>
    <cellStyle name="表示済みのハイパーリンク" xfId="2782" builtinId="9" hidden="1"/>
    <cellStyle name="表示済みのハイパーリンク" xfId="2784" builtinId="9" hidden="1"/>
    <cellStyle name="表示済みのハイパーリンク" xfId="2786" builtinId="9" hidden="1"/>
    <cellStyle name="表示済みのハイパーリンク" xfId="2788" builtinId="9" hidden="1"/>
    <cellStyle name="表示済みのハイパーリンク" xfId="2790" builtinId="9" hidden="1"/>
    <cellStyle name="表示済みのハイパーリンク" xfId="2792" builtinId="9" hidden="1"/>
    <cellStyle name="表示済みのハイパーリンク" xfId="2794" builtinId="9" hidden="1"/>
    <cellStyle name="表示済みのハイパーリンク" xfId="2796" builtinId="9" hidden="1"/>
    <cellStyle name="表示済みのハイパーリンク" xfId="2798" builtinId="9" hidden="1"/>
    <cellStyle name="表示済みのハイパーリンク" xfId="2800" builtinId="9" hidden="1"/>
    <cellStyle name="表示済みのハイパーリンク" xfId="2802" builtinId="9" hidden="1"/>
    <cellStyle name="表示済みのハイパーリンク" xfId="2804" builtinId="9" hidden="1"/>
    <cellStyle name="表示済みのハイパーリンク" xfId="2806" builtinId="9" hidden="1"/>
    <cellStyle name="表示済みのハイパーリンク" xfId="2808" builtinId="9" hidden="1"/>
    <cellStyle name="表示済みのハイパーリンク" xfId="2810" builtinId="9" hidden="1"/>
    <cellStyle name="表示済みのハイパーリンク" xfId="2812" builtinId="9" hidden="1"/>
    <cellStyle name="表示済みのハイパーリンク" xfId="2814" builtinId="9" hidden="1"/>
    <cellStyle name="表示済みのハイパーリンク" xfId="2816" builtinId="9" hidden="1"/>
    <cellStyle name="表示済みのハイパーリンク" xfId="2818" builtinId="9" hidden="1"/>
    <cellStyle name="表示済みのハイパーリンク" xfId="2820" builtinId="9" hidden="1"/>
    <cellStyle name="表示済みのハイパーリンク" xfId="2822" builtinId="9" hidden="1"/>
    <cellStyle name="表示済みのハイパーリンク" xfId="2824" builtinId="9" hidden="1"/>
    <cellStyle name="表示済みのハイパーリンク" xfId="2826" builtinId="9" hidden="1"/>
    <cellStyle name="表示済みのハイパーリンク" xfId="2828" builtinId="9" hidden="1"/>
    <cellStyle name="表示済みのハイパーリンク" xfId="2830" builtinId="9" hidden="1"/>
    <cellStyle name="表示済みのハイパーリンク" xfId="2832" builtinId="9" hidden="1"/>
    <cellStyle name="表示済みのハイパーリンク" xfId="2834" builtinId="9" hidden="1"/>
    <cellStyle name="表示済みのハイパーリンク" xfId="2836" builtinId="9" hidden="1"/>
    <cellStyle name="表示済みのハイパーリンク" xfId="2838" builtinId="9" hidden="1"/>
    <cellStyle name="表示済みのハイパーリンク" xfId="2840" builtinId="9" hidden="1"/>
    <cellStyle name="表示済みのハイパーリンク" xfId="2842" builtinId="9" hidden="1"/>
    <cellStyle name="表示済みのハイパーリンク" xfId="2844" builtinId="9" hidden="1"/>
    <cellStyle name="表示済みのハイパーリンク" xfId="2846" builtinId="9" hidden="1"/>
    <cellStyle name="表示済みのハイパーリンク" xfId="2848" builtinId="9" hidden="1"/>
    <cellStyle name="表示済みのハイパーリンク" xfId="2850" builtinId="9" hidden="1"/>
    <cellStyle name="表示済みのハイパーリンク" xfId="2852" builtinId="9" hidden="1"/>
    <cellStyle name="表示済みのハイパーリンク" xfId="2854" builtinId="9" hidden="1"/>
    <cellStyle name="表示済みのハイパーリンク" xfId="2856" builtinId="9" hidden="1"/>
    <cellStyle name="表示済みのハイパーリンク" xfId="2858" builtinId="9" hidden="1"/>
    <cellStyle name="表示済みのハイパーリンク" xfId="2860" builtinId="9" hidden="1"/>
    <cellStyle name="表示済みのハイパーリンク" xfId="2862" builtinId="9" hidden="1"/>
    <cellStyle name="表示済みのハイパーリンク" xfId="2864" builtinId="9" hidden="1"/>
    <cellStyle name="表示済みのハイパーリンク" xfId="2866" builtinId="9" hidden="1"/>
    <cellStyle name="表示済みのハイパーリンク" xfId="2868" builtinId="9" hidden="1"/>
    <cellStyle name="表示済みのハイパーリンク" xfId="2870" builtinId="9" hidden="1"/>
    <cellStyle name="表示済みのハイパーリンク" xfId="2872" builtinId="9" hidden="1"/>
    <cellStyle name="表示済みのハイパーリンク" xfId="2874" builtinId="9" hidden="1"/>
    <cellStyle name="表示済みのハイパーリンク" xfId="2876" builtinId="9" hidden="1"/>
    <cellStyle name="表示済みのハイパーリンク" xfId="2878" builtinId="9" hidden="1"/>
    <cellStyle name="表示済みのハイパーリンク" xfId="2880" builtinId="9" hidden="1"/>
    <cellStyle name="表示済みのハイパーリンク" xfId="2882" builtinId="9" hidden="1"/>
    <cellStyle name="表示済みのハイパーリンク" xfId="2884" builtinId="9" hidden="1"/>
    <cellStyle name="表示済みのハイパーリンク" xfId="2886" builtinId="9" hidden="1"/>
    <cellStyle name="表示済みのハイパーリンク" xfId="2888" builtinId="9" hidden="1"/>
    <cellStyle name="表示済みのハイパーリンク" xfId="2890" builtinId="9" hidden="1"/>
    <cellStyle name="表示済みのハイパーリンク" xfId="2892" builtinId="9" hidden="1"/>
    <cellStyle name="表示済みのハイパーリンク" xfId="2894" builtinId="9" hidden="1"/>
    <cellStyle name="表示済みのハイパーリンク" xfId="2896" builtinId="9" hidden="1"/>
    <cellStyle name="表示済みのハイパーリンク" xfId="2898" builtinId="9" hidden="1"/>
    <cellStyle name="表示済みのハイパーリンク" xfId="2900" builtinId="9" hidden="1"/>
    <cellStyle name="表示済みのハイパーリンク" xfId="2902" builtinId="9" hidden="1"/>
    <cellStyle name="表示済みのハイパーリンク" xfId="2904" builtinId="9" hidden="1"/>
    <cellStyle name="表示済みのハイパーリンク" xfId="2906" builtinId="9" hidden="1"/>
    <cellStyle name="表示済みのハイパーリンク" xfId="2908" builtinId="9" hidden="1"/>
    <cellStyle name="表示済みのハイパーリンク" xfId="2910" builtinId="9" hidden="1"/>
    <cellStyle name="表示済みのハイパーリンク" xfId="2912" builtinId="9" hidden="1"/>
    <cellStyle name="表示済みのハイパーリンク" xfId="2914" builtinId="9" hidden="1"/>
    <cellStyle name="表示済みのハイパーリンク" xfId="2916" builtinId="9" hidden="1"/>
    <cellStyle name="表示済みのハイパーリンク" xfId="2918" builtinId="9" hidden="1"/>
    <cellStyle name="表示済みのハイパーリンク" xfId="2920" builtinId="9" hidden="1"/>
    <cellStyle name="表示済みのハイパーリンク" xfId="2922" builtinId="9" hidden="1"/>
    <cellStyle name="表示済みのハイパーリンク" xfId="2924" builtinId="9" hidden="1"/>
    <cellStyle name="表示済みのハイパーリンク" xfId="2926" builtinId="9" hidden="1"/>
    <cellStyle name="表示済みのハイパーリンク" xfId="2928" builtinId="9" hidden="1"/>
    <cellStyle name="表示済みのハイパーリンク" xfId="2930" builtinId="9" hidden="1"/>
    <cellStyle name="表示済みのハイパーリンク" xfId="2932" builtinId="9" hidden="1"/>
    <cellStyle name="表示済みのハイパーリンク" xfId="2934" builtinId="9" hidden="1"/>
    <cellStyle name="表示済みのハイパーリンク" xfId="2936" builtinId="9" hidden="1"/>
    <cellStyle name="表示済みのハイパーリンク" xfId="2938" builtinId="9" hidden="1"/>
    <cellStyle name="表示済みのハイパーリンク" xfId="2940" builtinId="9" hidden="1"/>
    <cellStyle name="表示済みのハイパーリンク" xfId="2942" builtinId="9" hidden="1"/>
    <cellStyle name="表示済みのハイパーリンク" xfId="2944" builtinId="9" hidden="1"/>
    <cellStyle name="表示済みのハイパーリンク" xfId="2946" builtinId="9" hidden="1"/>
    <cellStyle name="表示済みのハイパーリンク" xfId="2948" builtinId="9" hidden="1"/>
    <cellStyle name="表示済みのハイパーリンク" xfId="2950" builtinId="9" hidden="1"/>
    <cellStyle name="表示済みのハイパーリンク" xfId="2952" builtinId="9" hidden="1"/>
    <cellStyle name="表示済みのハイパーリンク" xfId="2954" builtinId="9" hidden="1"/>
    <cellStyle name="表示済みのハイパーリンク" xfId="2956" builtinId="9" hidden="1"/>
    <cellStyle name="表示済みのハイパーリンク" xfId="2958" builtinId="9" hidden="1"/>
    <cellStyle name="表示済みのハイパーリンク" xfId="2960" builtinId="9" hidden="1"/>
    <cellStyle name="表示済みのハイパーリンク" xfId="2962" builtinId="9" hidden="1"/>
    <cellStyle name="表示済みのハイパーリンク" xfId="2964" builtinId="9" hidden="1"/>
    <cellStyle name="表示済みのハイパーリンク" xfId="2966" builtinId="9" hidden="1"/>
    <cellStyle name="表示済みのハイパーリンク" xfId="2968" builtinId="9" hidden="1"/>
    <cellStyle name="表示済みのハイパーリンク" xfId="2970" builtinId="9" hidden="1"/>
    <cellStyle name="表示済みのハイパーリンク" xfId="2972" builtinId="9" hidden="1"/>
    <cellStyle name="表示済みのハイパーリンク" xfId="2974" builtinId="9" hidden="1"/>
    <cellStyle name="表示済みのハイパーリンク" xfId="2976" builtinId="9" hidden="1"/>
    <cellStyle name="表示済みのハイパーリンク" xfId="2978" builtinId="9" hidden="1"/>
    <cellStyle name="表示済みのハイパーリンク" xfId="2980" builtinId="9" hidden="1"/>
    <cellStyle name="表示済みのハイパーリンク" xfId="2982" builtinId="9" hidden="1"/>
    <cellStyle name="表示済みのハイパーリンク" xfId="2984" builtinId="9" hidden="1"/>
    <cellStyle name="表示済みのハイパーリンク" xfId="2986" builtinId="9" hidden="1"/>
    <cellStyle name="表示済みのハイパーリンク" xfId="2988" builtinId="9" hidden="1"/>
    <cellStyle name="表示済みのハイパーリンク" xfId="2990" builtinId="9" hidden="1"/>
    <cellStyle name="表示済みのハイパーリンク" xfId="2992" builtinId="9" hidden="1"/>
    <cellStyle name="表示済みのハイパーリンク" xfId="2994" builtinId="9" hidden="1"/>
    <cellStyle name="表示済みのハイパーリンク" xfId="2996" builtinId="9" hidden="1"/>
    <cellStyle name="表示済みのハイパーリンク" xfId="2998" builtinId="9" hidden="1"/>
    <cellStyle name="表示済みのハイパーリンク" xfId="3000" builtinId="9" hidden="1"/>
    <cellStyle name="表示済みのハイパーリンク" xfId="3002" builtinId="9" hidden="1"/>
    <cellStyle name="表示済みのハイパーリンク" xfId="3004" builtinId="9" hidden="1"/>
    <cellStyle name="表示済みのハイパーリンク" xfId="3006" builtinId="9" hidden="1"/>
    <cellStyle name="表示済みのハイパーリンク" xfId="3008" builtinId="9" hidden="1"/>
    <cellStyle name="表示済みのハイパーリンク" xfId="3010" builtinId="9" hidden="1"/>
    <cellStyle name="表示済みのハイパーリンク" xfId="3012" builtinId="9" hidden="1"/>
    <cellStyle name="表示済みのハイパーリンク" xfId="3014" builtinId="9" hidden="1"/>
    <cellStyle name="表示済みのハイパーリンク" xfId="3016" builtinId="9" hidden="1"/>
    <cellStyle name="表示済みのハイパーリンク" xfId="3018" builtinId="9" hidden="1"/>
    <cellStyle name="表示済みのハイパーリンク" xfId="3020" builtinId="9" hidden="1"/>
    <cellStyle name="表示済みのハイパーリンク" xfId="3022" builtinId="9" hidden="1"/>
    <cellStyle name="表示済みのハイパーリンク" xfId="3024" builtinId="9" hidden="1"/>
    <cellStyle name="表示済みのハイパーリンク" xfId="3026" builtinId="9" hidden="1"/>
    <cellStyle name="表示済みのハイパーリンク" xfId="3028" builtinId="9" hidden="1"/>
    <cellStyle name="表示済みのハイパーリンク" xfId="3030" builtinId="9" hidden="1"/>
    <cellStyle name="表示済みのハイパーリンク" xfId="3032" builtinId="9" hidden="1"/>
    <cellStyle name="表示済みのハイパーリンク" xfId="3034" builtinId="9" hidden="1"/>
    <cellStyle name="表示済みのハイパーリンク" xfId="3036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6" builtinId="9" hidden="1"/>
    <cellStyle name="表示済みのハイパーリンク" xfId="3578" builtinId="9" hidden="1"/>
    <cellStyle name="表示済みのハイパーリンク" xfId="3580" builtinId="9" hidden="1"/>
    <cellStyle name="表示済みのハイパーリンク" xfId="3582" builtinId="9" hidden="1"/>
    <cellStyle name="表示済みのハイパーリンク" xfId="3584" builtinId="9" hidden="1"/>
    <cellStyle name="表示済みのハイパーリンク" xfId="3586" builtinId="9" hidden="1"/>
    <cellStyle name="表示済みのハイパーリンク" xfId="3588" builtinId="9" hidden="1"/>
    <cellStyle name="表示済みのハイパーリンク" xfId="3590" builtinId="9" hidden="1"/>
    <cellStyle name="表示済みのハイパーリンク" xfId="3592" builtinId="9" hidden="1"/>
    <cellStyle name="表示済みのハイパーリンク" xfId="3594" builtinId="9" hidden="1"/>
    <cellStyle name="表示済みのハイパーリンク" xfId="3596" builtinId="9" hidden="1"/>
    <cellStyle name="表示済みのハイパーリンク" xfId="3598" builtinId="9" hidden="1"/>
    <cellStyle name="表示済みのハイパーリンク" xfId="3600" builtinId="9" hidden="1"/>
    <cellStyle name="表示済みのハイパーリンク" xfId="3602" builtinId="9" hidden="1"/>
    <cellStyle name="表示済みのハイパーリンク" xfId="3604" builtinId="9" hidden="1"/>
    <cellStyle name="表示済みのハイパーリンク" xfId="3606" builtinId="9" hidden="1"/>
    <cellStyle name="表示済みのハイパーリンク" xfId="3608" builtinId="9" hidden="1"/>
    <cellStyle name="表示済みのハイパーリンク" xfId="3610" builtinId="9" hidden="1"/>
    <cellStyle name="表示済みのハイパーリンク" xfId="3612" builtinId="9" hidden="1"/>
    <cellStyle name="表示済みのハイパーリンク" xfId="3614" builtinId="9" hidden="1"/>
    <cellStyle name="表示済みのハイパーリンク" xfId="3616" builtinId="9" hidden="1"/>
    <cellStyle name="表示済みのハイパーリンク" xfId="3618" builtinId="9" hidden="1"/>
    <cellStyle name="表示済みのハイパーリンク" xfId="3620" builtinId="9" hidden="1"/>
    <cellStyle name="表示済みのハイパーリンク" xfId="3622" builtinId="9" hidden="1"/>
    <cellStyle name="表示済みのハイパーリンク" xfId="3624" builtinId="9" hidden="1"/>
    <cellStyle name="表示済みのハイパーリンク" xfId="3626" builtinId="9" hidden="1"/>
    <cellStyle name="表示済みのハイパーリンク" xfId="3628" builtinId="9" hidden="1"/>
    <cellStyle name="表示済みのハイパーリンク" xfId="3630" builtinId="9" hidden="1"/>
    <cellStyle name="表示済みのハイパーリンク" xfId="3632" builtinId="9" hidden="1"/>
    <cellStyle name="表示済みのハイパーリンク" xfId="3634" builtinId="9" hidden="1"/>
    <cellStyle name="表示済みのハイパーリンク" xfId="3636" builtinId="9" hidden="1"/>
    <cellStyle name="表示済みのハイパーリンク" xfId="3638" builtinId="9" hidden="1"/>
    <cellStyle name="表示済みのハイパーリンク" xfId="3640" builtinId="9" hidden="1"/>
    <cellStyle name="表示済みのハイパーリンク" xfId="3642" builtinId="9" hidden="1"/>
    <cellStyle name="表示済みのハイパーリンク" xfId="3644" builtinId="9" hidden="1"/>
    <cellStyle name="表示済みのハイパーリンク" xfId="3646" builtinId="9" hidden="1"/>
    <cellStyle name="表示済みのハイパーリンク" xfId="3648" builtinId="9" hidden="1"/>
    <cellStyle name="表示済みのハイパーリンク" xfId="3650" builtinId="9" hidden="1"/>
    <cellStyle name="表示済みのハイパーリンク" xfId="3652" builtinId="9" hidden="1"/>
    <cellStyle name="表示済みのハイパーリンク" xfId="3654" builtinId="9" hidden="1"/>
    <cellStyle name="表示済みのハイパーリンク" xfId="3656" builtinId="9" hidden="1"/>
    <cellStyle name="表示済みのハイパーリンク" xfId="3658" builtinId="9" hidden="1"/>
    <cellStyle name="表示済みのハイパーリンク" xfId="3660" builtinId="9" hidden="1"/>
    <cellStyle name="表示済みのハイパーリンク" xfId="3662" builtinId="9" hidden="1"/>
    <cellStyle name="表示済みのハイパーリンク" xfId="3664" builtinId="9" hidden="1"/>
    <cellStyle name="表示済みのハイパーリンク" xfId="3666" builtinId="9" hidden="1"/>
    <cellStyle name="表示済みのハイパーリンク" xfId="3668" builtinId="9" hidden="1"/>
    <cellStyle name="表示済みのハイパーリンク" xfId="3670" builtinId="9" hidden="1"/>
    <cellStyle name="表示済みのハイパーリンク" xfId="3672" builtinId="9" hidden="1"/>
    <cellStyle name="表示済みのハイパーリンク" xfId="3674" builtinId="9" hidden="1"/>
    <cellStyle name="表示済みのハイパーリンク" xfId="3676" builtinId="9" hidden="1"/>
    <cellStyle name="表示済みのハイパーリンク" xfId="3678" builtinId="9" hidden="1"/>
    <cellStyle name="表示済みのハイパーリンク" xfId="3680" builtinId="9" hidden="1"/>
    <cellStyle name="表示済みのハイパーリンク" xfId="3682" builtinId="9" hidden="1"/>
    <cellStyle name="表示済みのハイパーリンク" xfId="3684" builtinId="9" hidden="1"/>
    <cellStyle name="表示済みのハイパーリンク" xfId="3686" builtinId="9" hidden="1"/>
    <cellStyle name="表示済みのハイパーリンク" xfId="3688" builtinId="9" hidden="1"/>
    <cellStyle name="表示済みのハイパーリンク" xfId="3690" builtinId="9" hidden="1"/>
    <cellStyle name="表示済みのハイパーリンク" xfId="3692" builtinId="9" hidden="1"/>
    <cellStyle name="表示済みのハイパーリンク" xfId="3694" builtinId="9" hidden="1"/>
    <cellStyle name="表示済みのハイパーリンク" xfId="3696" builtinId="9" hidden="1"/>
    <cellStyle name="表示済みのハイパーリンク" xfId="3698" builtinId="9" hidden="1"/>
    <cellStyle name="表示済みのハイパーリンク" xfId="3700" builtinId="9" hidden="1"/>
    <cellStyle name="表示済みのハイパーリンク" xfId="3702" builtinId="9" hidden="1"/>
    <cellStyle name="表示済みのハイパーリンク" xfId="3704" builtinId="9" hidden="1"/>
    <cellStyle name="表示済みのハイパーリンク" xfId="3706" builtinId="9" hidden="1"/>
    <cellStyle name="表示済みのハイパーリンク" xfId="3708" builtinId="9" hidden="1"/>
    <cellStyle name="表示済みのハイパーリンク" xfId="3710" builtinId="9" hidden="1"/>
    <cellStyle name="表示済みのハイパーリンク" xfId="3712" builtinId="9" hidden="1"/>
    <cellStyle name="表示済みのハイパーリンク" xfId="3714" builtinId="9" hidden="1"/>
    <cellStyle name="表示済みのハイパーリンク" xfId="3716" builtinId="9" hidden="1"/>
    <cellStyle name="表示済みのハイパーリンク" xfId="3718" builtinId="9" hidden="1"/>
    <cellStyle name="表示済みのハイパーリンク" xfId="3720" builtinId="9" hidden="1"/>
    <cellStyle name="表示済みのハイパーリンク" xfId="3722" builtinId="9" hidden="1"/>
    <cellStyle name="表示済みのハイパーリンク" xfId="3724" builtinId="9" hidden="1"/>
    <cellStyle name="表示済みのハイパーリンク" xfId="3726" builtinId="9" hidden="1"/>
    <cellStyle name="表示済みのハイパーリンク" xfId="3728" builtinId="9" hidden="1"/>
    <cellStyle name="表示済みのハイパーリンク" xfId="3730" builtinId="9" hidden="1"/>
    <cellStyle name="表示済みのハイパーリンク" xfId="3732" builtinId="9" hidden="1"/>
    <cellStyle name="表示済みのハイパーリンク" xfId="3734" builtinId="9" hidden="1"/>
    <cellStyle name="表示済みのハイパーリンク" xfId="3736" builtinId="9" hidden="1"/>
    <cellStyle name="表示済みのハイパーリンク" xfId="3738" builtinId="9" hidden="1"/>
    <cellStyle name="表示済みのハイパーリンク" xfId="3740" builtinId="9" hidden="1"/>
    <cellStyle name="表示済みのハイパーリンク" xfId="3742" builtinId="9" hidden="1"/>
    <cellStyle name="表示済みのハイパーリンク" xfId="3744" builtinId="9" hidden="1"/>
    <cellStyle name="表示済みのハイパーリンク" xfId="3746" builtinId="9" hidden="1"/>
    <cellStyle name="表示済みのハイパーリンク" xfId="3748" builtinId="9" hidden="1"/>
    <cellStyle name="表示済みのハイパーリンク" xfId="3750" builtinId="9" hidden="1"/>
    <cellStyle name="表示済みのハイパーリンク" xfId="3752" builtinId="9" hidden="1"/>
    <cellStyle name="表示済みのハイパーリンク" xfId="3754" builtinId="9" hidden="1"/>
    <cellStyle name="表示済みのハイパーリンク" xfId="3756" builtinId="9" hidden="1"/>
    <cellStyle name="表示済みのハイパーリンク" xfId="3758" builtinId="9" hidden="1"/>
    <cellStyle name="表示済みのハイパーリンク" xfId="3760" builtinId="9" hidden="1"/>
    <cellStyle name="表示済みのハイパーリンク" xfId="3762" builtinId="9" hidden="1"/>
    <cellStyle name="表示済みのハイパーリンク" xfId="3764" builtinId="9" hidden="1"/>
    <cellStyle name="表示済みのハイパーリンク" xfId="3766" builtinId="9" hidden="1"/>
    <cellStyle name="表示済みのハイパーリンク" xfId="3768" builtinId="9" hidden="1"/>
    <cellStyle name="表示済みのハイパーリンク" xfId="3770" builtinId="9" hidden="1"/>
    <cellStyle name="表示済みのハイパーリンク" xfId="3772" builtinId="9" hidden="1"/>
    <cellStyle name="表示済みのハイパーリンク" xfId="3774" builtinId="9" hidden="1"/>
    <cellStyle name="表示済みのハイパーリンク" xfId="3776" builtinId="9" hidden="1"/>
    <cellStyle name="表示済みのハイパーリンク" xfId="3778" builtinId="9" hidden="1"/>
    <cellStyle name="表示済みのハイパーリンク" xfId="3780" builtinId="9" hidden="1"/>
    <cellStyle name="表示済みのハイパーリンク" xfId="3782" builtinId="9" hidden="1"/>
    <cellStyle name="表示済みのハイパーリンク" xfId="3784" builtinId="9" hidden="1"/>
    <cellStyle name="表示済みのハイパーリンク" xfId="3786" builtinId="9" hidden="1"/>
    <cellStyle name="表示済みのハイパーリンク" xfId="3788" builtinId="9" hidden="1"/>
    <cellStyle name="表示済みのハイパーリンク" xfId="3790" builtinId="9" hidden="1"/>
    <cellStyle name="表示済みのハイパーリンク" xfId="3792" builtinId="9" hidden="1"/>
    <cellStyle name="表示済みのハイパーリンク" xfId="3794" builtinId="9" hidden="1"/>
    <cellStyle name="表示済みのハイパーリンク" xfId="3796" builtinId="9" hidden="1"/>
    <cellStyle name="表示済みのハイパーリンク" xfId="3798" builtinId="9" hidden="1"/>
    <cellStyle name="表示済みのハイパーリンク" xfId="3800" builtinId="9" hidden="1"/>
    <cellStyle name="表示済みのハイパーリンク" xfId="3802" builtinId="9" hidden="1"/>
    <cellStyle name="表示済みのハイパーリンク" xfId="3804" builtinId="9" hidden="1"/>
    <cellStyle name="表示済みのハイパーリンク" xfId="3806" builtinId="9" hidden="1"/>
    <cellStyle name="表示済みのハイパーリンク" xfId="3808" builtinId="9" hidden="1"/>
    <cellStyle name="表示済みのハイパーリンク" xfId="3810" builtinId="9" hidden="1"/>
    <cellStyle name="表示済みのハイパーリンク" xfId="3812" builtinId="9" hidden="1"/>
    <cellStyle name="表示済みのハイパーリンク" xfId="3814" builtinId="9" hidden="1"/>
    <cellStyle name="表示済みのハイパーリンク" xfId="3816" builtinId="9" hidden="1"/>
    <cellStyle name="表示済みのハイパーリンク" xfId="3818" builtinId="9" hidden="1"/>
    <cellStyle name="表示済みのハイパーリンク" xfId="3820" builtinId="9" hidden="1"/>
    <cellStyle name="表示済みのハイパーリンク" xfId="3822" builtinId="9" hidden="1"/>
    <cellStyle name="表示済みのハイパーリンク" xfId="3824" builtinId="9" hidden="1"/>
    <cellStyle name="表示済みのハイパーリンク" xfId="3826" builtinId="9" hidden="1"/>
    <cellStyle name="表示済みのハイパーリンク" xfId="3828" builtinId="9" hidden="1"/>
    <cellStyle name="表示済みのハイパーリンク" xfId="3830" builtinId="9" hidden="1"/>
    <cellStyle name="表示済みのハイパーリンク" xfId="3832" builtinId="9" hidden="1"/>
    <cellStyle name="表示済みのハイパーリンク" xfId="3834" builtinId="9" hidden="1"/>
    <cellStyle name="表示済みのハイパーリンク" xfId="3836" builtinId="9" hidden="1"/>
    <cellStyle name="表示済みのハイパーリンク" xfId="3838" builtinId="9" hidden="1"/>
    <cellStyle name="表示済みのハイパーリンク" xfId="3840" builtinId="9" hidden="1"/>
    <cellStyle name="表示済みのハイパーリンク" xfId="3842" builtinId="9" hidden="1"/>
    <cellStyle name="表示済みのハイパーリンク" xfId="3844" builtinId="9" hidden="1"/>
    <cellStyle name="表示済みのハイパーリンク" xfId="3846" builtinId="9" hidden="1"/>
    <cellStyle name="表示済みのハイパーリンク" xfId="3848" builtinId="9" hidden="1"/>
    <cellStyle name="表示済みのハイパーリンク" xfId="3850" builtinId="9" hidden="1"/>
    <cellStyle name="表示済みのハイパーリンク" xfId="3852" builtinId="9" hidden="1"/>
    <cellStyle name="表示済みのハイパーリンク" xfId="3854" builtinId="9" hidden="1"/>
    <cellStyle name="表示済みのハイパーリンク" xfId="3856" builtinId="9" hidden="1"/>
    <cellStyle name="表示済みのハイパーリンク" xfId="3858" builtinId="9" hidden="1"/>
    <cellStyle name="表示済みのハイパーリンク" xfId="3860" builtinId="9" hidden="1"/>
    <cellStyle name="表示済みのハイパーリンク" xfId="3862" builtinId="9" hidden="1"/>
    <cellStyle name="表示済みのハイパーリンク" xfId="3864" builtinId="9" hidden="1"/>
    <cellStyle name="表示済みのハイパーリンク" xfId="3866" builtinId="9" hidden="1"/>
    <cellStyle name="表示済みのハイパーリンク" xfId="3868" builtinId="9" hidden="1"/>
    <cellStyle name="表示済みのハイパーリンク" xfId="3870" builtinId="9" hidden="1"/>
    <cellStyle name="表示済みのハイパーリンク" xfId="3872" builtinId="9" hidden="1"/>
    <cellStyle name="表示済みのハイパーリンク" xfId="3874" builtinId="9" hidden="1"/>
    <cellStyle name="表示済みのハイパーリンク" xfId="3876" builtinId="9" hidden="1"/>
    <cellStyle name="表示済みのハイパーリンク" xfId="3878" builtinId="9" hidden="1"/>
    <cellStyle name="表示済みのハイパーリンク" xfId="3880" builtinId="9" hidden="1"/>
    <cellStyle name="表示済みのハイパーリンク" xfId="3882" builtinId="9" hidden="1"/>
    <cellStyle name="表示済みのハイパーリンク" xfId="3884" builtinId="9" hidden="1"/>
    <cellStyle name="表示済みのハイパーリンク" xfId="3886" builtinId="9" hidden="1"/>
    <cellStyle name="表示済みのハイパーリンク" xfId="3888" builtinId="9" hidden="1"/>
    <cellStyle name="表示済みのハイパーリンク" xfId="3890" builtinId="9" hidden="1"/>
    <cellStyle name="表示済みのハイパーリンク" xfId="3892" builtinId="9" hidden="1"/>
    <cellStyle name="表示済みのハイパーリンク" xfId="3894" builtinId="9" hidden="1"/>
    <cellStyle name="表示済みのハイパーリンク" xfId="3896" builtinId="9" hidden="1"/>
    <cellStyle name="表示済みのハイパーリンク" xfId="3898" builtinId="9" hidden="1"/>
    <cellStyle name="表示済みのハイパーリンク" xfId="3900" builtinId="9" hidden="1"/>
    <cellStyle name="表示済みのハイパーリンク" xfId="3902" builtinId="9" hidden="1"/>
    <cellStyle name="表示済みのハイパーリンク" xfId="3904" builtinId="9" hidden="1"/>
    <cellStyle name="表示済みのハイパーリンク" xfId="3906" builtinId="9" hidden="1"/>
    <cellStyle name="表示済みのハイパーリンク" xfId="3908" builtinId="9" hidden="1"/>
    <cellStyle name="表示済みのハイパーリンク" xfId="3910" builtinId="9" hidden="1"/>
    <cellStyle name="表示済みのハイパーリンク" xfId="3912" builtinId="9" hidden="1"/>
    <cellStyle name="表示済みのハイパーリンク" xfId="3914" builtinId="9" hidden="1"/>
    <cellStyle name="表示済みのハイパーリンク" xfId="3916" builtinId="9" hidden="1"/>
    <cellStyle name="表示済みのハイパーリンク" xfId="3918" builtinId="9" hidden="1"/>
    <cellStyle name="表示済みのハイパーリンク" xfId="3920" builtinId="9" hidden="1"/>
    <cellStyle name="表示済みのハイパーリンク" xfId="3922" builtinId="9" hidden="1"/>
    <cellStyle name="表示済みのハイパーリンク" xfId="3924" builtinId="9" hidden="1"/>
    <cellStyle name="表示済みのハイパーリンク" xfId="3926" builtinId="9" hidden="1"/>
    <cellStyle name="表示済みのハイパーリンク" xfId="3928" builtinId="9" hidden="1"/>
    <cellStyle name="表示済みのハイパーリンク" xfId="3930" builtinId="9" hidden="1"/>
    <cellStyle name="表示済みのハイパーリンク" xfId="3932" builtinId="9" hidden="1"/>
    <cellStyle name="表示済みのハイパーリンク" xfId="3934" builtinId="9" hidden="1"/>
    <cellStyle name="表示済みのハイパーリンク" xfId="3936" builtinId="9" hidden="1"/>
    <cellStyle name="表示済みのハイパーリンク" xfId="3938" builtinId="9" hidden="1"/>
    <cellStyle name="表示済みのハイパーリンク" xfId="3940" builtinId="9" hidden="1"/>
    <cellStyle name="表示済みのハイパーリンク" xfId="3942" builtinId="9" hidden="1"/>
    <cellStyle name="表示済みのハイパーリンク" xfId="3944" builtinId="9" hidden="1"/>
    <cellStyle name="表示済みのハイパーリンク" xfId="3946" builtinId="9" hidden="1"/>
    <cellStyle name="表示済みのハイパーリンク" xfId="3948" builtinId="9" hidden="1"/>
    <cellStyle name="表示済みのハイパーリンク" xfId="3950" builtinId="9" hidden="1"/>
    <cellStyle name="表示済みのハイパーリンク" xfId="3952" builtinId="9" hidden="1"/>
    <cellStyle name="表示済みのハイパーリンク" xfId="3954" builtinId="9" hidden="1"/>
    <cellStyle name="表示済みのハイパーリンク" xfId="3956" builtinId="9" hidden="1"/>
    <cellStyle name="表示済みのハイパーリンク" xfId="3958" builtinId="9" hidden="1"/>
    <cellStyle name="表示済みのハイパーリンク" xfId="3960" builtinId="9" hidden="1"/>
    <cellStyle name="表示済みのハイパーリンク" xfId="3962" builtinId="9" hidden="1"/>
    <cellStyle name="表示済みのハイパーリンク" xfId="3964" builtinId="9" hidden="1"/>
    <cellStyle name="表示済みのハイパーリンク" xfId="3966" builtinId="9" hidden="1"/>
    <cellStyle name="表示済みのハイパーリンク" xfId="3968" builtinId="9" hidden="1"/>
    <cellStyle name="表示済みのハイパーリンク" xfId="3970" builtinId="9" hidden="1"/>
    <cellStyle name="表示済みのハイパーリンク" xfId="3972" builtinId="9" hidden="1"/>
    <cellStyle name="表示済みのハイパーリンク" xfId="3974" builtinId="9" hidden="1"/>
    <cellStyle name="表示済みのハイパーリンク" xfId="3976" builtinId="9" hidden="1"/>
    <cellStyle name="表示済みのハイパーリンク" xfId="3978" builtinId="9" hidden="1"/>
    <cellStyle name="表示済みのハイパーリンク" xfId="3980" builtinId="9" hidden="1"/>
    <cellStyle name="表示済みのハイパーリンク" xfId="3982" builtinId="9" hidden="1"/>
    <cellStyle name="表示済みのハイパーリンク" xfId="3984" builtinId="9" hidden="1"/>
    <cellStyle name="表示済みのハイパーリンク" xfId="3986" builtinId="9" hidden="1"/>
    <cellStyle name="表示済みのハイパーリンク" xfId="3988" builtinId="9" hidden="1"/>
    <cellStyle name="表示済みのハイパーリンク" xfId="3990" builtinId="9" hidden="1"/>
    <cellStyle name="表示済みのハイパーリンク" xfId="3992" builtinId="9" hidden="1"/>
    <cellStyle name="表示済みのハイパーリンク" xfId="3994" builtinId="9" hidden="1"/>
    <cellStyle name="表示済みのハイパーリンク" xfId="3996" builtinId="9" hidden="1"/>
    <cellStyle name="表示済みのハイパーリンク" xfId="3998" builtinId="9" hidden="1"/>
    <cellStyle name="表示済みのハイパーリンク" xfId="4000" builtinId="9" hidden="1"/>
    <cellStyle name="表示済みのハイパーリンク" xfId="4002" builtinId="9" hidden="1"/>
    <cellStyle name="表示済みのハイパーリンク" xfId="4004" builtinId="9" hidden="1"/>
    <cellStyle name="表示済みのハイパーリンク" xfId="4006" builtinId="9" hidden="1"/>
    <cellStyle name="表示済みのハイパーリンク" xfId="4008" builtinId="9" hidden="1"/>
    <cellStyle name="表示済みのハイパーリンク" xfId="4010" builtinId="9" hidden="1"/>
    <cellStyle name="表示済みのハイパーリンク" xfId="4012" builtinId="9" hidden="1"/>
    <cellStyle name="表示済みのハイパーリンク" xfId="4014" builtinId="9" hidden="1"/>
    <cellStyle name="表示済みのハイパーリンク" xfId="4016" builtinId="9" hidden="1"/>
    <cellStyle name="表示済みのハイパーリンク" xfId="4018" builtinId="9" hidden="1"/>
    <cellStyle name="表示済みのハイパーリンク" xfId="4020" builtinId="9" hidden="1"/>
    <cellStyle name="表示済みのハイパーリンク" xfId="4022" builtinId="9" hidden="1"/>
    <cellStyle name="表示済みのハイパーリンク" xfId="4024" builtinId="9" hidden="1"/>
    <cellStyle name="表示済みのハイパーリンク" xfId="4026" builtinId="9" hidden="1"/>
    <cellStyle name="表示済みのハイパーリンク" xfId="4028" builtinId="9" hidden="1"/>
    <cellStyle name="表示済みのハイパーリンク" xfId="4030" builtinId="9" hidden="1"/>
    <cellStyle name="表示済みのハイパーリンク" xfId="4032" builtinId="9" hidden="1"/>
    <cellStyle name="表示済みのハイパーリンク" xfId="4034" builtinId="9" hidden="1"/>
    <cellStyle name="表示済みのハイパーリンク" xfId="4036" builtinId="9" hidden="1"/>
    <cellStyle name="表示済みのハイパーリンク" xfId="4038" builtinId="9" hidden="1"/>
    <cellStyle name="表示済みのハイパーリンク" xfId="4040" builtinId="9" hidden="1"/>
    <cellStyle name="表示済みのハイパーリンク" xfId="4042" builtinId="9" hidden="1"/>
    <cellStyle name="表示済みのハイパーリンク" xfId="4044" builtinId="9" hidden="1"/>
    <cellStyle name="表示済みのハイパーリンク" xfId="4046" builtinId="9" hidden="1"/>
    <cellStyle name="表示済みのハイパーリンク" xfId="4048" builtinId="9" hidden="1"/>
    <cellStyle name="表示済みのハイパーリンク" xfId="4050" builtinId="9" hidden="1"/>
    <cellStyle name="表示済みのハイパーリンク" xfId="4052" builtinId="9" hidden="1"/>
    <cellStyle name="表示済みのハイパーリンク" xfId="4054" builtinId="9" hidden="1"/>
    <cellStyle name="表示済みのハイパーリンク" xfId="4056" builtinId="9" hidden="1"/>
    <cellStyle name="表示済みのハイパーリンク" xfId="4058" builtinId="9" hidden="1"/>
    <cellStyle name="表示済みのハイパーリンク" xfId="4060" builtinId="9" hidden="1"/>
    <cellStyle name="表示済みのハイパーリンク" xfId="4062" builtinId="9" hidden="1"/>
    <cellStyle name="表示済みのハイパーリンク" xfId="4064" builtinId="9" hidden="1"/>
    <cellStyle name="表示済みのハイパーリンク" xfId="4066" builtinId="9" hidden="1"/>
    <cellStyle name="表示済みのハイパーリンク" xfId="4068" builtinId="9" hidden="1"/>
    <cellStyle name="表示済みのハイパーリンク" xfId="4070" builtinId="9" hidden="1"/>
    <cellStyle name="表示済みのハイパーリンク" xfId="4072" builtinId="9" hidden="1"/>
    <cellStyle name="表示済みのハイパーリンク" xfId="4074" builtinId="9" hidden="1"/>
    <cellStyle name="表示済みのハイパーリンク" xfId="4076" builtinId="9" hidden="1"/>
    <cellStyle name="表示済みのハイパーリンク" xfId="4078" builtinId="9" hidden="1"/>
    <cellStyle name="表示済みのハイパーリンク" xfId="4080" builtinId="9" hidden="1"/>
    <cellStyle name="表示済みのハイパーリンク" xfId="4082" builtinId="9" hidden="1"/>
    <cellStyle name="表示済みのハイパーリンク" xfId="4084" builtinId="9" hidden="1"/>
    <cellStyle name="表示済みのハイパーリンク" xfId="4086" builtinId="9" hidden="1"/>
    <cellStyle name="表示済みのハイパーリンク" xfId="4088" builtinId="9" hidden="1"/>
    <cellStyle name="表示済みのハイパーリンク" xfId="4090" builtinId="9" hidden="1"/>
    <cellStyle name="表示済みのハイパーリンク" xfId="4092" builtinId="9" hidden="1"/>
    <cellStyle name="表示済みのハイパーリンク" xfId="4094" builtinId="9" hidden="1"/>
    <cellStyle name="表示済みのハイパーリンク" xfId="4096" builtinId="9" hidden="1"/>
    <cellStyle name="表示済みのハイパーリンク" xfId="4098" builtinId="9" hidden="1"/>
    <cellStyle name="表示済みのハイパーリンク" xfId="4100" builtinId="9" hidden="1"/>
    <cellStyle name="表示済みのハイパーリンク" xfId="4102" builtinId="9" hidden="1"/>
    <cellStyle name="表示済みのハイパーリンク" xfId="4104" builtinId="9" hidden="1"/>
    <cellStyle name="表示済みのハイパーリンク" xfId="4106" builtinId="9" hidden="1"/>
    <cellStyle name="表示済みのハイパーリンク" xfId="4108" builtinId="9" hidden="1"/>
    <cellStyle name="表示済みのハイパーリンク" xfId="4110" builtinId="9" hidden="1"/>
    <cellStyle name="表示済みのハイパーリンク" xfId="4112" builtinId="9" hidden="1"/>
    <cellStyle name="表示済みのハイパーリンク" xfId="4114" builtinId="9" hidden="1"/>
    <cellStyle name="表示済みのハイパーリンク" xfId="4116" builtinId="9" hidden="1"/>
    <cellStyle name="表示済みのハイパーリンク" xfId="4118" builtinId="9" hidden="1"/>
    <cellStyle name="表示済みのハイパーリンク" xfId="4120" builtinId="9" hidden="1"/>
    <cellStyle name="表示済みのハイパーリンク" xfId="4122" builtinId="9" hidden="1"/>
    <cellStyle name="表示済みのハイパーリンク" xfId="4124" builtinId="9" hidden="1"/>
    <cellStyle name="表示済みのハイパーリンク" xfId="4126" builtinId="9" hidden="1"/>
    <cellStyle name="表示済みのハイパーリンク" xfId="4128" builtinId="9" hidden="1"/>
    <cellStyle name="表示済みのハイパーリンク" xfId="4130" builtinId="9" hidden="1"/>
    <cellStyle name="表示済みのハイパーリンク" xfId="4132" builtinId="9" hidden="1"/>
    <cellStyle name="表示済みのハイパーリンク" xfId="4134" builtinId="9" hidden="1"/>
    <cellStyle name="表示済みのハイパーリンク" xfId="4136" builtinId="9" hidden="1"/>
    <cellStyle name="表示済みのハイパーリンク" xfId="4138" builtinId="9" hidden="1"/>
    <cellStyle name="表示済みのハイパーリンク" xfId="4140" builtinId="9" hidden="1"/>
    <cellStyle name="表示済みのハイパーリンク" xfId="4142" builtinId="9" hidden="1"/>
    <cellStyle name="表示済みのハイパーリンク" xfId="4144" builtinId="9" hidden="1"/>
    <cellStyle name="表示済みのハイパーリンク" xfId="4146" builtinId="9" hidden="1"/>
    <cellStyle name="表示済みのハイパーリンク" xfId="4148" builtinId="9" hidden="1"/>
    <cellStyle name="表示済みのハイパーリンク" xfId="4150" builtinId="9" hidden="1"/>
    <cellStyle name="表示済みのハイパーリンク" xfId="4152" builtinId="9" hidden="1"/>
    <cellStyle name="表示済みのハイパーリンク" xfId="4154" builtinId="9" hidden="1"/>
    <cellStyle name="表示済みのハイパーリンク" xfId="4156" builtinId="9" hidden="1"/>
    <cellStyle name="表示済みのハイパーリンク" xfId="4158" builtinId="9" hidden="1"/>
    <cellStyle name="表示済みのハイパーリンク" xfId="4160" builtinId="9" hidden="1"/>
    <cellStyle name="表示済みのハイパーリンク" xfId="4162" builtinId="9" hidden="1"/>
    <cellStyle name="表示済みのハイパーリンク" xfId="4164" builtinId="9" hidden="1"/>
    <cellStyle name="表示済みのハイパーリンク" xfId="4166" builtinId="9" hidden="1"/>
    <cellStyle name="表示済みのハイパーリンク" xfId="4168" builtinId="9" hidden="1"/>
    <cellStyle name="表示済みのハイパーリンク" xfId="4170" builtinId="9" hidden="1"/>
    <cellStyle name="表示済みのハイパーリンク" xfId="4172" builtinId="9" hidden="1"/>
    <cellStyle name="表示済みのハイパーリンク" xfId="4174" builtinId="9" hidden="1"/>
    <cellStyle name="表示済みのハイパーリンク" xfId="4176" builtinId="9" hidden="1"/>
    <cellStyle name="表示済みのハイパーリンク" xfId="4178" builtinId="9" hidden="1"/>
    <cellStyle name="表示済みのハイパーリンク" xfId="4180" builtinId="9" hidden="1"/>
    <cellStyle name="表示済みのハイパーリンク" xfId="4182" builtinId="9" hidden="1"/>
    <cellStyle name="表示済みのハイパーリンク" xfId="4184" builtinId="9" hidden="1"/>
    <cellStyle name="表示済みのハイパーリンク" xfId="4186" builtinId="9" hidden="1"/>
    <cellStyle name="表示済みのハイパーリンク" xfId="4188" builtinId="9" hidden="1"/>
    <cellStyle name="表示済みのハイパーリンク" xfId="4190" builtinId="9" hidden="1"/>
    <cellStyle name="表示済みのハイパーリンク" xfId="4192" builtinId="9" hidden="1"/>
    <cellStyle name="表示済みのハイパーリンク" xfId="4194" builtinId="9" hidden="1"/>
    <cellStyle name="表示済みのハイパーリンク" xfId="4196" builtinId="9" hidden="1"/>
    <cellStyle name="表示済みのハイパーリンク" xfId="4198" builtinId="9" hidden="1"/>
    <cellStyle name="表示済みのハイパーリンク" xfId="4200" builtinId="9" hidden="1"/>
    <cellStyle name="表示済みのハイパーリンク" xfId="4202" builtinId="9" hidden="1"/>
    <cellStyle name="表示済みのハイパーリンク" xfId="4204" builtinId="9" hidden="1"/>
    <cellStyle name="表示済みのハイパーリンク" xfId="4206" builtinId="9" hidden="1"/>
    <cellStyle name="表示済みのハイパーリンク" xfId="4208" builtinId="9" hidden="1"/>
    <cellStyle name="表示済みのハイパーリンク" xfId="4210" builtinId="9" hidden="1"/>
    <cellStyle name="表示済みのハイパーリンク" xfId="4212" builtinId="9" hidden="1"/>
    <cellStyle name="表示済みのハイパーリンク" xfId="4214" builtinId="9" hidden="1"/>
    <cellStyle name="表示済みのハイパーリンク" xfId="4216" builtinId="9" hidden="1"/>
    <cellStyle name="表示済みのハイパーリンク" xfId="4218" builtinId="9" hidden="1"/>
    <cellStyle name="表示済みのハイパーリンク" xfId="4220" builtinId="9" hidden="1"/>
    <cellStyle name="表示済みのハイパーリンク" xfId="4222" builtinId="9" hidden="1"/>
    <cellStyle name="表示済みのハイパーリンク" xfId="4224" builtinId="9" hidden="1"/>
    <cellStyle name="表示済みのハイパーリンク" xfId="4226" builtinId="9" hidden="1"/>
    <cellStyle name="表示済みのハイパーリンク" xfId="4228" builtinId="9" hidden="1"/>
    <cellStyle name="表示済みのハイパーリンク" xfId="4230" builtinId="9" hidden="1"/>
    <cellStyle name="表示済みのハイパーリンク" xfId="4232" builtinId="9" hidden="1"/>
    <cellStyle name="表示済みのハイパーリンク" xfId="4234" builtinId="9" hidden="1"/>
    <cellStyle name="表示済みのハイパーリンク" xfId="4236" builtinId="9" hidden="1"/>
    <cellStyle name="表示済みのハイパーリンク" xfId="4238" builtinId="9" hidden="1"/>
    <cellStyle name="表示済みのハイパーリンク" xfId="4240" builtinId="9" hidden="1"/>
    <cellStyle name="表示済みのハイパーリンク" xfId="4242" builtinId="9" hidden="1"/>
    <cellStyle name="表示済みのハイパーリンク" xfId="4244" builtinId="9" hidden="1"/>
    <cellStyle name="表示済みのハイパーリンク" xfId="4246" builtinId="9" hidden="1"/>
    <cellStyle name="表示済みのハイパーリンク" xfId="4248" builtinId="9" hidden="1"/>
    <cellStyle name="表示済みのハイパーリンク" xfId="4250" builtinId="9" hidden="1"/>
    <cellStyle name="表示済みのハイパーリンク" xfId="4252" builtinId="9" hidden="1"/>
    <cellStyle name="表示済みのハイパーリンク" xfId="4254" builtinId="9" hidden="1"/>
    <cellStyle name="表示済みのハイパーリンク" xfId="4256" builtinId="9" hidden="1"/>
    <cellStyle name="表示済みのハイパーリンク" xfId="4258" builtinId="9" hidden="1"/>
    <cellStyle name="表示済みのハイパーリンク" xfId="4260" builtinId="9" hidden="1"/>
    <cellStyle name="表示済みのハイパーリンク" xfId="4262" builtinId="9" hidden="1"/>
    <cellStyle name="表示済みのハイパーリンク" xfId="4264" builtinId="9" hidden="1"/>
    <cellStyle name="表示済みのハイパーリンク" xfId="4266" builtinId="9" hidden="1"/>
    <cellStyle name="表示済みのハイパーリンク" xfId="4268" builtinId="9" hidden="1"/>
    <cellStyle name="表示済みのハイパーリンク" xfId="4270" builtinId="9" hidden="1"/>
    <cellStyle name="表示済みのハイパーリンク" xfId="4272" builtinId="9" hidden="1"/>
    <cellStyle name="表示済みのハイパーリンク" xfId="4274" builtinId="9" hidden="1"/>
    <cellStyle name="表示済みのハイパーリンク" xfId="4276" builtinId="9" hidden="1"/>
    <cellStyle name="表示済みのハイパーリンク" xfId="4278" builtinId="9" hidden="1"/>
    <cellStyle name="表示済みのハイパーリンク" xfId="4280" builtinId="9" hidden="1"/>
    <cellStyle name="表示済みのハイパーリンク" xfId="4282" builtinId="9" hidden="1"/>
    <cellStyle name="表示済みのハイパーリンク" xfId="4284" builtinId="9" hidden="1"/>
    <cellStyle name="表示済みのハイパーリンク" xfId="4286" builtinId="9" hidden="1"/>
    <cellStyle name="表示済みのハイパーリンク" xfId="4288" builtinId="9" hidden="1"/>
    <cellStyle name="表示済みのハイパーリンク" xfId="4290" builtinId="9" hidden="1"/>
    <cellStyle name="表示済みのハイパーリンク" xfId="4292" builtinId="9" hidden="1"/>
    <cellStyle name="表示済みのハイパーリンク" xfId="4294" builtinId="9" hidden="1"/>
    <cellStyle name="表示済みのハイパーリンク" xfId="4296" builtinId="9" hidden="1"/>
    <cellStyle name="表示済みのハイパーリンク" xfId="4298" builtinId="9" hidden="1"/>
    <cellStyle name="表示済みのハイパーリンク" xfId="4300" builtinId="9" hidden="1"/>
    <cellStyle name="表示済みのハイパーリンク" xfId="4302" builtinId="9" hidden="1"/>
    <cellStyle name="表示済みのハイパーリンク" xfId="4304" builtinId="9" hidden="1"/>
    <cellStyle name="表示済みのハイパーリンク" xfId="4306" builtinId="9" hidden="1"/>
    <cellStyle name="表示済みのハイパーリンク" xfId="4308" builtinId="9" hidden="1"/>
    <cellStyle name="表示済みのハイパーリンク" xfId="4310" builtinId="9" hidden="1"/>
    <cellStyle name="表示済みのハイパーリンク" xfId="4312" builtinId="9" hidden="1"/>
    <cellStyle name="表示済みのハイパーリンク" xfId="4314" builtinId="9" hidden="1"/>
    <cellStyle name="表示済みのハイパーリンク" xfId="4316" builtinId="9" hidden="1"/>
    <cellStyle name="表示済みのハイパーリンク" xfId="4318" builtinId="9" hidden="1"/>
    <cellStyle name="表示済みのハイパーリンク" xfId="4320" builtinId="9" hidden="1"/>
    <cellStyle name="表示済みのハイパーリンク" xfId="4322" builtinId="9" hidden="1"/>
    <cellStyle name="表示済みのハイパーリンク" xfId="4324" builtinId="9" hidden="1"/>
    <cellStyle name="表示済みのハイパーリンク" xfId="4326" builtinId="9" hidden="1"/>
    <cellStyle name="表示済みのハイパーリンク" xfId="4328" builtinId="9" hidden="1"/>
    <cellStyle name="表示済みのハイパーリンク" xfId="4330" builtinId="9" hidden="1"/>
    <cellStyle name="表示済みのハイパーリンク" xfId="4332" builtinId="9" hidden="1"/>
    <cellStyle name="表示済みのハイパーリンク" xfId="4334" builtinId="9" hidden="1"/>
    <cellStyle name="表示済みのハイパーリンク" xfId="4336" builtinId="9" hidden="1"/>
    <cellStyle name="表示済みのハイパーリンク" xfId="4338" builtinId="9" hidden="1"/>
    <cellStyle name="表示済みのハイパーリンク" xfId="4340" builtinId="9" hidden="1"/>
    <cellStyle name="表示済みのハイパーリンク" xfId="4342" builtinId="9" hidden="1"/>
    <cellStyle name="表示済みのハイパーリンク" xfId="4344" builtinId="9" hidden="1"/>
    <cellStyle name="表示済みのハイパーリンク" xfId="4346" builtinId="9" hidden="1"/>
    <cellStyle name="表示済みのハイパーリンク" xfId="4348" builtinId="9" hidden="1"/>
    <cellStyle name="表示済みのハイパーリンク" xfId="4350" builtinId="9" hidden="1"/>
    <cellStyle name="表示済みのハイパーリンク" xfId="4352" builtinId="9" hidden="1"/>
    <cellStyle name="表示済みのハイパーリンク" xfId="4354" builtinId="9" hidden="1"/>
    <cellStyle name="表示済みのハイパーリンク" xfId="4356" builtinId="9" hidden="1"/>
    <cellStyle name="表示済みのハイパーリンク" xfId="4358" builtinId="9" hidden="1"/>
    <cellStyle name="表示済みのハイパーリンク" xfId="4360" builtinId="9" hidden="1"/>
    <cellStyle name="表示済みのハイパーリンク" xfId="4362" builtinId="9" hidden="1"/>
    <cellStyle name="表示済みのハイパーリンク" xfId="4364" builtinId="9" hidden="1"/>
    <cellStyle name="表示済みのハイパーリンク" xfId="4366" builtinId="9" hidden="1"/>
    <cellStyle name="表示済みのハイパーリンク" xfId="4368" builtinId="9" hidden="1"/>
    <cellStyle name="表示済みのハイパーリンク" xfId="4370" builtinId="9" hidden="1"/>
    <cellStyle name="表示済みのハイパーリンク" xfId="4372" builtinId="9" hidden="1"/>
    <cellStyle name="表示済みのハイパーリンク" xfId="4375" builtinId="9" hidden="1"/>
    <cellStyle name="表示済みのハイパーリンク" xfId="4377" builtinId="9" hidden="1"/>
    <cellStyle name="表示済みのハイパーリンク" xfId="4379" builtinId="9" hidden="1"/>
    <cellStyle name="表示済みのハイパーリンク" xfId="4381" builtinId="9" hidden="1"/>
    <cellStyle name="表示済みのハイパーリンク" xfId="4383" builtinId="9" hidden="1"/>
    <cellStyle name="表示済みのハイパーリンク" xfId="4385" builtinId="9" hidden="1"/>
    <cellStyle name="表示済みのハイパーリンク" xfId="4387" builtinId="9" hidden="1"/>
    <cellStyle name="表示済みのハイパーリンク" xfId="4389" builtinId="9" hidden="1"/>
    <cellStyle name="表示済みのハイパーリンク" xfId="4391" builtinId="9" hidden="1"/>
    <cellStyle name="表示済みのハイパーリンク" xfId="4393" builtinId="9" hidden="1"/>
    <cellStyle name="表示済みのハイパーリンク" xfId="4395" builtinId="9" hidden="1"/>
    <cellStyle name="表示済みのハイパーリンク" xfId="4397" builtinId="9" hidden="1"/>
    <cellStyle name="表示済みのハイパーリンク" xfId="4399" builtinId="9" hidden="1"/>
    <cellStyle name="表示済みのハイパーリンク" xfId="4401" builtinId="9" hidden="1"/>
    <cellStyle name="表示済みのハイパーリンク" xfId="4403" builtinId="9" hidden="1"/>
    <cellStyle name="表示済みのハイパーリンク" xfId="4405" builtinId="9" hidden="1"/>
    <cellStyle name="表示済みのハイパーリンク" xfId="4407" builtinId="9" hidden="1"/>
    <cellStyle name="表示済みのハイパーリンク" xfId="4409" builtinId="9" hidden="1"/>
    <cellStyle name="表示済みのハイパーリンク" xfId="4411" builtinId="9" hidden="1"/>
    <cellStyle name="表示済みのハイパーリンク" xfId="4413" builtinId="9" hidden="1"/>
    <cellStyle name="表示済みのハイパーリンク" xfId="4415" builtinId="9" hidden="1"/>
    <cellStyle name="表示済みのハイパーリンク" xfId="4417" builtinId="9" hidden="1"/>
    <cellStyle name="表示済みのハイパーリンク" xfId="4419" builtinId="9" hidden="1"/>
    <cellStyle name="表示済みのハイパーリンク" xfId="4421" builtinId="9" hidden="1"/>
    <cellStyle name="表示済みのハイパーリンク" xfId="4423" builtinId="9" hidden="1"/>
    <cellStyle name="表示済みのハイパーリンク" xfId="4425" builtinId="9" hidden="1"/>
    <cellStyle name="表示済みのハイパーリンク" xfId="4427" builtinId="9" hidden="1"/>
    <cellStyle name="表示済みのハイパーリンク" xfId="4429" builtinId="9" hidden="1"/>
    <cellStyle name="表示済みのハイパーリンク" xfId="4431" builtinId="9" hidden="1"/>
    <cellStyle name="表示済みのハイパーリンク" xfId="4433" builtinId="9" hidden="1"/>
    <cellStyle name="表示済みのハイパーリンク" xfId="4435" builtinId="9" hidden="1"/>
    <cellStyle name="表示済みのハイパーリンク" xfId="4437" builtinId="9" hidden="1"/>
    <cellStyle name="表示済みのハイパーリンク" xfId="4439" builtinId="9" hidden="1"/>
    <cellStyle name="表示済みのハイパーリンク" xfId="4441" builtinId="9" hidden="1"/>
    <cellStyle name="表示済みのハイパーリンク" xfId="4443" builtinId="9" hidden="1"/>
    <cellStyle name="表示済みのハイパーリンク" xfId="4445" builtinId="9" hidden="1"/>
    <cellStyle name="表示済みのハイパーリンク" xfId="4447" builtinId="9" hidden="1"/>
    <cellStyle name="表示済みのハイパーリンク" xfId="4449" builtinId="9" hidden="1"/>
    <cellStyle name="表示済みのハイパーリンク" xfId="4451" builtinId="9" hidden="1"/>
    <cellStyle name="表示済みのハイパーリンク" xfId="4453" builtinId="9" hidden="1"/>
    <cellStyle name="表示済みのハイパーリンク" xfId="4455" builtinId="9" hidden="1"/>
    <cellStyle name="表示済みのハイパーリンク" xfId="4457" builtinId="9" hidden="1"/>
    <cellStyle name="表示済みのハイパーリンク" xfId="4459" builtinId="9" hidden="1"/>
    <cellStyle name="表示済みのハイパーリンク" xfId="4461" builtinId="9" hidden="1"/>
    <cellStyle name="表示済みのハイパーリンク" xfId="4463" builtinId="9" hidden="1"/>
    <cellStyle name="表示済みのハイパーリンク" xfId="4465" builtinId="9" hidden="1"/>
    <cellStyle name="表示済みのハイパーリンク" xfId="4467" builtinId="9" hidden="1"/>
    <cellStyle name="表示済みのハイパーリンク" xfId="4469" builtinId="9" hidden="1"/>
    <cellStyle name="表示済みのハイパーリンク" xfId="4471" builtinId="9" hidden="1"/>
    <cellStyle name="表示済みのハイパーリンク" xfId="4473" builtinId="9" hidden="1"/>
    <cellStyle name="表示済みのハイパーリンク" xfId="4475" builtinId="9" hidden="1"/>
    <cellStyle name="表示済みのハイパーリンク" xfId="4477" builtinId="9" hidden="1"/>
    <cellStyle name="表示済みのハイパーリンク" xfId="4479" builtinId="9" hidden="1"/>
    <cellStyle name="表示済みのハイパーリンク" xfId="4481" builtinId="9" hidden="1"/>
    <cellStyle name="表示済みのハイパーリンク" xfId="4483" builtinId="9" hidden="1"/>
    <cellStyle name="表示済みのハイパーリンク" xfId="4485" builtinId="9" hidden="1"/>
    <cellStyle name="表示済みのハイパーリンク" xfId="4487" builtinId="9" hidden="1"/>
    <cellStyle name="表示済みのハイパーリンク" xfId="4489" builtinId="9" hidden="1"/>
    <cellStyle name="表示済みのハイパーリンク" xfId="4491" builtinId="9" hidden="1"/>
    <cellStyle name="表示済みのハイパーリンク" xfId="4493" builtinId="9" hidden="1"/>
    <cellStyle name="表示済みのハイパーリンク" xfId="4495" builtinId="9" hidden="1"/>
    <cellStyle name="表示済みのハイパーリンク" xfId="4497" builtinId="9" hidden="1"/>
    <cellStyle name="表示済みのハイパーリンク" xfId="4499" builtinId="9" hidden="1"/>
    <cellStyle name="表示済みのハイパーリンク" xfId="4501" builtinId="9" hidden="1"/>
    <cellStyle name="表示済みのハイパーリンク" xfId="4503" builtinId="9" hidden="1"/>
    <cellStyle name="表示済みのハイパーリンク" xfId="4505" builtinId="9" hidden="1"/>
    <cellStyle name="表示済みのハイパーリンク" xfId="4507" builtinId="9" hidden="1"/>
    <cellStyle name="表示済みのハイパーリンク" xfId="4509" builtinId="9" hidden="1"/>
    <cellStyle name="表示済みのハイパーリンク" xfId="4511" builtinId="9" hidden="1"/>
    <cellStyle name="表示済みのハイパーリンク" xfId="4513" builtinId="9" hidden="1"/>
    <cellStyle name="表示済みのハイパーリンク" xfId="4515" builtinId="9" hidden="1"/>
    <cellStyle name="表示済みのハイパーリンク" xfId="4517" builtinId="9" hidden="1"/>
    <cellStyle name="表示済みのハイパーリンク" xfId="4519" builtinId="9" hidden="1"/>
    <cellStyle name="表示済みのハイパーリンク" xfId="4521" builtinId="9" hidden="1"/>
    <cellStyle name="表示済みのハイパーリンク" xfId="4523" builtinId="9" hidden="1"/>
    <cellStyle name="表示済みのハイパーリンク" xfId="4525" builtinId="9" hidden="1"/>
    <cellStyle name="表示済みのハイパーリンク" xfId="4527" builtinId="9" hidden="1"/>
    <cellStyle name="表示済みのハイパーリンク" xfId="4529" builtinId="9" hidden="1"/>
    <cellStyle name="表示済みのハイパーリンク" xfId="4531" builtinId="9" hidden="1"/>
    <cellStyle name="表示済みのハイパーリンク" xfId="4533" builtinId="9" hidden="1"/>
    <cellStyle name="表示済みのハイパーリンク" xfId="4535" builtinId="9" hidden="1"/>
    <cellStyle name="表示済みのハイパーリンク" xfId="4537" builtinId="9" hidden="1"/>
    <cellStyle name="表示済みのハイパーリンク" xfId="4539" builtinId="9" hidden="1"/>
    <cellStyle name="表示済みのハイパーリンク" xfId="4541" builtinId="9" hidden="1"/>
    <cellStyle name="表示済みのハイパーリンク" xfId="4543" builtinId="9" hidden="1"/>
    <cellStyle name="表示済みのハイパーリンク" xfId="4545" builtinId="9" hidden="1"/>
    <cellStyle name="表示済みのハイパーリンク" xfId="4547" builtinId="9" hidden="1"/>
    <cellStyle name="表示済みのハイパーリンク" xfId="4549" builtinId="9" hidden="1"/>
    <cellStyle name="表示済みのハイパーリンク" xfId="4551" builtinId="9" hidden="1"/>
    <cellStyle name="表示済みのハイパーリンク" xfId="4553" builtinId="9" hidden="1"/>
    <cellStyle name="表示済みのハイパーリンク" xfId="4555" builtinId="9" hidden="1"/>
    <cellStyle name="表示済みのハイパーリンク" xfId="4557" builtinId="9" hidden="1"/>
    <cellStyle name="表示済みのハイパーリンク" xfId="4559" builtinId="9" hidden="1"/>
    <cellStyle name="表示済みのハイパーリンク" xfId="4561" builtinId="9" hidden="1"/>
    <cellStyle name="表示済みのハイパーリンク" xfId="4563" builtinId="9" hidden="1"/>
    <cellStyle name="表示済みのハイパーリンク" xfId="4565" builtinId="9" hidden="1"/>
    <cellStyle name="表示済みのハイパーリンク" xfId="4567" builtinId="9" hidden="1"/>
    <cellStyle name="表示済みのハイパーリンク" xfId="4569" builtinId="9" hidden="1"/>
    <cellStyle name="表示済みのハイパーリンク" xfId="4571" builtinId="9" hidden="1"/>
    <cellStyle name="表示済みのハイパーリンク" xfId="4573" builtinId="9" hidden="1"/>
    <cellStyle name="表示済みのハイパーリンク" xfId="4575" builtinId="9" hidden="1"/>
    <cellStyle name="表示済みのハイパーリンク" xfId="4577" builtinId="9" hidden="1"/>
    <cellStyle name="表示済みのハイパーリンク" xfId="4579" builtinId="9" hidden="1"/>
    <cellStyle name="表示済みのハイパーリンク" xfId="4581" builtinId="9" hidden="1"/>
    <cellStyle name="表示済みのハイパーリンク" xfId="4583" builtinId="9" hidden="1"/>
    <cellStyle name="表示済みのハイパーリンク" xfId="4585" builtinId="9" hidden="1"/>
    <cellStyle name="表示済みのハイパーリンク" xfId="4587" builtinId="9" hidden="1"/>
    <cellStyle name="表示済みのハイパーリンク" xfId="4589" builtinId="9" hidden="1"/>
    <cellStyle name="表示済みのハイパーリンク" xfId="4591" builtinId="9" hidden="1"/>
    <cellStyle name="表示済みのハイパーリンク" xfId="4593" builtinId="9" hidden="1"/>
    <cellStyle name="表示済みのハイパーリンク" xfId="4595" builtinId="9" hidden="1"/>
    <cellStyle name="表示済みのハイパーリンク" xfId="4597" builtinId="9" hidden="1"/>
    <cellStyle name="表示済みのハイパーリンク" xfId="4599" builtinId="9" hidden="1"/>
    <cellStyle name="表示済みのハイパーリンク" xfId="4601" builtinId="9" hidden="1"/>
    <cellStyle name="表示済みのハイパーリンク" xfId="4603" builtinId="9" hidden="1"/>
    <cellStyle name="表示済みのハイパーリンク" xfId="4605" builtinId="9" hidden="1"/>
    <cellStyle name="表示済みのハイパーリンク" xfId="4607" builtinId="9" hidden="1"/>
    <cellStyle name="表示済みのハイパーリンク" xfId="4609" builtinId="9" hidden="1"/>
    <cellStyle name="表示済みのハイパーリンク" xfId="4611" builtinId="9" hidden="1"/>
    <cellStyle name="表示済みのハイパーリンク" xfId="4613" builtinId="9" hidden="1"/>
    <cellStyle name="表示済みのハイパーリンク" xfId="4615" builtinId="9" hidden="1"/>
    <cellStyle name="表示済みのハイパーリンク" xfId="4617" builtinId="9" hidden="1"/>
    <cellStyle name="表示済みのハイパーリンク" xfId="4619" builtinId="9" hidden="1"/>
    <cellStyle name="表示済みのハイパーリンク" xfId="4621" builtinId="9" hidden="1"/>
    <cellStyle name="表示済みのハイパーリンク" xfId="4623" builtinId="9" hidden="1"/>
    <cellStyle name="表示済みのハイパーリンク" xfId="4625" builtinId="9" hidden="1"/>
    <cellStyle name="表示済みのハイパーリンク" xfId="4627" builtinId="9" hidden="1"/>
    <cellStyle name="表示済みのハイパーリンク" xfId="4629" builtinId="9" hidden="1"/>
    <cellStyle name="表示済みのハイパーリンク" xfId="4631" builtinId="9" hidden="1"/>
    <cellStyle name="表示済みのハイパーリンク" xfId="4633" builtinId="9" hidden="1"/>
    <cellStyle name="表示済みのハイパーリンク" xfId="4635" builtinId="9" hidden="1"/>
    <cellStyle name="表示済みのハイパーリンク" xfId="4637" builtinId="9" hidden="1"/>
    <cellStyle name="表示済みのハイパーリンク" xfId="4639" builtinId="9" hidden="1"/>
    <cellStyle name="表示済みのハイパーリンク" xfId="4641" builtinId="9" hidden="1"/>
    <cellStyle name="表示済みのハイパーリンク" xfId="4643" builtinId="9" hidden="1"/>
    <cellStyle name="表示済みのハイパーリンク" xfId="4645" builtinId="9" hidden="1"/>
    <cellStyle name="表示済みのハイパーリンク" xfId="4647" builtinId="9" hidden="1"/>
    <cellStyle name="表示済みのハイパーリンク" xfId="4649" builtinId="9" hidden="1"/>
    <cellStyle name="表示済みのハイパーリンク" xfId="4651" builtinId="9" hidden="1"/>
    <cellStyle name="表示済みのハイパーリンク" xfId="4653" builtinId="9" hidden="1"/>
    <cellStyle name="表示済みのハイパーリンク" xfId="4655" builtinId="9" hidden="1"/>
    <cellStyle name="表示済みのハイパーリンク" xfId="4657" builtinId="9" hidden="1"/>
    <cellStyle name="表示済みのハイパーリンク" xfId="4659" builtinId="9" hidden="1"/>
    <cellStyle name="表示済みのハイパーリンク" xfId="4661" builtinId="9" hidden="1"/>
    <cellStyle name="表示済みのハイパーリンク" xfId="4663" builtinId="9" hidden="1"/>
    <cellStyle name="表示済みのハイパーリンク" xfId="4665" builtinId="9" hidden="1"/>
    <cellStyle name="表示済みのハイパーリンク" xfId="4667" builtinId="9" hidden="1"/>
    <cellStyle name="表示済みのハイパーリンク" xfId="4669" builtinId="9" hidden="1"/>
    <cellStyle name="表示済みのハイパーリンク" xfId="4671" builtinId="9" hidden="1"/>
    <cellStyle name="表示済みのハイパーリンク" xfId="4673" builtinId="9" hidden="1"/>
    <cellStyle name="表示済みのハイパーリンク" xfId="4675" builtinId="9" hidden="1"/>
    <cellStyle name="表示済みのハイパーリンク" xfId="4677" builtinId="9" hidden="1"/>
    <cellStyle name="表示済みのハイパーリンク" xfId="4679" builtinId="9" hidden="1"/>
    <cellStyle name="表示済みのハイパーリンク" xfId="4681" builtinId="9" hidden="1"/>
    <cellStyle name="表示済みのハイパーリンク" xfId="4683" builtinId="9" hidden="1"/>
    <cellStyle name="表示済みのハイパーリンク" xfId="4685" builtinId="9" hidden="1"/>
    <cellStyle name="表示済みのハイパーリンク" xfId="4687" builtinId="9" hidden="1"/>
    <cellStyle name="表示済みのハイパーリンク" xfId="4689" builtinId="9" hidden="1"/>
    <cellStyle name="表示済みのハイパーリンク" xfId="4691" builtinId="9" hidden="1"/>
    <cellStyle name="表示済みのハイパーリンク" xfId="4693" builtinId="9" hidden="1"/>
    <cellStyle name="表示済みのハイパーリンク" xfId="4695" builtinId="9" hidden="1"/>
    <cellStyle name="表示済みのハイパーリンク" xfId="4697" builtinId="9" hidden="1"/>
    <cellStyle name="表示済みのハイパーリンク" xfId="4699" builtinId="9" hidden="1"/>
    <cellStyle name="表示済みのハイパーリンク" xfId="4701" builtinId="9" hidden="1"/>
    <cellStyle name="表示済みのハイパーリンク" xfId="4703" builtinId="9" hidden="1"/>
    <cellStyle name="表示済みのハイパーリンク" xfId="4705" builtinId="9" hidden="1"/>
    <cellStyle name="表示済みのハイパーリンク" xfId="4707" builtinId="9" hidden="1"/>
    <cellStyle name="表示済みのハイパーリンク" xfId="4709" builtinId="9" hidden="1"/>
    <cellStyle name="表示済みのハイパーリンク" xfId="4711" builtinId="9" hidden="1"/>
    <cellStyle name="表示済みのハイパーリンク" xfId="4713" builtinId="9" hidden="1"/>
    <cellStyle name="表示済みのハイパーリンク" xfId="4715" builtinId="9" hidden="1"/>
    <cellStyle name="表示済みのハイパーリンク" xfId="4717" builtinId="9" hidden="1"/>
    <cellStyle name="表示済みのハイパーリンク" xfId="4719" builtinId="9" hidden="1"/>
    <cellStyle name="表示済みのハイパーリンク" xfId="4721" builtinId="9" hidden="1"/>
    <cellStyle name="表示済みのハイパーリンク" xfId="4723" builtinId="9" hidden="1"/>
    <cellStyle name="表示済みのハイパーリンク" xfId="4725" builtinId="9" hidden="1"/>
    <cellStyle name="表示済みのハイパーリンク" xfId="4727" builtinId="9" hidden="1"/>
    <cellStyle name="表示済みのハイパーリンク" xfId="4729" builtinId="9" hidden="1"/>
    <cellStyle name="表示済みのハイパーリンク" xfId="4731" builtinId="9" hidden="1"/>
    <cellStyle name="表示済みのハイパーリンク" xfId="4733" builtinId="9" hidden="1"/>
    <cellStyle name="表示済みのハイパーリンク" xfId="4735" builtinId="9" hidden="1"/>
    <cellStyle name="表示済みのハイパーリンク" xfId="4737" builtinId="9" hidden="1"/>
    <cellStyle name="表示済みのハイパーリンク" xfId="4739" builtinId="9" hidden="1"/>
    <cellStyle name="表示済みのハイパーリンク" xfId="4741" builtinId="9" hidden="1"/>
    <cellStyle name="表示済みのハイパーリンク" xfId="4743" builtinId="9" hidden="1"/>
    <cellStyle name="表示済みのハイパーリンク" xfId="4745" builtinId="9" hidden="1"/>
    <cellStyle name="表示済みのハイパーリンク" xfId="4747" builtinId="9" hidden="1"/>
    <cellStyle name="表示済みのハイパーリンク" xfId="4749" builtinId="9" hidden="1"/>
    <cellStyle name="表示済みのハイパーリンク" xfId="4751" builtinId="9" hidden="1"/>
    <cellStyle name="表示済みのハイパーリンク" xfId="4753" builtinId="9" hidden="1"/>
    <cellStyle name="表示済みのハイパーリンク" xfId="4755" builtinId="9" hidden="1"/>
    <cellStyle name="表示済みのハイパーリンク" xfId="4757" builtinId="9" hidden="1"/>
    <cellStyle name="表示済みのハイパーリンク" xfId="4759" builtinId="9" hidden="1"/>
    <cellStyle name="表示済みのハイパーリンク" xfId="4761" builtinId="9" hidden="1"/>
    <cellStyle name="表示済みのハイパーリンク" xfId="4763" builtinId="9" hidden="1"/>
    <cellStyle name="表示済みのハイパーリンク" xfId="4765" builtinId="9" hidden="1"/>
    <cellStyle name="表示済みのハイパーリンク" xfId="4767" builtinId="9" hidden="1"/>
    <cellStyle name="表示済みのハイパーリンク" xfId="4769" builtinId="9" hidden="1"/>
    <cellStyle name="表示済みのハイパーリンク" xfId="4771" builtinId="9" hidden="1"/>
    <cellStyle name="表示済みのハイパーリンク" xfId="4773" builtinId="9" hidden="1"/>
    <cellStyle name="表示済みのハイパーリンク" xfId="4775" builtinId="9" hidden="1"/>
    <cellStyle name="表示済みのハイパーリンク" xfId="4777" builtinId="9" hidden="1"/>
    <cellStyle name="表示済みのハイパーリンク" xfId="4779" builtinId="9" hidden="1"/>
    <cellStyle name="表示済みのハイパーリンク" xfId="4781" builtinId="9" hidden="1"/>
    <cellStyle name="表示済みのハイパーリンク" xfId="4783" builtinId="9" hidden="1"/>
    <cellStyle name="表示済みのハイパーリンク" xfId="4785" builtinId="9" hidden="1"/>
    <cellStyle name="表示済みのハイパーリンク" xfId="4787" builtinId="9" hidden="1"/>
    <cellStyle name="表示済みのハイパーリンク" xfId="4789" builtinId="9" hidden="1"/>
    <cellStyle name="表示済みのハイパーリンク" xfId="4791" builtinId="9" hidden="1"/>
    <cellStyle name="表示済みのハイパーリンク" xfId="4793" builtinId="9" hidden="1"/>
    <cellStyle name="表示済みのハイパーリンク" xfId="4795" builtinId="9" hidden="1"/>
    <cellStyle name="表示済みのハイパーリンク" xfId="4797" builtinId="9" hidden="1"/>
    <cellStyle name="表示済みのハイパーリンク" xfId="4799" builtinId="9" hidden="1"/>
    <cellStyle name="表示済みのハイパーリンク" xfId="4801" builtinId="9" hidden="1"/>
    <cellStyle name="表示済みのハイパーリンク" xfId="4803" builtinId="9" hidden="1"/>
    <cellStyle name="表示済みのハイパーリンク" xfId="4805" builtinId="9" hidden="1"/>
    <cellStyle name="表示済みのハイパーリンク" xfId="4807" builtinId="9" hidden="1"/>
    <cellStyle name="表示済みのハイパーリンク" xfId="4809" builtinId="9" hidden="1"/>
    <cellStyle name="表示済みのハイパーリンク" xfId="4811" builtinId="9" hidden="1"/>
    <cellStyle name="表示済みのハイパーリンク" xfId="4813" builtinId="9" hidden="1"/>
    <cellStyle name="表示済みのハイパーリンク" xfId="4815" builtinId="9" hidden="1"/>
    <cellStyle name="表示済みのハイパーリンク" xfId="4817" builtinId="9" hidden="1"/>
    <cellStyle name="表示済みのハイパーリンク" xfId="4819" builtinId="9" hidden="1"/>
    <cellStyle name="表示済みのハイパーリンク" xfId="4821" builtinId="9" hidden="1"/>
    <cellStyle name="表示済みのハイパーリンク" xfId="4823" builtinId="9" hidden="1"/>
    <cellStyle name="表示済みのハイパーリンク" xfId="4825" builtinId="9" hidden="1"/>
    <cellStyle name="表示済みのハイパーリンク" xfId="4827" builtinId="9" hidden="1"/>
    <cellStyle name="表示済みのハイパーリンク" xfId="4829" builtinId="9" hidden="1"/>
    <cellStyle name="表示済みのハイパーリンク" xfId="4831" builtinId="9" hidden="1"/>
    <cellStyle name="表示済みのハイパーリンク" xfId="4833" builtinId="9" hidden="1"/>
    <cellStyle name="表示済みのハイパーリンク" xfId="4835" builtinId="9" hidden="1"/>
    <cellStyle name="表示済みのハイパーリンク" xfId="4837" builtinId="9" hidden="1"/>
    <cellStyle name="表示済みのハイパーリンク" xfId="4839" builtinId="9" hidden="1"/>
    <cellStyle name="表示済みのハイパーリンク" xfId="4841" builtinId="9" hidden="1"/>
    <cellStyle name="表示済みのハイパーリンク" xfId="4843" builtinId="9" hidden="1"/>
    <cellStyle name="表示済みのハイパーリンク" xfId="4845" builtinId="9" hidden="1"/>
    <cellStyle name="表示済みのハイパーリンク" xfId="4847" builtinId="9" hidden="1"/>
    <cellStyle name="表示済みのハイパーリンク" xfId="4849" builtinId="9" hidden="1"/>
    <cellStyle name="表示済みのハイパーリンク" xfId="4851" builtinId="9" hidden="1"/>
    <cellStyle name="表示済みのハイパーリンク" xfId="4853" builtinId="9" hidden="1"/>
    <cellStyle name="表示済みのハイパーリンク" xfId="4855" builtinId="9" hidden="1"/>
    <cellStyle name="表示済みのハイパーリンク" xfId="4857" builtinId="9" hidden="1"/>
    <cellStyle name="表示済みのハイパーリンク" xfId="4859" builtinId="9" hidden="1"/>
    <cellStyle name="表示済みのハイパーリンク" xfId="4861" builtinId="9" hidden="1"/>
    <cellStyle name="表示済みのハイパーリンク" xfId="4863" builtinId="9" hidden="1"/>
    <cellStyle name="表示済みのハイパーリンク" xfId="4865" builtinId="9" hidden="1"/>
    <cellStyle name="表示済みのハイパーリンク" xfId="4867" builtinId="9" hidden="1"/>
    <cellStyle name="表示済みのハイパーリンク" xfId="4869" builtinId="9" hidden="1"/>
    <cellStyle name="表示済みのハイパーリンク" xfId="4871" builtinId="9" hidden="1"/>
    <cellStyle name="表示済みのハイパーリンク" xfId="4873" builtinId="9" hidden="1"/>
    <cellStyle name="表示済みのハイパーリンク" xfId="4875" builtinId="9" hidden="1"/>
    <cellStyle name="表示済みのハイパーリンク" xfId="4877" builtinId="9" hidden="1"/>
    <cellStyle name="表示済みのハイパーリンク" xfId="4879" builtinId="9" hidden="1"/>
    <cellStyle name="表示済みのハイパーリンク" xfId="4881" builtinId="9" hidden="1"/>
    <cellStyle name="表示済みのハイパーリンク" xfId="4883" builtinId="9" hidden="1"/>
    <cellStyle name="表示済みのハイパーリンク" xfId="4885" builtinId="9" hidden="1"/>
    <cellStyle name="表示済みのハイパーリンク" xfId="4887" builtinId="9" hidden="1"/>
    <cellStyle name="表示済みのハイパーリンク" xfId="4889" builtinId="9" hidden="1"/>
    <cellStyle name="表示済みのハイパーリンク" xfId="4891" builtinId="9" hidden="1"/>
    <cellStyle name="表示済みのハイパーリンク" xfId="4893" builtinId="9" hidden="1"/>
    <cellStyle name="表示済みのハイパーリンク" xfId="4895" builtinId="9" hidden="1"/>
    <cellStyle name="表示済みのハイパーリンク" xfId="4897" builtinId="9" hidden="1"/>
    <cellStyle name="表示済みのハイパーリンク" xfId="4899" builtinId="9" hidden="1"/>
    <cellStyle name="表示済みのハイパーリンク" xfId="4901" builtinId="9" hidden="1"/>
    <cellStyle name="表示済みのハイパーリンク" xfId="4903" builtinId="9" hidden="1"/>
    <cellStyle name="表示済みのハイパーリンク" xfId="4905" builtinId="9" hidden="1"/>
    <cellStyle name="表示済みのハイパーリンク" xfId="4907" builtinId="9" hidden="1"/>
    <cellStyle name="表示済みのハイパーリンク" xfId="4909" builtinId="9" hidden="1"/>
    <cellStyle name="表示済みのハイパーリンク" xfId="4911" builtinId="9" hidden="1"/>
    <cellStyle name="表示済みのハイパーリンク" xfId="4913" builtinId="9" hidden="1"/>
    <cellStyle name="表示済みのハイパーリンク" xfId="4915" builtinId="9" hidden="1"/>
    <cellStyle name="表示済みのハイパーリンク" xfId="4917" builtinId="9" hidden="1"/>
    <cellStyle name="表示済みのハイパーリンク" xfId="4919" builtinId="9" hidden="1"/>
    <cellStyle name="表示済みのハイパーリンク" xfId="4921" builtinId="9" hidden="1"/>
    <cellStyle name="表示済みのハイパーリンク" xfId="4923" builtinId="9" hidden="1"/>
    <cellStyle name="表示済みのハイパーリンク" xfId="4925" builtinId="9" hidden="1"/>
    <cellStyle name="表示済みのハイパーリンク" xfId="4927" builtinId="9" hidden="1"/>
    <cellStyle name="表示済みのハイパーリンク" xfId="4929" builtinId="9" hidden="1"/>
    <cellStyle name="表示済みのハイパーリンク" xfId="4931" builtinId="9" hidden="1"/>
    <cellStyle name="表示済みのハイパーリンク" xfId="4933" builtinId="9" hidden="1"/>
    <cellStyle name="表示済みのハイパーリンク" xfId="4935" builtinId="9" hidden="1"/>
    <cellStyle name="表示済みのハイパーリンク" xfId="4937" builtinId="9" hidden="1"/>
    <cellStyle name="表示済みのハイパーリンク" xfId="4939" builtinId="9" hidden="1"/>
    <cellStyle name="表示済みのハイパーリンク" xfId="4941" builtinId="9" hidden="1"/>
    <cellStyle name="表示済みのハイパーリンク" xfId="4943" builtinId="9" hidden="1"/>
    <cellStyle name="表示済みのハイパーリンク" xfId="4945" builtinId="9" hidden="1"/>
    <cellStyle name="表示済みのハイパーリンク" xfId="4947" builtinId="9" hidden="1"/>
    <cellStyle name="表示済みのハイパーリンク" xfId="4949" builtinId="9" hidden="1"/>
    <cellStyle name="表示済みのハイパーリンク" xfId="4951" builtinId="9" hidden="1"/>
    <cellStyle name="表示済みのハイパーリンク" xfId="4953" builtinId="9" hidden="1"/>
    <cellStyle name="表示済みのハイパーリンク" xfId="4955" builtinId="9" hidden="1"/>
    <cellStyle name="表示済みのハイパーリンク" xfId="4957" builtinId="9" hidden="1"/>
    <cellStyle name="表示済みのハイパーリンク" xfId="4959" builtinId="9" hidden="1"/>
    <cellStyle name="表示済みのハイパーリンク" xfId="4961" builtinId="9" hidden="1"/>
    <cellStyle name="表示済みのハイパーリンク" xfId="4963" builtinId="9" hidden="1"/>
    <cellStyle name="表示済みのハイパーリンク" xfId="4965" builtinId="9" hidden="1"/>
    <cellStyle name="表示済みのハイパーリンク" xfId="4967" builtinId="9" hidden="1"/>
    <cellStyle name="表示済みのハイパーリンク" xfId="4969" builtinId="9" hidden="1"/>
    <cellStyle name="表示済みのハイパーリンク" xfId="4971" builtinId="9" hidden="1"/>
    <cellStyle name="表示済みのハイパーリンク" xfId="4973" builtinId="9" hidden="1"/>
    <cellStyle name="表示済みのハイパーリンク" xfId="4975" builtinId="9" hidden="1"/>
    <cellStyle name="表示済みのハイパーリンク" xfId="4977" builtinId="9" hidden="1"/>
    <cellStyle name="表示済みのハイパーリンク" xfId="4979" builtinId="9" hidden="1"/>
    <cellStyle name="表示済みのハイパーリンク" xfId="4981" builtinId="9" hidden="1"/>
    <cellStyle name="表示済みのハイパーリンク" xfId="4983" builtinId="9" hidden="1"/>
    <cellStyle name="表示済みのハイパーリンク" xfId="4985" builtinId="9" hidden="1"/>
    <cellStyle name="表示済みのハイパーリンク" xfId="4987" builtinId="9" hidden="1"/>
    <cellStyle name="表示済みのハイパーリンク" xfId="4989" builtinId="9" hidden="1"/>
    <cellStyle name="表示済みのハイパーリンク" xfId="4991" builtinId="9" hidden="1"/>
    <cellStyle name="表示済みのハイパーリンク" xfId="4993" builtinId="9" hidden="1"/>
    <cellStyle name="表示済みのハイパーリンク" xfId="4995" builtinId="9" hidden="1"/>
    <cellStyle name="表示済みのハイパーリンク" xfId="4997" builtinId="9" hidden="1"/>
    <cellStyle name="表示済みのハイパーリンク" xfId="4999" builtinId="9" hidden="1"/>
    <cellStyle name="表示済みのハイパーリンク" xfId="5001" builtinId="9" hidden="1"/>
    <cellStyle name="表示済みのハイパーリンク" xfId="5003" builtinId="9" hidden="1"/>
    <cellStyle name="表示済みのハイパーリンク" xfId="5005" builtinId="9" hidden="1"/>
    <cellStyle name="表示済みのハイパーリンク" xfId="5007" builtinId="9" hidden="1"/>
    <cellStyle name="表示済みのハイパーリンク" xfId="5009" builtinId="9" hidden="1"/>
    <cellStyle name="表示済みのハイパーリンク" xfId="5011" builtinId="9" hidden="1"/>
    <cellStyle name="表示済みのハイパーリンク" xfId="5013" builtinId="9" hidden="1"/>
    <cellStyle name="表示済みのハイパーリンク" xfId="5015" builtinId="9" hidden="1"/>
    <cellStyle name="表示済みのハイパーリンク" xfId="5017" builtinId="9" hidden="1"/>
    <cellStyle name="表示済みのハイパーリンク" xfId="5019" builtinId="9" hidden="1"/>
    <cellStyle name="表示済みのハイパーリンク" xfId="5021" builtinId="9" hidden="1"/>
    <cellStyle name="表示済みのハイパーリンク" xfId="5023" builtinId="9" hidden="1"/>
    <cellStyle name="表示済みのハイパーリンク" xfId="5025" builtinId="9" hidden="1"/>
    <cellStyle name="表示済みのハイパーリンク" xfId="5027" builtinId="9" hidden="1"/>
    <cellStyle name="表示済みのハイパーリンク" xfId="5029" builtinId="9" hidden="1"/>
    <cellStyle name="表示済みのハイパーリンク" xfId="5031" builtinId="9" hidden="1"/>
    <cellStyle name="表示済みのハイパーリンク" xfId="5033" builtinId="9" hidden="1"/>
    <cellStyle name="表示済みのハイパーリンク" xfId="5035" builtinId="9" hidden="1"/>
    <cellStyle name="表示済みのハイパーリンク" xfId="5037" builtinId="9" hidden="1"/>
    <cellStyle name="表示済みのハイパーリンク" xfId="5039" builtinId="9" hidden="1"/>
    <cellStyle name="表示済みのハイパーリンク" xfId="5041" builtinId="9" hidden="1"/>
    <cellStyle name="表示済みのハイパーリンク" xfId="5043" builtinId="9" hidden="1"/>
    <cellStyle name="表示済みのハイパーリンク" xfId="5045" builtinId="9" hidden="1"/>
    <cellStyle name="表示済みのハイパーリンク" xfId="5047" builtinId="9" hidden="1"/>
    <cellStyle name="表示済みのハイパーリンク" xfId="5049" builtinId="9" hidden="1"/>
    <cellStyle name="表示済みのハイパーリンク" xfId="5051" builtinId="9" hidden="1"/>
    <cellStyle name="表示済みのハイパーリンク" xfId="5053" builtinId="9" hidden="1"/>
    <cellStyle name="表示済みのハイパーリンク" xfId="5055" builtinId="9" hidden="1"/>
    <cellStyle name="表示済みのハイパーリンク" xfId="5057" builtinId="9" hidden="1"/>
    <cellStyle name="表示済みのハイパーリンク" xfId="5059" builtinId="9" hidden="1"/>
    <cellStyle name="表示済みのハイパーリンク" xfId="5061" builtinId="9" hidden="1"/>
    <cellStyle name="表示済みのハイパーリンク" xfId="5063" builtinId="9" hidden="1"/>
    <cellStyle name="表示済みのハイパーリンク" xfId="5065" builtinId="9" hidden="1"/>
    <cellStyle name="赤字強調" xfId="4"/>
    <cellStyle name="青字強調" xfId="3"/>
  </cellStyles>
  <dxfs count="30"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  <dxf>
      <font>
        <b val="0"/>
        <condense val="0"/>
        <extend val="0"/>
        <sz val="12"/>
        <color indexed="9"/>
      </font>
      <fill>
        <patternFill patternType="solid">
          <fgColor indexed="59"/>
          <bgColor indexed="63"/>
        </patternFill>
      </fill>
    </dxf>
  </dxfs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4C19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CF305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950E"/>
      <rgbColor rgb="00666699"/>
      <rgbColor rgb="00B2B2B2"/>
      <rgbColor rgb="00003366"/>
      <rgbColor rgb="00339966"/>
      <rgbColor rgb="00003300"/>
      <rgbColor rgb="00262626"/>
      <rgbColor rgb="00DD0806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sharedStrings" Target="sharedStrings.xml"/><Relationship Id="rId21" Type="http://schemas.openxmlformats.org/officeDocument/2006/relationships/calcChain" Target="calcChain.xml"/><Relationship Id="rId22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externalLink" Target="externalLinks/externalLink1.xml"/><Relationship Id="rId17" Type="http://schemas.openxmlformats.org/officeDocument/2006/relationships/externalLink" Target="externalLinks/externalLink2.xml"/><Relationship Id="rId18" Type="http://schemas.openxmlformats.org/officeDocument/2006/relationships/theme" Target="theme/theme1.xml"/><Relationship Id="rId19" Type="http://schemas.openxmlformats.org/officeDocument/2006/relationships/styles" Target="styles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kumagai/Documents/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>
        <row r="2">
          <cell r="B2">
            <v>0.5</v>
          </cell>
          <cell r="C2">
            <v>0.3</v>
          </cell>
          <cell r="D2">
            <v>1</v>
          </cell>
          <cell r="E2">
            <v>0.25</v>
          </cell>
        </row>
      </sheetData>
      <sheetData sheetId="2">
        <row r="1">
          <cell r="A1" t="str">
            <v>属性</v>
          </cell>
          <cell r="B1" t="str">
            <v>HP係数</v>
          </cell>
          <cell r="C1" t="str">
            <v>攻撃係数</v>
          </cell>
          <cell r="D1" t="str">
            <v>防御系数</v>
          </cell>
          <cell r="E1" t="str">
            <v>回復系数</v>
          </cell>
        </row>
        <row r="2">
          <cell r="A2" t="str">
            <v>red</v>
          </cell>
          <cell r="B2">
            <v>1</v>
          </cell>
          <cell r="C2">
            <v>1.02</v>
          </cell>
          <cell r="D2">
            <v>1</v>
          </cell>
          <cell r="E2">
            <v>0.98</v>
          </cell>
        </row>
        <row r="3">
          <cell r="A3" t="str">
            <v>green</v>
          </cell>
          <cell r="B3">
            <v>1.02</v>
          </cell>
          <cell r="C3">
            <v>0.98</v>
          </cell>
          <cell r="D3">
            <v>1</v>
          </cell>
          <cell r="E3">
            <v>1</v>
          </cell>
        </row>
        <row r="4">
          <cell r="A4" t="str">
            <v>blue</v>
          </cell>
          <cell r="B4">
            <v>1</v>
          </cell>
          <cell r="C4">
            <v>0.98</v>
          </cell>
          <cell r="D4">
            <v>1</v>
          </cell>
          <cell r="E4">
            <v>1.02</v>
          </cell>
        </row>
        <row r="5">
          <cell r="A5" t="str">
            <v>yellow</v>
          </cell>
          <cell r="B5">
            <v>0.98</v>
          </cell>
          <cell r="C5">
            <v>1.01</v>
          </cell>
          <cell r="D5">
            <v>1</v>
          </cell>
          <cell r="E5">
            <v>1.01</v>
          </cell>
        </row>
        <row r="6">
          <cell r="A6" t="str">
            <v>colorless</v>
          </cell>
          <cell r="B6">
            <v>1</v>
          </cell>
          <cell r="C6">
            <v>1</v>
          </cell>
          <cell r="D6">
            <v>1</v>
          </cell>
          <cell r="E6">
            <v>1</v>
          </cell>
        </row>
      </sheetData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  <cell r="N1" t="str">
            <v>name</v>
          </cell>
          <cell r="O1" t="str">
            <v>character_sub_tribe_id</v>
          </cell>
          <cell r="P1" t="str">
            <v>name</v>
          </cell>
          <cell r="Q1" t="str">
            <v>スキルタイプ</v>
          </cell>
          <cell r="R1" t="str">
            <v>valid_flg</v>
          </cell>
          <cell r="S1" t="str">
            <v>category</v>
          </cell>
          <cell r="T1" t="str">
            <v>awaketype</v>
          </cell>
          <cell r="U1" t="str">
            <v>flavor_text</v>
          </cell>
          <cell r="V1" t="str">
            <v>obtain_message</v>
          </cell>
          <cell r="W1" t="str">
            <v>awaken_message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</row>
        <row r="896">
          <cell r="A896">
            <v>895</v>
          </cell>
          <cell r="B896" t="str">
            <v>ja</v>
          </cell>
          <cell r="C896" t="str">
            <v>滅焼の大神狼 フェンリル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</row>
        <row r="899">
          <cell r="A899">
            <v>898</v>
          </cell>
          <cell r="B899" t="str">
            <v>ja</v>
          </cell>
          <cell r="C899" t="str">
            <v>傾神の最愛姫 スフィンクス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</row>
        <row r="1343">
          <cell r="A1343">
            <v>1342</v>
          </cell>
          <cell r="B1343" t="str">
            <v>ja</v>
          </cell>
          <cell r="C1343" t="str">
            <v>ヘルレイザー</v>
          </cell>
        </row>
        <row r="1344">
          <cell r="A1344">
            <v>1343</v>
          </cell>
          <cell r="B1344" t="str">
            <v>ja</v>
          </cell>
          <cell r="C1344" t="str">
            <v>処命する凶掌 ヘルレイザー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</row>
        <row r="1347">
          <cell r="A1347">
            <v>1346</v>
          </cell>
          <cell r="B1347" t="str">
            <v>ja</v>
          </cell>
          <cell r="C1347" t="str">
            <v>セルシウス</v>
          </cell>
        </row>
        <row r="1348">
          <cell r="A1348">
            <v>1347</v>
          </cell>
          <cell r="B1348" t="str">
            <v>ja</v>
          </cell>
          <cell r="C1348" t="str">
            <v>帝冷の剣氏 セルシウス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</row>
        <row r="1450">
          <cell r="A1450">
            <v>1458</v>
          </cell>
          <cell r="B1450" t="str">
            <v>ja</v>
          </cell>
          <cell r="C1450" t="str">
            <v>ロイ・マスタング</v>
          </cell>
        </row>
        <row r="1451">
          <cell r="A1451">
            <v>1459</v>
          </cell>
          <cell r="B1451" t="str">
            <v>ja</v>
          </cell>
          <cell r="C1451" t="str">
            <v>焔の錬金術師 ロイ・マスタング</v>
          </cell>
        </row>
        <row r="1452">
          <cell r="A1452">
            <v>1460</v>
          </cell>
          <cell r="B1452" t="str">
            <v>ja</v>
          </cell>
          <cell r="C1452" t="str">
            <v>リザ・ホークアイ</v>
          </cell>
        </row>
        <row r="1453">
          <cell r="A1453">
            <v>1461</v>
          </cell>
          <cell r="B1453" t="str">
            <v>ja</v>
          </cell>
          <cell r="C1453" t="str">
            <v>鷹眼の国軍中尉 リザ・ホークアイ</v>
          </cell>
        </row>
        <row r="1454">
          <cell r="A1454">
            <v>1462</v>
          </cell>
          <cell r="B1454" t="str">
            <v>ja</v>
          </cell>
          <cell r="C1454" t="str">
            <v>エドワード・エルリック</v>
          </cell>
        </row>
        <row r="1455">
          <cell r="A1455">
            <v>1463</v>
          </cell>
          <cell r="B1455" t="str">
            <v>ja</v>
          </cell>
          <cell r="C1455" t="str">
            <v>鋼の錬金術師 エドワード</v>
          </cell>
        </row>
        <row r="1456">
          <cell r="A1456">
            <v>1464</v>
          </cell>
          <cell r="B1456" t="str">
            <v>ja</v>
          </cell>
          <cell r="C1456" t="str">
            <v>アルフォンス・エルリック</v>
          </cell>
        </row>
        <row r="1457">
          <cell r="A1457">
            <v>1465</v>
          </cell>
          <cell r="B1457" t="str">
            <v>ja</v>
          </cell>
          <cell r="C1457" t="str">
            <v>鋼腕なる闘鎧 アルフォンス</v>
          </cell>
        </row>
        <row r="1458">
          <cell r="A1458">
            <v>1466</v>
          </cell>
          <cell r="B1458" t="str">
            <v>ja</v>
          </cell>
          <cell r="C1458" t="str">
            <v>スカー</v>
          </cell>
        </row>
        <row r="1459">
          <cell r="A1459">
            <v>1467</v>
          </cell>
          <cell r="B1459" t="str">
            <v>ja</v>
          </cell>
          <cell r="C1459" t="str">
            <v>十字傷の男 スカー</v>
          </cell>
        </row>
        <row r="1460">
          <cell r="A1460">
            <v>1468</v>
          </cell>
          <cell r="B1460" t="str">
            <v>ja</v>
          </cell>
          <cell r="C1460" t="str">
            <v>嫉妬の猛心 エンヴィー</v>
          </cell>
        </row>
        <row r="1461">
          <cell r="A1461">
            <v>1469</v>
          </cell>
          <cell r="B1461" t="str">
            <v>ja</v>
          </cell>
          <cell r="C1461" t="str">
            <v>憤怒の大総統 ブラッドレイ</v>
          </cell>
        </row>
        <row r="1462">
          <cell r="A1462">
            <v>1470</v>
          </cell>
          <cell r="B1462" t="str">
            <v>ja</v>
          </cell>
          <cell r="C1462" t="str">
            <v>傲慢なる悪鬼 プライド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</row>
        <row r="1562">
          <cell r="A1562">
            <v>1603</v>
          </cell>
          <cell r="B1562" t="str">
            <v>ja</v>
          </cell>
          <cell r="C1562" t="str">
            <v>麗貴なる洒落魔 エスタブ</v>
          </cell>
        </row>
        <row r="1563">
          <cell r="A1563">
            <v>1604</v>
          </cell>
          <cell r="B1563" t="str">
            <v>ja</v>
          </cell>
          <cell r="C1563" t="str">
            <v>籠絡する魔戦線 ピノキオ</v>
          </cell>
        </row>
        <row r="1564">
          <cell r="A1564">
            <v>1613</v>
          </cell>
          <cell r="B1564" t="str">
            <v>ja</v>
          </cell>
          <cell r="C1564" t="str">
            <v>ボスA</v>
          </cell>
        </row>
        <row r="1565">
          <cell r="A1565">
            <v>1614</v>
          </cell>
          <cell r="B1565" t="str">
            <v>ja</v>
          </cell>
          <cell r="C1565" t="str">
            <v>ボスB</v>
          </cell>
        </row>
        <row r="1566">
          <cell r="A1566">
            <v>1615</v>
          </cell>
          <cell r="B1566" t="str">
            <v>ja</v>
          </cell>
          <cell r="C1566" t="str">
            <v>ボスC</v>
          </cell>
        </row>
        <row r="1567">
          <cell r="A1567">
            <v>1616</v>
          </cell>
          <cell r="B1567" t="str">
            <v>ja</v>
          </cell>
          <cell r="C1567" t="str">
            <v>空欄</v>
          </cell>
        </row>
        <row r="1568">
          <cell r="A1568">
            <v>1617</v>
          </cell>
          <cell r="B1568" t="str">
            <v>ja</v>
          </cell>
          <cell r="C1568" t="str">
            <v>空欄</v>
          </cell>
        </row>
        <row r="1569">
          <cell r="A1569">
            <v>1618</v>
          </cell>
          <cell r="B1569" t="str">
            <v>ja</v>
          </cell>
          <cell r="C1569" t="str">
            <v>空欄</v>
          </cell>
        </row>
        <row r="1570">
          <cell r="A1570">
            <v>1619</v>
          </cell>
          <cell r="B1570" t="str">
            <v>ja</v>
          </cell>
          <cell r="C1570" t="str">
            <v>空欄</v>
          </cell>
        </row>
        <row r="1571">
          <cell r="A1571">
            <v>1620</v>
          </cell>
          <cell r="B1571" t="str">
            <v>ja</v>
          </cell>
          <cell r="C1571" t="str">
            <v>空欄</v>
          </cell>
        </row>
        <row r="1572">
          <cell r="A1572">
            <v>1621</v>
          </cell>
          <cell r="B1572" t="str">
            <v>ja</v>
          </cell>
          <cell r="C1572" t="str">
            <v>空欄</v>
          </cell>
        </row>
        <row r="1573">
          <cell r="A1573">
            <v>1622</v>
          </cell>
          <cell r="B1573" t="str">
            <v>ja</v>
          </cell>
          <cell r="C1573" t="str">
            <v>空欄</v>
          </cell>
        </row>
        <row r="1574">
          <cell r="A1574">
            <v>1623</v>
          </cell>
          <cell r="B1574" t="str">
            <v>ja</v>
          </cell>
          <cell r="C1574" t="str">
            <v>空欄</v>
          </cell>
        </row>
        <row r="1575">
          <cell r="A1575">
            <v>1624</v>
          </cell>
          <cell r="B1575" t="str">
            <v>ja</v>
          </cell>
          <cell r="C1575" t="str">
            <v>空欄</v>
          </cell>
        </row>
        <row r="1576">
          <cell r="A1576">
            <v>1687</v>
          </cell>
          <cell r="B1576" t="str">
            <v>ja</v>
          </cell>
          <cell r="C1576" t="str">
            <v>ファルネーゼ</v>
          </cell>
        </row>
        <row r="1577">
          <cell r="A1577">
            <v>1688</v>
          </cell>
          <cell r="B1577" t="str">
            <v>ja</v>
          </cell>
          <cell r="C1577" t="str">
            <v>ファルネーゼ・ロッソ</v>
          </cell>
        </row>
        <row r="1578">
          <cell r="A1578">
            <v>1689</v>
          </cell>
          <cell r="B1578" t="str">
            <v>ja</v>
          </cell>
          <cell r="C1578" t="str">
            <v>ファルネーゼ・ヴェルデ</v>
          </cell>
        </row>
        <row r="1579">
          <cell r="A1579">
            <v>1690</v>
          </cell>
          <cell r="B1579" t="str">
            <v>ja</v>
          </cell>
          <cell r="C1579" t="str">
            <v>ファルネーゼ・アズロ</v>
          </cell>
        </row>
        <row r="1580">
          <cell r="A1580">
            <v>1691</v>
          </cell>
          <cell r="B1580" t="str">
            <v>ja</v>
          </cell>
          <cell r="C1580" t="str">
            <v>ファルネーゼ・ジャロ</v>
          </cell>
        </row>
        <row r="1581">
          <cell r="A1581">
            <v>1692</v>
          </cell>
          <cell r="B1581" t="str">
            <v>ja</v>
          </cell>
          <cell r="C1581" t="str">
            <v>ロッソ・ハート</v>
          </cell>
        </row>
        <row r="1582">
          <cell r="A1582">
            <v>1693</v>
          </cell>
          <cell r="B1582" t="str">
            <v>ja</v>
          </cell>
          <cell r="C1582" t="str">
            <v>ヴェルデ・ハート</v>
          </cell>
        </row>
        <row r="1583">
          <cell r="A1583">
            <v>1694</v>
          </cell>
          <cell r="B1583" t="str">
            <v>ja</v>
          </cell>
          <cell r="C1583" t="str">
            <v>アズロ・ハート</v>
          </cell>
        </row>
        <row r="1584">
          <cell r="A1584">
            <v>1695</v>
          </cell>
          <cell r="B1584" t="str">
            <v>ja</v>
          </cell>
          <cell r="C1584" t="str">
            <v>ジャロ・ハート</v>
          </cell>
        </row>
        <row r="1585">
          <cell r="A1585">
            <v>1696</v>
          </cell>
          <cell r="B1585" t="str">
            <v>ja</v>
          </cell>
          <cell r="C1585" t="str">
            <v>ファルネーゼ・コア</v>
          </cell>
        </row>
        <row r="1586">
          <cell r="A1586">
            <v>1697</v>
          </cell>
          <cell r="B1586" t="str">
            <v>ja</v>
          </cell>
          <cell r="C1586" t="str">
            <v>駆動する機会 ガーネット</v>
          </cell>
        </row>
        <row r="1587">
          <cell r="A1587">
            <v>1698</v>
          </cell>
          <cell r="B1587" t="str">
            <v>ja</v>
          </cell>
          <cell r="C1587" t="str">
            <v>炎断の華嫁 ガーネット</v>
          </cell>
        </row>
        <row r="1588">
          <cell r="A1588">
            <v>1699</v>
          </cell>
          <cell r="B1588" t="str">
            <v>ja</v>
          </cell>
          <cell r="C1588" t="str">
            <v>崇高祝言 アマテラス</v>
          </cell>
        </row>
        <row r="1589">
          <cell r="A1589">
            <v>1700</v>
          </cell>
          <cell r="B1589" t="str">
            <v>ja</v>
          </cell>
          <cell r="C1589" t="str">
            <v>大慶総氏神 アマテラス</v>
          </cell>
        </row>
        <row r="1590">
          <cell r="A1590">
            <v>1701</v>
          </cell>
          <cell r="B1590" t="str">
            <v>ja</v>
          </cell>
          <cell r="C1590" t="str">
            <v>蒼嵐の婚戦 フォルトゥナ</v>
          </cell>
        </row>
        <row r="1591">
          <cell r="A1591">
            <v>1702</v>
          </cell>
          <cell r="B1591" t="str">
            <v>ja</v>
          </cell>
          <cell r="C1591" t="str">
            <v>求愛の夢想剣 フォルトゥナ</v>
          </cell>
        </row>
        <row r="1592">
          <cell r="A1592">
            <v>1703</v>
          </cell>
          <cell r="B1592" t="str">
            <v>ja</v>
          </cell>
          <cell r="C1592" t="str">
            <v>可恋なる花乙女 リリィ</v>
          </cell>
        </row>
        <row r="1593">
          <cell r="A1593">
            <v>1704</v>
          </cell>
          <cell r="B1593" t="str">
            <v>ja</v>
          </cell>
          <cell r="C1593" t="str">
            <v>恋焦がす夢乙女 リリィ</v>
          </cell>
        </row>
        <row r="1594">
          <cell r="A1594">
            <v>1705</v>
          </cell>
          <cell r="B1594" t="str">
            <v>ja</v>
          </cell>
          <cell r="C1594" t="str">
            <v>純白の新婦軍 白雪姫</v>
          </cell>
        </row>
        <row r="1595">
          <cell r="A1595">
            <v>1706</v>
          </cell>
          <cell r="B1595" t="str">
            <v>ja</v>
          </cell>
          <cell r="C1595" t="str">
            <v>幸福なる大祝砲 白雪姫</v>
          </cell>
        </row>
        <row r="1596">
          <cell r="A1596">
            <v>1707</v>
          </cell>
          <cell r="B1596" t="str">
            <v>ja</v>
          </cell>
          <cell r="C1596" t="str">
            <v>親愛なる猫嫁神 バステト</v>
          </cell>
        </row>
        <row r="1597">
          <cell r="A1597">
            <v>1708</v>
          </cell>
          <cell r="B1597" t="str">
            <v>ja</v>
          </cell>
          <cell r="C1597" t="str">
            <v>御聖婚の幸猫神 バステト</v>
          </cell>
        </row>
        <row r="1598">
          <cell r="A1598">
            <v>1709</v>
          </cell>
          <cell r="B1598" t="str">
            <v>ja</v>
          </cell>
          <cell r="C1598" t="str">
            <v>情花降る神婦 イズン</v>
          </cell>
        </row>
        <row r="1599">
          <cell r="A1599">
            <v>1710</v>
          </cell>
          <cell r="B1599" t="str">
            <v>ja</v>
          </cell>
          <cell r="C1599" t="str">
            <v>慎愛なる女神の契 イズン</v>
          </cell>
        </row>
        <row r="1600">
          <cell r="A1600">
            <v>1711</v>
          </cell>
          <cell r="B1600" t="str">
            <v>ja</v>
          </cell>
          <cell r="C1600" t="str">
            <v>誓愛求婚の新郎 諸葛亮</v>
          </cell>
        </row>
        <row r="1601">
          <cell r="A1601">
            <v>1712</v>
          </cell>
          <cell r="B1601" t="str">
            <v>ja</v>
          </cell>
          <cell r="C1601" t="str">
            <v>一蓮托生の双環 諸葛亮</v>
          </cell>
        </row>
        <row r="1602">
          <cell r="A1602">
            <v>1713</v>
          </cell>
          <cell r="B1602" t="str">
            <v>ja</v>
          </cell>
          <cell r="C1602" t="str">
            <v>誓約の挙剣 ジークフリート</v>
          </cell>
        </row>
        <row r="1603">
          <cell r="A1603">
            <v>1714</v>
          </cell>
          <cell r="B1603" t="str">
            <v>ja</v>
          </cell>
          <cell r="C1603" t="str">
            <v>仁愛の祝賀剣 ジークフリート</v>
          </cell>
        </row>
        <row r="1604">
          <cell r="A1604">
            <v>1715</v>
          </cell>
          <cell r="B1604" t="str">
            <v>ja</v>
          </cell>
          <cell r="C1604" t="str">
            <v>森歓の祝宴 アマラ</v>
          </cell>
        </row>
        <row r="1605">
          <cell r="A1605">
            <v>1716</v>
          </cell>
          <cell r="B1605" t="str">
            <v>ja</v>
          </cell>
          <cell r="C1605" t="str">
            <v>森婚の祝福祭 アマラ</v>
          </cell>
        </row>
        <row r="1606">
          <cell r="A1606">
            <v>1717</v>
          </cell>
          <cell r="B1606" t="str">
            <v>ja</v>
          </cell>
          <cell r="C1606" t="str">
            <v>ラブリーエンジェル</v>
          </cell>
        </row>
        <row r="1607">
          <cell r="A1607">
            <v>1718</v>
          </cell>
          <cell r="B1607" t="str">
            <v>ja</v>
          </cell>
          <cell r="C1607" t="str">
            <v>マリッジリング</v>
          </cell>
        </row>
        <row r="1608">
          <cell r="A1608">
            <v>1719</v>
          </cell>
          <cell r="B1608" t="str">
            <v>ja</v>
          </cell>
          <cell r="C1608" t="str">
            <v>トゥルー・マリッジリング</v>
          </cell>
        </row>
        <row r="1609">
          <cell r="A1609">
            <v>5001</v>
          </cell>
          <cell r="B1609" t="str">
            <v>ja</v>
          </cell>
          <cell r="C1609" t="str">
            <v>ガルーダ</v>
          </cell>
        </row>
        <row r="1610">
          <cell r="A1610">
            <v>5002</v>
          </cell>
          <cell r="B1610" t="str">
            <v>ja</v>
          </cell>
          <cell r="C1610" t="str">
            <v>光輝する美翼聖鳥 ガルーダ</v>
          </cell>
        </row>
        <row r="1611">
          <cell r="A1611">
            <v>5003</v>
          </cell>
          <cell r="B1611" t="str">
            <v>ja</v>
          </cell>
          <cell r="C1611" t="str">
            <v>ナーガ</v>
          </cell>
        </row>
        <row r="1612">
          <cell r="A1612">
            <v>5004</v>
          </cell>
          <cell r="B1612" t="str">
            <v>ja</v>
          </cell>
          <cell r="C1612" t="str">
            <v>深淵翠緑 ナーガ</v>
          </cell>
        </row>
        <row r="1613">
          <cell r="A1613">
            <v>5005</v>
          </cell>
          <cell r="B1613" t="str">
            <v>ja</v>
          </cell>
          <cell r="C1613" t="str">
            <v>カーミラ</v>
          </cell>
        </row>
        <row r="1614">
          <cell r="A1614">
            <v>5006</v>
          </cell>
          <cell r="B1614" t="str">
            <v>ja</v>
          </cell>
          <cell r="C1614" t="str">
            <v>カーミラ★６</v>
          </cell>
        </row>
        <row r="1615">
          <cell r="A1615">
            <v>5007</v>
          </cell>
          <cell r="B1615" t="str">
            <v>ja</v>
          </cell>
          <cell r="C1615" t="str">
            <v>ヘルシング</v>
          </cell>
        </row>
        <row r="1616">
          <cell r="A1616">
            <v>5008</v>
          </cell>
          <cell r="B1616" t="str">
            <v>ja</v>
          </cell>
          <cell r="C1616" t="str">
            <v>ヘルシング★６</v>
          </cell>
        </row>
        <row r="1617">
          <cell r="A1617">
            <v>5009</v>
          </cell>
          <cell r="B1617" t="str">
            <v>ja</v>
          </cell>
          <cell r="C1617" t="str">
            <v>星の王子様</v>
          </cell>
        </row>
        <row r="1618">
          <cell r="A1618">
            <v>5010</v>
          </cell>
          <cell r="B1618" t="str">
            <v>ja</v>
          </cell>
          <cell r="C1618" t="str">
            <v>星の王子様★６</v>
          </cell>
        </row>
        <row r="1619">
          <cell r="A1619">
            <v>5011</v>
          </cell>
          <cell r="B1619" t="str">
            <v>ja</v>
          </cell>
          <cell r="C1619" t="str">
            <v>サン=テグジュペリ</v>
          </cell>
        </row>
        <row r="1620">
          <cell r="A1620">
            <v>5012</v>
          </cell>
          <cell r="B1620" t="str">
            <v>ja</v>
          </cell>
          <cell r="C1620" t="str">
            <v>サン=テグジュペリ★６</v>
          </cell>
        </row>
        <row r="1621">
          <cell r="A1621">
            <v>6001</v>
          </cell>
          <cell r="B1621" t="str">
            <v>ja</v>
          </cell>
          <cell r="C1621" t="str">
            <v>ジェリー</v>
          </cell>
        </row>
        <row r="1622">
          <cell r="A1622">
            <v>6002</v>
          </cell>
          <cell r="B1622" t="str">
            <v>ja</v>
          </cell>
          <cell r="C1622" t="str">
            <v>ヨシタカ</v>
          </cell>
        </row>
        <row r="1623">
          <cell r="A1623">
            <v>6003</v>
          </cell>
          <cell r="B1623" t="str">
            <v>ja</v>
          </cell>
          <cell r="C1623" t="str">
            <v>朱雀</v>
          </cell>
        </row>
        <row r="1624">
          <cell r="A1624">
            <v>6004</v>
          </cell>
          <cell r="B1624" t="str">
            <v>ja</v>
          </cell>
          <cell r="C1624" t="str">
            <v>ブレット</v>
          </cell>
        </row>
        <row r="1625">
          <cell r="A1625">
            <v>6005</v>
          </cell>
          <cell r="B1625" t="str">
            <v>ja</v>
          </cell>
          <cell r="C1625" t="str">
            <v>孤神 テティス</v>
          </cell>
        </row>
        <row r="1626">
          <cell r="A1626">
            <v>6006</v>
          </cell>
          <cell r="B1626" t="str">
            <v>ja</v>
          </cell>
          <cell r="C1626" t="str">
            <v>海底の孤高神 テティス</v>
          </cell>
        </row>
        <row r="1627">
          <cell r="A1627">
            <v>6007</v>
          </cell>
          <cell r="B1627" t="str">
            <v>ja</v>
          </cell>
          <cell r="C1627" t="str">
            <v>番犬 ケルベロス</v>
          </cell>
        </row>
        <row r="1628">
          <cell r="A1628">
            <v>6008</v>
          </cell>
          <cell r="B1628" t="str">
            <v>ja</v>
          </cell>
          <cell r="C1628" t="str">
            <v>焔神 プロメテウス</v>
          </cell>
        </row>
        <row r="1629">
          <cell r="A1629">
            <v>6009</v>
          </cell>
          <cell r="B1629" t="str">
            <v>ja</v>
          </cell>
          <cell r="C1629" t="str">
            <v>超越自我 ラグランジュ</v>
          </cell>
        </row>
        <row r="1630">
          <cell r="A1630">
            <v>6010</v>
          </cell>
          <cell r="B1630" t="str">
            <v>ja</v>
          </cell>
          <cell r="C1630" t="str">
            <v>超越凌駕 ラグランジュ</v>
          </cell>
        </row>
        <row r="1631">
          <cell r="A1631">
            <v>6011</v>
          </cell>
          <cell r="B1631" t="str">
            <v>ja</v>
          </cell>
          <cell r="C1631" t="str">
            <v>パトドッグリーダー ポチ</v>
          </cell>
        </row>
        <row r="1632">
          <cell r="A1632">
            <v>6012</v>
          </cell>
          <cell r="B1632" t="str">
            <v>ja</v>
          </cell>
          <cell r="C1632" t="str">
            <v>ミミ</v>
          </cell>
        </row>
        <row r="1633">
          <cell r="A1633">
            <v>6013</v>
          </cell>
          <cell r="B1633" t="str">
            <v>ja</v>
          </cell>
          <cell r="C1633" t="str">
            <v>護衛機人 スケアクロウ</v>
          </cell>
        </row>
        <row r="1634">
          <cell r="A1634">
            <v>6014</v>
          </cell>
          <cell r="B1634" t="str">
            <v>ja</v>
          </cell>
          <cell r="C1634" t="str">
            <v>月下の人狼 ローレンス</v>
          </cell>
        </row>
        <row r="1635">
          <cell r="A1635">
            <v>6015</v>
          </cell>
          <cell r="B1635" t="str">
            <v>ja</v>
          </cell>
          <cell r="C1635" t="str">
            <v>フレイヤ</v>
          </cell>
        </row>
        <row r="1636">
          <cell r="A1636">
            <v>6016</v>
          </cell>
          <cell r="B1636" t="str">
            <v>ja</v>
          </cell>
          <cell r="C1636" t="str">
            <v>根原論理 ユークリッド</v>
          </cell>
        </row>
        <row r="1637">
          <cell r="A1637">
            <v>6017</v>
          </cell>
          <cell r="B1637" t="str">
            <v>ja</v>
          </cell>
          <cell r="C1637" t="str">
            <v>不朽の極論 ユークリッド</v>
          </cell>
        </row>
        <row r="1638">
          <cell r="A1638">
            <v>6018</v>
          </cell>
          <cell r="B1638" t="str">
            <v>ja</v>
          </cell>
          <cell r="C1638" t="str">
            <v>ハヅル</v>
          </cell>
        </row>
        <row r="1639">
          <cell r="A1639">
            <v>6019</v>
          </cell>
          <cell r="B1639" t="str">
            <v>ja</v>
          </cell>
          <cell r="C1639" t="str">
            <v>天織羽鶴 ハヅル</v>
          </cell>
        </row>
        <row r="1640">
          <cell r="A1640">
            <v>6020</v>
          </cell>
          <cell r="B1640" t="str">
            <v>ja</v>
          </cell>
          <cell r="C1640" t="str">
            <v>ミズチ</v>
          </cell>
        </row>
        <row r="1641">
          <cell r="A1641">
            <v>8001</v>
          </cell>
          <cell r="B1641" t="str">
            <v>ja</v>
          </cell>
          <cell r="C1641" t="str">
            <v>媽祖</v>
          </cell>
        </row>
        <row r="1642">
          <cell r="A1642">
            <v>8002</v>
          </cell>
          <cell r="B1642" t="str">
            <v>ja</v>
          </cell>
          <cell r="C1642" t="str">
            <v>宣導する天海妃 媽祖</v>
          </cell>
        </row>
        <row r="1643">
          <cell r="A1643">
            <v>8003</v>
          </cell>
          <cell r="B1643" t="str">
            <v>ja</v>
          </cell>
          <cell r="C1643" t="str">
            <v>蛟龍</v>
          </cell>
        </row>
        <row r="1644">
          <cell r="A1644">
            <v>8004</v>
          </cell>
          <cell r="B1644" t="str">
            <v>ja</v>
          </cell>
          <cell r="C1644" t="str">
            <v>呼嵐の蒼棲龍 蛟龍</v>
          </cell>
        </row>
        <row r="1645">
          <cell r="A1645">
            <v>8005</v>
          </cell>
          <cell r="B1645" t="str">
            <v>ja</v>
          </cell>
          <cell r="C1645" t="str">
            <v>三蔵法師</v>
          </cell>
        </row>
        <row r="1646">
          <cell r="A1646">
            <v>8006</v>
          </cell>
          <cell r="B1646" t="str">
            <v>ja</v>
          </cell>
          <cell r="C1646" t="str">
            <v>慈戒の呪封使 三蔵法師</v>
          </cell>
        </row>
        <row r="1647">
          <cell r="A1647">
            <v>8007</v>
          </cell>
          <cell r="B1647" t="str">
            <v>ja</v>
          </cell>
          <cell r="C1647" t="str">
            <v>孫悟空</v>
          </cell>
        </row>
        <row r="1648">
          <cell r="A1648">
            <v>8008</v>
          </cell>
          <cell r="B1648" t="str">
            <v>ja</v>
          </cell>
          <cell r="C1648" t="str">
            <v>花果の天猿仙人 孫悟空</v>
          </cell>
        </row>
        <row r="1649">
          <cell r="A1649">
            <v>8009</v>
          </cell>
          <cell r="B1649" t="str">
            <v>ja</v>
          </cell>
          <cell r="C1649" t="str">
            <v>西王娘娘</v>
          </cell>
        </row>
        <row r="1650">
          <cell r="A1650">
            <v>8010</v>
          </cell>
          <cell r="B1650" t="str">
            <v>ja</v>
          </cell>
          <cell r="C1650" t="str">
            <v>極楽瑶池の聖母 西王娘娘</v>
          </cell>
        </row>
        <row r="1651">
          <cell r="A1651">
            <v>8011</v>
          </cell>
          <cell r="B1651" t="str">
            <v>ja</v>
          </cell>
          <cell r="C1651" t="str">
            <v>月下老人</v>
          </cell>
        </row>
        <row r="1652">
          <cell r="A1652">
            <v>8012</v>
          </cell>
          <cell r="B1652" t="str">
            <v>ja</v>
          </cell>
          <cell r="C1652" t="str">
            <v>破戀斬る縁剣 月下老人</v>
          </cell>
        </row>
        <row r="1653">
          <cell r="A1653">
            <v>8013</v>
          </cell>
          <cell r="B1653" t="str">
            <v>ja</v>
          </cell>
          <cell r="C1653" t="str">
            <v>初音ミクV3</v>
          </cell>
        </row>
        <row r="1654">
          <cell r="A1654">
            <v>8014</v>
          </cell>
          <cell r="B1654" t="str">
            <v>ja</v>
          </cell>
          <cell r="C1654" t="str">
            <v>初音ミクV3</v>
          </cell>
        </row>
        <row r="1655">
          <cell r="A1655">
            <v>8015</v>
          </cell>
          <cell r="B1655" t="str">
            <v>ja</v>
          </cell>
          <cell r="C1655" t="str">
            <v>初音ミク・アペンド</v>
          </cell>
        </row>
        <row r="1656">
          <cell r="A1656">
            <v>8016</v>
          </cell>
          <cell r="B1656" t="str">
            <v>ja</v>
          </cell>
          <cell r="C1656" t="str">
            <v>初音ミク・アペンド</v>
          </cell>
        </row>
        <row r="1657">
          <cell r="A1657">
            <v>8017</v>
          </cell>
          <cell r="B1657" t="str">
            <v>ja</v>
          </cell>
          <cell r="C1657" t="str">
            <v>初音ミク</v>
          </cell>
        </row>
        <row r="1658">
          <cell r="A1658">
            <v>8018</v>
          </cell>
          <cell r="B1658" t="str">
            <v>ja</v>
          </cell>
          <cell r="C1658" t="str">
            <v>初音ミク</v>
          </cell>
        </row>
        <row r="1659">
          <cell r="A1659">
            <v>8019</v>
          </cell>
          <cell r="B1659" t="str">
            <v>ja</v>
          </cell>
          <cell r="C1659" t="str">
            <v>鏡音リン</v>
          </cell>
        </row>
        <row r="1660">
          <cell r="A1660">
            <v>8020</v>
          </cell>
          <cell r="B1660" t="str">
            <v>ja</v>
          </cell>
          <cell r="C1660" t="str">
            <v>鏡音リン</v>
          </cell>
        </row>
        <row r="1661">
          <cell r="A1661">
            <v>8021</v>
          </cell>
          <cell r="B1661" t="str">
            <v>ja</v>
          </cell>
          <cell r="C1661" t="str">
            <v>鏡音レン</v>
          </cell>
        </row>
        <row r="1662">
          <cell r="A1662">
            <v>8022</v>
          </cell>
          <cell r="B1662" t="str">
            <v>ja</v>
          </cell>
          <cell r="C1662" t="str">
            <v>鏡音レン</v>
          </cell>
        </row>
        <row r="1663">
          <cell r="A1663">
            <v>8023</v>
          </cell>
          <cell r="B1663" t="str">
            <v>ja</v>
          </cell>
          <cell r="C1663" t="str">
            <v>巡音ルカ</v>
          </cell>
        </row>
        <row r="1664">
          <cell r="A1664">
            <v>8024</v>
          </cell>
          <cell r="B1664" t="str">
            <v>ja</v>
          </cell>
          <cell r="C1664" t="str">
            <v>巡音ルカ</v>
          </cell>
        </row>
        <row r="1665">
          <cell r="A1665">
            <v>8025</v>
          </cell>
          <cell r="B1665" t="str">
            <v>ja</v>
          </cell>
          <cell r="C1665" t="str">
            <v>MEIKO</v>
          </cell>
        </row>
        <row r="1666">
          <cell r="A1666">
            <v>8026</v>
          </cell>
          <cell r="B1666" t="str">
            <v>ja</v>
          </cell>
          <cell r="C1666" t="str">
            <v>MEIKO</v>
          </cell>
        </row>
        <row r="1667">
          <cell r="A1667">
            <v>8027</v>
          </cell>
          <cell r="B1667" t="str">
            <v>ja</v>
          </cell>
          <cell r="C1667" t="str">
            <v>KAITO</v>
          </cell>
        </row>
        <row r="1668">
          <cell r="A1668">
            <v>8028</v>
          </cell>
          <cell r="B1668" t="str">
            <v>ja</v>
          </cell>
          <cell r="C1668" t="str">
            <v>KAITO</v>
          </cell>
        </row>
        <row r="1669">
          <cell r="A1669">
            <v>8029</v>
          </cell>
          <cell r="B1669" t="str">
            <v>ja</v>
          </cell>
          <cell r="C1669" t="str">
            <v>Expoミク</v>
          </cell>
        </row>
        <row r="1670">
          <cell r="A1670">
            <v>8030</v>
          </cell>
          <cell r="B1670" t="str">
            <v>ja</v>
          </cell>
          <cell r="C1670" t="str">
            <v>Expoミク</v>
          </cell>
        </row>
        <row r="1671">
          <cell r="A1671">
            <v>8031</v>
          </cell>
          <cell r="B1671" t="str">
            <v>ja</v>
          </cell>
          <cell r="C1671" t="str">
            <v>閻羅王</v>
          </cell>
        </row>
        <row r="1672">
          <cell r="A1672">
            <v>8032</v>
          </cell>
          <cell r="B1672" t="str">
            <v>ja</v>
          </cell>
          <cell r="C1672" t="str">
            <v>六道輪廻の絶獄 閻羅王</v>
          </cell>
        </row>
        <row r="1673">
          <cell r="A1673">
            <v>8033</v>
          </cell>
          <cell r="B1673" t="str">
            <v>ja</v>
          </cell>
          <cell r="C1673" t="str">
            <v>牛頭馬面</v>
          </cell>
        </row>
        <row r="1674">
          <cell r="A1674">
            <v>8034</v>
          </cell>
          <cell r="B1674" t="str">
            <v>ja</v>
          </cell>
          <cell r="C1674" t="str">
            <v>冥府狩る魂使 牛頭馬面</v>
          </cell>
        </row>
        <row r="1675">
          <cell r="A1675">
            <v>8035</v>
          </cell>
          <cell r="B1675" t="str">
            <v>ja</v>
          </cell>
          <cell r="C1675" t="str">
            <v>飛衛</v>
          </cell>
        </row>
        <row r="1676">
          <cell r="A1676">
            <v>8036</v>
          </cell>
          <cell r="B1676" t="str">
            <v>ja</v>
          </cell>
          <cell r="C1676" t="str">
            <v>レア６飛衛</v>
          </cell>
        </row>
        <row r="1677">
          <cell r="A1677">
            <v>8037</v>
          </cell>
          <cell r="B1677" t="str">
            <v>ja</v>
          </cell>
          <cell r="C1677" t="str">
            <v>紀昌</v>
          </cell>
        </row>
        <row r="1678">
          <cell r="A1678">
            <v>8038</v>
          </cell>
          <cell r="B1678" t="str">
            <v>ja</v>
          </cell>
          <cell r="C1678" t="str">
            <v>レア６紀昌</v>
          </cell>
        </row>
        <row r="1679">
          <cell r="A1679">
            <v>8039</v>
          </cell>
          <cell r="B1679" t="str">
            <v>ja</v>
          </cell>
          <cell r="C1679" t="str">
            <v>何仙姑</v>
          </cell>
        </row>
        <row r="1680">
          <cell r="A1680">
            <v>8040</v>
          </cell>
          <cell r="B1680" t="str">
            <v>ja</v>
          </cell>
          <cell r="C1680" t="str">
            <v>荷咲く九天 何仙姑</v>
          </cell>
        </row>
        <row r="1681">
          <cell r="A1681">
            <v>8041</v>
          </cell>
          <cell r="B1681" t="str">
            <v>ja</v>
          </cell>
          <cell r="C1681" t="str">
            <v>藍采和</v>
          </cell>
        </row>
        <row r="1682">
          <cell r="A1682">
            <v>8042</v>
          </cell>
          <cell r="B1682" t="str">
            <v>ja</v>
          </cell>
          <cell r="C1682" t="str">
            <v>天真浪漫 藍采和</v>
          </cell>
        </row>
        <row r="1683">
          <cell r="A1683">
            <v>8043</v>
          </cell>
          <cell r="B1683" t="str">
            <v>ja</v>
          </cell>
          <cell r="C1683" t="str">
            <v>サンリオキャラ大集合+アザゼル</v>
          </cell>
        </row>
        <row r="1684">
          <cell r="A1684">
            <v>8044</v>
          </cell>
          <cell r="B1684" t="str">
            <v>ja</v>
          </cell>
          <cell r="C1684" t="str">
            <v>サンリオキャラ大集合+アザゼル</v>
          </cell>
        </row>
        <row r="1685">
          <cell r="A1685">
            <v>8045</v>
          </cell>
          <cell r="B1685" t="str">
            <v>ja</v>
          </cell>
          <cell r="C1685" t="str">
            <v>ニムダ_サンリオキャラ混じり</v>
          </cell>
        </row>
        <row r="1686">
          <cell r="A1686">
            <v>8046</v>
          </cell>
          <cell r="B1686" t="str">
            <v>ja</v>
          </cell>
          <cell r="C1686" t="str">
            <v>ニムダ_サンリオキャラ混じり</v>
          </cell>
        </row>
        <row r="1687">
          <cell r="A1687">
            <v>8047</v>
          </cell>
          <cell r="B1687" t="str">
            <v>ja</v>
          </cell>
          <cell r="C1687" t="str">
            <v>ハローキティ</v>
          </cell>
        </row>
        <row r="1688">
          <cell r="A1688">
            <v>8048</v>
          </cell>
          <cell r="B1688" t="str">
            <v>ja</v>
          </cell>
          <cell r="C1688" t="str">
            <v>ハローキティ</v>
          </cell>
        </row>
        <row r="1689">
          <cell r="A1689">
            <v>8049</v>
          </cell>
          <cell r="B1689" t="str">
            <v>ja</v>
          </cell>
          <cell r="C1689" t="str">
            <v>KIRIMIちゃん</v>
          </cell>
        </row>
        <row r="1690">
          <cell r="A1690">
            <v>8050</v>
          </cell>
          <cell r="B1690" t="str">
            <v>ja</v>
          </cell>
          <cell r="C1690" t="str">
            <v>KIRIMIちゃん</v>
          </cell>
        </row>
        <row r="1691">
          <cell r="A1691">
            <v>8051</v>
          </cell>
          <cell r="B1691" t="str">
            <v>ja</v>
          </cell>
          <cell r="C1691" t="str">
            <v>ハローキティのリボン</v>
          </cell>
        </row>
        <row r="1692">
          <cell r="A1692">
            <v>8052</v>
          </cell>
          <cell r="B1692" t="str">
            <v>ja</v>
          </cell>
          <cell r="C1692" t="str">
            <v>ママの作ったアップルパイ</v>
          </cell>
        </row>
        <row r="1693">
          <cell r="A1693">
            <v>8053</v>
          </cell>
          <cell r="B1693" t="str">
            <v>ja</v>
          </cell>
          <cell r="C1693" t="str">
            <v>D.R.T.H__キティコスプレ</v>
          </cell>
        </row>
        <row r="1694">
          <cell r="A1694">
            <v>8054</v>
          </cell>
          <cell r="B1694" t="str">
            <v>ja</v>
          </cell>
          <cell r="C1694" t="str">
            <v>D.R.T.H__キティコスプレ</v>
          </cell>
        </row>
        <row r="1695">
          <cell r="A1695">
            <v>8055</v>
          </cell>
          <cell r="B1695" t="str">
            <v>ja</v>
          </cell>
          <cell r="C1695" t="str">
            <v>マイメロディ</v>
          </cell>
        </row>
        <row r="1696">
          <cell r="A1696">
            <v>8056</v>
          </cell>
          <cell r="B1696" t="str">
            <v>ja</v>
          </cell>
          <cell r="C1696" t="str">
            <v>マイメロディ</v>
          </cell>
        </row>
        <row r="1697">
          <cell r="A1697">
            <v>8057</v>
          </cell>
          <cell r="B1697" t="str">
            <v>ja</v>
          </cell>
          <cell r="C1697" t="str">
            <v>ニーベルゲン_シナモロールコスプレ</v>
          </cell>
        </row>
        <row r="1698">
          <cell r="A1698">
            <v>8058</v>
          </cell>
          <cell r="B1698" t="str">
            <v>ja</v>
          </cell>
          <cell r="C1698" t="str">
            <v>ニーベルゲン_シナモロールコスプレ</v>
          </cell>
        </row>
        <row r="1699">
          <cell r="A1699">
            <v>8059</v>
          </cell>
          <cell r="B1699" t="str">
            <v>ja</v>
          </cell>
          <cell r="C1699" t="str">
            <v>カカシ_マイメロディコスプレ</v>
          </cell>
        </row>
        <row r="1700">
          <cell r="A1700">
            <v>8060</v>
          </cell>
          <cell r="B1700" t="str">
            <v>ja</v>
          </cell>
          <cell r="C1700" t="str">
            <v>カカシ_マイメロディコスプレ</v>
          </cell>
        </row>
        <row r="1701">
          <cell r="A1701">
            <v>8061</v>
          </cell>
          <cell r="B1701" t="str">
            <v>ja</v>
          </cell>
          <cell r="C1701" t="str">
            <v>ケロケロけろっぴ</v>
          </cell>
        </row>
        <row r="1702">
          <cell r="A1702">
            <v>8062</v>
          </cell>
          <cell r="B1702" t="str">
            <v>ja</v>
          </cell>
          <cell r="C1702" t="str">
            <v>ケロケロけろっぴ</v>
          </cell>
        </row>
        <row r="1703">
          <cell r="A1703">
            <v>8063</v>
          </cell>
          <cell r="B1703" t="str">
            <v>ja</v>
          </cell>
          <cell r="C1703" t="str">
            <v>モルドレッド_ポムポムプリンコスプレ</v>
          </cell>
        </row>
        <row r="1704">
          <cell r="A1704">
            <v>8064</v>
          </cell>
          <cell r="B1704" t="str">
            <v>ja</v>
          </cell>
          <cell r="C1704" t="str">
            <v>モルドレッド_ポムポムプリンコスプレ</v>
          </cell>
        </row>
        <row r="1705">
          <cell r="A1705">
            <v>8065</v>
          </cell>
          <cell r="B1705" t="str">
            <v>ja</v>
          </cell>
          <cell r="C1705" t="str">
            <v>クロミ</v>
          </cell>
        </row>
        <row r="1706">
          <cell r="A1706">
            <v>8066</v>
          </cell>
          <cell r="B1706" t="str">
            <v>ja</v>
          </cell>
          <cell r="C1706" t="str">
            <v>クロミ</v>
          </cell>
        </row>
        <row r="1707">
          <cell r="A1707">
            <v>8067</v>
          </cell>
          <cell r="B1707" t="str">
            <v>ja</v>
          </cell>
          <cell r="C1707" t="str">
            <v>バッドばつ丸</v>
          </cell>
        </row>
        <row r="1708">
          <cell r="A1708">
            <v>8068</v>
          </cell>
          <cell r="B1708" t="str">
            <v>ja</v>
          </cell>
          <cell r="C1708" t="str">
            <v>バッドばつ丸</v>
          </cell>
        </row>
        <row r="1709">
          <cell r="A1709">
            <v>8069</v>
          </cell>
          <cell r="B1709" t="str">
            <v>ja</v>
          </cell>
          <cell r="C1709" t="str">
            <v>シナモロール</v>
          </cell>
        </row>
        <row r="1710">
          <cell r="A1710">
            <v>8070</v>
          </cell>
          <cell r="B1710" t="str">
            <v>ja</v>
          </cell>
          <cell r="C1710" t="str">
            <v>シナモロール</v>
          </cell>
        </row>
        <row r="1711">
          <cell r="A1711">
            <v>8071</v>
          </cell>
          <cell r="B1711" t="str">
            <v>ja</v>
          </cell>
          <cell r="C1711" t="str">
            <v>ポムポムプリン</v>
          </cell>
        </row>
        <row r="1712">
          <cell r="A1712">
            <v>8072</v>
          </cell>
          <cell r="B1712" t="str">
            <v>ja</v>
          </cell>
          <cell r="C1712" t="str">
            <v>ポムポムプリン</v>
          </cell>
        </row>
        <row r="1713">
          <cell r="A1713">
            <v>8073</v>
          </cell>
          <cell r="B1713" t="str">
            <v>ja</v>
          </cell>
          <cell r="C1713" t="str">
            <v>星海祈る天光妃 媽祖</v>
          </cell>
        </row>
        <row r="1714">
          <cell r="A1714">
            <v>8074</v>
          </cell>
          <cell r="B1714" t="str">
            <v>ja</v>
          </cell>
          <cell r="C1714" t="str">
            <v>海戀の絶龍姫 蛟龍</v>
          </cell>
        </row>
        <row r="1715">
          <cell r="A1715">
            <v>8075</v>
          </cell>
          <cell r="B1715" t="str">
            <v>ja</v>
          </cell>
          <cell r="C1715" t="str">
            <v>解脱天の知徳 三蔵法師</v>
          </cell>
        </row>
        <row r="1716">
          <cell r="A1716">
            <v>8076</v>
          </cell>
          <cell r="B1716" t="str">
            <v>ja</v>
          </cell>
          <cell r="C1716" t="str">
            <v>天暴の斉天大聖 孫悟空</v>
          </cell>
        </row>
        <row r="1717">
          <cell r="A1717">
            <v>8077</v>
          </cell>
          <cell r="B1717" t="str">
            <v>ja</v>
          </cell>
          <cell r="C1717" t="str">
            <v>鄭成功</v>
          </cell>
        </row>
        <row r="1718">
          <cell r="A1718">
            <v>8078</v>
          </cell>
          <cell r="B1718" t="str">
            <v>ja</v>
          </cell>
          <cell r="C1718" t="str">
            <v>レア６鄭成功</v>
          </cell>
        </row>
        <row r="1719">
          <cell r="A1719">
            <v>8079</v>
          </cell>
          <cell r="B1719" t="str">
            <v>ja</v>
          </cell>
          <cell r="C1719" t="str">
            <v>赤鬼</v>
          </cell>
        </row>
        <row r="1720">
          <cell r="A1720">
            <v>8080</v>
          </cell>
          <cell r="B1720" t="str">
            <v>ja</v>
          </cell>
          <cell r="C1720" t="str">
            <v>レア６赤鬼</v>
          </cell>
        </row>
        <row r="1721">
          <cell r="A1721">
            <v>8081</v>
          </cell>
          <cell r="B1721" t="str">
            <v>ja</v>
          </cell>
          <cell r="C1721" t="str">
            <v>関羽</v>
          </cell>
        </row>
        <row r="1722">
          <cell r="A1722">
            <v>8082</v>
          </cell>
          <cell r="B1722" t="str">
            <v>ja</v>
          </cell>
          <cell r="C1722" t="str">
            <v>千里突撃 関羽</v>
          </cell>
        </row>
        <row r="1723">
          <cell r="A1723">
            <v>8083</v>
          </cell>
          <cell r="B1723" t="str">
            <v>ja</v>
          </cell>
          <cell r="C1723" t="str">
            <v>曹操</v>
          </cell>
        </row>
        <row r="1724">
          <cell r="A1724">
            <v>8084</v>
          </cell>
          <cell r="B1724" t="str">
            <v>ja</v>
          </cell>
          <cell r="C1724" t="str">
            <v>混沌の覇道行者 曹操</v>
          </cell>
        </row>
        <row r="1725">
          <cell r="A1725">
            <v>8085</v>
          </cell>
          <cell r="B1725" t="str">
            <v>ja</v>
          </cell>
          <cell r="C1725" t="str">
            <v>九霊無上の聖母 西王娘娘</v>
          </cell>
        </row>
        <row r="1726">
          <cell r="A1726">
            <v>8086</v>
          </cell>
          <cell r="B1726" t="str">
            <v>ja</v>
          </cell>
          <cell r="C1726" t="str">
            <v>砕縁の情滅剣 月下老人</v>
          </cell>
        </row>
        <row r="1727">
          <cell r="A1727">
            <v>8087</v>
          </cell>
          <cell r="B1727" t="str">
            <v>ja</v>
          </cell>
          <cell r="C1727" t="str">
            <v>財神</v>
          </cell>
        </row>
        <row r="1728">
          <cell r="A1728">
            <v>8088</v>
          </cell>
          <cell r="B1728" t="str">
            <v>ja</v>
          </cell>
          <cell r="C1728" t="str">
            <v>★６財神</v>
          </cell>
        </row>
        <row r="1729">
          <cell r="A1729">
            <v>8089</v>
          </cell>
          <cell r="B1729" t="str">
            <v>ja</v>
          </cell>
          <cell r="C1729" t="str">
            <v>年獣</v>
          </cell>
        </row>
        <row r="1730">
          <cell r="A1730">
            <v>8090</v>
          </cell>
          <cell r="B1730" t="str">
            <v>ja</v>
          </cell>
          <cell r="C1730" t="str">
            <v>★６年獣</v>
          </cell>
        </row>
        <row r="1731">
          <cell r="A1731">
            <v>8095</v>
          </cell>
          <cell r="B1731" t="str">
            <v>ja</v>
          </cell>
          <cell r="C1731" t="str">
            <v>バハムートダック赤</v>
          </cell>
        </row>
        <row r="1732">
          <cell r="A1732">
            <v>8096</v>
          </cell>
          <cell r="B1732" t="str">
            <v>ja</v>
          </cell>
          <cell r="C1732" t="str">
            <v>バハムートダック緑</v>
          </cell>
        </row>
        <row r="1733">
          <cell r="A1733">
            <v>8097</v>
          </cell>
          <cell r="B1733" t="str">
            <v>ja</v>
          </cell>
          <cell r="C1733" t="str">
            <v>バハムートダック青</v>
          </cell>
        </row>
        <row r="1734">
          <cell r="A1734">
            <v>8098</v>
          </cell>
          <cell r="B1734" t="str">
            <v>ja</v>
          </cell>
          <cell r="C1734" t="str">
            <v>バハムートダック黄</v>
          </cell>
        </row>
        <row r="1735">
          <cell r="A1735">
            <v>8099</v>
          </cell>
          <cell r="B1735" t="str">
            <v>ja</v>
          </cell>
          <cell r="C1735" t="str">
            <v>韓湘子</v>
          </cell>
        </row>
        <row r="1736">
          <cell r="A1736">
            <v>8100</v>
          </cell>
          <cell r="B1736" t="str">
            <v>ja</v>
          </cell>
          <cell r="C1736" t="str">
            <v>韓湘子★６</v>
          </cell>
        </row>
        <row r="1737">
          <cell r="A1737">
            <v>8101</v>
          </cell>
          <cell r="B1737" t="str">
            <v>ja</v>
          </cell>
          <cell r="C1737" t="str">
            <v>張果老</v>
          </cell>
        </row>
        <row r="1738">
          <cell r="A1738">
            <v>8102</v>
          </cell>
          <cell r="B1738" t="str">
            <v>ja</v>
          </cell>
          <cell r="C1738" t="str">
            <v>張果老★６</v>
          </cell>
        </row>
        <row r="1739">
          <cell r="A1739">
            <v>8103</v>
          </cell>
          <cell r="B1739" t="str">
            <v>ja</v>
          </cell>
          <cell r="C1739" t="str">
            <v>李鐵拐</v>
          </cell>
        </row>
        <row r="1740">
          <cell r="A1740">
            <v>8104</v>
          </cell>
          <cell r="B1740" t="str">
            <v>ja</v>
          </cell>
          <cell r="C1740" t="str">
            <v>李鐵拐★６</v>
          </cell>
        </row>
        <row r="1741">
          <cell r="A1741">
            <v>8105</v>
          </cell>
          <cell r="B1741" t="str">
            <v>ja</v>
          </cell>
          <cell r="C1741" t="str">
            <v>曹國舅</v>
          </cell>
        </row>
        <row r="1742">
          <cell r="A1742">
            <v>8106</v>
          </cell>
          <cell r="B1742" t="str">
            <v>ja</v>
          </cell>
          <cell r="C1742" t="str">
            <v>曹國舅★６</v>
          </cell>
        </row>
        <row r="1743">
          <cell r="A1743">
            <v>8111</v>
          </cell>
          <cell r="B1743" t="str">
            <v>ja</v>
          </cell>
          <cell r="C1743" t="str">
            <v>福德正神</v>
          </cell>
        </row>
        <row r="1744">
          <cell r="A1744">
            <v>8112</v>
          </cell>
          <cell r="B1744" t="str">
            <v>ja</v>
          </cell>
          <cell r="C1744" t="str">
            <v>福德正神★６</v>
          </cell>
        </row>
        <row r="1745">
          <cell r="A1745">
            <v>8113</v>
          </cell>
          <cell r="B1745" t="str">
            <v>ja</v>
          </cell>
          <cell r="C1745" t="str">
            <v>孔子</v>
          </cell>
        </row>
        <row r="1746">
          <cell r="A1746">
            <v>8114</v>
          </cell>
          <cell r="B1746" t="str">
            <v>ja</v>
          </cell>
          <cell r="C1746" t="str">
            <v>孔子★６</v>
          </cell>
        </row>
        <row r="1747">
          <cell r="A1747">
            <v>8115</v>
          </cell>
          <cell r="B1747" t="str">
            <v>ja</v>
          </cell>
          <cell r="C1747" t="str">
            <v>贏政</v>
          </cell>
        </row>
        <row r="1748">
          <cell r="A1748">
            <v>8116</v>
          </cell>
          <cell r="B1748" t="str">
            <v>ja</v>
          </cell>
          <cell r="C1748" t="str">
            <v>贏政★６</v>
          </cell>
        </row>
        <row r="1749">
          <cell r="A1749">
            <v>8117</v>
          </cell>
          <cell r="B1749" t="str">
            <v>ja</v>
          </cell>
          <cell r="C1749" t="str">
            <v>白娘子</v>
          </cell>
        </row>
        <row r="1750">
          <cell r="A1750">
            <v>8118</v>
          </cell>
          <cell r="B1750" t="str">
            <v>ja</v>
          </cell>
          <cell r="C1750" t="str">
            <v>白娘子★６</v>
          </cell>
        </row>
        <row r="1751">
          <cell r="A1751">
            <v>8119</v>
          </cell>
          <cell r="B1751" t="str">
            <v>ja</v>
          </cell>
          <cell r="C1751" t="str">
            <v>小青</v>
          </cell>
        </row>
        <row r="1752">
          <cell r="A1752">
            <v>8120</v>
          </cell>
          <cell r="B1752" t="str">
            <v>ja</v>
          </cell>
          <cell r="C1752" t="str">
            <v>小青★６</v>
          </cell>
        </row>
        <row r="1753">
          <cell r="A1753">
            <v>8121</v>
          </cell>
          <cell r="B1753" t="str">
            <v>ja</v>
          </cell>
          <cell r="C1753" t="str">
            <v>法海</v>
          </cell>
        </row>
        <row r="1754">
          <cell r="A1754">
            <v>8122</v>
          </cell>
          <cell r="B1754" t="str">
            <v>ja</v>
          </cell>
          <cell r="C1754" t="str">
            <v>法海★６</v>
          </cell>
        </row>
        <row r="1755">
          <cell r="A1755">
            <v>8123</v>
          </cell>
          <cell r="B1755" t="str">
            <v>ja</v>
          </cell>
          <cell r="C1755" t="str">
            <v>哪吒</v>
          </cell>
        </row>
        <row r="1756">
          <cell r="A1756">
            <v>8124</v>
          </cell>
          <cell r="B1756" t="str">
            <v>ja</v>
          </cell>
          <cell r="C1756" t="str">
            <v>★6哪吒</v>
          </cell>
        </row>
        <row r="1757">
          <cell r="A1757">
            <v>8125</v>
          </cell>
          <cell r="B1757" t="str">
            <v>ja</v>
          </cell>
          <cell r="C1757" t="str">
            <v>東海龍王</v>
          </cell>
        </row>
        <row r="1758">
          <cell r="A1758">
            <v>8126</v>
          </cell>
          <cell r="B1758" t="str">
            <v>ja</v>
          </cell>
          <cell r="C1758" t="str">
            <v>★6東海龍王</v>
          </cell>
        </row>
        <row r="1759">
          <cell r="A1759">
            <v>8127</v>
          </cell>
          <cell r="B1759" t="str">
            <v>ja</v>
          </cell>
          <cell r="C1759" t="str">
            <v>鐵扇公主 ‧ 羅剎女</v>
          </cell>
        </row>
        <row r="1760">
          <cell r="A1760">
            <v>8128</v>
          </cell>
          <cell r="B1760" t="str">
            <v>ja</v>
          </cell>
          <cell r="C1760" t="str">
            <v>聖賢哲者 ‧ 唐三藏</v>
          </cell>
        </row>
        <row r="1761">
          <cell r="A1761">
            <v>8129</v>
          </cell>
          <cell r="B1761" t="str">
            <v>ja</v>
          </cell>
          <cell r="C1761" t="str">
            <v>放任孽魔 ‧ 撒旦</v>
          </cell>
        </row>
        <row r="1762">
          <cell r="A1762">
            <v>8130</v>
          </cell>
          <cell r="B1762" t="str">
            <v>ja</v>
          </cell>
          <cell r="C1762" t="str">
            <v>變臉火術 ‧ 切西亞</v>
          </cell>
        </row>
        <row r="1763">
          <cell r="A1763">
            <v>8131</v>
          </cell>
          <cell r="B1763" t="str">
            <v>ja</v>
          </cell>
          <cell r="C1763" t="str">
            <v>預知者之歷劫 ‧ 卡珊德拉</v>
          </cell>
        </row>
        <row r="1764">
          <cell r="A1764">
            <v>8132</v>
          </cell>
          <cell r="B1764" t="str">
            <v>ja</v>
          </cell>
          <cell r="C1764" t="str">
            <v>罪與責之承諾 ‧ 美狄亞</v>
          </cell>
        </row>
        <row r="1765">
          <cell r="A1765">
            <v>8133</v>
          </cell>
          <cell r="B1765" t="str">
            <v>ja</v>
          </cell>
          <cell r="C1765" t="str">
            <v>大魔導士 ‧ 莫莉</v>
          </cell>
        </row>
        <row r="1766">
          <cell r="A1766">
            <v>8134</v>
          </cell>
          <cell r="B1766" t="str">
            <v>ja</v>
          </cell>
          <cell r="C1766" t="str">
            <v>龍焰騎士 ‧ 肖恩</v>
          </cell>
        </row>
        <row r="1767">
          <cell r="A1767">
            <v>8135</v>
          </cell>
          <cell r="B1767" t="str">
            <v>ja</v>
          </cell>
          <cell r="C1767" t="str">
            <v>混沌之翼 ‧ 路西法</v>
          </cell>
        </row>
        <row r="1768">
          <cell r="A1768">
            <v>8136</v>
          </cell>
          <cell r="B1768" t="str">
            <v>ja</v>
          </cell>
          <cell r="C1768" t="str">
            <v>混沌之翼 ‧ 路西法★6</v>
          </cell>
        </row>
        <row r="1769">
          <cell r="A1769">
            <v>8137</v>
          </cell>
          <cell r="B1769" t="str">
            <v>ja</v>
          </cell>
          <cell r="C1769" t="str">
            <v>黑巫術之疚惡 ‧ 喀耳刻</v>
          </cell>
        </row>
        <row r="1770">
          <cell r="A1770">
            <v>8138</v>
          </cell>
          <cell r="B1770" t="str">
            <v>ja</v>
          </cell>
          <cell r="C1770" t="str">
            <v>死靈魔導 ‧ 安多</v>
          </cell>
        </row>
        <row r="1771">
          <cell r="A1771">
            <v>9001</v>
          </cell>
          <cell r="B1771" t="str">
            <v>ja</v>
          </cell>
          <cell r="C1771" t="str">
            <v>春香</v>
          </cell>
        </row>
        <row r="1772">
          <cell r="A1772">
            <v>9002</v>
          </cell>
          <cell r="B1772" t="str">
            <v>ja</v>
          </cell>
          <cell r="C1772" t="str">
            <v>春香★６</v>
          </cell>
        </row>
        <row r="1773">
          <cell r="A1773">
            <v>9003</v>
          </cell>
          <cell r="B1773" t="str">
            <v>ja</v>
          </cell>
          <cell r="C1773" t="str">
            <v>夢龍</v>
          </cell>
        </row>
        <row r="1774">
          <cell r="A1774">
            <v>9004</v>
          </cell>
          <cell r="B1774" t="str">
            <v>ja</v>
          </cell>
          <cell r="C1774" t="str">
            <v>夢龍★６</v>
          </cell>
        </row>
        <row r="1775">
          <cell r="A1775">
            <v>9005</v>
          </cell>
          <cell r="B1775" t="str">
            <v>ja</v>
          </cell>
          <cell r="C1775" t="str">
            <v>降臨</v>
          </cell>
        </row>
        <row r="1776">
          <cell r="A1776">
            <v>9006</v>
          </cell>
          <cell r="B1776" t="str">
            <v>ja</v>
          </cell>
          <cell r="C1776" t="str">
            <v>降臨★６</v>
          </cell>
        </row>
        <row r="1777">
          <cell r="A1777">
            <v>9007</v>
          </cell>
          <cell r="B1777" t="str">
            <v>ja</v>
          </cell>
          <cell r="C1777" t="str">
            <v>田禹治</v>
          </cell>
        </row>
        <row r="1778">
          <cell r="A1778">
            <v>9008</v>
          </cell>
          <cell r="B1778" t="str">
            <v>ja</v>
          </cell>
          <cell r="C1778" t="str">
            <v>田禹治★６</v>
          </cell>
        </row>
        <row r="1779">
          <cell r="A1779">
            <v>9009</v>
          </cell>
          <cell r="B1779" t="str">
            <v>ja</v>
          </cell>
          <cell r="C1779" t="str">
            <v>薔花</v>
          </cell>
        </row>
        <row r="1780">
          <cell r="A1780">
            <v>9010</v>
          </cell>
          <cell r="B1780" t="str">
            <v>ja</v>
          </cell>
          <cell r="C1780" t="str">
            <v>薔花★６</v>
          </cell>
        </row>
        <row r="1781">
          <cell r="A1781">
            <v>9011</v>
          </cell>
          <cell r="B1781" t="str">
            <v>ja</v>
          </cell>
          <cell r="C1781" t="str">
            <v>紅蓮</v>
          </cell>
        </row>
        <row r="1782">
          <cell r="A1782">
            <v>9012</v>
          </cell>
          <cell r="B1782" t="str">
            <v>ja</v>
          </cell>
          <cell r="C1782" t="str">
            <v>紅蓮★６</v>
          </cell>
        </row>
        <row r="1783">
          <cell r="A1783">
            <v>10001</v>
          </cell>
          <cell r="B1783" t="str">
            <v>ja</v>
          </cell>
          <cell r="C1783" t="str">
            <v>テストユニット01</v>
          </cell>
        </row>
        <row r="1784">
          <cell r="A1784">
            <v>10002</v>
          </cell>
          <cell r="B1784" t="str">
            <v>ja</v>
          </cell>
          <cell r="C1784" t="str">
            <v>テストユニット02</v>
          </cell>
        </row>
        <row r="1785">
          <cell r="A1785">
            <v>10003</v>
          </cell>
          <cell r="B1785" t="str">
            <v>ja</v>
          </cell>
          <cell r="C1785" t="str">
            <v>テストユニット03</v>
          </cell>
        </row>
        <row r="1786">
          <cell r="A1786">
            <v>10004</v>
          </cell>
          <cell r="B1786" t="str">
            <v>ja</v>
          </cell>
          <cell r="C1786" t="str">
            <v>テストユニット04</v>
          </cell>
        </row>
        <row r="1787">
          <cell r="A1787">
            <v>10005</v>
          </cell>
          <cell r="B1787" t="str">
            <v>ja</v>
          </cell>
          <cell r="C1787" t="str">
            <v>テストユニット05</v>
          </cell>
        </row>
        <row r="1788">
          <cell r="A1788">
            <v>10006</v>
          </cell>
          <cell r="B1788" t="str">
            <v>ja</v>
          </cell>
          <cell r="C1788" t="str">
            <v>テストユニット06</v>
          </cell>
        </row>
        <row r="1789">
          <cell r="A1789">
            <v>10007</v>
          </cell>
          <cell r="B1789" t="str">
            <v>ja</v>
          </cell>
          <cell r="C1789" t="str">
            <v>テストユニット07</v>
          </cell>
        </row>
        <row r="1790">
          <cell r="A1790">
            <v>10008</v>
          </cell>
          <cell r="B1790" t="str">
            <v>ja</v>
          </cell>
          <cell r="C1790" t="str">
            <v>テストユニット08</v>
          </cell>
        </row>
        <row r="1791">
          <cell r="A1791">
            <v>10009</v>
          </cell>
          <cell r="B1791" t="str">
            <v>ja</v>
          </cell>
          <cell r="C1791" t="str">
            <v>青テスト01</v>
          </cell>
        </row>
        <row r="1792">
          <cell r="A1792">
            <v>10010</v>
          </cell>
          <cell r="B1792" t="str">
            <v>ja</v>
          </cell>
          <cell r="C1792" t="str">
            <v>赤テスト01</v>
          </cell>
        </row>
        <row r="1793">
          <cell r="A1793">
            <v>10011</v>
          </cell>
          <cell r="B1793" t="str">
            <v>ja</v>
          </cell>
          <cell r="C1793" t="str">
            <v>テストユニット11</v>
          </cell>
        </row>
        <row r="1794">
          <cell r="A1794">
            <v>10012</v>
          </cell>
          <cell r="B1794" t="str">
            <v>ja</v>
          </cell>
          <cell r="C1794" t="str">
            <v>レイドテストユニット青</v>
          </cell>
        </row>
        <row r="1795">
          <cell r="A1795">
            <v>10013</v>
          </cell>
          <cell r="B1795" t="str">
            <v>ja</v>
          </cell>
          <cell r="C1795" t="str">
            <v>テストユニット13</v>
          </cell>
        </row>
        <row r="1796">
          <cell r="A1796">
            <v>10014</v>
          </cell>
          <cell r="B1796" t="str">
            <v>ja</v>
          </cell>
          <cell r="C1796" t="str">
            <v>テストユニット14</v>
          </cell>
        </row>
        <row r="1797">
          <cell r="A1797">
            <v>10015</v>
          </cell>
          <cell r="B1797" t="str">
            <v>ja</v>
          </cell>
          <cell r="C1797" t="str">
            <v>テストユニット15</v>
          </cell>
        </row>
        <row r="1798">
          <cell r="A1798">
            <v>10016</v>
          </cell>
          <cell r="B1798" t="str">
            <v>ja</v>
          </cell>
          <cell r="C1798" t="str">
            <v>テストユニット16</v>
          </cell>
        </row>
        <row r="1799">
          <cell r="A1799">
            <v>10017</v>
          </cell>
          <cell r="B1799" t="str">
            <v>ja</v>
          </cell>
          <cell r="C1799" t="str">
            <v>テストユニット17</v>
          </cell>
        </row>
        <row r="1800">
          <cell r="A1800">
            <v>10018</v>
          </cell>
          <cell r="B1800" t="str">
            <v>ja</v>
          </cell>
          <cell r="C1800" t="str">
            <v>テストユニット18</v>
          </cell>
        </row>
        <row r="1801">
          <cell r="A1801">
            <v>10019</v>
          </cell>
          <cell r="B1801" t="str">
            <v>ja</v>
          </cell>
          <cell r="C1801" t="str">
            <v>テストユニット19</v>
          </cell>
        </row>
        <row r="1802">
          <cell r="A1802">
            <v>10020</v>
          </cell>
          <cell r="B1802" t="str">
            <v>ja</v>
          </cell>
          <cell r="C1802" t="str">
            <v>テストユニット20</v>
          </cell>
        </row>
        <row r="1803">
          <cell r="A1803">
            <v>10021</v>
          </cell>
          <cell r="B1803" t="str">
            <v>ja</v>
          </cell>
          <cell r="C1803" t="str">
            <v>テストユニット21</v>
          </cell>
        </row>
        <row r="1804">
          <cell r="A1804">
            <v>10022</v>
          </cell>
          <cell r="B1804" t="str">
            <v>ja</v>
          </cell>
          <cell r="C1804" t="str">
            <v>テストユニット22</v>
          </cell>
        </row>
        <row r="1805">
          <cell r="A1805">
            <v>10023</v>
          </cell>
          <cell r="B1805" t="str">
            <v>ja</v>
          </cell>
          <cell r="C1805" t="str">
            <v>テストユニット23</v>
          </cell>
        </row>
        <row r="1806">
          <cell r="A1806">
            <v>10024</v>
          </cell>
          <cell r="B1806" t="str">
            <v>ja</v>
          </cell>
          <cell r="C1806" t="str">
            <v>テストユニット24</v>
          </cell>
        </row>
        <row r="1807">
          <cell r="A1807">
            <v>10025</v>
          </cell>
          <cell r="B1807" t="str">
            <v>ja</v>
          </cell>
          <cell r="C1807" t="str">
            <v>テストユニット25</v>
          </cell>
        </row>
        <row r="1808">
          <cell r="A1808">
            <v>10026</v>
          </cell>
          <cell r="B1808" t="str">
            <v>ja</v>
          </cell>
          <cell r="C1808" t="str">
            <v>テストユニット26</v>
          </cell>
        </row>
        <row r="1809">
          <cell r="A1809">
            <v>10027</v>
          </cell>
          <cell r="B1809" t="str">
            <v>ja</v>
          </cell>
          <cell r="C1809" t="str">
            <v>テストユニット27</v>
          </cell>
        </row>
        <row r="1810">
          <cell r="A1810">
            <v>10028</v>
          </cell>
          <cell r="B1810" t="str">
            <v>ja</v>
          </cell>
          <cell r="C1810" t="str">
            <v>テストユニット28</v>
          </cell>
        </row>
        <row r="1811">
          <cell r="A1811">
            <v>10029</v>
          </cell>
          <cell r="B1811" t="str">
            <v>ja</v>
          </cell>
          <cell r="C1811" t="str">
            <v>テストユニット29</v>
          </cell>
        </row>
        <row r="1812">
          <cell r="A1812">
            <v>10030</v>
          </cell>
          <cell r="B1812" t="str">
            <v>ja</v>
          </cell>
          <cell r="C1812" t="str">
            <v>テストユニット30</v>
          </cell>
        </row>
        <row r="1813">
          <cell r="A1813">
            <v>10031</v>
          </cell>
          <cell r="B1813" t="str">
            <v>ja</v>
          </cell>
          <cell r="C1813" t="str">
            <v>テストユニット31</v>
          </cell>
        </row>
        <row r="1814">
          <cell r="A1814">
            <v>10032</v>
          </cell>
          <cell r="B1814" t="str">
            <v>ja</v>
          </cell>
          <cell r="C1814" t="str">
            <v>テストユニット32</v>
          </cell>
        </row>
        <row r="1815">
          <cell r="A1815">
            <v>10033</v>
          </cell>
          <cell r="B1815" t="str">
            <v>ja</v>
          </cell>
          <cell r="C1815" t="str">
            <v>テストユニット33</v>
          </cell>
        </row>
        <row r="1816">
          <cell r="A1816">
            <v>10034</v>
          </cell>
          <cell r="B1816" t="str">
            <v>ja</v>
          </cell>
          <cell r="C1816" t="str">
            <v>テストユニット34</v>
          </cell>
        </row>
        <row r="1817">
          <cell r="A1817">
            <v>10035</v>
          </cell>
          <cell r="B1817" t="str">
            <v>ja</v>
          </cell>
          <cell r="C1817" t="str">
            <v>テストユニット35</v>
          </cell>
        </row>
        <row r="1818">
          <cell r="A1818">
            <v>10036</v>
          </cell>
          <cell r="B1818" t="str">
            <v>ja</v>
          </cell>
          <cell r="C1818" t="str">
            <v>テストユニット36</v>
          </cell>
        </row>
        <row r="1819">
          <cell r="A1819">
            <v>10037</v>
          </cell>
          <cell r="B1819" t="str">
            <v>ja</v>
          </cell>
          <cell r="C1819" t="str">
            <v>テストユニット37</v>
          </cell>
        </row>
        <row r="1820">
          <cell r="A1820">
            <v>10038</v>
          </cell>
          <cell r="B1820" t="str">
            <v>ja</v>
          </cell>
          <cell r="C1820" t="str">
            <v>テストユニット38</v>
          </cell>
        </row>
        <row r="1821">
          <cell r="A1821">
            <v>10039</v>
          </cell>
          <cell r="B1821" t="str">
            <v>ja</v>
          </cell>
          <cell r="C1821" t="str">
            <v>テストユニット39</v>
          </cell>
        </row>
        <row r="1822">
          <cell r="A1822">
            <v>10040</v>
          </cell>
          <cell r="B1822" t="str">
            <v>ja</v>
          </cell>
          <cell r="C1822" t="str">
            <v>テストユニット40</v>
          </cell>
        </row>
        <row r="1823">
          <cell r="A1823">
            <v>10041</v>
          </cell>
          <cell r="B1823" t="str">
            <v>ja</v>
          </cell>
          <cell r="C1823" t="str">
            <v>テストユニット41</v>
          </cell>
        </row>
        <row r="1824">
          <cell r="A1824">
            <v>10042</v>
          </cell>
          <cell r="B1824" t="str">
            <v>ja</v>
          </cell>
          <cell r="C1824" t="str">
            <v>テストユニット42</v>
          </cell>
        </row>
        <row r="1825">
          <cell r="A1825">
            <v>10043</v>
          </cell>
          <cell r="B1825" t="str">
            <v>ja</v>
          </cell>
          <cell r="C1825" t="str">
            <v>テストユニット43</v>
          </cell>
        </row>
        <row r="1826">
          <cell r="A1826">
            <v>10044</v>
          </cell>
          <cell r="B1826" t="str">
            <v>ja</v>
          </cell>
          <cell r="C1826" t="str">
            <v>テストユニット44</v>
          </cell>
        </row>
        <row r="1827">
          <cell r="A1827">
            <v>10045</v>
          </cell>
          <cell r="B1827" t="str">
            <v>ja</v>
          </cell>
          <cell r="C1827" t="str">
            <v>テストユニット45</v>
          </cell>
        </row>
        <row r="1828">
          <cell r="A1828">
            <v>10046</v>
          </cell>
          <cell r="B1828" t="str">
            <v>ja</v>
          </cell>
          <cell r="C1828" t="str">
            <v>テストユニット46</v>
          </cell>
        </row>
        <row r="1829">
          <cell r="A1829">
            <v>10047</v>
          </cell>
          <cell r="B1829" t="str">
            <v>ja</v>
          </cell>
          <cell r="C1829" t="str">
            <v>テストユニット47</v>
          </cell>
        </row>
        <row r="1830">
          <cell r="A1830">
            <v>10048</v>
          </cell>
          <cell r="B1830" t="str">
            <v>ja</v>
          </cell>
          <cell r="C1830" t="str">
            <v>テストユニット48</v>
          </cell>
        </row>
        <row r="1831">
          <cell r="A1831">
            <v>10049</v>
          </cell>
          <cell r="B1831" t="str">
            <v>ja</v>
          </cell>
          <cell r="C1831" t="str">
            <v>テストユニット49</v>
          </cell>
        </row>
        <row r="1832">
          <cell r="A1832">
            <v>10050</v>
          </cell>
          <cell r="B1832" t="str">
            <v>ja</v>
          </cell>
          <cell r="C1832" t="str">
            <v>テストユニット50</v>
          </cell>
        </row>
        <row r="1833">
          <cell r="A1833">
            <v>10051</v>
          </cell>
          <cell r="B1833" t="str">
            <v>ja</v>
          </cell>
          <cell r="C1833" t="str">
            <v>テストユニット51</v>
          </cell>
        </row>
        <row r="1834">
          <cell r="A1834">
            <v>10052</v>
          </cell>
          <cell r="B1834" t="str">
            <v>ja</v>
          </cell>
          <cell r="C1834" t="str">
            <v>テストユニット52</v>
          </cell>
        </row>
        <row r="1835">
          <cell r="A1835">
            <v>10053</v>
          </cell>
          <cell r="B1835" t="str">
            <v>ja</v>
          </cell>
          <cell r="C1835" t="str">
            <v>テストユニット53</v>
          </cell>
        </row>
        <row r="1836">
          <cell r="A1836">
            <v>10054</v>
          </cell>
          <cell r="B1836" t="str">
            <v>ja</v>
          </cell>
          <cell r="C1836" t="str">
            <v>テストユニット54</v>
          </cell>
        </row>
        <row r="1837">
          <cell r="A1837">
            <v>10055</v>
          </cell>
          <cell r="B1837" t="str">
            <v>ja</v>
          </cell>
          <cell r="C1837" t="str">
            <v>テストユニット55</v>
          </cell>
        </row>
        <row r="1838">
          <cell r="A1838">
            <v>10056</v>
          </cell>
          <cell r="B1838" t="str">
            <v>ja</v>
          </cell>
          <cell r="C1838" t="str">
            <v>テストユニット56</v>
          </cell>
        </row>
        <row r="1839">
          <cell r="A1839">
            <v>10057</v>
          </cell>
          <cell r="B1839" t="str">
            <v>ja</v>
          </cell>
          <cell r="C1839" t="str">
            <v>テストユニット57</v>
          </cell>
        </row>
        <row r="1840">
          <cell r="A1840">
            <v>10058</v>
          </cell>
          <cell r="B1840" t="str">
            <v>ja</v>
          </cell>
          <cell r="C1840" t="str">
            <v>テストユニット58</v>
          </cell>
        </row>
        <row r="1841">
          <cell r="A1841">
            <v>10059</v>
          </cell>
          <cell r="B1841" t="str">
            <v>ja</v>
          </cell>
          <cell r="C1841" t="str">
            <v>テストユニット59</v>
          </cell>
        </row>
        <row r="1842">
          <cell r="A1842">
            <v>10060</v>
          </cell>
          <cell r="B1842" t="str">
            <v>ja</v>
          </cell>
          <cell r="C1842" t="str">
            <v>テストユニット60</v>
          </cell>
        </row>
        <row r="1843">
          <cell r="A1843">
            <v>10061</v>
          </cell>
          <cell r="B1843" t="str">
            <v>ja</v>
          </cell>
          <cell r="C1843" t="str">
            <v>テストユニット61</v>
          </cell>
        </row>
        <row r="1844">
          <cell r="A1844">
            <v>10062</v>
          </cell>
          <cell r="B1844" t="str">
            <v>ja</v>
          </cell>
          <cell r="C1844" t="str">
            <v>テストユニット62</v>
          </cell>
        </row>
        <row r="1845">
          <cell r="A1845">
            <v>10063</v>
          </cell>
          <cell r="B1845" t="str">
            <v>ja</v>
          </cell>
          <cell r="C1845" t="str">
            <v>テストユニット63</v>
          </cell>
        </row>
        <row r="1846">
          <cell r="A1846">
            <v>10064</v>
          </cell>
          <cell r="B1846" t="str">
            <v>ja</v>
          </cell>
          <cell r="C1846" t="str">
            <v>テストユニット64</v>
          </cell>
        </row>
        <row r="1847">
          <cell r="A1847">
            <v>10065</v>
          </cell>
          <cell r="B1847" t="str">
            <v>ja</v>
          </cell>
          <cell r="C1847" t="str">
            <v>テストユニット65</v>
          </cell>
        </row>
        <row r="1848">
          <cell r="A1848">
            <v>10066</v>
          </cell>
          <cell r="B1848" t="str">
            <v>ja</v>
          </cell>
          <cell r="C1848" t="str">
            <v>テストユニット66</v>
          </cell>
        </row>
        <row r="1849">
          <cell r="A1849">
            <v>10067</v>
          </cell>
          <cell r="B1849" t="str">
            <v>ja</v>
          </cell>
          <cell r="C1849" t="str">
            <v>テストユニット67</v>
          </cell>
        </row>
        <row r="1850">
          <cell r="A1850">
            <v>10068</v>
          </cell>
          <cell r="B1850" t="str">
            <v>ja</v>
          </cell>
          <cell r="C1850" t="str">
            <v>テストユニット68</v>
          </cell>
        </row>
        <row r="1851">
          <cell r="A1851">
            <v>10069</v>
          </cell>
          <cell r="B1851" t="str">
            <v>ja</v>
          </cell>
          <cell r="C1851" t="str">
            <v>テストユニット69</v>
          </cell>
        </row>
        <row r="1852">
          <cell r="A1852">
            <v>10070</v>
          </cell>
          <cell r="B1852" t="str">
            <v>ja</v>
          </cell>
          <cell r="C1852" t="str">
            <v>テストユニット70</v>
          </cell>
        </row>
        <row r="1853">
          <cell r="A1853">
            <v>10071</v>
          </cell>
          <cell r="B1853" t="str">
            <v>ja</v>
          </cell>
          <cell r="C1853" t="str">
            <v>テストユニット71</v>
          </cell>
        </row>
        <row r="1854">
          <cell r="A1854">
            <v>10072</v>
          </cell>
          <cell r="B1854" t="str">
            <v>ja</v>
          </cell>
          <cell r="C1854" t="str">
            <v>テストユニット72</v>
          </cell>
        </row>
        <row r="1855">
          <cell r="A1855">
            <v>10073</v>
          </cell>
          <cell r="B1855" t="str">
            <v>ja</v>
          </cell>
          <cell r="C1855" t="str">
            <v>テストユニット73</v>
          </cell>
        </row>
        <row r="1856">
          <cell r="A1856">
            <v>10074</v>
          </cell>
          <cell r="B1856" t="str">
            <v>ja</v>
          </cell>
          <cell r="C1856" t="str">
            <v>テストユニット74</v>
          </cell>
        </row>
        <row r="1857">
          <cell r="A1857">
            <v>10075</v>
          </cell>
          <cell r="B1857" t="str">
            <v>ja</v>
          </cell>
          <cell r="C1857" t="str">
            <v>テストユニット75</v>
          </cell>
        </row>
        <row r="1858">
          <cell r="A1858">
            <v>10076</v>
          </cell>
          <cell r="B1858" t="str">
            <v>ja</v>
          </cell>
          <cell r="C1858" t="str">
            <v>テストユニット76</v>
          </cell>
        </row>
        <row r="1859">
          <cell r="A1859">
            <v>10077</v>
          </cell>
          <cell r="B1859" t="str">
            <v>ja</v>
          </cell>
          <cell r="C1859" t="str">
            <v>テストユニット77</v>
          </cell>
        </row>
        <row r="1860">
          <cell r="A1860">
            <v>10078</v>
          </cell>
          <cell r="B1860" t="str">
            <v>ja</v>
          </cell>
          <cell r="C1860" t="str">
            <v>テストユニット78</v>
          </cell>
        </row>
        <row r="1861">
          <cell r="A1861">
            <v>10079</v>
          </cell>
          <cell r="B1861" t="str">
            <v>ja</v>
          </cell>
          <cell r="C1861" t="str">
            <v>テストユニット79</v>
          </cell>
        </row>
        <row r="1862">
          <cell r="A1862">
            <v>10080</v>
          </cell>
          <cell r="B1862" t="str">
            <v>ja</v>
          </cell>
          <cell r="C1862" t="str">
            <v>テストユニット80</v>
          </cell>
        </row>
        <row r="1863">
          <cell r="A1863">
            <v>10081</v>
          </cell>
          <cell r="B1863" t="str">
            <v>ja</v>
          </cell>
          <cell r="C1863" t="str">
            <v>テストユニット81</v>
          </cell>
        </row>
        <row r="1864">
          <cell r="A1864">
            <v>10082</v>
          </cell>
          <cell r="B1864" t="str">
            <v>ja</v>
          </cell>
          <cell r="C1864" t="str">
            <v>テストユニット82</v>
          </cell>
        </row>
        <row r="1865">
          <cell r="A1865">
            <v>10083</v>
          </cell>
          <cell r="B1865" t="str">
            <v>ja</v>
          </cell>
          <cell r="C1865" t="str">
            <v>テストユニット83</v>
          </cell>
        </row>
        <row r="1866">
          <cell r="A1866">
            <v>10084</v>
          </cell>
          <cell r="B1866" t="str">
            <v>ja</v>
          </cell>
          <cell r="C1866" t="str">
            <v>テストユニット84</v>
          </cell>
        </row>
        <row r="1867">
          <cell r="A1867">
            <v>10085</v>
          </cell>
          <cell r="B1867" t="str">
            <v>ja</v>
          </cell>
          <cell r="C1867" t="str">
            <v>テストユニット85</v>
          </cell>
        </row>
        <row r="1868">
          <cell r="A1868">
            <v>10086</v>
          </cell>
          <cell r="B1868" t="str">
            <v>ja</v>
          </cell>
          <cell r="C1868" t="str">
            <v>テストユニット86</v>
          </cell>
        </row>
        <row r="1869">
          <cell r="A1869">
            <v>10087</v>
          </cell>
          <cell r="B1869" t="str">
            <v>ja</v>
          </cell>
          <cell r="C1869" t="str">
            <v>テストユニット87</v>
          </cell>
        </row>
        <row r="1870">
          <cell r="A1870">
            <v>10088</v>
          </cell>
          <cell r="B1870" t="str">
            <v>ja</v>
          </cell>
          <cell r="C1870" t="str">
            <v>テストユニット88</v>
          </cell>
        </row>
        <row r="1871">
          <cell r="A1871">
            <v>10089</v>
          </cell>
          <cell r="B1871" t="str">
            <v>ja</v>
          </cell>
          <cell r="C1871" t="str">
            <v>テストユニット89</v>
          </cell>
        </row>
        <row r="1872">
          <cell r="A1872">
            <v>10090</v>
          </cell>
          <cell r="B1872" t="str">
            <v>ja</v>
          </cell>
          <cell r="C1872" t="str">
            <v>テストユニット90</v>
          </cell>
        </row>
        <row r="1873">
          <cell r="A1873">
            <v>10101</v>
          </cell>
          <cell r="B1873" t="str">
            <v>ja</v>
          </cell>
          <cell r="C1873" t="str">
            <v>Usagi-kun</v>
          </cell>
        </row>
        <row r="1874">
          <cell r="A1874">
            <v>10102</v>
          </cell>
          <cell r="B1874" t="str">
            <v>ja</v>
          </cell>
          <cell r="C1874" t="str">
            <v>ローズ</v>
          </cell>
        </row>
        <row r="1875">
          <cell r="A1875">
            <v>10103</v>
          </cell>
          <cell r="B1875" t="str">
            <v>ja</v>
          </cell>
          <cell r="C1875" t="str">
            <v>ローズ</v>
          </cell>
        </row>
      </sheetData>
      <sheetData sheetId="4">
        <row r="1">
          <cell r="A1" t="str">
            <v>character_type_id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タイプなし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attack</v>
          </cell>
          <cell r="B3" t="str">
            <v>ja</v>
          </cell>
          <cell r="C3" t="str">
            <v>攻撃タイプ</v>
          </cell>
          <cell r="D3">
            <v>1</v>
          </cell>
          <cell r="E3">
            <v>1.33</v>
          </cell>
          <cell r="F3">
            <v>1</v>
          </cell>
          <cell r="G3">
            <v>0.67</v>
          </cell>
          <cell r="H3">
            <v>3</v>
          </cell>
        </row>
        <row r="4">
          <cell r="A4" t="str">
            <v>balance</v>
          </cell>
          <cell r="B4" t="str">
            <v>ja</v>
          </cell>
          <cell r="C4" t="str">
            <v>バランスタイプ</v>
          </cell>
          <cell r="D4">
            <v>1</v>
          </cell>
          <cell r="E4">
            <v>1</v>
          </cell>
          <cell r="F4">
            <v>1</v>
          </cell>
          <cell r="G4">
            <v>1</v>
          </cell>
          <cell r="H4">
            <v>3</v>
          </cell>
        </row>
        <row r="5">
          <cell r="A5" t="str">
            <v>hp</v>
          </cell>
          <cell r="B5" t="str">
            <v>ja</v>
          </cell>
          <cell r="C5" t="str">
            <v>体力タイプ</v>
          </cell>
          <cell r="D5">
            <v>1.45</v>
          </cell>
          <cell r="E5">
            <v>0.85</v>
          </cell>
          <cell r="F5">
            <v>1</v>
          </cell>
          <cell r="G5">
            <v>0.7</v>
          </cell>
          <cell r="H5">
            <v>3</v>
          </cell>
        </row>
        <row r="6">
          <cell r="A6" t="str">
            <v>technical</v>
          </cell>
          <cell r="B6" t="str">
            <v>ja</v>
          </cell>
          <cell r="C6" t="str">
            <v>テクニカルタイプ</v>
          </cell>
          <cell r="D6">
            <v>0.9</v>
          </cell>
          <cell r="E6">
            <v>0.9</v>
          </cell>
          <cell r="F6">
            <v>1</v>
          </cell>
          <cell r="G6">
            <v>0.9</v>
          </cell>
          <cell r="H6">
            <v>2.7</v>
          </cell>
        </row>
        <row r="7">
          <cell r="A7" t="str">
            <v>heal</v>
          </cell>
          <cell r="B7" t="str">
            <v>ja</v>
          </cell>
          <cell r="C7" t="str">
            <v>回復タイプ</v>
          </cell>
          <cell r="D7">
            <v>0.8</v>
          </cell>
          <cell r="E7">
            <v>0.78</v>
          </cell>
          <cell r="F7">
            <v>1</v>
          </cell>
          <cell r="G7">
            <v>1.42</v>
          </cell>
          <cell r="H7">
            <v>3</v>
          </cell>
        </row>
        <row r="8">
          <cell r="A8" t="str">
            <v>exp</v>
          </cell>
          <cell r="B8" t="str">
            <v>ja</v>
          </cell>
          <cell r="C8" t="str">
            <v>強化素材タイプ</v>
          </cell>
          <cell r="D8">
            <v>0.1</v>
          </cell>
          <cell r="E8">
            <v>0.05</v>
          </cell>
          <cell r="F8">
            <v>1</v>
          </cell>
          <cell r="G8">
            <v>0.05</v>
          </cell>
          <cell r="H8">
            <v>0.2</v>
          </cell>
        </row>
        <row r="9">
          <cell r="A9" t="str">
            <v>evolution</v>
          </cell>
          <cell r="B9" t="str">
            <v>ja</v>
          </cell>
          <cell r="C9" t="str">
            <v>覚醒素材タイプ</v>
          </cell>
          <cell r="D9">
            <v>0.1</v>
          </cell>
          <cell r="E9">
            <v>0.05</v>
          </cell>
          <cell r="F9">
            <v>1</v>
          </cell>
          <cell r="G9">
            <v>0.05</v>
          </cell>
          <cell r="H9">
            <v>0.2</v>
          </cell>
        </row>
        <row r="10">
          <cell r="A10" t="str">
            <v>coin</v>
          </cell>
          <cell r="B10" t="str">
            <v>ja</v>
          </cell>
          <cell r="C10" t="str">
            <v>コインタイプ</v>
          </cell>
          <cell r="D10">
            <v>0.1</v>
          </cell>
          <cell r="E10">
            <v>0.05</v>
          </cell>
          <cell r="F10">
            <v>1</v>
          </cell>
          <cell r="G10">
            <v>0.05</v>
          </cell>
          <cell r="H10">
            <v>0.2</v>
          </cell>
        </row>
        <row r="11">
          <cell r="A11" t="str">
            <v>limitbreak</v>
          </cell>
          <cell r="B11" t="str">
            <v>ja</v>
          </cell>
          <cell r="C11" t="str">
            <v>限界突破素材</v>
          </cell>
          <cell r="D11">
            <v>0.1</v>
          </cell>
          <cell r="E11">
            <v>0.05</v>
          </cell>
          <cell r="F11">
            <v>1</v>
          </cell>
          <cell r="G11">
            <v>0.05</v>
          </cell>
          <cell r="H11">
            <v>0.2</v>
          </cell>
        </row>
        <row r="12">
          <cell r="A12" t="str">
            <v>skilllevel</v>
          </cell>
          <cell r="B12" t="str">
            <v>ja</v>
          </cell>
          <cell r="C12" t="str">
            <v>スキルレベル素材</v>
          </cell>
          <cell r="D12">
            <v>0.1</v>
          </cell>
          <cell r="E12">
            <v>0.05</v>
          </cell>
          <cell r="F12">
            <v>1</v>
          </cell>
          <cell r="G12">
            <v>0.05</v>
          </cell>
          <cell r="H12">
            <v>0.2</v>
          </cell>
        </row>
        <row r="13">
          <cell r="A13" t="str">
            <v>dr</v>
          </cell>
          <cell r="B13" t="str">
            <v>ja</v>
          </cell>
          <cell r="C13" t="str">
            <v>デュラララ!!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ra</v>
          </cell>
          <cell r="B14" t="str">
            <v>ja</v>
          </cell>
          <cell r="C14" t="str">
            <v>ラグランジュチャレンジ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ra002</v>
          </cell>
          <cell r="B15" t="str">
            <v>ja</v>
          </cell>
          <cell r="C15" t="str">
            <v>ユークリッドチャレンジ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</sheetData>
      <sheetData sheetId="5">
        <row r="1">
          <cell r="A1" t="str">
            <v>character_tribe_id</v>
          </cell>
          <cell r="B1" t="str">
            <v>language</v>
          </cell>
          <cell r="C1" t="str">
            <v>name</v>
          </cell>
          <cell r="D1" t="str">
            <v>HP係数</v>
          </cell>
          <cell r="E1" t="str">
            <v>攻撃係数</v>
          </cell>
          <cell r="F1" t="str">
            <v>防御係数</v>
          </cell>
          <cell r="G1" t="str">
            <v>回復係数</v>
          </cell>
          <cell r="H1" t="str">
            <v>重み付け評価</v>
          </cell>
        </row>
        <row r="2">
          <cell r="A2" t="str">
            <v>none</v>
          </cell>
          <cell r="B2" t="str">
            <v>ja</v>
          </cell>
          <cell r="C2" t="str">
            <v>種族なし</v>
          </cell>
          <cell r="D2">
            <v>0</v>
          </cell>
          <cell r="E2">
            <v>0</v>
          </cell>
          <cell r="F2">
            <v>0</v>
          </cell>
          <cell r="G2">
            <v>0</v>
          </cell>
          <cell r="H2">
            <v>0</v>
          </cell>
        </row>
        <row r="3">
          <cell r="A3" t="str">
            <v>human</v>
          </cell>
          <cell r="B3" t="str">
            <v>ja</v>
          </cell>
          <cell r="C3" t="str">
            <v>ヒューマン</v>
          </cell>
          <cell r="D3">
            <v>0.94</v>
          </cell>
          <cell r="E3">
            <v>0.99</v>
          </cell>
          <cell r="F3">
            <v>1</v>
          </cell>
          <cell r="G3">
            <v>1.07</v>
          </cell>
          <cell r="H3">
            <v>3</v>
          </cell>
        </row>
        <row r="4">
          <cell r="A4" t="str">
            <v>animal</v>
          </cell>
          <cell r="B4" t="str">
            <v>ja</v>
          </cell>
          <cell r="C4" t="str">
            <v>アニマル</v>
          </cell>
          <cell r="D4">
            <v>1</v>
          </cell>
          <cell r="E4">
            <v>1.1000000000000001</v>
          </cell>
          <cell r="F4">
            <v>1</v>
          </cell>
          <cell r="G4">
            <v>0.9</v>
          </cell>
          <cell r="H4">
            <v>3</v>
          </cell>
        </row>
        <row r="5">
          <cell r="A5" t="str">
            <v>dragon</v>
          </cell>
          <cell r="B5" t="str">
            <v>ja</v>
          </cell>
          <cell r="C5" t="str">
            <v>ドラゴン</v>
          </cell>
          <cell r="D5">
            <v>1.1499999999999999</v>
          </cell>
          <cell r="E5">
            <v>1.1000000000000001</v>
          </cell>
          <cell r="F5">
            <v>1</v>
          </cell>
          <cell r="G5">
            <v>0.75</v>
          </cell>
          <cell r="H5">
            <v>3</v>
          </cell>
        </row>
        <row r="6">
          <cell r="A6" t="str">
            <v>machine</v>
          </cell>
          <cell r="B6" t="str">
            <v>ja</v>
          </cell>
          <cell r="C6" t="str">
            <v>マシン</v>
          </cell>
          <cell r="D6">
            <v>1</v>
          </cell>
          <cell r="E6">
            <v>1</v>
          </cell>
          <cell r="F6">
            <v>1</v>
          </cell>
          <cell r="G6">
            <v>1</v>
          </cell>
          <cell r="H6">
            <v>3</v>
          </cell>
        </row>
        <row r="7">
          <cell r="A7" t="str">
            <v>god</v>
          </cell>
          <cell r="B7" t="str">
            <v>ja</v>
          </cell>
          <cell r="C7" t="str">
            <v>ゴッド</v>
          </cell>
          <cell r="D7">
            <v>0.96</v>
          </cell>
          <cell r="E7">
            <v>1.02</v>
          </cell>
          <cell r="F7">
            <v>1</v>
          </cell>
          <cell r="G7">
            <v>1.02</v>
          </cell>
          <cell r="H7">
            <v>3</v>
          </cell>
        </row>
        <row r="8">
          <cell r="A8" t="str">
            <v>unknown</v>
          </cell>
          <cell r="B8" t="str">
            <v>ja</v>
          </cell>
          <cell r="C8" t="str">
            <v>Unknown</v>
          </cell>
          <cell r="D8">
            <v>1</v>
          </cell>
          <cell r="E8">
            <v>1</v>
          </cell>
          <cell r="F8">
            <v>1</v>
          </cell>
          <cell r="G8">
            <v>1</v>
          </cell>
          <cell r="H8">
            <v>3</v>
          </cell>
        </row>
        <row r="9">
          <cell r="A9" t="str">
            <v>samurai</v>
          </cell>
          <cell r="B9" t="str">
            <v>ja</v>
          </cell>
          <cell r="C9" t="str">
            <v>サムライ</v>
          </cell>
          <cell r="D9">
            <v>1</v>
          </cell>
          <cell r="E9">
            <v>1</v>
          </cell>
          <cell r="F9">
            <v>1</v>
          </cell>
          <cell r="G9">
            <v>1</v>
          </cell>
          <cell r="H9">
            <v>3</v>
          </cell>
        </row>
        <row r="10">
          <cell r="A10" t="str">
            <v>academia</v>
          </cell>
          <cell r="B10" t="str">
            <v>ja</v>
          </cell>
          <cell r="C10" t="str">
            <v>アカデミア</v>
          </cell>
          <cell r="D10">
            <v>1</v>
          </cell>
          <cell r="E10">
            <v>1</v>
          </cell>
          <cell r="F10">
            <v>1</v>
          </cell>
          <cell r="G10">
            <v>1</v>
          </cell>
          <cell r="H10">
            <v>3</v>
          </cell>
        </row>
        <row r="11">
          <cell r="A11" t="str">
            <v>insect</v>
          </cell>
          <cell r="B11" t="str">
            <v>ja</v>
          </cell>
          <cell r="C11" t="str">
            <v>インセクト</v>
          </cell>
          <cell r="D11">
            <v>1</v>
          </cell>
          <cell r="E11">
            <v>1</v>
          </cell>
          <cell r="F11">
            <v>1</v>
          </cell>
          <cell r="G11">
            <v>1</v>
          </cell>
          <cell r="H11">
            <v>3</v>
          </cell>
        </row>
        <row r="12">
          <cell r="A12" t="str">
            <v>weapon</v>
          </cell>
          <cell r="B12" t="str">
            <v>ja</v>
          </cell>
          <cell r="C12" t="str">
            <v>ウェポン</v>
          </cell>
          <cell r="D12">
            <v>1</v>
          </cell>
          <cell r="E12">
            <v>1</v>
          </cell>
          <cell r="F12">
            <v>1</v>
          </cell>
          <cell r="G12">
            <v>1</v>
          </cell>
          <cell r="H12">
            <v>3</v>
          </cell>
        </row>
        <row r="13">
          <cell r="A13" t="str">
            <v>ti</v>
          </cell>
          <cell r="B13" t="str">
            <v>ja</v>
          </cell>
          <cell r="C13" t="str">
            <v>t</v>
          </cell>
          <cell r="D13">
            <v>1</v>
          </cell>
          <cell r="E13">
            <v>1</v>
          </cell>
          <cell r="F13">
            <v>1</v>
          </cell>
          <cell r="G13">
            <v>1</v>
          </cell>
          <cell r="H13">
            <v>3</v>
          </cell>
        </row>
        <row r="14">
          <cell r="A14" t="str">
            <v>ss</v>
          </cell>
          <cell r="B14" t="str">
            <v>ja</v>
          </cell>
          <cell r="C14" t="str">
            <v>サンリオキャラクターズ</v>
          </cell>
          <cell r="D14">
            <v>1</v>
          </cell>
          <cell r="E14">
            <v>1</v>
          </cell>
          <cell r="F14">
            <v>1</v>
          </cell>
          <cell r="G14">
            <v>1</v>
          </cell>
          <cell r="H14">
            <v>3</v>
          </cell>
        </row>
        <row r="15">
          <cell r="A15" t="str">
            <v>hero</v>
          </cell>
          <cell r="B15" t="str">
            <v>ja</v>
          </cell>
          <cell r="C15" t="str">
            <v>ヒーロー</v>
          </cell>
          <cell r="D15">
            <v>1</v>
          </cell>
          <cell r="E15">
            <v>1</v>
          </cell>
          <cell r="F15">
            <v>1</v>
          </cell>
          <cell r="G15">
            <v>1</v>
          </cell>
          <cell r="H15">
            <v>3</v>
          </cell>
        </row>
        <row r="16">
          <cell r="A16" t="str">
            <v>demon</v>
          </cell>
          <cell r="B16" t="str">
            <v>ja</v>
          </cell>
          <cell r="C16" t="str">
            <v>デーモン</v>
          </cell>
          <cell r="D16">
            <v>1</v>
          </cell>
          <cell r="E16">
            <v>1</v>
          </cell>
          <cell r="F16">
            <v>1</v>
          </cell>
          <cell r="G16">
            <v>1</v>
          </cell>
          <cell r="H16">
            <v>3</v>
          </cell>
        </row>
        <row r="17">
          <cell r="A17" t="str">
            <v>queen</v>
          </cell>
          <cell r="B17" t="str">
            <v>ja</v>
          </cell>
          <cell r="C17" t="str">
            <v>QUEEN</v>
          </cell>
          <cell r="D17">
            <v>1</v>
          </cell>
          <cell r="E17">
            <v>1</v>
          </cell>
          <cell r="F17">
            <v>1</v>
          </cell>
          <cell r="G17">
            <v>1</v>
          </cell>
          <cell r="H17">
            <v>3</v>
          </cell>
        </row>
        <row r="18">
          <cell r="A18" t="str">
            <v>fantasy</v>
          </cell>
          <cell r="B18" t="str">
            <v>ja</v>
          </cell>
          <cell r="C18" t="str">
            <v>ファンタジー</v>
          </cell>
          <cell r="D18">
            <v>1</v>
          </cell>
          <cell r="E18">
            <v>1</v>
          </cell>
          <cell r="F18">
            <v>1</v>
          </cell>
          <cell r="G18">
            <v>1</v>
          </cell>
          <cell r="H18">
            <v>3</v>
          </cell>
        </row>
        <row r="19">
          <cell r="A19" t="str">
            <v>orochi</v>
          </cell>
          <cell r="B19" t="str">
            <v>ja</v>
          </cell>
          <cell r="C19" t="str">
            <v>オロチ一族</v>
          </cell>
          <cell r="D19">
            <v>1</v>
          </cell>
          <cell r="E19">
            <v>1</v>
          </cell>
          <cell r="F19">
            <v>1</v>
          </cell>
          <cell r="G19">
            <v>1</v>
          </cell>
          <cell r="H19">
            <v>3</v>
          </cell>
        </row>
      </sheetData>
      <sheetData sheetId="6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</sheetNames>
    <sheetDataSet>
      <sheetData sheetId="0" refreshError="1"/>
      <sheetData sheetId="1" refreshError="1"/>
      <sheetData sheetId="2" refreshError="1"/>
      <sheetData sheetId="3" refreshError="1">
        <row r="1">
          <cell r="A1" t="str">
            <v>character_id</v>
          </cell>
          <cell r="B1" t="str">
            <v>language</v>
          </cell>
          <cell r="C1" t="str">
            <v>name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</row>
        <row r="36">
          <cell r="A36">
            <v>35</v>
          </cell>
          <cell r="B36" t="str">
            <v>ja</v>
          </cell>
          <cell r="C36" t="str">
            <v>F2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</row>
        <row r="332">
          <cell r="A332">
            <v>331</v>
          </cell>
          <cell r="B332" t="str">
            <v>ja</v>
          </cell>
          <cell r="C332" t="str">
            <v>none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</row>
        <row r="411">
          <cell r="A411">
            <v>410</v>
          </cell>
          <cell r="B411" t="str">
            <v>ja</v>
          </cell>
          <cell r="C411" t="str">
            <v>コードレッド</v>
          </cell>
        </row>
        <row r="412">
          <cell r="A412">
            <v>411</v>
          </cell>
          <cell r="B412" t="str">
            <v>ja</v>
          </cell>
          <cell r="C412" t="str">
            <v>増殖感染型コードレッド</v>
          </cell>
        </row>
        <row r="413">
          <cell r="A413">
            <v>412</v>
          </cell>
          <cell r="B413" t="str">
            <v>ja</v>
          </cell>
          <cell r="C413" t="str">
            <v>ミケランジェロ</v>
          </cell>
        </row>
        <row r="414">
          <cell r="A414">
            <v>413</v>
          </cell>
          <cell r="B414" t="str">
            <v>ja</v>
          </cell>
          <cell r="C414" t="str">
            <v>侵食破壊性ミケランジェロ</v>
          </cell>
        </row>
        <row r="415">
          <cell r="A415">
            <v>414</v>
          </cell>
          <cell r="B415" t="str">
            <v>ja</v>
          </cell>
          <cell r="C415" t="str">
            <v>ラブレター</v>
          </cell>
        </row>
        <row r="416">
          <cell r="A416">
            <v>415</v>
          </cell>
          <cell r="B416" t="str">
            <v>ja</v>
          </cell>
          <cell r="C416" t="str">
            <v>連鎖告白型ラブレター</v>
          </cell>
        </row>
        <row r="417">
          <cell r="A417">
            <v>416</v>
          </cell>
          <cell r="B417" t="str">
            <v>ja</v>
          </cell>
          <cell r="C417" t="str">
            <v>カスケード</v>
          </cell>
        </row>
        <row r="418">
          <cell r="A418">
            <v>417</v>
          </cell>
          <cell r="B418" t="str">
            <v>ja</v>
          </cell>
          <cell r="C418" t="str">
            <v>落下分解型カスケード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</row>
        <row r="452">
          <cell r="A452">
            <v>451</v>
          </cell>
          <cell r="B452" t="str">
            <v>ja</v>
          </cell>
          <cell r="C452" t="str">
            <v>黄金の媚惑 イゾルデ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</row>
        <row r="490">
          <cell r="A490">
            <v>489</v>
          </cell>
          <cell r="B490" t="str">
            <v>ja</v>
          </cell>
          <cell r="C490" t="str">
            <v>完然者 ラプラス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</row>
        <row r="526">
          <cell r="A526">
            <v>525</v>
          </cell>
          <cell r="B526" t="str">
            <v>ja</v>
          </cell>
          <cell r="C526" t="str">
            <v>雪ミク2016NEGI</v>
          </cell>
        </row>
        <row r="527">
          <cell r="A527">
            <v>526</v>
          </cell>
          <cell r="B527" t="str">
            <v>ja</v>
          </cell>
          <cell r="C527" t="str">
            <v>雪ミク&amp;ラビット・ユキネ2016NEGI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</row>
        <row r="529">
          <cell r="A529">
            <v>528</v>
          </cell>
          <cell r="B529" t="str">
            <v>ja</v>
          </cell>
          <cell r="C529" t="str">
            <v>暴奏の長葱 初音ミクV3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</row>
        <row r="555">
          <cell r="A555">
            <v>554</v>
          </cell>
          <cell r="B555" t="str">
            <v>ja</v>
          </cell>
          <cell r="C555" t="str">
            <v>大滑走 雪ミク&amp;ラビット・ユキネ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</row>
        <row r="563">
          <cell r="A563">
            <v>562</v>
          </cell>
          <cell r="B563" t="str">
            <v>ja</v>
          </cell>
          <cell r="C563" t="str">
            <v>雲ドラゴン</v>
          </cell>
        </row>
        <row r="564">
          <cell r="A564">
            <v>563</v>
          </cell>
          <cell r="B564" t="str">
            <v>ja</v>
          </cell>
          <cell r="C564" t="str">
            <v>雲ドラゴン</v>
          </cell>
        </row>
        <row r="565">
          <cell r="A565">
            <v>564</v>
          </cell>
          <cell r="B565" t="str">
            <v>ja</v>
          </cell>
          <cell r="C565" t="str">
            <v>雲ドラゴン</v>
          </cell>
        </row>
        <row r="566">
          <cell r="A566">
            <v>565</v>
          </cell>
          <cell r="B566" t="str">
            <v>ja</v>
          </cell>
          <cell r="C566" t="str">
            <v>カスケード</v>
          </cell>
        </row>
        <row r="567">
          <cell r="A567">
            <v>566</v>
          </cell>
          <cell r="B567" t="str">
            <v>ja</v>
          </cell>
          <cell r="C567" t="str">
            <v>落下分解型カスケード</v>
          </cell>
        </row>
        <row r="568">
          <cell r="A568">
            <v>567</v>
          </cell>
          <cell r="B568" t="str">
            <v>ja</v>
          </cell>
          <cell r="C568" t="str">
            <v>カスケード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</row>
        <row r="572">
          <cell r="A572">
            <v>571</v>
          </cell>
          <cell r="B572" t="str">
            <v>ja</v>
          </cell>
          <cell r="C572" t="str">
            <v>ハッピー（制服&amp;チョコ＆手紙差分）</v>
          </cell>
        </row>
        <row r="573">
          <cell r="A573">
            <v>572</v>
          </cell>
          <cell r="B573" t="str">
            <v>ja</v>
          </cell>
          <cell r="C573" t="str">
            <v>チョコりんご（秘術）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</row>
        <row r="575">
          <cell r="A575">
            <v>574</v>
          </cell>
          <cell r="B575" t="str">
            <v>ja</v>
          </cell>
          <cell r="C575" t="str">
            <v>オーディン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</row>
        <row r="577">
          <cell r="A577">
            <v>576</v>
          </cell>
          <cell r="B577" t="str">
            <v>ja</v>
          </cell>
          <cell r="C577" t="str">
            <v>フレイ</v>
          </cell>
        </row>
        <row r="578">
          <cell r="A578">
            <v>577</v>
          </cell>
          <cell r="B578" t="str">
            <v>ja</v>
          </cell>
          <cell r="C578" t="str">
            <v>ピュグヴィルとベイラ</v>
          </cell>
        </row>
        <row r="579">
          <cell r="A579">
            <v>578</v>
          </cell>
          <cell r="B579" t="str">
            <v>ja</v>
          </cell>
          <cell r="C579" t="str">
            <v>ピュグヴィルとベイラ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</row>
        <row r="581">
          <cell r="A581">
            <v>580</v>
          </cell>
          <cell r="B581" t="str">
            <v>ja</v>
          </cell>
          <cell r="C581" t="str">
            <v>オーズ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</row>
        <row r="583">
          <cell r="A583">
            <v>582</v>
          </cell>
          <cell r="B583" t="str">
            <v>ja</v>
          </cell>
          <cell r="C583" t="str">
            <v>フギンとムニン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</row>
        <row r="585">
          <cell r="A585">
            <v>584</v>
          </cell>
          <cell r="B585" t="str">
            <v>ja</v>
          </cell>
          <cell r="C585" t="str">
            <v>ミョルニル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</row>
        <row r="588">
          <cell r="A588">
            <v>587</v>
          </cell>
          <cell r="B588" t="str">
            <v>ja</v>
          </cell>
          <cell r="C588" t="str">
            <v>原初の煉鋼巨刃ユミル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</row>
        <row r="590">
          <cell r="A590">
            <v>589</v>
          </cell>
          <cell r="B590" t="str">
            <v>ja</v>
          </cell>
          <cell r="C590" t="str">
            <v>不幸の円環ニーベルゲン</v>
          </cell>
        </row>
        <row r="591">
          <cell r="A591">
            <v>590</v>
          </cell>
          <cell r="B591" t="str">
            <v>ja</v>
          </cell>
          <cell r="C591" t="str">
            <v>永遠を廻る呪いニーベルゲン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</row>
        <row r="593">
          <cell r="A593">
            <v>592</v>
          </cell>
          <cell r="B593" t="str">
            <v>ja</v>
          </cell>
          <cell r="C593" t="str">
            <v>財宝への執着ファフニール</v>
          </cell>
        </row>
        <row r="594">
          <cell r="A594">
            <v>593</v>
          </cell>
          <cell r="B594" t="str">
            <v>ja</v>
          </cell>
          <cell r="C594" t="str">
            <v>妄執する邪毒龍ファフニール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</row>
        <row r="596">
          <cell r="A596">
            <v>595</v>
          </cell>
          <cell r="B596" t="str">
            <v>ja</v>
          </cell>
          <cell r="C596" t="str">
            <v>光華なる神域アルフヘイム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</row>
        <row r="598">
          <cell r="A598">
            <v>597</v>
          </cell>
          <cell r="B598" t="str">
            <v>ja</v>
          </cell>
          <cell r="C598" t="str">
            <v>ムスペルヘイム</v>
          </cell>
        </row>
        <row r="599">
          <cell r="A599">
            <v>598</v>
          </cell>
          <cell r="B599" t="str">
            <v>ja</v>
          </cell>
          <cell r="C599" t="str">
            <v>ムスペルヘイム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</row>
        <row r="601">
          <cell r="A601">
            <v>600</v>
          </cell>
          <cell r="B601" t="str">
            <v>ja</v>
          </cell>
          <cell r="C601" t="str">
            <v>ニーズヘッグ</v>
          </cell>
        </row>
        <row r="602">
          <cell r="A602">
            <v>601</v>
          </cell>
          <cell r="B602" t="str">
            <v>ja</v>
          </cell>
          <cell r="C602" t="str">
            <v>ニーズヘッグ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</row>
        <row r="604">
          <cell r="A604">
            <v>603</v>
          </cell>
          <cell r="B604" t="str">
            <v>ja</v>
          </cell>
          <cell r="C604" t="str">
            <v>フレイヤ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</row>
        <row r="606">
          <cell r="A606">
            <v>605</v>
          </cell>
          <cell r="B606" t="str">
            <v>ja</v>
          </cell>
          <cell r="C606" t="str">
            <v>バルドル</v>
          </cell>
        </row>
        <row r="607">
          <cell r="A607">
            <v>606</v>
          </cell>
          <cell r="B607" t="str">
            <v>ja</v>
          </cell>
          <cell r="C607" t="str">
            <v>バルドル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</row>
        <row r="621">
          <cell r="A621">
            <v>620</v>
          </cell>
          <cell r="B621" t="str">
            <v>ja</v>
          </cell>
          <cell r="C621" t="str">
            <v>メビウス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</row>
        <row r="628">
          <cell r="A628">
            <v>627</v>
          </cell>
          <cell r="B628" t="str">
            <v>ja</v>
          </cell>
          <cell r="C628" t="str">
            <v>ユークリット</v>
          </cell>
        </row>
        <row r="629">
          <cell r="A629">
            <v>628</v>
          </cell>
          <cell r="B629" t="str">
            <v>ja</v>
          </cell>
          <cell r="C629" t="str">
            <v>ユークリット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</row>
        <row r="644">
          <cell r="A644">
            <v>643</v>
          </cell>
          <cell r="B644" t="str">
            <v>ja</v>
          </cell>
          <cell r="C644" t="str">
            <v>カーマ</v>
          </cell>
        </row>
        <row r="645">
          <cell r="A645">
            <v>644</v>
          </cell>
          <cell r="B645" t="str">
            <v>ja</v>
          </cell>
          <cell r="C645" t="str">
            <v>カラス天狗</v>
          </cell>
        </row>
        <row r="646">
          <cell r="A646">
            <v>645</v>
          </cell>
          <cell r="B646" t="str">
            <v>ja</v>
          </cell>
          <cell r="C646" t="str">
            <v>カラス天狗</v>
          </cell>
        </row>
        <row r="647">
          <cell r="A647">
            <v>646</v>
          </cell>
          <cell r="B647" t="str">
            <v>ja</v>
          </cell>
          <cell r="C647" t="str">
            <v>雪女</v>
          </cell>
        </row>
        <row r="648">
          <cell r="A648">
            <v>647</v>
          </cell>
          <cell r="B648" t="str">
            <v>ja</v>
          </cell>
          <cell r="C648" t="str">
            <v>雪女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</row>
        <row r="650">
          <cell r="A650">
            <v>649</v>
          </cell>
          <cell r="B650" t="str">
            <v>ja</v>
          </cell>
          <cell r="C650" t="str">
            <v>パールヴァティ</v>
          </cell>
        </row>
        <row r="651">
          <cell r="A651">
            <v>650</v>
          </cell>
          <cell r="B651" t="str">
            <v>ja</v>
          </cell>
          <cell r="C651" t="str">
            <v>土蜘蛛</v>
          </cell>
        </row>
        <row r="652">
          <cell r="A652">
            <v>651</v>
          </cell>
          <cell r="B652" t="str">
            <v>ja</v>
          </cell>
          <cell r="C652" t="str">
            <v>土蜘蛛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</row>
        <row r="654">
          <cell r="A654">
            <v>653</v>
          </cell>
          <cell r="B654" t="str">
            <v>ja</v>
          </cell>
          <cell r="C654" t="str">
            <v>アナンタ</v>
          </cell>
        </row>
        <row r="655">
          <cell r="A655">
            <v>654</v>
          </cell>
          <cell r="B655" t="str">
            <v>ja</v>
          </cell>
          <cell r="C655" t="str">
            <v>鬼（酒呑童子）</v>
          </cell>
        </row>
        <row r="656">
          <cell r="A656">
            <v>655</v>
          </cell>
          <cell r="B656" t="str">
            <v>ja</v>
          </cell>
          <cell r="C656" t="str">
            <v>鬼（酒呑童子）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</row>
        <row r="658">
          <cell r="A658">
            <v>657</v>
          </cell>
          <cell r="B658" t="str">
            <v>ja</v>
          </cell>
          <cell r="C658" t="str">
            <v>シヴァ</v>
          </cell>
        </row>
        <row r="659">
          <cell r="A659">
            <v>658</v>
          </cell>
          <cell r="B659" t="str">
            <v>ja</v>
          </cell>
          <cell r="C659" t="str">
            <v>化け猫</v>
          </cell>
        </row>
        <row r="660">
          <cell r="A660">
            <v>659</v>
          </cell>
          <cell r="B660" t="str">
            <v>ja</v>
          </cell>
          <cell r="C660" t="str">
            <v>化け猫</v>
          </cell>
        </row>
        <row r="661">
          <cell r="A661">
            <v>660</v>
          </cell>
          <cell r="B661" t="str">
            <v>ja</v>
          </cell>
          <cell r="C661" t="str">
            <v>化け猫</v>
          </cell>
        </row>
        <row r="662">
          <cell r="A662">
            <v>661</v>
          </cell>
          <cell r="B662" t="str">
            <v>ja</v>
          </cell>
          <cell r="C662" t="str">
            <v>ぬらりひょん</v>
          </cell>
        </row>
        <row r="663">
          <cell r="A663">
            <v>662</v>
          </cell>
          <cell r="B663" t="str">
            <v>ja</v>
          </cell>
          <cell r="C663" t="str">
            <v>ぬらりひょん</v>
          </cell>
        </row>
        <row r="664">
          <cell r="A664">
            <v>663</v>
          </cell>
          <cell r="B664" t="str">
            <v>ja</v>
          </cell>
          <cell r="C664" t="str">
            <v>デイダラボッチ</v>
          </cell>
        </row>
        <row r="665">
          <cell r="A665">
            <v>664</v>
          </cell>
          <cell r="B665" t="str">
            <v>ja</v>
          </cell>
          <cell r="C665" t="str">
            <v>デイダラボッチ</v>
          </cell>
        </row>
        <row r="666">
          <cell r="A666">
            <v>665</v>
          </cell>
          <cell r="B666" t="str">
            <v>ja</v>
          </cell>
          <cell r="C666" t="str">
            <v>デイダラボッチ</v>
          </cell>
        </row>
        <row r="667">
          <cell r="A667">
            <v>666</v>
          </cell>
          <cell r="B667" t="str">
            <v>ja</v>
          </cell>
          <cell r="C667" t="str">
            <v>座敷童子</v>
          </cell>
        </row>
        <row r="668">
          <cell r="A668">
            <v>667</v>
          </cell>
          <cell r="B668" t="str">
            <v>ja</v>
          </cell>
          <cell r="C668" t="str">
            <v>座敷童子</v>
          </cell>
        </row>
        <row r="669">
          <cell r="A669">
            <v>668</v>
          </cell>
          <cell r="B669" t="str">
            <v>ja</v>
          </cell>
          <cell r="C669" t="str">
            <v>座敷童子</v>
          </cell>
        </row>
        <row r="670">
          <cell r="A670">
            <v>669</v>
          </cell>
          <cell r="B670" t="str">
            <v>ja</v>
          </cell>
          <cell r="C670" t="str">
            <v>アグニ</v>
          </cell>
        </row>
        <row r="671">
          <cell r="A671">
            <v>670</v>
          </cell>
          <cell r="B671" t="str">
            <v>ja</v>
          </cell>
          <cell r="C671" t="str">
            <v>アグニ</v>
          </cell>
        </row>
        <row r="672">
          <cell r="A672">
            <v>671</v>
          </cell>
          <cell r="B672" t="str">
            <v>ja</v>
          </cell>
          <cell r="C672" t="str">
            <v>アグニ</v>
          </cell>
        </row>
        <row r="673">
          <cell r="A673">
            <v>672</v>
          </cell>
          <cell r="B673" t="str">
            <v>ja</v>
          </cell>
          <cell r="C673" t="str">
            <v>ハヌマーン</v>
          </cell>
        </row>
        <row r="674">
          <cell r="A674">
            <v>673</v>
          </cell>
          <cell r="B674" t="str">
            <v>ja</v>
          </cell>
          <cell r="C674" t="str">
            <v>ハヌマーン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</row>
        <row r="676">
          <cell r="A676">
            <v>675</v>
          </cell>
          <cell r="B676" t="str">
            <v>ja</v>
          </cell>
          <cell r="C676" t="str">
            <v>サラスヴァティ</v>
          </cell>
        </row>
        <row r="677">
          <cell r="A677">
            <v>676</v>
          </cell>
          <cell r="B677" t="str">
            <v>ja</v>
          </cell>
          <cell r="C677" t="str">
            <v>サラスヴァティ</v>
          </cell>
        </row>
        <row r="678">
          <cell r="A678">
            <v>677</v>
          </cell>
          <cell r="B678" t="str">
            <v>ja</v>
          </cell>
          <cell r="C678" t="str">
            <v>ヴィシュヌ</v>
          </cell>
        </row>
        <row r="679">
          <cell r="A679">
            <v>678</v>
          </cell>
          <cell r="B679" t="str">
            <v>ja</v>
          </cell>
          <cell r="C679" t="str">
            <v>ヴィシュヌ</v>
          </cell>
        </row>
        <row r="680">
          <cell r="A680">
            <v>679</v>
          </cell>
          <cell r="B680" t="str">
            <v>ja</v>
          </cell>
          <cell r="C680" t="str">
            <v>プレゼントケロケロ</v>
          </cell>
        </row>
        <row r="681">
          <cell r="A681">
            <v>680</v>
          </cell>
          <cell r="B681" t="str">
            <v>ja</v>
          </cell>
          <cell r="C681" t="str">
            <v>プレゼントケロケロ</v>
          </cell>
        </row>
        <row r="682">
          <cell r="A682">
            <v>681</v>
          </cell>
          <cell r="B682" t="str">
            <v>ja</v>
          </cell>
          <cell r="C682" t="str">
            <v>プレゼントケロケロ</v>
          </cell>
        </row>
        <row r="683">
          <cell r="A683">
            <v>682</v>
          </cell>
          <cell r="B683" t="str">
            <v>ja</v>
          </cell>
          <cell r="C683" t="str">
            <v>プレゼントケロケロ</v>
          </cell>
        </row>
        <row r="684">
          <cell r="A684">
            <v>683</v>
          </cell>
          <cell r="B684" t="str">
            <v>ja</v>
          </cell>
          <cell r="C684" t="str">
            <v>プレゼントケロケロ</v>
          </cell>
        </row>
        <row r="685">
          <cell r="A685">
            <v>684</v>
          </cell>
          <cell r="B685" t="str">
            <v>ja</v>
          </cell>
          <cell r="C685" t="str">
            <v>プレゼントケロケロ</v>
          </cell>
        </row>
        <row r="686">
          <cell r="A686">
            <v>685</v>
          </cell>
          <cell r="B686" t="str">
            <v>ja</v>
          </cell>
          <cell r="C686" t="str">
            <v>プレゼントケロケロ</v>
          </cell>
        </row>
        <row r="687">
          <cell r="A687">
            <v>686</v>
          </cell>
          <cell r="B687" t="str">
            <v>ja</v>
          </cell>
          <cell r="C687" t="str">
            <v>プレゼントケロケロ</v>
          </cell>
        </row>
      </sheetData>
      <sheetData sheetId="4" refreshError="1"/>
      <sheetData sheetId="5" refreshError="1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=""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 enableFormatConditionsCalculation="0"/>
  <dimension ref="A1:W10"/>
  <sheetViews>
    <sheetView topLeftCell="E1" workbookViewId="0">
      <selection activeCell="J25" sqref="J25"/>
    </sheetView>
  </sheetViews>
  <sheetFormatPr baseColWidth="12" defaultRowHeight="15" x14ac:dyDescent="0.15"/>
  <cols>
    <col min="2" max="2" width="14.83203125" bestFit="1" customWidth="1"/>
    <col min="5" max="5" width="17.6640625" bestFit="1" customWidth="1"/>
    <col min="6" max="6" width="22.1640625" bestFit="1" customWidth="1"/>
  </cols>
  <sheetData>
    <row r="1" spans="1:23" x14ac:dyDescent="0.15">
      <c r="A1" s="107" t="s">
        <v>121</v>
      </c>
      <c r="B1" s="107" t="s">
        <v>112</v>
      </c>
      <c r="C1" s="107" t="s">
        <v>113</v>
      </c>
      <c r="D1" s="107" t="s">
        <v>114</v>
      </c>
      <c r="E1" s="107" t="s">
        <v>115</v>
      </c>
      <c r="F1" s="107" t="s">
        <v>116</v>
      </c>
      <c r="G1" s="107" t="s">
        <v>117</v>
      </c>
      <c r="H1" s="107"/>
      <c r="I1" s="107"/>
      <c r="J1" s="107"/>
      <c r="K1" s="107"/>
      <c r="L1" s="108"/>
      <c r="M1" s="108"/>
      <c r="N1" s="108"/>
      <c r="O1" s="108"/>
      <c r="P1" s="108"/>
      <c r="Q1" s="108"/>
      <c r="R1" s="108"/>
      <c r="S1" s="108"/>
      <c r="T1" s="108"/>
      <c r="U1" s="108"/>
      <c r="V1" s="108"/>
      <c r="W1" s="108"/>
    </row>
    <row r="2" spans="1:23" x14ac:dyDescent="0.15">
      <c r="A2" s="109" t="s">
        <v>185</v>
      </c>
      <c r="B2" s="109" t="s">
        <v>125</v>
      </c>
      <c r="C2" s="109" t="s">
        <v>183</v>
      </c>
      <c r="D2" s="109" t="s">
        <v>124</v>
      </c>
      <c r="E2" s="108" t="str">
        <f>B2&amp;C2&amp;D2</f>
        <v>units_miku16.tmp</v>
      </c>
      <c r="F2" s="109" t="s">
        <v>120</v>
      </c>
      <c r="G2" s="63" t="s">
        <v>17</v>
      </c>
      <c r="H2" s="64" t="s">
        <v>96</v>
      </c>
      <c r="I2" s="64" t="s">
        <v>1</v>
      </c>
      <c r="J2" s="64" t="s">
        <v>3</v>
      </c>
      <c r="K2" s="64" t="s">
        <v>2</v>
      </c>
      <c r="L2" s="64" t="s">
        <v>98</v>
      </c>
      <c r="M2" s="64" t="s">
        <v>20</v>
      </c>
      <c r="N2" s="64" t="s">
        <v>103</v>
      </c>
      <c r="O2" s="64" t="s">
        <v>101</v>
      </c>
      <c r="P2" s="64" t="s">
        <v>39</v>
      </c>
      <c r="Q2" s="64" t="s">
        <v>57</v>
      </c>
      <c r="R2" s="109" t="s">
        <v>466</v>
      </c>
      <c r="S2" s="109"/>
      <c r="T2" s="109"/>
      <c r="U2" s="109"/>
      <c r="V2" s="109"/>
      <c r="W2" s="109"/>
    </row>
    <row r="3" spans="1:23" x14ac:dyDescent="0.15">
      <c r="A3" s="109" t="s">
        <v>185</v>
      </c>
      <c r="B3" s="109" t="s">
        <v>126</v>
      </c>
      <c r="C3" s="109" t="s">
        <v>184</v>
      </c>
      <c r="D3" s="109" t="s">
        <v>124</v>
      </c>
      <c r="E3" s="108" t="str">
        <f>B3&amp;C3&amp;D3</f>
        <v>awake_materials_miku16.tmp</v>
      </c>
      <c r="F3" s="109" t="s">
        <v>119</v>
      </c>
      <c r="G3" s="110" t="s">
        <v>38</v>
      </c>
      <c r="H3" s="111" t="s">
        <v>36</v>
      </c>
      <c r="I3" s="111" t="s">
        <v>37</v>
      </c>
      <c r="J3" s="113" t="s">
        <v>122</v>
      </c>
      <c r="K3" s="112"/>
      <c r="L3" s="112"/>
      <c r="M3" s="112"/>
      <c r="N3" s="112"/>
      <c r="O3" s="112"/>
      <c r="P3" s="112"/>
      <c r="Q3" s="112"/>
      <c r="R3" s="112"/>
      <c r="S3" s="112"/>
      <c r="T3" s="112"/>
      <c r="U3" s="112"/>
      <c r="V3" s="112"/>
      <c r="W3" s="112"/>
    </row>
    <row r="4" spans="1:23" x14ac:dyDescent="0.15">
      <c r="A4" s="109" t="s">
        <v>185</v>
      </c>
      <c r="B4" s="109" t="s">
        <v>127</v>
      </c>
      <c r="C4" s="109" t="s">
        <v>182</v>
      </c>
      <c r="D4" s="109" t="s">
        <v>128</v>
      </c>
      <c r="E4" s="108" t="str">
        <f t="shared" ref="E4" si="0">B4&amp;C4&amp;D4</f>
        <v>unit_levels_calc_miku16.tmp</v>
      </c>
      <c r="F4" s="109" t="s">
        <v>118</v>
      </c>
      <c r="G4" s="59" t="s">
        <v>17</v>
      </c>
      <c r="H4" s="60" t="s">
        <v>2</v>
      </c>
      <c r="I4" s="61" t="s">
        <v>79</v>
      </c>
      <c r="J4" s="61" t="s">
        <v>80</v>
      </c>
      <c r="K4" s="61" t="s">
        <v>81</v>
      </c>
      <c r="L4" s="61" t="s">
        <v>82</v>
      </c>
      <c r="M4" s="61" t="s">
        <v>87</v>
      </c>
      <c r="N4" s="61" t="s">
        <v>88</v>
      </c>
      <c r="O4" s="61" t="s">
        <v>89</v>
      </c>
      <c r="P4" s="61" t="s">
        <v>90</v>
      </c>
      <c r="Q4" s="61" t="s">
        <v>91</v>
      </c>
      <c r="R4" s="61" t="s">
        <v>94</v>
      </c>
      <c r="S4" s="61" t="s">
        <v>92</v>
      </c>
      <c r="T4" s="61" t="s">
        <v>93</v>
      </c>
      <c r="U4" s="61" t="s">
        <v>83</v>
      </c>
      <c r="V4" s="61" t="s">
        <v>84</v>
      </c>
      <c r="W4" s="61" t="s">
        <v>85</v>
      </c>
    </row>
    <row r="5" spans="1:23" x14ac:dyDescent="0.15">
      <c r="A5" s="109" t="s">
        <v>185</v>
      </c>
      <c r="B5" s="109" t="s">
        <v>139</v>
      </c>
      <c r="C5" s="109" t="s">
        <v>182</v>
      </c>
      <c r="D5" s="109" t="s">
        <v>140</v>
      </c>
      <c r="E5" s="108" t="str">
        <f>B5&amp;C5&amp;D5</f>
        <v>unit_skills_data_miku16.tmp</v>
      </c>
      <c r="F5" s="109" t="s">
        <v>141</v>
      </c>
      <c r="G5" s="118" t="s">
        <v>20</v>
      </c>
      <c r="H5" s="118" t="s">
        <v>142</v>
      </c>
      <c r="I5" s="118" t="s">
        <v>2</v>
      </c>
      <c r="J5" s="118" t="s">
        <v>143</v>
      </c>
      <c r="K5" s="118" t="s">
        <v>144</v>
      </c>
      <c r="L5" s="118" t="s">
        <v>4</v>
      </c>
      <c r="M5" s="61"/>
      <c r="N5" s="61"/>
      <c r="O5" s="61"/>
      <c r="P5" s="61"/>
      <c r="Q5" s="61"/>
      <c r="R5" s="61"/>
      <c r="S5" s="61"/>
      <c r="T5" s="61"/>
      <c r="U5" s="61"/>
      <c r="V5" s="61"/>
      <c r="W5" s="61"/>
    </row>
    <row r="6" spans="1:23" x14ac:dyDescent="0.15">
      <c r="A6" s="109" t="s">
        <v>185</v>
      </c>
      <c r="B6" s="109" t="s">
        <v>145</v>
      </c>
      <c r="C6" s="109" t="s">
        <v>182</v>
      </c>
      <c r="D6" s="109" t="s">
        <v>124</v>
      </c>
      <c r="E6" s="108" t="str">
        <f>B6&amp;C6&amp;D6</f>
        <v>unit_skills_i18n_miku16.tmp</v>
      </c>
      <c r="F6" s="109" t="s">
        <v>141</v>
      </c>
      <c r="G6" s="118" t="s">
        <v>146</v>
      </c>
      <c r="H6" s="118" t="s">
        <v>130</v>
      </c>
      <c r="I6" s="118" t="s">
        <v>147</v>
      </c>
      <c r="J6" s="118" t="s">
        <v>148</v>
      </c>
      <c r="K6" s="112"/>
      <c r="L6" s="112"/>
      <c r="M6" s="61"/>
      <c r="N6" s="61"/>
      <c r="O6" s="61"/>
      <c r="P6" s="61"/>
      <c r="Q6" s="61"/>
      <c r="R6" s="61"/>
      <c r="S6" s="61"/>
      <c r="T6" s="61"/>
      <c r="U6" s="61"/>
      <c r="V6" s="61"/>
      <c r="W6" s="61"/>
    </row>
    <row r="7" spans="1:23" x14ac:dyDescent="0.15">
      <c r="A7" s="109" t="s">
        <v>185</v>
      </c>
      <c r="B7" s="109" t="s">
        <v>149</v>
      </c>
      <c r="C7" s="109" t="s">
        <v>182</v>
      </c>
      <c r="D7" s="109" t="s">
        <v>150</v>
      </c>
      <c r="E7" s="108" t="str">
        <f>B7&amp;C7&amp;D7</f>
        <v>crash_skills_data_miku16.tmp</v>
      </c>
      <c r="F7" s="109" t="s">
        <v>151</v>
      </c>
      <c r="G7" s="118" t="s">
        <v>152</v>
      </c>
      <c r="H7" s="118" t="s">
        <v>144</v>
      </c>
      <c r="I7" s="118" t="s">
        <v>4</v>
      </c>
      <c r="J7" s="112"/>
      <c r="K7" s="112"/>
      <c r="L7" s="112"/>
      <c r="M7" s="61"/>
      <c r="N7" s="61"/>
      <c r="O7" s="61"/>
      <c r="P7" s="61"/>
      <c r="Q7" s="61"/>
      <c r="R7" s="61"/>
      <c r="S7" s="61"/>
      <c r="T7" s="61"/>
      <c r="U7" s="61"/>
      <c r="V7" s="61"/>
      <c r="W7" s="61"/>
    </row>
    <row r="8" spans="1:23" x14ac:dyDescent="0.15">
      <c r="A8" s="109" t="s">
        <v>185</v>
      </c>
      <c r="B8" s="109" t="s">
        <v>153</v>
      </c>
      <c r="C8" s="109" t="s">
        <v>182</v>
      </c>
      <c r="D8" s="109" t="s">
        <v>154</v>
      </c>
      <c r="E8" s="108" t="str">
        <f t="shared" ref="E8" si="1">B8&amp;C8&amp;D8</f>
        <v>crash_skills_i18n_miku16.tmp</v>
      </c>
      <c r="F8" s="109" t="s">
        <v>151</v>
      </c>
      <c r="G8" s="118" t="s">
        <v>155</v>
      </c>
      <c r="H8" s="118" t="s">
        <v>156</v>
      </c>
      <c r="I8" s="118" t="s">
        <v>157</v>
      </c>
      <c r="J8" s="118" t="s">
        <v>158</v>
      </c>
      <c r="K8" s="119"/>
      <c r="L8" s="119"/>
      <c r="M8" s="61"/>
      <c r="N8" s="61"/>
      <c r="O8" s="61"/>
      <c r="P8" s="61"/>
      <c r="Q8" s="61"/>
      <c r="R8" s="61"/>
      <c r="S8" s="61"/>
      <c r="T8" s="61"/>
      <c r="U8" s="61"/>
      <c r="V8" s="61"/>
      <c r="W8" s="61"/>
    </row>
    <row r="9" spans="1:23" x14ac:dyDescent="0.15">
      <c r="A9" s="109" t="s">
        <v>185</v>
      </c>
      <c r="B9" s="112" t="s">
        <v>131</v>
      </c>
      <c r="C9" s="109" t="s">
        <v>182</v>
      </c>
      <c r="D9" s="109" t="s">
        <v>154</v>
      </c>
      <c r="E9" s="108" t="str">
        <f t="shared" ref="E9:E10" si="2">B9&amp;C9&amp;D9</f>
        <v>unit_serifs_data_miku16.tmp</v>
      </c>
      <c r="F9" s="112" t="s">
        <v>133</v>
      </c>
      <c r="G9" s="117" t="s">
        <v>134</v>
      </c>
      <c r="H9" s="118" t="s">
        <v>135</v>
      </c>
      <c r="I9" s="118" t="s">
        <v>129</v>
      </c>
      <c r="J9" s="109" t="s">
        <v>377</v>
      </c>
      <c r="K9" s="109"/>
      <c r="L9" s="109"/>
      <c r="M9" s="109"/>
      <c r="N9" s="109"/>
      <c r="O9" s="109"/>
      <c r="P9" s="109"/>
      <c r="Q9" s="109"/>
      <c r="R9" s="109"/>
      <c r="S9" s="109"/>
      <c r="T9" s="109"/>
      <c r="U9" s="109"/>
      <c r="V9" s="109"/>
      <c r="W9" s="109"/>
    </row>
    <row r="10" spans="1:23" x14ac:dyDescent="0.15">
      <c r="A10" s="109" t="s">
        <v>185</v>
      </c>
      <c r="B10" s="112" t="s">
        <v>132</v>
      </c>
      <c r="C10" s="109" t="s">
        <v>182</v>
      </c>
      <c r="D10" s="109" t="s">
        <v>154</v>
      </c>
      <c r="E10" s="108" t="str">
        <f t="shared" si="2"/>
        <v>unit_serifs_i18n_miku16.tmp</v>
      </c>
      <c r="F10" s="112" t="s">
        <v>284</v>
      </c>
      <c r="G10" s="117" t="s">
        <v>136</v>
      </c>
      <c r="H10" s="118" t="s">
        <v>137</v>
      </c>
      <c r="I10" s="118" t="s">
        <v>138</v>
      </c>
      <c r="J10" s="109"/>
      <c r="K10" s="109"/>
      <c r="L10" s="109"/>
      <c r="M10" s="109"/>
      <c r="N10" s="109"/>
      <c r="O10" s="109"/>
      <c r="P10" s="109"/>
      <c r="Q10" s="109"/>
      <c r="R10" s="109"/>
      <c r="S10" s="109"/>
      <c r="T10" s="109"/>
      <c r="U10" s="109"/>
      <c r="V10" s="109"/>
      <c r="W10" s="109"/>
    </row>
  </sheetData>
  <phoneticPr fontId="22"/>
  <dataValidations count="1">
    <dataValidation type="list" allowBlank="1" showInputMessage="1" showErrorMessage="1" sqref="A2:A10">
      <formula1>"old,new,skip,both"</formula1>
    </dataValidation>
  </dataValidations>
  <pageMargins left="0.7" right="0.7" top="0.75" bottom="0.75" header="0.3" footer="0.3"/>
  <pageSetup paperSize="9" orientation="portrait" horizontalDpi="4294967292" verticalDpi="429496729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 enableFormatConditionsCalculation="0">
    <tabColor rgb="FFFF0000"/>
    <outlinePr summaryBelow="0" summaryRight="0"/>
  </sheetPr>
  <dimension ref="A1:BR36"/>
  <sheetViews>
    <sheetView showGridLines="0" workbookViewId="0">
      <pane xSplit="9" ySplit="1" topLeftCell="J2" activePane="bottomRight" state="frozen"/>
      <selection pane="topRight" activeCell="J1" sqref="J1"/>
      <selection pane="bottomLeft" activeCell="A3" sqref="A3"/>
      <selection pane="bottomRight" activeCell="BC2" sqref="BC2:BC36"/>
    </sheetView>
  </sheetViews>
  <sheetFormatPr baseColWidth="12" defaultColWidth="8.83203125" defaultRowHeight="21" customHeight="1" outlineLevelCol="1" x14ac:dyDescent="0.15"/>
  <cols>
    <col min="1" max="1" width="12.83203125" style="12" customWidth="1"/>
    <col min="2" max="2" width="21.5" style="13" bestFit="1" customWidth="1"/>
    <col min="3" max="3" width="23.6640625" style="13" customWidth="1" outlineLevel="1"/>
    <col min="4" max="4" width="8.6640625" style="13" customWidth="1" outlineLevel="1"/>
    <col min="5" max="5" width="8" style="13" customWidth="1" outlineLevel="1"/>
    <col min="6" max="6" width="7.1640625" style="13" customWidth="1" outlineLevel="1"/>
    <col min="7" max="7" width="9.6640625" style="13" bestFit="1" customWidth="1"/>
    <col min="8" max="8" width="13.6640625" style="13" bestFit="1" customWidth="1"/>
    <col min="9" max="9" width="10.5" style="13" bestFit="1" customWidth="1"/>
    <col min="10" max="10" width="59.5" style="13" customWidth="1" outlineLevel="1"/>
    <col min="11" max="13" width="13.6640625" style="13" customWidth="1" outlineLevel="1"/>
    <col min="14" max="14" width="7.1640625" style="13" bestFit="1" customWidth="1"/>
    <col min="15" max="15" width="10.5" style="13" bestFit="1" customWidth="1"/>
    <col min="16" max="16" width="13.5" style="13" customWidth="1"/>
    <col min="17" max="17" width="18.83203125" style="13" bestFit="1" customWidth="1"/>
    <col min="18" max="18" width="14.1640625" style="13" customWidth="1" collapsed="1"/>
    <col min="19" max="19" width="12.33203125" style="13" hidden="1" customWidth="1" outlineLevel="1"/>
    <col min="20" max="22" width="13.6640625" style="13" hidden="1" customWidth="1" outlineLevel="1"/>
    <col min="23" max="23" width="22.83203125" style="12" bestFit="1" customWidth="1"/>
    <col min="24" max="24" width="14.1640625" style="13" customWidth="1" collapsed="1"/>
    <col min="25" max="25" width="22" style="13" hidden="1" customWidth="1" outlineLevel="1"/>
    <col min="26" max="26" width="14.1640625" style="13" hidden="1" customWidth="1" outlineLevel="1"/>
    <col min="27" max="27" width="12.33203125" style="13" hidden="1" customWidth="1" outlineLevel="1"/>
    <col min="28" max="30" width="13.6640625" style="13" hidden="1" customWidth="1" outlineLevel="1"/>
    <col min="31" max="31" width="20.1640625" style="12" bestFit="1" customWidth="1"/>
    <col min="32" max="32" width="18.83203125" style="13" bestFit="1" customWidth="1"/>
    <col min="33" max="34" width="18.83203125" style="13" customWidth="1"/>
    <col min="35" max="35" width="15.1640625" style="13" customWidth="1"/>
    <col min="36" max="36" width="13.1640625" style="12" customWidth="1"/>
    <col min="37" max="37" width="15.33203125" style="13" bestFit="1" customWidth="1"/>
    <col min="38" max="38" width="13.33203125" style="13" bestFit="1" customWidth="1"/>
    <col min="39" max="39" width="15.33203125" style="14" bestFit="1" customWidth="1"/>
    <col min="40" max="40" width="14" style="14" bestFit="1" customWidth="1"/>
    <col min="41" max="41" width="16" style="46" bestFit="1" customWidth="1"/>
    <col min="42" max="42" width="14.33203125" style="15" bestFit="1" customWidth="1"/>
    <col min="43" max="43" width="20.83203125" style="13" customWidth="1"/>
    <col min="44" max="44" width="32" style="13" customWidth="1" outlineLevel="1"/>
    <col min="45" max="45" width="6.83203125" style="13" customWidth="1"/>
    <col min="46" max="46" width="15.6640625" style="12" bestFit="1" customWidth="1"/>
    <col min="47" max="47" width="43.6640625" style="13" customWidth="1" collapsed="1"/>
    <col min="48" max="48" width="43.6640625" style="13" hidden="1" customWidth="1" outlineLevel="1"/>
    <col min="49" max="49" width="6.83203125" style="13" customWidth="1"/>
    <col min="50" max="50" width="11.33203125" style="13" bestFit="1" customWidth="1"/>
    <col min="51" max="54" width="8.33203125" style="12" customWidth="1"/>
    <col min="55" max="55" width="12" style="13" bestFit="1" customWidth="1"/>
    <col min="56" max="56" width="12" style="13" bestFit="1" customWidth="1" collapsed="1"/>
    <col min="57" max="57" width="14.33203125" style="13" hidden="1" customWidth="1" outlineLevel="1"/>
    <col min="58" max="58" width="16.1640625" style="13" hidden="1" customWidth="1" outlineLevel="1"/>
    <col min="59" max="62" width="11.83203125" style="13" customWidth="1"/>
    <col min="63" max="66" width="11.83203125" style="12" customWidth="1"/>
    <col min="67" max="67" width="12.83203125" style="12" bestFit="1" customWidth="1"/>
    <col min="68" max="68" width="12.6640625" style="12" bestFit="1" customWidth="1"/>
    <col min="69" max="69" width="13.5" style="12" bestFit="1" customWidth="1"/>
    <col min="70" max="16384" width="8.83203125" style="12"/>
  </cols>
  <sheetData>
    <row r="1" spans="1:70" ht="21" customHeight="1" x14ac:dyDescent="0.15">
      <c r="A1" s="81" t="s">
        <v>106</v>
      </c>
      <c r="B1" s="83" t="s">
        <v>44</v>
      </c>
      <c r="C1" s="86" t="s">
        <v>27</v>
      </c>
      <c r="D1" s="86" t="s">
        <v>30</v>
      </c>
      <c r="E1" s="86" t="s">
        <v>28</v>
      </c>
      <c r="F1" s="86" t="s">
        <v>29</v>
      </c>
      <c r="G1" s="81" t="s">
        <v>1</v>
      </c>
      <c r="H1" s="84" t="s">
        <v>19</v>
      </c>
      <c r="I1" s="85" t="s">
        <v>0</v>
      </c>
      <c r="J1" s="87" t="s">
        <v>49</v>
      </c>
      <c r="K1" s="87" t="s">
        <v>48</v>
      </c>
      <c r="L1" s="87" t="s">
        <v>50</v>
      </c>
      <c r="M1" s="87" t="s">
        <v>51</v>
      </c>
      <c r="N1" s="81" t="s">
        <v>3</v>
      </c>
      <c r="O1" s="88" t="s">
        <v>2</v>
      </c>
      <c r="P1" s="81" t="s">
        <v>97</v>
      </c>
      <c r="Q1" s="89" t="s">
        <v>18</v>
      </c>
      <c r="R1" s="80" t="s">
        <v>52</v>
      </c>
      <c r="S1" s="90" t="s">
        <v>23</v>
      </c>
      <c r="T1" s="90" t="s">
        <v>24</v>
      </c>
      <c r="U1" s="90" t="s">
        <v>26</v>
      </c>
      <c r="V1" s="90" t="s">
        <v>25</v>
      </c>
      <c r="W1" s="85" t="s">
        <v>32</v>
      </c>
      <c r="X1" s="86" t="s">
        <v>53</v>
      </c>
      <c r="Y1" s="85" t="s">
        <v>33</v>
      </c>
      <c r="Z1" s="86" t="s">
        <v>53</v>
      </c>
      <c r="AA1" s="87" t="s">
        <v>23</v>
      </c>
      <c r="AB1" s="87" t="s">
        <v>24</v>
      </c>
      <c r="AC1" s="87" t="s">
        <v>26</v>
      </c>
      <c r="AD1" s="87" t="s">
        <v>25</v>
      </c>
      <c r="AE1" s="91" t="s">
        <v>100</v>
      </c>
      <c r="AF1" s="80" t="s">
        <v>45</v>
      </c>
      <c r="AG1" s="92" t="s">
        <v>58</v>
      </c>
      <c r="AH1" s="80" t="s">
        <v>45</v>
      </c>
      <c r="AI1" s="92" t="s">
        <v>46</v>
      </c>
      <c r="AJ1" s="82" t="s">
        <v>67</v>
      </c>
      <c r="AK1" s="80" t="s">
        <v>21</v>
      </c>
      <c r="AL1" s="93" t="s">
        <v>68</v>
      </c>
      <c r="AM1" s="94" t="s">
        <v>66</v>
      </c>
      <c r="AN1" s="94" t="s">
        <v>69</v>
      </c>
      <c r="AO1" s="95" t="s">
        <v>31</v>
      </c>
      <c r="AP1" s="91" t="s">
        <v>20</v>
      </c>
      <c r="AQ1" s="96" t="s">
        <v>110</v>
      </c>
      <c r="AR1" s="96" t="s">
        <v>105</v>
      </c>
      <c r="AS1" s="80" t="s">
        <v>104</v>
      </c>
      <c r="AT1" s="91" t="s">
        <v>102</v>
      </c>
      <c r="AU1" s="80" t="s">
        <v>107</v>
      </c>
      <c r="AV1" s="96" t="s">
        <v>105</v>
      </c>
      <c r="AW1" s="80" t="s">
        <v>104</v>
      </c>
      <c r="AX1" s="86" t="s">
        <v>4</v>
      </c>
      <c r="AY1" s="97" t="s">
        <v>54</v>
      </c>
      <c r="AZ1" s="97" t="s">
        <v>55</v>
      </c>
      <c r="BA1" s="97" t="s">
        <v>111</v>
      </c>
      <c r="BB1" s="97" t="s">
        <v>56</v>
      </c>
      <c r="BC1" s="5" t="s">
        <v>22</v>
      </c>
      <c r="BD1" s="100" t="s">
        <v>34</v>
      </c>
      <c r="BE1" s="98" t="s">
        <v>5</v>
      </c>
      <c r="BF1" s="99" t="s">
        <v>6</v>
      </c>
      <c r="BG1" s="101" t="s">
        <v>70</v>
      </c>
      <c r="BH1" s="101" t="s">
        <v>71</v>
      </c>
      <c r="BI1" s="101" t="s">
        <v>72</v>
      </c>
      <c r="BJ1" s="101" t="s">
        <v>73</v>
      </c>
      <c r="BK1" s="102" t="s">
        <v>74</v>
      </c>
      <c r="BL1" s="102" t="s">
        <v>95</v>
      </c>
      <c r="BM1" s="102" t="s">
        <v>75</v>
      </c>
      <c r="BN1" s="102" t="s">
        <v>76</v>
      </c>
      <c r="BO1" s="103" t="s">
        <v>77</v>
      </c>
      <c r="BP1" s="104" t="s">
        <v>78</v>
      </c>
      <c r="BQ1" s="82" t="s">
        <v>86</v>
      </c>
      <c r="BR1" s="10" t="s">
        <v>487</v>
      </c>
    </row>
    <row r="2" spans="1:70" ht="21" customHeight="1" x14ac:dyDescent="0.15">
      <c r="A2" s="134">
        <v>525</v>
      </c>
      <c r="B2" s="57" t="str">
        <f ca="1">VLOOKUP($A2,OFFSET([1]characters!$A$1,0,0,COUNTA([1]characters!$A:$A),MATCH(B$1,[1]characters!$1:$1,0)-MATCH($A$1,[1]characters!$1:$1,0)+1),MATCH(B$1,[1]characters!$1:$1,0)-MATCH($A$1,[1]characters!$1:$1,0)+1,FALSE)</f>
        <v>ウィンタースポーツ 雪ミク</v>
      </c>
      <c r="C2" s="57" t="str">
        <f ca="1">VLOOKUP($A2,OFFSET([1]characters!$A$1,0,0,COUNTA([1]characters!$A:$A),MATCH(C$1,[1]characters!$1:$1,0)-MATCH($A$1,[1]characters!$1:$1,0)+1),MATCH(C$1,[1]characters!$1:$1,0)-MATCH($A$1,[1]characters!$1:$1,0)+1,FALSE)</f>
        <v>イベント:ミクコラボ01</v>
      </c>
      <c r="D2" s="57" t="str">
        <f ca="1">VLOOKUP($A2,OFFSET([1]characters!$A$1,0,0,COUNTA([1]characters!$A:$A),MATCH(D$1,[1]characters!$1:$1,0)-MATCH($A$1,[1]characters!$1:$1,0)+1),MATCH(D$1,[1]characters!$1:$1,0)-MATCH($A$1,[1]characters!$1:$1,0)+1,FALSE)</f>
        <v>執行者</v>
      </c>
      <c r="E2" s="57" t="str">
        <f ca="1">VLOOKUP($A2,OFFSET([1]characters!$A$1,0,0,COUNTA([1]characters!$A:$A),MATCH(E$1,[1]characters!$1:$1,0)-MATCH($A$1,[1]characters!$1:$1,0)+1),MATCH(E$1,[1]characters!$1:$1,0)-MATCH($A$1,[1]characters!$1:$1,0)+1,FALSE)</f>
        <v>格好いい</v>
      </c>
      <c r="F2" s="57" t="str">
        <f ca="1">VLOOKUP($A2,OFFSET([1]characters!$A$1,0,0,COUNTA([1]characters!$A:$A),MATCH(F$1,[1]characters!$1:$1,0)-MATCH($A$1,[1]characters!$1:$1,0)+1),MATCH(F$1,[1]characters!$1:$1,0)-MATCH($A$1,[1]characters!$1:$1,0)+1,FALSE)</f>
        <v>女性</v>
      </c>
      <c r="G2" s="57">
        <f ca="1">VLOOKUP($A2,OFFSET([1]characters!$A$1,0,0,COUNTA([1]characters!$A:$A),MATCH(G$1,[1]characters!$1:$1,0)-MATCH($A$1,[1]characters!$1:$1,0)+1),MATCH(G$1,[1]characters!$1:$1,0)-MATCH($A$1,[1]characters!$1:$1,0)+1,FALSE)</f>
        <v>4</v>
      </c>
      <c r="H2" s="57" t="str">
        <f ca="1">VLOOKUP($A2,OFFSET([1]characters!$A$1,0,0,COUNTA([1]characters!$A:$A),MATCH(H$1,[1]characters!$1:$1,0)-MATCH($A$1,[1]characters!$1:$1,0)+1),MATCH(H$1,[1]characters!$1:$1,0)-MATCH($A$1,[1]characters!$1:$1,0)+1,FALSE)</f>
        <v>Drop2N</v>
      </c>
      <c r="I2" s="57" t="str">
        <f ca="1">VLOOKUP($A2,OFFSET([1]characters!$A$1,0,0,COUNTA([1]characters!$A:$A),MATCH(I$1,[1]characters!$1:$1,0)-MATCH($A$1,[1]characters!$1:$1,0)+1),MATCH(I$1,[1]characters!$1:$1,0)-MATCH($A$1,[1]characters!$1:$1,0)+1,FALSE)</f>
        <v>blue</v>
      </c>
      <c r="J2" s="11">
        <f ca="1">VLOOKUP(I2,[1]属性!$A:$E,2,FALSE)</f>
        <v>1</v>
      </c>
      <c r="K2" s="11">
        <f ca="1">VLOOKUP(I2,[1]属性!$A:$E,3,FALSE)</f>
        <v>0.98</v>
      </c>
      <c r="L2" s="11">
        <f ca="1">VLOOKUP(I2,[1]属性!$A:$E,4,FALSE)</f>
        <v>1</v>
      </c>
      <c r="M2" s="11">
        <f ca="1">VLOOKUP(I2,[1]属性!$A:$E,5,FALSE)</f>
        <v>1.02</v>
      </c>
      <c r="N2" s="11">
        <f ca="1">INDEX(コスト!$A$1:$I$21,MATCH(H2,コスト!$A$1:$A$21,FALSE),MATCH(G2,コスト!$A$1:$I$1,FALSE))</f>
        <v>17</v>
      </c>
      <c r="O2" s="11">
        <f ca="1">INDEX(レベル!$A$1:$I$21,MATCH(H2,レベル!$A$1:$A$21,FALSE),MATCH(G2,レベル!$A$1:$I$1,FALSE))</f>
        <v>60</v>
      </c>
      <c r="P2" s="48">
        <f t="shared" ref="P2" ca="1" si="0">G2*15</f>
        <v>60</v>
      </c>
      <c r="Q2" s="57" t="str">
        <f ca="1">VLOOKUP($A2,OFFSET([1]characters!$A$1,0,0,COUNTA([1]characters!$A:$A),MATCH(Q$1,[1]characters!$1:$1,0)-MATCH($A$1,[1]characters!$1:$1,0)+1),MATCH(Q$1,[1]characters!$1:$1,0)-MATCH($A$1,[1]characters!$1:$1,0)+1,FALSE)</f>
        <v>heal</v>
      </c>
      <c r="R2" s="5" t="str">
        <f ca="1">VLOOKUP(Q2,[1]character_type_i18n!$A:$H,3,FALSE)</f>
        <v>回復タイプ</v>
      </c>
      <c r="S2" s="11">
        <f ca="1">VLOOKUP(Q2,[1]character_type_i18n!$A:$H,4,FALSE)</f>
        <v>0.8</v>
      </c>
      <c r="T2" s="11">
        <f ca="1">VLOOKUP(Q2,[1]character_type_i18n!$A:$H,5,FALSE)</f>
        <v>0.78</v>
      </c>
      <c r="U2" s="11">
        <f ca="1">VLOOKUP(Q2,[1]character_type_i18n!$A:$H,6,FALSE)</f>
        <v>1</v>
      </c>
      <c r="V2" s="11">
        <f ca="1">VLOOKUP(Q2,[1]character_type_i18n!$A:$H,7,FALSE)</f>
        <v>1.42</v>
      </c>
      <c r="W2" s="57" t="str">
        <f ca="1">VLOOKUP($A2,OFFSET([1]characters!$A$1,0,0,COUNTA([1]characters!$A:$A),MATCH(W$1,[1]characters!$1:$1,0)-MATCH($A$1,[1]characters!$1:$1,0)+1),MATCH(W$1,[1]characters!$1:$1,0)-MATCH($A$1,[1]characters!$1:$1,0)+1,FALSE)</f>
        <v>unknown</v>
      </c>
      <c r="X2" s="5" t="str">
        <f ca="1">VLOOKUP(W2,[1]character_tribe_i18n!$A:$H,3,FALSE)</f>
        <v>Unknown</v>
      </c>
      <c r="Y2" s="57" t="str">
        <f ca="1">VLOOKUP($A2,OFFSET([1]characters!$A$1,0,0,COUNTA([1]characters!$A:$A),MATCH(Y$1,[1]characters!$1:$1,0)-MATCH($A$1,[1]characters!$1:$1,0)+1),MATCH(Y$1,[1]characters!$1:$1,0)-MATCH($A$1,[1]characters!$1:$1,0)+1,FALSE)</f>
        <v>none</v>
      </c>
      <c r="Z2" s="5" t="str">
        <f ca="1">VLOOKUP(Y2,[1]character_tribe_i18n!$A:$H,3,FALSE)</f>
        <v>種族なし</v>
      </c>
      <c r="AA2" s="11">
        <f ca="1">VLOOKUP(W2,[1]character_tribe_i18n!$A:$H,4,FALSE)</f>
        <v>1</v>
      </c>
      <c r="AB2" s="11">
        <f ca="1">VLOOKUP(W2,[1]character_tribe_i18n!$A:$H,5,FALSE)</f>
        <v>1</v>
      </c>
      <c r="AC2" s="11">
        <f ca="1">VLOOKUP(W2,[1]character_tribe_i18n!$A:$H,6,FALSE)</f>
        <v>1</v>
      </c>
      <c r="AD2" s="11">
        <f ca="1">VLOOKUP(W2,[1]character_tribe_i18n!$A:$H,7,FALSE)</f>
        <v>1</v>
      </c>
      <c r="AE2" s="9" t="s">
        <v>178</v>
      </c>
      <c r="AF2" s="62" t="str">
        <f ca="1">IF(AE2="NULL","",VLOOKUP($AE2,OFFSET([1]characters!$A$1,0,0,COUNTA([1]characters!$A:$A),MATCH(AF$1,[1]characters!$1:$1,0)-MATCH($A$1,[1]characters!$1:$1,0)+1),MATCH(AF$1,[1]characters!$1:$1,0)-MATCH($A$1,[1]characters!$1:$1,0)+1,FALSE))</f>
        <v/>
      </c>
      <c r="AG2" s="5">
        <f t="shared" ref="AG2:AG35" ca="1" si="1">IF(ISNA(MATCH(A2,AE:AE,0)),A2,INDIRECT(ADDRESS(MATCH(A2,AE:AE,0),COLUMN())))</f>
        <v>525</v>
      </c>
      <c r="AH2" s="62" t="str">
        <f ca="1">VLOOKUP($AG2,OFFSET([1]characters!$A$1,0,0,COUNTA([1]characters!$A:$A),MATCH(AH$1,[1]characters!$1:$1,0)-MATCH($A$1,[1]characters!$1:$1,0)+1),MATCH(AH$1,[1]characters!$1:$1,0)-MATCH($A$1,[1]characters!$1:$1,0)+1,FALSE)</f>
        <v>ウィンタースポーツ 雪ミク</v>
      </c>
      <c r="AI2" s="11" t="str">
        <f>IF(AE2="NULL","NULL",VLOOKUP(G2,ビット!$A$2:$B$7,2))</f>
        <v>NULL</v>
      </c>
      <c r="AJ2" s="6">
        <v>2</v>
      </c>
      <c r="AK2" s="7" t="str">
        <f t="shared" ref="AK2" si="2">IF(AJ2=1,"早熟",IF(AJ2=2,"普通",IF(AJ2=3,"晩成","")))</f>
        <v>普通</v>
      </c>
      <c r="AL2" s="11" t="str">
        <f ca="1">INDEX(経験値!$A$1:$I$21,MATCH(H2,経験値!$A$1:$A$21,FALSE),MATCH(G2,経験値!$A$1:$I$1,FALSE))</f>
        <v>required_exp_200</v>
      </c>
      <c r="AM2" s="8">
        <f ca="1">VLOOKUP(G2,経験値!$A$28:$B$32,2)</f>
        <v>3400</v>
      </c>
      <c r="AN2" s="17">
        <f ca="1">VLOOKUP(G2,ビット!$G$2:$H$7,2)</f>
        <v>600</v>
      </c>
      <c r="AO2" s="45"/>
      <c r="AP2" s="67">
        <f>A2</f>
        <v>525</v>
      </c>
      <c r="AQ2" s="57" t="str">
        <f ca="1">VLOOKUP($AP2,OFFSET(unit_skills!$A$1,0,0,COUNTA(unit_skills!$A:$A),MATCH(AQ$1,unit_skills!$1:$1,0)-MATCH($AP$1,unit_skills!$1:$1,0)+1),MATCH(AQ$1,unit_skills!$1:$1,0)-MATCH($AP$1,unit_skills!$1:$1,0)+1,FALSE)</f>
        <v>スノウアレグロマーチ</v>
      </c>
      <c r="AR2" s="57" t="str">
        <f ca="1">VLOOKUP($AP2,OFFSET(unit_skills!$A$1,0,0,COUNTA(unit_skills!$A:$A),MATCH(AR$1,unit_skills!$1:$1,0)-MATCH($AP$1,unit_skills!$1:$1,0)+1),MATCH(AR$1,unit_skills!$1:$1,0)-MATCH($AP$1,unit_skills!$1:$1,0)+1,FALSE)</f>
        <v>3ターンの間HPを小回復し、回復力を特大UPする</v>
      </c>
      <c r="AS2" s="57">
        <f ca="1">VLOOKUP($AP2,OFFSET(unit_skills!$A$1,0,0,COUNTA(unit_skills!$A:$A),MATCH(AS$1,unit_skills!$1:$1,0)-MATCH($AP$1,unit_skills!$1:$1,0)+1),MATCH(AS$1,unit_skills!$1:$1,0)-MATCH($AP$1,unit_skills!$1:$1,0)+1,FALSE)</f>
        <v>0</v>
      </c>
      <c r="AT2" s="41">
        <f>A2</f>
        <v>525</v>
      </c>
      <c r="AU2" s="57" t="str">
        <f ca="1">VLOOKUP($AT2,OFFSET(crash_skills!$A$1,0,0,COUNTA(crash_skills!$A:$A),MATCH(AU$1,crash_skills!$1:$1,0)-MATCH($AT$1,crash_skills!$1:$1,0)+1),MATCH(AU$1,crash_skills!$1:$1,0)-MATCH($AT$1,crash_skills!$1:$1,0)+1,FALSE)</f>
        <v>アップテンポ</v>
      </c>
      <c r="AV2" s="57" t="str">
        <f ca="1">VLOOKUP($AT2,OFFSET(crash_skills!$A$1,0,0,COUNTA(crash_skills!$A:$A),MATCH(AV$1,crash_skills!$1:$1,0)-MATCH($AT$1,crash_skills!$1:$1,0)+1),MATCH(AV$1,crash_skills!$1:$1,0)-MATCH($AT$1,crash_skills!$1:$1,0)+1,FALSE)</f>
        <v>HPを大回復</v>
      </c>
      <c r="AW2" s="57">
        <f ca="1">VLOOKUP($AT2,OFFSET(crash_skills!$A$1,0,0,COUNTA(crash_skills!$A:$A),MATCH(AW$1,crash_skills!$1:$1,0)-MATCH($AT$1,crash_skills!$1:$1,0)+1),MATCH(AW$1,crash_skills!$1:$1,0)-MATCH($AT$1,crash_skills!$1:$1,0)+1,FALSE)</f>
        <v>0</v>
      </c>
      <c r="AX2" s="58">
        <f ca="1">VLOOKUP($A2,OFFSET([1]characters!$A$1,0,0,COUNTA([1]characters!$A:$A),MATCH(AX$1,[1]characters!$1:$1,0)-MATCH($A$1,[1]characters!$1:$1,0)+1),MATCH(AX$1,[1]characters!$1:$1,0)-MATCH($A$1,[1]characters!$1:$1,0)+1,FALSE)</f>
        <v>3</v>
      </c>
      <c r="AY2" s="68">
        <v>1</v>
      </c>
      <c r="AZ2" s="68">
        <v>1</v>
      </c>
      <c r="BA2" s="68">
        <v>0</v>
      </c>
      <c r="BB2" s="68">
        <v>1.18</v>
      </c>
      <c r="BC2" s="11">
        <f ca="1">INDEX('RC6SV'!$A$1:$G$21,MATCH(H2,'RC6SV'!$A$1:$A$21,FALSE),MATCH(G2,'RC6SV'!$A$1:$G$1,FALSE))</f>
        <v>5800</v>
      </c>
      <c r="BD2" s="48">
        <f t="shared" ref="BD2" ca="1" si="3">ROUND(BC2*IF(AJ2=1,0.95,IF(AJ2=2,1,IF(AJ2,1.05,0))),0)</f>
        <v>5800</v>
      </c>
      <c r="BE2" s="11">
        <f t="shared" ref="BE2:BE36" ca="1" si="4">ROUND(IFERROR(INDIRECT(ADDRESS(MATCH($A2,$AE:$AE,0),MATCH($BC$1,$1:$1,0))),0),0)</f>
        <v>0</v>
      </c>
      <c r="BF2" s="11">
        <f t="shared" ref="BF2:BF36" ca="1" si="5">ROUND(IFERROR(INDIRECT(ADDRESS(MATCH($A2,$AE:$AE,0),10)),INDIRECT(ADDRESS(MATCH($A2,$A:$A,0),10))),0)</f>
        <v>1</v>
      </c>
      <c r="BG2" s="16">
        <f ca="1">IF($BE2&lt;=0,ROUND(BK2*0.5,0), ROUND($BE2*S2*AA2*J2*AY2*0.8*[1]ステータス!$B$2,0))</f>
        <v>1160</v>
      </c>
      <c r="BH2" s="16">
        <f ca="1">IF($BE2&lt;=0,ROUND(BL2*0.5,0), ROUND($BE2*T2*AB2*K2*AZ2*0.8*[1]ステータス!$C$2,0))</f>
        <v>665</v>
      </c>
      <c r="BI2" s="16">
        <f ca="1">IF($BE2&lt;=0,ROUND(BM2*0.5,0), ROUND($BE2*U2*AC2*L2*BA2*0.8*[1]ステータス!$D$2,0))</f>
        <v>0</v>
      </c>
      <c r="BJ2" s="16">
        <f ca="1">IF($BE2&lt;=0,ROUND(BN2*0.5,0), ROUND($BE2*V2*AD2*M2*BB2*0.8*[1]ステータス!$E$2,0))</f>
        <v>1239</v>
      </c>
      <c r="BK2" s="11">
        <f ca="1">ROUND(BD2*S2*AA2*J2*AY2*[1]ステータス!$B$2,0)</f>
        <v>2320</v>
      </c>
      <c r="BL2" s="11">
        <f ca="1">ROUND(BD2*T2*AB2*K2*AZ2*[1]ステータス!$C$2,0)</f>
        <v>1330</v>
      </c>
      <c r="BM2" s="11">
        <f ca="1">ROUND(BD2*U2*AC2*L2*BA2*[1]ステータス!$D$2,0)</f>
        <v>0</v>
      </c>
      <c r="BN2" s="11">
        <f ca="1">ROUND(BD2*V2*AD2*M2*BB2*[1]ステータス!$E$2,0)</f>
        <v>2478</v>
      </c>
      <c r="BO2" s="10">
        <v>0</v>
      </c>
      <c r="BP2" s="10">
        <v>1</v>
      </c>
      <c r="BQ2" s="10" t="s">
        <v>47</v>
      </c>
      <c r="BR2" s="10">
        <f ca="1">VLOOKUP(H2,ghosts_label!$A$2:$B$19,2,FALSE)</f>
        <v>1</v>
      </c>
    </row>
    <row r="3" spans="1:70" ht="21" customHeight="1" x14ac:dyDescent="0.15">
      <c r="A3" s="134">
        <v>526</v>
      </c>
      <c r="B3" s="57" t="str">
        <f ca="1">VLOOKUP($A3,OFFSET([1]characters!$A$1,0,0,COUNTA([1]characters!$A:$A),MATCH(B$1,[1]characters!$1:$1,0)-MATCH($A$1,[1]characters!$1:$1,0)+1),MATCH(B$1,[1]characters!$1:$1,0)-MATCH($A$1,[1]characters!$1:$1,0)+1,FALSE)</f>
        <v>大滑走 雪ミク&amp;ラビットユキネ</v>
      </c>
      <c r="C3" s="57" t="str">
        <f ca="1">VLOOKUP($A3,OFFSET([1]characters!$A$1,0,0,COUNTA([1]characters!$A:$A),MATCH(C$1,[1]characters!$1:$1,0)-MATCH($A$1,[1]characters!$1:$1,0)+1),MATCH(C$1,[1]characters!$1:$1,0)-MATCH($A$1,[1]characters!$1:$1,0)+1,FALSE)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" s="57" t="str">
        <f ca="1">VLOOKUP($A3,OFFSET([1]characters!$A$1,0,0,COUNTA([1]characters!$A:$A),MATCH(D$1,[1]characters!$1:$1,0)-MATCH($A$1,[1]characters!$1:$1,0)+1),MATCH(D$1,[1]characters!$1:$1,0)-MATCH($A$1,[1]characters!$1:$1,0)+1,FALSE)</f>
        <v>執行者</v>
      </c>
      <c r="E3" s="57" t="str">
        <f ca="1">VLOOKUP($A3,OFFSET([1]characters!$A$1,0,0,COUNTA([1]characters!$A:$A),MATCH(E$1,[1]characters!$1:$1,0)-MATCH($A$1,[1]characters!$1:$1,0)+1),MATCH(E$1,[1]characters!$1:$1,0)-MATCH($A$1,[1]characters!$1:$1,0)+1,FALSE)</f>
        <v>格好いい</v>
      </c>
      <c r="F3" s="57" t="str">
        <f ca="1">VLOOKUP($A3,OFFSET([1]characters!$A$1,0,0,COUNTA([1]characters!$A:$A),MATCH(F$1,[1]characters!$1:$1,0)-MATCH($A$1,[1]characters!$1:$1,0)+1),MATCH(F$1,[1]characters!$1:$1,0)-MATCH($A$1,[1]characters!$1:$1,0)+1,FALSE)</f>
        <v>女性</v>
      </c>
      <c r="G3" s="57">
        <f ca="1">VLOOKUP($A3,OFFSET([1]characters!$A$1,0,0,COUNTA([1]characters!$A:$A),MATCH(G$1,[1]characters!$1:$1,0)-MATCH($A$1,[1]characters!$1:$1,0)+1),MATCH(G$1,[1]characters!$1:$1,0)-MATCH($A$1,[1]characters!$1:$1,0)+1,FALSE)</f>
        <v>5</v>
      </c>
      <c r="H3" s="57" t="str">
        <f ca="1">VLOOKUP($A3,OFFSET([1]characters!$A$1,0,0,COUNTA([1]characters!$A:$A),MATCH(H$1,[1]characters!$1:$1,0)-MATCH($A$1,[1]characters!$1:$1,0)+1),MATCH(H$1,[1]characters!$1:$1,0)-MATCH($A$1,[1]characters!$1:$1,0)+1,FALSE)</f>
        <v>Drop2N</v>
      </c>
      <c r="I3" s="57" t="str">
        <f ca="1">VLOOKUP($A3,OFFSET([1]characters!$A$1,0,0,COUNTA([1]characters!$A:$A),MATCH(I$1,[1]characters!$1:$1,0)-MATCH($A$1,[1]characters!$1:$1,0)+1),MATCH(I$1,[1]characters!$1:$1,0)-MATCH($A$1,[1]characters!$1:$1,0)+1,FALSE)</f>
        <v>blue</v>
      </c>
      <c r="J3" s="11">
        <f ca="1">VLOOKUP(I3,[1]属性!$A:$E,2,FALSE)</f>
        <v>1</v>
      </c>
      <c r="K3" s="11">
        <f ca="1">VLOOKUP(I3,[1]属性!$A:$E,3,FALSE)</f>
        <v>0.98</v>
      </c>
      <c r="L3" s="11">
        <f ca="1">VLOOKUP(I3,[1]属性!$A:$E,4,FALSE)</f>
        <v>1</v>
      </c>
      <c r="M3" s="11">
        <f ca="1">VLOOKUP(I3,[1]属性!$A:$E,5,FALSE)</f>
        <v>1.02</v>
      </c>
      <c r="N3" s="11">
        <f ca="1">INDEX(コスト!$A$1:$I$21,MATCH(H3,コスト!$A$1:$A$21,FALSE),MATCH(G3,コスト!$A$1:$I$1,FALSE))</f>
        <v>26</v>
      </c>
      <c r="O3" s="11">
        <f ca="1">INDEX(レベル!$A$1:$I$21,MATCH(H3,レベル!$A$1:$A$21,FALSE),MATCH(G3,レベル!$A$1:$I$1,FALSE))</f>
        <v>80</v>
      </c>
      <c r="P3" s="48">
        <f t="shared" ref="P3:P4" ca="1" si="6">G3*15</f>
        <v>75</v>
      </c>
      <c r="Q3" s="57" t="str">
        <f ca="1">VLOOKUP($A3,OFFSET([1]characters!$A$1,0,0,COUNTA([1]characters!$A:$A),MATCH(Q$1,[1]characters!$1:$1,0)-MATCH($A$1,[1]characters!$1:$1,0)+1),MATCH(Q$1,[1]characters!$1:$1,0)-MATCH($A$1,[1]characters!$1:$1,0)+1,FALSE)</f>
        <v>heal</v>
      </c>
      <c r="R3" s="5" t="str">
        <f ca="1">VLOOKUP(Q3,[1]character_type_i18n!$A:$H,3,FALSE)</f>
        <v>回復タイプ</v>
      </c>
      <c r="S3" s="11">
        <f ca="1">VLOOKUP(Q3,[1]character_type_i18n!$A:$H,4,FALSE)</f>
        <v>0.8</v>
      </c>
      <c r="T3" s="11">
        <f ca="1">VLOOKUP(Q3,[1]character_type_i18n!$A:$H,5,FALSE)</f>
        <v>0.78</v>
      </c>
      <c r="U3" s="11">
        <f ca="1">VLOOKUP(Q3,[1]character_type_i18n!$A:$H,6,FALSE)</f>
        <v>1</v>
      </c>
      <c r="V3" s="11">
        <f ca="1">VLOOKUP(Q3,[1]character_type_i18n!$A:$H,7,FALSE)</f>
        <v>1.42</v>
      </c>
      <c r="W3" s="57" t="str">
        <f ca="1">VLOOKUP($A3,OFFSET([1]characters!$A$1,0,0,COUNTA([1]characters!$A:$A),MATCH(W$1,[1]characters!$1:$1,0)-MATCH($A$1,[1]characters!$1:$1,0)+1),MATCH(W$1,[1]characters!$1:$1,0)-MATCH($A$1,[1]characters!$1:$1,0)+1,FALSE)</f>
        <v>unknown</v>
      </c>
      <c r="X3" s="5" t="str">
        <f ca="1">VLOOKUP(W3,[1]character_tribe_i18n!$A:$H,3,FALSE)</f>
        <v>Unknown</v>
      </c>
      <c r="Y3" s="57" t="str">
        <f ca="1">VLOOKUP($A3,OFFSET([1]characters!$A$1,0,0,COUNTA([1]characters!$A:$A),MATCH(Y$1,[1]characters!$1:$1,0)-MATCH($A$1,[1]characters!$1:$1,0)+1),MATCH(Y$1,[1]characters!$1:$1,0)-MATCH($A$1,[1]characters!$1:$1,0)+1,FALSE)</f>
        <v>none</v>
      </c>
      <c r="Z3" s="5" t="str">
        <f ca="1">VLOOKUP(Y3,[1]character_tribe_i18n!$A:$H,3,FALSE)</f>
        <v>種族なし</v>
      </c>
      <c r="AA3" s="11">
        <f ca="1">VLOOKUP(W3,[1]character_tribe_i18n!$A:$H,4,FALSE)</f>
        <v>1</v>
      </c>
      <c r="AB3" s="11">
        <f ca="1">VLOOKUP(W3,[1]character_tribe_i18n!$A:$H,5,FALSE)</f>
        <v>1</v>
      </c>
      <c r="AC3" s="11">
        <f ca="1">VLOOKUP(W3,[1]character_tribe_i18n!$A:$H,6,FALSE)</f>
        <v>1</v>
      </c>
      <c r="AD3" s="11">
        <f ca="1">VLOOKUP(W3,[1]character_tribe_i18n!$A:$H,7,FALSE)</f>
        <v>1</v>
      </c>
      <c r="AE3" s="9" t="s">
        <v>178</v>
      </c>
      <c r="AF3" s="62" t="str">
        <f ca="1">IF(AE3="NULL","",VLOOKUP($AE3,OFFSET([1]characters!$A$1,0,0,COUNTA([1]characters!$A:$A),MATCH(AF$1,[1]characters!$1:$1,0)-MATCH($A$1,[1]characters!$1:$1,0)+1),MATCH(AF$1,[1]characters!$1:$1,0)-MATCH($A$1,[1]characters!$1:$1,0)+1,FALSE))</f>
        <v/>
      </c>
      <c r="AG3" s="5">
        <f t="shared" ca="1" si="1"/>
        <v>526</v>
      </c>
      <c r="AH3" s="62" t="str">
        <f ca="1">VLOOKUP($AG3,OFFSET([1]characters!$A$1,0,0,COUNTA([1]characters!$A:$A),MATCH(AH$1,[1]characters!$1:$1,0)-MATCH($A$1,[1]characters!$1:$1,0)+1),MATCH(AH$1,[1]characters!$1:$1,0)-MATCH($A$1,[1]characters!$1:$1,0)+1,FALSE)</f>
        <v>大滑走 雪ミク&amp;ラビットユキネ</v>
      </c>
      <c r="AI3" s="11" t="str">
        <f>IF(AE3="NULL","NULL",VLOOKUP(G3,ビット!$A$2:$B$7,2))</f>
        <v>NULL</v>
      </c>
      <c r="AJ3" s="6">
        <v>2</v>
      </c>
      <c r="AK3" s="7" t="str">
        <f t="shared" ref="AK3:AK4" si="7">IF(AJ3=1,"早熟",IF(AJ3=2,"普通",IF(AJ3=3,"晩成","")))</f>
        <v>普通</v>
      </c>
      <c r="AL3" s="11" t="str">
        <f ca="1">INDEX(経験値!$A$1:$I$21,MATCH(H3,経験値!$A$1:$A$21,FALSE),MATCH(G3,経験値!$A$1:$I$1,FALSE))</f>
        <v>required_exp_200</v>
      </c>
      <c r="AM3" s="8">
        <f ca="1">VLOOKUP(G3,経験値!$A$28:$B$32,2)</f>
        <v>6400</v>
      </c>
      <c r="AN3" s="17">
        <f ca="1">VLOOKUP(G3,ビット!$G$2:$H$7,2)</f>
        <v>900</v>
      </c>
      <c r="AO3" s="45"/>
      <c r="AP3" s="67">
        <f t="shared" ref="AP3:AP35" si="8">A3</f>
        <v>526</v>
      </c>
      <c r="AQ3" s="57" t="str">
        <f ca="1">VLOOKUP($AP3,OFFSET(unit_skills!$A$1,0,0,COUNTA(unit_skills!$A:$A),MATCH(AQ$1,unit_skills!$1:$1,0)-MATCH($AP$1,unit_skills!$1:$1,0)+1),MATCH(AQ$1,unit_skills!$1:$1,0)-MATCH($AP$1,unit_skills!$1:$1,0)+1,FALSE)</f>
        <v>スノウアレグロマーチ</v>
      </c>
      <c r="AR3" s="57" t="str">
        <f ca="1">VLOOKUP($AP3,OFFSET(unit_skills!$A$1,0,0,COUNTA(unit_skills!$A:$A),MATCH(AR$1,unit_skills!$1:$1,0)-MATCH($AP$1,unit_skills!$1:$1,0)+1),MATCH(AR$1,unit_skills!$1:$1,0)-MATCH($AP$1,unit_skills!$1:$1,0)+1,FALSE)</f>
        <v>3ターンの間HPを小回復し、回復力を特大UPする</v>
      </c>
      <c r="AS3" s="57">
        <f ca="1">VLOOKUP($AP3,OFFSET(unit_skills!$A$1,0,0,COUNTA(unit_skills!$A:$A),MATCH(AS$1,unit_skills!$1:$1,0)-MATCH($AP$1,unit_skills!$1:$1,0)+1),MATCH(AS$1,unit_skills!$1:$1,0)-MATCH($AP$1,unit_skills!$1:$1,0)+1,FALSE)</f>
        <v>0</v>
      </c>
      <c r="AT3" s="41">
        <f t="shared" ref="AT3:AT35" si="9">A3</f>
        <v>526</v>
      </c>
      <c r="AU3" s="57" t="str">
        <f ca="1">VLOOKUP($AT3,OFFSET(crash_skills!$A$1,0,0,COUNTA(crash_skills!$A:$A),MATCH(AU$1,crash_skills!$1:$1,0)-MATCH($AT$1,crash_skills!$1:$1,0)+1),MATCH(AU$1,crash_skills!$1:$1,0)-MATCH($AT$1,crash_skills!$1:$1,0)+1,FALSE)</f>
        <v>アップテンポ</v>
      </c>
      <c r="AV3" s="57" t="str">
        <f ca="1">VLOOKUP($AT3,OFFSET(crash_skills!$A$1,0,0,COUNTA(crash_skills!$A:$A),MATCH(AV$1,crash_skills!$1:$1,0)-MATCH($AT$1,crash_skills!$1:$1,0)+1),MATCH(AV$1,crash_skills!$1:$1,0)-MATCH($AT$1,crash_skills!$1:$1,0)+1,FALSE)</f>
        <v>HPを大回復</v>
      </c>
      <c r="AW3" s="57">
        <f ca="1">VLOOKUP($AT3,OFFSET(crash_skills!$A$1,0,0,COUNTA(crash_skills!$A:$A),MATCH(AW$1,crash_skills!$1:$1,0)-MATCH($AT$1,crash_skills!$1:$1,0)+1),MATCH(AW$1,crash_skills!$1:$1,0)-MATCH($AT$1,crash_skills!$1:$1,0)+1,FALSE)</f>
        <v>0</v>
      </c>
      <c r="AX3" s="58">
        <f ca="1">VLOOKUP($A3,OFFSET([1]characters!$A$1,0,0,COUNTA([1]characters!$A:$A),MATCH(AX$1,[1]characters!$1:$1,0)-MATCH($A$1,[1]characters!$1:$1,0)+1),MATCH(AX$1,[1]characters!$1:$1,0)-MATCH($A$1,[1]characters!$1:$1,0)+1,FALSE)</f>
        <v>3</v>
      </c>
      <c r="AY3" s="68">
        <v>1</v>
      </c>
      <c r="AZ3" s="68">
        <v>1</v>
      </c>
      <c r="BA3" s="68">
        <v>0</v>
      </c>
      <c r="BB3" s="68">
        <v>1.18</v>
      </c>
      <c r="BC3" s="11">
        <f ca="1">INDEX('RC6SV'!$A$1:$G$21,MATCH(H3,'RC6SV'!$A$1:$A$21,FALSE),MATCH(G3,'RC6SV'!$A$1:$G$1,FALSE))</f>
        <v>7600</v>
      </c>
      <c r="BD3" s="48">
        <f t="shared" ref="BD3:BD4" ca="1" si="10">ROUND(BC3*IF(AJ3=1,0.95,IF(AJ3=2,1,IF(AJ3,1.05,0))),0)</f>
        <v>7600</v>
      </c>
      <c r="BE3" s="11">
        <f t="shared" ca="1" si="4"/>
        <v>0</v>
      </c>
      <c r="BF3" s="11">
        <f t="shared" ca="1" si="5"/>
        <v>1</v>
      </c>
      <c r="BG3" s="16">
        <f ca="1">IF($BE3&lt;=0,ROUND(BK3*0.5,0), ROUND($BE3*S3*AA3*J3*AY3*0.8*[1]ステータス!$B$2,0))</f>
        <v>1520</v>
      </c>
      <c r="BH3" s="16">
        <f ca="1">IF($BE3&lt;=0,ROUND(BL3*0.5,0), ROUND($BE3*T3*AB3*K3*AZ3*0.8*[1]ステータス!$C$2,0))</f>
        <v>872</v>
      </c>
      <c r="BI3" s="16">
        <f ca="1">IF($BE3&lt;=0,ROUND(BM3*0.5,0), ROUND($BE3*U3*AC3*L3*BA3*0.8*[1]ステータス!$D$2,0))</f>
        <v>0</v>
      </c>
      <c r="BJ3" s="16">
        <f ca="1">IF($BE3&lt;=0,ROUND(BN3*0.5,0), ROUND($BE3*V3*AD3*M3*BB3*0.8*[1]ステータス!$E$2,0))</f>
        <v>1624</v>
      </c>
      <c r="BK3" s="11">
        <f ca="1">ROUND(BD3*S3*AA3*J3*AY3*[1]ステータス!$B$2,0)</f>
        <v>3040</v>
      </c>
      <c r="BL3" s="11">
        <f ca="1">ROUND(BD3*T3*AB3*K3*AZ3*[1]ステータス!$C$2,0)</f>
        <v>1743</v>
      </c>
      <c r="BM3" s="11">
        <f ca="1">ROUND(BD3*U3*AC3*L3*BA3*[1]ステータス!$D$2,0)</f>
        <v>0</v>
      </c>
      <c r="BN3" s="11">
        <f ca="1">ROUND(BD3*V3*AD3*M3*BB3*[1]ステータス!$E$2,0)</f>
        <v>3247</v>
      </c>
      <c r="BO3" s="10">
        <v>0</v>
      </c>
      <c r="BP3" s="10">
        <v>1</v>
      </c>
      <c r="BQ3" s="10" t="s">
        <v>47</v>
      </c>
      <c r="BR3" s="10">
        <f ca="1">VLOOKUP(H3,ghosts_label!$A$2:$B$19,2,FALSE)</f>
        <v>1</v>
      </c>
    </row>
    <row r="4" spans="1:70" ht="21" customHeight="1" x14ac:dyDescent="0.15">
      <c r="A4" s="134">
        <v>527</v>
      </c>
      <c r="B4" s="57" t="str">
        <f ca="1">VLOOKUP($A4,OFFSET([1]characters!$A$1,0,0,COUNTA([1]characters!$A:$A),MATCH(B$1,[1]characters!$1:$1,0)-MATCH($A$1,[1]characters!$1:$1,0)+1),MATCH(B$1,[1]characters!$1:$1,0)-MATCH($A$1,[1]characters!$1:$1,0)+1,FALSE)</f>
        <v>初音ミクV3</v>
      </c>
      <c r="C4" s="57" t="str">
        <f ca="1">VLOOKUP($A4,OFFSET([1]characters!$A$1,0,0,COUNTA([1]characters!$A:$A),MATCH(C$1,[1]characters!$1:$1,0)-MATCH($A$1,[1]characters!$1:$1,0)+1),MATCH(C$1,[1]characters!$1:$1,0)-MATCH($A$1,[1]characters!$1:$1,0)+1,FALSE)</f>
        <v>イベント:ミクコラボ01</v>
      </c>
      <c r="D4" s="57" t="str">
        <f ca="1">VLOOKUP($A4,OFFSET([1]characters!$A$1,0,0,COUNTA([1]characters!$A:$A),MATCH(D$1,[1]characters!$1:$1,0)-MATCH($A$1,[1]characters!$1:$1,0)+1),MATCH(D$1,[1]characters!$1:$1,0)-MATCH($A$1,[1]characters!$1:$1,0)+1,FALSE)</f>
        <v>執行者</v>
      </c>
      <c r="E4" s="57" t="str">
        <f ca="1">VLOOKUP($A4,OFFSET([1]characters!$A$1,0,0,COUNTA([1]characters!$A:$A),MATCH(E$1,[1]characters!$1:$1,0)-MATCH($A$1,[1]characters!$1:$1,0)+1),MATCH(E$1,[1]characters!$1:$1,0)-MATCH($A$1,[1]characters!$1:$1,0)+1,FALSE)</f>
        <v>格好いい</v>
      </c>
      <c r="F4" s="57" t="str">
        <f ca="1">VLOOKUP($A4,OFFSET([1]characters!$A$1,0,0,COUNTA([1]characters!$A:$A),MATCH(F$1,[1]characters!$1:$1,0)-MATCH($A$1,[1]characters!$1:$1,0)+1),MATCH(F$1,[1]characters!$1:$1,0)-MATCH($A$1,[1]characters!$1:$1,0)+1,FALSE)</f>
        <v>女性</v>
      </c>
      <c r="G4" s="57">
        <f ca="1">VLOOKUP($A4,OFFSET([1]characters!$A$1,0,0,COUNTA([1]characters!$A:$A),MATCH(G$1,[1]characters!$1:$1,0)-MATCH($A$1,[1]characters!$1:$1,0)+1),MATCH(G$1,[1]characters!$1:$1,0)-MATCH($A$1,[1]characters!$1:$1,0)+1,FALSE)</f>
        <v>4</v>
      </c>
      <c r="H4" s="57" t="str">
        <f ca="1">VLOOKUP($A4,OFFSET([1]characters!$A$1,0,0,COUNTA([1]characters!$A:$A),MATCH(H$1,[1]characters!$1:$1,0)-MATCH($A$1,[1]characters!$1:$1,0)+1),MATCH(H$1,[1]characters!$1:$1,0)-MATCH($A$1,[1]characters!$1:$1,0)+1,FALSE)</f>
        <v>DropWizS</v>
      </c>
      <c r="I4" s="57" t="str">
        <f ca="1">VLOOKUP($A4,OFFSET([1]characters!$A$1,0,0,COUNTA([1]characters!$A:$A),MATCH(I$1,[1]characters!$1:$1,0)-MATCH($A$1,[1]characters!$1:$1,0)+1),MATCH(I$1,[1]characters!$1:$1,0)-MATCH($A$1,[1]characters!$1:$1,0)+1,FALSE)</f>
        <v>yellow</v>
      </c>
      <c r="J4" s="11">
        <f ca="1">VLOOKUP(I4,[1]属性!$A:$E,2,FALSE)</f>
        <v>0.98</v>
      </c>
      <c r="K4" s="11">
        <f ca="1">VLOOKUP(I4,[1]属性!$A:$E,3,FALSE)</f>
        <v>1.01</v>
      </c>
      <c r="L4" s="11">
        <f ca="1">VLOOKUP(I4,[1]属性!$A:$E,4,FALSE)</f>
        <v>1</v>
      </c>
      <c r="M4" s="11">
        <f ca="1">VLOOKUP(I4,[1]属性!$A:$E,5,FALSE)</f>
        <v>1.01</v>
      </c>
      <c r="N4" s="11">
        <f ca="1">INDEX(コスト!$A$1:$I$21,MATCH(H4,コスト!$A$1:$A$21,FALSE),MATCH(G4,コスト!$A$1:$I$1,FALSE))</f>
        <v>20</v>
      </c>
      <c r="O4" s="11">
        <f ca="1">INDEX(レベル!$A$1:$I$21,MATCH(H4,レベル!$A$1:$A$21,FALSE),MATCH(G4,レベル!$A$1:$I$1,FALSE))</f>
        <v>60</v>
      </c>
      <c r="P4" s="48">
        <f t="shared" ca="1" si="6"/>
        <v>60</v>
      </c>
      <c r="Q4" s="57" t="str">
        <f ca="1">VLOOKUP($A4,OFFSET([1]characters!$A$1,0,0,COUNTA([1]characters!$A:$A),MATCH(Q$1,[1]characters!$1:$1,0)-MATCH($A$1,[1]characters!$1:$1,0)+1),MATCH(Q$1,[1]characters!$1:$1,0)-MATCH($A$1,[1]characters!$1:$1,0)+1,FALSE)</f>
        <v>balance</v>
      </c>
      <c r="R4" s="5" t="str">
        <f ca="1">VLOOKUP(Q4,[1]character_type_i18n!$A:$H,3,FALSE)</f>
        <v>バランスタイプ</v>
      </c>
      <c r="S4" s="11">
        <f ca="1">VLOOKUP(Q4,[1]character_type_i18n!$A:$H,4,FALSE)</f>
        <v>1</v>
      </c>
      <c r="T4" s="11">
        <f ca="1">VLOOKUP(Q4,[1]character_type_i18n!$A:$H,5,FALSE)</f>
        <v>1</v>
      </c>
      <c r="U4" s="11">
        <f ca="1">VLOOKUP(Q4,[1]character_type_i18n!$A:$H,6,FALSE)</f>
        <v>1</v>
      </c>
      <c r="V4" s="11">
        <f ca="1">VLOOKUP(Q4,[1]character_type_i18n!$A:$H,7,FALSE)</f>
        <v>1</v>
      </c>
      <c r="W4" s="57" t="str">
        <f ca="1">VLOOKUP($A4,OFFSET([1]characters!$A$1,0,0,COUNTA([1]characters!$A:$A),MATCH(W$1,[1]characters!$1:$1,0)-MATCH($A$1,[1]characters!$1:$1,0)+1),MATCH(W$1,[1]characters!$1:$1,0)-MATCH($A$1,[1]characters!$1:$1,0)+1,FALSE)</f>
        <v>unknown</v>
      </c>
      <c r="X4" s="5" t="str">
        <f ca="1">VLOOKUP(W4,[1]character_tribe_i18n!$A:$H,3,FALSE)</f>
        <v>Unknown</v>
      </c>
      <c r="Y4" s="57" t="str">
        <f ca="1">VLOOKUP($A4,OFFSET([1]characters!$A$1,0,0,COUNTA([1]characters!$A:$A),MATCH(Y$1,[1]characters!$1:$1,0)-MATCH($A$1,[1]characters!$1:$1,0)+1),MATCH(Y$1,[1]characters!$1:$1,0)-MATCH($A$1,[1]characters!$1:$1,0)+1,FALSE)</f>
        <v>none</v>
      </c>
      <c r="Z4" s="5" t="str">
        <f ca="1">VLOOKUP(Y4,[1]character_tribe_i18n!$A:$H,3,FALSE)</f>
        <v>種族なし</v>
      </c>
      <c r="AA4" s="11">
        <f ca="1">VLOOKUP(W4,[1]character_tribe_i18n!$A:$H,4,FALSE)</f>
        <v>1</v>
      </c>
      <c r="AB4" s="11">
        <f ca="1">VLOOKUP(W4,[1]character_tribe_i18n!$A:$H,5,FALSE)</f>
        <v>1</v>
      </c>
      <c r="AC4" s="11">
        <f ca="1">VLOOKUP(W4,[1]character_tribe_i18n!$A:$H,6,FALSE)</f>
        <v>1</v>
      </c>
      <c r="AD4" s="11">
        <f ca="1">VLOOKUP(W4,[1]character_tribe_i18n!$A:$H,7,FALSE)</f>
        <v>1</v>
      </c>
      <c r="AE4" s="9">
        <f>A5</f>
        <v>528</v>
      </c>
      <c r="AF4" s="62" t="str">
        <f ca="1">IF(AE4="NULL","",VLOOKUP($AE4,OFFSET([1]characters!$A$1,0,0,COUNTA([1]characters!$A:$A),MATCH(AF$1,[1]characters!$1:$1,0)-MATCH($A$1,[1]characters!$1:$1,0)+1),MATCH(AF$1,[1]characters!$1:$1,0)-MATCH($A$1,[1]characters!$1:$1,0)+1,FALSE))</f>
        <v>新世の歌姫 初音ミクV3</v>
      </c>
      <c r="AG4" s="5">
        <f t="shared" ca="1" si="1"/>
        <v>527</v>
      </c>
      <c r="AH4" s="62" t="str">
        <f ca="1">VLOOKUP($AG4,OFFSET([1]characters!$A$1,0,0,COUNTA([1]characters!$A:$A),MATCH(AH$1,[1]characters!$1:$1,0)-MATCH($A$1,[1]characters!$1:$1,0)+1),MATCH(AH$1,[1]characters!$1:$1,0)-MATCH($A$1,[1]characters!$1:$1,0)+1,FALSE)</f>
        <v>初音ミクV3</v>
      </c>
      <c r="AI4" s="11">
        <f ca="1">IF(AE4="NULL","NULL",VLOOKUP(G4,ビット!$A$2:$B$7,2))</f>
        <v>50000</v>
      </c>
      <c r="AJ4" s="6">
        <v>2</v>
      </c>
      <c r="AK4" s="7" t="str">
        <f t="shared" si="7"/>
        <v>普通</v>
      </c>
      <c r="AL4" s="11" t="str">
        <f ca="1">INDEX(経験値!$A$1:$I$21,MATCH(H4,経験値!$A$1:$A$21,FALSE),MATCH(G4,経験値!$A$1:$I$1,FALSE))</f>
        <v>required_exp_200</v>
      </c>
      <c r="AM4" s="8">
        <f ca="1">VLOOKUP(G4,経験値!$A$28:$B$32,2)</f>
        <v>3400</v>
      </c>
      <c r="AN4" s="17">
        <f ca="1">VLOOKUP(G4,ビット!$G$2:$H$7,2)</f>
        <v>600</v>
      </c>
      <c r="AO4" s="45"/>
      <c r="AP4" s="67">
        <f t="shared" si="8"/>
        <v>527</v>
      </c>
      <c r="AQ4" s="57" t="str">
        <f ca="1">VLOOKUP($AP4,OFFSET(unit_skills!$A$1,0,0,COUNTA(unit_skills!$A:$A),MATCH(AQ$1,unit_skills!$1:$1,0)-MATCH($AP$1,unit_skills!$1:$1,0)+1),MATCH(AQ$1,unit_skills!$1:$1,0)-MATCH($AP$1,unit_skills!$1:$1,0)+1,FALSE)</f>
        <v>V3・インプルーヴ</v>
      </c>
      <c r="AR4" s="57" t="str">
        <f ca="1">VLOOKUP($AP4,OFFSET(unit_skills!$A$1,0,0,COUNTA(unit_skills!$A:$A),MATCH(AR$1,unit_skills!$1:$1,0)-MATCH($AP$1,unit_skills!$1:$1,0)+1),MATCH(AR$1,unit_skills!$1:$1,0)-MATCH($AP$1,unit_skills!$1:$1,0)+1,FALSE)</f>
        <v>SCパネルを3つ生成する</v>
      </c>
      <c r="AS4" s="57">
        <f ca="1">VLOOKUP($AP4,OFFSET(unit_skills!$A$1,0,0,COUNTA(unit_skills!$A:$A),MATCH(AS$1,unit_skills!$1:$1,0)-MATCH($AP$1,unit_skills!$1:$1,0)+1),MATCH(AS$1,unit_skills!$1:$1,0)-MATCH($AP$1,unit_skills!$1:$1,0)+1,FALSE)</f>
        <v>0</v>
      </c>
      <c r="AT4" s="41">
        <f t="shared" si="9"/>
        <v>527</v>
      </c>
      <c r="AU4" s="57" t="str">
        <f ca="1">VLOOKUP($AT4,OFFSET(crash_skills!$A$1,0,0,COUNTA(crash_skills!$A:$A),MATCH(AU$1,crash_skills!$1:$1,0)-MATCH($AT$1,crash_skills!$1:$1,0)+1),MATCH(AU$1,crash_skills!$1:$1,0)-MATCH($AT$1,crash_skills!$1:$1,0)+1,FALSE)</f>
        <v>ポリッシュト・ボイス</v>
      </c>
      <c r="AV4" s="57" t="str">
        <f ca="1">VLOOKUP($AT4,OFFSET(crash_skills!$A$1,0,0,COUNTA(crash_skills!$A:$A),MATCH(AV$1,crash_skills!$1:$1,0)-MATCH($AT$1,crash_skills!$1:$1,0)+1),MATCH(AV$1,crash_skills!$1:$1,0)-MATCH($AT$1,crash_skills!$1:$1,0)+1,FALSE)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4" s="57">
        <f ca="1">VLOOKUP($AT4,OFFSET(crash_skills!$A$1,0,0,COUNTA(crash_skills!$A:$A),MATCH(AW$1,crash_skills!$1:$1,0)-MATCH($AT$1,crash_skills!$1:$1,0)+1),MATCH(AW$1,crash_skills!$1:$1,0)-MATCH($AT$1,crash_skills!$1:$1,0)+1,FALSE)</f>
        <v>0</v>
      </c>
      <c r="AX4" s="58">
        <f ca="1">VLOOKUP($A4,OFFSET([1]characters!$A$1,0,0,COUNTA([1]characters!$A:$A),MATCH(AX$1,[1]characters!$1:$1,0)-MATCH($A$1,[1]characters!$1:$1,0)+1),MATCH(AX$1,[1]characters!$1:$1,0)-MATCH($A$1,[1]characters!$1:$1,0)+1,FALSE)</f>
        <v>3</v>
      </c>
      <c r="AY4" s="68">
        <v>0.95</v>
      </c>
      <c r="AZ4" s="68">
        <v>1.151</v>
      </c>
      <c r="BA4" s="68">
        <v>0</v>
      </c>
      <c r="BB4" s="68">
        <v>1.1499999999999999</v>
      </c>
      <c r="BC4" s="11">
        <f ca="1">INDEX('RC6SV'!$A$1:$G$21,MATCH(H4,'RC6SV'!$A$1:$A$21,FALSE),MATCH(G4,'RC6SV'!$A$1:$G$1,FALSE))</f>
        <v>7000</v>
      </c>
      <c r="BD4" s="48">
        <f t="shared" ca="1" si="10"/>
        <v>7000</v>
      </c>
      <c r="BE4" s="11">
        <f t="shared" ca="1" si="4"/>
        <v>0</v>
      </c>
      <c r="BF4" s="11">
        <f t="shared" ca="1" si="5"/>
        <v>1</v>
      </c>
      <c r="BG4" s="16">
        <f ca="1">IF($BE4&lt;=0,ROUND(BK4*0.5,0), ROUND($BE4*S4*AA4*J4*AY4*0.8*[1]ステータス!$B$2,0))</f>
        <v>1630</v>
      </c>
      <c r="BH4" s="16">
        <f ca="1">IF($BE4&lt;=0,ROUND(BL4*0.5,0), ROUND($BE4*T4*AB4*K4*AZ4*0.8*[1]ステータス!$C$2,0))</f>
        <v>1221</v>
      </c>
      <c r="BI4" s="16">
        <f ca="1">IF($BE4&lt;=0,ROUND(BM4*0.5,0), ROUND($BE4*U4*AC4*L4*BA4*0.8*[1]ステータス!$D$2,0))</f>
        <v>0</v>
      </c>
      <c r="BJ4" s="16">
        <f ca="1">IF($BE4&lt;=0,ROUND(BN4*0.5,0), ROUND($BE4*V4*AD4*M4*BB4*0.8*[1]ステータス!$E$2,0))</f>
        <v>1017</v>
      </c>
      <c r="BK4" s="11">
        <f ca="1">ROUND(BD4*S4*AA4*J4*AY4*[1]ステータス!$B$2,0)</f>
        <v>3259</v>
      </c>
      <c r="BL4" s="11">
        <f ca="1">ROUND(BD4*T4*AB4*K4*AZ4*[1]ステータス!$C$2,0)</f>
        <v>2441</v>
      </c>
      <c r="BM4" s="11">
        <f ca="1">ROUND(BD4*U4*AC4*L4*BA4*[1]ステータス!$D$2,0)</f>
        <v>0</v>
      </c>
      <c r="BN4" s="11">
        <f ca="1">ROUND(BD4*V4*AD4*M4*BB4*[1]ステータス!$E$2,0)</f>
        <v>2033</v>
      </c>
      <c r="BO4" s="10">
        <v>0</v>
      </c>
      <c r="BP4" s="10">
        <v>1</v>
      </c>
      <c r="BQ4" s="10" t="s">
        <v>47</v>
      </c>
      <c r="BR4" s="10">
        <f ca="1">VLOOKUP(H4,ghosts_label!$A$2:$B$19,2,FALSE)</f>
        <v>1</v>
      </c>
    </row>
    <row r="5" spans="1:70" ht="21" customHeight="1" x14ac:dyDescent="0.15">
      <c r="A5" s="134">
        <v>528</v>
      </c>
      <c r="B5" s="57" t="str">
        <f ca="1">VLOOKUP($A5,OFFSET([1]characters!$A$1,0,0,COUNTA([1]characters!$A:$A),MATCH(B$1,[1]characters!$1:$1,0)-MATCH($A$1,[1]characters!$1:$1,0)+1),MATCH(B$1,[1]characters!$1:$1,0)-MATCH($A$1,[1]characters!$1:$1,0)+1,FALSE)</f>
        <v>新世の歌姫 初音ミクV3</v>
      </c>
      <c r="C5" s="57" t="str">
        <f ca="1">VLOOKUP($A5,OFFSET([1]characters!$A$1,0,0,COUNTA([1]characters!$A:$A),MATCH(C$1,[1]characters!$1:$1,0)-MATCH($A$1,[1]characters!$1:$1,0)+1),MATCH(C$1,[1]characters!$1:$1,0)-MATCH($A$1,[1]characters!$1:$1,0)+1,FALSE)</f>
        <v>イベント:ミクコラボ01</v>
      </c>
      <c r="D5" s="57" t="str">
        <f ca="1">VLOOKUP($A5,OFFSET([1]characters!$A$1,0,0,COUNTA([1]characters!$A:$A),MATCH(D$1,[1]characters!$1:$1,0)-MATCH($A$1,[1]characters!$1:$1,0)+1),MATCH(D$1,[1]characters!$1:$1,0)-MATCH($A$1,[1]characters!$1:$1,0)+1,FALSE)</f>
        <v>執行者</v>
      </c>
      <c r="E5" s="57" t="str">
        <f ca="1">VLOOKUP($A5,OFFSET([1]characters!$A$1,0,0,COUNTA([1]characters!$A:$A),MATCH(E$1,[1]characters!$1:$1,0)-MATCH($A$1,[1]characters!$1:$1,0)+1),MATCH(E$1,[1]characters!$1:$1,0)-MATCH($A$1,[1]characters!$1:$1,0)+1,FALSE)</f>
        <v>格好いい</v>
      </c>
      <c r="F5" s="57" t="str">
        <f ca="1">VLOOKUP($A5,OFFSET([1]characters!$A$1,0,0,COUNTA([1]characters!$A:$A),MATCH(F$1,[1]characters!$1:$1,0)-MATCH($A$1,[1]characters!$1:$1,0)+1),MATCH(F$1,[1]characters!$1:$1,0)-MATCH($A$1,[1]characters!$1:$1,0)+1,FALSE)</f>
        <v>女性</v>
      </c>
      <c r="G5" s="57">
        <f ca="1">VLOOKUP($A5,OFFSET([1]characters!$A$1,0,0,COUNTA([1]characters!$A:$A),MATCH(G$1,[1]characters!$1:$1,0)-MATCH($A$1,[1]characters!$1:$1,0)+1),MATCH(G$1,[1]characters!$1:$1,0)-MATCH($A$1,[1]characters!$1:$1,0)+1,FALSE)</f>
        <v>5</v>
      </c>
      <c r="H5" s="57" t="str">
        <f ca="1">VLOOKUP($A5,OFFSET([1]characters!$A$1,0,0,COUNTA([1]characters!$A:$A),MATCH(H$1,[1]characters!$1:$1,0)-MATCH($A$1,[1]characters!$1:$1,0)+1),MATCH(H$1,[1]characters!$1:$1,0)-MATCH($A$1,[1]characters!$1:$1,0)+1,FALSE)</f>
        <v>DropWizS</v>
      </c>
      <c r="I5" s="57" t="str">
        <f ca="1">VLOOKUP($A5,OFFSET([1]characters!$A$1,0,0,COUNTA([1]characters!$A:$A),MATCH(I$1,[1]characters!$1:$1,0)-MATCH($A$1,[1]characters!$1:$1,0)+1),MATCH(I$1,[1]characters!$1:$1,0)-MATCH($A$1,[1]characters!$1:$1,0)+1,FALSE)</f>
        <v>yellow</v>
      </c>
      <c r="J5" s="11">
        <f ca="1">VLOOKUP(I5,[1]属性!$A:$E,2,FALSE)</f>
        <v>0.98</v>
      </c>
      <c r="K5" s="11">
        <f ca="1">VLOOKUP(I5,[1]属性!$A:$E,3,FALSE)</f>
        <v>1.01</v>
      </c>
      <c r="L5" s="11">
        <f ca="1">VLOOKUP(I5,[1]属性!$A:$E,4,FALSE)</f>
        <v>1</v>
      </c>
      <c r="M5" s="11">
        <f ca="1">VLOOKUP(I5,[1]属性!$A:$E,5,FALSE)</f>
        <v>1.01</v>
      </c>
      <c r="N5" s="11">
        <f ca="1">INDEX(コスト!$A$1:$I$21,MATCH(H5,コスト!$A$1:$A$21,FALSE),MATCH(G5,コスト!$A$1:$I$1,FALSE))</f>
        <v>30</v>
      </c>
      <c r="O5" s="11">
        <f ca="1">INDEX(レベル!$A$1:$I$21,MATCH(H5,レベル!$A$1:$A$21,FALSE),MATCH(G5,レベル!$A$1:$I$1,FALSE))</f>
        <v>80</v>
      </c>
      <c r="P5" s="48">
        <f t="shared" ref="P5:P22" ca="1" si="11">G5*15</f>
        <v>75</v>
      </c>
      <c r="Q5" s="57" t="str">
        <f ca="1">VLOOKUP($A5,OFFSET([1]characters!$A$1,0,0,COUNTA([1]characters!$A:$A),MATCH(Q$1,[1]characters!$1:$1,0)-MATCH($A$1,[1]characters!$1:$1,0)+1),MATCH(Q$1,[1]characters!$1:$1,0)-MATCH($A$1,[1]characters!$1:$1,0)+1,FALSE)</f>
        <v>balance</v>
      </c>
      <c r="R5" s="5" t="str">
        <f ca="1">VLOOKUP(Q5,[1]character_type_i18n!$A:$H,3,FALSE)</f>
        <v>バランスタイプ</v>
      </c>
      <c r="S5" s="11">
        <f ca="1">VLOOKUP(Q5,[1]character_type_i18n!$A:$H,4,FALSE)</f>
        <v>1</v>
      </c>
      <c r="T5" s="11">
        <f ca="1">VLOOKUP(Q5,[1]character_type_i18n!$A:$H,5,FALSE)</f>
        <v>1</v>
      </c>
      <c r="U5" s="11">
        <f ca="1">VLOOKUP(Q5,[1]character_type_i18n!$A:$H,6,FALSE)</f>
        <v>1</v>
      </c>
      <c r="V5" s="11">
        <f ca="1">VLOOKUP(Q5,[1]character_type_i18n!$A:$H,7,FALSE)</f>
        <v>1</v>
      </c>
      <c r="W5" s="57" t="str">
        <f ca="1">VLOOKUP($A5,OFFSET([1]characters!$A$1,0,0,COUNTA([1]characters!$A:$A),MATCH(W$1,[1]characters!$1:$1,0)-MATCH($A$1,[1]characters!$1:$1,0)+1),MATCH(W$1,[1]characters!$1:$1,0)-MATCH($A$1,[1]characters!$1:$1,0)+1,FALSE)</f>
        <v>unknown</v>
      </c>
      <c r="X5" s="5" t="str">
        <f ca="1">VLOOKUP(W5,[1]character_tribe_i18n!$A:$H,3,FALSE)</f>
        <v>Unknown</v>
      </c>
      <c r="Y5" s="57" t="str">
        <f ca="1">VLOOKUP($A5,OFFSET([1]characters!$A$1,0,0,COUNTA([1]characters!$A:$A),MATCH(Y$1,[1]characters!$1:$1,0)-MATCH($A$1,[1]characters!$1:$1,0)+1),MATCH(Y$1,[1]characters!$1:$1,0)-MATCH($A$1,[1]characters!$1:$1,0)+1,FALSE)</f>
        <v>none</v>
      </c>
      <c r="Z5" s="5" t="str">
        <f ca="1">VLOOKUP(Y5,[1]character_tribe_i18n!$A:$H,3,FALSE)</f>
        <v>種族なし</v>
      </c>
      <c r="AA5" s="11">
        <f ca="1">VLOOKUP(W5,[1]character_tribe_i18n!$A:$H,4,FALSE)</f>
        <v>1</v>
      </c>
      <c r="AB5" s="11">
        <f ca="1">VLOOKUP(W5,[1]character_tribe_i18n!$A:$H,5,FALSE)</f>
        <v>1</v>
      </c>
      <c r="AC5" s="11">
        <f ca="1">VLOOKUP(W5,[1]character_tribe_i18n!$A:$H,6,FALSE)</f>
        <v>1</v>
      </c>
      <c r="AD5" s="11">
        <f ca="1">VLOOKUP(W5,[1]character_tribe_i18n!$A:$H,7,FALSE)</f>
        <v>1</v>
      </c>
      <c r="AE5" s="9" t="s">
        <v>178</v>
      </c>
      <c r="AF5" s="62" t="str">
        <f ca="1">IF(AE5="NULL","",VLOOKUP($AE5,OFFSET([1]characters!$A$1,0,0,COUNTA([1]characters!$A:$A),MATCH(AF$1,[1]characters!$1:$1,0)-MATCH($A$1,[1]characters!$1:$1,0)+1),MATCH(AF$1,[1]characters!$1:$1,0)-MATCH($A$1,[1]characters!$1:$1,0)+1,FALSE))</f>
        <v/>
      </c>
      <c r="AG5" s="5">
        <f t="shared" ca="1" si="1"/>
        <v>527</v>
      </c>
      <c r="AH5" s="62" t="str">
        <f ca="1">VLOOKUP($AG5,OFFSET([1]characters!$A$1,0,0,COUNTA([1]characters!$A:$A),MATCH(AH$1,[1]characters!$1:$1,0)-MATCH($A$1,[1]characters!$1:$1,0)+1),MATCH(AH$1,[1]characters!$1:$1,0)-MATCH($A$1,[1]characters!$1:$1,0)+1,FALSE)</f>
        <v>初音ミクV3</v>
      </c>
      <c r="AI5" s="11" t="str">
        <f>IF(AE5="NULL","NULL",VLOOKUP(G5,ビット!$A$2:$B$7,2))</f>
        <v>NULL</v>
      </c>
      <c r="AJ5" s="6">
        <v>2</v>
      </c>
      <c r="AK5" s="7" t="str">
        <f t="shared" ref="AK5:AK22" si="12">IF(AJ5=1,"早熟",IF(AJ5=2,"普通",IF(AJ5=3,"晩成","")))</f>
        <v>普通</v>
      </c>
      <c r="AL5" s="11" t="str">
        <f ca="1">INDEX(経験値!$A$1:$I$21,MATCH(H5,経験値!$A$1:$A$21,FALSE),MATCH(G5,経験値!$A$1:$I$1,FALSE))</f>
        <v>required_exp_200</v>
      </c>
      <c r="AM5" s="8">
        <f ca="1">VLOOKUP(G5,経験値!$A$28:$B$32,2)</f>
        <v>6400</v>
      </c>
      <c r="AN5" s="17">
        <f ca="1">VLOOKUP(G5,ビット!$G$2:$H$7,2)</f>
        <v>900</v>
      </c>
      <c r="AO5" s="45"/>
      <c r="AP5" s="67">
        <f t="shared" si="8"/>
        <v>528</v>
      </c>
      <c r="AQ5" s="57" t="str">
        <f ca="1">VLOOKUP($AP5,OFFSET(unit_skills!$A$1,0,0,COUNTA(unit_skills!$A:$A),MATCH(AQ$1,unit_skills!$1:$1,0)-MATCH($AP$1,unit_skills!$1:$1,0)+1),MATCH(AQ$1,unit_skills!$1:$1,0)-MATCH($AP$1,unit_skills!$1:$1,0)+1,FALSE)</f>
        <v>V3・インプルーヴ</v>
      </c>
      <c r="AR5" s="57" t="str">
        <f ca="1">VLOOKUP($AP5,OFFSET(unit_skills!$A$1,0,0,COUNTA(unit_skills!$A:$A),MATCH(AR$1,unit_skills!$1:$1,0)-MATCH($AP$1,unit_skills!$1:$1,0)+1),MATCH(AR$1,unit_skills!$1:$1,0)-MATCH($AP$1,unit_skills!$1:$1,0)+1,FALSE)</f>
        <v>SCパネルを3つ生成する</v>
      </c>
      <c r="AS5" s="57">
        <f ca="1">VLOOKUP($AP5,OFFSET(unit_skills!$A$1,0,0,COUNTA(unit_skills!$A:$A),MATCH(AS$1,unit_skills!$1:$1,0)-MATCH($AP$1,unit_skills!$1:$1,0)+1),MATCH(AS$1,unit_skills!$1:$1,0)-MATCH($AP$1,unit_skills!$1:$1,0)+1,FALSE)</f>
        <v>0</v>
      </c>
      <c r="AT5" s="41">
        <f t="shared" si="9"/>
        <v>528</v>
      </c>
      <c r="AU5" s="57" t="str">
        <f ca="1">VLOOKUP($AT5,OFFSET(crash_skills!$A$1,0,0,COUNTA(crash_skills!$A:$A),MATCH(AU$1,crash_skills!$1:$1,0)-MATCH($AT$1,crash_skills!$1:$1,0)+1),MATCH(AU$1,crash_skills!$1:$1,0)-MATCH($AT$1,crash_skills!$1:$1,0)+1,FALSE)</f>
        <v>ポリッシュト・ボイス</v>
      </c>
      <c r="AV5" s="57" t="str">
        <f ca="1">VLOOKUP($AT5,OFFSET(crash_skills!$A$1,0,0,COUNTA(crash_skills!$A:$A),MATCH(AV$1,crash_skills!$1:$1,0)-MATCH($AT$1,crash_skills!$1:$1,0)+1),MATCH(AV$1,crash_skills!$1:$1,0)-MATCH($AT$1,crash_skills!$1:$1,0)+1,FALSE)</f>
        <v>自身の回復力に比例して_x000D_単体に大ダメージ</v>
      </c>
      <c r="AW5" s="57">
        <f ca="1">VLOOKUP($AT5,OFFSET(crash_skills!$A$1,0,0,COUNTA(crash_skills!$A:$A),MATCH(AW$1,crash_skills!$1:$1,0)-MATCH($AT$1,crash_skills!$1:$1,0)+1),MATCH(AW$1,crash_skills!$1:$1,0)-MATCH($AT$1,crash_skills!$1:$1,0)+1,FALSE)</f>
        <v>0</v>
      </c>
      <c r="AX5" s="58">
        <f ca="1">VLOOKUP($A5,OFFSET([1]characters!$A$1,0,0,COUNTA([1]characters!$A:$A),MATCH(AX$1,[1]characters!$1:$1,0)-MATCH($A$1,[1]characters!$1:$1,0)+1),MATCH(AX$1,[1]characters!$1:$1,0)-MATCH($A$1,[1]characters!$1:$1,0)+1,FALSE)</f>
        <v>3</v>
      </c>
      <c r="AY5" s="68">
        <v>0.95</v>
      </c>
      <c r="AZ5" s="68">
        <v>1.1144000000000001</v>
      </c>
      <c r="BA5" s="68">
        <v>0</v>
      </c>
      <c r="BB5" s="68">
        <v>1.1499999999999999</v>
      </c>
      <c r="BC5" s="11">
        <f ca="1">INDEX('RC6SV'!$A$1:$G$21,MATCH(H5,'RC6SV'!$A$1:$A$21,FALSE),MATCH(G5,'RC6SV'!$A$1:$G$1,FALSE))</f>
        <v>9000</v>
      </c>
      <c r="BD5" s="48">
        <f t="shared" ref="BD5:BD22" ca="1" si="13">ROUND(BC5*IF(AJ5=1,0.95,IF(AJ5=2,1,IF(AJ5,1.05,0))),0)</f>
        <v>9000</v>
      </c>
      <c r="BE5" s="11">
        <f t="shared" ca="1" si="4"/>
        <v>7000</v>
      </c>
      <c r="BF5" s="11">
        <f t="shared" ca="1" si="5"/>
        <v>1</v>
      </c>
      <c r="BG5" s="16">
        <f ca="1">IF($BE5&lt;=0,ROUND(BK5*0.5,0), ROUND($BE5*S5*AA5*J5*AY5*0.8*[1]ステータス!$B$2,0))</f>
        <v>2607</v>
      </c>
      <c r="BH5" s="16">
        <f ca="1">IF($BE5&lt;=0,ROUND(BL5*0.5,0), ROUND($BE5*T5*AB5*K5*AZ5*0.8*[1]ステータス!$C$2,0))</f>
        <v>1891</v>
      </c>
      <c r="BI5" s="16">
        <f ca="1">IF($BE5&lt;=0,ROUND(BM5*0.5,0), ROUND($BE5*U5*AC5*L5*BA5*0.8*[1]ステータス!$D$2,0))</f>
        <v>0</v>
      </c>
      <c r="BJ5" s="16">
        <f ca="1">IF($BE5&lt;=0,ROUND(BN5*0.5,0), ROUND($BE5*V5*AD5*M5*BB5*0.8*[1]ステータス!$E$2,0))</f>
        <v>1626</v>
      </c>
      <c r="BK5" s="11">
        <f ca="1">ROUND(BD5*S5*AA5*J5*AY5*[1]ステータス!$B$2,0)</f>
        <v>4190</v>
      </c>
      <c r="BL5" s="11">
        <f ca="1">ROUND(BD5*T5*AB5*K5*AZ5*[1]ステータス!$C$2,0)</f>
        <v>3039</v>
      </c>
      <c r="BM5" s="11">
        <f ca="1">ROUND(BD5*U5*AC5*L5*BA5*[1]ステータス!$D$2,0)</f>
        <v>0</v>
      </c>
      <c r="BN5" s="11">
        <f ca="1">ROUND(BD5*V5*AD5*M5*BB5*[1]ステータス!$E$2,0)</f>
        <v>2613</v>
      </c>
      <c r="BO5" s="10">
        <v>0</v>
      </c>
      <c r="BP5" s="10">
        <v>1</v>
      </c>
      <c r="BQ5" s="10" t="s">
        <v>47</v>
      </c>
      <c r="BR5" s="10">
        <f ca="1">VLOOKUP(H5,ghosts_label!$A$2:$B$19,2,FALSE)</f>
        <v>1</v>
      </c>
    </row>
    <row r="6" spans="1:70" ht="21" customHeight="1" x14ac:dyDescent="0.15">
      <c r="A6" s="134">
        <v>529</v>
      </c>
      <c r="B6" s="57" t="str">
        <f ca="1">VLOOKUP($A6,OFFSET([1]characters!$A$1,0,0,COUNTA([1]characters!$A:$A),MATCH(B$1,[1]characters!$1:$1,0)-MATCH($A$1,[1]characters!$1:$1,0)+1),MATCH(B$1,[1]characters!$1:$1,0)-MATCH($A$1,[1]characters!$1:$1,0)+1,FALSE)</f>
        <v>冬服ジェリー</v>
      </c>
      <c r="C6" s="57" t="str">
        <f ca="1">VLOOKUP($A6,OFFSET([1]characters!$A$1,0,0,COUNTA([1]characters!$A:$A),MATCH(C$1,[1]characters!$1:$1,0)-MATCH($A$1,[1]characters!$1:$1,0)+1),MATCH(C$1,[1]characters!$1:$1,0)-MATCH($A$1,[1]characters!$1:$1,0)+1,FALSE)</f>
        <v>イベント:ミクコラボ01</v>
      </c>
      <c r="D6" s="57" t="str">
        <f ca="1">VLOOKUP($A6,OFFSET([1]characters!$A$1,0,0,COUNTA([1]characters!$A:$A),MATCH(D$1,[1]characters!$1:$1,0)-MATCH($A$1,[1]characters!$1:$1,0)+1),MATCH(D$1,[1]characters!$1:$1,0)-MATCH($A$1,[1]characters!$1:$1,0)+1,FALSE)</f>
        <v>執行者</v>
      </c>
      <c r="E6" s="57" t="str">
        <f ca="1">VLOOKUP($A6,OFFSET([1]characters!$A$1,0,0,COUNTA([1]characters!$A:$A),MATCH(E$1,[1]characters!$1:$1,0)-MATCH($A$1,[1]characters!$1:$1,0)+1),MATCH(E$1,[1]characters!$1:$1,0)-MATCH($A$1,[1]characters!$1:$1,0)+1,FALSE)</f>
        <v>格好いい</v>
      </c>
      <c r="F6" s="57" t="str">
        <f ca="1">VLOOKUP($A6,OFFSET([1]characters!$A$1,0,0,COUNTA([1]characters!$A:$A),MATCH(F$1,[1]characters!$1:$1,0)-MATCH($A$1,[1]characters!$1:$1,0)+1),MATCH(F$1,[1]characters!$1:$1,0)-MATCH($A$1,[1]characters!$1:$1,0)+1,FALSE)</f>
        <v>不明</v>
      </c>
      <c r="G6" s="57">
        <f ca="1">VLOOKUP($A6,OFFSET([1]characters!$A$1,0,0,COUNTA([1]characters!$A:$A),MATCH(G$1,[1]characters!$1:$1,0)-MATCH($A$1,[1]characters!$1:$1,0)+1),MATCH(G$1,[1]characters!$1:$1,0)-MATCH($A$1,[1]characters!$1:$1,0)+1,FALSE)</f>
        <v>1</v>
      </c>
      <c r="H6" s="57" t="str">
        <f ca="1">VLOOKUP($A6,OFFSET([1]characters!$A$1,0,0,COUNTA([1]characters!$A:$A),MATCH(H$1,[1]characters!$1:$1,0)-MATCH($A$1,[1]characters!$1:$1,0)+1),MATCH(H$1,[1]characters!$1:$1,0)-MATCH($A$1,[1]characters!$1:$1,0)+1,FALSE)</f>
        <v>Drop1T</v>
      </c>
      <c r="I6" s="57" t="str">
        <f ca="1">VLOOKUP($A6,OFFSET([1]characters!$A$1,0,0,COUNTA([1]characters!$A:$A),MATCH(I$1,[1]characters!$1:$1,0)-MATCH($A$1,[1]characters!$1:$1,0)+1),MATCH(I$1,[1]characters!$1:$1,0)-MATCH($A$1,[1]characters!$1:$1,0)+1,FALSE)</f>
        <v>red</v>
      </c>
      <c r="J6" s="11">
        <f ca="1">VLOOKUP(I6,[1]属性!$A:$E,2,FALSE)</f>
        <v>1</v>
      </c>
      <c r="K6" s="11">
        <f ca="1">VLOOKUP(I6,[1]属性!$A:$E,3,FALSE)</f>
        <v>1.02</v>
      </c>
      <c r="L6" s="11">
        <f ca="1">VLOOKUP(I6,[1]属性!$A:$E,4,FALSE)</f>
        <v>1</v>
      </c>
      <c r="M6" s="11">
        <f ca="1">VLOOKUP(I6,[1]属性!$A:$E,5,FALSE)</f>
        <v>0.98</v>
      </c>
      <c r="N6" s="11">
        <f ca="1">INDEX(コスト!$A$1:$I$21,MATCH(H6,コスト!$A$1:$A$21,FALSE),MATCH(G6,コスト!$A$1:$I$1,FALSE))</f>
        <v>1</v>
      </c>
      <c r="O6" s="11">
        <f ca="1">INDEX(レベル!$A$1:$I$21,MATCH(H6,レベル!$A$1:$A$21,FALSE),MATCH(G6,レベル!$A$1:$I$1,FALSE))</f>
        <v>10</v>
      </c>
      <c r="P6" s="48">
        <f t="shared" ca="1" si="11"/>
        <v>15</v>
      </c>
      <c r="Q6" s="57" t="str">
        <f ca="1">VLOOKUP($A6,OFFSET([1]characters!$A$1,0,0,COUNTA([1]characters!$A:$A),MATCH(Q$1,[1]characters!$1:$1,0)-MATCH($A$1,[1]characters!$1:$1,0)+1),MATCH(Q$1,[1]characters!$1:$1,0)-MATCH($A$1,[1]characters!$1:$1,0)+1,FALSE)</f>
        <v>attack</v>
      </c>
      <c r="R6" s="5" t="str">
        <f ca="1">VLOOKUP(Q6,[1]character_type_i18n!$A:$H,3,FALSE)</f>
        <v>攻撃タイプ</v>
      </c>
      <c r="S6" s="11">
        <f ca="1">VLOOKUP(Q6,[1]character_type_i18n!$A:$H,4,FALSE)</f>
        <v>1</v>
      </c>
      <c r="T6" s="11">
        <f ca="1">VLOOKUP(Q6,[1]character_type_i18n!$A:$H,5,FALSE)</f>
        <v>1.33</v>
      </c>
      <c r="U6" s="11">
        <f ca="1">VLOOKUP(Q6,[1]character_type_i18n!$A:$H,6,FALSE)</f>
        <v>1</v>
      </c>
      <c r="V6" s="11">
        <f ca="1">VLOOKUP(Q6,[1]character_type_i18n!$A:$H,7,FALSE)</f>
        <v>0.67</v>
      </c>
      <c r="W6" s="57" t="str">
        <f ca="1">VLOOKUP($A6,OFFSET([1]characters!$A$1,0,0,COUNTA([1]characters!$A:$A),MATCH(W$1,[1]characters!$1:$1,0)-MATCH($A$1,[1]characters!$1:$1,0)+1),MATCH(W$1,[1]characters!$1:$1,0)-MATCH($A$1,[1]characters!$1:$1,0)+1,FALSE)</f>
        <v>unknown</v>
      </c>
      <c r="X6" s="5" t="str">
        <f ca="1">VLOOKUP(W6,[1]character_tribe_i18n!$A:$H,3,FALSE)</f>
        <v>Unknown</v>
      </c>
      <c r="Y6" s="57" t="str">
        <f ca="1">VLOOKUP($A6,OFFSET([1]characters!$A$1,0,0,COUNTA([1]characters!$A:$A),MATCH(Y$1,[1]characters!$1:$1,0)-MATCH($A$1,[1]characters!$1:$1,0)+1),MATCH(Y$1,[1]characters!$1:$1,0)-MATCH($A$1,[1]characters!$1:$1,0)+1,FALSE)</f>
        <v>none</v>
      </c>
      <c r="Z6" s="5" t="str">
        <f ca="1">VLOOKUP(Y6,[1]character_tribe_i18n!$A:$H,3,FALSE)</f>
        <v>種族なし</v>
      </c>
      <c r="AA6" s="11">
        <f ca="1">VLOOKUP(W6,[1]character_tribe_i18n!$A:$H,4,FALSE)</f>
        <v>1</v>
      </c>
      <c r="AB6" s="11">
        <f ca="1">VLOOKUP(W6,[1]character_tribe_i18n!$A:$H,5,FALSE)</f>
        <v>1</v>
      </c>
      <c r="AC6" s="11">
        <f ca="1">VLOOKUP(W6,[1]character_tribe_i18n!$A:$H,6,FALSE)</f>
        <v>1</v>
      </c>
      <c r="AD6" s="11">
        <f ca="1">VLOOKUP(W6,[1]character_tribe_i18n!$A:$H,7,FALSE)</f>
        <v>1</v>
      </c>
      <c r="AE6" s="9" t="s">
        <v>178</v>
      </c>
      <c r="AF6" s="62" t="str">
        <f ca="1">IF(AE6="NULL","",VLOOKUP($AE6,OFFSET([1]characters!$A$1,0,0,COUNTA([1]characters!$A:$A),MATCH(AF$1,[1]characters!$1:$1,0)-MATCH($A$1,[1]characters!$1:$1,0)+1),MATCH(AF$1,[1]characters!$1:$1,0)-MATCH($A$1,[1]characters!$1:$1,0)+1,FALSE))</f>
        <v/>
      </c>
      <c r="AG6" s="5">
        <v>1</v>
      </c>
      <c r="AH6" s="62" t="str">
        <f ca="1">VLOOKUP($AG6,OFFSET([1]characters!$A$1,0,0,COUNTA([1]characters!$A:$A),MATCH(AH$1,[1]characters!$1:$1,0)-MATCH($A$1,[1]characters!$1:$1,0)+1),MATCH(AH$1,[1]characters!$1:$1,0)-MATCH($A$1,[1]characters!$1:$1,0)+1,FALSE)</f>
        <v>ジェリー</v>
      </c>
      <c r="AI6" s="11" t="str">
        <f>IF(AE6="NULL","NULL",VLOOKUP(G6,ビット!$A$2:$B$7,2))</f>
        <v>NULL</v>
      </c>
      <c r="AJ6" s="6">
        <v>2</v>
      </c>
      <c r="AK6" s="7" t="str">
        <f t="shared" si="12"/>
        <v>普通</v>
      </c>
      <c r="AL6" s="11" t="str">
        <f ca="1">INDEX(経験値!$A$1:$I$21,MATCH(H6,経験値!$A$1:$A$21,FALSE),MATCH(G6,経験値!$A$1:$I$1,FALSE))</f>
        <v>required_exp_50</v>
      </c>
      <c r="AM6" s="8">
        <f ca="1">VLOOKUP(G6,経験値!$A$28:$B$32,2)</f>
        <v>200</v>
      </c>
      <c r="AN6" s="17">
        <f ca="1">VLOOKUP(G6,ビット!$G$2:$H$7,2)</f>
        <v>75</v>
      </c>
      <c r="AO6" s="45"/>
      <c r="AP6" s="67">
        <f t="shared" si="8"/>
        <v>529</v>
      </c>
      <c r="AQ6" s="57" t="str">
        <f ca="1">VLOOKUP($AP6,OFFSET(unit_skills!$A$1,0,0,COUNTA(unit_skills!$A:$A),MATCH(AQ$1,unit_skills!$1:$1,0)-MATCH($AP$1,unit_skills!$1:$1,0)+1),MATCH(AQ$1,unit_skills!$1:$1,0)-MATCH($AP$1,unit_skills!$1:$1,0)+1,FALSE)</f>
        <v>スノウフレイム</v>
      </c>
      <c r="AR6" s="57" t="str">
        <f ca="1">VLOOKUP($AP6,OFFSET(unit_skills!$A$1,0,0,COUNTA(unit_skills!$A:$A),MATCH(AR$1,unit_skills!$1:$1,0)-MATCH($AP$1,unit_skills!$1:$1,0)+1),MATCH(AR$1,unit_skills!$1:$1,0)-MATCH($AP$1,unit_skills!$1:$1,0)+1,FALSE)</f>
        <v>全体に赤属性の小ダメージ</v>
      </c>
      <c r="AS6" s="57">
        <f ca="1">VLOOKUP($AP6,OFFSET(unit_skills!$A$1,0,0,COUNTA(unit_skills!$A:$A),MATCH(AS$1,unit_skills!$1:$1,0)-MATCH($AP$1,unit_skills!$1:$1,0)+1),MATCH(AS$1,unit_skills!$1:$1,0)-MATCH($AP$1,unit_skills!$1:$1,0)+1,FALSE)</f>
        <v>0</v>
      </c>
      <c r="AT6" s="41">
        <f t="shared" si="9"/>
        <v>529</v>
      </c>
      <c r="AU6" s="57" t="str">
        <f ca="1">VLOOKUP($AT6,OFFSET(crash_skills!$A$1,0,0,COUNTA(crash_skills!$A:$A),MATCH(AU$1,crash_skills!$1:$1,0)-MATCH($AT$1,crash_skills!$1:$1,0)+1),MATCH(AU$1,crash_skills!$1:$1,0)-MATCH($AT$1,crash_skills!$1:$1,0)+1,FALSE)</f>
        <v>ウィンターフレイム</v>
      </c>
      <c r="AV6" s="57" t="str">
        <f ca="1">VLOOKUP($AT6,OFFSET(crash_skills!$A$1,0,0,COUNTA(crash_skills!$A:$A),MATCH(AV$1,crash_skills!$1:$1,0)-MATCH($AT$1,crash_skills!$1:$1,0)+1),MATCH(AV$1,crash_skills!$1:$1,0)-MATCH($AT$1,crash_skills!$1:$1,0)+1,FALSE)</f>
        <v>1体に小ダメージ</v>
      </c>
      <c r="AW6" s="57">
        <f ca="1">VLOOKUP($AT6,OFFSET(crash_skills!$A$1,0,0,COUNTA(crash_skills!$A:$A),MATCH(AW$1,crash_skills!$1:$1,0)-MATCH($AT$1,crash_skills!$1:$1,0)+1),MATCH(AW$1,crash_skills!$1:$1,0)-MATCH($AT$1,crash_skills!$1:$1,0)+1,FALSE)</f>
        <v>0</v>
      </c>
      <c r="AX6" s="58">
        <f ca="1">VLOOKUP($A6,OFFSET([1]characters!$A$1,0,0,COUNTA([1]characters!$A:$A),MATCH(AX$1,[1]characters!$1:$1,0)-MATCH($A$1,[1]characters!$1:$1,0)+1),MATCH(AX$1,[1]characters!$1:$1,0)-MATCH($A$1,[1]characters!$1:$1,0)+1,FALSE)</f>
        <v>3</v>
      </c>
      <c r="AY6" s="68">
        <v>1</v>
      </c>
      <c r="AZ6" s="68">
        <v>1</v>
      </c>
      <c r="BA6" s="68">
        <v>0</v>
      </c>
      <c r="BB6" s="68">
        <v>1</v>
      </c>
      <c r="BC6" s="11">
        <f ca="1">INDEX('RC6SV'!$A$1:$G$21,MATCH(H6,'RC6SV'!$A$1:$A$21,FALSE),MATCH(G6,'RC6SV'!$A$1:$G$1,FALSE))</f>
        <v>1500</v>
      </c>
      <c r="BD6" s="48">
        <f t="shared" ca="1" si="13"/>
        <v>1500</v>
      </c>
      <c r="BE6" s="11">
        <f t="shared" ca="1" si="4"/>
        <v>0</v>
      </c>
      <c r="BF6" s="11">
        <f t="shared" ca="1" si="5"/>
        <v>1</v>
      </c>
      <c r="BG6" s="16">
        <f ca="1">IF($BE6&lt;=0,ROUND(BK6*0.5,0), ROUND($BE6*S6*AA6*J6*AY6*0.8*[1]ステータス!$B$2,0))</f>
        <v>375</v>
      </c>
      <c r="BH6" s="16">
        <f ca="1">IF($BE6&lt;=0,ROUND(BL6*0.5,0), ROUND($BE6*T6*AB6*K6*AZ6*0.8*[1]ステータス!$C$2,0))</f>
        <v>305</v>
      </c>
      <c r="BI6" s="16">
        <f ca="1">IF($BE6&lt;=0,ROUND(BM6*0.5,0), ROUND($BE6*U6*AC6*L6*BA6*0.8*[1]ステータス!$D$2,0))</f>
        <v>0</v>
      </c>
      <c r="BJ6" s="16">
        <f ca="1">IF($BE6&lt;=0,ROUND(BN6*0.5,0), ROUND($BE6*V6*AD6*M6*BB6*0.8*[1]ステータス!$E$2,0))</f>
        <v>123</v>
      </c>
      <c r="BK6" s="11">
        <f ca="1">ROUND(BD6*S6*AA6*J6*AY6*[1]ステータス!$B$2,0)</f>
        <v>750</v>
      </c>
      <c r="BL6" s="11">
        <f ca="1">ROUND(BD6*T6*AB6*K6*AZ6*[1]ステータス!$C$2,0)</f>
        <v>610</v>
      </c>
      <c r="BM6" s="11">
        <f ca="1">ROUND(BD6*U6*AC6*L6*BA6*[1]ステータス!$D$2,0)</f>
        <v>0</v>
      </c>
      <c r="BN6" s="11">
        <f ca="1">ROUND(BD6*V6*AD6*M6*BB6*[1]ステータス!$E$2,0)</f>
        <v>246</v>
      </c>
      <c r="BO6" s="10">
        <v>0</v>
      </c>
      <c r="BP6" s="10">
        <v>1</v>
      </c>
      <c r="BQ6" s="10" t="s">
        <v>47</v>
      </c>
      <c r="BR6" s="10">
        <f ca="1">VLOOKUP(H6,ghosts_label!$A$2:$B$19,2,FALSE)</f>
        <v>1</v>
      </c>
    </row>
    <row r="7" spans="1:70" ht="21" customHeight="1" x14ac:dyDescent="0.15">
      <c r="A7" s="134">
        <v>530</v>
      </c>
      <c r="B7" s="57" t="str">
        <f ca="1">VLOOKUP($A7,OFFSET([1]characters!$A$1,0,0,COUNTA([1]characters!$A:$A),MATCH(B$1,[1]characters!$1:$1,0)-MATCH($A$1,[1]characters!$1:$1,0)+1),MATCH(B$1,[1]characters!$1:$1,0)-MATCH($A$1,[1]characters!$1:$1,0)+1,FALSE)</f>
        <v>冬服ジョー</v>
      </c>
      <c r="C7" s="57" t="str">
        <f ca="1">VLOOKUP($A7,OFFSET([1]characters!$A$1,0,0,COUNTA([1]characters!$A:$A),MATCH(C$1,[1]characters!$1:$1,0)-MATCH($A$1,[1]characters!$1:$1,0)+1),MATCH(C$1,[1]characters!$1:$1,0)-MATCH($A$1,[1]characters!$1:$1,0)+1,FALSE)</f>
        <v>イベント:ミクコラボ01</v>
      </c>
      <c r="D7" s="57" t="str">
        <f ca="1">VLOOKUP($A7,OFFSET([1]characters!$A$1,0,0,COUNTA([1]characters!$A:$A),MATCH(D$1,[1]characters!$1:$1,0)-MATCH($A$1,[1]characters!$1:$1,0)+1),MATCH(D$1,[1]characters!$1:$1,0)-MATCH($A$1,[1]characters!$1:$1,0)+1,FALSE)</f>
        <v>執行者</v>
      </c>
      <c r="E7" s="57" t="str">
        <f ca="1">VLOOKUP($A7,OFFSET([1]characters!$A$1,0,0,COUNTA([1]characters!$A:$A),MATCH(E$1,[1]characters!$1:$1,0)-MATCH($A$1,[1]characters!$1:$1,0)+1),MATCH(E$1,[1]characters!$1:$1,0)-MATCH($A$1,[1]characters!$1:$1,0)+1,FALSE)</f>
        <v>格好いい</v>
      </c>
      <c r="F7" s="57" t="str">
        <f ca="1">VLOOKUP($A7,OFFSET([1]characters!$A$1,0,0,COUNTA([1]characters!$A:$A),MATCH(F$1,[1]characters!$1:$1,0)-MATCH($A$1,[1]characters!$1:$1,0)+1),MATCH(F$1,[1]characters!$1:$1,0)-MATCH($A$1,[1]characters!$1:$1,0)+1,FALSE)</f>
        <v>不明</v>
      </c>
      <c r="G7" s="57">
        <f ca="1">VLOOKUP($A7,OFFSET([1]characters!$A$1,0,0,COUNTA([1]characters!$A:$A),MATCH(G$1,[1]characters!$1:$1,0)-MATCH($A$1,[1]characters!$1:$1,0)+1),MATCH(G$1,[1]characters!$1:$1,0)-MATCH($A$1,[1]characters!$1:$1,0)+1,FALSE)</f>
        <v>1</v>
      </c>
      <c r="H7" s="57" t="str">
        <f ca="1">VLOOKUP($A7,OFFSET([1]characters!$A$1,0,0,COUNTA([1]characters!$A:$A),MATCH(H$1,[1]characters!$1:$1,0)-MATCH($A$1,[1]characters!$1:$1,0)+1),MATCH(H$1,[1]characters!$1:$1,0)-MATCH($A$1,[1]characters!$1:$1,0)+1,FALSE)</f>
        <v>Drop1T</v>
      </c>
      <c r="I7" s="57" t="str">
        <f ca="1">VLOOKUP($A7,OFFSET([1]characters!$A$1,0,0,COUNTA([1]characters!$A:$A),MATCH(I$1,[1]characters!$1:$1,0)-MATCH($A$1,[1]characters!$1:$1,0)+1),MATCH(I$1,[1]characters!$1:$1,0)-MATCH($A$1,[1]characters!$1:$1,0)+1,FALSE)</f>
        <v>green</v>
      </c>
      <c r="J7" s="11">
        <f ca="1">VLOOKUP(I7,[1]属性!$A:$E,2,FALSE)</f>
        <v>1.02</v>
      </c>
      <c r="K7" s="11">
        <f ca="1">VLOOKUP(I7,[1]属性!$A:$E,3,FALSE)</f>
        <v>0.98</v>
      </c>
      <c r="L7" s="11">
        <f ca="1">VLOOKUP(I7,[1]属性!$A:$E,4,FALSE)</f>
        <v>1</v>
      </c>
      <c r="M7" s="11">
        <f ca="1">VLOOKUP(I7,[1]属性!$A:$E,5,FALSE)</f>
        <v>1</v>
      </c>
      <c r="N7" s="11">
        <f ca="1">INDEX(コスト!$A$1:$I$21,MATCH(H7,コスト!$A$1:$A$21,FALSE),MATCH(G7,コスト!$A$1:$I$1,FALSE))</f>
        <v>1</v>
      </c>
      <c r="O7" s="11">
        <f ca="1">INDEX(レベル!$A$1:$I$21,MATCH(H7,レベル!$A$1:$A$21,FALSE),MATCH(G7,レベル!$A$1:$I$1,FALSE))</f>
        <v>10</v>
      </c>
      <c r="P7" s="48">
        <f t="shared" ca="1" si="11"/>
        <v>15</v>
      </c>
      <c r="Q7" s="57" t="str">
        <f ca="1">VLOOKUP($A7,OFFSET([1]characters!$A$1,0,0,COUNTA([1]characters!$A:$A),MATCH(Q$1,[1]characters!$1:$1,0)-MATCH($A$1,[1]characters!$1:$1,0)+1),MATCH(Q$1,[1]characters!$1:$1,0)-MATCH($A$1,[1]characters!$1:$1,0)+1,FALSE)</f>
        <v>balance</v>
      </c>
      <c r="R7" s="5" t="str">
        <f ca="1">VLOOKUP(Q7,[1]character_type_i18n!$A:$H,3,FALSE)</f>
        <v>バランスタイプ</v>
      </c>
      <c r="S7" s="11">
        <f ca="1">VLOOKUP(Q7,[1]character_type_i18n!$A:$H,4,FALSE)</f>
        <v>1</v>
      </c>
      <c r="T7" s="11">
        <f ca="1">VLOOKUP(Q7,[1]character_type_i18n!$A:$H,5,FALSE)</f>
        <v>1</v>
      </c>
      <c r="U7" s="11">
        <f ca="1">VLOOKUP(Q7,[1]character_type_i18n!$A:$H,6,FALSE)</f>
        <v>1</v>
      </c>
      <c r="V7" s="11">
        <f ca="1">VLOOKUP(Q7,[1]character_type_i18n!$A:$H,7,FALSE)</f>
        <v>1</v>
      </c>
      <c r="W7" s="57" t="str">
        <f ca="1">VLOOKUP($A7,OFFSET([1]characters!$A$1,0,0,COUNTA([1]characters!$A:$A),MATCH(W$1,[1]characters!$1:$1,0)-MATCH($A$1,[1]characters!$1:$1,0)+1),MATCH(W$1,[1]characters!$1:$1,0)-MATCH($A$1,[1]characters!$1:$1,0)+1,FALSE)</f>
        <v>unknown</v>
      </c>
      <c r="X7" s="5" t="str">
        <f ca="1">VLOOKUP(W7,[1]character_tribe_i18n!$A:$H,3,FALSE)</f>
        <v>Unknown</v>
      </c>
      <c r="Y7" s="57" t="str">
        <f ca="1">VLOOKUP($A7,OFFSET([1]characters!$A$1,0,0,COUNTA([1]characters!$A:$A),MATCH(Y$1,[1]characters!$1:$1,0)-MATCH($A$1,[1]characters!$1:$1,0)+1),MATCH(Y$1,[1]characters!$1:$1,0)-MATCH($A$1,[1]characters!$1:$1,0)+1,FALSE)</f>
        <v>none</v>
      </c>
      <c r="Z7" s="5" t="str">
        <f ca="1">VLOOKUP(Y7,[1]character_tribe_i18n!$A:$H,3,FALSE)</f>
        <v>種族なし</v>
      </c>
      <c r="AA7" s="11">
        <f ca="1">VLOOKUP(W7,[1]character_tribe_i18n!$A:$H,4,FALSE)</f>
        <v>1</v>
      </c>
      <c r="AB7" s="11">
        <f ca="1">VLOOKUP(W7,[1]character_tribe_i18n!$A:$H,5,FALSE)</f>
        <v>1</v>
      </c>
      <c r="AC7" s="11">
        <f ca="1">VLOOKUP(W7,[1]character_tribe_i18n!$A:$H,6,FALSE)</f>
        <v>1</v>
      </c>
      <c r="AD7" s="11">
        <f ca="1">VLOOKUP(W7,[1]character_tribe_i18n!$A:$H,7,FALSE)</f>
        <v>1</v>
      </c>
      <c r="AE7" s="9" t="s">
        <v>178</v>
      </c>
      <c r="AF7" s="62" t="str">
        <f ca="1">IF(AE7="NULL","",VLOOKUP($AE7,OFFSET([1]characters!$A$1,0,0,COUNTA([1]characters!$A:$A),MATCH(AF$1,[1]characters!$1:$1,0)-MATCH($A$1,[1]characters!$1:$1,0)+1),MATCH(AF$1,[1]characters!$1:$1,0)-MATCH($A$1,[1]characters!$1:$1,0)+1,FALSE))</f>
        <v/>
      </c>
      <c r="AG7" s="5">
        <v>3</v>
      </c>
      <c r="AH7" s="62" t="str">
        <f ca="1">VLOOKUP($AG7,OFFSET([1]characters!$A$1,0,0,COUNTA([1]characters!$A:$A),MATCH(AH$1,[1]characters!$1:$1,0)-MATCH($A$1,[1]characters!$1:$1,0)+1),MATCH(AH$1,[1]characters!$1:$1,0)-MATCH($A$1,[1]characters!$1:$1,0)+1,FALSE)</f>
        <v>エージェント ジョー</v>
      </c>
      <c r="AI7" s="11" t="str">
        <f>IF(AE7="NULL","NULL",VLOOKUP(G7,ビット!$A$2:$B$7,2))</f>
        <v>NULL</v>
      </c>
      <c r="AJ7" s="6">
        <v>2</v>
      </c>
      <c r="AK7" s="7" t="str">
        <f t="shared" si="12"/>
        <v>普通</v>
      </c>
      <c r="AL7" s="11" t="str">
        <f ca="1">INDEX(経験値!$A$1:$I$21,MATCH(H7,経験値!$A$1:$A$21,FALSE),MATCH(G7,経験値!$A$1:$I$1,FALSE))</f>
        <v>required_exp_50</v>
      </c>
      <c r="AM7" s="8">
        <f ca="1">VLOOKUP(G7,経験値!$A$28:$B$32,2)</f>
        <v>200</v>
      </c>
      <c r="AN7" s="17">
        <f ca="1">VLOOKUP(G7,ビット!$G$2:$H$7,2)</f>
        <v>75</v>
      </c>
      <c r="AO7" s="45"/>
      <c r="AP7" s="67">
        <f t="shared" si="8"/>
        <v>530</v>
      </c>
      <c r="AQ7" s="57" t="str">
        <f ca="1">VLOOKUP($AP7,OFFSET(unit_skills!$A$1,0,0,COUNTA(unit_skills!$A:$A),MATCH(AQ$1,unit_skills!$1:$1,0)-MATCH($AP$1,unit_skills!$1:$1,0)+1),MATCH(AQ$1,unit_skills!$1:$1,0)-MATCH($AP$1,unit_skills!$1:$1,0)+1,FALSE)</f>
        <v>インテリスノウ</v>
      </c>
      <c r="AR7" s="57" t="str">
        <f ca="1">VLOOKUP($AP7,OFFSET(unit_skills!$A$1,0,0,COUNTA(unit_skills!$A:$A),MATCH(AR$1,unit_skills!$1:$1,0)-MATCH($AP$1,unit_skills!$1:$1,0)+1),MATCH(AR$1,unit_skills!$1:$1,0)-MATCH($AP$1,unit_skills!$1:$1,0)+1,FALSE)</f>
        <v>3ターンの間全ユニットの攻撃力を小UP</v>
      </c>
      <c r="AS7" s="57">
        <f ca="1">VLOOKUP($AP7,OFFSET(unit_skills!$A$1,0,0,COUNTA(unit_skills!$A:$A),MATCH(AS$1,unit_skills!$1:$1,0)-MATCH($AP$1,unit_skills!$1:$1,0)+1),MATCH(AS$1,unit_skills!$1:$1,0)-MATCH($AP$1,unit_skills!$1:$1,0)+1,FALSE)</f>
        <v>0</v>
      </c>
      <c r="AT7" s="41">
        <f t="shared" si="9"/>
        <v>530</v>
      </c>
      <c r="AU7" s="57" t="str">
        <f ca="1">VLOOKUP($AT7,OFFSET(crash_skills!$A$1,0,0,COUNTA(crash_skills!$A:$A),MATCH(AU$1,crash_skills!$1:$1,0)-MATCH($AT$1,crash_skills!$1:$1,0)+1),MATCH(AU$1,crash_skills!$1:$1,0)-MATCH($AT$1,crash_skills!$1:$1,0)+1,FALSE)</f>
        <v>ウィンタープラント</v>
      </c>
      <c r="AV7" s="57" t="str">
        <f ca="1">VLOOKUP($AT7,OFFSET(crash_skills!$A$1,0,0,COUNTA(crash_skills!$A:$A),MATCH(AV$1,crash_skills!$1:$1,0)-MATCH($AT$1,crash_skills!$1:$1,0)+1),MATCH(AV$1,crash_skills!$1:$1,0)-MATCH($AT$1,crash_skills!$1:$1,0)+1,FALSE)</f>
        <v>1体に小ダメージ</v>
      </c>
      <c r="AW7" s="57">
        <f ca="1">VLOOKUP($AT7,OFFSET(crash_skills!$A$1,0,0,COUNTA(crash_skills!$A:$A),MATCH(AW$1,crash_skills!$1:$1,0)-MATCH($AT$1,crash_skills!$1:$1,0)+1),MATCH(AW$1,crash_skills!$1:$1,0)-MATCH($AT$1,crash_skills!$1:$1,0)+1,FALSE)</f>
        <v>0</v>
      </c>
      <c r="AX7" s="58">
        <f ca="1">VLOOKUP($A7,OFFSET([1]characters!$A$1,0,0,COUNTA([1]characters!$A:$A),MATCH(AX$1,[1]characters!$1:$1,0)-MATCH($A$1,[1]characters!$1:$1,0)+1),MATCH(AX$1,[1]characters!$1:$1,0)-MATCH($A$1,[1]characters!$1:$1,0)+1,FALSE)</f>
        <v>3</v>
      </c>
      <c r="AY7" s="68">
        <v>1</v>
      </c>
      <c r="AZ7" s="68">
        <v>1</v>
      </c>
      <c r="BA7" s="68">
        <v>0</v>
      </c>
      <c r="BB7" s="68">
        <v>1</v>
      </c>
      <c r="BC7" s="11">
        <f ca="1">INDEX('RC6SV'!$A$1:$G$21,MATCH(H7,'RC6SV'!$A$1:$A$21,FALSE),MATCH(G7,'RC6SV'!$A$1:$G$1,FALSE))</f>
        <v>1500</v>
      </c>
      <c r="BD7" s="48">
        <f t="shared" ca="1" si="13"/>
        <v>1500</v>
      </c>
      <c r="BE7" s="11">
        <f t="shared" ca="1" si="4"/>
        <v>0</v>
      </c>
      <c r="BF7" s="11">
        <f t="shared" ca="1" si="5"/>
        <v>1</v>
      </c>
      <c r="BG7" s="16">
        <f ca="1">IF($BE7&lt;=0,ROUND(BK7*0.5,0), ROUND($BE7*S7*AA7*J7*AY7*0.8*[1]ステータス!$B$2,0))</f>
        <v>383</v>
      </c>
      <c r="BH7" s="16">
        <f ca="1">IF($BE7&lt;=0,ROUND(BL7*0.5,0), ROUND($BE7*T7*AB7*K7*AZ7*0.8*[1]ステータス!$C$2,0))</f>
        <v>221</v>
      </c>
      <c r="BI7" s="16">
        <f ca="1">IF($BE7&lt;=0,ROUND(BM7*0.5,0), ROUND($BE7*U7*AC7*L7*BA7*0.8*[1]ステータス!$D$2,0))</f>
        <v>0</v>
      </c>
      <c r="BJ7" s="16">
        <f ca="1">IF($BE7&lt;=0,ROUND(BN7*0.5,0), ROUND($BE7*V7*AD7*M7*BB7*0.8*[1]ステータス!$E$2,0))</f>
        <v>188</v>
      </c>
      <c r="BK7" s="11">
        <f ca="1">ROUND(BD7*S7*AA7*J7*AY7*[1]ステータス!$B$2,0)</f>
        <v>765</v>
      </c>
      <c r="BL7" s="11">
        <f ca="1">ROUND(BD7*T7*AB7*K7*AZ7*[1]ステータス!$C$2,0)</f>
        <v>441</v>
      </c>
      <c r="BM7" s="11">
        <f ca="1">ROUND(BD7*U7*AC7*L7*BA7*[1]ステータス!$D$2,0)</f>
        <v>0</v>
      </c>
      <c r="BN7" s="11">
        <f ca="1">ROUND(BD7*V7*AD7*M7*BB7*[1]ステータス!$E$2,0)</f>
        <v>375</v>
      </c>
      <c r="BO7" s="10">
        <v>0</v>
      </c>
      <c r="BP7" s="10">
        <v>1</v>
      </c>
      <c r="BQ7" s="10" t="s">
        <v>47</v>
      </c>
      <c r="BR7" s="10">
        <f ca="1">VLOOKUP(H7,ghosts_label!$A$2:$B$19,2,FALSE)</f>
        <v>1</v>
      </c>
    </row>
    <row r="8" spans="1:70" ht="21" customHeight="1" x14ac:dyDescent="0.15">
      <c r="A8" s="134">
        <v>531</v>
      </c>
      <c r="B8" s="57" t="str">
        <f ca="1">VLOOKUP($A8,OFFSET([1]characters!$A$1,0,0,COUNTA([1]characters!$A:$A),MATCH(B$1,[1]characters!$1:$1,0)-MATCH($A$1,[1]characters!$1:$1,0)+1),MATCH(B$1,[1]characters!$1:$1,0)-MATCH($A$1,[1]characters!$1:$1,0)+1,FALSE)</f>
        <v>冬服ポチ</v>
      </c>
      <c r="C8" s="57" t="str">
        <f ca="1">VLOOKUP($A8,OFFSET([1]characters!$A$1,0,0,COUNTA([1]characters!$A:$A),MATCH(C$1,[1]characters!$1:$1,0)-MATCH($A$1,[1]characters!$1:$1,0)+1),MATCH(C$1,[1]characters!$1:$1,0)-MATCH($A$1,[1]characters!$1:$1,0)+1,FALSE)</f>
        <v>イベント:ミクコラボ01</v>
      </c>
      <c r="D8" s="57" t="str">
        <f ca="1">VLOOKUP($A8,OFFSET([1]characters!$A$1,0,0,COUNTA([1]characters!$A:$A),MATCH(D$1,[1]characters!$1:$1,0)-MATCH($A$1,[1]characters!$1:$1,0)+1),MATCH(D$1,[1]characters!$1:$1,0)-MATCH($A$1,[1]characters!$1:$1,0)+1,FALSE)</f>
        <v>執行者</v>
      </c>
      <c r="E8" s="57" t="str">
        <f ca="1">VLOOKUP($A8,OFFSET([1]characters!$A$1,0,0,COUNTA([1]characters!$A:$A),MATCH(E$1,[1]characters!$1:$1,0)-MATCH($A$1,[1]characters!$1:$1,0)+1),MATCH(E$1,[1]characters!$1:$1,0)-MATCH($A$1,[1]characters!$1:$1,0)+1,FALSE)</f>
        <v>格好いい</v>
      </c>
      <c r="F8" s="57" t="str">
        <f ca="1">VLOOKUP($A8,OFFSET([1]characters!$A$1,0,0,COUNTA([1]characters!$A:$A),MATCH(F$1,[1]characters!$1:$1,0)-MATCH($A$1,[1]characters!$1:$1,0)+1),MATCH(F$1,[1]characters!$1:$1,0)-MATCH($A$1,[1]characters!$1:$1,0)+1,FALSE)</f>
        <v>不明</v>
      </c>
      <c r="G8" s="57">
        <f ca="1">VLOOKUP($A8,OFFSET([1]characters!$A$1,0,0,COUNTA([1]characters!$A:$A),MATCH(G$1,[1]characters!$1:$1,0)-MATCH($A$1,[1]characters!$1:$1,0)+1),MATCH(G$1,[1]characters!$1:$1,0)-MATCH($A$1,[1]characters!$1:$1,0)+1,FALSE)</f>
        <v>1</v>
      </c>
      <c r="H8" s="57" t="str">
        <f ca="1">VLOOKUP($A8,OFFSET([1]characters!$A$1,0,0,COUNTA([1]characters!$A:$A),MATCH(H$1,[1]characters!$1:$1,0)-MATCH($A$1,[1]characters!$1:$1,0)+1),MATCH(H$1,[1]characters!$1:$1,0)-MATCH($A$1,[1]characters!$1:$1,0)+1,FALSE)</f>
        <v>Drop1T</v>
      </c>
      <c r="I8" s="57" t="str">
        <f ca="1">VLOOKUP($A8,OFFSET([1]characters!$A$1,0,0,COUNTA([1]characters!$A:$A),MATCH(I$1,[1]characters!$1:$1,0)-MATCH($A$1,[1]characters!$1:$1,0)+1),MATCH(I$1,[1]characters!$1:$1,0)-MATCH($A$1,[1]characters!$1:$1,0)+1,FALSE)</f>
        <v>blue</v>
      </c>
      <c r="J8" s="11">
        <f ca="1">VLOOKUP(I8,[1]属性!$A:$E,2,FALSE)</f>
        <v>1</v>
      </c>
      <c r="K8" s="11">
        <f ca="1">VLOOKUP(I8,[1]属性!$A:$E,3,FALSE)</f>
        <v>0.98</v>
      </c>
      <c r="L8" s="11">
        <f ca="1">VLOOKUP(I8,[1]属性!$A:$E,4,FALSE)</f>
        <v>1</v>
      </c>
      <c r="M8" s="11">
        <f ca="1">VLOOKUP(I8,[1]属性!$A:$E,5,FALSE)</f>
        <v>1.02</v>
      </c>
      <c r="N8" s="11">
        <f ca="1">INDEX(コスト!$A$1:$I$21,MATCH(H8,コスト!$A$1:$A$21,FALSE),MATCH(G8,コスト!$A$1:$I$1,FALSE))</f>
        <v>1</v>
      </c>
      <c r="O8" s="11">
        <f ca="1">INDEX(レベル!$A$1:$I$21,MATCH(H8,レベル!$A$1:$A$21,FALSE),MATCH(G8,レベル!$A$1:$I$1,FALSE))</f>
        <v>10</v>
      </c>
      <c r="P8" s="48">
        <f t="shared" ca="1" si="11"/>
        <v>15</v>
      </c>
      <c r="Q8" s="57" t="str">
        <f ca="1">VLOOKUP($A8,OFFSET([1]characters!$A$1,0,0,COUNTA([1]characters!$A:$A),MATCH(Q$1,[1]characters!$1:$1,0)-MATCH($A$1,[1]characters!$1:$1,0)+1),MATCH(Q$1,[1]characters!$1:$1,0)-MATCH($A$1,[1]characters!$1:$1,0)+1,FALSE)</f>
        <v>heal</v>
      </c>
      <c r="R8" s="5" t="str">
        <f ca="1">VLOOKUP(Q8,[1]character_type_i18n!$A:$H,3,FALSE)</f>
        <v>回復タイプ</v>
      </c>
      <c r="S8" s="11">
        <f ca="1">VLOOKUP(Q8,[1]character_type_i18n!$A:$H,4,FALSE)</f>
        <v>0.8</v>
      </c>
      <c r="T8" s="11">
        <f ca="1">VLOOKUP(Q8,[1]character_type_i18n!$A:$H,5,FALSE)</f>
        <v>0.78</v>
      </c>
      <c r="U8" s="11">
        <f ca="1">VLOOKUP(Q8,[1]character_type_i18n!$A:$H,6,FALSE)</f>
        <v>1</v>
      </c>
      <c r="V8" s="11">
        <f ca="1">VLOOKUP(Q8,[1]character_type_i18n!$A:$H,7,FALSE)</f>
        <v>1.42</v>
      </c>
      <c r="W8" s="57" t="str">
        <f ca="1">VLOOKUP($A8,OFFSET([1]characters!$A$1,0,0,COUNTA([1]characters!$A:$A),MATCH(W$1,[1]characters!$1:$1,0)-MATCH($A$1,[1]characters!$1:$1,0)+1),MATCH(W$1,[1]characters!$1:$1,0)-MATCH($A$1,[1]characters!$1:$1,0)+1,FALSE)</f>
        <v>unknown</v>
      </c>
      <c r="X8" s="5" t="str">
        <f ca="1">VLOOKUP(W8,[1]character_tribe_i18n!$A:$H,3,FALSE)</f>
        <v>Unknown</v>
      </c>
      <c r="Y8" s="57" t="str">
        <f ca="1">VLOOKUP($A8,OFFSET([1]characters!$A$1,0,0,COUNTA([1]characters!$A:$A),MATCH(Y$1,[1]characters!$1:$1,0)-MATCH($A$1,[1]characters!$1:$1,0)+1),MATCH(Y$1,[1]characters!$1:$1,0)-MATCH($A$1,[1]characters!$1:$1,0)+1,FALSE)</f>
        <v>none</v>
      </c>
      <c r="Z8" s="5" t="str">
        <f ca="1">VLOOKUP(Y8,[1]character_tribe_i18n!$A:$H,3,FALSE)</f>
        <v>種族なし</v>
      </c>
      <c r="AA8" s="11">
        <f ca="1">VLOOKUP(W8,[1]character_tribe_i18n!$A:$H,4,FALSE)</f>
        <v>1</v>
      </c>
      <c r="AB8" s="11">
        <f ca="1">VLOOKUP(W8,[1]character_tribe_i18n!$A:$H,5,FALSE)</f>
        <v>1</v>
      </c>
      <c r="AC8" s="11">
        <f ca="1">VLOOKUP(W8,[1]character_tribe_i18n!$A:$H,6,FALSE)</f>
        <v>1</v>
      </c>
      <c r="AD8" s="11">
        <f ca="1">VLOOKUP(W8,[1]character_tribe_i18n!$A:$H,7,FALSE)</f>
        <v>1</v>
      </c>
      <c r="AE8" s="9" t="s">
        <v>178</v>
      </c>
      <c r="AF8" s="62" t="str">
        <f ca="1">IF(AE8="NULL","",VLOOKUP($AE8,OFFSET([1]characters!$A$1,0,0,COUNTA([1]characters!$A:$A),MATCH(AF$1,[1]characters!$1:$1,0)-MATCH($A$1,[1]characters!$1:$1,0)+1),MATCH(AF$1,[1]characters!$1:$1,0)-MATCH($A$1,[1]characters!$1:$1,0)+1,FALSE))</f>
        <v/>
      </c>
      <c r="AG8" s="5">
        <v>5</v>
      </c>
      <c r="AH8" s="62" t="str">
        <f ca="1">VLOOKUP($AG8,OFFSET([1]characters!$A$1,0,0,COUNTA([1]characters!$A:$A),MATCH(AH$1,[1]characters!$1:$1,0)-MATCH($A$1,[1]characters!$1:$1,0)+1),MATCH(AH$1,[1]characters!$1:$1,0)-MATCH($A$1,[1]characters!$1:$1,0)+1,FALSE)</f>
        <v>パトドッグ ポチ</v>
      </c>
      <c r="AI8" s="11" t="str">
        <f>IF(AE8="NULL","NULL",VLOOKUP(G8,ビット!$A$2:$B$7,2))</f>
        <v>NULL</v>
      </c>
      <c r="AJ8" s="6">
        <v>2</v>
      </c>
      <c r="AK8" s="7" t="str">
        <f t="shared" si="12"/>
        <v>普通</v>
      </c>
      <c r="AL8" s="11" t="str">
        <f ca="1">INDEX(経験値!$A$1:$I$21,MATCH(H8,経験値!$A$1:$A$21,FALSE),MATCH(G8,経験値!$A$1:$I$1,FALSE))</f>
        <v>required_exp_50</v>
      </c>
      <c r="AM8" s="8">
        <f ca="1">VLOOKUP(G8,経験値!$A$28:$B$32,2)</f>
        <v>200</v>
      </c>
      <c r="AN8" s="17">
        <f ca="1">VLOOKUP(G8,ビット!$G$2:$H$7,2)</f>
        <v>75</v>
      </c>
      <c r="AO8" s="45"/>
      <c r="AP8" s="67">
        <f t="shared" si="8"/>
        <v>531</v>
      </c>
      <c r="AQ8" s="57" t="str">
        <f ca="1">VLOOKUP($AP8,OFFSET(unit_skills!$A$1,0,0,COUNTA(unit_skills!$A:$A),MATCH(AQ$1,unit_skills!$1:$1,0)-MATCH($AP$1,unit_skills!$1:$1,0)+1),MATCH(AQ$1,unit_skills!$1:$1,0)-MATCH($AP$1,unit_skills!$1:$1,0)+1,FALSE)</f>
        <v>スノウヒール</v>
      </c>
      <c r="AR8" s="57" t="str">
        <f ca="1">VLOOKUP($AP8,OFFSET(unit_skills!$A$1,0,0,COUNTA(unit_skills!$A:$A),MATCH(AR$1,unit_skills!$1:$1,0)-MATCH($AP$1,unit_skills!$1:$1,0)+1),MATCH(AR$1,unit_skills!$1:$1,0)-MATCH($AP$1,unit_skills!$1:$1,0)+1,FALSE)</f>
        <v>HPを150回復する</v>
      </c>
      <c r="AS8" s="57">
        <f ca="1">VLOOKUP($AP8,OFFSET(unit_skills!$A$1,0,0,COUNTA(unit_skills!$A:$A),MATCH(AS$1,unit_skills!$1:$1,0)-MATCH($AP$1,unit_skills!$1:$1,0)+1),MATCH(AS$1,unit_skills!$1:$1,0)-MATCH($AP$1,unit_skills!$1:$1,0)+1,FALSE)</f>
        <v>0</v>
      </c>
      <c r="AT8" s="41">
        <f t="shared" si="9"/>
        <v>531</v>
      </c>
      <c r="AU8" s="57" t="str">
        <f ca="1">VLOOKUP($AT8,OFFSET(crash_skills!$A$1,0,0,COUNTA(crash_skills!$A:$A),MATCH(AU$1,crash_skills!$1:$1,0)-MATCH($AT$1,crash_skills!$1:$1,0)+1),MATCH(AU$1,crash_skills!$1:$1,0)-MATCH($AT$1,crash_skills!$1:$1,0)+1,FALSE)</f>
        <v>ウィンターアイス</v>
      </c>
      <c r="AV8" s="57" t="str">
        <f ca="1">VLOOKUP($AT8,OFFSET(crash_skills!$A$1,0,0,COUNTA(crash_skills!$A:$A),MATCH(AV$1,crash_skills!$1:$1,0)-MATCH($AT$1,crash_skills!$1:$1,0)+1),MATCH(AV$1,crash_skills!$1:$1,0)-MATCH($AT$1,crash_skills!$1:$1,0)+1,FALSE)</f>
        <v>1体に小ダメージ</v>
      </c>
      <c r="AW8" s="57">
        <f ca="1">VLOOKUP($AT8,OFFSET(crash_skills!$A$1,0,0,COUNTA(crash_skills!$A:$A),MATCH(AW$1,crash_skills!$1:$1,0)-MATCH($AT$1,crash_skills!$1:$1,0)+1),MATCH(AW$1,crash_skills!$1:$1,0)-MATCH($AT$1,crash_skills!$1:$1,0)+1,FALSE)</f>
        <v>0</v>
      </c>
      <c r="AX8" s="58">
        <f ca="1">VLOOKUP($A8,OFFSET([1]characters!$A$1,0,0,COUNTA([1]characters!$A:$A),MATCH(AX$1,[1]characters!$1:$1,0)-MATCH($A$1,[1]characters!$1:$1,0)+1),MATCH(AX$1,[1]characters!$1:$1,0)-MATCH($A$1,[1]characters!$1:$1,0)+1,FALSE)</f>
        <v>3</v>
      </c>
      <c r="AY8" s="68">
        <v>1</v>
      </c>
      <c r="AZ8" s="68">
        <v>1</v>
      </c>
      <c r="BA8" s="68">
        <v>0</v>
      </c>
      <c r="BB8" s="68">
        <v>1</v>
      </c>
      <c r="BC8" s="11">
        <f ca="1">INDEX('RC6SV'!$A$1:$G$21,MATCH(H8,'RC6SV'!$A$1:$A$21,FALSE),MATCH(G8,'RC6SV'!$A$1:$G$1,FALSE))</f>
        <v>1500</v>
      </c>
      <c r="BD8" s="48">
        <f t="shared" ca="1" si="13"/>
        <v>1500</v>
      </c>
      <c r="BE8" s="11">
        <f t="shared" ca="1" si="4"/>
        <v>0</v>
      </c>
      <c r="BF8" s="11">
        <f t="shared" ca="1" si="5"/>
        <v>1</v>
      </c>
      <c r="BG8" s="16">
        <f ca="1">IF($BE8&lt;=0,ROUND(BK8*0.5,0), ROUND($BE8*S8*AA8*J8*AY8*0.8*[1]ステータス!$B$2,0))</f>
        <v>300</v>
      </c>
      <c r="BH8" s="16">
        <f ca="1">IF($BE8&lt;=0,ROUND(BL8*0.5,0), ROUND($BE8*T8*AB8*K8*AZ8*0.8*[1]ステータス!$C$2,0))</f>
        <v>172</v>
      </c>
      <c r="BI8" s="16">
        <f ca="1">IF($BE8&lt;=0,ROUND(BM8*0.5,0), ROUND($BE8*U8*AC8*L8*BA8*0.8*[1]ステータス!$D$2,0))</f>
        <v>0</v>
      </c>
      <c r="BJ8" s="16">
        <f ca="1">IF($BE8&lt;=0,ROUND(BN8*0.5,0), ROUND($BE8*V8*AD8*M8*BB8*0.8*[1]ステータス!$E$2,0))</f>
        <v>272</v>
      </c>
      <c r="BK8" s="11">
        <f ca="1">ROUND(BD8*S8*AA8*J8*AY8*[1]ステータス!$B$2,0)</f>
        <v>600</v>
      </c>
      <c r="BL8" s="11">
        <f ca="1">ROUND(BD8*T8*AB8*K8*AZ8*[1]ステータス!$C$2,0)</f>
        <v>344</v>
      </c>
      <c r="BM8" s="11">
        <f ca="1">ROUND(BD8*U8*AC8*L8*BA8*[1]ステータス!$D$2,0)</f>
        <v>0</v>
      </c>
      <c r="BN8" s="11">
        <f ca="1">ROUND(BD8*V8*AD8*M8*BB8*[1]ステータス!$E$2,0)</f>
        <v>543</v>
      </c>
      <c r="BO8" s="10">
        <v>0</v>
      </c>
      <c r="BP8" s="10">
        <v>1</v>
      </c>
      <c r="BQ8" s="10" t="s">
        <v>47</v>
      </c>
      <c r="BR8" s="10">
        <f ca="1">VLOOKUP(H8,ghosts_label!$A$2:$B$19,2,FALSE)</f>
        <v>1</v>
      </c>
    </row>
    <row r="9" spans="1:70" ht="21" customHeight="1" x14ac:dyDescent="0.15">
      <c r="A9" s="134">
        <v>532</v>
      </c>
      <c r="B9" s="57" t="str">
        <f ca="1">VLOOKUP($A9,OFFSET([1]characters!$A$1,0,0,COUNTA([1]characters!$A:$A),MATCH(B$1,[1]characters!$1:$1,0)-MATCH($A$1,[1]characters!$1:$1,0)+1),MATCH(B$1,[1]characters!$1:$1,0)-MATCH($A$1,[1]characters!$1:$1,0)+1,FALSE)</f>
        <v>冬服エレキポット</v>
      </c>
      <c r="C9" s="57" t="str">
        <f ca="1">VLOOKUP($A9,OFFSET([1]characters!$A$1,0,0,COUNTA([1]characters!$A:$A),MATCH(C$1,[1]characters!$1:$1,0)-MATCH($A$1,[1]characters!$1:$1,0)+1),MATCH(C$1,[1]characters!$1:$1,0)-MATCH($A$1,[1]characters!$1:$1,0)+1,FALSE)</f>
        <v>イベント:ミクコラボ01</v>
      </c>
      <c r="D9" s="57" t="str">
        <f ca="1">VLOOKUP($A9,OFFSET([1]characters!$A$1,0,0,COUNTA([1]characters!$A:$A),MATCH(D$1,[1]characters!$1:$1,0)-MATCH($A$1,[1]characters!$1:$1,0)+1),MATCH(D$1,[1]characters!$1:$1,0)-MATCH($A$1,[1]characters!$1:$1,0)+1,FALSE)</f>
        <v>執行者</v>
      </c>
      <c r="E9" s="57" t="str">
        <f ca="1">VLOOKUP($A9,OFFSET([1]characters!$A$1,0,0,COUNTA([1]characters!$A:$A),MATCH(E$1,[1]characters!$1:$1,0)-MATCH($A$1,[1]characters!$1:$1,0)+1),MATCH(E$1,[1]characters!$1:$1,0)-MATCH($A$1,[1]characters!$1:$1,0)+1,FALSE)</f>
        <v>格好いい</v>
      </c>
      <c r="F9" s="57" t="str">
        <f ca="1">VLOOKUP($A9,OFFSET([1]characters!$A$1,0,0,COUNTA([1]characters!$A:$A),MATCH(F$1,[1]characters!$1:$1,0)-MATCH($A$1,[1]characters!$1:$1,0)+1),MATCH(F$1,[1]characters!$1:$1,0)-MATCH($A$1,[1]characters!$1:$1,0)+1,FALSE)</f>
        <v>不明</v>
      </c>
      <c r="G9" s="57">
        <f ca="1">VLOOKUP($A9,OFFSET([1]characters!$A$1,0,0,COUNTA([1]characters!$A:$A),MATCH(G$1,[1]characters!$1:$1,0)-MATCH($A$1,[1]characters!$1:$1,0)+1),MATCH(G$1,[1]characters!$1:$1,0)-MATCH($A$1,[1]characters!$1:$1,0)+1,FALSE)</f>
        <v>1</v>
      </c>
      <c r="H9" s="57" t="str">
        <f ca="1">VLOOKUP($A9,OFFSET([1]characters!$A$1,0,0,COUNTA([1]characters!$A:$A),MATCH(H$1,[1]characters!$1:$1,0)-MATCH($A$1,[1]characters!$1:$1,0)+1),MATCH(H$1,[1]characters!$1:$1,0)-MATCH($A$1,[1]characters!$1:$1,0)+1,FALSE)</f>
        <v>Drop1T</v>
      </c>
      <c r="I9" s="57" t="str">
        <f ca="1">VLOOKUP($A9,OFFSET([1]characters!$A$1,0,0,COUNTA([1]characters!$A:$A),MATCH(I$1,[1]characters!$1:$1,0)-MATCH($A$1,[1]characters!$1:$1,0)+1),MATCH(I$1,[1]characters!$1:$1,0)-MATCH($A$1,[1]characters!$1:$1,0)+1,FALSE)</f>
        <v>yellow</v>
      </c>
      <c r="J9" s="11">
        <f ca="1">VLOOKUP(I9,[1]属性!$A:$E,2,FALSE)</f>
        <v>0.98</v>
      </c>
      <c r="K9" s="11">
        <f ca="1">VLOOKUP(I9,[1]属性!$A:$E,3,FALSE)</f>
        <v>1.01</v>
      </c>
      <c r="L9" s="11">
        <f ca="1">VLOOKUP(I9,[1]属性!$A:$E,4,FALSE)</f>
        <v>1</v>
      </c>
      <c r="M9" s="11">
        <f ca="1">VLOOKUP(I9,[1]属性!$A:$E,5,FALSE)</f>
        <v>1.01</v>
      </c>
      <c r="N9" s="11">
        <f ca="1">INDEX(コスト!$A$1:$I$21,MATCH(H9,コスト!$A$1:$A$21,FALSE),MATCH(G9,コスト!$A$1:$I$1,FALSE))</f>
        <v>1</v>
      </c>
      <c r="O9" s="11">
        <f ca="1">INDEX(レベル!$A$1:$I$21,MATCH(H9,レベル!$A$1:$A$21,FALSE),MATCH(G9,レベル!$A$1:$I$1,FALSE))</f>
        <v>10</v>
      </c>
      <c r="P9" s="48">
        <f t="shared" ca="1" si="11"/>
        <v>15</v>
      </c>
      <c r="Q9" s="57" t="str">
        <f ca="1">VLOOKUP($A9,OFFSET([1]characters!$A$1,0,0,COUNTA([1]characters!$A:$A),MATCH(Q$1,[1]characters!$1:$1,0)-MATCH($A$1,[1]characters!$1:$1,0)+1),MATCH(Q$1,[1]characters!$1:$1,0)-MATCH($A$1,[1]characters!$1:$1,0)+1,FALSE)</f>
        <v>attack</v>
      </c>
      <c r="R9" s="5" t="str">
        <f ca="1">VLOOKUP(Q9,[1]character_type_i18n!$A:$H,3,FALSE)</f>
        <v>攻撃タイプ</v>
      </c>
      <c r="S9" s="11">
        <f ca="1">VLOOKUP(Q9,[1]character_type_i18n!$A:$H,4,FALSE)</f>
        <v>1</v>
      </c>
      <c r="T9" s="11">
        <f ca="1">VLOOKUP(Q9,[1]character_type_i18n!$A:$H,5,FALSE)</f>
        <v>1.33</v>
      </c>
      <c r="U9" s="11">
        <f ca="1">VLOOKUP(Q9,[1]character_type_i18n!$A:$H,6,FALSE)</f>
        <v>1</v>
      </c>
      <c r="V9" s="11">
        <f ca="1">VLOOKUP(Q9,[1]character_type_i18n!$A:$H,7,FALSE)</f>
        <v>0.67</v>
      </c>
      <c r="W9" s="57" t="str">
        <f ca="1">VLOOKUP($A9,OFFSET([1]characters!$A$1,0,0,COUNTA([1]characters!$A:$A),MATCH(W$1,[1]characters!$1:$1,0)-MATCH($A$1,[1]characters!$1:$1,0)+1),MATCH(W$1,[1]characters!$1:$1,0)-MATCH($A$1,[1]characters!$1:$1,0)+1,FALSE)</f>
        <v>unknown</v>
      </c>
      <c r="X9" s="5" t="str">
        <f ca="1">VLOOKUP(W9,[1]character_tribe_i18n!$A:$H,3,FALSE)</f>
        <v>Unknown</v>
      </c>
      <c r="Y9" s="57" t="str">
        <f ca="1">VLOOKUP($A9,OFFSET([1]characters!$A$1,0,0,COUNTA([1]characters!$A:$A),MATCH(Y$1,[1]characters!$1:$1,0)-MATCH($A$1,[1]characters!$1:$1,0)+1),MATCH(Y$1,[1]characters!$1:$1,0)-MATCH($A$1,[1]characters!$1:$1,0)+1,FALSE)</f>
        <v>none</v>
      </c>
      <c r="Z9" s="5" t="str">
        <f ca="1">VLOOKUP(Y9,[1]character_tribe_i18n!$A:$H,3,FALSE)</f>
        <v>種族なし</v>
      </c>
      <c r="AA9" s="11">
        <f ca="1">VLOOKUP(W9,[1]character_tribe_i18n!$A:$H,4,FALSE)</f>
        <v>1</v>
      </c>
      <c r="AB9" s="11">
        <f ca="1">VLOOKUP(W9,[1]character_tribe_i18n!$A:$H,5,FALSE)</f>
        <v>1</v>
      </c>
      <c r="AC9" s="11">
        <f ca="1">VLOOKUP(W9,[1]character_tribe_i18n!$A:$H,6,FALSE)</f>
        <v>1</v>
      </c>
      <c r="AD9" s="11">
        <f ca="1">VLOOKUP(W9,[1]character_tribe_i18n!$A:$H,7,FALSE)</f>
        <v>1</v>
      </c>
      <c r="AE9" s="9" t="s">
        <v>178</v>
      </c>
      <c r="AF9" s="62" t="str">
        <f ca="1">IF(AE9="NULL","",VLOOKUP($AE9,OFFSET([1]characters!$A$1,0,0,COUNTA([1]characters!$A:$A),MATCH(AF$1,[1]characters!$1:$1,0)-MATCH($A$1,[1]characters!$1:$1,0)+1),MATCH(AF$1,[1]characters!$1:$1,0)-MATCH($A$1,[1]characters!$1:$1,0)+1,FALSE))</f>
        <v/>
      </c>
      <c r="AG9" s="5">
        <v>7</v>
      </c>
      <c r="AH9" s="62" t="str">
        <f ca="1">VLOOKUP($AG9,OFFSET([1]characters!$A$1,0,0,COUNTA([1]characters!$A:$A),MATCH(AH$1,[1]characters!$1:$1,0)-MATCH($A$1,[1]characters!$1:$1,0)+1),MATCH(AH$1,[1]characters!$1:$1,0)-MATCH($A$1,[1]characters!$1:$1,0)+1,FALSE)</f>
        <v>エレキポット</v>
      </c>
      <c r="AI9" s="11" t="str">
        <f>IF(AE9="NULL","NULL",VLOOKUP(G9,ビット!$A$2:$B$7,2))</f>
        <v>NULL</v>
      </c>
      <c r="AJ9" s="6">
        <v>2</v>
      </c>
      <c r="AK9" s="7" t="str">
        <f t="shared" si="12"/>
        <v>普通</v>
      </c>
      <c r="AL9" s="11" t="str">
        <f ca="1">INDEX(経験値!$A$1:$I$21,MATCH(H9,経験値!$A$1:$A$21,FALSE),MATCH(G9,経験値!$A$1:$I$1,FALSE))</f>
        <v>required_exp_50</v>
      </c>
      <c r="AM9" s="8">
        <f ca="1">VLOOKUP(G9,経験値!$A$28:$B$32,2)</f>
        <v>200</v>
      </c>
      <c r="AN9" s="17">
        <f ca="1">VLOOKUP(G9,ビット!$G$2:$H$7,2)</f>
        <v>75</v>
      </c>
      <c r="AO9" s="45"/>
      <c r="AP9" s="67">
        <f t="shared" si="8"/>
        <v>532</v>
      </c>
      <c r="AQ9" s="57" t="str">
        <f ca="1">VLOOKUP($AP9,OFFSET(unit_skills!$A$1,0,0,COUNTA(unit_skills!$A:$A),MATCH(AQ$1,unit_skills!$1:$1,0)-MATCH($AP$1,unit_skills!$1:$1,0)+1),MATCH(AQ$1,unit_skills!$1:$1,0)-MATCH($AP$1,unit_skills!$1:$1,0)+1,FALSE)</f>
        <v>大雪放電</v>
      </c>
      <c r="AR9" s="57" t="str">
        <f ca="1">VLOOKUP($AP9,OFFSET(unit_skills!$A$1,0,0,COUNTA(unit_skills!$A:$A),MATCH(AR$1,unit_skills!$1:$1,0)-MATCH($AP$1,unit_skills!$1:$1,0)+1),MATCH(AR$1,unit_skills!$1:$1,0)-MATCH($AP$1,unit_skills!$1:$1,0)+1,FALSE)</f>
        <v>単体に黄属性の小ダメージ</v>
      </c>
      <c r="AS9" s="57">
        <f ca="1">VLOOKUP($AP9,OFFSET(unit_skills!$A$1,0,0,COUNTA(unit_skills!$A:$A),MATCH(AS$1,unit_skills!$1:$1,0)-MATCH($AP$1,unit_skills!$1:$1,0)+1),MATCH(AS$1,unit_skills!$1:$1,0)-MATCH($AP$1,unit_skills!$1:$1,0)+1,FALSE)</f>
        <v>0</v>
      </c>
      <c r="AT9" s="41">
        <f t="shared" si="9"/>
        <v>532</v>
      </c>
      <c r="AU9" s="57" t="str">
        <f ca="1">VLOOKUP($AT9,OFFSET(crash_skills!$A$1,0,0,COUNTA(crash_skills!$A:$A),MATCH(AU$1,crash_skills!$1:$1,0)-MATCH($AT$1,crash_skills!$1:$1,0)+1),MATCH(AU$1,crash_skills!$1:$1,0)-MATCH($AT$1,crash_skills!$1:$1,0)+1,FALSE)</f>
        <v>ウィンターライト</v>
      </c>
      <c r="AV9" s="57" t="str">
        <f ca="1">VLOOKUP($AT9,OFFSET(crash_skills!$A$1,0,0,COUNTA(crash_skills!$A:$A),MATCH(AV$1,crash_skills!$1:$1,0)-MATCH($AT$1,crash_skills!$1:$1,0)+1),MATCH(AV$1,crash_skills!$1:$1,0)-MATCH($AT$1,crash_skills!$1:$1,0)+1,FALSE)</f>
        <v>1体に小ダメージ</v>
      </c>
      <c r="AW9" s="57">
        <f ca="1">VLOOKUP($AT9,OFFSET(crash_skills!$A$1,0,0,COUNTA(crash_skills!$A:$A),MATCH(AW$1,crash_skills!$1:$1,0)-MATCH($AT$1,crash_skills!$1:$1,0)+1),MATCH(AW$1,crash_skills!$1:$1,0)-MATCH($AT$1,crash_skills!$1:$1,0)+1,FALSE)</f>
        <v>0</v>
      </c>
      <c r="AX9" s="58">
        <f ca="1">VLOOKUP($A9,OFFSET([1]characters!$A$1,0,0,COUNTA([1]characters!$A:$A),MATCH(AX$1,[1]characters!$1:$1,0)-MATCH($A$1,[1]characters!$1:$1,0)+1),MATCH(AX$1,[1]characters!$1:$1,0)-MATCH($A$1,[1]characters!$1:$1,0)+1,FALSE)</f>
        <v>3</v>
      </c>
      <c r="AY9" s="68">
        <v>1</v>
      </c>
      <c r="AZ9" s="68">
        <v>1</v>
      </c>
      <c r="BA9" s="68">
        <v>0</v>
      </c>
      <c r="BB9" s="68">
        <v>1</v>
      </c>
      <c r="BC9" s="11">
        <f ca="1">INDEX('RC6SV'!$A$1:$G$21,MATCH(H9,'RC6SV'!$A$1:$A$21,FALSE),MATCH(G9,'RC6SV'!$A$1:$G$1,FALSE))</f>
        <v>1500</v>
      </c>
      <c r="BD9" s="48">
        <f t="shared" ca="1" si="13"/>
        <v>1500</v>
      </c>
      <c r="BE9" s="11">
        <f t="shared" ca="1" si="4"/>
        <v>0</v>
      </c>
      <c r="BF9" s="11">
        <f t="shared" ca="1" si="5"/>
        <v>1</v>
      </c>
      <c r="BG9" s="16">
        <f ca="1">IF($BE9&lt;=0,ROUND(BK9*0.5,0), ROUND($BE9*S9*AA9*J9*AY9*0.8*[1]ステータス!$B$2,0))</f>
        <v>368</v>
      </c>
      <c r="BH9" s="16">
        <f ca="1">IF($BE9&lt;=0,ROUND(BL9*0.5,0), ROUND($BE9*T9*AB9*K9*AZ9*0.8*[1]ステータス!$C$2,0))</f>
        <v>302</v>
      </c>
      <c r="BI9" s="16">
        <f ca="1">IF($BE9&lt;=0,ROUND(BM9*0.5,0), ROUND($BE9*U9*AC9*L9*BA9*0.8*[1]ステータス!$D$2,0))</f>
        <v>0</v>
      </c>
      <c r="BJ9" s="16">
        <f ca="1">IF($BE9&lt;=0,ROUND(BN9*0.5,0), ROUND($BE9*V9*AD9*M9*BB9*0.8*[1]ステータス!$E$2,0))</f>
        <v>127</v>
      </c>
      <c r="BK9" s="11">
        <f ca="1">ROUND(BD9*S9*AA9*J9*AY9*[1]ステータス!$B$2,0)</f>
        <v>735</v>
      </c>
      <c r="BL9" s="11">
        <f ca="1">ROUND(BD9*T9*AB9*K9*AZ9*[1]ステータス!$C$2,0)</f>
        <v>604</v>
      </c>
      <c r="BM9" s="11">
        <f ca="1">ROUND(BD9*U9*AC9*L9*BA9*[1]ステータス!$D$2,0)</f>
        <v>0</v>
      </c>
      <c r="BN9" s="11">
        <f ca="1">ROUND(BD9*V9*AD9*M9*BB9*[1]ステータス!$E$2,0)</f>
        <v>254</v>
      </c>
      <c r="BO9" s="10">
        <v>0</v>
      </c>
      <c r="BP9" s="10">
        <v>1</v>
      </c>
      <c r="BQ9" s="10" t="s">
        <v>47</v>
      </c>
      <c r="BR9" s="10">
        <f ca="1">VLOOKUP(H9,ghosts_label!$A$2:$B$19,2,FALSE)</f>
        <v>1</v>
      </c>
    </row>
    <row r="10" spans="1:70" ht="21" customHeight="1" x14ac:dyDescent="0.15">
      <c r="A10" s="134">
        <v>533</v>
      </c>
      <c r="B10" s="57" t="str">
        <f ca="1">VLOOKUP($A10,OFFSET([1]characters!$A$1,0,0,COUNTA([1]characters!$A:$A),MATCH(B$1,[1]characters!$1:$1,0)-MATCH($A$1,[1]characters!$1:$1,0)+1),MATCH(B$1,[1]characters!$1:$1,0)-MATCH($A$1,[1]characters!$1:$1,0)+1,FALSE)</f>
        <v>冬服アカネ</v>
      </c>
      <c r="C10" s="57" t="str">
        <f ca="1">VLOOKUP($A10,OFFSET([1]characters!$A$1,0,0,COUNTA([1]characters!$A:$A),MATCH(C$1,[1]characters!$1:$1,0)-MATCH($A$1,[1]characters!$1:$1,0)+1),MATCH(C$1,[1]characters!$1:$1,0)-MATCH($A$1,[1]characters!$1:$1,0)+1,FALSE)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0" s="57" t="str">
        <f ca="1">VLOOKUP($A10,OFFSET([1]characters!$A$1,0,0,COUNTA([1]characters!$A:$A),MATCH(D$1,[1]characters!$1:$1,0)-MATCH($A$1,[1]characters!$1:$1,0)+1),MATCH(D$1,[1]characters!$1:$1,0)-MATCH($A$1,[1]characters!$1:$1,0)+1,FALSE)</f>
        <v>執行者</v>
      </c>
      <c r="E10" s="57" t="str">
        <f ca="1">VLOOKUP($A10,OFFSET([1]characters!$A$1,0,0,COUNTA([1]characters!$A:$A),MATCH(E$1,[1]characters!$1:$1,0)-MATCH($A$1,[1]characters!$1:$1,0)+1),MATCH(E$1,[1]characters!$1:$1,0)-MATCH($A$1,[1]characters!$1:$1,0)+1,FALSE)</f>
        <v>格好いい</v>
      </c>
      <c r="F10" s="57" t="str">
        <f ca="1">VLOOKUP($A10,OFFSET([1]characters!$A$1,0,0,COUNTA([1]characters!$A:$A),MATCH(F$1,[1]characters!$1:$1,0)-MATCH($A$1,[1]characters!$1:$1,0)+1),MATCH(F$1,[1]characters!$1:$1,0)-MATCH($A$1,[1]characters!$1:$1,0)+1,FALSE)</f>
        <v>不明</v>
      </c>
      <c r="G10" s="57">
        <f ca="1">VLOOKUP($A10,OFFSET([1]characters!$A$1,0,0,COUNTA([1]characters!$A:$A),MATCH(G$1,[1]characters!$1:$1,0)-MATCH($A$1,[1]characters!$1:$1,0)+1),MATCH(G$1,[1]characters!$1:$1,0)-MATCH($A$1,[1]characters!$1:$1,0)+1,FALSE)</f>
        <v>1</v>
      </c>
      <c r="H10" s="57" t="str">
        <f ca="1">VLOOKUP($A10,OFFSET([1]characters!$A$1,0,0,COUNTA([1]characters!$A:$A),MATCH(H$1,[1]characters!$1:$1,0)-MATCH($A$1,[1]characters!$1:$1,0)+1),MATCH(H$1,[1]characters!$1:$1,0)-MATCH($A$1,[1]characters!$1:$1,0)+1,FALSE)</f>
        <v>Drop1W</v>
      </c>
      <c r="I10" s="57" t="str">
        <f ca="1">VLOOKUP($A10,OFFSET([1]characters!$A$1,0,0,COUNTA([1]characters!$A:$A),MATCH(I$1,[1]characters!$1:$1,0)-MATCH($A$1,[1]characters!$1:$1,0)+1),MATCH(I$1,[1]characters!$1:$1,0)-MATCH($A$1,[1]characters!$1:$1,0)+1,FALSE)</f>
        <v>red</v>
      </c>
      <c r="J10" s="11">
        <f ca="1">VLOOKUP(I10,[1]属性!$A:$E,2,FALSE)</f>
        <v>1</v>
      </c>
      <c r="K10" s="11">
        <f ca="1">VLOOKUP(I10,[1]属性!$A:$E,3,FALSE)</f>
        <v>1.02</v>
      </c>
      <c r="L10" s="11">
        <f ca="1">VLOOKUP(I10,[1]属性!$A:$E,4,FALSE)</f>
        <v>1</v>
      </c>
      <c r="M10" s="11">
        <f ca="1">VLOOKUP(I10,[1]属性!$A:$E,5,FALSE)</f>
        <v>0.98</v>
      </c>
      <c r="N10" s="11">
        <f ca="1">INDEX(コスト!$A$1:$I$21,MATCH(H10,コスト!$A$1:$A$21,FALSE),MATCH(G10,コスト!$A$1:$I$1,FALSE))</f>
        <v>1</v>
      </c>
      <c r="O10" s="11">
        <f ca="1">INDEX(レベル!$A$1:$I$21,MATCH(H10,レベル!$A$1:$A$21,FALSE),MATCH(G10,レベル!$A$1:$I$1,FALSE))</f>
        <v>15</v>
      </c>
      <c r="P10" s="48">
        <f t="shared" ca="1" si="11"/>
        <v>15</v>
      </c>
      <c r="Q10" s="57" t="str">
        <f ca="1">VLOOKUP($A10,OFFSET([1]characters!$A$1,0,0,COUNTA([1]characters!$A:$A),MATCH(Q$1,[1]characters!$1:$1,0)-MATCH($A$1,[1]characters!$1:$1,0)+1),MATCH(Q$1,[1]characters!$1:$1,0)-MATCH($A$1,[1]characters!$1:$1,0)+1,FALSE)</f>
        <v>balance</v>
      </c>
      <c r="R10" s="5" t="str">
        <f ca="1">VLOOKUP(Q10,[1]character_type_i18n!$A:$H,3,FALSE)</f>
        <v>バランスタイプ</v>
      </c>
      <c r="S10" s="11">
        <f ca="1">VLOOKUP(Q10,[1]character_type_i18n!$A:$H,4,FALSE)</f>
        <v>1</v>
      </c>
      <c r="T10" s="11">
        <f ca="1">VLOOKUP(Q10,[1]character_type_i18n!$A:$H,5,FALSE)</f>
        <v>1</v>
      </c>
      <c r="U10" s="11">
        <f ca="1">VLOOKUP(Q10,[1]character_type_i18n!$A:$H,6,FALSE)</f>
        <v>1</v>
      </c>
      <c r="V10" s="11">
        <f ca="1">VLOOKUP(Q10,[1]character_type_i18n!$A:$H,7,FALSE)</f>
        <v>1</v>
      </c>
      <c r="W10" s="57" t="str">
        <f ca="1">VLOOKUP($A10,OFFSET([1]characters!$A$1,0,0,COUNTA([1]characters!$A:$A),MATCH(W$1,[1]characters!$1:$1,0)-MATCH($A$1,[1]characters!$1:$1,0)+1),MATCH(W$1,[1]characters!$1:$1,0)-MATCH($A$1,[1]characters!$1:$1,0)+1,FALSE)</f>
        <v>human</v>
      </c>
      <c r="X10" s="5" t="str">
        <f ca="1">VLOOKUP(W10,[1]character_tribe_i18n!$A:$H,3,FALSE)</f>
        <v>ヒューマン</v>
      </c>
      <c r="Y10" s="57" t="str">
        <f ca="1">VLOOKUP($A10,OFFSET([1]characters!$A$1,0,0,COUNTA([1]characters!$A:$A),MATCH(Y$1,[1]characters!$1:$1,0)-MATCH($A$1,[1]characters!$1:$1,0)+1),MATCH(Y$1,[1]characters!$1:$1,0)-MATCH($A$1,[1]characters!$1:$1,0)+1,FALSE)</f>
        <v>none</v>
      </c>
      <c r="Z10" s="5" t="str">
        <f ca="1">VLOOKUP(Y10,[1]character_tribe_i18n!$A:$H,3,FALSE)</f>
        <v>種族なし</v>
      </c>
      <c r="AA10" s="11">
        <f ca="1">VLOOKUP(W10,[1]character_tribe_i18n!$A:$H,4,FALSE)</f>
        <v>0.94</v>
      </c>
      <c r="AB10" s="11">
        <f ca="1">VLOOKUP(W10,[1]character_tribe_i18n!$A:$H,5,FALSE)</f>
        <v>0.99</v>
      </c>
      <c r="AC10" s="11">
        <f ca="1">VLOOKUP(W10,[1]character_tribe_i18n!$A:$H,6,FALSE)</f>
        <v>1</v>
      </c>
      <c r="AD10" s="11">
        <f ca="1">VLOOKUP(W10,[1]character_tribe_i18n!$A:$H,7,FALSE)</f>
        <v>1.07</v>
      </c>
      <c r="AE10" s="9" t="s">
        <v>178</v>
      </c>
      <c r="AF10" s="62" t="str">
        <f ca="1">IF(AE10="NULL","",VLOOKUP($AE10,OFFSET([1]characters!$A$1,0,0,COUNTA([1]characters!$A:$A),MATCH(AF$1,[1]characters!$1:$1,0)-MATCH($A$1,[1]characters!$1:$1,0)+1),MATCH(AF$1,[1]characters!$1:$1,0)-MATCH($A$1,[1]characters!$1:$1,0)+1,FALSE))</f>
        <v/>
      </c>
      <c r="AG10" s="5">
        <v>15</v>
      </c>
      <c r="AH10" s="62" t="str">
        <f ca="1">VLOOKUP($AG10,OFFSET([1]characters!$A$1,0,0,COUNTA([1]characters!$A:$A),MATCH(AH$1,[1]characters!$1:$1,0)-MATCH($A$1,[1]characters!$1:$1,0)+1),MATCH(AH$1,[1]characters!$1:$1,0)-MATCH($A$1,[1]characters!$1:$1,0)+1,FALSE)</f>
        <v>アカネ</v>
      </c>
      <c r="AI10" s="11" t="str">
        <f>IF(AE10="NULL","NULL",VLOOKUP(G10,ビット!$A$2:$B$7,2))</f>
        <v>NULL</v>
      </c>
      <c r="AJ10" s="6">
        <v>2</v>
      </c>
      <c r="AK10" s="7" t="str">
        <f t="shared" si="12"/>
        <v>普通</v>
      </c>
      <c r="AL10" s="11" t="str">
        <f ca="1">INDEX(経験値!$A$1:$I$21,MATCH(H10,経験値!$A$1:$A$21,FALSE),MATCH(G10,経験値!$A$1:$I$1,FALSE))</f>
        <v>required_exp_70</v>
      </c>
      <c r="AM10" s="8">
        <f ca="1">VLOOKUP(G10,経験値!$A$28:$B$32,2)</f>
        <v>200</v>
      </c>
      <c r="AN10" s="17">
        <f ca="1">VLOOKUP(G10,ビット!$G$2:$H$7,2)</f>
        <v>75</v>
      </c>
      <c r="AO10" s="45"/>
      <c r="AP10" s="67">
        <f t="shared" si="8"/>
        <v>533</v>
      </c>
      <c r="AQ10" s="57" t="str">
        <f ca="1">VLOOKUP($AP10,OFFSET(unit_skills!$A$1,0,0,COUNTA(unit_skills!$A:$A),MATCH(AQ$1,unit_skills!$1:$1,0)-MATCH($AP$1,unit_skills!$1:$1,0)+1),MATCH(AQ$1,unit_skills!$1:$1,0)-MATCH($AP$1,unit_skills!$1:$1,0)+1,FALSE)</f>
        <v>スノウ・チアリング</v>
      </c>
      <c r="AR10" s="57" t="str">
        <f ca="1">VLOOKUP($AP10,OFFSET(unit_skills!$A$1,0,0,COUNTA(unit_skills!$A:$A),MATCH(AR$1,unit_skills!$1:$1,0)-MATCH($AP$1,unit_skills!$1:$1,0)+1),MATCH(AR$1,unit_skills!$1:$1,0)-MATCH($AP$1,unit_skills!$1:$1,0)+1,FALSE)</f>
        <v>3ターンの間全ユニットの攻撃力を小UP</v>
      </c>
      <c r="AS10" s="57">
        <f ca="1">VLOOKUP($AP10,OFFSET(unit_skills!$A$1,0,0,COUNTA(unit_skills!$A:$A),MATCH(AS$1,unit_skills!$1:$1,0)-MATCH($AP$1,unit_skills!$1:$1,0)+1),MATCH(AS$1,unit_skills!$1:$1,0)-MATCH($AP$1,unit_skills!$1:$1,0)+1,FALSE)</f>
        <v>0</v>
      </c>
      <c r="AT10" s="41">
        <f t="shared" si="9"/>
        <v>533</v>
      </c>
      <c r="AU10" s="57" t="str">
        <f ca="1">VLOOKUP($AT10,OFFSET(crash_skills!$A$1,0,0,COUNTA(crash_skills!$A:$A),MATCH(AU$1,crash_skills!$1:$1,0)-MATCH($AT$1,crash_skills!$1:$1,0)+1),MATCH(AU$1,crash_skills!$1:$1,0)-MATCH($AT$1,crash_skills!$1:$1,0)+1,FALSE)</f>
        <v>雪日の煙日</v>
      </c>
      <c r="AV10" s="57" t="str">
        <f ca="1">VLOOKUP($AT10,OFFSET(crash_skills!$A$1,0,0,COUNTA(crash_skills!$A:$A),MATCH(AV$1,crash_skills!$1:$1,0)-MATCH($AT$1,crash_skills!$1:$1,0)+1),MATCH(AV$1,crash_skills!$1:$1,0)-MATCH($AT$1,crash_skills!$1:$1,0)+1,FALSE)</f>
        <v>全体に威力800の攻撃</v>
      </c>
      <c r="AW10" s="57">
        <f ca="1">VLOOKUP($AT10,OFFSET(crash_skills!$A$1,0,0,COUNTA(crash_skills!$A:$A),MATCH(AW$1,crash_skills!$1:$1,0)-MATCH($AT$1,crash_skills!$1:$1,0)+1),MATCH(AW$1,crash_skills!$1:$1,0)-MATCH($AT$1,crash_skills!$1:$1,0)+1,FALSE)</f>
        <v>0</v>
      </c>
      <c r="AX10" s="58">
        <f ca="1">VLOOKUP($A10,OFFSET([1]characters!$A$1,0,0,COUNTA([1]characters!$A:$A),MATCH(AX$1,[1]characters!$1:$1,0)-MATCH($A$1,[1]characters!$1:$1,0)+1),MATCH(AX$1,[1]characters!$1:$1,0)-MATCH($A$1,[1]characters!$1:$1,0)+1,FALSE)</f>
        <v>3</v>
      </c>
      <c r="AY10" s="68">
        <v>1</v>
      </c>
      <c r="AZ10" s="68">
        <v>1</v>
      </c>
      <c r="BA10" s="68">
        <v>0</v>
      </c>
      <c r="BB10" s="68">
        <v>1</v>
      </c>
      <c r="BC10" s="11">
        <f ca="1">INDEX('RC6SV'!$A$1:$G$21,MATCH(H10,'RC6SV'!$A$1:$A$21,FALSE),MATCH(G10,'RC6SV'!$A$1:$G$1,FALSE))</f>
        <v>1750</v>
      </c>
      <c r="BD10" s="48">
        <f t="shared" ca="1" si="13"/>
        <v>1750</v>
      </c>
      <c r="BE10" s="11">
        <f t="shared" ca="1" si="4"/>
        <v>0</v>
      </c>
      <c r="BF10" s="11">
        <f t="shared" ca="1" si="5"/>
        <v>1</v>
      </c>
      <c r="BG10" s="16">
        <f ca="1">IF($BE10&lt;=0,ROUND(BK10*0.5,0), ROUND($BE10*S10*AA10*J10*AY10*0.8*[1]ステータス!$B$2,0))</f>
        <v>412</v>
      </c>
      <c r="BH10" s="16">
        <f ca="1">IF($BE10&lt;=0,ROUND(BL10*0.5,0), ROUND($BE10*T10*AB10*K10*AZ10*0.8*[1]ステータス!$C$2,0))</f>
        <v>265</v>
      </c>
      <c r="BI10" s="16">
        <f ca="1">IF($BE10&lt;=0,ROUND(BM10*0.5,0), ROUND($BE10*U10*AC10*L10*BA10*0.8*[1]ステータス!$D$2,0))</f>
        <v>0</v>
      </c>
      <c r="BJ10" s="16">
        <f ca="1">IF($BE10&lt;=0,ROUND(BN10*0.5,0), ROUND($BE10*V10*AD10*M10*BB10*0.8*[1]ステータス!$E$2,0))</f>
        <v>230</v>
      </c>
      <c r="BK10" s="11">
        <f ca="1">ROUND(BD10*S10*AA10*J10*AY10*[1]ステータス!$B$2,0)</f>
        <v>823</v>
      </c>
      <c r="BL10" s="11">
        <f ca="1">ROUND(BD10*T10*AB10*K10*AZ10*[1]ステータス!$C$2,0)</f>
        <v>530</v>
      </c>
      <c r="BM10" s="11">
        <f ca="1">ROUND(BD10*U10*AC10*L10*BA10*[1]ステータス!$D$2,0)</f>
        <v>0</v>
      </c>
      <c r="BN10" s="11">
        <f ca="1">ROUND(BD10*V10*AD10*M10*BB10*[1]ステータス!$E$2,0)</f>
        <v>459</v>
      </c>
      <c r="BO10" s="10">
        <v>0</v>
      </c>
      <c r="BP10" s="10">
        <v>1</v>
      </c>
      <c r="BQ10" s="10" t="s">
        <v>47</v>
      </c>
      <c r="BR10" s="10">
        <f ca="1">VLOOKUP(H10,ghosts_label!$A$2:$B$19,2,FALSE)</f>
        <v>1</v>
      </c>
    </row>
    <row r="11" spans="1:70" ht="21" customHeight="1" x14ac:dyDescent="0.15">
      <c r="A11" s="134">
        <v>534</v>
      </c>
      <c r="B11" s="57" t="str">
        <f ca="1">VLOOKUP($A11,OFFSET([1]characters!$A$1,0,0,COUNTA([1]characters!$A:$A),MATCH(B$1,[1]characters!$1:$1,0)-MATCH($A$1,[1]characters!$1:$1,0)+1),MATCH(B$1,[1]characters!$1:$1,0)-MATCH($A$1,[1]characters!$1:$1,0)+1,FALSE)</f>
        <v>冬服パトライン</v>
      </c>
      <c r="C11" s="57" t="str">
        <f ca="1">VLOOKUP($A11,OFFSET([1]characters!$A$1,0,0,COUNTA([1]characters!$A:$A),MATCH(C$1,[1]characters!$1:$1,0)-MATCH($A$1,[1]characters!$1:$1,0)+1),MATCH(C$1,[1]characters!$1:$1,0)-MATCH($A$1,[1]characters!$1:$1,0)+1,FALSE)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1" s="57" t="str">
        <f ca="1">VLOOKUP($A11,OFFSET([1]characters!$A$1,0,0,COUNTA([1]characters!$A:$A),MATCH(D$1,[1]characters!$1:$1,0)-MATCH($A$1,[1]characters!$1:$1,0)+1),MATCH(D$1,[1]characters!$1:$1,0)-MATCH($A$1,[1]characters!$1:$1,0)+1,FALSE)</f>
        <v>執行者</v>
      </c>
      <c r="E11" s="57" t="str">
        <f ca="1">VLOOKUP($A11,OFFSET([1]characters!$A$1,0,0,COUNTA([1]characters!$A:$A),MATCH(E$1,[1]characters!$1:$1,0)-MATCH($A$1,[1]characters!$1:$1,0)+1),MATCH(E$1,[1]characters!$1:$1,0)-MATCH($A$1,[1]characters!$1:$1,0)+1,FALSE)</f>
        <v>格好いい</v>
      </c>
      <c r="F11" s="57" t="str">
        <f ca="1">VLOOKUP($A11,OFFSET([1]characters!$A$1,0,0,COUNTA([1]characters!$A:$A),MATCH(F$1,[1]characters!$1:$1,0)-MATCH($A$1,[1]characters!$1:$1,0)+1),MATCH(F$1,[1]characters!$1:$1,0)-MATCH($A$1,[1]characters!$1:$1,0)+1,FALSE)</f>
        <v>不明</v>
      </c>
      <c r="G11" s="57">
        <f ca="1">VLOOKUP($A11,OFFSET([1]characters!$A$1,0,0,COUNTA([1]characters!$A:$A),MATCH(G$1,[1]characters!$1:$1,0)-MATCH($A$1,[1]characters!$1:$1,0)+1),MATCH(G$1,[1]characters!$1:$1,0)-MATCH($A$1,[1]characters!$1:$1,0)+1,FALSE)</f>
        <v>1</v>
      </c>
      <c r="H11" s="57" t="str">
        <f ca="1">VLOOKUP($A11,OFFSET([1]characters!$A$1,0,0,COUNTA([1]characters!$A:$A),MATCH(H$1,[1]characters!$1:$1,0)-MATCH($A$1,[1]characters!$1:$1,0)+1),MATCH(H$1,[1]characters!$1:$1,0)-MATCH($A$1,[1]characters!$1:$1,0)+1,FALSE)</f>
        <v>Drop1W</v>
      </c>
      <c r="I11" s="57" t="str">
        <f ca="1">VLOOKUP($A11,OFFSET([1]characters!$A$1,0,0,COUNTA([1]characters!$A:$A),MATCH(I$1,[1]characters!$1:$1,0)-MATCH($A$1,[1]characters!$1:$1,0)+1),MATCH(I$1,[1]characters!$1:$1,0)-MATCH($A$1,[1]characters!$1:$1,0)+1,FALSE)</f>
        <v>green</v>
      </c>
      <c r="J11" s="11">
        <f ca="1">VLOOKUP(I11,[1]属性!$A:$E,2,FALSE)</f>
        <v>1.02</v>
      </c>
      <c r="K11" s="11">
        <f ca="1">VLOOKUP(I11,[1]属性!$A:$E,3,FALSE)</f>
        <v>0.98</v>
      </c>
      <c r="L11" s="11">
        <f ca="1">VLOOKUP(I11,[1]属性!$A:$E,4,FALSE)</f>
        <v>1</v>
      </c>
      <c r="M11" s="11">
        <f ca="1">VLOOKUP(I11,[1]属性!$A:$E,5,FALSE)</f>
        <v>1</v>
      </c>
      <c r="N11" s="11">
        <f ca="1">INDEX(コスト!$A$1:$I$21,MATCH(H11,コスト!$A$1:$A$21,FALSE),MATCH(G11,コスト!$A$1:$I$1,FALSE))</f>
        <v>1</v>
      </c>
      <c r="O11" s="11">
        <f ca="1">INDEX(レベル!$A$1:$I$21,MATCH(H11,レベル!$A$1:$A$21,FALSE),MATCH(G11,レベル!$A$1:$I$1,FALSE))</f>
        <v>15</v>
      </c>
      <c r="P11" s="48">
        <f t="shared" ca="1" si="11"/>
        <v>15</v>
      </c>
      <c r="Q11" s="57" t="str">
        <f ca="1">VLOOKUP($A11,OFFSET([1]characters!$A$1,0,0,COUNTA([1]characters!$A:$A),MATCH(Q$1,[1]characters!$1:$1,0)-MATCH($A$1,[1]characters!$1:$1,0)+1),MATCH(Q$1,[1]characters!$1:$1,0)-MATCH($A$1,[1]characters!$1:$1,0)+1,FALSE)</f>
        <v>heal</v>
      </c>
      <c r="R11" s="5" t="str">
        <f ca="1">VLOOKUP(Q11,[1]character_type_i18n!$A:$H,3,FALSE)</f>
        <v>回復タイプ</v>
      </c>
      <c r="S11" s="11">
        <f ca="1">VLOOKUP(Q11,[1]character_type_i18n!$A:$H,4,FALSE)</f>
        <v>0.8</v>
      </c>
      <c r="T11" s="11">
        <f ca="1">VLOOKUP(Q11,[1]character_type_i18n!$A:$H,5,FALSE)</f>
        <v>0.78</v>
      </c>
      <c r="U11" s="11">
        <f ca="1">VLOOKUP(Q11,[1]character_type_i18n!$A:$H,6,FALSE)</f>
        <v>1</v>
      </c>
      <c r="V11" s="11">
        <f ca="1">VLOOKUP(Q11,[1]character_type_i18n!$A:$H,7,FALSE)</f>
        <v>1.42</v>
      </c>
      <c r="W11" s="57" t="str">
        <f ca="1">VLOOKUP($A11,OFFSET([1]characters!$A$1,0,0,COUNTA([1]characters!$A:$A),MATCH(W$1,[1]characters!$1:$1,0)-MATCH($A$1,[1]characters!$1:$1,0)+1),MATCH(W$1,[1]characters!$1:$1,0)-MATCH($A$1,[1]characters!$1:$1,0)+1,FALSE)</f>
        <v>machine</v>
      </c>
      <c r="X11" s="5" t="str">
        <f ca="1">VLOOKUP(W11,[1]character_tribe_i18n!$A:$H,3,FALSE)</f>
        <v>マシン</v>
      </c>
      <c r="Y11" s="57" t="str">
        <f ca="1">VLOOKUP($A11,OFFSET([1]characters!$A$1,0,0,COUNTA([1]characters!$A:$A),MATCH(Y$1,[1]characters!$1:$1,0)-MATCH($A$1,[1]characters!$1:$1,0)+1),MATCH(Y$1,[1]characters!$1:$1,0)-MATCH($A$1,[1]characters!$1:$1,0)+1,FALSE)</f>
        <v>none</v>
      </c>
      <c r="Z11" s="5" t="str">
        <f ca="1">VLOOKUP(Y11,[1]character_tribe_i18n!$A:$H,3,FALSE)</f>
        <v>種族なし</v>
      </c>
      <c r="AA11" s="11">
        <f ca="1">VLOOKUP(W11,[1]character_tribe_i18n!$A:$H,4,FALSE)</f>
        <v>1</v>
      </c>
      <c r="AB11" s="11">
        <f ca="1">VLOOKUP(W11,[1]character_tribe_i18n!$A:$H,5,FALSE)</f>
        <v>1</v>
      </c>
      <c r="AC11" s="11">
        <f ca="1">VLOOKUP(W11,[1]character_tribe_i18n!$A:$H,6,FALSE)</f>
        <v>1</v>
      </c>
      <c r="AD11" s="11">
        <f ca="1">VLOOKUP(W11,[1]character_tribe_i18n!$A:$H,7,FALSE)</f>
        <v>1</v>
      </c>
      <c r="AE11" s="9" t="s">
        <v>178</v>
      </c>
      <c r="AF11" s="62" t="str">
        <f ca="1">IF(AE11="NULL","",VLOOKUP($AE11,OFFSET([1]characters!$A$1,0,0,COUNTA([1]characters!$A:$A),MATCH(AF$1,[1]characters!$1:$1,0)-MATCH($A$1,[1]characters!$1:$1,0)+1),MATCH(AF$1,[1]characters!$1:$1,0)-MATCH($A$1,[1]characters!$1:$1,0)+1,FALSE))</f>
        <v/>
      </c>
      <c r="AG11" s="5">
        <v>27</v>
      </c>
      <c r="AH11" s="62" t="str">
        <f ca="1">VLOOKUP($AG11,OFFSET([1]characters!$A$1,0,0,COUNTA([1]characters!$A:$A),MATCH(AH$1,[1]characters!$1:$1,0)-MATCH($A$1,[1]characters!$1:$1,0)+1),MATCH(AH$1,[1]characters!$1:$1,0)-MATCH($A$1,[1]characters!$1:$1,0)+1,FALSE)</f>
        <v>パトライン</v>
      </c>
      <c r="AI11" s="11" t="str">
        <f>IF(AE11="NULL","NULL",VLOOKUP(G11,ビット!$A$2:$B$7,2))</f>
        <v>NULL</v>
      </c>
      <c r="AJ11" s="6">
        <v>2</v>
      </c>
      <c r="AK11" s="7" t="str">
        <f t="shared" si="12"/>
        <v>普通</v>
      </c>
      <c r="AL11" s="11" t="str">
        <f ca="1">INDEX(経験値!$A$1:$I$21,MATCH(H11,経験値!$A$1:$A$21,FALSE),MATCH(G11,経験値!$A$1:$I$1,FALSE))</f>
        <v>required_exp_70</v>
      </c>
      <c r="AM11" s="8">
        <f ca="1">VLOOKUP(G11,経験値!$A$28:$B$32,2)</f>
        <v>200</v>
      </c>
      <c r="AN11" s="17">
        <f ca="1">VLOOKUP(G11,ビット!$G$2:$H$7,2)</f>
        <v>75</v>
      </c>
      <c r="AO11" s="45"/>
      <c r="AP11" s="67">
        <f t="shared" si="8"/>
        <v>534</v>
      </c>
      <c r="AQ11" s="57" t="str">
        <f ca="1">VLOOKUP($AP11,OFFSET(unit_skills!$A$1,0,0,COUNTA(unit_skills!$A:$A),MATCH(AQ$1,unit_skills!$1:$1,0)-MATCH($AP$1,unit_skills!$1:$1,0)+1),MATCH(AQ$1,unit_skills!$1:$1,0)-MATCH($AP$1,unit_skills!$1:$1,0)+1,FALSE)</f>
        <v>スノウ・グリーン</v>
      </c>
      <c r="AR11" s="57" t="str">
        <f ca="1">VLOOKUP($AP11,OFFSET(unit_skills!$A$1,0,0,COUNTA(unit_skills!$A:$A),MATCH(AR$1,unit_skills!$1:$1,0)-MATCH($AP$1,unit_skills!$1:$1,0)+1),MATCH(AR$1,unit_skills!$1:$1,0)-MATCH($AP$1,unit_skills!$1:$1,0)+1,FALSE)</f>
        <v>単体に緑属性の小ダメージ</v>
      </c>
      <c r="AS11" s="57">
        <f ca="1">VLOOKUP($AP11,OFFSET(unit_skills!$A$1,0,0,COUNTA(unit_skills!$A:$A),MATCH(AS$1,unit_skills!$1:$1,0)-MATCH($AP$1,unit_skills!$1:$1,0)+1),MATCH(AS$1,unit_skills!$1:$1,0)-MATCH($AP$1,unit_skills!$1:$1,0)+1,FALSE)</f>
        <v>0</v>
      </c>
      <c r="AT11" s="41">
        <f t="shared" si="9"/>
        <v>534</v>
      </c>
      <c r="AU11" s="57" t="str">
        <f ca="1">VLOOKUP($AT11,OFFSET(crash_skills!$A$1,0,0,COUNTA(crash_skills!$A:$A),MATCH(AU$1,crash_skills!$1:$1,0)-MATCH($AT$1,crash_skills!$1:$1,0)+1),MATCH(AU$1,crash_skills!$1:$1,0)-MATCH($AT$1,crash_skills!$1:$1,0)+1,FALSE)</f>
        <v>ウィンターナイフ</v>
      </c>
      <c r="AV11" s="57" t="str">
        <f ca="1">VLOOKUP($AT11,OFFSET(crash_skills!$A$1,0,0,COUNTA(crash_skills!$A:$A),MATCH(AV$1,crash_skills!$1:$1,0)-MATCH($AT$1,crash_skills!$1:$1,0)+1),MATCH(AV$1,crash_skills!$1:$1,0)-MATCH($AT$1,crash_skills!$1:$1,0)+1,FALSE)</f>
        <v>1体に威力1600の攻撃</v>
      </c>
      <c r="AW11" s="57">
        <f ca="1">VLOOKUP($AT11,OFFSET(crash_skills!$A$1,0,0,COUNTA(crash_skills!$A:$A),MATCH(AW$1,crash_skills!$1:$1,0)-MATCH($AT$1,crash_skills!$1:$1,0)+1),MATCH(AW$1,crash_skills!$1:$1,0)-MATCH($AT$1,crash_skills!$1:$1,0)+1,FALSE)</f>
        <v>0</v>
      </c>
      <c r="AX11" s="58">
        <f ca="1">VLOOKUP($A11,OFFSET([1]characters!$A$1,0,0,COUNTA([1]characters!$A:$A),MATCH(AX$1,[1]characters!$1:$1,0)-MATCH($A$1,[1]characters!$1:$1,0)+1),MATCH(AX$1,[1]characters!$1:$1,0)-MATCH($A$1,[1]characters!$1:$1,0)+1,FALSE)</f>
        <v>3</v>
      </c>
      <c r="AY11" s="68">
        <v>1</v>
      </c>
      <c r="AZ11" s="68">
        <v>1</v>
      </c>
      <c r="BA11" s="68">
        <v>0</v>
      </c>
      <c r="BB11" s="68">
        <v>1</v>
      </c>
      <c r="BC11" s="11">
        <f ca="1">INDEX('RC6SV'!$A$1:$G$21,MATCH(H11,'RC6SV'!$A$1:$A$21,FALSE),MATCH(G11,'RC6SV'!$A$1:$G$1,FALSE))</f>
        <v>1750</v>
      </c>
      <c r="BD11" s="48">
        <f t="shared" ca="1" si="13"/>
        <v>1750</v>
      </c>
      <c r="BE11" s="11">
        <f t="shared" ca="1" si="4"/>
        <v>0</v>
      </c>
      <c r="BF11" s="11">
        <f t="shared" ca="1" si="5"/>
        <v>1</v>
      </c>
      <c r="BG11" s="16">
        <f ca="1">IF($BE11&lt;=0,ROUND(BK11*0.5,0), ROUND($BE11*S11*AA11*J11*AY11*0.8*[1]ステータス!$B$2,0))</f>
        <v>357</v>
      </c>
      <c r="BH11" s="16">
        <f ca="1">IF($BE11&lt;=0,ROUND(BL11*0.5,0), ROUND($BE11*T11*AB11*K11*AZ11*0.8*[1]ステータス!$C$2,0))</f>
        <v>201</v>
      </c>
      <c r="BI11" s="16">
        <f ca="1">IF($BE11&lt;=0,ROUND(BM11*0.5,0), ROUND($BE11*U11*AC11*L11*BA11*0.8*[1]ステータス!$D$2,0))</f>
        <v>0</v>
      </c>
      <c r="BJ11" s="16">
        <f ca="1">IF($BE11&lt;=0,ROUND(BN11*0.5,0), ROUND($BE11*V11*AD11*M11*BB11*0.8*[1]ステータス!$E$2,0))</f>
        <v>311</v>
      </c>
      <c r="BK11" s="11">
        <f ca="1">ROUND(BD11*S11*AA11*J11*AY11*[1]ステータス!$B$2,0)</f>
        <v>714</v>
      </c>
      <c r="BL11" s="11">
        <f ca="1">ROUND(BD11*T11*AB11*K11*AZ11*[1]ステータス!$C$2,0)</f>
        <v>401</v>
      </c>
      <c r="BM11" s="11">
        <f ca="1">ROUND(BD11*U11*AC11*L11*BA11*[1]ステータス!$D$2,0)</f>
        <v>0</v>
      </c>
      <c r="BN11" s="11">
        <f ca="1">ROUND(BD11*V11*AD11*M11*BB11*[1]ステータス!$E$2,0)</f>
        <v>621</v>
      </c>
      <c r="BO11" s="10">
        <v>0</v>
      </c>
      <c r="BP11" s="10">
        <v>1</v>
      </c>
      <c r="BQ11" s="10" t="s">
        <v>47</v>
      </c>
      <c r="BR11" s="10">
        <f ca="1">VLOOKUP(H11,ghosts_label!$A$2:$B$19,2,FALSE)</f>
        <v>1</v>
      </c>
    </row>
    <row r="12" spans="1:70" ht="21" customHeight="1" x14ac:dyDescent="0.15">
      <c r="A12" s="134">
        <v>535</v>
      </c>
      <c r="B12" s="57" t="str">
        <f ca="1">VLOOKUP($A12,OFFSET([1]characters!$A$1,0,0,COUNTA([1]characters!$A:$A),MATCH(B$1,[1]characters!$1:$1,0)-MATCH($A$1,[1]characters!$1:$1,0)+1),MATCH(B$1,[1]characters!$1:$1,0)-MATCH($A$1,[1]characters!$1:$1,0)+1,FALSE)</f>
        <v>冬服リム</v>
      </c>
      <c r="C12" s="57" t="str">
        <f ca="1">VLOOKUP($A12,OFFSET([1]characters!$A$1,0,0,COUNTA([1]characters!$A:$A),MATCH(C$1,[1]characters!$1:$1,0)-MATCH($A$1,[1]characters!$1:$1,0)+1),MATCH(C$1,[1]characters!$1:$1,0)-MATCH($A$1,[1]characters!$1:$1,0)+1,FALSE)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2" s="57" t="str">
        <f ca="1">VLOOKUP($A12,OFFSET([1]characters!$A$1,0,0,COUNTA([1]characters!$A:$A),MATCH(D$1,[1]characters!$1:$1,0)-MATCH($A$1,[1]characters!$1:$1,0)+1),MATCH(D$1,[1]characters!$1:$1,0)-MATCH($A$1,[1]characters!$1:$1,0)+1,FALSE)</f>
        <v>執行者</v>
      </c>
      <c r="E12" s="57" t="str">
        <f ca="1">VLOOKUP($A12,OFFSET([1]characters!$A$1,0,0,COUNTA([1]characters!$A:$A),MATCH(E$1,[1]characters!$1:$1,0)-MATCH($A$1,[1]characters!$1:$1,0)+1),MATCH(E$1,[1]characters!$1:$1,0)-MATCH($A$1,[1]characters!$1:$1,0)+1,FALSE)</f>
        <v>格好いい</v>
      </c>
      <c r="F12" s="57" t="str">
        <f ca="1">VLOOKUP($A12,OFFSET([1]characters!$A$1,0,0,COUNTA([1]characters!$A:$A),MATCH(F$1,[1]characters!$1:$1,0)-MATCH($A$1,[1]characters!$1:$1,0)+1),MATCH(F$1,[1]characters!$1:$1,0)-MATCH($A$1,[1]characters!$1:$1,0)+1,FALSE)</f>
        <v>不明</v>
      </c>
      <c r="G12" s="57">
        <f ca="1">VLOOKUP($A12,OFFSET([1]characters!$A$1,0,0,COUNTA([1]characters!$A:$A),MATCH(G$1,[1]characters!$1:$1,0)-MATCH($A$1,[1]characters!$1:$1,0)+1),MATCH(G$1,[1]characters!$1:$1,0)-MATCH($A$1,[1]characters!$1:$1,0)+1,FALSE)</f>
        <v>1</v>
      </c>
      <c r="H12" s="57" t="str">
        <f ca="1">VLOOKUP($A12,OFFSET([1]characters!$A$1,0,0,COUNTA([1]characters!$A:$A),MATCH(H$1,[1]characters!$1:$1,0)-MATCH($A$1,[1]characters!$1:$1,0)+1),MATCH(H$1,[1]characters!$1:$1,0)-MATCH($A$1,[1]characters!$1:$1,0)+1,FALSE)</f>
        <v>Drop1W</v>
      </c>
      <c r="I12" s="57" t="str">
        <f ca="1">VLOOKUP($A12,OFFSET([1]characters!$A$1,0,0,COUNTA([1]characters!$A:$A),MATCH(I$1,[1]characters!$1:$1,0)-MATCH($A$1,[1]characters!$1:$1,0)+1),MATCH(I$1,[1]characters!$1:$1,0)-MATCH($A$1,[1]characters!$1:$1,0)+1,FALSE)</f>
        <v>blue</v>
      </c>
      <c r="J12" s="11">
        <f ca="1">VLOOKUP(I12,[1]属性!$A:$E,2,FALSE)</f>
        <v>1</v>
      </c>
      <c r="K12" s="11">
        <f ca="1">VLOOKUP(I12,[1]属性!$A:$E,3,FALSE)</f>
        <v>0.98</v>
      </c>
      <c r="L12" s="11">
        <f ca="1">VLOOKUP(I12,[1]属性!$A:$E,4,FALSE)</f>
        <v>1</v>
      </c>
      <c r="M12" s="11">
        <f ca="1">VLOOKUP(I12,[1]属性!$A:$E,5,FALSE)</f>
        <v>1.02</v>
      </c>
      <c r="N12" s="11">
        <f ca="1">INDEX(コスト!$A$1:$I$21,MATCH(H12,コスト!$A$1:$A$21,FALSE),MATCH(G12,コスト!$A$1:$I$1,FALSE))</f>
        <v>1</v>
      </c>
      <c r="O12" s="11">
        <f ca="1">INDEX(レベル!$A$1:$I$21,MATCH(H12,レベル!$A$1:$A$21,FALSE),MATCH(G12,レベル!$A$1:$I$1,FALSE))</f>
        <v>15</v>
      </c>
      <c r="P12" s="48">
        <f t="shared" ca="1" si="11"/>
        <v>15</v>
      </c>
      <c r="Q12" s="57" t="str">
        <f ca="1">VLOOKUP($A12,OFFSET([1]characters!$A$1,0,0,COUNTA([1]characters!$A:$A),MATCH(Q$1,[1]characters!$1:$1,0)-MATCH($A$1,[1]characters!$1:$1,0)+1),MATCH(Q$1,[1]characters!$1:$1,0)-MATCH($A$1,[1]characters!$1:$1,0)+1,FALSE)</f>
        <v>balance</v>
      </c>
      <c r="R12" s="5" t="str">
        <f ca="1">VLOOKUP(Q12,[1]character_type_i18n!$A:$H,3,FALSE)</f>
        <v>バランスタイプ</v>
      </c>
      <c r="S12" s="11">
        <f ca="1">VLOOKUP(Q12,[1]character_type_i18n!$A:$H,4,FALSE)</f>
        <v>1</v>
      </c>
      <c r="T12" s="11">
        <f ca="1">VLOOKUP(Q12,[1]character_type_i18n!$A:$H,5,FALSE)</f>
        <v>1</v>
      </c>
      <c r="U12" s="11">
        <f ca="1">VLOOKUP(Q12,[1]character_type_i18n!$A:$H,6,FALSE)</f>
        <v>1</v>
      </c>
      <c r="V12" s="11">
        <f ca="1">VLOOKUP(Q12,[1]character_type_i18n!$A:$H,7,FALSE)</f>
        <v>1</v>
      </c>
      <c r="W12" s="57" t="str">
        <f ca="1">VLOOKUP($A12,OFFSET([1]characters!$A$1,0,0,COUNTA([1]characters!$A:$A),MATCH(W$1,[1]characters!$1:$1,0)-MATCH($A$1,[1]characters!$1:$1,0)+1),MATCH(W$1,[1]characters!$1:$1,0)-MATCH($A$1,[1]characters!$1:$1,0)+1,FALSE)</f>
        <v>human</v>
      </c>
      <c r="X12" s="5" t="str">
        <f ca="1">VLOOKUP(W12,[1]character_tribe_i18n!$A:$H,3,FALSE)</f>
        <v>ヒューマン</v>
      </c>
      <c r="Y12" s="57" t="str">
        <f ca="1">VLOOKUP($A12,OFFSET([1]characters!$A$1,0,0,COUNTA([1]characters!$A:$A),MATCH(Y$1,[1]characters!$1:$1,0)-MATCH($A$1,[1]characters!$1:$1,0)+1),MATCH(Y$1,[1]characters!$1:$1,0)-MATCH($A$1,[1]characters!$1:$1,0)+1,FALSE)</f>
        <v>machine</v>
      </c>
      <c r="Z12" s="5" t="str">
        <f ca="1">VLOOKUP(Y12,[1]character_tribe_i18n!$A:$H,3,FALSE)</f>
        <v>マシン</v>
      </c>
      <c r="AA12" s="11">
        <f ca="1">VLOOKUP(W12,[1]character_tribe_i18n!$A:$H,4,FALSE)</f>
        <v>0.94</v>
      </c>
      <c r="AB12" s="11">
        <f ca="1">VLOOKUP(W12,[1]character_tribe_i18n!$A:$H,5,FALSE)</f>
        <v>0.99</v>
      </c>
      <c r="AC12" s="11">
        <f ca="1">VLOOKUP(W12,[1]character_tribe_i18n!$A:$H,6,FALSE)</f>
        <v>1</v>
      </c>
      <c r="AD12" s="11">
        <f ca="1">VLOOKUP(W12,[1]character_tribe_i18n!$A:$H,7,FALSE)</f>
        <v>1.07</v>
      </c>
      <c r="AE12" s="9" t="s">
        <v>178</v>
      </c>
      <c r="AF12" s="62" t="str">
        <f ca="1">IF(AE12="NULL","",VLOOKUP($AE12,OFFSET([1]characters!$A$1,0,0,COUNTA([1]characters!$A:$A),MATCH(AF$1,[1]characters!$1:$1,0)-MATCH($A$1,[1]characters!$1:$1,0)+1),MATCH(AF$1,[1]characters!$1:$1,0)-MATCH($A$1,[1]characters!$1:$1,0)+1,FALSE))</f>
        <v/>
      </c>
      <c r="AG12" s="5">
        <v>17</v>
      </c>
      <c r="AH12" s="62" t="str">
        <f ca="1">VLOOKUP($AG12,OFFSET([1]characters!$A$1,0,0,COUNTA([1]characters!$A:$A),MATCH(AH$1,[1]characters!$1:$1,0)-MATCH($A$1,[1]characters!$1:$1,0)+1),MATCH(AH$1,[1]characters!$1:$1,0)-MATCH($A$1,[1]characters!$1:$1,0)+1,FALSE)</f>
        <v>リム</v>
      </c>
      <c r="AI12" s="11" t="str">
        <f>IF(AE12="NULL","NULL",VLOOKUP(G12,ビット!$A$2:$B$7,2))</f>
        <v>NULL</v>
      </c>
      <c r="AJ12" s="6">
        <v>2</v>
      </c>
      <c r="AK12" s="7" t="str">
        <f t="shared" si="12"/>
        <v>普通</v>
      </c>
      <c r="AL12" s="11" t="str">
        <f ca="1">INDEX(経験値!$A$1:$I$21,MATCH(H12,経験値!$A$1:$A$21,FALSE),MATCH(G12,経験値!$A$1:$I$1,FALSE))</f>
        <v>required_exp_70</v>
      </c>
      <c r="AM12" s="8">
        <f ca="1">VLOOKUP(G12,経験値!$A$28:$B$32,2)</f>
        <v>200</v>
      </c>
      <c r="AN12" s="17">
        <f ca="1">VLOOKUP(G12,ビット!$G$2:$H$7,2)</f>
        <v>75</v>
      </c>
      <c r="AO12" s="45"/>
      <c r="AP12" s="67">
        <f t="shared" si="8"/>
        <v>535</v>
      </c>
      <c r="AQ12" s="57" t="str">
        <f ca="1">VLOOKUP($AP12,OFFSET(unit_skills!$A$1,0,0,COUNTA(unit_skills!$A:$A),MATCH(AQ$1,unit_skills!$1:$1,0)-MATCH($AP$1,unit_skills!$1:$1,0)+1),MATCH(AQ$1,unit_skills!$1:$1,0)-MATCH($AP$1,unit_skills!$1:$1,0)+1,FALSE)</f>
        <v>スノウ・ナビゲイト</v>
      </c>
      <c r="AR12" s="57" t="str">
        <f ca="1">VLOOKUP($AP12,OFFSET(unit_skills!$A$1,0,0,COUNTA(unit_skills!$A:$A),MATCH(AR$1,unit_skills!$1:$1,0)-MATCH($AP$1,unit_skills!$1:$1,0)+1),MATCH(AR$1,unit_skills!$1:$1,0)-MATCH($AP$1,unit_skills!$1:$1,0)+1,FALSE)</f>
        <v>3ターンの間全ユニットの回復力を小UP</v>
      </c>
      <c r="AS12" s="57">
        <f ca="1">VLOOKUP($AP12,OFFSET(unit_skills!$A$1,0,0,COUNTA(unit_skills!$A:$A),MATCH(AS$1,unit_skills!$1:$1,0)-MATCH($AP$1,unit_skills!$1:$1,0)+1),MATCH(AS$1,unit_skills!$1:$1,0)-MATCH($AP$1,unit_skills!$1:$1,0)+1,FALSE)</f>
        <v>0</v>
      </c>
      <c r="AT12" s="41">
        <f t="shared" si="9"/>
        <v>535</v>
      </c>
      <c r="AU12" s="57" t="str">
        <f ca="1">VLOOKUP($AT12,OFFSET(crash_skills!$A$1,0,0,COUNTA(crash_skills!$A:$A),MATCH(AU$1,crash_skills!$1:$1,0)-MATCH($AT$1,crash_skills!$1:$1,0)+1),MATCH(AU$1,crash_skills!$1:$1,0)-MATCH($AT$1,crash_skills!$1:$1,0)+1,FALSE)</f>
        <v>雪日の拡凍</v>
      </c>
      <c r="AV12" s="57" t="str">
        <f ca="1">VLOOKUP($AT12,OFFSET(crash_skills!$A$1,0,0,COUNTA(crash_skills!$A:$A),MATCH(AV$1,crash_skills!$1:$1,0)-MATCH($AT$1,crash_skills!$1:$1,0)+1),MATCH(AV$1,crash_skills!$1:$1,0)-MATCH($AT$1,crash_skills!$1:$1,0)+1,FALSE)</f>
        <v>全体に小ダメージ</v>
      </c>
      <c r="AW12" s="57">
        <f ca="1">VLOOKUP($AT12,OFFSET(crash_skills!$A$1,0,0,COUNTA(crash_skills!$A:$A),MATCH(AW$1,crash_skills!$1:$1,0)-MATCH($AT$1,crash_skills!$1:$1,0)+1),MATCH(AW$1,crash_skills!$1:$1,0)-MATCH($AT$1,crash_skills!$1:$1,0)+1,FALSE)</f>
        <v>0</v>
      </c>
      <c r="AX12" s="58">
        <f ca="1">VLOOKUP($A12,OFFSET([1]characters!$A$1,0,0,COUNTA([1]characters!$A:$A),MATCH(AX$1,[1]characters!$1:$1,0)-MATCH($A$1,[1]characters!$1:$1,0)+1),MATCH(AX$1,[1]characters!$1:$1,0)-MATCH($A$1,[1]characters!$1:$1,0)+1,FALSE)</f>
        <v>3</v>
      </c>
      <c r="AY12" s="68">
        <v>1</v>
      </c>
      <c r="AZ12" s="68">
        <v>1</v>
      </c>
      <c r="BA12" s="68">
        <v>0</v>
      </c>
      <c r="BB12" s="68">
        <v>1</v>
      </c>
      <c r="BC12" s="11">
        <f ca="1">INDEX('RC6SV'!$A$1:$G$21,MATCH(H12,'RC6SV'!$A$1:$A$21,FALSE),MATCH(G12,'RC6SV'!$A$1:$G$1,FALSE))</f>
        <v>1750</v>
      </c>
      <c r="BD12" s="48">
        <f t="shared" ca="1" si="13"/>
        <v>1750</v>
      </c>
      <c r="BE12" s="11">
        <f t="shared" ca="1" si="4"/>
        <v>0</v>
      </c>
      <c r="BF12" s="11">
        <f t="shared" ca="1" si="5"/>
        <v>1</v>
      </c>
      <c r="BG12" s="16">
        <f ca="1">IF($BE12&lt;=0,ROUND(BK12*0.5,0), ROUND($BE12*S12*AA12*J12*AY12*0.8*[1]ステータス!$B$2,0))</f>
        <v>412</v>
      </c>
      <c r="BH12" s="16">
        <f ca="1">IF($BE12&lt;=0,ROUND(BL12*0.5,0), ROUND($BE12*T12*AB12*K12*AZ12*0.8*[1]ステータス!$C$2,0))</f>
        <v>255</v>
      </c>
      <c r="BI12" s="16">
        <f ca="1">IF($BE12&lt;=0,ROUND(BM12*0.5,0), ROUND($BE12*U12*AC12*L12*BA12*0.8*[1]ステータス!$D$2,0))</f>
        <v>0</v>
      </c>
      <c r="BJ12" s="16">
        <f ca="1">IF($BE12&lt;=0,ROUND(BN12*0.5,0), ROUND($BE12*V12*AD12*M12*BB12*0.8*[1]ステータス!$E$2,0))</f>
        <v>239</v>
      </c>
      <c r="BK12" s="11">
        <f ca="1">ROUND(BD12*S12*AA12*J12*AY12*[1]ステータス!$B$2,0)</f>
        <v>823</v>
      </c>
      <c r="BL12" s="11">
        <f ca="1">ROUND(BD12*T12*AB12*K12*AZ12*[1]ステータス!$C$2,0)</f>
        <v>509</v>
      </c>
      <c r="BM12" s="11">
        <f ca="1">ROUND(BD12*U12*AC12*L12*BA12*[1]ステータス!$D$2,0)</f>
        <v>0</v>
      </c>
      <c r="BN12" s="11">
        <f ca="1">ROUND(BD12*V12*AD12*M12*BB12*[1]ステータス!$E$2,0)</f>
        <v>477</v>
      </c>
      <c r="BO12" s="10">
        <v>0</v>
      </c>
      <c r="BP12" s="10">
        <v>1</v>
      </c>
      <c r="BQ12" s="10" t="s">
        <v>47</v>
      </c>
      <c r="BR12" s="10">
        <f ca="1">VLOOKUP(H12,ghosts_label!$A$2:$B$19,2,FALSE)</f>
        <v>1</v>
      </c>
    </row>
    <row r="13" spans="1:70" ht="21" customHeight="1" x14ac:dyDescent="0.15">
      <c r="A13" s="134">
        <v>536</v>
      </c>
      <c r="B13" s="57" t="str">
        <f ca="1">VLOOKUP($A13,OFFSET([1]characters!$A$1,0,0,COUNTA([1]characters!$A:$A),MATCH(B$1,[1]characters!$1:$1,0)-MATCH($A$1,[1]characters!$1:$1,0)+1),MATCH(B$1,[1]characters!$1:$1,0)-MATCH($A$1,[1]characters!$1:$1,0)+1,FALSE)</f>
        <v>冬服ミミ</v>
      </c>
      <c r="C13" s="57" t="str">
        <f ca="1">VLOOKUP($A13,OFFSET([1]characters!$A$1,0,0,COUNTA([1]characters!$A:$A),MATCH(C$1,[1]characters!$1:$1,0)-MATCH($A$1,[1]characters!$1:$1,0)+1),MATCH(C$1,[1]characters!$1:$1,0)-MATCH($A$1,[1]characters!$1:$1,0)+1,FALSE)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3" s="57" t="str">
        <f ca="1">VLOOKUP($A13,OFFSET([1]characters!$A$1,0,0,COUNTA([1]characters!$A:$A),MATCH(D$1,[1]characters!$1:$1,0)-MATCH($A$1,[1]characters!$1:$1,0)+1),MATCH(D$1,[1]characters!$1:$1,0)-MATCH($A$1,[1]characters!$1:$1,0)+1,FALSE)</f>
        <v>執行者</v>
      </c>
      <c r="E13" s="57" t="str">
        <f ca="1">VLOOKUP($A13,OFFSET([1]characters!$A$1,0,0,COUNTA([1]characters!$A:$A),MATCH(E$1,[1]characters!$1:$1,0)-MATCH($A$1,[1]characters!$1:$1,0)+1),MATCH(E$1,[1]characters!$1:$1,0)-MATCH($A$1,[1]characters!$1:$1,0)+1,FALSE)</f>
        <v>格好いい</v>
      </c>
      <c r="F13" s="57" t="str">
        <f ca="1">VLOOKUP($A13,OFFSET([1]characters!$A$1,0,0,COUNTA([1]characters!$A:$A),MATCH(F$1,[1]characters!$1:$1,0)-MATCH($A$1,[1]characters!$1:$1,0)+1),MATCH(F$1,[1]characters!$1:$1,0)-MATCH($A$1,[1]characters!$1:$1,0)+1,FALSE)</f>
        <v>不明</v>
      </c>
      <c r="G13" s="57">
        <f ca="1">VLOOKUP($A13,OFFSET([1]characters!$A$1,0,0,COUNTA([1]characters!$A:$A),MATCH(G$1,[1]characters!$1:$1,0)-MATCH($A$1,[1]characters!$1:$1,0)+1),MATCH(G$1,[1]characters!$1:$1,0)-MATCH($A$1,[1]characters!$1:$1,0)+1,FALSE)</f>
        <v>1</v>
      </c>
      <c r="H13" s="57" t="str">
        <f ca="1">VLOOKUP($A13,OFFSET([1]characters!$A$1,0,0,COUNTA([1]characters!$A:$A),MATCH(H$1,[1]characters!$1:$1,0)-MATCH($A$1,[1]characters!$1:$1,0)+1),MATCH(H$1,[1]characters!$1:$1,0)-MATCH($A$1,[1]characters!$1:$1,0)+1,FALSE)</f>
        <v>Drop1W</v>
      </c>
      <c r="I13" s="57" t="str">
        <f ca="1">VLOOKUP($A13,OFFSET([1]characters!$A$1,0,0,COUNTA([1]characters!$A:$A),MATCH(I$1,[1]characters!$1:$1,0)-MATCH($A$1,[1]characters!$1:$1,0)+1),MATCH(I$1,[1]characters!$1:$1,0)-MATCH($A$1,[1]characters!$1:$1,0)+1,FALSE)</f>
        <v>yellow</v>
      </c>
      <c r="J13" s="11">
        <f ca="1">VLOOKUP(I13,[1]属性!$A:$E,2,FALSE)</f>
        <v>0.98</v>
      </c>
      <c r="K13" s="11">
        <f ca="1">VLOOKUP(I13,[1]属性!$A:$E,3,FALSE)</f>
        <v>1.01</v>
      </c>
      <c r="L13" s="11">
        <f ca="1">VLOOKUP(I13,[1]属性!$A:$E,4,FALSE)</f>
        <v>1</v>
      </c>
      <c r="M13" s="11">
        <f ca="1">VLOOKUP(I13,[1]属性!$A:$E,5,FALSE)</f>
        <v>1.01</v>
      </c>
      <c r="N13" s="11">
        <f ca="1">INDEX(コスト!$A$1:$I$21,MATCH(H13,コスト!$A$1:$A$21,FALSE),MATCH(G13,コスト!$A$1:$I$1,FALSE))</f>
        <v>1</v>
      </c>
      <c r="O13" s="11">
        <f ca="1">INDEX(レベル!$A$1:$I$21,MATCH(H13,レベル!$A$1:$A$21,FALSE),MATCH(G13,レベル!$A$1:$I$1,FALSE))</f>
        <v>15</v>
      </c>
      <c r="P13" s="48">
        <f t="shared" ca="1" si="11"/>
        <v>15</v>
      </c>
      <c r="Q13" s="57" t="str">
        <f ca="1">VLOOKUP($A13,OFFSET([1]characters!$A$1,0,0,COUNTA([1]characters!$A:$A),MATCH(Q$1,[1]characters!$1:$1,0)-MATCH($A$1,[1]characters!$1:$1,0)+1),MATCH(Q$1,[1]characters!$1:$1,0)-MATCH($A$1,[1]characters!$1:$1,0)+1,FALSE)</f>
        <v>attack</v>
      </c>
      <c r="R13" s="5" t="str">
        <f ca="1">VLOOKUP(Q13,[1]character_type_i18n!$A:$H,3,FALSE)</f>
        <v>攻撃タイプ</v>
      </c>
      <c r="S13" s="11">
        <f ca="1">VLOOKUP(Q13,[1]character_type_i18n!$A:$H,4,FALSE)</f>
        <v>1</v>
      </c>
      <c r="T13" s="11">
        <f ca="1">VLOOKUP(Q13,[1]character_type_i18n!$A:$H,5,FALSE)</f>
        <v>1.33</v>
      </c>
      <c r="U13" s="11">
        <f ca="1">VLOOKUP(Q13,[1]character_type_i18n!$A:$H,6,FALSE)</f>
        <v>1</v>
      </c>
      <c r="V13" s="11">
        <f ca="1">VLOOKUP(Q13,[1]character_type_i18n!$A:$H,7,FALSE)</f>
        <v>0.67</v>
      </c>
      <c r="W13" s="57" t="str">
        <f ca="1">VLOOKUP($A13,OFFSET([1]characters!$A$1,0,0,COUNTA([1]characters!$A:$A),MATCH(W$1,[1]characters!$1:$1,0)-MATCH($A$1,[1]characters!$1:$1,0)+1),MATCH(W$1,[1]characters!$1:$1,0)-MATCH($A$1,[1]characters!$1:$1,0)+1,FALSE)</f>
        <v>animal</v>
      </c>
      <c r="X13" s="5" t="str">
        <f ca="1">VLOOKUP(W13,[1]character_tribe_i18n!$A:$H,3,FALSE)</f>
        <v>アニマル</v>
      </c>
      <c r="Y13" s="57" t="str">
        <f ca="1">VLOOKUP($A13,OFFSET([1]characters!$A$1,0,0,COUNTA([1]characters!$A:$A),MATCH(Y$1,[1]characters!$1:$1,0)-MATCH($A$1,[1]characters!$1:$1,0)+1),MATCH(Y$1,[1]characters!$1:$1,0)-MATCH($A$1,[1]characters!$1:$1,0)+1,FALSE)</f>
        <v>none</v>
      </c>
      <c r="Z13" s="5" t="str">
        <f ca="1">VLOOKUP(Y13,[1]character_tribe_i18n!$A:$H,3,FALSE)</f>
        <v>種族なし</v>
      </c>
      <c r="AA13" s="11">
        <f ca="1">VLOOKUP(W13,[1]character_tribe_i18n!$A:$H,4,FALSE)</f>
        <v>1</v>
      </c>
      <c r="AB13" s="11">
        <f ca="1">VLOOKUP(W13,[1]character_tribe_i18n!$A:$H,5,FALSE)</f>
        <v>1.1000000000000001</v>
      </c>
      <c r="AC13" s="11">
        <f ca="1">VLOOKUP(W13,[1]character_tribe_i18n!$A:$H,6,FALSE)</f>
        <v>1</v>
      </c>
      <c r="AD13" s="11">
        <f ca="1">VLOOKUP(W13,[1]character_tribe_i18n!$A:$H,7,FALSE)</f>
        <v>0.9</v>
      </c>
      <c r="AE13" s="9" t="s">
        <v>178</v>
      </c>
      <c r="AF13" s="62" t="str">
        <f ca="1">IF(AE13="NULL","",VLOOKUP($AE13,OFFSET([1]characters!$A$1,0,0,COUNTA([1]characters!$A:$A),MATCH(AF$1,[1]characters!$1:$1,0)-MATCH($A$1,[1]characters!$1:$1,0)+1),MATCH(AF$1,[1]characters!$1:$1,0)-MATCH($A$1,[1]characters!$1:$1,0)+1,FALSE))</f>
        <v/>
      </c>
      <c r="AG13" s="5">
        <v>13</v>
      </c>
      <c r="AH13" s="62" t="str">
        <f ca="1">VLOOKUP($AG13,OFFSET([1]characters!$A$1,0,0,COUNTA([1]characters!$A:$A),MATCH(AH$1,[1]characters!$1:$1,0)-MATCH($A$1,[1]characters!$1:$1,0)+1),MATCH(AH$1,[1]characters!$1:$1,0)-MATCH($A$1,[1]characters!$1:$1,0)+1,FALSE)</f>
        <v>ミミ</v>
      </c>
      <c r="AI13" s="11" t="str">
        <f>IF(AE13="NULL","NULL",VLOOKUP(G13,ビット!$A$2:$B$7,2))</f>
        <v>NULL</v>
      </c>
      <c r="AJ13" s="6">
        <v>2</v>
      </c>
      <c r="AK13" s="7" t="str">
        <f t="shared" si="12"/>
        <v>普通</v>
      </c>
      <c r="AL13" s="11" t="str">
        <f ca="1">INDEX(経験値!$A$1:$I$21,MATCH(H13,経験値!$A$1:$A$21,FALSE),MATCH(G13,経験値!$A$1:$I$1,FALSE))</f>
        <v>required_exp_70</v>
      </c>
      <c r="AM13" s="8">
        <f ca="1">VLOOKUP(G13,経験値!$A$28:$B$32,2)</f>
        <v>200</v>
      </c>
      <c r="AN13" s="17">
        <f ca="1">VLOOKUP(G13,ビット!$G$2:$H$7,2)</f>
        <v>75</v>
      </c>
      <c r="AO13" s="45"/>
      <c r="AP13" s="67">
        <f t="shared" si="8"/>
        <v>536</v>
      </c>
      <c r="AQ13" s="57" t="str">
        <f ca="1">VLOOKUP($AP13,OFFSET(unit_skills!$A$1,0,0,COUNTA(unit_skills!$A:$A),MATCH(AQ$1,unit_skills!$1:$1,0)-MATCH($AP$1,unit_skills!$1:$1,0)+1),MATCH(AQ$1,unit_skills!$1:$1,0)-MATCH($AP$1,unit_skills!$1:$1,0)+1,FALSE)</f>
        <v>大雪放電</v>
      </c>
      <c r="AR13" s="57" t="str">
        <f ca="1">VLOOKUP($AP13,OFFSET(unit_skills!$A$1,0,0,COUNTA(unit_skills!$A:$A),MATCH(AR$1,unit_skills!$1:$1,0)-MATCH($AP$1,unit_skills!$1:$1,0)+1),MATCH(AR$1,unit_skills!$1:$1,0)-MATCH($AP$1,unit_skills!$1:$1,0)+1,FALSE)</f>
        <v>単体に黄属性の小ダメージ</v>
      </c>
      <c r="AS13" s="57">
        <f ca="1">VLOOKUP($AP13,OFFSET(unit_skills!$A$1,0,0,COUNTA(unit_skills!$A:$A),MATCH(AS$1,unit_skills!$1:$1,0)-MATCH($AP$1,unit_skills!$1:$1,0)+1),MATCH(AS$1,unit_skills!$1:$1,0)-MATCH($AP$1,unit_skills!$1:$1,0)+1,FALSE)</f>
        <v>0</v>
      </c>
      <c r="AT13" s="41">
        <f t="shared" si="9"/>
        <v>536</v>
      </c>
      <c r="AU13" s="57" t="str">
        <f ca="1">VLOOKUP($AT13,OFFSET(crash_skills!$A$1,0,0,COUNTA(crash_skills!$A:$A),MATCH(AU$1,crash_skills!$1:$1,0)-MATCH($AT$1,crash_skills!$1:$1,0)+1),MATCH(AU$1,crash_skills!$1:$1,0)-MATCH($AT$1,crash_skills!$1:$1,0)+1,FALSE)</f>
        <v>雪日の拡光</v>
      </c>
      <c r="AV13" s="57" t="str">
        <f ca="1">VLOOKUP($AT13,OFFSET(crash_skills!$A$1,0,0,COUNTA(crash_skills!$A:$A),MATCH(AV$1,crash_skills!$1:$1,0)-MATCH($AT$1,crash_skills!$1:$1,0)+1),MATCH(AV$1,crash_skills!$1:$1,0)-MATCH($AT$1,crash_skills!$1:$1,0)+1,FALSE)</f>
        <v>全体に小ダメージ</v>
      </c>
      <c r="AW13" s="57">
        <f ca="1">VLOOKUP($AT13,OFFSET(crash_skills!$A$1,0,0,COUNTA(crash_skills!$A:$A),MATCH(AW$1,crash_skills!$1:$1,0)-MATCH($AT$1,crash_skills!$1:$1,0)+1),MATCH(AW$1,crash_skills!$1:$1,0)-MATCH($AT$1,crash_skills!$1:$1,0)+1,FALSE)</f>
        <v>0</v>
      </c>
      <c r="AX13" s="58">
        <f ca="1">VLOOKUP($A13,OFFSET([1]characters!$A$1,0,0,COUNTA([1]characters!$A:$A),MATCH(AX$1,[1]characters!$1:$1,0)-MATCH($A$1,[1]characters!$1:$1,0)+1),MATCH(AX$1,[1]characters!$1:$1,0)-MATCH($A$1,[1]characters!$1:$1,0)+1,FALSE)</f>
        <v>3</v>
      </c>
      <c r="AY13" s="68">
        <v>1</v>
      </c>
      <c r="AZ13" s="68">
        <v>1</v>
      </c>
      <c r="BA13" s="68">
        <v>0</v>
      </c>
      <c r="BB13" s="68">
        <v>1</v>
      </c>
      <c r="BC13" s="11">
        <f ca="1">INDEX('RC6SV'!$A$1:$G$21,MATCH(H13,'RC6SV'!$A$1:$A$21,FALSE),MATCH(G13,'RC6SV'!$A$1:$G$1,FALSE))</f>
        <v>1750</v>
      </c>
      <c r="BD13" s="48">
        <f t="shared" ca="1" si="13"/>
        <v>1750</v>
      </c>
      <c r="BE13" s="11">
        <f t="shared" ca="1" si="4"/>
        <v>0</v>
      </c>
      <c r="BF13" s="11">
        <f t="shared" ca="1" si="5"/>
        <v>1</v>
      </c>
      <c r="BG13" s="16">
        <f ca="1">IF($BE13&lt;=0,ROUND(BK13*0.5,0), ROUND($BE13*S13*AA13*J13*AY13*0.8*[1]ステータス!$B$2,0))</f>
        <v>429</v>
      </c>
      <c r="BH13" s="16">
        <f ca="1">IF($BE13&lt;=0,ROUND(BL13*0.5,0), ROUND($BE13*T13*AB13*K13*AZ13*0.8*[1]ステータス!$C$2,0))</f>
        <v>388</v>
      </c>
      <c r="BI13" s="16">
        <f ca="1">IF($BE13&lt;=0,ROUND(BM13*0.5,0), ROUND($BE13*U13*AC13*L13*BA13*0.8*[1]ステータス!$D$2,0))</f>
        <v>0</v>
      </c>
      <c r="BJ13" s="16">
        <f ca="1">IF($BE13&lt;=0,ROUND(BN13*0.5,0), ROUND($BE13*V13*AD13*M13*BB13*0.8*[1]ステータス!$E$2,0))</f>
        <v>133</v>
      </c>
      <c r="BK13" s="11">
        <f ca="1">ROUND(BD13*S13*AA13*J13*AY13*[1]ステータス!$B$2,0)</f>
        <v>858</v>
      </c>
      <c r="BL13" s="11">
        <f ca="1">ROUND(BD13*T13*AB13*K13*AZ13*[1]ステータス!$C$2,0)</f>
        <v>776</v>
      </c>
      <c r="BM13" s="11">
        <f ca="1">ROUND(BD13*U13*AC13*L13*BA13*[1]ステータス!$D$2,0)</f>
        <v>0</v>
      </c>
      <c r="BN13" s="11">
        <f ca="1">ROUND(BD13*V13*AD13*M13*BB13*[1]ステータス!$E$2,0)</f>
        <v>266</v>
      </c>
      <c r="BO13" s="10">
        <v>0</v>
      </c>
      <c r="BP13" s="10">
        <v>1</v>
      </c>
      <c r="BQ13" s="10" t="s">
        <v>47</v>
      </c>
      <c r="BR13" s="10">
        <f ca="1">VLOOKUP(H13,ghosts_label!$A$2:$B$19,2,FALSE)</f>
        <v>1</v>
      </c>
    </row>
    <row r="14" spans="1:70" ht="21" customHeight="1" x14ac:dyDescent="0.15">
      <c r="A14" s="134">
        <v>537</v>
      </c>
      <c r="B14" s="57" t="str">
        <f ca="1">VLOOKUP($A14,OFFSET([1]characters!$A$1,0,0,COUNTA([1]characters!$A:$A),MATCH(B$1,[1]characters!$1:$1,0)-MATCH($A$1,[1]characters!$1:$1,0)+1),MATCH(B$1,[1]characters!$1:$1,0)-MATCH($A$1,[1]characters!$1:$1,0)+1,FALSE)</f>
        <v>冬服ハッピー100</v>
      </c>
      <c r="C14" s="57" t="str">
        <f ca="1">VLOOKUP($A14,OFFSET([1]characters!$A$1,0,0,COUNTA([1]characters!$A:$A),MATCH(C$1,[1]characters!$1:$1,0)-MATCH($A$1,[1]characters!$1:$1,0)+1),MATCH(C$1,[1]characters!$1:$1,0)-MATCH($A$1,[1]characters!$1:$1,0)+1,FALSE)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4" s="57" t="str">
        <f ca="1">VLOOKUP($A14,OFFSET([1]characters!$A$1,0,0,COUNTA([1]characters!$A:$A),MATCH(D$1,[1]characters!$1:$1,0)-MATCH($A$1,[1]characters!$1:$1,0)+1),MATCH(D$1,[1]characters!$1:$1,0)-MATCH($A$1,[1]characters!$1:$1,0)+1,FALSE)</f>
        <v>執行者</v>
      </c>
      <c r="E14" s="57" t="str">
        <f ca="1">VLOOKUP($A14,OFFSET([1]characters!$A$1,0,0,COUNTA([1]characters!$A:$A),MATCH(E$1,[1]characters!$1:$1,0)-MATCH($A$1,[1]characters!$1:$1,0)+1),MATCH(E$1,[1]characters!$1:$1,0)-MATCH($A$1,[1]characters!$1:$1,0)+1,FALSE)</f>
        <v>格好いい</v>
      </c>
      <c r="F14" s="57" t="str">
        <f ca="1">VLOOKUP($A14,OFFSET([1]characters!$A$1,0,0,COUNTA([1]characters!$A:$A),MATCH(F$1,[1]characters!$1:$1,0)-MATCH($A$1,[1]characters!$1:$1,0)+1),MATCH(F$1,[1]characters!$1:$1,0)-MATCH($A$1,[1]characters!$1:$1,0)+1,FALSE)</f>
        <v>女性</v>
      </c>
      <c r="G14" s="57">
        <f ca="1">VLOOKUP($A14,OFFSET([1]characters!$A$1,0,0,COUNTA([1]characters!$A:$A),MATCH(G$1,[1]characters!$1:$1,0)-MATCH($A$1,[1]characters!$1:$1,0)+1),MATCH(G$1,[1]characters!$1:$1,0)-MATCH($A$1,[1]characters!$1:$1,0)+1,FALSE)</f>
        <v>3</v>
      </c>
      <c r="H14" s="57" t="str">
        <f ca="1">VLOOKUP($A14,OFFSET([1]characters!$A$1,0,0,COUNTA([1]characters!$A:$A),MATCH(H$1,[1]characters!$1:$1,0)-MATCH($A$1,[1]characters!$1:$1,0)+1),MATCH(H$1,[1]characters!$1:$1,0)-MATCH($A$1,[1]characters!$1:$1,0)+1,FALSE)</f>
        <v>DropWizW</v>
      </c>
      <c r="I14" s="57" t="str">
        <f ca="1">VLOOKUP($A14,OFFSET([1]characters!$A$1,0,0,COUNTA([1]characters!$A:$A),MATCH(I$1,[1]characters!$1:$1,0)-MATCH($A$1,[1]characters!$1:$1,0)+1),MATCH(I$1,[1]characters!$1:$1,0)-MATCH($A$1,[1]characters!$1:$1,0)+1,FALSE)</f>
        <v>green</v>
      </c>
      <c r="J14" s="11">
        <f ca="1">VLOOKUP(I14,[1]属性!$A:$E,2,FALSE)</f>
        <v>1.02</v>
      </c>
      <c r="K14" s="11">
        <f ca="1">VLOOKUP(I14,[1]属性!$A:$E,3,FALSE)</f>
        <v>0.98</v>
      </c>
      <c r="L14" s="11">
        <f ca="1">VLOOKUP(I14,[1]属性!$A:$E,4,FALSE)</f>
        <v>1</v>
      </c>
      <c r="M14" s="11">
        <f ca="1">VLOOKUP(I14,[1]属性!$A:$E,5,FALSE)</f>
        <v>1</v>
      </c>
      <c r="N14" s="11">
        <f ca="1">INDEX(コスト!$A$1:$I$21,MATCH(H14,コスト!$A$1:$A$21,FALSE),MATCH(G14,コスト!$A$1:$I$1,FALSE))</f>
        <v>7</v>
      </c>
      <c r="O14" s="11">
        <f ca="1">INDEX(レベル!$A$1:$I$21,MATCH(H14,レベル!$A$1:$A$21,FALSE),MATCH(G14,レベル!$A$1:$I$1,FALSE))</f>
        <v>40</v>
      </c>
      <c r="P14" s="48">
        <f t="shared" ca="1" si="11"/>
        <v>45</v>
      </c>
      <c r="Q14" s="57" t="str">
        <f ca="1">VLOOKUP($A14,OFFSET([1]characters!$A$1,0,0,COUNTA([1]characters!$A:$A),MATCH(Q$1,[1]characters!$1:$1,0)-MATCH($A$1,[1]characters!$1:$1,0)+1),MATCH(Q$1,[1]characters!$1:$1,0)-MATCH($A$1,[1]characters!$1:$1,0)+1,FALSE)</f>
        <v>heal</v>
      </c>
      <c r="R14" s="5" t="str">
        <f ca="1">VLOOKUP(Q14,[1]character_type_i18n!$A:$H,3,FALSE)</f>
        <v>回復タイプ</v>
      </c>
      <c r="S14" s="11">
        <f ca="1">VLOOKUP(Q14,[1]character_type_i18n!$A:$H,4,FALSE)</f>
        <v>0.8</v>
      </c>
      <c r="T14" s="11">
        <f ca="1">VLOOKUP(Q14,[1]character_type_i18n!$A:$H,5,FALSE)</f>
        <v>0.78</v>
      </c>
      <c r="U14" s="11">
        <f ca="1">VLOOKUP(Q14,[1]character_type_i18n!$A:$H,6,FALSE)</f>
        <v>1</v>
      </c>
      <c r="V14" s="11">
        <f ca="1">VLOOKUP(Q14,[1]character_type_i18n!$A:$H,7,FALSE)</f>
        <v>1.42</v>
      </c>
      <c r="W14" s="57" t="str">
        <f ca="1">VLOOKUP($A14,OFFSET([1]characters!$A$1,0,0,COUNTA([1]characters!$A:$A),MATCH(W$1,[1]characters!$1:$1,0)-MATCH($A$1,[1]characters!$1:$1,0)+1),MATCH(W$1,[1]characters!$1:$1,0)-MATCH($A$1,[1]characters!$1:$1,0)+1,FALSE)</f>
        <v>unknown</v>
      </c>
      <c r="X14" s="5" t="str">
        <f ca="1">VLOOKUP(W14,[1]character_tribe_i18n!$A:$H,3,FALSE)</f>
        <v>Unknown</v>
      </c>
      <c r="Y14" s="57" t="str">
        <f ca="1">VLOOKUP($A14,OFFSET([1]characters!$A$1,0,0,COUNTA([1]characters!$A:$A),MATCH(Y$1,[1]characters!$1:$1,0)-MATCH($A$1,[1]characters!$1:$1,0)+1),MATCH(Y$1,[1]characters!$1:$1,0)-MATCH($A$1,[1]characters!$1:$1,0)+1,FALSE)</f>
        <v>none</v>
      </c>
      <c r="Z14" s="5" t="str">
        <f ca="1">VLOOKUP(Y14,[1]character_tribe_i18n!$A:$H,3,FALSE)</f>
        <v>種族なし</v>
      </c>
      <c r="AA14" s="11">
        <f ca="1">VLOOKUP(W14,[1]character_tribe_i18n!$A:$H,4,FALSE)</f>
        <v>1</v>
      </c>
      <c r="AB14" s="11">
        <f ca="1">VLOOKUP(W14,[1]character_tribe_i18n!$A:$H,5,FALSE)</f>
        <v>1</v>
      </c>
      <c r="AC14" s="11">
        <f ca="1">VLOOKUP(W14,[1]character_tribe_i18n!$A:$H,6,FALSE)</f>
        <v>1</v>
      </c>
      <c r="AD14" s="11">
        <f ca="1">VLOOKUP(W14,[1]character_tribe_i18n!$A:$H,7,FALSE)</f>
        <v>1</v>
      </c>
      <c r="AE14" s="9" t="s">
        <v>178</v>
      </c>
      <c r="AF14" s="62" t="str">
        <f ca="1">IF(AE14="NULL","",VLOOKUP($AE14,OFFSET([1]characters!$A$1,0,0,COUNTA([1]characters!$A:$A),MATCH(AF$1,[1]characters!$1:$1,0)-MATCH($A$1,[1]characters!$1:$1,0)+1),MATCH(AF$1,[1]characters!$1:$1,0)-MATCH($A$1,[1]characters!$1:$1,0)+1,FALSE))</f>
        <v/>
      </c>
      <c r="AG14" s="5">
        <v>79</v>
      </c>
      <c r="AH14" s="62" t="str">
        <f ca="1">VLOOKUP($AG14,OFFSET([1]characters!$A$1,0,0,COUNTA([1]characters!$A:$A),MATCH(AH$1,[1]characters!$1:$1,0)-MATCH($A$1,[1]characters!$1:$1,0)+1),MATCH(AH$1,[1]characters!$1:$1,0)-MATCH($A$1,[1]characters!$1:$1,0)+1,FALSE)</f>
        <v>ハッピー100</v>
      </c>
      <c r="AI14" s="11" t="str">
        <f>IF(AE14="NULL","NULL",VLOOKUP(G14,ビット!$A$2:$B$7,2))</f>
        <v>NULL</v>
      </c>
      <c r="AJ14" s="6">
        <v>2</v>
      </c>
      <c r="AK14" s="7" t="str">
        <f t="shared" si="12"/>
        <v>普通</v>
      </c>
      <c r="AL14" s="11" t="str">
        <f ca="1">INDEX(経験値!$A$1:$I$21,MATCH(H14,経験値!$A$1:$A$21,FALSE),MATCH(G14,経験値!$A$1:$I$1,FALSE))</f>
        <v>required_exp_150</v>
      </c>
      <c r="AM14" s="8">
        <f ca="1">VLOOKUP(G14,経験値!$A$28:$B$32,2)</f>
        <v>1500</v>
      </c>
      <c r="AN14" s="17">
        <f ca="1">VLOOKUP(G14,ビット!$G$2:$H$7,2)</f>
        <v>300</v>
      </c>
      <c r="AO14" s="45"/>
      <c r="AP14" s="67">
        <f t="shared" si="8"/>
        <v>537</v>
      </c>
      <c r="AQ14" s="57" t="str">
        <f ca="1">VLOOKUP($AP14,OFFSET(unit_skills!$A$1,0,0,COUNTA(unit_skills!$A:$A),MATCH(AQ$1,unit_skills!$1:$1,0)-MATCH($AP$1,unit_skills!$1:$1,0)+1),MATCH(AQ$1,unit_skills!$1:$1,0)-MATCH($AP$1,unit_skills!$1:$1,0)+1,FALSE)</f>
        <v>ハッピー＊3000！</v>
      </c>
      <c r="AR14" s="57" t="str">
        <f ca="1">VLOOKUP($AP14,OFFSET(unit_skills!$A$1,0,0,COUNTA(unit_skills!$A:$A),MATCH(AR$1,unit_skills!$1:$1,0)-MATCH($AP$1,unit_skills!$1:$1,0)+1),MATCH(AR$1,unit_skills!$1:$1,0)-MATCH($AP$1,unit_skills!$1:$1,0)+1,FALSE)</f>
        <v>HPを中回復</v>
      </c>
      <c r="AS14" s="57">
        <f ca="1">VLOOKUP($AP14,OFFSET(unit_skills!$A$1,0,0,COUNTA(unit_skills!$A:$A),MATCH(AS$1,unit_skills!$1:$1,0)-MATCH($AP$1,unit_skills!$1:$1,0)+1),MATCH(AS$1,unit_skills!$1:$1,0)-MATCH($AP$1,unit_skills!$1:$1,0)+1,FALSE)</f>
        <v>0</v>
      </c>
      <c r="AT14" s="41">
        <f t="shared" si="9"/>
        <v>537</v>
      </c>
      <c r="AU14" s="57" t="str">
        <f ca="1">VLOOKUP($AT14,OFFSET(crash_skills!$A$1,0,0,COUNTA(crash_skills!$A:$A),MATCH(AU$1,crash_skills!$1:$1,0)-MATCH($AT$1,crash_skills!$1:$1,0)+1),MATCH(AU$1,crash_skills!$1:$1,0)-MATCH($AT$1,crash_skills!$1:$1,0)+1,FALSE)</f>
        <v>緑雪の全攻</v>
      </c>
      <c r="AV14" s="57" t="str">
        <f ca="1">VLOOKUP($AT14,OFFSET(crash_skills!$A$1,0,0,COUNTA(crash_skills!$A:$A),MATCH(AV$1,crash_skills!$1:$1,0)-MATCH($AT$1,crash_skills!$1:$1,0)+1),MATCH(AV$1,crash_skills!$1:$1,0)-MATCH($AT$1,crash_skills!$1:$1,0)+1,FALSE)</f>
        <v>全体に威力400の攻撃</v>
      </c>
      <c r="AW14" s="57">
        <f ca="1">VLOOKUP($AT14,OFFSET(crash_skills!$A$1,0,0,COUNTA(crash_skills!$A:$A),MATCH(AW$1,crash_skills!$1:$1,0)-MATCH($AT$1,crash_skills!$1:$1,0)+1),MATCH(AW$1,crash_skills!$1:$1,0)-MATCH($AT$1,crash_skills!$1:$1,0)+1,FALSE)</f>
        <v>0</v>
      </c>
      <c r="AX14" s="58">
        <f ca="1">VLOOKUP($A14,OFFSET([1]characters!$A$1,0,0,COUNTA([1]characters!$A:$A),MATCH(AX$1,[1]characters!$1:$1,0)-MATCH($A$1,[1]characters!$1:$1,0)+1),MATCH(AX$1,[1]characters!$1:$1,0)-MATCH($A$1,[1]characters!$1:$1,0)+1,FALSE)</f>
        <v>3</v>
      </c>
      <c r="AY14" s="68">
        <v>1</v>
      </c>
      <c r="AZ14" s="68">
        <v>1</v>
      </c>
      <c r="BA14" s="68">
        <v>0</v>
      </c>
      <c r="BB14" s="68">
        <v>1</v>
      </c>
      <c r="BC14" s="11">
        <f ca="1">INDEX('RC6SV'!$A$1:$G$21,MATCH(H14,'RC6SV'!$A$1:$A$21,FALSE),MATCH(G14,'RC6SV'!$A$1:$G$1,FALSE))</f>
        <v>4800</v>
      </c>
      <c r="BD14" s="48">
        <f t="shared" ca="1" si="13"/>
        <v>4800</v>
      </c>
      <c r="BE14" s="11">
        <f t="shared" ca="1" si="4"/>
        <v>0</v>
      </c>
      <c r="BF14" s="11">
        <f t="shared" ca="1" si="5"/>
        <v>1</v>
      </c>
      <c r="BG14" s="16">
        <f ca="1">IF($BE14&lt;=0,ROUND(BK14*0.5,0), ROUND($BE14*S14*AA14*J14*AY14*0.8*[1]ステータス!$B$2,0))</f>
        <v>979</v>
      </c>
      <c r="BH14" s="16">
        <f ca="1">IF($BE14&lt;=0,ROUND(BL14*0.5,0), ROUND($BE14*T14*AB14*K14*AZ14*0.8*[1]ステータス!$C$2,0))</f>
        <v>551</v>
      </c>
      <c r="BI14" s="16">
        <f ca="1">IF($BE14&lt;=0,ROUND(BM14*0.5,0), ROUND($BE14*U14*AC14*L14*BA14*0.8*[1]ステータス!$D$2,0))</f>
        <v>0</v>
      </c>
      <c r="BJ14" s="16">
        <f ca="1">IF($BE14&lt;=0,ROUND(BN14*0.5,0), ROUND($BE14*V14*AD14*M14*BB14*0.8*[1]ステータス!$E$2,0))</f>
        <v>852</v>
      </c>
      <c r="BK14" s="11">
        <f ca="1">ROUND(BD14*S14*AA14*J14*AY14*[1]ステータス!$B$2,0)</f>
        <v>1958</v>
      </c>
      <c r="BL14" s="11">
        <f ca="1">ROUND(BD14*T14*AB14*K14*AZ14*[1]ステータス!$C$2,0)</f>
        <v>1101</v>
      </c>
      <c r="BM14" s="11">
        <f ca="1">ROUND(BD14*U14*AC14*L14*BA14*[1]ステータス!$D$2,0)</f>
        <v>0</v>
      </c>
      <c r="BN14" s="11">
        <f ca="1">ROUND(BD14*V14*AD14*M14*BB14*[1]ステータス!$E$2,0)</f>
        <v>1704</v>
      </c>
      <c r="BO14" s="10">
        <v>0</v>
      </c>
      <c r="BP14" s="10">
        <v>1</v>
      </c>
      <c r="BQ14" s="10" t="s">
        <v>47</v>
      </c>
      <c r="BR14" s="10">
        <f ca="1">VLOOKUP(H14,ghosts_label!$A$2:$B$19,2,FALSE)</f>
        <v>1</v>
      </c>
    </row>
    <row r="15" spans="1:70" ht="21" customHeight="1" x14ac:dyDescent="0.15">
      <c r="A15" s="134">
        <v>538</v>
      </c>
      <c r="B15" s="57" t="str">
        <f ca="1">VLOOKUP($A15,OFFSET([1]characters!$A$1,0,0,COUNTA([1]characters!$A:$A),MATCH(B$1,[1]characters!$1:$1,0)-MATCH($A$1,[1]characters!$1:$1,0)+1),MATCH(B$1,[1]characters!$1:$1,0)-MATCH($A$1,[1]characters!$1:$1,0)+1,FALSE)</f>
        <v>冬服ニムダ</v>
      </c>
      <c r="C15" s="57" t="str">
        <f ca="1">VLOOKUP($A15,OFFSET([1]characters!$A$1,0,0,COUNTA([1]characters!$A:$A),MATCH(C$1,[1]characters!$1:$1,0)-MATCH($A$1,[1]characters!$1:$1,0)+1),MATCH(C$1,[1]characters!$1:$1,0)-MATCH($A$1,[1]characters!$1:$1,0)+1,FALSE)</f>
        <v>イベント:ミクコラボ01</v>
      </c>
      <c r="D15" s="57" t="str">
        <f ca="1">VLOOKUP($A15,OFFSET([1]characters!$A$1,0,0,COUNTA([1]characters!$A:$A),MATCH(D$1,[1]characters!$1:$1,0)-MATCH($A$1,[1]characters!$1:$1,0)+1),MATCH(D$1,[1]characters!$1:$1,0)-MATCH($A$1,[1]characters!$1:$1,0)+1,FALSE)</f>
        <v>執行者</v>
      </c>
      <c r="E15" s="57" t="str">
        <f ca="1">VLOOKUP($A15,OFFSET([1]characters!$A$1,0,0,COUNTA([1]characters!$A:$A),MATCH(E$1,[1]characters!$1:$1,0)-MATCH($A$1,[1]characters!$1:$1,0)+1),MATCH(E$1,[1]characters!$1:$1,0)-MATCH($A$1,[1]characters!$1:$1,0)+1,FALSE)</f>
        <v>格好いい</v>
      </c>
      <c r="F15" s="57" t="str">
        <f ca="1">VLOOKUP($A15,OFFSET([1]characters!$A$1,0,0,COUNTA([1]characters!$A:$A),MATCH(F$1,[1]characters!$1:$1,0)-MATCH($A$1,[1]characters!$1:$1,0)+1),MATCH(F$1,[1]characters!$1:$1,0)-MATCH($A$1,[1]characters!$1:$1,0)+1,FALSE)</f>
        <v>女性</v>
      </c>
      <c r="G15" s="57">
        <f ca="1">VLOOKUP($A15,OFFSET([1]characters!$A$1,0,0,COUNTA([1]characters!$A:$A),MATCH(G$1,[1]characters!$1:$1,0)-MATCH($A$1,[1]characters!$1:$1,0)+1),MATCH(G$1,[1]characters!$1:$1,0)-MATCH($A$1,[1]characters!$1:$1,0)+1,FALSE)</f>
        <v>3</v>
      </c>
      <c r="H15" s="57" t="str">
        <f ca="1">VLOOKUP($A15,OFFSET([1]characters!$A$1,0,0,COUNTA([1]characters!$A:$A),MATCH(H$1,[1]characters!$1:$1,0)-MATCH($A$1,[1]characters!$1:$1,0)+1),MATCH(H$1,[1]characters!$1:$1,0)-MATCH($A$1,[1]characters!$1:$1,0)+1,FALSE)</f>
        <v>DropWizW</v>
      </c>
      <c r="I15" s="57" t="str">
        <f ca="1">VLOOKUP($A15,OFFSET([1]characters!$A$1,0,0,COUNTA([1]characters!$A:$A),MATCH(I$1,[1]characters!$1:$1,0)-MATCH($A$1,[1]characters!$1:$1,0)+1),MATCH(I$1,[1]characters!$1:$1,0)-MATCH($A$1,[1]characters!$1:$1,0)+1,FALSE)</f>
        <v>yellow</v>
      </c>
      <c r="J15" s="11">
        <f ca="1">VLOOKUP(I15,[1]属性!$A:$E,2,FALSE)</f>
        <v>0.98</v>
      </c>
      <c r="K15" s="11">
        <f ca="1">VLOOKUP(I15,[1]属性!$A:$E,3,FALSE)</f>
        <v>1.01</v>
      </c>
      <c r="L15" s="11">
        <f ca="1">VLOOKUP(I15,[1]属性!$A:$E,4,FALSE)</f>
        <v>1</v>
      </c>
      <c r="M15" s="11">
        <f ca="1">VLOOKUP(I15,[1]属性!$A:$E,5,FALSE)</f>
        <v>1.01</v>
      </c>
      <c r="N15" s="11">
        <f ca="1">INDEX(コスト!$A$1:$I$21,MATCH(H15,コスト!$A$1:$A$21,FALSE),MATCH(G15,コスト!$A$1:$I$1,FALSE))</f>
        <v>7</v>
      </c>
      <c r="O15" s="11">
        <f ca="1">INDEX(レベル!$A$1:$I$21,MATCH(H15,レベル!$A$1:$A$21,FALSE),MATCH(G15,レベル!$A$1:$I$1,FALSE))</f>
        <v>40</v>
      </c>
      <c r="P15" s="48">
        <f t="shared" ca="1" si="11"/>
        <v>45</v>
      </c>
      <c r="Q15" s="57" t="str">
        <f ca="1">VLOOKUP($A15,OFFSET([1]characters!$A$1,0,0,COUNTA([1]characters!$A:$A),MATCH(Q$1,[1]characters!$1:$1,0)-MATCH($A$1,[1]characters!$1:$1,0)+1),MATCH(Q$1,[1]characters!$1:$1,0)-MATCH($A$1,[1]characters!$1:$1,0)+1,FALSE)</f>
        <v>heal</v>
      </c>
      <c r="R15" s="5" t="str">
        <f ca="1">VLOOKUP(Q15,[1]character_type_i18n!$A:$H,3,FALSE)</f>
        <v>回復タイプ</v>
      </c>
      <c r="S15" s="11">
        <f ca="1">VLOOKUP(Q15,[1]character_type_i18n!$A:$H,4,FALSE)</f>
        <v>0.8</v>
      </c>
      <c r="T15" s="11">
        <f ca="1">VLOOKUP(Q15,[1]character_type_i18n!$A:$H,5,FALSE)</f>
        <v>0.78</v>
      </c>
      <c r="U15" s="11">
        <f ca="1">VLOOKUP(Q15,[1]character_type_i18n!$A:$H,6,FALSE)</f>
        <v>1</v>
      </c>
      <c r="V15" s="11">
        <f ca="1">VLOOKUP(Q15,[1]character_type_i18n!$A:$H,7,FALSE)</f>
        <v>1.42</v>
      </c>
      <c r="W15" s="57" t="str">
        <f ca="1">VLOOKUP($A15,OFFSET([1]characters!$A$1,0,0,COUNTA([1]characters!$A:$A),MATCH(W$1,[1]characters!$1:$1,0)-MATCH($A$1,[1]characters!$1:$1,0)+1),MATCH(W$1,[1]characters!$1:$1,0)-MATCH($A$1,[1]characters!$1:$1,0)+1,FALSE)</f>
        <v>unknown</v>
      </c>
      <c r="X15" s="5" t="str">
        <f ca="1">VLOOKUP(W15,[1]character_tribe_i18n!$A:$H,3,FALSE)</f>
        <v>Unknown</v>
      </c>
      <c r="Y15" s="57" t="str">
        <f ca="1">VLOOKUP($A15,OFFSET([1]characters!$A$1,0,0,COUNTA([1]characters!$A:$A),MATCH(Y$1,[1]characters!$1:$1,0)-MATCH($A$1,[1]characters!$1:$1,0)+1),MATCH(Y$1,[1]characters!$1:$1,0)-MATCH($A$1,[1]characters!$1:$1,0)+1,FALSE)</f>
        <v>none</v>
      </c>
      <c r="Z15" s="5" t="str">
        <f ca="1">VLOOKUP(Y15,[1]character_tribe_i18n!$A:$H,3,FALSE)</f>
        <v>種族なし</v>
      </c>
      <c r="AA15" s="11">
        <f ca="1">VLOOKUP(W15,[1]character_tribe_i18n!$A:$H,4,FALSE)</f>
        <v>1</v>
      </c>
      <c r="AB15" s="11">
        <f ca="1">VLOOKUP(W15,[1]character_tribe_i18n!$A:$H,5,FALSE)</f>
        <v>1</v>
      </c>
      <c r="AC15" s="11">
        <f ca="1">VLOOKUP(W15,[1]character_tribe_i18n!$A:$H,6,FALSE)</f>
        <v>1</v>
      </c>
      <c r="AD15" s="11">
        <f ca="1">VLOOKUP(W15,[1]character_tribe_i18n!$A:$H,7,FALSE)</f>
        <v>1</v>
      </c>
      <c r="AE15" s="9" t="s">
        <v>178</v>
      </c>
      <c r="AF15" s="62" t="str">
        <f ca="1">IF(AE15="NULL","",VLOOKUP($AE15,OFFSET([1]characters!$A$1,0,0,COUNTA([1]characters!$A:$A),MATCH(AF$1,[1]characters!$1:$1,0)-MATCH($A$1,[1]characters!$1:$1,0)+1),MATCH(AF$1,[1]characters!$1:$1,0)-MATCH($A$1,[1]characters!$1:$1,0)+1,FALSE))</f>
        <v/>
      </c>
      <c r="AG15" s="5">
        <v>83</v>
      </c>
      <c r="AH15" s="62" t="str">
        <f ca="1">VLOOKUP($AG15,OFFSET([1]characters!$A$1,0,0,COUNTA([1]characters!$A:$A),MATCH(AH$1,[1]characters!$1:$1,0)-MATCH($A$1,[1]characters!$1:$1,0)+1),MATCH(AH$1,[1]characters!$1:$1,0)-MATCH($A$1,[1]characters!$1:$1,0)+1,FALSE)</f>
        <v>拡散性ニムダ</v>
      </c>
      <c r="AI15" s="11" t="str">
        <f>IF(AE15="NULL","NULL",VLOOKUP(G15,ビット!$A$2:$B$7,2))</f>
        <v>NULL</v>
      </c>
      <c r="AJ15" s="6">
        <v>2</v>
      </c>
      <c r="AK15" s="7" t="str">
        <f t="shared" si="12"/>
        <v>普通</v>
      </c>
      <c r="AL15" s="11" t="str">
        <f ca="1">INDEX(経験値!$A$1:$I$21,MATCH(H15,経験値!$A$1:$A$21,FALSE),MATCH(G15,経験値!$A$1:$I$1,FALSE))</f>
        <v>required_exp_150</v>
      </c>
      <c r="AM15" s="8">
        <f ca="1">VLOOKUP(G15,経験値!$A$28:$B$32,2)</f>
        <v>1500</v>
      </c>
      <c r="AN15" s="17">
        <f ca="1">VLOOKUP(G15,ビット!$G$2:$H$7,2)</f>
        <v>300</v>
      </c>
      <c r="AO15" s="45"/>
      <c r="AP15" s="67">
        <f t="shared" si="8"/>
        <v>538</v>
      </c>
      <c r="AQ15" s="57" t="str">
        <f ca="1">VLOOKUP($AP15,OFFSET(unit_skills!$A$1,0,0,COUNTA(unit_skills!$A:$A),MATCH(AQ$1,unit_skills!$1:$1,0)-MATCH($AP$1,unit_skills!$1:$1,0)+1),MATCH(AQ$1,unit_skills!$1:$1,0)-MATCH($AP$1,unit_skills!$1:$1,0)+1,FALSE)</f>
        <v>全方位かまくらガード</v>
      </c>
      <c r="AR15" s="57" t="str">
        <f ca="1">VLOOKUP($AP15,OFFSET(unit_skills!$A$1,0,0,COUNTA(unit_skills!$A:$A),MATCH(AR$1,unit_skills!$1:$1,0)-MATCH($AP$1,unit_skills!$1:$1,0)+1),MATCH(AR$1,unit_skills!$1:$1,0)-MATCH($AP$1,unit_skills!$1:$1,0)+1,FALSE)</f>
        <v>1ターンの間全属性の敵から受けるダメージを50%軽減する</v>
      </c>
      <c r="AS15" s="57">
        <f ca="1">VLOOKUP($AP15,OFFSET(unit_skills!$A$1,0,0,COUNTA(unit_skills!$A:$A),MATCH(AS$1,unit_skills!$1:$1,0)-MATCH($AP$1,unit_skills!$1:$1,0)+1),MATCH(AS$1,unit_skills!$1:$1,0)-MATCH($AP$1,unit_skills!$1:$1,0)+1,FALSE)</f>
        <v>0</v>
      </c>
      <c r="AT15" s="41">
        <f t="shared" si="9"/>
        <v>538</v>
      </c>
      <c r="AU15" s="57" t="str">
        <f ca="1">VLOOKUP($AT15,OFFSET(crash_skills!$A$1,0,0,COUNTA(crash_skills!$A:$A),MATCH(AU$1,crash_skills!$1:$1,0)-MATCH($AT$1,crash_skills!$1:$1,0)+1),MATCH(AU$1,crash_skills!$1:$1,0)-MATCH($AT$1,crash_skills!$1:$1,0)+1,FALSE)</f>
        <v>雪電の囲攻</v>
      </c>
      <c r="AV15" s="57" t="str">
        <f ca="1">VLOOKUP($AT15,OFFSET(crash_skills!$A$1,0,0,COUNTA(crash_skills!$A:$A),MATCH(AV$1,crash_skills!$1:$1,0)-MATCH($AT$1,crash_skills!$1:$1,0)+1),MATCH(AV$1,crash_skills!$1:$1,0)-MATCH($AT$1,crash_skills!$1:$1,0)+1,FALSE)</f>
        <v>全体に威力800の攻撃</v>
      </c>
      <c r="AW15" s="57">
        <f ca="1">VLOOKUP($AT15,OFFSET(crash_skills!$A$1,0,0,COUNTA(crash_skills!$A:$A),MATCH(AW$1,crash_skills!$1:$1,0)-MATCH($AT$1,crash_skills!$1:$1,0)+1),MATCH(AW$1,crash_skills!$1:$1,0)-MATCH($AT$1,crash_skills!$1:$1,0)+1,FALSE)</f>
        <v>0</v>
      </c>
      <c r="AX15" s="58">
        <f ca="1">VLOOKUP($A15,OFFSET([1]characters!$A$1,0,0,COUNTA([1]characters!$A:$A),MATCH(AX$1,[1]characters!$1:$1,0)-MATCH($A$1,[1]characters!$1:$1,0)+1),MATCH(AX$1,[1]characters!$1:$1,0)-MATCH($A$1,[1]characters!$1:$1,0)+1,FALSE)</f>
        <v>3</v>
      </c>
      <c r="AY15" s="68">
        <v>1</v>
      </c>
      <c r="AZ15" s="68">
        <v>1</v>
      </c>
      <c r="BA15" s="68">
        <v>0</v>
      </c>
      <c r="BB15" s="68">
        <v>1</v>
      </c>
      <c r="BC15" s="11">
        <f ca="1">INDEX('RC6SV'!$A$1:$G$21,MATCH(H15,'RC6SV'!$A$1:$A$21,FALSE),MATCH(G15,'RC6SV'!$A$1:$G$1,FALSE))</f>
        <v>4800</v>
      </c>
      <c r="BD15" s="48">
        <f t="shared" ca="1" si="13"/>
        <v>4800</v>
      </c>
      <c r="BE15" s="11">
        <f t="shared" ca="1" si="4"/>
        <v>0</v>
      </c>
      <c r="BF15" s="11">
        <f t="shared" ca="1" si="5"/>
        <v>1</v>
      </c>
      <c r="BG15" s="16">
        <f ca="1">IF($BE15&lt;=0,ROUND(BK15*0.5,0), ROUND($BE15*S15*AA15*J15*AY15*0.8*[1]ステータス!$B$2,0))</f>
        <v>941</v>
      </c>
      <c r="BH15" s="16">
        <f ca="1">IF($BE15&lt;=0,ROUND(BL15*0.5,0), ROUND($BE15*T15*AB15*K15*AZ15*0.8*[1]ステータス!$C$2,0))</f>
        <v>567</v>
      </c>
      <c r="BI15" s="16">
        <f ca="1">IF($BE15&lt;=0,ROUND(BM15*0.5,0), ROUND($BE15*U15*AC15*L15*BA15*0.8*[1]ステータス!$D$2,0))</f>
        <v>0</v>
      </c>
      <c r="BJ15" s="16">
        <f ca="1">IF($BE15&lt;=0,ROUND(BN15*0.5,0), ROUND($BE15*V15*AD15*M15*BB15*0.8*[1]ステータス!$E$2,0))</f>
        <v>861</v>
      </c>
      <c r="BK15" s="11">
        <f ca="1">ROUND(BD15*S15*AA15*J15*AY15*[1]ステータス!$B$2,0)</f>
        <v>1882</v>
      </c>
      <c r="BL15" s="11">
        <f ca="1">ROUND(BD15*T15*AB15*K15*AZ15*[1]ステータス!$C$2,0)</f>
        <v>1134</v>
      </c>
      <c r="BM15" s="11">
        <f ca="1">ROUND(BD15*U15*AC15*L15*BA15*[1]ステータス!$D$2,0)</f>
        <v>0</v>
      </c>
      <c r="BN15" s="11">
        <f ca="1">ROUND(BD15*V15*AD15*M15*BB15*[1]ステータス!$E$2,0)</f>
        <v>1721</v>
      </c>
      <c r="BO15" s="10">
        <v>0</v>
      </c>
      <c r="BP15" s="10">
        <v>1</v>
      </c>
      <c r="BQ15" s="10" t="s">
        <v>47</v>
      </c>
      <c r="BR15" s="10">
        <f ca="1">VLOOKUP(H15,ghosts_label!$A$2:$B$19,2,FALSE)</f>
        <v>1</v>
      </c>
    </row>
    <row r="16" spans="1:70" ht="21" customHeight="1" x14ac:dyDescent="0.15">
      <c r="A16" s="134">
        <v>539</v>
      </c>
      <c r="B16" s="57" t="str">
        <f ca="1">VLOOKUP($A16,OFFSET([1]characters!$A$1,0,0,COUNTA([1]characters!$A:$A),MATCH(B$1,[1]characters!$1:$1,0)-MATCH($A$1,[1]characters!$1:$1,0)+1),MATCH(B$1,[1]characters!$1:$1,0)-MATCH($A$1,[1]characters!$1:$1,0)+1,FALSE)</f>
        <v>初音ミク・アペンド</v>
      </c>
      <c r="C16" s="57" t="str">
        <f ca="1">VLOOKUP($A16,OFFSET([1]characters!$A$1,0,0,COUNTA([1]characters!$A:$A),MATCH(C$1,[1]characters!$1:$1,0)-MATCH($A$1,[1]characters!$1:$1,0)+1),MATCH(C$1,[1]characters!$1:$1,0)-MATCH($A$1,[1]characters!$1:$1,0)+1,FALSE)</f>
        <v>ガチャ:ミクコラボ01</v>
      </c>
      <c r="D16" s="57" t="str">
        <f ca="1">VLOOKUP($A16,OFFSET([1]characters!$A$1,0,0,COUNTA([1]characters!$A:$A),MATCH(D$1,[1]characters!$1:$1,0)-MATCH($A$1,[1]characters!$1:$1,0)+1),MATCH(D$1,[1]characters!$1:$1,0)-MATCH($A$1,[1]characters!$1:$1,0)+1,FALSE)</f>
        <v>執行者</v>
      </c>
      <c r="E16" s="57" t="str">
        <f ca="1">VLOOKUP($A16,OFFSET([1]characters!$A$1,0,0,COUNTA([1]characters!$A:$A),MATCH(E$1,[1]characters!$1:$1,0)-MATCH($A$1,[1]characters!$1:$1,0)+1),MATCH(E$1,[1]characters!$1:$1,0)-MATCH($A$1,[1]characters!$1:$1,0)+1,FALSE)</f>
        <v>格好いい</v>
      </c>
      <c r="F16" s="57" t="str">
        <f ca="1">VLOOKUP($A16,OFFSET([1]characters!$A$1,0,0,COUNTA([1]characters!$A:$A),MATCH(F$1,[1]characters!$1:$1,0)-MATCH($A$1,[1]characters!$1:$1,0)+1),MATCH(F$1,[1]characters!$1:$1,0)-MATCH($A$1,[1]characters!$1:$1,0)+1,FALSE)</f>
        <v>女性</v>
      </c>
      <c r="G16" s="57">
        <f ca="1">VLOOKUP($A16,OFFSET([1]characters!$A$1,0,0,COUNTA([1]characters!$A:$A),MATCH(G$1,[1]characters!$1:$1,0)-MATCH($A$1,[1]characters!$1:$1,0)+1),MATCH(G$1,[1]characters!$1:$1,0)-MATCH($A$1,[1]characters!$1:$1,0)+1,FALSE)</f>
        <v>4</v>
      </c>
      <c r="H16" s="57" t="str">
        <f ca="1">VLOOKUP($A16,OFFSET([1]characters!$A$1,0,0,COUNTA([1]characters!$A:$A),MATCH(H$1,[1]characters!$1:$1,0)-MATCH($A$1,[1]characters!$1:$1,0)+1),MATCH(H$1,[1]characters!$1:$1,0)-MATCH($A$1,[1]characters!$1:$1,0)+1,FALSE)</f>
        <v>PremiumSSS</v>
      </c>
      <c r="I16" s="57" t="str">
        <f ca="1">VLOOKUP($A16,OFFSET([1]characters!$A$1,0,0,COUNTA([1]characters!$A:$A),MATCH(I$1,[1]characters!$1:$1,0)-MATCH($A$1,[1]characters!$1:$1,0)+1),MATCH(I$1,[1]characters!$1:$1,0)-MATCH($A$1,[1]characters!$1:$1,0)+1,FALSE)</f>
        <v>green</v>
      </c>
      <c r="J16" s="11">
        <f ca="1">VLOOKUP(I16,[1]属性!$A:$E,2,FALSE)</f>
        <v>1.02</v>
      </c>
      <c r="K16" s="11">
        <f ca="1">VLOOKUP(I16,[1]属性!$A:$E,3,FALSE)</f>
        <v>0.98</v>
      </c>
      <c r="L16" s="11">
        <f ca="1">VLOOKUP(I16,[1]属性!$A:$E,4,FALSE)</f>
        <v>1</v>
      </c>
      <c r="M16" s="11">
        <f ca="1">VLOOKUP(I16,[1]属性!$A:$E,5,FALSE)</f>
        <v>1</v>
      </c>
      <c r="N16" s="11">
        <f ca="1">INDEX(コスト!$A$1:$I$21,MATCH(H16,コスト!$A$1:$A$21,FALSE),MATCH(G16,コスト!$A$1:$I$1,FALSE))</f>
        <v>30</v>
      </c>
      <c r="O16" s="11">
        <f ca="1">INDEX(レベル!$A$1:$I$21,MATCH(H16,レベル!$A$1:$A$21,FALSE),MATCH(G16,レベル!$A$1:$I$1,FALSE))</f>
        <v>60</v>
      </c>
      <c r="P16" s="48">
        <f t="shared" ca="1" si="11"/>
        <v>60</v>
      </c>
      <c r="Q16" s="57" t="str">
        <f ca="1">VLOOKUP($A16,OFFSET([1]characters!$A$1,0,0,COUNTA([1]characters!$A:$A),MATCH(Q$1,[1]characters!$1:$1,0)-MATCH($A$1,[1]characters!$1:$1,0)+1),MATCH(Q$1,[1]characters!$1:$1,0)-MATCH($A$1,[1]characters!$1:$1,0)+1,FALSE)</f>
        <v>technical</v>
      </c>
      <c r="R16" s="5" t="str">
        <f ca="1">VLOOKUP(Q16,[1]character_type_i18n!$A:$H,3,FALSE)</f>
        <v>テクニカルタイプ</v>
      </c>
      <c r="S16" s="11">
        <f ca="1">VLOOKUP(Q16,[1]character_type_i18n!$A:$H,4,FALSE)</f>
        <v>0.9</v>
      </c>
      <c r="T16" s="11">
        <f ca="1">VLOOKUP(Q16,[1]character_type_i18n!$A:$H,5,FALSE)</f>
        <v>0.9</v>
      </c>
      <c r="U16" s="11">
        <f ca="1">VLOOKUP(Q16,[1]character_type_i18n!$A:$H,6,FALSE)</f>
        <v>1</v>
      </c>
      <c r="V16" s="11">
        <f ca="1">VLOOKUP(Q16,[1]character_type_i18n!$A:$H,7,FALSE)</f>
        <v>0.9</v>
      </c>
      <c r="W16" s="57" t="str">
        <f ca="1">VLOOKUP($A16,OFFSET([1]characters!$A$1,0,0,COUNTA([1]characters!$A:$A),MATCH(W$1,[1]characters!$1:$1,0)-MATCH($A$1,[1]characters!$1:$1,0)+1),MATCH(W$1,[1]characters!$1:$1,0)-MATCH($A$1,[1]characters!$1:$1,0)+1,FALSE)</f>
        <v>unknown</v>
      </c>
      <c r="X16" s="5" t="str">
        <f ca="1">VLOOKUP(W16,[1]character_tribe_i18n!$A:$H,3,FALSE)</f>
        <v>Unknown</v>
      </c>
      <c r="Y16" s="57" t="str">
        <f ca="1">VLOOKUP($A16,OFFSET([1]characters!$A$1,0,0,COUNTA([1]characters!$A:$A),MATCH(Y$1,[1]characters!$1:$1,0)-MATCH($A$1,[1]characters!$1:$1,0)+1),MATCH(Y$1,[1]characters!$1:$1,0)-MATCH($A$1,[1]characters!$1:$1,0)+1,FALSE)</f>
        <v>none</v>
      </c>
      <c r="Z16" s="5" t="str">
        <f ca="1">VLOOKUP(Y16,[1]character_tribe_i18n!$A:$H,3,FALSE)</f>
        <v>種族なし</v>
      </c>
      <c r="AA16" s="11">
        <f ca="1">VLOOKUP(W16,[1]character_tribe_i18n!$A:$H,4,FALSE)</f>
        <v>1</v>
      </c>
      <c r="AB16" s="11">
        <f ca="1">VLOOKUP(W16,[1]character_tribe_i18n!$A:$H,5,FALSE)</f>
        <v>1</v>
      </c>
      <c r="AC16" s="11">
        <f ca="1">VLOOKUP(W16,[1]character_tribe_i18n!$A:$H,6,FALSE)</f>
        <v>1</v>
      </c>
      <c r="AD16" s="11">
        <f ca="1">VLOOKUP(W16,[1]character_tribe_i18n!$A:$H,7,FALSE)</f>
        <v>1</v>
      </c>
      <c r="AE16" s="9">
        <f>A17</f>
        <v>540</v>
      </c>
      <c r="AF16" s="62" t="str">
        <f ca="1">IF(AE16="NULL","",VLOOKUP($AE16,OFFSET([1]characters!$A$1,0,0,COUNTA([1]characters!$A:$A),MATCH(AF$1,[1]characters!$1:$1,0)-MATCH($A$1,[1]characters!$1:$1,0)+1),MATCH(AF$1,[1]characters!$1:$1,0)-MATCH($A$1,[1]characters!$1:$1,0)+1,FALSE))</f>
        <v>来訪の歌姫 初音ミク・アペンド</v>
      </c>
      <c r="AG16" s="5">
        <f t="shared" ca="1" si="1"/>
        <v>539</v>
      </c>
      <c r="AH16" s="62" t="str">
        <f ca="1">VLOOKUP($AG16,OFFSET([1]characters!$A$1,0,0,COUNTA([1]characters!$A:$A),MATCH(AH$1,[1]characters!$1:$1,0)-MATCH($A$1,[1]characters!$1:$1,0)+1),MATCH(AH$1,[1]characters!$1:$1,0)-MATCH($A$1,[1]characters!$1:$1,0)+1,FALSE)</f>
        <v>初音ミク・アペンド</v>
      </c>
      <c r="AI16" s="11">
        <f ca="1">IF(AE16="NULL","NULL",VLOOKUP(G16,ビット!$A$2:$B$7,2))</f>
        <v>50000</v>
      </c>
      <c r="AJ16" s="6">
        <v>2</v>
      </c>
      <c r="AK16" s="7" t="str">
        <f t="shared" si="12"/>
        <v>普通</v>
      </c>
      <c r="AL16" s="11" t="str">
        <f ca="1">INDEX(経験値!$A$1:$I$21,MATCH(H16,経験値!$A$1:$A$21,FALSE),MATCH(G16,経験値!$A$1:$I$1,FALSE))</f>
        <v>required_exp_250</v>
      </c>
      <c r="AM16" s="8">
        <f ca="1">VLOOKUP(G16,経験値!$A$28:$B$32,2)</f>
        <v>3400</v>
      </c>
      <c r="AN16" s="17">
        <f ca="1">VLOOKUP(G16,ビット!$G$2:$H$7,2)</f>
        <v>600</v>
      </c>
      <c r="AO16" s="45"/>
      <c r="AP16" s="67">
        <f t="shared" si="8"/>
        <v>539</v>
      </c>
      <c r="AQ16" s="57" t="str">
        <f ca="1">VLOOKUP($AP16,OFFSET(unit_skills!$A$1,0,0,COUNTA(unit_skills!$A:$A),MATCH(AQ$1,unit_skills!$1:$1,0)-MATCH($AP$1,unit_skills!$1:$1,0)+1),MATCH(AQ$1,unit_skills!$1:$1,0)-MATCH($AP$1,unit_skills!$1:$1,0)+1,FALSE)</f>
        <v>リプレイス＆アペンド</v>
      </c>
      <c r="AR16" s="57" t="str">
        <f ca="1">VLOOKUP($AP16,OFFSET(unit_skills!$A$1,0,0,COUNTA(unit_skills!$A:$A),MATCH(AR$1,unit_skills!$1:$1,0)-MATCH($AP$1,unit_skills!$1:$1,0)+1),MATCH(AR$1,unit_skills!$1:$1,0)-MATCH($AP$1,unit_skills!$1:$1,0)+1,FALSE)</f>
        <v>SCパネルを1つ生成(威力大)+1ターン緑の攻撃力UP(時限式・お邪魔を吸収し効果UP)</v>
      </c>
      <c r="AS16" s="57">
        <f ca="1">VLOOKUP($AP16,OFFSET(unit_skills!$A$1,0,0,COUNTA(unit_skills!$A:$A),MATCH(AS$1,unit_skills!$1:$1,0)-MATCH($AP$1,unit_skills!$1:$1,0)+1),MATCH(AS$1,unit_skills!$1:$1,0)-MATCH($AP$1,unit_skills!$1:$1,0)+1,FALSE)</f>
        <v>0</v>
      </c>
      <c r="AT16" s="41">
        <f t="shared" si="9"/>
        <v>539</v>
      </c>
      <c r="AU16" s="57" t="str">
        <f ca="1">VLOOKUP($AT16,OFFSET(crash_skills!$A$1,0,0,COUNTA(crash_skills!$A:$A),MATCH(AU$1,crash_skills!$1:$1,0)-MATCH($AT$1,crash_skills!$1:$1,0)+1),MATCH(AU$1,crash_skills!$1:$1,0)-MATCH($AT$1,crash_skills!$1:$1,0)+1,FALSE)</f>
        <v>アペンド・ヘキサノート</v>
      </c>
      <c r="AV16" s="57" t="str">
        <f ca="1">VLOOKUP($AT16,OFFSET(crash_skills!$A$1,0,0,COUNTA(crash_skills!$A:$A),MATCH(AV$1,crash_skills!$1:$1,0)-MATCH($AT$1,crash_skills!$1:$1,0)+1),MATCH(AV$1,crash_skills!$1:$1,0)-MATCH($AT$1,crash_skills!$1:$1,0)+1,FALSE)</f>
        <v>Unknownに効果特大の_x000D_単体ダメージ+攻撃力小UP</v>
      </c>
      <c r="AW16" s="57">
        <f ca="1">VLOOKUP($AT16,OFFSET(crash_skills!$A$1,0,0,COUNTA(crash_skills!$A:$A),MATCH(AW$1,crash_skills!$1:$1,0)-MATCH($AT$1,crash_skills!$1:$1,0)+1),MATCH(AW$1,crash_skills!$1:$1,0)-MATCH($AT$1,crash_skills!$1:$1,0)+1,FALSE)</f>
        <v>0</v>
      </c>
      <c r="AX16" s="58">
        <f ca="1">VLOOKUP($A16,OFFSET([1]characters!$A$1,0,0,COUNTA([1]characters!$A:$A),MATCH(AX$1,[1]characters!$1:$1,0)-MATCH($A$1,[1]characters!$1:$1,0)+1),MATCH(AX$1,[1]characters!$1:$1,0)-MATCH($A$1,[1]characters!$1:$1,0)+1,FALSE)</f>
        <v>3</v>
      </c>
      <c r="AY16" s="68">
        <v>0.97</v>
      </c>
      <c r="AZ16" s="68">
        <v>1.2</v>
      </c>
      <c r="BA16" s="68">
        <v>0</v>
      </c>
      <c r="BB16" s="68">
        <v>1</v>
      </c>
      <c r="BC16" s="11">
        <f ca="1">INDEX('RC6SV'!$A$1:$G$21,MATCH(H16,'RC6SV'!$A$1:$A$21,FALSE),MATCH(G16,'RC6SV'!$A$1:$G$1,FALSE))</f>
        <v>8000</v>
      </c>
      <c r="BD16" s="48">
        <f t="shared" ca="1" si="13"/>
        <v>8000</v>
      </c>
      <c r="BE16" s="11">
        <f t="shared" ca="1" si="4"/>
        <v>0</v>
      </c>
      <c r="BF16" s="11">
        <f t="shared" ca="1" si="5"/>
        <v>1</v>
      </c>
      <c r="BG16" s="16">
        <f ca="1">IF($BE16&lt;=0,ROUND(BK16*0.5,0), ROUND($BE16*S16*AA16*J16*AY16*0.8*[1]ステータス!$B$2,0))</f>
        <v>1781</v>
      </c>
      <c r="BH16" s="16">
        <f ca="1">IF($BE16&lt;=0,ROUND(BL16*0.5,0), ROUND($BE16*T16*AB16*K16*AZ16*0.8*[1]ステータス!$C$2,0))</f>
        <v>1270</v>
      </c>
      <c r="BI16" s="16">
        <f ca="1">IF($BE16&lt;=0,ROUND(BM16*0.5,0), ROUND($BE16*U16*AC16*L16*BA16*0.8*[1]ステータス!$D$2,0))</f>
        <v>0</v>
      </c>
      <c r="BJ16" s="16">
        <f ca="1">IF($BE16&lt;=0,ROUND(BN16*0.5,0), ROUND($BE16*V16*AD16*M16*BB16*0.8*[1]ステータス!$E$2,0))</f>
        <v>900</v>
      </c>
      <c r="BK16" s="11">
        <f ca="1">ROUND(BD16*S16*AA16*J16*AY16*[1]ステータス!$B$2,0)</f>
        <v>3562</v>
      </c>
      <c r="BL16" s="11">
        <f ca="1">ROUND(BD16*T16*AB16*K16*AZ16*[1]ステータス!$C$2,0)</f>
        <v>2540</v>
      </c>
      <c r="BM16" s="11">
        <f ca="1">ROUND(BD16*U16*AC16*L16*BA16*[1]ステータス!$D$2,0)</f>
        <v>0</v>
      </c>
      <c r="BN16" s="11">
        <f ca="1">ROUND(BD16*V16*AD16*M16*BB16*[1]ステータス!$E$2,0)</f>
        <v>1800</v>
      </c>
      <c r="BO16" s="10">
        <v>0</v>
      </c>
      <c r="BP16" s="10">
        <v>1</v>
      </c>
      <c r="BQ16" s="10" t="s">
        <v>47</v>
      </c>
      <c r="BR16" s="178">
        <v>6000</v>
      </c>
    </row>
    <row r="17" spans="1:70" ht="21" customHeight="1" x14ac:dyDescent="0.15">
      <c r="A17" s="134">
        <v>540</v>
      </c>
      <c r="B17" s="57" t="str">
        <f ca="1">VLOOKUP($A17,OFFSET([1]characters!$A$1,0,0,COUNTA([1]characters!$A:$A),MATCH(B$1,[1]characters!$1:$1,0)-MATCH($A$1,[1]characters!$1:$1,0)+1),MATCH(B$1,[1]characters!$1:$1,0)-MATCH($A$1,[1]characters!$1:$1,0)+1,FALSE)</f>
        <v>来訪の歌姫 初音ミク・アペンド</v>
      </c>
      <c r="C17" s="57" t="str">
        <f ca="1">VLOOKUP($A17,OFFSET([1]characters!$A$1,0,0,COUNTA([1]characters!$A:$A),MATCH(C$1,[1]characters!$1:$1,0)-MATCH($A$1,[1]characters!$1:$1,0)+1),MATCH(C$1,[1]characters!$1:$1,0)-MATCH($A$1,[1]characters!$1:$1,0)+1,FALSE)</f>
        <v>ガチャ:ミクコラボ01</v>
      </c>
      <c r="D17" s="57" t="str">
        <f ca="1">VLOOKUP($A17,OFFSET([1]characters!$A$1,0,0,COUNTA([1]characters!$A:$A),MATCH(D$1,[1]characters!$1:$1,0)-MATCH($A$1,[1]characters!$1:$1,0)+1),MATCH(D$1,[1]characters!$1:$1,0)-MATCH($A$1,[1]characters!$1:$1,0)+1,FALSE)</f>
        <v>執行者</v>
      </c>
      <c r="E17" s="57" t="str">
        <f ca="1">VLOOKUP($A17,OFFSET([1]characters!$A$1,0,0,COUNTA([1]characters!$A:$A),MATCH(E$1,[1]characters!$1:$1,0)-MATCH($A$1,[1]characters!$1:$1,0)+1),MATCH(E$1,[1]characters!$1:$1,0)-MATCH($A$1,[1]characters!$1:$1,0)+1,FALSE)</f>
        <v>格好いい</v>
      </c>
      <c r="F17" s="57" t="str">
        <f ca="1">VLOOKUP($A17,OFFSET([1]characters!$A$1,0,0,COUNTA([1]characters!$A:$A),MATCH(F$1,[1]characters!$1:$1,0)-MATCH($A$1,[1]characters!$1:$1,0)+1),MATCH(F$1,[1]characters!$1:$1,0)-MATCH($A$1,[1]characters!$1:$1,0)+1,FALSE)</f>
        <v>女性</v>
      </c>
      <c r="G17" s="57">
        <f ca="1">VLOOKUP($A17,OFFSET([1]characters!$A$1,0,0,COUNTA([1]characters!$A:$A),MATCH(G$1,[1]characters!$1:$1,0)-MATCH($A$1,[1]characters!$1:$1,0)+1),MATCH(G$1,[1]characters!$1:$1,0)-MATCH($A$1,[1]characters!$1:$1,0)+1,FALSE)</f>
        <v>5</v>
      </c>
      <c r="H17" s="57" t="str">
        <f ca="1">VLOOKUP($A17,OFFSET([1]characters!$A$1,0,0,COUNTA([1]characters!$A:$A),MATCH(H$1,[1]characters!$1:$1,0)-MATCH($A$1,[1]characters!$1:$1,0)+1),MATCH(H$1,[1]characters!$1:$1,0)-MATCH($A$1,[1]characters!$1:$1,0)+1,FALSE)</f>
        <v>PremiumSSS</v>
      </c>
      <c r="I17" s="57" t="str">
        <f ca="1">VLOOKUP($A17,OFFSET([1]characters!$A$1,0,0,COUNTA([1]characters!$A:$A),MATCH(I$1,[1]characters!$1:$1,0)-MATCH($A$1,[1]characters!$1:$1,0)+1),MATCH(I$1,[1]characters!$1:$1,0)-MATCH($A$1,[1]characters!$1:$1,0)+1,FALSE)</f>
        <v>green</v>
      </c>
      <c r="J17" s="11">
        <f ca="1">VLOOKUP(I17,[1]属性!$A:$E,2,FALSE)</f>
        <v>1.02</v>
      </c>
      <c r="K17" s="11">
        <f ca="1">VLOOKUP(I17,[1]属性!$A:$E,3,FALSE)</f>
        <v>0.98</v>
      </c>
      <c r="L17" s="11">
        <f ca="1">VLOOKUP(I17,[1]属性!$A:$E,4,FALSE)</f>
        <v>1</v>
      </c>
      <c r="M17" s="11">
        <f ca="1">VLOOKUP(I17,[1]属性!$A:$E,5,FALSE)</f>
        <v>1</v>
      </c>
      <c r="N17" s="11">
        <f ca="1">INDEX(コスト!$A$1:$I$21,MATCH(H17,コスト!$A$1:$A$21,FALSE),MATCH(G17,コスト!$A$1:$I$1,FALSE))</f>
        <v>40</v>
      </c>
      <c r="O17" s="11">
        <f ca="1">INDEX(レベル!$A$1:$I$21,MATCH(H17,レベル!$A$1:$A$21,FALSE),MATCH(G17,レベル!$A$1:$I$1,FALSE))</f>
        <v>80</v>
      </c>
      <c r="P17" s="48">
        <f t="shared" ca="1" si="11"/>
        <v>75</v>
      </c>
      <c r="Q17" s="57" t="str">
        <f ca="1">VLOOKUP($A17,OFFSET([1]characters!$A$1,0,0,COUNTA([1]characters!$A:$A),MATCH(Q$1,[1]characters!$1:$1,0)-MATCH($A$1,[1]characters!$1:$1,0)+1),MATCH(Q$1,[1]characters!$1:$1,0)-MATCH($A$1,[1]characters!$1:$1,0)+1,FALSE)</f>
        <v>technical</v>
      </c>
      <c r="R17" s="5" t="str">
        <f ca="1">VLOOKUP(Q17,[1]character_type_i18n!$A:$H,3,FALSE)</f>
        <v>テクニカルタイプ</v>
      </c>
      <c r="S17" s="11">
        <f ca="1">VLOOKUP(Q17,[1]character_type_i18n!$A:$H,4,FALSE)</f>
        <v>0.9</v>
      </c>
      <c r="T17" s="11">
        <f ca="1">VLOOKUP(Q17,[1]character_type_i18n!$A:$H,5,FALSE)</f>
        <v>0.9</v>
      </c>
      <c r="U17" s="11">
        <f ca="1">VLOOKUP(Q17,[1]character_type_i18n!$A:$H,6,FALSE)</f>
        <v>1</v>
      </c>
      <c r="V17" s="11">
        <f ca="1">VLOOKUP(Q17,[1]character_type_i18n!$A:$H,7,FALSE)</f>
        <v>0.9</v>
      </c>
      <c r="W17" s="57" t="str">
        <f ca="1">VLOOKUP($A17,OFFSET([1]characters!$A$1,0,0,COUNTA([1]characters!$A:$A),MATCH(W$1,[1]characters!$1:$1,0)-MATCH($A$1,[1]characters!$1:$1,0)+1),MATCH(W$1,[1]characters!$1:$1,0)-MATCH($A$1,[1]characters!$1:$1,0)+1,FALSE)</f>
        <v>unknown</v>
      </c>
      <c r="X17" s="5" t="str">
        <f ca="1">VLOOKUP(W17,[1]character_tribe_i18n!$A:$H,3,FALSE)</f>
        <v>Unknown</v>
      </c>
      <c r="Y17" s="57" t="str">
        <f ca="1">VLOOKUP($A17,OFFSET([1]characters!$A$1,0,0,COUNTA([1]characters!$A:$A),MATCH(Y$1,[1]characters!$1:$1,0)-MATCH($A$1,[1]characters!$1:$1,0)+1),MATCH(Y$1,[1]characters!$1:$1,0)-MATCH($A$1,[1]characters!$1:$1,0)+1,FALSE)</f>
        <v>none</v>
      </c>
      <c r="Z17" s="5" t="str">
        <f ca="1">VLOOKUP(Y17,[1]character_tribe_i18n!$A:$H,3,FALSE)</f>
        <v>種族なし</v>
      </c>
      <c r="AA17" s="11">
        <f ca="1">VLOOKUP(W17,[1]character_tribe_i18n!$A:$H,4,FALSE)</f>
        <v>1</v>
      </c>
      <c r="AB17" s="11">
        <f ca="1">VLOOKUP(W17,[1]character_tribe_i18n!$A:$H,5,FALSE)</f>
        <v>1</v>
      </c>
      <c r="AC17" s="11">
        <f ca="1">VLOOKUP(W17,[1]character_tribe_i18n!$A:$H,6,FALSE)</f>
        <v>1</v>
      </c>
      <c r="AD17" s="11">
        <f ca="1">VLOOKUP(W17,[1]character_tribe_i18n!$A:$H,7,FALSE)</f>
        <v>1</v>
      </c>
      <c r="AE17" s="9" t="s">
        <v>178</v>
      </c>
      <c r="AF17" s="62" t="str">
        <f ca="1">IF(AE17="NULL","",VLOOKUP($AE17,OFFSET([1]characters!$A$1,0,0,COUNTA([1]characters!$A:$A),MATCH(AF$1,[1]characters!$1:$1,0)-MATCH($A$1,[1]characters!$1:$1,0)+1),MATCH(AF$1,[1]characters!$1:$1,0)-MATCH($A$1,[1]characters!$1:$1,0)+1,FALSE))</f>
        <v/>
      </c>
      <c r="AG17" s="5">
        <f t="shared" ca="1" si="1"/>
        <v>539</v>
      </c>
      <c r="AH17" s="62" t="str">
        <f ca="1">VLOOKUP($AG17,OFFSET([1]characters!$A$1,0,0,COUNTA([1]characters!$A:$A),MATCH(AH$1,[1]characters!$1:$1,0)-MATCH($A$1,[1]characters!$1:$1,0)+1),MATCH(AH$1,[1]characters!$1:$1,0)-MATCH($A$1,[1]characters!$1:$1,0)+1,FALSE)</f>
        <v>初音ミク・アペンド</v>
      </c>
      <c r="AI17" s="11" t="str">
        <f>IF(AE17="NULL","NULL",VLOOKUP(G17,ビット!$A$2:$B$7,2))</f>
        <v>NULL</v>
      </c>
      <c r="AJ17" s="6">
        <v>2</v>
      </c>
      <c r="AK17" s="7" t="str">
        <f t="shared" si="12"/>
        <v>普通</v>
      </c>
      <c r="AL17" s="11" t="str">
        <f ca="1">INDEX(経験値!$A$1:$I$21,MATCH(H17,経験値!$A$1:$A$21,FALSE),MATCH(G17,経験値!$A$1:$I$1,FALSE))</f>
        <v>required_exp_250</v>
      </c>
      <c r="AM17" s="8">
        <f ca="1">VLOOKUP(G17,経験値!$A$28:$B$32,2)</f>
        <v>6400</v>
      </c>
      <c r="AN17" s="17">
        <f ca="1">VLOOKUP(G17,ビット!$G$2:$H$7,2)</f>
        <v>900</v>
      </c>
      <c r="AO17" s="45"/>
      <c r="AP17" s="67">
        <f t="shared" si="8"/>
        <v>540</v>
      </c>
      <c r="AQ17" s="57" t="str">
        <f ca="1">VLOOKUP($AP17,OFFSET(unit_skills!$A$1,0,0,COUNTA(unit_skills!$A:$A),MATCH(AQ$1,unit_skills!$1:$1,0)-MATCH($AP$1,unit_skills!$1:$1,0)+1),MATCH(AQ$1,unit_skills!$1:$1,0)-MATCH($AP$1,unit_skills!$1:$1,0)+1,FALSE)</f>
        <v>リプレイス＆アペンド</v>
      </c>
      <c r="AR17" s="57" t="str">
        <f ca="1">VLOOKUP($AP17,OFFSET(unit_skills!$A$1,0,0,COUNTA(unit_skills!$A:$A),MATCH(AR$1,unit_skills!$1:$1,0)-MATCH($AP$1,unit_skills!$1:$1,0)+1),MATCH(AR$1,unit_skills!$1:$1,0)-MATCH($AP$1,unit_skills!$1:$1,0)+1,FALSE)</f>
        <v>SCパネルを1つ生成(威力大)+1ターン緑の攻撃力UP(時限式・お邪魔を吸収し効果UP)</v>
      </c>
      <c r="AS17" s="57">
        <f ca="1">VLOOKUP($AP17,OFFSET(unit_skills!$A$1,0,0,COUNTA(unit_skills!$A:$A),MATCH(AS$1,unit_skills!$1:$1,0)-MATCH($AP$1,unit_skills!$1:$1,0)+1),MATCH(AS$1,unit_skills!$1:$1,0)-MATCH($AP$1,unit_skills!$1:$1,0)+1,FALSE)</f>
        <v>0</v>
      </c>
      <c r="AT17" s="41">
        <f t="shared" si="9"/>
        <v>540</v>
      </c>
      <c r="AU17" s="57" t="str">
        <f ca="1">VLOOKUP($AT17,OFFSET(crash_skills!$A$1,0,0,COUNTA(crash_skills!$A:$A),MATCH(AU$1,crash_skills!$1:$1,0)-MATCH($AT$1,crash_skills!$1:$1,0)+1),MATCH(AU$1,crash_skills!$1:$1,0)-MATCH($AT$1,crash_skills!$1:$1,0)+1,FALSE)</f>
        <v>アペンド・ヘキサノート</v>
      </c>
      <c r="AV17" s="57" t="str">
        <f ca="1">VLOOKUP($AT17,OFFSET(crash_skills!$A$1,0,0,COUNTA(crash_skills!$A:$A),MATCH(AV$1,crash_skills!$1:$1,0)-MATCH($AT$1,crash_skills!$1:$1,0)+1),MATCH(AV$1,crash_skills!$1:$1,0)-MATCH($AT$1,crash_skills!$1:$1,0)+1,FALSE)</f>
        <v>Unknownに効果特大の_x000D_単体ダメージ+攻撃力小UP</v>
      </c>
      <c r="AW17" s="57">
        <f ca="1">VLOOKUP($AT17,OFFSET(crash_skills!$A$1,0,0,COUNTA(crash_skills!$A:$A),MATCH(AW$1,crash_skills!$1:$1,0)-MATCH($AT$1,crash_skills!$1:$1,0)+1),MATCH(AW$1,crash_skills!$1:$1,0)-MATCH($AT$1,crash_skills!$1:$1,0)+1,FALSE)</f>
        <v>0</v>
      </c>
      <c r="AX17" s="58">
        <f ca="1">VLOOKUP($A17,OFFSET([1]characters!$A$1,0,0,COUNTA([1]characters!$A:$A),MATCH(AX$1,[1]characters!$1:$1,0)-MATCH($A$1,[1]characters!$1:$1,0)+1),MATCH(AX$1,[1]characters!$1:$1,0)-MATCH($A$1,[1]characters!$1:$1,0)+1,FALSE)</f>
        <v>3</v>
      </c>
      <c r="AY17" s="68">
        <v>0.97</v>
      </c>
      <c r="AZ17" s="68">
        <v>1.2</v>
      </c>
      <c r="BA17" s="68">
        <v>0</v>
      </c>
      <c r="BB17" s="68">
        <v>1</v>
      </c>
      <c r="BC17" s="11">
        <f ca="1">INDEX('RC6SV'!$A$1:$G$21,MATCH(H17,'RC6SV'!$A$1:$A$21,FALSE),MATCH(G17,'RC6SV'!$A$1:$G$1,FALSE))</f>
        <v>10000</v>
      </c>
      <c r="BD17" s="48">
        <f t="shared" ca="1" si="13"/>
        <v>10000</v>
      </c>
      <c r="BE17" s="11">
        <f t="shared" ca="1" si="4"/>
        <v>8000</v>
      </c>
      <c r="BF17" s="11">
        <f t="shared" ca="1" si="5"/>
        <v>1</v>
      </c>
      <c r="BG17" s="16">
        <f ca="1">IF($BE17&lt;=0,ROUND(BK17*0.5,0), ROUND($BE17*S17*AA17*J17*AY17*0.8*[1]ステータス!$B$2,0))</f>
        <v>2849</v>
      </c>
      <c r="BH17" s="16">
        <f ca="1">IF($BE17&lt;=0,ROUND(BL17*0.5,0), ROUND($BE17*T17*AB17*K17*AZ17*0.8*[1]ステータス!$C$2,0))</f>
        <v>2032</v>
      </c>
      <c r="BI17" s="16">
        <f ca="1">IF($BE17&lt;=0,ROUND(BM17*0.5,0), ROUND($BE17*U17*AC17*L17*BA17*0.8*[1]ステータス!$D$2,0))</f>
        <v>0</v>
      </c>
      <c r="BJ17" s="16">
        <f ca="1">IF($BE17&lt;=0,ROUND(BN17*0.5,0), ROUND($BE17*V17*AD17*M17*BB17*0.8*[1]ステータス!$E$2,0))</f>
        <v>1440</v>
      </c>
      <c r="BK17" s="11">
        <f ca="1">ROUND(BD17*S17*AA17*J17*AY17*[1]ステータス!$B$2,0)</f>
        <v>4452</v>
      </c>
      <c r="BL17" s="11">
        <f ca="1">ROUND(BD17*T17*AB17*K17*AZ17*[1]ステータス!$C$2,0)</f>
        <v>3175</v>
      </c>
      <c r="BM17" s="11">
        <f ca="1">ROUND(BD17*U17*AC17*L17*BA17*[1]ステータス!$D$2,0)</f>
        <v>0</v>
      </c>
      <c r="BN17" s="11">
        <f ca="1">ROUND(BD17*V17*AD17*M17*BB17*[1]ステータス!$E$2,0)</f>
        <v>2250</v>
      </c>
      <c r="BO17" s="10">
        <v>0</v>
      </c>
      <c r="BP17" s="10">
        <v>1</v>
      </c>
      <c r="BQ17" s="10" t="s">
        <v>47</v>
      </c>
      <c r="BR17" s="178">
        <v>6000</v>
      </c>
    </row>
    <row r="18" spans="1:70" ht="21" customHeight="1" x14ac:dyDescent="0.15">
      <c r="A18" s="134">
        <v>541</v>
      </c>
      <c r="B18" s="57" t="str">
        <f ca="1">VLOOKUP($A18,OFFSET([1]characters!$A$1,0,0,COUNTA([1]characters!$A:$A),MATCH(B$1,[1]characters!$1:$1,0)-MATCH($A$1,[1]characters!$1:$1,0)+1),MATCH(B$1,[1]characters!$1:$1,0)-MATCH($A$1,[1]characters!$1:$1,0)+1,FALSE)</f>
        <v>初音ミク</v>
      </c>
      <c r="C18" s="57" t="str">
        <f ca="1">VLOOKUP($A18,OFFSET([1]characters!$A$1,0,0,COUNTA([1]characters!$A:$A),MATCH(C$1,[1]characters!$1:$1,0)-MATCH($A$1,[1]characters!$1:$1,0)+1),MATCH(C$1,[1]characters!$1:$1,0)-MATCH($A$1,[1]characters!$1:$1,0)+1,FALSE)</f>
        <v>ガチャ:ミクコラボ01</v>
      </c>
      <c r="D18" s="57" t="str">
        <f ca="1">VLOOKUP($A18,OFFSET([1]characters!$A$1,0,0,COUNTA([1]characters!$A:$A),MATCH(D$1,[1]characters!$1:$1,0)-MATCH($A$1,[1]characters!$1:$1,0)+1),MATCH(D$1,[1]characters!$1:$1,0)-MATCH($A$1,[1]characters!$1:$1,0)+1,FALSE)</f>
        <v>執行者</v>
      </c>
      <c r="E18" s="57" t="str">
        <f ca="1">VLOOKUP($A18,OFFSET([1]characters!$A$1,0,0,COUNTA([1]characters!$A:$A),MATCH(E$1,[1]characters!$1:$1,0)-MATCH($A$1,[1]characters!$1:$1,0)+1),MATCH(E$1,[1]characters!$1:$1,0)-MATCH($A$1,[1]characters!$1:$1,0)+1,FALSE)</f>
        <v>格好いい</v>
      </c>
      <c r="F18" s="57" t="str">
        <f ca="1">VLOOKUP($A18,OFFSET([1]characters!$A$1,0,0,COUNTA([1]characters!$A:$A),MATCH(F$1,[1]characters!$1:$1,0)-MATCH($A$1,[1]characters!$1:$1,0)+1),MATCH(F$1,[1]characters!$1:$1,0)-MATCH($A$1,[1]characters!$1:$1,0)+1,FALSE)</f>
        <v>女性</v>
      </c>
      <c r="G18" s="57">
        <f ca="1">VLOOKUP($A18,OFFSET([1]characters!$A$1,0,0,COUNTA([1]characters!$A:$A),MATCH(G$1,[1]characters!$1:$1,0)-MATCH($A$1,[1]characters!$1:$1,0)+1),MATCH(G$1,[1]characters!$1:$1,0)-MATCH($A$1,[1]characters!$1:$1,0)+1,FALSE)</f>
        <v>4</v>
      </c>
      <c r="H18" s="57" t="str">
        <f ca="1">VLOOKUP($A18,OFFSET([1]characters!$A$1,0,0,COUNTA([1]characters!$A:$A),MATCH(H$1,[1]characters!$1:$1,0)-MATCH($A$1,[1]characters!$1:$1,0)+1),MATCH(H$1,[1]characters!$1:$1,0)-MATCH($A$1,[1]characters!$1:$1,0)+1,FALSE)</f>
        <v>PremiumSSS</v>
      </c>
      <c r="I18" s="57" t="str">
        <f ca="1">VLOOKUP($A18,OFFSET([1]characters!$A$1,0,0,COUNTA([1]characters!$A:$A),MATCH(I$1,[1]characters!$1:$1,0)-MATCH($A$1,[1]characters!$1:$1,0)+1),MATCH(I$1,[1]characters!$1:$1,0)-MATCH($A$1,[1]characters!$1:$1,0)+1,FALSE)</f>
        <v>green</v>
      </c>
      <c r="J18" s="11">
        <f ca="1">VLOOKUP(I18,[1]属性!$A:$E,2,FALSE)</f>
        <v>1.02</v>
      </c>
      <c r="K18" s="11">
        <f ca="1">VLOOKUP(I18,[1]属性!$A:$E,3,FALSE)</f>
        <v>0.98</v>
      </c>
      <c r="L18" s="11">
        <f ca="1">VLOOKUP(I18,[1]属性!$A:$E,4,FALSE)</f>
        <v>1</v>
      </c>
      <c r="M18" s="11">
        <f ca="1">VLOOKUP(I18,[1]属性!$A:$E,5,FALSE)</f>
        <v>1</v>
      </c>
      <c r="N18" s="11">
        <f ca="1">INDEX(コスト!$A$1:$I$21,MATCH(H18,コスト!$A$1:$A$21,FALSE),MATCH(G18,コスト!$A$1:$I$1,FALSE))</f>
        <v>30</v>
      </c>
      <c r="O18" s="11">
        <f ca="1">INDEX(レベル!$A$1:$I$21,MATCH(H18,レベル!$A$1:$A$21,FALSE),MATCH(G18,レベル!$A$1:$I$1,FALSE))</f>
        <v>60</v>
      </c>
      <c r="P18" s="48">
        <f t="shared" ca="1" si="11"/>
        <v>60</v>
      </c>
      <c r="Q18" s="57" t="str">
        <f ca="1">VLOOKUP($A18,OFFSET([1]characters!$A$1,0,0,COUNTA([1]characters!$A:$A),MATCH(Q$1,[1]characters!$1:$1,0)-MATCH($A$1,[1]characters!$1:$1,0)+1),MATCH(Q$1,[1]characters!$1:$1,0)-MATCH($A$1,[1]characters!$1:$1,0)+1,FALSE)</f>
        <v>balance</v>
      </c>
      <c r="R18" s="5" t="str">
        <f ca="1">VLOOKUP(Q18,[1]character_type_i18n!$A:$H,3,FALSE)</f>
        <v>バランスタイプ</v>
      </c>
      <c r="S18" s="11">
        <f ca="1">VLOOKUP(Q18,[1]character_type_i18n!$A:$H,4,FALSE)</f>
        <v>1</v>
      </c>
      <c r="T18" s="11">
        <f ca="1">VLOOKUP(Q18,[1]character_type_i18n!$A:$H,5,FALSE)</f>
        <v>1</v>
      </c>
      <c r="U18" s="11">
        <f ca="1">VLOOKUP(Q18,[1]character_type_i18n!$A:$H,6,FALSE)</f>
        <v>1</v>
      </c>
      <c r="V18" s="11">
        <f ca="1">VLOOKUP(Q18,[1]character_type_i18n!$A:$H,7,FALSE)</f>
        <v>1</v>
      </c>
      <c r="W18" s="57" t="str">
        <f ca="1">VLOOKUP($A18,OFFSET([1]characters!$A$1,0,0,COUNTA([1]characters!$A:$A),MATCH(W$1,[1]characters!$1:$1,0)-MATCH($A$1,[1]characters!$1:$1,0)+1),MATCH(W$1,[1]characters!$1:$1,0)-MATCH($A$1,[1]characters!$1:$1,0)+1,FALSE)</f>
        <v>unknown</v>
      </c>
      <c r="X18" s="5" t="str">
        <f ca="1">VLOOKUP(W18,[1]character_tribe_i18n!$A:$H,3,FALSE)</f>
        <v>Unknown</v>
      </c>
      <c r="Y18" s="57" t="str">
        <f ca="1">VLOOKUP($A18,OFFSET([1]characters!$A$1,0,0,COUNTA([1]characters!$A:$A),MATCH(Y$1,[1]characters!$1:$1,0)-MATCH($A$1,[1]characters!$1:$1,0)+1),MATCH(Y$1,[1]characters!$1:$1,0)-MATCH($A$1,[1]characters!$1:$1,0)+1,FALSE)</f>
        <v>none</v>
      </c>
      <c r="Z18" s="5" t="str">
        <f ca="1">VLOOKUP(Y18,[1]character_tribe_i18n!$A:$H,3,FALSE)</f>
        <v>種族なし</v>
      </c>
      <c r="AA18" s="11">
        <f ca="1">VLOOKUP(W18,[1]character_tribe_i18n!$A:$H,4,FALSE)</f>
        <v>1</v>
      </c>
      <c r="AB18" s="11">
        <f ca="1">VLOOKUP(W18,[1]character_tribe_i18n!$A:$H,5,FALSE)</f>
        <v>1</v>
      </c>
      <c r="AC18" s="11">
        <f ca="1">VLOOKUP(W18,[1]character_tribe_i18n!$A:$H,6,FALSE)</f>
        <v>1</v>
      </c>
      <c r="AD18" s="11">
        <f ca="1">VLOOKUP(W18,[1]character_tribe_i18n!$A:$H,7,FALSE)</f>
        <v>1</v>
      </c>
      <c r="AE18" s="9">
        <f t="shared" ref="AE18" si="14">A19</f>
        <v>542</v>
      </c>
      <c r="AF18" s="62" t="str">
        <f ca="1">IF(AE18="NULL","",VLOOKUP($AE18,OFFSET([1]characters!$A$1,0,0,COUNTA([1]characters!$A:$A),MATCH(AF$1,[1]characters!$1:$1,0)-MATCH($A$1,[1]characters!$1:$1,0)+1),MATCH(AF$1,[1]characters!$1:$1,0)-MATCH($A$1,[1]characters!$1:$1,0)+1,FALSE))</f>
        <v>革命の音撃 初音ミク</v>
      </c>
      <c r="AG18" s="5">
        <f t="shared" ca="1" si="1"/>
        <v>541</v>
      </c>
      <c r="AH18" s="62" t="str">
        <f ca="1">VLOOKUP($AG18,OFFSET([1]characters!$A$1,0,0,COUNTA([1]characters!$A:$A),MATCH(AH$1,[1]characters!$1:$1,0)-MATCH($A$1,[1]characters!$1:$1,0)+1),MATCH(AH$1,[1]characters!$1:$1,0)-MATCH($A$1,[1]characters!$1:$1,0)+1,FALSE)</f>
        <v>初音ミク</v>
      </c>
      <c r="AI18" s="11">
        <f ca="1">IF(AE18="NULL","NULL",VLOOKUP(G18,ビット!$A$2:$B$7,2))</f>
        <v>50000</v>
      </c>
      <c r="AJ18" s="6">
        <v>2</v>
      </c>
      <c r="AK18" s="7" t="str">
        <f t="shared" si="12"/>
        <v>普通</v>
      </c>
      <c r="AL18" s="11" t="str">
        <f ca="1">INDEX(経験値!$A$1:$I$21,MATCH(H18,経験値!$A$1:$A$21,FALSE),MATCH(G18,経験値!$A$1:$I$1,FALSE))</f>
        <v>required_exp_250</v>
      </c>
      <c r="AM18" s="8">
        <f ca="1">VLOOKUP(G18,経験値!$A$28:$B$32,2)</f>
        <v>3400</v>
      </c>
      <c r="AN18" s="17">
        <f ca="1">VLOOKUP(G18,ビット!$G$2:$H$7,2)</f>
        <v>600</v>
      </c>
      <c r="AO18" s="45"/>
      <c r="AP18" s="67">
        <f t="shared" si="8"/>
        <v>541</v>
      </c>
      <c r="AQ18" s="57" t="str">
        <f ca="1">VLOOKUP($AP18,OFFSET(unit_skills!$A$1,0,0,COUNTA(unit_skills!$A:$A),MATCH(AQ$1,unit_skills!$1:$1,0)-MATCH($AP$1,unit_skills!$1:$1,0)+1),MATCH(AQ$1,unit_skills!$1:$1,0)-MATCH($AP$1,unit_skills!$1:$1,0)+1,FALSE)</f>
        <v>ソング・レボリューション</v>
      </c>
      <c r="AR18" s="57" t="str">
        <f ca="1">VLOOKUP($AP18,OFFSET(unit_skills!$A$1,0,0,COUNTA(unit_skills!$A:$A),MATCH(AR$1,unit_skills!$1:$1,0)-MATCH($AP$1,unit_skills!$1:$1,0)+1),MATCH(AR$1,unit_skills!$1:$1,0)-MATCH($AP$1,unit_skills!$1:$1,0)+1,FALSE)</f>
        <v>3ターン緑属性の攻撃力と防御力を超大UP＋1ターン緑パネルの出現率大UP</v>
      </c>
      <c r="AS18" s="57">
        <f ca="1">VLOOKUP($AP18,OFFSET(unit_skills!$A$1,0,0,COUNTA(unit_skills!$A:$A),MATCH(AS$1,unit_skills!$1:$1,0)-MATCH($AP$1,unit_skills!$1:$1,0)+1),MATCH(AS$1,unit_skills!$1:$1,0)-MATCH($AP$1,unit_skills!$1:$1,0)+1,FALSE)</f>
        <v>0</v>
      </c>
      <c r="AT18" s="41">
        <f t="shared" si="9"/>
        <v>541</v>
      </c>
      <c r="AU18" s="57" t="str">
        <f ca="1">VLOOKUP($AT18,OFFSET(crash_skills!$A$1,0,0,COUNTA(crash_skills!$A:$A),MATCH(AU$1,crash_skills!$1:$1,0)-MATCH($AT$1,crash_skills!$1:$1,0)+1),MATCH(AU$1,crash_skills!$1:$1,0)-MATCH($AT$1,crash_skills!$1:$1,0)+1,FALSE)</f>
        <v>ファースト・ポップス</v>
      </c>
      <c r="AV18" s="57" t="str">
        <f ca="1">VLOOKUP($AT18,OFFSET(crash_skills!$A$1,0,0,COUNTA(crash_skills!$A:$A),MATCH(AV$1,crash_skills!$1:$1,0)-MATCH($AT$1,crash_skills!$1:$1,0)+1),MATCH(AV$1,crash_skills!$1:$1,0)-MATCH($AT$1,crash_skills!$1:$1,0)+1,FALSE)</f>
        <v>1体に小ダメージ_x000D_Unknownに効果特大</v>
      </c>
      <c r="AW18" s="57">
        <f ca="1">VLOOKUP($AT18,OFFSET(crash_skills!$A$1,0,0,COUNTA(crash_skills!$A:$A),MATCH(AW$1,crash_skills!$1:$1,0)-MATCH($AT$1,crash_skills!$1:$1,0)+1),MATCH(AW$1,crash_skills!$1:$1,0)-MATCH($AT$1,crash_skills!$1:$1,0)+1,FALSE)</f>
        <v>0</v>
      </c>
      <c r="AX18" s="58">
        <f ca="1">VLOOKUP($A18,OFFSET([1]characters!$A$1,0,0,COUNTA([1]characters!$A:$A),MATCH(AX$1,[1]characters!$1:$1,0)-MATCH($A$1,[1]characters!$1:$1,0)+1),MATCH(AX$1,[1]characters!$1:$1,0)-MATCH($A$1,[1]characters!$1:$1,0)+1,FALSE)</f>
        <v>3</v>
      </c>
      <c r="AY18" s="68">
        <v>0.93</v>
      </c>
      <c r="AZ18" s="68">
        <v>1.1499999999999999</v>
      </c>
      <c r="BA18" s="68">
        <v>0</v>
      </c>
      <c r="BB18" s="68">
        <v>1.1000000000000001</v>
      </c>
      <c r="BC18" s="11">
        <f ca="1">INDEX('RC6SV'!$A$1:$G$21,MATCH(H18,'RC6SV'!$A$1:$A$21,FALSE),MATCH(G18,'RC6SV'!$A$1:$G$1,FALSE))</f>
        <v>8000</v>
      </c>
      <c r="BD18" s="48">
        <f t="shared" ca="1" si="13"/>
        <v>8000</v>
      </c>
      <c r="BE18" s="11">
        <f t="shared" ca="1" si="4"/>
        <v>0</v>
      </c>
      <c r="BF18" s="11">
        <f t="shared" ca="1" si="5"/>
        <v>1</v>
      </c>
      <c r="BG18" s="16">
        <f ca="1">IF($BE18&lt;=0,ROUND(BK18*0.5,0), ROUND($BE18*S18*AA18*J18*AY18*0.8*[1]ステータス!$B$2,0))</f>
        <v>1897</v>
      </c>
      <c r="BH18" s="16">
        <f ca="1">IF($BE18&lt;=0,ROUND(BL18*0.5,0), ROUND($BE18*T18*AB18*K18*AZ18*0.8*[1]ステータス!$C$2,0))</f>
        <v>1353</v>
      </c>
      <c r="BI18" s="16">
        <f ca="1">IF($BE18&lt;=0,ROUND(BM18*0.5,0), ROUND($BE18*U18*AC18*L18*BA18*0.8*[1]ステータス!$D$2,0))</f>
        <v>0</v>
      </c>
      <c r="BJ18" s="16">
        <f ca="1">IF($BE18&lt;=0,ROUND(BN18*0.5,0), ROUND($BE18*V18*AD18*M18*BB18*0.8*[1]ステータス!$E$2,0))</f>
        <v>1100</v>
      </c>
      <c r="BK18" s="11">
        <f ca="1">ROUND(BD18*S18*AA18*J18*AY18*[1]ステータス!$B$2,0)</f>
        <v>3794</v>
      </c>
      <c r="BL18" s="11">
        <f ca="1">ROUND(BD18*T18*AB18*K18*AZ18*[1]ステータス!$C$2,0)</f>
        <v>2705</v>
      </c>
      <c r="BM18" s="11">
        <f ca="1">ROUND(BD18*U18*AC18*L18*BA18*[1]ステータス!$D$2,0)</f>
        <v>0</v>
      </c>
      <c r="BN18" s="11">
        <f ca="1">ROUND(BD18*V18*AD18*M18*BB18*[1]ステータス!$E$2,0)</f>
        <v>2200</v>
      </c>
      <c r="BO18" s="10">
        <v>0</v>
      </c>
      <c r="BP18" s="10">
        <v>1</v>
      </c>
      <c r="BQ18" s="10" t="s">
        <v>47</v>
      </c>
      <c r="BR18" s="178">
        <v>6000</v>
      </c>
    </row>
    <row r="19" spans="1:70" ht="21" customHeight="1" x14ac:dyDescent="0.15">
      <c r="A19" s="134">
        <v>542</v>
      </c>
      <c r="B19" s="57" t="str">
        <f ca="1">VLOOKUP($A19,OFFSET([1]characters!$A$1,0,0,COUNTA([1]characters!$A:$A),MATCH(B$1,[1]characters!$1:$1,0)-MATCH($A$1,[1]characters!$1:$1,0)+1),MATCH(B$1,[1]characters!$1:$1,0)-MATCH($A$1,[1]characters!$1:$1,0)+1,FALSE)</f>
        <v>革命の音撃 初音ミク</v>
      </c>
      <c r="C19" s="57" t="str">
        <f ca="1">VLOOKUP($A19,OFFSET([1]characters!$A$1,0,0,COUNTA([1]characters!$A:$A),MATCH(C$1,[1]characters!$1:$1,0)-MATCH($A$1,[1]characters!$1:$1,0)+1),MATCH(C$1,[1]characters!$1:$1,0)-MATCH($A$1,[1]characters!$1:$1,0)+1,FALSE)</f>
        <v>ガチャ:ミクコラボ01</v>
      </c>
      <c r="D19" s="57" t="str">
        <f ca="1">VLOOKUP($A19,OFFSET([1]characters!$A$1,0,0,COUNTA([1]characters!$A:$A),MATCH(D$1,[1]characters!$1:$1,0)-MATCH($A$1,[1]characters!$1:$1,0)+1),MATCH(D$1,[1]characters!$1:$1,0)-MATCH($A$1,[1]characters!$1:$1,0)+1,FALSE)</f>
        <v>執行者</v>
      </c>
      <c r="E19" s="57" t="str">
        <f ca="1">VLOOKUP($A19,OFFSET([1]characters!$A$1,0,0,COUNTA([1]characters!$A:$A),MATCH(E$1,[1]characters!$1:$1,0)-MATCH($A$1,[1]characters!$1:$1,0)+1),MATCH(E$1,[1]characters!$1:$1,0)-MATCH($A$1,[1]characters!$1:$1,0)+1,FALSE)</f>
        <v>格好いい</v>
      </c>
      <c r="F19" s="57" t="str">
        <f ca="1">VLOOKUP($A19,OFFSET([1]characters!$A$1,0,0,COUNTA([1]characters!$A:$A),MATCH(F$1,[1]characters!$1:$1,0)-MATCH($A$1,[1]characters!$1:$1,0)+1),MATCH(F$1,[1]characters!$1:$1,0)-MATCH($A$1,[1]characters!$1:$1,0)+1,FALSE)</f>
        <v>女性</v>
      </c>
      <c r="G19" s="57">
        <f ca="1">VLOOKUP($A19,OFFSET([1]characters!$A$1,0,0,COUNTA([1]characters!$A:$A),MATCH(G$1,[1]characters!$1:$1,0)-MATCH($A$1,[1]characters!$1:$1,0)+1),MATCH(G$1,[1]characters!$1:$1,0)-MATCH($A$1,[1]characters!$1:$1,0)+1,FALSE)</f>
        <v>5</v>
      </c>
      <c r="H19" s="57" t="str">
        <f ca="1">VLOOKUP($A19,OFFSET([1]characters!$A$1,0,0,COUNTA([1]characters!$A:$A),MATCH(H$1,[1]characters!$1:$1,0)-MATCH($A$1,[1]characters!$1:$1,0)+1),MATCH(H$1,[1]characters!$1:$1,0)-MATCH($A$1,[1]characters!$1:$1,0)+1,FALSE)</f>
        <v>PremiumSSS</v>
      </c>
      <c r="I19" s="57" t="str">
        <f ca="1">VLOOKUP($A19,OFFSET([1]characters!$A$1,0,0,COUNTA([1]characters!$A:$A),MATCH(I$1,[1]characters!$1:$1,0)-MATCH($A$1,[1]characters!$1:$1,0)+1),MATCH(I$1,[1]characters!$1:$1,0)-MATCH($A$1,[1]characters!$1:$1,0)+1,FALSE)</f>
        <v>green</v>
      </c>
      <c r="J19" s="11">
        <f ca="1">VLOOKUP(I19,[1]属性!$A:$E,2,FALSE)</f>
        <v>1.02</v>
      </c>
      <c r="K19" s="11">
        <f ca="1">VLOOKUP(I19,[1]属性!$A:$E,3,FALSE)</f>
        <v>0.98</v>
      </c>
      <c r="L19" s="11">
        <f ca="1">VLOOKUP(I19,[1]属性!$A:$E,4,FALSE)</f>
        <v>1</v>
      </c>
      <c r="M19" s="11">
        <f ca="1">VLOOKUP(I19,[1]属性!$A:$E,5,FALSE)</f>
        <v>1</v>
      </c>
      <c r="N19" s="11">
        <f ca="1">INDEX(コスト!$A$1:$I$21,MATCH(H19,コスト!$A$1:$A$21,FALSE),MATCH(G19,コスト!$A$1:$I$1,FALSE))</f>
        <v>40</v>
      </c>
      <c r="O19" s="11">
        <f ca="1">INDEX(レベル!$A$1:$I$21,MATCH(H19,レベル!$A$1:$A$21,FALSE),MATCH(G19,レベル!$A$1:$I$1,FALSE))</f>
        <v>80</v>
      </c>
      <c r="P19" s="48">
        <f t="shared" ca="1" si="11"/>
        <v>75</v>
      </c>
      <c r="Q19" s="57" t="str">
        <f ca="1">VLOOKUP($A19,OFFSET([1]characters!$A$1,0,0,COUNTA([1]characters!$A:$A),MATCH(Q$1,[1]characters!$1:$1,0)-MATCH($A$1,[1]characters!$1:$1,0)+1),MATCH(Q$1,[1]characters!$1:$1,0)-MATCH($A$1,[1]characters!$1:$1,0)+1,FALSE)</f>
        <v>balance</v>
      </c>
      <c r="R19" s="5" t="str">
        <f ca="1">VLOOKUP(Q19,[1]character_type_i18n!$A:$H,3,FALSE)</f>
        <v>バランスタイプ</v>
      </c>
      <c r="S19" s="11">
        <f ca="1">VLOOKUP(Q19,[1]character_type_i18n!$A:$H,4,FALSE)</f>
        <v>1</v>
      </c>
      <c r="T19" s="11">
        <f ca="1">VLOOKUP(Q19,[1]character_type_i18n!$A:$H,5,FALSE)</f>
        <v>1</v>
      </c>
      <c r="U19" s="11">
        <f ca="1">VLOOKUP(Q19,[1]character_type_i18n!$A:$H,6,FALSE)</f>
        <v>1</v>
      </c>
      <c r="V19" s="11">
        <f ca="1">VLOOKUP(Q19,[1]character_type_i18n!$A:$H,7,FALSE)</f>
        <v>1</v>
      </c>
      <c r="W19" s="57" t="str">
        <f ca="1">VLOOKUP($A19,OFFSET([1]characters!$A$1,0,0,COUNTA([1]characters!$A:$A),MATCH(W$1,[1]characters!$1:$1,0)-MATCH($A$1,[1]characters!$1:$1,0)+1),MATCH(W$1,[1]characters!$1:$1,0)-MATCH($A$1,[1]characters!$1:$1,0)+1,FALSE)</f>
        <v>unknown</v>
      </c>
      <c r="X19" s="5" t="str">
        <f ca="1">VLOOKUP(W19,[1]character_tribe_i18n!$A:$H,3,FALSE)</f>
        <v>Unknown</v>
      </c>
      <c r="Y19" s="57" t="str">
        <f ca="1">VLOOKUP($A19,OFFSET([1]characters!$A$1,0,0,COUNTA([1]characters!$A:$A),MATCH(Y$1,[1]characters!$1:$1,0)-MATCH($A$1,[1]characters!$1:$1,0)+1),MATCH(Y$1,[1]characters!$1:$1,0)-MATCH($A$1,[1]characters!$1:$1,0)+1,FALSE)</f>
        <v>none</v>
      </c>
      <c r="Z19" s="5" t="str">
        <f ca="1">VLOOKUP(Y19,[1]character_tribe_i18n!$A:$H,3,FALSE)</f>
        <v>種族なし</v>
      </c>
      <c r="AA19" s="11">
        <f ca="1">VLOOKUP(W19,[1]character_tribe_i18n!$A:$H,4,FALSE)</f>
        <v>1</v>
      </c>
      <c r="AB19" s="11">
        <f ca="1">VLOOKUP(W19,[1]character_tribe_i18n!$A:$H,5,FALSE)</f>
        <v>1</v>
      </c>
      <c r="AC19" s="11">
        <f ca="1">VLOOKUP(W19,[1]character_tribe_i18n!$A:$H,6,FALSE)</f>
        <v>1</v>
      </c>
      <c r="AD19" s="11">
        <f ca="1">VLOOKUP(W19,[1]character_tribe_i18n!$A:$H,7,FALSE)</f>
        <v>1</v>
      </c>
      <c r="AE19" s="9" t="s">
        <v>178</v>
      </c>
      <c r="AF19" s="62" t="str">
        <f ca="1">IF(AE19="NULL","",VLOOKUP($AE19,OFFSET([1]characters!$A$1,0,0,COUNTA([1]characters!$A:$A),MATCH(AF$1,[1]characters!$1:$1,0)-MATCH($A$1,[1]characters!$1:$1,0)+1),MATCH(AF$1,[1]characters!$1:$1,0)-MATCH($A$1,[1]characters!$1:$1,0)+1,FALSE))</f>
        <v/>
      </c>
      <c r="AG19" s="5">
        <f t="shared" ca="1" si="1"/>
        <v>541</v>
      </c>
      <c r="AH19" s="62" t="str">
        <f ca="1">VLOOKUP($AG19,OFFSET([1]characters!$A$1,0,0,COUNTA([1]characters!$A:$A),MATCH(AH$1,[1]characters!$1:$1,0)-MATCH($A$1,[1]characters!$1:$1,0)+1),MATCH(AH$1,[1]characters!$1:$1,0)-MATCH($A$1,[1]characters!$1:$1,0)+1,FALSE)</f>
        <v>初音ミク</v>
      </c>
      <c r="AI19" s="11" t="str">
        <f>IF(AE19="NULL","NULL",VLOOKUP(G19,ビット!$A$2:$B$7,2))</f>
        <v>NULL</v>
      </c>
      <c r="AJ19" s="6">
        <v>2</v>
      </c>
      <c r="AK19" s="7" t="str">
        <f t="shared" si="12"/>
        <v>普通</v>
      </c>
      <c r="AL19" s="11" t="str">
        <f ca="1">INDEX(経験値!$A$1:$I$21,MATCH(H19,経験値!$A$1:$A$21,FALSE),MATCH(G19,経験値!$A$1:$I$1,FALSE))</f>
        <v>required_exp_250</v>
      </c>
      <c r="AM19" s="8">
        <f ca="1">VLOOKUP(G19,経験値!$A$28:$B$32,2)</f>
        <v>6400</v>
      </c>
      <c r="AN19" s="17">
        <f ca="1">VLOOKUP(G19,ビット!$G$2:$H$7,2)</f>
        <v>900</v>
      </c>
      <c r="AO19" s="45"/>
      <c r="AP19" s="67">
        <f t="shared" si="8"/>
        <v>542</v>
      </c>
      <c r="AQ19" s="57" t="str">
        <f ca="1">VLOOKUP($AP19,OFFSET(unit_skills!$A$1,0,0,COUNTA(unit_skills!$A:$A),MATCH(AQ$1,unit_skills!$1:$1,0)-MATCH($AP$1,unit_skills!$1:$1,0)+1),MATCH(AQ$1,unit_skills!$1:$1,0)-MATCH($AP$1,unit_skills!$1:$1,0)+1,FALSE)</f>
        <v>ソング・レボリューション</v>
      </c>
      <c r="AR19" s="57" t="str">
        <f ca="1">VLOOKUP($AP19,OFFSET(unit_skills!$A$1,0,0,COUNTA(unit_skills!$A:$A),MATCH(AR$1,unit_skills!$1:$1,0)-MATCH($AP$1,unit_skills!$1:$1,0)+1),MATCH(AR$1,unit_skills!$1:$1,0)-MATCH($AP$1,unit_skills!$1:$1,0)+1,FALSE)</f>
        <v>3ターン緑属性の攻撃力と防御力を超大UP＋1ターン緑パネルの出現率大UP</v>
      </c>
      <c r="AS19" s="57">
        <f ca="1">VLOOKUP($AP19,OFFSET(unit_skills!$A$1,0,0,COUNTA(unit_skills!$A:$A),MATCH(AS$1,unit_skills!$1:$1,0)-MATCH($AP$1,unit_skills!$1:$1,0)+1),MATCH(AS$1,unit_skills!$1:$1,0)-MATCH($AP$1,unit_skills!$1:$1,0)+1,FALSE)</f>
        <v>0</v>
      </c>
      <c r="AT19" s="41">
        <f t="shared" si="9"/>
        <v>542</v>
      </c>
      <c r="AU19" s="57" t="str">
        <f ca="1">VLOOKUP($AT19,OFFSET(crash_skills!$A$1,0,0,COUNTA(crash_skills!$A:$A),MATCH(AU$1,crash_skills!$1:$1,0)-MATCH($AT$1,crash_skills!$1:$1,0)+1),MATCH(AU$1,crash_skills!$1:$1,0)-MATCH($AT$1,crash_skills!$1:$1,0)+1,FALSE)</f>
        <v>ファースト・ポップス</v>
      </c>
      <c r="AV19" s="57" t="str">
        <f ca="1">VLOOKUP($AT19,OFFSET(crash_skills!$A$1,0,0,COUNTA(crash_skills!$A:$A),MATCH(AV$1,crash_skills!$1:$1,0)-MATCH($AT$1,crash_skills!$1:$1,0)+1),MATCH(AV$1,crash_skills!$1:$1,0)-MATCH($AT$1,crash_skills!$1:$1,0)+1,FALSE)</f>
        <v>1体に小ダメージ_x000D_Unknownに効果特大</v>
      </c>
      <c r="AW19" s="57">
        <f ca="1">VLOOKUP($AT19,OFFSET(crash_skills!$A$1,0,0,COUNTA(crash_skills!$A:$A),MATCH(AW$1,crash_skills!$1:$1,0)-MATCH($AT$1,crash_skills!$1:$1,0)+1),MATCH(AW$1,crash_skills!$1:$1,0)-MATCH($AT$1,crash_skills!$1:$1,0)+1,FALSE)</f>
        <v>0</v>
      </c>
      <c r="AX19" s="58">
        <f ca="1">VLOOKUP($A19,OFFSET([1]characters!$A$1,0,0,COUNTA([1]characters!$A:$A),MATCH(AX$1,[1]characters!$1:$1,0)-MATCH($A$1,[1]characters!$1:$1,0)+1),MATCH(AX$1,[1]characters!$1:$1,0)-MATCH($A$1,[1]characters!$1:$1,0)+1,FALSE)</f>
        <v>3</v>
      </c>
      <c r="AY19" s="68">
        <v>0.93</v>
      </c>
      <c r="AZ19" s="68">
        <v>1.1499999999999999</v>
      </c>
      <c r="BA19" s="68">
        <v>0</v>
      </c>
      <c r="BB19" s="68">
        <v>1.1000000000000001</v>
      </c>
      <c r="BC19" s="11">
        <f ca="1">INDEX('RC6SV'!$A$1:$G$21,MATCH(H19,'RC6SV'!$A$1:$A$21,FALSE),MATCH(G19,'RC6SV'!$A$1:$G$1,FALSE))</f>
        <v>10000</v>
      </c>
      <c r="BD19" s="48">
        <f t="shared" ca="1" si="13"/>
        <v>10000</v>
      </c>
      <c r="BE19" s="11">
        <f t="shared" ca="1" si="4"/>
        <v>8000</v>
      </c>
      <c r="BF19" s="11">
        <f t="shared" ca="1" si="5"/>
        <v>1</v>
      </c>
      <c r="BG19" s="16">
        <f ca="1">IF($BE19&lt;=0,ROUND(BK19*0.5,0), ROUND($BE19*S19*AA19*J19*AY19*0.8*[1]ステータス!$B$2,0))</f>
        <v>3036</v>
      </c>
      <c r="BH19" s="16">
        <f ca="1">IF($BE19&lt;=0,ROUND(BL19*0.5,0), ROUND($BE19*T19*AB19*K19*AZ19*0.8*[1]ステータス!$C$2,0))</f>
        <v>2164</v>
      </c>
      <c r="BI19" s="16">
        <f ca="1">IF($BE19&lt;=0,ROUND(BM19*0.5,0), ROUND($BE19*U19*AC19*L19*BA19*0.8*[1]ステータス!$D$2,0))</f>
        <v>0</v>
      </c>
      <c r="BJ19" s="16">
        <f ca="1">IF($BE19&lt;=0,ROUND(BN19*0.5,0), ROUND($BE19*V19*AD19*M19*BB19*0.8*[1]ステータス!$E$2,0))</f>
        <v>1760</v>
      </c>
      <c r="BK19" s="11">
        <f ca="1">ROUND(BD19*S19*AA19*J19*AY19*[1]ステータス!$B$2,0)</f>
        <v>4743</v>
      </c>
      <c r="BL19" s="11">
        <f ca="1">ROUND(BD19*T19*AB19*K19*AZ19*[1]ステータス!$C$2,0)</f>
        <v>3381</v>
      </c>
      <c r="BM19" s="11">
        <f ca="1">ROUND(BD19*U19*AC19*L19*BA19*[1]ステータス!$D$2,0)</f>
        <v>0</v>
      </c>
      <c r="BN19" s="11">
        <f ca="1">ROUND(BD19*V19*AD19*M19*BB19*[1]ステータス!$E$2,0)</f>
        <v>2750</v>
      </c>
      <c r="BO19" s="10">
        <v>0</v>
      </c>
      <c r="BP19" s="10">
        <v>1</v>
      </c>
      <c r="BQ19" s="10" t="s">
        <v>47</v>
      </c>
      <c r="BR19" s="178">
        <v>6000</v>
      </c>
    </row>
    <row r="20" spans="1:70" ht="21" customHeight="1" x14ac:dyDescent="0.15">
      <c r="A20" s="134">
        <v>543</v>
      </c>
      <c r="B20" s="57" t="str">
        <f ca="1">VLOOKUP($A20,OFFSET([1]characters!$A$1,0,0,COUNTA([1]characters!$A:$A),MATCH(B$1,[1]characters!$1:$1,0)-MATCH($A$1,[1]characters!$1:$1,0)+1),MATCH(B$1,[1]characters!$1:$1,0)-MATCH($A$1,[1]characters!$1:$1,0)+1,FALSE)</f>
        <v>鏡音リン</v>
      </c>
      <c r="C20" s="57" t="str">
        <f ca="1">VLOOKUP($A20,OFFSET([1]characters!$A$1,0,0,COUNTA([1]characters!$A:$A),MATCH(C$1,[1]characters!$1:$1,0)-MATCH($A$1,[1]characters!$1:$1,0)+1),MATCH(C$1,[1]characters!$1:$1,0)-MATCH($A$1,[1]characters!$1:$1,0)+1,FALSE)</f>
        <v>ガチャ:ミクコラボ01</v>
      </c>
      <c r="D20" s="57" t="str">
        <f ca="1">VLOOKUP($A20,OFFSET([1]characters!$A$1,0,0,COUNTA([1]characters!$A:$A),MATCH(D$1,[1]characters!$1:$1,0)-MATCH($A$1,[1]characters!$1:$1,0)+1),MATCH(D$1,[1]characters!$1:$1,0)-MATCH($A$1,[1]characters!$1:$1,0)+1,FALSE)</f>
        <v>執行者</v>
      </c>
      <c r="E20" s="57" t="str">
        <f ca="1">VLOOKUP($A20,OFFSET([1]characters!$A$1,0,0,COUNTA([1]characters!$A:$A),MATCH(E$1,[1]characters!$1:$1,0)-MATCH($A$1,[1]characters!$1:$1,0)+1),MATCH(E$1,[1]characters!$1:$1,0)-MATCH($A$1,[1]characters!$1:$1,0)+1,FALSE)</f>
        <v>格好いい</v>
      </c>
      <c r="F20" s="57" t="str">
        <f ca="1">VLOOKUP($A20,OFFSET([1]characters!$A$1,0,0,COUNTA([1]characters!$A:$A),MATCH(F$1,[1]characters!$1:$1,0)-MATCH($A$1,[1]characters!$1:$1,0)+1),MATCH(F$1,[1]characters!$1:$1,0)-MATCH($A$1,[1]characters!$1:$1,0)+1,FALSE)</f>
        <v>女性</v>
      </c>
      <c r="G20" s="57">
        <f ca="1">VLOOKUP($A20,OFFSET([1]characters!$A$1,0,0,COUNTA([1]characters!$A:$A),MATCH(G$1,[1]characters!$1:$1,0)-MATCH($A$1,[1]characters!$1:$1,0)+1),MATCH(G$1,[1]characters!$1:$1,0)-MATCH($A$1,[1]characters!$1:$1,0)+1,FALSE)</f>
        <v>4</v>
      </c>
      <c r="H20" s="57" t="str">
        <f ca="1">VLOOKUP($A20,OFFSET([1]characters!$A$1,0,0,COUNTA([1]characters!$A:$A),MATCH(H$1,[1]characters!$1:$1,0)-MATCH($A$1,[1]characters!$1:$1,0)+1),MATCH(H$1,[1]characters!$1:$1,0)-MATCH($A$1,[1]characters!$1:$1,0)+1,FALSE)</f>
        <v>PremiumSS</v>
      </c>
      <c r="I20" s="57" t="str">
        <f ca="1">VLOOKUP($A20,OFFSET([1]characters!$A$1,0,0,COUNTA([1]characters!$A:$A),MATCH(I$1,[1]characters!$1:$1,0)-MATCH($A$1,[1]characters!$1:$1,0)+1),MATCH(I$1,[1]characters!$1:$1,0)-MATCH($A$1,[1]characters!$1:$1,0)+1,FALSE)</f>
        <v>yellow</v>
      </c>
      <c r="J20" s="11">
        <f ca="1">VLOOKUP(I20,[1]属性!$A:$E,2,FALSE)</f>
        <v>0.98</v>
      </c>
      <c r="K20" s="11">
        <f ca="1">VLOOKUP(I20,[1]属性!$A:$E,3,FALSE)</f>
        <v>1.01</v>
      </c>
      <c r="L20" s="11">
        <f ca="1">VLOOKUP(I20,[1]属性!$A:$E,4,FALSE)</f>
        <v>1</v>
      </c>
      <c r="M20" s="11">
        <f ca="1">VLOOKUP(I20,[1]属性!$A:$E,5,FALSE)</f>
        <v>1.01</v>
      </c>
      <c r="N20" s="11">
        <f ca="1">INDEX(コスト!$A$1:$I$21,MATCH(H20,コスト!$A$1:$A$21,FALSE),MATCH(G20,コスト!$A$1:$I$1,FALSE))</f>
        <v>25</v>
      </c>
      <c r="O20" s="11">
        <f ca="1">INDEX(レベル!$A$1:$I$21,MATCH(H20,レベル!$A$1:$A$21,FALSE),MATCH(G20,レベル!$A$1:$I$1,FALSE))</f>
        <v>60</v>
      </c>
      <c r="P20" s="48">
        <f t="shared" ca="1" si="11"/>
        <v>60</v>
      </c>
      <c r="Q20" s="57" t="str">
        <f ca="1">VLOOKUP($A20,OFFSET([1]characters!$A$1,0,0,COUNTA([1]characters!$A:$A),MATCH(Q$1,[1]characters!$1:$1,0)-MATCH($A$1,[1]characters!$1:$1,0)+1),MATCH(Q$1,[1]characters!$1:$1,0)-MATCH($A$1,[1]characters!$1:$1,0)+1,FALSE)</f>
        <v>balance</v>
      </c>
      <c r="R20" s="5" t="str">
        <f ca="1">VLOOKUP(Q20,[1]character_type_i18n!$A:$H,3,FALSE)</f>
        <v>バランスタイプ</v>
      </c>
      <c r="S20" s="11">
        <f ca="1">VLOOKUP(Q20,[1]character_type_i18n!$A:$H,4,FALSE)</f>
        <v>1</v>
      </c>
      <c r="T20" s="11">
        <f ca="1">VLOOKUP(Q20,[1]character_type_i18n!$A:$H,5,FALSE)</f>
        <v>1</v>
      </c>
      <c r="U20" s="11">
        <f ca="1">VLOOKUP(Q20,[1]character_type_i18n!$A:$H,6,FALSE)</f>
        <v>1</v>
      </c>
      <c r="V20" s="11">
        <f ca="1">VLOOKUP(Q20,[1]character_type_i18n!$A:$H,7,FALSE)</f>
        <v>1</v>
      </c>
      <c r="W20" s="57" t="str">
        <f ca="1">VLOOKUP($A20,OFFSET([1]characters!$A$1,0,0,COUNTA([1]characters!$A:$A),MATCH(W$1,[1]characters!$1:$1,0)-MATCH($A$1,[1]characters!$1:$1,0)+1),MATCH(W$1,[1]characters!$1:$1,0)-MATCH($A$1,[1]characters!$1:$1,0)+1,FALSE)</f>
        <v>unknown</v>
      </c>
      <c r="X20" s="5" t="str">
        <f ca="1">VLOOKUP(W20,[1]character_tribe_i18n!$A:$H,3,FALSE)</f>
        <v>Unknown</v>
      </c>
      <c r="Y20" s="57" t="str">
        <f ca="1">VLOOKUP($A20,OFFSET([1]characters!$A$1,0,0,COUNTA([1]characters!$A:$A),MATCH(Y$1,[1]characters!$1:$1,0)-MATCH($A$1,[1]characters!$1:$1,0)+1),MATCH(Y$1,[1]characters!$1:$1,0)-MATCH($A$1,[1]characters!$1:$1,0)+1,FALSE)</f>
        <v>none</v>
      </c>
      <c r="Z20" s="5" t="str">
        <f ca="1">VLOOKUP(Y20,[1]character_tribe_i18n!$A:$H,3,FALSE)</f>
        <v>種族なし</v>
      </c>
      <c r="AA20" s="11">
        <f ca="1">VLOOKUP(W20,[1]character_tribe_i18n!$A:$H,4,FALSE)</f>
        <v>1</v>
      </c>
      <c r="AB20" s="11">
        <f ca="1">VLOOKUP(W20,[1]character_tribe_i18n!$A:$H,5,FALSE)</f>
        <v>1</v>
      </c>
      <c r="AC20" s="11">
        <f ca="1">VLOOKUP(W20,[1]character_tribe_i18n!$A:$H,6,FALSE)</f>
        <v>1</v>
      </c>
      <c r="AD20" s="11">
        <f ca="1">VLOOKUP(W20,[1]character_tribe_i18n!$A:$H,7,FALSE)</f>
        <v>1</v>
      </c>
      <c r="AE20" s="9">
        <f t="shared" ref="AE20" si="15">A21</f>
        <v>544</v>
      </c>
      <c r="AF20" s="62" t="str">
        <f ca="1">IF(AE20="NULL","",VLOOKUP($AE20,OFFSET([1]characters!$A$1,0,0,COUNTA([1]characters!$A:$A),MATCH(AF$1,[1]characters!$1:$1,0)-MATCH($A$1,[1]characters!$1:$1,0)+1),MATCH(AF$1,[1]characters!$1:$1,0)-MATCH($A$1,[1]characters!$1:$1,0)+1,FALSE))</f>
        <v>反響の凛音 鏡音リン</v>
      </c>
      <c r="AG20" s="5">
        <f t="shared" ca="1" si="1"/>
        <v>543</v>
      </c>
      <c r="AH20" s="62" t="str">
        <f ca="1">VLOOKUP($AG20,OFFSET([1]characters!$A$1,0,0,COUNTA([1]characters!$A:$A),MATCH(AH$1,[1]characters!$1:$1,0)-MATCH($A$1,[1]characters!$1:$1,0)+1),MATCH(AH$1,[1]characters!$1:$1,0)-MATCH($A$1,[1]characters!$1:$1,0)+1,FALSE)</f>
        <v>鏡音リン</v>
      </c>
      <c r="AI20" s="11">
        <f ca="1">IF(AE20="NULL","NULL",VLOOKUP(G20,ビット!$A$2:$B$7,2))</f>
        <v>50000</v>
      </c>
      <c r="AJ20" s="6">
        <v>2</v>
      </c>
      <c r="AK20" s="7" t="str">
        <f t="shared" si="12"/>
        <v>普通</v>
      </c>
      <c r="AL20" s="11" t="str">
        <f ca="1">INDEX(経験値!$A$1:$I$21,MATCH(H20,経験値!$A$1:$A$21,FALSE),MATCH(G20,経験値!$A$1:$I$1,FALSE))</f>
        <v>required_exp_200</v>
      </c>
      <c r="AM20" s="8">
        <f ca="1">VLOOKUP(G20,経験値!$A$28:$B$32,2)</f>
        <v>3400</v>
      </c>
      <c r="AN20" s="17">
        <f ca="1">VLOOKUP(G20,ビット!$G$2:$H$7,2)</f>
        <v>600</v>
      </c>
      <c r="AO20" s="45"/>
      <c r="AP20" s="67">
        <f t="shared" si="8"/>
        <v>543</v>
      </c>
      <c r="AQ20" s="57" t="str">
        <f ca="1">VLOOKUP($AP20,OFFSET(unit_skills!$A$1,0,0,COUNTA(unit_skills!$A:$A),MATCH(AQ$1,unit_skills!$1:$1,0)-MATCH($AP$1,unit_skills!$1:$1,0)+1),MATCH(AQ$1,unit_skills!$1:$1,0)-MATCH($AP$1,unit_skills!$1:$1,0)+1,FALSE)</f>
        <v>ボイスユニゾン・シャープ</v>
      </c>
      <c r="AR20" s="57" t="str">
        <f ca="1">VLOOKUP($AP20,OFFSET(unit_skills!$A$1,0,0,COUNTA(unit_skills!$A:$A),MATCH(AR$1,unit_skills!$1:$1,0)-MATCH($AP$1,unit_skills!$1:$1,0)+1),MATCH(AR$1,unit_skills!$1:$1,0)-MATCH($AP$1,unit_skills!$1:$1,0)+1,FALSE)</f>
        <v>3ターン黄属性の攻撃力と回復力を大UP＋3ターン青パネルの出現率DOWN</v>
      </c>
      <c r="AS20" s="57">
        <f ca="1">VLOOKUP($AP20,OFFSET(unit_skills!$A$1,0,0,COUNTA(unit_skills!$A:$A),MATCH(AS$1,unit_skills!$1:$1,0)-MATCH($AP$1,unit_skills!$1:$1,0)+1),MATCH(AS$1,unit_skills!$1:$1,0)-MATCH($AP$1,unit_skills!$1:$1,0)+1,FALSE)</f>
        <v>0</v>
      </c>
      <c r="AT20" s="41">
        <f t="shared" si="9"/>
        <v>543</v>
      </c>
      <c r="AU20" s="57" t="str">
        <f ca="1">VLOOKUP($AT20,OFFSET(crash_skills!$A$1,0,0,COUNTA(crash_skills!$A:$A),MATCH(AU$1,crash_skills!$1:$1,0)-MATCH($AT$1,crash_skills!$1:$1,0)+1),MATCH(AU$1,crash_skills!$1:$1,0)-MATCH($AT$1,crash_skills!$1:$1,0)+1,FALSE)</f>
        <v>セカンド・エレクトロ</v>
      </c>
      <c r="AV20" s="57" t="str">
        <f ca="1">VLOOKUP($AT20,OFFSET(crash_skills!$A$1,0,0,COUNTA(crash_skills!$A:$A),MATCH(AV$1,crash_skills!$1:$1,0)-MATCH($AT$1,crash_skills!$1:$1,0)+1),MATCH(AV$1,crash_skills!$1:$1,0)-MATCH($AT$1,crash_skills!$1:$1,0)+1,FALSE)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20" s="57">
        <f ca="1">VLOOKUP($AT20,OFFSET(crash_skills!$A$1,0,0,COUNTA(crash_skills!$A:$A),MATCH(AW$1,crash_skills!$1:$1,0)-MATCH($AT$1,crash_skills!$1:$1,0)+1),MATCH(AW$1,crash_skills!$1:$1,0)-MATCH($AT$1,crash_skills!$1:$1,0)+1,FALSE)</f>
        <v>0</v>
      </c>
      <c r="AX20" s="58">
        <f ca="1">VLOOKUP($A20,OFFSET([1]characters!$A$1,0,0,COUNTA([1]characters!$A:$A),MATCH(AX$1,[1]characters!$1:$1,0)-MATCH($A$1,[1]characters!$1:$1,0)+1),MATCH(AX$1,[1]characters!$1:$1,0)-MATCH($A$1,[1]characters!$1:$1,0)+1,FALSE)</f>
        <v>3</v>
      </c>
      <c r="AY20" s="68">
        <v>1</v>
      </c>
      <c r="AZ20" s="68">
        <v>1.18</v>
      </c>
      <c r="BA20" s="68">
        <v>0</v>
      </c>
      <c r="BB20" s="68">
        <v>1.1000000000000001</v>
      </c>
      <c r="BC20" s="11">
        <f ca="1">INDEX('RC6SV'!$A$1:$G$21,MATCH(H20,'RC6SV'!$A$1:$A$21,FALSE),MATCH(G20,'RC6SV'!$A$1:$G$1,FALSE))</f>
        <v>7500</v>
      </c>
      <c r="BD20" s="48">
        <f t="shared" ca="1" si="13"/>
        <v>7500</v>
      </c>
      <c r="BE20" s="11">
        <f t="shared" ca="1" si="4"/>
        <v>0</v>
      </c>
      <c r="BF20" s="11">
        <f t="shared" ca="1" si="5"/>
        <v>1</v>
      </c>
      <c r="BG20" s="16">
        <f ca="1">IF($BE20&lt;=0,ROUND(BK20*0.5,0), ROUND($BE20*S20*AA20*J20*AY20*0.8*[1]ステータス!$B$2,0))</f>
        <v>1838</v>
      </c>
      <c r="BH20" s="16">
        <f ca="1">IF($BE20&lt;=0,ROUND(BL20*0.5,0), ROUND($BE20*T20*AB20*K20*AZ20*0.8*[1]ステータス!$C$2,0))</f>
        <v>1341</v>
      </c>
      <c r="BI20" s="16">
        <f ca="1">IF($BE20&lt;=0,ROUND(BM20*0.5,0), ROUND($BE20*U20*AC20*L20*BA20*0.8*[1]ステータス!$D$2,0))</f>
        <v>0</v>
      </c>
      <c r="BJ20" s="16">
        <f ca="1">IF($BE20&lt;=0,ROUND(BN20*0.5,0), ROUND($BE20*V20*AD20*M20*BB20*0.8*[1]ステータス!$E$2,0))</f>
        <v>1042</v>
      </c>
      <c r="BK20" s="11">
        <f ca="1">ROUND(BD20*S20*AA20*J20*AY20*[1]ステータス!$B$2,0)</f>
        <v>3675</v>
      </c>
      <c r="BL20" s="11">
        <f ca="1">ROUND(BD20*T20*AB20*K20*AZ20*[1]ステータス!$C$2,0)</f>
        <v>2682</v>
      </c>
      <c r="BM20" s="11">
        <f ca="1">ROUND(BD20*U20*AC20*L20*BA20*[1]ステータス!$D$2,0)</f>
        <v>0</v>
      </c>
      <c r="BN20" s="11">
        <f ca="1">ROUND(BD20*V20*AD20*M20*BB20*[1]ステータス!$E$2,0)</f>
        <v>2083</v>
      </c>
      <c r="BO20" s="10">
        <v>0</v>
      </c>
      <c r="BP20" s="10">
        <v>1</v>
      </c>
      <c r="BQ20" s="10" t="s">
        <v>47</v>
      </c>
      <c r="BR20" s="178">
        <v>1100</v>
      </c>
    </row>
    <row r="21" spans="1:70" ht="21" customHeight="1" x14ac:dyDescent="0.15">
      <c r="A21" s="134">
        <v>544</v>
      </c>
      <c r="B21" s="57" t="str">
        <f ca="1">VLOOKUP($A21,OFFSET([1]characters!$A$1,0,0,COUNTA([1]characters!$A:$A),MATCH(B$1,[1]characters!$1:$1,0)-MATCH($A$1,[1]characters!$1:$1,0)+1),MATCH(B$1,[1]characters!$1:$1,0)-MATCH($A$1,[1]characters!$1:$1,0)+1,FALSE)</f>
        <v>反響の凛音 鏡音リン</v>
      </c>
      <c r="C21" s="57" t="str">
        <f ca="1">VLOOKUP($A21,OFFSET([1]characters!$A$1,0,0,COUNTA([1]characters!$A:$A),MATCH(C$1,[1]characters!$1:$1,0)-MATCH($A$1,[1]characters!$1:$1,0)+1),MATCH(C$1,[1]characters!$1:$1,0)-MATCH($A$1,[1]characters!$1:$1,0)+1,FALSE)</f>
        <v>ガチャ:ミクコラボ01</v>
      </c>
      <c r="D21" s="57" t="str">
        <f ca="1">VLOOKUP($A21,OFFSET([1]characters!$A$1,0,0,COUNTA([1]characters!$A:$A),MATCH(D$1,[1]characters!$1:$1,0)-MATCH($A$1,[1]characters!$1:$1,0)+1),MATCH(D$1,[1]characters!$1:$1,0)-MATCH($A$1,[1]characters!$1:$1,0)+1,FALSE)</f>
        <v>執行者</v>
      </c>
      <c r="E21" s="57" t="str">
        <f ca="1">VLOOKUP($A21,OFFSET([1]characters!$A$1,0,0,COUNTA([1]characters!$A:$A),MATCH(E$1,[1]characters!$1:$1,0)-MATCH($A$1,[1]characters!$1:$1,0)+1),MATCH(E$1,[1]characters!$1:$1,0)-MATCH($A$1,[1]characters!$1:$1,0)+1,FALSE)</f>
        <v>格好いい</v>
      </c>
      <c r="F21" s="57" t="str">
        <f ca="1">VLOOKUP($A21,OFFSET([1]characters!$A$1,0,0,COUNTA([1]characters!$A:$A),MATCH(F$1,[1]characters!$1:$1,0)-MATCH($A$1,[1]characters!$1:$1,0)+1),MATCH(F$1,[1]characters!$1:$1,0)-MATCH($A$1,[1]characters!$1:$1,0)+1,FALSE)</f>
        <v>女性</v>
      </c>
      <c r="G21" s="57">
        <f ca="1">VLOOKUP($A21,OFFSET([1]characters!$A$1,0,0,COUNTA([1]characters!$A:$A),MATCH(G$1,[1]characters!$1:$1,0)-MATCH($A$1,[1]characters!$1:$1,0)+1),MATCH(G$1,[1]characters!$1:$1,0)-MATCH($A$1,[1]characters!$1:$1,0)+1,FALSE)</f>
        <v>5</v>
      </c>
      <c r="H21" s="57" t="str">
        <f ca="1">VLOOKUP($A21,OFFSET([1]characters!$A$1,0,0,COUNTA([1]characters!$A:$A),MATCH(H$1,[1]characters!$1:$1,0)-MATCH($A$1,[1]characters!$1:$1,0)+1),MATCH(H$1,[1]characters!$1:$1,0)-MATCH($A$1,[1]characters!$1:$1,0)+1,FALSE)</f>
        <v>PremiumSS</v>
      </c>
      <c r="I21" s="57" t="str">
        <f ca="1">VLOOKUP($A21,OFFSET([1]characters!$A$1,0,0,COUNTA([1]characters!$A:$A),MATCH(I$1,[1]characters!$1:$1,0)-MATCH($A$1,[1]characters!$1:$1,0)+1),MATCH(I$1,[1]characters!$1:$1,0)-MATCH($A$1,[1]characters!$1:$1,0)+1,FALSE)</f>
        <v>yellow</v>
      </c>
      <c r="J21" s="11">
        <f ca="1">VLOOKUP(I21,[1]属性!$A:$E,2,FALSE)</f>
        <v>0.98</v>
      </c>
      <c r="K21" s="11">
        <f ca="1">VLOOKUP(I21,[1]属性!$A:$E,3,FALSE)</f>
        <v>1.01</v>
      </c>
      <c r="L21" s="11">
        <f ca="1">VLOOKUP(I21,[1]属性!$A:$E,4,FALSE)</f>
        <v>1</v>
      </c>
      <c r="M21" s="11">
        <f ca="1">VLOOKUP(I21,[1]属性!$A:$E,5,FALSE)</f>
        <v>1.01</v>
      </c>
      <c r="N21" s="11">
        <f ca="1">INDEX(コスト!$A$1:$I$21,MATCH(H21,コスト!$A$1:$A$21,FALSE),MATCH(G21,コスト!$A$1:$I$1,FALSE))</f>
        <v>35</v>
      </c>
      <c r="O21" s="11">
        <f ca="1">INDEX(レベル!$A$1:$I$21,MATCH(H21,レベル!$A$1:$A$21,FALSE),MATCH(G21,レベル!$A$1:$I$1,FALSE))</f>
        <v>80</v>
      </c>
      <c r="P21" s="48">
        <f t="shared" ca="1" si="11"/>
        <v>75</v>
      </c>
      <c r="Q21" s="57" t="str">
        <f ca="1">VLOOKUP($A21,OFFSET([1]characters!$A$1,0,0,COUNTA([1]characters!$A:$A),MATCH(Q$1,[1]characters!$1:$1,0)-MATCH($A$1,[1]characters!$1:$1,0)+1),MATCH(Q$1,[1]characters!$1:$1,0)-MATCH($A$1,[1]characters!$1:$1,0)+1,FALSE)</f>
        <v>balance</v>
      </c>
      <c r="R21" s="5" t="str">
        <f ca="1">VLOOKUP(Q21,[1]character_type_i18n!$A:$H,3,FALSE)</f>
        <v>バランスタイプ</v>
      </c>
      <c r="S21" s="11">
        <f ca="1">VLOOKUP(Q21,[1]character_type_i18n!$A:$H,4,FALSE)</f>
        <v>1</v>
      </c>
      <c r="T21" s="11">
        <f ca="1">VLOOKUP(Q21,[1]character_type_i18n!$A:$H,5,FALSE)</f>
        <v>1</v>
      </c>
      <c r="U21" s="11">
        <f ca="1">VLOOKUP(Q21,[1]character_type_i18n!$A:$H,6,FALSE)</f>
        <v>1</v>
      </c>
      <c r="V21" s="11">
        <f ca="1">VLOOKUP(Q21,[1]character_type_i18n!$A:$H,7,FALSE)</f>
        <v>1</v>
      </c>
      <c r="W21" s="57" t="str">
        <f ca="1">VLOOKUP($A21,OFFSET([1]characters!$A$1,0,0,COUNTA([1]characters!$A:$A),MATCH(W$1,[1]characters!$1:$1,0)-MATCH($A$1,[1]characters!$1:$1,0)+1),MATCH(W$1,[1]characters!$1:$1,0)-MATCH($A$1,[1]characters!$1:$1,0)+1,FALSE)</f>
        <v>unknown</v>
      </c>
      <c r="X21" s="5" t="str">
        <f ca="1">VLOOKUP(W21,[1]character_tribe_i18n!$A:$H,3,FALSE)</f>
        <v>Unknown</v>
      </c>
      <c r="Y21" s="57" t="str">
        <f ca="1">VLOOKUP($A21,OFFSET([1]characters!$A$1,0,0,COUNTA([1]characters!$A:$A),MATCH(Y$1,[1]characters!$1:$1,0)-MATCH($A$1,[1]characters!$1:$1,0)+1),MATCH(Y$1,[1]characters!$1:$1,0)-MATCH($A$1,[1]characters!$1:$1,0)+1,FALSE)</f>
        <v>none</v>
      </c>
      <c r="Z21" s="5" t="str">
        <f ca="1">VLOOKUP(Y21,[1]character_tribe_i18n!$A:$H,3,FALSE)</f>
        <v>種族なし</v>
      </c>
      <c r="AA21" s="11">
        <f ca="1">VLOOKUP(W21,[1]character_tribe_i18n!$A:$H,4,FALSE)</f>
        <v>1</v>
      </c>
      <c r="AB21" s="11">
        <f ca="1">VLOOKUP(W21,[1]character_tribe_i18n!$A:$H,5,FALSE)</f>
        <v>1</v>
      </c>
      <c r="AC21" s="11">
        <f ca="1">VLOOKUP(W21,[1]character_tribe_i18n!$A:$H,6,FALSE)</f>
        <v>1</v>
      </c>
      <c r="AD21" s="11">
        <f ca="1">VLOOKUP(W21,[1]character_tribe_i18n!$A:$H,7,FALSE)</f>
        <v>1</v>
      </c>
      <c r="AE21" s="9" t="s">
        <v>178</v>
      </c>
      <c r="AF21" s="62" t="str">
        <f ca="1">IF(AE21="NULL","",VLOOKUP($AE21,OFFSET([1]characters!$A$1,0,0,COUNTA([1]characters!$A:$A),MATCH(AF$1,[1]characters!$1:$1,0)-MATCH($A$1,[1]characters!$1:$1,0)+1),MATCH(AF$1,[1]characters!$1:$1,0)-MATCH($A$1,[1]characters!$1:$1,0)+1,FALSE))</f>
        <v/>
      </c>
      <c r="AG21" s="5">
        <f t="shared" ca="1" si="1"/>
        <v>543</v>
      </c>
      <c r="AH21" s="62" t="str">
        <f ca="1">VLOOKUP($AG21,OFFSET([1]characters!$A$1,0,0,COUNTA([1]characters!$A:$A),MATCH(AH$1,[1]characters!$1:$1,0)-MATCH($A$1,[1]characters!$1:$1,0)+1),MATCH(AH$1,[1]characters!$1:$1,0)-MATCH($A$1,[1]characters!$1:$1,0)+1,FALSE)</f>
        <v>鏡音リン</v>
      </c>
      <c r="AI21" s="11" t="str">
        <f>IF(AE21="NULL","NULL",VLOOKUP(G21,ビット!$A$2:$B$7,2))</f>
        <v>NULL</v>
      </c>
      <c r="AJ21" s="6">
        <v>2</v>
      </c>
      <c r="AK21" s="7" t="str">
        <f t="shared" si="12"/>
        <v>普通</v>
      </c>
      <c r="AL21" s="11" t="str">
        <f ca="1">INDEX(経験値!$A$1:$I$21,MATCH(H21,経験値!$A$1:$A$21,FALSE),MATCH(G21,経験値!$A$1:$I$1,FALSE))</f>
        <v>required_exp_200</v>
      </c>
      <c r="AM21" s="8">
        <f ca="1">VLOOKUP(G21,経験値!$A$28:$B$32,2)</f>
        <v>6400</v>
      </c>
      <c r="AN21" s="17">
        <f ca="1">VLOOKUP(G21,ビット!$G$2:$H$7,2)</f>
        <v>900</v>
      </c>
      <c r="AO21" s="45"/>
      <c r="AP21" s="67">
        <f t="shared" si="8"/>
        <v>544</v>
      </c>
      <c r="AQ21" s="57" t="str">
        <f ca="1">VLOOKUP($AP21,OFFSET(unit_skills!$A$1,0,0,COUNTA(unit_skills!$A:$A),MATCH(AQ$1,unit_skills!$1:$1,0)-MATCH($AP$1,unit_skills!$1:$1,0)+1),MATCH(AQ$1,unit_skills!$1:$1,0)-MATCH($AP$1,unit_skills!$1:$1,0)+1,FALSE)</f>
        <v>ボイスユニゾン・ダブルシャープ</v>
      </c>
      <c r="AR21" s="57" t="str">
        <f ca="1">VLOOKUP($AP21,OFFSET(unit_skills!$A$1,0,0,COUNTA(unit_skills!$A:$A),MATCH(AR$1,unit_skills!$1:$1,0)-MATCH($AP$1,unit_skills!$1:$1,0)+1),MATCH(AR$1,unit_skills!$1:$1,0)-MATCH($AP$1,unit_skills!$1:$1,0)+1,FALSE)</f>
        <v>3ターン黄属性の攻撃力と回復力を特大UP＋3ターン青パネルの出現率DOWN</v>
      </c>
      <c r="AS21" s="57">
        <f ca="1">VLOOKUP($AP21,OFFSET(unit_skills!$A$1,0,0,COUNTA(unit_skills!$A:$A),MATCH(AS$1,unit_skills!$1:$1,0)-MATCH($AP$1,unit_skills!$1:$1,0)+1),MATCH(AS$1,unit_skills!$1:$1,0)-MATCH($AP$1,unit_skills!$1:$1,0)+1,FALSE)</f>
        <v>0</v>
      </c>
      <c r="AT21" s="41">
        <f t="shared" si="9"/>
        <v>544</v>
      </c>
      <c r="AU21" s="57" t="str">
        <f ca="1">VLOOKUP($AT21,OFFSET(crash_skills!$A$1,0,0,COUNTA(crash_skills!$A:$A),MATCH(AU$1,crash_skills!$1:$1,0)-MATCH($AT$1,crash_skills!$1:$1,0)+1),MATCH(AU$1,crash_skills!$1:$1,0)-MATCH($AT$1,crash_skills!$1:$1,0)+1,FALSE)</f>
        <v>セカンド・エレクトロ</v>
      </c>
      <c r="AV21" s="57" t="str">
        <f ca="1">VLOOKUP($AT21,OFFSET(crash_skills!$A$1,0,0,COUNTA(crash_skills!$A:$A),MATCH(AV$1,crash_skills!$1:$1,0)-MATCH($AT$1,crash_skills!$1:$1,0)+1),MATCH(AV$1,crash_skills!$1:$1,0)-MATCH($AT$1,crash_skills!$1:$1,0)+1,FALSE)</f>
        <v>1体に大ダメージ_x000D_Unknownに効果特大</v>
      </c>
      <c r="AW21" s="57">
        <f ca="1">VLOOKUP($AT21,OFFSET(crash_skills!$A$1,0,0,COUNTA(crash_skills!$A:$A),MATCH(AW$1,crash_skills!$1:$1,0)-MATCH($AT$1,crash_skills!$1:$1,0)+1),MATCH(AW$1,crash_skills!$1:$1,0)-MATCH($AT$1,crash_skills!$1:$1,0)+1,FALSE)</f>
        <v>0</v>
      </c>
      <c r="AX21" s="58">
        <f ca="1">VLOOKUP($A21,OFFSET([1]characters!$A$1,0,0,COUNTA([1]characters!$A:$A),MATCH(AX$1,[1]characters!$1:$1,0)-MATCH($A$1,[1]characters!$1:$1,0)+1),MATCH(AX$1,[1]characters!$1:$1,0)-MATCH($A$1,[1]characters!$1:$1,0)+1,FALSE)</f>
        <v>3</v>
      </c>
      <c r="AY21" s="68">
        <v>1</v>
      </c>
      <c r="AZ21" s="68">
        <v>1.18</v>
      </c>
      <c r="BA21" s="68">
        <v>0</v>
      </c>
      <c r="BB21" s="68">
        <v>1.1000000000000001</v>
      </c>
      <c r="BC21" s="11">
        <f ca="1">INDEX('RC6SV'!$A$1:$G$21,MATCH(H21,'RC6SV'!$A$1:$A$21,FALSE),MATCH(G21,'RC6SV'!$A$1:$G$1,FALSE))</f>
        <v>9500</v>
      </c>
      <c r="BD21" s="48">
        <f t="shared" ca="1" si="13"/>
        <v>9500</v>
      </c>
      <c r="BE21" s="11">
        <f t="shared" ca="1" si="4"/>
        <v>7500</v>
      </c>
      <c r="BF21" s="11">
        <f t="shared" ca="1" si="5"/>
        <v>1</v>
      </c>
      <c r="BG21" s="16">
        <f ca="1">IF($BE21&lt;=0,ROUND(BK21*0.5,0), ROUND($BE21*S21*AA21*J21*AY21*0.8*[1]ステータス!$B$2,0))</f>
        <v>2940</v>
      </c>
      <c r="BH21" s="16">
        <f ca="1">IF($BE21&lt;=0,ROUND(BL21*0.5,0), ROUND($BE21*T21*AB21*K21*AZ21*0.8*[1]ステータス!$C$2,0))</f>
        <v>2145</v>
      </c>
      <c r="BI21" s="16">
        <f ca="1">IF($BE21&lt;=0,ROUND(BM21*0.5,0), ROUND($BE21*U21*AC21*L21*BA21*0.8*[1]ステータス!$D$2,0))</f>
        <v>0</v>
      </c>
      <c r="BJ21" s="16">
        <f ca="1">IF($BE21&lt;=0,ROUND(BN21*0.5,0), ROUND($BE21*V21*AD21*M21*BB21*0.8*[1]ステータス!$E$2,0))</f>
        <v>1667</v>
      </c>
      <c r="BK21" s="11">
        <f ca="1">ROUND(BD21*S21*AA21*J21*AY21*[1]ステータス!$B$2,0)</f>
        <v>4655</v>
      </c>
      <c r="BL21" s="11">
        <f ca="1">ROUND(BD21*T21*AB21*K21*AZ21*[1]ステータス!$C$2,0)</f>
        <v>3397</v>
      </c>
      <c r="BM21" s="11">
        <f ca="1">ROUND(BD21*U21*AC21*L21*BA21*[1]ステータス!$D$2,0)</f>
        <v>0</v>
      </c>
      <c r="BN21" s="11">
        <f ca="1">ROUND(BD21*V21*AD21*M21*BB21*[1]ステータス!$E$2,0)</f>
        <v>2639</v>
      </c>
      <c r="BO21" s="10">
        <v>0</v>
      </c>
      <c r="BP21" s="10">
        <v>1</v>
      </c>
      <c r="BQ21" s="10" t="s">
        <v>47</v>
      </c>
      <c r="BR21" s="178">
        <v>1100</v>
      </c>
    </row>
    <row r="22" spans="1:70" ht="21" customHeight="1" x14ac:dyDescent="0.15">
      <c r="A22" s="134">
        <v>545</v>
      </c>
      <c r="B22" s="57" t="str">
        <f ca="1">VLOOKUP($A22,OFFSET([1]characters!$A$1,0,0,COUNTA([1]characters!$A:$A),MATCH(B$1,[1]characters!$1:$1,0)-MATCH($A$1,[1]characters!$1:$1,0)+1),MATCH(B$1,[1]characters!$1:$1,0)-MATCH($A$1,[1]characters!$1:$1,0)+1,FALSE)</f>
        <v>鏡音レン</v>
      </c>
      <c r="C22" s="57" t="str">
        <f ca="1">VLOOKUP($A22,OFFSET([1]characters!$A$1,0,0,COUNTA([1]characters!$A:$A),MATCH(C$1,[1]characters!$1:$1,0)-MATCH($A$1,[1]characters!$1:$1,0)+1),MATCH(C$1,[1]characters!$1:$1,0)-MATCH($A$1,[1]characters!$1:$1,0)+1,FALSE)</f>
        <v>ガチャ:ミクコラボ01</v>
      </c>
      <c r="D22" s="57" t="str">
        <f ca="1">VLOOKUP($A22,OFFSET([1]characters!$A$1,0,0,COUNTA([1]characters!$A:$A),MATCH(D$1,[1]characters!$1:$1,0)-MATCH($A$1,[1]characters!$1:$1,0)+1),MATCH(D$1,[1]characters!$1:$1,0)-MATCH($A$1,[1]characters!$1:$1,0)+1,FALSE)</f>
        <v>執行者</v>
      </c>
      <c r="E22" s="57" t="str">
        <f ca="1">VLOOKUP($A22,OFFSET([1]characters!$A$1,0,0,COUNTA([1]characters!$A:$A),MATCH(E$1,[1]characters!$1:$1,0)-MATCH($A$1,[1]characters!$1:$1,0)+1),MATCH(E$1,[1]characters!$1:$1,0)-MATCH($A$1,[1]characters!$1:$1,0)+1,FALSE)</f>
        <v>格好いい</v>
      </c>
      <c r="F22" s="57" t="str">
        <f ca="1">VLOOKUP($A22,OFFSET([1]characters!$A$1,0,0,COUNTA([1]characters!$A:$A),MATCH(F$1,[1]characters!$1:$1,0)-MATCH($A$1,[1]characters!$1:$1,0)+1),MATCH(F$1,[1]characters!$1:$1,0)-MATCH($A$1,[1]characters!$1:$1,0)+1,FALSE)</f>
        <v>男性</v>
      </c>
      <c r="G22" s="57">
        <f ca="1">VLOOKUP($A22,OFFSET([1]characters!$A$1,0,0,COUNTA([1]characters!$A:$A),MATCH(G$1,[1]characters!$1:$1,0)-MATCH($A$1,[1]characters!$1:$1,0)+1),MATCH(G$1,[1]characters!$1:$1,0)-MATCH($A$1,[1]characters!$1:$1,0)+1,FALSE)</f>
        <v>4</v>
      </c>
      <c r="H22" s="57" t="str">
        <f ca="1">VLOOKUP($A22,OFFSET([1]characters!$A$1,0,0,COUNTA([1]characters!$A:$A),MATCH(H$1,[1]characters!$1:$1,0)-MATCH($A$1,[1]characters!$1:$1,0)+1),MATCH(H$1,[1]characters!$1:$1,0)-MATCH($A$1,[1]characters!$1:$1,0)+1,FALSE)</f>
        <v>PremiumSS</v>
      </c>
      <c r="I22" s="57" t="str">
        <f ca="1">VLOOKUP($A22,OFFSET([1]characters!$A$1,0,0,COUNTA([1]characters!$A:$A),MATCH(I$1,[1]characters!$1:$1,0)-MATCH($A$1,[1]characters!$1:$1,0)+1),MATCH(I$1,[1]characters!$1:$1,0)-MATCH($A$1,[1]characters!$1:$1,0)+1,FALSE)</f>
        <v>yellow</v>
      </c>
      <c r="J22" s="11">
        <f ca="1">VLOOKUP(I22,[1]属性!$A:$E,2,FALSE)</f>
        <v>0.98</v>
      </c>
      <c r="K22" s="11">
        <f ca="1">VLOOKUP(I22,[1]属性!$A:$E,3,FALSE)</f>
        <v>1.01</v>
      </c>
      <c r="L22" s="11">
        <f ca="1">VLOOKUP(I22,[1]属性!$A:$E,4,FALSE)</f>
        <v>1</v>
      </c>
      <c r="M22" s="11">
        <f ca="1">VLOOKUP(I22,[1]属性!$A:$E,5,FALSE)</f>
        <v>1.01</v>
      </c>
      <c r="N22" s="11">
        <f ca="1">INDEX(コスト!$A$1:$I$21,MATCH(H22,コスト!$A$1:$A$21,FALSE),MATCH(G22,コスト!$A$1:$I$1,FALSE))</f>
        <v>25</v>
      </c>
      <c r="O22" s="11">
        <f ca="1">INDEX(レベル!$A$1:$I$21,MATCH(H22,レベル!$A$1:$A$21,FALSE),MATCH(G22,レベル!$A$1:$I$1,FALSE))</f>
        <v>60</v>
      </c>
      <c r="P22" s="48">
        <f t="shared" ca="1" si="11"/>
        <v>60</v>
      </c>
      <c r="Q22" s="57" t="str">
        <f ca="1">VLOOKUP($A22,OFFSET([1]characters!$A$1,0,0,COUNTA([1]characters!$A:$A),MATCH(Q$1,[1]characters!$1:$1,0)-MATCH($A$1,[1]characters!$1:$1,0)+1),MATCH(Q$1,[1]characters!$1:$1,0)-MATCH($A$1,[1]characters!$1:$1,0)+1,FALSE)</f>
        <v>heal</v>
      </c>
      <c r="R22" s="5" t="str">
        <f ca="1">VLOOKUP(Q22,[1]character_type_i18n!$A:$H,3,FALSE)</f>
        <v>回復タイプ</v>
      </c>
      <c r="S22" s="11">
        <f ca="1">VLOOKUP(Q22,[1]character_type_i18n!$A:$H,4,FALSE)</f>
        <v>0.8</v>
      </c>
      <c r="T22" s="11">
        <f ca="1">VLOOKUP(Q22,[1]character_type_i18n!$A:$H,5,FALSE)</f>
        <v>0.78</v>
      </c>
      <c r="U22" s="11">
        <f ca="1">VLOOKUP(Q22,[1]character_type_i18n!$A:$H,6,FALSE)</f>
        <v>1</v>
      </c>
      <c r="V22" s="11">
        <f ca="1">VLOOKUP(Q22,[1]character_type_i18n!$A:$H,7,FALSE)</f>
        <v>1.42</v>
      </c>
      <c r="W22" s="57" t="str">
        <f ca="1">VLOOKUP($A22,OFFSET([1]characters!$A$1,0,0,COUNTA([1]characters!$A:$A),MATCH(W$1,[1]characters!$1:$1,0)-MATCH($A$1,[1]characters!$1:$1,0)+1),MATCH(W$1,[1]characters!$1:$1,0)-MATCH($A$1,[1]characters!$1:$1,0)+1,FALSE)</f>
        <v>unknown</v>
      </c>
      <c r="X22" s="5" t="str">
        <f ca="1">VLOOKUP(W22,[1]character_tribe_i18n!$A:$H,3,FALSE)</f>
        <v>Unknown</v>
      </c>
      <c r="Y22" s="57" t="str">
        <f ca="1">VLOOKUP($A22,OFFSET([1]characters!$A$1,0,0,COUNTA([1]characters!$A:$A),MATCH(Y$1,[1]characters!$1:$1,0)-MATCH($A$1,[1]characters!$1:$1,0)+1),MATCH(Y$1,[1]characters!$1:$1,0)-MATCH($A$1,[1]characters!$1:$1,0)+1,FALSE)</f>
        <v>none</v>
      </c>
      <c r="Z22" s="5" t="str">
        <f ca="1">VLOOKUP(Y22,[1]character_tribe_i18n!$A:$H,3,FALSE)</f>
        <v>種族なし</v>
      </c>
      <c r="AA22" s="11">
        <f ca="1">VLOOKUP(W22,[1]character_tribe_i18n!$A:$H,4,FALSE)</f>
        <v>1</v>
      </c>
      <c r="AB22" s="11">
        <f ca="1">VLOOKUP(W22,[1]character_tribe_i18n!$A:$H,5,FALSE)</f>
        <v>1</v>
      </c>
      <c r="AC22" s="11">
        <f ca="1">VLOOKUP(W22,[1]character_tribe_i18n!$A:$H,6,FALSE)</f>
        <v>1</v>
      </c>
      <c r="AD22" s="11">
        <f ca="1">VLOOKUP(W22,[1]character_tribe_i18n!$A:$H,7,FALSE)</f>
        <v>1</v>
      </c>
      <c r="AE22" s="9">
        <f t="shared" ref="AE22" si="16">A23</f>
        <v>546</v>
      </c>
      <c r="AF22" s="62" t="str">
        <f ca="1">IF(AE22="NULL","",VLOOKUP($AE22,OFFSET([1]characters!$A$1,0,0,COUNTA([1]characters!$A:$A),MATCH(AF$1,[1]characters!$1:$1,0)-MATCH($A$1,[1]characters!$1:$1,0)+1),MATCH(AF$1,[1]characters!$1:$1,0)-MATCH($A$1,[1]characters!$1:$1,0)+1,FALSE))</f>
        <v>残響の連符 鏡音レン</v>
      </c>
      <c r="AG22" s="5">
        <f t="shared" ca="1" si="1"/>
        <v>545</v>
      </c>
      <c r="AH22" s="62" t="str">
        <f ca="1">VLOOKUP($AG22,OFFSET([1]characters!$A$1,0,0,COUNTA([1]characters!$A:$A),MATCH(AH$1,[1]characters!$1:$1,0)-MATCH($A$1,[1]characters!$1:$1,0)+1),MATCH(AH$1,[1]characters!$1:$1,0)-MATCH($A$1,[1]characters!$1:$1,0)+1,FALSE)</f>
        <v>鏡音レン</v>
      </c>
      <c r="AI22" s="11">
        <f ca="1">IF(AE22="NULL","NULL",VLOOKUP(G22,ビット!$A$2:$B$7,2))</f>
        <v>50000</v>
      </c>
      <c r="AJ22" s="6">
        <v>2</v>
      </c>
      <c r="AK22" s="7" t="str">
        <f t="shared" si="12"/>
        <v>普通</v>
      </c>
      <c r="AL22" s="11" t="str">
        <f ca="1">INDEX(経験値!$A$1:$I$21,MATCH(H22,経験値!$A$1:$A$21,FALSE),MATCH(G22,経験値!$A$1:$I$1,FALSE))</f>
        <v>required_exp_200</v>
      </c>
      <c r="AM22" s="8">
        <f ca="1">VLOOKUP(G22,経験値!$A$28:$B$32,2)</f>
        <v>3400</v>
      </c>
      <c r="AN22" s="17">
        <f ca="1">VLOOKUP(G22,ビット!$G$2:$H$7,2)</f>
        <v>600</v>
      </c>
      <c r="AO22" s="45"/>
      <c r="AP22" s="67">
        <f t="shared" si="8"/>
        <v>545</v>
      </c>
      <c r="AQ22" s="57" t="str">
        <f ca="1">VLOOKUP($AP22,OFFSET(unit_skills!$A$1,0,0,COUNTA(unit_skills!$A:$A),MATCH(AQ$1,unit_skills!$1:$1,0)-MATCH($AP$1,unit_skills!$1:$1,0)+1),MATCH(AQ$1,unit_skills!$1:$1,0)-MATCH($AP$1,unit_skills!$1:$1,0)+1,FALSE)</f>
        <v>ボイスユニゾン・フラット</v>
      </c>
      <c r="AR22" s="57" t="str">
        <f ca="1">VLOOKUP($AP22,OFFSET(unit_skills!$A$1,0,0,COUNTA(unit_skills!$A:$A),MATCH(AR$1,unit_skills!$1:$1,0)-MATCH($AP$1,unit_skills!$1:$1,0)+1),MATCH(AR$1,unit_skills!$1:$1,0)-MATCH($AP$1,unit_skills!$1:$1,0)+1,FALSE)</f>
        <v>HP中回復＋3ターンの間回復パネルの出現率大UP＋ハート無効状態を解除する</v>
      </c>
      <c r="AS22" s="57">
        <f ca="1">VLOOKUP($AP22,OFFSET(unit_skills!$A$1,0,0,COUNTA(unit_skills!$A:$A),MATCH(AS$1,unit_skills!$1:$1,0)-MATCH($AP$1,unit_skills!$1:$1,0)+1),MATCH(AS$1,unit_skills!$1:$1,0)-MATCH($AP$1,unit_skills!$1:$1,0)+1,FALSE)</f>
        <v>0</v>
      </c>
      <c r="AT22" s="41">
        <f t="shared" si="9"/>
        <v>545</v>
      </c>
      <c r="AU22" s="57" t="str">
        <f ca="1">VLOOKUP($AT22,OFFSET(crash_skills!$A$1,0,0,COUNTA(crash_skills!$A:$A),MATCH(AU$1,crash_skills!$1:$1,0)-MATCH($AT$1,crash_skills!$1:$1,0)+1),MATCH(AU$1,crash_skills!$1:$1,0)-MATCH($AT$1,crash_skills!$1:$1,0)+1,FALSE)</f>
        <v>セカンド・ダンシング</v>
      </c>
      <c r="AV22" s="57" t="str">
        <f ca="1">VLOOKUP($AT22,OFFSET(crash_skills!$A$1,0,0,COUNTA(crash_skills!$A:$A),MATCH(AV$1,crash_skills!$1:$1,0)-MATCH($AT$1,crash_skills!$1:$1,0)+1),MATCH(AV$1,crash_skills!$1:$1,0)-MATCH($AT$1,crash_skills!$1:$1,0)+1,FALSE)</f>
        <v>Unknownに効果特大の_x000D_単体ダメージ+HP大回復</v>
      </c>
      <c r="AW22" s="57">
        <f ca="1">VLOOKUP($AT22,OFFSET(crash_skills!$A$1,0,0,COUNTA(crash_skills!$A:$A),MATCH(AW$1,crash_skills!$1:$1,0)-MATCH($AT$1,crash_skills!$1:$1,0)+1),MATCH(AW$1,crash_skills!$1:$1,0)-MATCH($AT$1,crash_skills!$1:$1,0)+1,FALSE)</f>
        <v>0</v>
      </c>
      <c r="AX22" s="58">
        <f ca="1">VLOOKUP($A22,OFFSET([1]characters!$A$1,0,0,COUNTA([1]characters!$A:$A),MATCH(AX$1,[1]characters!$1:$1,0)-MATCH($A$1,[1]characters!$1:$1,0)+1),MATCH(AX$1,[1]characters!$1:$1,0)-MATCH($A$1,[1]characters!$1:$1,0)+1,FALSE)</f>
        <v>3</v>
      </c>
      <c r="AY22" s="68">
        <v>1</v>
      </c>
      <c r="AZ22" s="68">
        <v>1</v>
      </c>
      <c r="BA22" s="68">
        <v>0</v>
      </c>
      <c r="BB22" s="68">
        <v>1.05</v>
      </c>
      <c r="BC22" s="11">
        <f ca="1">INDEX('RC6SV'!$A$1:$G$21,MATCH(H22,'RC6SV'!$A$1:$A$21,FALSE),MATCH(G22,'RC6SV'!$A$1:$G$1,FALSE))</f>
        <v>7500</v>
      </c>
      <c r="BD22" s="48">
        <f t="shared" ca="1" si="13"/>
        <v>7500</v>
      </c>
      <c r="BE22" s="11">
        <f t="shared" ca="1" si="4"/>
        <v>0</v>
      </c>
      <c r="BF22" s="11">
        <f t="shared" ca="1" si="5"/>
        <v>1</v>
      </c>
      <c r="BG22" s="16">
        <f ca="1">IF($BE22&lt;=0,ROUND(BK22*0.5,0), ROUND($BE22*S22*AA22*J22*AY22*0.8*[1]ステータス!$B$2,0))</f>
        <v>1470</v>
      </c>
      <c r="BH22" s="16">
        <f ca="1">IF($BE22&lt;=0,ROUND(BL22*0.5,0), ROUND($BE22*T22*AB22*K22*AZ22*0.8*[1]ステータス!$C$2,0))</f>
        <v>887</v>
      </c>
      <c r="BI22" s="16">
        <f ca="1">IF($BE22&lt;=0,ROUND(BM22*0.5,0), ROUND($BE22*U22*AC22*L22*BA22*0.8*[1]ステータス!$D$2,0))</f>
        <v>0</v>
      </c>
      <c r="BJ22" s="16">
        <f ca="1">IF($BE22&lt;=0,ROUND(BN22*0.5,0), ROUND($BE22*V22*AD22*M22*BB22*0.8*[1]ステータス!$E$2,0))</f>
        <v>1412</v>
      </c>
      <c r="BK22" s="11">
        <f ca="1">ROUND(BD22*S22*AA22*J22*AY22*[1]ステータス!$B$2,0)</f>
        <v>2940</v>
      </c>
      <c r="BL22" s="11">
        <f ca="1">ROUND(BD22*T22*AB22*K22*AZ22*[1]ステータス!$C$2,0)</f>
        <v>1773</v>
      </c>
      <c r="BM22" s="11">
        <f ca="1">ROUND(BD22*U22*AC22*L22*BA22*[1]ステータス!$D$2,0)</f>
        <v>0</v>
      </c>
      <c r="BN22" s="11">
        <f ca="1">ROUND(BD22*V22*AD22*M22*BB22*[1]ステータス!$E$2,0)</f>
        <v>2824</v>
      </c>
      <c r="BO22" s="10">
        <v>0</v>
      </c>
      <c r="BP22" s="10">
        <v>1</v>
      </c>
      <c r="BQ22" s="10" t="s">
        <v>47</v>
      </c>
      <c r="BR22" s="178">
        <v>1100</v>
      </c>
    </row>
    <row r="23" spans="1:70" ht="21" customHeight="1" x14ac:dyDescent="0.15">
      <c r="A23" s="134">
        <v>546</v>
      </c>
      <c r="B23" s="57" t="str">
        <f ca="1">VLOOKUP($A23,OFFSET([1]characters!$A$1,0,0,COUNTA([1]characters!$A:$A),MATCH(B$1,[1]characters!$1:$1,0)-MATCH($A$1,[1]characters!$1:$1,0)+1),MATCH(B$1,[1]characters!$1:$1,0)-MATCH($A$1,[1]characters!$1:$1,0)+1,FALSE)</f>
        <v>残響の連符 鏡音レン</v>
      </c>
      <c r="C23" s="57" t="str">
        <f ca="1">VLOOKUP($A23,OFFSET([1]characters!$A$1,0,0,COUNTA([1]characters!$A:$A),MATCH(C$1,[1]characters!$1:$1,0)-MATCH($A$1,[1]characters!$1:$1,0)+1),MATCH(C$1,[1]characters!$1:$1,0)-MATCH($A$1,[1]characters!$1:$1,0)+1,FALSE)</f>
        <v>ガチャ:ミクコラボ01</v>
      </c>
      <c r="D23" s="57" t="str">
        <f ca="1">VLOOKUP($A23,OFFSET([1]characters!$A$1,0,0,COUNTA([1]characters!$A:$A),MATCH(D$1,[1]characters!$1:$1,0)-MATCH($A$1,[1]characters!$1:$1,0)+1),MATCH(D$1,[1]characters!$1:$1,0)-MATCH($A$1,[1]characters!$1:$1,0)+1,FALSE)</f>
        <v>執行者</v>
      </c>
      <c r="E23" s="57" t="str">
        <f ca="1">VLOOKUP($A23,OFFSET([1]characters!$A$1,0,0,COUNTA([1]characters!$A:$A),MATCH(E$1,[1]characters!$1:$1,0)-MATCH($A$1,[1]characters!$1:$1,0)+1),MATCH(E$1,[1]characters!$1:$1,0)-MATCH($A$1,[1]characters!$1:$1,0)+1,FALSE)</f>
        <v>格好いい</v>
      </c>
      <c r="F23" s="57" t="str">
        <f ca="1">VLOOKUP($A23,OFFSET([1]characters!$A$1,0,0,COUNTA([1]characters!$A:$A),MATCH(F$1,[1]characters!$1:$1,0)-MATCH($A$1,[1]characters!$1:$1,0)+1),MATCH(F$1,[1]characters!$1:$1,0)-MATCH($A$1,[1]characters!$1:$1,0)+1,FALSE)</f>
        <v>男性</v>
      </c>
      <c r="G23" s="57">
        <f ca="1">VLOOKUP($A23,OFFSET([1]characters!$A$1,0,0,COUNTA([1]characters!$A:$A),MATCH(G$1,[1]characters!$1:$1,0)-MATCH($A$1,[1]characters!$1:$1,0)+1),MATCH(G$1,[1]characters!$1:$1,0)-MATCH($A$1,[1]characters!$1:$1,0)+1,FALSE)</f>
        <v>5</v>
      </c>
      <c r="H23" s="57" t="str">
        <f ca="1">VLOOKUP($A23,OFFSET([1]characters!$A$1,0,0,COUNTA([1]characters!$A:$A),MATCH(H$1,[1]characters!$1:$1,0)-MATCH($A$1,[1]characters!$1:$1,0)+1),MATCH(H$1,[1]characters!$1:$1,0)-MATCH($A$1,[1]characters!$1:$1,0)+1,FALSE)</f>
        <v>PremiumSS</v>
      </c>
      <c r="I23" s="57" t="str">
        <f ca="1">VLOOKUP($A23,OFFSET([1]characters!$A$1,0,0,COUNTA([1]characters!$A:$A),MATCH(I$1,[1]characters!$1:$1,0)-MATCH($A$1,[1]characters!$1:$1,0)+1),MATCH(I$1,[1]characters!$1:$1,0)-MATCH($A$1,[1]characters!$1:$1,0)+1,FALSE)</f>
        <v>yellow</v>
      </c>
      <c r="J23" s="11">
        <f ca="1">VLOOKUP(I23,[1]属性!$A:$E,2,FALSE)</f>
        <v>0.98</v>
      </c>
      <c r="K23" s="11">
        <f ca="1">VLOOKUP(I23,[1]属性!$A:$E,3,FALSE)</f>
        <v>1.01</v>
      </c>
      <c r="L23" s="11">
        <f ca="1">VLOOKUP(I23,[1]属性!$A:$E,4,FALSE)</f>
        <v>1</v>
      </c>
      <c r="M23" s="11">
        <f ca="1">VLOOKUP(I23,[1]属性!$A:$E,5,FALSE)</f>
        <v>1.01</v>
      </c>
      <c r="N23" s="11">
        <f ca="1">INDEX(コスト!$A$1:$I$21,MATCH(H23,コスト!$A$1:$A$21,FALSE),MATCH(G23,コスト!$A$1:$I$1,FALSE))</f>
        <v>35</v>
      </c>
      <c r="O23" s="11">
        <f ca="1">INDEX(レベル!$A$1:$I$21,MATCH(H23,レベル!$A$1:$A$21,FALSE),MATCH(G23,レベル!$A$1:$I$1,FALSE))</f>
        <v>80</v>
      </c>
      <c r="P23" s="48">
        <f t="shared" ref="P23:P30" ca="1" si="17">G23*15</f>
        <v>75</v>
      </c>
      <c r="Q23" s="57" t="str">
        <f ca="1">VLOOKUP($A23,OFFSET([1]characters!$A$1,0,0,COUNTA([1]characters!$A:$A),MATCH(Q$1,[1]characters!$1:$1,0)-MATCH($A$1,[1]characters!$1:$1,0)+1),MATCH(Q$1,[1]characters!$1:$1,0)-MATCH($A$1,[1]characters!$1:$1,0)+1,FALSE)</f>
        <v>heal</v>
      </c>
      <c r="R23" s="5" t="str">
        <f ca="1">VLOOKUP(Q23,[1]character_type_i18n!$A:$H,3,FALSE)</f>
        <v>回復タイプ</v>
      </c>
      <c r="S23" s="11">
        <f ca="1">VLOOKUP(Q23,[1]character_type_i18n!$A:$H,4,FALSE)</f>
        <v>0.8</v>
      </c>
      <c r="T23" s="11">
        <f ca="1">VLOOKUP(Q23,[1]character_type_i18n!$A:$H,5,FALSE)</f>
        <v>0.78</v>
      </c>
      <c r="U23" s="11">
        <f ca="1">VLOOKUP(Q23,[1]character_type_i18n!$A:$H,6,FALSE)</f>
        <v>1</v>
      </c>
      <c r="V23" s="11">
        <f ca="1">VLOOKUP(Q23,[1]character_type_i18n!$A:$H,7,FALSE)</f>
        <v>1.42</v>
      </c>
      <c r="W23" s="57" t="str">
        <f ca="1">VLOOKUP($A23,OFFSET([1]characters!$A$1,0,0,COUNTA([1]characters!$A:$A),MATCH(W$1,[1]characters!$1:$1,0)-MATCH($A$1,[1]characters!$1:$1,0)+1),MATCH(W$1,[1]characters!$1:$1,0)-MATCH($A$1,[1]characters!$1:$1,0)+1,FALSE)</f>
        <v>unknown</v>
      </c>
      <c r="X23" s="5" t="str">
        <f ca="1">VLOOKUP(W23,[1]character_tribe_i18n!$A:$H,3,FALSE)</f>
        <v>Unknown</v>
      </c>
      <c r="Y23" s="57" t="str">
        <f ca="1">VLOOKUP($A23,OFFSET([1]characters!$A$1,0,0,COUNTA([1]characters!$A:$A),MATCH(Y$1,[1]characters!$1:$1,0)-MATCH($A$1,[1]characters!$1:$1,0)+1),MATCH(Y$1,[1]characters!$1:$1,0)-MATCH($A$1,[1]characters!$1:$1,0)+1,FALSE)</f>
        <v>none</v>
      </c>
      <c r="Z23" s="5" t="str">
        <f ca="1">VLOOKUP(Y23,[1]character_tribe_i18n!$A:$H,3,FALSE)</f>
        <v>種族なし</v>
      </c>
      <c r="AA23" s="11">
        <f ca="1">VLOOKUP(W23,[1]character_tribe_i18n!$A:$H,4,FALSE)</f>
        <v>1</v>
      </c>
      <c r="AB23" s="11">
        <f ca="1">VLOOKUP(W23,[1]character_tribe_i18n!$A:$H,5,FALSE)</f>
        <v>1</v>
      </c>
      <c r="AC23" s="11">
        <f ca="1">VLOOKUP(W23,[1]character_tribe_i18n!$A:$H,6,FALSE)</f>
        <v>1</v>
      </c>
      <c r="AD23" s="11">
        <f ca="1">VLOOKUP(W23,[1]character_tribe_i18n!$A:$H,7,FALSE)</f>
        <v>1</v>
      </c>
      <c r="AE23" s="9" t="s">
        <v>178</v>
      </c>
      <c r="AF23" s="62" t="str">
        <f ca="1">IF(AE23="NULL","",VLOOKUP($AE23,OFFSET([1]characters!$A$1,0,0,COUNTA([1]characters!$A:$A),MATCH(AF$1,[1]characters!$1:$1,0)-MATCH($A$1,[1]characters!$1:$1,0)+1),MATCH(AF$1,[1]characters!$1:$1,0)-MATCH($A$1,[1]characters!$1:$1,0)+1,FALSE))</f>
        <v/>
      </c>
      <c r="AG23" s="5">
        <f t="shared" ca="1" si="1"/>
        <v>545</v>
      </c>
      <c r="AH23" s="62" t="str">
        <f ca="1">VLOOKUP($AG23,OFFSET([1]characters!$A$1,0,0,COUNTA([1]characters!$A:$A),MATCH(AH$1,[1]characters!$1:$1,0)-MATCH($A$1,[1]characters!$1:$1,0)+1),MATCH(AH$1,[1]characters!$1:$1,0)-MATCH($A$1,[1]characters!$1:$1,0)+1,FALSE)</f>
        <v>鏡音レン</v>
      </c>
      <c r="AI23" s="11" t="str">
        <f>IF(AE23="NULL","NULL",VLOOKUP(G23,ビット!$A$2:$B$7,2))</f>
        <v>NULL</v>
      </c>
      <c r="AJ23" s="6">
        <v>2</v>
      </c>
      <c r="AK23" s="7" t="str">
        <f t="shared" ref="AK23:AK30" si="18">IF(AJ23=1,"早熟",IF(AJ23=2,"普通",IF(AJ23=3,"晩成","")))</f>
        <v>普通</v>
      </c>
      <c r="AL23" s="11" t="str">
        <f ca="1">INDEX(経験値!$A$1:$I$21,MATCH(H23,経験値!$A$1:$A$21,FALSE),MATCH(G23,経験値!$A$1:$I$1,FALSE))</f>
        <v>required_exp_200</v>
      </c>
      <c r="AM23" s="8">
        <f ca="1">VLOOKUP(G23,経験値!$A$28:$B$32,2)</f>
        <v>6400</v>
      </c>
      <c r="AN23" s="17">
        <f ca="1">VLOOKUP(G23,ビット!$G$2:$H$7,2)</f>
        <v>900</v>
      </c>
      <c r="AO23" s="45"/>
      <c r="AP23" s="67">
        <f t="shared" si="8"/>
        <v>546</v>
      </c>
      <c r="AQ23" s="57" t="str">
        <f ca="1">VLOOKUP($AP23,OFFSET(unit_skills!$A$1,0,0,COUNTA(unit_skills!$A:$A),MATCH(AQ$1,unit_skills!$1:$1,0)-MATCH($AP$1,unit_skills!$1:$1,0)+1),MATCH(AQ$1,unit_skills!$1:$1,0)-MATCH($AP$1,unit_skills!$1:$1,0)+1,FALSE)</f>
        <v>ボイスユニゾン・ダブルフラット</v>
      </c>
      <c r="AR23" s="57" t="str">
        <f ca="1">VLOOKUP($AP23,OFFSET(unit_skills!$A$1,0,0,COUNTA(unit_skills!$A:$A),MATCH(AR$1,unit_skills!$1:$1,0)-MATCH($AP$1,unit_skills!$1:$1,0)+1),MATCH(AR$1,unit_skills!$1:$1,0)-MATCH($AP$1,unit_skills!$1:$1,0)+1,FALSE)</f>
        <v>HP大回復＋3ターンの間回復パネルの出現率大UP＋ハート無効状態を解除する</v>
      </c>
      <c r="AS23" s="57">
        <f ca="1">VLOOKUP($AP23,OFFSET(unit_skills!$A$1,0,0,COUNTA(unit_skills!$A:$A),MATCH(AS$1,unit_skills!$1:$1,0)-MATCH($AP$1,unit_skills!$1:$1,0)+1),MATCH(AS$1,unit_skills!$1:$1,0)-MATCH($AP$1,unit_skills!$1:$1,0)+1,FALSE)</f>
        <v>0</v>
      </c>
      <c r="AT23" s="41">
        <f t="shared" si="9"/>
        <v>546</v>
      </c>
      <c r="AU23" s="57" t="str">
        <f ca="1">VLOOKUP($AT23,OFFSET(crash_skills!$A$1,0,0,COUNTA(crash_skills!$A:$A),MATCH(AU$1,crash_skills!$1:$1,0)-MATCH($AT$1,crash_skills!$1:$1,0)+1),MATCH(AU$1,crash_skills!$1:$1,0)-MATCH($AT$1,crash_skills!$1:$1,0)+1,FALSE)</f>
        <v>セカンド・ダンシング</v>
      </c>
      <c r="AV23" s="57" t="str">
        <f ca="1">VLOOKUP($AT23,OFFSET(crash_skills!$A$1,0,0,COUNTA(crash_skills!$A:$A),MATCH(AV$1,crash_skills!$1:$1,0)-MATCH($AT$1,crash_skills!$1:$1,0)+1),MATCH(AV$1,crash_skills!$1:$1,0)-MATCH($AT$1,crash_skills!$1:$1,0)+1,FALSE)</f>
        <v>Unknownに効果特大の_x000D_単体ダメージ+HP大回復</v>
      </c>
      <c r="AW23" s="57">
        <f ca="1">VLOOKUP($AT23,OFFSET(crash_skills!$A$1,0,0,COUNTA(crash_skills!$A:$A),MATCH(AW$1,crash_skills!$1:$1,0)-MATCH($AT$1,crash_skills!$1:$1,0)+1),MATCH(AW$1,crash_skills!$1:$1,0)-MATCH($AT$1,crash_skills!$1:$1,0)+1,FALSE)</f>
        <v>0</v>
      </c>
      <c r="AX23" s="58">
        <f ca="1">VLOOKUP($A23,OFFSET([1]characters!$A$1,0,0,COUNTA([1]characters!$A:$A),MATCH(AX$1,[1]characters!$1:$1,0)-MATCH($A$1,[1]characters!$1:$1,0)+1),MATCH(AX$1,[1]characters!$1:$1,0)-MATCH($A$1,[1]characters!$1:$1,0)+1,FALSE)</f>
        <v>3</v>
      </c>
      <c r="AY23" s="68">
        <v>1</v>
      </c>
      <c r="AZ23" s="68">
        <v>1</v>
      </c>
      <c r="BA23" s="68">
        <v>0</v>
      </c>
      <c r="BB23" s="68">
        <v>1.05</v>
      </c>
      <c r="BC23" s="11">
        <f ca="1">INDEX('RC6SV'!$A$1:$G$21,MATCH(H23,'RC6SV'!$A$1:$A$21,FALSE),MATCH(G23,'RC6SV'!$A$1:$G$1,FALSE))</f>
        <v>9500</v>
      </c>
      <c r="BD23" s="48">
        <f t="shared" ref="BD23:BD30" ca="1" si="19">ROUND(BC23*IF(AJ23=1,0.95,IF(AJ23=2,1,IF(AJ23,1.05,0))),0)</f>
        <v>9500</v>
      </c>
      <c r="BE23" s="11">
        <f t="shared" ca="1" si="4"/>
        <v>7500</v>
      </c>
      <c r="BF23" s="11">
        <f t="shared" ca="1" si="5"/>
        <v>1</v>
      </c>
      <c r="BG23" s="16">
        <f ca="1">IF($BE23&lt;=0,ROUND(BK23*0.5,0), ROUND($BE23*S23*AA23*J23*AY23*0.8*[1]ステータス!$B$2,0))</f>
        <v>2352</v>
      </c>
      <c r="BH23" s="16">
        <f ca="1">IF($BE23&lt;=0,ROUND(BL23*0.5,0), ROUND($BE23*T23*AB23*K23*AZ23*0.8*[1]ステータス!$C$2,0))</f>
        <v>1418</v>
      </c>
      <c r="BI23" s="16">
        <f ca="1">IF($BE23&lt;=0,ROUND(BM23*0.5,0), ROUND($BE23*U23*AC23*L23*BA23*0.8*[1]ステータス!$D$2,0))</f>
        <v>0</v>
      </c>
      <c r="BJ23" s="16">
        <f ca="1">IF($BE23&lt;=0,ROUND(BN23*0.5,0), ROUND($BE23*V23*AD23*M23*BB23*0.8*[1]ステータス!$E$2,0))</f>
        <v>2259</v>
      </c>
      <c r="BK23" s="11">
        <f ca="1">ROUND(BD23*S23*AA23*J23*AY23*[1]ステータス!$B$2,0)</f>
        <v>3724</v>
      </c>
      <c r="BL23" s="11">
        <f ca="1">ROUND(BD23*T23*AB23*K23*AZ23*[1]ステータス!$C$2,0)</f>
        <v>2245</v>
      </c>
      <c r="BM23" s="11">
        <f ca="1">ROUND(BD23*U23*AC23*L23*BA23*[1]ステータス!$D$2,0)</f>
        <v>0</v>
      </c>
      <c r="BN23" s="11">
        <f ca="1">ROUND(BD23*V23*AD23*M23*BB23*[1]ステータス!$E$2,0)</f>
        <v>3577</v>
      </c>
      <c r="BO23" s="10">
        <v>0</v>
      </c>
      <c r="BP23" s="10">
        <v>1</v>
      </c>
      <c r="BQ23" s="10" t="s">
        <v>47</v>
      </c>
      <c r="BR23" s="178">
        <v>1100</v>
      </c>
    </row>
    <row r="24" spans="1:70" ht="21" customHeight="1" x14ac:dyDescent="0.15">
      <c r="A24" s="134">
        <v>547</v>
      </c>
      <c r="B24" s="57" t="str">
        <f ca="1">VLOOKUP($A24,OFFSET([1]characters!$A$1,0,0,COUNTA([1]characters!$A:$A),MATCH(B$1,[1]characters!$1:$1,0)-MATCH($A$1,[1]characters!$1:$1,0)+1),MATCH(B$1,[1]characters!$1:$1,0)-MATCH($A$1,[1]characters!$1:$1,0)+1,FALSE)</f>
        <v>巡音ルカ</v>
      </c>
      <c r="C24" s="57" t="str">
        <f ca="1">VLOOKUP($A24,OFFSET([1]characters!$A$1,0,0,COUNTA([1]characters!$A:$A),MATCH(C$1,[1]characters!$1:$1,0)-MATCH($A$1,[1]characters!$1:$1,0)+1),MATCH(C$1,[1]characters!$1:$1,0)-MATCH($A$1,[1]characters!$1:$1,0)+1,FALSE)</f>
        <v>ガチャ:ミクコラボ01</v>
      </c>
      <c r="D24" s="57" t="str">
        <f ca="1">VLOOKUP($A24,OFFSET([1]characters!$A$1,0,0,COUNTA([1]characters!$A:$A),MATCH(D$1,[1]characters!$1:$1,0)-MATCH($A$1,[1]characters!$1:$1,0)+1),MATCH(D$1,[1]characters!$1:$1,0)-MATCH($A$1,[1]characters!$1:$1,0)+1,FALSE)</f>
        <v>執行者</v>
      </c>
      <c r="E24" s="57" t="str">
        <f ca="1">VLOOKUP($A24,OFFSET([1]characters!$A$1,0,0,COUNTA([1]characters!$A:$A),MATCH(E$1,[1]characters!$1:$1,0)-MATCH($A$1,[1]characters!$1:$1,0)+1),MATCH(E$1,[1]characters!$1:$1,0)-MATCH($A$1,[1]characters!$1:$1,0)+1,FALSE)</f>
        <v>格好いい</v>
      </c>
      <c r="F24" s="57" t="str">
        <f ca="1">VLOOKUP($A24,OFFSET([1]characters!$A$1,0,0,COUNTA([1]characters!$A:$A),MATCH(F$1,[1]characters!$1:$1,0)-MATCH($A$1,[1]characters!$1:$1,0)+1),MATCH(F$1,[1]characters!$1:$1,0)-MATCH($A$1,[1]characters!$1:$1,0)+1,FALSE)</f>
        <v>女性</v>
      </c>
      <c r="G24" s="57">
        <f ca="1">VLOOKUP($A24,OFFSET([1]characters!$A$1,0,0,COUNTA([1]characters!$A:$A),MATCH(G$1,[1]characters!$1:$1,0)-MATCH($A$1,[1]characters!$1:$1,0)+1),MATCH(G$1,[1]characters!$1:$1,0)-MATCH($A$1,[1]characters!$1:$1,0)+1,FALSE)</f>
        <v>3</v>
      </c>
      <c r="H24" s="57" t="str">
        <f ca="1">VLOOKUP($A24,OFFSET([1]characters!$A$1,0,0,COUNTA([1]characters!$A:$A),MATCH(H$1,[1]characters!$1:$1,0)-MATCH($A$1,[1]characters!$1:$1,0)+1),MATCH(H$1,[1]characters!$1:$1,0)-MATCH($A$1,[1]characters!$1:$1,0)+1,FALSE)</f>
        <v>PremiumS</v>
      </c>
      <c r="I24" s="57" t="str">
        <f ca="1">VLOOKUP($A24,OFFSET([1]characters!$A$1,0,0,COUNTA([1]characters!$A:$A),MATCH(I$1,[1]characters!$1:$1,0)-MATCH($A$1,[1]characters!$1:$1,0)+1),MATCH(I$1,[1]characters!$1:$1,0)-MATCH($A$1,[1]characters!$1:$1,0)+1,FALSE)</f>
        <v>red</v>
      </c>
      <c r="J24" s="11">
        <f ca="1">VLOOKUP(I24,[1]属性!$A:$E,2,FALSE)</f>
        <v>1</v>
      </c>
      <c r="K24" s="11">
        <f ca="1">VLOOKUP(I24,[1]属性!$A:$E,3,FALSE)</f>
        <v>1.02</v>
      </c>
      <c r="L24" s="11">
        <f ca="1">VLOOKUP(I24,[1]属性!$A:$E,4,FALSE)</f>
        <v>1</v>
      </c>
      <c r="M24" s="11">
        <f ca="1">VLOOKUP(I24,[1]属性!$A:$E,5,FALSE)</f>
        <v>0.98</v>
      </c>
      <c r="N24" s="11">
        <f ca="1">INDEX(コスト!$A$1:$I$21,MATCH(H24,コスト!$A$1:$A$21,FALSE),MATCH(G24,コスト!$A$1:$I$1,FALSE))</f>
        <v>10</v>
      </c>
      <c r="O24" s="11">
        <f ca="1">INDEX(レベル!$A$1:$I$21,MATCH(H24,レベル!$A$1:$A$21,FALSE),MATCH(G24,レベル!$A$1:$I$1,FALSE))</f>
        <v>40</v>
      </c>
      <c r="P24" s="48">
        <f t="shared" ca="1" si="17"/>
        <v>45</v>
      </c>
      <c r="Q24" s="57" t="str">
        <f ca="1">VLOOKUP($A24,OFFSET([1]characters!$A$1,0,0,COUNTA([1]characters!$A:$A),MATCH(Q$1,[1]characters!$1:$1,0)-MATCH($A$1,[1]characters!$1:$1,0)+1),MATCH(Q$1,[1]characters!$1:$1,0)-MATCH($A$1,[1]characters!$1:$1,0)+1,FALSE)</f>
        <v>attack</v>
      </c>
      <c r="R24" s="5" t="str">
        <f ca="1">VLOOKUP(Q24,[1]character_type_i18n!$A:$H,3,FALSE)</f>
        <v>攻撃タイプ</v>
      </c>
      <c r="S24" s="11">
        <f ca="1">VLOOKUP(Q24,[1]character_type_i18n!$A:$H,4,FALSE)</f>
        <v>1</v>
      </c>
      <c r="T24" s="11">
        <f ca="1">VLOOKUP(Q24,[1]character_type_i18n!$A:$H,5,FALSE)</f>
        <v>1.33</v>
      </c>
      <c r="U24" s="11">
        <f ca="1">VLOOKUP(Q24,[1]character_type_i18n!$A:$H,6,FALSE)</f>
        <v>1</v>
      </c>
      <c r="V24" s="11">
        <f ca="1">VLOOKUP(Q24,[1]character_type_i18n!$A:$H,7,FALSE)</f>
        <v>0.67</v>
      </c>
      <c r="W24" s="57" t="str">
        <f ca="1">VLOOKUP($A24,OFFSET([1]characters!$A$1,0,0,COUNTA([1]characters!$A:$A),MATCH(W$1,[1]characters!$1:$1,0)-MATCH($A$1,[1]characters!$1:$1,0)+1),MATCH(W$1,[1]characters!$1:$1,0)-MATCH($A$1,[1]characters!$1:$1,0)+1,FALSE)</f>
        <v>unknown</v>
      </c>
      <c r="X24" s="5" t="str">
        <f ca="1">VLOOKUP(W24,[1]character_tribe_i18n!$A:$H,3,FALSE)</f>
        <v>Unknown</v>
      </c>
      <c r="Y24" s="57" t="str">
        <f ca="1">VLOOKUP($A24,OFFSET([1]characters!$A$1,0,0,COUNTA([1]characters!$A:$A),MATCH(Y$1,[1]characters!$1:$1,0)-MATCH($A$1,[1]characters!$1:$1,0)+1),MATCH(Y$1,[1]characters!$1:$1,0)-MATCH($A$1,[1]characters!$1:$1,0)+1,FALSE)</f>
        <v>none</v>
      </c>
      <c r="Z24" s="5" t="str">
        <f ca="1">VLOOKUP(Y24,[1]character_tribe_i18n!$A:$H,3,FALSE)</f>
        <v>種族なし</v>
      </c>
      <c r="AA24" s="11">
        <f ca="1">VLOOKUP(W24,[1]character_tribe_i18n!$A:$H,4,FALSE)</f>
        <v>1</v>
      </c>
      <c r="AB24" s="11">
        <f ca="1">VLOOKUP(W24,[1]character_tribe_i18n!$A:$H,5,FALSE)</f>
        <v>1</v>
      </c>
      <c r="AC24" s="11">
        <f ca="1">VLOOKUP(W24,[1]character_tribe_i18n!$A:$H,6,FALSE)</f>
        <v>1</v>
      </c>
      <c r="AD24" s="11">
        <f ca="1">VLOOKUP(W24,[1]character_tribe_i18n!$A:$H,7,FALSE)</f>
        <v>1</v>
      </c>
      <c r="AE24" s="9">
        <f t="shared" ref="AE24" si="20">A25</f>
        <v>548</v>
      </c>
      <c r="AF24" s="62" t="str">
        <f ca="1">IF(AE24="NULL","",VLOOKUP($AE24,OFFSET([1]characters!$A$1,0,0,COUNTA([1]characters!$A:$A),MATCH(AF$1,[1]characters!$1:$1,0)-MATCH($A$1,[1]characters!$1:$1,0)+1),MATCH(AF$1,[1]characters!$1:$1,0)-MATCH($A$1,[1]characters!$1:$1,0)+1,FALSE))</f>
        <v>乱舞の音環 巡音ルカ</v>
      </c>
      <c r="AG24" s="5">
        <f t="shared" ca="1" si="1"/>
        <v>547</v>
      </c>
      <c r="AH24" s="62" t="str">
        <f ca="1">VLOOKUP($AG24,OFFSET([1]characters!$A$1,0,0,COUNTA([1]characters!$A:$A),MATCH(AH$1,[1]characters!$1:$1,0)-MATCH($A$1,[1]characters!$1:$1,0)+1),MATCH(AH$1,[1]characters!$1:$1,0)-MATCH($A$1,[1]characters!$1:$1,0)+1,FALSE)</f>
        <v>巡音ルカ</v>
      </c>
      <c r="AI24" s="11">
        <f ca="1">IF(AE24="NULL","NULL",VLOOKUP(G24,ビット!$A$2:$B$7,2))</f>
        <v>20000</v>
      </c>
      <c r="AJ24" s="6">
        <v>2</v>
      </c>
      <c r="AK24" s="7" t="str">
        <f t="shared" si="18"/>
        <v>普通</v>
      </c>
      <c r="AL24" s="11" t="str">
        <f ca="1">INDEX(経験値!$A$1:$I$21,MATCH(H24,経験値!$A$1:$A$21,FALSE),MATCH(G24,経験値!$A$1:$I$1,FALSE))</f>
        <v>required_exp_200</v>
      </c>
      <c r="AM24" s="8">
        <f ca="1">VLOOKUP(G24,経験値!$A$28:$B$32,2)</f>
        <v>1500</v>
      </c>
      <c r="AN24" s="17">
        <f ca="1">VLOOKUP(G24,ビット!$G$2:$H$7,2)</f>
        <v>300</v>
      </c>
      <c r="AO24" s="45"/>
      <c r="AP24" s="67">
        <f t="shared" si="8"/>
        <v>547</v>
      </c>
      <c r="AQ24" s="57" t="str">
        <f ca="1">VLOOKUP($AP24,OFFSET(unit_skills!$A$1,0,0,COUNTA(unit_skills!$A:$A),MATCH(AQ$1,unit_skills!$1:$1,0)-MATCH($AP$1,unit_skills!$1:$1,0)+1),MATCH(AQ$1,unit_skills!$1:$1,0)-MATCH($AP$1,unit_skills!$1:$1,0)+1,FALSE)</f>
        <v>オーバーサウンド・バイリンガル</v>
      </c>
      <c r="AR24" s="57" t="str">
        <f ca="1">VLOOKUP($AP24,OFFSET(unit_skills!$A$1,0,0,COUNTA(unit_skills!$A:$A),MATCH(AR$1,unit_skills!$1:$1,0)-MATCH($AP$1,unit_skills!$1:$1,0)+1),MATCH(AR$1,unit_skills!$1:$1,0)-MATCH($AP$1,unit_skills!$1:$1,0)+1,FALSE)</f>
        <v>単体に赤属性の特大ダメージ</v>
      </c>
      <c r="AS24" s="57">
        <f ca="1">VLOOKUP($AP24,OFFSET(unit_skills!$A$1,0,0,COUNTA(unit_skills!$A:$A),MATCH(AS$1,unit_skills!$1:$1,0)-MATCH($AP$1,unit_skills!$1:$1,0)+1),MATCH(AS$1,unit_skills!$1:$1,0)-MATCH($AP$1,unit_skills!$1:$1,0)+1,FALSE)</f>
        <v>0</v>
      </c>
      <c r="AT24" s="41">
        <f t="shared" si="9"/>
        <v>547</v>
      </c>
      <c r="AU24" s="57" t="str">
        <f ca="1">VLOOKUP($AT24,OFFSET(crash_skills!$A$1,0,0,COUNTA(crash_skills!$A:$A),MATCH(AU$1,crash_skills!$1:$1,0)-MATCH($AT$1,crash_skills!$1:$1,0)+1),MATCH(AU$1,crash_skills!$1:$1,0)-MATCH($AT$1,crash_skills!$1:$1,0)+1,FALSE)</f>
        <v>サード・ジャジー</v>
      </c>
      <c r="AV24" s="57" t="str">
        <f ca="1">VLOOKUP($AT24,OFFSET(crash_skills!$A$1,0,0,COUNTA(crash_skills!$A:$A),MATCH(AV$1,crash_skills!$1:$1,0)-MATCH($AT$1,crash_skills!$1:$1,0)+1),MATCH(AV$1,crash_skills!$1:$1,0)-MATCH($AT$1,crash_skills!$1:$1,0)+1,FALSE)</f>
        <v>1体に大ダメージ</v>
      </c>
      <c r="AW24" s="57">
        <f ca="1">VLOOKUP($AT24,OFFSET(crash_skills!$A$1,0,0,COUNTA(crash_skills!$A:$A),MATCH(AW$1,crash_skills!$1:$1,0)-MATCH($AT$1,crash_skills!$1:$1,0)+1),MATCH(AW$1,crash_skills!$1:$1,0)-MATCH($AT$1,crash_skills!$1:$1,0)+1,FALSE)</f>
        <v>0</v>
      </c>
      <c r="AX24" s="58">
        <f ca="1">VLOOKUP($A24,OFFSET([1]characters!$A$1,0,0,COUNTA([1]characters!$A:$A),MATCH(AX$1,[1]characters!$1:$1,0)-MATCH($A$1,[1]characters!$1:$1,0)+1),MATCH(AX$1,[1]characters!$1:$1,0)-MATCH($A$1,[1]characters!$1:$1,0)+1,FALSE)</f>
        <v>3</v>
      </c>
      <c r="AY24" s="68">
        <v>1</v>
      </c>
      <c r="AZ24" s="68">
        <v>1</v>
      </c>
      <c r="BA24" s="68">
        <v>0</v>
      </c>
      <c r="BB24" s="68">
        <v>1</v>
      </c>
      <c r="BC24" s="11">
        <f ca="1">INDEX('RC6SV'!$A$1:$G$21,MATCH(H24,'RC6SV'!$A$1:$A$21,FALSE),MATCH(G24,'RC6SV'!$A$1:$G$1,FALSE))</f>
        <v>5000</v>
      </c>
      <c r="BD24" s="48">
        <f t="shared" ca="1" si="19"/>
        <v>5000</v>
      </c>
      <c r="BE24" s="11">
        <f t="shared" ca="1" si="4"/>
        <v>0</v>
      </c>
      <c r="BF24" s="11">
        <f t="shared" ca="1" si="5"/>
        <v>1</v>
      </c>
      <c r="BG24" s="16">
        <f ca="1">IF($BE24&lt;=0,ROUND(BK24*0.5,0), ROUND($BE24*S24*AA24*J24*AY24*0.8*[1]ステータス!$B$2,0))</f>
        <v>1250</v>
      </c>
      <c r="BH24" s="16">
        <f ca="1">IF($BE24&lt;=0,ROUND(BL24*0.5,0), ROUND($BE24*T24*AB24*K24*AZ24*0.8*[1]ステータス!$C$2,0))</f>
        <v>1018</v>
      </c>
      <c r="BI24" s="16">
        <f ca="1">IF($BE24&lt;=0,ROUND(BM24*0.5,0), ROUND($BE24*U24*AC24*L24*BA24*0.8*[1]ステータス!$D$2,0))</f>
        <v>0</v>
      </c>
      <c r="BJ24" s="16">
        <f ca="1">IF($BE24&lt;=0,ROUND(BN24*0.5,0), ROUND($BE24*V24*AD24*M24*BB24*0.8*[1]ステータス!$E$2,0))</f>
        <v>411</v>
      </c>
      <c r="BK24" s="11">
        <f ca="1">ROUND(BD24*S24*AA24*J24*AY24*[1]ステータス!$B$2,0)</f>
        <v>2500</v>
      </c>
      <c r="BL24" s="11">
        <f ca="1">ROUND(BD24*T24*AB24*K24*AZ24*[1]ステータス!$C$2,0)</f>
        <v>2035</v>
      </c>
      <c r="BM24" s="11">
        <f ca="1">ROUND(BD24*U24*AC24*L24*BA24*[1]ステータス!$D$2,0)</f>
        <v>0</v>
      </c>
      <c r="BN24" s="11">
        <f ca="1">ROUND(BD24*V24*AD24*M24*BB24*[1]ステータス!$E$2,0)</f>
        <v>821</v>
      </c>
      <c r="BO24" s="10">
        <v>0</v>
      </c>
      <c r="BP24" s="10">
        <v>1</v>
      </c>
      <c r="BQ24" s="10" t="s">
        <v>47</v>
      </c>
      <c r="BR24" s="178">
        <v>140</v>
      </c>
    </row>
    <row r="25" spans="1:70" ht="21" customHeight="1" x14ac:dyDescent="0.15">
      <c r="A25" s="134">
        <v>548</v>
      </c>
      <c r="B25" s="57" t="str">
        <f ca="1">VLOOKUP($A25,OFFSET([1]characters!$A$1,0,0,COUNTA([1]characters!$A:$A),MATCH(B$1,[1]characters!$1:$1,0)-MATCH($A$1,[1]characters!$1:$1,0)+1),MATCH(B$1,[1]characters!$1:$1,0)-MATCH($A$1,[1]characters!$1:$1,0)+1,FALSE)</f>
        <v>乱舞の音環 巡音ルカ</v>
      </c>
      <c r="C25" s="57" t="str">
        <f ca="1">VLOOKUP($A25,OFFSET([1]characters!$A$1,0,0,COUNTA([1]characters!$A:$A),MATCH(C$1,[1]characters!$1:$1,0)-MATCH($A$1,[1]characters!$1:$1,0)+1),MATCH(C$1,[1]characters!$1:$1,0)-MATCH($A$1,[1]characters!$1:$1,0)+1,FALSE)</f>
        <v>ガチャ:ミクコラボ01</v>
      </c>
      <c r="D25" s="57" t="str">
        <f ca="1">VLOOKUP($A25,OFFSET([1]characters!$A$1,0,0,COUNTA([1]characters!$A:$A),MATCH(D$1,[1]characters!$1:$1,0)-MATCH($A$1,[1]characters!$1:$1,0)+1),MATCH(D$1,[1]characters!$1:$1,0)-MATCH($A$1,[1]characters!$1:$1,0)+1,FALSE)</f>
        <v>執行者</v>
      </c>
      <c r="E25" s="57" t="str">
        <f ca="1">VLOOKUP($A25,OFFSET([1]characters!$A$1,0,0,COUNTA([1]characters!$A:$A),MATCH(E$1,[1]characters!$1:$1,0)-MATCH($A$1,[1]characters!$1:$1,0)+1),MATCH(E$1,[1]characters!$1:$1,0)-MATCH($A$1,[1]characters!$1:$1,0)+1,FALSE)</f>
        <v>格好いい</v>
      </c>
      <c r="F25" s="57" t="str">
        <f ca="1">VLOOKUP($A25,OFFSET([1]characters!$A$1,0,0,COUNTA([1]characters!$A:$A),MATCH(F$1,[1]characters!$1:$1,0)-MATCH($A$1,[1]characters!$1:$1,0)+1),MATCH(F$1,[1]characters!$1:$1,0)-MATCH($A$1,[1]characters!$1:$1,0)+1,FALSE)</f>
        <v>女性</v>
      </c>
      <c r="G25" s="57">
        <f ca="1">VLOOKUP($A25,OFFSET([1]characters!$A$1,0,0,COUNTA([1]characters!$A:$A),MATCH(G$1,[1]characters!$1:$1,0)-MATCH($A$1,[1]characters!$1:$1,0)+1),MATCH(G$1,[1]characters!$1:$1,0)-MATCH($A$1,[1]characters!$1:$1,0)+1,FALSE)</f>
        <v>4</v>
      </c>
      <c r="H25" s="57" t="str">
        <f ca="1">VLOOKUP($A25,OFFSET([1]characters!$A$1,0,0,COUNTA([1]characters!$A:$A),MATCH(H$1,[1]characters!$1:$1,0)-MATCH($A$1,[1]characters!$1:$1,0)+1),MATCH(H$1,[1]characters!$1:$1,0)-MATCH($A$1,[1]characters!$1:$1,0)+1,FALSE)</f>
        <v>PremiumS</v>
      </c>
      <c r="I25" s="57" t="str">
        <f ca="1">VLOOKUP($A25,OFFSET([1]characters!$A$1,0,0,COUNTA([1]characters!$A:$A),MATCH(I$1,[1]characters!$1:$1,0)-MATCH($A$1,[1]characters!$1:$1,0)+1),MATCH(I$1,[1]characters!$1:$1,0)-MATCH($A$1,[1]characters!$1:$1,0)+1,FALSE)</f>
        <v>red</v>
      </c>
      <c r="J25" s="11">
        <f ca="1">VLOOKUP(I25,[1]属性!$A:$E,2,FALSE)</f>
        <v>1</v>
      </c>
      <c r="K25" s="11">
        <f ca="1">VLOOKUP(I25,[1]属性!$A:$E,3,FALSE)</f>
        <v>1.02</v>
      </c>
      <c r="L25" s="11">
        <f ca="1">VLOOKUP(I25,[1]属性!$A:$E,4,FALSE)</f>
        <v>1</v>
      </c>
      <c r="M25" s="11">
        <f ca="1">VLOOKUP(I25,[1]属性!$A:$E,5,FALSE)</f>
        <v>0.98</v>
      </c>
      <c r="N25" s="11">
        <f ca="1">INDEX(コスト!$A$1:$I$21,MATCH(H25,コスト!$A$1:$A$21,FALSE),MATCH(G25,コスト!$A$1:$I$1,FALSE))</f>
        <v>20</v>
      </c>
      <c r="O25" s="11">
        <f ca="1">INDEX(レベル!$A$1:$I$21,MATCH(H25,レベル!$A$1:$A$21,FALSE),MATCH(G25,レベル!$A$1:$I$1,FALSE))</f>
        <v>60</v>
      </c>
      <c r="P25" s="48">
        <f t="shared" ca="1" si="17"/>
        <v>60</v>
      </c>
      <c r="Q25" s="57" t="str">
        <f ca="1">VLOOKUP($A25,OFFSET([1]characters!$A$1,0,0,COUNTA([1]characters!$A:$A),MATCH(Q$1,[1]characters!$1:$1,0)-MATCH($A$1,[1]characters!$1:$1,0)+1),MATCH(Q$1,[1]characters!$1:$1,0)-MATCH($A$1,[1]characters!$1:$1,0)+1,FALSE)</f>
        <v>attack</v>
      </c>
      <c r="R25" s="5" t="str">
        <f ca="1">VLOOKUP(Q25,[1]character_type_i18n!$A:$H,3,FALSE)</f>
        <v>攻撃タイプ</v>
      </c>
      <c r="S25" s="11">
        <f ca="1">VLOOKUP(Q25,[1]character_type_i18n!$A:$H,4,FALSE)</f>
        <v>1</v>
      </c>
      <c r="T25" s="11">
        <f ca="1">VLOOKUP(Q25,[1]character_type_i18n!$A:$H,5,FALSE)</f>
        <v>1.33</v>
      </c>
      <c r="U25" s="11">
        <f ca="1">VLOOKUP(Q25,[1]character_type_i18n!$A:$H,6,FALSE)</f>
        <v>1</v>
      </c>
      <c r="V25" s="11">
        <f ca="1">VLOOKUP(Q25,[1]character_type_i18n!$A:$H,7,FALSE)</f>
        <v>0.67</v>
      </c>
      <c r="W25" s="57" t="str">
        <f ca="1">VLOOKUP($A25,OFFSET([1]characters!$A$1,0,0,COUNTA([1]characters!$A:$A),MATCH(W$1,[1]characters!$1:$1,0)-MATCH($A$1,[1]characters!$1:$1,0)+1),MATCH(W$1,[1]characters!$1:$1,0)-MATCH($A$1,[1]characters!$1:$1,0)+1,FALSE)</f>
        <v>unknown</v>
      </c>
      <c r="X25" s="5" t="str">
        <f ca="1">VLOOKUP(W25,[1]character_tribe_i18n!$A:$H,3,FALSE)</f>
        <v>Unknown</v>
      </c>
      <c r="Y25" s="57" t="str">
        <f ca="1">VLOOKUP($A25,OFFSET([1]characters!$A$1,0,0,COUNTA([1]characters!$A:$A),MATCH(Y$1,[1]characters!$1:$1,0)-MATCH($A$1,[1]characters!$1:$1,0)+1),MATCH(Y$1,[1]characters!$1:$1,0)-MATCH($A$1,[1]characters!$1:$1,0)+1,FALSE)</f>
        <v>none</v>
      </c>
      <c r="Z25" s="5" t="str">
        <f ca="1">VLOOKUP(Y25,[1]character_tribe_i18n!$A:$H,3,FALSE)</f>
        <v>種族なし</v>
      </c>
      <c r="AA25" s="11">
        <f ca="1">VLOOKUP(W25,[1]character_tribe_i18n!$A:$H,4,FALSE)</f>
        <v>1</v>
      </c>
      <c r="AB25" s="11">
        <f ca="1">VLOOKUP(W25,[1]character_tribe_i18n!$A:$H,5,FALSE)</f>
        <v>1</v>
      </c>
      <c r="AC25" s="11">
        <f ca="1">VLOOKUP(W25,[1]character_tribe_i18n!$A:$H,6,FALSE)</f>
        <v>1</v>
      </c>
      <c r="AD25" s="11">
        <f ca="1">VLOOKUP(W25,[1]character_tribe_i18n!$A:$H,7,FALSE)</f>
        <v>1</v>
      </c>
      <c r="AE25" s="9" t="s">
        <v>178</v>
      </c>
      <c r="AF25" s="62" t="str">
        <f ca="1">IF(AE25="NULL","",VLOOKUP($AE25,OFFSET([1]characters!$A$1,0,0,COUNTA([1]characters!$A:$A),MATCH(AF$1,[1]characters!$1:$1,0)-MATCH($A$1,[1]characters!$1:$1,0)+1),MATCH(AF$1,[1]characters!$1:$1,0)-MATCH($A$1,[1]characters!$1:$1,0)+1,FALSE))</f>
        <v/>
      </c>
      <c r="AG25" s="5">
        <f t="shared" ca="1" si="1"/>
        <v>547</v>
      </c>
      <c r="AH25" s="62" t="str">
        <f ca="1">VLOOKUP($AG25,OFFSET([1]characters!$A$1,0,0,COUNTA([1]characters!$A:$A),MATCH(AH$1,[1]characters!$1:$1,0)-MATCH($A$1,[1]characters!$1:$1,0)+1),MATCH(AH$1,[1]characters!$1:$1,0)-MATCH($A$1,[1]characters!$1:$1,0)+1,FALSE)</f>
        <v>巡音ルカ</v>
      </c>
      <c r="AI25" s="11" t="str">
        <f>IF(AE25="NULL","NULL",VLOOKUP(G25,ビット!$A$2:$B$7,2))</f>
        <v>NULL</v>
      </c>
      <c r="AJ25" s="6">
        <v>2</v>
      </c>
      <c r="AK25" s="7" t="str">
        <f t="shared" si="18"/>
        <v>普通</v>
      </c>
      <c r="AL25" s="11" t="str">
        <f ca="1">INDEX(経験値!$A$1:$I$21,MATCH(H25,経験値!$A$1:$A$21,FALSE),MATCH(G25,経験値!$A$1:$I$1,FALSE))</f>
        <v>required_exp_200</v>
      </c>
      <c r="AM25" s="8">
        <f ca="1">VLOOKUP(G25,経験値!$A$28:$B$32,2)</f>
        <v>3400</v>
      </c>
      <c r="AN25" s="17">
        <f ca="1">VLOOKUP(G25,ビット!$G$2:$H$7,2)</f>
        <v>600</v>
      </c>
      <c r="AO25" s="45"/>
      <c r="AP25" s="67">
        <f t="shared" si="8"/>
        <v>548</v>
      </c>
      <c r="AQ25" s="57" t="str">
        <f ca="1">VLOOKUP($AP25,OFFSET(unit_skills!$A$1,0,0,COUNTA(unit_skills!$A:$A),MATCH(AQ$1,unit_skills!$1:$1,0)-MATCH($AP$1,unit_skills!$1:$1,0)+1),MATCH(AQ$1,unit_skills!$1:$1,0)-MATCH($AP$1,unit_skills!$1:$1,0)+1,FALSE)</f>
        <v>オーバーサウンド・バイリンガル</v>
      </c>
      <c r="AR25" s="57" t="str">
        <f ca="1">VLOOKUP($AP25,OFFSET(unit_skills!$A$1,0,0,COUNTA(unit_skills!$A:$A),MATCH(AR$1,unit_skills!$1:$1,0)-MATCH($AP$1,unit_skills!$1:$1,0)+1),MATCH(AR$1,unit_skills!$1:$1,0)-MATCH($AP$1,unit_skills!$1:$1,0)+1,FALSE)</f>
        <v>単体に赤属性の特大ダメージ</v>
      </c>
      <c r="AS25" s="57">
        <f ca="1">VLOOKUP($AP25,OFFSET(unit_skills!$A$1,0,0,COUNTA(unit_skills!$A:$A),MATCH(AS$1,unit_skills!$1:$1,0)-MATCH($AP$1,unit_skills!$1:$1,0)+1),MATCH(AS$1,unit_skills!$1:$1,0)-MATCH($AP$1,unit_skills!$1:$1,0)+1,FALSE)</f>
        <v>0</v>
      </c>
      <c r="AT25" s="41">
        <f t="shared" si="9"/>
        <v>548</v>
      </c>
      <c r="AU25" s="57" t="str">
        <f ca="1">VLOOKUP($AT25,OFFSET(crash_skills!$A$1,0,0,COUNTA(crash_skills!$A:$A),MATCH(AU$1,crash_skills!$1:$1,0)-MATCH($AT$1,crash_skills!$1:$1,0)+1),MATCH(AU$1,crash_skills!$1:$1,0)-MATCH($AT$1,crash_skills!$1:$1,0)+1,FALSE)</f>
        <v>サード・ジャジー</v>
      </c>
      <c r="AV25" s="57" t="str">
        <f ca="1">VLOOKUP($AT25,OFFSET(crash_skills!$A$1,0,0,COUNTA(crash_skills!$A:$A),MATCH(AV$1,crash_skills!$1:$1,0)-MATCH($AT$1,crash_skills!$1:$1,0)+1),MATCH(AV$1,crash_skills!$1:$1,0)-MATCH($AT$1,crash_skills!$1:$1,0)+1,FALSE)</f>
        <v>1体に大ダメージ</v>
      </c>
      <c r="AW25" s="57">
        <f ca="1">VLOOKUP($AT25,OFFSET(crash_skills!$A$1,0,0,COUNTA(crash_skills!$A:$A),MATCH(AW$1,crash_skills!$1:$1,0)-MATCH($AT$1,crash_skills!$1:$1,0)+1),MATCH(AW$1,crash_skills!$1:$1,0)-MATCH($AT$1,crash_skills!$1:$1,0)+1,FALSE)</f>
        <v>0</v>
      </c>
      <c r="AX25" s="58">
        <f ca="1">VLOOKUP($A25,OFFSET([1]characters!$A$1,0,0,COUNTA([1]characters!$A:$A),MATCH(AX$1,[1]characters!$1:$1,0)-MATCH($A$1,[1]characters!$1:$1,0)+1),MATCH(AX$1,[1]characters!$1:$1,0)-MATCH($A$1,[1]characters!$1:$1,0)+1,FALSE)</f>
        <v>3</v>
      </c>
      <c r="AY25" s="68">
        <v>1</v>
      </c>
      <c r="AZ25" s="68">
        <v>1</v>
      </c>
      <c r="BA25" s="68">
        <v>0</v>
      </c>
      <c r="BB25" s="68">
        <v>1</v>
      </c>
      <c r="BC25" s="11">
        <f ca="1">INDEX('RC6SV'!$A$1:$G$21,MATCH(H25,'RC6SV'!$A$1:$A$21,FALSE),MATCH(G25,'RC6SV'!$A$1:$G$1,FALSE))</f>
        <v>7000</v>
      </c>
      <c r="BD25" s="48">
        <f t="shared" ca="1" si="19"/>
        <v>7000</v>
      </c>
      <c r="BE25" s="11">
        <f t="shared" ca="1" si="4"/>
        <v>5000</v>
      </c>
      <c r="BF25" s="11">
        <f t="shared" ca="1" si="5"/>
        <v>1</v>
      </c>
      <c r="BG25" s="16">
        <f ca="1">IF($BE25&lt;=0,ROUND(BK25*0.5,0), ROUND($BE25*S25*AA25*J25*AY25*0.8*[1]ステータス!$B$2,0))</f>
        <v>2000</v>
      </c>
      <c r="BH25" s="16">
        <f ca="1">IF($BE25&lt;=0,ROUND(BL25*0.5,0), ROUND($BE25*T25*AB25*K25*AZ25*0.8*[1]ステータス!$C$2,0))</f>
        <v>1628</v>
      </c>
      <c r="BI25" s="16">
        <f ca="1">IF($BE25&lt;=0,ROUND(BM25*0.5,0), ROUND($BE25*U25*AC25*L25*BA25*0.8*[1]ステータス!$D$2,0))</f>
        <v>0</v>
      </c>
      <c r="BJ25" s="16">
        <f ca="1">IF($BE25&lt;=0,ROUND(BN25*0.5,0), ROUND($BE25*V25*AD25*M25*BB25*0.8*[1]ステータス!$E$2,0))</f>
        <v>657</v>
      </c>
      <c r="BK25" s="11">
        <f ca="1">ROUND(BD25*S25*AA25*J25*AY25*[1]ステータス!$B$2,0)</f>
        <v>3500</v>
      </c>
      <c r="BL25" s="11">
        <f ca="1">ROUND(BD25*T25*AB25*K25*AZ25*[1]ステータス!$C$2,0)</f>
        <v>2849</v>
      </c>
      <c r="BM25" s="11">
        <f ca="1">ROUND(BD25*U25*AC25*L25*BA25*[1]ステータス!$D$2,0)</f>
        <v>0</v>
      </c>
      <c r="BN25" s="11">
        <f ca="1">ROUND(BD25*V25*AD25*M25*BB25*[1]ステータス!$E$2,0)</f>
        <v>1149</v>
      </c>
      <c r="BO25" s="10">
        <v>0</v>
      </c>
      <c r="BP25" s="10">
        <v>1</v>
      </c>
      <c r="BQ25" s="10" t="s">
        <v>47</v>
      </c>
      <c r="BR25" s="178">
        <v>140</v>
      </c>
    </row>
    <row r="26" spans="1:70" ht="21" customHeight="1" x14ac:dyDescent="0.15">
      <c r="A26" s="134">
        <v>549</v>
      </c>
      <c r="B26" s="57" t="str">
        <f ca="1">VLOOKUP($A26,OFFSET([1]characters!$A$1,0,0,COUNTA([1]characters!$A:$A),MATCH(B$1,[1]characters!$1:$1,0)-MATCH($A$1,[1]characters!$1:$1,0)+1),MATCH(B$1,[1]characters!$1:$1,0)-MATCH($A$1,[1]characters!$1:$1,0)+1,FALSE)</f>
        <v>MEIKO</v>
      </c>
      <c r="C26" s="57" t="str">
        <f ca="1">VLOOKUP($A26,OFFSET([1]characters!$A$1,0,0,COUNTA([1]characters!$A:$A),MATCH(C$1,[1]characters!$1:$1,0)-MATCH($A$1,[1]characters!$1:$1,0)+1),MATCH(C$1,[1]characters!$1:$1,0)-MATCH($A$1,[1]characters!$1:$1,0)+1,FALSE)</f>
        <v>ガチャ:ミクコラボ01</v>
      </c>
      <c r="D26" s="57" t="str">
        <f ca="1">VLOOKUP($A26,OFFSET([1]characters!$A$1,0,0,COUNTA([1]characters!$A:$A),MATCH(D$1,[1]characters!$1:$1,0)-MATCH($A$1,[1]characters!$1:$1,0)+1),MATCH(D$1,[1]characters!$1:$1,0)-MATCH($A$1,[1]characters!$1:$1,0)+1,FALSE)</f>
        <v>執行者</v>
      </c>
      <c r="E26" s="57" t="str">
        <f ca="1">VLOOKUP($A26,OFFSET([1]characters!$A$1,0,0,COUNTA([1]characters!$A:$A),MATCH(E$1,[1]characters!$1:$1,0)-MATCH($A$1,[1]characters!$1:$1,0)+1),MATCH(E$1,[1]characters!$1:$1,0)-MATCH($A$1,[1]characters!$1:$1,0)+1,FALSE)</f>
        <v>格好いい</v>
      </c>
      <c r="F26" s="57" t="str">
        <f ca="1">VLOOKUP($A26,OFFSET([1]characters!$A$1,0,0,COUNTA([1]characters!$A:$A),MATCH(F$1,[1]characters!$1:$1,0)-MATCH($A$1,[1]characters!$1:$1,0)+1),MATCH(F$1,[1]characters!$1:$1,0)-MATCH($A$1,[1]characters!$1:$1,0)+1,FALSE)</f>
        <v>女性</v>
      </c>
      <c r="G26" s="57">
        <f ca="1">VLOOKUP($A26,OFFSET([1]characters!$A$1,0,0,COUNTA([1]characters!$A:$A),MATCH(G$1,[1]characters!$1:$1,0)-MATCH($A$1,[1]characters!$1:$1,0)+1),MATCH(G$1,[1]characters!$1:$1,0)-MATCH($A$1,[1]characters!$1:$1,0)+1,FALSE)</f>
        <v>3</v>
      </c>
      <c r="H26" s="57" t="str">
        <f ca="1">VLOOKUP($A26,OFFSET([1]characters!$A$1,0,0,COUNTA([1]characters!$A:$A),MATCH(H$1,[1]characters!$1:$1,0)-MATCH($A$1,[1]characters!$1:$1,0)+1),MATCH(H$1,[1]characters!$1:$1,0)-MATCH($A$1,[1]characters!$1:$1,0)+1,FALSE)</f>
        <v>PremiumS</v>
      </c>
      <c r="I26" s="57" t="str">
        <f ca="1">VLOOKUP($A26,OFFSET([1]characters!$A$1,0,0,COUNTA([1]characters!$A:$A),MATCH(I$1,[1]characters!$1:$1,0)-MATCH($A$1,[1]characters!$1:$1,0)+1),MATCH(I$1,[1]characters!$1:$1,0)-MATCH($A$1,[1]characters!$1:$1,0)+1,FALSE)</f>
        <v>red</v>
      </c>
      <c r="J26" s="11">
        <f ca="1">VLOOKUP(I26,[1]属性!$A:$E,2,FALSE)</f>
        <v>1</v>
      </c>
      <c r="K26" s="11">
        <f ca="1">VLOOKUP(I26,[1]属性!$A:$E,3,FALSE)</f>
        <v>1.02</v>
      </c>
      <c r="L26" s="11">
        <f ca="1">VLOOKUP(I26,[1]属性!$A:$E,4,FALSE)</f>
        <v>1</v>
      </c>
      <c r="M26" s="11">
        <f ca="1">VLOOKUP(I26,[1]属性!$A:$E,5,FALSE)</f>
        <v>0.98</v>
      </c>
      <c r="N26" s="11">
        <f ca="1">INDEX(コスト!$A$1:$I$21,MATCH(H26,コスト!$A$1:$A$21,FALSE),MATCH(G26,コスト!$A$1:$I$1,FALSE))</f>
        <v>10</v>
      </c>
      <c r="O26" s="11">
        <f ca="1">INDEX(レベル!$A$1:$I$21,MATCH(H26,レベル!$A$1:$A$21,FALSE),MATCH(G26,レベル!$A$1:$I$1,FALSE))</f>
        <v>40</v>
      </c>
      <c r="P26" s="48">
        <f t="shared" ca="1" si="17"/>
        <v>45</v>
      </c>
      <c r="Q26" s="57" t="str">
        <f ca="1">VLOOKUP($A26,OFFSET([1]characters!$A$1,0,0,COUNTA([1]characters!$A:$A),MATCH(Q$1,[1]characters!$1:$1,0)-MATCH($A$1,[1]characters!$1:$1,0)+1),MATCH(Q$1,[1]characters!$1:$1,0)-MATCH($A$1,[1]characters!$1:$1,0)+1,FALSE)</f>
        <v>hp</v>
      </c>
      <c r="R26" s="5" t="str">
        <f ca="1">VLOOKUP(Q26,[1]character_type_i18n!$A:$H,3,FALSE)</f>
        <v>体力タイプ</v>
      </c>
      <c r="S26" s="11">
        <f ca="1">VLOOKUP(Q26,[1]character_type_i18n!$A:$H,4,FALSE)</f>
        <v>1.45</v>
      </c>
      <c r="T26" s="11">
        <f ca="1">VLOOKUP(Q26,[1]character_type_i18n!$A:$H,5,FALSE)</f>
        <v>0.85</v>
      </c>
      <c r="U26" s="11">
        <f ca="1">VLOOKUP(Q26,[1]character_type_i18n!$A:$H,6,FALSE)</f>
        <v>1</v>
      </c>
      <c r="V26" s="11">
        <f ca="1">VLOOKUP(Q26,[1]character_type_i18n!$A:$H,7,FALSE)</f>
        <v>0.7</v>
      </c>
      <c r="W26" s="57" t="str">
        <f ca="1">VLOOKUP($A26,OFFSET([1]characters!$A$1,0,0,COUNTA([1]characters!$A:$A),MATCH(W$1,[1]characters!$1:$1,0)-MATCH($A$1,[1]characters!$1:$1,0)+1),MATCH(W$1,[1]characters!$1:$1,0)-MATCH($A$1,[1]characters!$1:$1,0)+1,FALSE)</f>
        <v>unknown</v>
      </c>
      <c r="X26" s="5" t="str">
        <f ca="1">VLOOKUP(W26,[1]character_tribe_i18n!$A:$H,3,FALSE)</f>
        <v>Unknown</v>
      </c>
      <c r="Y26" s="57" t="str">
        <f ca="1">VLOOKUP($A26,OFFSET([1]characters!$A$1,0,0,COUNTA([1]characters!$A:$A),MATCH(Y$1,[1]characters!$1:$1,0)-MATCH($A$1,[1]characters!$1:$1,0)+1),MATCH(Y$1,[1]characters!$1:$1,0)-MATCH($A$1,[1]characters!$1:$1,0)+1,FALSE)</f>
        <v>none</v>
      </c>
      <c r="Z26" s="5" t="str">
        <f ca="1">VLOOKUP(Y26,[1]character_tribe_i18n!$A:$H,3,FALSE)</f>
        <v>種族なし</v>
      </c>
      <c r="AA26" s="11">
        <f ca="1">VLOOKUP(W26,[1]character_tribe_i18n!$A:$H,4,FALSE)</f>
        <v>1</v>
      </c>
      <c r="AB26" s="11">
        <f ca="1">VLOOKUP(W26,[1]character_tribe_i18n!$A:$H,5,FALSE)</f>
        <v>1</v>
      </c>
      <c r="AC26" s="11">
        <f ca="1">VLOOKUP(W26,[1]character_tribe_i18n!$A:$H,6,FALSE)</f>
        <v>1</v>
      </c>
      <c r="AD26" s="11">
        <f ca="1">VLOOKUP(W26,[1]character_tribe_i18n!$A:$H,7,FALSE)</f>
        <v>1</v>
      </c>
      <c r="AE26" s="9">
        <f t="shared" ref="AE26" si="21">A27</f>
        <v>550</v>
      </c>
      <c r="AF26" s="62" t="str">
        <f ca="1">IF(AE26="NULL","",VLOOKUP($AE26,OFFSET([1]characters!$A$1,0,0,COUNTA([1]characters!$A:$A),MATCH(AF$1,[1]characters!$1:$1,0)-MATCH($A$1,[1]characters!$1:$1,0)+1),MATCH(AF$1,[1]characters!$1:$1,0)-MATCH($A$1,[1]characters!$1:$1,0)+1,FALSE))</f>
        <v>解放の絶唱 MEIKO</v>
      </c>
      <c r="AG26" s="5">
        <f t="shared" ca="1" si="1"/>
        <v>549</v>
      </c>
      <c r="AH26" s="62" t="str">
        <f ca="1">VLOOKUP($AG26,OFFSET([1]characters!$A$1,0,0,COUNTA([1]characters!$A:$A),MATCH(AH$1,[1]characters!$1:$1,0)-MATCH($A$1,[1]characters!$1:$1,0)+1),MATCH(AH$1,[1]characters!$1:$1,0)-MATCH($A$1,[1]characters!$1:$1,0)+1,FALSE)</f>
        <v>MEIKO</v>
      </c>
      <c r="AI26" s="11">
        <f ca="1">IF(AE26="NULL","NULL",VLOOKUP(G26,ビット!$A$2:$B$7,2))</f>
        <v>20000</v>
      </c>
      <c r="AJ26" s="6">
        <v>2</v>
      </c>
      <c r="AK26" s="7" t="str">
        <f t="shared" si="18"/>
        <v>普通</v>
      </c>
      <c r="AL26" s="11" t="str">
        <f ca="1">INDEX(経験値!$A$1:$I$21,MATCH(H26,経験値!$A$1:$A$21,FALSE),MATCH(G26,経験値!$A$1:$I$1,FALSE))</f>
        <v>required_exp_200</v>
      </c>
      <c r="AM26" s="8">
        <f ca="1">VLOOKUP(G26,経験値!$A$28:$B$32,2)</f>
        <v>1500</v>
      </c>
      <c r="AN26" s="17">
        <f ca="1">VLOOKUP(G26,ビット!$G$2:$H$7,2)</f>
        <v>300</v>
      </c>
      <c r="AO26" s="45"/>
      <c r="AP26" s="67">
        <f t="shared" si="8"/>
        <v>549</v>
      </c>
      <c r="AQ26" s="57" t="str">
        <f ca="1">VLOOKUP($AP26,OFFSET(unit_skills!$A$1,0,0,COUNTA(unit_skills!$A:$A),MATCH(AQ$1,unit_skills!$1:$1,0)-MATCH($AP$1,unit_skills!$1:$1,0)+1),MATCH(AQ$1,unit_skills!$1:$1,0)-MATCH($AP$1,unit_skills!$1:$1,0)+1,FALSE)</f>
        <v>レッドトーン・オルタナティヴ</v>
      </c>
      <c r="AR26" s="57" t="str">
        <f ca="1">VLOOKUP($AP26,OFFSET(unit_skills!$A$1,0,0,COUNTA(unit_skills!$A:$A),MATCH(AR$1,unit_skills!$1:$1,0)-MATCH($AP$1,unit_skills!$1:$1,0)+1),MATCH(AR$1,unit_skills!$1:$1,0)-MATCH($AP$1,unit_skills!$1:$1,0)+1,FALSE)</f>
        <v>3ターンの間赤属性のユニットの攻撃力と防御力と回復力を特大UP</v>
      </c>
      <c r="AS26" s="57">
        <f ca="1">VLOOKUP($AP26,OFFSET(unit_skills!$A$1,0,0,COUNTA(unit_skills!$A:$A),MATCH(AS$1,unit_skills!$1:$1,0)-MATCH($AP$1,unit_skills!$1:$1,0)+1),MATCH(AS$1,unit_skills!$1:$1,0)-MATCH($AP$1,unit_skills!$1:$1,0)+1,FALSE)</f>
        <v>0</v>
      </c>
      <c r="AT26" s="41">
        <f t="shared" si="9"/>
        <v>549</v>
      </c>
      <c r="AU26" s="57" t="str">
        <f ca="1">VLOOKUP($AT26,OFFSET(crash_skills!$A$1,0,0,COUNTA(crash_skills!$A:$A),MATCH(AU$1,crash_skills!$1:$1,0)-MATCH($AT$1,crash_skills!$1:$1,0)+1),MATCH(AU$1,crash_skills!$1:$1,0)-MATCH($AT$1,crash_skills!$1:$1,0)+1,FALSE)</f>
        <v>プロトボイス・ストレート</v>
      </c>
      <c r="AV26" s="57" t="str">
        <f ca="1">VLOOKUP($AT26,OFFSET(crash_skills!$A$1,0,0,COUNTA(crash_skills!$A:$A),MATCH(AV$1,crash_skills!$1:$1,0)-MATCH($AT$1,crash_skills!$1:$1,0)+1),MATCH(AV$1,crash_skills!$1:$1,0)-MATCH($AT$1,crash_skills!$1:$1,0)+1,FALSE)</f>
        <v>全体に中ダメージ_x000D_Unknownに効果超大</v>
      </c>
      <c r="AW26" s="57">
        <f ca="1">VLOOKUP($AT26,OFFSET(crash_skills!$A$1,0,0,COUNTA(crash_skills!$A:$A),MATCH(AW$1,crash_skills!$1:$1,0)-MATCH($AT$1,crash_skills!$1:$1,0)+1),MATCH(AW$1,crash_skills!$1:$1,0)-MATCH($AT$1,crash_skills!$1:$1,0)+1,FALSE)</f>
        <v>0</v>
      </c>
      <c r="AX26" s="58">
        <f ca="1">VLOOKUP($A26,OFFSET([1]characters!$A$1,0,0,COUNTA([1]characters!$A:$A),MATCH(AX$1,[1]characters!$1:$1,0)-MATCH($A$1,[1]characters!$1:$1,0)+1),MATCH(AX$1,[1]characters!$1:$1,0)-MATCH($A$1,[1]characters!$1:$1,0)+1,FALSE)</f>
        <v>3</v>
      </c>
      <c r="AY26" s="68">
        <v>1</v>
      </c>
      <c r="AZ26" s="68">
        <v>1</v>
      </c>
      <c r="BA26" s="68">
        <v>0</v>
      </c>
      <c r="BB26" s="68">
        <v>1</v>
      </c>
      <c r="BC26" s="11">
        <f ca="1">INDEX('RC6SV'!$A$1:$G$21,MATCH(H26,'RC6SV'!$A$1:$A$21,FALSE),MATCH(G26,'RC6SV'!$A$1:$G$1,FALSE))</f>
        <v>5000</v>
      </c>
      <c r="BD26" s="48">
        <f t="shared" ca="1" si="19"/>
        <v>5000</v>
      </c>
      <c r="BE26" s="11">
        <f t="shared" ca="1" si="4"/>
        <v>0</v>
      </c>
      <c r="BF26" s="11">
        <f t="shared" ca="1" si="5"/>
        <v>1</v>
      </c>
      <c r="BG26" s="16">
        <f ca="1">IF($BE26&lt;=0,ROUND(BK26*0.5,0), ROUND($BE26*S26*AA26*J26*AY26*0.8*[1]ステータス!$B$2,0))</f>
        <v>1813</v>
      </c>
      <c r="BH26" s="16">
        <f ca="1">IF($BE26&lt;=0,ROUND(BL26*0.5,0), ROUND($BE26*T26*AB26*K26*AZ26*0.8*[1]ステータス!$C$2,0))</f>
        <v>651</v>
      </c>
      <c r="BI26" s="16">
        <f ca="1">IF($BE26&lt;=0,ROUND(BM26*0.5,0), ROUND($BE26*U26*AC26*L26*BA26*0.8*[1]ステータス!$D$2,0))</f>
        <v>0</v>
      </c>
      <c r="BJ26" s="16">
        <f ca="1">IF($BE26&lt;=0,ROUND(BN26*0.5,0), ROUND($BE26*V26*AD26*M26*BB26*0.8*[1]ステータス!$E$2,0))</f>
        <v>429</v>
      </c>
      <c r="BK26" s="11">
        <f ca="1">ROUND(BD26*S26*AA26*J26*AY26*[1]ステータス!$B$2,0)</f>
        <v>3625</v>
      </c>
      <c r="BL26" s="11">
        <f ca="1">ROUND(BD26*T26*AB26*K26*AZ26*[1]ステータス!$C$2,0)</f>
        <v>1301</v>
      </c>
      <c r="BM26" s="11">
        <f ca="1">ROUND(BD26*U26*AC26*L26*BA26*[1]ステータス!$D$2,0)</f>
        <v>0</v>
      </c>
      <c r="BN26" s="11">
        <f ca="1">ROUND(BD26*V26*AD26*M26*BB26*[1]ステータス!$E$2,0)</f>
        <v>858</v>
      </c>
      <c r="BO26" s="10">
        <v>0</v>
      </c>
      <c r="BP26" s="10">
        <v>1</v>
      </c>
      <c r="BQ26" s="10" t="s">
        <v>47</v>
      </c>
      <c r="BR26" s="178">
        <v>140</v>
      </c>
    </row>
    <row r="27" spans="1:70" ht="21" customHeight="1" x14ac:dyDescent="0.15">
      <c r="A27" s="134">
        <v>550</v>
      </c>
      <c r="B27" s="57" t="str">
        <f ca="1">VLOOKUP($A27,OFFSET([1]characters!$A$1,0,0,COUNTA([1]characters!$A:$A),MATCH(B$1,[1]characters!$1:$1,0)-MATCH($A$1,[1]characters!$1:$1,0)+1),MATCH(B$1,[1]characters!$1:$1,0)-MATCH($A$1,[1]characters!$1:$1,0)+1,FALSE)</f>
        <v>解放の絶唱 MEIKO</v>
      </c>
      <c r="C27" s="57" t="str">
        <f ca="1">VLOOKUP($A27,OFFSET([1]characters!$A$1,0,0,COUNTA([1]characters!$A:$A),MATCH(C$1,[1]characters!$1:$1,0)-MATCH($A$1,[1]characters!$1:$1,0)+1),MATCH(C$1,[1]characters!$1:$1,0)-MATCH($A$1,[1]characters!$1:$1,0)+1,FALSE)</f>
        <v>ガチャ:ミクコラボ01</v>
      </c>
      <c r="D27" s="57" t="str">
        <f ca="1">VLOOKUP($A27,OFFSET([1]characters!$A$1,0,0,COUNTA([1]characters!$A:$A),MATCH(D$1,[1]characters!$1:$1,0)-MATCH($A$1,[1]characters!$1:$1,0)+1),MATCH(D$1,[1]characters!$1:$1,0)-MATCH($A$1,[1]characters!$1:$1,0)+1,FALSE)</f>
        <v>執行者</v>
      </c>
      <c r="E27" s="57" t="str">
        <f ca="1">VLOOKUP($A27,OFFSET([1]characters!$A$1,0,0,COUNTA([1]characters!$A:$A),MATCH(E$1,[1]characters!$1:$1,0)-MATCH($A$1,[1]characters!$1:$1,0)+1),MATCH(E$1,[1]characters!$1:$1,0)-MATCH($A$1,[1]characters!$1:$1,0)+1,FALSE)</f>
        <v>格好いい</v>
      </c>
      <c r="F27" s="57" t="str">
        <f ca="1">VLOOKUP($A27,OFFSET([1]characters!$A$1,0,0,COUNTA([1]characters!$A:$A),MATCH(F$1,[1]characters!$1:$1,0)-MATCH($A$1,[1]characters!$1:$1,0)+1),MATCH(F$1,[1]characters!$1:$1,0)-MATCH($A$1,[1]characters!$1:$1,0)+1,FALSE)</f>
        <v>女性</v>
      </c>
      <c r="G27" s="57">
        <f ca="1">VLOOKUP($A27,OFFSET([1]characters!$A$1,0,0,COUNTA([1]characters!$A:$A),MATCH(G$1,[1]characters!$1:$1,0)-MATCH($A$1,[1]characters!$1:$1,0)+1),MATCH(G$1,[1]characters!$1:$1,0)-MATCH($A$1,[1]characters!$1:$1,0)+1,FALSE)</f>
        <v>4</v>
      </c>
      <c r="H27" s="57" t="str">
        <f ca="1">VLOOKUP($A27,OFFSET([1]characters!$A$1,0,0,COUNTA([1]characters!$A:$A),MATCH(H$1,[1]characters!$1:$1,0)-MATCH($A$1,[1]characters!$1:$1,0)+1),MATCH(H$1,[1]characters!$1:$1,0)-MATCH($A$1,[1]characters!$1:$1,0)+1,FALSE)</f>
        <v>PremiumS</v>
      </c>
      <c r="I27" s="57" t="str">
        <f ca="1">VLOOKUP($A27,OFFSET([1]characters!$A$1,0,0,COUNTA([1]characters!$A:$A),MATCH(I$1,[1]characters!$1:$1,0)-MATCH($A$1,[1]characters!$1:$1,0)+1),MATCH(I$1,[1]characters!$1:$1,0)-MATCH($A$1,[1]characters!$1:$1,0)+1,FALSE)</f>
        <v>red</v>
      </c>
      <c r="J27" s="11">
        <f ca="1">VLOOKUP(I27,[1]属性!$A:$E,2,FALSE)</f>
        <v>1</v>
      </c>
      <c r="K27" s="11">
        <f ca="1">VLOOKUP(I27,[1]属性!$A:$E,3,FALSE)</f>
        <v>1.02</v>
      </c>
      <c r="L27" s="11">
        <f ca="1">VLOOKUP(I27,[1]属性!$A:$E,4,FALSE)</f>
        <v>1</v>
      </c>
      <c r="M27" s="11">
        <f ca="1">VLOOKUP(I27,[1]属性!$A:$E,5,FALSE)</f>
        <v>0.98</v>
      </c>
      <c r="N27" s="11">
        <f ca="1">INDEX(コスト!$A$1:$I$21,MATCH(H27,コスト!$A$1:$A$21,FALSE),MATCH(G27,コスト!$A$1:$I$1,FALSE))</f>
        <v>20</v>
      </c>
      <c r="O27" s="11">
        <f ca="1">INDEX(レベル!$A$1:$I$21,MATCH(H27,レベル!$A$1:$A$21,FALSE),MATCH(G27,レベル!$A$1:$I$1,FALSE))</f>
        <v>60</v>
      </c>
      <c r="P27" s="48">
        <f t="shared" ca="1" si="17"/>
        <v>60</v>
      </c>
      <c r="Q27" s="57" t="str">
        <f ca="1">VLOOKUP($A27,OFFSET([1]characters!$A$1,0,0,COUNTA([1]characters!$A:$A),MATCH(Q$1,[1]characters!$1:$1,0)-MATCH($A$1,[1]characters!$1:$1,0)+1),MATCH(Q$1,[1]characters!$1:$1,0)-MATCH($A$1,[1]characters!$1:$1,0)+1,FALSE)</f>
        <v>hp</v>
      </c>
      <c r="R27" s="5" t="str">
        <f ca="1">VLOOKUP(Q27,[1]character_type_i18n!$A:$H,3,FALSE)</f>
        <v>体力タイプ</v>
      </c>
      <c r="S27" s="11">
        <f ca="1">VLOOKUP(Q27,[1]character_type_i18n!$A:$H,4,FALSE)</f>
        <v>1.45</v>
      </c>
      <c r="T27" s="11">
        <f ca="1">VLOOKUP(Q27,[1]character_type_i18n!$A:$H,5,FALSE)</f>
        <v>0.85</v>
      </c>
      <c r="U27" s="11">
        <f ca="1">VLOOKUP(Q27,[1]character_type_i18n!$A:$H,6,FALSE)</f>
        <v>1</v>
      </c>
      <c r="V27" s="11">
        <f ca="1">VLOOKUP(Q27,[1]character_type_i18n!$A:$H,7,FALSE)</f>
        <v>0.7</v>
      </c>
      <c r="W27" s="57" t="str">
        <f ca="1">VLOOKUP($A27,OFFSET([1]characters!$A$1,0,0,COUNTA([1]characters!$A:$A),MATCH(W$1,[1]characters!$1:$1,0)-MATCH($A$1,[1]characters!$1:$1,0)+1),MATCH(W$1,[1]characters!$1:$1,0)-MATCH($A$1,[1]characters!$1:$1,0)+1,FALSE)</f>
        <v>unknown</v>
      </c>
      <c r="X27" s="5" t="str">
        <f ca="1">VLOOKUP(W27,[1]character_tribe_i18n!$A:$H,3,FALSE)</f>
        <v>Unknown</v>
      </c>
      <c r="Y27" s="57" t="str">
        <f ca="1">VLOOKUP($A27,OFFSET([1]characters!$A$1,0,0,COUNTA([1]characters!$A:$A),MATCH(Y$1,[1]characters!$1:$1,0)-MATCH($A$1,[1]characters!$1:$1,0)+1),MATCH(Y$1,[1]characters!$1:$1,0)-MATCH($A$1,[1]characters!$1:$1,0)+1,FALSE)</f>
        <v>none</v>
      </c>
      <c r="Z27" s="5" t="str">
        <f ca="1">VLOOKUP(Y27,[1]character_tribe_i18n!$A:$H,3,FALSE)</f>
        <v>種族なし</v>
      </c>
      <c r="AA27" s="11">
        <f ca="1">VLOOKUP(W27,[1]character_tribe_i18n!$A:$H,4,FALSE)</f>
        <v>1</v>
      </c>
      <c r="AB27" s="11">
        <f ca="1">VLOOKUP(W27,[1]character_tribe_i18n!$A:$H,5,FALSE)</f>
        <v>1</v>
      </c>
      <c r="AC27" s="11">
        <f ca="1">VLOOKUP(W27,[1]character_tribe_i18n!$A:$H,6,FALSE)</f>
        <v>1</v>
      </c>
      <c r="AD27" s="11">
        <f ca="1">VLOOKUP(W27,[1]character_tribe_i18n!$A:$H,7,FALSE)</f>
        <v>1</v>
      </c>
      <c r="AE27" s="9" t="s">
        <v>178</v>
      </c>
      <c r="AF27" s="62" t="str">
        <f ca="1">IF(AE27="NULL","",VLOOKUP($AE27,OFFSET([1]characters!$A$1,0,0,COUNTA([1]characters!$A:$A),MATCH(AF$1,[1]characters!$1:$1,0)-MATCH($A$1,[1]characters!$1:$1,0)+1),MATCH(AF$1,[1]characters!$1:$1,0)-MATCH($A$1,[1]characters!$1:$1,0)+1,FALSE))</f>
        <v/>
      </c>
      <c r="AG27" s="5">
        <f t="shared" ca="1" si="1"/>
        <v>549</v>
      </c>
      <c r="AH27" s="62" t="str">
        <f ca="1">VLOOKUP($AG27,OFFSET([1]characters!$A$1,0,0,COUNTA([1]characters!$A:$A),MATCH(AH$1,[1]characters!$1:$1,0)-MATCH($A$1,[1]characters!$1:$1,0)+1),MATCH(AH$1,[1]characters!$1:$1,0)-MATCH($A$1,[1]characters!$1:$1,0)+1,FALSE)</f>
        <v>MEIKO</v>
      </c>
      <c r="AI27" s="11" t="str">
        <f>IF(AE27="NULL","NULL",VLOOKUP(G27,ビット!$A$2:$B$7,2))</f>
        <v>NULL</v>
      </c>
      <c r="AJ27" s="6">
        <v>2</v>
      </c>
      <c r="AK27" s="7" t="str">
        <f t="shared" si="18"/>
        <v>普通</v>
      </c>
      <c r="AL27" s="11" t="str">
        <f ca="1">INDEX(経験値!$A$1:$I$21,MATCH(H27,経験値!$A$1:$A$21,FALSE),MATCH(G27,経験値!$A$1:$I$1,FALSE))</f>
        <v>required_exp_200</v>
      </c>
      <c r="AM27" s="8">
        <f ca="1">VLOOKUP(G27,経験値!$A$28:$B$32,2)</f>
        <v>3400</v>
      </c>
      <c r="AN27" s="17">
        <f ca="1">VLOOKUP(G27,ビット!$G$2:$H$7,2)</f>
        <v>600</v>
      </c>
      <c r="AO27" s="45"/>
      <c r="AP27" s="67">
        <f t="shared" si="8"/>
        <v>550</v>
      </c>
      <c r="AQ27" s="57" t="str">
        <f ca="1">VLOOKUP($AP27,OFFSET(unit_skills!$A$1,0,0,COUNTA(unit_skills!$A:$A),MATCH(AQ$1,unit_skills!$1:$1,0)-MATCH($AP$1,unit_skills!$1:$1,0)+1),MATCH(AQ$1,unit_skills!$1:$1,0)-MATCH($AP$1,unit_skills!$1:$1,0)+1,FALSE)</f>
        <v>レッドトーン・オルタナティヴ</v>
      </c>
      <c r="AR27" s="57" t="str">
        <f ca="1">VLOOKUP($AP27,OFFSET(unit_skills!$A$1,0,0,COUNTA(unit_skills!$A:$A),MATCH(AR$1,unit_skills!$1:$1,0)-MATCH($AP$1,unit_skills!$1:$1,0)+1),MATCH(AR$1,unit_skills!$1:$1,0)-MATCH($AP$1,unit_skills!$1:$1,0)+1,FALSE)</f>
        <v>3ターンの間赤属性のユニットの攻撃力と防御力と回復力を特大UP</v>
      </c>
      <c r="AS27" s="57">
        <f ca="1">VLOOKUP($AP27,OFFSET(unit_skills!$A$1,0,0,COUNTA(unit_skills!$A:$A),MATCH(AS$1,unit_skills!$1:$1,0)-MATCH($AP$1,unit_skills!$1:$1,0)+1),MATCH(AS$1,unit_skills!$1:$1,0)-MATCH($AP$1,unit_skills!$1:$1,0)+1,FALSE)</f>
        <v>0</v>
      </c>
      <c r="AT27" s="41">
        <f t="shared" si="9"/>
        <v>550</v>
      </c>
      <c r="AU27" s="57" t="str">
        <f ca="1">VLOOKUP($AT27,OFFSET(crash_skills!$A$1,0,0,COUNTA(crash_skills!$A:$A),MATCH(AU$1,crash_skills!$1:$1,0)-MATCH($AT$1,crash_skills!$1:$1,0)+1),MATCH(AU$1,crash_skills!$1:$1,0)-MATCH($AT$1,crash_skills!$1:$1,0)+1,FALSE)</f>
        <v>プロトボイス・ストレート</v>
      </c>
      <c r="AV27" s="57" t="str">
        <f ca="1">VLOOKUP($AT27,OFFSET(crash_skills!$A$1,0,0,COUNTA(crash_skills!$A:$A),MATCH(AV$1,crash_skills!$1:$1,0)-MATCH($AT$1,crash_skills!$1:$1,0)+1),MATCH(AV$1,crash_skills!$1:$1,0)-MATCH($AT$1,crash_skills!$1:$1,0)+1,FALSE)</f>
        <v>全体に中ダメージ_x000D_Unknownに効果超大</v>
      </c>
      <c r="AW27" s="57">
        <f ca="1">VLOOKUP($AT27,OFFSET(crash_skills!$A$1,0,0,COUNTA(crash_skills!$A:$A),MATCH(AW$1,crash_skills!$1:$1,0)-MATCH($AT$1,crash_skills!$1:$1,0)+1),MATCH(AW$1,crash_skills!$1:$1,0)-MATCH($AT$1,crash_skills!$1:$1,0)+1,FALSE)</f>
        <v>0</v>
      </c>
      <c r="AX27" s="58">
        <f ca="1">VLOOKUP($A27,OFFSET([1]characters!$A$1,0,0,COUNTA([1]characters!$A:$A),MATCH(AX$1,[1]characters!$1:$1,0)-MATCH($A$1,[1]characters!$1:$1,0)+1),MATCH(AX$1,[1]characters!$1:$1,0)-MATCH($A$1,[1]characters!$1:$1,0)+1,FALSE)</f>
        <v>3</v>
      </c>
      <c r="AY27" s="68">
        <v>1</v>
      </c>
      <c r="AZ27" s="68">
        <v>1</v>
      </c>
      <c r="BA27" s="68">
        <v>0</v>
      </c>
      <c r="BB27" s="68">
        <v>1</v>
      </c>
      <c r="BC27" s="11">
        <f ca="1">INDEX('RC6SV'!$A$1:$G$21,MATCH(H27,'RC6SV'!$A$1:$A$21,FALSE),MATCH(G27,'RC6SV'!$A$1:$G$1,FALSE))</f>
        <v>7000</v>
      </c>
      <c r="BD27" s="48">
        <f t="shared" ca="1" si="19"/>
        <v>7000</v>
      </c>
      <c r="BE27" s="11">
        <f t="shared" ca="1" si="4"/>
        <v>5000</v>
      </c>
      <c r="BF27" s="11">
        <f t="shared" ca="1" si="5"/>
        <v>1</v>
      </c>
      <c r="BG27" s="16">
        <f ca="1">IF($BE27&lt;=0,ROUND(BK27*0.5,0), ROUND($BE27*S27*AA27*J27*AY27*0.8*[1]ステータス!$B$2,0))</f>
        <v>2900</v>
      </c>
      <c r="BH27" s="16">
        <f ca="1">IF($BE27&lt;=0,ROUND(BL27*0.5,0), ROUND($BE27*T27*AB27*K27*AZ27*0.8*[1]ステータス!$C$2,0))</f>
        <v>1040</v>
      </c>
      <c r="BI27" s="16">
        <f ca="1">IF($BE27&lt;=0,ROUND(BM27*0.5,0), ROUND($BE27*U27*AC27*L27*BA27*0.8*[1]ステータス!$D$2,0))</f>
        <v>0</v>
      </c>
      <c r="BJ27" s="16">
        <f ca="1">IF($BE27&lt;=0,ROUND(BN27*0.5,0), ROUND($BE27*V27*AD27*M27*BB27*0.8*[1]ステータス!$E$2,0))</f>
        <v>686</v>
      </c>
      <c r="BK27" s="11">
        <f ca="1">ROUND(BD27*S27*AA27*J27*AY27*[1]ステータス!$B$2,0)</f>
        <v>5075</v>
      </c>
      <c r="BL27" s="11">
        <f ca="1">ROUND(BD27*T27*AB27*K27*AZ27*[1]ステータス!$C$2,0)</f>
        <v>1821</v>
      </c>
      <c r="BM27" s="11">
        <f ca="1">ROUND(BD27*U27*AC27*L27*BA27*[1]ステータス!$D$2,0)</f>
        <v>0</v>
      </c>
      <c r="BN27" s="11">
        <f ca="1">ROUND(BD27*V27*AD27*M27*BB27*[1]ステータス!$E$2,0)</f>
        <v>1201</v>
      </c>
      <c r="BO27" s="10">
        <v>0</v>
      </c>
      <c r="BP27" s="10">
        <v>1</v>
      </c>
      <c r="BQ27" s="10" t="s">
        <v>47</v>
      </c>
      <c r="BR27" s="178">
        <v>140</v>
      </c>
    </row>
    <row r="28" spans="1:70" ht="21" customHeight="1" x14ac:dyDescent="0.15">
      <c r="A28" s="134">
        <v>551</v>
      </c>
      <c r="B28" s="57" t="str">
        <f ca="1">VLOOKUP($A28,OFFSET([1]characters!$A$1,0,0,COUNTA([1]characters!$A:$A),MATCH(B$1,[1]characters!$1:$1,0)-MATCH($A$1,[1]characters!$1:$1,0)+1),MATCH(B$1,[1]characters!$1:$1,0)-MATCH($A$1,[1]characters!$1:$1,0)+1,FALSE)</f>
        <v>KAITO</v>
      </c>
      <c r="C28" s="57" t="str">
        <f ca="1">VLOOKUP($A28,OFFSET([1]characters!$A$1,0,0,COUNTA([1]characters!$A:$A),MATCH(C$1,[1]characters!$1:$1,0)-MATCH($A$1,[1]characters!$1:$1,0)+1),MATCH(C$1,[1]characters!$1:$1,0)-MATCH($A$1,[1]characters!$1:$1,0)+1,FALSE)</f>
        <v>ガチャ:ミクコラボ01</v>
      </c>
      <c r="D28" s="57" t="str">
        <f ca="1">VLOOKUP($A28,OFFSET([1]characters!$A$1,0,0,COUNTA([1]characters!$A:$A),MATCH(D$1,[1]characters!$1:$1,0)-MATCH($A$1,[1]characters!$1:$1,0)+1),MATCH(D$1,[1]characters!$1:$1,0)-MATCH($A$1,[1]characters!$1:$1,0)+1,FALSE)</f>
        <v>執行者</v>
      </c>
      <c r="E28" s="57" t="str">
        <f ca="1">VLOOKUP($A28,OFFSET([1]characters!$A$1,0,0,COUNTA([1]characters!$A:$A),MATCH(E$1,[1]characters!$1:$1,0)-MATCH($A$1,[1]characters!$1:$1,0)+1),MATCH(E$1,[1]characters!$1:$1,0)-MATCH($A$1,[1]characters!$1:$1,0)+1,FALSE)</f>
        <v>格好いい</v>
      </c>
      <c r="F28" s="57" t="str">
        <f ca="1">VLOOKUP($A28,OFFSET([1]characters!$A$1,0,0,COUNTA([1]characters!$A:$A),MATCH(F$1,[1]characters!$1:$1,0)-MATCH($A$1,[1]characters!$1:$1,0)+1),MATCH(F$1,[1]characters!$1:$1,0)-MATCH($A$1,[1]characters!$1:$1,0)+1,FALSE)</f>
        <v>男性</v>
      </c>
      <c r="G28" s="57">
        <f ca="1">VLOOKUP($A28,OFFSET([1]characters!$A$1,0,0,COUNTA([1]characters!$A:$A),MATCH(G$1,[1]characters!$1:$1,0)-MATCH($A$1,[1]characters!$1:$1,0)+1),MATCH(G$1,[1]characters!$1:$1,0)-MATCH($A$1,[1]characters!$1:$1,0)+1,FALSE)</f>
        <v>3</v>
      </c>
      <c r="H28" s="57" t="str">
        <f ca="1">VLOOKUP($A28,OFFSET([1]characters!$A$1,0,0,COUNTA([1]characters!$A:$A),MATCH(H$1,[1]characters!$1:$1,0)-MATCH($A$1,[1]characters!$1:$1,0)+1),MATCH(H$1,[1]characters!$1:$1,0)-MATCH($A$1,[1]characters!$1:$1,0)+1,FALSE)</f>
        <v>PremiumS</v>
      </c>
      <c r="I28" s="57" t="str">
        <f ca="1">VLOOKUP($A28,OFFSET([1]characters!$A$1,0,0,COUNTA([1]characters!$A:$A),MATCH(I$1,[1]characters!$1:$1,0)-MATCH($A$1,[1]characters!$1:$1,0)+1),MATCH(I$1,[1]characters!$1:$1,0)-MATCH($A$1,[1]characters!$1:$1,0)+1,FALSE)</f>
        <v>blue</v>
      </c>
      <c r="J28" s="11">
        <f ca="1">VLOOKUP(I28,[1]属性!$A:$E,2,FALSE)</f>
        <v>1</v>
      </c>
      <c r="K28" s="11">
        <f ca="1">VLOOKUP(I28,[1]属性!$A:$E,3,FALSE)</f>
        <v>0.98</v>
      </c>
      <c r="L28" s="11">
        <f ca="1">VLOOKUP(I28,[1]属性!$A:$E,4,FALSE)</f>
        <v>1</v>
      </c>
      <c r="M28" s="11">
        <f ca="1">VLOOKUP(I28,[1]属性!$A:$E,5,FALSE)</f>
        <v>1.02</v>
      </c>
      <c r="N28" s="11">
        <f ca="1">INDEX(コスト!$A$1:$I$21,MATCH(H28,コスト!$A$1:$A$21,FALSE),MATCH(G28,コスト!$A$1:$I$1,FALSE))</f>
        <v>10</v>
      </c>
      <c r="O28" s="11">
        <f ca="1">INDEX(レベル!$A$1:$I$21,MATCH(H28,レベル!$A$1:$A$21,FALSE),MATCH(G28,レベル!$A$1:$I$1,FALSE))</f>
        <v>40</v>
      </c>
      <c r="P28" s="48">
        <f t="shared" ca="1" si="17"/>
        <v>45</v>
      </c>
      <c r="Q28" s="57" t="str">
        <f ca="1">VLOOKUP($A28,OFFSET([1]characters!$A$1,0,0,COUNTA([1]characters!$A:$A),MATCH(Q$1,[1]characters!$1:$1,0)-MATCH($A$1,[1]characters!$1:$1,0)+1),MATCH(Q$1,[1]characters!$1:$1,0)-MATCH($A$1,[1]characters!$1:$1,0)+1,FALSE)</f>
        <v>technical</v>
      </c>
      <c r="R28" s="5" t="str">
        <f ca="1">VLOOKUP(Q28,[1]character_type_i18n!$A:$H,3,FALSE)</f>
        <v>テクニカルタイプ</v>
      </c>
      <c r="S28" s="11">
        <f ca="1">VLOOKUP(Q28,[1]character_type_i18n!$A:$H,4,FALSE)</f>
        <v>0.9</v>
      </c>
      <c r="T28" s="11">
        <f ca="1">VLOOKUP(Q28,[1]character_type_i18n!$A:$H,5,FALSE)</f>
        <v>0.9</v>
      </c>
      <c r="U28" s="11">
        <f ca="1">VLOOKUP(Q28,[1]character_type_i18n!$A:$H,6,FALSE)</f>
        <v>1</v>
      </c>
      <c r="V28" s="11">
        <f ca="1">VLOOKUP(Q28,[1]character_type_i18n!$A:$H,7,FALSE)</f>
        <v>0.9</v>
      </c>
      <c r="W28" s="57" t="str">
        <f ca="1">VLOOKUP($A28,OFFSET([1]characters!$A$1,0,0,COUNTA([1]characters!$A:$A),MATCH(W$1,[1]characters!$1:$1,0)-MATCH($A$1,[1]characters!$1:$1,0)+1),MATCH(W$1,[1]characters!$1:$1,0)-MATCH($A$1,[1]characters!$1:$1,0)+1,FALSE)</f>
        <v>unknown</v>
      </c>
      <c r="X28" s="5" t="str">
        <f ca="1">VLOOKUP(W28,[1]character_tribe_i18n!$A:$H,3,FALSE)</f>
        <v>Unknown</v>
      </c>
      <c r="Y28" s="57" t="str">
        <f ca="1">VLOOKUP($A28,OFFSET([1]characters!$A$1,0,0,COUNTA([1]characters!$A:$A),MATCH(Y$1,[1]characters!$1:$1,0)-MATCH($A$1,[1]characters!$1:$1,0)+1),MATCH(Y$1,[1]characters!$1:$1,0)-MATCH($A$1,[1]characters!$1:$1,0)+1,FALSE)</f>
        <v>none</v>
      </c>
      <c r="Z28" s="5" t="str">
        <f ca="1">VLOOKUP(Y28,[1]character_tribe_i18n!$A:$H,3,FALSE)</f>
        <v>種族なし</v>
      </c>
      <c r="AA28" s="11">
        <f ca="1">VLOOKUP(W28,[1]character_tribe_i18n!$A:$H,4,FALSE)</f>
        <v>1</v>
      </c>
      <c r="AB28" s="11">
        <f ca="1">VLOOKUP(W28,[1]character_tribe_i18n!$A:$H,5,FALSE)</f>
        <v>1</v>
      </c>
      <c r="AC28" s="11">
        <f ca="1">VLOOKUP(W28,[1]character_tribe_i18n!$A:$H,6,FALSE)</f>
        <v>1</v>
      </c>
      <c r="AD28" s="11">
        <f ca="1">VLOOKUP(W28,[1]character_tribe_i18n!$A:$H,7,FALSE)</f>
        <v>1</v>
      </c>
      <c r="AE28" s="9">
        <f t="shared" ref="AE28" si="22">A29</f>
        <v>552</v>
      </c>
      <c r="AF28" s="62" t="str">
        <f ca="1">IF(AE28="NULL","",VLOOKUP($AE28,OFFSET([1]characters!$A$1,0,0,COUNTA([1]characters!$A:$A),MATCH(AF$1,[1]characters!$1:$1,0)-MATCH($A$1,[1]characters!$1:$1,0)+1),MATCH(AF$1,[1]characters!$1:$1,0)-MATCH($A$1,[1]characters!$1:$1,0)+1,FALSE))</f>
        <v>愉悦の愛唱 KAITO</v>
      </c>
      <c r="AG28" s="5">
        <f t="shared" ca="1" si="1"/>
        <v>551</v>
      </c>
      <c r="AH28" s="62" t="str">
        <f ca="1">VLOOKUP($AG28,OFFSET([1]characters!$A$1,0,0,COUNTA([1]characters!$A:$A),MATCH(AH$1,[1]characters!$1:$1,0)-MATCH($A$1,[1]characters!$1:$1,0)+1),MATCH(AH$1,[1]characters!$1:$1,0)-MATCH($A$1,[1]characters!$1:$1,0)+1,FALSE)</f>
        <v>KAITO</v>
      </c>
      <c r="AI28" s="11">
        <f ca="1">IF(AE28="NULL","NULL",VLOOKUP(G28,ビット!$A$2:$B$7,2))</f>
        <v>20000</v>
      </c>
      <c r="AJ28" s="6">
        <v>2</v>
      </c>
      <c r="AK28" s="7" t="str">
        <f t="shared" si="18"/>
        <v>普通</v>
      </c>
      <c r="AL28" s="11" t="str">
        <f ca="1">INDEX(経験値!$A$1:$I$21,MATCH(H28,経験値!$A$1:$A$21,FALSE),MATCH(G28,経験値!$A$1:$I$1,FALSE))</f>
        <v>required_exp_200</v>
      </c>
      <c r="AM28" s="8">
        <f ca="1">VLOOKUP(G28,経験値!$A$28:$B$32,2)</f>
        <v>1500</v>
      </c>
      <c r="AN28" s="17">
        <f ca="1">VLOOKUP(G28,ビット!$G$2:$H$7,2)</f>
        <v>300</v>
      </c>
      <c r="AO28" s="45"/>
      <c r="AP28" s="67">
        <f t="shared" si="8"/>
        <v>551</v>
      </c>
      <c r="AQ28" s="57" t="str">
        <f ca="1">VLOOKUP($AP28,OFFSET(unit_skills!$A$1,0,0,COUNTA(unit_skills!$A:$A),MATCH(AQ$1,unit_skills!$1:$1,0)-MATCH($AP$1,unit_skills!$1:$1,0)+1),MATCH(AQ$1,unit_skills!$1:$1,0)-MATCH($AP$1,unit_skills!$1:$1,0)+1,FALSE)</f>
        <v>ブルートーン・オールマイティ</v>
      </c>
      <c r="AR28" s="57" t="str">
        <f ca="1">VLOOKUP($AP28,OFFSET(unit_skills!$A$1,0,0,COUNTA(unit_skills!$A:$A),MATCH(AR$1,unit_skills!$1:$1,0)-MATCH($AP$1,unit_skills!$1:$1,0)+1),MATCH(AR$1,unit_skills!$1:$1,0)-MATCH($AP$1,unit_skills!$1:$1,0)+1,FALSE)</f>
        <v>3ターンの間青属性のユニットのパネルタップ回数を増やす＋緑パネルを青パネルに変換する</v>
      </c>
      <c r="AS28" s="57">
        <f ca="1">VLOOKUP($AP28,OFFSET(unit_skills!$A$1,0,0,COUNTA(unit_skills!$A:$A),MATCH(AS$1,unit_skills!$1:$1,0)-MATCH($AP$1,unit_skills!$1:$1,0)+1),MATCH(AS$1,unit_skills!$1:$1,0)-MATCH($AP$1,unit_skills!$1:$1,0)+1,FALSE)</f>
        <v>0</v>
      </c>
      <c r="AT28" s="41">
        <f t="shared" si="9"/>
        <v>551</v>
      </c>
      <c r="AU28" s="57" t="str">
        <f ca="1">VLOOKUP($AT28,OFFSET(crash_skills!$A$1,0,0,COUNTA(crash_skills!$A:$A),MATCH(AU$1,crash_skills!$1:$1,0)-MATCH($AT$1,crash_skills!$1:$1,0)+1),MATCH(AU$1,crash_skills!$1:$1,0)-MATCH($AT$1,crash_skills!$1:$1,0)+1,FALSE)</f>
        <v>プロトボイス・クリア</v>
      </c>
      <c r="AV28" s="57" t="str">
        <f ca="1">VLOOKUP($AT28,OFFSET(crash_skills!$A$1,0,0,COUNTA(crash_skills!$A:$A),MATCH(AV$1,crash_skills!$1:$1,0)-MATCH($AT$1,crash_skills!$1:$1,0)+1),MATCH(AV$1,crash_skills!$1:$1,0)-MATCH($AT$1,crash_skills!$1:$1,0)+1,FALSE)</f>
        <v>1体に特大ダメージ</v>
      </c>
      <c r="AW28" s="57">
        <f ca="1">VLOOKUP($AT28,OFFSET(crash_skills!$A$1,0,0,COUNTA(crash_skills!$A:$A),MATCH(AW$1,crash_skills!$1:$1,0)-MATCH($AT$1,crash_skills!$1:$1,0)+1),MATCH(AW$1,crash_skills!$1:$1,0)-MATCH($AT$1,crash_skills!$1:$1,0)+1,FALSE)</f>
        <v>0</v>
      </c>
      <c r="AX28" s="58">
        <f ca="1">VLOOKUP($A28,OFFSET([1]characters!$A$1,0,0,COUNTA([1]characters!$A:$A),MATCH(AX$1,[1]characters!$1:$1,0)-MATCH($A$1,[1]characters!$1:$1,0)+1),MATCH(AX$1,[1]characters!$1:$1,0)-MATCH($A$1,[1]characters!$1:$1,0)+1,FALSE)</f>
        <v>3</v>
      </c>
      <c r="AY28" s="68">
        <v>1</v>
      </c>
      <c r="AZ28" s="68">
        <v>1</v>
      </c>
      <c r="BA28" s="68">
        <v>0</v>
      </c>
      <c r="BB28" s="68">
        <v>1</v>
      </c>
      <c r="BC28" s="11">
        <f ca="1">INDEX('RC6SV'!$A$1:$G$21,MATCH(H28,'RC6SV'!$A$1:$A$21,FALSE),MATCH(G28,'RC6SV'!$A$1:$G$1,FALSE))</f>
        <v>5000</v>
      </c>
      <c r="BD28" s="48">
        <f t="shared" ca="1" si="19"/>
        <v>5000</v>
      </c>
      <c r="BE28" s="11">
        <f t="shared" ca="1" si="4"/>
        <v>0</v>
      </c>
      <c r="BF28" s="11">
        <f t="shared" ca="1" si="5"/>
        <v>1</v>
      </c>
      <c r="BG28" s="16">
        <f ca="1">IF($BE28&lt;=0,ROUND(BK28*0.5,0), ROUND($BE28*S28*AA28*J28*AY28*0.8*[1]ステータス!$B$2,0))</f>
        <v>1125</v>
      </c>
      <c r="BH28" s="16">
        <f ca="1">IF($BE28&lt;=0,ROUND(BL28*0.5,0), ROUND($BE28*T28*AB28*K28*AZ28*0.8*[1]ステータス!$C$2,0))</f>
        <v>662</v>
      </c>
      <c r="BI28" s="16">
        <f ca="1">IF($BE28&lt;=0,ROUND(BM28*0.5,0), ROUND($BE28*U28*AC28*L28*BA28*0.8*[1]ステータス!$D$2,0))</f>
        <v>0</v>
      </c>
      <c r="BJ28" s="16">
        <f ca="1">IF($BE28&lt;=0,ROUND(BN28*0.5,0), ROUND($BE28*V28*AD28*M28*BB28*0.8*[1]ステータス!$E$2,0))</f>
        <v>574</v>
      </c>
      <c r="BK28" s="11">
        <f ca="1">ROUND(BD28*S28*AA28*J28*AY28*[1]ステータス!$B$2,0)</f>
        <v>2250</v>
      </c>
      <c r="BL28" s="11">
        <f ca="1">ROUND(BD28*T28*AB28*K28*AZ28*[1]ステータス!$C$2,0)</f>
        <v>1323</v>
      </c>
      <c r="BM28" s="11">
        <f ca="1">ROUND(BD28*U28*AC28*L28*BA28*[1]ステータス!$D$2,0)</f>
        <v>0</v>
      </c>
      <c r="BN28" s="11">
        <f ca="1">ROUND(BD28*V28*AD28*M28*BB28*[1]ステータス!$E$2,0)</f>
        <v>1148</v>
      </c>
      <c r="BO28" s="10">
        <v>0</v>
      </c>
      <c r="BP28" s="10">
        <v>1</v>
      </c>
      <c r="BQ28" s="10" t="s">
        <v>47</v>
      </c>
      <c r="BR28" s="178">
        <v>140</v>
      </c>
    </row>
    <row r="29" spans="1:70" ht="21" customHeight="1" x14ac:dyDescent="0.15">
      <c r="A29" s="134">
        <v>552</v>
      </c>
      <c r="B29" s="57" t="str">
        <f ca="1">VLOOKUP($A29,OFFSET([1]characters!$A$1,0,0,COUNTA([1]characters!$A:$A),MATCH(B$1,[1]characters!$1:$1,0)-MATCH($A$1,[1]characters!$1:$1,0)+1),MATCH(B$1,[1]characters!$1:$1,0)-MATCH($A$1,[1]characters!$1:$1,0)+1,FALSE)</f>
        <v>愉悦の愛唱 KAITO</v>
      </c>
      <c r="C29" s="57" t="str">
        <f ca="1">VLOOKUP($A29,OFFSET([1]characters!$A$1,0,0,COUNTA([1]characters!$A:$A),MATCH(C$1,[1]characters!$1:$1,0)-MATCH($A$1,[1]characters!$1:$1,0)+1),MATCH(C$1,[1]characters!$1:$1,0)-MATCH($A$1,[1]characters!$1:$1,0)+1,FALSE)</f>
        <v>ガチャ:ミクコラボ01</v>
      </c>
      <c r="D29" s="57" t="str">
        <f ca="1">VLOOKUP($A29,OFFSET([1]characters!$A$1,0,0,COUNTA([1]characters!$A:$A),MATCH(D$1,[1]characters!$1:$1,0)-MATCH($A$1,[1]characters!$1:$1,0)+1),MATCH(D$1,[1]characters!$1:$1,0)-MATCH($A$1,[1]characters!$1:$1,0)+1,FALSE)</f>
        <v>執行者</v>
      </c>
      <c r="E29" s="57" t="str">
        <f ca="1">VLOOKUP($A29,OFFSET([1]characters!$A$1,0,0,COUNTA([1]characters!$A:$A),MATCH(E$1,[1]characters!$1:$1,0)-MATCH($A$1,[1]characters!$1:$1,0)+1),MATCH(E$1,[1]characters!$1:$1,0)-MATCH($A$1,[1]characters!$1:$1,0)+1,FALSE)</f>
        <v>格好いい</v>
      </c>
      <c r="F29" s="57" t="str">
        <f ca="1">VLOOKUP($A29,OFFSET([1]characters!$A$1,0,0,COUNTA([1]characters!$A:$A),MATCH(F$1,[1]characters!$1:$1,0)-MATCH($A$1,[1]characters!$1:$1,0)+1),MATCH(F$1,[1]characters!$1:$1,0)-MATCH($A$1,[1]characters!$1:$1,0)+1,FALSE)</f>
        <v>男性</v>
      </c>
      <c r="G29" s="57">
        <f ca="1">VLOOKUP($A29,OFFSET([1]characters!$A$1,0,0,COUNTA([1]characters!$A:$A),MATCH(G$1,[1]characters!$1:$1,0)-MATCH($A$1,[1]characters!$1:$1,0)+1),MATCH(G$1,[1]characters!$1:$1,0)-MATCH($A$1,[1]characters!$1:$1,0)+1,FALSE)</f>
        <v>4</v>
      </c>
      <c r="H29" s="57" t="str">
        <f ca="1">VLOOKUP($A29,OFFSET([1]characters!$A$1,0,0,COUNTA([1]characters!$A:$A),MATCH(H$1,[1]characters!$1:$1,0)-MATCH($A$1,[1]characters!$1:$1,0)+1),MATCH(H$1,[1]characters!$1:$1,0)-MATCH($A$1,[1]characters!$1:$1,0)+1,FALSE)</f>
        <v>PremiumS</v>
      </c>
      <c r="I29" s="57" t="str">
        <f ca="1">VLOOKUP($A29,OFFSET([1]characters!$A$1,0,0,COUNTA([1]characters!$A:$A),MATCH(I$1,[1]characters!$1:$1,0)-MATCH($A$1,[1]characters!$1:$1,0)+1),MATCH(I$1,[1]characters!$1:$1,0)-MATCH($A$1,[1]characters!$1:$1,0)+1,FALSE)</f>
        <v>blue</v>
      </c>
      <c r="J29" s="11">
        <f ca="1">VLOOKUP(I29,[1]属性!$A:$E,2,FALSE)</f>
        <v>1</v>
      </c>
      <c r="K29" s="11">
        <f ca="1">VLOOKUP(I29,[1]属性!$A:$E,3,FALSE)</f>
        <v>0.98</v>
      </c>
      <c r="L29" s="11">
        <f ca="1">VLOOKUP(I29,[1]属性!$A:$E,4,FALSE)</f>
        <v>1</v>
      </c>
      <c r="M29" s="11">
        <f ca="1">VLOOKUP(I29,[1]属性!$A:$E,5,FALSE)</f>
        <v>1.02</v>
      </c>
      <c r="N29" s="11">
        <f ca="1">INDEX(コスト!$A$1:$I$21,MATCH(H29,コスト!$A$1:$A$21,FALSE),MATCH(G29,コスト!$A$1:$I$1,FALSE))</f>
        <v>20</v>
      </c>
      <c r="O29" s="11">
        <f ca="1">INDEX(レベル!$A$1:$I$21,MATCH(H29,レベル!$A$1:$A$21,FALSE),MATCH(G29,レベル!$A$1:$I$1,FALSE))</f>
        <v>60</v>
      </c>
      <c r="P29" s="48">
        <f t="shared" ca="1" si="17"/>
        <v>60</v>
      </c>
      <c r="Q29" s="57" t="str">
        <f ca="1">VLOOKUP($A29,OFFSET([1]characters!$A$1,0,0,COUNTA([1]characters!$A:$A),MATCH(Q$1,[1]characters!$1:$1,0)-MATCH($A$1,[1]characters!$1:$1,0)+1),MATCH(Q$1,[1]characters!$1:$1,0)-MATCH($A$1,[1]characters!$1:$1,0)+1,FALSE)</f>
        <v>technical</v>
      </c>
      <c r="R29" s="5" t="str">
        <f ca="1">VLOOKUP(Q29,[1]character_type_i18n!$A:$H,3,FALSE)</f>
        <v>テクニカルタイプ</v>
      </c>
      <c r="S29" s="11">
        <f ca="1">VLOOKUP(Q29,[1]character_type_i18n!$A:$H,4,FALSE)</f>
        <v>0.9</v>
      </c>
      <c r="T29" s="11">
        <f ca="1">VLOOKUP(Q29,[1]character_type_i18n!$A:$H,5,FALSE)</f>
        <v>0.9</v>
      </c>
      <c r="U29" s="11">
        <f ca="1">VLOOKUP(Q29,[1]character_type_i18n!$A:$H,6,FALSE)</f>
        <v>1</v>
      </c>
      <c r="V29" s="11">
        <f ca="1">VLOOKUP(Q29,[1]character_type_i18n!$A:$H,7,FALSE)</f>
        <v>0.9</v>
      </c>
      <c r="W29" s="57" t="str">
        <f ca="1">VLOOKUP($A29,OFFSET([1]characters!$A$1,0,0,COUNTA([1]characters!$A:$A),MATCH(W$1,[1]characters!$1:$1,0)-MATCH($A$1,[1]characters!$1:$1,0)+1),MATCH(W$1,[1]characters!$1:$1,0)-MATCH($A$1,[1]characters!$1:$1,0)+1,FALSE)</f>
        <v>unknown</v>
      </c>
      <c r="X29" s="5" t="str">
        <f ca="1">VLOOKUP(W29,[1]character_tribe_i18n!$A:$H,3,FALSE)</f>
        <v>Unknown</v>
      </c>
      <c r="Y29" s="57" t="str">
        <f ca="1">VLOOKUP($A29,OFFSET([1]characters!$A$1,0,0,COUNTA([1]characters!$A:$A),MATCH(Y$1,[1]characters!$1:$1,0)-MATCH($A$1,[1]characters!$1:$1,0)+1),MATCH(Y$1,[1]characters!$1:$1,0)-MATCH($A$1,[1]characters!$1:$1,0)+1,FALSE)</f>
        <v>none</v>
      </c>
      <c r="Z29" s="5" t="str">
        <f ca="1">VLOOKUP(Y29,[1]character_tribe_i18n!$A:$H,3,FALSE)</f>
        <v>種族なし</v>
      </c>
      <c r="AA29" s="11">
        <f ca="1">VLOOKUP(W29,[1]character_tribe_i18n!$A:$H,4,FALSE)</f>
        <v>1</v>
      </c>
      <c r="AB29" s="11">
        <f ca="1">VLOOKUP(W29,[1]character_tribe_i18n!$A:$H,5,FALSE)</f>
        <v>1</v>
      </c>
      <c r="AC29" s="11">
        <f ca="1">VLOOKUP(W29,[1]character_tribe_i18n!$A:$H,6,FALSE)</f>
        <v>1</v>
      </c>
      <c r="AD29" s="11">
        <f ca="1">VLOOKUP(W29,[1]character_tribe_i18n!$A:$H,7,FALSE)</f>
        <v>1</v>
      </c>
      <c r="AE29" s="9" t="s">
        <v>178</v>
      </c>
      <c r="AF29" s="62" t="str">
        <f ca="1">IF(AE29="NULL","",VLOOKUP($AE29,OFFSET([1]characters!$A$1,0,0,COUNTA([1]characters!$A:$A),MATCH(AF$1,[1]characters!$1:$1,0)-MATCH($A$1,[1]characters!$1:$1,0)+1),MATCH(AF$1,[1]characters!$1:$1,0)-MATCH($A$1,[1]characters!$1:$1,0)+1,FALSE))</f>
        <v/>
      </c>
      <c r="AG29" s="5">
        <f t="shared" ca="1" si="1"/>
        <v>551</v>
      </c>
      <c r="AH29" s="62" t="str">
        <f ca="1">VLOOKUP($AG29,OFFSET([1]characters!$A$1,0,0,COUNTA([1]characters!$A:$A),MATCH(AH$1,[1]characters!$1:$1,0)-MATCH($A$1,[1]characters!$1:$1,0)+1),MATCH(AH$1,[1]characters!$1:$1,0)-MATCH($A$1,[1]characters!$1:$1,0)+1,FALSE)</f>
        <v>KAITO</v>
      </c>
      <c r="AI29" s="11" t="str">
        <f>IF(AE29="NULL","NULL",VLOOKUP(G29,ビット!$A$2:$B$7,2))</f>
        <v>NULL</v>
      </c>
      <c r="AJ29" s="6">
        <v>2</v>
      </c>
      <c r="AK29" s="7" t="str">
        <f t="shared" si="18"/>
        <v>普通</v>
      </c>
      <c r="AL29" s="11" t="str">
        <f ca="1">INDEX(経験値!$A$1:$I$21,MATCH(H29,経験値!$A$1:$A$21,FALSE),MATCH(G29,経験値!$A$1:$I$1,FALSE))</f>
        <v>required_exp_200</v>
      </c>
      <c r="AM29" s="8">
        <f ca="1">VLOOKUP(G29,経験値!$A$28:$B$32,2)</f>
        <v>3400</v>
      </c>
      <c r="AN29" s="17">
        <f ca="1">VLOOKUP(G29,ビット!$G$2:$H$7,2)</f>
        <v>600</v>
      </c>
      <c r="AO29" s="45"/>
      <c r="AP29" s="67">
        <f t="shared" si="8"/>
        <v>552</v>
      </c>
      <c r="AQ29" s="57" t="str">
        <f ca="1">VLOOKUP($AP29,OFFSET(unit_skills!$A$1,0,0,COUNTA(unit_skills!$A:$A),MATCH(AQ$1,unit_skills!$1:$1,0)-MATCH($AP$1,unit_skills!$1:$1,0)+1),MATCH(AQ$1,unit_skills!$1:$1,0)-MATCH($AP$1,unit_skills!$1:$1,0)+1,FALSE)</f>
        <v>ブルートーン・オールマイティ</v>
      </c>
      <c r="AR29" s="57" t="str">
        <f ca="1">VLOOKUP($AP29,OFFSET(unit_skills!$A$1,0,0,COUNTA(unit_skills!$A:$A),MATCH(AR$1,unit_skills!$1:$1,0)-MATCH($AP$1,unit_skills!$1:$1,0)+1),MATCH(AR$1,unit_skills!$1:$1,0)-MATCH($AP$1,unit_skills!$1:$1,0)+1,FALSE)</f>
        <v>3ターンの間青属性のユニットのパネルタップ回数を増やす＋緑パネルを青パネルに変換する</v>
      </c>
      <c r="AS29" s="57">
        <f ca="1">VLOOKUP($AP29,OFFSET(unit_skills!$A$1,0,0,COUNTA(unit_skills!$A:$A),MATCH(AS$1,unit_skills!$1:$1,0)-MATCH($AP$1,unit_skills!$1:$1,0)+1),MATCH(AS$1,unit_skills!$1:$1,0)-MATCH($AP$1,unit_skills!$1:$1,0)+1,FALSE)</f>
        <v>0</v>
      </c>
      <c r="AT29" s="41">
        <f t="shared" si="9"/>
        <v>552</v>
      </c>
      <c r="AU29" s="57" t="str">
        <f ca="1">VLOOKUP($AT29,OFFSET(crash_skills!$A$1,0,0,COUNTA(crash_skills!$A:$A),MATCH(AU$1,crash_skills!$1:$1,0)-MATCH($AT$1,crash_skills!$1:$1,0)+1),MATCH(AU$1,crash_skills!$1:$1,0)-MATCH($AT$1,crash_skills!$1:$1,0)+1,FALSE)</f>
        <v>プロトボイス・クリア</v>
      </c>
      <c r="AV29" s="57" t="str">
        <f ca="1">VLOOKUP($AT29,OFFSET(crash_skills!$A$1,0,0,COUNTA(crash_skills!$A:$A),MATCH(AV$1,crash_skills!$1:$1,0)-MATCH($AT$1,crash_skills!$1:$1,0)+1),MATCH(AV$1,crash_skills!$1:$1,0)-MATCH($AT$1,crash_skills!$1:$1,0)+1,FALSE)</f>
        <v>1体に特大ダメージ</v>
      </c>
      <c r="AW29" s="57">
        <f ca="1">VLOOKUP($AT29,OFFSET(crash_skills!$A$1,0,0,COUNTA(crash_skills!$A:$A),MATCH(AW$1,crash_skills!$1:$1,0)-MATCH($AT$1,crash_skills!$1:$1,0)+1),MATCH(AW$1,crash_skills!$1:$1,0)-MATCH($AT$1,crash_skills!$1:$1,0)+1,FALSE)</f>
        <v>0</v>
      </c>
      <c r="AX29" s="58">
        <f ca="1">VLOOKUP($A29,OFFSET([1]characters!$A$1,0,0,COUNTA([1]characters!$A:$A),MATCH(AX$1,[1]characters!$1:$1,0)-MATCH($A$1,[1]characters!$1:$1,0)+1),MATCH(AX$1,[1]characters!$1:$1,0)-MATCH($A$1,[1]characters!$1:$1,0)+1,FALSE)</f>
        <v>3</v>
      </c>
      <c r="AY29" s="68">
        <v>1</v>
      </c>
      <c r="AZ29" s="68">
        <v>1</v>
      </c>
      <c r="BA29" s="68">
        <v>0</v>
      </c>
      <c r="BB29" s="68">
        <v>1</v>
      </c>
      <c r="BC29" s="11">
        <f ca="1">INDEX('RC6SV'!$A$1:$G$21,MATCH(H29,'RC6SV'!$A$1:$A$21,FALSE),MATCH(G29,'RC6SV'!$A$1:$G$1,FALSE))</f>
        <v>7000</v>
      </c>
      <c r="BD29" s="48">
        <f t="shared" ca="1" si="19"/>
        <v>7000</v>
      </c>
      <c r="BE29" s="11">
        <f t="shared" ca="1" si="4"/>
        <v>5000</v>
      </c>
      <c r="BF29" s="11">
        <f t="shared" ca="1" si="5"/>
        <v>1</v>
      </c>
      <c r="BG29" s="16">
        <f ca="1">IF($BE29&lt;=0,ROUND(BK29*0.5,0), ROUND($BE29*S29*AA29*J29*AY29*0.8*[1]ステータス!$B$2,0))</f>
        <v>1800</v>
      </c>
      <c r="BH29" s="16">
        <f ca="1">IF($BE29&lt;=0,ROUND(BL29*0.5,0), ROUND($BE29*T29*AB29*K29*AZ29*0.8*[1]ステータス!$C$2,0))</f>
        <v>1058</v>
      </c>
      <c r="BI29" s="16">
        <f ca="1">IF($BE29&lt;=0,ROUND(BM29*0.5,0), ROUND($BE29*U29*AC29*L29*BA29*0.8*[1]ステータス!$D$2,0))</f>
        <v>0</v>
      </c>
      <c r="BJ29" s="16">
        <f ca="1">IF($BE29&lt;=0,ROUND(BN29*0.5,0), ROUND($BE29*V29*AD29*M29*BB29*0.8*[1]ステータス!$E$2,0))</f>
        <v>918</v>
      </c>
      <c r="BK29" s="11">
        <f ca="1">ROUND(BD29*S29*AA29*J29*AY29*[1]ステータス!$B$2,0)</f>
        <v>3150</v>
      </c>
      <c r="BL29" s="11">
        <f ca="1">ROUND(BD29*T29*AB29*K29*AZ29*[1]ステータス!$C$2,0)</f>
        <v>1852</v>
      </c>
      <c r="BM29" s="11">
        <f ca="1">ROUND(BD29*U29*AC29*L29*BA29*[1]ステータス!$D$2,0)</f>
        <v>0</v>
      </c>
      <c r="BN29" s="11">
        <f ca="1">ROUND(BD29*V29*AD29*M29*BB29*[1]ステータス!$E$2,0)</f>
        <v>1607</v>
      </c>
      <c r="BO29" s="10">
        <v>0</v>
      </c>
      <c r="BP29" s="10">
        <v>1</v>
      </c>
      <c r="BQ29" s="10" t="s">
        <v>47</v>
      </c>
      <c r="BR29" s="178">
        <v>140</v>
      </c>
    </row>
    <row r="30" spans="1:70" ht="21" customHeight="1" x14ac:dyDescent="0.15">
      <c r="A30" s="134">
        <v>553</v>
      </c>
      <c r="B30" s="57" t="str">
        <f ca="1">VLOOKUP($A30,OFFSET([1]characters!$A$1,0,0,COUNTA([1]characters!$A:$A),MATCH(B$1,[1]characters!$1:$1,0)-MATCH($A$1,[1]characters!$1:$1,0)+1),MATCH(B$1,[1]characters!$1:$1,0)-MATCH($A$1,[1]characters!$1:$1,0)+1,FALSE)</f>
        <v>雪ミク2016</v>
      </c>
      <c r="C30" s="57" t="str">
        <f ca="1">VLOOKUP($A30,OFFSET([1]characters!$A$1,0,0,COUNTA([1]characters!$A:$A),MATCH(C$1,[1]characters!$1:$1,0)-MATCH($A$1,[1]characters!$1:$1,0)+1),MATCH(C$1,[1]characters!$1:$1,0)-MATCH($A$1,[1]characters!$1:$1,0)+1,FALSE)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0" s="57" t="str">
        <f ca="1">VLOOKUP($A30,OFFSET([1]characters!$A$1,0,0,COUNTA([1]characters!$A:$A),MATCH(D$1,[1]characters!$1:$1,0)-MATCH($A$1,[1]characters!$1:$1,0)+1),MATCH(D$1,[1]characters!$1:$1,0)-MATCH($A$1,[1]characters!$1:$1,0)+1,FALSE)</f>
        <v>執行者</v>
      </c>
      <c r="E30" s="57" t="str">
        <f ca="1">VLOOKUP($A30,OFFSET([1]characters!$A$1,0,0,COUNTA([1]characters!$A:$A),MATCH(E$1,[1]characters!$1:$1,0)-MATCH($A$1,[1]characters!$1:$1,0)+1),MATCH(E$1,[1]characters!$1:$1,0)-MATCH($A$1,[1]characters!$1:$1,0)+1,FALSE)</f>
        <v>格好いい</v>
      </c>
      <c r="F30" s="57" t="str">
        <f ca="1">VLOOKUP($A30,OFFSET([1]characters!$A$1,0,0,COUNTA([1]characters!$A:$A),MATCH(F$1,[1]characters!$1:$1,0)-MATCH($A$1,[1]characters!$1:$1,0)+1),MATCH(F$1,[1]characters!$1:$1,0)-MATCH($A$1,[1]characters!$1:$1,0)+1,FALSE)</f>
        <v>女性</v>
      </c>
      <c r="G30" s="57">
        <f ca="1">VLOOKUP($A30,OFFSET([1]characters!$A$1,0,0,COUNTA([1]characters!$A:$A),MATCH(G$1,[1]characters!$1:$1,0)-MATCH($A$1,[1]characters!$1:$1,0)+1),MATCH(G$1,[1]characters!$1:$1,0)-MATCH($A$1,[1]characters!$1:$1,0)+1,FALSE)</f>
        <v>4</v>
      </c>
      <c r="H30" s="57" t="str">
        <f ca="1">VLOOKUP($A30,OFFSET([1]characters!$A$1,0,0,COUNTA([1]characters!$A:$A),MATCH(H$1,[1]characters!$1:$1,0)-MATCH($A$1,[1]characters!$1:$1,0)+1),MATCH(H$1,[1]characters!$1:$1,0)-MATCH($A$1,[1]characters!$1:$1,0)+1,FALSE)</f>
        <v>Drop2N</v>
      </c>
      <c r="I30" s="57" t="str">
        <f ca="1">VLOOKUP($A30,OFFSET([1]characters!$A$1,0,0,COUNTA([1]characters!$A:$A),MATCH(I$1,[1]characters!$1:$1,0)-MATCH($A$1,[1]characters!$1:$1,0)+1),MATCH(I$1,[1]characters!$1:$1,0)-MATCH($A$1,[1]characters!$1:$1,0)+1,FALSE)</f>
        <v>blue</v>
      </c>
      <c r="J30" s="11">
        <f ca="1">VLOOKUP(I30,[1]属性!$A:$E,2,FALSE)</f>
        <v>1</v>
      </c>
      <c r="K30" s="11">
        <f ca="1">VLOOKUP(I30,[1]属性!$A:$E,3,FALSE)</f>
        <v>0.98</v>
      </c>
      <c r="L30" s="11">
        <f ca="1">VLOOKUP(I30,[1]属性!$A:$E,4,FALSE)</f>
        <v>1</v>
      </c>
      <c r="M30" s="11">
        <f ca="1">VLOOKUP(I30,[1]属性!$A:$E,5,FALSE)</f>
        <v>1.02</v>
      </c>
      <c r="N30" s="11">
        <f ca="1">INDEX(コスト!$A$1:$I$21,MATCH(H30,コスト!$A$1:$A$21,FALSE),MATCH(G30,コスト!$A$1:$I$1,FALSE))</f>
        <v>17</v>
      </c>
      <c r="O30" s="11">
        <f ca="1">INDEX(レベル!$A$1:$I$21,MATCH(H30,レベル!$A$1:$A$21,FALSE),MATCH(G30,レベル!$A$1:$I$1,FALSE))</f>
        <v>60</v>
      </c>
      <c r="P30" s="48">
        <f t="shared" ca="1" si="17"/>
        <v>60</v>
      </c>
      <c r="Q30" s="57" t="str">
        <f ca="1">VLOOKUP($A30,OFFSET([1]characters!$A$1,0,0,COUNTA([1]characters!$A:$A),MATCH(Q$1,[1]characters!$1:$1,0)-MATCH($A$1,[1]characters!$1:$1,0)+1),MATCH(Q$1,[1]characters!$1:$1,0)-MATCH($A$1,[1]characters!$1:$1,0)+1,FALSE)</f>
        <v>attack</v>
      </c>
      <c r="R30" s="5" t="str">
        <f ca="1">VLOOKUP(Q30,[1]character_type_i18n!$A:$H,3,FALSE)</f>
        <v>攻撃タイプ</v>
      </c>
      <c r="S30" s="11">
        <f ca="1">VLOOKUP(Q30,[1]character_type_i18n!$A:$H,4,FALSE)</f>
        <v>1</v>
      </c>
      <c r="T30" s="11">
        <f ca="1">VLOOKUP(Q30,[1]character_type_i18n!$A:$H,5,FALSE)</f>
        <v>1.33</v>
      </c>
      <c r="U30" s="11">
        <f ca="1">VLOOKUP(Q30,[1]character_type_i18n!$A:$H,6,FALSE)</f>
        <v>1</v>
      </c>
      <c r="V30" s="11">
        <f ca="1">VLOOKUP(Q30,[1]character_type_i18n!$A:$H,7,FALSE)</f>
        <v>0.67</v>
      </c>
      <c r="W30" s="57" t="str">
        <f ca="1">VLOOKUP($A30,OFFSET([1]characters!$A$1,0,0,COUNTA([1]characters!$A:$A),MATCH(W$1,[1]characters!$1:$1,0)-MATCH($A$1,[1]characters!$1:$1,0)+1),MATCH(W$1,[1]characters!$1:$1,0)-MATCH($A$1,[1]characters!$1:$1,0)+1,FALSE)</f>
        <v>unknown</v>
      </c>
      <c r="X30" s="5" t="str">
        <f ca="1">VLOOKUP(W30,[1]character_tribe_i18n!$A:$H,3,FALSE)</f>
        <v>Unknown</v>
      </c>
      <c r="Y30" s="57" t="str">
        <f ca="1">VLOOKUP($A30,OFFSET([1]characters!$A$1,0,0,COUNTA([1]characters!$A:$A),MATCH(Y$1,[1]characters!$1:$1,0)-MATCH($A$1,[1]characters!$1:$1,0)+1),MATCH(Y$1,[1]characters!$1:$1,0)-MATCH($A$1,[1]characters!$1:$1,0)+1,FALSE)</f>
        <v>none</v>
      </c>
      <c r="Z30" s="5" t="str">
        <f ca="1">VLOOKUP(Y30,[1]character_tribe_i18n!$A:$H,3,FALSE)</f>
        <v>種族なし</v>
      </c>
      <c r="AA30" s="11">
        <f ca="1">VLOOKUP(W30,[1]character_tribe_i18n!$A:$H,4,FALSE)</f>
        <v>1</v>
      </c>
      <c r="AB30" s="11">
        <f ca="1">VLOOKUP(W30,[1]character_tribe_i18n!$A:$H,5,FALSE)</f>
        <v>1</v>
      </c>
      <c r="AC30" s="11">
        <f ca="1">VLOOKUP(W30,[1]character_tribe_i18n!$A:$H,6,FALSE)</f>
        <v>1</v>
      </c>
      <c r="AD30" s="11">
        <f ca="1">VLOOKUP(W30,[1]character_tribe_i18n!$A:$H,7,FALSE)</f>
        <v>1</v>
      </c>
      <c r="AE30" s="9">
        <f t="shared" ref="AE30" si="23">A31</f>
        <v>554</v>
      </c>
      <c r="AF30" s="62" t="str">
        <f ca="1">IF(AE30="NULL","",VLOOKUP($AE30,OFFSET([1]characters!$A$1,0,0,COUNTA([1]characters!$A:$A),MATCH(AF$1,[1]characters!$1:$1,0)-MATCH($A$1,[1]characters!$1:$1,0)+1),MATCH(AF$1,[1]characters!$1:$1,0)-MATCH($A$1,[1]characters!$1:$1,0)+1,FALSE))</f>
        <v>雪ミク&amp;ラビット・ユキネ2016</v>
      </c>
      <c r="AG30" s="5">
        <f t="shared" ca="1" si="1"/>
        <v>553</v>
      </c>
      <c r="AH30" s="62" t="str">
        <f ca="1">VLOOKUP($AG30,OFFSET([1]characters!$A$1,0,0,COUNTA([1]characters!$A:$A),MATCH(AH$1,[1]characters!$1:$1,0)-MATCH($A$1,[1]characters!$1:$1,0)+1),MATCH(AH$1,[1]characters!$1:$1,0)-MATCH($A$1,[1]characters!$1:$1,0)+1,FALSE)</f>
        <v>雪ミク2016</v>
      </c>
      <c r="AI30" s="11">
        <f ca="1">IF(AE30="NULL","NULL",VLOOKUP(G30,ビット!$A$2:$B$7,2))</f>
        <v>50000</v>
      </c>
      <c r="AJ30" s="6">
        <v>2</v>
      </c>
      <c r="AK30" s="7" t="str">
        <f t="shared" si="18"/>
        <v>普通</v>
      </c>
      <c r="AL30" s="11" t="str">
        <f ca="1">INDEX(経験値!$A$1:$I$21,MATCH(H30,経験値!$A$1:$A$21,FALSE),MATCH(G30,経験値!$A$1:$I$1,FALSE))</f>
        <v>required_exp_200</v>
      </c>
      <c r="AM30" s="8">
        <f ca="1">VLOOKUP(G30,経験値!$A$28:$B$32,2)</f>
        <v>3400</v>
      </c>
      <c r="AN30" s="17">
        <f ca="1">VLOOKUP(G30,ビット!$G$2:$H$7,2)</f>
        <v>600</v>
      </c>
      <c r="AO30" s="45"/>
      <c r="AP30" s="67">
        <f t="shared" si="8"/>
        <v>553</v>
      </c>
      <c r="AQ30" s="57" t="str">
        <f ca="1">VLOOKUP($AP30,OFFSET(unit_skills!$A$1,0,0,COUNTA(unit_skills!$A:$A),MATCH(AQ$1,unit_skills!$1:$1,0)-MATCH($AP$1,unit_skills!$1:$1,0)+1),MATCH(AQ$1,unit_skills!$1:$1,0)-MATCH($AP$1,unit_skills!$1:$1,0)+1,FALSE)</f>
        <v>レッツ！スノウフェスティバル！</v>
      </c>
      <c r="AR30" s="57" t="str">
        <f ca="1">VLOOKUP($AP30,OFFSET(unit_skills!$A$1,0,0,COUNTA(unit_skills!$A:$A),MATCH(AR$1,unit_skills!$1:$1,0)-MATCH($AP$1,unit_skills!$1:$1,0)+1),MATCH(AR$1,unit_skills!$1:$1,0)-MATCH($AP$1,unit_skills!$1:$1,0)+1,FALSE)</f>
        <v>単体に青属性の大ダメージ</v>
      </c>
      <c r="AS30" s="57">
        <f ca="1">VLOOKUP($AP30,OFFSET(unit_skills!$A$1,0,0,COUNTA(unit_skills!$A:$A),MATCH(AS$1,unit_skills!$1:$1,0)-MATCH($AP$1,unit_skills!$1:$1,0)+1),MATCH(AS$1,unit_skills!$1:$1,0)-MATCH($AP$1,unit_skills!$1:$1,0)+1,FALSE)</f>
        <v>0</v>
      </c>
      <c r="AT30" s="41">
        <f t="shared" si="9"/>
        <v>553</v>
      </c>
      <c r="AU30" s="57" t="str">
        <f ca="1">VLOOKUP($AT30,OFFSET(crash_skills!$A$1,0,0,COUNTA(crash_skills!$A:$A),MATCH(AU$1,crash_skills!$1:$1,0)-MATCH($AT$1,crash_skills!$1:$1,0)+1),MATCH(AU$1,crash_skills!$1:$1,0)-MATCH($AT$1,crash_skills!$1:$1,0)+1,FALSE)</f>
        <v>ハピネスジャンプ！</v>
      </c>
      <c r="AV30" s="57" t="str">
        <f ca="1">VLOOKUP($AT30,OFFSET(crash_skills!$A$1,0,0,COUNTA(crash_skills!$A:$A),MATCH(AV$1,crash_skills!$1:$1,0)-MATCH($AT$1,crash_skills!$1:$1,0)+1),MATCH(AV$1,crash_skills!$1:$1,0)-MATCH($AT$1,crash_skills!$1:$1,0)+1,FALSE)</f>
        <v>全体に大ダメージ</v>
      </c>
      <c r="AW30" s="57">
        <f ca="1">VLOOKUP($AT30,OFFSET(crash_skills!$A$1,0,0,COUNTA(crash_skills!$A:$A),MATCH(AW$1,crash_skills!$1:$1,0)-MATCH($AT$1,crash_skills!$1:$1,0)+1),MATCH(AW$1,crash_skills!$1:$1,0)-MATCH($AT$1,crash_skills!$1:$1,0)+1,FALSE)</f>
        <v>0</v>
      </c>
      <c r="AX30" s="58">
        <f ca="1">VLOOKUP($A30,OFFSET([1]characters!$A$1,0,0,COUNTA([1]characters!$A:$A),MATCH(AX$1,[1]characters!$1:$1,0)-MATCH($A$1,[1]characters!$1:$1,0)+1),MATCH(AX$1,[1]characters!$1:$1,0)-MATCH($A$1,[1]characters!$1:$1,0)+1,FALSE)</f>
        <v>3</v>
      </c>
      <c r="AY30" s="68">
        <v>1</v>
      </c>
      <c r="AZ30" s="68">
        <v>1</v>
      </c>
      <c r="BA30" s="68">
        <v>0</v>
      </c>
      <c r="BB30" s="68">
        <v>1</v>
      </c>
      <c r="BC30" s="11">
        <f ca="1">INDEX('RC6SV'!$A$1:$G$21,MATCH(H30,'RC6SV'!$A$1:$A$21,FALSE),MATCH(G30,'RC6SV'!$A$1:$G$1,FALSE))</f>
        <v>5800</v>
      </c>
      <c r="BD30" s="48">
        <f t="shared" ca="1" si="19"/>
        <v>5800</v>
      </c>
      <c r="BE30" s="11">
        <f t="shared" ca="1" si="4"/>
        <v>0</v>
      </c>
      <c r="BF30" s="11">
        <f t="shared" ca="1" si="5"/>
        <v>1</v>
      </c>
      <c r="BG30" s="16">
        <f ca="1">IF($BE30&lt;=0,ROUND(BK30*0.5,0), ROUND($BE30*S30*AA30*J30*AY30*0.8*[1]ステータス!$B$2,0))</f>
        <v>1450</v>
      </c>
      <c r="BH30" s="16">
        <f ca="1">IF($BE30&lt;=0,ROUND(BL30*0.5,0), ROUND($BE30*T30*AB30*K30*AZ30*0.8*[1]ステータス!$C$2,0))</f>
        <v>1134</v>
      </c>
      <c r="BI30" s="16">
        <f ca="1">IF($BE30&lt;=0,ROUND(BM30*0.5,0), ROUND($BE30*U30*AC30*L30*BA30*0.8*[1]ステータス!$D$2,0))</f>
        <v>0</v>
      </c>
      <c r="BJ30" s="16">
        <f ca="1">IF($BE30&lt;=0,ROUND(BN30*0.5,0), ROUND($BE30*V30*AD30*M30*BB30*0.8*[1]ステータス!$E$2,0))</f>
        <v>496</v>
      </c>
      <c r="BK30" s="11">
        <f ca="1">ROUND(BD30*S30*AA30*J30*AY30*[1]ステータス!$B$2,0)</f>
        <v>2900</v>
      </c>
      <c r="BL30" s="11">
        <f ca="1">ROUND(BD30*T30*AB30*K30*AZ30*[1]ステータス!$C$2,0)</f>
        <v>2268</v>
      </c>
      <c r="BM30" s="11">
        <f ca="1">ROUND(BD30*U30*AC30*L30*BA30*[1]ステータス!$D$2,0)</f>
        <v>0</v>
      </c>
      <c r="BN30" s="11">
        <f ca="1">ROUND(BD30*V30*AD30*M30*BB30*[1]ステータス!$E$2,0)</f>
        <v>991</v>
      </c>
      <c r="BO30" s="10">
        <v>0</v>
      </c>
      <c r="BP30" s="10">
        <v>1</v>
      </c>
      <c r="BQ30" s="10" t="s">
        <v>47</v>
      </c>
      <c r="BR30" s="10">
        <f ca="1">VLOOKUP(H30,ghosts_label!$A$2:$B$19,2,FALSE)</f>
        <v>1</v>
      </c>
    </row>
    <row r="31" spans="1:70" ht="21" customHeight="1" x14ac:dyDescent="0.15">
      <c r="A31" s="134">
        <v>554</v>
      </c>
      <c r="B31" s="57" t="str">
        <f ca="1">VLOOKUP($A31,OFFSET([1]characters!$A$1,0,0,COUNTA([1]characters!$A:$A),MATCH(B$1,[1]characters!$1:$1,0)-MATCH($A$1,[1]characters!$1:$1,0)+1),MATCH(B$1,[1]characters!$1:$1,0)-MATCH($A$1,[1]characters!$1:$1,0)+1,FALSE)</f>
        <v>雪ミク&amp;ラビット・ユキネ2016</v>
      </c>
      <c r="C31" s="57" t="str">
        <f ca="1">VLOOKUP($A31,OFFSET([1]characters!$A$1,0,0,COUNTA([1]characters!$A:$A),MATCH(C$1,[1]characters!$1:$1,0)-MATCH($A$1,[1]characters!$1:$1,0)+1),MATCH(C$1,[1]characters!$1:$1,0)-MATCH($A$1,[1]characters!$1:$1,0)+1,FALSE)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1" s="57" t="str">
        <f ca="1">VLOOKUP($A31,OFFSET([1]characters!$A$1,0,0,COUNTA([1]characters!$A:$A),MATCH(D$1,[1]characters!$1:$1,0)-MATCH($A$1,[1]characters!$1:$1,0)+1),MATCH(D$1,[1]characters!$1:$1,0)-MATCH($A$1,[1]characters!$1:$1,0)+1,FALSE)</f>
        <v>執行者</v>
      </c>
      <c r="E31" s="57" t="str">
        <f ca="1">VLOOKUP($A31,OFFSET([1]characters!$A$1,0,0,COUNTA([1]characters!$A:$A),MATCH(E$1,[1]characters!$1:$1,0)-MATCH($A$1,[1]characters!$1:$1,0)+1),MATCH(E$1,[1]characters!$1:$1,0)-MATCH($A$1,[1]characters!$1:$1,0)+1,FALSE)</f>
        <v>格好いい</v>
      </c>
      <c r="F31" s="57" t="str">
        <f ca="1">VLOOKUP($A31,OFFSET([1]characters!$A$1,0,0,COUNTA([1]characters!$A:$A),MATCH(F$1,[1]characters!$1:$1,0)-MATCH($A$1,[1]characters!$1:$1,0)+1),MATCH(F$1,[1]characters!$1:$1,0)-MATCH($A$1,[1]characters!$1:$1,0)+1,FALSE)</f>
        <v>女性</v>
      </c>
      <c r="G31" s="57">
        <f ca="1">VLOOKUP($A31,OFFSET([1]characters!$A$1,0,0,COUNTA([1]characters!$A:$A),MATCH(G$1,[1]characters!$1:$1,0)-MATCH($A$1,[1]characters!$1:$1,0)+1),MATCH(G$1,[1]characters!$1:$1,0)-MATCH($A$1,[1]characters!$1:$1,0)+1,FALSE)</f>
        <v>5</v>
      </c>
      <c r="H31" s="57" t="str">
        <f ca="1">VLOOKUP($A31,OFFSET([1]characters!$A$1,0,0,COUNTA([1]characters!$A:$A),MATCH(H$1,[1]characters!$1:$1,0)-MATCH($A$1,[1]characters!$1:$1,0)+1),MATCH(H$1,[1]characters!$1:$1,0)-MATCH($A$1,[1]characters!$1:$1,0)+1,FALSE)</f>
        <v>Drop2N</v>
      </c>
      <c r="I31" s="57" t="str">
        <f ca="1">VLOOKUP($A31,OFFSET([1]characters!$A$1,0,0,COUNTA([1]characters!$A:$A),MATCH(I$1,[1]characters!$1:$1,0)-MATCH($A$1,[1]characters!$1:$1,0)+1),MATCH(I$1,[1]characters!$1:$1,0)-MATCH($A$1,[1]characters!$1:$1,0)+1,FALSE)</f>
        <v>blue</v>
      </c>
      <c r="J31" s="11">
        <f ca="1">VLOOKUP(I31,[1]属性!$A:$E,2,FALSE)</f>
        <v>1</v>
      </c>
      <c r="K31" s="11">
        <f ca="1">VLOOKUP(I31,[1]属性!$A:$E,3,FALSE)</f>
        <v>0.98</v>
      </c>
      <c r="L31" s="11">
        <f ca="1">VLOOKUP(I31,[1]属性!$A:$E,4,FALSE)</f>
        <v>1</v>
      </c>
      <c r="M31" s="11">
        <f ca="1">VLOOKUP(I31,[1]属性!$A:$E,5,FALSE)</f>
        <v>1.02</v>
      </c>
      <c r="N31" s="11">
        <f ca="1">INDEX(コスト!$A$1:$I$21,MATCH(H31,コスト!$A$1:$A$21,FALSE),MATCH(G31,コスト!$A$1:$I$1,FALSE))</f>
        <v>26</v>
      </c>
      <c r="O31" s="11">
        <f ca="1">INDEX(レベル!$A$1:$I$21,MATCH(H31,レベル!$A$1:$A$21,FALSE),MATCH(G31,レベル!$A$1:$I$1,FALSE))</f>
        <v>80</v>
      </c>
      <c r="P31" s="48">
        <f t="shared" ref="P31:P32" ca="1" si="24">G31*15</f>
        <v>75</v>
      </c>
      <c r="Q31" s="57" t="str">
        <f ca="1">VLOOKUP($A31,OFFSET([1]characters!$A$1,0,0,COUNTA([1]characters!$A:$A),MATCH(Q$1,[1]characters!$1:$1,0)-MATCH($A$1,[1]characters!$1:$1,0)+1),MATCH(Q$1,[1]characters!$1:$1,0)-MATCH($A$1,[1]characters!$1:$1,0)+1,FALSE)</f>
        <v>attack</v>
      </c>
      <c r="R31" s="5" t="str">
        <f ca="1">VLOOKUP(Q31,[1]character_type_i18n!$A:$H,3,FALSE)</f>
        <v>攻撃タイプ</v>
      </c>
      <c r="S31" s="11">
        <f ca="1">VLOOKUP(Q31,[1]character_type_i18n!$A:$H,4,FALSE)</f>
        <v>1</v>
      </c>
      <c r="T31" s="11">
        <f ca="1">VLOOKUP(Q31,[1]character_type_i18n!$A:$H,5,FALSE)</f>
        <v>1.33</v>
      </c>
      <c r="U31" s="11">
        <f ca="1">VLOOKUP(Q31,[1]character_type_i18n!$A:$H,6,FALSE)</f>
        <v>1</v>
      </c>
      <c r="V31" s="11">
        <f ca="1">VLOOKUP(Q31,[1]character_type_i18n!$A:$H,7,FALSE)</f>
        <v>0.67</v>
      </c>
      <c r="W31" s="57" t="str">
        <f ca="1">VLOOKUP($A31,OFFSET([1]characters!$A$1,0,0,COUNTA([1]characters!$A:$A),MATCH(W$1,[1]characters!$1:$1,0)-MATCH($A$1,[1]characters!$1:$1,0)+1),MATCH(W$1,[1]characters!$1:$1,0)-MATCH($A$1,[1]characters!$1:$1,0)+1,FALSE)</f>
        <v>unknown</v>
      </c>
      <c r="X31" s="5" t="str">
        <f ca="1">VLOOKUP(W31,[1]character_tribe_i18n!$A:$H,3,FALSE)</f>
        <v>Unknown</v>
      </c>
      <c r="Y31" s="57" t="str">
        <f ca="1">VLOOKUP($A31,OFFSET([1]characters!$A$1,0,0,COUNTA([1]characters!$A:$A),MATCH(Y$1,[1]characters!$1:$1,0)-MATCH($A$1,[1]characters!$1:$1,0)+1),MATCH(Y$1,[1]characters!$1:$1,0)-MATCH($A$1,[1]characters!$1:$1,0)+1,FALSE)</f>
        <v>none</v>
      </c>
      <c r="Z31" s="5" t="str">
        <f ca="1">VLOOKUP(Y31,[1]character_tribe_i18n!$A:$H,3,FALSE)</f>
        <v>種族なし</v>
      </c>
      <c r="AA31" s="11">
        <f ca="1">VLOOKUP(W31,[1]character_tribe_i18n!$A:$H,4,FALSE)</f>
        <v>1</v>
      </c>
      <c r="AB31" s="11">
        <f ca="1">VLOOKUP(W31,[1]character_tribe_i18n!$A:$H,5,FALSE)</f>
        <v>1</v>
      </c>
      <c r="AC31" s="11">
        <f ca="1">VLOOKUP(W31,[1]character_tribe_i18n!$A:$H,6,FALSE)</f>
        <v>1</v>
      </c>
      <c r="AD31" s="11">
        <f ca="1">VLOOKUP(W31,[1]character_tribe_i18n!$A:$H,7,FALSE)</f>
        <v>1</v>
      </c>
      <c r="AE31" s="9" t="s">
        <v>178</v>
      </c>
      <c r="AF31" s="62" t="str">
        <f ca="1">IF(AE31="NULL","",VLOOKUP($AE31,OFFSET([1]characters!$A$1,0,0,COUNTA([1]characters!$A:$A),MATCH(AF$1,[1]characters!$1:$1,0)-MATCH($A$1,[1]characters!$1:$1,0)+1),MATCH(AF$1,[1]characters!$1:$1,0)-MATCH($A$1,[1]characters!$1:$1,0)+1,FALSE))</f>
        <v/>
      </c>
      <c r="AG31" s="5">
        <f t="shared" ca="1" si="1"/>
        <v>553</v>
      </c>
      <c r="AH31" s="62" t="str">
        <f ca="1">VLOOKUP($AG31,OFFSET([1]characters!$A$1,0,0,COUNTA([1]characters!$A:$A),MATCH(AH$1,[1]characters!$1:$1,0)-MATCH($A$1,[1]characters!$1:$1,0)+1),MATCH(AH$1,[1]characters!$1:$1,0)-MATCH($A$1,[1]characters!$1:$1,0)+1,FALSE)</f>
        <v>雪ミク2016</v>
      </c>
      <c r="AI31" s="11" t="str">
        <f>IF(AE31="NULL","NULL",VLOOKUP(G31,ビット!$A$2:$B$7,2))</f>
        <v>NULL</v>
      </c>
      <c r="AJ31" s="6">
        <v>2</v>
      </c>
      <c r="AK31" s="7" t="str">
        <f t="shared" ref="AK31:AK32" si="25">IF(AJ31=1,"早熟",IF(AJ31=2,"普通",IF(AJ31=3,"晩成","")))</f>
        <v>普通</v>
      </c>
      <c r="AL31" s="11" t="str">
        <f ca="1">INDEX(経験値!$A$1:$I$21,MATCH(H31,経験値!$A$1:$A$21,FALSE),MATCH(G31,経験値!$A$1:$I$1,FALSE))</f>
        <v>required_exp_200</v>
      </c>
      <c r="AM31" s="8">
        <f ca="1">VLOOKUP(G31,経験値!$A$28:$B$32,2)</f>
        <v>6400</v>
      </c>
      <c r="AN31" s="17">
        <f ca="1">VLOOKUP(G31,ビット!$G$2:$H$7,2)</f>
        <v>900</v>
      </c>
      <c r="AO31" s="45"/>
      <c r="AP31" s="67">
        <f t="shared" si="8"/>
        <v>554</v>
      </c>
      <c r="AQ31" s="57" t="str">
        <f ca="1">VLOOKUP($AP31,OFFSET(unit_skills!$A$1,0,0,COUNTA(unit_skills!$A:$A),MATCH(AQ$1,unit_skills!$1:$1,0)-MATCH($AP$1,unit_skills!$1:$1,0)+1),MATCH(AQ$1,unit_skills!$1:$1,0)-MATCH($AP$1,unit_skills!$1:$1,0)+1,FALSE)</f>
        <v>レッツ！スノウフェスティバル！</v>
      </c>
      <c r="AR31" s="57" t="str">
        <f ca="1">VLOOKUP($AP31,OFFSET(unit_skills!$A$1,0,0,COUNTA(unit_skills!$A:$A),MATCH(AR$1,unit_skills!$1:$1,0)-MATCH($AP$1,unit_skills!$1:$1,0)+1),MATCH(AR$1,unit_skills!$1:$1,0)-MATCH($AP$1,unit_skills!$1:$1,0)+1,FALSE)</f>
        <v>単体に青属性の大ダメージ</v>
      </c>
      <c r="AS31" s="57">
        <f ca="1">VLOOKUP($AP31,OFFSET(unit_skills!$A$1,0,0,COUNTA(unit_skills!$A:$A),MATCH(AS$1,unit_skills!$1:$1,0)-MATCH($AP$1,unit_skills!$1:$1,0)+1),MATCH(AS$1,unit_skills!$1:$1,0)-MATCH($AP$1,unit_skills!$1:$1,0)+1,FALSE)</f>
        <v>0</v>
      </c>
      <c r="AT31" s="41">
        <f t="shared" si="9"/>
        <v>554</v>
      </c>
      <c r="AU31" s="57" t="str">
        <f ca="1">VLOOKUP($AT31,OFFSET(crash_skills!$A$1,0,0,COUNTA(crash_skills!$A:$A),MATCH(AU$1,crash_skills!$1:$1,0)-MATCH($AT$1,crash_skills!$1:$1,0)+1),MATCH(AU$1,crash_skills!$1:$1,0)-MATCH($AT$1,crash_skills!$1:$1,0)+1,FALSE)</f>
        <v>ハピネスジャンプ！</v>
      </c>
      <c r="AV31" s="57" t="str">
        <f ca="1">VLOOKUP($AT31,OFFSET(crash_skills!$A$1,0,0,COUNTA(crash_skills!$A:$A),MATCH(AV$1,crash_skills!$1:$1,0)-MATCH($AT$1,crash_skills!$1:$1,0)+1),MATCH(AV$1,crash_skills!$1:$1,0)-MATCH($AT$1,crash_skills!$1:$1,0)+1,FALSE)</f>
        <v>全体に大ダメージ</v>
      </c>
      <c r="AW31" s="57">
        <f ca="1">VLOOKUP($AT31,OFFSET(crash_skills!$A$1,0,0,COUNTA(crash_skills!$A:$A),MATCH(AW$1,crash_skills!$1:$1,0)-MATCH($AT$1,crash_skills!$1:$1,0)+1),MATCH(AW$1,crash_skills!$1:$1,0)-MATCH($AT$1,crash_skills!$1:$1,0)+1,FALSE)</f>
        <v>0</v>
      </c>
      <c r="AX31" s="58">
        <f ca="1">VLOOKUP($A31,OFFSET([1]characters!$A$1,0,0,COUNTA([1]characters!$A:$A),MATCH(AX$1,[1]characters!$1:$1,0)-MATCH($A$1,[1]characters!$1:$1,0)+1),MATCH(AX$1,[1]characters!$1:$1,0)-MATCH($A$1,[1]characters!$1:$1,0)+1,FALSE)</f>
        <v>3</v>
      </c>
      <c r="AY31" s="68">
        <v>1</v>
      </c>
      <c r="AZ31" s="68">
        <v>1</v>
      </c>
      <c r="BA31" s="68">
        <v>0</v>
      </c>
      <c r="BB31" s="68">
        <v>1</v>
      </c>
      <c r="BC31" s="11">
        <f ca="1">INDEX('RC6SV'!$A$1:$G$21,MATCH(H31,'RC6SV'!$A$1:$A$21,FALSE),MATCH(G31,'RC6SV'!$A$1:$G$1,FALSE))</f>
        <v>7600</v>
      </c>
      <c r="BD31" s="48">
        <f t="shared" ref="BD31:BD32" ca="1" si="26">ROUND(BC31*IF(AJ31=1,0.95,IF(AJ31=2,1,IF(AJ31,1.05,0))),0)</f>
        <v>7600</v>
      </c>
      <c r="BE31" s="11">
        <f t="shared" ca="1" si="4"/>
        <v>5800</v>
      </c>
      <c r="BF31" s="11">
        <f t="shared" ca="1" si="5"/>
        <v>1</v>
      </c>
      <c r="BG31" s="16">
        <f ca="1">IF($BE31&lt;=0,ROUND(BK31*0.5,0), ROUND($BE31*S31*AA31*J31*AY31*0.8*[1]ステータス!$B$2,0))</f>
        <v>2320</v>
      </c>
      <c r="BH31" s="16">
        <f ca="1">IF($BE31&lt;=0,ROUND(BL31*0.5,0), ROUND($BE31*T31*AB31*K31*AZ31*0.8*[1]ステータス!$C$2,0))</f>
        <v>1814</v>
      </c>
      <c r="BI31" s="16">
        <f ca="1">IF($BE31&lt;=0,ROUND(BM31*0.5,0), ROUND($BE31*U31*AC31*L31*BA31*0.8*[1]ステータス!$D$2,0))</f>
        <v>0</v>
      </c>
      <c r="BJ31" s="16">
        <f ca="1">IF($BE31&lt;=0,ROUND(BN31*0.5,0), ROUND($BE31*V31*AD31*M31*BB31*0.8*[1]ステータス!$E$2,0))</f>
        <v>793</v>
      </c>
      <c r="BK31" s="11">
        <f ca="1">ROUND(BD31*S31*AA31*J31*AY31*[1]ステータス!$B$2,0)</f>
        <v>3800</v>
      </c>
      <c r="BL31" s="11">
        <f ca="1">ROUND(BD31*T31*AB31*K31*AZ31*[1]ステータス!$C$2,0)</f>
        <v>2972</v>
      </c>
      <c r="BM31" s="11">
        <f ca="1">ROUND(BD31*U31*AC31*L31*BA31*[1]ステータス!$D$2,0)</f>
        <v>0</v>
      </c>
      <c r="BN31" s="11">
        <f ca="1">ROUND(BD31*V31*AD31*M31*BB31*[1]ステータス!$E$2,0)</f>
        <v>1298</v>
      </c>
      <c r="BO31" s="10">
        <v>0</v>
      </c>
      <c r="BP31" s="10">
        <v>1</v>
      </c>
      <c r="BQ31" s="10" t="s">
        <v>47</v>
      </c>
      <c r="BR31" s="10">
        <f ca="1">VLOOKUP(H31,ghosts_label!$A$2:$B$19,2,FALSE)</f>
        <v>1</v>
      </c>
    </row>
    <row r="32" spans="1:70" ht="21" customHeight="1" x14ac:dyDescent="0.15">
      <c r="A32" s="134">
        <v>555</v>
      </c>
      <c r="B32" s="57" t="str">
        <f ca="1">VLOOKUP($A32,OFFSET([1]characters!$A$1,0,0,COUNTA([1]characters!$A:$A),MATCH(B$1,[1]characters!$1:$1,0)-MATCH($A$1,[1]characters!$1:$1,0)+1),MATCH(B$1,[1]characters!$1:$1,0)-MATCH($A$1,[1]characters!$1:$1,0)+1,FALSE)</f>
        <v>雪ミク2014</v>
      </c>
      <c r="C32" s="57" t="str">
        <f ca="1">VLOOKUP($A32,OFFSET([1]characters!$A$1,0,0,COUNTA([1]characters!$A:$A),MATCH(C$1,[1]characters!$1:$1,0)-MATCH($A$1,[1]characters!$1:$1,0)+1),MATCH(C$1,[1]characters!$1:$1,0)-MATCH($A$1,[1]characters!$1:$1,0)+1,FALSE)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2" s="57" t="str">
        <f ca="1">VLOOKUP($A32,OFFSET([1]characters!$A$1,0,0,COUNTA([1]characters!$A:$A),MATCH(D$1,[1]characters!$1:$1,0)-MATCH($A$1,[1]characters!$1:$1,0)+1),MATCH(D$1,[1]characters!$1:$1,0)-MATCH($A$1,[1]characters!$1:$1,0)+1,FALSE)</f>
        <v>執行者</v>
      </c>
      <c r="E32" s="57" t="str">
        <f ca="1">VLOOKUP($A32,OFFSET([1]characters!$A$1,0,0,COUNTA([1]characters!$A:$A),MATCH(E$1,[1]characters!$1:$1,0)-MATCH($A$1,[1]characters!$1:$1,0)+1),MATCH(E$1,[1]characters!$1:$1,0)-MATCH($A$1,[1]characters!$1:$1,0)+1,FALSE)</f>
        <v>格好いい</v>
      </c>
      <c r="F32" s="57" t="str">
        <f ca="1">VLOOKUP($A32,OFFSET([1]characters!$A$1,0,0,COUNTA([1]characters!$A:$A),MATCH(F$1,[1]characters!$1:$1,0)-MATCH($A$1,[1]characters!$1:$1,0)+1),MATCH(F$1,[1]characters!$1:$1,0)-MATCH($A$1,[1]characters!$1:$1,0)+1,FALSE)</f>
        <v>女性</v>
      </c>
      <c r="G32" s="57">
        <f ca="1">VLOOKUP($A32,OFFSET([1]characters!$A$1,0,0,COUNTA([1]characters!$A:$A),MATCH(G$1,[1]characters!$1:$1,0)-MATCH($A$1,[1]characters!$1:$1,0)+1),MATCH(G$1,[1]characters!$1:$1,0)-MATCH($A$1,[1]characters!$1:$1,0)+1,FALSE)</f>
        <v>4</v>
      </c>
      <c r="H32" s="57" t="str">
        <f ca="1">VLOOKUP($A32,OFFSET([1]characters!$A$1,0,0,COUNTA([1]characters!$A:$A),MATCH(H$1,[1]characters!$1:$1,0)-MATCH($A$1,[1]characters!$1:$1,0)+1),MATCH(H$1,[1]characters!$1:$1,0)-MATCH($A$1,[1]characters!$1:$1,0)+1,FALSE)</f>
        <v>Drop2N</v>
      </c>
      <c r="I32" s="57" t="str">
        <f ca="1">VLOOKUP($A32,OFFSET([1]characters!$A$1,0,0,COUNTA([1]characters!$A:$A),MATCH(I$1,[1]characters!$1:$1,0)-MATCH($A$1,[1]characters!$1:$1,0)+1),MATCH(I$1,[1]characters!$1:$1,0)-MATCH($A$1,[1]characters!$1:$1,0)+1,FALSE)</f>
        <v>blue</v>
      </c>
      <c r="J32" s="11">
        <f ca="1">VLOOKUP(I32,[1]属性!$A:$E,2,FALSE)</f>
        <v>1</v>
      </c>
      <c r="K32" s="11">
        <f ca="1">VLOOKUP(I32,[1]属性!$A:$E,3,FALSE)</f>
        <v>0.98</v>
      </c>
      <c r="L32" s="11">
        <f ca="1">VLOOKUP(I32,[1]属性!$A:$E,4,FALSE)</f>
        <v>1</v>
      </c>
      <c r="M32" s="11">
        <f ca="1">VLOOKUP(I32,[1]属性!$A:$E,5,FALSE)</f>
        <v>1.02</v>
      </c>
      <c r="N32" s="11">
        <f ca="1">INDEX(コスト!$A$1:$I$21,MATCH(H32,コスト!$A$1:$A$21,FALSE),MATCH(G32,コスト!$A$1:$I$1,FALSE))</f>
        <v>17</v>
      </c>
      <c r="O32" s="11">
        <f ca="1">INDEX(レベル!$A$1:$I$21,MATCH(H32,レベル!$A$1:$A$21,FALSE),MATCH(G32,レベル!$A$1:$I$1,FALSE))</f>
        <v>60</v>
      </c>
      <c r="P32" s="48">
        <f t="shared" ca="1" si="24"/>
        <v>60</v>
      </c>
      <c r="Q32" s="57" t="str">
        <f ca="1">VLOOKUP($A32,OFFSET([1]characters!$A$1,0,0,COUNTA([1]characters!$A:$A),MATCH(Q$1,[1]characters!$1:$1,0)-MATCH($A$1,[1]characters!$1:$1,0)+1),MATCH(Q$1,[1]characters!$1:$1,0)-MATCH($A$1,[1]characters!$1:$1,0)+1,FALSE)</f>
        <v>heal</v>
      </c>
      <c r="R32" s="5" t="str">
        <f ca="1">VLOOKUP(Q32,[1]character_type_i18n!$A:$H,3,FALSE)</f>
        <v>回復タイプ</v>
      </c>
      <c r="S32" s="11">
        <f ca="1">VLOOKUP(Q32,[1]character_type_i18n!$A:$H,4,FALSE)</f>
        <v>0.8</v>
      </c>
      <c r="T32" s="11">
        <f ca="1">VLOOKUP(Q32,[1]character_type_i18n!$A:$H,5,FALSE)</f>
        <v>0.78</v>
      </c>
      <c r="U32" s="11">
        <f ca="1">VLOOKUP(Q32,[1]character_type_i18n!$A:$H,6,FALSE)</f>
        <v>1</v>
      </c>
      <c r="V32" s="11">
        <f ca="1">VLOOKUP(Q32,[1]character_type_i18n!$A:$H,7,FALSE)</f>
        <v>1.42</v>
      </c>
      <c r="W32" s="57" t="str">
        <f ca="1">VLOOKUP($A32,OFFSET([1]characters!$A$1,0,0,COUNTA([1]characters!$A:$A),MATCH(W$1,[1]characters!$1:$1,0)-MATCH($A$1,[1]characters!$1:$1,0)+1),MATCH(W$1,[1]characters!$1:$1,0)-MATCH($A$1,[1]characters!$1:$1,0)+1,FALSE)</f>
        <v>unknown</v>
      </c>
      <c r="X32" s="5" t="str">
        <f ca="1">VLOOKUP(W32,[1]character_tribe_i18n!$A:$H,3,FALSE)</f>
        <v>Unknown</v>
      </c>
      <c r="Y32" s="57" t="str">
        <f ca="1">VLOOKUP($A32,OFFSET([1]characters!$A$1,0,0,COUNTA([1]characters!$A:$A),MATCH(Y$1,[1]characters!$1:$1,0)-MATCH($A$1,[1]characters!$1:$1,0)+1),MATCH(Y$1,[1]characters!$1:$1,0)-MATCH($A$1,[1]characters!$1:$1,0)+1,FALSE)</f>
        <v>none</v>
      </c>
      <c r="Z32" s="5" t="str">
        <f ca="1">VLOOKUP(Y32,[1]character_tribe_i18n!$A:$H,3,FALSE)</f>
        <v>種族なし</v>
      </c>
      <c r="AA32" s="11">
        <f ca="1">VLOOKUP(W32,[1]character_tribe_i18n!$A:$H,4,FALSE)</f>
        <v>1</v>
      </c>
      <c r="AB32" s="11">
        <f ca="1">VLOOKUP(W32,[1]character_tribe_i18n!$A:$H,5,FALSE)</f>
        <v>1</v>
      </c>
      <c r="AC32" s="11">
        <f ca="1">VLOOKUP(W32,[1]character_tribe_i18n!$A:$H,6,FALSE)</f>
        <v>1</v>
      </c>
      <c r="AD32" s="11">
        <f ca="1">VLOOKUP(W32,[1]character_tribe_i18n!$A:$H,7,FALSE)</f>
        <v>1</v>
      </c>
      <c r="AE32" s="9">
        <f t="shared" ref="AE32" si="27">A33</f>
        <v>556</v>
      </c>
      <c r="AF32" s="62" t="str">
        <f ca="1">IF(AE32="NULL","",VLOOKUP($AE32,OFFSET([1]characters!$A$1,0,0,COUNTA([1]characters!$A:$A),MATCH(AF$1,[1]characters!$1:$1,0)-MATCH($A$1,[1]characters!$1:$1,0)+1),MATCH(AF$1,[1]characters!$1:$1,0)-MATCH($A$1,[1]characters!$1:$1,0)+1,FALSE))</f>
        <v>雪ミク&amp;ラビットユキネ2014</v>
      </c>
      <c r="AG32" s="5">
        <f t="shared" ca="1" si="1"/>
        <v>555</v>
      </c>
      <c r="AH32" s="62" t="str">
        <f ca="1">VLOOKUP($AG32,OFFSET([1]characters!$A$1,0,0,COUNTA([1]characters!$A:$A),MATCH(AH$1,[1]characters!$1:$1,0)-MATCH($A$1,[1]characters!$1:$1,0)+1),MATCH(AH$1,[1]characters!$1:$1,0)-MATCH($A$1,[1]characters!$1:$1,0)+1,FALSE)</f>
        <v>雪ミク2014</v>
      </c>
      <c r="AI32" s="11">
        <f ca="1">IF(AE32="NULL","NULL",VLOOKUP(G32,ビット!$A$2:$B$7,2))</f>
        <v>50000</v>
      </c>
      <c r="AJ32" s="6">
        <v>2</v>
      </c>
      <c r="AK32" s="7" t="str">
        <f t="shared" si="25"/>
        <v>普通</v>
      </c>
      <c r="AL32" s="11" t="str">
        <f ca="1">INDEX(経験値!$A$1:$I$21,MATCH(H32,経験値!$A$1:$A$21,FALSE),MATCH(G32,経験値!$A$1:$I$1,FALSE))</f>
        <v>required_exp_200</v>
      </c>
      <c r="AM32" s="8">
        <f ca="1">VLOOKUP(G32,経験値!$A$28:$B$32,2)</f>
        <v>3400</v>
      </c>
      <c r="AN32" s="17">
        <f ca="1">VLOOKUP(G32,ビット!$G$2:$H$7,2)</f>
        <v>600</v>
      </c>
      <c r="AO32" s="45"/>
      <c r="AP32" s="67">
        <f t="shared" si="8"/>
        <v>555</v>
      </c>
      <c r="AQ32" s="57" t="str">
        <f ca="1">VLOOKUP($AP32,OFFSET(unit_skills!$A$1,0,0,COUNTA(unit_skills!$A:$A),MATCH(AQ$1,unit_skills!$1:$1,0)-MATCH($AP$1,unit_skills!$1:$1,0)+1),MATCH(AQ$1,unit_skills!$1:$1,0)-MATCH($AP$1,unit_skills!$1:$1,0)+1,FALSE)</f>
        <v>スノウ＊マジック</v>
      </c>
      <c r="AR32" s="57" t="str">
        <f ca="1">VLOOKUP($AP32,OFFSET(unit_skills!$A$1,0,0,COUNTA(unit_skills!$A:$A),MATCH(AR$1,unit_skills!$1:$1,0)-MATCH($AP$1,unit_skills!$1:$1,0)+1),MATCH(AR$1,unit_skills!$1:$1,0)-MATCH($AP$1,unit_skills!$1:$1,0)+1,FALSE)</f>
        <v>3ターン全ユニットの回復力特大UP+赤パネルをハートパネルに変換</v>
      </c>
      <c r="AS32" s="57">
        <f ca="1">VLOOKUP($AP32,OFFSET(unit_skills!$A$1,0,0,COUNTA(unit_skills!$A:$A),MATCH(AS$1,unit_skills!$1:$1,0)-MATCH($AP$1,unit_skills!$1:$1,0)+1),MATCH(AS$1,unit_skills!$1:$1,0)-MATCH($AP$1,unit_skills!$1:$1,0)+1,FALSE)</f>
        <v>0</v>
      </c>
      <c r="AT32" s="41">
        <f t="shared" si="9"/>
        <v>555</v>
      </c>
      <c r="AU32" s="57" t="str">
        <f ca="1">VLOOKUP($AT32,OFFSET(crash_skills!$A$1,0,0,COUNTA(crash_skills!$A:$A),MATCH(AU$1,crash_skills!$1:$1,0)-MATCH($AT$1,crash_skills!$1:$1,0)+1),MATCH(AU$1,crash_skills!$1:$1,0)-MATCH($AT$1,crash_skills!$1:$1,0)+1,FALSE)</f>
        <v>フォールミラクル</v>
      </c>
      <c r="AV32" s="57" t="str">
        <f ca="1">VLOOKUP($AT32,OFFSET(crash_skills!$A$1,0,0,COUNTA(crash_skills!$A:$A),MATCH(AV$1,crash_skills!$1:$1,0)-MATCH($AT$1,crash_skills!$1:$1,0)+1),MATCH(AV$1,crash_skills!$1:$1,0)-MATCH($AT$1,crash_skills!$1:$1,0)+1,FALSE)</f>
        <v>1体に小ダメージ+_x000D_HPを中回復</v>
      </c>
      <c r="AW32" s="57">
        <f ca="1">VLOOKUP($AT32,OFFSET(crash_skills!$A$1,0,0,COUNTA(crash_skills!$A:$A),MATCH(AW$1,crash_skills!$1:$1,0)-MATCH($AT$1,crash_skills!$1:$1,0)+1),MATCH(AW$1,crash_skills!$1:$1,0)-MATCH($AT$1,crash_skills!$1:$1,0)+1,FALSE)</f>
        <v>0</v>
      </c>
      <c r="AX32" s="58">
        <f ca="1">VLOOKUP($A32,OFFSET([1]characters!$A$1,0,0,COUNTA([1]characters!$A:$A),MATCH(AX$1,[1]characters!$1:$1,0)-MATCH($A$1,[1]characters!$1:$1,0)+1),MATCH(AX$1,[1]characters!$1:$1,0)-MATCH($A$1,[1]characters!$1:$1,0)+1,FALSE)</f>
        <v>3</v>
      </c>
      <c r="AY32" s="68">
        <v>1</v>
      </c>
      <c r="AZ32" s="68">
        <v>1</v>
      </c>
      <c r="BA32" s="68">
        <v>0</v>
      </c>
      <c r="BB32" s="68">
        <v>1</v>
      </c>
      <c r="BC32" s="11">
        <f ca="1">INDEX('RC6SV'!$A$1:$G$21,MATCH(H32,'RC6SV'!$A$1:$A$21,FALSE),MATCH(G32,'RC6SV'!$A$1:$G$1,FALSE))</f>
        <v>5800</v>
      </c>
      <c r="BD32" s="48">
        <f t="shared" ca="1" si="26"/>
        <v>5800</v>
      </c>
      <c r="BE32" s="11">
        <f t="shared" ca="1" si="4"/>
        <v>0</v>
      </c>
      <c r="BF32" s="11">
        <f t="shared" ca="1" si="5"/>
        <v>1</v>
      </c>
      <c r="BG32" s="16">
        <f ca="1">IF($BE32&lt;=0,ROUND(BK32*0.5,0), ROUND($BE32*S32*AA32*J32*AY32*0.8*[1]ステータス!$B$2,0))</f>
        <v>1160</v>
      </c>
      <c r="BH32" s="16">
        <f ca="1">IF($BE32&lt;=0,ROUND(BL32*0.5,0), ROUND($BE32*T32*AB32*K32*AZ32*0.8*[1]ステータス!$C$2,0))</f>
        <v>665</v>
      </c>
      <c r="BI32" s="16">
        <f ca="1">IF($BE32&lt;=0,ROUND(BM32*0.5,0), ROUND($BE32*U32*AC32*L32*BA32*0.8*[1]ステータス!$D$2,0))</f>
        <v>0</v>
      </c>
      <c r="BJ32" s="16">
        <f ca="1">IF($BE32&lt;=0,ROUND(BN32*0.5,0), ROUND($BE32*V32*AD32*M32*BB32*0.8*[1]ステータス!$E$2,0))</f>
        <v>1050</v>
      </c>
      <c r="BK32" s="11">
        <f ca="1">ROUND(BD32*S32*AA32*J32*AY32*[1]ステータス!$B$2,0)</f>
        <v>2320</v>
      </c>
      <c r="BL32" s="11">
        <f ca="1">ROUND(BD32*T32*AB32*K32*AZ32*[1]ステータス!$C$2,0)</f>
        <v>1330</v>
      </c>
      <c r="BM32" s="11">
        <f ca="1">ROUND(BD32*U32*AC32*L32*BA32*[1]ステータス!$D$2,0)</f>
        <v>0</v>
      </c>
      <c r="BN32" s="11">
        <f ca="1">ROUND(BD32*V32*AD32*M32*BB32*[1]ステータス!$E$2,0)</f>
        <v>2100</v>
      </c>
      <c r="BO32" s="10">
        <v>0</v>
      </c>
      <c r="BP32" s="10">
        <v>1</v>
      </c>
      <c r="BQ32" s="10" t="s">
        <v>47</v>
      </c>
      <c r="BR32" s="10">
        <f ca="1">VLOOKUP(H32,ghosts_label!$A$2:$B$19,2,FALSE)</f>
        <v>1</v>
      </c>
    </row>
    <row r="33" spans="1:70" ht="21" customHeight="1" x14ac:dyDescent="0.15">
      <c r="A33" s="134">
        <v>556</v>
      </c>
      <c r="B33" s="57" t="str">
        <f ca="1">VLOOKUP($A33,OFFSET([1]characters!$A$1,0,0,COUNTA([1]characters!$A:$A),MATCH(B$1,[1]characters!$1:$1,0)-MATCH($A$1,[1]characters!$1:$1,0)+1),MATCH(B$1,[1]characters!$1:$1,0)-MATCH($A$1,[1]characters!$1:$1,0)+1,FALSE)</f>
        <v>雪ミク&amp;ラビットユキネ2014</v>
      </c>
      <c r="C33" s="57" t="str">
        <f ca="1">VLOOKUP($A33,OFFSET([1]characters!$A$1,0,0,COUNTA([1]characters!$A:$A),MATCH(C$1,[1]characters!$1:$1,0)-MATCH($A$1,[1]characters!$1:$1,0)+1),MATCH(C$1,[1]characters!$1:$1,0)-MATCH($A$1,[1]characters!$1:$1,0)+1,FALSE)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3" s="57" t="str">
        <f ca="1">VLOOKUP($A33,OFFSET([1]characters!$A$1,0,0,COUNTA([1]characters!$A:$A),MATCH(D$1,[1]characters!$1:$1,0)-MATCH($A$1,[1]characters!$1:$1,0)+1),MATCH(D$1,[1]characters!$1:$1,0)-MATCH($A$1,[1]characters!$1:$1,0)+1,FALSE)</f>
        <v>執行者</v>
      </c>
      <c r="E33" s="57" t="str">
        <f ca="1">VLOOKUP($A33,OFFSET([1]characters!$A$1,0,0,COUNTA([1]characters!$A:$A),MATCH(E$1,[1]characters!$1:$1,0)-MATCH($A$1,[1]characters!$1:$1,0)+1),MATCH(E$1,[1]characters!$1:$1,0)-MATCH($A$1,[1]characters!$1:$1,0)+1,FALSE)</f>
        <v>格好いい</v>
      </c>
      <c r="F33" s="57" t="str">
        <f ca="1">VLOOKUP($A33,OFFSET([1]characters!$A$1,0,0,COUNTA([1]characters!$A:$A),MATCH(F$1,[1]characters!$1:$1,0)-MATCH($A$1,[1]characters!$1:$1,0)+1),MATCH(F$1,[1]characters!$1:$1,0)-MATCH($A$1,[1]characters!$1:$1,0)+1,FALSE)</f>
        <v>女性</v>
      </c>
      <c r="G33" s="57">
        <f ca="1">VLOOKUP($A33,OFFSET([1]characters!$A$1,0,0,COUNTA([1]characters!$A:$A),MATCH(G$1,[1]characters!$1:$1,0)-MATCH($A$1,[1]characters!$1:$1,0)+1),MATCH(G$1,[1]characters!$1:$1,0)-MATCH($A$1,[1]characters!$1:$1,0)+1,FALSE)</f>
        <v>5</v>
      </c>
      <c r="H33" s="57" t="str">
        <f ca="1">VLOOKUP($A33,OFFSET([1]characters!$A$1,0,0,COUNTA([1]characters!$A:$A),MATCH(H$1,[1]characters!$1:$1,0)-MATCH($A$1,[1]characters!$1:$1,0)+1),MATCH(H$1,[1]characters!$1:$1,0)-MATCH($A$1,[1]characters!$1:$1,0)+1,FALSE)</f>
        <v>Drop2N</v>
      </c>
      <c r="I33" s="57" t="str">
        <f ca="1">VLOOKUP($A33,OFFSET([1]characters!$A$1,0,0,COUNTA([1]characters!$A:$A),MATCH(I$1,[1]characters!$1:$1,0)-MATCH($A$1,[1]characters!$1:$1,0)+1),MATCH(I$1,[1]characters!$1:$1,0)-MATCH($A$1,[1]characters!$1:$1,0)+1,FALSE)</f>
        <v>blue</v>
      </c>
      <c r="J33" s="11">
        <f ca="1">VLOOKUP(I33,[1]属性!$A:$E,2,FALSE)</f>
        <v>1</v>
      </c>
      <c r="K33" s="11">
        <f ca="1">VLOOKUP(I33,[1]属性!$A:$E,3,FALSE)</f>
        <v>0.98</v>
      </c>
      <c r="L33" s="11">
        <f ca="1">VLOOKUP(I33,[1]属性!$A:$E,4,FALSE)</f>
        <v>1</v>
      </c>
      <c r="M33" s="11">
        <f ca="1">VLOOKUP(I33,[1]属性!$A:$E,5,FALSE)</f>
        <v>1.02</v>
      </c>
      <c r="N33" s="11">
        <f ca="1">INDEX(コスト!$A$1:$I$21,MATCH(H33,コスト!$A$1:$A$21,FALSE),MATCH(G33,コスト!$A$1:$I$1,FALSE))</f>
        <v>26</v>
      </c>
      <c r="O33" s="11">
        <f ca="1">INDEX(レベル!$A$1:$I$21,MATCH(H33,レベル!$A$1:$A$21,FALSE),MATCH(G33,レベル!$A$1:$I$1,FALSE))</f>
        <v>80</v>
      </c>
      <c r="P33" s="48">
        <f t="shared" ref="P33:P35" ca="1" si="28">G33*15</f>
        <v>75</v>
      </c>
      <c r="Q33" s="57" t="str">
        <f ca="1">VLOOKUP($A33,OFFSET([1]characters!$A$1,0,0,COUNTA([1]characters!$A:$A),MATCH(Q$1,[1]characters!$1:$1,0)-MATCH($A$1,[1]characters!$1:$1,0)+1),MATCH(Q$1,[1]characters!$1:$1,0)-MATCH($A$1,[1]characters!$1:$1,0)+1,FALSE)</f>
        <v>heal</v>
      </c>
      <c r="R33" s="5" t="str">
        <f ca="1">VLOOKUP(Q33,[1]character_type_i18n!$A:$H,3,FALSE)</f>
        <v>回復タイプ</v>
      </c>
      <c r="S33" s="11">
        <f ca="1">VLOOKUP(Q33,[1]character_type_i18n!$A:$H,4,FALSE)</f>
        <v>0.8</v>
      </c>
      <c r="T33" s="11">
        <f ca="1">VLOOKUP(Q33,[1]character_type_i18n!$A:$H,5,FALSE)</f>
        <v>0.78</v>
      </c>
      <c r="U33" s="11">
        <f ca="1">VLOOKUP(Q33,[1]character_type_i18n!$A:$H,6,FALSE)</f>
        <v>1</v>
      </c>
      <c r="V33" s="11">
        <f ca="1">VLOOKUP(Q33,[1]character_type_i18n!$A:$H,7,FALSE)</f>
        <v>1.42</v>
      </c>
      <c r="W33" s="57" t="str">
        <f ca="1">VLOOKUP($A33,OFFSET([1]characters!$A$1,0,0,COUNTA([1]characters!$A:$A),MATCH(W$1,[1]characters!$1:$1,0)-MATCH($A$1,[1]characters!$1:$1,0)+1),MATCH(W$1,[1]characters!$1:$1,0)-MATCH($A$1,[1]characters!$1:$1,0)+1,FALSE)</f>
        <v>unknown</v>
      </c>
      <c r="X33" s="5" t="str">
        <f ca="1">VLOOKUP(W33,[1]character_tribe_i18n!$A:$H,3,FALSE)</f>
        <v>Unknown</v>
      </c>
      <c r="Y33" s="57" t="str">
        <f ca="1">VLOOKUP($A33,OFFSET([1]characters!$A$1,0,0,COUNTA([1]characters!$A:$A),MATCH(Y$1,[1]characters!$1:$1,0)-MATCH($A$1,[1]characters!$1:$1,0)+1),MATCH(Y$1,[1]characters!$1:$1,0)-MATCH($A$1,[1]characters!$1:$1,0)+1,FALSE)</f>
        <v>none</v>
      </c>
      <c r="Z33" s="5" t="str">
        <f ca="1">VLOOKUP(Y33,[1]character_tribe_i18n!$A:$H,3,FALSE)</f>
        <v>種族なし</v>
      </c>
      <c r="AA33" s="11">
        <f ca="1">VLOOKUP(W33,[1]character_tribe_i18n!$A:$H,4,FALSE)</f>
        <v>1</v>
      </c>
      <c r="AB33" s="11">
        <f ca="1">VLOOKUP(W33,[1]character_tribe_i18n!$A:$H,5,FALSE)</f>
        <v>1</v>
      </c>
      <c r="AC33" s="11">
        <f ca="1">VLOOKUP(W33,[1]character_tribe_i18n!$A:$H,6,FALSE)</f>
        <v>1</v>
      </c>
      <c r="AD33" s="11">
        <f ca="1">VLOOKUP(W33,[1]character_tribe_i18n!$A:$H,7,FALSE)</f>
        <v>1</v>
      </c>
      <c r="AE33" s="9" t="s">
        <v>178</v>
      </c>
      <c r="AF33" s="62" t="str">
        <f ca="1">IF(AE33="NULL","",VLOOKUP($AE33,OFFSET([1]characters!$A$1,0,0,COUNTA([1]characters!$A:$A),MATCH(AF$1,[1]characters!$1:$1,0)-MATCH($A$1,[1]characters!$1:$1,0)+1),MATCH(AF$1,[1]characters!$1:$1,0)-MATCH($A$1,[1]characters!$1:$1,0)+1,FALSE))</f>
        <v/>
      </c>
      <c r="AG33" s="5">
        <f t="shared" ca="1" si="1"/>
        <v>555</v>
      </c>
      <c r="AH33" s="62" t="str">
        <f ca="1">VLOOKUP($AG33,OFFSET([1]characters!$A$1,0,0,COUNTA([1]characters!$A:$A),MATCH(AH$1,[1]characters!$1:$1,0)-MATCH($A$1,[1]characters!$1:$1,0)+1),MATCH(AH$1,[1]characters!$1:$1,0)-MATCH($A$1,[1]characters!$1:$1,0)+1,FALSE)</f>
        <v>雪ミク2014</v>
      </c>
      <c r="AI33" s="11" t="str">
        <f>IF(AE33="NULL","NULL",VLOOKUP(G33,ビット!$A$2:$B$7,2))</f>
        <v>NULL</v>
      </c>
      <c r="AJ33" s="6">
        <v>2</v>
      </c>
      <c r="AK33" s="7" t="str">
        <f t="shared" ref="AK33:AK35" si="29">IF(AJ33=1,"早熟",IF(AJ33=2,"普通",IF(AJ33=3,"晩成","")))</f>
        <v>普通</v>
      </c>
      <c r="AL33" s="11" t="str">
        <f ca="1">INDEX(経験値!$A$1:$I$21,MATCH(H33,経験値!$A$1:$A$21,FALSE),MATCH(G33,経験値!$A$1:$I$1,FALSE))</f>
        <v>required_exp_200</v>
      </c>
      <c r="AM33" s="8">
        <f ca="1">VLOOKUP(G33,経験値!$A$28:$B$32,2)</f>
        <v>6400</v>
      </c>
      <c r="AN33" s="17">
        <f ca="1">VLOOKUP(G33,ビット!$G$2:$H$7,2)</f>
        <v>900</v>
      </c>
      <c r="AO33" s="45"/>
      <c r="AP33" s="67">
        <f t="shared" si="8"/>
        <v>556</v>
      </c>
      <c r="AQ33" s="57" t="str">
        <f ca="1">VLOOKUP($AP33,OFFSET(unit_skills!$A$1,0,0,COUNTA(unit_skills!$A:$A),MATCH(AQ$1,unit_skills!$1:$1,0)-MATCH($AP$1,unit_skills!$1:$1,0)+1),MATCH(AQ$1,unit_skills!$1:$1,0)-MATCH($AP$1,unit_skills!$1:$1,0)+1,FALSE)</f>
        <v>スノウ＊マジック</v>
      </c>
      <c r="AR33" s="57" t="str">
        <f ca="1">VLOOKUP($AP33,OFFSET(unit_skills!$A$1,0,0,COUNTA(unit_skills!$A:$A),MATCH(AR$1,unit_skills!$1:$1,0)-MATCH($AP$1,unit_skills!$1:$1,0)+1),MATCH(AR$1,unit_skills!$1:$1,0)-MATCH($AP$1,unit_skills!$1:$1,0)+1,FALSE)</f>
        <v>3ターン全ユニットの回復力特大UP+赤パネルをハートパネルに変換</v>
      </c>
      <c r="AS33" s="57">
        <f ca="1">VLOOKUP($AP33,OFFSET(unit_skills!$A$1,0,0,COUNTA(unit_skills!$A:$A),MATCH(AS$1,unit_skills!$1:$1,0)-MATCH($AP$1,unit_skills!$1:$1,0)+1),MATCH(AS$1,unit_skills!$1:$1,0)-MATCH($AP$1,unit_skills!$1:$1,0)+1,FALSE)</f>
        <v>0</v>
      </c>
      <c r="AT33" s="41">
        <f t="shared" si="9"/>
        <v>556</v>
      </c>
      <c r="AU33" s="57" t="str">
        <f ca="1">VLOOKUP($AT33,OFFSET(crash_skills!$A$1,0,0,COUNTA(crash_skills!$A:$A),MATCH(AU$1,crash_skills!$1:$1,0)-MATCH($AT$1,crash_skills!$1:$1,0)+1),MATCH(AU$1,crash_skills!$1:$1,0)-MATCH($AT$1,crash_skills!$1:$1,0)+1,FALSE)</f>
        <v>フォールミラクル</v>
      </c>
      <c r="AV33" s="57" t="str">
        <f ca="1">VLOOKUP($AT33,OFFSET(crash_skills!$A$1,0,0,COUNTA(crash_skills!$A:$A),MATCH(AV$1,crash_skills!$1:$1,0)-MATCH($AT$1,crash_skills!$1:$1,0)+1),MATCH(AV$1,crash_skills!$1:$1,0)-MATCH($AT$1,crash_skills!$1:$1,0)+1,FALSE)</f>
        <v>1体に小ダメージ+_x000D_HPを中回復</v>
      </c>
      <c r="AW33" s="57">
        <f ca="1">VLOOKUP($AT33,OFFSET(crash_skills!$A$1,0,0,COUNTA(crash_skills!$A:$A),MATCH(AW$1,crash_skills!$1:$1,0)-MATCH($AT$1,crash_skills!$1:$1,0)+1),MATCH(AW$1,crash_skills!$1:$1,0)-MATCH($AT$1,crash_skills!$1:$1,0)+1,FALSE)</f>
        <v>0</v>
      </c>
      <c r="AX33" s="58">
        <f ca="1">VLOOKUP($A33,OFFSET([1]characters!$A$1,0,0,COUNTA([1]characters!$A:$A),MATCH(AX$1,[1]characters!$1:$1,0)-MATCH($A$1,[1]characters!$1:$1,0)+1),MATCH(AX$1,[1]characters!$1:$1,0)-MATCH($A$1,[1]characters!$1:$1,0)+1,FALSE)</f>
        <v>3</v>
      </c>
      <c r="AY33" s="68">
        <v>1</v>
      </c>
      <c r="AZ33" s="68">
        <v>1</v>
      </c>
      <c r="BA33" s="68">
        <v>0</v>
      </c>
      <c r="BB33" s="68">
        <v>1</v>
      </c>
      <c r="BC33" s="11">
        <f ca="1">INDEX('RC6SV'!$A$1:$G$21,MATCH(H33,'RC6SV'!$A$1:$A$21,FALSE),MATCH(G33,'RC6SV'!$A$1:$G$1,FALSE))</f>
        <v>7600</v>
      </c>
      <c r="BD33" s="48">
        <f t="shared" ref="BD33:BD35" ca="1" si="30">ROUND(BC33*IF(AJ33=1,0.95,IF(AJ33=2,1,IF(AJ33,1.05,0))),0)</f>
        <v>7600</v>
      </c>
      <c r="BE33" s="11">
        <f t="shared" ca="1" si="4"/>
        <v>5800</v>
      </c>
      <c r="BF33" s="11">
        <f t="shared" ca="1" si="5"/>
        <v>1</v>
      </c>
      <c r="BG33" s="16">
        <f ca="1">IF($BE33&lt;=0,ROUND(BK33*0.5,0), ROUND($BE33*S33*AA33*J33*AY33*0.8*[1]ステータス!$B$2,0))</f>
        <v>1856</v>
      </c>
      <c r="BH33" s="16">
        <f ca="1">IF($BE33&lt;=0,ROUND(BL33*0.5,0), ROUND($BE33*T33*AB33*K33*AZ33*0.8*[1]ステータス!$C$2,0))</f>
        <v>1064</v>
      </c>
      <c r="BI33" s="16">
        <f ca="1">IF($BE33&lt;=0,ROUND(BM33*0.5,0), ROUND($BE33*U33*AC33*L33*BA33*0.8*[1]ステータス!$D$2,0))</f>
        <v>0</v>
      </c>
      <c r="BJ33" s="16">
        <f ca="1">IF($BE33&lt;=0,ROUND(BN33*0.5,0), ROUND($BE33*V33*AD33*M33*BB33*0.8*[1]ステータス!$E$2,0))</f>
        <v>1680</v>
      </c>
      <c r="BK33" s="11">
        <f ca="1">ROUND(BD33*S33*AA33*J33*AY33*[1]ステータス!$B$2,0)</f>
        <v>3040</v>
      </c>
      <c r="BL33" s="11">
        <f ca="1">ROUND(BD33*T33*AB33*K33*AZ33*[1]ステータス!$C$2,0)</f>
        <v>1743</v>
      </c>
      <c r="BM33" s="11">
        <f ca="1">ROUND(BD33*U33*AC33*L33*BA33*[1]ステータス!$D$2,0)</f>
        <v>0</v>
      </c>
      <c r="BN33" s="11">
        <f ca="1">ROUND(BD33*V33*AD33*M33*BB33*[1]ステータス!$E$2,0)</f>
        <v>2752</v>
      </c>
      <c r="BO33" s="10">
        <v>0</v>
      </c>
      <c r="BP33" s="10">
        <v>1</v>
      </c>
      <c r="BQ33" s="10" t="s">
        <v>47</v>
      </c>
      <c r="BR33" s="10">
        <f ca="1">VLOOKUP(H33,ghosts_label!$A$2:$B$19,2,FALSE)</f>
        <v>1</v>
      </c>
    </row>
    <row r="34" spans="1:70" ht="21" customHeight="1" x14ac:dyDescent="0.15">
      <c r="A34" s="134">
        <v>557</v>
      </c>
      <c r="B34" s="57" t="str">
        <f ca="1">VLOOKUP($A34,OFFSET([1]characters!$A$1,0,0,COUNTA([1]characters!$A:$A),MATCH(B$1,[1]characters!$1:$1,0)-MATCH($A$1,[1]characters!$1:$1,0)+1),MATCH(B$1,[1]characters!$1:$1,0)-MATCH($A$1,[1]characters!$1:$1,0)+1,FALSE)</f>
        <v>ラビット・ユキネ</v>
      </c>
      <c r="C34" s="57" t="str">
        <f ca="1">VLOOKUP($A34,OFFSET([1]characters!$A$1,0,0,COUNTA([1]characters!$A:$A),MATCH(C$1,[1]characters!$1:$1,0)-MATCH($A$1,[1]characters!$1:$1,0)+1),MATCH(C$1,[1]characters!$1:$1,0)-MATCH($A$1,[1]characters!$1:$1,0)+1,FALSE)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4" s="57" t="str">
        <f ca="1">VLOOKUP($A34,OFFSET([1]characters!$A$1,0,0,COUNTA([1]characters!$A:$A),MATCH(D$1,[1]characters!$1:$1,0)-MATCH($A$1,[1]characters!$1:$1,0)+1),MATCH(D$1,[1]characters!$1:$1,0)-MATCH($A$1,[1]characters!$1:$1,0)+1,FALSE)</f>
        <v>執行者</v>
      </c>
      <c r="E34" s="57" t="str">
        <f ca="1">VLOOKUP($A34,OFFSET([1]characters!$A$1,0,0,COUNTA([1]characters!$A:$A),MATCH(E$1,[1]characters!$1:$1,0)-MATCH($A$1,[1]characters!$1:$1,0)+1),MATCH(E$1,[1]characters!$1:$1,0)-MATCH($A$1,[1]characters!$1:$1,0)+1,FALSE)</f>
        <v>格好いい</v>
      </c>
      <c r="F34" s="57" t="str">
        <f ca="1">VLOOKUP($A34,OFFSET([1]characters!$A$1,0,0,COUNTA([1]characters!$A:$A),MATCH(F$1,[1]characters!$1:$1,0)-MATCH($A$1,[1]characters!$1:$1,0)+1),MATCH(F$1,[1]characters!$1:$1,0)-MATCH($A$1,[1]characters!$1:$1,0)+1,FALSE)</f>
        <v>不明</v>
      </c>
      <c r="G34" s="57">
        <f ca="1">VLOOKUP($A34,OFFSET([1]characters!$A$1,0,0,COUNTA([1]characters!$A:$A),MATCH(G$1,[1]characters!$1:$1,0)-MATCH($A$1,[1]characters!$1:$1,0)+1),MATCH(G$1,[1]characters!$1:$1,0)-MATCH($A$1,[1]characters!$1:$1,0)+1,FALSE)</f>
        <v>3</v>
      </c>
      <c r="H34" s="57" t="str">
        <f ca="1">VLOOKUP($A34,OFFSET([1]characters!$A$1,0,0,COUNTA([1]characters!$A:$A),MATCH(H$1,[1]characters!$1:$1,0)-MATCH($A$1,[1]characters!$1:$1,0)+1),MATCH(H$1,[1]characters!$1:$1,0)-MATCH($A$1,[1]characters!$1:$1,0)+1,FALSE)</f>
        <v>Drop2N</v>
      </c>
      <c r="I34" s="57" t="str">
        <f ca="1">VLOOKUP($A34,OFFSET([1]characters!$A$1,0,0,COUNTA([1]characters!$A:$A),MATCH(I$1,[1]characters!$1:$1,0)-MATCH($A$1,[1]characters!$1:$1,0)+1),MATCH(I$1,[1]characters!$1:$1,0)-MATCH($A$1,[1]characters!$1:$1,0)+1,FALSE)</f>
        <v>blue</v>
      </c>
      <c r="J34" s="11">
        <f ca="1">VLOOKUP(I34,[1]属性!$A:$E,2,FALSE)</f>
        <v>1</v>
      </c>
      <c r="K34" s="11">
        <f ca="1">VLOOKUP(I34,[1]属性!$A:$E,3,FALSE)</f>
        <v>0.98</v>
      </c>
      <c r="L34" s="11">
        <f ca="1">VLOOKUP(I34,[1]属性!$A:$E,4,FALSE)</f>
        <v>1</v>
      </c>
      <c r="M34" s="11">
        <f ca="1">VLOOKUP(I34,[1]属性!$A:$E,5,FALSE)</f>
        <v>1.02</v>
      </c>
      <c r="N34" s="11">
        <f ca="1">INDEX(コスト!$A$1:$I$21,MATCH(H34,コスト!$A$1:$A$21,FALSE),MATCH(G34,コスト!$A$1:$I$1,FALSE))</f>
        <v>8</v>
      </c>
      <c r="O34" s="11">
        <f ca="1">INDEX(レベル!$A$1:$I$21,MATCH(H34,レベル!$A$1:$A$21,FALSE),MATCH(G34,レベル!$A$1:$I$1,FALSE))</f>
        <v>40</v>
      </c>
      <c r="P34" s="48">
        <f t="shared" ca="1" si="28"/>
        <v>45</v>
      </c>
      <c r="Q34" s="57" t="str">
        <f ca="1">VLOOKUP($A34,OFFSET([1]characters!$A$1,0,0,COUNTA([1]characters!$A:$A),MATCH(Q$1,[1]characters!$1:$1,0)-MATCH($A$1,[1]characters!$1:$1,0)+1),MATCH(Q$1,[1]characters!$1:$1,0)-MATCH($A$1,[1]characters!$1:$1,0)+1,FALSE)</f>
        <v>balance</v>
      </c>
      <c r="R34" s="5" t="str">
        <f ca="1">VLOOKUP(Q34,[1]character_type_i18n!$A:$H,3,FALSE)</f>
        <v>バランスタイプ</v>
      </c>
      <c r="S34" s="11">
        <f ca="1">VLOOKUP(Q34,[1]character_type_i18n!$A:$H,4,FALSE)</f>
        <v>1</v>
      </c>
      <c r="T34" s="11">
        <f ca="1">VLOOKUP(Q34,[1]character_type_i18n!$A:$H,5,FALSE)</f>
        <v>1</v>
      </c>
      <c r="U34" s="11">
        <f ca="1">VLOOKUP(Q34,[1]character_type_i18n!$A:$H,6,FALSE)</f>
        <v>1</v>
      </c>
      <c r="V34" s="11">
        <f ca="1">VLOOKUP(Q34,[1]character_type_i18n!$A:$H,7,FALSE)</f>
        <v>1</v>
      </c>
      <c r="W34" s="57" t="str">
        <f ca="1">VLOOKUP($A34,OFFSET([1]characters!$A$1,0,0,COUNTA([1]characters!$A:$A),MATCH(W$1,[1]characters!$1:$1,0)-MATCH($A$1,[1]characters!$1:$1,0)+1),MATCH(W$1,[1]characters!$1:$1,0)-MATCH($A$1,[1]characters!$1:$1,0)+1,FALSE)</f>
        <v>unknown</v>
      </c>
      <c r="X34" s="5" t="str">
        <f ca="1">VLOOKUP(W34,[1]character_tribe_i18n!$A:$H,3,FALSE)</f>
        <v>Unknown</v>
      </c>
      <c r="Y34" s="57" t="str">
        <f ca="1">VLOOKUP($A34,OFFSET([1]characters!$A$1,0,0,COUNTA([1]characters!$A:$A),MATCH(Y$1,[1]characters!$1:$1,0)-MATCH($A$1,[1]characters!$1:$1,0)+1),MATCH(Y$1,[1]characters!$1:$1,0)-MATCH($A$1,[1]characters!$1:$1,0)+1,FALSE)</f>
        <v>none</v>
      </c>
      <c r="Z34" s="5" t="str">
        <f ca="1">VLOOKUP(Y34,[1]character_tribe_i18n!$A:$H,3,FALSE)</f>
        <v>種族なし</v>
      </c>
      <c r="AA34" s="11">
        <f ca="1">VLOOKUP(W34,[1]character_tribe_i18n!$A:$H,4,FALSE)</f>
        <v>1</v>
      </c>
      <c r="AB34" s="11">
        <f ca="1">VLOOKUP(W34,[1]character_tribe_i18n!$A:$H,5,FALSE)</f>
        <v>1</v>
      </c>
      <c r="AC34" s="11">
        <f ca="1">VLOOKUP(W34,[1]character_tribe_i18n!$A:$H,6,FALSE)</f>
        <v>1</v>
      </c>
      <c r="AD34" s="11">
        <f ca="1">VLOOKUP(W34,[1]character_tribe_i18n!$A:$H,7,FALSE)</f>
        <v>1</v>
      </c>
      <c r="AE34" s="9">
        <f t="shared" ref="AE34" si="31">A35</f>
        <v>558</v>
      </c>
      <c r="AF34" s="62" t="str">
        <f ca="1">IF(AE34="NULL","",VLOOKUP($AE34,OFFSET([1]characters!$A$1,0,0,COUNTA([1]characters!$A:$A),MATCH(AF$1,[1]characters!$1:$1,0)-MATCH($A$1,[1]characters!$1:$1,0)+1),MATCH(AF$1,[1]characters!$1:$1,0)-MATCH($A$1,[1]characters!$1:$1,0)+1,FALSE))</f>
        <v>雪原の超躍 ラビット・ユキネ</v>
      </c>
      <c r="AG34" s="5">
        <f t="shared" ca="1" si="1"/>
        <v>557</v>
      </c>
      <c r="AH34" s="62" t="str">
        <f ca="1">VLOOKUP($AG34,OFFSET([1]characters!$A$1,0,0,COUNTA([1]characters!$A:$A),MATCH(AH$1,[1]characters!$1:$1,0)-MATCH($A$1,[1]characters!$1:$1,0)+1),MATCH(AH$1,[1]characters!$1:$1,0)-MATCH($A$1,[1]characters!$1:$1,0)+1,FALSE)</f>
        <v>ラビット・ユキネ</v>
      </c>
      <c r="AI34" s="11">
        <f ca="1">IF(AE34="NULL","NULL",VLOOKUP(G34,ビット!$A$2:$B$7,2))</f>
        <v>20000</v>
      </c>
      <c r="AJ34" s="6">
        <v>2</v>
      </c>
      <c r="AK34" s="7" t="str">
        <f t="shared" si="29"/>
        <v>普通</v>
      </c>
      <c r="AL34" s="11" t="str">
        <f ca="1">INDEX(経験値!$A$1:$I$21,MATCH(H34,経験値!$A$1:$A$21,FALSE),MATCH(G34,経験値!$A$1:$I$1,FALSE))</f>
        <v>required_exp_200</v>
      </c>
      <c r="AM34" s="8">
        <f ca="1">VLOOKUP(G34,経験値!$A$28:$B$32,2)</f>
        <v>1500</v>
      </c>
      <c r="AN34" s="17">
        <f ca="1">VLOOKUP(G34,ビット!$G$2:$H$7,2)</f>
        <v>300</v>
      </c>
      <c r="AO34" s="45"/>
      <c r="AP34" s="67">
        <f t="shared" si="8"/>
        <v>557</v>
      </c>
      <c r="AQ34" s="57" t="str">
        <f ca="1">VLOOKUP($AP34,OFFSET(unit_skills!$A$1,0,0,COUNTA(unit_skills!$A:$A),MATCH(AQ$1,unit_skills!$1:$1,0)-MATCH($AP$1,unit_skills!$1:$1,0)+1),MATCH(AQ$1,unit_skills!$1:$1,0)-MATCH($AP$1,unit_skills!$1:$1,0)+1,FALSE)</f>
        <v>ラビットジャンプ</v>
      </c>
      <c r="AR34" s="57" t="str">
        <f ca="1">VLOOKUP($AP34,OFFSET(unit_skills!$A$1,0,0,COUNTA(unit_skills!$A:$A),MATCH(AR$1,unit_skills!$1:$1,0)-MATCH($AP$1,unit_skills!$1:$1,0)+1),MATCH(AR$1,unit_skills!$1:$1,0)-MATCH($AP$1,unit_skills!$1:$1,0)+1,FALSE)</f>
        <v>ランダムでCパネル（大）を3つ生成する</v>
      </c>
      <c r="AS34" s="57">
        <f ca="1">VLOOKUP($AP34,OFFSET(unit_skills!$A$1,0,0,COUNTA(unit_skills!$A:$A),MATCH(AS$1,unit_skills!$1:$1,0)-MATCH($AP$1,unit_skills!$1:$1,0)+1),MATCH(AS$1,unit_skills!$1:$1,0)-MATCH($AP$1,unit_skills!$1:$1,0)+1,FALSE)</f>
        <v>0</v>
      </c>
      <c r="AT34" s="41">
        <f t="shared" si="9"/>
        <v>557</v>
      </c>
      <c r="AU34" s="57" t="str">
        <f ca="1">VLOOKUP($AT34,OFFSET(crash_skills!$A$1,0,0,COUNTA(crash_skills!$A:$A),MATCH(AU$1,crash_skills!$1:$1,0)-MATCH($AT$1,crash_skills!$1:$1,0)+1),MATCH(AU$1,crash_skills!$1:$1,0)-MATCH($AT$1,crash_skills!$1:$1,0)+1,FALSE)</f>
        <v>ユキネキック</v>
      </c>
      <c r="AV34" s="57" t="str">
        <f ca="1">VLOOKUP($AT34,OFFSET(crash_skills!$A$1,0,0,COUNTA(crash_skills!$A:$A),MATCH(AV$1,crash_skills!$1:$1,0)-MATCH($AT$1,crash_skills!$1:$1,0)+1),MATCH(AV$1,crash_skills!$1:$1,0)-MATCH($AT$1,crash_skills!$1:$1,0)+1,FALSE)</f>
        <v>1体に中ダメージ</v>
      </c>
      <c r="AW34" s="57">
        <f ca="1">VLOOKUP($AT34,OFFSET(crash_skills!$A$1,0,0,COUNTA(crash_skills!$A:$A),MATCH(AW$1,crash_skills!$1:$1,0)-MATCH($AT$1,crash_skills!$1:$1,0)+1),MATCH(AW$1,crash_skills!$1:$1,0)-MATCH($AT$1,crash_skills!$1:$1,0)+1,FALSE)</f>
        <v>0</v>
      </c>
      <c r="AX34" s="58">
        <f ca="1">VLOOKUP($A34,OFFSET([1]characters!$A$1,0,0,COUNTA([1]characters!$A:$A),MATCH(AX$1,[1]characters!$1:$1,0)-MATCH($A$1,[1]characters!$1:$1,0)+1),MATCH(AX$1,[1]characters!$1:$1,0)-MATCH($A$1,[1]characters!$1:$1,0)+1,FALSE)</f>
        <v>3</v>
      </c>
      <c r="AY34" s="68">
        <v>1</v>
      </c>
      <c r="AZ34" s="68">
        <v>1</v>
      </c>
      <c r="BA34" s="68">
        <v>0</v>
      </c>
      <c r="BB34" s="68">
        <v>1</v>
      </c>
      <c r="BC34" s="11">
        <f ca="1">INDEX('RC6SV'!$A$1:$G$21,MATCH(H34,'RC6SV'!$A$1:$A$21,FALSE),MATCH(G34,'RC6SV'!$A$1:$G$1,FALSE))</f>
        <v>4600</v>
      </c>
      <c r="BD34" s="48">
        <f t="shared" ca="1" si="30"/>
        <v>4600</v>
      </c>
      <c r="BE34" s="11">
        <f t="shared" ca="1" si="4"/>
        <v>0</v>
      </c>
      <c r="BF34" s="11">
        <f t="shared" ca="1" si="5"/>
        <v>1</v>
      </c>
      <c r="BG34" s="16">
        <f ca="1">IF($BE34&lt;=0,ROUND(BK34*0.5,0), ROUND($BE34*S34*AA34*J34*AY34*0.8*[1]ステータス!$B$2,0))</f>
        <v>1150</v>
      </c>
      <c r="BH34" s="16">
        <f ca="1">IF($BE34&lt;=0,ROUND(BL34*0.5,0), ROUND($BE34*T34*AB34*K34*AZ34*0.8*[1]ステータス!$C$2,0))</f>
        <v>676</v>
      </c>
      <c r="BI34" s="16">
        <f ca="1">IF($BE34&lt;=0,ROUND(BM34*0.5,0), ROUND($BE34*U34*AC34*L34*BA34*0.8*[1]ステータス!$D$2,0))</f>
        <v>0</v>
      </c>
      <c r="BJ34" s="16">
        <f ca="1">IF($BE34&lt;=0,ROUND(BN34*0.5,0), ROUND($BE34*V34*AD34*M34*BB34*0.8*[1]ステータス!$E$2,0))</f>
        <v>587</v>
      </c>
      <c r="BK34" s="11">
        <f ca="1">ROUND(BD34*S34*AA34*J34*AY34*[1]ステータス!$B$2,0)</f>
        <v>2300</v>
      </c>
      <c r="BL34" s="11">
        <f ca="1">ROUND(BD34*T34*AB34*K34*AZ34*[1]ステータス!$C$2,0)</f>
        <v>1352</v>
      </c>
      <c r="BM34" s="11">
        <f ca="1">ROUND(BD34*U34*AC34*L34*BA34*[1]ステータス!$D$2,0)</f>
        <v>0</v>
      </c>
      <c r="BN34" s="11">
        <f ca="1">ROUND(BD34*V34*AD34*M34*BB34*[1]ステータス!$E$2,0)</f>
        <v>1173</v>
      </c>
      <c r="BO34" s="10">
        <v>0</v>
      </c>
      <c r="BP34" s="10">
        <v>1</v>
      </c>
      <c r="BQ34" s="10" t="s">
        <v>47</v>
      </c>
      <c r="BR34" s="10">
        <f ca="1">VLOOKUP(H34,ghosts_label!$A$2:$B$19,2,FALSE)</f>
        <v>1</v>
      </c>
    </row>
    <row r="35" spans="1:70" ht="21" customHeight="1" x14ac:dyDescent="0.15">
      <c r="A35" s="134">
        <v>558</v>
      </c>
      <c r="B35" s="57" t="str">
        <f ca="1">VLOOKUP($A35,OFFSET([1]characters!$A$1,0,0,COUNTA([1]characters!$A:$A),MATCH(B$1,[1]characters!$1:$1,0)-MATCH($A$1,[1]characters!$1:$1,0)+1),MATCH(B$1,[1]characters!$1:$1,0)-MATCH($A$1,[1]characters!$1:$1,0)+1,FALSE)</f>
        <v>雪原の超躍 ラビット・ユキネ</v>
      </c>
      <c r="C35" s="57" t="str">
        <f ca="1">VLOOKUP($A35,OFFSET([1]characters!$A$1,0,0,COUNTA([1]characters!$A:$A),MATCH(C$1,[1]characters!$1:$1,0)-MATCH($A$1,[1]characters!$1:$1,0)+1),MATCH(C$1,[1]characters!$1:$1,0)-MATCH($A$1,[1]characters!$1:$1,0)+1,FALSE)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5" s="57" t="str">
        <f ca="1">VLOOKUP($A35,OFFSET([1]characters!$A$1,0,0,COUNTA([1]characters!$A:$A),MATCH(D$1,[1]characters!$1:$1,0)-MATCH($A$1,[1]characters!$1:$1,0)+1),MATCH(D$1,[1]characters!$1:$1,0)-MATCH($A$1,[1]characters!$1:$1,0)+1,FALSE)</f>
        <v>執行者</v>
      </c>
      <c r="E35" s="57" t="str">
        <f ca="1">VLOOKUP($A35,OFFSET([1]characters!$A$1,0,0,COUNTA([1]characters!$A:$A),MATCH(E$1,[1]characters!$1:$1,0)-MATCH($A$1,[1]characters!$1:$1,0)+1),MATCH(E$1,[1]characters!$1:$1,0)-MATCH($A$1,[1]characters!$1:$1,0)+1,FALSE)</f>
        <v>格好いい</v>
      </c>
      <c r="F35" s="57" t="str">
        <f ca="1">VLOOKUP($A35,OFFSET([1]characters!$A$1,0,0,COUNTA([1]characters!$A:$A),MATCH(F$1,[1]characters!$1:$1,0)-MATCH($A$1,[1]characters!$1:$1,0)+1),MATCH(F$1,[1]characters!$1:$1,0)-MATCH($A$1,[1]characters!$1:$1,0)+1,FALSE)</f>
        <v>不明</v>
      </c>
      <c r="G35" s="57">
        <f ca="1">VLOOKUP($A35,OFFSET([1]characters!$A$1,0,0,COUNTA([1]characters!$A:$A),MATCH(G$1,[1]characters!$1:$1,0)-MATCH($A$1,[1]characters!$1:$1,0)+1),MATCH(G$1,[1]characters!$1:$1,0)-MATCH($A$1,[1]characters!$1:$1,0)+1,FALSE)</f>
        <v>4</v>
      </c>
      <c r="H35" s="57" t="str">
        <f ca="1">VLOOKUP($A35,OFFSET([1]characters!$A$1,0,0,COUNTA([1]characters!$A:$A),MATCH(H$1,[1]characters!$1:$1,0)-MATCH($A$1,[1]characters!$1:$1,0)+1),MATCH(H$1,[1]characters!$1:$1,0)-MATCH($A$1,[1]characters!$1:$1,0)+1,FALSE)</f>
        <v>Drop2N</v>
      </c>
      <c r="I35" s="57" t="str">
        <f ca="1">VLOOKUP($A35,OFFSET([1]characters!$A$1,0,0,COUNTA([1]characters!$A:$A),MATCH(I$1,[1]characters!$1:$1,0)-MATCH($A$1,[1]characters!$1:$1,0)+1),MATCH(I$1,[1]characters!$1:$1,0)-MATCH($A$1,[1]characters!$1:$1,0)+1,FALSE)</f>
        <v>blue</v>
      </c>
      <c r="J35" s="11">
        <f ca="1">VLOOKUP(I35,[1]属性!$A:$E,2,FALSE)</f>
        <v>1</v>
      </c>
      <c r="K35" s="11">
        <f ca="1">VLOOKUP(I35,[1]属性!$A:$E,3,FALSE)</f>
        <v>0.98</v>
      </c>
      <c r="L35" s="11">
        <f ca="1">VLOOKUP(I35,[1]属性!$A:$E,4,FALSE)</f>
        <v>1</v>
      </c>
      <c r="M35" s="11">
        <f ca="1">VLOOKUP(I35,[1]属性!$A:$E,5,FALSE)</f>
        <v>1.02</v>
      </c>
      <c r="N35" s="11">
        <f ca="1">INDEX(コスト!$A$1:$I$21,MATCH(H35,コスト!$A$1:$A$21,FALSE),MATCH(G35,コスト!$A$1:$I$1,FALSE))</f>
        <v>17</v>
      </c>
      <c r="O35" s="11">
        <f ca="1">INDEX(レベル!$A$1:$I$21,MATCH(H35,レベル!$A$1:$A$21,FALSE),MATCH(G35,レベル!$A$1:$I$1,FALSE))</f>
        <v>60</v>
      </c>
      <c r="P35" s="48">
        <f t="shared" ca="1" si="28"/>
        <v>60</v>
      </c>
      <c r="Q35" s="57" t="str">
        <f ca="1">VLOOKUP($A35,OFFSET([1]characters!$A$1,0,0,COUNTA([1]characters!$A:$A),MATCH(Q$1,[1]characters!$1:$1,0)-MATCH($A$1,[1]characters!$1:$1,0)+1),MATCH(Q$1,[1]characters!$1:$1,0)-MATCH($A$1,[1]characters!$1:$1,0)+1,FALSE)</f>
        <v>balance</v>
      </c>
      <c r="R35" s="5" t="str">
        <f ca="1">VLOOKUP(Q35,[1]character_type_i18n!$A:$H,3,FALSE)</f>
        <v>バランスタイプ</v>
      </c>
      <c r="S35" s="11">
        <f ca="1">VLOOKUP(Q35,[1]character_type_i18n!$A:$H,4,FALSE)</f>
        <v>1</v>
      </c>
      <c r="T35" s="11">
        <f ca="1">VLOOKUP(Q35,[1]character_type_i18n!$A:$H,5,FALSE)</f>
        <v>1</v>
      </c>
      <c r="U35" s="11">
        <f ca="1">VLOOKUP(Q35,[1]character_type_i18n!$A:$H,6,FALSE)</f>
        <v>1</v>
      </c>
      <c r="V35" s="11">
        <f ca="1">VLOOKUP(Q35,[1]character_type_i18n!$A:$H,7,FALSE)</f>
        <v>1</v>
      </c>
      <c r="W35" s="57" t="str">
        <f ca="1">VLOOKUP($A35,OFFSET([1]characters!$A$1,0,0,COUNTA([1]characters!$A:$A),MATCH(W$1,[1]characters!$1:$1,0)-MATCH($A$1,[1]characters!$1:$1,0)+1),MATCH(W$1,[1]characters!$1:$1,0)-MATCH($A$1,[1]characters!$1:$1,0)+1,FALSE)</f>
        <v>unknown</v>
      </c>
      <c r="X35" s="5" t="str">
        <f ca="1">VLOOKUP(W35,[1]character_tribe_i18n!$A:$H,3,FALSE)</f>
        <v>Unknown</v>
      </c>
      <c r="Y35" s="57" t="str">
        <f ca="1">VLOOKUP($A35,OFFSET([1]characters!$A$1,0,0,COUNTA([1]characters!$A:$A),MATCH(Y$1,[1]characters!$1:$1,0)-MATCH($A$1,[1]characters!$1:$1,0)+1),MATCH(Y$1,[1]characters!$1:$1,0)-MATCH($A$1,[1]characters!$1:$1,0)+1,FALSE)</f>
        <v>none</v>
      </c>
      <c r="Z35" s="5" t="str">
        <f ca="1">VLOOKUP(Y35,[1]character_tribe_i18n!$A:$H,3,FALSE)</f>
        <v>種族なし</v>
      </c>
      <c r="AA35" s="11">
        <f ca="1">VLOOKUP(W35,[1]character_tribe_i18n!$A:$H,4,FALSE)</f>
        <v>1</v>
      </c>
      <c r="AB35" s="11">
        <f ca="1">VLOOKUP(W35,[1]character_tribe_i18n!$A:$H,5,FALSE)</f>
        <v>1</v>
      </c>
      <c r="AC35" s="11">
        <f ca="1">VLOOKUP(W35,[1]character_tribe_i18n!$A:$H,6,FALSE)</f>
        <v>1</v>
      </c>
      <c r="AD35" s="11">
        <f ca="1">VLOOKUP(W35,[1]character_tribe_i18n!$A:$H,7,FALSE)</f>
        <v>1</v>
      </c>
      <c r="AE35" s="9">
        <v>559</v>
      </c>
      <c r="AF35" s="62" t="str">
        <f ca="1">IF(AE35="NULL","",VLOOKUP($AE35,OFFSET([1]characters!$A$1,0,0,COUNTA([1]characters!$A:$A),MATCH(AF$1,[1]characters!$1:$1,0)-MATCH($A$1,[1]characters!$1:$1,0)+1),MATCH(AF$1,[1]characters!$1:$1,0)-MATCH($A$1,[1]characters!$1:$1,0)+1,FALSE))</f>
        <v>白銀の滑光 ラビット・ユキネ</v>
      </c>
      <c r="AG35" s="5">
        <f t="shared" ca="1" si="1"/>
        <v>557</v>
      </c>
      <c r="AH35" s="62" t="str">
        <f ca="1">VLOOKUP($AG35,OFFSET([1]characters!$A$1,0,0,COUNTA([1]characters!$A:$A),MATCH(AH$1,[1]characters!$1:$1,0)-MATCH($A$1,[1]characters!$1:$1,0)+1),MATCH(AH$1,[1]characters!$1:$1,0)-MATCH($A$1,[1]characters!$1:$1,0)+1,FALSE)</f>
        <v>ラビット・ユキネ</v>
      </c>
      <c r="AI35" s="11">
        <f ca="1">IF(AE35="NULL","NULL",VLOOKUP(G35,ビット!$A$2:$B$7,2))</f>
        <v>50000</v>
      </c>
      <c r="AJ35" s="6">
        <v>2</v>
      </c>
      <c r="AK35" s="7" t="str">
        <f t="shared" si="29"/>
        <v>普通</v>
      </c>
      <c r="AL35" s="11" t="str">
        <f ca="1">INDEX(経験値!$A$1:$I$21,MATCH(H35,経験値!$A$1:$A$21,FALSE),MATCH(G35,経験値!$A$1:$I$1,FALSE))</f>
        <v>required_exp_200</v>
      </c>
      <c r="AM35" s="8">
        <f ca="1">VLOOKUP(G35,経験値!$A$28:$B$32,2)</f>
        <v>3400</v>
      </c>
      <c r="AN35" s="17">
        <f ca="1">VLOOKUP(G35,ビット!$G$2:$H$7,2)</f>
        <v>600</v>
      </c>
      <c r="AO35" s="45"/>
      <c r="AP35" s="67">
        <f t="shared" si="8"/>
        <v>558</v>
      </c>
      <c r="AQ35" s="57" t="str">
        <f ca="1">VLOOKUP($AP35,OFFSET(unit_skills!$A$1,0,0,COUNTA(unit_skills!$A:$A),MATCH(AQ$1,unit_skills!$1:$1,0)-MATCH($AP$1,unit_skills!$1:$1,0)+1),MATCH(AQ$1,unit_skills!$1:$1,0)-MATCH($AP$1,unit_skills!$1:$1,0)+1,FALSE)</f>
        <v>ラビットジャンプ</v>
      </c>
      <c r="AR35" s="57" t="str">
        <f ca="1">VLOOKUP($AP35,OFFSET(unit_skills!$A$1,0,0,COUNTA(unit_skills!$A:$A),MATCH(AR$1,unit_skills!$1:$1,0)-MATCH($AP$1,unit_skills!$1:$1,0)+1),MATCH(AR$1,unit_skills!$1:$1,0)-MATCH($AP$1,unit_skills!$1:$1,0)+1,FALSE)</f>
        <v>ランダムでCパネル（大）を3つ生成する</v>
      </c>
      <c r="AS35" s="57">
        <f ca="1">VLOOKUP($AP35,OFFSET(unit_skills!$A$1,0,0,COUNTA(unit_skills!$A:$A),MATCH(AS$1,unit_skills!$1:$1,0)-MATCH($AP$1,unit_skills!$1:$1,0)+1),MATCH(AS$1,unit_skills!$1:$1,0)-MATCH($AP$1,unit_skills!$1:$1,0)+1,FALSE)</f>
        <v>0</v>
      </c>
      <c r="AT35" s="41">
        <f t="shared" si="9"/>
        <v>558</v>
      </c>
      <c r="AU35" s="57" t="str">
        <f ca="1">VLOOKUP($AT35,OFFSET(crash_skills!$A$1,0,0,COUNTA(crash_skills!$A:$A),MATCH(AU$1,crash_skills!$1:$1,0)-MATCH($AT$1,crash_skills!$1:$1,0)+1),MATCH(AU$1,crash_skills!$1:$1,0)-MATCH($AT$1,crash_skills!$1:$1,0)+1,FALSE)</f>
        <v>ユキネキック</v>
      </c>
      <c r="AV35" s="57" t="str">
        <f ca="1">VLOOKUP($AT35,OFFSET(crash_skills!$A$1,0,0,COUNTA(crash_skills!$A:$A),MATCH(AV$1,crash_skills!$1:$1,0)-MATCH($AT$1,crash_skills!$1:$1,0)+1),MATCH(AV$1,crash_skills!$1:$1,0)-MATCH($AT$1,crash_skills!$1:$1,0)+1,FALSE)</f>
        <v>1体に中ダメージ</v>
      </c>
      <c r="AW35" s="57">
        <f ca="1">VLOOKUP($AT35,OFFSET(crash_skills!$A$1,0,0,COUNTA(crash_skills!$A:$A),MATCH(AW$1,crash_skills!$1:$1,0)-MATCH($AT$1,crash_skills!$1:$1,0)+1),MATCH(AW$1,crash_skills!$1:$1,0)-MATCH($AT$1,crash_skills!$1:$1,0)+1,FALSE)</f>
        <v>0</v>
      </c>
      <c r="AX35" s="58">
        <f ca="1">VLOOKUP($A35,OFFSET([1]characters!$A$1,0,0,COUNTA([1]characters!$A:$A),MATCH(AX$1,[1]characters!$1:$1,0)-MATCH($A$1,[1]characters!$1:$1,0)+1),MATCH(AX$1,[1]characters!$1:$1,0)-MATCH($A$1,[1]characters!$1:$1,0)+1,FALSE)</f>
        <v>3</v>
      </c>
      <c r="AY35" s="68">
        <v>1</v>
      </c>
      <c r="AZ35" s="68">
        <v>1</v>
      </c>
      <c r="BA35" s="68">
        <v>0</v>
      </c>
      <c r="BB35" s="68">
        <v>1</v>
      </c>
      <c r="BC35" s="11">
        <f ca="1">INDEX('RC6SV'!$A$1:$G$21,MATCH(H35,'RC6SV'!$A$1:$A$21,FALSE),MATCH(G35,'RC6SV'!$A$1:$G$1,FALSE))</f>
        <v>5800</v>
      </c>
      <c r="BD35" s="48">
        <f t="shared" ca="1" si="30"/>
        <v>5800</v>
      </c>
      <c r="BE35" s="11">
        <f t="shared" ca="1" si="4"/>
        <v>4600</v>
      </c>
      <c r="BF35" s="11">
        <f t="shared" ca="1" si="5"/>
        <v>1</v>
      </c>
      <c r="BG35" s="16">
        <f ca="1">IF($BE35&lt;=0,ROUND(BK35*0.5,0), ROUND($BE35*S35*AA35*J35*AY35*0.8*[1]ステータス!$B$2,0))</f>
        <v>1840</v>
      </c>
      <c r="BH35" s="16">
        <f ca="1">IF($BE35&lt;=0,ROUND(BL35*0.5,0), ROUND($BE35*T35*AB35*K35*AZ35*0.8*[1]ステータス!$C$2,0))</f>
        <v>1082</v>
      </c>
      <c r="BI35" s="16">
        <f ca="1">IF($BE35&lt;=0,ROUND(BM35*0.5,0), ROUND($BE35*U35*AC35*L35*BA35*0.8*[1]ステータス!$D$2,0))</f>
        <v>0</v>
      </c>
      <c r="BJ35" s="16">
        <f ca="1">IF($BE35&lt;=0,ROUND(BN35*0.5,0), ROUND($BE35*V35*AD35*M35*BB35*0.8*[1]ステータス!$E$2,0))</f>
        <v>938</v>
      </c>
      <c r="BK35" s="11">
        <f ca="1">ROUND(BD35*S35*AA35*J35*AY35*[1]ステータス!$B$2,0)</f>
        <v>2900</v>
      </c>
      <c r="BL35" s="11">
        <f ca="1">ROUND(BD35*T35*AB35*K35*AZ35*[1]ステータス!$C$2,0)</f>
        <v>1705</v>
      </c>
      <c r="BM35" s="11">
        <f ca="1">ROUND(BD35*U35*AC35*L35*BA35*[1]ステータス!$D$2,0)</f>
        <v>0</v>
      </c>
      <c r="BN35" s="11">
        <f ca="1">ROUND(BD35*V35*AD35*M35*BB35*[1]ステータス!$E$2,0)</f>
        <v>1479</v>
      </c>
      <c r="BO35" s="10">
        <v>0</v>
      </c>
      <c r="BP35" s="10">
        <v>1</v>
      </c>
      <c r="BQ35" s="10" t="s">
        <v>47</v>
      </c>
      <c r="BR35" s="10">
        <f ca="1">VLOOKUP(H35,ghosts_label!$A$2:$B$19,2,FALSE)</f>
        <v>1</v>
      </c>
    </row>
    <row r="36" spans="1:70" ht="21" customHeight="1" x14ac:dyDescent="0.15">
      <c r="A36" s="134">
        <v>559</v>
      </c>
      <c r="B36" s="57" t="str">
        <f ca="1">VLOOKUP($A36,OFFSET([1]characters!$A$1,0,0,COUNTA([1]characters!$A:$A),MATCH(B$1,[1]characters!$1:$1,0)-MATCH($A$1,[1]characters!$1:$1,0)+1),MATCH(B$1,[1]characters!$1:$1,0)-MATCH($A$1,[1]characters!$1:$1,0)+1,FALSE)</f>
        <v>白銀の滑光 ラビット・ユキネ</v>
      </c>
      <c r="C36" s="57" t="str">
        <f ca="1">VLOOKUP($A36,OFFSET([1]characters!$A$1,0,0,COUNTA([1]characters!$A:$A),MATCH(C$1,[1]characters!$1:$1,0)-MATCH($A$1,[1]characters!$1:$1,0)+1),MATCH(C$1,[1]characters!$1:$1,0)-MATCH($A$1,[1]characters!$1:$1,0)+1,FALSE)</f>
        <v>イベント:ミクコラボ01</v>
      </c>
      <c r="D36" s="57" t="str">
        <f ca="1">VLOOKUP($A36,OFFSET([1]characters!$A$1,0,0,COUNTA([1]characters!$A:$A),MATCH(D$1,[1]characters!$1:$1,0)-MATCH($A$1,[1]characters!$1:$1,0)+1),MATCH(D$1,[1]characters!$1:$1,0)-MATCH($A$1,[1]characters!$1:$1,0)+1,FALSE)</f>
        <v>執行者</v>
      </c>
      <c r="E36" s="57" t="str">
        <f ca="1">VLOOKUP($A36,OFFSET([1]characters!$A$1,0,0,COUNTA([1]characters!$A:$A),MATCH(E$1,[1]characters!$1:$1,0)-MATCH($A$1,[1]characters!$1:$1,0)+1),MATCH(E$1,[1]characters!$1:$1,0)-MATCH($A$1,[1]characters!$1:$1,0)+1,FALSE)</f>
        <v>格好いい</v>
      </c>
      <c r="F36" s="57" t="str">
        <f ca="1">VLOOKUP($A36,OFFSET([1]characters!$A$1,0,0,COUNTA([1]characters!$A:$A),MATCH(F$1,[1]characters!$1:$1,0)-MATCH($A$1,[1]characters!$1:$1,0)+1),MATCH(F$1,[1]characters!$1:$1,0)-MATCH($A$1,[1]characters!$1:$1,0)+1,FALSE)</f>
        <v>不明</v>
      </c>
      <c r="G36" s="57">
        <f ca="1">VLOOKUP($A36,OFFSET([1]characters!$A$1,0,0,COUNTA([1]characters!$A:$A),MATCH(G$1,[1]characters!$1:$1,0)-MATCH($A$1,[1]characters!$1:$1,0)+1),MATCH(G$1,[1]characters!$1:$1,0)-MATCH($A$1,[1]characters!$1:$1,0)+1,FALSE)</f>
        <v>5</v>
      </c>
      <c r="H36" s="57" t="str">
        <f ca="1">VLOOKUP($A36,OFFSET([1]characters!$A$1,0,0,COUNTA([1]characters!$A:$A),MATCH(H$1,[1]characters!$1:$1,0)-MATCH($A$1,[1]characters!$1:$1,0)+1),MATCH(H$1,[1]characters!$1:$1,0)-MATCH($A$1,[1]characters!$1:$1,0)+1,FALSE)</f>
        <v>Drop2N</v>
      </c>
      <c r="I36" s="57" t="str">
        <f ca="1">VLOOKUP($A36,OFFSET([1]characters!$A$1,0,0,COUNTA([1]characters!$A:$A),MATCH(I$1,[1]characters!$1:$1,0)-MATCH($A$1,[1]characters!$1:$1,0)+1),MATCH(I$1,[1]characters!$1:$1,0)-MATCH($A$1,[1]characters!$1:$1,0)+1,FALSE)</f>
        <v>blue</v>
      </c>
      <c r="J36" s="11">
        <f ca="1">VLOOKUP(I36,[1]属性!$A:$E,2,FALSE)</f>
        <v>1</v>
      </c>
      <c r="K36" s="11">
        <f ca="1">VLOOKUP(I36,[1]属性!$A:$E,3,FALSE)</f>
        <v>0.98</v>
      </c>
      <c r="L36" s="11">
        <f ca="1">VLOOKUP(I36,[1]属性!$A:$E,4,FALSE)</f>
        <v>1</v>
      </c>
      <c r="M36" s="11">
        <f ca="1">VLOOKUP(I36,[1]属性!$A:$E,5,FALSE)</f>
        <v>1.02</v>
      </c>
      <c r="N36" s="11">
        <f ca="1">INDEX(コスト!$A$1:$I$21,MATCH(H36,コスト!$A$1:$A$21,FALSE),MATCH(G36,コスト!$A$1:$I$1,FALSE))</f>
        <v>26</v>
      </c>
      <c r="O36" s="11">
        <f ca="1">INDEX(レベル!$A$1:$I$21,MATCH(H36,レベル!$A$1:$A$21,FALSE),MATCH(G36,レベル!$A$1:$I$1,FALSE))</f>
        <v>80</v>
      </c>
      <c r="P36" s="48">
        <f t="shared" ref="P36" ca="1" si="32">G36*15</f>
        <v>75</v>
      </c>
      <c r="Q36" s="57" t="str">
        <f ca="1">VLOOKUP($A36,OFFSET([1]characters!$A$1,0,0,COUNTA([1]characters!$A:$A),MATCH(Q$1,[1]characters!$1:$1,0)-MATCH($A$1,[1]characters!$1:$1,0)+1),MATCH(Q$1,[1]characters!$1:$1,0)-MATCH($A$1,[1]characters!$1:$1,0)+1,FALSE)</f>
        <v>balance</v>
      </c>
      <c r="R36" s="5" t="str">
        <f ca="1">VLOOKUP(Q36,[1]character_type_i18n!$A:$H,3,FALSE)</f>
        <v>バランスタイプ</v>
      </c>
      <c r="S36" s="11">
        <f ca="1">VLOOKUP(Q36,[1]character_type_i18n!$A:$H,4,FALSE)</f>
        <v>1</v>
      </c>
      <c r="T36" s="11">
        <f ca="1">VLOOKUP(Q36,[1]character_type_i18n!$A:$H,5,FALSE)</f>
        <v>1</v>
      </c>
      <c r="U36" s="11">
        <f ca="1">VLOOKUP(Q36,[1]character_type_i18n!$A:$H,6,FALSE)</f>
        <v>1</v>
      </c>
      <c r="V36" s="11">
        <f ca="1">VLOOKUP(Q36,[1]character_type_i18n!$A:$H,7,FALSE)</f>
        <v>1</v>
      </c>
      <c r="W36" s="57" t="str">
        <f ca="1">VLOOKUP($A36,OFFSET([1]characters!$A$1,0,0,COUNTA([1]characters!$A:$A),MATCH(W$1,[1]characters!$1:$1,0)-MATCH($A$1,[1]characters!$1:$1,0)+1),MATCH(W$1,[1]characters!$1:$1,0)-MATCH($A$1,[1]characters!$1:$1,0)+1,FALSE)</f>
        <v>unknown</v>
      </c>
      <c r="X36" s="5" t="str">
        <f ca="1">VLOOKUP(W36,[1]character_tribe_i18n!$A:$H,3,FALSE)</f>
        <v>Unknown</v>
      </c>
      <c r="Y36" s="57" t="str">
        <f ca="1">VLOOKUP($A36,OFFSET([1]characters!$A$1,0,0,COUNTA([1]characters!$A:$A),MATCH(Y$1,[1]characters!$1:$1,0)-MATCH($A$1,[1]characters!$1:$1,0)+1),MATCH(Y$1,[1]characters!$1:$1,0)-MATCH($A$1,[1]characters!$1:$1,0)+1,FALSE)</f>
        <v>none</v>
      </c>
      <c r="Z36" s="5" t="str">
        <f ca="1">VLOOKUP(Y36,[1]character_tribe_i18n!$A:$H,3,FALSE)</f>
        <v>種族なし</v>
      </c>
      <c r="AA36" s="11">
        <f ca="1">VLOOKUP(W36,[1]character_tribe_i18n!$A:$H,4,FALSE)</f>
        <v>1</v>
      </c>
      <c r="AB36" s="11">
        <f ca="1">VLOOKUP(W36,[1]character_tribe_i18n!$A:$H,5,FALSE)</f>
        <v>1</v>
      </c>
      <c r="AC36" s="11">
        <f ca="1">VLOOKUP(W36,[1]character_tribe_i18n!$A:$H,6,FALSE)</f>
        <v>1</v>
      </c>
      <c r="AD36" s="11">
        <f ca="1">VLOOKUP(W36,[1]character_tribe_i18n!$A:$H,7,FALSE)</f>
        <v>1</v>
      </c>
      <c r="AE36" s="9" t="s">
        <v>178</v>
      </c>
      <c r="AF36" s="62" t="str">
        <f ca="1">IF(AE36="NULL","",VLOOKUP($AE36,OFFSET([1]characters!$A$1,0,0,COUNTA([1]characters!$A:$A),MATCH(AF$1,[1]characters!$1:$1,0)-MATCH($A$1,[1]characters!$1:$1,0)+1),MATCH(AF$1,[1]characters!$1:$1,0)-MATCH($A$1,[1]characters!$1:$1,0)+1,FALSE))</f>
        <v/>
      </c>
      <c r="AG36" s="5">
        <f t="shared" ref="AG36" ca="1" si="33">IF(ISNA(MATCH(A36,AE:AE,0)),A36,INDIRECT(ADDRESS(MATCH(A36,AE:AE,0),COLUMN())))</f>
        <v>557</v>
      </c>
      <c r="AH36" s="62" t="str">
        <f ca="1">VLOOKUP($AG36,OFFSET([1]characters!$A$1,0,0,COUNTA([1]characters!$A:$A),MATCH(AH$1,[1]characters!$1:$1,0)-MATCH($A$1,[1]characters!$1:$1,0)+1),MATCH(AH$1,[1]characters!$1:$1,0)-MATCH($A$1,[1]characters!$1:$1,0)+1,FALSE)</f>
        <v>ラビット・ユキネ</v>
      </c>
      <c r="AI36" s="11" t="str">
        <f>IF(AE36="NULL","NULL",VLOOKUP(G36,ビット!$A$2:$B$7,2))</f>
        <v>NULL</v>
      </c>
      <c r="AJ36" s="6">
        <v>2</v>
      </c>
      <c r="AK36" s="7" t="str">
        <f t="shared" ref="AK36" si="34">IF(AJ36=1,"早熟",IF(AJ36=2,"普通",IF(AJ36=3,"晩成","")))</f>
        <v>普通</v>
      </c>
      <c r="AL36" s="11" t="str">
        <f ca="1">INDEX(経験値!$A$1:$I$21,MATCH(H36,経験値!$A$1:$A$21,FALSE),MATCH(G36,経験値!$A$1:$I$1,FALSE))</f>
        <v>required_exp_200</v>
      </c>
      <c r="AM36" s="8">
        <f ca="1">VLOOKUP(G36,経験値!$A$28:$B$32,2)</f>
        <v>6400</v>
      </c>
      <c r="AN36" s="17">
        <f ca="1">VLOOKUP(G36,ビット!$G$2:$H$7,2)</f>
        <v>900</v>
      </c>
      <c r="AO36" s="45"/>
      <c r="AP36" s="67">
        <f t="shared" ref="AP36" si="35">A36</f>
        <v>559</v>
      </c>
      <c r="AQ36" s="57" t="str">
        <f ca="1">VLOOKUP($AP36,OFFSET(unit_skills!$A$1,0,0,COUNTA(unit_skills!$A:$A),MATCH(AQ$1,unit_skills!$1:$1,0)-MATCH($AP$1,unit_skills!$1:$1,0)+1),MATCH(AQ$1,unit_skills!$1:$1,0)-MATCH($AP$1,unit_skills!$1:$1,0)+1,FALSE)</f>
        <v>ラビットジャンプ</v>
      </c>
      <c r="AR36" s="57" t="str">
        <f ca="1">VLOOKUP($AP36,OFFSET(unit_skills!$A$1,0,0,COUNTA(unit_skills!$A:$A),MATCH(AR$1,unit_skills!$1:$1,0)-MATCH($AP$1,unit_skills!$1:$1,0)+1),MATCH(AR$1,unit_skills!$1:$1,0)-MATCH($AP$1,unit_skills!$1:$1,0)+1,FALSE)</f>
        <v>ランダムでCパネル（大）を3つ生成する</v>
      </c>
      <c r="AS36" s="57">
        <f ca="1">VLOOKUP($AP36,OFFSET(unit_skills!$A$1,0,0,COUNTA(unit_skills!$A:$A),MATCH(AS$1,unit_skills!$1:$1,0)-MATCH($AP$1,unit_skills!$1:$1,0)+1),MATCH(AS$1,unit_skills!$1:$1,0)-MATCH($AP$1,unit_skills!$1:$1,0)+1,FALSE)</f>
        <v>0</v>
      </c>
      <c r="AT36" s="41">
        <f t="shared" ref="AT36" si="36">A36</f>
        <v>559</v>
      </c>
      <c r="AU36" s="57" t="str">
        <f ca="1">VLOOKUP($AT36,OFFSET(crash_skills!$A$1,0,0,COUNTA(crash_skills!$A:$A),MATCH(AU$1,crash_skills!$1:$1,0)-MATCH($AT$1,crash_skills!$1:$1,0)+1),MATCH(AU$1,crash_skills!$1:$1,0)-MATCH($AT$1,crash_skills!$1:$1,0)+1,FALSE)</f>
        <v>ユキネダイブ</v>
      </c>
      <c r="AV36" s="57" t="str">
        <f ca="1">VLOOKUP($AT36,OFFSET(crash_skills!$A$1,0,0,COUNTA(crash_skills!$A:$A),MATCH(AV$1,crash_skills!$1:$1,0)-MATCH($AT$1,crash_skills!$1:$1,0)+1),MATCH(AV$1,crash_skills!$1:$1,0)-MATCH($AT$1,crash_skills!$1:$1,0)+1,FALSE)</f>
        <v>1体に大ダメージ</v>
      </c>
      <c r="AW36" s="57">
        <f ca="1">VLOOKUP($AT36,OFFSET(crash_skills!$A$1,0,0,COUNTA(crash_skills!$A:$A),MATCH(AW$1,crash_skills!$1:$1,0)-MATCH($AT$1,crash_skills!$1:$1,0)+1),MATCH(AW$1,crash_skills!$1:$1,0)-MATCH($AT$1,crash_skills!$1:$1,0)+1,FALSE)</f>
        <v>0</v>
      </c>
      <c r="AX36" s="58">
        <f ca="1">VLOOKUP($A36,OFFSET([1]characters!$A$1,0,0,COUNTA([1]characters!$A:$A),MATCH(AX$1,[1]characters!$1:$1,0)-MATCH($A$1,[1]characters!$1:$1,0)+1),MATCH(AX$1,[1]characters!$1:$1,0)-MATCH($A$1,[1]characters!$1:$1,0)+1,FALSE)</f>
        <v>3</v>
      </c>
      <c r="AY36" s="68">
        <v>1</v>
      </c>
      <c r="AZ36" s="68">
        <v>1</v>
      </c>
      <c r="BA36" s="68">
        <v>0</v>
      </c>
      <c r="BB36" s="68">
        <v>1</v>
      </c>
      <c r="BC36" s="11">
        <f ca="1">INDEX('RC6SV'!$A$1:$G$21,MATCH(H36,'RC6SV'!$A$1:$A$21,FALSE),MATCH(G36,'RC6SV'!$A$1:$G$1,FALSE))</f>
        <v>7600</v>
      </c>
      <c r="BD36" s="48">
        <f t="shared" ref="BD36" ca="1" si="37">ROUND(BC36*IF(AJ36=1,0.95,IF(AJ36=2,1,IF(AJ36,1.05,0))),0)</f>
        <v>7600</v>
      </c>
      <c r="BE36" s="11">
        <f t="shared" ca="1" si="4"/>
        <v>5800</v>
      </c>
      <c r="BF36" s="11">
        <f t="shared" ca="1" si="5"/>
        <v>1</v>
      </c>
      <c r="BG36" s="16">
        <f ca="1">IF($BE36&lt;=0,ROUND(BK36*0.5,0), ROUND($BE36*S36*AA36*J36*AY36*0.8*[1]ステータス!$B$2,0))</f>
        <v>2320</v>
      </c>
      <c r="BH36" s="16">
        <f ca="1">IF($BE36&lt;=0,ROUND(BL36*0.5,0), ROUND($BE36*T36*AB36*K36*AZ36*0.8*[1]ステータス!$C$2,0))</f>
        <v>1364</v>
      </c>
      <c r="BI36" s="16">
        <f ca="1">IF($BE36&lt;=0,ROUND(BM36*0.5,0), ROUND($BE36*U36*AC36*L36*BA36*0.8*[1]ステータス!$D$2,0))</f>
        <v>0</v>
      </c>
      <c r="BJ36" s="16">
        <f ca="1">IF($BE36&lt;=0,ROUND(BN36*0.5,0), ROUND($BE36*V36*AD36*M36*BB36*0.8*[1]ステータス!$E$2,0))</f>
        <v>1183</v>
      </c>
      <c r="BK36" s="11">
        <f ca="1">ROUND(BD36*S36*AA36*J36*AY36*[1]ステータス!$B$2,0)</f>
        <v>3800</v>
      </c>
      <c r="BL36" s="11">
        <f ca="1">ROUND(BD36*T36*AB36*K36*AZ36*[1]ステータス!$C$2,0)</f>
        <v>2234</v>
      </c>
      <c r="BM36" s="11">
        <f ca="1">ROUND(BD36*U36*AC36*L36*BA36*[1]ステータス!$D$2,0)</f>
        <v>0</v>
      </c>
      <c r="BN36" s="11">
        <f ca="1">ROUND(BD36*V36*AD36*M36*BB36*[1]ステータス!$E$2,0)</f>
        <v>1938</v>
      </c>
      <c r="BO36" s="10">
        <v>0</v>
      </c>
      <c r="BP36" s="10">
        <v>1</v>
      </c>
      <c r="BQ36" s="10" t="s">
        <v>47</v>
      </c>
      <c r="BR36" s="10">
        <f ca="1">VLOOKUP(H36,ghosts_label!$A$2:$B$19,2,FALSE)</f>
        <v>1</v>
      </c>
    </row>
  </sheetData>
  <autoFilter ref="A1:BQ2"/>
  <phoneticPr fontId="10"/>
  <conditionalFormatting sqref="BO1">
    <cfRule type="cellIs" dxfId="29" priority="120" stopIfTrue="1" operator="equal">
      <formula>1</formula>
    </cfRule>
  </conditionalFormatting>
  <conditionalFormatting sqref="BQ1">
    <cfRule type="cellIs" dxfId="28" priority="119" stopIfTrue="1" operator="equal">
      <formula>1</formula>
    </cfRule>
  </conditionalFormatting>
  <pageMargins left="0.75" right="0.75" top="1" bottom="1" header="0.3" footer="0.3"/>
  <pageSetup paperSize="9" orientation="portrait" horizontalDpi="4294967292" verticalDpi="429496729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indexed="12"/>
  </sheetPr>
  <dimension ref="A1:S36"/>
  <sheetViews>
    <sheetView showGridLines="0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17" sqref="D17"/>
    </sheetView>
  </sheetViews>
  <sheetFormatPr baseColWidth="12" defaultColWidth="13" defaultRowHeight="21" customHeight="1" outlineLevelCol="1" x14ac:dyDescent="0.15"/>
  <cols>
    <col min="1" max="1" width="16.1640625" style="132" bestFit="1" customWidth="1"/>
    <col min="2" max="2" width="13" style="132" bestFit="1" customWidth="1"/>
    <col min="3" max="3" width="21.83203125" style="132" customWidth="1"/>
    <col min="4" max="4" width="41.83203125" style="132" customWidth="1"/>
    <col min="5" max="5" width="9" style="132" customWidth="1"/>
    <col min="6" max="6" width="7.83203125" style="132" bestFit="1" customWidth="1"/>
    <col min="7" max="7" width="8.1640625" style="132" bestFit="1" customWidth="1"/>
    <col min="8" max="8" width="13.6640625" style="132" bestFit="1" customWidth="1"/>
    <col min="9" max="10" width="51.6640625" style="132" customWidth="1"/>
    <col min="11" max="11" width="10.83203125" style="132" customWidth="1" outlineLevel="1"/>
    <col min="12" max="17" width="9.5" style="131" customWidth="1" outlineLevel="1"/>
    <col min="18" max="18" width="74.1640625" style="132" customWidth="1" outlineLevel="1"/>
    <col min="19" max="19" width="10.33203125" style="132" bestFit="1" customWidth="1"/>
    <col min="20" max="16384" width="13" style="132"/>
  </cols>
  <sheetData>
    <row r="1" spans="1:19" s="131" customFormat="1" ht="21" customHeight="1" x14ac:dyDescent="0.15">
      <c r="A1" s="120" t="s">
        <v>20</v>
      </c>
      <c r="B1" s="121" t="s">
        <v>130</v>
      </c>
      <c r="C1" s="122" t="s">
        <v>40</v>
      </c>
      <c r="D1" s="123" t="s">
        <v>159</v>
      </c>
      <c r="E1" s="123" t="s">
        <v>160</v>
      </c>
      <c r="F1" s="120" t="s">
        <v>142</v>
      </c>
      <c r="G1" s="124" t="s">
        <v>2</v>
      </c>
      <c r="H1" s="124" t="s">
        <v>161</v>
      </c>
      <c r="I1" s="124" t="s">
        <v>162</v>
      </c>
      <c r="J1" s="125" t="s">
        <v>179</v>
      </c>
      <c r="K1" s="124" t="s">
        <v>4</v>
      </c>
      <c r="L1" s="126" t="s">
        <v>163</v>
      </c>
      <c r="M1" s="127" t="s">
        <v>164</v>
      </c>
      <c r="N1" s="127" t="s">
        <v>165</v>
      </c>
      <c r="O1" s="127" t="s">
        <v>166</v>
      </c>
      <c r="P1" s="127" t="s">
        <v>167</v>
      </c>
      <c r="Q1" s="128" t="s">
        <v>168</v>
      </c>
      <c r="R1" s="129" t="s">
        <v>189</v>
      </c>
      <c r="S1" s="130" t="s">
        <v>169</v>
      </c>
    </row>
    <row r="2" spans="1:19" ht="21" customHeight="1" x14ac:dyDescent="0.15">
      <c r="A2" s="12">
        <v>525</v>
      </c>
      <c r="B2" s="135" t="s">
        <v>180</v>
      </c>
      <c r="C2" s="136" t="s">
        <v>286</v>
      </c>
      <c r="D2" s="136" t="s">
        <v>233</v>
      </c>
      <c r="E2" s="137">
        <f t="shared" ref="E2" si="0">LEN(D2)</f>
        <v>24</v>
      </c>
      <c r="F2" s="119">
        <v>12</v>
      </c>
      <c r="G2" s="119">
        <v>5</v>
      </c>
      <c r="H2" s="138">
        <f>2001</f>
        <v>2001</v>
      </c>
      <c r="I2" s="138" t="s">
        <v>416</v>
      </c>
      <c r="J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ウィンタースポーツ 雪ミク</v>
      </c>
      <c r="K2" s="139">
        <v>3</v>
      </c>
      <c r="L2" s="140"/>
      <c r="M2" s="141"/>
      <c r="N2" s="141"/>
      <c r="O2" s="141"/>
      <c r="P2" s="141"/>
      <c r="Q2" s="141"/>
      <c r="R2" s="136"/>
      <c r="S2" s="142"/>
    </row>
    <row r="3" spans="1:19" ht="21" customHeight="1" x14ac:dyDescent="0.15">
      <c r="A3" s="12">
        <v>526</v>
      </c>
      <c r="B3" s="135" t="s">
        <v>180</v>
      </c>
      <c r="C3" s="136" t="s">
        <v>285</v>
      </c>
      <c r="D3" s="136" t="s">
        <v>234</v>
      </c>
      <c r="E3" s="137">
        <f t="shared" ref="E3" si="1">LEN(D3)</f>
        <v>24</v>
      </c>
      <c r="F3" s="119">
        <v>12</v>
      </c>
      <c r="G3" s="119">
        <f>G2</f>
        <v>5</v>
      </c>
      <c r="H3" s="138">
        <f>2001</f>
        <v>2001</v>
      </c>
      <c r="I3" s="138" t="s">
        <v>416</v>
      </c>
      <c r="J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大滑走 雪ミク&amp;ラビットユキネ</v>
      </c>
      <c r="K3" s="139">
        <v>3</v>
      </c>
      <c r="L3" s="140"/>
      <c r="M3" s="141"/>
      <c r="N3" s="141"/>
      <c r="O3" s="141"/>
      <c r="P3" s="141"/>
      <c r="Q3" s="141"/>
      <c r="R3" s="136"/>
      <c r="S3" s="142"/>
    </row>
    <row r="4" spans="1:19" ht="21" customHeight="1" x14ac:dyDescent="0.15">
      <c r="A4" s="12">
        <v>527</v>
      </c>
      <c r="B4" s="135" t="s">
        <v>180</v>
      </c>
      <c r="C4" s="136" t="s">
        <v>235</v>
      </c>
      <c r="D4" s="170" t="s">
        <v>231</v>
      </c>
      <c r="E4" s="137">
        <f t="shared" ref="E4:E36" si="2">LEN(D4)</f>
        <v>12</v>
      </c>
      <c r="F4" s="119">
        <v>11</v>
      </c>
      <c r="G4" s="119">
        <f t="shared" ref="G4:G36" si="3">G3</f>
        <v>5</v>
      </c>
      <c r="H4" s="138">
        <f>2001</f>
        <v>2001</v>
      </c>
      <c r="I4" s="138" t="s">
        <v>402</v>
      </c>
      <c r="J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初音ミクV3</v>
      </c>
      <c r="K4" s="139">
        <v>3</v>
      </c>
      <c r="L4" s="140"/>
      <c r="M4" s="141"/>
      <c r="N4" s="141"/>
      <c r="O4" s="141"/>
      <c r="P4" s="141"/>
      <c r="Q4" s="141"/>
      <c r="R4" s="136"/>
      <c r="S4" s="142"/>
    </row>
    <row r="5" spans="1:19" ht="21" customHeight="1" x14ac:dyDescent="0.15">
      <c r="A5" s="12">
        <v>528</v>
      </c>
      <c r="B5" s="135" t="s">
        <v>180</v>
      </c>
      <c r="C5" s="136" t="s">
        <v>236</v>
      </c>
      <c r="D5" s="170" t="s">
        <v>226</v>
      </c>
      <c r="E5" s="137">
        <f t="shared" si="2"/>
        <v>12</v>
      </c>
      <c r="F5" s="119">
        <v>11</v>
      </c>
      <c r="G5" s="119">
        <f t="shared" si="3"/>
        <v>5</v>
      </c>
      <c r="H5" s="138">
        <f>2001</f>
        <v>2001</v>
      </c>
      <c r="I5" s="138" t="s">
        <v>232</v>
      </c>
      <c r="J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新世の歌姫 初音ミクV3</v>
      </c>
      <c r="K5" s="139">
        <v>3</v>
      </c>
      <c r="L5" s="140"/>
      <c r="M5" s="141"/>
      <c r="N5" s="141"/>
      <c r="O5" s="141"/>
      <c r="P5" s="141"/>
      <c r="Q5" s="141"/>
      <c r="R5" s="136"/>
      <c r="S5" s="142"/>
    </row>
    <row r="6" spans="1:19" ht="21" customHeight="1" x14ac:dyDescent="0.15">
      <c r="A6" s="12">
        <v>529</v>
      </c>
      <c r="B6" s="135" t="s">
        <v>180</v>
      </c>
      <c r="C6" s="136" t="s">
        <v>253</v>
      </c>
      <c r="D6" s="170" t="s">
        <v>237</v>
      </c>
      <c r="E6" s="137">
        <f t="shared" si="2"/>
        <v>12</v>
      </c>
      <c r="F6" s="119">
        <v>9</v>
      </c>
      <c r="G6" s="119">
        <f t="shared" si="3"/>
        <v>5</v>
      </c>
      <c r="H6" s="138">
        <f>2001</f>
        <v>2001</v>
      </c>
      <c r="I6" s="138" t="s">
        <v>452</v>
      </c>
      <c r="J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冬服ジェリー</v>
      </c>
      <c r="K6" s="139">
        <v>3</v>
      </c>
      <c r="L6" s="140"/>
      <c r="M6" s="141"/>
      <c r="N6" s="141"/>
      <c r="O6" s="141"/>
      <c r="P6" s="141"/>
      <c r="Q6" s="141"/>
      <c r="R6" s="136"/>
      <c r="S6" s="142"/>
    </row>
    <row r="7" spans="1:19" ht="21" customHeight="1" x14ac:dyDescent="0.15">
      <c r="A7" s="12">
        <v>530</v>
      </c>
      <c r="B7" s="135" t="s">
        <v>180</v>
      </c>
      <c r="C7" s="136" t="s">
        <v>254</v>
      </c>
      <c r="D7" s="170" t="s">
        <v>238</v>
      </c>
      <c r="E7" s="137">
        <f t="shared" si="2"/>
        <v>19</v>
      </c>
      <c r="F7" s="119">
        <f t="shared" ref="F7:F36" si="4">F6</f>
        <v>9</v>
      </c>
      <c r="G7" s="119">
        <f t="shared" si="3"/>
        <v>5</v>
      </c>
      <c r="H7" s="138">
        <f>2001</f>
        <v>2001</v>
      </c>
      <c r="I7" s="138" t="s">
        <v>453</v>
      </c>
      <c r="J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冬服ジョー</v>
      </c>
      <c r="K7" s="139">
        <v>3</v>
      </c>
      <c r="L7" s="140"/>
      <c r="M7" s="141"/>
      <c r="N7" s="141"/>
      <c r="O7" s="141"/>
      <c r="P7" s="141"/>
      <c r="Q7" s="141"/>
      <c r="R7" s="136"/>
      <c r="S7" s="142"/>
    </row>
    <row r="8" spans="1:19" ht="21" customHeight="1" x14ac:dyDescent="0.15">
      <c r="A8" s="12">
        <v>531</v>
      </c>
      <c r="B8" s="135" t="s">
        <v>180</v>
      </c>
      <c r="C8" s="136" t="s">
        <v>255</v>
      </c>
      <c r="D8" s="170" t="s">
        <v>450</v>
      </c>
      <c r="E8" s="137">
        <f t="shared" si="2"/>
        <v>10</v>
      </c>
      <c r="F8" s="119">
        <v>11</v>
      </c>
      <c r="G8" s="119">
        <f t="shared" si="3"/>
        <v>5</v>
      </c>
      <c r="H8" s="138">
        <f>2001</f>
        <v>2001</v>
      </c>
      <c r="I8" s="138" t="s">
        <v>451</v>
      </c>
      <c r="J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冬服ポチ</v>
      </c>
      <c r="K8" s="139">
        <v>3</v>
      </c>
      <c r="L8" s="140"/>
      <c r="M8" s="141"/>
      <c r="N8" s="141"/>
      <c r="O8" s="141"/>
      <c r="P8" s="141"/>
      <c r="Q8" s="141"/>
      <c r="R8" s="136"/>
      <c r="S8" s="142"/>
    </row>
    <row r="9" spans="1:19" ht="21" customHeight="1" x14ac:dyDescent="0.15">
      <c r="A9" s="12">
        <v>532</v>
      </c>
      <c r="B9" s="135" t="s">
        <v>180</v>
      </c>
      <c r="C9" s="136" t="s">
        <v>256</v>
      </c>
      <c r="D9" s="170" t="s">
        <v>239</v>
      </c>
      <c r="E9" s="137">
        <f t="shared" si="2"/>
        <v>12</v>
      </c>
      <c r="F9" s="119">
        <v>7</v>
      </c>
      <c r="G9" s="119">
        <f t="shared" si="3"/>
        <v>5</v>
      </c>
      <c r="H9" s="138">
        <f>2001</f>
        <v>2001</v>
      </c>
      <c r="I9" s="138" t="s">
        <v>454</v>
      </c>
      <c r="J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冬服エレキポット</v>
      </c>
      <c r="K9" s="139">
        <v>3</v>
      </c>
      <c r="L9" s="140"/>
      <c r="M9" s="141"/>
      <c r="N9" s="141"/>
      <c r="O9" s="141"/>
      <c r="P9" s="141"/>
      <c r="Q9" s="141"/>
      <c r="R9" s="136"/>
      <c r="S9" s="142"/>
    </row>
    <row r="10" spans="1:19" ht="21" customHeight="1" x14ac:dyDescent="0.15">
      <c r="A10" s="12">
        <v>533</v>
      </c>
      <c r="B10" s="135" t="s">
        <v>180</v>
      </c>
      <c r="C10" s="136" t="s">
        <v>257</v>
      </c>
      <c r="D10" s="170" t="s">
        <v>240</v>
      </c>
      <c r="E10" s="137">
        <f t="shared" si="2"/>
        <v>19</v>
      </c>
      <c r="F10" s="119">
        <v>7</v>
      </c>
      <c r="G10" s="119">
        <f t="shared" si="3"/>
        <v>5</v>
      </c>
      <c r="H10" s="138">
        <f>2001</f>
        <v>2001</v>
      </c>
      <c r="I10" s="138" t="s">
        <v>455</v>
      </c>
      <c r="J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冬服アカネ</v>
      </c>
      <c r="K10" s="139">
        <v>3</v>
      </c>
      <c r="L10" s="140"/>
      <c r="M10" s="141"/>
      <c r="N10" s="141"/>
      <c r="O10" s="141"/>
      <c r="P10" s="141"/>
      <c r="Q10" s="141"/>
      <c r="R10" s="136"/>
      <c r="S10" s="142"/>
    </row>
    <row r="11" spans="1:19" ht="21" customHeight="1" x14ac:dyDescent="0.15">
      <c r="A11" s="12">
        <v>534</v>
      </c>
      <c r="B11" s="135" t="s">
        <v>180</v>
      </c>
      <c r="C11" s="136" t="s">
        <v>258</v>
      </c>
      <c r="D11" s="170" t="s">
        <v>241</v>
      </c>
      <c r="E11" s="137">
        <f t="shared" si="2"/>
        <v>12</v>
      </c>
      <c r="F11" s="119">
        <v>7</v>
      </c>
      <c r="G11" s="119">
        <f t="shared" si="3"/>
        <v>5</v>
      </c>
      <c r="H11" s="138">
        <f>2001</f>
        <v>2001</v>
      </c>
      <c r="I11" s="57" t="s">
        <v>456</v>
      </c>
      <c r="J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冬服パトライン</v>
      </c>
      <c r="K11" s="139">
        <v>3</v>
      </c>
      <c r="L11" s="140"/>
      <c r="M11" s="141"/>
      <c r="N11" s="141"/>
      <c r="O11" s="141"/>
      <c r="P11" s="141"/>
      <c r="Q11" s="141"/>
      <c r="R11" s="136"/>
      <c r="S11" s="142"/>
    </row>
    <row r="12" spans="1:19" ht="21" customHeight="1" x14ac:dyDescent="0.15">
      <c r="A12" s="12">
        <v>535</v>
      </c>
      <c r="B12" s="135" t="s">
        <v>180</v>
      </c>
      <c r="C12" s="136" t="s">
        <v>259</v>
      </c>
      <c r="D12" s="170" t="s">
        <v>242</v>
      </c>
      <c r="E12" s="137">
        <f t="shared" si="2"/>
        <v>19</v>
      </c>
      <c r="F12" s="119">
        <v>8</v>
      </c>
      <c r="G12" s="119">
        <f t="shared" si="3"/>
        <v>5</v>
      </c>
      <c r="H12" s="138">
        <f>2001</f>
        <v>2001</v>
      </c>
      <c r="I12" s="138" t="s">
        <v>457</v>
      </c>
      <c r="J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冬服リム</v>
      </c>
      <c r="K12" s="139">
        <v>3</v>
      </c>
      <c r="L12" s="140"/>
      <c r="M12" s="141"/>
      <c r="N12" s="141"/>
      <c r="O12" s="141"/>
      <c r="P12" s="141"/>
      <c r="Q12" s="141"/>
      <c r="R12" s="136"/>
      <c r="S12" s="142"/>
    </row>
    <row r="13" spans="1:19" ht="21" customHeight="1" x14ac:dyDescent="0.15">
      <c r="A13" s="12">
        <v>536</v>
      </c>
      <c r="B13" s="135" t="s">
        <v>180</v>
      </c>
      <c r="C13" s="136" t="s">
        <v>256</v>
      </c>
      <c r="D13" s="170" t="s">
        <v>239</v>
      </c>
      <c r="E13" s="137">
        <f t="shared" si="2"/>
        <v>12</v>
      </c>
      <c r="F13" s="119">
        <v>7</v>
      </c>
      <c r="G13" s="119">
        <f t="shared" si="3"/>
        <v>5</v>
      </c>
      <c r="H13" s="138">
        <f>2001</f>
        <v>2001</v>
      </c>
      <c r="I13" s="138" t="s">
        <v>458</v>
      </c>
      <c r="J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冬服ミミ</v>
      </c>
      <c r="K13" s="139">
        <v>3</v>
      </c>
      <c r="L13" s="140"/>
      <c r="M13" s="141"/>
      <c r="N13" s="141"/>
      <c r="O13" s="141"/>
      <c r="P13" s="141"/>
      <c r="Q13" s="141"/>
      <c r="R13" s="136"/>
      <c r="S13" s="142"/>
    </row>
    <row r="14" spans="1:19" ht="21" customHeight="1" x14ac:dyDescent="0.15">
      <c r="A14" s="12">
        <v>537</v>
      </c>
      <c r="B14" s="135" t="s">
        <v>180</v>
      </c>
      <c r="C14" s="136" t="s">
        <v>445</v>
      </c>
      <c r="D14" s="170" t="s">
        <v>399</v>
      </c>
      <c r="E14" s="137">
        <f t="shared" si="2"/>
        <v>6</v>
      </c>
      <c r="F14" s="119">
        <v>10</v>
      </c>
      <c r="G14" s="119">
        <f t="shared" si="3"/>
        <v>5</v>
      </c>
      <c r="H14" s="138">
        <f>2001</f>
        <v>2001</v>
      </c>
      <c r="I14" s="138" t="s">
        <v>395</v>
      </c>
      <c r="J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冬服ハッピー100</v>
      </c>
      <c r="K14" s="139">
        <v>3</v>
      </c>
      <c r="L14" s="140"/>
      <c r="M14" s="141"/>
      <c r="N14" s="141"/>
      <c r="O14" s="141"/>
      <c r="P14" s="141"/>
      <c r="Q14" s="141"/>
      <c r="R14" s="136"/>
      <c r="S14" s="142"/>
    </row>
    <row r="15" spans="1:19" ht="21" customHeight="1" x14ac:dyDescent="0.15">
      <c r="A15" s="12">
        <v>538</v>
      </c>
      <c r="B15" s="135" t="s">
        <v>180</v>
      </c>
      <c r="C15" s="136" t="s">
        <v>260</v>
      </c>
      <c r="D15" s="170" t="s">
        <v>244</v>
      </c>
      <c r="E15" s="137">
        <f t="shared" si="2"/>
        <v>28</v>
      </c>
      <c r="F15" s="119">
        <v>8</v>
      </c>
      <c r="G15" s="119">
        <f t="shared" si="3"/>
        <v>5</v>
      </c>
      <c r="H15" s="138">
        <f>2001</f>
        <v>2001</v>
      </c>
      <c r="I15" s="138" t="s">
        <v>243</v>
      </c>
      <c r="J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冬服ニムダ</v>
      </c>
      <c r="K15" s="139">
        <v>3</v>
      </c>
      <c r="L15" s="140"/>
      <c r="M15" s="141"/>
      <c r="N15" s="141"/>
      <c r="O15" s="141"/>
      <c r="P15" s="141"/>
      <c r="Q15" s="141"/>
      <c r="R15" s="136"/>
      <c r="S15" s="142"/>
    </row>
    <row r="16" spans="1:19" ht="21" customHeight="1" x14ac:dyDescent="0.15">
      <c r="A16" s="12">
        <v>539</v>
      </c>
      <c r="B16" s="135" t="s">
        <v>180</v>
      </c>
      <c r="C16" s="136" t="s">
        <v>213</v>
      </c>
      <c r="D16" s="170" t="s">
        <v>406</v>
      </c>
      <c r="E16" s="137">
        <f>LEN(D16)</f>
        <v>44</v>
      </c>
      <c r="F16" s="119">
        <v>11</v>
      </c>
      <c r="G16" s="119">
        <f t="shared" si="3"/>
        <v>5</v>
      </c>
      <c r="H16" s="138">
        <f>2001</f>
        <v>2001</v>
      </c>
      <c r="I16" s="144" t="s">
        <v>464</v>
      </c>
      <c r="J16" s="57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初音ミク・アペンド</v>
      </c>
      <c r="K16" s="139">
        <v>3</v>
      </c>
      <c r="L16" s="140"/>
      <c r="M16" s="141"/>
      <c r="N16" s="141"/>
      <c r="O16" s="141"/>
      <c r="P16" s="141"/>
      <c r="Q16" s="141"/>
      <c r="R16" s="136"/>
      <c r="S16" s="142"/>
    </row>
    <row r="17" spans="1:19" ht="21" customHeight="1" x14ac:dyDescent="0.15">
      <c r="A17" s="12">
        <v>540</v>
      </c>
      <c r="B17" s="135" t="s">
        <v>180</v>
      </c>
      <c r="C17" s="136" t="s">
        <v>213</v>
      </c>
      <c r="D17" s="170" t="s">
        <v>406</v>
      </c>
      <c r="E17" s="137">
        <f>LEN(D17)</f>
        <v>44</v>
      </c>
      <c r="F17" s="119">
        <v>11</v>
      </c>
      <c r="G17" s="119">
        <f t="shared" si="3"/>
        <v>5</v>
      </c>
      <c r="H17" s="138">
        <f>2001</f>
        <v>2001</v>
      </c>
      <c r="I17" s="144" t="str">
        <f>I16</f>
        <v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v>
      </c>
      <c r="J17" s="57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来訪の歌姫 初音ミク・アペンド</v>
      </c>
      <c r="K17" s="139">
        <v>3</v>
      </c>
      <c r="L17" s="140"/>
      <c r="M17" s="141"/>
      <c r="N17" s="141"/>
      <c r="O17" s="141"/>
      <c r="P17" s="141"/>
      <c r="Q17" s="141"/>
      <c r="R17" s="136"/>
      <c r="S17" s="142"/>
    </row>
    <row r="18" spans="1:19" ht="21" customHeight="1" x14ac:dyDescent="0.15">
      <c r="A18" s="12">
        <v>541</v>
      </c>
      <c r="B18" s="135" t="s">
        <v>180</v>
      </c>
      <c r="C18" s="136" t="s">
        <v>214</v>
      </c>
      <c r="D18" s="172" t="s">
        <v>401</v>
      </c>
      <c r="E18" s="137">
        <f t="shared" ref="E18:E21" si="5">LEN(D18)</f>
        <v>36</v>
      </c>
      <c r="F18" s="119">
        <v>13</v>
      </c>
      <c r="G18" s="119">
        <f t="shared" si="3"/>
        <v>5</v>
      </c>
      <c r="H18" s="138">
        <f>2001</f>
        <v>2001</v>
      </c>
      <c r="I18" s="144" t="s">
        <v>417</v>
      </c>
      <c r="J18" s="57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初音ミク</v>
      </c>
      <c r="K18" s="139">
        <v>3</v>
      </c>
      <c r="L18" s="140"/>
      <c r="M18" s="141"/>
      <c r="N18" s="141"/>
      <c r="O18" s="141"/>
      <c r="P18" s="141"/>
      <c r="Q18" s="141"/>
      <c r="R18" s="136" t="s">
        <v>190</v>
      </c>
      <c r="S18" s="142"/>
    </row>
    <row r="19" spans="1:19" ht="21" customHeight="1" x14ac:dyDescent="0.15">
      <c r="A19" s="12">
        <v>542</v>
      </c>
      <c r="B19" s="135" t="s">
        <v>180</v>
      </c>
      <c r="C19" s="136" t="s">
        <v>215</v>
      </c>
      <c r="D19" s="172" t="s">
        <v>401</v>
      </c>
      <c r="E19" s="137">
        <f t="shared" si="5"/>
        <v>36</v>
      </c>
      <c r="F19" s="119">
        <v>13</v>
      </c>
      <c r="G19" s="119">
        <f t="shared" si="3"/>
        <v>5</v>
      </c>
      <c r="H19" s="138">
        <f>2001</f>
        <v>2001</v>
      </c>
      <c r="I19" s="144" t="s">
        <v>417</v>
      </c>
      <c r="J19" s="57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革命の音撃 初音ミク</v>
      </c>
      <c r="K19" s="139">
        <v>3</v>
      </c>
      <c r="L19" s="140"/>
      <c r="M19" s="141"/>
      <c r="N19" s="141"/>
      <c r="O19" s="141"/>
      <c r="P19" s="141"/>
      <c r="Q19" s="141"/>
      <c r="R19" s="136" t="s">
        <v>190</v>
      </c>
      <c r="S19" s="142"/>
    </row>
    <row r="20" spans="1:19" ht="21" customHeight="1" x14ac:dyDescent="0.15">
      <c r="A20" s="12">
        <v>543</v>
      </c>
      <c r="B20" s="135" t="s">
        <v>180</v>
      </c>
      <c r="C20" s="136" t="s">
        <v>216</v>
      </c>
      <c r="D20" s="172" t="s">
        <v>418</v>
      </c>
      <c r="E20" s="137">
        <f t="shared" si="5"/>
        <v>36</v>
      </c>
      <c r="F20" s="119">
        <v>12</v>
      </c>
      <c r="G20" s="119">
        <f t="shared" si="3"/>
        <v>5</v>
      </c>
      <c r="H20" s="138">
        <f>2001</f>
        <v>2001</v>
      </c>
      <c r="I20" s="144" t="s">
        <v>195</v>
      </c>
      <c r="J20" s="57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鏡音リン</v>
      </c>
      <c r="K20" s="139">
        <v>3</v>
      </c>
      <c r="L20" s="140"/>
      <c r="M20" s="141"/>
      <c r="N20" s="141"/>
      <c r="O20" s="141"/>
      <c r="P20" s="141"/>
      <c r="Q20" s="141"/>
      <c r="R20" s="136"/>
      <c r="S20" s="142"/>
    </row>
    <row r="21" spans="1:19" ht="21" customHeight="1" x14ac:dyDescent="0.15">
      <c r="A21" s="12">
        <v>544</v>
      </c>
      <c r="B21" s="135" t="s">
        <v>180</v>
      </c>
      <c r="C21" s="136" t="s">
        <v>217</v>
      </c>
      <c r="D21" s="172" t="s">
        <v>419</v>
      </c>
      <c r="E21" s="137">
        <f t="shared" si="5"/>
        <v>37</v>
      </c>
      <c r="F21" s="119">
        <v>13</v>
      </c>
      <c r="G21" s="119">
        <f t="shared" si="3"/>
        <v>5</v>
      </c>
      <c r="H21" s="138">
        <f>2001</f>
        <v>2001</v>
      </c>
      <c r="I21" s="144" t="s">
        <v>188</v>
      </c>
      <c r="J21" s="57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反響の凛音 鏡音リン</v>
      </c>
      <c r="K21" s="139">
        <v>3</v>
      </c>
      <c r="L21" s="140"/>
      <c r="M21" s="141"/>
      <c r="N21" s="141"/>
      <c r="O21" s="141"/>
      <c r="P21" s="141"/>
      <c r="Q21" s="141"/>
      <c r="R21" s="136"/>
      <c r="S21" s="142"/>
    </row>
    <row r="22" spans="1:19" ht="21" customHeight="1" x14ac:dyDescent="0.15">
      <c r="A22" s="12">
        <v>545</v>
      </c>
      <c r="B22" s="135" t="s">
        <v>180</v>
      </c>
      <c r="C22" s="136" t="s">
        <v>218</v>
      </c>
      <c r="D22" s="172" t="s">
        <v>193</v>
      </c>
      <c r="E22" s="137">
        <f t="shared" si="2"/>
        <v>37</v>
      </c>
      <c r="F22" s="119">
        <v>12</v>
      </c>
      <c r="G22" s="119">
        <f t="shared" si="3"/>
        <v>5</v>
      </c>
      <c r="H22" s="138">
        <f>2001</f>
        <v>2001</v>
      </c>
      <c r="I22" s="144" t="s">
        <v>194</v>
      </c>
      <c r="J22" s="57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鏡音レン</v>
      </c>
      <c r="K22" s="139">
        <v>3</v>
      </c>
      <c r="L22" s="140"/>
      <c r="M22" s="141"/>
      <c r="N22" s="141"/>
      <c r="O22" s="141"/>
      <c r="P22" s="141"/>
      <c r="Q22" s="141"/>
      <c r="R22" s="136"/>
      <c r="S22" s="142"/>
    </row>
    <row r="23" spans="1:19" ht="21" customHeight="1" x14ac:dyDescent="0.15">
      <c r="A23" s="12">
        <v>546</v>
      </c>
      <c r="B23" s="135" t="s">
        <v>180</v>
      </c>
      <c r="C23" s="136" t="s">
        <v>219</v>
      </c>
      <c r="D23" s="172" t="s">
        <v>192</v>
      </c>
      <c r="E23" s="137">
        <f t="shared" si="2"/>
        <v>37</v>
      </c>
      <c r="F23" s="119">
        <v>13</v>
      </c>
      <c r="G23" s="119">
        <f t="shared" si="3"/>
        <v>5</v>
      </c>
      <c r="H23" s="138">
        <f>2001</f>
        <v>2001</v>
      </c>
      <c r="I23" s="144" t="s">
        <v>191</v>
      </c>
      <c r="J23" s="57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残響の連符 鏡音レン</v>
      </c>
      <c r="K23" s="139">
        <v>3</v>
      </c>
      <c r="L23" s="140"/>
      <c r="M23" s="141"/>
      <c r="N23" s="141"/>
      <c r="O23" s="141"/>
      <c r="P23" s="141"/>
      <c r="Q23" s="141"/>
      <c r="R23" s="136"/>
      <c r="S23" s="142"/>
    </row>
    <row r="24" spans="1:19" ht="21" customHeight="1" x14ac:dyDescent="0.15">
      <c r="A24" s="12">
        <v>547</v>
      </c>
      <c r="B24" s="135" t="s">
        <v>180</v>
      </c>
      <c r="C24" s="136" t="s">
        <v>220</v>
      </c>
      <c r="D24" s="168" t="s">
        <v>413</v>
      </c>
      <c r="E24" s="137">
        <f t="shared" si="2"/>
        <v>13</v>
      </c>
      <c r="F24" s="119">
        <v>12</v>
      </c>
      <c r="G24" s="119">
        <f t="shared" si="3"/>
        <v>5</v>
      </c>
      <c r="H24" s="138">
        <f>2001</f>
        <v>2001</v>
      </c>
      <c r="I24" s="169" t="s">
        <v>405</v>
      </c>
      <c r="J24" s="57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巡音ルカ</v>
      </c>
      <c r="K24" s="139">
        <v>3</v>
      </c>
      <c r="L24" s="140"/>
      <c r="M24" s="141"/>
      <c r="N24" s="141"/>
      <c r="O24" s="141"/>
      <c r="P24" s="141"/>
      <c r="Q24" s="141"/>
      <c r="R24" s="136"/>
      <c r="S24" s="142"/>
    </row>
    <row r="25" spans="1:19" ht="21" customHeight="1" x14ac:dyDescent="0.15">
      <c r="A25" s="12">
        <v>548</v>
      </c>
      <c r="B25" s="135" t="s">
        <v>180</v>
      </c>
      <c r="C25" s="136" t="s">
        <v>221</v>
      </c>
      <c r="D25" s="168" t="s">
        <v>414</v>
      </c>
      <c r="E25" s="137">
        <f t="shared" si="2"/>
        <v>13</v>
      </c>
      <c r="F25" s="119">
        <v>12</v>
      </c>
      <c r="G25" s="119">
        <f t="shared" si="3"/>
        <v>5</v>
      </c>
      <c r="H25" s="138">
        <f>2001</f>
        <v>2001</v>
      </c>
      <c r="I25" s="169" t="s">
        <v>404</v>
      </c>
      <c r="J25" s="57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乱舞の音環 巡音ルカ</v>
      </c>
      <c r="K25" s="139">
        <v>3</v>
      </c>
      <c r="L25" s="140"/>
      <c r="M25" s="141"/>
      <c r="N25" s="141"/>
      <c r="O25" s="141"/>
      <c r="P25" s="141"/>
      <c r="Q25" s="141"/>
      <c r="R25" s="136"/>
      <c r="S25" s="142"/>
    </row>
    <row r="26" spans="1:19" ht="21" customHeight="1" x14ac:dyDescent="0.15">
      <c r="A26" s="12">
        <v>549</v>
      </c>
      <c r="B26" s="135" t="s">
        <v>180</v>
      </c>
      <c r="C26" s="136" t="s">
        <v>222</v>
      </c>
      <c r="D26" s="136" t="s">
        <v>409</v>
      </c>
      <c r="E26" s="137">
        <f t="shared" si="2"/>
        <v>31</v>
      </c>
      <c r="F26" s="119">
        <f t="shared" si="4"/>
        <v>12</v>
      </c>
      <c r="G26" s="119">
        <f t="shared" si="3"/>
        <v>5</v>
      </c>
      <c r="H26" s="138">
        <f>2001</f>
        <v>2001</v>
      </c>
      <c r="I26" s="169" t="s">
        <v>410</v>
      </c>
      <c r="J26" s="57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MEIKO</v>
      </c>
      <c r="K26" s="139">
        <v>3</v>
      </c>
      <c r="L26" s="140"/>
      <c r="M26" s="141"/>
      <c r="N26" s="141"/>
      <c r="O26" s="141"/>
      <c r="P26" s="141"/>
      <c r="Q26" s="141"/>
      <c r="R26" s="136"/>
      <c r="S26" s="142"/>
    </row>
    <row r="27" spans="1:19" ht="21" customHeight="1" x14ac:dyDescent="0.15">
      <c r="A27" s="12">
        <v>550</v>
      </c>
      <c r="B27" s="135" t="s">
        <v>180</v>
      </c>
      <c r="C27" s="136" t="s">
        <v>223</v>
      </c>
      <c r="D27" s="136" t="str">
        <f>D26</f>
        <v>3ターンの間赤属性のユニットの攻撃力と防御力と回復力を特大UP</v>
      </c>
      <c r="E27" s="137">
        <f t="shared" si="2"/>
        <v>31</v>
      </c>
      <c r="F27" s="119">
        <f t="shared" si="4"/>
        <v>12</v>
      </c>
      <c r="G27" s="119">
        <f t="shared" si="3"/>
        <v>5</v>
      </c>
      <c r="H27" s="138">
        <f>2001</f>
        <v>2001</v>
      </c>
      <c r="I27" s="169" t="str">
        <f>I26</f>
        <v>[effect:enhance_unit, target:unit_red, turn:3, status:attack, val:0.21, calc:mul, animation:enhance_unit_all_attack04_unit01],[effect:enhance_unit, target:unit_red, turn:3, status:defense, val:1080, calc:add, animation:enhance_unit_all_defense04_unit01],[effect:enhance_unit, target:unit_red, turn:3, status:heal, val:0.45, calc:mul, animation:enhance_unit_all_heal04_unit01]</v>
      </c>
      <c r="J27" s="57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解放の絶唱 MEIKO</v>
      </c>
      <c r="K27" s="139">
        <v>3</v>
      </c>
      <c r="L27" s="140"/>
      <c r="M27" s="141"/>
      <c r="N27" s="141"/>
      <c r="O27" s="141"/>
      <c r="P27" s="141"/>
      <c r="Q27" s="141"/>
      <c r="R27" s="136"/>
      <c r="S27" s="142"/>
    </row>
    <row r="28" spans="1:19" ht="21" customHeight="1" x14ac:dyDescent="0.15">
      <c r="A28" s="12">
        <v>551</v>
      </c>
      <c r="B28" s="135" t="s">
        <v>180</v>
      </c>
      <c r="C28" s="136" t="s">
        <v>224</v>
      </c>
      <c r="D28" s="171" t="s">
        <v>408</v>
      </c>
      <c r="E28" s="137">
        <f t="shared" si="2"/>
        <v>42</v>
      </c>
      <c r="F28" s="119">
        <f t="shared" si="4"/>
        <v>12</v>
      </c>
      <c r="G28" s="119">
        <f t="shared" si="3"/>
        <v>5</v>
      </c>
      <c r="H28" s="138">
        <f>2001</f>
        <v>2001</v>
      </c>
      <c r="I28" s="169" t="s">
        <v>448</v>
      </c>
      <c r="J28" s="57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KAITO</v>
      </c>
      <c r="K28" s="139">
        <v>3</v>
      </c>
      <c r="L28" s="140"/>
      <c r="M28" s="141"/>
      <c r="N28" s="141"/>
      <c r="O28" s="141"/>
      <c r="P28" s="141"/>
      <c r="Q28" s="141"/>
      <c r="R28" s="136"/>
      <c r="S28" s="142"/>
    </row>
    <row r="29" spans="1:19" ht="21" customHeight="1" x14ac:dyDescent="0.15">
      <c r="A29" s="12">
        <v>552</v>
      </c>
      <c r="B29" s="135" t="s">
        <v>180</v>
      </c>
      <c r="C29" s="136" t="s">
        <v>225</v>
      </c>
      <c r="D29" s="171" t="s">
        <v>408</v>
      </c>
      <c r="E29" s="137">
        <f t="shared" si="2"/>
        <v>42</v>
      </c>
      <c r="F29" s="119">
        <f t="shared" si="4"/>
        <v>12</v>
      </c>
      <c r="G29" s="119">
        <f t="shared" si="3"/>
        <v>5</v>
      </c>
      <c r="H29" s="138">
        <f>2001</f>
        <v>2001</v>
      </c>
      <c r="I29" s="169" t="str">
        <f>I28</f>
        <v>[effect:enhance_unit, target:unit_blue, turn:3, status:action, val:1.0, calc:mul, animation:enhance_unit_one_action01],[effect:change_block, new_block:block_blue, target:block_green, count:0, val:0, animation:change_block]</v>
      </c>
      <c r="J29" s="57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愉悦の愛唱 KAITO</v>
      </c>
      <c r="K29" s="139">
        <v>3</v>
      </c>
      <c r="L29" s="140"/>
      <c r="M29" s="141"/>
      <c r="N29" s="141"/>
      <c r="O29" s="141"/>
      <c r="P29" s="141"/>
      <c r="Q29" s="141"/>
      <c r="R29" s="136"/>
      <c r="S29" s="142"/>
    </row>
    <row r="30" spans="1:19" ht="21" customHeight="1" x14ac:dyDescent="0.15">
      <c r="A30" s="12">
        <v>553</v>
      </c>
      <c r="B30" s="135" t="s">
        <v>180</v>
      </c>
      <c r="C30" s="136" t="s">
        <v>287</v>
      </c>
      <c r="D30" s="168" t="s">
        <v>412</v>
      </c>
      <c r="E30" s="137">
        <f>LEN(D30)</f>
        <v>12</v>
      </c>
      <c r="F30" s="119">
        <v>9</v>
      </c>
      <c r="G30" s="119">
        <f t="shared" si="3"/>
        <v>5</v>
      </c>
      <c r="H30" s="138">
        <f>2001</f>
        <v>2001</v>
      </c>
      <c r="I30" s="169" t="s">
        <v>415</v>
      </c>
      <c r="J30" s="57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雪ミク2016</v>
      </c>
      <c r="K30" s="139">
        <v>3</v>
      </c>
      <c r="L30" s="140"/>
      <c r="M30" s="141"/>
      <c r="N30" s="141"/>
      <c r="O30" s="141"/>
      <c r="P30" s="141"/>
      <c r="Q30" s="141"/>
      <c r="R30" s="136"/>
      <c r="S30" s="142"/>
    </row>
    <row r="31" spans="1:19" ht="21" customHeight="1" x14ac:dyDescent="0.15">
      <c r="A31" s="12">
        <v>554</v>
      </c>
      <c r="B31" s="135" t="s">
        <v>180</v>
      </c>
      <c r="C31" s="136" t="s">
        <v>288</v>
      </c>
      <c r="D31" s="168" t="s">
        <v>412</v>
      </c>
      <c r="E31" s="137">
        <f t="shared" si="2"/>
        <v>12</v>
      </c>
      <c r="F31" s="119">
        <v>9</v>
      </c>
      <c r="G31" s="119">
        <f t="shared" si="3"/>
        <v>5</v>
      </c>
      <c r="H31" s="138">
        <f>2001</f>
        <v>2001</v>
      </c>
      <c r="I31" s="169" t="s">
        <v>407</v>
      </c>
      <c r="J31" s="57" t="str">
        <f ca="1">VLOOKUP($A31,OFFSET([1]characters!$A$1,0,0,COUNTA([1]characters!$A:$A),MATCH("name",[1]characters!$1:$1,0)-MATCH("character_id",[1]characters!$1:$1,0)+1),MATCH("name",[1]characters!$1:$1,0)-MATCH("character_id",[1]characters!$1:$1,0)+1,FALSE)</f>
        <v>雪ミク&amp;ラビット・ユキネ2016</v>
      </c>
      <c r="K31" s="139">
        <v>3</v>
      </c>
      <c r="L31" s="140"/>
      <c r="M31" s="141"/>
      <c r="N31" s="141"/>
      <c r="O31" s="141"/>
      <c r="P31" s="141"/>
      <c r="Q31" s="141"/>
      <c r="R31" s="136"/>
      <c r="S31" s="142"/>
    </row>
    <row r="32" spans="1:19" ht="21" customHeight="1" x14ac:dyDescent="0.15">
      <c r="A32" s="12">
        <v>555</v>
      </c>
      <c r="B32" s="135" t="s">
        <v>180</v>
      </c>
      <c r="C32" s="136" t="s">
        <v>446</v>
      </c>
      <c r="D32" s="170" t="s">
        <v>411</v>
      </c>
      <c r="E32" s="137">
        <f t="shared" si="2"/>
        <v>32</v>
      </c>
      <c r="F32" s="119">
        <v>12</v>
      </c>
      <c r="G32" s="119">
        <f t="shared" si="3"/>
        <v>5</v>
      </c>
      <c r="H32" s="138">
        <f>2001</f>
        <v>2001</v>
      </c>
      <c r="I32" s="138" t="s">
        <v>461</v>
      </c>
      <c r="J32" s="57" t="str">
        <f ca="1">VLOOKUP($A32,OFFSET([1]characters!$A$1,0,0,COUNTA([1]characters!$A:$A),MATCH("name",[1]characters!$1:$1,0)-MATCH("character_id",[1]characters!$1:$1,0)+1),MATCH("name",[1]characters!$1:$1,0)-MATCH("character_id",[1]characters!$1:$1,0)+1,FALSE)</f>
        <v>雪ミク2014</v>
      </c>
      <c r="K32" s="139">
        <v>3</v>
      </c>
      <c r="L32" s="140"/>
      <c r="M32" s="141"/>
      <c r="N32" s="141"/>
      <c r="O32" s="141"/>
      <c r="P32" s="141"/>
      <c r="Q32" s="141"/>
      <c r="R32" s="136"/>
      <c r="S32" s="142"/>
    </row>
    <row r="33" spans="1:19" ht="21" customHeight="1" x14ac:dyDescent="0.15">
      <c r="A33" s="12">
        <v>556</v>
      </c>
      <c r="B33" s="135" t="s">
        <v>180</v>
      </c>
      <c r="C33" s="136" t="s">
        <v>446</v>
      </c>
      <c r="D33" s="170" t="s">
        <v>411</v>
      </c>
      <c r="E33" s="137">
        <f t="shared" si="2"/>
        <v>32</v>
      </c>
      <c r="F33" s="119">
        <f t="shared" si="4"/>
        <v>12</v>
      </c>
      <c r="G33" s="119">
        <v>5</v>
      </c>
      <c r="H33" s="138">
        <f>2001</f>
        <v>2001</v>
      </c>
      <c r="I33" s="138" t="s">
        <v>461</v>
      </c>
      <c r="J33" s="57" t="str">
        <f ca="1">VLOOKUP($A33,OFFSET([1]characters!$A$1,0,0,COUNTA([1]characters!$A:$A),MATCH("name",[1]characters!$1:$1,0)-MATCH("character_id",[1]characters!$1:$1,0)+1),MATCH("name",[1]characters!$1:$1,0)-MATCH("character_id",[1]characters!$1:$1,0)+1,FALSE)</f>
        <v>雪ミク&amp;ラビットユキネ2014</v>
      </c>
      <c r="K33" s="139">
        <v>3</v>
      </c>
      <c r="L33" s="140"/>
      <c r="M33" s="141"/>
      <c r="N33" s="141"/>
      <c r="O33" s="141"/>
      <c r="P33" s="141"/>
      <c r="Q33" s="141"/>
      <c r="R33" s="136"/>
      <c r="S33" s="142"/>
    </row>
    <row r="34" spans="1:19" ht="21" customHeight="1" x14ac:dyDescent="0.15">
      <c r="A34" s="12">
        <v>557</v>
      </c>
      <c r="B34" s="135" t="s">
        <v>180</v>
      </c>
      <c r="C34" s="136" t="s">
        <v>289</v>
      </c>
      <c r="D34" s="170" t="s">
        <v>420</v>
      </c>
      <c r="E34" s="137">
        <f t="shared" si="2"/>
        <v>19</v>
      </c>
      <c r="F34" s="119">
        <f t="shared" si="4"/>
        <v>12</v>
      </c>
      <c r="G34" s="119">
        <f t="shared" si="3"/>
        <v>5</v>
      </c>
      <c r="H34" s="138">
        <f>2001</f>
        <v>2001</v>
      </c>
      <c r="I34" s="138" t="s">
        <v>403</v>
      </c>
      <c r="J34" s="57" t="str">
        <f ca="1">VLOOKUP($A34,OFFSET([1]characters!$A$1,0,0,COUNTA([1]characters!$A:$A),MATCH("name",[1]characters!$1:$1,0)-MATCH("character_id",[1]characters!$1:$1,0)+1),MATCH("name",[1]characters!$1:$1,0)-MATCH("character_id",[1]characters!$1:$1,0)+1,FALSE)</f>
        <v>ラビット・ユキネ</v>
      </c>
      <c r="K34" s="139">
        <v>3</v>
      </c>
      <c r="L34" s="140"/>
      <c r="M34" s="141"/>
      <c r="N34" s="141"/>
      <c r="O34" s="141"/>
      <c r="P34" s="141"/>
      <c r="Q34" s="141"/>
      <c r="R34" s="136"/>
      <c r="S34" s="142"/>
    </row>
    <row r="35" spans="1:19" ht="21" customHeight="1" x14ac:dyDescent="0.15">
      <c r="A35" s="12">
        <v>558</v>
      </c>
      <c r="B35" s="135" t="s">
        <v>180</v>
      </c>
      <c r="C35" s="136" t="s">
        <v>289</v>
      </c>
      <c r="D35" s="170" t="s">
        <v>420</v>
      </c>
      <c r="E35" s="137">
        <f t="shared" si="2"/>
        <v>19</v>
      </c>
      <c r="F35" s="119">
        <f t="shared" si="4"/>
        <v>12</v>
      </c>
      <c r="G35" s="119">
        <f t="shared" si="3"/>
        <v>5</v>
      </c>
      <c r="H35" s="138">
        <f>2001</f>
        <v>2001</v>
      </c>
      <c r="I35" s="138" t="s">
        <v>403</v>
      </c>
      <c r="J35" s="57" t="str">
        <f ca="1">VLOOKUP($A35,OFFSET([1]characters!$A$1,0,0,COUNTA([1]characters!$A:$A),MATCH("name",[1]characters!$1:$1,0)-MATCH("character_id",[1]characters!$1:$1,0)+1),MATCH("name",[1]characters!$1:$1,0)-MATCH("character_id",[1]characters!$1:$1,0)+1,FALSE)</f>
        <v>雪原の超躍 ラビット・ユキネ</v>
      </c>
      <c r="K35" s="139">
        <v>3</v>
      </c>
      <c r="L35" s="140"/>
      <c r="M35" s="141"/>
      <c r="N35" s="141"/>
      <c r="O35" s="141"/>
      <c r="P35" s="141"/>
      <c r="Q35" s="141"/>
      <c r="R35" s="136"/>
      <c r="S35" s="142"/>
    </row>
    <row r="36" spans="1:19" ht="21" customHeight="1" x14ac:dyDescent="0.15">
      <c r="A36" s="12">
        <v>559</v>
      </c>
      <c r="B36" s="135" t="s">
        <v>180</v>
      </c>
      <c r="C36" s="136" t="s">
        <v>289</v>
      </c>
      <c r="D36" s="170" t="s">
        <v>420</v>
      </c>
      <c r="E36" s="137">
        <f t="shared" si="2"/>
        <v>19</v>
      </c>
      <c r="F36" s="119">
        <f t="shared" si="4"/>
        <v>12</v>
      </c>
      <c r="G36" s="119">
        <f t="shared" si="3"/>
        <v>5</v>
      </c>
      <c r="H36" s="138">
        <f>2001</f>
        <v>2001</v>
      </c>
      <c r="I36" s="138" t="s">
        <v>403</v>
      </c>
      <c r="J36" s="57" t="str">
        <f ca="1">VLOOKUP($A36,OFFSET([1]characters!$A$1,0,0,COUNTA([1]characters!$A:$A),MATCH("name",[1]characters!$1:$1,0)-MATCH("character_id",[1]characters!$1:$1,0)+1),MATCH("name",[1]characters!$1:$1,0)-MATCH("character_id",[1]characters!$1:$1,0)+1,FALSE)</f>
        <v>白銀の滑光 ラビット・ユキネ</v>
      </c>
      <c r="K36" s="139">
        <v>3</v>
      </c>
      <c r="L36" s="140"/>
      <c r="M36" s="141"/>
      <c r="N36" s="141"/>
      <c r="O36" s="141"/>
      <c r="P36" s="141"/>
      <c r="Q36" s="141"/>
      <c r="R36" s="136"/>
      <c r="S36" s="142"/>
    </row>
  </sheetData>
  <sheetProtection selectLockedCells="1" selectUnlockedCells="1"/>
  <autoFilter ref="A1:S1">
    <sortState ref="A2:T432">
      <sortCondition ref="A1:A432"/>
    </sortState>
  </autoFilter>
  <phoneticPr fontId="22"/>
  <conditionalFormatting sqref="E1 E37:E1048576">
    <cfRule type="cellIs" dxfId="27" priority="7" operator="greaterThan">
      <formula>41</formula>
    </cfRule>
  </conditionalFormatting>
  <conditionalFormatting sqref="E2:E36">
    <cfRule type="cellIs" dxfId="26" priority="1" operator="greaterThan">
      <formula>41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>
    <tabColor indexed="12"/>
  </sheetPr>
  <dimension ref="A1:R36"/>
  <sheetViews>
    <sheetView showGridLines="0" workbookViewId="0">
      <pane xSplit="4" ySplit="1" topLeftCell="E2" activePane="bottomRight" state="frozen"/>
      <selection pane="topRight" activeCell="D1" sqref="D1"/>
      <selection pane="bottomLeft" activeCell="A3" sqref="A3"/>
      <selection pane="bottomRight" activeCell="F22" sqref="F22"/>
    </sheetView>
  </sheetViews>
  <sheetFormatPr baseColWidth="12" defaultColWidth="13" defaultRowHeight="21" customHeight="1" x14ac:dyDescent="0.15"/>
  <cols>
    <col min="1" max="2" width="12.1640625" style="132" customWidth="1"/>
    <col min="3" max="3" width="48.83203125" style="133" customWidth="1"/>
    <col min="4" max="4" width="23.83203125" style="133" customWidth="1"/>
    <col min="5" max="5" width="10.5" style="133" customWidth="1"/>
    <col min="6" max="7" width="59.1640625" style="133" customWidth="1"/>
    <col min="8" max="8" width="6.83203125" style="132" bestFit="1" customWidth="1"/>
    <col min="9" max="9" width="20.33203125" style="132" customWidth="1"/>
    <col min="10" max="10" width="5" style="132" bestFit="1" customWidth="1"/>
    <col min="11" max="16384" width="13" style="132"/>
  </cols>
  <sheetData>
    <row r="1" spans="1:18" ht="21" customHeight="1" x14ac:dyDescent="0.15">
      <c r="A1" s="120" t="s">
        <v>177</v>
      </c>
      <c r="B1" s="121" t="s">
        <v>176</v>
      </c>
      <c r="C1" s="122" t="s">
        <v>175</v>
      </c>
      <c r="D1" s="123" t="s">
        <v>174</v>
      </c>
      <c r="E1" s="123" t="s">
        <v>173</v>
      </c>
      <c r="F1" s="124" t="s">
        <v>172</v>
      </c>
      <c r="G1" s="125" t="s">
        <v>179</v>
      </c>
      <c r="H1" s="124" t="s">
        <v>171</v>
      </c>
      <c r="I1" s="125" t="s">
        <v>170</v>
      </c>
      <c r="J1" s="129" t="s">
        <v>169</v>
      </c>
    </row>
    <row r="2" spans="1:18" ht="21" customHeight="1" x14ac:dyDescent="0.15">
      <c r="A2" s="175">
        <v>525</v>
      </c>
      <c r="B2" s="135" t="s">
        <v>181</v>
      </c>
      <c r="C2" s="136" t="s">
        <v>290</v>
      </c>
      <c r="D2" s="136" t="s">
        <v>449</v>
      </c>
      <c r="E2" s="137">
        <f t="shared" ref="E2:E36" si="0">LEN(D2)</f>
        <v>6</v>
      </c>
      <c r="F2" s="119" t="s">
        <v>245</v>
      </c>
      <c r="G2" s="57" t="str">
        <f ca="1">VLOOKUP($A2,OFFSET([1]characters!$A$1,0,0,COUNTA([1]characters!$A:$A),MATCH("name",[1]characters!$1:$1,0)-MATCH("character_id",[1]characters!$1:$1,0)+1),MATCH("name",[1]characters!$1:$1,0)-MATCH("character_id",[1]characters!$1:$1,0)+1,FALSE)</f>
        <v>ウィンタースポーツ 雪ミク</v>
      </c>
      <c r="H2" s="138">
        <v>3</v>
      </c>
      <c r="I2" s="138"/>
      <c r="J2" s="143"/>
      <c r="K2" s="140"/>
      <c r="L2" s="141"/>
      <c r="M2" s="141"/>
      <c r="N2" s="141"/>
      <c r="O2" s="141"/>
      <c r="P2" s="141"/>
      <c r="Q2" s="136"/>
      <c r="R2" s="142"/>
    </row>
    <row r="3" spans="1:18" ht="21" customHeight="1" x14ac:dyDescent="0.15">
      <c r="A3" s="175">
        <v>526</v>
      </c>
      <c r="B3" s="135" t="s">
        <v>181</v>
      </c>
      <c r="C3" s="136" t="s">
        <v>291</v>
      </c>
      <c r="D3" s="136" t="s">
        <v>230</v>
      </c>
      <c r="E3" s="137">
        <f t="shared" si="0"/>
        <v>6</v>
      </c>
      <c r="F3" s="119" t="s">
        <v>245</v>
      </c>
      <c r="G3" s="57" t="str">
        <f ca="1">VLOOKUP($A3,OFFSET([1]characters!$A$1,0,0,COUNTA([1]characters!$A:$A),MATCH("name",[1]characters!$1:$1,0)-MATCH("character_id",[1]characters!$1:$1,0)+1),MATCH("name",[1]characters!$1:$1,0)-MATCH("character_id",[1]characters!$1:$1,0)+1,FALSE)</f>
        <v>大滑走 雪ミク&amp;ラビットユキネ</v>
      </c>
      <c r="H3" s="138">
        <v>3</v>
      </c>
      <c r="I3" s="138"/>
      <c r="J3" s="143"/>
      <c r="K3" s="140"/>
      <c r="L3" s="141"/>
      <c r="M3" s="141"/>
      <c r="N3" s="141"/>
      <c r="O3" s="141"/>
      <c r="P3" s="141"/>
      <c r="Q3" s="136"/>
      <c r="R3" s="142"/>
    </row>
    <row r="4" spans="1:18" ht="21" customHeight="1" x14ac:dyDescent="0.15">
      <c r="A4" s="175">
        <v>527</v>
      </c>
      <c r="B4" s="135" t="s">
        <v>181</v>
      </c>
      <c r="C4" s="136" t="s">
        <v>228</v>
      </c>
      <c r="D4" s="147" t="s">
        <v>227</v>
      </c>
      <c r="E4" s="137">
        <f t="shared" si="0"/>
        <v>20</v>
      </c>
      <c r="F4" s="119" t="s">
        <v>426</v>
      </c>
      <c r="G4" s="57" t="str">
        <f ca="1">VLOOKUP($A4,OFFSET([1]characters!$A$1,0,0,COUNTA([1]characters!$A:$A),MATCH("name",[1]characters!$1:$1,0)-MATCH("character_id",[1]characters!$1:$1,0)+1),MATCH("name",[1]characters!$1:$1,0)-MATCH("character_id",[1]characters!$1:$1,0)+1,FALSE)</f>
        <v>初音ミクV3</v>
      </c>
      <c r="H4" s="138">
        <v>3</v>
      </c>
      <c r="I4" s="138"/>
      <c r="J4" s="143"/>
      <c r="K4" s="140"/>
      <c r="L4" s="141"/>
      <c r="M4" s="141"/>
      <c r="N4" s="141"/>
      <c r="O4" s="141"/>
      <c r="P4" s="141"/>
      <c r="Q4" s="136"/>
      <c r="R4" s="142"/>
    </row>
    <row r="5" spans="1:18" ht="21" customHeight="1" x14ac:dyDescent="0.15">
      <c r="A5" s="175">
        <v>528</v>
      </c>
      <c r="B5" s="135" t="s">
        <v>181</v>
      </c>
      <c r="C5" s="136" t="s">
        <v>229</v>
      </c>
      <c r="D5" s="147" t="s">
        <v>227</v>
      </c>
      <c r="E5" s="137">
        <f t="shared" si="0"/>
        <v>20</v>
      </c>
      <c r="F5" s="119" t="s">
        <v>426</v>
      </c>
      <c r="G5" s="57" t="str">
        <f ca="1">VLOOKUP($A5,OFFSET([1]characters!$A$1,0,0,COUNTA([1]characters!$A:$A),MATCH("name",[1]characters!$1:$1,0)-MATCH("character_id",[1]characters!$1:$1,0)+1),MATCH("name",[1]characters!$1:$1,0)-MATCH("character_id",[1]characters!$1:$1,0)+1,FALSE)</f>
        <v>新世の歌姫 初音ミクV3</v>
      </c>
      <c r="H5" s="138">
        <v>3</v>
      </c>
      <c r="I5" s="138"/>
      <c r="J5" s="143"/>
      <c r="K5" s="140"/>
      <c r="L5" s="141"/>
      <c r="M5" s="141"/>
      <c r="N5" s="141"/>
      <c r="O5" s="141"/>
      <c r="P5" s="141"/>
      <c r="Q5" s="136"/>
      <c r="R5" s="142"/>
    </row>
    <row r="6" spans="1:18" ht="21" customHeight="1" x14ac:dyDescent="0.15">
      <c r="A6" s="175">
        <v>529</v>
      </c>
      <c r="B6" s="135" t="s">
        <v>181</v>
      </c>
      <c r="C6" s="136" t="s">
        <v>261</v>
      </c>
      <c r="D6" s="112" t="s">
        <v>390</v>
      </c>
      <c r="E6" s="137">
        <f t="shared" si="0"/>
        <v>8</v>
      </c>
      <c r="F6" s="148" t="s">
        <v>246</v>
      </c>
      <c r="G6" s="57" t="str">
        <f ca="1">VLOOKUP($A6,OFFSET([1]characters!$A$1,0,0,COUNTA([1]characters!$A:$A),MATCH("name",[1]characters!$1:$1,0)-MATCH("character_id",[1]characters!$1:$1,0)+1),MATCH("name",[1]characters!$1:$1,0)-MATCH("character_id",[1]characters!$1:$1,0)+1,FALSE)</f>
        <v>冬服ジェリー</v>
      </c>
      <c r="H6" s="138">
        <v>3</v>
      </c>
      <c r="I6" s="138"/>
      <c r="J6" s="143"/>
      <c r="K6" s="140"/>
      <c r="L6" s="141"/>
      <c r="M6" s="141"/>
      <c r="N6" s="141"/>
      <c r="O6" s="141"/>
      <c r="P6" s="141"/>
      <c r="Q6" s="136"/>
      <c r="R6" s="142"/>
    </row>
    <row r="7" spans="1:18" ht="21" customHeight="1" x14ac:dyDescent="0.15">
      <c r="A7" s="175">
        <v>530</v>
      </c>
      <c r="B7" s="135" t="s">
        <v>181</v>
      </c>
      <c r="C7" s="136" t="s">
        <v>262</v>
      </c>
      <c r="D7" s="112" t="s">
        <v>390</v>
      </c>
      <c r="E7" s="137">
        <f t="shared" si="0"/>
        <v>8</v>
      </c>
      <c r="F7" s="148" t="s">
        <v>247</v>
      </c>
      <c r="G7" s="57" t="str">
        <f ca="1">VLOOKUP($A7,OFFSET([1]characters!$A$1,0,0,COUNTA([1]characters!$A:$A),MATCH("name",[1]characters!$1:$1,0)-MATCH("character_id",[1]characters!$1:$1,0)+1),MATCH("name",[1]characters!$1:$1,0)-MATCH("character_id",[1]characters!$1:$1,0)+1,FALSE)</f>
        <v>冬服ジョー</v>
      </c>
      <c r="H7" s="138">
        <v>3</v>
      </c>
      <c r="I7" s="138"/>
      <c r="J7" s="143"/>
      <c r="K7" s="140"/>
      <c r="L7" s="141"/>
      <c r="M7" s="141"/>
      <c r="N7" s="141"/>
      <c r="O7" s="141"/>
      <c r="P7" s="141"/>
      <c r="Q7" s="136"/>
      <c r="R7" s="142"/>
    </row>
    <row r="8" spans="1:18" ht="21" customHeight="1" x14ac:dyDescent="0.15">
      <c r="A8" s="175">
        <v>531</v>
      </c>
      <c r="B8" s="135" t="s">
        <v>181</v>
      </c>
      <c r="C8" s="136" t="s">
        <v>263</v>
      </c>
      <c r="D8" s="112" t="s">
        <v>390</v>
      </c>
      <c r="E8" s="137">
        <f t="shared" si="0"/>
        <v>8</v>
      </c>
      <c r="F8" s="148" t="s">
        <v>248</v>
      </c>
      <c r="G8" s="57" t="str">
        <f ca="1">VLOOKUP($A8,OFFSET([1]characters!$A$1,0,0,COUNTA([1]characters!$A:$A),MATCH("name",[1]characters!$1:$1,0)-MATCH("character_id",[1]characters!$1:$1,0)+1),MATCH("name",[1]characters!$1:$1,0)-MATCH("character_id",[1]characters!$1:$1,0)+1,FALSE)</f>
        <v>冬服ポチ</v>
      </c>
      <c r="H8" s="138">
        <v>3</v>
      </c>
      <c r="I8" s="138"/>
      <c r="J8" s="143"/>
      <c r="K8" s="140"/>
      <c r="L8" s="141"/>
      <c r="M8" s="141"/>
      <c r="N8" s="141"/>
      <c r="O8" s="141"/>
      <c r="P8" s="141"/>
      <c r="Q8" s="136"/>
      <c r="R8" s="142"/>
    </row>
    <row r="9" spans="1:18" ht="21" customHeight="1" x14ac:dyDescent="0.15">
      <c r="A9" s="175">
        <v>532</v>
      </c>
      <c r="B9" s="135" t="s">
        <v>181</v>
      </c>
      <c r="C9" s="136" t="s">
        <v>264</v>
      </c>
      <c r="D9" s="112" t="s">
        <v>390</v>
      </c>
      <c r="E9" s="137">
        <f t="shared" si="0"/>
        <v>8</v>
      </c>
      <c r="F9" s="148" t="s">
        <v>249</v>
      </c>
      <c r="G9" s="57" t="str">
        <f ca="1">VLOOKUP($A9,OFFSET([1]characters!$A$1,0,0,COUNTA([1]characters!$A:$A),MATCH("name",[1]characters!$1:$1,0)-MATCH("character_id",[1]characters!$1:$1,0)+1),MATCH("name",[1]characters!$1:$1,0)-MATCH("character_id",[1]characters!$1:$1,0)+1,FALSE)</f>
        <v>冬服エレキポット</v>
      </c>
      <c r="H9" s="138">
        <v>3</v>
      </c>
      <c r="I9" s="138"/>
      <c r="J9" s="143"/>
      <c r="K9" s="140"/>
      <c r="L9" s="141"/>
      <c r="M9" s="141"/>
      <c r="N9" s="141"/>
      <c r="O9" s="141"/>
      <c r="P9" s="141"/>
      <c r="Q9" s="136"/>
      <c r="R9" s="142"/>
    </row>
    <row r="10" spans="1:18" ht="21" customHeight="1" x14ac:dyDescent="0.15">
      <c r="A10" s="175">
        <v>533</v>
      </c>
      <c r="B10" s="135" t="s">
        <v>181</v>
      </c>
      <c r="C10" s="136" t="s">
        <v>265</v>
      </c>
      <c r="D10" s="112" t="s">
        <v>391</v>
      </c>
      <c r="E10" s="137">
        <f t="shared" si="0"/>
        <v>11</v>
      </c>
      <c r="F10" s="146" t="s">
        <v>437</v>
      </c>
      <c r="G10" s="57" t="str">
        <f ca="1">VLOOKUP($A10,OFFSET([1]characters!$A$1,0,0,COUNTA([1]characters!$A:$A),MATCH("name",[1]characters!$1:$1,0)-MATCH("character_id",[1]characters!$1:$1,0)+1),MATCH("name",[1]characters!$1:$1,0)-MATCH("character_id",[1]characters!$1:$1,0)+1,FALSE)</f>
        <v>冬服アカネ</v>
      </c>
      <c r="H10" s="138">
        <v>3</v>
      </c>
      <c r="I10" s="138"/>
      <c r="J10" s="143"/>
      <c r="K10" s="140"/>
      <c r="L10" s="141"/>
      <c r="M10" s="141"/>
      <c r="N10" s="141"/>
      <c r="O10" s="141"/>
      <c r="P10" s="141"/>
      <c r="Q10" s="136"/>
      <c r="R10" s="142"/>
    </row>
    <row r="11" spans="1:18" ht="21" customHeight="1" x14ac:dyDescent="0.15">
      <c r="A11" s="175">
        <v>534</v>
      </c>
      <c r="B11" s="135" t="s">
        <v>181</v>
      </c>
      <c r="C11" s="136" t="s">
        <v>266</v>
      </c>
      <c r="D11" s="112" t="s">
        <v>392</v>
      </c>
      <c r="E11" s="137">
        <f t="shared" si="0"/>
        <v>12</v>
      </c>
      <c r="F11" s="148" t="s">
        <v>250</v>
      </c>
      <c r="G11" s="57" t="str">
        <f ca="1">VLOOKUP($A11,OFFSET([1]characters!$A$1,0,0,COUNTA([1]characters!$A:$A),MATCH("name",[1]characters!$1:$1,0)-MATCH("character_id",[1]characters!$1:$1,0)+1),MATCH("name",[1]characters!$1:$1,0)-MATCH("character_id",[1]characters!$1:$1,0)+1,FALSE)</f>
        <v>冬服パトライン</v>
      </c>
      <c r="H11" s="138">
        <v>3</v>
      </c>
      <c r="I11" s="138"/>
      <c r="J11" s="143"/>
      <c r="K11" s="140"/>
      <c r="L11" s="141"/>
      <c r="M11" s="141"/>
      <c r="N11" s="141"/>
      <c r="O11" s="141"/>
      <c r="P11" s="141"/>
      <c r="Q11" s="136"/>
      <c r="R11" s="142"/>
    </row>
    <row r="12" spans="1:18" ht="21" customHeight="1" x14ac:dyDescent="0.15">
      <c r="A12" s="175">
        <v>535</v>
      </c>
      <c r="B12" s="135" t="s">
        <v>181</v>
      </c>
      <c r="C12" s="136" t="s">
        <v>267</v>
      </c>
      <c r="D12" s="112" t="s">
        <v>393</v>
      </c>
      <c r="E12" s="137">
        <f t="shared" si="0"/>
        <v>8</v>
      </c>
      <c r="F12" s="148" t="s">
        <v>251</v>
      </c>
      <c r="G12" s="57" t="str">
        <f ca="1">VLOOKUP($A12,OFFSET([1]characters!$A$1,0,0,COUNTA([1]characters!$A:$A),MATCH("name",[1]characters!$1:$1,0)-MATCH("character_id",[1]characters!$1:$1,0)+1),MATCH("name",[1]characters!$1:$1,0)-MATCH("character_id",[1]characters!$1:$1,0)+1,FALSE)</f>
        <v>冬服リム</v>
      </c>
      <c r="H12" s="138">
        <v>3</v>
      </c>
      <c r="I12" s="138"/>
      <c r="J12" s="143"/>
      <c r="K12" s="140"/>
      <c r="L12" s="141"/>
      <c r="M12" s="141"/>
      <c r="N12" s="141"/>
      <c r="O12" s="141"/>
      <c r="P12" s="141"/>
      <c r="Q12" s="136"/>
      <c r="R12" s="142"/>
    </row>
    <row r="13" spans="1:18" ht="21" customHeight="1" x14ac:dyDescent="0.15">
      <c r="A13" s="175">
        <v>536</v>
      </c>
      <c r="B13" s="135" t="s">
        <v>181</v>
      </c>
      <c r="C13" s="136" t="s">
        <v>268</v>
      </c>
      <c r="D13" s="112" t="s">
        <v>394</v>
      </c>
      <c r="E13" s="137">
        <f t="shared" si="0"/>
        <v>8</v>
      </c>
      <c r="F13" s="148" t="s">
        <v>252</v>
      </c>
      <c r="G13" s="57" t="str">
        <f ca="1">VLOOKUP($A13,OFFSET([1]characters!$A$1,0,0,COUNTA([1]characters!$A:$A),MATCH("name",[1]characters!$1:$1,0)-MATCH("character_id",[1]characters!$1:$1,0)+1),MATCH("name",[1]characters!$1:$1,0)-MATCH("character_id",[1]characters!$1:$1,0)+1,FALSE)</f>
        <v>冬服ミミ</v>
      </c>
      <c r="H13" s="138">
        <v>3</v>
      </c>
      <c r="I13" s="138"/>
      <c r="J13" s="143"/>
      <c r="K13" s="140"/>
      <c r="L13" s="141"/>
      <c r="M13" s="141"/>
      <c r="N13" s="141"/>
      <c r="O13" s="141"/>
      <c r="P13" s="141"/>
      <c r="Q13" s="136"/>
      <c r="R13" s="142"/>
    </row>
    <row r="14" spans="1:18" ht="21" customHeight="1" x14ac:dyDescent="0.15">
      <c r="A14" s="175">
        <v>537</v>
      </c>
      <c r="B14" s="135" t="s">
        <v>181</v>
      </c>
      <c r="C14" s="136" t="s">
        <v>269</v>
      </c>
      <c r="D14" s="112" t="s">
        <v>397</v>
      </c>
      <c r="E14" s="137">
        <f t="shared" si="0"/>
        <v>11</v>
      </c>
      <c r="F14" s="146" t="s">
        <v>396</v>
      </c>
      <c r="G14" s="57" t="str">
        <f ca="1">VLOOKUP($A14,OFFSET([1]characters!$A$1,0,0,COUNTA([1]characters!$A:$A),MATCH("name",[1]characters!$1:$1,0)-MATCH("character_id",[1]characters!$1:$1,0)+1),MATCH("name",[1]characters!$1:$1,0)-MATCH("character_id",[1]characters!$1:$1,0)+1,FALSE)</f>
        <v>冬服ハッピー100</v>
      </c>
      <c r="H14" s="138">
        <v>3</v>
      </c>
      <c r="I14" s="138"/>
      <c r="J14" s="143"/>
      <c r="K14" s="140"/>
      <c r="L14" s="141"/>
      <c r="M14" s="141"/>
      <c r="N14" s="141"/>
      <c r="O14" s="141"/>
      <c r="P14" s="141"/>
      <c r="Q14" s="136"/>
      <c r="R14" s="142"/>
    </row>
    <row r="15" spans="1:18" ht="21" customHeight="1" x14ac:dyDescent="0.15">
      <c r="A15" s="175">
        <v>538</v>
      </c>
      <c r="B15" s="135" t="s">
        <v>181</v>
      </c>
      <c r="C15" s="136" t="s">
        <v>270</v>
      </c>
      <c r="D15" s="112" t="s">
        <v>391</v>
      </c>
      <c r="E15" s="137">
        <f t="shared" si="0"/>
        <v>11</v>
      </c>
      <c r="F15" s="146" t="s">
        <v>398</v>
      </c>
      <c r="G15" s="57" t="str">
        <f ca="1">VLOOKUP($A15,OFFSET([1]characters!$A$1,0,0,COUNTA([1]characters!$A:$A),MATCH("name",[1]characters!$1:$1,0)-MATCH("character_id",[1]characters!$1:$1,0)+1),MATCH("name",[1]characters!$1:$1,0)-MATCH("character_id",[1]characters!$1:$1,0)+1,FALSE)</f>
        <v>冬服ニムダ</v>
      </c>
      <c r="H15" s="138">
        <v>3</v>
      </c>
      <c r="I15" s="138"/>
      <c r="J15" s="143"/>
      <c r="K15" s="140"/>
      <c r="L15" s="141"/>
      <c r="M15" s="141"/>
      <c r="N15" s="141"/>
      <c r="O15" s="141"/>
      <c r="P15" s="141"/>
      <c r="Q15" s="136"/>
      <c r="R15" s="142"/>
    </row>
    <row r="16" spans="1:18" ht="21" customHeight="1" x14ac:dyDescent="0.15">
      <c r="A16" s="175">
        <v>539</v>
      </c>
      <c r="B16" s="135" t="s">
        <v>181</v>
      </c>
      <c r="C16" s="136" t="s">
        <v>201</v>
      </c>
      <c r="D16" s="173" t="s">
        <v>198</v>
      </c>
      <c r="E16" s="137">
        <f t="shared" si="0"/>
        <v>27</v>
      </c>
      <c r="F16" s="146" t="s">
        <v>460</v>
      </c>
      <c r="G16" s="57" t="str">
        <f ca="1">VLOOKUP($A16,OFFSET([1]characters!$A$1,0,0,COUNTA([1]characters!$A:$A),MATCH("name",[1]characters!$1:$1,0)-MATCH("character_id",[1]characters!$1:$1,0)+1),MATCH("name",[1]characters!$1:$1,0)-MATCH("character_id",[1]characters!$1:$1,0)+1,FALSE)</f>
        <v>初音ミク・アペンド</v>
      </c>
      <c r="H16" s="138">
        <v>3</v>
      </c>
      <c r="I16" s="138"/>
      <c r="J16" s="143"/>
      <c r="K16" s="140"/>
      <c r="L16" s="141"/>
      <c r="M16" s="141"/>
      <c r="N16" s="141"/>
      <c r="O16" s="141"/>
      <c r="P16" s="141"/>
      <c r="Q16" s="136"/>
      <c r="R16" s="142"/>
    </row>
    <row r="17" spans="1:18" ht="21" customHeight="1" x14ac:dyDescent="0.15">
      <c r="A17" s="175">
        <v>540</v>
      </c>
      <c r="B17" s="135" t="s">
        <v>181</v>
      </c>
      <c r="C17" s="136" t="s">
        <v>201</v>
      </c>
      <c r="D17" s="173" t="s">
        <v>198</v>
      </c>
      <c r="E17" s="137">
        <f t="shared" si="0"/>
        <v>27</v>
      </c>
      <c r="F17" s="146" t="s">
        <v>460</v>
      </c>
      <c r="G17" s="57" t="str">
        <f ca="1">VLOOKUP($A17,OFFSET([1]characters!$A$1,0,0,COUNTA([1]characters!$A:$A),MATCH("name",[1]characters!$1:$1,0)-MATCH("character_id",[1]characters!$1:$1,0)+1),MATCH("name",[1]characters!$1:$1,0)-MATCH("character_id",[1]characters!$1:$1,0)+1,FALSE)</f>
        <v>来訪の歌姫 初音ミク・アペンド</v>
      </c>
      <c r="H17" s="138">
        <v>3</v>
      </c>
      <c r="I17" s="138"/>
      <c r="J17" s="143"/>
      <c r="K17" s="140"/>
      <c r="L17" s="141"/>
      <c r="M17" s="141"/>
      <c r="N17" s="141"/>
      <c r="O17" s="141"/>
      <c r="P17" s="141"/>
      <c r="Q17" s="136"/>
      <c r="R17" s="142"/>
    </row>
    <row r="18" spans="1:18" ht="21" customHeight="1" x14ac:dyDescent="0.15">
      <c r="A18" s="175">
        <v>541</v>
      </c>
      <c r="B18" s="135" t="s">
        <v>181</v>
      </c>
      <c r="C18" s="136" t="s">
        <v>202</v>
      </c>
      <c r="D18" s="173" t="s">
        <v>200</v>
      </c>
      <c r="E18" s="137">
        <f t="shared" si="0"/>
        <v>21</v>
      </c>
      <c r="F18" s="145" t="s">
        <v>186</v>
      </c>
      <c r="G18" s="57" t="str">
        <f ca="1">VLOOKUP($A18,OFFSET([1]characters!$A$1,0,0,COUNTA([1]characters!$A:$A),MATCH("name",[1]characters!$1:$1,0)-MATCH("character_id",[1]characters!$1:$1,0)+1),MATCH("name",[1]characters!$1:$1,0)-MATCH("character_id",[1]characters!$1:$1,0)+1,FALSE)</f>
        <v>初音ミク</v>
      </c>
      <c r="H18" s="138">
        <v>3</v>
      </c>
      <c r="I18" s="138"/>
      <c r="J18" s="143"/>
      <c r="K18" s="140"/>
      <c r="L18" s="141"/>
      <c r="M18" s="141"/>
      <c r="N18" s="141"/>
      <c r="O18" s="141"/>
      <c r="P18" s="141"/>
      <c r="Q18" s="136"/>
      <c r="R18" s="142"/>
    </row>
    <row r="19" spans="1:18" ht="21" customHeight="1" x14ac:dyDescent="0.15">
      <c r="A19" s="175">
        <v>542</v>
      </c>
      <c r="B19" s="135" t="s">
        <v>181</v>
      </c>
      <c r="C19" s="136" t="s">
        <v>203</v>
      </c>
      <c r="D19" s="173" t="s">
        <v>196</v>
      </c>
      <c r="E19" s="137">
        <f t="shared" si="0"/>
        <v>21</v>
      </c>
      <c r="F19" s="145" t="s">
        <v>186</v>
      </c>
      <c r="G19" s="57" t="str">
        <f ca="1">VLOOKUP($A19,OFFSET([1]characters!$A$1,0,0,COUNTA([1]characters!$A:$A),MATCH("name",[1]characters!$1:$1,0)-MATCH("character_id",[1]characters!$1:$1,0)+1),MATCH("name",[1]characters!$1:$1,0)-MATCH("character_id",[1]characters!$1:$1,0)+1,FALSE)</f>
        <v>革命の音撃 初音ミク</v>
      </c>
      <c r="H19" s="138">
        <v>3</v>
      </c>
      <c r="I19" s="138"/>
      <c r="J19" s="143"/>
      <c r="K19" s="140"/>
      <c r="L19" s="141"/>
      <c r="M19" s="141"/>
      <c r="N19" s="141"/>
      <c r="O19" s="141"/>
      <c r="P19" s="141"/>
      <c r="Q19" s="136"/>
      <c r="R19" s="142"/>
    </row>
    <row r="20" spans="1:18" ht="21" customHeight="1" x14ac:dyDescent="0.15">
      <c r="A20" s="175">
        <v>543</v>
      </c>
      <c r="B20" s="135" t="s">
        <v>181</v>
      </c>
      <c r="C20" s="136" t="s">
        <v>447</v>
      </c>
      <c r="D20" s="173" t="s">
        <v>197</v>
      </c>
      <c r="E20" s="137">
        <f t="shared" si="0"/>
        <v>21</v>
      </c>
      <c r="F20" s="145" t="s">
        <v>465</v>
      </c>
      <c r="G20" s="57" t="str">
        <f ca="1">VLOOKUP($A20,OFFSET([1]characters!$A$1,0,0,COUNTA([1]characters!$A:$A),MATCH("name",[1]characters!$1:$1,0)-MATCH("character_id",[1]characters!$1:$1,0)+1),MATCH("name",[1]characters!$1:$1,0)-MATCH("character_id",[1]characters!$1:$1,0)+1,FALSE)</f>
        <v>鏡音リン</v>
      </c>
      <c r="H20" s="138">
        <v>3</v>
      </c>
      <c r="I20" s="138"/>
      <c r="J20" s="143"/>
      <c r="K20" s="140"/>
      <c r="L20" s="141"/>
      <c r="M20" s="141"/>
      <c r="N20" s="141"/>
      <c r="O20" s="141"/>
      <c r="P20" s="141"/>
      <c r="Q20" s="136"/>
      <c r="R20" s="142"/>
    </row>
    <row r="21" spans="1:18" ht="21" customHeight="1" x14ac:dyDescent="0.15">
      <c r="A21" s="175">
        <v>544</v>
      </c>
      <c r="B21" s="135" t="s">
        <v>181</v>
      </c>
      <c r="C21" s="136" t="s">
        <v>204</v>
      </c>
      <c r="D21" s="173" t="s">
        <v>197</v>
      </c>
      <c r="E21" s="137">
        <f t="shared" si="0"/>
        <v>21</v>
      </c>
      <c r="F21" s="145" t="str">
        <f>F20</f>
        <v>[effect:damage_anti_tribe, target:enemy_one, tribe:unknown, val1:3.375, val2:1.31,  animation:damage_one_yellow04]</v>
      </c>
      <c r="G21" s="57" t="str">
        <f ca="1">VLOOKUP($A21,OFFSET([1]characters!$A$1,0,0,COUNTA([1]characters!$A:$A),MATCH("name",[1]characters!$1:$1,0)-MATCH("character_id",[1]characters!$1:$1,0)+1),MATCH("name",[1]characters!$1:$1,0)-MATCH("character_id",[1]characters!$1:$1,0)+1,FALSE)</f>
        <v>反響の凛音 鏡音リン</v>
      </c>
      <c r="H21" s="138">
        <v>3</v>
      </c>
      <c r="I21" s="138"/>
      <c r="J21" s="143"/>
      <c r="K21" s="140"/>
      <c r="L21" s="141"/>
      <c r="M21" s="141"/>
      <c r="N21" s="141"/>
      <c r="O21" s="141"/>
      <c r="P21" s="141"/>
      <c r="Q21" s="136"/>
      <c r="R21" s="142"/>
    </row>
    <row r="22" spans="1:18" ht="21" customHeight="1" x14ac:dyDescent="0.15">
      <c r="A22" s="175">
        <v>545</v>
      </c>
      <c r="B22" s="135" t="s">
        <v>181</v>
      </c>
      <c r="C22" s="136" t="s">
        <v>207</v>
      </c>
      <c r="D22" s="173" t="s">
        <v>199</v>
      </c>
      <c r="E22" s="137">
        <f t="shared" si="0"/>
        <v>26</v>
      </c>
      <c r="F22" s="119" t="s">
        <v>187</v>
      </c>
      <c r="G22" s="57" t="str">
        <f ca="1">VLOOKUP($A22,OFFSET([1]characters!$A$1,0,0,COUNTA([1]characters!$A:$A),MATCH("name",[1]characters!$1:$1,0)-MATCH("character_id",[1]characters!$1:$1,0)+1),MATCH("name",[1]characters!$1:$1,0)-MATCH("character_id",[1]characters!$1:$1,0)+1,FALSE)</f>
        <v>鏡音レン</v>
      </c>
      <c r="H22" s="138">
        <v>3</v>
      </c>
      <c r="I22" s="138"/>
      <c r="J22" s="143"/>
      <c r="K22" s="140"/>
      <c r="L22" s="141"/>
      <c r="M22" s="141"/>
      <c r="N22" s="141"/>
      <c r="O22" s="141"/>
      <c r="P22" s="141"/>
      <c r="Q22" s="136"/>
      <c r="R22" s="142"/>
    </row>
    <row r="23" spans="1:18" ht="21" customHeight="1" x14ac:dyDescent="0.15">
      <c r="A23" s="175">
        <v>546</v>
      </c>
      <c r="B23" s="135" t="s">
        <v>181</v>
      </c>
      <c r="C23" s="136" t="s">
        <v>208</v>
      </c>
      <c r="D23" s="173" t="s">
        <v>199</v>
      </c>
      <c r="E23" s="137">
        <f t="shared" si="0"/>
        <v>26</v>
      </c>
      <c r="F23" s="119" t="s">
        <v>187</v>
      </c>
      <c r="G23" s="57" t="str">
        <f ca="1">VLOOKUP($A23,OFFSET([1]characters!$A$1,0,0,COUNTA([1]characters!$A:$A),MATCH("name",[1]characters!$1:$1,0)-MATCH("character_id",[1]characters!$1:$1,0)+1),MATCH("name",[1]characters!$1:$1,0)-MATCH("character_id",[1]characters!$1:$1,0)+1,FALSE)</f>
        <v>残響の連符 鏡音レン</v>
      </c>
      <c r="H23" s="138">
        <v>3</v>
      </c>
      <c r="I23" s="138"/>
      <c r="J23" s="143"/>
      <c r="K23" s="140"/>
      <c r="L23" s="141"/>
      <c r="M23" s="141"/>
      <c r="N23" s="141"/>
      <c r="O23" s="141"/>
      <c r="P23" s="141"/>
      <c r="Q23" s="136"/>
      <c r="R23" s="142"/>
    </row>
    <row r="24" spans="1:18" ht="21" customHeight="1" x14ac:dyDescent="0.15">
      <c r="A24" s="175">
        <v>547</v>
      </c>
      <c r="B24" s="135" t="s">
        <v>181</v>
      </c>
      <c r="C24" s="136" t="s">
        <v>205</v>
      </c>
      <c r="D24" s="170" t="s">
        <v>423</v>
      </c>
      <c r="E24" s="137">
        <f t="shared" si="0"/>
        <v>8</v>
      </c>
      <c r="F24" s="176" t="s">
        <v>427</v>
      </c>
      <c r="G24" s="57" t="str">
        <f ca="1">VLOOKUP($A24,OFFSET([1]characters!$A$1,0,0,COUNTA([1]characters!$A:$A),MATCH("name",[1]characters!$1:$1,0)-MATCH("character_id",[1]characters!$1:$1,0)+1),MATCH("name",[1]characters!$1:$1,0)-MATCH("character_id",[1]characters!$1:$1,0)+1,FALSE)</f>
        <v>巡音ルカ</v>
      </c>
      <c r="H24" s="138">
        <v>3</v>
      </c>
      <c r="I24" s="138"/>
      <c r="J24" s="143"/>
      <c r="K24" s="140"/>
      <c r="L24" s="141"/>
      <c r="M24" s="141"/>
      <c r="N24" s="141"/>
      <c r="O24" s="141"/>
      <c r="P24" s="141"/>
      <c r="Q24" s="136"/>
      <c r="R24" s="142"/>
    </row>
    <row r="25" spans="1:18" ht="21" customHeight="1" x14ac:dyDescent="0.15">
      <c r="A25" s="175">
        <v>548</v>
      </c>
      <c r="B25" s="135" t="s">
        <v>181</v>
      </c>
      <c r="C25" s="136" t="s">
        <v>206</v>
      </c>
      <c r="D25" s="170" t="s">
        <v>423</v>
      </c>
      <c r="E25" s="137">
        <f t="shared" si="0"/>
        <v>8</v>
      </c>
      <c r="F25" s="176" t="s">
        <v>427</v>
      </c>
      <c r="G25" s="57" t="str">
        <f ca="1">VLOOKUP($A25,OFFSET([1]characters!$A$1,0,0,COUNTA([1]characters!$A:$A),MATCH("name",[1]characters!$1:$1,0)-MATCH("character_id",[1]characters!$1:$1,0)+1),MATCH("name",[1]characters!$1:$1,0)-MATCH("character_id",[1]characters!$1:$1,0)+1,FALSE)</f>
        <v>乱舞の音環 巡音ルカ</v>
      </c>
      <c r="H25" s="138">
        <v>3</v>
      </c>
      <c r="I25" s="138"/>
      <c r="J25" s="143"/>
      <c r="K25" s="140"/>
      <c r="L25" s="141"/>
      <c r="M25" s="141"/>
      <c r="N25" s="141"/>
      <c r="O25" s="141"/>
      <c r="P25" s="141"/>
      <c r="Q25" s="136"/>
      <c r="R25" s="142"/>
    </row>
    <row r="26" spans="1:18" ht="21" customHeight="1" x14ac:dyDescent="0.15">
      <c r="A26" s="175">
        <v>549</v>
      </c>
      <c r="B26" s="135" t="s">
        <v>181</v>
      </c>
      <c r="C26" s="136" t="s">
        <v>209</v>
      </c>
      <c r="D26" s="136" t="s">
        <v>421</v>
      </c>
      <c r="E26" s="137">
        <f t="shared" si="0"/>
        <v>21</v>
      </c>
      <c r="F26" s="146" t="s">
        <v>428</v>
      </c>
      <c r="G26" s="57" t="str">
        <f ca="1">VLOOKUP($A26,OFFSET([1]characters!$A$1,0,0,COUNTA([1]characters!$A:$A),MATCH("name",[1]characters!$1:$1,0)-MATCH("character_id",[1]characters!$1:$1,0)+1),MATCH("name",[1]characters!$1:$1,0)-MATCH("character_id",[1]characters!$1:$1,0)+1,FALSE)</f>
        <v>MEIKO</v>
      </c>
      <c r="H26" s="138">
        <v>3</v>
      </c>
      <c r="I26" s="138"/>
      <c r="J26" s="143"/>
      <c r="K26" s="140"/>
      <c r="L26" s="141"/>
      <c r="M26" s="141"/>
      <c r="N26" s="141"/>
      <c r="O26" s="141"/>
      <c r="P26" s="141"/>
      <c r="Q26" s="136"/>
      <c r="R26" s="142"/>
    </row>
    <row r="27" spans="1:18" ht="21" customHeight="1" x14ac:dyDescent="0.15">
      <c r="A27" s="175">
        <v>550</v>
      </c>
      <c r="B27" s="135" t="s">
        <v>181</v>
      </c>
      <c r="C27" s="136" t="s">
        <v>210</v>
      </c>
      <c r="D27" s="136" t="s">
        <v>421</v>
      </c>
      <c r="E27" s="137">
        <f t="shared" si="0"/>
        <v>21</v>
      </c>
      <c r="F27" s="146" t="s">
        <v>429</v>
      </c>
      <c r="G27" s="57" t="str">
        <f ca="1">VLOOKUP($A27,OFFSET([1]characters!$A$1,0,0,COUNTA([1]characters!$A:$A),MATCH("name",[1]characters!$1:$1,0)-MATCH("character_id",[1]characters!$1:$1,0)+1),MATCH("name",[1]characters!$1:$1,0)-MATCH("character_id",[1]characters!$1:$1,0)+1,FALSE)</f>
        <v>解放の絶唱 MEIKO</v>
      </c>
      <c r="H27" s="138">
        <v>3</v>
      </c>
      <c r="I27" s="138"/>
      <c r="J27" s="143"/>
      <c r="K27" s="140"/>
      <c r="L27" s="141"/>
      <c r="M27" s="141"/>
      <c r="N27" s="141"/>
      <c r="O27" s="141"/>
      <c r="P27" s="141"/>
      <c r="Q27" s="136"/>
      <c r="R27" s="142"/>
    </row>
    <row r="28" spans="1:18" ht="21" customHeight="1" x14ac:dyDescent="0.15">
      <c r="A28" s="175">
        <v>551</v>
      </c>
      <c r="B28" s="135" t="s">
        <v>181</v>
      </c>
      <c r="C28" s="136" t="s">
        <v>211</v>
      </c>
      <c r="D28" s="170" t="s">
        <v>422</v>
      </c>
      <c r="E28" s="137">
        <f t="shared" si="0"/>
        <v>9</v>
      </c>
      <c r="F28" s="176" t="s">
        <v>431</v>
      </c>
      <c r="G28" s="57" t="str">
        <f ca="1">VLOOKUP($A28,OFFSET([1]characters!$A$1,0,0,COUNTA([1]characters!$A:$A),MATCH("name",[1]characters!$1:$1,0)-MATCH("character_id",[1]characters!$1:$1,0)+1),MATCH("name",[1]characters!$1:$1,0)-MATCH("character_id",[1]characters!$1:$1,0)+1,FALSE)</f>
        <v>KAITO</v>
      </c>
      <c r="H28" s="138">
        <v>3</v>
      </c>
      <c r="I28" s="138"/>
      <c r="J28" s="143"/>
      <c r="K28" s="140"/>
      <c r="L28" s="141"/>
      <c r="M28" s="141"/>
      <c r="N28" s="141"/>
      <c r="O28" s="141"/>
      <c r="P28" s="141"/>
      <c r="Q28" s="136"/>
      <c r="R28" s="142"/>
    </row>
    <row r="29" spans="1:18" ht="21" customHeight="1" x14ac:dyDescent="0.15">
      <c r="A29" s="175">
        <v>552</v>
      </c>
      <c r="B29" s="135" t="s">
        <v>181</v>
      </c>
      <c r="C29" s="136" t="s">
        <v>212</v>
      </c>
      <c r="D29" s="170" t="s">
        <v>422</v>
      </c>
      <c r="E29" s="137">
        <f t="shared" si="0"/>
        <v>9</v>
      </c>
      <c r="F29" s="174" t="s">
        <v>430</v>
      </c>
      <c r="G29" s="57" t="str">
        <f ca="1">VLOOKUP($A29,OFFSET([1]characters!$A$1,0,0,COUNTA([1]characters!$A:$A),MATCH("name",[1]characters!$1:$1,0)-MATCH("character_id",[1]characters!$1:$1,0)+1),MATCH("name",[1]characters!$1:$1,0)-MATCH("character_id",[1]characters!$1:$1,0)+1,FALSE)</f>
        <v>愉悦の愛唱 KAITO</v>
      </c>
      <c r="H29" s="138">
        <v>3</v>
      </c>
      <c r="I29" s="138"/>
      <c r="J29" s="143"/>
      <c r="K29" s="140"/>
      <c r="L29" s="141"/>
      <c r="M29" s="141"/>
      <c r="N29" s="141"/>
      <c r="O29" s="141"/>
      <c r="P29" s="141"/>
      <c r="Q29" s="136"/>
      <c r="R29" s="142"/>
    </row>
    <row r="30" spans="1:18" ht="21" customHeight="1" x14ac:dyDescent="0.15">
      <c r="A30" s="175">
        <v>553</v>
      </c>
      <c r="B30" s="135" t="s">
        <v>181</v>
      </c>
      <c r="C30" s="136" t="s">
        <v>292</v>
      </c>
      <c r="D30" s="170" t="s">
        <v>424</v>
      </c>
      <c r="E30" s="137">
        <f t="shared" si="0"/>
        <v>8</v>
      </c>
      <c r="F30" s="146" t="s">
        <v>432</v>
      </c>
      <c r="G30" s="57" t="str">
        <f ca="1">VLOOKUP($A30,OFFSET([1]characters!$A$1,0,0,COUNTA([1]characters!$A:$A),MATCH("name",[1]characters!$1:$1,0)-MATCH("character_id",[1]characters!$1:$1,0)+1),MATCH("name",[1]characters!$1:$1,0)-MATCH("character_id",[1]characters!$1:$1,0)+1,FALSE)</f>
        <v>雪ミク2016</v>
      </c>
      <c r="H30" s="138">
        <v>3</v>
      </c>
      <c r="I30" s="138"/>
      <c r="J30" s="143"/>
      <c r="K30" s="140"/>
      <c r="L30" s="141"/>
      <c r="M30" s="141"/>
      <c r="N30" s="141"/>
      <c r="O30" s="141"/>
      <c r="P30" s="141"/>
      <c r="Q30" s="136"/>
      <c r="R30" s="142"/>
    </row>
    <row r="31" spans="1:18" ht="21" customHeight="1" x14ac:dyDescent="0.15">
      <c r="A31" s="175">
        <v>554</v>
      </c>
      <c r="B31" s="135" t="s">
        <v>181</v>
      </c>
      <c r="C31" s="136" t="s">
        <v>293</v>
      </c>
      <c r="D31" s="170" t="s">
        <v>424</v>
      </c>
      <c r="E31" s="137">
        <f t="shared" si="0"/>
        <v>8</v>
      </c>
      <c r="F31" s="146" t="s">
        <v>432</v>
      </c>
      <c r="G31" s="57" t="str">
        <f ca="1">VLOOKUP($A31,OFFSET([1]characters!$A$1,0,0,COUNTA([1]characters!$A:$A),MATCH("name",[1]characters!$1:$1,0)-MATCH("character_id",[1]characters!$1:$1,0)+1),MATCH("name",[1]characters!$1:$1,0)-MATCH("character_id",[1]characters!$1:$1,0)+1,FALSE)</f>
        <v>雪ミク&amp;ラビット・ユキネ2016</v>
      </c>
      <c r="H31" s="138">
        <v>3</v>
      </c>
      <c r="I31" s="138"/>
      <c r="J31" s="143"/>
      <c r="K31" s="140"/>
      <c r="L31" s="141"/>
      <c r="M31" s="141"/>
      <c r="N31" s="141"/>
      <c r="O31" s="141"/>
      <c r="P31" s="141"/>
      <c r="Q31" s="136"/>
      <c r="R31" s="142"/>
    </row>
    <row r="32" spans="1:18" ht="21" customHeight="1" x14ac:dyDescent="0.15">
      <c r="A32" s="175">
        <v>555</v>
      </c>
      <c r="B32" s="135" t="s">
        <v>181</v>
      </c>
      <c r="C32" s="136" t="s">
        <v>294</v>
      </c>
      <c r="D32" s="147" t="s">
        <v>462</v>
      </c>
      <c r="E32" s="137">
        <f t="shared" si="0"/>
        <v>16</v>
      </c>
      <c r="F32" s="146" t="s">
        <v>433</v>
      </c>
      <c r="G32" s="57" t="str">
        <f ca="1">VLOOKUP($A32,OFFSET([1]characters!$A$1,0,0,COUNTA([1]characters!$A:$A),MATCH("name",[1]characters!$1:$1,0)-MATCH("character_id",[1]characters!$1:$1,0)+1),MATCH("name",[1]characters!$1:$1,0)-MATCH("character_id",[1]characters!$1:$1,0)+1,FALSE)</f>
        <v>雪ミク2014</v>
      </c>
      <c r="H32" s="138">
        <v>3</v>
      </c>
      <c r="I32" s="138"/>
      <c r="J32" s="143"/>
      <c r="K32" s="140"/>
      <c r="L32" s="141"/>
      <c r="M32" s="141"/>
      <c r="N32" s="141"/>
      <c r="O32" s="141"/>
      <c r="P32" s="141"/>
      <c r="Q32" s="136"/>
      <c r="R32" s="142"/>
    </row>
    <row r="33" spans="1:18" ht="21" customHeight="1" x14ac:dyDescent="0.15">
      <c r="A33" s="175">
        <v>556</v>
      </c>
      <c r="B33" s="135" t="s">
        <v>181</v>
      </c>
      <c r="C33" s="136" t="s">
        <v>295</v>
      </c>
      <c r="D33" s="147" t="s">
        <v>462</v>
      </c>
      <c r="E33" s="137">
        <f t="shared" si="0"/>
        <v>16</v>
      </c>
      <c r="F33" s="146" t="s">
        <v>433</v>
      </c>
      <c r="G33" s="57" t="str">
        <f ca="1">VLOOKUP($A33,OFFSET([1]characters!$A$1,0,0,COUNTA([1]characters!$A:$A),MATCH("name",[1]characters!$1:$1,0)-MATCH("character_id",[1]characters!$1:$1,0)+1),MATCH("name",[1]characters!$1:$1,0)-MATCH("character_id",[1]characters!$1:$1,0)+1,FALSE)</f>
        <v>雪ミク&amp;ラビットユキネ2014</v>
      </c>
      <c r="H33" s="138">
        <v>3</v>
      </c>
      <c r="I33" s="138"/>
      <c r="J33" s="143"/>
      <c r="K33" s="140"/>
      <c r="L33" s="141"/>
      <c r="M33" s="141"/>
      <c r="N33" s="141"/>
      <c r="O33" s="141"/>
      <c r="P33" s="141"/>
      <c r="Q33" s="136"/>
      <c r="R33" s="142"/>
    </row>
    <row r="34" spans="1:18" ht="21" customHeight="1" x14ac:dyDescent="0.15">
      <c r="A34" s="175">
        <v>557</v>
      </c>
      <c r="B34" s="135" t="s">
        <v>181</v>
      </c>
      <c r="C34" s="136" t="s">
        <v>296</v>
      </c>
      <c r="D34" s="170" t="s">
        <v>425</v>
      </c>
      <c r="E34" s="137">
        <f t="shared" si="0"/>
        <v>8</v>
      </c>
      <c r="F34" s="148" t="s">
        <v>435</v>
      </c>
      <c r="G34" s="57" t="str">
        <f ca="1">VLOOKUP($A34,OFFSET([1]characters!$A$1,0,0,COUNTA([1]characters!$A:$A),MATCH("name",[1]characters!$1:$1,0)-MATCH("character_id",[1]characters!$1:$1,0)+1),MATCH("name",[1]characters!$1:$1,0)-MATCH("character_id",[1]characters!$1:$1,0)+1,FALSE)</f>
        <v>ラビット・ユキネ</v>
      </c>
      <c r="H34" s="138">
        <v>3</v>
      </c>
      <c r="I34" s="138"/>
      <c r="J34" s="143"/>
      <c r="K34" s="140"/>
      <c r="L34" s="141"/>
      <c r="M34" s="141"/>
      <c r="N34" s="141"/>
      <c r="O34" s="141"/>
      <c r="P34" s="141"/>
      <c r="Q34" s="136"/>
      <c r="R34" s="142"/>
    </row>
    <row r="35" spans="1:18" ht="21" customHeight="1" x14ac:dyDescent="0.15">
      <c r="A35" s="175">
        <v>558</v>
      </c>
      <c r="B35" s="135" t="s">
        <v>181</v>
      </c>
      <c r="C35" s="136" t="s">
        <v>297</v>
      </c>
      <c r="D35" s="170" t="s">
        <v>425</v>
      </c>
      <c r="E35" s="137">
        <f t="shared" si="0"/>
        <v>8</v>
      </c>
      <c r="F35" s="148" t="s">
        <v>434</v>
      </c>
      <c r="G35" s="57" t="str">
        <f ca="1">VLOOKUP($A35,OFFSET([1]characters!$A$1,0,0,COUNTA([1]characters!$A:$A),MATCH("name",[1]characters!$1:$1,0)-MATCH("character_id",[1]characters!$1:$1,0)+1),MATCH("name",[1]characters!$1:$1,0)-MATCH("character_id",[1]characters!$1:$1,0)+1,FALSE)</f>
        <v>雪原の超躍 ラビット・ユキネ</v>
      </c>
      <c r="H35" s="138">
        <v>3</v>
      </c>
      <c r="I35" s="138"/>
      <c r="J35" s="143"/>
      <c r="K35" s="140"/>
      <c r="L35" s="141"/>
      <c r="M35" s="141"/>
      <c r="N35" s="141"/>
      <c r="O35" s="141"/>
      <c r="P35" s="141"/>
      <c r="Q35" s="136"/>
      <c r="R35" s="142"/>
    </row>
    <row r="36" spans="1:18" ht="21" customHeight="1" x14ac:dyDescent="0.15">
      <c r="A36" s="175">
        <v>559</v>
      </c>
      <c r="B36" s="135" t="s">
        <v>181</v>
      </c>
      <c r="C36" s="136" t="s">
        <v>298</v>
      </c>
      <c r="D36" s="170" t="s">
        <v>423</v>
      </c>
      <c r="E36" s="137">
        <f t="shared" si="0"/>
        <v>8</v>
      </c>
      <c r="F36" s="176" t="s">
        <v>436</v>
      </c>
      <c r="G36" s="57" t="str">
        <f ca="1">VLOOKUP($A36,OFFSET([1]characters!$A$1,0,0,COUNTA([1]characters!$A:$A),MATCH("name",[1]characters!$1:$1,0)-MATCH("character_id",[1]characters!$1:$1,0)+1),MATCH("name",[1]characters!$1:$1,0)-MATCH("character_id",[1]characters!$1:$1,0)+1,FALSE)</f>
        <v>白銀の滑光 ラビット・ユキネ</v>
      </c>
      <c r="H36" s="138">
        <v>3</v>
      </c>
      <c r="I36" s="138"/>
      <c r="J36" s="143"/>
      <c r="K36" s="140"/>
      <c r="L36" s="141"/>
      <c r="M36" s="141"/>
      <c r="N36" s="141"/>
      <c r="O36" s="141"/>
      <c r="P36" s="141"/>
      <c r="Q36" s="136"/>
      <c r="R36" s="142"/>
    </row>
  </sheetData>
  <sheetProtection selectLockedCells="1" selectUnlockedCells="1"/>
  <autoFilter ref="A1:J1"/>
  <phoneticPr fontId="22"/>
  <conditionalFormatting sqref="E2:E36">
    <cfRule type="cellIs" dxfId="25" priority="1" operator="greaterThan">
      <formula>41</formula>
    </cfRule>
  </conditionalFormatting>
  <printOptions gridLines="1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0000FF"/>
  </sheetPr>
  <dimension ref="A1:K93"/>
  <sheetViews>
    <sheetView topLeftCell="A42" workbookViewId="0">
      <selection activeCell="B65" sqref="B65"/>
    </sheetView>
  </sheetViews>
  <sheetFormatPr baseColWidth="12" defaultRowHeight="15" x14ac:dyDescent="0.15"/>
  <cols>
    <col min="7" max="7" width="25.5" customWidth="1"/>
  </cols>
  <sheetData>
    <row r="1" spans="1:7" x14ac:dyDescent="0.15">
      <c r="A1" s="116" t="s">
        <v>365</v>
      </c>
      <c r="B1" s="149" t="s">
        <v>366</v>
      </c>
      <c r="C1" s="116" t="s">
        <v>367</v>
      </c>
      <c r="D1" s="149" t="s">
        <v>368</v>
      </c>
      <c r="E1" s="113" t="s">
        <v>369</v>
      </c>
      <c r="F1" s="116" t="s">
        <v>370</v>
      </c>
      <c r="G1" s="113" t="s">
        <v>371</v>
      </c>
    </row>
    <row r="2" spans="1:7" x14ac:dyDescent="0.15">
      <c r="A2" s="150">
        <v>525</v>
      </c>
      <c r="B2" s="112" t="str">
        <f>VLOOKUP(A2,[2]characters!$A:$C,3,FALSE)</f>
        <v>雪ミク2016NEGI</v>
      </c>
      <c r="C2" s="154" t="s">
        <v>374</v>
      </c>
      <c r="D2" s="151" t="str">
        <f>A2&amp;+(COUNTIF(A$2:A2,A2)-1)</f>
        <v>5250</v>
      </c>
      <c r="E2" s="138" t="s">
        <v>372</v>
      </c>
      <c r="F2" s="138" t="str">
        <f>VLOOKUP(D2,unit_serifs_i18n!C:F,3,FALSE)</f>
        <v>kumo</v>
      </c>
      <c r="G2" s="138" t="str">
        <f>VLOOKUP(D2,unit_serifs_i18n!C:F,4,FALSE)</f>
        <v>盛り上がっていくよー！</v>
      </c>
    </row>
    <row r="3" spans="1:7" x14ac:dyDescent="0.15">
      <c r="A3" s="153">
        <v>525</v>
      </c>
      <c r="B3" s="112" t="str">
        <f>VLOOKUP(A3,[2]characters!$A:$C,3,FALSE)</f>
        <v>雪ミク2016NEGI</v>
      </c>
      <c r="C3" s="154" t="s">
        <v>373</v>
      </c>
      <c r="D3" s="151" t="str">
        <f>A3&amp;+(COUNTIF(A$2:A3,A3)-1)</f>
        <v>5251</v>
      </c>
      <c r="E3" s="138" t="s">
        <v>372</v>
      </c>
      <c r="F3" s="138" t="str">
        <f>VLOOKUP(D3,unit_serifs_i18n!C:F,3,FALSE)</f>
        <v>kumo</v>
      </c>
      <c r="G3" s="138" t="str">
        <f>VLOOKUP(D3,unit_serifs_i18n!C:F,4,FALSE)</f>
        <v>いっくよー！！</v>
      </c>
    </row>
    <row r="4" spans="1:7" x14ac:dyDescent="0.15">
      <c r="A4" s="153">
        <v>525</v>
      </c>
      <c r="B4" s="112" t="str">
        <f>VLOOKUP(A4,[2]characters!$A:$C,3,FALSE)</f>
        <v>雪ミク2016NEGI</v>
      </c>
      <c r="C4" s="154" t="s">
        <v>373</v>
      </c>
      <c r="D4" s="151" t="str">
        <f>A4&amp;+(COUNTIF(A$2:A4,A4)-1)</f>
        <v>5252</v>
      </c>
      <c r="E4" s="138" t="s">
        <v>372</v>
      </c>
      <c r="F4" s="138" t="str">
        <f>VLOOKUP(D4,unit_serifs_i18n!C:F,3,FALSE)</f>
        <v>kumo</v>
      </c>
      <c r="G4" s="138" t="str">
        <f>VLOOKUP(D4,unit_serifs_i18n!C:F,4,FALSE)</f>
        <v>早く早くっ♪</v>
      </c>
    </row>
    <row r="5" spans="1:7" x14ac:dyDescent="0.15">
      <c r="A5" s="153">
        <v>526</v>
      </c>
      <c r="B5" s="112" t="str">
        <f>VLOOKUP(A5,[2]characters!$A:$C,3,FALSE)</f>
        <v>雪ミク&amp;ラビット・ユキネ2016NEGI</v>
      </c>
      <c r="C5" s="154" t="s">
        <v>374</v>
      </c>
      <c r="D5" s="151" t="str">
        <f>A5&amp;+(COUNTIF(A$2:A5,A5)-1)</f>
        <v>5260</v>
      </c>
      <c r="E5" s="138" t="s">
        <v>372</v>
      </c>
      <c r="F5" s="138" t="str">
        <f>VLOOKUP(D5,unit_serifs_i18n!C:F,3,FALSE)</f>
        <v>kumo</v>
      </c>
      <c r="G5" s="138" t="str">
        <f>VLOOKUP(D5,unit_serifs_i18n!C:F,4,FALSE)</f>
        <v>みんなで歌おっ！</v>
      </c>
    </row>
    <row r="6" spans="1:7" x14ac:dyDescent="0.15">
      <c r="A6" s="153">
        <v>526</v>
      </c>
      <c r="B6" s="112" t="str">
        <f>VLOOKUP(A6,[2]characters!$A:$C,3,FALSE)</f>
        <v>雪ミク&amp;ラビット・ユキネ2016NEGI</v>
      </c>
      <c r="C6" s="154" t="s">
        <v>373</v>
      </c>
      <c r="D6" s="151" t="str">
        <f>A6&amp;+(COUNTIF(A$2:A6,A6)-1)</f>
        <v>5261</v>
      </c>
      <c r="E6" s="138" t="s">
        <v>372</v>
      </c>
      <c r="F6" s="138" t="str">
        <f>VLOOKUP(D6,unit_serifs_i18n!C:F,3,FALSE)</f>
        <v>kumo</v>
      </c>
      <c r="G6" s="138" t="str">
        <f>VLOOKUP(D6,unit_serifs_i18n!C:F,4,FALSE)</f>
        <v>次、行ってみよー♪</v>
      </c>
    </row>
    <row r="7" spans="1:7" x14ac:dyDescent="0.15">
      <c r="A7" s="153">
        <v>526</v>
      </c>
      <c r="B7" s="155" t="str">
        <f>VLOOKUP(A7,[2]characters!$A:$C,3,FALSE)</f>
        <v>雪ミク&amp;ラビット・ユキネ2016NEGI</v>
      </c>
      <c r="C7" s="156" t="s">
        <v>373</v>
      </c>
      <c r="D7" s="157" t="str">
        <f>D3</f>
        <v>5251</v>
      </c>
      <c r="E7" s="158" t="s">
        <v>372</v>
      </c>
      <c r="F7" s="158" t="str">
        <f>VLOOKUP(D7,unit_serifs_i18n!C:F,3,FALSE)</f>
        <v>kumo</v>
      </c>
      <c r="G7" s="158" t="str">
        <f>VLOOKUP(D7,unit_serifs_i18n!C:F,4,FALSE)</f>
        <v>いっくよー！！</v>
      </c>
    </row>
    <row r="8" spans="1:7" x14ac:dyDescent="0.15">
      <c r="A8" s="153">
        <v>526</v>
      </c>
      <c r="B8" s="155" t="str">
        <f>VLOOKUP(A8,[2]characters!$A:$C,3,FALSE)</f>
        <v>雪ミク&amp;ラビット・ユキネ2016NEGI</v>
      </c>
      <c r="C8" s="156" t="s">
        <v>373</v>
      </c>
      <c r="D8" s="157" t="str">
        <f>D4</f>
        <v>5252</v>
      </c>
      <c r="E8" s="158" t="s">
        <v>372</v>
      </c>
      <c r="F8" s="158" t="str">
        <f>VLOOKUP(D8,unit_serifs_i18n!C:F,3,FALSE)</f>
        <v>kumo</v>
      </c>
      <c r="G8" s="158" t="str">
        <f>VLOOKUP(D8,unit_serifs_i18n!C:F,4,FALSE)</f>
        <v>早く早くっ♪</v>
      </c>
    </row>
    <row r="9" spans="1:7" x14ac:dyDescent="0.15">
      <c r="A9" s="153">
        <v>527</v>
      </c>
      <c r="B9" s="112" t="str">
        <f>VLOOKUP(A9,[2]characters!$A:$C,3,FALSE)</f>
        <v>初音ミクV3</v>
      </c>
      <c r="C9" s="154" t="s">
        <v>374</v>
      </c>
      <c r="D9" s="151" t="str">
        <f>A9&amp;+(COUNTIF(A$2:A9,A9)-1)</f>
        <v>5270</v>
      </c>
      <c r="E9" s="138" t="s">
        <v>372</v>
      </c>
      <c r="F9" s="138" t="str">
        <f>VLOOKUP(D9,unit_serifs_i18n!C:F,3,FALSE)</f>
        <v>maru</v>
      </c>
      <c r="G9" s="138" t="str">
        <f>VLOOKUP(D9,unit_serifs_i18n!C:F,4,FALSE)</f>
        <v>ワタシの声…届きますか？</v>
      </c>
    </row>
    <row r="10" spans="1:7" x14ac:dyDescent="0.15">
      <c r="A10" s="153">
        <v>527</v>
      </c>
      <c r="B10" s="112" t="str">
        <f>VLOOKUP(A10,[2]characters!$A:$C,3,FALSE)</f>
        <v>初音ミクV3</v>
      </c>
      <c r="C10" s="154" t="s">
        <v>373</v>
      </c>
      <c r="D10" s="151" t="str">
        <f>A10&amp;+(COUNTIF(A$2:A10,A10)-1)</f>
        <v>5271</v>
      </c>
      <c r="E10" s="138" t="s">
        <v>372</v>
      </c>
      <c r="F10" s="138" t="str">
        <f>VLOOKUP(D10,unit_serifs_i18n!C:F,3,FALSE)</f>
        <v>maru</v>
      </c>
      <c r="G10" s="138" t="str">
        <f>VLOOKUP(D10,unit_serifs_i18n!C:F,4,FALSE)</f>
        <v>いきます…！</v>
      </c>
    </row>
    <row r="11" spans="1:7" x14ac:dyDescent="0.15">
      <c r="A11" s="153">
        <v>527</v>
      </c>
      <c r="B11" s="112" t="str">
        <f>VLOOKUP(A11,[2]characters!$A:$C,3,FALSE)</f>
        <v>初音ミクV3</v>
      </c>
      <c r="C11" s="154" t="s">
        <v>373</v>
      </c>
      <c r="D11" s="151" t="str">
        <f>A11&amp;+(COUNTIF(A$2:A11,A11)-1)</f>
        <v>5272</v>
      </c>
      <c r="E11" s="138" t="s">
        <v>372</v>
      </c>
      <c r="F11" s="138" t="str">
        <f>VLOOKUP(D11,unit_serifs_i18n!C:F,3,FALSE)</f>
        <v>maru</v>
      </c>
      <c r="G11" s="138" t="str">
        <f>VLOOKUP(D11,unit_serifs_i18n!C:F,4,FALSE)</f>
        <v>力に変えます…！</v>
      </c>
    </row>
    <row r="12" spans="1:7" x14ac:dyDescent="0.15">
      <c r="A12" s="24">
        <v>528</v>
      </c>
      <c r="B12" s="112" t="str">
        <f>VLOOKUP(A12,[2]characters!$A:$C,3,FALSE)</f>
        <v>暴奏の長葱 初音ミクV3</v>
      </c>
      <c r="C12" s="154" t="s">
        <v>374</v>
      </c>
      <c r="D12" s="151" t="str">
        <f>A12&amp;+(COUNTIF(A$2:A12,A12)-1)</f>
        <v>5280</v>
      </c>
      <c r="E12" s="138" t="s">
        <v>372</v>
      </c>
      <c r="F12" s="138" t="str">
        <f>VLOOKUP(D12,unit_serifs_i18n!C:F,3,FALSE)</f>
        <v>maru</v>
      </c>
      <c r="G12" s="138" t="str">
        <f>VLOOKUP(D12,unit_serifs_i18n!C:F,4,FALSE)</f>
        <v>ワタシの歌よ…響け…！</v>
      </c>
    </row>
    <row r="13" spans="1:7" x14ac:dyDescent="0.15">
      <c r="A13" s="24">
        <v>528</v>
      </c>
      <c r="B13" s="112" t="str">
        <f>VLOOKUP(A13,[2]characters!$A:$C,3,FALSE)</f>
        <v>暴奏の長葱 初音ミクV3</v>
      </c>
      <c r="C13" s="154" t="s">
        <v>373</v>
      </c>
      <c r="D13" s="151" t="str">
        <f>A13&amp;+(COUNTIF(A$2:A13,A13)-1)</f>
        <v>5281</v>
      </c>
      <c r="E13" s="138" t="s">
        <v>372</v>
      </c>
      <c r="F13" s="138" t="str">
        <f>VLOOKUP(D13,unit_serifs_i18n!C:F,3,FALSE)</f>
        <v>maru</v>
      </c>
      <c r="G13" s="138" t="str">
        <f>VLOOKUP(D13,unit_serifs_i18n!C:F,4,FALSE)</f>
        <v>もっと鋭く…！</v>
      </c>
    </row>
    <row r="14" spans="1:7" x14ac:dyDescent="0.15">
      <c r="A14" s="159">
        <v>528</v>
      </c>
      <c r="B14" s="160" t="str">
        <f>VLOOKUP(A14,[2]characters!$A:$C,3,FALSE)</f>
        <v>暴奏の長葱 初音ミクV3</v>
      </c>
      <c r="C14" s="161" t="s">
        <v>373</v>
      </c>
      <c r="D14" s="162" t="str">
        <f>D10</f>
        <v>5271</v>
      </c>
      <c r="E14" s="163" t="s">
        <v>372</v>
      </c>
      <c r="F14" s="163" t="str">
        <f>VLOOKUP(D14,unit_serifs_i18n!C:F,3,FALSE)</f>
        <v>maru</v>
      </c>
      <c r="G14" s="163" t="str">
        <f>VLOOKUP(D14,unit_serifs_i18n!C:F,4,FALSE)</f>
        <v>いきます…！</v>
      </c>
    </row>
    <row r="15" spans="1:7" x14ac:dyDescent="0.15">
      <c r="A15" s="159">
        <v>528</v>
      </c>
      <c r="B15" s="160" t="str">
        <f>VLOOKUP(A15,[2]characters!$A:$C,3,FALSE)</f>
        <v>暴奏の長葱 初音ミクV3</v>
      </c>
      <c r="C15" s="161" t="s">
        <v>373</v>
      </c>
      <c r="D15" s="162" t="str">
        <f>D11</f>
        <v>5272</v>
      </c>
      <c r="E15" s="163" t="s">
        <v>372</v>
      </c>
      <c r="F15" s="163" t="str">
        <f>VLOOKUP(D15,unit_serifs_i18n!C:F,3,FALSE)</f>
        <v>maru</v>
      </c>
      <c r="G15" s="163" t="str">
        <f>VLOOKUP(D15,unit_serifs_i18n!C:F,4,FALSE)</f>
        <v>力に変えます…！</v>
      </c>
    </row>
    <row r="16" spans="1:7" x14ac:dyDescent="0.15">
      <c r="A16" s="153">
        <v>537</v>
      </c>
      <c r="B16" s="112" t="str">
        <f>VLOOKUP(A16,[2]characters!$A:$C,3,FALSE)</f>
        <v>冬服ハッピー100</v>
      </c>
      <c r="C16" s="154" t="s">
        <v>387</v>
      </c>
      <c r="D16" s="151" t="str">
        <f>A16&amp;+(COUNTIF(A$2:A16,A16)-1)</f>
        <v>5370</v>
      </c>
      <c r="E16" s="138" t="s">
        <v>180</v>
      </c>
      <c r="F16" s="138" t="str">
        <f>VLOOKUP(D16,unit_serifs_i18n!C:F,3,FALSE)</f>
        <v>kumo</v>
      </c>
      <c r="G16" s="138" t="str">
        <f>VLOOKUP(D16,unit_serifs_i18n!C:F,4,FALSE)</f>
        <v>ハッピー♪</v>
      </c>
    </row>
    <row r="17" spans="1:11" x14ac:dyDescent="0.15">
      <c r="A17" s="165">
        <v>537</v>
      </c>
      <c r="B17" s="112" t="str">
        <f>VLOOKUP(A17,[2]characters!$A:$C,3,FALSE)</f>
        <v>冬服ハッピー100</v>
      </c>
      <c r="C17" s="154" t="s">
        <v>373</v>
      </c>
      <c r="D17" s="151" t="str">
        <f>A17&amp;+(COUNTIF(A$2:A17,A17)-1)</f>
        <v>5371</v>
      </c>
      <c r="E17" s="138" t="s">
        <v>180</v>
      </c>
      <c r="F17" s="138" t="str">
        <f>VLOOKUP(D17,unit_serifs_i18n!C:F,3,FALSE)</f>
        <v>kumo</v>
      </c>
      <c r="G17" s="138" t="str">
        <f>VLOOKUP(D17,unit_serifs_i18n!C:F,4,FALSE)</f>
        <v>Happy♪</v>
      </c>
    </row>
    <row r="18" spans="1:11" x14ac:dyDescent="0.15">
      <c r="A18" s="165">
        <v>537</v>
      </c>
      <c r="B18" s="112" t="str">
        <f>VLOOKUP(A18,[2]characters!$A:$C,3,FALSE)</f>
        <v>冬服ハッピー100</v>
      </c>
      <c r="C18" s="154" t="s">
        <v>373</v>
      </c>
      <c r="D18" s="151" t="str">
        <f>A18&amp;+(COUNTIF(A$2:A18,A18)-1)</f>
        <v>5372</v>
      </c>
      <c r="E18" s="138" t="s">
        <v>180</v>
      </c>
      <c r="F18" s="138" t="str">
        <f>VLOOKUP(D18,unit_serifs_i18n!C:F,3,FALSE)</f>
        <v>kumo</v>
      </c>
      <c r="G18" s="138" t="str">
        <f>VLOOKUP(D18,unit_serifs_i18n!C:F,4,FALSE)</f>
        <v>ハッピー＊</v>
      </c>
    </row>
    <row r="19" spans="1:11" x14ac:dyDescent="0.15">
      <c r="A19" s="165">
        <v>538</v>
      </c>
      <c r="B19" s="112" t="str">
        <f>VLOOKUP(A19,[2]characters!$A:$C,3,FALSE)</f>
        <v>冬服ニムダ</v>
      </c>
      <c r="C19" s="154" t="s">
        <v>388</v>
      </c>
      <c r="D19" s="151" t="str">
        <f>A19&amp;+(COUNTIF(A$2:A19,A19)-1)</f>
        <v>5380</v>
      </c>
      <c r="E19" s="138" t="s">
        <v>180</v>
      </c>
      <c r="F19" s="138" t="str">
        <f>VLOOKUP(D19,unit_serifs_i18n!C:F,3,FALSE)</f>
        <v>kumo</v>
      </c>
      <c r="G19" s="138" t="str">
        <f>VLOOKUP(D19,unit_serifs_i18n!C:F,4,FALSE)</f>
        <v>みんなで集まればあったかいよ！</v>
      </c>
    </row>
    <row r="20" spans="1:11" x14ac:dyDescent="0.15">
      <c r="A20" s="165">
        <v>538</v>
      </c>
      <c r="B20" s="112" t="str">
        <f>VLOOKUP(A20,[2]characters!$A:$C,3,FALSE)</f>
        <v>冬服ニムダ</v>
      </c>
      <c r="C20" s="154" t="s">
        <v>389</v>
      </c>
      <c r="D20" s="151" t="str">
        <f>A20&amp;+(COUNTIF(A$2:A20,A20)-1)</f>
        <v>5381</v>
      </c>
      <c r="E20" s="138" t="s">
        <v>180</v>
      </c>
      <c r="F20" s="138" t="str">
        <f>VLOOKUP(D20,unit_serifs_i18n!C:F,3,FALSE)</f>
        <v>kumo</v>
      </c>
      <c r="G20" s="138" t="str">
        <f>VLOOKUP(D20,unit_serifs_i18n!C:F,4,FALSE)</f>
        <v>バチッっとするよ！</v>
      </c>
    </row>
    <row r="21" spans="1:11" x14ac:dyDescent="0.15">
      <c r="A21" s="165">
        <v>538</v>
      </c>
      <c r="B21" s="112" t="str">
        <f>VLOOKUP(A21,[2]characters!$A:$C,3,FALSE)</f>
        <v>冬服ニムダ</v>
      </c>
      <c r="C21" s="154" t="s">
        <v>373</v>
      </c>
      <c r="D21" s="151" t="str">
        <f>A21&amp;+(COUNTIF(A$2:A21,A21)-1)</f>
        <v>5382</v>
      </c>
      <c r="E21" s="138" t="s">
        <v>180</v>
      </c>
      <c r="F21" s="138" t="str">
        <f>VLOOKUP(D21,unit_serifs_i18n!C:F,3,FALSE)</f>
        <v>giza</v>
      </c>
      <c r="G21" s="138" t="str">
        <f>VLOOKUP(D21,unit_serifs_i18n!C:F,4,FALSE)</f>
        <v>静電気に気をつけて！</v>
      </c>
    </row>
    <row r="22" spans="1:11" x14ac:dyDescent="0.15">
      <c r="A22" s="24">
        <v>539</v>
      </c>
      <c r="B22" s="112" t="str">
        <f>VLOOKUP(A22,[2]characters!$A:$C,3,FALSE)</f>
        <v>初音ミク・アペンド</v>
      </c>
      <c r="C22" s="154" t="s">
        <v>375</v>
      </c>
      <c r="D22" s="151" t="str">
        <f>A22&amp;+(COUNTIF(A$2:A22,A22)-1)</f>
        <v>5390</v>
      </c>
      <c r="E22" s="138" t="s">
        <v>372</v>
      </c>
      <c r="F22" s="138" t="str">
        <f>VLOOKUP(D22,unit_serifs_i18n!C:F,3,FALSE)</f>
        <v>giza</v>
      </c>
      <c r="G22" s="138" t="str">
        <f>VLOOKUP(D22,unit_serifs_i18n!C:F,4,FALSE)</f>
        <v>私の歌声なら！</v>
      </c>
    </row>
    <row r="23" spans="1:11" x14ac:dyDescent="0.15">
      <c r="A23" s="24">
        <v>539</v>
      </c>
      <c r="B23" s="112" t="str">
        <f>VLOOKUP(A23,[2]characters!$A:$C,3,FALSE)</f>
        <v>初音ミク・アペンド</v>
      </c>
      <c r="C23" s="154" t="s">
        <v>373</v>
      </c>
      <c r="D23" s="151" t="str">
        <f>A23&amp;+(COUNTIF(A$2:A23,A23)-1)</f>
        <v>5391</v>
      </c>
      <c r="E23" s="138" t="s">
        <v>372</v>
      </c>
      <c r="F23" s="138" t="str">
        <f>VLOOKUP(D23,unit_serifs_i18n!C:F,3,FALSE)</f>
        <v>giza</v>
      </c>
      <c r="G23" s="138" t="str">
        <f>VLOOKUP(D23,unit_serifs_i18n!C:F,4,FALSE)</f>
        <v>いきます！</v>
      </c>
    </row>
    <row r="24" spans="1:11" x14ac:dyDescent="0.15">
      <c r="A24" s="24">
        <v>539</v>
      </c>
      <c r="B24" s="112" t="str">
        <f>VLOOKUP(A24,[2]characters!$A:$C,3,FALSE)</f>
        <v>初音ミク・アペンド</v>
      </c>
      <c r="C24" s="154" t="s">
        <v>373</v>
      </c>
      <c r="D24" s="151" t="str">
        <f>A24&amp;+(COUNTIF(A$2:A24,A24)-1)</f>
        <v>5392</v>
      </c>
      <c r="E24" s="138" t="s">
        <v>372</v>
      </c>
      <c r="F24" s="138" t="str">
        <f>VLOOKUP(D24,unit_serifs_i18n!C:F,3,FALSE)</f>
        <v>maru</v>
      </c>
      <c r="G24" s="138" t="str">
        <f>VLOOKUP(D24,unit_serifs_i18n!C:F,4,FALSE)</f>
        <v>音域を広げます！</v>
      </c>
    </row>
    <row r="25" spans="1:11" x14ac:dyDescent="0.15">
      <c r="A25" s="24">
        <v>540</v>
      </c>
      <c r="B25" s="112" t="str">
        <f>VLOOKUP(A25,[2]characters!$A:$C,3,FALSE)</f>
        <v>来訪の歌姫 初音ミク・アペンド</v>
      </c>
      <c r="C25" s="154" t="s">
        <v>374</v>
      </c>
      <c r="D25" s="151" t="str">
        <f>A25&amp;+(COUNTIF(A$2:A25,A25)-1)</f>
        <v>5400</v>
      </c>
      <c r="E25" s="138" t="s">
        <v>372</v>
      </c>
      <c r="F25" s="138" t="str">
        <f>VLOOKUP(D25,unit_serifs_i18n!C:F,3,FALSE)</f>
        <v>giza</v>
      </c>
      <c r="G25" s="138" t="str">
        <f>VLOOKUP(D25,unit_serifs_i18n!C:F,4,FALSE)</f>
        <v>私の歌に任せてください！</v>
      </c>
      <c r="J25" s="166"/>
      <c r="K25" s="167"/>
    </row>
    <row r="26" spans="1:11" x14ac:dyDescent="0.15">
      <c r="A26" s="24">
        <v>540</v>
      </c>
      <c r="B26" s="112" t="str">
        <f>VLOOKUP(A26,[2]characters!$A:$C,3,FALSE)</f>
        <v>来訪の歌姫 初音ミク・アペンド</v>
      </c>
      <c r="C26" s="154" t="s">
        <v>373</v>
      </c>
      <c r="D26" s="151" t="str">
        <f>A26&amp;+(COUNTIF(A$2:A26,A26)-1)</f>
        <v>5401</v>
      </c>
      <c r="E26" s="138" t="s">
        <v>372</v>
      </c>
      <c r="F26" s="138" t="str">
        <f>VLOOKUP(D26,unit_serifs_i18n!C:F,3,FALSE)</f>
        <v>giza</v>
      </c>
      <c r="G26" s="138" t="str">
        <f>VLOOKUP(D26,unit_serifs_i18n!C:F,4,FALSE)</f>
        <v>歌に力を！</v>
      </c>
      <c r="J26" s="166"/>
      <c r="K26" s="167"/>
    </row>
    <row r="27" spans="1:11" x14ac:dyDescent="0.15">
      <c r="A27" s="159">
        <v>540</v>
      </c>
      <c r="B27" s="160" t="str">
        <f>VLOOKUP(A27,[2]characters!$A:$C,3,FALSE)</f>
        <v>来訪の歌姫 初音ミク・アペンド</v>
      </c>
      <c r="C27" s="161" t="s">
        <v>373</v>
      </c>
      <c r="D27" s="162" t="str">
        <f>D23</f>
        <v>5391</v>
      </c>
      <c r="E27" s="163" t="s">
        <v>372</v>
      </c>
      <c r="F27" s="163" t="str">
        <f>VLOOKUP(D27,unit_serifs_i18n!C:F,3,FALSE)</f>
        <v>giza</v>
      </c>
      <c r="G27" s="163" t="str">
        <f>VLOOKUP(D27,unit_serifs_i18n!C:F,4,FALSE)</f>
        <v>いきます！</v>
      </c>
      <c r="J27" s="166"/>
      <c r="K27" s="167"/>
    </row>
    <row r="28" spans="1:11" x14ac:dyDescent="0.15">
      <c r="A28" s="159">
        <v>540</v>
      </c>
      <c r="B28" s="160" t="str">
        <f>VLOOKUP(A28,[2]characters!$A:$C,3,FALSE)</f>
        <v>来訪の歌姫 初音ミク・アペンド</v>
      </c>
      <c r="C28" s="161" t="s">
        <v>373</v>
      </c>
      <c r="D28" s="162" t="str">
        <f>D24</f>
        <v>5392</v>
      </c>
      <c r="E28" s="163" t="s">
        <v>372</v>
      </c>
      <c r="F28" s="163" t="str">
        <f>VLOOKUP(D28,unit_serifs_i18n!C:F,3,FALSE)</f>
        <v>maru</v>
      </c>
      <c r="G28" s="163" t="str">
        <f>VLOOKUP(D28,unit_serifs_i18n!C:F,4,FALSE)</f>
        <v>音域を広げます！</v>
      </c>
      <c r="J28" s="166"/>
      <c r="K28" s="167"/>
    </row>
    <row r="29" spans="1:11" x14ac:dyDescent="0.15">
      <c r="A29" s="24">
        <v>541</v>
      </c>
      <c r="B29" s="112" t="str">
        <f>VLOOKUP(A29,[2]characters!$A:$C,3,FALSE)</f>
        <v>初音ミク</v>
      </c>
      <c r="C29" s="154" t="s">
        <v>374</v>
      </c>
      <c r="D29" s="151" t="str">
        <f>A29&amp;+(COUNTIF(A$2:A29,A29)-1)</f>
        <v>5410</v>
      </c>
      <c r="E29" s="138" t="s">
        <v>372</v>
      </c>
      <c r="F29" s="138" t="str">
        <f>VLOOKUP(D29,unit_serifs_i18n!C:F,3,FALSE)</f>
        <v>maru</v>
      </c>
      <c r="G29" s="138" t="str">
        <f>VLOOKUP(D29,unit_serifs_i18n!C:F,4,FALSE)</f>
        <v>わたしの歌声で！</v>
      </c>
      <c r="J29" s="166"/>
      <c r="K29" s="167"/>
    </row>
    <row r="30" spans="1:11" x14ac:dyDescent="0.15">
      <c r="A30" s="24">
        <v>541</v>
      </c>
      <c r="B30" s="112" t="str">
        <f>VLOOKUP(A30,[2]characters!$A:$C,3,FALSE)</f>
        <v>初音ミク</v>
      </c>
      <c r="C30" s="154" t="s">
        <v>373</v>
      </c>
      <c r="D30" s="151" t="str">
        <f>A30&amp;+(COUNTIF(A$2:A30,A30)-1)</f>
        <v>5411</v>
      </c>
      <c r="E30" s="138" t="s">
        <v>372</v>
      </c>
      <c r="F30" s="138" t="str">
        <f>VLOOKUP(D30,unit_serifs_i18n!C:F,3,FALSE)</f>
        <v>giza</v>
      </c>
      <c r="G30" s="138" t="str">
        <f>VLOOKUP(D30,unit_serifs_i18n!C:F,4,FALSE)</f>
        <v>いっきますよ！</v>
      </c>
      <c r="J30" s="166"/>
      <c r="K30" s="167"/>
    </row>
    <row r="31" spans="1:11" x14ac:dyDescent="0.15">
      <c r="A31" s="24">
        <v>541</v>
      </c>
      <c r="B31" s="112" t="str">
        <f>VLOOKUP(A31,[2]characters!$A:$C,3,FALSE)</f>
        <v>初音ミク</v>
      </c>
      <c r="C31" s="154" t="s">
        <v>373</v>
      </c>
      <c r="D31" s="151" t="str">
        <f>A31&amp;+(COUNTIF(A$2:A31,A31)-1)</f>
        <v>5412</v>
      </c>
      <c r="E31" s="138" t="s">
        <v>372</v>
      </c>
      <c r="F31" s="138" t="str">
        <f>VLOOKUP(D31,unit_serifs_i18n!C:F,3,FALSE)</f>
        <v>kumo</v>
      </c>
      <c r="G31" s="138" t="str">
        <f>VLOOKUP(D31,unit_serifs_i18n!C:F,4,FALSE)</f>
        <v>ラララ〜♪</v>
      </c>
    </row>
    <row r="32" spans="1:11" x14ac:dyDescent="0.15">
      <c r="A32" s="24">
        <v>542</v>
      </c>
      <c r="B32" s="112" t="str">
        <f>VLOOKUP(A32,[2]characters!$A:$C,3,FALSE)</f>
        <v>革命の音撃 初音ミク</v>
      </c>
      <c r="C32" s="154" t="s">
        <v>387</v>
      </c>
      <c r="D32" s="151" t="str">
        <f>A32&amp;+(COUNTIF(A$2:A32,A32)-1)</f>
        <v>5420</v>
      </c>
      <c r="E32" s="138" t="s">
        <v>372</v>
      </c>
      <c r="F32" s="138" t="str">
        <f>VLOOKUP(D32,unit_serifs_i18n!C:F,3,FALSE)</f>
        <v>giza</v>
      </c>
      <c r="G32" s="138" t="str">
        <f>VLOOKUP(D32,unit_serifs_i18n!C:F,4,FALSE)</f>
        <v>ライブ、スタートッ！！</v>
      </c>
    </row>
    <row r="33" spans="1:7" x14ac:dyDescent="0.15">
      <c r="A33" s="24">
        <v>542</v>
      </c>
      <c r="B33" s="112" t="str">
        <f>VLOOKUP(A33,[2]characters!$A:$C,3,FALSE)</f>
        <v>革命の音撃 初音ミク</v>
      </c>
      <c r="C33" s="154" t="s">
        <v>400</v>
      </c>
      <c r="D33" s="151" t="str">
        <f>A33&amp;+(COUNTIF(A$2:A33,A33)-1)</f>
        <v>5421</v>
      </c>
      <c r="E33" s="138" t="s">
        <v>372</v>
      </c>
      <c r="F33" s="138" t="str">
        <f>VLOOKUP(D33,unit_serifs_i18n!C:F,3,FALSE)</f>
        <v>kumo</v>
      </c>
      <c r="G33" s="138" t="str">
        <f>VLOOKUP(D33,unit_serifs_i18n!C:F,4,FALSE)</f>
        <v>歌うよっ！</v>
      </c>
    </row>
    <row r="34" spans="1:7" x14ac:dyDescent="0.15">
      <c r="A34" s="159">
        <v>542</v>
      </c>
      <c r="B34" s="160" t="str">
        <f>VLOOKUP(A34,[2]characters!$A:$C,3,FALSE)</f>
        <v>革命の音撃 初音ミク</v>
      </c>
      <c r="C34" s="161" t="s">
        <v>373</v>
      </c>
      <c r="D34" s="162" t="str">
        <f>D30</f>
        <v>5411</v>
      </c>
      <c r="E34" s="163" t="s">
        <v>372</v>
      </c>
      <c r="F34" s="163" t="str">
        <f>VLOOKUP(D34,unit_serifs_i18n!C:F,3,FALSE)</f>
        <v>giza</v>
      </c>
      <c r="G34" s="163" t="str">
        <f>VLOOKUP(D34,unit_serifs_i18n!C:F,4,FALSE)</f>
        <v>いっきますよ！</v>
      </c>
    </row>
    <row r="35" spans="1:7" x14ac:dyDescent="0.15">
      <c r="A35" s="159">
        <v>542</v>
      </c>
      <c r="B35" s="160" t="str">
        <f>VLOOKUP(A35,[2]characters!$A:$C,3,FALSE)</f>
        <v>革命の音撃 初音ミク</v>
      </c>
      <c r="C35" s="161" t="s">
        <v>373</v>
      </c>
      <c r="D35" s="162" t="str">
        <f>D31</f>
        <v>5412</v>
      </c>
      <c r="E35" s="163" t="s">
        <v>372</v>
      </c>
      <c r="F35" s="163" t="str">
        <f>VLOOKUP(D35,unit_serifs_i18n!C:F,3,FALSE)</f>
        <v>kumo</v>
      </c>
      <c r="G35" s="163" t="str">
        <f>VLOOKUP(D35,unit_serifs_i18n!C:F,4,FALSE)</f>
        <v>ラララ〜♪</v>
      </c>
    </row>
    <row r="36" spans="1:7" x14ac:dyDescent="0.15">
      <c r="A36" s="24">
        <v>543</v>
      </c>
      <c r="B36" s="112" t="str">
        <f>VLOOKUP(A36,[2]characters!$A:$C,3,FALSE)</f>
        <v>鏡音リン</v>
      </c>
      <c r="C36" s="154" t="s">
        <v>374</v>
      </c>
      <c r="D36" s="151" t="str">
        <f>A36&amp;+(COUNTIF(A$2:A36,A36)-1)</f>
        <v>5430</v>
      </c>
      <c r="E36" s="138" t="s">
        <v>372</v>
      </c>
      <c r="F36" s="138" t="str">
        <f>VLOOKUP(D36,unit_serifs_i18n!C:F,3,FALSE)</f>
        <v>giza</v>
      </c>
      <c r="G36" s="138" t="str">
        <f>VLOOKUP(D36,unit_serifs_i18n!C:F,4,FALSE)</f>
        <v>アタシの歌でぇえ！！</v>
      </c>
    </row>
    <row r="37" spans="1:7" x14ac:dyDescent="0.15">
      <c r="A37" s="24">
        <v>543</v>
      </c>
      <c r="B37" s="112" t="str">
        <f>VLOOKUP(A37,[2]characters!$A:$C,3,FALSE)</f>
        <v>鏡音リン</v>
      </c>
      <c r="C37" s="154" t="s">
        <v>373</v>
      </c>
      <c r="D37" s="151" t="str">
        <f>A37&amp;+(COUNTIF(A$2:A37,A37)-1)</f>
        <v>5431</v>
      </c>
      <c r="E37" s="138" t="s">
        <v>372</v>
      </c>
      <c r="F37" s="138" t="str">
        <f>VLOOKUP(D37,unit_serifs_i18n!C:F,3,FALSE)</f>
        <v>giza</v>
      </c>
      <c r="G37" s="138" t="str">
        <f>VLOOKUP(D37,unit_serifs_i18n!C:F,4,FALSE)</f>
        <v>いっくぞぉぉおおお！</v>
      </c>
    </row>
    <row r="38" spans="1:7" x14ac:dyDescent="0.15">
      <c r="A38" s="24">
        <v>543</v>
      </c>
      <c r="B38" s="112" t="str">
        <f>VLOOKUP(A38,[2]characters!$A:$C,3,FALSE)</f>
        <v>鏡音リン</v>
      </c>
      <c r="C38" s="154" t="s">
        <v>373</v>
      </c>
      <c r="D38" s="151" t="str">
        <f>A38&amp;+(COUNTIF(A$2:A38,A38)-1)</f>
        <v>5432</v>
      </c>
      <c r="E38" s="138" t="s">
        <v>372</v>
      </c>
      <c r="F38" s="138" t="str">
        <f>VLOOKUP(D38,unit_serifs_i18n!C:F,3,FALSE)</f>
        <v>maru</v>
      </c>
      <c r="G38" s="138" t="str">
        <f>VLOOKUP(D38,unit_serifs_i18n!C:F,4,FALSE)</f>
        <v>ペースアップするよ！</v>
      </c>
    </row>
    <row r="39" spans="1:7" x14ac:dyDescent="0.15">
      <c r="A39" s="24">
        <v>544</v>
      </c>
      <c r="B39" s="112" t="str">
        <f>VLOOKUP(A39,[2]characters!$A:$C,3,FALSE)</f>
        <v>反響の凛音 鏡音リン</v>
      </c>
      <c r="C39" s="154" t="s">
        <v>374</v>
      </c>
      <c r="D39" s="151" t="str">
        <f>A39&amp;+(COUNTIF(A$2:A39,A39)-1)</f>
        <v>5440</v>
      </c>
      <c r="E39" s="138" t="s">
        <v>372</v>
      </c>
      <c r="F39" s="138" t="str">
        <f>VLOOKUP(D39,unit_serifs_i18n!C:F,3,FALSE)</f>
        <v>giza</v>
      </c>
      <c r="G39" s="138" t="str">
        <f>VLOOKUP(D39,unit_serifs_i18n!C:F,4,FALSE)</f>
        <v>アタシの出番だぁあ！！</v>
      </c>
    </row>
    <row r="40" spans="1:7" x14ac:dyDescent="0.15">
      <c r="A40" s="24">
        <v>544</v>
      </c>
      <c r="B40" s="112" t="str">
        <f>VLOOKUP(A40,[2]characters!$A:$C,3,FALSE)</f>
        <v>反響の凛音 鏡音リン</v>
      </c>
      <c r="C40" s="154" t="s">
        <v>373</v>
      </c>
      <c r="D40" s="151" t="str">
        <f>A40&amp;+(COUNTIF(A$2:A40,A40)-1)</f>
        <v>5441</v>
      </c>
      <c r="E40" s="138" t="s">
        <v>372</v>
      </c>
      <c r="F40" s="138" t="str">
        <f>VLOOKUP(D40,unit_serifs_i18n!C:F,3,FALSE)</f>
        <v>maru</v>
      </c>
      <c r="G40" s="138" t="str">
        <f>VLOOKUP(D40,unit_serifs_i18n!C:F,4,FALSE)</f>
        <v>アタシに任せなさーい！</v>
      </c>
    </row>
    <row r="41" spans="1:7" x14ac:dyDescent="0.15">
      <c r="A41" s="159">
        <v>544</v>
      </c>
      <c r="B41" s="160" t="str">
        <f>VLOOKUP(A41,[2]characters!$A:$C,3,FALSE)</f>
        <v>反響の凛音 鏡音リン</v>
      </c>
      <c r="C41" s="161" t="s">
        <v>373</v>
      </c>
      <c r="D41" s="162" t="str">
        <f>D37</f>
        <v>5431</v>
      </c>
      <c r="E41" s="163" t="s">
        <v>372</v>
      </c>
      <c r="F41" s="163" t="str">
        <f>VLOOKUP(D41,unit_serifs_i18n!C:F,3,FALSE)</f>
        <v>giza</v>
      </c>
      <c r="G41" s="163" t="str">
        <f>VLOOKUP(D41,unit_serifs_i18n!C:F,4,FALSE)</f>
        <v>いっくぞぉぉおおお！</v>
      </c>
    </row>
    <row r="42" spans="1:7" x14ac:dyDescent="0.15">
      <c r="A42" s="159">
        <v>544</v>
      </c>
      <c r="B42" s="160" t="str">
        <f>VLOOKUP(A42,[2]characters!$A:$C,3,FALSE)</f>
        <v>反響の凛音 鏡音リン</v>
      </c>
      <c r="C42" s="161" t="s">
        <v>373</v>
      </c>
      <c r="D42" s="162" t="str">
        <f>D38</f>
        <v>5432</v>
      </c>
      <c r="E42" s="163" t="s">
        <v>372</v>
      </c>
      <c r="F42" s="163" t="str">
        <f>VLOOKUP(D42,unit_serifs_i18n!C:F,3,FALSE)</f>
        <v>maru</v>
      </c>
      <c r="G42" s="163" t="str">
        <f>VLOOKUP(D42,unit_serifs_i18n!C:F,4,FALSE)</f>
        <v>ペースアップするよ！</v>
      </c>
    </row>
    <row r="43" spans="1:7" x14ac:dyDescent="0.15">
      <c r="A43" s="24">
        <v>545</v>
      </c>
      <c r="B43" s="112" t="str">
        <f>VLOOKUP(A43,[2]characters!$A:$C,3,FALSE)</f>
        <v>鏡音レン</v>
      </c>
      <c r="C43" s="154" t="s">
        <v>374</v>
      </c>
      <c r="D43" s="151" t="str">
        <f>A43&amp;+(COUNTIF(A$2:A43,A43)-1)</f>
        <v>5450</v>
      </c>
      <c r="E43" s="138" t="s">
        <v>372</v>
      </c>
      <c r="F43" s="138" t="str">
        <f>VLOOKUP(D43,unit_serifs_i18n!C:F,3,FALSE)</f>
        <v>maru</v>
      </c>
      <c r="G43" s="138" t="str">
        <f>VLOOKUP(D43,unit_serifs_i18n!C:F,4,FALSE)</f>
        <v>ボクの歌なら！</v>
      </c>
    </row>
    <row r="44" spans="1:7" x14ac:dyDescent="0.15">
      <c r="A44" s="24">
        <v>545</v>
      </c>
      <c r="B44" s="112" t="str">
        <f>VLOOKUP(A44,[2]characters!$A:$C,3,FALSE)</f>
        <v>鏡音レン</v>
      </c>
      <c r="C44" s="154" t="s">
        <v>373</v>
      </c>
      <c r="D44" s="151" t="str">
        <f>A44&amp;+(COUNTIF(A$2:A44,A44)-1)</f>
        <v>5451</v>
      </c>
      <c r="E44" s="138" t="s">
        <v>372</v>
      </c>
      <c r="F44" s="138" t="str">
        <f>VLOOKUP(D44,unit_serifs_i18n!C:F,3,FALSE)</f>
        <v>maru</v>
      </c>
      <c r="G44" s="138" t="str">
        <f>VLOOKUP(D44,unit_serifs_i18n!C:F,4,FALSE)</f>
        <v>いくよ！</v>
      </c>
    </row>
    <row r="45" spans="1:7" x14ac:dyDescent="0.15">
      <c r="A45" s="24">
        <v>545</v>
      </c>
      <c r="B45" s="112" t="str">
        <f>VLOOKUP(A45,[2]characters!$A:$C,3,FALSE)</f>
        <v>鏡音レン</v>
      </c>
      <c r="C45" s="154" t="s">
        <v>373</v>
      </c>
      <c r="D45" s="151" t="str">
        <f>A45&amp;+(COUNTIF(A$2:A45,A45)-1)</f>
        <v>5452</v>
      </c>
      <c r="E45" s="138" t="s">
        <v>372</v>
      </c>
      <c r="F45" s="138" t="str">
        <f>VLOOKUP(D45,unit_serifs_i18n!C:F,3,FALSE)</f>
        <v>maru</v>
      </c>
      <c r="G45" s="138" t="str">
        <f>VLOOKUP(D45,unit_serifs_i18n!C:F,4,FALSE)</f>
        <v>テンポアップするよ！</v>
      </c>
    </row>
    <row r="46" spans="1:7" x14ac:dyDescent="0.15">
      <c r="A46" s="24">
        <v>546</v>
      </c>
      <c r="B46" s="112" t="str">
        <f>VLOOKUP(A46,[2]characters!$A:$C,3,FALSE)</f>
        <v>残響の連符 鏡音レン</v>
      </c>
      <c r="C46" s="154" t="s">
        <v>374</v>
      </c>
      <c r="D46" s="151" t="str">
        <f>A46&amp;+(COUNTIF(A$2:A46,A46)-1)</f>
        <v>5460</v>
      </c>
      <c r="E46" s="138" t="s">
        <v>372</v>
      </c>
      <c r="F46" s="138" t="str">
        <f>VLOOKUP(D46,unit_serifs_i18n!C:F,3,FALSE)</f>
        <v>maru</v>
      </c>
      <c r="G46" s="138" t="str">
        <f>VLOOKUP(D46,unit_serifs_i18n!C:F,4,FALSE)</f>
        <v>ボクの出番だね！</v>
      </c>
    </row>
    <row r="47" spans="1:7" x14ac:dyDescent="0.15">
      <c r="A47" s="24">
        <v>546</v>
      </c>
      <c r="B47" s="112" t="str">
        <f>VLOOKUP(A47,[2]characters!$A:$C,3,FALSE)</f>
        <v>残響の連符 鏡音レン</v>
      </c>
      <c r="C47" s="154" t="s">
        <v>373</v>
      </c>
      <c r="D47" s="151" t="str">
        <f>A47&amp;+(COUNTIF(A$2:A47,A47)-1)</f>
        <v>5461</v>
      </c>
      <c r="E47" s="138" t="s">
        <v>372</v>
      </c>
      <c r="F47" s="138" t="str">
        <f>VLOOKUP(D47,unit_serifs_i18n!C:F,3,FALSE)</f>
        <v>maru</v>
      </c>
      <c r="G47" s="138" t="str">
        <f>VLOOKUP(D47,unit_serifs_i18n!C:F,4,FALSE)</f>
        <v>ついてこれる？</v>
      </c>
    </row>
    <row r="48" spans="1:7" x14ac:dyDescent="0.15">
      <c r="A48" s="159">
        <v>546</v>
      </c>
      <c r="B48" s="160" t="str">
        <f>VLOOKUP(A48,[2]characters!$A:$C,3,FALSE)</f>
        <v>残響の連符 鏡音レン</v>
      </c>
      <c r="C48" s="161" t="s">
        <v>373</v>
      </c>
      <c r="D48" s="162" t="str">
        <f>D44</f>
        <v>5451</v>
      </c>
      <c r="E48" s="163" t="s">
        <v>372</v>
      </c>
      <c r="F48" s="163" t="str">
        <f>VLOOKUP(D48,unit_serifs_i18n!C:F,3,FALSE)</f>
        <v>maru</v>
      </c>
      <c r="G48" s="163" t="str">
        <f>VLOOKUP(D48,unit_serifs_i18n!C:F,4,FALSE)</f>
        <v>いくよ！</v>
      </c>
    </row>
    <row r="49" spans="1:7" x14ac:dyDescent="0.15">
      <c r="A49" s="159">
        <v>546</v>
      </c>
      <c r="B49" s="160" t="str">
        <f>VLOOKUP(A49,[2]characters!$A:$C,3,FALSE)</f>
        <v>残響の連符 鏡音レン</v>
      </c>
      <c r="C49" s="161" t="s">
        <v>373</v>
      </c>
      <c r="D49" s="162" t="str">
        <f>D45</f>
        <v>5452</v>
      </c>
      <c r="E49" s="163" t="s">
        <v>372</v>
      </c>
      <c r="F49" s="163" t="str">
        <f>VLOOKUP(D49,unit_serifs_i18n!C:F,3,FALSE)</f>
        <v>maru</v>
      </c>
      <c r="G49" s="163" t="str">
        <f>VLOOKUP(D49,unit_serifs_i18n!C:F,4,FALSE)</f>
        <v>テンポアップするよ！</v>
      </c>
    </row>
    <row r="50" spans="1:7" x14ac:dyDescent="0.15">
      <c r="A50" s="24">
        <v>547</v>
      </c>
      <c r="B50" s="112" t="str">
        <f>VLOOKUP(A50,[2]characters!$A:$C,3,FALSE)</f>
        <v>巡音ルカ</v>
      </c>
      <c r="C50" s="154" t="s">
        <v>374</v>
      </c>
      <c r="D50" s="151" t="str">
        <f>A50&amp;+(COUNTIF(A$2:A50,A50)-1)</f>
        <v>5470</v>
      </c>
      <c r="E50" s="138" t="s">
        <v>372</v>
      </c>
      <c r="F50" s="138" t="str">
        <f>VLOOKUP(D50,unit_serifs_i18n!C:F,3,FALSE)</f>
        <v>maru</v>
      </c>
      <c r="G50" s="138" t="str">
        <f>VLOOKUP(D50,unit_serifs_i18n!C:F,4,FALSE)</f>
        <v>私の歌よ届けー</v>
      </c>
    </row>
    <row r="51" spans="1:7" x14ac:dyDescent="0.15">
      <c r="A51" s="24">
        <v>547</v>
      </c>
      <c r="B51" s="112" t="str">
        <f>VLOOKUP(A51,[2]characters!$A:$C,3,FALSE)</f>
        <v>巡音ルカ</v>
      </c>
      <c r="C51" s="154" t="s">
        <v>373</v>
      </c>
      <c r="D51" s="151" t="str">
        <f>A51&amp;+(COUNTIF(A$2:A51,A51)-1)</f>
        <v>5471</v>
      </c>
      <c r="E51" s="138" t="s">
        <v>372</v>
      </c>
      <c r="F51" s="138" t="str">
        <f>VLOOKUP(D51,unit_serifs_i18n!C:F,3,FALSE)</f>
        <v>maru</v>
      </c>
      <c r="G51" s="138" t="str">
        <f>VLOOKUP(D51,unit_serifs_i18n!C:F,4,FALSE)</f>
        <v>いきますよ</v>
      </c>
    </row>
    <row r="52" spans="1:7" x14ac:dyDescent="0.15">
      <c r="A52" s="24">
        <v>547</v>
      </c>
      <c r="B52" s="112" t="str">
        <f>VLOOKUP(A52,[2]characters!$A:$C,3,FALSE)</f>
        <v>巡音ルカ</v>
      </c>
      <c r="C52" s="154" t="s">
        <v>373</v>
      </c>
      <c r="D52" s="151" t="str">
        <f>A52&amp;+(COUNTIF(A$2:A52,A52)-1)</f>
        <v>5472</v>
      </c>
      <c r="E52" s="138" t="s">
        <v>372</v>
      </c>
      <c r="F52" s="138" t="str">
        <f>VLOOKUP(D52,unit_serifs_i18n!C:F,3,FALSE)</f>
        <v>giza</v>
      </c>
      <c r="G52" s="138" t="str">
        <f>VLOOKUP(D52,unit_serifs_i18n!C:F,4,FALSE)</f>
        <v>響いて！</v>
      </c>
    </row>
    <row r="53" spans="1:7" x14ac:dyDescent="0.15">
      <c r="A53" s="24">
        <v>548</v>
      </c>
      <c r="B53" s="112" t="str">
        <f>VLOOKUP(A53,[2]characters!$A:$C,3,FALSE)</f>
        <v>乱舞の音環 巡音ルカ</v>
      </c>
      <c r="C53" s="154" t="s">
        <v>374</v>
      </c>
      <c r="D53" s="151" t="str">
        <f>A53&amp;+(COUNTIF(A$2:A53,A53)-1)</f>
        <v>5480</v>
      </c>
      <c r="E53" s="138" t="s">
        <v>372</v>
      </c>
      <c r="F53" s="138" t="str">
        <f>VLOOKUP(D53,unit_serifs_i18n!C:F,3,FALSE)</f>
        <v>maru</v>
      </c>
      <c r="G53" s="138" t="str">
        <f>VLOOKUP(D53,unit_serifs_i18n!C:F,4,FALSE)</f>
        <v>Are you ready?</v>
      </c>
    </row>
    <row r="54" spans="1:7" x14ac:dyDescent="0.15">
      <c r="A54" s="24">
        <v>548</v>
      </c>
      <c r="B54" s="112" t="str">
        <f>VLOOKUP(A54,[2]characters!$A:$C,3,FALSE)</f>
        <v>乱舞の音環 巡音ルカ</v>
      </c>
      <c r="C54" s="154" t="s">
        <v>373</v>
      </c>
      <c r="D54" s="151" t="str">
        <f>A54&amp;+(COUNTIF(A$2:A54,A54)-1)</f>
        <v>5481</v>
      </c>
      <c r="E54" s="138" t="s">
        <v>372</v>
      </c>
      <c r="F54" s="138" t="str">
        <f>VLOOKUP(D54,unit_serifs_i18n!C:F,3,FALSE)</f>
        <v>kumo</v>
      </c>
      <c r="G54" s="138" t="str">
        <f>VLOOKUP(D54,unit_serifs_i18n!C:F,4,FALSE)</f>
        <v>Sing a song ♪</v>
      </c>
    </row>
    <row r="55" spans="1:7" x14ac:dyDescent="0.15">
      <c r="A55" s="159">
        <v>548</v>
      </c>
      <c r="B55" s="160" t="str">
        <f>VLOOKUP(A55,[2]characters!$A:$C,3,FALSE)</f>
        <v>乱舞の音環 巡音ルカ</v>
      </c>
      <c r="C55" s="161" t="s">
        <v>373</v>
      </c>
      <c r="D55" s="162" t="str">
        <f>D51</f>
        <v>5471</v>
      </c>
      <c r="E55" s="163" t="s">
        <v>372</v>
      </c>
      <c r="F55" s="163" t="str">
        <f>VLOOKUP(D55,unit_serifs_i18n!C:F,3,FALSE)</f>
        <v>maru</v>
      </c>
      <c r="G55" s="163" t="str">
        <f>VLOOKUP(D55,unit_serifs_i18n!C:F,4,FALSE)</f>
        <v>いきますよ</v>
      </c>
    </row>
    <row r="56" spans="1:7" x14ac:dyDescent="0.15">
      <c r="A56" s="159">
        <v>548</v>
      </c>
      <c r="B56" s="160" t="str">
        <f>VLOOKUP(A56,[2]characters!$A:$C,3,FALSE)</f>
        <v>乱舞の音環 巡音ルカ</v>
      </c>
      <c r="C56" s="161" t="s">
        <v>373</v>
      </c>
      <c r="D56" s="162" t="str">
        <f>D52</f>
        <v>5472</v>
      </c>
      <c r="E56" s="163" t="s">
        <v>372</v>
      </c>
      <c r="F56" s="163" t="str">
        <f>VLOOKUP(D56,unit_serifs_i18n!C:F,3,FALSE)</f>
        <v>giza</v>
      </c>
      <c r="G56" s="163" t="str">
        <f>VLOOKUP(D56,unit_serifs_i18n!C:F,4,FALSE)</f>
        <v>響いて！</v>
      </c>
    </row>
    <row r="57" spans="1:7" x14ac:dyDescent="0.15">
      <c r="A57" s="24">
        <v>549</v>
      </c>
      <c r="B57" s="112" t="str">
        <f>VLOOKUP(A57,[2]characters!$A:$C,3,FALSE)</f>
        <v>MEIKO</v>
      </c>
      <c r="C57" s="154" t="s">
        <v>374</v>
      </c>
      <c r="D57" s="151" t="str">
        <f>A57&amp;+(COUNTIF(A$2:A57,A57)-1)</f>
        <v>5490</v>
      </c>
      <c r="E57" s="138" t="s">
        <v>372</v>
      </c>
      <c r="F57" s="138" t="str">
        <f>VLOOKUP(D57,unit_serifs_i18n!C:F,3,FALSE)</f>
        <v>maru</v>
      </c>
      <c r="G57" s="138" t="str">
        <f>VLOOKUP(D57,unit_serifs_i18n!C:F,4,FALSE)</f>
        <v>テンポよく行くわよ！</v>
      </c>
    </row>
    <row r="58" spans="1:7" x14ac:dyDescent="0.15">
      <c r="A58" s="24">
        <v>549</v>
      </c>
      <c r="B58" s="112" t="str">
        <f>VLOOKUP(A58,[2]characters!$A:$C,3,FALSE)</f>
        <v>MEIKO</v>
      </c>
      <c r="C58" s="154" t="s">
        <v>373</v>
      </c>
      <c r="D58" s="151" t="str">
        <f>A58&amp;+(COUNTIF(A$2:A58,A58)-1)</f>
        <v>5491</v>
      </c>
      <c r="E58" s="138" t="s">
        <v>372</v>
      </c>
      <c r="F58" s="138" t="str">
        <f>VLOOKUP(D58,unit_serifs_i18n!C:F,3,FALSE)</f>
        <v>maru</v>
      </c>
      <c r="G58" s="138" t="str">
        <f>VLOOKUP(D58,unit_serifs_i18n!C:F,4,FALSE)</f>
        <v>ふふっ行くわよ</v>
      </c>
    </row>
    <row r="59" spans="1:7" x14ac:dyDescent="0.15">
      <c r="A59" s="24">
        <v>549</v>
      </c>
      <c r="B59" s="112" t="str">
        <f>VLOOKUP(A59,[2]characters!$A:$C,3,FALSE)</f>
        <v>MEIKO</v>
      </c>
      <c r="C59" s="154" t="s">
        <v>373</v>
      </c>
      <c r="D59" s="151" t="str">
        <f>A59&amp;+(COUNTIF(A$2:A59,A59)-1)</f>
        <v>5492</v>
      </c>
      <c r="E59" s="138" t="s">
        <v>372</v>
      </c>
      <c r="F59" s="138" t="str">
        <f>VLOOKUP(D59,unit_serifs_i18n!C:F,3,FALSE)</f>
        <v>kumo</v>
      </c>
      <c r="G59" s="138" t="str">
        <f>VLOOKUP(D59,unit_serifs_i18n!C:F,4,FALSE)</f>
        <v>ワタシが決めるわ！</v>
      </c>
    </row>
    <row r="60" spans="1:7" x14ac:dyDescent="0.15">
      <c r="A60" s="24">
        <v>550</v>
      </c>
      <c r="B60" s="112" t="str">
        <f>VLOOKUP(A60,[2]characters!$A:$C,3,FALSE)</f>
        <v>解放の絶唱 MEIKO</v>
      </c>
      <c r="C60" s="154" t="s">
        <v>374</v>
      </c>
      <c r="D60" s="151" t="str">
        <f>A60&amp;+(COUNTIF(A$2:A60,A60)-1)</f>
        <v>5500</v>
      </c>
      <c r="E60" s="138" t="s">
        <v>372</v>
      </c>
      <c r="F60" s="138" t="str">
        <f>VLOOKUP(D60,unit_serifs_i18n!C:F,3,FALSE)</f>
        <v>giza</v>
      </c>
      <c r="G60" s="138" t="str">
        <f>VLOOKUP(D60,unit_serifs_i18n!C:F,4,FALSE)</f>
        <v>アンコールありがとー！！</v>
      </c>
    </row>
    <row r="61" spans="1:7" x14ac:dyDescent="0.15">
      <c r="A61" s="24">
        <v>550</v>
      </c>
      <c r="B61" s="112" t="str">
        <f>VLOOKUP(A61,[2]characters!$A:$C,3,FALSE)</f>
        <v>解放の絶唱 MEIKO</v>
      </c>
      <c r="C61" s="154" t="s">
        <v>373</v>
      </c>
      <c r="D61" s="151" t="str">
        <f>A61&amp;+(COUNTIF(A$2:A61,A61)-1)</f>
        <v>5501</v>
      </c>
      <c r="E61" s="138" t="s">
        <v>372</v>
      </c>
      <c r="F61" s="138" t="str">
        <f>VLOOKUP(D61,unit_serifs_i18n!C:F,3,FALSE)</f>
        <v>giza</v>
      </c>
      <c r="G61" s="138" t="str">
        <f>VLOOKUP(D61,unit_serifs_i18n!C:F,4,FALSE)</f>
        <v>楽しくなってきたぁ！</v>
      </c>
    </row>
    <row r="62" spans="1:7" x14ac:dyDescent="0.15">
      <c r="A62" s="159">
        <v>550</v>
      </c>
      <c r="B62" s="160" t="str">
        <f>VLOOKUP(A62,[2]characters!$A:$C,3,FALSE)</f>
        <v>解放の絶唱 MEIKO</v>
      </c>
      <c r="C62" s="161" t="s">
        <v>373</v>
      </c>
      <c r="D62" s="162" t="str">
        <f>D58</f>
        <v>5491</v>
      </c>
      <c r="E62" s="163" t="s">
        <v>372</v>
      </c>
      <c r="F62" s="163" t="str">
        <f>VLOOKUP(D62,unit_serifs_i18n!C:F,3,FALSE)</f>
        <v>maru</v>
      </c>
      <c r="G62" s="163" t="str">
        <f>VLOOKUP(D62,unit_serifs_i18n!C:F,4,FALSE)</f>
        <v>ふふっ行くわよ</v>
      </c>
    </row>
    <row r="63" spans="1:7" x14ac:dyDescent="0.15">
      <c r="A63" s="159">
        <v>550</v>
      </c>
      <c r="B63" s="160" t="str">
        <f>VLOOKUP(A63,[2]characters!$A:$C,3,FALSE)</f>
        <v>解放の絶唱 MEIKO</v>
      </c>
      <c r="C63" s="161" t="s">
        <v>373</v>
      </c>
      <c r="D63" s="162" t="str">
        <f>D59</f>
        <v>5492</v>
      </c>
      <c r="E63" s="163" t="s">
        <v>372</v>
      </c>
      <c r="F63" s="163" t="str">
        <f>VLOOKUP(D63,unit_serifs_i18n!C:F,3,FALSE)</f>
        <v>kumo</v>
      </c>
      <c r="G63" s="163" t="str">
        <f>VLOOKUP(D63,unit_serifs_i18n!C:F,4,FALSE)</f>
        <v>ワタシが決めるわ！</v>
      </c>
    </row>
    <row r="64" spans="1:7" x14ac:dyDescent="0.15">
      <c r="A64" s="24">
        <v>551</v>
      </c>
      <c r="B64" s="112" t="str">
        <f>VLOOKUP(A64,[2]characters!$A:$C,3,FALSE)</f>
        <v>KAITO</v>
      </c>
      <c r="C64" s="154" t="s">
        <v>374</v>
      </c>
      <c r="D64" s="151" t="str">
        <f>A64&amp;+(COUNTIF(A$2:A64,A64)-1)</f>
        <v>5510</v>
      </c>
      <c r="E64" s="138" t="s">
        <v>372</v>
      </c>
      <c r="F64" s="138" t="str">
        <f>VLOOKUP(D64,unit_serifs_i18n!C:F,3,FALSE)</f>
        <v>maru</v>
      </c>
      <c r="G64" s="138" t="str">
        <f>VLOOKUP(D64,unit_serifs_i18n!C:F,4,FALSE)</f>
        <v>え、いかなきゃダメ？</v>
      </c>
    </row>
    <row r="65" spans="1:7" x14ac:dyDescent="0.15">
      <c r="A65" s="24">
        <v>551</v>
      </c>
      <c r="B65" s="112" t="str">
        <f>VLOOKUP(A65,[2]characters!$A:$C,3,FALSE)</f>
        <v>KAITO</v>
      </c>
      <c r="C65" s="154" t="s">
        <v>373</v>
      </c>
      <c r="D65" s="151" t="str">
        <f>A65&amp;+(COUNTIF(A$2:A65,A65)-1)</f>
        <v>5511</v>
      </c>
      <c r="E65" s="138" t="s">
        <v>372</v>
      </c>
      <c r="F65" s="138" t="str">
        <f>VLOOKUP(D65,unit_serifs_i18n!C:F,3,FALSE)</f>
        <v>giza</v>
      </c>
      <c r="G65" s="138" t="str">
        <f>VLOOKUP(D65,unit_serifs_i18n!C:F,4,FALSE)</f>
        <v>明日から本気出す！</v>
      </c>
    </row>
    <row r="66" spans="1:7" x14ac:dyDescent="0.15">
      <c r="A66" s="24">
        <v>551</v>
      </c>
      <c r="B66" s="112" t="str">
        <f>VLOOKUP(A66,[2]characters!$A:$C,3,FALSE)</f>
        <v>KAITO</v>
      </c>
      <c r="C66" s="154" t="s">
        <v>373</v>
      </c>
      <c r="D66" s="151" t="str">
        <f>A66&amp;+(COUNTIF(A$2:A66,A66)-1)</f>
        <v>5512</v>
      </c>
      <c r="E66" s="138" t="s">
        <v>372</v>
      </c>
      <c r="F66" s="138" t="str">
        <f>VLOOKUP(D66,unit_serifs_i18n!C:F,3,FALSE)</f>
        <v>maru</v>
      </c>
      <c r="G66" s="138" t="str">
        <f>VLOOKUP(D66,unit_serifs_i18n!C:F,4,FALSE)</f>
        <v>うーん、どうしようかな</v>
      </c>
    </row>
    <row r="67" spans="1:7" x14ac:dyDescent="0.15">
      <c r="A67" s="24">
        <v>552</v>
      </c>
      <c r="B67" s="112" t="str">
        <f>VLOOKUP(A67,[2]characters!$A:$C,3,FALSE)</f>
        <v>愉悦の愛唱 KAITO</v>
      </c>
      <c r="C67" s="154" t="s">
        <v>374</v>
      </c>
      <c r="D67" s="151" t="str">
        <f>A67&amp;+(COUNTIF(A$2:A67,A67)-1)</f>
        <v>5520</v>
      </c>
      <c r="E67" s="138" t="s">
        <v>372</v>
      </c>
      <c r="F67" s="138" t="str">
        <f>VLOOKUP(D67,unit_serifs_i18n!C:F,3,FALSE)</f>
        <v>maru</v>
      </c>
      <c r="G67" s="138" t="str">
        <f>VLOOKUP(D67,unit_serifs_i18n!C:F,4,FALSE)</f>
        <v>オーディエンスに応えよう</v>
      </c>
    </row>
    <row r="68" spans="1:7" x14ac:dyDescent="0.15">
      <c r="A68" s="24">
        <v>552</v>
      </c>
      <c r="B68" s="112" t="str">
        <f>VLOOKUP(A68,[2]characters!$A:$C,3,FALSE)</f>
        <v>愉悦の愛唱 KAITO</v>
      </c>
      <c r="C68" s="154" t="s">
        <v>373</v>
      </c>
      <c r="D68" s="151" t="str">
        <f>A68&amp;+(COUNTIF(A$2:A68,A68)-1)</f>
        <v>5521</v>
      </c>
      <c r="E68" s="138" t="s">
        <v>372</v>
      </c>
      <c r="F68" s="138" t="str">
        <f>VLOOKUP(D68,unit_serifs_i18n!C:F,3,FALSE)</f>
        <v>kumo</v>
      </c>
      <c r="G68" s="138" t="str">
        <f>VLOOKUP(D68,unit_serifs_i18n!C:F,4,FALSE)</f>
        <v>盛り上がってきたね！</v>
      </c>
    </row>
    <row r="69" spans="1:7" x14ac:dyDescent="0.15">
      <c r="A69" s="159">
        <v>552</v>
      </c>
      <c r="B69" s="160" t="str">
        <f>VLOOKUP(A69,[2]characters!$A:$C,3,FALSE)</f>
        <v>愉悦の愛唱 KAITO</v>
      </c>
      <c r="C69" s="161" t="s">
        <v>373</v>
      </c>
      <c r="D69" s="162" t="str">
        <f>D65</f>
        <v>5511</v>
      </c>
      <c r="E69" s="163" t="s">
        <v>372</v>
      </c>
      <c r="F69" s="163" t="str">
        <f>VLOOKUP(D69,unit_serifs_i18n!C:F,3,FALSE)</f>
        <v>giza</v>
      </c>
      <c r="G69" s="163" t="str">
        <f>VLOOKUP(D69,unit_serifs_i18n!C:F,4,FALSE)</f>
        <v>明日から本気出す！</v>
      </c>
    </row>
    <row r="70" spans="1:7" x14ac:dyDescent="0.15">
      <c r="A70" s="164">
        <v>552</v>
      </c>
      <c r="B70" s="160" t="str">
        <f>VLOOKUP(A70,[2]characters!$A:$C,3,FALSE)</f>
        <v>愉悦の愛唱 KAITO</v>
      </c>
      <c r="C70" s="161" t="s">
        <v>373</v>
      </c>
      <c r="D70" s="162" t="str">
        <f>D66</f>
        <v>5512</v>
      </c>
      <c r="E70" s="163" t="s">
        <v>372</v>
      </c>
      <c r="F70" s="163" t="str">
        <f>VLOOKUP(D70,unit_serifs_i18n!C:F,3,FALSE)</f>
        <v>maru</v>
      </c>
      <c r="G70" s="163" t="str">
        <f>VLOOKUP(D70,unit_serifs_i18n!C:F,4,FALSE)</f>
        <v>うーん、どうしようかな</v>
      </c>
    </row>
    <row r="71" spans="1:7" x14ac:dyDescent="0.15">
      <c r="A71" s="24">
        <v>553</v>
      </c>
      <c r="B71" s="112" t="str">
        <f>VLOOKUP(A71,[2]characters!$A:$C,3,FALSE)</f>
        <v>雪ミク2016</v>
      </c>
      <c r="C71" s="154" t="s">
        <v>374</v>
      </c>
      <c r="D71" s="151" t="str">
        <f>A71&amp;+(COUNTIF(A$2:A71,A71)-1)</f>
        <v>5530</v>
      </c>
      <c r="E71" s="138" t="s">
        <v>372</v>
      </c>
      <c r="F71" s="138" t="str">
        <f>VLOOKUP(D71,unit_serifs_i18n!C:F,3,FALSE)</f>
        <v>maru</v>
      </c>
      <c r="G71" s="138" t="str">
        <f>VLOOKUP(D71,unit_serifs_i18n!C:F,4,FALSE)</f>
        <v>わたしの歌声で！</v>
      </c>
    </row>
    <row r="72" spans="1:7" x14ac:dyDescent="0.15">
      <c r="A72" s="24">
        <v>553</v>
      </c>
      <c r="B72" s="112" t="str">
        <f>VLOOKUP(A72,[2]characters!$A:$C,3,FALSE)</f>
        <v>雪ミク2016</v>
      </c>
      <c r="C72" s="154" t="s">
        <v>373</v>
      </c>
      <c r="D72" s="151" t="str">
        <f>A72&amp;+(COUNTIF(A$2:A72,A72)-1)</f>
        <v>5531</v>
      </c>
      <c r="E72" s="138" t="s">
        <v>372</v>
      </c>
      <c r="F72" s="138" t="str">
        <f>VLOOKUP(D72,unit_serifs_i18n!C:F,3,FALSE)</f>
        <v>maru</v>
      </c>
      <c r="G72" s="138" t="str">
        <f>VLOOKUP(D72,unit_serifs_i18n!C:F,4,FALSE)</f>
        <v>ゆきますよ！</v>
      </c>
    </row>
    <row r="73" spans="1:7" x14ac:dyDescent="0.15">
      <c r="A73" s="24">
        <v>553</v>
      </c>
      <c r="B73" s="112" t="str">
        <f>VLOOKUP(A73,[2]characters!$A:$C,3,FALSE)</f>
        <v>雪ミク2016</v>
      </c>
      <c r="C73" s="154" t="s">
        <v>373</v>
      </c>
      <c r="D73" s="151" t="str">
        <f>A73&amp;+(COUNTIF(A$2:A73,A73)-1)</f>
        <v>5532</v>
      </c>
      <c r="E73" s="138" t="s">
        <v>372</v>
      </c>
      <c r="F73" s="138" t="str">
        <f>VLOOKUP(D73,unit_serifs_i18n!C:F,3,FALSE)</f>
        <v>kumo</v>
      </c>
      <c r="G73" s="138" t="str">
        <f>VLOOKUP(D73,unit_serifs_i18n!C:F,4,FALSE)</f>
        <v>イエ〜イ♪</v>
      </c>
    </row>
    <row r="74" spans="1:7" x14ac:dyDescent="0.15">
      <c r="A74">
        <v>554</v>
      </c>
      <c r="B74" s="112" t="str">
        <f>VLOOKUP(A74,[2]characters!$A:$C,3,FALSE)</f>
        <v>大滑走 雪ミク&amp;ラビット・ユキネ</v>
      </c>
      <c r="C74" s="154" t="s">
        <v>374</v>
      </c>
      <c r="D74" s="151" t="str">
        <f>A74&amp;+(COUNTIF(A$2:A74,A74)-1)</f>
        <v>5540</v>
      </c>
      <c r="E74" s="138" t="s">
        <v>372</v>
      </c>
      <c r="F74" s="138" t="str">
        <f>VLOOKUP(D74,unit_serifs_i18n!C:F,3,FALSE)</f>
        <v>maru</v>
      </c>
      <c r="G74" s="138" t="str">
        <f>VLOOKUP(D74,unit_serifs_i18n!C:F,4,FALSE)</f>
        <v>わたしの歌声で！</v>
      </c>
    </row>
    <row r="75" spans="1:7" x14ac:dyDescent="0.15">
      <c r="A75" s="24">
        <v>554</v>
      </c>
      <c r="B75" s="112" t="str">
        <f>VLOOKUP(A75,[2]characters!$A:$C,3,FALSE)</f>
        <v>大滑走 雪ミク&amp;ラビット・ユキネ</v>
      </c>
      <c r="C75" s="154" t="s">
        <v>373</v>
      </c>
      <c r="D75" s="151" t="str">
        <f>A75&amp;+(COUNTIF(A$2:A75,A75)-1)</f>
        <v>5541</v>
      </c>
      <c r="E75" s="138" t="s">
        <v>372</v>
      </c>
      <c r="F75" s="138" t="str">
        <f>VLOOKUP(D75,unit_serifs_i18n!C:F,3,FALSE)</f>
        <v>kumo</v>
      </c>
      <c r="G75" s="138" t="str">
        <f>VLOOKUP(D75,unit_serifs_i18n!C:F,4,FALSE)</f>
        <v>一緒に楽しもう♪</v>
      </c>
    </row>
    <row r="76" spans="1:7" x14ac:dyDescent="0.15">
      <c r="A76" s="24">
        <v>554</v>
      </c>
      <c r="B76" s="160" t="str">
        <f>VLOOKUP(A76,[2]characters!$A:$C,3,FALSE)</f>
        <v>大滑走 雪ミク&amp;ラビット・ユキネ</v>
      </c>
      <c r="C76" s="161" t="s">
        <v>373</v>
      </c>
      <c r="D76" s="162" t="str">
        <f>D72</f>
        <v>5531</v>
      </c>
      <c r="E76" s="163" t="s">
        <v>372</v>
      </c>
      <c r="F76" s="163" t="str">
        <f>VLOOKUP(D76,unit_serifs_i18n!C:F,3,FALSE)</f>
        <v>maru</v>
      </c>
      <c r="G76" s="163" t="str">
        <f>VLOOKUP(D76,unit_serifs_i18n!C:F,4,FALSE)</f>
        <v>ゆきますよ！</v>
      </c>
    </row>
    <row r="77" spans="1:7" x14ac:dyDescent="0.15">
      <c r="A77" s="24">
        <v>554</v>
      </c>
      <c r="B77" s="160" t="str">
        <f>VLOOKUP(A77,[2]characters!$A:$C,3,FALSE)</f>
        <v>大滑走 雪ミク&amp;ラビット・ユキネ</v>
      </c>
      <c r="C77" s="161" t="s">
        <v>373</v>
      </c>
      <c r="D77" s="162" t="str">
        <f>D73</f>
        <v>5532</v>
      </c>
      <c r="E77" s="163" t="s">
        <v>372</v>
      </c>
      <c r="F77" s="163" t="str">
        <f>VLOOKUP(D77,unit_serifs_i18n!C:F,3,FALSE)</f>
        <v>kumo</v>
      </c>
      <c r="G77" s="163" t="str">
        <f>VLOOKUP(D77,unit_serifs_i18n!C:F,4,FALSE)</f>
        <v>イエ〜イ♪</v>
      </c>
    </row>
    <row r="78" spans="1:7" x14ac:dyDescent="0.15">
      <c r="A78" s="24">
        <v>555</v>
      </c>
      <c r="B78" s="112" t="str">
        <f>VLOOKUP(A78,[2]characters!$A:$C,3,FALSE)</f>
        <v>雪ミク2014</v>
      </c>
      <c r="C78" s="154" t="s">
        <v>374</v>
      </c>
      <c r="D78" s="151" t="str">
        <f>A78&amp;+(COUNTIF(A$2:A78,A78)-1)</f>
        <v>5550</v>
      </c>
      <c r="E78" s="138" t="s">
        <v>372</v>
      </c>
      <c r="F78" s="138" t="str">
        <f>VLOOKUP(D78,unit_serifs_i18n!C:F,3,FALSE)</f>
        <v>maru</v>
      </c>
      <c r="G78" s="138" t="str">
        <f>VLOOKUP(D78,unit_serifs_i18n!C:F,4,FALSE)</f>
        <v>あたしの歌で！</v>
      </c>
    </row>
    <row r="79" spans="1:7" x14ac:dyDescent="0.15">
      <c r="A79" s="24">
        <v>555</v>
      </c>
      <c r="B79" s="112" t="str">
        <f>VLOOKUP(A79,[2]characters!$A:$C,3,FALSE)</f>
        <v>雪ミク2014</v>
      </c>
      <c r="C79" s="154" t="s">
        <v>373</v>
      </c>
      <c r="D79" s="151" t="str">
        <f>A79&amp;+(COUNTIF(A$2:A79,A79)-1)</f>
        <v>5551</v>
      </c>
      <c r="E79" s="138" t="s">
        <v>372</v>
      </c>
      <c r="F79" s="138" t="str">
        <f>VLOOKUP(D79,unit_serifs_i18n!C:F,3,FALSE)</f>
        <v>maru</v>
      </c>
      <c r="G79" s="138" t="str">
        <f>VLOOKUP(D79,unit_serifs_i18n!C:F,4,FALSE)</f>
        <v>いっきますよー！！</v>
      </c>
    </row>
    <row r="80" spans="1:7" x14ac:dyDescent="0.15">
      <c r="A80" s="24">
        <v>555</v>
      </c>
      <c r="B80" s="112" t="str">
        <f>VLOOKUP(A80,[2]characters!$A:$C,3,FALSE)</f>
        <v>雪ミク2014</v>
      </c>
      <c r="C80" s="154" t="s">
        <v>373</v>
      </c>
      <c r="D80" s="151" t="str">
        <f>A80&amp;+(COUNTIF(A$2:A80,A80)-1)</f>
        <v>5552</v>
      </c>
      <c r="E80" s="138" t="s">
        <v>372</v>
      </c>
      <c r="F80" s="138" t="str">
        <f>VLOOKUP(D80,unit_serifs_i18n!C:F,3,FALSE)</f>
        <v>maru</v>
      </c>
      <c r="G80" s="138" t="str">
        <f>VLOOKUP(D80,unit_serifs_i18n!C:F,4,FALSE)</f>
        <v>魔法、使っちゃいます！</v>
      </c>
    </row>
    <row r="81" spans="1:7" x14ac:dyDescent="0.15">
      <c r="A81" s="24">
        <v>556</v>
      </c>
      <c r="B81" s="112" t="str">
        <f>VLOOKUP(A81,[2]characters!$A:$C,3,FALSE)</f>
        <v>雪ミク&amp;ラビットユキネ2014</v>
      </c>
      <c r="C81" s="154" t="s">
        <v>374</v>
      </c>
      <c r="D81" s="151" t="str">
        <f>A81&amp;+(COUNTIF(A$2:A81,A81)-1)</f>
        <v>5560</v>
      </c>
      <c r="E81" s="138" t="s">
        <v>372</v>
      </c>
      <c r="F81" s="138" t="str">
        <f>VLOOKUP(D81,unit_serifs_i18n!C:F,3,FALSE)</f>
        <v>maru</v>
      </c>
      <c r="G81" s="138" t="str">
        <f>VLOOKUP(D81,unit_serifs_i18n!C:F,4,FALSE)</f>
        <v>雪ミク2016もよろしくね！</v>
      </c>
    </row>
    <row r="82" spans="1:7" x14ac:dyDescent="0.15">
      <c r="A82" s="24">
        <v>556</v>
      </c>
      <c r="B82" s="112" t="str">
        <f>VLOOKUP(A82,[2]characters!$A:$C,3,FALSE)</f>
        <v>雪ミク&amp;ラビットユキネ2014</v>
      </c>
      <c r="C82" s="154" t="s">
        <v>373</v>
      </c>
      <c r="D82" s="151" t="str">
        <f>A82&amp;+(COUNTIF(A$2:A82,A82)-1)</f>
        <v>5561</v>
      </c>
      <c r="E82" s="138" t="s">
        <v>372</v>
      </c>
      <c r="F82" s="138" t="str">
        <f>VLOOKUP(D82,unit_serifs_i18n!C:F,3,FALSE)</f>
        <v>maru</v>
      </c>
      <c r="G82" s="138" t="str">
        <f>VLOOKUP(D82,unit_serifs_i18n!C:F,4,FALSE)</f>
        <v>真っ白に染めちゃいます！</v>
      </c>
    </row>
    <row r="83" spans="1:7" x14ac:dyDescent="0.15">
      <c r="A83" s="24">
        <v>556</v>
      </c>
      <c r="B83" s="160" t="str">
        <f>VLOOKUP(A83,[2]characters!$A:$C,3,FALSE)</f>
        <v>雪ミク&amp;ラビットユキネ2014</v>
      </c>
      <c r="C83" s="161" t="s">
        <v>373</v>
      </c>
      <c r="D83" s="162" t="str">
        <f>D79</f>
        <v>5551</v>
      </c>
      <c r="E83" s="163" t="s">
        <v>372</v>
      </c>
      <c r="F83" s="163" t="str">
        <f>VLOOKUP(D83,unit_serifs_i18n!C:F,3,FALSE)</f>
        <v>maru</v>
      </c>
      <c r="G83" s="163" t="str">
        <f>VLOOKUP(D83,unit_serifs_i18n!C:F,4,FALSE)</f>
        <v>いっきますよー！！</v>
      </c>
    </row>
    <row r="84" spans="1:7" x14ac:dyDescent="0.15">
      <c r="A84" s="24">
        <v>556</v>
      </c>
      <c r="B84" s="160" t="str">
        <f>VLOOKUP(A84,[2]characters!$A:$C,3,FALSE)</f>
        <v>雪ミク&amp;ラビットユキネ2014</v>
      </c>
      <c r="C84" s="161" t="s">
        <v>373</v>
      </c>
      <c r="D84" s="162" t="str">
        <f>D80</f>
        <v>5552</v>
      </c>
      <c r="E84" s="163" t="s">
        <v>372</v>
      </c>
      <c r="F84" s="163" t="str">
        <f>VLOOKUP(D84,unit_serifs_i18n!C:F,3,FALSE)</f>
        <v>maru</v>
      </c>
      <c r="G84" s="163" t="str">
        <f>VLOOKUP(D84,unit_serifs_i18n!C:F,4,FALSE)</f>
        <v>魔法、使っちゃいます！</v>
      </c>
    </row>
    <row r="85" spans="1:7" x14ac:dyDescent="0.15">
      <c r="A85" s="24">
        <v>557</v>
      </c>
      <c r="B85" s="112" t="str">
        <f>VLOOKUP(A85,[2]characters!$A:$C,3,FALSE)</f>
        <v>ラビット・ユキネ</v>
      </c>
      <c r="C85" s="154" t="s">
        <v>374</v>
      </c>
      <c r="D85" s="151" t="str">
        <f>A85&amp;+(COUNTIF(A$2:A85,A85)-1)</f>
        <v>5570</v>
      </c>
      <c r="E85" s="138" t="s">
        <v>372</v>
      </c>
      <c r="F85" s="138" t="str">
        <f>VLOOKUP(D85,unit_serifs_i18n!C:F,3,FALSE)</f>
        <v>giza</v>
      </c>
      <c r="G85" s="138" t="str">
        <f>VLOOKUP(D85,unit_serifs_i18n!C:F,4,FALSE)</f>
        <v>覚悟ウサ！</v>
      </c>
    </row>
    <row r="86" spans="1:7" x14ac:dyDescent="0.15">
      <c r="A86" s="24">
        <v>557</v>
      </c>
      <c r="B86" s="112" t="str">
        <f>VLOOKUP(A86,[2]characters!$A:$C,3,FALSE)</f>
        <v>ラビット・ユキネ</v>
      </c>
      <c r="C86" s="154" t="s">
        <v>373</v>
      </c>
      <c r="D86" s="151" t="str">
        <f>A86&amp;+(COUNTIF(A$2:A86,A86)-1)</f>
        <v>5571</v>
      </c>
      <c r="E86" s="138" t="s">
        <v>372</v>
      </c>
      <c r="F86" s="138" t="str">
        <f>VLOOKUP(D86,unit_serifs_i18n!C:F,3,FALSE)</f>
        <v>giza</v>
      </c>
      <c r="G86" s="138" t="str">
        <f>VLOOKUP(D86,unit_serifs_i18n!C:F,4,FALSE)</f>
        <v>キックだウサ！</v>
      </c>
    </row>
    <row r="87" spans="1:7" x14ac:dyDescent="0.15">
      <c r="A87" s="24">
        <v>558</v>
      </c>
      <c r="B87" s="112" t="str">
        <f>VLOOKUP(A87,[2]characters!$A:$C,3,FALSE)</f>
        <v>雪原の超躍 ラビット・ユキネ</v>
      </c>
      <c r="C87" s="154" t="s">
        <v>374</v>
      </c>
      <c r="D87" s="151" t="str">
        <f>A87&amp;+(COUNTIF(A$2:A87,A87)-1)</f>
        <v>5580</v>
      </c>
      <c r="E87" s="138" t="s">
        <v>372</v>
      </c>
      <c r="F87" s="138" t="str">
        <f>VLOOKUP(D87,unit_serifs_i18n!C:F,3,FALSE)</f>
        <v>giza</v>
      </c>
      <c r="G87" s="138" t="str">
        <f>VLOOKUP(D87,unit_serifs_i18n!C:F,4,FALSE)</f>
        <v>一緒に飛び出すウサ！</v>
      </c>
    </row>
    <row r="88" spans="1:7" x14ac:dyDescent="0.15">
      <c r="A88" s="24">
        <v>558</v>
      </c>
      <c r="B88" s="112" t="str">
        <f>VLOOKUP(A88,[2]characters!$A:$C,3,FALSE)</f>
        <v>雪原の超躍 ラビット・ユキネ</v>
      </c>
      <c r="C88" s="154" t="s">
        <v>373</v>
      </c>
      <c r="D88" s="151" t="str">
        <f>A88&amp;+(COUNTIF(A$2:A88,A88)-1)</f>
        <v>5581</v>
      </c>
      <c r="E88" s="138" t="s">
        <v>372</v>
      </c>
      <c r="F88" s="138" t="str">
        <f>VLOOKUP(D88,unit_serifs_i18n!C:F,3,FALSE)</f>
        <v>giza</v>
      </c>
      <c r="G88" s="138" t="str">
        <f>VLOOKUP(D88,unit_serifs_i18n!C:F,4,FALSE)</f>
        <v>ジャンプだウサ！</v>
      </c>
    </row>
    <row r="89" spans="1:7" x14ac:dyDescent="0.15">
      <c r="A89" s="159">
        <v>558</v>
      </c>
      <c r="B89" s="160" t="str">
        <f>VLOOKUP(A89,[2]characters!$A:$C,3,FALSE)</f>
        <v>雪原の超躍 ラビット・ユキネ</v>
      </c>
      <c r="C89" s="161" t="s">
        <v>373</v>
      </c>
      <c r="D89" s="162" t="str">
        <f>D86</f>
        <v>5571</v>
      </c>
      <c r="E89" s="163" t="s">
        <v>372</v>
      </c>
      <c r="F89" s="163" t="str">
        <f>VLOOKUP(D89,unit_serifs_i18n!C:F,3,FALSE)</f>
        <v>giza</v>
      </c>
      <c r="G89" s="163" t="str">
        <f>VLOOKUP(D89,unit_serifs_i18n!C:F,4,FALSE)</f>
        <v>キックだウサ！</v>
      </c>
    </row>
    <row r="90" spans="1:7" x14ac:dyDescent="0.15">
      <c r="A90" s="24">
        <v>559</v>
      </c>
      <c r="B90" s="112" t="str">
        <f>VLOOKUP(A90,[2]characters!$A:$C,3,FALSE)</f>
        <v>白銀の滑光 ラビット・ユキネ</v>
      </c>
      <c r="C90" s="154" t="s">
        <v>374</v>
      </c>
      <c r="D90" s="151" t="str">
        <f>A90&amp;+(COUNTIF(A$2:A90,A90)-1)</f>
        <v>5590</v>
      </c>
      <c r="E90" s="138" t="s">
        <v>372</v>
      </c>
      <c r="F90" s="138" t="str">
        <f>VLOOKUP(D90,unit_serifs_i18n!C:F,3,FALSE)</f>
        <v>giza</v>
      </c>
      <c r="G90" s="138" t="str">
        <f>VLOOKUP(D90,unit_serifs_i18n!C:F,4,FALSE)</f>
        <v>華麗に決めるウサ！</v>
      </c>
    </row>
    <row r="91" spans="1:7" x14ac:dyDescent="0.15">
      <c r="A91" s="24">
        <v>559</v>
      </c>
      <c r="B91" s="112" t="str">
        <f>VLOOKUP(A91,[2]characters!$A:$C,3,FALSE)</f>
        <v>白銀の滑光 ラビット・ユキネ</v>
      </c>
      <c r="C91" s="154" t="s">
        <v>376</v>
      </c>
      <c r="D91" s="151" t="str">
        <f>A91&amp;+(COUNTIF(A$2:A91,A91)-1)</f>
        <v>5591</v>
      </c>
      <c r="E91" s="138" t="s">
        <v>372</v>
      </c>
      <c r="F91" s="138" t="str">
        <f>VLOOKUP(D91,unit_serifs_i18n!C:F,3,FALSE)</f>
        <v>giza</v>
      </c>
      <c r="G91" s="138" t="str">
        <f>VLOOKUP(D91,unit_serifs_i18n!C:F,4,FALSE)</f>
        <v>飛び込むウサ！</v>
      </c>
    </row>
    <row r="92" spans="1:7" x14ac:dyDescent="0.15">
      <c r="A92" s="159">
        <v>559</v>
      </c>
      <c r="B92" s="160" t="str">
        <f>VLOOKUP(A92,[2]characters!$A:$C,3,FALSE)</f>
        <v>白銀の滑光 ラビット・ユキネ</v>
      </c>
      <c r="C92" s="161" t="s">
        <v>373</v>
      </c>
      <c r="D92" s="162" t="str">
        <f>D86</f>
        <v>5571</v>
      </c>
      <c r="E92" s="163" t="s">
        <v>372</v>
      </c>
      <c r="F92" s="163" t="str">
        <f>VLOOKUP(D92,unit_serifs_i18n!C:F,3,FALSE)</f>
        <v>giza</v>
      </c>
      <c r="G92" s="163" t="str">
        <f>VLOOKUP(D92,unit_serifs_i18n!C:F,4,FALSE)</f>
        <v>キックだウサ！</v>
      </c>
    </row>
    <row r="93" spans="1:7" x14ac:dyDescent="0.15">
      <c r="A93" s="159">
        <v>559</v>
      </c>
      <c r="B93" s="160" t="str">
        <f>VLOOKUP(A93,[2]characters!$A:$C,3,FALSE)</f>
        <v>白銀の滑光 ラビット・ユキネ</v>
      </c>
      <c r="C93" s="161" t="s">
        <v>373</v>
      </c>
      <c r="D93" s="162" t="str">
        <f>D88</f>
        <v>5581</v>
      </c>
      <c r="E93" s="163" t="s">
        <v>372</v>
      </c>
      <c r="F93" s="163" t="str">
        <f>VLOOKUP(D93,unit_serifs_i18n!C:F,3,FALSE)</f>
        <v>giza</v>
      </c>
      <c r="G93" s="163" t="str">
        <f>VLOOKUP(D93,unit_serifs_i18n!C:F,4,FALSE)</f>
        <v>ジャンプだウサ！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rgb="FF0000FF"/>
  </sheetPr>
  <dimension ref="A1:L68"/>
  <sheetViews>
    <sheetView topLeftCell="A43" workbookViewId="0">
      <selection activeCell="F70" sqref="F70"/>
    </sheetView>
  </sheetViews>
  <sheetFormatPr baseColWidth="12" defaultRowHeight="15" x14ac:dyDescent="0.15"/>
  <cols>
    <col min="2" max="2" width="28.83203125" bestFit="1" customWidth="1"/>
    <col min="6" max="6" width="26.33203125" bestFit="1" customWidth="1"/>
  </cols>
  <sheetData>
    <row r="1" spans="1:12" x14ac:dyDescent="0.15">
      <c r="A1" s="116" t="s">
        <v>134</v>
      </c>
      <c r="B1" s="149" t="s">
        <v>147</v>
      </c>
      <c r="C1" s="113" t="s">
        <v>135</v>
      </c>
      <c r="D1" s="113" t="s">
        <v>137</v>
      </c>
      <c r="E1" s="113" t="s">
        <v>271</v>
      </c>
      <c r="F1" s="113" t="s">
        <v>272</v>
      </c>
    </row>
    <row r="2" spans="1:12" x14ac:dyDescent="0.15">
      <c r="A2" s="153">
        <v>525</v>
      </c>
      <c r="B2" s="148" t="str">
        <f ca="1">VLOOKUP($A2,OFFSET([1]characters!$A$1,0,0,COUNTA([1]characters!$A:$A),MATCH(B$1,[1]characters!$1:$1,0)-MATCH($A$1,[1]characters!$1:$1,0)+1),MATCH(B$1,[1]characters!$1:$1,0)-MATCH($A$1,[1]characters!$1:$1,0)+1,FALSE)</f>
        <v>ウィンタースポーツ 雪ミク</v>
      </c>
      <c r="C2" s="151" t="str">
        <f>A2&amp;+(COUNTIF(A$2:A2,A2)-1)</f>
        <v>5250</v>
      </c>
      <c r="D2" s="138" t="s">
        <v>273</v>
      </c>
      <c r="E2" s="138" t="s">
        <v>304</v>
      </c>
      <c r="F2" s="112" t="s">
        <v>299</v>
      </c>
    </row>
    <row r="3" spans="1:12" x14ac:dyDescent="0.15">
      <c r="A3" s="153">
        <v>525</v>
      </c>
      <c r="B3" s="148" t="str">
        <f ca="1">VLOOKUP($A3,OFFSET([1]characters!$A$1,0,0,COUNTA([1]characters!$A:$A),MATCH(B$1,[1]characters!$1:$1,0)-MATCH($A$1,[1]characters!$1:$1,0)+1),MATCH(B$1,[1]characters!$1:$1,0)-MATCH($A$1,[1]characters!$1:$1,0)+1,FALSE)</f>
        <v>ウィンタースポーツ 雪ミク</v>
      </c>
      <c r="C3" s="151" t="str">
        <f>A3&amp;+(COUNTIF(A$2:A3,A3)-1)</f>
        <v>5251</v>
      </c>
      <c r="D3" s="138" t="s">
        <v>275</v>
      </c>
      <c r="E3" s="138" t="s">
        <v>304</v>
      </c>
      <c r="F3" s="112" t="s">
        <v>300</v>
      </c>
    </row>
    <row r="4" spans="1:12" x14ac:dyDescent="0.15">
      <c r="A4" s="153">
        <v>525</v>
      </c>
      <c r="B4" s="148" t="str">
        <f ca="1">VLOOKUP($A4,OFFSET([1]characters!$A$1,0,0,COUNTA([1]characters!$A:$A),MATCH(B$1,[1]characters!$1:$1,0)-MATCH($A$1,[1]characters!$1:$1,0)+1),MATCH(B$1,[1]characters!$1:$1,0)-MATCH($A$1,[1]characters!$1:$1,0)+1,FALSE)</f>
        <v>ウィンタースポーツ 雪ミク</v>
      </c>
      <c r="C4" s="151" t="str">
        <f>A4&amp;+(COUNTIF(A$2:A4,A4)-1)</f>
        <v>5252</v>
      </c>
      <c r="D4" s="138" t="s">
        <v>180</v>
      </c>
      <c r="E4" s="138" t="s">
        <v>304</v>
      </c>
      <c r="F4" s="112" t="s">
        <v>301</v>
      </c>
    </row>
    <row r="5" spans="1:12" x14ac:dyDescent="0.15">
      <c r="A5" s="153">
        <v>526</v>
      </c>
      <c r="B5" s="148" t="str">
        <f ca="1">VLOOKUP($A5,OFFSET([1]characters!$A$1,0,0,COUNTA([1]characters!$A:$A),MATCH(B$1,[1]characters!$1:$1,0)-MATCH($A$1,[1]characters!$1:$1,0)+1),MATCH(B$1,[1]characters!$1:$1,0)-MATCH($A$1,[1]characters!$1:$1,0)+1,FALSE)</f>
        <v>大滑走 雪ミク&amp;ラビットユキネ</v>
      </c>
      <c r="C5" s="151" t="str">
        <f>A5&amp;+(COUNTIF(A$2:A5,A5)-1)</f>
        <v>5260</v>
      </c>
      <c r="D5" s="138" t="s">
        <v>180</v>
      </c>
      <c r="E5" s="138" t="s">
        <v>304</v>
      </c>
      <c r="F5" s="112" t="s">
        <v>303</v>
      </c>
    </row>
    <row r="6" spans="1:12" x14ac:dyDescent="0.15">
      <c r="A6" s="153">
        <v>526</v>
      </c>
      <c r="B6" s="148" t="str">
        <f ca="1">VLOOKUP($A6,OFFSET([1]characters!$A$1,0,0,COUNTA([1]characters!$A:$A),MATCH(B$1,[1]characters!$1:$1,0)-MATCH($A$1,[1]characters!$1:$1,0)+1),MATCH(B$1,[1]characters!$1:$1,0)-MATCH($A$1,[1]characters!$1:$1,0)+1,FALSE)</f>
        <v>大滑走 雪ミク&amp;ラビットユキネ</v>
      </c>
      <c r="C6" s="151" t="str">
        <f>A6&amp;+(COUNTIF(A$2:A6,A6)-1)</f>
        <v>5261</v>
      </c>
      <c r="D6" s="138" t="s">
        <v>180</v>
      </c>
      <c r="E6" s="138" t="s">
        <v>304</v>
      </c>
      <c r="F6" s="112" t="s">
        <v>302</v>
      </c>
    </row>
    <row r="7" spans="1:12" x14ac:dyDescent="0.15">
      <c r="A7" s="153">
        <v>527</v>
      </c>
      <c r="B7" s="148" t="str">
        <f ca="1">VLOOKUP($A7,OFFSET([1]characters!$A$1,0,0,COUNTA([1]characters!$A:$A),MATCH(B$1,[1]characters!$1:$1,0)-MATCH($A$1,[1]characters!$1:$1,0)+1),MATCH(B$1,[1]characters!$1:$1,0)-MATCH($A$1,[1]characters!$1:$1,0)+1,FALSE)</f>
        <v>初音ミクV3</v>
      </c>
      <c r="C7" s="151" t="str">
        <f>A7&amp;+(COUNTIF(A$2:A7,A7)-1)</f>
        <v>5270</v>
      </c>
      <c r="D7" s="138" t="s">
        <v>180</v>
      </c>
      <c r="E7" s="138" t="s">
        <v>310</v>
      </c>
      <c r="F7" s="112" t="s">
        <v>305</v>
      </c>
    </row>
    <row r="8" spans="1:12" x14ac:dyDescent="0.15">
      <c r="A8" s="153">
        <v>527</v>
      </c>
      <c r="B8" s="148" t="str">
        <f ca="1">VLOOKUP($A8,OFFSET([1]characters!$A$1,0,0,COUNTA([1]characters!$A:$A),MATCH(B$1,[1]characters!$1:$1,0)-MATCH($A$1,[1]characters!$1:$1,0)+1),MATCH(B$1,[1]characters!$1:$1,0)-MATCH($A$1,[1]characters!$1:$1,0)+1,FALSE)</f>
        <v>初音ミクV3</v>
      </c>
      <c r="C8" s="151" t="str">
        <f>A8&amp;+(COUNTIF(A$2:A8,A8)-1)</f>
        <v>5271</v>
      </c>
      <c r="D8" s="138" t="s">
        <v>180</v>
      </c>
      <c r="E8" s="138" t="s">
        <v>310</v>
      </c>
      <c r="F8" s="112" t="s">
        <v>306</v>
      </c>
    </row>
    <row r="9" spans="1:12" x14ac:dyDescent="0.15">
      <c r="A9" s="153">
        <v>527</v>
      </c>
      <c r="B9" s="148" t="str">
        <f ca="1">VLOOKUP($A9,OFFSET([1]characters!$A$1,0,0,COUNTA([1]characters!$A:$A),MATCH(B$1,[1]characters!$1:$1,0)-MATCH($A$1,[1]characters!$1:$1,0)+1),MATCH(B$1,[1]characters!$1:$1,0)-MATCH($A$1,[1]characters!$1:$1,0)+1,FALSE)</f>
        <v>初音ミクV3</v>
      </c>
      <c r="C9" s="151" t="str">
        <f>A9&amp;+(COUNTIF(A$2:A9,A9)-1)</f>
        <v>5272</v>
      </c>
      <c r="D9" s="138" t="s">
        <v>180</v>
      </c>
      <c r="E9" s="138" t="s">
        <v>274</v>
      </c>
      <c r="F9" s="112" t="s">
        <v>307</v>
      </c>
      <c r="L9" s="152"/>
    </row>
    <row r="10" spans="1:12" x14ac:dyDescent="0.15">
      <c r="A10" s="153">
        <v>528</v>
      </c>
      <c r="B10" s="148" t="str">
        <f ca="1">VLOOKUP($A10,OFFSET([1]characters!$A$1,0,0,COUNTA([1]characters!$A:$A),MATCH(B$1,[1]characters!$1:$1,0)-MATCH($A$1,[1]characters!$1:$1,0)+1),MATCH(B$1,[1]characters!$1:$1,0)-MATCH($A$1,[1]characters!$1:$1,0)+1,FALSE)</f>
        <v>新世の歌姫 初音ミクV3</v>
      </c>
      <c r="C10" s="151" t="str">
        <f>A10&amp;+(COUNTIF(A$2:A10,A10)-1)</f>
        <v>5280</v>
      </c>
      <c r="D10" s="138" t="s">
        <v>180</v>
      </c>
      <c r="E10" s="138" t="s">
        <v>310</v>
      </c>
      <c r="F10" s="112" t="s">
        <v>308</v>
      </c>
      <c r="L10" s="152"/>
    </row>
    <row r="11" spans="1:12" x14ac:dyDescent="0.15">
      <c r="A11" s="153">
        <v>528</v>
      </c>
      <c r="B11" s="148" t="str">
        <f ca="1">VLOOKUP($A11,OFFSET([1]characters!$A$1,0,0,COUNTA([1]characters!$A:$A),MATCH(B$1,[1]characters!$1:$1,0)-MATCH($A$1,[1]characters!$1:$1,0)+1),MATCH(B$1,[1]characters!$1:$1,0)-MATCH($A$1,[1]characters!$1:$1,0)+1,FALSE)</f>
        <v>新世の歌姫 初音ミクV3</v>
      </c>
      <c r="C11" s="151" t="str">
        <f>A11&amp;+(COUNTIF(A$2:A11,A11)-1)</f>
        <v>5281</v>
      </c>
      <c r="D11" s="138" t="s">
        <v>180</v>
      </c>
      <c r="E11" s="138" t="s">
        <v>310</v>
      </c>
      <c r="F11" s="112" t="s">
        <v>309</v>
      </c>
      <c r="L11" s="152"/>
    </row>
    <row r="12" spans="1:12" x14ac:dyDescent="0.15">
      <c r="A12" s="153">
        <v>537</v>
      </c>
      <c r="B12" s="148" t="str">
        <f ca="1">VLOOKUP($A12,OFFSET([1]characters!$A$1,0,0,COUNTA([1]characters!$A:$A),MATCH(B$1,[1]characters!$1:$1,0)-MATCH($A$1,[1]characters!$1:$1,0)+1),MATCH(B$1,[1]characters!$1:$1,0)-MATCH($A$1,[1]characters!$1:$1,0)+1,FALSE)</f>
        <v>冬服ハッピー100</v>
      </c>
      <c r="C12" s="151" t="str">
        <f>A12&amp;+(COUNTIF(A$2:A12,A12)-1)</f>
        <v>5370</v>
      </c>
      <c r="D12" s="138" t="s">
        <v>180</v>
      </c>
      <c r="E12" s="138" t="s">
        <v>384</v>
      </c>
      <c r="F12" s="112" t="s">
        <v>378</v>
      </c>
      <c r="L12" s="152"/>
    </row>
    <row r="13" spans="1:12" x14ac:dyDescent="0.15">
      <c r="A13" s="165">
        <v>537</v>
      </c>
      <c r="B13" s="148" t="str">
        <f ca="1">VLOOKUP($A13,OFFSET([1]characters!$A$1,0,0,COUNTA([1]characters!$A:$A),MATCH(B$1,[1]characters!$1:$1,0)-MATCH($A$1,[1]characters!$1:$1,0)+1),MATCH(B$1,[1]characters!$1:$1,0)-MATCH($A$1,[1]characters!$1:$1,0)+1,FALSE)</f>
        <v>冬服ハッピー100</v>
      </c>
      <c r="C13" s="151" t="str">
        <f>A13&amp;+(COUNTIF(A$2:A13,A13)-1)</f>
        <v>5371</v>
      </c>
      <c r="D13" s="138" t="s">
        <v>180</v>
      </c>
      <c r="E13" s="138" t="s">
        <v>384</v>
      </c>
      <c r="F13" s="112" t="s">
        <v>379</v>
      </c>
      <c r="L13" s="152"/>
    </row>
    <row r="14" spans="1:12" x14ac:dyDescent="0.15">
      <c r="A14" s="165">
        <v>537</v>
      </c>
      <c r="B14" s="148" t="str">
        <f ca="1">VLOOKUP($A14,OFFSET([1]characters!$A$1,0,0,COUNTA([1]characters!$A:$A),MATCH(B$1,[1]characters!$1:$1,0)-MATCH($A$1,[1]characters!$1:$1,0)+1),MATCH(B$1,[1]characters!$1:$1,0)-MATCH($A$1,[1]characters!$1:$1,0)+1,FALSE)</f>
        <v>冬服ハッピー100</v>
      </c>
      <c r="C14" s="151" t="str">
        <f>A14&amp;+(COUNTIF(A$2:A14,A14)-1)</f>
        <v>5372</v>
      </c>
      <c r="D14" s="138" t="s">
        <v>180</v>
      </c>
      <c r="E14" s="138" t="s">
        <v>384</v>
      </c>
      <c r="F14" s="112" t="s">
        <v>380</v>
      </c>
      <c r="L14" s="152"/>
    </row>
    <row r="15" spans="1:12" x14ac:dyDescent="0.15">
      <c r="A15" s="165">
        <v>538</v>
      </c>
      <c r="B15" s="148" t="str">
        <f ca="1">VLOOKUP($A15,OFFSET([1]characters!$A$1,0,0,COUNTA([1]characters!$A:$A),MATCH(B$1,[1]characters!$1:$1,0)-MATCH($A$1,[1]characters!$1:$1,0)+1),MATCH(B$1,[1]characters!$1:$1,0)-MATCH($A$1,[1]characters!$1:$1,0)+1,FALSE)</f>
        <v>冬服ニムダ</v>
      </c>
      <c r="C15" s="151" t="str">
        <f>A15&amp;+(COUNTIF(A$2:A15,A15)-1)</f>
        <v>5380</v>
      </c>
      <c r="D15" s="138" t="s">
        <v>180</v>
      </c>
      <c r="E15" s="138" t="s">
        <v>384</v>
      </c>
      <c r="F15" s="112" t="s">
        <v>381</v>
      </c>
      <c r="L15" s="152"/>
    </row>
    <row r="16" spans="1:12" x14ac:dyDescent="0.15">
      <c r="A16" s="165">
        <v>538</v>
      </c>
      <c r="B16" s="148" t="str">
        <f ca="1">VLOOKUP($A16,OFFSET([1]characters!$A$1,0,0,COUNTA([1]characters!$A:$A),MATCH(B$1,[1]characters!$1:$1,0)-MATCH($A$1,[1]characters!$1:$1,0)+1),MATCH(B$1,[1]characters!$1:$1,0)-MATCH($A$1,[1]characters!$1:$1,0)+1,FALSE)</f>
        <v>冬服ニムダ</v>
      </c>
      <c r="C16" s="151" t="str">
        <f>A16&amp;+(COUNTIF(A$2:A16,A16)-1)</f>
        <v>5381</v>
      </c>
      <c r="D16" s="138" t="s">
        <v>180</v>
      </c>
      <c r="E16" s="138" t="s">
        <v>384</v>
      </c>
      <c r="F16" s="112" t="s">
        <v>382</v>
      </c>
      <c r="L16" s="152"/>
    </row>
    <row r="17" spans="1:12" x14ac:dyDescent="0.15">
      <c r="A17" s="165">
        <v>538</v>
      </c>
      <c r="B17" s="148" t="str">
        <f ca="1">VLOOKUP($A17,OFFSET([1]characters!$A$1,0,0,COUNTA([1]characters!$A:$A),MATCH(B$1,[1]characters!$1:$1,0)-MATCH($A$1,[1]characters!$1:$1,0)+1),MATCH(B$1,[1]characters!$1:$1,0)-MATCH($A$1,[1]characters!$1:$1,0)+1,FALSE)</f>
        <v>冬服ニムダ</v>
      </c>
      <c r="C17" s="151" t="str">
        <f>A17&amp;+(COUNTIF(A$2:A17,A17)-1)</f>
        <v>5382</v>
      </c>
      <c r="D17" s="138" t="s">
        <v>180</v>
      </c>
      <c r="E17" s="138" t="s">
        <v>386</v>
      </c>
      <c r="F17" s="112" t="s">
        <v>383</v>
      </c>
      <c r="L17" s="152"/>
    </row>
    <row r="18" spans="1:12" x14ac:dyDescent="0.15">
      <c r="A18" s="24">
        <v>539</v>
      </c>
      <c r="B18" s="148" t="str">
        <f ca="1">VLOOKUP($A18,OFFSET([1]characters!$A$1,0,0,COUNTA([1]characters!$A:$A),MATCH(B$1,[1]characters!$1:$1,0)-MATCH($A$1,[1]characters!$1:$1,0)+1),MATCH(B$1,[1]characters!$1:$1,0)-MATCH($A$1,[1]characters!$1:$1,0)+1,FALSE)</f>
        <v>初音ミク・アペンド</v>
      </c>
      <c r="C18" s="151" t="str">
        <f>A18&amp;+(COUNTIF(A$2:A18,A18)-1)</f>
        <v>5390</v>
      </c>
      <c r="D18" s="138" t="s">
        <v>180</v>
      </c>
      <c r="E18" s="138" t="s">
        <v>385</v>
      </c>
      <c r="F18" s="112" t="s">
        <v>336</v>
      </c>
      <c r="L18" s="152"/>
    </row>
    <row r="19" spans="1:12" x14ac:dyDescent="0.15">
      <c r="A19" s="24">
        <v>539</v>
      </c>
      <c r="B19" s="148" t="str">
        <f ca="1">VLOOKUP($A19,OFFSET([1]characters!$A$1,0,0,COUNTA([1]characters!$A:$A),MATCH(B$1,[1]characters!$1:$1,0)-MATCH($A$1,[1]characters!$1:$1,0)+1),MATCH(B$1,[1]characters!$1:$1,0)-MATCH($A$1,[1]characters!$1:$1,0)+1,FALSE)</f>
        <v>初音ミク・アペンド</v>
      </c>
      <c r="C19" s="151" t="str">
        <f>A19&amp;+(COUNTIF(A$2:A19,A19)-1)</f>
        <v>5391</v>
      </c>
      <c r="D19" s="138" t="s">
        <v>277</v>
      </c>
      <c r="E19" s="138" t="s">
        <v>316</v>
      </c>
      <c r="F19" s="112" t="s">
        <v>318</v>
      </c>
      <c r="L19" s="152"/>
    </row>
    <row r="20" spans="1:12" x14ac:dyDescent="0.15">
      <c r="A20" s="24">
        <v>539</v>
      </c>
      <c r="B20" s="148" t="str">
        <f ca="1">VLOOKUP($A20,OFFSET([1]characters!$A$1,0,0,COUNTA([1]characters!$A:$A),MATCH(B$1,[1]characters!$1:$1,0)-MATCH($A$1,[1]characters!$1:$1,0)+1),MATCH(B$1,[1]characters!$1:$1,0)-MATCH($A$1,[1]characters!$1:$1,0)+1,FALSE)</f>
        <v>初音ミク・アペンド</v>
      </c>
      <c r="C20" s="151" t="str">
        <f>A20&amp;+(COUNTIF(A$2:A20,A20)-1)</f>
        <v>5392</v>
      </c>
      <c r="D20" s="138" t="s">
        <v>180</v>
      </c>
      <c r="E20" s="138" t="s">
        <v>310</v>
      </c>
      <c r="F20" s="112" t="s">
        <v>319</v>
      </c>
      <c r="L20" s="152"/>
    </row>
    <row r="21" spans="1:12" x14ac:dyDescent="0.15">
      <c r="A21" s="24">
        <v>540</v>
      </c>
      <c r="B21" s="148" t="str">
        <f ca="1">VLOOKUP($A21,OFFSET([1]characters!$A$1,0,0,COUNTA([1]characters!$A:$A),MATCH(B$1,[1]characters!$1:$1,0)-MATCH($A$1,[1]characters!$1:$1,0)+1),MATCH(B$1,[1]characters!$1:$1,0)-MATCH($A$1,[1]characters!$1:$1,0)+1,FALSE)</f>
        <v>来訪の歌姫 初音ミク・アペンド</v>
      </c>
      <c r="C21" s="151" t="str">
        <f>A21&amp;+(COUNTIF(A$2:A21,A21)-1)</f>
        <v>5400</v>
      </c>
      <c r="D21" s="138" t="s">
        <v>180</v>
      </c>
      <c r="E21" s="138" t="s">
        <v>322</v>
      </c>
      <c r="F21" s="112" t="s">
        <v>320</v>
      </c>
      <c r="L21" s="152"/>
    </row>
    <row r="22" spans="1:12" x14ac:dyDescent="0.15">
      <c r="A22" s="24">
        <v>540</v>
      </c>
      <c r="B22" s="148" t="str">
        <f ca="1">VLOOKUP($A22,OFFSET([1]characters!$A$1,0,0,COUNTA([1]characters!$A:$A),MATCH(B$1,[1]characters!$1:$1,0)-MATCH($A$1,[1]characters!$1:$1,0)+1),MATCH(B$1,[1]characters!$1:$1,0)-MATCH($A$1,[1]characters!$1:$1,0)+1,FALSE)</f>
        <v>来訪の歌姫 初音ミク・アペンド</v>
      </c>
      <c r="C22" s="151" t="str">
        <f>A22&amp;+(COUNTIF(A$2:A22,A22)-1)</f>
        <v>5401</v>
      </c>
      <c r="D22" s="138" t="s">
        <v>180</v>
      </c>
      <c r="E22" s="138" t="s">
        <v>317</v>
      </c>
      <c r="F22" s="112" t="s">
        <v>321</v>
      </c>
      <c r="L22" s="152"/>
    </row>
    <row r="23" spans="1:12" x14ac:dyDescent="0.15">
      <c r="A23" s="24">
        <v>541</v>
      </c>
      <c r="B23" s="148" t="str">
        <f ca="1">VLOOKUP($A23,OFFSET([1]characters!$A$1,0,0,COUNTA([1]characters!$A:$A),MATCH(B$1,[1]characters!$1:$1,0)-MATCH($A$1,[1]characters!$1:$1,0)+1),MATCH(B$1,[1]characters!$1:$1,0)-MATCH($A$1,[1]characters!$1:$1,0)+1,FALSE)</f>
        <v>初音ミク</v>
      </c>
      <c r="C23" s="151" t="str">
        <f>A23&amp;+(COUNTIF(A$2:A23,A23)-1)</f>
        <v>5410</v>
      </c>
      <c r="D23" s="138" t="s">
        <v>180</v>
      </c>
      <c r="E23" s="138" t="s">
        <v>323</v>
      </c>
      <c r="F23" s="112" t="s">
        <v>311</v>
      </c>
      <c r="L23" s="152"/>
    </row>
    <row r="24" spans="1:12" x14ac:dyDescent="0.15">
      <c r="A24" s="24">
        <v>541</v>
      </c>
      <c r="B24" s="148" t="str">
        <f ca="1">VLOOKUP($A24,OFFSET([1]characters!$A$1,0,0,COUNTA([1]characters!$A:$A),MATCH(B$1,[1]characters!$1:$1,0)-MATCH($A$1,[1]characters!$1:$1,0)+1),MATCH(B$1,[1]characters!$1:$1,0)-MATCH($A$1,[1]characters!$1:$1,0)+1,FALSE)</f>
        <v>初音ミク</v>
      </c>
      <c r="C24" s="151" t="str">
        <f>A24&amp;+(COUNTIF(A$2:A24,A24)-1)</f>
        <v>5411</v>
      </c>
      <c r="D24" s="138" t="s">
        <v>279</v>
      </c>
      <c r="E24" s="138" t="s">
        <v>317</v>
      </c>
      <c r="F24" s="112" t="s">
        <v>312</v>
      </c>
      <c r="L24" s="152"/>
    </row>
    <row r="25" spans="1:12" x14ac:dyDescent="0.15">
      <c r="A25" s="24">
        <v>541</v>
      </c>
      <c r="B25" s="148" t="str">
        <f ca="1">VLOOKUP($A25,OFFSET([1]characters!$A$1,0,0,COUNTA([1]characters!$A:$A),MATCH(B$1,[1]characters!$1:$1,0)-MATCH($A$1,[1]characters!$1:$1,0)+1),MATCH(B$1,[1]characters!$1:$1,0)-MATCH($A$1,[1]characters!$1:$1,0)+1,FALSE)</f>
        <v>初音ミク</v>
      </c>
      <c r="C25" s="151" t="str">
        <f>A25&amp;+(COUNTIF(A$2:A25,A25)-1)</f>
        <v>5412</v>
      </c>
      <c r="D25" s="138" t="s">
        <v>280</v>
      </c>
      <c r="E25" s="138" t="s">
        <v>324</v>
      </c>
      <c r="F25" s="112" t="s">
        <v>313</v>
      </c>
      <c r="L25" s="152"/>
    </row>
    <row r="26" spans="1:12" x14ac:dyDescent="0.15">
      <c r="A26" s="24">
        <v>542</v>
      </c>
      <c r="B26" s="148" t="str">
        <f ca="1">VLOOKUP($A26,OFFSET([1]characters!$A$1,0,0,COUNTA([1]characters!$A:$A),MATCH(B$1,[1]characters!$1:$1,0)-MATCH($A$1,[1]characters!$1:$1,0)+1),MATCH(B$1,[1]characters!$1:$1,0)-MATCH($A$1,[1]characters!$1:$1,0)+1,FALSE)</f>
        <v>革命の音撃 初音ミク</v>
      </c>
      <c r="C26" s="151" t="str">
        <f>A26&amp;+(COUNTIF(A$2:A26,A26)-1)</f>
        <v>5420</v>
      </c>
      <c r="D26" s="138" t="s">
        <v>180</v>
      </c>
      <c r="E26" s="138" t="s">
        <v>317</v>
      </c>
      <c r="F26" s="112" t="s">
        <v>314</v>
      </c>
      <c r="L26" s="152"/>
    </row>
    <row r="27" spans="1:12" x14ac:dyDescent="0.15">
      <c r="A27" s="24">
        <v>542</v>
      </c>
      <c r="B27" s="148" t="str">
        <f ca="1">VLOOKUP($A27,OFFSET([1]characters!$A$1,0,0,COUNTA([1]characters!$A:$A),MATCH(B$1,[1]characters!$1:$1,0)-MATCH($A$1,[1]characters!$1:$1,0)+1),MATCH(B$1,[1]characters!$1:$1,0)-MATCH($A$1,[1]characters!$1:$1,0)+1,FALSE)</f>
        <v>革命の音撃 初音ミク</v>
      </c>
      <c r="C27" s="151" t="str">
        <f>A27&amp;+(COUNTIF(A$2:A27,A27)-1)</f>
        <v>5421</v>
      </c>
      <c r="D27" s="138" t="s">
        <v>281</v>
      </c>
      <c r="E27" s="138" t="s">
        <v>325</v>
      </c>
      <c r="F27" s="112" t="s">
        <v>315</v>
      </c>
      <c r="L27" s="152"/>
    </row>
    <row r="28" spans="1:12" x14ac:dyDescent="0.15">
      <c r="A28" s="24">
        <v>543</v>
      </c>
      <c r="B28" s="148" t="str">
        <f ca="1">VLOOKUP($A28,OFFSET([1]characters!$A$1,0,0,COUNTA([1]characters!$A:$A),MATCH(B$1,[1]characters!$1:$1,0)-MATCH($A$1,[1]characters!$1:$1,0)+1),MATCH(B$1,[1]characters!$1:$1,0)-MATCH($A$1,[1]characters!$1:$1,0)+1,FALSE)</f>
        <v>鏡音リン</v>
      </c>
      <c r="C28" s="151" t="str">
        <f>A28&amp;+(COUNTIF(A$2:A28,A28)-1)</f>
        <v>5430</v>
      </c>
      <c r="D28" s="138" t="s">
        <v>180</v>
      </c>
      <c r="E28" s="138" t="s">
        <v>276</v>
      </c>
      <c r="F28" s="112" t="s">
        <v>326</v>
      </c>
      <c r="L28" s="152"/>
    </row>
    <row r="29" spans="1:12" x14ac:dyDescent="0.15">
      <c r="A29" s="24">
        <v>543</v>
      </c>
      <c r="B29" s="148" t="str">
        <f ca="1">VLOOKUP($A29,OFFSET([1]characters!$A$1,0,0,COUNTA([1]characters!$A:$A),MATCH(B$1,[1]characters!$1:$1,0)-MATCH($A$1,[1]characters!$1:$1,0)+1),MATCH(B$1,[1]characters!$1:$1,0)-MATCH($A$1,[1]characters!$1:$1,0)+1,FALSE)</f>
        <v>鏡音リン</v>
      </c>
      <c r="C29" s="151" t="str">
        <f>A29&amp;+(COUNTIF(A$2:A29,A29)-1)</f>
        <v>5431</v>
      </c>
      <c r="D29" s="138" t="s">
        <v>273</v>
      </c>
      <c r="E29" s="138" t="s">
        <v>276</v>
      </c>
      <c r="F29" s="112" t="s">
        <v>327</v>
      </c>
      <c r="L29" s="152"/>
    </row>
    <row r="30" spans="1:12" x14ac:dyDescent="0.15">
      <c r="A30" s="24">
        <v>543</v>
      </c>
      <c r="B30" s="148" t="str">
        <f ca="1">VLOOKUP($A30,OFFSET([1]characters!$A$1,0,0,COUNTA([1]characters!$A:$A),MATCH(B$1,[1]characters!$1:$1,0)-MATCH($A$1,[1]characters!$1:$1,0)+1),MATCH(B$1,[1]characters!$1:$1,0)-MATCH($A$1,[1]characters!$1:$1,0)+1,FALSE)</f>
        <v>鏡音リン</v>
      </c>
      <c r="C30" s="151" t="str">
        <f>A30&amp;+(COUNTIF(A$2:A30,A30)-1)</f>
        <v>5432</v>
      </c>
      <c r="D30" s="138" t="s">
        <v>180</v>
      </c>
      <c r="E30" s="138" t="s">
        <v>274</v>
      </c>
      <c r="F30" s="112" t="s">
        <v>328</v>
      </c>
    </row>
    <row r="31" spans="1:12" x14ac:dyDescent="0.15">
      <c r="A31" s="24">
        <v>544</v>
      </c>
      <c r="B31" s="148" t="str">
        <f ca="1">VLOOKUP($A31,OFFSET([1]characters!$A$1,0,0,COUNTA([1]characters!$A:$A),MATCH(B$1,[1]characters!$1:$1,0)-MATCH($A$1,[1]characters!$1:$1,0)+1),MATCH(B$1,[1]characters!$1:$1,0)-MATCH($A$1,[1]characters!$1:$1,0)+1,FALSE)</f>
        <v>反響の凛音 鏡音リン</v>
      </c>
      <c r="C31" s="151" t="str">
        <f>A31&amp;+(COUNTIF(A$2:A31,A31)-1)</f>
        <v>5440</v>
      </c>
      <c r="D31" s="138" t="s">
        <v>180</v>
      </c>
      <c r="E31" s="138" t="s">
        <v>276</v>
      </c>
      <c r="F31" s="112" t="s">
        <v>329</v>
      </c>
    </row>
    <row r="32" spans="1:12" x14ac:dyDescent="0.15">
      <c r="A32" s="24">
        <v>544</v>
      </c>
      <c r="B32" s="148" t="str">
        <f ca="1">VLOOKUP($A32,OFFSET([1]characters!$A$1,0,0,COUNTA([1]characters!$A:$A),MATCH(B$1,[1]characters!$1:$1,0)-MATCH($A$1,[1]characters!$1:$1,0)+1),MATCH(B$1,[1]characters!$1:$1,0)-MATCH($A$1,[1]characters!$1:$1,0)+1,FALSE)</f>
        <v>反響の凛音 鏡音リン</v>
      </c>
      <c r="C32" s="151" t="str">
        <f>A32&amp;+(COUNTIF(A$2:A32,A32)-1)</f>
        <v>5441</v>
      </c>
      <c r="D32" s="138" t="s">
        <v>282</v>
      </c>
      <c r="E32" s="138" t="s">
        <v>278</v>
      </c>
      <c r="F32" s="112" t="s">
        <v>330</v>
      </c>
    </row>
    <row r="33" spans="1:6" x14ac:dyDescent="0.15">
      <c r="A33" s="24">
        <v>545</v>
      </c>
      <c r="B33" s="148" t="str">
        <f ca="1">VLOOKUP($A33,OFFSET([1]characters!$A$1,0,0,COUNTA([1]characters!$A:$A),MATCH(B$1,[1]characters!$1:$1,0)-MATCH($A$1,[1]characters!$1:$1,0)+1),MATCH(B$1,[1]characters!$1:$1,0)-MATCH($A$1,[1]characters!$1:$1,0)+1,FALSE)</f>
        <v>鏡音レン</v>
      </c>
      <c r="C33" s="151" t="str">
        <f>A33&amp;+(COUNTIF(A$2:A33,A33)-1)</f>
        <v>5450</v>
      </c>
      <c r="D33" s="138" t="s">
        <v>180</v>
      </c>
      <c r="E33" s="138" t="s">
        <v>274</v>
      </c>
      <c r="F33" s="112" t="s">
        <v>331</v>
      </c>
    </row>
    <row r="34" spans="1:6" x14ac:dyDescent="0.15">
      <c r="A34" s="24">
        <v>545</v>
      </c>
      <c r="B34" s="148" t="str">
        <f ca="1">VLOOKUP($A34,OFFSET([1]characters!$A$1,0,0,COUNTA([1]characters!$A:$A),MATCH(B$1,[1]characters!$1:$1,0)-MATCH($A$1,[1]characters!$1:$1,0)+1),MATCH(B$1,[1]characters!$1:$1,0)-MATCH($A$1,[1]characters!$1:$1,0)+1,FALSE)</f>
        <v>鏡音レン</v>
      </c>
      <c r="C34" s="151" t="str">
        <f>A34&amp;+(COUNTIF(A$2:A34,A34)-1)</f>
        <v>5451</v>
      </c>
      <c r="D34" s="138" t="s">
        <v>180</v>
      </c>
      <c r="E34" s="138" t="s">
        <v>274</v>
      </c>
      <c r="F34" s="112" t="s">
        <v>332</v>
      </c>
    </row>
    <row r="35" spans="1:6" x14ac:dyDescent="0.15">
      <c r="A35" s="24">
        <v>545</v>
      </c>
      <c r="B35" s="148" t="str">
        <f ca="1">VLOOKUP($A35,OFFSET([1]characters!$A$1,0,0,COUNTA([1]characters!$A:$A),MATCH(B$1,[1]characters!$1:$1,0)-MATCH($A$1,[1]characters!$1:$1,0)+1),MATCH(B$1,[1]characters!$1:$1,0)-MATCH($A$1,[1]characters!$1:$1,0)+1,FALSE)</f>
        <v>鏡音レン</v>
      </c>
      <c r="C35" s="151" t="str">
        <f>A35&amp;+(COUNTIF(A$2:A35,A35)-1)</f>
        <v>5452</v>
      </c>
      <c r="D35" s="138" t="s">
        <v>180</v>
      </c>
      <c r="E35" s="138" t="s">
        <v>274</v>
      </c>
      <c r="F35" s="112" t="s">
        <v>333</v>
      </c>
    </row>
    <row r="36" spans="1:6" x14ac:dyDescent="0.15">
      <c r="A36" s="24">
        <v>546</v>
      </c>
      <c r="B36" s="148" t="str">
        <f ca="1">VLOOKUP($A36,OFFSET([1]characters!$A$1,0,0,COUNTA([1]characters!$A:$A),MATCH(B$1,[1]characters!$1:$1,0)-MATCH($A$1,[1]characters!$1:$1,0)+1),MATCH(B$1,[1]characters!$1:$1,0)-MATCH($A$1,[1]characters!$1:$1,0)+1,FALSE)</f>
        <v>残響の連符 鏡音レン</v>
      </c>
      <c r="C36" s="151" t="str">
        <f>A36&amp;+(COUNTIF(A$2:A36,A36)-1)</f>
        <v>5460</v>
      </c>
      <c r="D36" s="138" t="s">
        <v>180</v>
      </c>
      <c r="E36" s="138" t="s">
        <v>274</v>
      </c>
      <c r="F36" s="112" t="s">
        <v>334</v>
      </c>
    </row>
    <row r="37" spans="1:6" x14ac:dyDescent="0.15">
      <c r="A37" s="24">
        <v>546</v>
      </c>
      <c r="B37" s="148" t="str">
        <f ca="1">VLOOKUP($A37,OFFSET([1]characters!$A$1,0,0,COUNTA([1]characters!$A:$A),MATCH(B$1,[1]characters!$1:$1,0)-MATCH($A$1,[1]characters!$1:$1,0)+1),MATCH(B$1,[1]characters!$1:$1,0)-MATCH($A$1,[1]characters!$1:$1,0)+1,FALSE)</f>
        <v>残響の連符 鏡音レン</v>
      </c>
      <c r="C37" s="151" t="str">
        <f>A37&amp;+(COUNTIF(A$2:A37,A37)-1)</f>
        <v>5461</v>
      </c>
      <c r="D37" s="138" t="s">
        <v>180</v>
      </c>
      <c r="E37" s="138" t="s">
        <v>274</v>
      </c>
      <c r="F37" s="112" t="s">
        <v>335</v>
      </c>
    </row>
    <row r="38" spans="1:6" x14ac:dyDescent="0.15">
      <c r="A38" s="24">
        <v>547</v>
      </c>
      <c r="B38" s="148" t="str">
        <f ca="1">VLOOKUP($A38,OFFSET([1]characters!$A$1,0,0,COUNTA([1]characters!$A:$A),MATCH(B$1,[1]characters!$1:$1,0)-MATCH($A$1,[1]characters!$1:$1,0)+1),MATCH(B$1,[1]characters!$1:$1,0)-MATCH($A$1,[1]characters!$1:$1,0)+1,FALSE)</f>
        <v>巡音ルカ</v>
      </c>
      <c r="C38" s="151" t="str">
        <f>A38&amp;+(COUNTIF(A$2:A38,A38)-1)</f>
        <v>5470</v>
      </c>
      <c r="D38" s="138" t="s">
        <v>180</v>
      </c>
      <c r="E38" s="138" t="s">
        <v>274</v>
      </c>
      <c r="F38" s="112" t="s">
        <v>337</v>
      </c>
    </row>
    <row r="39" spans="1:6" x14ac:dyDescent="0.15">
      <c r="A39" s="24">
        <v>547</v>
      </c>
      <c r="B39" s="148" t="str">
        <f ca="1">VLOOKUP($A39,OFFSET([1]characters!$A$1,0,0,COUNTA([1]characters!$A:$A),MATCH(B$1,[1]characters!$1:$1,0)-MATCH($A$1,[1]characters!$1:$1,0)+1),MATCH(B$1,[1]characters!$1:$1,0)-MATCH($A$1,[1]characters!$1:$1,0)+1,FALSE)</f>
        <v>巡音ルカ</v>
      </c>
      <c r="C39" s="151" t="str">
        <f>A39&amp;+(COUNTIF(A$2:A39,A39)-1)</f>
        <v>5471</v>
      </c>
      <c r="D39" s="138" t="s">
        <v>180</v>
      </c>
      <c r="E39" s="138" t="s">
        <v>274</v>
      </c>
      <c r="F39" s="112" t="s">
        <v>338</v>
      </c>
    </row>
    <row r="40" spans="1:6" x14ac:dyDescent="0.15">
      <c r="A40" s="24">
        <v>547</v>
      </c>
      <c r="B40" s="148" t="str">
        <f ca="1">VLOOKUP($A40,OFFSET([1]characters!$A$1,0,0,COUNTA([1]characters!$A:$A),MATCH(B$1,[1]characters!$1:$1,0)-MATCH($A$1,[1]characters!$1:$1,0)+1),MATCH(B$1,[1]characters!$1:$1,0)-MATCH($A$1,[1]characters!$1:$1,0)+1,FALSE)</f>
        <v>巡音ルカ</v>
      </c>
      <c r="C40" s="151" t="str">
        <f>A40&amp;+(COUNTIF(A$2:A40,A40)-1)</f>
        <v>5472</v>
      </c>
      <c r="D40" s="138" t="s">
        <v>180</v>
      </c>
      <c r="E40" s="138" t="s">
        <v>317</v>
      </c>
      <c r="F40" s="112" t="s">
        <v>339</v>
      </c>
    </row>
    <row r="41" spans="1:6" x14ac:dyDescent="0.15">
      <c r="A41" s="24">
        <v>548</v>
      </c>
      <c r="B41" s="148" t="str">
        <f ca="1">VLOOKUP($A41,OFFSET([1]characters!$A$1,0,0,COUNTA([1]characters!$A:$A),MATCH(B$1,[1]characters!$1:$1,0)-MATCH($A$1,[1]characters!$1:$1,0)+1),MATCH(B$1,[1]characters!$1:$1,0)-MATCH($A$1,[1]characters!$1:$1,0)+1,FALSE)</f>
        <v>乱舞の音環 巡音ルカ</v>
      </c>
      <c r="C41" s="151" t="str">
        <f>A41&amp;+(COUNTIF(A$2:A41,A41)-1)</f>
        <v>5480</v>
      </c>
      <c r="D41" s="138" t="s">
        <v>180</v>
      </c>
      <c r="E41" s="138" t="s">
        <v>274</v>
      </c>
      <c r="F41" s="112" t="s">
        <v>459</v>
      </c>
    </row>
    <row r="42" spans="1:6" x14ac:dyDescent="0.15">
      <c r="A42" s="24">
        <v>548</v>
      </c>
      <c r="B42" s="148" t="str">
        <f ca="1">VLOOKUP($A42,OFFSET([1]characters!$A$1,0,0,COUNTA([1]characters!$A:$A),MATCH(B$1,[1]characters!$1:$1,0)-MATCH($A$1,[1]characters!$1:$1,0)+1),MATCH(B$1,[1]characters!$1:$1,0)-MATCH($A$1,[1]characters!$1:$1,0)+1,FALSE)</f>
        <v>乱舞の音環 巡音ルカ</v>
      </c>
      <c r="C42" s="151" t="str">
        <f>A42&amp;+(COUNTIF(A$2:A42,A42)-1)</f>
        <v>5481</v>
      </c>
      <c r="D42" s="138" t="s">
        <v>180</v>
      </c>
      <c r="E42" s="138" t="s">
        <v>304</v>
      </c>
      <c r="F42" s="112" t="s">
        <v>340</v>
      </c>
    </row>
    <row r="43" spans="1:6" x14ac:dyDescent="0.15">
      <c r="A43" s="24">
        <v>549</v>
      </c>
      <c r="B43" s="148" t="str">
        <f ca="1">VLOOKUP($A43,OFFSET([1]characters!$A$1,0,0,COUNTA([1]characters!$A:$A),MATCH(B$1,[1]characters!$1:$1,0)-MATCH($A$1,[1]characters!$1:$1,0)+1),MATCH(B$1,[1]characters!$1:$1,0)-MATCH($A$1,[1]characters!$1:$1,0)+1,FALSE)</f>
        <v>MEIKO</v>
      </c>
      <c r="C43" s="151" t="str">
        <f>A43&amp;+(COUNTIF(A$2:A43,A43)-1)</f>
        <v>5490</v>
      </c>
      <c r="D43" s="138" t="s">
        <v>180</v>
      </c>
      <c r="E43" s="138" t="s">
        <v>274</v>
      </c>
      <c r="F43" s="112" t="s">
        <v>341</v>
      </c>
    </row>
    <row r="44" spans="1:6" x14ac:dyDescent="0.15">
      <c r="A44" s="24">
        <v>549</v>
      </c>
      <c r="B44" s="148" t="str">
        <f ca="1">VLOOKUP($A44,OFFSET([1]characters!$A$1,0,0,COUNTA([1]characters!$A:$A),MATCH(B$1,[1]characters!$1:$1,0)-MATCH($A$1,[1]characters!$1:$1,0)+1),MATCH(B$1,[1]characters!$1:$1,0)-MATCH($A$1,[1]characters!$1:$1,0)+1,FALSE)</f>
        <v>MEIKO</v>
      </c>
      <c r="C44" s="151" t="str">
        <f>A44&amp;+(COUNTIF(A$2:A44,A44)-1)</f>
        <v>5491</v>
      </c>
      <c r="D44" s="138" t="s">
        <v>180</v>
      </c>
      <c r="E44" s="138" t="s">
        <v>274</v>
      </c>
      <c r="F44" s="112" t="s">
        <v>342</v>
      </c>
    </row>
    <row r="45" spans="1:6" x14ac:dyDescent="0.15">
      <c r="A45" s="24">
        <v>549</v>
      </c>
      <c r="B45" s="148" t="str">
        <f ca="1">VLOOKUP($A45,OFFSET([1]characters!$A$1,0,0,COUNTA([1]characters!$A:$A),MATCH(B$1,[1]characters!$1:$1,0)-MATCH($A$1,[1]characters!$1:$1,0)+1),MATCH(B$1,[1]characters!$1:$1,0)-MATCH($A$1,[1]characters!$1:$1,0)+1,FALSE)</f>
        <v>MEIKO</v>
      </c>
      <c r="C45" s="151" t="str">
        <f>A45&amp;+(COUNTIF(A$2:A45,A45)-1)</f>
        <v>5492</v>
      </c>
      <c r="D45" s="138" t="s">
        <v>180</v>
      </c>
      <c r="E45" s="138" t="s">
        <v>304</v>
      </c>
      <c r="F45" s="112" t="s">
        <v>343</v>
      </c>
    </row>
    <row r="46" spans="1:6" x14ac:dyDescent="0.15">
      <c r="A46" s="24">
        <v>550</v>
      </c>
      <c r="B46" s="148" t="str">
        <f ca="1">VLOOKUP($A46,OFFSET([1]characters!$A$1,0,0,COUNTA([1]characters!$A:$A),MATCH(B$1,[1]characters!$1:$1,0)-MATCH($A$1,[1]characters!$1:$1,0)+1),MATCH(B$1,[1]characters!$1:$1,0)-MATCH($A$1,[1]characters!$1:$1,0)+1,FALSE)</f>
        <v>解放の絶唱 MEIKO</v>
      </c>
      <c r="C46" s="151" t="str">
        <f>A46&amp;+(COUNTIF(A$2:A46,A46)-1)</f>
        <v>5500</v>
      </c>
      <c r="D46" s="138" t="s">
        <v>180</v>
      </c>
      <c r="E46" s="138" t="s">
        <v>317</v>
      </c>
      <c r="F46" s="112" t="s">
        <v>344</v>
      </c>
    </row>
    <row r="47" spans="1:6" x14ac:dyDescent="0.15">
      <c r="A47" s="24">
        <v>550</v>
      </c>
      <c r="B47" s="148" t="str">
        <f ca="1">VLOOKUP($A47,OFFSET([1]characters!$A$1,0,0,COUNTA([1]characters!$A:$A),MATCH(B$1,[1]characters!$1:$1,0)-MATCH($A$1,[1]characters!$1:$1,0)+1),MATCH(B$1,[1]characters!$1:$1,0)-MATCH($A$1,[1]characters!$1:$1,0)+1,FALSE)</f>
        <v>解放の絶唱 MEIKO</v>
      </c>
      <c r="C47" s="151" t="str">
        <f>A47&amp;+(COUNTIF(A$2:A47,A47)-1)</f>
        <v>5501</v>
      </c>
      <c r="D47" s="138" t="s">
        <v>180</v>
      </c>
      <c r="E47" s="138" t="s">
        <v>283</v>
      </c>
      <c r="F47" s="112" t="s">
        <v>345</v>
      </c>
    </row>
    <row r="48" spans="1:6" x14ac:dyDescent="0.15">
      <c r="A48" s="24">
        <v>551</v>
      </c>
      <c r="B48" s="148" t="str">
        <f ca="1">VLOOKUP($A48,OFFSET([1]characters!$A$1,0,0,COUNTA([1]characters!$A:$A),MATCH(B$1,[1]characters!$1:$1,0)-MATCH($A$1,[1]characters!$1:$1,0)+1),MATCH(B$1,[1]characters!$1:$1,0)-MATCH($A$1,[1]characters!$1:$1,0)+1,FALSE)</f>
        <v>KAITO</v>
      </c>
      <c r="C48" s="151" t="str">
        <f>A48&amp;+(COUNTIF(A$2:A48,A48)-1)</f>
        <v>5510</v>
      </c>
      <c r="D48" s="138" t="s">
        <v>180</v>
      </c>
      <c r="E48" s="138" t="s">
        <v>274</v>
      </c>
      <c r="F48" s="112" t="s">
        <v>346</v>
      </c>
    </row>
    <row r="49" spans="1:8" x14ac:dyDescent="0.15">
      <c r="A49" s="24">
        <v>551</v>
      </c>
      <c r="B49" s="148" t="str">
        <f ca="1">VLOOKUP($A49,OFFSET([1]characters!$A$1,0,0,COUNTA([1]characters!$A:$A),MATCH(B$1,[1]characters!$1:$1,0)-MATCH($A$1,[1]characters!$1:$1,0)+1),MATCH(B$1,[1]characters!$1:$1,0)-MATCH($A$1,[1]characters!$1:$1,0)+1,FALSE)</f>
        <v>KAITO</v>
      </c>
      <c r="C49" s="151" t="str">
        <f>A49&amp;+(COUNTIF(A$2:A49,A49)-1)</f>
        <v>5511</v>
      </c>
      <c r="D49" s="138" t="s">
        <v>180</v>
      </c>
      <c r="E49" s="138" t="s">
        <v>317</v>
      </c>
      <c r="F49" s="112" t="s">
        <v>347</v>
      </c>
    </row>
    <row r="50" spans="1:8" x14ac:dyDescent="0.15">
      <c r="A50" s="24">
        <v>551</v>
      </c>
      <c r="B50" s="148" t="str">
        <f ca="1">VLOOKUP($A50,OFFSET([1]characters!$A$1,0,0,COUNTA([1]characters!$A:$A),MATCH(B$1,[1]characters!$1:$1,0)-MATCH($A$1,[1]characters!$1:$1,0)+1),MATCH(B$1,[1]characters!$1:$1,0)-MATCH($A$1,[1]characters!$1:$1,0)+1,FALSE)</f>
        <v>KAITO</v>
      </c>
      <c r="C50" s="151" t="str">
        <f>A50&amp;+(COUNTIF(A$2:A50,A50)-1)</f>
        <v>5512</v>
      </c>
      <c r="D50" s="138" t="s">
        <v>180</v>
      </c>
      <c r="E50" s="138" t="s">
        <v>274</v>
      </c>
      <c r="F50" s="112" t="s">
        <v>348</v>
      </c>
    </row>
    <row r="51" spans="1:8" x14ac:dyDescent="0.15">
      <c r="A51" s="24">
        <v>552</v>
      </c>
      <c r="B51" s="148" t="str">
        <f ca="1">VLOOKUP($A51,OFFSET([1]characters!$A$1,0,0,COUNTA([1]characters!$A:$A),MATCH(B$1,[1]characters!$1:$1,0)-MATCH($A$1,[1]characters!$1:$1,0)+1),MATCH(B$1,[1]characters!$1:$1,0)-MATCH($A$1,[1]characters!$1:$1,0)+1,FALSE)</f>
        <v>愉悦の愛唱 KAITO</v>
      </c>
      <c r="C51" s="151" t="str">
        <f>A51&amp;+(COUNTIF(A$2:A51,A51)-1)</f>
        <v>5520</v>
      </c>
      <c r="D51" s="138" t="s">
        <v>180</v>
      </c>
      <c r="E51" s="138" t="s">
        <v>274</v>
      </c>
      <c r="F51" s="112" t="s">
        <v>349</v>
      </c>
    </row>
    <row r="52" spans="1:8" x14ac:dyDescent="0.15">
      <c r="A52" s="24">
        <v>552</v>
      </c>
      <c r="B52" s="148" t="str">
        <f ca="1">VLOOKUP($A52,OFFSET([1]characters!$A$1,0,0,COUNTA([1]characters!$A:$A),MATCH(B$1,[1]characters!$1:$1,0)-MATCH($A$1,[1]characters!$1:$1,0)+1),MATCH(B$1,[1]characters!$1:$1,0)-MATCH($A$1,[1]characters!$1:$1,0)+1,FALSE)</f>
        <v>愉悦の愛唱 KAITO</v>
      </c>
      <c r="C52" s="151" t="str">
        <f>A52&amp;+(COUNTIF(A$2:A52,A52)-1)</f>
        <v>5521</v>
      </c>
      <c r="D52" s="138" t="s">
        <v>180</v>
      </c>
      <c r="E52" s="138" t="s">
        <v>304</v>
      </c>
      <c r="F52" s="112" t="s">
        <v>350</v>
      </c>
    </row>
    <row r="53" spans="1:8" x14ac:dyDescent="0.15">
      <c r="A53" s="24">
        <v>553</v>
      </c>
      <c r="B53" s="148" t="str">
        <f ca="1">VLOOKUP($A53,OFFSET([1]characters!$A$1,0,0,COUNTA([1]characters!$A:$A),MATCH(B$1,[1]characters!$1:$1,0)-MATCH($A$1,[1]characters!$1:$1,0)+1),MATCH(B$1,[1]characters!$1:$1,0)-MATCH($A$1,[1]characters!$1:$1,0)+1,FALSE)</f>
        <v>雪ミク2016</v>
      </c>
      <c r="C53" s="151" t="str">
        <f>A53&amp;+(COUNTIF(A$2:A53,A53)-1)</f>
        <v>5530</v>
      </c>
      <c r="D53" s="138" t="s">
        <v>180</v>
      </c>
      <c r="E53" s="138" t="s">
        <v>274</v>
      </c>
      <c r="F53" s="112" t="s">
        <v>311</v>
      </c>
      <c r="G53">
        <f>LEN(F53)</f>
        <v>8</v>
      </c>
      <c r="H53" s="112" t="s">
        <v>463</v>
      </c>
    </row>
    <row r="54" spans="1:8" x14ac:dyDescent="0.15">
      <c r="A54" s="24">
        <v>553</v>
      </c>
      <c r="B54" s="148" t="str">
        <f ca="1">VLOOKUP($A54,OFFSET([1]characters!$A$1,0,0,COUNTA([1]characters!$A:$A),MATCH(B$1,[1]characters!$1:$1,0)-MATCH($A$1,[1]characters!$1:$1,0)+1),MATCH(B$1,[1]characters!$1:$1,0)-MATCH($A$1,[1]characters!$1:$1,0)+1,FALSE)</f>
        <v>雪ミク2016</v>
      </c>
      <c r="C54" s="151" t="str">
        <f>A54&amp;+(COUNTIF(A$2:A54,A54)-1)</f>
        <v>5531</v>
      </c>
      <c r="D54" s="138" t="s">
        <v>180</v>
      </c>
      <c r="E54" s="138" t="s">
        <v>274</v>
      </c>
      <c r="F54" s="112" t="s">
        <v>351</v>
      </c>
    </row>
    <row r="55" spans="1:8" x14ac:dyDescent="0.15">
      <c r="A55" s="24">
        <v>553</v>
      </c>
      <c r="B55" s="148" t="str">
        <f ca="1">VLOOKUP($A55,OFFSET([1]characters!$A$1,0,0,COUNTA([1]characters!$A:$A),MATCH(B$1,[1]characters!$1:$1,0)-MATCH($A$1,[1]characters!$1:$1,0)+1),MATCH(B$1,[1]characters!$1:$1,0)-MATCH($A$1,[1]characters!$1:$1,0)+1,FALSE)</f>
        <v>雪ミク2016</v>
      </c>
      <c r="C55" s="151" t="str">
        <f>A55&amp;+(COUNTIF(A$2:A55,A55)-1)</f>
        <v>5532</v>
      </c>
      <c r="D55" s="138" t="s">
        <v>180</v>
      </c>
      <c r="E55" s="138" t="s">
        <v>304</v>
      </c>
      <c r="F55" s="112" t="s">
        <v>352</v>
      </c>
    </row>
    <row r="56" spans="1:8" x14ac:dyDescent="0.15">
      <c r="A56" s="24">
        <v>554</v>
      </c>
      <c r="B56" s="148" t="str">
        <f ca="1">VLOOKUP($A56,OFFSET([1]characters!$A$1,0,0,COUNTA([1]characters!$A:$A),MATCH(B$1,[1]characters!$1:$1,0)-MATCH($A$1,[1]characters!$1:$1,0)+1),MATCH(B$1,[1]characters!$1:$1,0)-MATCH($A$1,[1]characters!$1:$1,0)+1,FALSE)</f>
        <v>雪ミク&amp;ラビット・ユキネ2016</v>
      </c>
      <c r="C56" s="151" t="str">
        <f>A56&amp;+(COUNTIF(A$2:A56,A56)-1)</f>
        <v>5540</v>
      </c>
      <c r="D56" s="138" t="s">
        <v>180</v>
      </c>
      <c r="E56" s="138" t="s">
        <v>274</v>
      </c>
      <c r="F56" s="112" t="s">
        <v>311</v>
      </c>
      <c r="G56">
        <f>LEN(F56)</f>
        <v>8</v>
      </c>
      <c r="H56" s="112" t="s">
        <v>463</v>
      </c>
    </row>
    <row r="57" spans="1:8" x14ac:dyDescent="0.15">
      <c r="A57" s="24">
        <v>554</v>
      </c>
      <c r="B57" s="148" t="str">
        <f ca="1">VLOOKUP($A57,OFFSET([1]characters!$A$1,0,0,COUNTA([1]characters!$A:$A),MATCH(B$1,[1]characters!$1:$1,0)-MATCH($A$1,[1]characters!$1:$1,0)+1),MATCH(B$1,[1]characters!$1:$1,0)-MATCH($A$1,[1]characters!$1:$1,0)+1,FALSE)</f>
        <v>雪ミク&amp;ラビット・ユキネ2016</v>
      </c>
      <c r="C57" s="151" t="str">
        <f>A57&amp;+(COUNTIF(A$2:A57,A57)-1)</f>
        <v>5541</v>
      </c>
      <c r="D57" s="138" t="s">
        <v>180</v>
      </c>
      <c r="E57" s="138" t="s">
        <v>304</v>
      </c>
      <c r="F57" s="112" t="s">
        <v>353</v>
      </c>
    </row>
    <row r="58" spans="1:8" x14ac:dyDescent="0.15">
      <c r="A58" s="24">
        <v>555</v>
      </c>
      <c r="B58" s="148" t="str">
        <f ca="1">VLOOKUP($A58,OFFSET([1]characters!$A$1,0,0,COUNTA([1]characters!$A:$A),MATCH(B$1,[1]characters!$1:$1,0)-MATCH($A$1,[1]characters!$1:$1,0)+1),MATCH(B$1,[1]characters!$1:$1,0)-MATCH($A$1,[1]characters!$1:$1,0)+1,FALSE)</f>
        <v>雪ミク2014</v>
      </c>
      <c r="C58" s="151" t="str">
        <f>A58&amp;+(COUNTIF(A$2:A58,A58)-1)</f>
        <v>5550</v>
      </c>
      <c r="D58" s="138" t="s">
        <v>180</v>
      </c>
      <c r="E58" s="138" t="s">
        <v>274</v>
      </c>
      <c r="F58" s="112" t="s">
        <v>354</v>
      </c>
    </row>
    <row r="59" spans="1:8" x14ac:dyDescent="0.15">
      <c r="A59" s="24">
        <v>555</v>
      </c>
      <c r="B59" s="148" t="str">
        <f ca="1">VLOOKUP($A59,OFFSET([1]characters!$A$1,0,0,COUNTA([1]characters!$A:$A),MATCH(B$1,[1]characters!$1:$1,0)-MATCH($A$1,[1]characters!$1:$1,0)+1),MATCH(B$1,[1]characters!$1:$1,0)-MATCH($A$1,[1]characters!$1:$1,0)+1,FALSE)</f>
        <v>雪ミク2014</v>
      </c>
      <c r="C59" s="151" t="str">
        <f>A59&amp;+(COUNTIF(A$2:A59,A59)-1)</f>
        <v>5551</v>
      </c>
      <c r="D59" s="138" t="s">
        <v>180</v>
      </c>
      <c r="E59" s="138" t="s">
        <v>274</v>
      </c>
      <c r="F59" s="112" t="s">
        <v>355</v>
      </c>
    </row>
    <row r="60" spans="1:8" x14ac:dyDescent="0.15">
      <c r="A60" s="24">
        <v>555</v>
      </c>
      <c r="B60" s="148" t="str">
        <f ca="1">VLOOKUP($A60,OFFSET([1]characters!$A$1,0,0,COUNTA([1]characters!$A:$A),MATCH(B$1,[1]characters!$1:$1,0)-MATCH($A$1,[1]characters!$1:$1,0)+1),MATCH(B$1,[1]characters!$1:$1,0)-MATCH($A$1,[1]characters!$1:$1,0)+1,FALSE)</f>
        <v>雪ミク2014</v>
      </c>
      <c r="C60" s="151" t="str">
        <f>A60&amp;+(COUNTIF(A$2:A60,A60)-1)</f>
        <v>5552</v>
      </c>
      <c r="D60" s="138" t="s">
        <v>180</v>
      </c>
      <c r="E60" s="138" t="s">
        <v>274</v>
      </c>
      <c r="F60" s="112" t="s">
        <v>356</v>
      </c>
    </row>
    <row r="61" spans="1:8" x14ac:dyDescent="0.15">
      <c r="A61" s="24">
        <v>556</v>
      </c>
      <c r="B61" s="148" t="str">
        <f ca="1">VLOOKUP($A61,OFFSET([1]characters!$A$1,0,0,COUNTA([1]characters!$A:$A),MATCH(B$1,[1]characters!$1:$1,0)-MATCH($A$1,[1]characters!$1:$1,0)+1),MATCH(B$1,[1]characters!$1:$1,0)-MATCH($A$1,[1]characters!$1:$1,0)+1,FALSE)</f>
        <v>雪ミク&amp;ラビットユキネ2014</v>
      </c>
      <c r="C61" s="151" t="str">
        <f>A61&amp;+(COUNTIF(A$2:A61,A61)-1)</f>
        <v>5560</v>
      </c>
      <c r="D61" s="138" t="s">
        <v>180</v>
      </c>
      <c r="E61" s="138" t="s">
        <v>274</v>
      </c>
      <c r="F61" s="112" t="s">
        <v>357</v>
      </c>
    </row>
    <row r="62" spans="1:8" x14ac:dyDescent="0.15">
      <c r="A62" s="24">
        <v>556</v>
      </c>
      <c r="B62" s="148" t="str">
        <f ca="1">VLOOKUP($A62,OFFSET([1]characters!$A$1,0,0,COUNTA([1]characters!$A:$A),MATCH(B$1,[1]characters!$1:$1,0)-MATCH($A$1,[1]characters!$1:$1,0)+1),MATCH(B$1,[1]characters!$1:$1,0)-MATCH($A$1,[1]characters!$1:$1,0)+1,FALSE)</f>
        <v>雪ミク&amp;ラビットユキネ2014</v>
      </c>
      <c r="C62" s="151" t="str">
        <f>A62&amp;+(COUNTIF(A$2:A62,A62)-1)</f>
        <v>5561</v>
      </c>
      <c r="D62" s="138" t="s">
        <v>180</v>
      </c>
      <c r="E62" s="138" t="s">
        <v>274</v>
      </c>
      <c r="F62" s="112" t="s">
        <v>358</v>
      </c>
    </row>
    <row r="63" spans="1:8" x14ac:dyDescent="0.15">
      <c r="A63" s="24">
        <v>557</v>
      </c>
      <c r="B63" s="148" t="str">
        <f ca="1">VLOOKUP($A63,OFFSET([1]characters!$A$1,0,0,COUNTA([1]characters!$A:$A),MATCH(B$1,[1]characters!$1:$1,0)-MATCH($A$1,[1]characters!$1:$1,0)+1),MATCH(B$1,[1]characters!$1:$1,0)-MATCH($A$1,[1]characters!$1:$1,0)+1,FALSE)</f>
        <v>ラビット・ユキネ</v>
      </c>
      <c r="C63" s="151" t="str">
        <f>A63&amp;+(COUNTIF(A$2:A63,A63)-1)</f>
        <v>5570</v>
      </c>
      <c r="D63" s="138" t="s">
        <v>180</v>
      </c>
      <c r="E63" s="138" t="s">
        <v>317</v>
      </c>
      <c r="F63" s="112" t="s">
        <v>359</v>
      </c>
    </row>
    <row r="64" spans="1:8" x14ac:dyDescent="0.15">
      <c r="A64" s="24">
        <v>557</v>
      </c>
      <c r="B64" s="148" t="str">
        <f ca="1">VLOOKUP($A64,OFFSET([1]characters!$A$1,0,0,COUNTA([1]characters!$A:$A),MATCH(B$1,[1]characters!$1:$1,0)-MATCH($A$1,[1]characters!$1:$1,0)+1),MATCH(B$1,[1]characters!$1:$1,0)-MATCH($A$1,[1]characters!$1:$1,0)+1,FALSE)</f>
        <v>ラビット・ユキネ</v>
      </c>
      <c r="C64" s="151" t="str">
        <f>A64&amp;+(COUNTIF(A$2:A64,A64)-1)</f>
        <v>5571</v>
      </c>
      <c r="D64" s="138" t="s">
        <v>180</v>
      </c>
      <c r="E64" s="138" t="s">
        <v>276</v>
      </c>
      <c r="F64" s="112" t="s">
        <v>360</v>
      </c>
    </row>
    <row r="65" spans="1:6" x14ac:dyDescent="0.15">
      <c r="A65" s="24">
        <v>558</v>
      </c>
      <c r="B65" s="148" t="str">
        <f ca="1">VLOOKUP($A65,OFFSET([1]characters!$A$1,0,0,COUNTA([1]characters!$A:$A),MATCH(B$1,[1]characters!$1:$1,0)-MATCH($A$1,[1]characters!$1:$1,0)+1),MATCH(B$1,[1]characters!$1:$1,0)-MATCH($A$1,[1]characters!$1:$1,0)+1,FALSE)</f>
        <v>雪原の超躍 ラビット・ユキネ</v>
      </c>
      <c r="C65" s="151" t="str">
        <f>A65&amp;+(COUNTIF(A$2:A65,A65)-1)</f>
        <v>5580</v>
      </c>
      <c r="D65" s="138" t="s">
        <v>180</v>
      </c>
      <c r="E65" s="138" t="s">
        <v>317</v>
      </c>
      <c r="F65" s="112" t="s">
        <v>361</v>
      </c>
    </row>
    <row r="66" spans="1:6" x14ac:dyDescent="0.15">
      <c r="A66" s="24">
        <v>558</v>
      </c>
      <c r="B66" s="148" t="str">
        <f ca="1">VLOOKUP($A66,OFFSET([1]characters!$A$1,0,0,COUNTA([1]characters!$A:$A),MATCH(B$1,[1]characters!$1:$1,0)-MATCH($A$1,[1]characters!$1:$1,0)+1),MATCH(B$1,[1]characters!$1:$1,0)-MATCH($A$1,[1]characters!$1:$1,0)+1,FALSE)</f>
        <v>雪原の超躍 ラビット・ユキネ</v>
      </c>
      <c r="C66" s="151" t="str">
        <f>A66&amp;+(COUNTIF(A$2:A66,A66)-1)</f>
        <v>5581</v>
      </c>
      <c r="D66" s="138" t="s">
        <v>180</v>
      </c>
      <c r="E66" s="138" t="s">
        <v>317</v>
      </c>
      <c r="F66" s="112" t="s">
        <v>362</v>
      </c>
    </row>
    <row r="67" spans="1:6" x14ac:dyDescent="0.15">
      <c r="A67" s="24">
        <v>559</v>
      </c>
      <c r="B67" s="148" t="str">
        <f ca="1">VLOOKUP($A67,OFFSET([1]characters!$A$1,0,0,COUNTA([1]characters!$A:$A),MATCH(B$1,[1]characters!$1:$1,0)-MATCH($A$1,[1]characters!$1:$1,0)+1),MATCH(B$1,[1]characters!$1:$1,0)-MATCH($A$1,[1]characters!$1:$1,0)+1,FALSE)</f>
        <v>白銀の滑光 ラビット・ユキネ</v>
      </c>
      <c r="C67" s="151" t="str">
        <f>A67&amp;+(COUNTIF(A$2:A67,A67)-1)</f>
        <v>5590</v>
      </c>
      <c r="D67" s="138" t="s">
        <v>180</v>
      </c>
      <c r="E67" s="138" t="s">
        <v>317</v>
      </c>
      <c r="F67" s="112" t="s">
        <v>363</v>
      </c>
    </row>
    <row r="68" spans="1:6" x14ac:dyDescent="0.15">
      <c r="A68" s="24">
        <v>559</v>
      </c>
      <c r="B68" s="148" t="str">
        <f ca="1">VLOOKUP($A68,OFFSET([1]characters!$A$1,0,0,COUNTA([1]characters!$A:$A),MATCH(B$1,[1]characters!$1:$1,0)-MATCH($A$1,[1]characters!$1:$1,0)+1),MATCH(B$1,[1]characters!$1:$1,0)-MATCH($A$1,[1]characters!$1:$1,0)+1,FALSE)</f>
        <v>白銀の滑光 ラビット・ユキネ</v>
      </c>
      <c r="C68" s="151" t="str">
        <f>A68&amp;+(COUNTIF(A$2:A68,A68)-1)</f>
        <v>5591</v>
      </c>
      <c r="D68" s="138" t="s">
        <v>180</v>
      </c>
      <c r="E68" s="138" t="s">
        <v>317</v>
      </c>
      <c r="F68" s="112" t="s">
        <v>364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 enableFormatConditionsCalculation="0">
    <tabColor indexed="12"/>
  </sheetPr>
  <dimension ref="A1:I42"/>
  <sheetViews>
    <sheetView showGridLines="0" workbookViewId="0">
      <pane ySplit="1" topLeftCell="A29" activePane="bottomLeft" state="frozen"/>
      <selection pane="bottomLeft" activeCell="H44" sqref="H44"/>
    </sheetView>
  </sheetViews>
  <sheetFormatPr baseColWidth="12" defaultColWidth="13" defaultRowHeight="15" x14ac:dyDescent="0.15"/>
  <cols>
    <col min="1" max="1" width="11.5" style="65" bestFit="1" customWidth="1"/>
    <col min="2" max="2" width="19.1640625" style="3" bestFit="1" customWidth="1"/>
    <col min="3" max="3" width="22.83203125" style="2" bestFit="1" customWidth="1"/>
    <col min="4" max="4" width="9.6640625" style="2" bestFit="1" customWidth="1"/>
    <col min="5" max="5" width="13.6640625" style="2" bestFit="1" customWidth="1"/>
    <col min="6" max="6" width="21.33203125" style="2" bestFit="1" customWidth="1"/>
    <col min="7" max="7" width="13.5" style="2" bestFit="1" customWidth="1"/>
    <col min="8" max="8" width="17" style="1" bestFit="1" customWidth="1"/>
    <col min="9" max="16384" width="13" style="2"/>
  </cols>
  <sheetData>
    <row r="1" spans="1:9" ht="21" customHeight="1" x14ac:dyDescent="0.15">
      <c r="A1" s="65" t="s">
        <v>99</v>
      </c>
      <c r="B1" s="42" t="s">
        <v>38</v>
      </c>
      <c r="C1" s="20" t="s">
        <v>40</v>
      </c>
      <c r="D1" s="20" t="s">
        <v>42</v>
      </c>
      <c r="E1" s="20" t="s">
        <v>43</v>
      </c>
      <c r="F1" s="43" t="s">
        <v>36</v>
      </c>
      <c r="G1" s="20" t="s">
        <v>41</v>
      </c>
      <c r="H1" s="19" t="s">
        <v>37</v>
      </c>
      <c r="I1" s="114" t="s">
        <v>123</v>
      </c>
    </row>
    <row r="2" spans="1:9" ht="21" customHeight="1" x14ac:dyDescent="0.15">
      <c r="A2" s="65" t="str">
        <f t="shared" ref="A2:A16" si="0">B2&amp;"_"&amp;F2</f>
        <v>527_526</v>
      </c>
      <c r="B2" s="44">
        <v>527</v>
      </c>
      <c r="C2" s="21" t="str">
        <f ca="1">VLOOKUP($B2,OFFSET(units!$A$1,0,0,COUNTA(units!$A:$A),MATCH(C$1,units!$1:$1,0)-COLUMN(INDIRECT("character_id"))+1),MATCH(C$1,units!$1:$1,0)-COLUMN(INDIRECT("character_id"))+1,FALSE)</f>
        <v>初音ミクV3</v>
      </c>
      <c r="D2" s="21">
        <f ca="1">VLOOKUP($B2,OFFSET(units!$A$1,0,0,COUNTA(units!$A:$A),MATCH(D$1,units!$1:$1,0)-COLUMN(INDIRECT("character_id"))+1),MATCH(D$1,units!$1:$1,0)-COLUMN(INDIRECT("character_id"))+1,FALSE)</f>
        <v>4</v>
      </c>
      <c r="E2" s="21" t="str">
        <f ca="1">VLOOKUP($B2,OFFSET(units!$A$1,0,0,COUNTA(units!$A:$A),MATCH(E$1,units!$1:$1,0)-COLUMN(INDIRECT("character_id"))+1),MATCH(E$1,units!$1:$1,0)-COLUMN(INDIRECT("character_id"))+1,FALSE)</f>
        <v>DropWizS</v>
      </c>
      <c r="F2" s="44">
        <v>526</v>
      </c>
      <c r="G2" s="21" t="str">
        <f>VLOOKUP(F2,[1]characters!$A:$C,3,FALSE)</f>
        <v>大滑走 雪ミク&amp;ラビットユキネ</v>
      </c>
      <c r="H2" s="18">
        <v>2</v>
      </c>
      <c r="I2" s="115">
        <v>1</v>
      </c>
    </row>
    <row r="3" spans="1:9" ht="21" customHeight="1" x14ac:dyDescent="0.15">
      <c r="A3" s="65" t="str">
        <f t="shared" si="0"/>
        <v>527_525</v>
      </c>
      <c r="B3" s="44">
        <v>527</v>
      </c>
      <c r="C3" s="21" t="str">
        <f ca="1">VLOOKUP($B3,OFFSET(units!$A$1,0,0,COUNTA(units!$A:$A),MATCH(C$1,units!$1:$1,0)-COLUMN(INDIRECT("character_id"))+1),MATCH(C$1,units!$1:$1,0)-COLUMN(INDIRECT("character_id"))+1,FALSE)</f>
        <v>初音ミクV3</v>
      </c>
      <c r="D3" s="21">
        <f ca="1">VLOOKUP($B3,OFFSET(units!$A$1,0,0,COUNTA(units!$A:$A),MATCH(D$1,units!$1:$1,0)-COLUMN(INDIRECT("character_id"))+1),MATCH(D$1,units!$1:$1,0)-COLUMN(INDIRECT("character_id"))+1,FALSE)</f>
        <v>4</v>
      </c>
      <c r="E3" s="21" t="str">
        <f ca="1">VLOOKUP($B3,OFFSET(units!$A$1,0,0,COUNTA(units!$A:$A),MATCH(E$1,units!$1:$1,0)-COLUMN(INDIRECT("character_id"))+1),MATCH(E$1,units!$1:$1,0)-COLUMN(INDIRECT("character_id"))+1,FALSE)</f>
        <v>DropWizS</v>
      </c>
      <c r="F3" s="44">
        <v>525</v>
      </c>
      <c r="G3" s="21" t="str">
        <f>VLOOKUP(F3,[1]characters!$A:$C,3,FALSE)</f>
        <v>ウィンタースポーツ 雪ミク</v>
      </c>
      <c r="H3" s="18">
        <v>2</v>
      </c>
      <c r="I3" s="115">
        <v>1</v>
      </c>
    </row>
    <row r="4" spans="1:9" ht="21" customHeight="1" x14ac:dyDescent="0.15">
      <c r="A4" s="65" t="str">
        <f t="shared" si="0"/>
        <v>527_116</v>
      </c>
      <c r="B4" s="44">
        <v>527</v>
      </c>
      <c r="C4" s="21" t="str">
        <f ca="1">VLOOKUP($B4,OFFSET(units!$A$1,0,0,COUNTA(units!$A:$A),MATCH(C$1,units!$1:$1,0)-COLUMN(INDIRECT("character_id"))+1),MATCH(C$1,units!$1:$1,0)-COLUMN(INDIRECT("character_id"))+1,FALSE)</f>
        <v>初音ミクV3</v>
      </c>
      <c r="D4" s="21">
        <f ca="1">VLOOKUP($B4,OFFSET(units!$A$1,0,0,COUNTA(units!$A:$A),MATCH(D$1,units!$1:$1,0)-COLUMN(INDIRECT("character_id"))+1),MATCH(D$1,units!$1:$1,0)-COLUMN(INDIRECT("character_id"))+1,FALSE)</f>
        <v>4</v>
      </c>
      <c r="E4" s="21" t="str">
        <f ca="1">VLOOKUP($B4,OFFSET(units!$A$1,0,0,COUNTA(units!$A:$A),MATCH(E$1,units!$1:$1,0)-COLUMN(INDIRECT("character_id"))+1),MATCH(E$1,units!$1:$1,0)-COLUMN(INDIRECT("character_id"))+1,FALSE)</f>
        <v>DropWizS</v>
      </c>
      <c r="F4" s="44">
        <v>116</v>
      </c>
      <c r="G4" s="21" t="str">
        <f>VLOOKUP(F4,[1]characters!$A:$C,3,FALSE)</f>
        <v>雷のマッドハッター</v>
      </c>
      <c r="H4" s="18">
        <v>1</v>
      </c>
      <c r="I4" s="115">
        <v>1</v>
      </c>
    </row>
    <row r="5" spans="1:9" ht="21" customHeight="1" x14ac:dyDescent="0.15">
      <c r="A5" s="65" t="str">
        <f t="shared" si="0"/>
        <v>539_108</v>
      </c>
      <c r="B5" s="44">
        <v>539</v>
      </c>
      <c r="C5" s="21" t="str">
        <f ca="1">VLOOKUP($B5,OFFSET(units!$A$1,0,0,COUNTA(units!$A:$A),MATCH(C$1,units!$1:$1,0)-COLUMN(INDIRECT("character_id"))+1),MATCH(C$1,units!$1:$1,0)-COLUMN(INDIRECT("character_id"))+1,FALSE)</f>
        <v>初音ミク・アペンド</v>
      </c>
      <c r="D5" s="21">
        <f ca="1">VLOOKUP($B5,OFFSET(units!$A$1,0,0,COUNTA(units!$A:$A),MATCH(D$1,units!$1:$1,0)-COLUMN(INDIRECT("character_id"))+1),MATCH(D$1,units!$1:$1,0)-COLUMN(INDIRECT("character_id"))+1,FALSE)</f>
        <v>4</v>
      </c>
      <c r="E5" s="21" t="str">
        <f ca="1">VLOOKUP($B5,OFFSET(units!$A$1,0,0,COUNTA(units!$A:$A),MATCH(E$1,units!$1:$1,0)-COLUMN(INDIRECT("character_id"))+1),MATCH(E$1,units!$1:$1,0)-COLUMN(INDIRECT("character_id"))+1,FALSE)</f>
        <v>PremiumSSS</v>
      </c>
      <c r="F5" s="44">
        <v>108</v>
      </c>
      <c r="G5" s="21" t="str">
        <f>VLOOKUP(F5,[1]characters!$A:$C,3,FALSE)</f>
        <v>森のマッドハッター</v>
      </c>
      <c r="H5" s="18">
        <v>1</v>
      </c>
      <c r="I5" s="115">
        <v>1</v>
      </c>
    </row>
    <row r="6" spans="1:9" ht="21" customHeight="1" x14ac:dyDescent="0.15">
      <c r="A6" s="65" t="str">
        <f t="shared" si="0"/>
        <v>539_107</v>
      </c>
      <c r="B6" s="44">
        <v>539</v>
      </c>
      <c r="C6" s="21" t="str">
        <f ca="1">VLOOKUP($B6,OFFSET(units!$A$1,0,0,COUNTA(units!$A:$A),MATCH(C$1,units!$1:$1,0)-COLUMN(INDIRECT("character_id"))+1),MATCH(C$1,units!$1:$1,0)-COLUMN(INDIRECT("character_id"))+1,FALSE)</f>
        <v>初音ミク・アペンド</v>
      </c>
      <c r="D6" s="21">
        <f ca="1">VLOOKUP($B6,OFFSET(units!$A$1,0,0,COUNTA(units!$A:$A),MATCH(D$1,units!$1:$1,0)-COLUMN(INDIRECT("character_id"))+1),MATCH(D$1,units!$1:$1,0)-COLUMN(INDIRECT("character_id"))+1,FALSE)</f>
        <v>4</v>
      </c>
      <c r="E6" s="21" t="str">
        <f ca="1">VLOOKUP($B6,OFFSET(units!$A$1,0,0,COUNTA(units!$A:$A),MATCH(E$1,units!$1:$1,0)-COLUMN(INDIRECT("character_id"))+1),MATCH(E$1,units!$1:$1,0)-COLUMN(INDIRECT("character_id"))+1,FALSE)</f>
        <v>PremiumSSS</v>
      </c>
      <c r="F6" s="44">
        <v>107</v>
      </c>
      <c r="G6" s="21" t="str">
        <f>VLOOKUP(F6,[1]characters!$A:$C,3,FALSE)</f>
        <v>グリーンキャタップ</v>
      </c>
      <c r="H6" s="18">
        <v>2</v>
      </c>
      <c r="I6" s="115">
        <v>1</v>
      </c>
    </row>
    <row r="7" spans="1:9" ht="21" customHeight="1" x14ac:dyDescent="0.15">
      <c r="A7" s="65" t="str">
        <f t="shared" si="0"/>
        <v>539_526</v>
      </c>
      <c r="B7" s="44">
        <v>539</v>
      </c>
      <c r="C7" s="21" t="str">
        <f ca="1">VLOOKUP($B7,OFFSET(units!$A$1,0,0,COUNTA(units!$A:$A),MATCH(C$1,units!$1:$1,0)-COLUMN(INDIRECT("character_id"))+1),MATCH(C$1,units!$1:$1,0)-COLUMN(INDIRECT("character_id"))+1,FALSE)</f>
        <v>初音ミク・アペンド</v>
      </c>
      <c r="D7" s="21">
        <f ca="1">VLOOKUP($B7,OFFSET(units!$A$1,0,0,COUNTA(units!$A:$A),MATCH(D$1,units!$1:$1,0)-COLUMN(INDIRECT("character_id"))+1),MATCH(D$1,units!$1:$1,0)-COLUMN(INDIRECT("character_id"))+1,FALSE)</f>
        <v>4</v>
      </c>
      <c r="E7" s="21" t="str">
        <f ca="1">VLOOKUP($B7,OFFSET(units!$A$1,0,0,COUNTA(units!$A:$A),MATCH(E$1,units!$1:$1,0)-COLUMN(INDIRECT("character_id"))+1),MATCH(E$1,units!$1:$1,0)-COLUMN(INDIRECT("character_id"))+1,FALSE)</f>
        <v>PremiumSSS</v>
      </c>
      <c r="F7" s="44">
        <v>526</v>
      </c>
      <c r="G7" s="21" t="str">
        <f>VLOOKUP(F7,[1]characters!$A:$C,3,FALSE)</f>
        <v>大滑走 雪ミク&amp;ラビットユキネ</v>
      </c>
      <c r="H7" s="18">
        <v>1</v>
      </c>
      <c r="I7" s="115">
        <v>3</v>
      </c>
    </row>
    <row r="8" spans="1:9" ht="21" customHeight="1" x14ac:dyDescent="0.15">
      <c r="A8" s="65" t="str">
        <f t="shared" si="0"/>
        <v>539_525</v>
      </c>
      <c r="B8" s="44">
        <v>539</v>
      </c>
      <c r="C8" s="21" t="str">
        <f ca="1">VLOOKUP($B8,OFFSET(units!$A$1,0,0,COUNTA(units!$A:$A),MATCH(C$1,units!$1:$1,0)-COLUMN(INDIRECT("character_id"))+1),MATCH(C$1,units!$1:$1,0)-COLUMN(INDIRECT("character_id"))+1,FALSE)</f>
        <v>初音ミク・アペンド</v>
      </c>
      <c r="D8" s="21">
        <f ca="1">VLOOKUP($B8,OFFSET(units!$A$1,0,0,COUNTA(units!$A:$A),MATCH(D$1,units!$1:$1,0)-COLUMN(INDIRECT("character_id"))+1),MATCH(D$1,units!$1:$1,0)-COLUMN(INDIRECT("character_id"))+1,FALSE)</f>
        <v>4</v>
      </c>
      <c r="E8" s="21" t="str">
        <f ca="1">VLOOKUP($B8,OFFSET(units!$A$1,0,0,COUNTA(units!$A:$A),MATCH(E$1,units!$1:$1,0)-COLUMN(INDIRECT("character_id"))+1),MATCH(E$1,units!$1:$1,0)-COLUMN(INDIRECT("character_id"))+1,FALSE)</f>
        <v>PremiumSSS</v>
      </c>
      <c r="F8" s="44">
        <v>525</v>
      </c>
      <c r="G8" s="21" t="str">
        <f>VLOOKUP(F8,[1]characters!$A:$C,3,FALSE)</f>
        <v>ウィンタースポーツ 雪ミク</v>
      </c>
      <c r="H8" s="18">
        <v>1</v>
      </c>
      <c r="I8" s="115">
        <v>5</v>
      </c>
    </row>
    <row r="9" spans="1:9" ht="21" customHeight="1" x14ac:dyDescent="0.15">
      <c r="A9" s="65" t="str">
        <f t="shared" si="0"/>
        <v>541_108</v>
      </c>
      <c r="B9" s="44">
        <v>541</v>
      </c>
      <c r="C9" s="21" t="str">
        <f ca="1">VLOOKUP($B9,OFFSET(units!$A$1,0,0,COUNTA(units!$A:$A),MATCH(C$1,units!$1:$1,0)-COLUMN(INDIRECT("character_id"))+1),MATCH(C$1,units!$1:$1,0)-COLUMN(INDIRECT("character_id"))+1,FALSE)</f>
        <v>初音ミク</v>
      </c>
      <c r="D9" s="21">
        <f ca="1">VLOOKUP($B9,OFFSET(units!$A$1,0,0,COUNTA(units!$A:$A),MATCH(D$1,units!$1:$1,0)-COLUMN(INDIRECT("character_id"))+1),MATCH(D$1,units!$1:$1,0)-COLUMN(INDIRECT("character_id"))+1,FALSE)</f>
        <v>4</v>
      </c>
      <c r="E9" s="21" t="str">
        <f ca="1">VLOOKUP($B9,OFFSET(units!$A$1,0,0,COUNTA(units!$A:$A),MATCH(E$1,units!$1:$1,0)-COLUMN(INDIRECT("character_id"))+1),MATCH(E$1,units!$1:$1,0)-COLUMN(INDIRECT("character_id"))+1,FALSE)</f>
        <v>PremiumSSS</v>
      </c>
      <c r="F9" s="44">
        <v>108</v>
      </c>
      <c r="G9" s="21" t="str">
        <f>VLOOKUP(F9,[1]characters!$A:$C,3,FALSE)</f>
        <v>森のマッドハッター</v>
      </c>
      <c r="H9" s="18">
        <v>1</v>
      </c>
      <c r="I9" s="115">
        <v>1</v>
      </c>
    </row>
    <row r="10" spans="1:9" ht="21" customHeight="1" x14ac:dyDescent="0.15">
      <c r="A10" s="65" t="str">
        <f t="shared" si="0"/>
        <v>541_107</v>
      </c>
      <c r="B10" s="44">
        <v>541</v>
      </c>
      <c r="C10" s="21" t="str">
        <f ca="1">VLOOKUP($B10,OFFSET(units!$A$1,0,0,COUNTA(units!$A:$A),MATCH(C$1,units!$1:$1,0)-COLUMN(INDIRECT("character_id"))+1),MATCH(C$1,units!$1:$1,0)-COLUMN(INDIRECT("character_id"))+1,FALSE)</f>
        <v>初音ミク</v>
      </c>
      <c r="D10" s="21">
        <f ca="1">VLOOKUP($B10,OFFSET(units!$A$1,0,0,COUNTA(units!$A:$A),MATCH(D$1,units!$1:$1,0)-COLUMN(INDIRECT("character_id"))+1),MATCH(D$1,units!$1:$1,0)-COLUMN(INDIRECT("character_id"))+1,FALSE)</f>
        <v>4</v>
      </c>
      <c r="E10" s="21" t="str">
        <f ca="1">VLOOKUP($B10,OFFSET(units!$A$1,0,0,COUNTA(units!$A:$A),MATCH(E$1,units!$1:$1,0)-COLUMN(INDIRECT("character_id"))+1),MATCH(E$1,units!$1:$1,0)-COLUMN(INDIRECT("character_id"))+1,FALSE)</f>
        <v>PremiumSSS</v>
      </c>
      <c r="F10" s="44">
        <v>107</v>
      </c>
      <c r="G10" s="21" t="str">
        <f>VLOOKUP(F10,[1]characters!$A:$C,3,FALSE)</f>
        <v>グリーンキャタップ</v>
      </c>
      <c r="H10" s="18">
        <v>2</v>
      </c>
      <c r="I10" s="115">
        <v>1</v>
      </c>
    </row>
    <row r="11" spans="1:9" ht="21" customHeight="1" x14ac:dyDescent="0.15">
      <c r="A11" s="65" t="str">
        <f t="shared" si="0"/>
        <v>541_526</v>
      </c>
      <c r="B11" s="44">
        <v>541</v>
      </c>
      <c r="C11" s="21" t="str">
        <f ca="1">VLOOKUP($B11,OFFSET(units!$A$1,0,0,COUNTA(units!$A:$A),MATCH(C$1,units!$1:$1,0)-COLUMN(INDIRECT("character_id"))+1),MATCH(C$1,units!$1:$1,0)-COLUMN(INDIRECT("character_id"))+1,FALSE)</f>
        <v>初音ミク</v>
      </c>
      <c r="D11" s="21">
        <f ca="1">VLOOKUP($B11,OFFSET(units!$A$1,0,0,COUNTA(units!$A:$A),MATCH(D$1,units!$1:$1,0)-COLUMN(INDIRECT("character_id"))+1),MATCH(D$1,units!$1:$1,0)-COLUMN(INDIRECT("character_id"))+1,FALSE)</f>
        <v>4</v>
      </c>
      <c r="E11" s="21" t="str">
        <f ca="1">VLOOKUP($B11,OFFSET(units!$A$1,0,0,COUNTA(units!$A:$A),MATCH(E$1,units!$1:$1,0)-COLUMN(INDIRECT("character_id"))+1),MATCH(E$1,units!$1:$1,0)-COLUMN(INDIRECT("character_id"))+1,FALSE)</f>
        <v>PremiumSSS</v>
      </c>
      <c r="F11" s="44">
        <v>526</v>
      </c>
      <c r="G11" s="21" t="str">
        <f>VLOOKUP(F11,[1]characters!$A:$C,3,FALSE)</f>
        <v>大滑走 雪ミク&amp;ラビットユキネ</v>
      </c>
      <c r="H11" s="18">
        <v>1</v>
      </c>
      <c r="I11" s="115">
        <v>3</v>
      </c>
    </row>
    <row r="12" spans="1:9" ht="21" customHeight="1" x14ac:dyDescent="0.15">
      <c r="A12" s="65" t="str">
        <f t="shared" si="0"/>
        <v>541_525</v>
      </c>
      <c r="B12" s="44">
        <v>541</v>
      </c>
      <c r="C12" s="21" t="str">
        <f ca="1">VLOOKUP($B12,OFFSET(units!$A$1,0,0,COUNTA(units!$A:$A),MATCH(C$1,units!$1:$1,0)-COLUMN(INDIRECT("character_id"))+1),MATCH(C$1,units!$1:$1,0)-COLUMN(INDIRECT("character_id"))+1,FALSE)</f>
        <v>初音ミク</v>
      </c>
      <c r="D12" s="21">
        <f ca="1">VLOOKUP($B12,OFFSET(units!$A$1,0,0,COUNTA(units!$A:$A),MATCH(D$1,units!$1:$1,0)-COLUMN(INDIRECT("character_id"))+1),MATCH(D$1,units!$1:$1,0)-COLUMN(INDIRECT("character_id"))+1,FALSE)</f>
        <v>4</v>
      </c>
      <c r="E12" s="21" t="str">
        <f ca="1">VLOOKUP($B12,OFFSET(units!$A$1,0,0,COUNTA(units!$A:$A),MATCH(E$1,units!$1:$1,0)-COLUMN(INDIRECT("character_id"))+1),MATCH(E$1,units!$1:$1,0)-COLUMN(INDIRECT("character_id"))+1,FALSE)</f>
        <v>PremiumSSS</v>
      </c>
      <c r="F12" s="44">
        <v>525</v>
      </c>
      <c r="G12" s="21" t="str">
        <f>VLOOKUP(F12,[1]characters!$A:$C,3,FALSE)</f>
        <v>ウィンタースポーツ 雪ミク</v>
      </c>
      <c r="H12" s="18">
        <v>1</v>
      </c>
      <c r="I12" s="115">
        <v>5</v>
      </c>
    </row>
    <row r="13" spans="1:9" ht="21" customHeight="1" x14ac:dyDescent="0.15">
      <c r="A13" s="65" t="str">
        <f t="shared" si="0"/>
        <v>543_116</v>
      </c>
      <c r="B13" s="44">
        <v>543</v>
      </c>
      <c r="C13" s="21" t="str">
        <f ca="1">VLOOKUP($B13,OFFSET(units!$A$1,0,0,COUNTA(units!$A:$A),MATCH(C$1,units!$1:$1,0)-COLUMN(INDIRECT("character_id"))+1),MATCH(C$1,units!$1:$1,0)-COLUMN(INDIRECT("character_id"))+1,FALSE)</f>
        <v>鏡音リン</v>
      </c>
      <c r="D13" s="21">
        <f ca="1">VLOOKUP($B13,OFFSET(units!$A$1,0,0,COUNTA(units!$A:$A),MATCH(D$1,units!$1:$1,0)-COLUMN(INDIRECT("character_id"))+1),MATCH(D$1,units!$1:$1,0)-COLUMN(INDIRECT("character_id"))+1,FALSE)</f>
        <v>4</v>
      </c>
      <c r="E13" s="21" t="str">
        <f ca="1">VLOOKUP($B13,OFFSET(units!$A$1,0,0,COUNTA(units!$A:$A),MATCH(E$1,units!$1:$1,0)-COLUMN(INDIRECT("character_id"))+1),MATCH(E$1,units!$1:$1,0)-COLUMN(INDIRECT("character_id"))+1,FALSE)</f>
        <v>PremiumSS</v>
      </c>
      <c r="F13" s="44">
        <v>116</v>
      </c>
      <c r="G13" s="21" t="str">
        <f>VLOOKUP(F13,[1]characters!$A:$C,3,FALSE)</f>
        <v>雷のマッドハッター</v>
      </c>
      <c r="H13" s="18">
        <v>1</v>
      </c>
      <c r="I13" s="115">
        <v>1</v>
      </c>
    </row>
    <row r="14" spans="1:9" ht="21" customHeight="1" x14ac:dyDescent="0.15">
      <c r="A14" s="65" t="str">
        <f t="shared" si="0"/>
        <v>543_115</v>
      </c>
      <c r="B14" s="44">
        <v>543</v>
      </c>
      <c r="C14" s="21" t="str">
        <f ca="1">VLOOKUP($B14,OFFSET(units!$A$1,0,0,COUNTA(units!$A:$A),MATCH(C$1,units!$1:$1,0)-COLUMN(INDIRECT("character_id"))+1),MATCH(C$1,units!$1:$1,0)-COLUMN(INDIRECT("character_id"))+1,FALSE)</f>
        <v>鏡音リン</v>
      </c>
      <c r="D14" s="21">
        <f ca="1">VLOOKUP($B14,OFFSET(units!$A$1,0,0,COUNTA(units!$A:$A),MATCH(D$1,units!$1:$1,0)-COLUMN(INDIRECT("character_id"))+1),MATCH(D$1,units!$1:$1,0)-COLUMN(INDIRECT("character_id"))+1,FALSE)</f>
        <v>4</v>
      </c>
      <c r="E14" s="21" t="str">
        <f ca="1">VLOOKUP($B14,OFFSET(units!$A$1,0,0,COUNTA(units!$A:$A),MATCH(E$1,units!$1:$1,0)-COLUMN(INDIRECT("character_id"))+1),MATCH(E$1,units!$1:$1,0)-COLUMN(INDIRECT("character_id"))+1,FALSE)</f>
        <v>PremiumSS</v>
      </c>
      <c r="F14" s="44">
        <v>115</v>
      </c>
      <c r="G14" s="21" t="str">
        <f>VLOOKUP(F14,[1]characters!$A:$C,3,FALSE)</f>
        <v>イエローキャタップ</v>
      </c>
      <c r="H14" s="18">
        <v>2</v>
      </c>
      <c r="I14" s="115">
        <v>1</v>
      </c>
    </row>
    <row r="15" spans="1:9" ht="21" customHeight="1" x14ac:dyDescent="0.15">
      <c r="A15" s="65" t="str">
        <f t="shared" si="0"/>
        <v>543_526</v>
      </c>
      <c r="B15" s="44">
        <v>543</v>
      </c>
      <c r="C15" s="21" t="str">
        <f ca="1">VLOOKUP($B15,OFFSET(units!$A$1,0,0,COUNTA(units!$A:$A),MATCH(C$1,units!$1:$1,0)-COLUMN(INDIRECT("character_id"))+1),MATCH(C$1,units!$1:$1,0)-COLUMN(INDIRECT("character_id"))+1,FALSE)</f>
        <v>鏡音リン</v>
      </c>
      <c r="D15" s="21">
        <f ca="1">VLOOKUP($B15,OFFSET(units!$A$1,0,0,COUNTA(units!$A:$A),MATCH(D$1,units!$1:$1,0)-COLUMN(INDIRECT("character_id"))+1),MATCH(D$1,units!$1:$1,0)-COLUMN(INDIRECT("character_id"))+1,FALSE)</f>
        <v>4</v>
      </c>
      <c r="E15" s="21" t="str">
        <f ca="1">VLOOKUP($B15,OFFSET(units!$A$1,0,0,COUNTA(units!$A:$A),MATCH(E$1,units!$1:$1,0)-COLUMN(INDIRECT("character_id"))+1),MATCH(E$1,units!$1:$1,0)-COLUMN(INDIRECT("character_id"))+1,FALSE)</f>
        <v>PremiumSS</v>
      </c>
      <c r="F15" s="44">
        <v>526</v>
      </c>
      <c r="G15" s="21" t="str">
        <f>VLOOKUP(F15,[1]characters!$A:$C,3,FALSE)</f>
        <v>大滑走 雪ミク&amp;ラビットユキネ</v>
      </c>
      <c r="H15" s="18">
        <v>1</v>
      </c>
      <c r="I15" s="115">
        <v>1</v>
      </c>
    </row>
    <row r="16" spans="1:9" ht="21" customHeight="1" x14ac:dyDescent="0.15">
      <c r="A16" s="65" t="str">
        <f t="shared" si="0"/>
        <v>543_525</v>
      </c>
      <c r="B16" s="44">
        <v>543</v>
      </c>
      <c r="C16" s="21" t="str">
        <f ca="1">VLOOKUP($B16,OFFSET(units!$A$1,0,0,COUNTA(units!$A:$A),MATCH(C$1,units!$1:$1,0)-COLUMN(INDIRECT("character_id"))+1),MATCH(C$1,units!$1:$1,0)-COLUMN(INDIRECT("character_id"))+1,FALSE)</f>
        <v>鏡音リン</v>
      </c>
      <c r="D16" s="21">
        <f ca="1">VLOOKUP($B16,OFFSET(units!$A$1,0,0,COUNTA(units!$A:$A),MATCH(D$1,units!$1:$1,0)-COLUMN(INDIRECT("character_id"))+1),MATCH(D$1,units!$1:$1,0)-COLUMN(INDIRECT("character_id"))+1,FALSE)</f>
        <v>4</v>
      </c>
      <c r="E16" s="21" t="str">
        <f ca="1">VLOOKUP($B16,OFFSET(units!$A$1,0,0,COUNTA(units!$A:$A),MATCH(E$1,units!$1:$1,0)-COLUMN(INDIRECT("character_id"))+1),MATCH(E$1,units!$1:$1,0)-COLUMN(INDIRECT("character_id"))+1,FALSE)</f>
        <v>PremiumSS</v>
      </c>
      <c r="F16" s="177">
        <v>525</v>
      </c>
      <c r="G16" s="21" t="str">
        <f>VLOOKUP(F16,[1]characters!$A:$C,3,FALSE)</f>
        <v>ウィンタースポーツ 雪ミク</v>
      </c>
      <c r="H16" s="18">
        <v>1</v>
      </c>
      <c r="I16" s="115">
        <v>3</v>
      </c>
    </row>
    <row r="17" spans="1:9" ht="21" customHeight="1" x14ac:dyDescent="0.15">
      <c r="A17" s="65" t="str">
        <f t="shared" ref="A17:A27" si="1">B17&amp;"_"&amp;F17</f>
        <v>545_116</v>
      </c>
      <c r="B17" s="44">
        <v>545</v>
      </c>
      <c r="C17" s="21" t="str">
        <f ca="1">VLOOKUP($B17,OFFSET(units!$A$1,0,0,COUNTA(units!$A:$A),MATCH(C$1,units!$1:$1,0)-COLUMN(INDIRECT("character_id"))+1),MATCH(C$1,units!$1:$1,0)-COLUMN(INDIRECT("character_id"))+1,FALSE)</f>
        <v>鏡音レン</v>
      </c>
      <c r="D17" s="21">
        <f ca="1">VLOOKUP($B17,OFFSET(units!$A$1,0,0,COUNTA(units!$A:$A),MATCH(D$1,units!$1:$1,0)-COLUMN(INDIRECT("character_id"))+1),MATCH(D$1,units!$1:$1,0)-COLUMN(INDIRECT("character_id"))+1,FALSE)</f>
        <v>4</v>
      </c>
      <c r="E17" s="21" t="str">
        <f ca="1">VLOOKUP($B17,OFFSET(units!$A$1,0,0,COUNTA(units!$A:$A),MATCH(E$1,units!$1:$1,0)-COLUMN(INDIRECT("character_id"))+1),MATCH(E$1,units!$1:$1,0)-COLUMN(INDIRECT("character_id"))+1,FALSE)</f>
        <v>PremiumSS</v>
      </c>
      <c r="F17" s="44">
        <v>116</v>
      </c>
      <c r="G17" s="21" t="str">
        <f>VLOOKUP(F17,[1]characters!$A:$C,3,FALSE)</f>
        <v>雷のマッドハッター</v>
      </c>
      <c r="H17" s="18">
        <v>1</v>
      </c>
      <c r="I17" s="115">
        <v>1</v>
      </c>
    </row>
    <row r="18" spans="1:9" ht="21" customHeight="1" x14ac:dyDescent="0.15">
      <c r="A18" s="65" t="str">
        <f t="shared" si="1"/>
        <v>545_115</v>
      </c>
      <c r="B18" s="44">
        <v>545</v>
      </c>
      <c r="C18" s="21" t="str">
        <f ca="1">VLOOKUP($B18,OFFSET(units!$A$1,0,0,COUNTA(units!$A:$A),MATCH(C$1,units!$1:$1,0)-COLUMN(INDIRECT("character_id"))+1),MATCH(C$1,units!$1:$1,0)-COLUMN(INDIRECT("character_id"))+1,FALSE)</f>
        <v>鏡音レン</v>
      </c>
      <c r="D18" s="21">
        <f ca="1">VLOOKUP($B18,OFFSET(units!$A$1,0,0,COUNTA(units!$A:$A),MATCH(D$1,units!$1:$1,0)-COLUMN(INDIRECT("character_id"))+1),MATCH(D$1,units!$1:$1,0)-COLUMN(INDIRECT("character_id"))+1,FALSE)</f>
        <v>4</v>
      </c>
      <c r="E18" s="21" t="str">
        <f ca="1">VLOOKUP($B18,OFFSET(units!$A$1,0,0,COUNTA(units!$A:$A),MATCH(E$1,units!$1:$1,0)-COLUMN(INDIRECT("character_id"))+1),MATCH(E$1,units!$1:$1,0)-COLUMN(INDIRECT("character_id"))+1,FALSE)</f>
        <v>PremiumSS</v>
      </c>
      <c r="F18" s="177">
        <v>115</v>
      </c>
      <c r="G18" s="21" t="str">
        <f>VLOOKUP(F18,[1]characters!$A:$C,3,FALSE)</f>
        <v>イエローキャタップ</v>
      </c>
      <c r="H18" s="18">
        <v>2</v>
      </c>
      <c r="I18" s="115">
        <v>1</v>
      </c>
    </row>
    <row r="19" spans="1:9" ht="21" customHeight="1" x14ac:dyDescent="0.15">
      <c r="A19" s="65" t="str">
        <f t="shared" si="1"/>
        <v>545_526</v>
      </c>
      <c r="B19" s="44">
        <v>545</v>
      </c>
      <c r="C19" s="21" t="str">
        <f ca="1">VLOOKUP($B19,OFFSET(units!$A$1,0,0,COUNTA(units!$A:$A),MATCH(C$1,units!$1:$1,0)-COLUMN(INDIRECT("character_id"))+1),MATCH(C$1,units!$1:$1,0)-COLUMN(INDIRECT("character_id"))+1,FALSE)</f>
        <v>鏡音レン</v>
      </c>
      <c r="D19" s="21">
        <f ca="1">VLOOKUP($B19,OFFSET(units!$A$1,0,0,COUNTA(units!$A:$A),MATCH(D$1,units!$1:$1,0)-COLUMN(INDIRECT("character_id"))+1),MATCH(D$1,units!$1:$1,0)-COLUMN(INDIRECT("character_id"))+1,FALSE)</f>
        <v>4</v>
      </c>
      <c r="E19" s="21" t="str">
        <f ca="1">VLOOKUP($B19,OFFSET(units!$A$1,0,0,COUNTA(units!$A:$A),MATCH(E$1,units!$1:$1,0)-COLUMN(INDIRECT("character_id"))+1),MATCH(E$1,units!$1:$1,0)-COLUMN(INDIRECT("character_id"))+1,FALSE)</f>
        <v>PremiumSS</v>
      </c>
      <c r="F19" s="44">
        <v>526</v>
      </c>
      <c r="G19" s="21" t="str">
        <f>VLOOKUP(F19,[1]characters!$A:$C,3,FALSE)</f>
        <v>大滑走 雪ミク&amp;ラビットユキネ</v>
      </c>
      <c r="H19" s="18">
        <v>1</v>
      </c>
      <c r="I19" s="115">
        <v>1</v>
      </c>
    </row>
    <row r="20" spans="1:9" ht="21" customHeight="1" x14ac:dyDescent="0.15">
      <c r="A20" s="65" t="str">
        <f t="shared" si="1"/>
        <v>545_525</v>
      </c>
      <c r="B20" s="44">
        <v>545</v>
      </c>
      <c r="C20" s="21" t="str">
        <f ca="1">VLOOKUP($B20,OFFSET(units!$A$1,0,0,COUNTA(units!$A:$A),MATCH(C$1,units!$1:$1,0)-COLUMN(INDIRECT("character_id"))+1),MATCH(C$1,units!$1:$1,0)-COLUMN(INDIRECT("character_id"))+1,FALSE)</f>
        <v>鏡音レン</v>
      </c>
      <c r="D20" s="21">
        <f ca="1">VLOOKUP($B20,OFFSET(units!$A$1,0,0,COUNTA(units!$A:$A),MATCH(D$1,units!$1:$1,0)-COLUMN(INDIRECT("character_id"))+1),MATCH(D$1,units!$1:$1,0)-COLUMN(INDIRECT("character_id"))+1,FALSE)</f>
        <v>4</v>
      </c>
      <c r="E20" s="21" t="str">
        <f ca="1">VLOOKUP($B20,OFFSET(units!$A$1,0,0,COUNTA(units!$A:$A),MATCH(E$1,units!$1:$1,0)-COLUMN(INDIRECT("character_id"))+1),MATCH(E$1,units!$1:$1,0)-COLUMN(INDIRECT("character_id"))+1,FALSE)</f>
        <v>PremiumSS</v>
      </c>
      <c r="F20" s="177">
        <v>525</v>
      </c>
      <c r="G20" s="21" t="str">
        <f>VLOOKUP(F20,[1]characters!$A:$C,3,FALSE)</f>
        <v>ウィンタースポーツ 雪ミク</v>
      </c>
      <c r="H20" s="18">
        <v>1</v>
      </c>
      <c r="I20" s="115">
        <v>3</v>
      </c>
    </row>
    <row r="21" spans="1:9" ht="21" customHeight="1" x14ac:dyDescent="0.15">
      <c r="A21" s="65" t="str">
        <f t="shared" si="1"/>
        <v>547_103</v>
      </c>
      <c r="B21" s="44">
        <v>547</v>
      </c>
      <c r="C21" s="21" t="str">
        <f ca="1">VLOOKUP($B21,OFFSET(units!$A$1,0,0,COUNTA(units!$A:$A),MATCH(C$1,units!$1:$1,0)-COLUMN(INDIRECT("character_id"))+1),MATCH(C$1,units!$1:$1,0)-COLUMN(INDIRECT("character_id"))+1,FALSE)</f>
        <v>巡音ルカ</v>
      </c>
      <c r="D21" s="21">
        <f ca="1">VLOOKUP($B21,OFFSET(units!$A$1,0,0,COUNTA(units!$A:$A),MATCH(D$1,units!$1:$1,0)-COLUMN(INDIRECT("character_id"))+1),MATCH(D$1,units!$1:$1,0)-COLUMN(INDIRECT("character_id"))+1,FALSE)</f>
        <v>3</v>
      </c>
      <c r="E21" s="21" t="str">
        <f ca="1">VLOOKUP($B21,OFFSET(units!$A$1,0,0,COUNTA(units!$A:$A),MATCH(E$1,units!$1:$1,0)-COLUMN(INDIRECT("character_id"))+1),MATCH(E$1,units!$1:$1,0)-COLUMN(INDIRECT("character_id"))+1,FALSE)</f>
        <v>PremiumS</v>
      </c>
      <c r="F21" s="44">
        <v>103</v>
      </c>
      <c r="G21" s="21" t="str">
        <f>VLOOKUP(F21,[1]characters!$A:$C,3,FALSE)</f>
        <v>レッドキャタップ</v>
      </c>
      <c r="H21" s="18">
        <v>1</v>
      </c>
      <c r="I21" s="115">
        <v>1</v>
      </c>
    </row>
    <row r="22" spans="1:9" ht="21" customHeight="1" x14ac:dyDescent="0.15">
      <c r="A22" s="65" t="str">
        <f t="shared" si="1"/>
        <v>547_102</v>
      </c>
      <c r="B22" s="44">
        <v>547</v>
      </c>
      <c r="C22" s="21" t="str">
        <f ca="1">VLOOKUP($B22,OFFSET(units!$A$1,0,0,COUNTA(units!$A:$A),MATCH(C$1,units!$1:$1,0)-COLUMN(INDIRECT("character_id"))+1),MATCH(C$1,units!$1:$1,0)-COLUMN(INDIRECT("character_id"))+1,FALSE)</f>
        <v>巡音ルカ</v>
      </c>
      <c r="D22" s="21">
        <f ca="1">VLOOKUP($B22,OFFSET(units!$A$1,0,0,COUNTA(units!$A:$A),MATCH(D$1,units!$1:$1,0)-COLUMN(INDIRECT("character_id"))+1),MATCH(D$1,units!$1:$1,0)-COLUMN(INDIRECT("character_id"))+1,FALSE)</f>
        <v>3</v>
      </c>
      <c r="E22" s="21" t="str">
        <f ca="1">VLOOKUP($B22,OFFSET(units!$A$1,0,0,COUNTA(units!$A:$A),MATCH(E$1,units!$1:$1,0)-COLUMN(INDIRECT("character_id"))+1),MATCH(E$1,units!$1:$1,0)-COLUMN(INDIRECT("character_id"))+1,FALSE)</f>
        <v>PremiumS</v>
      </c>
      <c r="F22" s="44">
        <v>102</v>
      </c>
      <c r="G22" s="21" t="str">
        <f>VLOOKUP(F22,[1]characters!$A:$C,3,FALSE)</f>
        <v>レッドラビット</v>
      </c>
      <c r="H22" s="18">
        <v>1</v>
      </c>
      <c r="I22" s="115">
        <v>1</v>
      </c>
    </row>
    <row r="23" spans="1:9" ht="21" customHeight="1" x14ac:dyDescent="0.15">
      <c r="A23" s="65" t="str">
        <f t="shared" si="1"/>
        <v>547_101</v>
      </c>
      <c r="B23" s="44">
        <v>547</v>
      </c>
      <c r="C23" s="21" t="str">
        <f ca="1">VLOOKUP($B23,OFFSET(units!$A$1,0,0,COUNTA(units!$A:$A),MATCH(C$1,units!$1:$1,0)-COLUMN(INDIRECT("character_id"))+1),MATCH(C$1,units!$1:$1,0)-COLUMN(INDIRECT("character_id"))+1,FALSE)</f>
        <v>巡音ルカ</v>
      </c>
      <c r="D23" s="21">
        <f ca="1">VLOOKUP($B23,OFFSET(units!$A$1,0,0,COUNTA(units!$A:$A),MATCH(D$1,units!$1:$1,0)-COLUMN(INDIRECT("character_id"))+1),MATCH(D$1,units!$1:$1,0)-COLUMN(INDIRECT("character_id"))+1,FALSE)</f>
        <v>3</v>
      </c>
      <c r="E23" s="21" t="str">
        <f ca="1">VLOOKUP($B23,OFFSET(units!$A$1,0,0,COUNTA(units!$A:$A),MATCH(E$1,units!$1:$1,0)-COLUMN(INDIRECT("character_id"))+1),MATCH(E$1,units!$1:$1,0)-COLUMN(INDIRECT("character_id"))+1,FALSE)</f>
        <v>PremiumS</v>
      </c>
      <c r="F23" s="44">
        <v>101</v>
      </c>
      <c r="G23" s="21" t="str">
        <f>VLOOKUP(F23,[1]characters!$A:$C,3,FALSE)</f>
        <v>レッドチェシャ</v>
      </c>
      <c r="H23" s="18">
        <v>3</v>
      </c>
      <c r="I23" s="115">
        <v>1</v>
      </c>
    </row>
    <row r="24" spans="1:9" ht="21" customHeight="1" x14ac:dyDescent="0.15">
      <c r="A24" s="65" t="str">
        <f t="shared" si="1"/>
        <v>549_103</v>
      </c>
      <c r="B24" s="44">
        <v>549</v>
      </c>
      <c r="C24" s="21" t="str">
        <f ca="1">VLOOKUP($B24,OFFSET(units!$A$1,0,0,COUNTA(units!$A:$A),MATCH(C$1,units!$1:$1,0)-COLUMN(INDIRECT("character_id"))+1),MATCH(C$1,units!$1:$1,0)-COLUMN(INDIRECT("character_id"))+1,FALSE)</f>
        <v>MEIKO</v>
      </c>
      <c r="D24" s="21">
        <f ca="1">VLOOKUP($B24,OFFSET(units!$A$1,0,0,COUNTA(units!$A:$A),MATCH(D$1,units!$1:$1,0)-COLUMN(INDIRECT("character_id"))+1),MATCH(D$1,units!$1:$1,0)-COLUMN(INDIRECT("character_id"))+1,FALSE)</f>
        <v>3</v>
      </c>
      <c r="E24" s="21" t="str">
        <f ca="1">VLOOKUP($B24,OFFSET(units!$A$1,0,0,COUNTA(units!$A:$A),MATCH(E$1,units!$1:$1,0)-COLUMN(INDIRECT("character_id"))+1),MATCH(E$1,units!$1:$1,0)-COLUMN(INDIRECT("character_id"))+1,FALSE)</f>
        <v>PremiumS</v>
      </c>
      <c r="F24" s="44">
        <v>103</v>
      </c>
      <c r="G24" s="21" t="str">
        <f>VLOOKUP(F24,[1]characters!$A:$C,3,FALSE)</f>
        <v>レッドキャタップ</v>
      </c>
      <c r="H24" s="18">
        <v>1</v>
      </c>
      <c r="I24" s="115">
        <v>1</v>
      </c>
    </row>
    <row r="25" spans="1:9" ht="21" customHeight="1" x14ac:dyDescent="0.15">
      <c r="A25" s="65" t="str">
        <f t="shared" si="1"/>
        <v>549_102</v>
      </c>
      <c r="B25" s="44">
        <v>549</v>
      </c>
      <c r="C25" s="21" t="str">
        <f ca="1">VLOOKUP($B25,OFFSET(units!$A$1,0,0,COUNTA(units!$A:$A),MATCH(C$1,units!$1:$1,0)-COLUMN(INDIRECT("character_id"))+1),MATCH(C$1,units!$1:$1,0)-COLUMN(INDIRECT("character_id"))+1,FALSE)</f>
        <v>MEIKO</v>
      </c>
      <c r="D25" s="21">
        <f ca="1">VLOOKUP($B25,OFFSET(units!$A$1,0,0,COUNTA(units!$A:$A),MATCH(D$1,units!$1:$1,0)-COLUMN(INDIRECT("character_id"))+1),MATCH(D$1,units!$1:$1,0)-COLUMN(INDIRECT("character_id"))+1,FALSE)</f>
        <v>3</v>
      </c>
      <c r="E25" s="21" t="str">
        <f ca="1">VLOOKUP($B25,OFFSET(units!$A$1,0,0,COUNTA(units!$A:$A),MATCH(E$1,units!$1:$1,0)-COLUMN(INDIRECT("character_id"))+1),MATCH(E$1,units!$1:$1,0)-COLUMN(INDIRECT("character_id"))+1,FALSE)</f>
        <v>PremiumS</v>
      </c>
      <c r="F25" s="44">
        <v>102</v>
      </c>
      <c r="G25" s="21" t="str">
        <f>VLOOKUP(F25,[1]characters!$A:$C,3,FALSE)</f>
        <v>レッドラビット</v>
      </c>
      <c r="H25" s="18">
        <v>1</v>
      </c>
      <c r="I25" s="115">
        <v>1</v>
      </c>
    </row>
    <row r="26" spans="1:9" ht="21" customHeight="1" x14ac:dyDescent="0.15">
      <c r="A26" s="65" t="str">
        <f t="shared" si="1"/>
        <v>549_101</v>
      </c>
      <c r="B26" s="44">
        <v>549</v>
      </c>
      <c r="C26" s="21" t="str">
        <f ca="1">VLOOKUP($B26,OFFSET(units!$A$1,0,0,COUNTA(units!$A:$A),MATCH(C$1,units!$1:$1,0)-COLUMN(INDIRECT("character_id"))+1),MATCH(C$1,units!$1:$1,0)-COLUMN(INDIRECT("character_id"))+1,FALSE)</f>
        <v>MEIKO</v>
      </c>
      <c r="D26" s="21">
        <f ca="1">VLOOKUP($B26,OFFSET(units!$A$1,0,0,COUNTA(units!$A:$A),MATCH(D$1,units!$1:$1,0)-COLUMN(INDIRECT("character_id"))+1),MATCH(D$1,units!$1:$1,0)-COLUMN(INDIRECT("character_id"))+1,FALSE)</f>
        <v>3</v>
      </c>
      <c r="E26" s="21" t="str">
        <f ca="1">VLOOKUP($B26,OFFSET(units!$A$1,0,0,COUNTA(units!$A:$A),MATCH(E$1,units!$1:$1,0)-COLUMN(INDIRECT("character_id"))+1),MATCH(E$1,units!$1:$1,0)-COLUMN(INDIRECT("character_id"))+1,FALSE)</f>
        <v>PremiumS</v>
      </c>
      <c r="F26" s="44">
        <v>101</v>
      </c>
      <c r="G26" s="21" t="str">
        <f>VLOOKUP(F26,[1]characters!$A:$C,3,FALSE)</f>
        <v>レッドチェシャ</v>
      </c>
      <c r="H26" s="18">
        <v>3</v>
      </c>
      <c r="I26" s="115">
        <v>1</v>
      </c>
    </row>
    <row r="27" spans="1:9" ht="21" customHeight="1" x14ac:dyDescent="0.15">
      <c r="A27" s="65" t="str">
        <f t="shared" si="1"/>
        <v>551_111</v>
      </c>
      <c r="B27" s="44">
        <v>551</v>
      </c>
      <c r="C27" s="21" t="str">
        <f ca="1">VLOOKUP($B27,OFFSET(units!$A$1,0,0,COUNTA(units!$A:$A),MATCH(C$1,units!$1:$1,0)-COLUMN(INDIRECT("character_id"))+1),MATCH(C$1,units!$1:$1,0)-COLUMN(INDIRECT("character_id"))+1,FALSE)</f>
        <v>KAITO</v>
      </c>
      <c r="D27" s="21">
        <f ca="1">VLOOKUP($B27,OFFSET(units!$A$1,0,0,COUNTA(units!$A:$A),MATCH(D$1,units!$1:$1,0)-COLUMN(INDIRECT("character_id"))+1),MATCH(D$1,units!$1:$1,0)-COLUMN(INDIRECT("character_id"))+1,FALSE)</f>
        <v>3</v>
      </c>
      <c r="E27" s="21" t="str">
        <f ca="1">VLOOKUP($B27,OFFSET(units!$A$1,0,0,COUNTA(units!$A:$A),MATCH(E$1,units!$1:$1,0)-COLUMN(INDIRECT("character_id"))+1),MATCH(E$1,units!$1:$1,0)-COLUMN(INDIRECT("character_id"))+1,FALSE)</f>
        <v>PremiumS</v>
      </c>
      <c r="F27" s="44">
        <v>111</v>
      </c>
      <c r="G27" s="21" t="str">
        <f>VLOOKUP(F27,[1]characters!$A:$C,3,FALSE)</f>
        <v>ブルーキャタップ</v>
      </c>
      <c r="H27" s="18">
        <v>1</v>
      </c>
      <c r="I27" s="115">
        <v>1</v>
      </c>
    </row>
    <row r="28" spans="1:9" ht="21" customHeight="1" x14ac:dyDescent="0.15">
      <c r="A28" s="65" t="str">
        <f t="shared" ref="A28:A42" si="2">B28&amp;"_"&amp;F28</f>
        <v>551_110</v>
      </c>
      <c r="B28" s="44">
        <v>551</v>
      </c>
      <c r="C28" s="21" t="str">
        <f ca="1">VLOOKUP($B28,OFFSET(units!$A$1,0,0,COUNTA(units!$A:$A),MATCH(C$1,units!$1:$1,0)-COLUMN(INDIRECT("character_id"))+1),MATCH(C$1,units!$1:$1,0)-COLUMN(INDIRECT("character_id"))+1,FALSE)</f>
        <v>KAITO</v>
      </c>
      <c r="D28" s="21">
        <f ca="1">VLOOKUP($B28,OFFSET(units!$A$1,0,0,COUNTA(units!$A:$A),MATCH(D$1,units!$1:$1,0)-COLUMN(INDIRECT("character_id"))+1),MATCH(D$1,units!$1:$1,0)-COLUMN(INDIRECT("character_id"))+1,FALSE)</f>
        <v>3</v>
      </c>
      <c r="E28" s="21" t="str">
        <f ca="1">VLOOKUP($B28,OFFSET(units!$A$1,0,0,COUNTA(units!$A:$A),MATCH(E$1,units!$1:$1,0)-COLUMN(INDIRECT("character_id"))+1),MATCH(E$1,units!$1:$1,0)-COLUMN(INDIRECT("character_id"))+1,FALSE)</f>
        <v>PremiumS</v>
      </c>
      <c r="F28" s="44">
        <v>110</v>
      </c>
      <c r="G28" s="21" t="str">
        <f>VLOOKUP(F28,[1]characters!$A:$C,3,FALSE)</f>
        <v>ブルーラビット</v>
      </c>
      <c r="H28" s="18">
        <v>1</v>
      </c>
      <c r="I28" s="115">
        <v>1</v>
      </c>
    </row>
    <row r="29" spans="1:9" ht="21" customHeight="1" x14ac:dyDescent="0.15">
      <c r="A29" s="65" t="str">
        <f t="shared" si="2"/>
        <v>551_109</v>
      </c>
      <c r="B29" s="44">
        <v>551</v>
      </c>
      <c r="C29" s="21" t="str">
        <f ca="1">VLOOKUP($B29,OFFSET(units!$A$1,0,0,COUNTA(units!$A:$A),MATCH(C$1,units!$1:$1,0)-COLUMN(INDIRECT("character_id"))+1),MATCH(C$1,units!$1:$1,0)-COLUMN(INDIRECT("character_id"))+1,FALSE)</f>
        <v>KAITO</v>
      </c>
      <c r="D29" s="21">
        <f ca="1">VLOOKUP($B29,OFFSET(units!$A$1,0,0,COUNTA(units!$A:$A),MATCH(D$1,units!$1:$1,0)-COLUMN(INDIRECT("character_id"))+1),MATCH(D$1,units!$1:$1,0)-COLUMN(INDIRECT("character_id"))+1,FALSE)</f>
        <v>3</v>
      </c>
      <c r="E29" s="21" t="str">
        <f ca="1">VLOOKUP($B29,OFFSET(units!$A$1,0,0,COUNTA(units!$A:$A),MATCH(E$1,units!$1:$1,0)-COLUMN(INDIRECT("character_id"))+1),MATCH(E$1,units!$1:$1,0)-COLUMN(INDIRECT("character_id"))+1,FALSE)</f>
        <v>PremiumS</v>
      </c>
      <c r="F29" s="44">
        <v>109</v>
      </c>
      <c r="G29" s="21" t="str">
        <f>VLOOKUP(F29,[1]characters!$A:$C,3,FALSE)</f>
        <v>ブルーチェシャ</v>
      </c>
      <c r="H29" s="18">
        <v>3</v>
      </c>
      <c r="I29" s="115">
        <v>1</v>
      </c>
    </row>
    <row r="30" spans="1:9" ht="21" customHeight="1" x14ac:dyDescent="0.15">
      <c r="A30" s="65" t="str">
        <f t="shared" si="2"/>
        <v>553_526</v>
      </c>
      <c r="B30" s="44">
        <v>553</v>
      </c>
      <c r="C30" s="21" t="str">
        <f ca="1">VLOOKUP($B30,OFFSET(units!$A$1,0,0,COUNTA(units!$A:$A),MATCH(C$1,units!$1:$1,0)-COLUMN(INDIRECT("character_id"))+1),MATCH(C$1,units!$1:$1,0)-COLUMN(INDIRECT("character_id"))+1,FALSE)</f>
        <v>雪ミク2016</v>
      </c>
      <c r="D30" s="21">
        <f ca="1">VLOOKUP($B30,OFFSET(units!$A$1,0,0,COUNTA(units!$A:$A),MATCH(D$1,units!$1:$1,0)-COLUMN(INDIRECT("character_id"))+1),MATCH(D$1,units!$1:$1,0)-COLUMN(INDIRECT("character_id"))+1,FALSE)</f>
        <v>4</v>
      </c>
      <c r="E30" s="21" t="str">
        <f ca="1">VLOOKUP($B30,OFFSET(units!$A$1,0,0,COUNTA(units!$A:$A),MATCH(E$1,units!$1:$1,0)-COLUMN(INDIRECT("character_id"))+1),MATCH(E$1,units!$1:$1,0)-COLUMN(INDIRECT("character_id"))+1,FALSE)</f>
        <v>Drop2N</v>
      </c>
      <c r="F30" s="44">
        <v>526</v>
      </c>
      <c r="G30" s="21" t="str">
        <f>VLOOKUP(F30,[1]characters!$A:$C,3,FALSE)</f>
        <v>大滑走 雪ミク&amp;ラビットユキネ</v>
      </c>
      <c r="H30" s="18">
        <v>1</v>
      </c>
      <c r="I30" s="115">
        <v>1</v>
      </c>
    </row>
    <row r="31" spans="1:9" ht="21" customHeight="1" x14ac:dyDescent="0.15">
      <c r="A31" s="65" t="str">
        <f t="shared" si="2"/>
        <v>553_111</v>
      </c>
      <c r="B31" s="44">
        <v>553</v>
      </c>
      <c r="C31" s="21" t="str">
        <f ca="1">VLOOKUP($B31,OFFSET(units!$A$1,0,0,COUNTA(units!$A:$A),MATCH(C$1,units!$1:$1,0)-COLUMN(INDIRECT("character_id"))+1),MATCH(C$1,units!$1:$1,0)-COLUMN(INDIRECT("character_id"))+1,FALSE)</f>
        <v>雪ミク2016</v>
      </c>
      <c r="D31" s="21">
        <f ca="1">VLOOKUP($B31,OFFSET(units!$A$1,0,0,COUNTA(units!$A:$A),MATCH(D$1,units!$1:$1,0)-COLUMN(INDIRECT("character_id"))+1),MATCH(D$1,units!$1:$1,0)-COLUMN(INDIRECT("character_id"))+1,FALSE)</f>
        <v>4</v>
      </c>
      <c r="E31" s="21" t="str">
        <f ca="1">VLOOKUP($B31,OFFSET(units!$A$1,0,0,COUNTA(units!$A:$A),MATCH(E$1,units!$1:$1,0)-COLUMN(INDIRECT("character_id"))+1),MATCH(E$1,units!$1:$1,0)-COLUMN(INDIRECT("character_id"))+1,FALSE)</f>
        <v>Drop2N</v>
      </c>
      <c r="F31" s="44">
        <v>111</v>
      </c>
      <c r="G31" s="21" t="str">
        <f>VLOOKUP(F31,[1]characters!$A:$C,3,FALSE)</f>
        <v>ブルーキャタップ</v>
      </c>
      <c r="H31" s="18">
        <v>1</v>
      </c>
      <c r="I31" s="115">
        <v>1</v>
      </c>
    </row>
    <row r="32" spans="1:9" ht="21" customHeight="1" x14ac:dyDescent="0.15">
      <c r="A32" s="65" t="str">
        <f t="shared" si="2"/>
        <v>553_110</v>
      </c>
      <c r="B32" s="44">
        <v>553</v>
      </c>
      <c r="C32" s="21" t="str">
        <f ca="1">VLOOKUP($B32,OFFSET(units!$A$1,0,0,COUNTA(units!$A:$A),MATCH(C$1,units!$1:$1,0)-COLUMN(INDIRECT("character_id"))+1),MATCH(C$1,units!$1:$1,0)-COLUMN(INDIRECT("character_id"))+1,FALSE)</f>
        <v>雪ミク2016</v>
      </c>
      <c r="D32" s="21">
        <f ca="1">VLOOKUP($B32,OFFSET(units!$A$1,0,0,COUNTA(units!$A:$A),MATCH(D$1,units!$1:$1,0)-COLUMN(INDIRECT("character_id"))+1),MATCH(D$1,units!$1:$1,0)-COLUMN(INDIRECT("character_id"))+1,FALSE)</f>
        <v>4</v>
      </c>
      <c r="E32" s="21" t="str">
        <f ca="1">VLOOKUP($B32,OFFSET(units!$A$1,0,0,COUNTA(units!$A:$A),MATCH(E$1,units!$1:$1,0)-COLUMN(INDIRECT("character_id"))+1),MATCH(E$1,units!$1:$1,0)-COLUMN(INDIRECT("character_id"))+1,FALSE)</f>
        <v>Drop2N</v>
      </c>
      <c r="F32" s="44">
        <f t="shared" ref="F32:F33" si="3">F31-1</f>
        <v>110</v>
      </c>
      <c r="G32" s="21" t="str">
        <f>VLOOKUP(F32,[1]characters!$A:$C,3,FALSE)</f>
        <v>ブルーラビット</v>
      </c>
      <c r="H32" s="18">
        <v>1</v>
      </c>
      <c r="I32" s="115">
        <v>1</v>
      </c>
    </row>
    <row r="33" spans="1:9" ht="21" customHeight="1" x14ac:dyDescent="0.15">
      <c r="A33" s="65" t="str">
        <f t="shared" si="2"/>
        <v>553_109</v>
      </c>
      <c r="B33" s="44">
        <v>553</v>
      </c>
      <c r="C33" s="21" t="str">
        <f ca="1">VLOOKUP($B33,OFFSET(units!$A$1,0,0,COUNTA(units!$A:$A),MATCH(C$1,units!$1:$1,0)-COLUMN(INDIRECT("character_id"))+1),MATCH(C$1,units!$1:$1,0)-COLUMN(INDIRECT("character_id"))+1,FALSE)</f>
        <v>雪ミク2016</v>
      </c>
      <c r="D33" s="21">
        <f ca="1">VLOOKUP($B33,OFFSET(units!$A$1,0,0,COUNTA(units!$A:$A),MATCH(D$1,units!$1:$1,0)-COLUMN(INDIRECT("character_id"))+1),MATCH(D$1,units!$1:$1,0)-COLUMN(INDIRECT("character_id"))+1,FALSE)</f>
        <v>4</v>
      </c>
      <c r="E33" s="21" t="str">
        <f ca="1">VLOOKUP($B33,OFFSET(units!$A$1,0,0,COUNTA(units!$A:$A),MATCH(E$1,units!$1:$1,0)-COLUMN(INDIRECT("character_id"))+1),MATCH(E$1,units!$1:$1,0)-COLUMN(INDIRECT("character_id"))+1,FALSE)</f>
        <v>Drop2N</v>
      </c>
      <c r="F33" s="44">
        <f t="shared" si="3"/>
        <v>109</v>
      </c>
      <c r="G33" s="21" t="str">
        <f>VLOOKUP(F33,[1]characters!$A:$C,3,FALSE)</f>
        <v>ブルーチェシャ</v>
      </c>
      <c r="H33" s="18">
        <v>1</v>
      </c>
      <c r="I33" s="115">
        <v>1</v>
      </c>
    </row>
    <row r="34" spans="1:9" ht="21" customHeight="1" x14ac:dyDescent="0.15">
      <c r="A34" s="65" t="str">
        <f t="shared" si="2"/>
        <v>555_525</v>
      </c>
      <c r="B34" s="44">
        <v>555</v>
      </c>
      <c r="C34" s="21" t="str">
        <f ca="1">VLOOKUP($B34,OFFSET(units!$A$1,0,0,COUNTA(units!$A:$A),MATCH(C$1,units!$1:$1,0)-COLUMN(INDIRECT("character_id"))+1),MATCH(C$1,units!$1:$1,0)-COLUMN(INDIRECT("character_id"))+1,FALSE)</f>
        <v>雪ミク2014</v>
      </c>
      <c r="D34" s="21">
        <f ca="1">VLOOKUP($B34,OFFSET(units!$A$1,0,0,COUNTA(units!$A:$A),MATCH(D$1,units!$1:$1,0)-COLUMN(INDIRECT("character_id"))+1),MATCH(D$1,units!$1:$1,0)-COLUMN(INDIRECT("character_id"))+1,FALSE)</f>
        <v>4</v>
      </c>
      <c r="E34" s="21" t="str">
        <f ca="1">VLOOKUP($B34,OFFSET(units!$A$1,0,0,COUNTA(units!$A:$A),MATCH(E$1,units!$1:$1,0)-COLUMN(INDIRECT("character_id"))+1),MATCH(E$1,units!$1:$1,0)-COLUMN(INDIRECT("character_id"))+1,FALSE)</f>
        <v>Drop2N</v>
      </c>
      <c r="F34" s="44">
        <v>525</v>
      </c>
      <c r="G34" s="21" t="str">
        <f>VLOOKUP(F34,[1]characters!$A:$C,3,FALSE)</f>
        <v>ウィンタースポーツ 雪ミク</v>
      </c>
      <c r="H34" s="18">
        <v>1</v>
      </c>
      <c r="I34" s="115">
        <v>1</v>
      </c>
    </row>
    <row r="35" spans="1:9" ht="21" customHeight="1" x14ac:dyDescent="0.15">
      <c r="A35" s="65" t="str">
        <f t="shared" si="2"/>
        <v>555_111</v>
      </c>
      <c r="B35" s="44">
        <v>555</v>
      </c>
      <c r="C35" s="21" t="str">
        <f ca="1">VLOOKUP($B35,OFFSET(units!$A$1,0,0,COUNTA(units!$A:$A),MATCH(C$1,units!$1:$1,0)-COLUMN(INDIRECT("character_id"))+1),MATCH(C$1,units!$1:$1,0)-COLUMN(INDIRECT("character_id"))+1,FALSE)</f>
        <v>雪ミク2014</v>
      </c>
      <c r="D35" s="21">
        <f ca="1">VLOOKUP($B35,OFFSET(units!$A$1,0,0,COUNTA(units!$A:$A),MATCH(D$1,units!$1:$1,0)-COLUMN(INDIRECT("character_id"))+1),MATCH(D$1,units!$1:$1,0)-COLUMN(INDIRECT("character_id"))+1,FALSE)</f>
        <v>4</v>
      </c>
      <c r="E35" s="21" t="str">
        <f ca="1">VLOOKUP($B35,OFFSET(units!$A$1,0,0,COUNTA(units!$A:$A),MATCH(E$1,units!$1:$1,0)-COLUMN(INDIRECT("character_id"))+1),MATCH(E$1,units!$1:$1,0)-COLUMN(INDIRECT("character_id"))+1,FALSE)</f>
        <v>Drop2N</v>
      </c>
      <c r="F35" s="44">
        <v>111</v>
      </c>
      <c r="G35" s="21" t="str">
        <f>VLOOKUP(F35,[1]characters!$A:$C,3,FALSE)</f>
        <v>ブルーキャタップ</v>
      </c>
      <c r="H35" s="18">
        <v>1</v>
      </c>
      <c r="I35" s="115">
        <v>1</v>
      </c>
    </row>
    <row r="36" spans="1:9" ht="21" customHeight="1" x14ac:dyDescent="0.15">
      <c r="A36" s="65" t="str">
        <f t="shared" si="2"/>
        <v>555_110</v>
      </c>
      <c r="B36" s="44">
        <v>555</v>
      </c>
      <c r="C36" s="21" t="str">
        <f ca="1">VLOOKUP($B36,OFFSET(units!$A$1,0,0,COUNTA(units!$A:$A),MATCH(C$1,units!$1:$1,0)-COLUMN(INDIRECT("character_id"))+1),MATCH(C$1,units!$1:$1,0)-COLUMN(INDIRECT("character_id"))+1,FALSE)</f>
        <v>雪ミク2014</v>
      </c>
      <c r="D36" s="21">
        <f ca="1">VLOOKUP($B36,OFFSET(units!$A$1,0,0,COUNTA(units!$A:$A),MATCH(D$1,units!$1:$1,0)-COLUMN(INDIRECT("character_id"))+1),MATCH(D$1,units!$1:$1,0)-COLUMN(INDIRECT("character_id"))+1,FALSE)</f>
        <v>4</v>
      </c>
      <c r="E36" s="21" t="str">
        <f ca="1">VLOOKUP($B36,OFFSET(units!$A$1,0,0,COUNTA(units!$A:$A),MATCH(E$1,units!$1:$1,0)-COLUMN(INDIRECT("character_id"))+1),MATCH(E$1,units!$1:$1,0)-COLUMN(INDIRECT("character_id"))+1,FALSE)</f>
        <v>Drop2N</v>
      </c>
      <c r="F36" s="44">
        <f t="shared" ref="F36:F37" si="4">F35-1</f>
        <v>110</v>
      </c>
      <c r="G36" s="21" t="str">
        <f>VLOOKUP(F36,[1]characters!$A:$C,3,FALSE)</f>
        <v>ブルーラビット</v>
      </c>
      <c r="H36" s="18">
        <v>1</v>
      </c>
      <c r="I36" s="115">
        <v>1</v>
      </c>
    </row>
    <row r="37" spans="1:9" ht="21" customHeight="1" x14ac:dyDescent="0.15">
      <c r="A37" s="65" t="str">
        <f t="shared" si="2"/>
        <v>555_109</v>
      </c>
      <c r="B37" s="44">
        <v>555</v>
      </c>
      <c r="C37" s="21" t="str">
        <f ca="1">VLOOKUP($B37,OFFSET(units!$A$1,0,0,COUNTA(units!$A:$A),MATCH(C$1,units!$1:$1,0)-COLUMN(INDIRECT("character_id"))+1),MATCH(C$1,units!$1:$1,0)-COLUMN(INDIRECT("character_id"))+1,FALSE)</f>
        <v>雪ミク2014</v>
      </c>
      <c r="D37" s="21">
        <f ca="1">VLOOKUP($B37,OFFSET(units!$A$1,0,0,COUNTA(units!$A:$A),MATCH(D$1,units!$1:$1,0)-COLUMN(INDIRECT("character_id"))+1),MATCH(D$1,units!$1:$1,0)-COLUMN(INDIRECT("character_id"))+1,FALSE)</f>
        <v>4</v>
      </c>
      <c r="E37" s="21" t="str">
        <f ca="1">VLOOKUP($B37,OFFSET(units!$A$1,0,0,COUNTA(units!$A:$A),MATCH(E$1,units!$1:$1,0)-COLUMN(INDIRECT("character_id"))+1),MATCH(E$1,units!$1:$1,0)-COLUMN(INDIRECT("character_id"))+1,FALSE)</f>
        <v>Drop2N</v>
      </c>
      <c r="F37" s="44">
        <f t="shared" si="4"/>
        <v>109</v>
      </c>
      <c r="G37" s="21" t="str">
        <f>VLOOKUP(F37,[1]characters!$A:$C,3,FALSE)</f>
        <v>ブルーチェシャ</v>
      </c>
      <c r="H37" s="18">
        <v>1</v>
      </c>
      <c r="I37" s="115">
        <v>1</v>
      </c>
    </row>
    <row r="38" spans="1:9" ht="21" customHeight="1" x14ac:dyDescent="0.15">
      <c r="A38" s="65" t="str">
        <f t="shared" si="2"/>
        <v>557_111</v>
      </c>
      <c r="B38" s="44">
        <v>557</v>
      </c>
      <c r="C38" s="21" t="str">
        <f ca="1">VLOOKUP($B38,OFFSET(units!$A$1,0,0,COUNTA(units!$A:$A),MATCH(C$1,units!$1:$1,0)-COLUMN(INDIRECT("character_id"))+1),MATCH(C$1,units!$1:$1,0)-COLUMN(INDIRECT("character_id"))+1,FALSE)</f>
        <v>ラビット・ユキネ</v>
      </c>
      <c r="D38" s="21">
        <f ca="1">VLOOKUP($B38,OFFSET(units!$A$1,0,0,COUNTA(units!$A:$A),MATCH(D$1,units!$1:$1,0)-COLUMN(INDIRECT("character_id"))+1),MATCH(D$1,units!$1:$1,0)-COLUMN(INDIRECT("character_id"))+1,FALSE)</f>
        <v>3</v>
      </c>
      <c r="E38" s="21" t="str">
        <f ca="1">VLOOKUP($B38,OFFSET(units!$A$1,0,0,COUNTA(units!$A:$A),MATCH(E$1,units!$1:$1,0)-COLUMN(INDIRECT("character_id"))+1),MATCH(E$1,units!$1:$1,0)-COLUMN(INDIRECT("character_id"))+1,FALSE)</f>
        <v>Drop2N</v>
      </c>
      <c r="F38" s="44">
        <v>111</v>
      </c>
      <c r="G38" s="21" t="str">
        <f>VLOOKUP(F38,[1]characters!$A:$C,3,FALSE)</f>
        <v>ブルーキャタップ</v>
      </c>
      <c r="H38" s="18">
        <v>3</v>
      </c>
      <c r="I38" s="115">
        <v>1</v>
      </c>
    </row>
    <row r="39" spans="1:9" ht="21" customHeight="1" x14ac:dyDescent="0.15">
      <c r="A39" s="65" t="str">
        <f t="shared" si="2"/>
        <v>557_110</v>
      </c>
      <c r="B39" s="44">
        <v>557</v>
      </c>
      <c r="C39" s="21" t="str">
        <f ca="1">VLOOKUP($B39,OFFSET(units!$A$1,0,0,COUNTA(units!$A:$A),MATCH(C$1,units!$1:$1,0)-COLUMN(INDIRECT("character_id"))+1),MATCH(C$1,units!$1:$1,0)-COLUMN(INDIRECT("character_id"))+1,FALSE)</f>
        <v>ラビット・ユキネ</v>
      </c>
      <c r="D39" s="21">
        <f ca="1">VLOOKUP($B39,OFFSET(units!$A$1,0,0,COUNTA(units!$A:$A),MATCH(D$1,units!$1:$1,0)-COLUMN(INDIRECT("character_id"))+1),MATCH(D$1,units!$1:$1,0)-COLUMN(INDIRECT("character_id"))+1,FALSE)</f>
        <v>3</v>
      </c>
      <c r="E39" s="21" t="str">
        <f ca="1">VLOOKUP($B39,OFFSET(units!$A$1,0,0,COUNTA(units!$A:$A),MATCH(E$1,units!$1:$1,0)-COLUMN(INDIRECT("character_id"))+1),MATCH(E$1,units!$1:$1,0)-COLUMN(INDIRECT("character_id"))+1,FALSE)</f>
        <v>Drop2N</v>
      </c>
      <c r="F39" s="44">
        <v>110</v>
      </c>
      <c r="G39" s="21" t="str">
        <f>VLOOKUP(F39,[1]characters!$A:$C,3,FALSE)</f>
        <v>ブルーラビット</v>
      </c>
      <c r="H39" s="18">
        <v>1</v>
      </c>
      <c r="I39" s="115">
        <v>1</v>
      </c>
    </row>
    <row r="40" spans="1:9" ht="21" customHeight="1" x14ac:dyDescent="0.15">
      <c r="A40" s="65" t="str">
        <f t="shared" si="2"/>
        <v>558_525</v>
      </c>
      <c r="B40" s="44">
        <v>558</v>
      </c>
      <c r="C40" s="21" t="str">
        <f ca="1">VLOOKUP($B40,OFFSET(units!$A$1,0,0,COUNTA(units!$A:$A),MATCH(C$1,units!$1:$1,0)-COLUMN(INDIRECT("character_id"))+1),MATCH(C$1,units!$1:$1,0)-COLUMN(INDIRECT("character_id"))+1,FALSE)</f>
        <v>雪原の超躍 ラビット・ユキネ</v>
      </c>
      <c r="D40" s="21">
        <f ca="1">VLOOKUP($B40,OFFSET(units!$A$1,0,0,COUNTA(units!$A:$A),MATCH(D$1,units!$1:$1,0)-COLUMN(INDIRECT("character_id"))+1),MATCH(D$1,units!$1:$1,0)-COLUMN(INDIRECT("character_id"))+1,FALSE)</f>
        <v>4</v>
      </c>
      <c r="E40" s="21" t="str">
        <f ca="1">VLOOKUP($B40,OFFSET(units!$A$1,0,0,COUNTA(units!$A:$A),MATCH(E$1,units!$1:$1,0)-COLUMN(INDIRECT("character_id"))+1),MATCH(E$1,units!$1:$1,0)-COLUMN(INDIRECT("character_id"))+1,FALSE)</f>
        <v>Drop2N</v>
      </c>
      <c r="F40" s="44">
        <v>525</v>
      </c>
      <c r="G40" s="21" t="str">
        <f>VLOOKUP(F40,[1]characters!$A:$C,3,FALSE)</f>
        <v>ウィンタースポーツ 雪ミク</v>
      </c>
      <c r="H40" s="18">
        <v>2</v>
      </c>
      <c r="I40" s="115">
        <v>1</v>
      </c>
    </row>
    <row r="41" spans="1:9" ht="21" customHeight="1" x14ac:dyDescent="0.15">
      <c r="A41" s="65" t="str">
        <f t="shared" si="2"/>
        <v>558_111</v>
      </c>
      <c r="B41" s="44">
        <v>558</v>
      </c>
      <c r="C41" s="21" t="str">
        <f ca="1">VLOOKUP($B41,OFFSET(units!$A$1,0,0,COUNTA(units!$A:$A),MATCH(C$1,units!$1:$1,0)-COLUMN(INDIRECT("character_id"))+1),MATCH(C$1,units!$1:$1,0)-COLUMN(INDIRECT("character_id"))+1,FALSE)</f>
        <v>雪原の超躍 ラビット・ユキネ</v>
      </c>
      <c r="D41" s="21">
        <f ca="1">VLOOKUP($B41,OFFSET(units!$A$1,0,0,COUNTA(units!$A:$A),MATCH(D$1,units!$1:$1,0)-COLUMN(INDIRECT("character_id"))+1),MATCH(D$1,units!$1:$1,0)-COLUMN(INDIRECT("character_id"))+1,FALSE)</f>
        <v>4</v>
      </c>
      <c r="E41" s="21" t="str">
        <f ca="1">VLOOKUP($B41,OFFSET(units!$A$1,0,0,COUNTA(units!$A:$A),MATCH(E$1,units!$1:$1,0)-COLUMN(INDIRECT("character_id"))+1),MATCH(E$1,units!$1:$1,0)-COLUMN(INDIRECT("character_id"))+1,FALSE)</f>
        <v>Drop2N</v>
      </c>
      <c r="F41" s="44">
        <v>111</v>
      </c>
      <c r="G41" s="21" t="str">
        <f>VLOOKUP(F41,[1]characters!$A:$C,3,FALSE)</f>
        <v>ブルーキャタップ</v>
      </c>
      <c r="H41" s="18">
        <v>2</v>
      </c>
      <c r="I41" s="115">
        <v>1</v>
      </c>
    </row>
    <row r="42" spans="1:9" ht="21" customHeight="1" x14ac:dyDescent="0.15">
      <c r="A42" s="65" t="str">
        <f t="shared" si="2"/>
        <v>558_110</v>
      </c>
      <c r="B42" s="44">
        <v>558</v>
      </c>
      <c r="C42" s="21" t="str">
        <f ca="1">VLOOKUP($B42,OFFSET(units!$A$1,0,0,COUNTA(units!$A:$A),MATCH(C$1,units!$1:$1,0)-COLUMN(INDIRECT("character_id"))+1),MATCH(C$1,units!$1:$1,0)-COLUMN(INDIRECT("character_id"))+1,FALSE)</f>
        <v>雪原の超躍 ラビット・ユキネ</v>
      </c>
      <c r="D42" s="21">
        <f ca="1">VLOOKUP($B42,OFFSET(units!$A$1,0,0,COUNTA(units!$A:$A),MATCH(D$1,units!$1:$1,0)-COLUMN(INDIRECT("character_id"))+1),MATCH(D$1,units!$1:$1,0)-COLUMN(INDIRECT("character_id"))+1,FALSE)</f>
        <v>4</v>
      </c>
      <c r="E42" s="21" t="str">
        <f ca="1">VLOOKUP($B42,OFFSET(units!$A$1,0,0,COUNTA(units!$A:$A),MATCH(E$1,units!$1:$1,0)-COLUMN(INDIRECT("character_id"))+1),MATCH(E$1,units!$1:$1,0)-COLUMN(INDIRECT("character_id"))+1,FALSE)</f>
        <v>Drop2N</v>
      </c>
      <c r="F42" s="44">
        <v>110</v>
      </c>
      <c r="G42" s="21" t="str">
        <f>VLOOKUP(F42,[1]characters!$A:$C,3,FALSE)</f>
        <v>ブルーラビット</v>
      </c>
      <c r="H42" s="18">
        <v>1</v>
      </c>
      <c r="I42" s="115">
        <v>1</v>
      </c>
    </row>
  </sheetData>
  <sheetProtection selectLockedCells="1" selectUnlockedCells="1"/>
  <autoFilter ref="B1:H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2:B47"/>
  <sheetViews>
    <sheetView workbookViewId="0">
      <selection activeCell="D27" sqref="D27"/>
    </sheetView>
  </sheetViews>
  <sheetFormatPr baseColWidth="12" defaultRowHeight="15" x14ac:dyDescent="0.15"/>
  <sheetData>
    <row r="2" spans="1:2" x14ac:dyDescent="0.15">
      <c r="A2" t="s">
        <v>438</v>
      </c>
    </row>
    <row r="3" spans="1:2" x14ac:dyDescent="0.15">
      <c r="A3" t="s">
        <v>439</v>
      </c>
      <c r="B3" s="134">
        <v>539</v>
      </c>
    </row>
    <row r="4" spans="1:2" x14ac:dyDescent="0.15">
      <c r="A4" t="s">
        <v>440</v>
      </c>
      <c r="B4" s="134">
        <v>540</v>
      </c>
    </row>
    <row r="7" spans="1:2" x14ac:dyDescent="0.15">
      <c r="A7" t="s">
        <v>441</v>
      </c>
    </row>
    <row r="8" spans="1:2" x14ac:dyDescent="0.15">
      <c r="A8" t="str">
        <f>A2 &amp;" "&amp;IF(B2="","",B2)&amp;" "&amp; IFERROR(VLOOKUP(B2,units!A:B,2),"なし")</f>
        <v>R3  なし</v>
      </c>
    </row>
    <row r="9" spans="1:2" x14ac:dyDescent="0.15">
      <c r="A9" t="str">
        <f ca="1">A3 &amp;" "&amp;IF(B3="","",B3)&amp;" "&amp; IFERROR(VLOOKUP(B3,units!A:B,2),"なし")</f>
        <v>R4 539 初音ミク・アペンド</v>
      </c>
    </row>
    <row r="10" spans="1:2" x14ac:dyDescent="0.15">
      <c r="A10" t="str">
        <f ca="1">A4 &amp;" "&amp;IF(B4="","",B4)&amp;" "&amp; IFERROR(VLOOKUP(B4,units!A:B,2),"なし")</f>
        <v>R5 540 来訪の歌姫 初音ミク・アペンド</v>
      </c>
    </row>
    <row r="12" spans="1:2" ht="19" customHeight="1" x14ac:dyDescent="0.15">
      <c r="A12" t="s">
        <v>442</v>
      </c>
    </row>
    <row r="13" spans="1:2" x14ac:dyDescent="0.15">
      <c r="A13" t="str">
        <f>IFERROR(VLOOKUP($B$2,unit_skills!A:I,3),"なし")</f>
        <v>なし</v>
      </c>
    </row>
    <row r="14" spans="1:2" x14ac:dyDescent="0.15">
      <c r="A14" t="str">
        <f>IFERROR(VLOOKUP($B$2,unit_skills!A:I,4),"なし")</f>
        <v>なし</v>
      </c>
    </row>
    <row r="15" spans="1:2" x14ac:dyDescent="0.15">
      <c r="A15" t="str">
        <f>"cost:"&amp;IFERROR(VLOOKUP($B$2,unit_skills!A:I,6),"なし")</f>
        <v>cost:なし</v>
      </c>
    </row>
    <row r="16" spans="1:2" x14ac:dyDescent="0.15">
      <c r="A16" t="str">
        <f>IFERROR(VLOOKUP($B$2,unit_skills!A:I,9),"なし")</f>
        <v>なし</v>
      </c>
    </row>
    <row r="18" spans="1:1" x14ac:dyDescent="0.15">
      <c r="A18" t="str">
        <f>IFERROR(VLOOKUP($B$3,unit_skills!A:I,3),"なし")</f>
        <v>リプレイス＆アペンド</v>
      </c>
    </row>
    <row r="19" spans="1:1" x14ac:dyDescent="0.15">
      <c r="A19" t="str">
        <f>IFERROR(VLOOKUP($B$3,unit_skills!A:I,4),"なし")</f>
        <v>SCパネルを1つ生成(威力大)+1ターン緑の攻撃力UP(時限式・お邪魔を吸収し効果UP)</v>
      </c>
    </row>
    <row r="20" spans="1:1" x14ac:dyDescent="0.15">
      <c r="A20" t="str">
        <f>"cost:"&amp;IFERROR(VLOOKUP($B$3,unit_skills!A:I,6),"なし")</f>
        <v>cost:11</v>
      </c>
    </row>
    <row r="21" spans="1:1" x14ac:dyDescent="0.15">
      <c r="A21" t="str">
        <f>IFERROR(VLOOKUP($B$3,unit_skills!A:I,9),"なし")</f>
        <v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v>
      </c>
    </row>
    <row r="23" spans="1:1" x14ac:dyDescent="0.15">
      <c r="A23" t="str">
        <f>IFERROR(VLOOKUP($B$4,unit_skills!A:I,3),"なし")</f>
        <v>リプレイス＆アペンド</v>
      </c>
    </row>
    <row r="24" spans="1:1" x14ac:dyDescent="0.15">
      <c r="A24" t="str">
        <f>IFERROR(VLOOKUP($B$4,unit_skills!A:I,4),"なし")</f>
        <v>SCパネルを1つ生成(威力大)+1ターン緑の攻撃力UP(時限式・お邪魔を吸収し効果UP)</v>
      </c>
    </row>
    <row r="25" spans="1:1" x14ac:dyDescent="0.15">
      <c r="A25" t="str">
        <f>"cost:"&amp;IFERROR(VLOOKUP($B$4,unit_skills!A:I,6),"なし")</f>
        <v>cost:11</v>
      </c>
    </row>
    <row r="26" spans="1:1" x14ac:dyDescent="0.15">
      <c r="A26" t="str">
        <f>IFERROR(VLOOKUP($B$4,unit_skills!A:I,9),"なし")</f>
        <v xml:space="preserve">[effect:break_enchance_unit, val:0.005, lowest_val:0.2, count :0, status:attack, turn:1, block01:jammer,block02:time_bomb, target:unit_green, calc:mul, animation:enhance_unit_all_attack04],[effect:force_change_block, new_block:crash, target:block_all, ignore01:jammer, ignore02:time_bomb, color:block_heart, count:1, val:24, animation:change_block]    </v>
      </c>
    </row>
    <row r="28" spans="1:1" x14ac:dyDescent="0.15">
      <c r="A28" t="s">
        <v>443</v>
      </c>
    </row>
    <row r="29" spans="1:1" x14ac:dyDescent="0.15">
      <c r="A29" t="str">
        <f>IFERROR(VLOOKUP($B$2,crash_skills!A:I,3),"なし")</f>
        <v>なし</v>
      </c>
    </row>
    <row r="30" spans="1:1" x14ac:dyDescent="0.15">
      <c r="A30" t="str">
        <f>IFERROR(VLOOKUP($B$2,crash_skills!A:I,4),"なし")</f>
        <v>なし</v>
      </c>
    </row>
    <row r="31" spans="1:1" x14ac:dyDescent="0.15">
      <c r="A31" t="str">
        <f>IFERROR(VLOOKUP($B$2,crash_skills!A:I,6),"なし")</f>
        <v>なし</v>
      </c>
    </row>
    <row r="33" spans="1:1" x14ac:dyDescent="0.15">
      <c r="A33" t="str">
        <f>IFERROR(VLOOKUP($B$3,crash_skills!A:I,3),"なし")</f>
        <v>アペンド・ヘキサノート</v>
      </c>
    </row>
    <row r="34" spans="1:1" x14ac:dyDescent="0.15">
      <c r="A34" t="str">
        <f>IFERROR(VLOOKUP($B$3,crash_skills!A:I,4),"なし")</f>
        <v>Unknownに効果特大の_x000D_単体ダメージ+攻撃力小UP</v>
      </c>
    </row>
    <row r="35" spans="1:1" x14ac:dyDescent="0.15">
      <c r="A35" t="str">
        <f>IFERROR(VLOOKUP($B$3,crash_skills!A:I,6),"なし")</f>
        <v>[effect:damage_anti_tribe, target:enemy_one, tribe:unknown, val1:3.0, val2:0.94, animation:damage_one_green04],[effect:enhance_unit, target:unit_all, turn:1, status:attack, val:0.015, calc:mul,animation:enhance_unit_all_attack01_unit01]</v>
      </c>
    </row>
    <row r="37" spans="1:1" x14ac:dyDescent="0.15">
      <c r="A37" t="str">
        <f>IFERROR(VLOOKUP($B$4,crash_skills!A:I,3),"なし")</f>
        <v>アペンド・ヘキサノート</v>
      </c>
    </row>
    <row r="38" spans="1:1" x14ac:dyDescent="0.15">
      <c r="A38" t="str">
        <f>IFERROR(VLOOKUP($B$4,crash_skills!A:I,4),"なし")</f>
        <v>Unknownに効果特大の_x000D_単体ダメージ+攻撃力小UP</v>
      </c>
    </row>
    <row r="39" spans="1:1" x14ac:dyDescent="0.15">
      <c r="A39" t="str">
        <f>IFERROR(VLOOKUP($B$4,crash_skills!A:I,6),"なし")</f>
        <v>[effect:damage_anti_tribe, target:enemy_one, tribe:unknown, val1:3.0, val2:0.94, animation:damage_one_green04],[effect:enhance_unit, target:unit_all, turn:1, status:attack, val:0.015, calc:mul,animation:enhance_unit_all_attack01_unit01]</v>
      </c>
    </row>
    <row r="41" spans="1:1" x14ac:dyDescent="0.15">
      <c r="A41" t="s">
        <v>444</v>
      </c>
    </row>
    <row r="42" spans="1:1" x14ac:dyDescent="0.15">
      <c r="A42" t="str">
        <f>IFERROR(VLOOKUP($B$3,awake_materials!A:I,2),"なし")</f>
        <v>なし</v>
      </c>
    </row>
    <row r="43" spans="1:1" x14ac:dyDescent="0.15">
      <c r="A43" t="str">
        <f>IFERROR(VLOOKUP($B$3,awake_materials!A:I,2),"なし")</f>
        <v>なし</v>
      </c>
    </row>
    <row r="44" spans="1:1" x14ac:dyDescent="0.15">
      <c r="A44" t="str">
        <f>IFERROR(VLOOKUP($B$3,awake_materials!A:I,2),"なし")</f>
        <v>なし</v>
      </c>
    </row>
    <row r="45" spans="1:1" x14ac:dyDescent="0.15">
      <c r="A45" t="str">
        <f>IFERROR(VLOOKUP($B$3,awake_materials!A:I,2),"なし")</f>
        <v>なし</v>
      </c>
    </row>
    <row r="46" spans="1:1" x14ac:dyDescent="0.15">
      <c r="A46" t="str">
        <f>IFERROR(VLOOKUP($B$3,awake_materials!A:I,2),"なし")</f>
        <v>なし</v>
      </c>
    </row>
    <row r="47" spans="1:1" x14ac:dyDescent="0.15">
      <c r="A47" t="str">
        <f>IFERROR(VLOOKUP($B$3,awake_materials!A:I,2),"なし")</f>
        <v>なし</v>
      </c>
    </row>
  </sheetData>
  <phoneticPr fontId="22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"/>
  <sheetViews>
    <sheetView workbookViewId="0"/>
  </sheetViews>
  <sheetFormatPr baseColWidth="12" defaultRowHeight="15" x14ac:dyDescent="0.15"/>
  <sheetData/>
  <phoneticPr fontId="22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9"/>
  <sheetViews>
    <sheetView workbookViewId="0">
      <selection activeCell="D14" sqref="D14"/>
    </sheetView>
  </sheetViews>
  <sheetFormatPr baseColWidth="12" defaultRowHeight="15" x14ac:dyDescent="0.15"/>
  <sheetData>
    <row r="1" spans="1:2" x14ac:dyDescent="0.15">
      <c r="A1" t="s">
        <v>467</v>
      </c>
      <c r="B1" t="s">
        <v>468</v>
      </c>
    </row>
    <row r="2" spans="1:2" x14ac:dyDescent="0.15">
      <c r="A2" t="s">
        <v>469</v>
      </c>
      <c r="B2">
        <v>1</v>
      </c>
    </row>
    <row r="3" spans="1:2" x14ac:dyDescent="0.15">
      <c r="A3" t="s">
        <v>470</v>
      </c>
      <c r="B3">
        <v>1</v>
      </c>
    </row>
    <row r="4" spans="1:2" x14ac:dyDescent="0.15">
      <c r="A4" t="s">
        <v>471</v>
      </c>
      <c r="B4">
        <v>1</v>
      </c>
    </row>
    <row r="5" spans="1:2" x14ac:dyDescent="0.15">
      <c r="A5" t="s">
        <v>472</v>
      </c>
      <c r="B5">
        <v>1</v>
      </c>
    </row>
    <row r="6" spans="1:2" x14ac:dyDescent="0.15">
      <c r="A6" t="s">
        <v>473</v>
      </c>
      <c r="B6">
        <v>1</v>
      </c>
    </row>
    <row r="7" spans="1:2" x14ac:dyDescent="0.15">
      <c r="A7" t="s">
        <v>474</v>
      </c>
      <c r="B7">
        <v>1</v>
      </c>
    </row>
    <row r="8" spans="1:2" x14ac:dyDescent="0.15">
      <c r="A8" t="s">
        <v>475</v>
      </c>
      <c r="B8">
        <v>1</v>
      </c>
    </row>
    <row r="9" spans="1:2" x14ac:dyDescent="0.15">
      <c r="A9" t="s">
        <v>476</v>
      </c>
      <c r="B9">
        <v>1</v>
      </c>
    </row>
    <row r="10" spans="1:2" x14ac:dyDescent="0.15">
      <c r="A10" t="s">
        <v>477</v>
      </c>
      <c r="B10">
        <v>1</v>
      </c>
    </row>
    <row r="11" spans="1:2" x14ac:dyDescent="0.15">
      <c r="A11" t="s">
        <v>478</v>
      </c>
      <c r="B11">
        <v>1</v>
      </c>
    </row>
    <row r="12" spans="1:2" x14ac:dyDescent="0.15">
      <c r="A12" t="s">
        <v>479</v>
      </c>
      <c r="B12">
        <v>1</v>
      </c>
    </row>
    <row r="13" spans="1:2" x14ac:dyDescent="0.15">
      <c r="A13" t="s">
        <v>480</v>
      </c>
      <c r="B13">
        <v>0</v>
      </c>
    </row>
    <row r="14" spans="1:2" x14ac:dyDescent="0.15">
      <c r="A14" t="s">
        <v>481</v>
      </c>
      <c r="B14">
        <v>500</v>
      </c>
    </row>
    <row r="15" spans="1:2" x14ac:dyDescent="0.15">
      <c r="A15" t="s">
        <v>482</v>
      </c>
      <c r="B15">
        <v>600</v>
      </c>
    </row>
    <row r="16" spans="1:2" x14ac:dyDescent="0.15">
      <c r="A16" t="s">
        <v>483</v>
      </c>
      <c r="B16">
        <v>700</v>
      </c>
    </row>
    <row r="17" spans="1:2" x14ac:dyDescent="0.15">
      <c r="A17" t="s">
        <v>484</v>
      </c>
      <c r="B17">
        <v>5500</v>
      </c>
    </row>
    <row r="18" spans="1:2" x14ac:dyDescent="0.15">
      <c r="A18" t="s">
        <v>485</v>
      </c>
      <c r="B18">
        <v>6000</v>
      </c>
    </row>
    <row r="19" spans="1:2" x14ac:dyDescent="0.15">
      <c r="A19" t="s">
        <v>486</v>
      </c>
      <c r="B19">
        <v>30000</v>
      </c>
    </row>
  </sheetData>
  <phoneticPr fontId="22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 enableFormatConditionsCalculation="0">
    <tabColor indexed="17"/>
  </sheetPr>
  <dimension ref="A1:I21"/>
  <sheetViews>
    <sheetView showGridLines="0" tabSelected="1" workbookViewId="0">
      <selection activeCell="H21" sqref="H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1" t="s">
        <v>488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179" t="s">
        <v>489</v>
      </c>
      <c r="B2" s="180"/>
      <c r="C2" s="181"/>
      <c r="D2" s="182" t="s">
        <v>490</v>
      </c>
      <c r="E2" s="182">
        <v>30</v>
      </c>
      <c r="F2" s="182">
        <v>40</v>
      </c>
      <c r="G2" s="182">
        <f>15+F2</f>
        <v>55</v>
      </c>
      <c r="H2" s="181"/>
      <c r="I2" s="181"/>
    </row>
    <row r="3" spans="1:9" ht="21" customHeight="1" x14ac:dyDescent="0.15">
      <c r="A3" s="179" t="s">
        <v>491</v>
      </c>
      <c r="B3" s="183"/>
      <c r="C3" s="184"/>
      <c r="D3" s="185" t="s">
        <v>492</v>
      </c>
      <c r="E3" s="185">
        <v>25</v>
      </c>
      <c r="F3" s="185">
        <v>35</v>
      </c>
      <c r="G3" s="182">
        <f t="shared" ref="G3:G4" si="0">15+F3</f>
        <v>50</v>
      </c>
      <c r="H3" s="184"/>
      <c r="I3" s="184"/>
    </row>
    <row r="4" spans="1:9" s="46" customFormat="1" ht="21" customHeight="1" x14ac:dyDescent="0.15">
      <c r="A4" s="179" t="s">
        <v>493</v>
      </c>
      <c r="B4" s="186"/>
      <c r="C4" s="187"/>
      <c r="D4" s="188">
        <v>10</v>
      </c>
      <c r="E4" s="188">
        <v>20</v>
      </c>
      <c r="F4" s="188">
        <v>30</v>
      </c>
      <c r="G4" s="188">
        <f t="shared" si="0"/>
        <v>45</v>
      </c>
      <c r="H4" s="187"/>
      <c r="I4" s="187"/>
    </row>
    <row r="5" spans="1:9" ht="21" customHeight="1" x14ac:dyDescent="0.15">
      <c r="A5" s="189" t="s">
        <v>494</v>
      </c>
      <c r="B5" s="190"/>
      <c r="C5" s="191"/>
      <c r="D5" s="29">
        <v>9</v>
      </c>
      <c r="E5" s="29">
        <v>18</v>
      </c>
      <c r="F5" s="29">
        <v>28</v>
      </c>
      <c r="G5" s="39">
        <v>38</v>
      </c>
      <c r="H5" s="191"/>
      <c r="I5" s="191"/>
    </row>
    <row r="6" spans="1:9" ht="21" customHeight="1" x14ac:dyDescent="0.15">
      <c r="A6" s="189" t="s">
        <v>495</v>
      </c>
      <c r="B6" s="190"/>
      <c r="C6" s="191"/>
      <c r="D6" s="29">
        <v>7</v>
      </c>
      <c r="E6" s="29">
        <v>16</v>
      </c>
      <c r="F6" s="69" t="s">
        <v>11</v>
      </c>
      <c r="G6" s="69" t="s">
        <v>11</v>
      </c>
      <c r="H6" s="191"/>
      <c r="I6" s="191"/>
    </row>
    <row r="7" spans="1:9" ht="21" customHeight="1" x14ac:dyDescent="0.15">
      <c r="A7" s="74" t="s">
        <v>496</v>
      </c>
      <c r="B7" s="47" t="s">
        <v>11</v>
      </c>
      <c r="C7" s="47" t="s">
        <v>11</v>
      </c>
      <c r="D7" s="39" t="s">
        <v>497</v>
      </c>
      <c r="E7" s="39" t="s">
        <v>497</v>
      </c>
      <c r="F7" s="39" t="s">
        <v>497</v>
      </c>
      <c r="G7" s="39" t="s">
        <v>497</v>
      </c>
      <c r="H7" s="39" t="s">
        <v>497</v>
      </c>
      <c r="I7" s="39" t="s">
        <v>497</v>
      </c>
    </row>
    <row r="8" spans="1:9" ht="21" customHeight="1" x14ac:dyDescent="0.15">
      <c r="A8" s="75" t="s">
        <v>498</v>
      </c>
      <c r="B8" s="47" t="s">
        <v>11</v>
      </c>
      <c r="C8" s="47" t="s">
        <v>11</v>
      </c>
      <c r="D8" s="39" t="s">
        <v>497</v>
      </c>
      <c r="E8" s="39">
        <v>30</v>
      </c>
      <c r="F8" s="39">
        <v>40</v>
      </c>
      <c r="G8" s="39">
        <f>15+F8</f>
        <v>55</v>
      </c>
      <c r="H8" s="39" t="s">
        <v>490</v>
      </c>
      <c r="I8" s="39" t="s">
        <v>490</v>
      </c>
    </row>
    <row r="9" spans="1:9" ht="21" customHeight="1" x14ac:dyDescent="0.15">
      <c r="A9" s="192" t="s">
        <v>499</v>
      </c>
      <c r="B9" s="29" t="s">
        <v>11</v>
      </c>
      <c r="C9" s="29" t="s">
        <v>11</v>
      </c>
      <c r="D9" s="106" t="s">
        <v>490</v>
      </c>
      <c r="E9" s="106" t="s">
        <v>490</v>
      </c>
      <c r="F9" s="106">
        <v>38</v>
      </c>
      <c r="G9" s="39">
        <f>15+F9</f>
        <v>53</v>
      </c>
      <c r="H9" s="106" t="s">
        <v>500</v>
      </c>
      <c r="I9" s="106" t="s">
        <v>500</v>
      </c>
    </row>
    <row r="10" spans="1:9" ht="21" customHeight="1" x14ac:dyDescent="0.15">
      <c r="A10" s="76" t="s">
        <v>501</v>
      </c>
      <c r="B10" s="29" t="s">
        <v>11</v>
      </c>
      <c r="C10" s="29" t="s">
        <v>11</v>
      </c>
      <c r="D10" s="106" t="s">
        <v>500</v>
      </c>
      <c r="E10" s="106">
        <v>25</v>
      </c>
      <c r="F10" s="106">
        <v>35</v>
      </c>
      <c r="G10" s="39">
        <f t="shared" ref="G10:G11" si="1">15+F10</f>
        <v>50</v>
      </c>
      <c r="H10" s="106" t="s">
        <v>502</v>
      </c>
      <c r="I10" s="106" t="s">
        <v>502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9">
        <v>10</v>
      </c>
      <c r="E11" s="29">
        <v>20</v>
      </c>
      <c r="F11" s="29">
        <v>30</v>
      </c>
      <c r="G11" s="39">
        <f t="shared" si="1"/>
        <v>45</v>
      </c>
      <c r="H11" s="69" t="s">
        <v>11</v>
      </c>
      <c r="I11" s="69" t="s">
        <v>11</v>
      </c>
    </row>
    <row r="12" spans="1:9" ht="21" customHeight="1" x14ac:dyDescent="0.15">
      <c r="A12" s="76" t="s">
        <v>503</v>
      </c>
      <c r="B12" s="69" t="s">
        <v>11</v>
      </c>
      <c r="C12" s="69" t="s">
        <v>11</v>
      </c>
      <c r="D12" s="29">
        <v>9</v>
      </c>
      <c r="E12" s="29">
        <v>18</v>
      </c>
      <c r="F12" s="29">
        <v>28</v>
      </c>
      <c r="G12" s="39">
        <v>38</v>
      </c>
      <c r="H12" s="69" t="s">
        <v>11</v>
      </c>
      <c r="I12" s="69" t="s">
        <v>11</v>
      </c>
    </row>
    <row r="13" spans="1:9" ht="21" customHeight="1" x14ac:dyDescent="0.15">
      <c r="A13" s="76" t="s">
        <v>504</v>
      </c>
      <c r="B13" s="69" t="s">
        <v>11</v>
      </c>
      <c r="C13" s="69" t="s">
        <v>11</v>
      </c>
      <c r="D13" s="29">
        <v>7</v>
      </c>
      <c r="E13" s="29">
        <v>16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105" t="s">
        <v>505</v>
      </c>
      <c r="B14" s="69" t="s">
        <v>11</v>
      </c>
      <c r="C14" s="69" t="s">
        <v>11</v>
      </c>
      <c r="D14" s="29">
        <v>8</v>
      </c>
      <c r="E14" s="29">
        <v>17</v>
      </c>
      <c r="F14" s="29">
        <v>26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506</v>
      </c>
      <c r="B15" s="69" t="s">
        <v>11</v>
      </c>
      <c r="C15" s="69" t="s">
        <v>11</v>
      </c>
      <c r="D15" s="29">
        <v>8</v>
      </c>
      <c r="E15" s="29">
        <v>17</v>
      </c>
      <c r="F15" s="29">
        <v>26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507</v>
      </c>
      <c r="B16" s="69" t="s">
        <v>11</v>
      </c>
      <c r="C16" s="69" t="s">
        <v>11</v>
      </c>
      <c r="D16" s="29">
        <v>6</v>
      </c>
      <c r="E16" s="29">
        <v>14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508</v>
      </c>
      <c r="B17" s="69" t="s">
        <v>11</v>
      </c>
      <c r="C17" s="29">
        <v>4</v>
      </c>
      <c r="D17" s="29">
        <v>6</v>
      </c>
      <c r="E17" s="29">
        <v>14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9">
        <v>2</v>
      </c>
      <c r="C18" s="29">
        <v>4</v>
      </c>
      <c r="D18" s="29">
        <v>6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32">
        <v>1</v>
      </c>
      <c r="C19" s="32">
        <v>2</v>
      </c>
      <c r="D19" s="70" t="s">
        <v>11</v>
      </c>
      <c r="E19" s="70" t="s">
        <v>11</v>
      </c>
      <c r="F19" s="70" t="s">
        <v>11</v>
      </c>
      <c r="G19" s="70" t="s">
        <v>11</v>
      </c>
      <c r="H19" s="70" t="s">
        <v>11</v>
      </c>
      <c r="I19" s="70" t="s">
        <v>11</v>
      </c>
    </row>
    <row r="20" spans="1:9" ht="21" customHeight="1" x14ac:dyDescent="0.15">
      <c r="A20" s="78" t="s">
        <v>509</v>
      </c>
      <c r="B20" s="27">
        <v>1</v>
      </c>
      <c r="C20" s="27">
        <v>1</v>
      </c>
      <c r="D20" s="70" t="s">
        <v>11</v>
      </c>
      <c r="E20" s="70" t="s">
        <v>11</v>
      </c>
      <c r="F20" s="70" t="s">
        <v>11</v>
      </c>
      <c r="G20" s="70" t="s">
        <v>11</v>
      </c>
      <c r="H20" s="70" t="s">
        <v>11</v>
      </c>
      <c r="I20" s="70" t="s">
        <v>11</v>
      </c>
    </row>
    <row r="21" spans="1:9" ht="21" customHeight="1" x14ac:dyDescent="0.15">
      <c r="A21" s="38" t="s">
        <v>510</v>
      </c>
      <c r="B21" s="37">
        <v>99</v>
      </c>
      <c r="C21" s="37">
        <v>99</v>
      </c>
      <c r="D21" s="37">
        <v>99</v>
      </c>
      <c r="E21" s="37">
        <v>99</v>
      </c>
      <c r="F21" s="37">
        <v>99</v>
      </c>
      <c r="G21" s="37">
        <v>99</v>
      </c>
      <c r="H21" s="37">
        <v>99</v>
      </c>
      <c r="I21" s="37">
        <v>99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 enableFormatConditionsCalculation="0">
    <tabColor indexed="17"/>
  </sheetPr>
  <dimension ref="A1:I21"/>
  <sheetViews>
    <sheetView showGridLines="0" workbookViewId="0">
      <selection sqref="A1:I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ht="21" customHeight="1" x14ac:dyDescent="0.15">
      <c r="A1" s="33" t="s">
        <v>10</v>
      </c>
      <c r="B1" s="23">
        <v>1</v>
      </c>
      <c r="C1" s="23">
        <v>2</v>
      </c>
      <c r="D1" s="23">
        <v>3</v>
      </c>
      <c r="E1" s="23">
        <v>4</v>
      </c>
      <c r="F1" s="23">
        <v>5</v>
      </c>
      <c r="G1" s="23">
        <v>6</v>
      </c>
      <c r="H1" s="23">
        <v>7</v>
      </c>
      <c r="I1" s="23">
        <v>8</v>
      </c>
    </row>
    <row r="2" spans="1:9" ht="21" customHeight="1" x14ac:dyDescent="0.15">
      <c r="A2" s="179" t="s">
        <v>511</v>
      </c>
      <c r="B2" s="193"/>
      <c r="C2" s="181"/>
      <c r="D2" s="194" t="s">
        <v>512</v>
      </c>
      <c r="E2" s="194">
        <v>60</v>
      </c>
      <c r="F2" s="194">
        <v>80</v>
      </c>
      <c r="G2" s="194">
        <v>99</v>
      </c>
      <c r="H2" s="181"/>
      <c r="I2" s="181"/>
    </row>
    <row r="3" spans="1:9" ht="21" customHeight="1" x14ac:dyDescent="0.15">
      <c r="A3" s="179" t="s">
        <v>513</v>
      </c>
      <c r="B3" s="195"/>
      <c r="C3" s="184"/>
      <c r="D3" s="194" t="s">
        <v>514</v>
      </c>
      <c r="E3" s="194">
        <v>60</v>
      </c>
      <c r="F3" s="194">
        <v>80</v>
      </c>
      <c r="G3" s="194">
        <v>99</v>
      </c>
      <c r="H3" s="184"/>
      <c r="I3" s="184"/>
    </row>
    <row r="4" spans="1:9" s="46" customFormat="1" ht="21" customHeight="1" x14ac:dyDescent="0.15">
      <c r="A4" s="179" t="s">
        <v>515</v>
      </c>
      <c r="B4" s="196"/>
      <c r="C4" s="187"/>
      <c r="D4" s="194">
        <v>40</v>
      </c>
      <c r="E4" s="194">
        <v>60</v>
      </c>
      <c r="F4" s="194">
        <v>80</v>
      </c>
      <c r="G4" s="194">
        <v>99</v>
      </c>
      <c r="H4" s="187"/>
      <c r="I4" s="187"/>
    </row>
    <row r="5" spans="1:9" ht="21" customHeight="1" x14ac:dyDescent="0.15">
      <c r="A5" s="189" t="s">
        <v>516</v>
      </c>
      <c r="B5" s="190"/>
      <c r="C5" s="191"/>
      <c r="D5" s="194">
        <v>40</v>
      </c>
      <c r="E5" s="194">
        <v>60</v>
      </c>
      <c r="F5" s="194">
        <v>80</v>
      </c>
      <c r="G5" s="194">
        <v>99</v>
      </c>
      <c r="H5" s="191"/>
      <c r="I5" s="191"/>
    </row>
    <row r="6" spans="1:9" ht="21" customHeight="1" x14ac:dyDescent="0.15">
      <c r="A6" s="189" t="s">
        <v>517</v>
      </c>
      <c r="B6" s="190"/>
      <c r="C6" s="191"/>
      <c r="D6" s="194">
        <v>40</v>
      </c>
      <c r="E6" s="194">
        <v>60</v>
      </c>
      <c r="F6" s="194" t="s">
        <v>512</v>
      </c>
      <c r="G6" s="194" t="s">
        <v>512</v>
      </c>
      <c r="H6" s="191"/>
      <c r="I6" s="191"/>
    </row>
    <row r="7" spans="1:9" ht="21" customHeight="1" x14ac:dyDescent="0.15">
      <c r="A7" s="74" t="s">
        <v>518</v>
      </c>
      <c r="B7" s="40" t="s">
        <v>514</v>
      </c>
      <c r="C7" s="40" t="s">
        <v>514</v>
      </c>
      <c r="D7" s="40" t="s">
        <v>514</v>
      </c>
      <c r="E7" s="40" t="s">
        <v>514</v>
      </c>
      <c r="F7" s="40" t="s">
        <v>514</v>
      </c>
      <c r="G7" s="40" t="s">
        <v>514</v>
      </c>
      <c r="H7" s="40" t="s">
        <v>514</v>
      </c>
      <c r="I7" s="40" t="s">
        <v>514</v>
      </c>
    </row>
    <row r="8" spans="1:9" ht="21" customHeight="1" x14ac:dyDescent="0.15">
      <c r="A8" s="75" t="s">
        <v>519</v>
      </c>
      <c r="B8" s="40" t="s">
        <v>512</v>
      </c>
      <c r="C8" s="40" t="s">
        <v>512</v>
      </c>
      <c r="D8" s="40" t="s">
        <v>512</v>
      </c>
      <c r="E8" s="40">
        <v>60</v>
      </c>
      <c r="F8" s="40">
        <v>80</v>
      </c>
      <c r="G8" s="40">
        <v>99</v>
      </c>
      <c r="H8" s="40" t="s">
        <v>512</v>
      </c>
      <c r="I8" s="40" t="s">
        <v>512</v>
      </c>
    </row>
    <row r="9" spans="1:9" ht="21" customHeight="1" x14ac:dyDescent="0.15">
      <c r="A9" s="192" t="s">
        <v>520</v>
      </c>
      <c r="B9" s="66" t="s">
        <v>514</v>
      </c>
      <c r="C9" s="66" t="s">
        <v>514</v>
      </c>
      <c r="D9" s="66" t="s">
        <v>514</v>
      </c>
      <c r="E9" s="66" t="s">
        <v>514</v>
      </c>
      <c r="F9" s="66">
        <v>80</v>
      </c>
      <c r="G9" s="66">
        <v>99</v>
      </c>
      <c r="H9" s="66" t="s">
        <v>514</v>
      </c>
      <c r="I9" s="66" t="s">
        <v>514</v>
      </c>
    </row>
    <row r="10" spans="1:9" ht="21" customHeight="1" x14ac:dyDescent="0.15">
      <c r="A10" s="76" t="s">
        <v>521</v>
      </c>
      <c r="B10" s="66" t="s">
        <v>512</v>
      </c>
      <c r="C10" s="66" t="s">
        <v>512</v>
      </c>
      <c r="D10" s="66" t="s">
        <v>512</v>
      </c>
      <c r="E10" s="66">
        <v>60</v>
      </c>
      <c r="F10" s="66">
        <v>80</v>
      </c>
      <c r="G10" s="66">
        <v>99</v>
      </c>
      <c r="H10" s="66" t="s">
        <v>512</v>
      </c>
      <c r="I10" s="66" t="s">
        <v>512</v>
      </c>
    </row>
    <row r="11" spans="1:9" ht="21" customHeight="1" x14ac:dyDescent="0.15">
      <c r="A11" s="76" t="s">
        <v>9</v>
      </c>
      <c r="B11" s="71" t="s">
        <v>514</v>
      </c>
      <c r="C11" s="71" t="s">
        <v>514</v>
      </c>
      <c r="D11" s="37">
        <v>40</v>
      </c>
      <c r="E11" s="37">
        <v>60</v>
      </c>
      <c r="F11" s="37">
        <v>80</v>
      </c>
      <c r="G11" s="40">
        <v>99</v>
      </c>
      <c r="H11" s="71" t="s">
        <v>514</v>
      </c>
      <c r="I11" s="71" t="s">
        <v>514</v>
      </c>
    </row>
    <row r="12" spans="1:9" ht="21" customHeight="1" x14ac:dyDescent="0.15">
      <c r="A12" s="76" t="s">
        <v>522</v>
      </c>
      <c r="B12" s="71" t="s">
        <v>512</v>
      </c>
      <c r="C12" s="71" t="s">
        <v>512</v>
      </c>
      <c r="D12" s="37">
        <v>40</v>
      </c>
      <c r="E12" s="37">
        <v>60</v>
      </c>
      <c r="F12" s="37">
        <v>80</v>
      </c>
      <c r="G12" s="66">
        <v>99</v>
      </c>
      <c r="H12" s="71" t="s">
        <v>512</v>
      </c>
      <c r="I12" s="71" t="s">
        <v>512</v>
      </c>
    </row>
    <row r="13" spans="1:9" ht="21" customHeight="1" x14ac:dyDescent="0.15">
      <c r="A13" s="76" t="s">
        <v>523</v>
      </c>
      <c r="B13" s="71" t="s">
        <v>514</v>
      </c>
      <c r="C13" s="71" t="s">
        <v>514</v>
      </c>
      <c r="D13" s="37">
        <v>40</v>
      </c>
      <c r="E13" s="37">
        <v>60</v>
      </c>
      <c r="F13" s="71" t="s">
        <v>514</v>
      </c>
      <c r="G13" s="71" t="s">
        <v>514</v>
      </c>
      <c r="H13" s="71" t="s">
        <v>514</v>
      </c>
      <c r="I13" s="71" t="s">
        <v>514</v>
      </c>
    </row>
    <row r="14" spans="1:9" ht="21" customHeight="1" x14ac:dyDescent="0.15">
      <c r="A14" s="105" t="s">
        <v>524</v>
      </c>
      <c r="B14" s="71" t="s">
        <v>512</v>
      </c>
      <c r="C14" s="71" t="s">
        <v>512</v>
      </c>
      <c r="D14" s="37">
        <v>40</v>
      </c>
      <c r="E14" s="37">
        <v>60</v>
      </c>
      <c r="F14" s="37">
        <v>80</v>
      </c>
      <c r="G14" s="71" t="s">
        <v>512</v>
      </c>
      <c r="H14" s="71" t="s">
        <v>512</v>
      </c>
      <c r="I14" s="71" t="s">
        <v>512</v>
      </c>
    </row>
    <row r="15" spans="1:9" ht="21" customHeight="1" x14ac:dyDescent="0.15">
      <c r="A15" s="76" t="s">
        <v>525</v>
      </c>
      <c r="B15" s="71" t="s">
        <v>514</v>
      </c>
      <c r="C15" s="71" t="s">
        <v>514</v>
      </c>
      <c r="D15" s="37">
        <v>40</v>
      </c>
      <c r="E15" s="37">
        <v>60</v>
      </c>
      <c r="F15" s="37">
        <v>80</v>
      </c>
      <c r="G15" s="71" t="s">
        <v>514</v>
      </c>
      <c r="H15" s="71" t="s">
        <v>514</v>
      </c>
      <c r="I15" s="71" t="s">
        <v>514</v>
      </c>
    </row>
    <row r="16" spans="1:9" ht="21" customHeight="1" x14ac:dyDescent="0.15">
      <c r="A16" s="76" t="s">
        <v>526</v>
      </c>
      <c r="B16" s="71" t="s">
        <v>512</v>
      </c>
      <c r="C16" s="37">
        <v>30</v>
      </c>
      <c r="D16" s="37">
        <v>40</v>
      </c>
      <c r="E16" s="37">
        <v>60</v>
      </c>
      <c r="F16" s="71" t="s">
        <v>512</v>
      </c>
      <c r="G16" s="71" t="s">
        <v>512</v>
      </c>
      <c r="H16" s="71" t="s">
        <v>512</v>
      </c>
      <c r="I16" s="71" t="s">
        <v>512</v>
      </c>
    </row>
    <row r="17" spans="1:9" ht="21" customHeight="1" x14ac:dyDescent="0.15">
      <c r="A17" s="76" t="s">
        <v>527</v>
      </c>
      <c r="B17" s="71" t="s">
        <v>514</v>
      </c>
      <c r="C17" s="37">
        <v>30</v>
      </c>
      <c r="D17" s="37">
        <v>40</v>
      </c>
      <c r="E17" s="37">
        <v>60</v>
      </c>
      <c r="F17" s="71" t="s">
        <v>514</v>
      </c>
      <c r="G17" s="71" t="s">
        <v>514</v>
      </c>
      <c r="H17" s="71" t="s">
        <v>514</v>
      </c>
      <c r="I17" s="71" t="s">
        <v>514</v>
      </c>
    </row>
    <row r="18" spans="1:9" ht="21" customHeight="1" x14ac:dyDescent="0.15">
      <c r="A18" s="76" t="s">
        <v>8</v>
      </c>
      <c r="B18" s="37">
        <v>15</v>
      </c>
      <c r="C18" s="37">
        <v>30</v>
      </c>
      <c r="D18" s="37">
        <v>40</v>
      </c>
      <c r="E18" s="71" t="s">
        <v>512</v>
      </c>
      <c r="F18" s="71" t="s">
        <v>512</v>
      </c>
      <c r="G18" s="71" t="s">
        <v>512</v>
      </c>
      <c r="H18" s="71" t="s">
        <v>512</v>
      </c>
      <c r="I18" s="71" t="s">
        <v>512</v>
      </c>
    </row>
    <row r="19" spans="1:9" ht="21" customHeight="1" x14ac:dyDescent="0.15">
      <c r="A19" s="77" t="s">
        <v>7</v>
      </c>
      <c r="B19" s="37">
        <v>15</v>
      </c>
      <c r="C19" s="37">
        <v>30</v>
      </c>
      <c r="D19" s="37">
        <v>40</v>
      </c>
      <c r="E19" s="71" t="s">
        <v>514</v>
      </c>
      <c r="F19" s="71" t="s">
        <v>514</v>
      </c>
      <c r="G19" s="71" t="s">
        <v>514</v>
      </c>
      <c r="H19" s="71" t="s">
        <v>514</v>
      </c>
      <c r="I19" s="71" t="s">
        <v>514</v>
      </c>
    </row>
    <row r="20" spans="1:9" ht="21" customHeight="1" x14ac:dyDescent="0.15">
      <c r="A20" s="78" t="s">
        <v>528</v>
      </c>
      <c r="B20" s="37">
        <v>10</v>
      </c>
      <c r="C20" s="37">
        <v>20</v>
      </c>
      <c r="D20" s="71" t="s">
        <v>512</v>
      </c>
      <c r="E20" s="71" t="s">
        <v>512</v>
      </c>
      <c r="F20" s="71" t="s">
        <v>512</v>
      </c>
      <c r="G20" s="71" t="s">
        <v>512</v>
      </c>
      <c r="H20" s="71" t="s">
        <v>512</v>
      </c>
      <c r="I20" s="71" t="s">
        <v>512</v>
      </c>
    </row>
    <row r="21" spans="1:9" ht="21" customHeight="1" x14ac:dyDescent="0.15">
      <c r="A21" s="38" t="s">
        <v>529</v>
      </c>
      <c r="B21" s="37">
        <v>1</v>
      </c>
      <c r="C21" s="37">
        <v>1</v>
      </c>
      <c r="D21" s="37">
        <v>1</v>
      </c>
      <c r="E21" s="37">
        <v>1</v>
      </c>
      <c r="F21" s="37">
        <v>1</v>
      </c>
      <c r="G21" s="37">
        <v>1</v>
      </c>
      <c r="H21" s="37">
        <v>1</v>
      </c>
      <c r="I21" s="37">
        <v>1</v>
      </c>
    </row>
  </sheetData>
  <sheetProtection selectLockedCells="1" selectUnlockedCells="1"/>
  <phoneticPr fontId="9"/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indexed="17"/>
  </sheetPr>
  <dimension ref="A1:K32"/>
  <sheetViews>
    <sheetView showGridLines="0" topLeftCell="A11" workbookViewId="0">
      <selection activeCell="B32" sqref="B32"/>
    </sheetView>
  </sheetViews>
  <sheetFormatPr baseColWidth="12" defaultColWidth="13" defaultRowHeight="21" customHeight="1" x14ac:dyDescent="0.15"/>
  <cols>
    <col min="1" max="16384" width="13" style="24"/>
  </cols>
  <sheetData>
    <row r="1" spans="1:11" ht="21" customHeight="1" x14ac:dyDescent="0.15">
      <c r="A1" s="49" t="s">
        <v>10</v>
      </c>
      <c r="B1" s="50">
        <v>1</v>
      </c>
      <c r="C1" s="50">
        <v>2</v>
      </c>
      <c r="D1" s="50">
        <v>3</v>
      </c>
      <c r="E1" s="50">
        <v>4</v>
      </c>
      <c r="F1" s="50">
        <v>5</v>
      </c>
      <c r="G1" s="50">
        <v>6</v>
      </c>
      <c r="H1" s="50">
        <v>7</v>
      </c>
      <c r="I1" s="50">
        <v>8</v>
      </c>
    </row>
    <row r="2" spans="1:11" ht="21" customHeight="1" x14ac:dyDescent="0.15">
      <c r="A2" s="179" t="s">
        <v>530</v>
      </c>
      <c r="B2" s="180"/>
      <c r="C2" s="181"/>
      <c r="D2" s="194" t="s">
        <v>531</v>
      </c>
      <c r="E2" s="197" t="s">
        <v>59</v>
      </c>
      <c r="F2" s="197" t="s">
        <v>59</v>
      </c>
      <c r="G2" s="197" t="s">
        <v>532</v>
      </c>
      <c r="H2" s="181"/>
      <c r="I2" s="181"/>
      <c r="J2" s="4"/>
      <c r="K2" s="4"/>
    </row>
    <row r="3" spans="1:11" ht="21" customHeight="1" x14ac:dyDescent="0.15">
      <c r="A3" s="179" t="s">
        <v>533</v>
      </c>
      <c r="B3" s="183"/>
      <c r="C3" s="184"/>
      <c r="D3" s="197" t="s">
        <v>59</v>
      </c>
      <c r="E3" s="197" t="s">
        <v>59</v>
      </c>
      <c r="F3" s="197" t="s">
        <v>59</v>
      </c>
      <c r="G3" s="197" t="s">
        <v>534</v>
      </c>
      <c r="H3" s="184"/>
      <c r="I3" s="184"/>
      <c r="J3" s="4"/>
      <c r="K3" s="4"/>
    </row>
    <row r="4" spans="1:11" s="46" customFormat="1" ht="21" customHeight="1" x14ac:dyDescent="0.15">
      <c r="A4" s="179" t="s">
        <v>535</v>
      </c>
      <c r="B4" s="186"/>
      <c r="C4" s="187"/>
      <c r="D4" s="198" t="s">
        <v>59</v>
      </c>
      <c r="E4" s="198" t="s">
        <v>59</v>
      </c>
      <c r="F4" s="198" t="s">
        <v>59</v>
      </c>
      <c r="G4" s="197" t="s">
        <v>536</v>
      </c>
      <c r="H4" s="187"/>
      <c r="I4" s="187"/>
      <c r="J4" s="4"/>
      <c r="K4" s="4"/>
    </row>
    <row r="5" spans="1:11" ht="21" customHeight="1" x14ac:dyDescent="0.15">
      <c r="A5" s="189" t="s">
        <v>537</v>
      </c>
      <c r="B5" s="190"/>
      <c r="C5" s="191"/>
      <c r="D5" s="198" t="s">
        <v>59</v>
      </c>
      <c r="E5" s="198" t="s">
        <v>59</v>
      </c>
      <c r="F5" s="198" t="s">
        <v>59</v>
      </c>
      <c r="G5" s="197" t="s">
        <v>536</v>
      </c>
      <c r="H5" s="191"/>
      <c r="I5" s="191"/>
      <c r="J5" s="4"/>
      <c r="K5" s="4"/>
    </row>
    <row r="6" spans="1:11" ht="21" customHeight="1" x14ac:dyDescent="0.15">
      <c r="A6" s="189" t="s">
        <v>538</v>
      </c>
      <c r="B6" s="190"/>
      <c r="C6" s="191"/>
      <c r="D6" s="199" t="s">
        <v>60</v>
      </c>
      <c r="E6" s="199" t="s">
        <v>60</v>
      </c>
      <c r="F6" s="194" t="s">
        <v>539</v>
      </c>
      <c r="G6" s="194" t="s">
        <v>539</v>
      </c>
      <c r="H6" s="191"/>
      <c r="I6" s="191"/>
      <c r="J6" s="4"/>
      <c r="K6" s="4"/>
    </row>
    <row r="7" spans="1:11" ht="21" customHeight="1" x14ac:dyDescent="0.15">
      <c r="A7" s="74" t="s">
        <v>540</v>
      </c>
      <c r="B7" s="40" t="s">
        <v>502</v>
      </c>
      <c r="C7" s="40" t="s">
        <v>502</v>
      </c>
      <c r="D7" s="40" t="s">
        <v>502</v>
      </c>
      <c r="E7" s="40" t="s">
        <v>502</v>
      </c>
      <c r="F7" s="40" t="s">
        <v>502</v>
      </c>
      <c r="G7" s="40" t="s">
        <v>502</v>
      </c>
      <c r="H7" s="40" t="s">
        <v>502</v>
      </c>
      <c r="I7" s="40" t="s">
        <v>502</v>
      </c>
    </row>
    <row r="8" spans="1:11" ht="21" customHeight="1" x14ac:dyDescent="0.15">
      <c r="A8" s="75" t="s">
        <v>541</v>
      </c>
      <c r="B8" s="40" t="s">
        <v>542</v>
      </c>
      <c r="C8" s="40" t="s">
        <v>542</v>
      </c>
      <c r="D8" s="40" t="s">
        <v>542</v>
      </c>
      <c r="E8" s="52" t="s">
        <v>534</v>
      </c>
      <c r="F8" s="52" t="s">
        <v>534</v>
      </c>
      <c r="G8" s="52" t="s">
        <v>543</v>
      </c>
      <c r="H8" s="40" t="s">
        <v>542</v>
      </c>
      <c r="I8" s="40" t="s">
        <v>542</v>
      </c>
    </row>
    <row r="9" spans="1:11" ht="21" customHeight="1" x14ac:dyDescent="0.15">
      <c r="A9" s="192" t="s">
        <v>544</v>
      </c>
      <c r="B9" s="66" t="s">
        <v>502</v>
      </c>
      <c r="C9" s="66" t="s">
        <v>502</v>
      </c>
      <c r="D9" s="66" t="s">
        <v>502</v>
      </c>
      <c r="E9" s="66" t="s">
        <v>502</v>
      </c>
      <c r="F9" s="52" t="s">
        <v>545</v>
      </c>
      <c r="G9" s="52" t="s">
        <v>536</v>
      </c>
      <c r="H9" s="66" t="s">
        <v>502</v>
      </c>
      <c r="I9" s="66" t="s">
        <v>502</v>
      </c>
      <c r="J9" s="46"/>
      <c r="K9" s="46"/>
    </row>
    <row r="10" spans="1:11" ht="21" customHeight="1" x14ac:dyDescent="0.15">
      <c r="A10" s="76" t="s">
        <v>546</v>
      </c>
      <c r="B10" s="66" t="s">
        <v>542</v>
      </c>
      <c r="C10" s="66" t="s">
        <v>542</v>
      </c>
      <c r="D10" s="66" t="s">
        <v>542</v>
      </c>
      <c r="E10" s="52" t="s">
        <v>59</v>
      </c>
      <c r="F10" s="52" t="s">
        <v>547</v>
      </c>
      <c r="G10" s="52" t="s">
        <v>534</v>
      </c>
      <c r="H10" s="66" t="s">
        <v>542</v>
      </c>
      <c r="I10" s="66" t="s">
        <v>542</v>
      </c>
      <c r="J10" s="46"/>
      <c r="K10" s="46"/>
    </row>
    <row r="11" spans="1:11" ht="21" customHeight="1" x14ac:dyDescent="0.15">
      <c r="A11" s="76" t="s">
        <v>9</v>
      </c>
      <c r="B11" s="71" t="s">
        <v>502</v>
      </c>
      <c r="C11" s="71" t="s">
        <v>502</v>
      </c>
      <c r="D11" s="52" t="s">
        <v>59</v>
      </c>
      <c r="E11" s="52" t="s">
        <v>59</v>
      </c>
      <c r="F11" s="52" t="s">
        <v>59</v>
      </c>
      <c r="G11" s="52" t="s">
        <v>536</v>
      </c>
      <c r="H11" s="71" t="s">
        <v>502</v>
      </c>
      <c r="I11" s="71" t="s">
        <v>502</v>
      </c>
      <c r="K11" s="28" t="s">
        <v>12</v>
      </c>
    </row>
    <row r="12" spans="1:11" ht="21" customHeight="1" x14ac:dyDescent="0.15">
      <c r="A12" s="76" t="s">
        <v>548</v>
      </c>
      <c r="B12" s="71" t="s">
        <v>542</v>
      </c>
      <c r="C12" s="71" t="s">
        <v>542</v>
      </c>
      <c r="D12" s="53" t="s">
        <v>59</v>
      </c>
      <c r="E12" s="53" t="s">
        <v>59</v>
      </c>
      <c r="F12" s="53" t="s">
        <v>59</v>
      </c>
      <c r="G12" s="52" t="s">
        <v>534</v>
      </c>
      <c r="H12" s="71" t="s">
        <v>542</v>
      </c>
      <c r="I12" s="71" t="s">
        <v>542</v>
      </c>
      <c r="K12" s="30" t="s">
        <v>13</v>
      </c>
    </row>
    <row r="13" spans="1:11" ht="21" customHeight="1" x14ac:dyDescent="0.15">
      <c r="A13" s="76" t="s">
        <v>504</v>
      </c>
      <c r="B13" s="71" t="s">
        <v>502</v>
      </c>
      <c r="C13" s="71" t="s">
        <v>502</v>
      </c>
      <c r="D13" s="54" t="s">
        <v>60</v>
      </c>
      <c r="E13" s="54" t="s">
        <v>60</v>
      </c>
      <c r="F13" s="71" t="s">
        <v>502</v>
      </c>
      <c r="G13" s="71" t="s">
        <v>502</v>
      </c>
      <c r="H13" s="71" t="s">
        <v>502</v>
      </c>
      <c r="I13" s="71" t="s">
        <v>502</v>
      </c>
      <c r="K13" s="72" t="s">
        <v>35</v>
      </c>
    </row>
    <row r="14" spans="1:11" ht="21" customHeight="1" x14ac:dyDescent="0.15">
      <c r="A14" s="105" t="s">
        <v>549</v>
      </c>
      <c r="B14" s="71" t="s">
        <v>542</v>
      </c>
      <c r="C14" s="71" t="s">
        <v>542</v>
      </c>
      <c r="D14" s="55" t="s">
        <v>59</v>
      </c>
      <c r="E14" s="55" t="s">
        <v>59</v>
      </c>
      <c r="F14" s="55" t="s">
        <v>59</v>
      </c>
      <c r="G14" s="71" t="s">
        <v>542</v>
      </c>
      <c r="H14" s="71" t="s">
        <v>542</v>
      </c>
      <c r="I14" s="71" t="s">
        <v>542</v>
      </c>
      <c r="K14" s="73"/>
    </row>
    <row r="15" spans="1:11" ht="21" customHeight="1" x14ac:dyDescent="0.15">
      <c r="A15" s="76" t="s">
        <v>550</v>
      </c>
      <c r="B15" s="71" t="s">
        <v>502</v>
      </c>
      <c r="C15" s="71" t="s">
        <v>502</v>
      </c>
      <c r="D15" s="55" t="s">
        <v>59</v>
      </c>
      <c r="E15" s="55" t="s">
        <v>59</v>
      </c>
      <c r="F15" s="55" t="s">
        <v>59</v>
      </c>
      <c r="G15" s="71" t="s">
        <v>502</v>
      </c>
      <c r="H15" s="71" t="s">
        <v>502</v>
      </c>
      <c r="I15" s="71" t="s">
        <v>502</v>
      </c>
    </row>
    <row r="16" spans="1:11" ht="21" customHeight="1" x14ac:dyDescent="0.15">
      <c r="A16" s="76" t="s">
        <v>551</v>
      </c>
      <c r="B16" s="71" t="s">
        <v>542</v>
      </c>
      <c r="C16" s="71" t="s">
        <v>542</v>
      </c>
      <c r="D16" s="55" t="s">
        <v>60</v>
      </c>
      <c r="E16" s="55" t="s">
        <v>60</v>
      </c>
      <c r="F16" s="71" t="s">
        <v>542</v>
      </c>
      <c r="G16" s="71" t="s">
        <v>542</v>
      </c>
      <c r="H16" s="71" t="s">
        <v>542</v>
      </c>
      <c r="I16" s="71" t="s">
        <v>542</v>
      </c>
    </row>
    <row r="17" spans="1:9" ht="21" customHeight="1" x14ac:dyDescent="0.15">
      <c r="A17" s="76" t="s">
        <v>552</v>
      </c>
      <c r="B17" s="71" t="s">
        <v>542</v>
      </c>
      <c r="C17" s="55" t="s">
        <v>60</v>
      </c>
      <c r="D17" s="55" t="s">
        <v>60</v>
      </c>
      <c r="E17" s="55" t="s">
        <v>60</v>
      </c>
      <c r="F17" s="71" t="s">
        <v>542</v>
      </c>
      <c r="G17" s="71" t="s">
        <v>542</v>
      </c>
      <c r="H17" s="71" t="s">
        <v>542</v>
      </c>
      <c r="I17" s="71" t="s">
        <v>542</v>
      </c>
    </row>
    <row r="18" spans="1:9" ht="21" customHeight="1" x14ac:dyDescent="0.15">
      <c r="A18" s="76" t="s">
        <v>8</v>
      </c>
      <c r="B18" s="56" t="s">
        <v>61</v>
      </c>
      <c r="C18" s="56" t="s">
        <v>61</v>
      </c>
      <c r="D18" s="56" t="s">
        <v>61</v>
      </c>
      <c r="E18" s="71" t="s">
        <v>502</v>
      </c>
      <c r="F18" s="71" t="s">
        <v>502</v>
      </c>
      <c r="G18" s="71" t="s">
        <v>502</v>
      </c>
      <c r="H18" s="71" t="s">
        <v>502</v>
      </c>
      <c r="I18" s="71" t="s">
        <v>502</v>
      </c>
    </row>
    <row r="19" spans="1:9" ht="21" customHeight="1" x14ac:dyDescent="0.15">
      <c r="A19" s="77" t="s">
        <v>7</v>
      </c>
      <c r="B19" s="51" t="s">
        <v>62</v>
      </c>
      <c r="C19" s="51" t="s">
        <v>62</v>
      </c>
      <c r="D19" s="71" t="s">
        <v>542</v>
      </c>
      <c r="E19" s="71" t="s">
        <v>542</v>
      </c>
      <c r="F19" s="71" t="s">
        <v>542</v>
      </c>
      <c r="G19" s="71" t="s">
        <v>542</v>
      </c>
      <c r="H19" s="71" t="s">
        <v>542</v>
      </c>
      <c r="I19" s="71" t="s">
        <v>542</v>
      </c>
    </row>
    <row r="20" spans="1:9" ht="21" customHeight="1" x14ac:dyDescent="0.15">
      <c r="A20" s="78" t="s">
        <v>553</v>
      </c>
      <c r="B20" s="53" t="s">
        <v>63</v>
      </c>
      <c r="C20" s="53" t="s">
        <v>63</v>
      </c>
      <c r="D20" s="71" t="s">
        <v>502</v>
      </c>
      <c r="E20" s="71" t="s">
        <v>502</v>
      </c>
      <c r="F20" s="71" t="s">
        <v>502</v>
      </c>
      <c r="G20" s="71" t="s">
        <v>502</v>
      </c>
      <c r="H20" s="71" t="s">
        <v>502</v>
      </c>
      <c r="I20" s="71" t="s">
        <v>502</v>
      </c>
    </row>
    <row r="21" spans="1:9" ht="21" customHeight="1" x14ac:dyDescent="0.15">
      <c r="A21" s="38" t="s">
        <v>554</v>
      </c>
      <c r="B21" s="79" t="s">
        <v>47</v>
      </c>
      <c r="C21" s="79" t="s">
        <v>47</v>
      </c>
      <c r="D21" s="79" t="s">
        <v>47</v>
      </c>
      <c r="E21" s="79" t="s">
        <v>47</v>
      </c>
      <c r="F21" s="79" t="s">
        <v>47</v>
      </c>
      <c r="G21" s="79" t="s">
        <v>47</v>
      </c>
      <c r="H21" s="79" t="s">
        <v>47</v>
      </c>
      <c r="I21" s="79" t="s">
        <v>47</v>
      </c>
    </row>
    <row r="26" spans="1:9" ht="21" customHeight="1" x14ac:dyDescent="0.15">
      <c r="A26" s="24" t="s">
        <v>14</v>
      </c>
    </row>
    <row r="27" spans="1:9" ht="21" customHeight="1" x14ac:dyDescent="0.15">
      <c r="A27" s="22" t="s">
        <v>64</v>
      </c>
      <c r="B27" s="22" t="s">
        <v>65</v>
      </c>
    </row>
    <row r="28" spans="1:9" ht="21" customHeight="1" x14ac:dyDescent="0.15">
      <c r="A28" s="25">
        <v>1</v>
      </c>
      <c r="B28" s="25">
        <v>200</v>
      </c>
    </row>
    <row r="29" spans="1:9" ht="21" customHeight="1" x14ac:dyDescent="0.15">
      <c r="A29" s="25">
        <v>2</v>
      </c>
      <c r="B29" s="25">
        <v>600</v>
      </c>
    </row>
    <row r="30" spans="1:9" ht="21" customHeight="1" x14ac:dyDescent="0.15">
      <c r="A30" s="25">
        <v>3</v>
      </c>
      <c r="B30" s="25">
        <v>1500</v>
      </c>
    </row>
    <row r="31" spans="1:9" ht="21" customHeight="1" x14ac:dyDescent="0.15">
      <c r="A31" s="25">
        <v>4</v>
      </c>
      <c r="B31" s="25">
        <v>3400</v>
      </c>
    </row>
    <row r="32" spans="1:9" ht="21" customHeight="1" x14ac:dyDescent="0.15">
      <c r="A32" s="25">
        <v>5</v>
      </c>
      <c r="B32" s="25">
        <v>6400</v>
      </c>
    </row>
  </sheetData>
  <sheetProtection selectLockedCells="1" selectUnlockedCells="1"/>
  <phoneticPr fontId="9"/>
  <conditionalFormatting sqref="A35:I65541 L1:IV2 J22:IV65541 L5:IV21">
    <cfRule type="cellIs" dxfId="24" priority="32" stopIfTrue="1" operator="equal">
      <formula>1</formula>
    </cfRule>
  </conditionalFormatting>
  <conditionalFormatting sqref="A25:B26 A33:B34 C25:I34">
    <cfRule type="cellIs" dxfId="23" priority="31" stopIfTrue="1" operator="equal">
      <formula>1</formula>
    </cfRule>
  </conditionalFormatting>
  <conditionalFormatting sqref="L3:IV3">
    <cfRule type="cellIs" dxfId="22" priority="26" stopIfTrue="1" operator="equal">
      <formula>1</formula>
    </cfRule>
  </conditionalFormatting>
  <conditionalFormatting sqref="L4:IV4">
    <cfRule type="cellIs" dxfId="21" priority="25" stopIfTrue="1" operator="equal">
      <formula>1</formula>
    </cfRule>
  </conditionalFormatting>
  <conditionalFormatting sqref="J1:K1 J11:J14 J15:K21 J7:K7">
    <cfRule type="cellIs" dxfId="20" priority="17" stopIfTrue="1" operator="equal">
      <formula>1</formula>
    </cfRule>
  </conditionalFormatting>
  <conditionalFormatting sqref="K11:K14">
    <cfRule type="cellIs" dxfId="19" priority="16" stopIfTrue="1" operator="equal">
      <formula>1</formula>
    </cfRule>
  </conditionalFormatting>
  <conditionalFormatting sqref="J8:K8">
    <cfRule type="cellIs" dxfId="18" priority="15" stopIfTrue="1" operator="equal">
      <formula>1</formula>
    </cfRule>
  </conditionalFormatting>
  <conditionalFormatting sqref="J10:K10">
    <cfRule type="cellIs" dxfId="17" priority="14" stopIfTrue="1" operator="equal">
      <formula>1</formula>
    </cfRule>
  </conditionalFormatting>
  <conditionalFormatting sqref="G20:I20">
    <cfRule type="cellIs" dxfId="16" priority="13" stopIfTrue="1" operator="equal">
      <formula>1</formula>
    </cfRule>
  </conditionalFormatting>
  <conditionalFormatting sqref="D19:G19 F16:G18 H16:I19">
    <cfRule type="cellIs" dxfId="15" priority="12" stopIfTrue="1" operator="equal">
      <formula>1</formula>
    </cfRule>
  </conditionalFormatting>
  <conditionalFormatting sqref="F18:G18">
    <cfRule type="cellIs" dxfId="14" priority="11" stopIfTrue="1" operator="equal">
      <formula>1</formula>
    </cfRule>
  </conditionalFormatting>
  <conditionalFormatting sqref="A21">
    <cfRule type="cellIs" dxfId="13" priority="10" stopIfTrue="1" operator="equal">
      <formula>1</formula>
    </cfRule>
  </conditionalFormatting>
  <conditionalFormatting sqref="G13:I15 H11:I12">
    <cfRule type="cellIs" dxfId="12" priority="9" stopIfTrue="1" operator="equal">
      <formula>1</formula>
    </cfRule>
  </conditionalFormatting>
  <conditionalFormatting sqref="B11:C16">
    <cfRule type="cellIs" dxfId="11" priority="8" stopIfTrue="1" operator="equal">
      <formula>1</formula>
    </cfRule>
  </conditionalFormatting>
  <conditionalFormatting sqref="B17">
    <cfRule type="cellIs" dxfId="10" priority="7" stopIfTrue="1" operator="equal">
      <formula>1</formula>
    </cfRule>
  </conditionalFormatting>
  <conditionalFormatting sqref="E18">
    <cfRule type="cellIs" dxfId="9" priority="6" stopIfTrue="1" operator="equal">
      <formula>1</formula>
    </cfRule>
  </conditionalFormatting>
  <conditionalFormatting sqref="F13">
    <cfRule type="cellIs" dxfId="8" priority="5" stopIfTrue="1" operator="equal">
      <formula>1</formula>
    </cfRule>
  </conditionalFormatting>
  <conditionalFormatting sqref="J2:K6">
    <cfRule type="cellIs" dxfId="7" priority="4" stopIfTrue="1" operator="equal">
      <formula>1</formula>
    </cfRule>
  </conditionalFormatting>
  <conditionalFormatting sqref="G6">
    <cfRule type="cellIs" dxfId="6" priority="3" stopIfTrue="1" operator="equal">
      <formula>1</formula>
    </cfRule>
  </conditionalFormatting>
  <conditionalFormatting sqref="F6">
    <cfRule type="cellIs" dxfId="5" priority="2" stopIfTrue="1" operator="equal">
      <formula>1</formula>
    </cfRule>
  </conditionalFormatting>
  <conditionalFormatting sqref="J9:K9">
    <cfRule type="cellIs" dxfId="4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indexed="17"/>
  </sheetPr>
  <dimension ref="A1:I21"/>
  <sheetViews>
    <sheetView showGridLines="0" workbookViewId="0">
      <selection sqref="A1:I21"/>
    </sheetView>
  </sheetViews>
  <sheetFormatPr baseColWidth="12" defaultColWidth="13" defaultRowHeight="21" customHeight="1" x14ac:dyDescent="0.15"/>
  <cols>
    <col min="1" max="1" width="13" style="4"/>
    <col min="2" max="16384" width="13" style="24"/>
  </cols>
  <sheetData>
    <row r="1" spans="1:9" s="4" customFormat="1" ht="21" customHeight="1" x14ac:dyDescent="0.15">
      <c r="A1" s="33" t="s">
        <v>10</v>
      </c>
      <c r="B1" s="33">
        <v>1</v>
      </c>
      <c r="C1" s="33">
        <v>2</v>
      </c>
      <c r="D1" s="33">
        <v>3</v>
      </c>
      <c r="E1" s="33">
        <v>4</v>
      </c>
      <c r="F1" s="33">
        <v>5</v>
      </c>
      <c r="G1" s="33">
        <v>6</v>
      </c>
      <c r="H1" s="33">
        <v>7</v>
      </c>
      <c r="I1" s="33">
        <v>8</v>
      </c>
    </row>
    <row r="2" spans="1:9" ht="21" customHeight="1" x14ac:dyDescent="0.15">
      <c r="A2" s="179" t="s">
        <v>555</v>
      </c>
      <c r="B2" s="180"/>
      <c r="C2" s="181"/>
      <c r="D2" s="200" t="s">
        <v>11</v>
      </c>
      <c r="E2" s="200">
        <v>8000</v>
      </c>
      <c r="F2" s="200">
        <v>10000</v>
      </c>
      <c r="G2" s="200">
        <v>14000</v>
      </c>
      <c r="H2" s="181"/>
      <c r="I2" s="181"/>
    </row>
    <row r="3" spans="1:9" ht="21" customHeight="1" x14ac:dyDescent="0.15">
      <c r="A3" s="179" t="s">
        <v>556</v>
      </c>
      <c r="B3" s="183"/>
      <c r="C3" s="184"/>
      <c r="D3" s="200" t="s">
        <v>11</v>
      </c>
      <c r="E3" s="200">
        <v>7500</v>
      </c>
      <c r="F3" s="200">
        <v>9500</v>
      </c>
      <c r="G3" s="200">
        <v>13000</v>
      </c>
      <c r="H3" s="184"/>
      <c r="I3" s="184"/>
    </row>
    <row r="4" spans="1:9" s="46" customFormat="1" ht="21" customHeight="1" x14ac:dyDescent="0.15">
      <c r="A4" s="179" t="s">
        <v>557</v>
      </c>
      <c r="B4" s="186"/>
      <c r="C4" s="187"/>
      <c r="D4" s="200">
        <v>5000</v>
      </c>
      <c r="E4" s="200">
        <v>7000</v>
      </c>
      <c r="F4" s="200">
        <v>9000</v>
      </c>
      <c r="G4" s="200">
        <v>12000</v>
      </c>
      <c r="H4" s="187"/>
      <c r="I4" s="187"/>
    </row>
    <row r="5" spans="1:9" ht="21" customHeight="1" x14ac:dyDescent="0.15">
      <c r="A5" s="189" t="s">
        <v>558</v>
      </c>
      <c r="B5" s="190"/>
      <c r="C5" s="191"/>
      <c r="D5" s="200">
        <v>4900</v>
      </c>
      <c r="E5" s="200">
        <v>6700</v>
      </c>
      <c r="F5" s="200">
        <v>8500</v>
      </c>
      <c r="G5" s="200">
        <v>11000</v>
      </c>
      <c r="H5" s="191"/>
      <c r="I5" s="191"/>
    </row>
    <row r="6" spans="1:9" ht="21" customHeight="1" x14ac:dyDescent="0.15">
      <c r="A6" s="189" t="s">
        <v>559</v>
      </c>
      <c r="B6" s="190"/>
      <c r="C6" s="191"/>
      <c r="D6" s="200">
        <v>4800</v>
      </c>
      <c r="E6" s="200">
        <v>6600</v>
      </c>
      <c r="F6" s="200" t="s">
        <v>11</v>
      </c>
      <c r="G6" s="200" t="s">
        <v>11</v>
      </c>
      <c r="H6" s="191"/>
      <c r="I6" s="191"/>
    </row>
    <row r="7" spans="1:9" ht="21" customHeight="1" x14ac:dyDescent="0.15">
      <c r="A7" s="74" t="s">
        <v>560</v>
      </c>
      <c r="B7" s="47" t="s">
        <v>11</v>
      </c>
      <c r="C7" s="47" t="s">
        <v>11</v>
      </c>
      <c r="D7" s="47" t="s">
        <v>11</v>
      </c>
      <c r="E7" s="47" t="s">
        <v>11</v>
      </c>
      <c r="F7" s="47" t="s">
        <v>11</v>
      </c>
      <c r="G7" s="47" t="s">
        <v>11</v>
      </c>
      <c r="H7" s="47" t="s">
        <v>11</v>
      </c>
      <c r="I7" s="47" t="s">
        <v>11</v>
      </c>
    </row>
    <row r="8" spans="1:9" ht="21" customHeight="1" x14ac:dyDescent="0.15">
      <c r="A8" s="75" t="s">
        <v>561</v>
      </c>
      <c r="B8" s="47" t="s">
        <v>11</v>
      </c>
      <c r="C8" s="47" t="s">
        <v>11</v>
      </c>
      <c r="D8" s="47" t="s">
        <v>11</v>
      </c>
      <c r="E8" s="47">
        <v>8000</v>
      </c>
      <c r="F8" s="29">
        <v>10000</v>
      </c>
      <c r="G8" s="47">
        <v>14000</v>
      </c>
      <c r="H8" s="47" t="s">
        <v>11</v>
      </c>
      <c r="I8" s="47" t="s">
        <v>11</v>
      </c>
    </row>
    <row r="9" spans="1:9" ht="21" customHeight="1" x14ac:dyDescent="0.15">
      <c r="A9" s="192" t="s">
        <v>562</v>
      </c>
      <c r="B9" s="29" t="s">
        <v>11</v>
      </c>
      <c r="C9" s="29" t="s">
        <v>11</v>
      </c>
      <c r="D9" s="29" t="s">
        <v>11</v>
      </c>
      <c r="E9" s="29" t="s">
        <v>11</v>
      </c>
      <c r="F9" s="29">
        <v>10000</v>
      </c>
      <c r="G9" s="47">
        <v>14000</v>
      </c>
      <c r="H9" s="29" t="s">
        <v>11</v>
      </c>
      <c r="I9" s="29" t="s">
        <v>11</v>
      </c>
    </row>
    <row r="10" spans="1:9" ht="21" customHeight="1" x14ac:dyDescent="0.15">
      <c r="A10" s="76" t="s">
        <v>563</v>
      </c>
      <c r="B10" s="29" t="s">
        <v>11</v>
      </c>
      <c r="C10" s="29" t="s">
        <v>11</v>
      </c>
      <c r="D10" s="29" t="s">
        <v>11</v>
      </c>
      <c r="E10" s="29">
        <v>7500</v>
      </c>
      <c r="F10" s="29">
        <v>9500</v>
      </c>
      <c r="G10" s="47">
        <v>13000</v>
      </c>
      <c r="H10" s="29" t="s">
        <v>11</v>
      </c>
      <c r="I10" s="29" t="s">
        <v>11</v>
      </c>
    </row>
    <row r="11" spans="1:9" ht="21" customHeight="1" x14ac:dyDescent="0.15">
      <c r="A11" s="76" t="s">
        <v>9</v>
      </c>
      <c r="B11" s="69" t="s">
        <v>11</v>
      </c>
      <c r="C11" s="69" t="s">
        <v>11</v>
      </c>
      <c r="D11" s="29">
        <v>5000</v>
      </c>
      <c r="E11" s="29">
        <v>7000</v>
      </c>
      <c r="F11" s="29">
        <v>9000</v>
      </c>
      <c r="G11" s="47">
        <v>12000</v>
      </c>
      <c r="H11" s="69" t="s">
        <v>11</v>
      </c>
      <c r="I11" s="69" t="s">
        <v>11</v>
      </c>
    </row>
    <row r="12" spans="1:9" ht="21" customHeight="1" x14ac:dyDescent="0.15">
      <c r="A12" s="76" t="s">
        <v>564</v>
      </c>
      <c r="B12" s="69" t="s">
        <v>11</v>
      </c>
      <c r="C12" s="69" t="s">
        <v>11</v>
      </c>
      <c r="D12" s="29">
        <v>4900</v>
      </c>
      <c r="E12" s="29">
        <v>6700</v>
      </c>
      <c r="F12" s="29">
        <v>8500</v>
      </c>
      <c r="G12" s="47">
        <v>11000</v>
      </c>
      <c r="H12" s="69" t="s">
        <v>11</v>
      </c>
      <c r="I12" s="69" t="s">
        <v>11</v>
      </c>
    </row>
    <row r="13" spans="1:9" ht="21" customHeight="1" x14ac:dyDescent="0.15">
      <c r="A13" s="76" t="s">
        <v>565</v>
      </c>
      <c r="B13" s="69" t="s">
        <v>11</v>
      </c>
      <c r="C13" s="69" t="s">
        <v>11</v>
      </c>
      <c r="D13" s="29">
        <v>4800</v>
      </c>
      <c r="E13" s="29">
        <v>6600</v>
      </c>
      <c r="F13" s="69" t="s">
        <v>11</v>
      </c>
      <c r="G13" s="69" t="s">
        <v>11</v>
      </c>
      <c r="H13" s="69" t="s">
        <v>11</v>
      </c>
      <c r="I13" s="69" t="s">
        <v>11</v>
      </c>
    </row>
    <row r="14" spans="1:9" ht="21" customHeight="1" x14ac:dyDescent="0.15">
      <c r="A14" s="76" t="s">
        <v>566</v>
      </c>
      <c r="B14" s="69" t="s">
        <v>11</v>
      </c>
      <c r="C14" s="69" t="s">
        <v>11</v>
      </c>
      <c r="D14" s="69" t="s">
        <v>11</v>
      </c>
      <c r="E14" s="29">
        <v>6300</v>
      </c>
      <c r="F14" s="69" t="s">
        <v>11</v>
      </c>
      <c r="G14" s="69" t="s">
        <v>11</v>
      </c>
      <c r="H14" s="69" t="s">
        <v>11</v>
      </c>
      <c r="I14" s="69" t="s">
        <v>11</v>
      </c>
    </row>
    <row r="15" spans="1:9" ht="21" customHeight="1" x14ac:dyDescent="0.15">
      <c r="A15" s="76" t="s">
        <v>567</v>
      </c>
      <c r="B15" s="69" t="s">
        <v>11</v>
      </c>
      <c r="C15" s="69" t="s">
        <v>11</v>
      </c>
      <c r="D15" s="29">
        <v>4600</v>
      </c>
      <c r="E15" s="29">
        <v>5800</v>
      </c>
      <c r="F15" s="29">
        <v>7600</v>
      </c>
      <c r="G15" s="69" t="s">
        <v>11</v>
      </c>
      <c r="H15" s="69" t="s">
        <v>11</v>
      </c>
      <c r="I15" s="69" t="s">
        <v>11</v>
      </c>
    </row>
    <row r="16" spans="1:9" ht="21" customHeight="1" x14ac:dyDescent="0.15">
      <c r="A16" s="76" t="s">
        <v>568</v>
      </c>
      <c r="B16" s="69" t="s">
        <v>11</v>
      </c>
      <c r="C16" s="69" t="s">
        <v>11</v>
      </c>
      <c r="D16" s="29">
        <v>4400</v>
      </c>
      <c r="E16" s="29">
        <v>5600</v>
      </c>
      <c r="F16" s="69" t="s">
        <v>11</v>
      </c>
      <c r="G16" s="69" t="s">
        <v>11</v>
      </c>
      <c r="H16" s="69" t="s">
        <v>11</v>
      </c>
      <c r="I16" s="69" t="s">
        <v>11</v>
      </c>
    </row>
    <row r="17" spans="1:9" ht="21" customHeight="1" x14ac:dyDescent="0.15">
      <c r="A17" s="76" t="s">
        <v>569</v>
      </c>
      <c r="B17" s="69" t="s">
        <v>11</v>
      </c>
      <c r="C17" s="29">
        <v>3000</v>
      </c>
      <c r="D17" s="29">
        <v>4200</v>
      </c>
      <c r="E17" s="29">
        <v>5400</v>
      </c>
      <c r="F17" s="69" t="s">
        <v>11</v>
      </c>
      <c r="G17" s="69" t="s">
        <v>11</v>
      </c>
      <c r="H17" s="69" t="s">
        <v>11</v>
      </c>
      <c r="I17" s="69" t="s">
        <v>11</v>
      </c>
    </row>
    <row r="18" spans="1:9" ht="21" customHeight="1" x14ac:dyDescent="0.15">
      <c r="A18" s="76" t="s">
        <v>8</v>
      </c>
      <c r="B18" s="29">
        <v>2000</v>
      </c>
      <c r="C18" s="29">
        <v>2800</v>
      </c>
      <c r="D18" s="29">
        <v>4000</v>
      </c>
      <c r="E18" s="69" t="s">
        <v>11</v>
      </c>
      <c r="F18" s="69" t="s">
        <v>11</v>
      </c>
      <c r="G18" s="69" t="s">
        <v>11</v>
      </c>
      <c r="H18" s="69" t="s">
        <v>11</v>
      </c>
      <c r="I18" s="69" t="s">
        <v>11</v>
      </c>
    </row>
    <row r="19" spans="1:9" ht="21" customHeight="1" x14ac:dyDescent="0.15">
      <c r="A19" s="77" t="s">
        <v>7</v>
      </c>
      <c r="B19" s="29">
        <v>1750</v>
      </c>
      <c r="C19" s="29">
        <v>2550</v>
      </c>
      <c r="D19" s="69" t="s">
        <v>11</v>
      </c>
      <c r="E19" s="69" t="s">
        <v>11</v>
      </c>
      <c r="F19" s="69" t="s">
        <v>11</v>
      </c>
      <c r="G19" s="69" t="s">
        <v>11</v>
      </c>
      <c r="H19" s="69" t="s">
        <v>11</v>
      </c>
      <c r="I19" s="69" t="s">
        <v>11</v>
      </c>
    </row>
    <row r="20" spans="1:9" ht="21" customHeight="1" x14ac:dyDescent="0.15">
      <c r="A20" s="77" t="s">
        <v>570</v>
      </c>
      <c r="B20" s="29">
        <v>1500</v>
      </c>
      <c r="C20" s="29">
        <v>2300</v>
      </c>
      <c r="D20" s="69" t="s">
        <v>11</v>
      </c>
      <c r="E20" s="69" t="s">
        <v>11</v>
      </c>
      <c r="F20" s="69" t="s">
        <v>11</v>
      </c>
      <c r="G20" s="69" t="s">
        <v>11</v>
      </c>
      <c r="H20" s="69" t="s">
        <v>11</v>
      </c>
      <c r="I20" s="69" t="s">
        <v>11</v>
      </c>
    </row>
    <row r="21" spans="1:9" ht="21" customHeight="1" x14ac:dyDescent="0.15">
      <c r="A21" s="38" t="s">
        <v>571</v>
      </c>
      <c r="B21" s="37">
        <v>1000</v>
      </c>
      <c r="C21" s="37">
        <v>1000</v>
      </c>
      <c r="D21" s="37">
        <v>1000</v>
      </c>
      <c r="E21" s="37">
        <v>1000</v>
      </c>
      <c r="F21" s="37">
        <v>1000</v>
      </c>
      <c r="G21" s="37">
        <v>1000</v>
      </c>
      <c r="H21" s="37">
        <v>1000</v>
      </c>
      <c r="I21" s="37">
        <v>1000</v>
      </c>
    </row>
  </sheetData>
  <sheetProtection selectLockedCells="1" selectUnlockedCells="1"/>
  <phoneticPr fontId="9"/>
  <conditionalFormatting sqref="L17:R65536 J1:K1048576 S1:IU1048576 L1:R14">
    <cfRule type="cellIs" dxfId="3" priority="3" stopIfTrue="1" operator="equal">
      <formula>1</formula>
    </cfRule>
  </conditionalFormatting>
  <conditionalFormatting sqref="A22:I65536">
    <cfRule type="cellIs" dxfId="2" priority="4" stopIfTrue="1" operator="equal">
      <formula>1</formula>
    </cfRule>
  </conditionalFormatting>
  <conditionalFormatting sqref="A21:I21">
    <cfRule type="cellIs" dxfId="1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 enableFormatConditionsCalculation="0">
    <tabColor indexed="17"/>
  </sheetPr>
  <dimension ref="A1:H10"/>
  <sheetViews>
    <sheetView showGridLines="0" zoomScale="115" zoomScaleNormal="115" zoomScalePageLayoutView="115" workbookViewId="0">
      <selection activeCell="B8" sqref="B8"/>
    </sheetView>
  </sheetViews>
  <sheetFormatPr baseColWidth="12" defaultColWidth="13" defaultRowHeight="21" customHeight="1" x14ac:dyDescent="0.15"/>
  <cols>
    <col min="1" max="16384" width="13" style="24"/>
  </cols>
  <sheetData>
    <row r="1" spans="1:8" ht="21" customHeight="1" x14ac:dyDescent="0.15">
      <c r="A1" s="24" t="s">
        <v>108</v>
      </c>
      <c r="G1" s="24" t="s">
        <v>109</v>
      </c>
    </row>
    <row r="2" spans="1:8" ht="21" customHeight="1" x14ac:dyDescent="0.15">
      <c r="A2" s="22" t="s">
        <v>15</v>
      </c>
      <c r="B2" s="22" t="s">
        <v>16</v>
      </c>
      <c r="G2" s="22" t="s">
        <v>15</v>
      </c>
      <c r="H2" s="22" t="s">
        <v>16</v>
      </c>
    </row>
    <row r="3" spans="1:8" ht="21" customHeight="1" x14ac:dyDescent="0.15">
      <c r="A3" s="25">
        <v>1</v>
      </c>
      <c r="B3" s="34">
        <v>5000</v>
      </c>
      <c r="G3" s="25">
        <v>1</v>
      </c>
      <c r="H3" s="25">
        <v>75</v>
      </c>
    </row>
    <row r="4" spans="1:8" ht="21" customHeight="1" x14ac:dyDescent="0.15">
      <c r="A4" s="25">
        <v>2</v>
      </c>
      <c r="B4" s="26">
        <v>10000</v>
      </c>
      <c r="G4" s="25">
        <v>2</v>
      </c>
      <c r="H4" s="25">
        <v>150</v>
      </c>
    </row>
    <row r="5" spans="1:8" ht="21" customHeight="1" x14ac:dyDescent="0.15">
      <c r="A5" s="25">
        <v>3</v>
      </c>
      <c r="B5" s="26">
        <v>20000</v>
      </c>
      <c r="G5" s="25">
        <v>3</v>
      </c>
      <c r="H5" s="25">
        <v>300</v>
      </c>
    </row>
    <row r="6" spans="1:8" ht="21" customHeight="1" x14ac:dyDescent="0.15">
      <c r="A6" s="25">
        <v>4</v>
      </c>
      <c r="B6" s="26">
        <v>50000</v>
      </c>
      <c r="G6" s="25">
        <v>4</v>
      </c>
      <c r="H6" s="25">
        <v>600</v>
      </c>
    </row>
    <row r="7" spans="1:8" ht="21" customHeight="1" x14ac:dyDescent="0.15">
      <c r="A7" s="25">
        <v>5</v>
      </c>
      <c r="B7" s="26">
        <v>200000</v>
      </c>
      <c r="G7" s="25">
        <v>5</v>
      </c>
      <c r="H7" s="25">
        <v>900</v>
      </c>
    </row>
    <row r="8" spans="1:8" ht="21" customHeight="1" x14ac:dyDescent="0.15">
      <c r="A8" s="25">
        <v>6</v>
      </c>
      <c r="B8" s="35"/>
      <c r="G8" s="25">
        <v>6</v>
      </c>
      <c r="H8" s="36"/>
    </row>
    <row r="9" spans="1:8" ht="21" customHeight="1" x14ac:dyDescent="0.15">
      <c r="A9" s="25">
        <v>7</v>
      </c>
      <c r="B9" s="35"/>
      <c r="G9" s="25">
        <v>7</v>
      </c>
      <c r="H9" s="35"/>
    </row>
    <row r="10" spans="1:8" ht="21" customHeight="1" x14ac:dyDescent="0.15">
      <c r="A10" s="25">
        <v>8</v>
      </c>
      <c r="B10" s="35"/>
      <c r="G10" s="25">
        <v>8</v>
      </c>
      <c r="H10" s="35"/>
    </row>
  </sheetData>
  <sheetProtection selectLockedCells="1" selectUnlockedCells="1"/>
  <phoneticPr fontId="9"/>
  <conditionalFormatting sqref="A1:B1 A11:B65536 C1:F1048576 G1:H1 G11:H65536 I1:IV1048576 B8:B10 H8:H10">
    <cfRule type="cellIs" dxfId="0" priority="1" stopIfTrue="1" operator="equal">
      <formula>1</formula>
    </cfRule>
  </conditionalFormatting>
  <pageMargins left="0.75" right="0.75" top="1" bottom="1" header="0.51180555555555551" footer="0.51180555555555551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15</vt:i4>
      </vt:variant>
    </vt:vector>
  </HeadingPairs>
  <TitlesOfParts>
    <vt:vector size="15" baseType="lpstr">
      <vt:lpstr>output</vt:lpstr>
      <vt:lpstr>units</vt:lpstr>
      <vt:lpstr>unit_skills</vt:lpstr>
      <vt:lpstr>crash_skills</vt:lpstr>
      <vt:lpstr>unit_serifs</vt:lpstr>
      <vt:lpstr>unit_serifs_i18n</vt:lpstr>
      <vt:lpstr>awake_materials</vt:lpstr>
      <vt:lpstr>書き出し</vt:lpstr>
      <vt:lpstr>→base値</vt:lpstr>
      <vt:lpstr>ghosts_label</vt:lpstr>
      <vt:lpstr>コスト</vt:lpstr>
      <vt:lpstr>レベル</vt:lpstr>
      <vt:lpstr>経験値</vt:lpstr>
      <vt:lpstr>RC6SV</vt:lpstr>
      <vt:lpstr>ビット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OmataY</dc:creator>
  <cp:lastModifiedBy>Microsoft Office ユーザー</cp:lastModifiedBy>
  <dcterms:created xsi:type="dcterms:W3CDTF">2014-07-07T06:45:59Z</dcterms:created>
  <dcterms:modified xsi:type="dcterms:W3CDTF">2017-06-06T09:15:19Z</dcterms:modified>
</cp:coreProperties>
</file>