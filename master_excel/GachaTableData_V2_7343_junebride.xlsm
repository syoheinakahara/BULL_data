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1"/>
  </bookViews>
  <sheets>
    <sheet name="Sheet1" sheetId="107" r:id="rId1"/>
    <sheet name="output" sheetId="103" r:id="rId2"/>
    <sheet name="tables_7343" sheetId="114" r:id="rId3"/>
    <sheet name="tables_7345" sheetId="118" r:id="rId4"/>
    <sheet name="tables_settle_7344" sheetId="116" r:id="rId5"/>
    <sheet name="tables_settle_7346" sheetId="11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2" hidden="1">tables_7343!$A$1:$V$4</definedName>
    <definedName name="_xlnm._FilterDatabase" localSheetId="3" hidden="1">tables_7345!$A$1:$V$4</definedName>
    <definedName name="_xlnm._FilterDatabase" localSheetId="4" hidden="1">tables_settle_7344!$A$1:$V$2</definedName>
    <definedName name="_xlnm._FilterDatabase" localSheetId="5" hidden="1">tables_settle_7346!$A$1:$V$2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98" l="1"/>
  <c r="B14" i="98"/>
  <c r="B15" i="98"/>
  <c r="B16" i="98"/>
  <c r="B17" i="98"/>
  <c r="B18" i="98"/>
  <c r="B19" i="98"/>
  <c r="B20" i="98"/>
  <c r="B21" i="98"/>
  <c r="B12" i="98"/>
  <c r="B11" i="98"/>
  <c r="B10" i="98"/>
  <c r="B9" i="98"/>
  <c r="B8" i="98"/>
  <c r="B7" i="98"/>
  <c r="B6" i="98"/>
  <c r="B5" i="98"/>
  <c r="B4" i="98"/>
  <c r="B3" i="98"/>
  <c r="B2" i="98"/>
  <c r="P2" i="119"/>
  <c r="N2" i="119"/>
  <c r="M2" i="119"/>
  <c r="L2" i="119"/>
  <c r="K2" i="119"/>
  <c r="J2" i="119"/>
  <c r="I2" i="119"/>
  <c r="H2" i="119"/>
  <c r="F2" i="119"/>
  <c r="E2" i="119"/>
  <c r="D2" i="119"/>
  <c r="C2" i="119"/>
  <c r="P22" i="118"/>
  <c r="N22" i="118"/>
  <c r="M22" i="118"/>
  <c r="L22" i="118"/>
  <c r="K22" i="118"/>
  <c r="J22" i="118"/>
  <c r="I22" i="118"/>
  <c r="H22" i="118"/>
  <c r="F22" i="118"/>
  <c r="E22" i="118"/>
  <c r="D22" i="118"/>
  <c r="C22" i="118"/>
  <c r="P21" i="118"/>
  <c r="N21" i="118"/>
  <c r="M21" i="118"/>
  <c r="L21" i="118"/>
  <c r="K21" i="118"/>
  <c r="J21" i="118"/>
  <c r="I21" i="118"/>
  <c r="H21" i="118"/>
  <c r="F21" i="118"/>
  <c r="E21" i="118"/>
  <c r="D21" i="118"/>
  <c r="C21" i="118"/>
  <c r="P20" i="118"/>
  <c r="N20" i="118"/>
  <c r="M20" i="118"/>
  <c r="L20" i="118"/>
  <c r="K20" i="118"/>
  <c r="J20" i="118"/>
  <c r="I20" i="118"/>
  <c r="H20" i="118"/>
  <c r="F20" i="118"/>
  <c r="E20" i="118"/>
  <c r="D20" i="118"/>
  <c r="C20" i="118"/>
  <c r="P19" i="118"/>
  <c r="N19" i="118"/>
  <c r="M19" i="118"/>
  <c r="L19" i="118"/>
  <c r="K19" i="118"/>
  <c r="J19" i="118"/>
  <c r="I19" i="118"/>
  <c r="H19" i="118"/>
  <c r="F19" i="118"/>
  <c r="E19" i="118"/>
  <c r="D19" i="118"/>
  <c r="C19" i="118"/>
  <c r="P18" i="118"/>
  <c r="N18" i="118"/>
  <c r="M18" i="118"/>
  <c r="L18" i="118"/>
  <c r="K18" i="118"/>
  <c r="J18" i="118"/>
  <c r="I18" i="118"/>
  <c r="H18" i="118"/>
  <c r="F18" i="118"/>
  <c r="E18" i="118"/>
  <c r="D18" i="118"/>
  <c r="C18" i="118"/>
  <c r="P17" i="118"/>
  <c r="N17" i="118"/>
  <c r="M17" i="118"/>
  <c r="L17" i="118"/>
  <c r="K17" i="118"/>
  <c r="J17" i="118"/>
  <c r="I17" i="118"/>
  <c r="H17" i="118"/>
  <c r="F17" i="118"/>
  <c r="E17" i="118"/>
  <c r="D17" i="118"/>
  <c r="C17" i="118"/>
  <c r="P16" i="118"/>
  <c r="N16" i="118"/>
  <c r="M16" i="118"/>
  <c r="L16" i="118"/>
  <c r="K16" i="118"/>
  <c r="J16" i="118"/>
  <c r="I16" i="118"/>
  <c r="H16" i="118"/>
  <c r="F16" i="118"/>
  <c r="E16" i="118"/>
  <c r="D16" i="118"/>
  <c r="C16" i="118"/>
  <c r="P15" i="118"/>
  <c r="N15" i="118"/>
  <c r="M15" i="118"/>
  <c r="L15" i="118"/>
  <c r="K15" i="118"/>
  <c r="J15" i="118"/>
  <c r="I15" i="118"/>
  <c r="H15" i="118"/>
  <c r="F15" i="118"/>
  <c r="E15" i="118"/>
  <c r="D15" i="118"/>
  <c r="C15" i="118"/>
  <c r="P14" i="118"/>
  <c r="N14" i="118"/>
  <c r="M14" i="118"/>
  <c r="L14" i="118"/>
  <c r="K14" i="118"/>
  <c r="J14" i="118"/>
  <c r="I14" i="118"/>
  <c r="H14" i="118"/>
  <c r="F14" i="118"/>
  <c r="E14" i="118"/>
  <c r="D14" i="118"/>
  <c r="C14" i="118"/>
  <c r="P13" i="118"/>
  <c r="N13" i="118"/>
  <c r="M13" i="118"/>
  <c r="L13" i="118"/>
  <c r="K13" i="118"/>
  <c r="J13" i="118"/>
  <c r="I13" i="118"/>
  <c r="H13" i="118"/>
  <c r="F13" i="118"/>
  <c r="E13" i="118"/>
  <c r="D13" i="118"/>
  <c r="C13" i="118"/>
  <c r="P12" i="118"/>
  <c r="N12" i="118"/>
  <c r="M12" i="118"/>
  <c r="L12" i="118"/>
  <c r="K12" i="118"/>
  <c r="J12" i="118"/>
  <c r="I12" i="118"/>
  <c r="H12" i="118"/>
  <c r="F12" i="118"/>
  <c r="E12" i="118"/>
  <c r="D12" i="118"/>
  <c r="C12" i="118"/>
  <c r="P11" i="118"/>
  <c r="N11" i="118"/>
  <c r="M11" i="118"/>
  <c r="L11" i="118"/>
  <c r="K11" i="118"/>
  <c r="J11" i="118"/>
  <c r="I11" i="118"/>
  <c r="H11" i="118"/>
  <c r="F11" i="118"/>
  <c r="E11" i="118"/>
  <c r="D11" i="118"/>
  <c r="C11" i="118"/>
  <c r="P10" i="118"/>
  <c r="N10" i="118"/>
  <c r="M10" i="118"/>
  <c r="L10" i="118"/>
  <c r="K10" i="118"/>
  <c r="J10" i="118"/>
  <c r="I10" i="118"/>
  <c r="H10" i="118"/>
  <c r="F10" i="118"/>
  <c r="E10" i="118"/>
  <c r="D10" i="118"/>
  <c r="C10" i="118"/>
  <c r="P9" i="118"/>
  <c r="N9" i="118"/>
  <c r="M9" i="118"/>
  <c r="L9" i="118"/>
  <c r="K9" i="118"/>
  <c r="J9" i="118"/>
  <c r="I9" i="118"/>
  <c r="H9" i="118"/>
  <c r="F9" i="118"/>
  <c r="E9" i="118"/>
  <c r="D9" i="118"/>
  <c r="C9" i="118"/>
  <c r="P8" i="118"/>
  <c r="N8" i="118"/>
  <c r="M8" i="118"/>
  <c r="L8" i="118"/>
  <c r="K8" i="118"/>
  <c r="J8" i="118"/>
  <c r="I8" i="118"/>
  <c r="H8" i="118"/>
  <c r="F8" i="118"/>
  <c r="E8" i="118"/>
  <c r="D8" i="118"/>
  <c r="C8" i="118"/>
  <c r="P7" i="118"/>
  <c r="N7" i="118"/>
  <c r="M7" i="118"/>
  <c r="L7" i="118"/>
  <c r="K7" i="118"/>
  <c r="J7" i="118"/>
  <c r="I7" i="118"/>
  <c r="H7" i="118"/>
  <c r="F7" i="118"/>
  <c r="E7" i="118"/>
  <c r="D7" i="118"/>
  <c r="C7" i="118"/>
  <c r="P6" i="118"/>
  <c r="N6" i="118"/>
  <c r="M6" i="118"/>
  <c r="L6" i="118"/>
  <c r="K6" i="118"/>
  <c r="J6" i="118"/>
  <c r="I6" i="118"/>
  <c r="H6" i="118"/>
  <c r="F6" i="118"/>
  <c r="E6" i="118"/>
  <c r="D6" i="118"/>
  <c r="C6" i="118"/>
  <c r="P5" i="118"/>
  <c r="N5" i="118"/>
  <c r="M5" i="118"/>
  <c r="L5" i="118"/>
  <c r="K5" i="118"/>
  <c r="J5" i="118"/>
  <c r="I5" i="118"/>
  <c r="H5" i="118"/>
  <c r="F5" i="118"/>
  <c r="E5" i="118"/>
  <c r="D5" i="118"/>
  <c r="C5" i="118"/>
  <c r="P4" i="118"/>
  <c r="N4" i="118"/>
  <c r="M4" i="118"/>
  <c r="L4" i="118"/>
  <c r="K4" i="118"/>
  <c r="J4" i="118"/>
  <c r="I4" i="118"/>
  <c r="H4" i="118"/>
  <c r="F4" i="118"/>
  <c r="E4" i="118"/>
  <c r="D4" i="118"/>
  <c r="C4" i="118"/>
  <c r="P3" i="118"/>
  <c r="N3" i="118"/>
  <c r="M3" i="118"/>
  <c r="L3" i="118"/>
  <c r="K3" i="118"/>
  <c r="J3" i="118"/>
  <c r="I3" i="118"/>
  <c r="H3" i="118"/>
  <c r="F3" i="118"/>
  <c r="E3" i="118"/>
  <c r="D3" i="118"/>
  <c r="C3" i="118"/>
  <c r="P2" i="118"/>
  <c r="N2" i="118"/>
  <c r="M2" i="118"/>
  <c r="L2" i="118"/>
  <c r="K2" i="118"/>
  <c r="J2" i="118"/>
  <c r="I2" i="118"/>
  <c r="H2" i="118"/>
  <c r="F2" i="118"/>
  <c r="E2" i="118"/>
  <c r="D2" i="118"/>
  <c r="C2" i="118"/>
  <c r="P22" i="114"/>
  <c r="P21" i="114"/>
  <c r="P20" i="114"/>
  <c r="P19" i="114"/>
  <c r="P18" i="114"/>
  <c r="P17" i="114"/>
  <c r="P16" i="114"/>
  <c r="P15" i="114"/>
  <c r="P14" i="114"/>
  <c r="P13" i="114"/>
  <c r="P12" i="114"/>
  <c r="P11" i="114"/>
  <c r="P10" i="114"/>
  <c r="P9" i="114"/>
  <c r="P8" i="114"/>
  <c r="P7" i="114"/>
  <c r="P6" i="114"/>
  <c r="P5" i="114"/>
  <c r="P4" i="114"/>
  <c r="P3" i="114"/>
  <c r="C5" i="103"/>
  <c r="C4" i="103"/>
  <c r="C3" i="103"/>
  <c r="C2" i="103"/>
  <c r="E4" i="103"/>
  <c r="N22" i="114"/>
  <c r="M22" i="114"/>
  <c r="L22" i="114"/>
  <c r="K22" i="114"/>
  <c r="J22" i="114"/>
  <c r="I22" i="114"/>
  <c r="H22" i="114"/>
  <c r="F22" i="114"/>
  <c r="E22" i="114"/>
  <c r="D22" i="114"/>
  <c r="C22" i="114"/>
  <c r="N21" i="114"/>
  <c r="M21" i="114"/>
  <c r="L21" i="114"/>
  <c r="K21" i="114"/>
  <c r="J21" i="114"/>
  <c r="I21" i="114"/>
  <c r="H21" i="114"/>
  <c r="F21" i="114"/>
  <c r="E21" i="114"/>
  <c r="D21" i="114"/>
  <c r="C21" i="114"/>
  <c r="N20" i="114"/>
  <c r="M20" i="114"/>
  <c r="L20" i="114"/>
  <c r="K20" i="114"/>
  <c r="J20" i="114"/>
  <c r="I20" i="114"/>
  <c r="H20" i="114"/>
  <c r="F20" i="114"/>
  <c r="E20" i="114"/>
  <c r="D20" i="114"/>
  <c r="C20" i="114"/>
  <c r="N19" i="114"/>
  <c r="M19" i="114"/>
  <c r="L19" i="114"/>
  <c r="K19" i="114"/>
  <c r="J19" i="114"/>
  <c r="I19" i="114"/>
  <c r="H19" i="114"/>
  <c r="F19" i="114"/>
  <c r="E19" i="114"/>
  <c r="D19" i="114"/>
  <c r="C19" i="114"/>
  <c r="N18" i="114"/>
  <c r="M18" i="114"/>
  <c r="L18" i="114"/>
  <c r="K18" i="114"/>
  <c r="J18" i="114"/>
  <c r="I18" i="114"/>
  <c r="H18" i="114"/>
  <c r="F18" i="114"/>
  <c r="E18" i="114"/>
  <c r="D18" i="114"/>
  <c r="C18" i="114"/>
  <c r="N17" i="114"/>
  <c r="M17" i="114"/>
  <c r="L17" i="114"/>
  <c r="K17" i="114"/>
  <c r="J17" i="114"/>
  <c r="I17" i="114"/>
  <c r="H17" i="114"/>
  <c r="F17" i="114"/>
  <c r="E17" i="114"/>
  <c r="D17" i="114"/>
  <c r="C17" i="114"/>
  <c r="N16" i="114"/>
  <c r="M16" i="114"/>
  <c r="L16" i="114"/>
  <c r="K16" i="114"/>
  <c r="J16" i="114"/>
  <c r="I16" i="114"/>
  <c r="H16" i="114"/>
  <c r="F16" i="114"/>
  <c r="E16" i="114"/>
  <c r="D16" i="114"/>
  <c r="C16" i="114"/>
  <c r="N15" i="114"/>
  <c r="M15" i="114"/>
  <c r="L15" i="114"/>
  <c r="K15" i="114"/>
  <c r="J15" i="114"/>
  <c r="I15" i="114"/>
  <c r="H15" i="114"/>
  <c r="F15" i="114"/>
  <c r="E15" i="114"/>
  <c r="D15" i="114"/>
  <c r="C15" i="114"/>
  <c r="P2" i="116"/>
  <c r="N2" i="116"/>
  <c r="M2" i="116"/>
  <c r="L2" i="116"/>
  <c r="K2" i="116"/>
  <c r="J2" i="116"/>
  <c r="I2" i="116"/>
  <c r="H2" i="116"/>
  <c r="F2" i="116"/>
  <c r="E2" i="116"/>
  <c r="D2" i="116"/>
  <c r="C2" i="116"/>
  <c r="N14" i="114"/>
  <c r="M14" i="114"/>
  <c r="L14" i="114"/>
  <c r="K14" i="114"/>
  <c r="J14" i="114"/>
  <c r="I14" i="114"/>
  <c r="H14" i="114"/>
  <c r="F14" i="114"/>
  <c r="E14" i="114"/>
  <c r="D14" i="114"/>
  <c r="C14" i="114"/>
  <c r="N13" i="114"/>
  <c r="M13" i="114"/>
  <c r="L13" i="114"/>
  <c r="K13" i="114"/>
  <c r="J13" i="114"/>
  <c r="I13" i="114"/>
  <c r="H13" i="114"/>
  <c r="F13" i="114"/>
  <c r="E13" i="114"/>
  <c r="D13" i="114"/>
  <c r="C13" i="114"/>
  <c r="N12" i="114"/>
  <c r="M12" i="114"/>
  <c r="L12" i="114"/>
  <c r="K12" i="114"/>
  <c r="J12" i="114"/>
  <c r="I12" i="114"/>
  <c r="H12" i="114"/>
  <c r="F12" i="114"/>
  <c r="E12" i="114"/>
  <c r="D12" i="114"/>
  <c r="C12" i="114"/>
  <c r="N11" i="114"/>
  <c r="M11" i="114"/>
  <c r="L11" i="114"/>
  <c r="K11" i="114"/>
  <c r="J11" i="114"/>
  <c r="I11" i="114"/>
  <c r="H11" i="114"/>
  <c r="F11" i="114"/>
  <c r="E11" i="114"/>
  <c r="D11" i="114"/>
  <c r="C11" i="114"/>
  <c r="N10" i="114"/>
  <c r="M10" i="114"/>
  <c r="L10" i="114"/>
  <c r="K10" i="114"/>
  <c r="J10" i="114"/>
  <c r="I10" i="114"/>
  <c r="H10" i="114"/>
  <c r="F10" i="114"/>
  <c r="E10" i="114"/>
  <c r="D10" i="114"/>
  <c r="C10" i="114"/>
  <c r="N9" i="114"/>
  <c r="M9" i="114"/>
  <c r="L9" i="114"/>
  <c r="K9" i="114"/>
  <c r="J9" i="114"/>
  <c r="I9" i="114"/>
  <c r="H9" i="114"/>
  <c r="F9" i="114"/>
  <c r="E9" i="114"/>
  <c r="D9" i="114"/>
  <c r="C9" i="114"/>
  <c r="N8" i="114"/>
  <c r="M8" i="114"/>
  <c r="L8" i="114"/>
  <c r="K8" i="114"/>
  <c r="J8" i="114"/>
  <c r="I8" i="114"/>
  <c r="H8" i="114"/>
  <c r="F8" i="114"/>
  <c r="E8" i="114"/>
  <c r="D8" i="114"/>
  <c r="C8" i="114"/>
  <c r="I5" i="114"/>
  <c r="D5" i="114"/>
  <c r="J5" i="114"/>
  <c r="E5" i="114"/>
  <c r="F5" i="114"/>
  <c r="C5" i="114"/>
  <c r="H5" i="114"/>
  <c r="K5" i="114"/>
  <c r="L5" i="114"/>
  <c r="M5" i="114"/>
  <c r="N5" i="114"/>
  <c r="I6" i="114"/>
  <c r="D6" i="114"/>
  <c r="J6" i="114"/>
  <c r="E6" i="114"/>
  <c r="F6" i="114"/>
  <c r="C6" i="114"/>
  <c r="H6" i="114"/>
  <c r="K6" i="114"/>
  <c r="L6" i="114"/>
  <c r="M6" i="114"/>
  <c r="N6" i="114"/>
  <c r="I7" i="114"/>
  <c r="D7" i="114"/>
  <c r="J7" i="114"/>
  <c r="E7" i="114"/>
  <c r="F7" i="114"/>
  <c r="C7" i="114"/>
  <c r="H7" i="114"/>
  <c r="K7" i="114"/>
  <c r="L7" i="114"/>
  <c r="M7" i="114"/>
  <c r="N7" i="114"/>
  <c r="E5" i="103"/>
  <c r="E3" i="103"/>
  <c r="J4" i="114"/>
  <c r="I2" i="114"/>
  <c r="D2" i="114"/>
  <c r="J2" i="114"/>
  <c r="E2" i="114"/>
  <c r="F2" i="114"/>
  <c r="C2" i="114"/>
  <c r="I3" i="114"/>
  <c r="D3" i="114"/>
  <c r="J3" i="114"/>
  <c r="E3" i="114"/>
  <c r="F3" i="114"/>
  <c r="C3" i="114"/>
  <c r="I4" i="114"/>
  <c r="D4" i="114"/>
  <c r="E4" i="114"/>
  <c r="F4" i="114"/>
  <c r="C4" i="114"/>
  <c r="N4" i="114"/>
  <c r="M4" i="114"/>
  <c r="L4" i="114"/>
  <c r="K4" i="114"/>
  <c r="H4" i="114"/>
  <c r="N3" i="114"/>
  <c r="M3" i="114"/>
  <c r="L3" i="114"/>
  <c r="K3" i="114"/>
  <c r="H3" i="114"/>
  <c r="P2" i="114"/>
  <c r="N2" i="114"/>
  <c r="M2" i="114"/>
  <c r="L2" i="114"/>
  <c r="K2" i="114"/>
  <c r="H2" i="114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8" i="103"/>
  <c r="E7" i="103"/>
  <c r="E6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<sst xmlns="http://schemas.openxmlformats.org/spreadsheetml/2006/main" count="314" uniqueCount="111">
  <si>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</si>
  <si>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</si>
  <si>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</si>
  <si>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</si>
  <si>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</si>
  <si>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</si>
  <si>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</si>
  <si>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</si>
  <si>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</si>
  <si>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</si>
  <si>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</si>
  <si>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</si>
  <si>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</si>
  <si>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</si>
  <si>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</si>
  <si>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</si>
  <si>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</si>
  <si>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</si>
  <si>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</si>
  <si>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</si>
  <si>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</si>
  <si>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</si>
  <si>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</si>
  <si>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</si>
  <si>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</si>
  <si>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</si>
  <si>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</si>
  <si>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</si>
  <si>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</si>
  <si>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</si>
  <si>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</si>
  <si>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</si>
  <si>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</si>
  <si>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</si>
  <si>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</si>
  <si>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</si>
  <si>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</si>
  <si>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</si>
  <si>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</si>
  <si>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</si>
  <si>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</si>
  <si>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</si>
  <si>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</si>
  <si>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</si>
  <si>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</si>
  <si>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</si>
  <si>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</si>
  <si>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</si>
  <si>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</si>
  <si>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</si>
  <si>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</si>
  <si>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</si>
  <si>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</si>
  <si>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</si>
  <si>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性別</t>
    <rPh sb="0" eb="2">
      <t>セイベツ</t>
    </rPh>
    <phoneticPr fontId="17"/>
  </si>
  <si>
    <t>ピックアップ確率</t>
    <rPh sb="6" eb="8">
      <t>カクリツ</t>
    </rPh>
    <phoneticPr fontId="17"/>
  </si>
  <si>
    <t>確率</t>
    <rPh sb="0" eb="2">
      <t>カクリツ</t>
    </rPh>
    <phoneticPr fontId="17"/>
  </si>
  <si>
    <t>名前</t>
    <rPh sb="0" eb="2">
      <t>ナマエ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</si>
  <si>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</si>
  <si>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</si>
  <si>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</si>
  <si>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</si>
  <si>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</si>
  <si>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</si>
  <si>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</si>
  <si>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</si>
  <si>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</si>
  <si>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</si>
  <si>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</si>
  <si>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</si>
  <si>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</si>
  <si>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</si>
  <si>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</si>
  <si>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</si>
  <si>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</si>
  <si>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color2</t>
    <phoneticPr fontId="17"/>
  </si>
  <si>
    <t>gacha_select_tables_</t>
    <phoneticPr fontId="17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</si>
  <si>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</si>
  <si>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</si>
  <si>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old</t>
    <phoneticPr fontId="17"/>
  </si>
  <si>
    <t>gacha_settle_tables_</t>
    <phoneticPr fontId="17"/>
  </si>
  <si>
    <t>tables_7343</t>
    <phoneticPr fontId="17"/>
  </si>
  <si>
    <t>tables_7345</t>
    <phoneticPr fontId="17"/>
  </si>
  <si>
    <t>tables_settle_7344</t>
    <phoneticPr fontId="17"/>
  </si>
  <si>
    <t>tables_settle_7346</t>
    <phoneticPr fontId="17"/>
  </si>
  <si>
    <t>bit</t>
    <phoneticPr fontId="17"/>
  </si>
  <si>
    <t>null</t>
    <phoneticPr fontId="17"/>
  </si>
  <si>
    <t>レッドブーケガチャ特典</t>
    <phoneticPr fontId="17"/>
  </si>
  <si>
    <t>unit</t>
    <phoneticPr fontId="17"/>
  </si>
  <si>
    <t>polygon</t>
    <phoneticPr fontId="17"/>
  </si>
  <si>
    <t>1回目特典として
10万ビットをプレゼント！</t>
    <rPh sb="1" eb="3">
      <t>カ</t>
    </rPh>
    <phoneticPr fontId="17"/>
  </si>
  <si>
    <t>10万ビット</t>
    <phoneticPr fontId="17"/>
  </si>
  <si>
    <t>攻めの果実 × 3</t>
    <phoneticPr fontId="17"/>
  </si>
  <si>
    <t>癒しの果実 × 3</t>
    <rPh sb="0" eb="1">
      <t>イヤｓ</t>
    </rPh>
    <phoneticPr fontId="17"/>
  </si>
  <si>
    <t>生命の果実 × 3</t>
    <rPh sb="0" eb="2">
      <t>セイメ</t>
    </rPh>
    <phoneticPr fontId="17"/>
  </si>
  <si>
    <t>2回目特典として
攻めの果実3体をプレゼント！</t>
    <rPh sb="1" eb="3">
      <t>カ</t>
    </rPh>
    <rPh sb="9" eb="10">
      <t>セメｎ</t>
    </rPh>
    <rPh sb="15" eb="16">
      <t>タ</t>
    </rPh>
    <phoneticPr fontId="17"/>
  </si>
  <si>
    <t>3回目特典として
癒しの果実3体をプレゼント！</t>
    <rPh sb="1" eb="3">
      <t>カ</t>
    </rPh>
    <rPh sb="9" eb="10">
      <t>イヤｓ</t>
    </rPh>
    <rPh sb="15" eb="16">
      <t>タ</t>
    </rPh>
    <phoneticPr fontId="17"/>
  </si>
  <si>
    <t>4回目特典として
生命の果実3体をプレゼント！</t>
    <rPh sb="1" eb="3">
      <t>カ</t>
    </rPh>
    <rPh sb="9" eb="11">
      <t>セイメ</t>
    </rPh>
    <rPh sb="15" eb="16">
      <t>タ</t>
    </rPh>
    <phoneticPr fontId="17"/>
  </si>
  <si>
    <t>ポリゴン × 2</t>
    <phoneticPr fontId="17"/>
  </si>
  <si>
    <t>5回目特典として
ポリゴン2個をプレゼント！</t>
    <rPh sb="1" eb="3">
      <t>カ</t>
    </rPh>
    <rPh sb="14" eb="15">
      <t>コ</t>
    </rPh>
    <phoneticPr fontId="17"/>
  </si>
  <si>
    <t>10回目特典として
ポリゴン3個をプレゼント！</t>
    <rPh sb="2" eb="4">
      <t>カ</t>
    </rPh>
    <rPh sb="15" eb="16">
      <t>コ</t>
    </rPh>
    <phoneticPr fontId="17"/>
  </si>
  <si>
    <t>6回目特典として
炎のプレゼントフロッグ1体をプレゼント！</t>
    <rPh sb="1" eb="3">
      <t>カ</t>
    </rPh>
    <rPh sb="21" eb="22">
      <t>タ</t>
    </rPh>
    <phoneticPr fontId="17"/>
  </si>
  <si>
    <t>7回目特典として
水のプレゼントフロッグ1体をプレゼント！</t>
    <rPh sb="1" eb="3">
      <t>カ</t>
    </rPh>
    <rPh sb="9" eb="10">
      <t>ミｚ</t>
    </rPh>
    <rPh sb="21" eb="22">
      <t>タ</t>
    </rPh>
    <phoneticPr fontId="17"/>
  </si>
  <si>
    <t>8回目特典として
森のプレゼントフロッグ1体をプレゼント！</t>
    <rPh sb="1" eb="3">
      <t>カ</t>
    </rPh>
    <rPh sb="21" eb="22">
      <t>タ</t>
    </rPh>
    <phoneticPr fontId="17"/>
  </si>
  <si>
    <t>9回目特典として
雷のプレゼントフロッグ1体をプレゼント！</t>
    <rPh sb="1" eb="3">
      <t>カ</t>
    </rPh>
    <rPh sb="9" eb="10">
      <t>カミナｒ</t>
    </rPh>
    <rPh sb="21" eb="22">
      <t>タ</t>
    </rPh>
    <phoneticPr fontId="17"/>
  </si>
  <si>
    <t>炎のプレゼントフロッグ × 1</t>
    <phoneticPr fontId="17"/>
  </si>
  <si>
    <t>水のプレゼントフロッグ × 1</t>
    <rPh sb="0" eb="1">
      <t>ミｚ</t>
    </rPh>
    <phoneticPr fontId="17"/>
  </si>
  <si>
    <t>森のプレゼントフロッグ × 1</t>
    <rPh sb="0" eb="1">
      <t>モリ</t>
    </rPh>
    <phoneticPr fontId="17"/>
  </si>
  <si>
    <t>雷のプレゼントフロッグ × 1</t>
    <rPh sb="0" eb="1">
      <t>カミナｒ</t>
    </rPh>
    <phoneticPr fontId="17"/>
  </si>
  <si>
    <t>ポリゴン × 3</t>
    <phoneticPr fontId="17"/>
  </si>
  <si>
    <t>グリーンブーケガチャ特典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</si>
</sst>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3"/>
      <color rgb="FF000000"/>
      <name val="MS PGothic"/>
      <family val="3"/>
      <charset val="128"/>
    </font>
    <font>
      <sz val="13"/>
      <name val="Arial"/>
    </font>
    <font>
      <outline/>
      <sz val="10"/>
      <color theme="1"/>
      <name val="ＭＳ Ｐゴシック"/>
      <family val="3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" fillId="0" borderId="0"/>
  </cellStyleXfs>
  <cellXfs count="54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3" xfId="0" applyFont="1" applyFill="1" applyBorder="1" applyAlignment="1">
      <alignment horizontal="right"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7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49" fillId="27" borderId="1" xfId="0" applyFont="1" applyFill="1" applyBorder="1" applyAlignment="1">
      <alignment horizontal="left" vertical="center"/>
    </xf>
    <xf numFmtId="0" fontId="22" fillId="24" borderId="1" xfId="2" applyFont="1" applyFill="1" applyBorder="1" applyAlignment="1">
      <alignment horizontal="left" vertical="center"/>
    </xf>
    <xf numFmtId="0" fontId="21" fillId="24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4" fillId="0" borderId="1" xfId="3036" applyFont="1" applyBorder="1"/>
    <xf numFmtId="0" fontId="3" fillId="0" borderId="1" xfId="2978" applyFont="1" applyBorder="1"/>
    <xf numFmtId="0" fontId="53" fillId="0" borderId="0" xfId="0" applyFont="1"/>
    <xf numFmtId="0" fontId="54" fillId="0" borderId="0" xfId="0" applyFont="1"/>
    <xf numFmtId="0" fontId="2" fillId="4" borderId="1" xfId="2978" applyFont="1" applyFill="1" applyBorder="1"/>
    <xf numFmtId="0" fontId="22" fillId="24" borderId="1" xfId="2" applyFont="1" applyFill="1" applyBorder="1" applyAlignment="1">
      <alignment vertical="center"/>
    </xf>
    <xf numFmtId="0" fontId="55" fillId="24" borderId="1" xfId="2" applyFont="1" applyFill="1" applyBorder="1" applyAlignment="1">
      <alignment vertical="center"/>
    </xf>
    <xf numFmtId="0" fontId="49" fillId="24" borderId="1" xfId="0" applyFont="1" applyFill="1" applyBorder="1" applyAlignment="1">
      <alignment vertical="center"/>
    </xf>
    <xf numFmtId="0" fontId="49" fillId="24" borderId="1" xfId="0" applyFont="1" applyFill="1" applyBorder="1" applyAlignment="1">
      <alignment vertical="center" wrapText="1"/>
    </xf>
    <xf numFmtId="0" fontId="22" fillId="28" borderId="1" xfId="2" applyFont="1" applyFill="1" applyBorder="1" applyAlignment="1">
      <alignment vertical="center"/>
    </xf>
    <xf numFmtId="0" fontId="49" fillId="28" borderId="1" xfId="0" applyFont="1" applyFill="1" applyBorder="1" applyAlignment="1">
      <alignment vertical="center"/>
    </xf>
    <xf numFmtId="0" fontId="49" fillId="28" borderId="1" xfId="0" applyFont="1" applyFill="1" applyBorder="1" applyAlignment="1">
      <alignment vertical="center" wrapText="1"/>
    </xf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58</v>
      </c>
    </row>
    <row r="2" spans="1:1" x14ac:dyDescent="0.15">
      <c r="A2" t="s">
        <v>59</v>
      </c>
    </row>
    <row r="3" spans="1:1" x14ac:dyDescent="0.15">
      <c r="A3" t="s">
        <v>60</v>
      </c>
    </row>
    <row r="4" spans="1:1" x14ac:dyDescent="0.15">
      <c r="A4" t="s">
        <v>61</v>
      </c>
    </row>
  </sheetData>
  <phoneticPr fontId="1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8"/>
  <sheetViews>
    <sheetView tabSelected="1" workbookViewId="0">
      <selection activeCell="A3" sqref="A3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52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42" t="s">
        <v>79</v>
      </c>
      <c r="B2" s="41" t="s">
        <v>76</v>
      </c>
      <c r="C2" s="36" t="str">
        <f>RIGHT(F2,4)</f>
        <v>7343</v>
      </c>
      <c r="D2" s="17" t="s">
        <v>46</v>
      </c>
      <c r="E2" s="15" t="str">
        <f t="shared" ref="E2:E8" si="0">B2&amp;C2&amp;D2</f>
        <v>gacha_select_tables_7343.tmp</v>
      </c>
      <c r="F2" s="46" t="s">
        <v>81</v>
      </c>
      <c r="G2" s="35" t="s">
        <v>63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2" t="s">
        <v>79</v>
      </c>
      <c r="B3" s="41" t="s">
        <v>76</v>
      </c>
      <c r="C3" s="36" t="str">
        <f>RIGHT(F3,4)</f>
        <v>7345</v>
      </c>
      <c r="D3" s="17" t="s">
        <v>46</v>
      </c>
      <c r="E3" s="15" t="str">
        <f t="shared" ref="E3" si="1">B3&amp;C3&amp;D3</f>
        <v>gacha_select_tables_7345.tmp</v>
      </c>
      <c r="F3" s="46" t="s">
        <v>82</v>
      </c>
      <c r="G3" s="35" t="s">
        <v>63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42" t="s">
        <v>79</v>
      </c>
      <c r="B4" s="43" t="s">
        <v>80</v>
      </c>
      <c r="C4" s="36" t="str">
        <f>RIGHT(F4,4)</f>
        <v>7344</v>
      </c>
      <c r="D4" s="17" t="s">
        <v>46</v>
      </c>
      <c r="E4" s="15" t="str">
        <f>B4&amp;C4&amp;D4</f>
        <v>gacha_settle_tables_7344.tmp</v>
      </c>
      <c r="F4" s="46" t="s">
        <v>83</v>
      </c>
      <c r="G4" s="35" t="s">
        <v>63</v>
      </c>
      <c r="H4" s="20" t="s">
        <v>0</v>
      </c>
      <c r="I4" s="20" t="s">
        <v>3</v>
      </c>
      <c r="J4" s="20" t="s">
        <v>4</v>
      </c>
      <c r="K4" s="20" t="s">
        <v>5</v>
      </c>
      <c r="L4" s="20" t="s">
        <v>6</v>
      </c>
      <c r="M4" s="20" t="s">
        <v>7</v>
      </c>
      <c r="N4" s="20" t="s">
        <v>8</v>
      </c>
      <c r="O4" s="20" t="s">
        <v>9</v>
      </c>
    </row>
    <row r="5" spans="1:21" x14ac:dyDescent="0.15">
      <c r="A5" s="42" t="s">
        <v>79</v>
      </c>
      <c r="B5" s="43" t="s">
        <v>80</v>
      </c>
      <c r="C5" s="36" t="str">
        <f>RIGHT(F5,4)</f>
        <v>7346</v>
      </c>
      <c r="D5" s="17" t="s">
        <v>46</v>
      </c>
      <c r="E5" s="15" t="str">
        <f>B5&amp;C5&amp;D5</f>
        <v>gacha_settle_tables_7346.tmp</v>
      </c>
      <c r="F5" s="46" t="s">
        <v>84</v>
      </c>
      <c r="G5" s="35" t="s">
        <v>63</v>
      </c>
      <c r="H5" s="20" t="s">
        <v>0</v>
      </c>
      <c r="I5" s="20" t="s">
        <v>3</v>
      </c>
      <c r="J5" s="20" t="s">
        <v>4</v>
      </c>
      <c r="K5" s="20" t="s">
        <v>5</v>
      </c>
      <c r="L5" s="20" t="s">
        <v>6</v>
      </c>
      <c r="M5" s="20" t="s">
        <v>7</v>
      </c>
      <c r="N5" s="20" t="s">
        <v>8</v>
      </c>
      <c r="O5" s="20" t="s">
        <v>9</v>
      </c>
    </row>
    <row r="6" spans="1:21" x14ac:dyDescent="0.15">
      <c r="A6" s="42" t="s">
        <v>79</v>
      </c>
      <c r="B6" s="25" t="s">
        <v>51</v>
      </c>
      <c r="C6" s="29">
        <v>7344</v>
      </c>
      <c r="D6" s="17" t="s">
        <v>47</v>
      </c>
      <c r="E6" s="15" t="str">
        <f t="shared" si="0"/>
        <v>gacha_bonus_tables_7344.tmp</v>
      </c>
      <c r="F6" s="17" t="s">
        <v>48</v>
      </c>
      <c r="G6" s="19" t="s">
        <v>11</v>
      </c>
      <c r="H6" s="21" t="s">
        <v>14</v>
      </c>
      <c r="I6" s="19" t="s">
        <v>12</v>
      </c>
      <c r="J6" s="18"/>
      <c r="K6" s="18"/>
      <c r="L6" s="18"/>
      <c r="M6" s="18"/>
      <c r="N6" s="18"/>
      <c r="O6" s="18"/>
    </row>
    <row r="7" spans="1:21" x14ac:dyDescent="0.15">
      <c r="A7" s="42" t="s">
        <v>79</v>
      </c>
      <c r="B7" s="17" t="s">
        <v>49</v>
      </c>
      <c r="C7" s="29">
        <v>7344</v>
      </c>
      <c r="D7" s="17" t="s">
        <v>47</v>
      </c>
      <c r="E7" s="15" t="str">
        <f t="shared" si="0"/>
        <v>gifts_tmp_7344.tmp</v>
      </c>
      <c r="F7" s="17" t="s">
        <v>48</v>
      </c>
      <c r="G7" s="21" t="s">
        <v>22</v>
      </c>
      <c r="H7" s="22" t="s">
        <v>30</v>
      </c>
      <c r="I7" s="21" t="s">
        <v>23</v>
      </c>
      <c r="J7" s="21" t="s">
        <v>24</v>
      </c>
      <c r="K7" s="21" t="s">
        <v>24</v>
      </c>
      <c r="L7" s="21" t="s">
        <v>25</v>
      </c>
      <c r="M7" s="21" t="s">
        <v>25</v>
      </c>
      <c r="N7" s="21" t="s">
        <v>25</v>
      </c>
      <c r="O7" s="37" t="s">
        <v>7</v>
      </c>
      <c r="P7" s="37" t="s">
        <v>9</v>
      </c>
      <c r="Q7" s="37" t="s">
        <v>6</v>
      </c>
      <c r="R7" s="37" t="s">
        <v>64</v>
      </c>
      <c r="S7" s="37" t="s">
        <v>8</v>
      </c>
      <c r="T7" s="37" t="s">
        <v>65</v>
      </c>
      <c r="U7" s="37" t="s">
        <v>5</v>
      </c>
    </row>
    <row r="8" spans="1:21" x14ac:dyDescent="0.15">
      <c r="A8" s="42" t="s">
        <v>79</v>
      </c>
      <c r="B8" s="17" t="s">
        <v>50</v>
      </c>
      <c r="C8" s="29">
        <v>7344</v>
      </c>
      <c r="D8" s="17" t="s">
        <v>47</v>
      </c>
      <c r="E8" s="15" t="str">
        <f t="shared" si="0"/>
        <v>gifts_i18n_7344.tmp</v>
      </c>
      <c r="F8" s="17" t="s">
        <v>48</v>
      </c>
      <c r="G8" s="21" t="s">
        <v>13</v>
      </c>
      <c r="H8" s="23" t="s">
        <v>26</v>
      </c>
      <c r="I8" s="23" t="s">
        <v>27</v>
      </c>
      <c r="J8" s="23" t="s">
        <v>28</v>
      </c>
      <c r="K8" s="23" t="s">
        <v>29</v>
      </c>
      <c r="L8" s="24"/>
      <c r="M8" s="21"/>
      <c r="N8" s="21"/>
      <c r="O8" s="17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Y22"/>
  <sheetViews>
    <sheetView showGridLines="0" zoomScaleNormal="75" zoomScalePageLayoutView="75" workbookViewId="0">
      <pane ySplit="1" topLeftCell="A2" activePane="bottomLeft" state="frozen"/>
      <selection activeCell="A266" sqref="A266:XFD266"/>
      <selection pane="bottomLeft" activeCell="C16" sqref="C1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1" t="s">
        <v>62</v>
      </c>
      <c r="B1" s="13" t="s">
        <v>32</v>
      </c>
      <c r="C1" s="3" t="s">
        <v>31</v>
      </c>
      <c r="D1" s="3" t="s">
        <v>74</v>
      </c>
      <c r="E1" s="3" t="s">
        <v>77</v>
      </c>
      <c r="F1" s="3" t="s">
        <v>78</v>
      </c>
      <c r="G1" s="3" t="s">
        <v>75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54</v>
      </c>
      <c r="O1" s="13" t="s">
        <v>39</v>
      </c>
      <c r="P1" s="3" t="s">
        <v>56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5" ht="21" customHeight="1" x14ac:dyDescent="0.2">
      <c r="A2" s="2">
        <v>7343010</v>
      </c>
      <c r="B2" s="6">
        <v>119</v>
      </c>
      <c r="C2" s="7" t="str">
        <f t="shared" ref="C2:C4" si="0">D2&amp;J2&amp;E2&amp;F2&amp;G2</f>
        <v>Premium5R3less</v>
      </c>
      <c r="D2" s="7" t="str">
        <f t="shared" ref="D2:D4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ゴールドダック</v>
      </c>
      <c r="I2" s="7" t="str">
        <f>VLOOKUP(B2,[1]characters!$A:$J,10,FALSE)</f>
        <v>Material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coin</v>
      </c>
      <c r="M2" s="7" t="str">
        <f>VLOOKUP(B2,[1]characters!$A:$M,13,FALSE)</f>
        <v>unknown</v>
      </c>
      <c r="N2" s="7" t="str">
        <f>VLOOKUP(B2,[1]characters!$A:$G,7,FALSE)</f>
        <v>不明</v>
      </c>
      <c r="O2" s="33">
        <v>50</v>
      </c>
      <c r="P2" s="34">
        <f>O2/SUM(O:O)</f>
        <v>0.05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  <c r="X2" s="44"/>
      <c r="Y2" s="45"/>
    </row>
    <row r="3" spans="1:25" ht="21" customHeight="1" x14ac:dyDescent="0.2">
      <c r="A3" s="2">
        <v>7343010</v>
      </c>
      <c r="B3" s="6">
        <v>120</v>
      </c>
      <c r="C3" s="7" t="str">
        <f t="shared" si="0"/>
        <v>Premium6R3less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ゴールドキング</v>
      </c>
      <c r="I3" s="7" t="str">
        <f>VLOOKUP(B3,[1]characters!$A:$J,10,FALSE)</f>
        <v>Material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coin</v>
      </c>
      <c r="M3" s="7" t="str">
        <f>VLOOKUP(B3,[1]characters!$A:$M,13,FALSE)</f>
        <v>unknown</v>
      </c>
      <c r="N3" s="7" t="str">
        <f>VLOOKUP(B3,[1]characters!$A:$G,7,FALSE)</f>
        <v>不明</v>
      </c>
      <c r="O3" s="33">
        <v>35</v>
      </c>
      <c r="P3" s="34">
        <f t="shared" ref="P3:P22" si="2">O3/SUM(O:O)</f>
        <v>3.5000000000000003E-2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  <c r="X3" s="44"/>
      <c r="Y3" s="45"/>
    </row>
    <row r="4" spans="1:25" ht="21" customHeight="1" x14ac:dyDescent="0.2">
      <c r="A4" s="2">
        <v>7343010</v>
      </c>
      <c r="B4" s="6">
        <v>121</v>
      </c>
      <c r="C4" s="7" t="str">
        <f t="shared" si="0"/>
        <v>Premium3R3less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攻めの果実</v>
      </c>
      <c r="I4" s="7" t="str">
        <f>VLOOKUP(B4,[1]characters!$A:$J,10,FALSE)</f>
        <v>Material</v>
      </c>
      <c r="J4" s="7">
        <f>VLOOKUP(B4,[1]characters!$A:$I,9,FALSE)</f>
        <v>3</v>
      </c>
      <c r="K4" s="7" t="str">
        <f>VLOOKUP(B4,[1]characters!$A:$H,8,FALSE)</f>
        <v>red</v>
      </c>
      <c r="L4" s="7" t="str">
        <f>VLOOKUP(B4,[1]characters!$A:$K,11,FALSE)</f>
        <v>limitbreak</v>
      </c>
      <c r="M4" s="7" t="str">
        <f>VLOOKUP(B4,[1]characters!$A:$M,13,FALSE)</f>
        <v>unknown</v>
      </c>
      <c r="N4" s="7" t="str">
        <f>VLOOKUP(B4,[1]characters!$A:$G,7,FALSE)</f>
        <v>不明</v>
      </c>
      <c r="O4" s="33">
        <v>50</v>
      </c>
      <c r="P4" s="34">
        <f t="shared" si="2"/>
        <v>0.05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  <c r="X4" s="44"/>
      <c r="Y4" s="45"/>
    </row>
    <row r="5" spans="1:25" ht="21" customHeight="1" x14ac:dyDescent="0.2">
      <c r="A5" s="2">
        <v>7343010</v>
      </c>
      <c r="B5" s="6">
        <v>122</v>
      </c>
      <c r="C5" s="7" t="str">
        <f t="shared" ref="C5:C8" si="3">D5&amp;J5&amp;E5&amp;F5&amp;G5</f>
        <v>Premium3R3less</v>
      </c>
      <c r="D5" s="7" t="str">
        <f t="shared" ref="D5:D8" si="4">IF(I5="PremiumSS",I5,IF(I5="PremiumSSS",I5,IF(I5="PremiumW",I5,"Premium")))</f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生命の果実</v>
      </c>
      <c r="I5" s="7" t="str">
        <f>VLOOKUP(B5,[1]characters!$A:$J,10,FALSE)</f>
        <v>Material</v>
      </c>
      <c r="J5" s="7">
        <f>VLOOKUP(B5,[1]characters!$A:$I,9,FALSE)</f>
        <v>3</v>
      </c>
      <c r="K5" s="7" t="str">
        <f>VLOOKUP(B5,[1]characters!$A:$H,8,FALSE)</f>
        <v>green</v>
      </c>
      <c r="L5" s="7" t="str">
        <f>VLOOKUP(B5,[1]characters!$A:$K,11,FALSE)</f>
        <v>limitbreak</v>
      </c>
      <c r="M5" s="7" t="str">
        <f>VLOOKUP(B5,[1]characters!$A:$M,13,FALSE)</f>
        <v>unknown</v>
      </c>
      <c r="N5" s="7" t="str">
        <f>VLOOKUP(B5,[1]characters!$A:$G,7,FALSE)</f>
        <v>不明</v>
      </c>
      <c r="O5" s="33">
        <v>50</v>
      </c>
      <c r="P5" s="34">
        <f t="shared" si="2"/>
        <v>0.05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  <c r="X5" s="44"/>
      <c r="Y5" s="45"/>
    </row>
    <row r="6" spans="1:25" ht="21" customHeight="1" x14ac:dyDescent="0.2">
      <c r="A6" s="2">
        <v>7343010</v>
      </c>
      <c r="B6" s="6">
        <v>123</v>
      </c>
      <c r="C6" s="7" t="str">
        <f t="shared" si="3"/>
        <v>Premium3R3less</v>
      </c>
      <c r="D6" s="7" t="str">
        <f t="shared" si="4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癒しの果実</v>
      </c>
      <c r="I6" s="7" t="str">
        <f>VLOOKUP(B6,[1]characters!$A:$J,10,FALSE)</f>
        <v>Material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limitbreak</v>
      </c>
      <c r="M6" s="7" t="str">
        <f>VLOOKUP(B6,[1]characters!$A:$M,13,FALSE)</f>
        <v>unknown</v>
      </c>
      <c r="N6" s="7" t="str">
        <f>VLOOKUP(B6,[1]characters!$A:$G,7,FALSE)</f>
        <v>不明</v>
      </c>
      <c r="O6" s="33">
        <v>50</v>
      </c>
      <c r="P6" s="34">
        <f t="shared" si="2"/>
        <v>0.05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  <c r="X6" s="44"/>
      <c r="Y6" s="45"/>
    </row>
    <row r="7" spans="1:25" ht="21" customHeight="1" x14ac:dyDescent="0.2">
      <c r="A7" s="2">
        <v>7343010</v>
      </c>
      <c r="B7" s="6">
        <v>125</v>
      </c>
      <c r="C7" s="7" t="str">
        <f t="shared" si="3"/>
        <v>Premium3R3less</v>
      </c>
      <c r="D7" s="7" t="str">
        <f t="shared" si="4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秘術の果実</v>
      </c>
      <c r="I7" s="7" t="str">
        <f>VLOOKUP(B7,[1]characters!$A:$J,10,FALSE)</f>
        <v>Material</v>
      </c>
      <c r="J7" s="7">
        <f>VLOOKUP(B7,[1]characters!$A:$I,9,FALSE)</f>
        <v>3</v>
      </c>
      <c r="K7" s="7" t="str">
        <f>VLOOKUP(B7,[1]characters!$A:$H,8,FALSE)</f>
        <v>blue</v>
      </c>
      <c r="L7" s="7" t="str">
        <f>VLOOKUP(B7,[1]characters!$A:$K,11,FALSE)</f>
        <v>skilllevel</v>
      </c>
      <c r="M7" s="7" t="str">
        <f>VLOOKUP(B7,[1]characters!$A:$M,13,FALSE)</f>
        <v>unknown</v>
      </c>
      <c r="N7" s="7" t="str">
        <f>VLOOKUP(B7,[1]characters!$A:$G,7,FALSE)</f>
        <v>不明</v>
      </c>
      <c r="O7" s="33">
        <v>30</v>
      </c>
      <c r="P7" s="34">
        <f t="shared" si="2"/>
        <v>0.03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  <c r="X7" s="44"/>
      <c r="Y7" s="45"/>
    </row>
    <row r="8" spans="1:25" ht="21" customHeight="1" x14ac:dyDescent="0.2">
      <c r="A8" s="2">
        <v>7343010</v>
      </c>
      <c r="B8" s="6">
        <v>334</v>
      </c>
      <c r="C8" s="7" t="str">
        <f t="shared" si="3"/>
        <v>Premium5R3less</v>
      </c>
      <c r="D8" s="7" t="str">
        <f t="shared" si="4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炎のメタルダック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33">
        <v>80</v>
      </c>
      <c r="P8" s="34">
        <f t="shared" si="2"/>
        <v>0.08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  <c r="X8" s="44"/>
      <c r="Y8" s="45"/>
    </row>
    <row r="9" spans="1:25" ht="21" customHeight="1" x14ac:dyDescent="0.2">
      <c r="A9" s="2">
        <v>7343010</v>
      </c>
      <c r="B9" s="6">
        <v>335</v>
      </c>
      <c r="C9" s="7" t="str">
        <f t="shared" ref="C9:C10" si="5">D9&amp;J9&amp;E9&amp;F9&amp;G9</f>
        <v>Premium6R3less</v>
      </c>
      <c r="D9" s="7" t="str">
        <f t="shared" ref="D9:D10" si="6">IF(I9="PremiumSS",I9,IF(I9="PremiumSSS",I9,IF(I9="PremiumW",I9,"Premium")))</f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炎のメタルジェントル</v>
      </c>
      <c r="I9" s="7" t="str">
        <f>VLOOKUP(B9,[1]characters!$A:$J,10,FALSE)</f>
        <v>Material</v>
      </c>
      <c r="J9" s="7">
        <f>VLOOKUP(B9,[1]characters!$A:$I,9,FALSE)</f>
        <v>6</v>
      </c>
      <c r="K9" s="7" t="str">
        <f>VLOOKUP(B9,[1]characters!$A:$H,8,FALSE)</f>
        <v>red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3">
        <v>100</v>
      </c>
      <c r="P9" s="34">
        <f t="shared" si="2"/>
        <v>0.1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  <c r="X9" s="44"/>
      <c r="Y9" s="45"/>
    </row>
    <row r="10" spans="1:25" ht="21" customHeight="1" x14ac:dyDescent="0.2">
      <c r="A10" s="2">
        <v>7343010</v>
      </c>
      <c r="B10" s="6">
        <v>349</v>
      </c>
      <c r="C10" s="7" t="str">
        <f t="shared" si="5"/>
        <v>Premium6R3less</v>
      </c>
      <c r="D10" s="7" t="str">
        <f t="shared" si="6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炎のメタルフロッグ</v>
      </c>
      <c r="I10" s="7" t="str">
        <f>VLOOKUP(B10,[1]characters!$A:$J,10,FALSE)</f>
        <v>Material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3">
        <v>20</v>
      </c>
      <c r="P10" s="34">
        <f t="shared" si="2"/>
        <v>0.02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  <c r="X10" s="44"/>
      <c r="Y10" s="45"/>
    </row>
    <row r="11" spans="1:25" ht="21" customHeight="1" x14ac:dyDescent="0.2">
      <c r="A11" s="2">
        <v>7343010</v>
      </c>
      <c r="B11" s="6">
        <v>346</v>
      </c>
      <c r="C11" s="7" t="str">
        <f t="shared" ref="C11:C12" si="7">D11&amp;J11&amp;E11&amp;F11&amp;G11</f>
        <v>Premium5R3less</v>
      </c>
      <c r="D11" s="7" t="str">
        <f t="shared" ref="D11:D12" si="8">IF(I11="PremiumSS",I11,IF(I11="PremiumSSS",I11,IF(I11="PremiumW",I11,"Premium")))</f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雷のメタルダック</v>
      </c>
      <c r="I11" s="7" t="str">
        <f>VLOOKUP(B11,[1]characters!$A:$J,10,FALSE)</f>
        <v>Material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3">
        <v>80</v>
      </c>
      <c r="P11" s="34">
        <f t="shared" si="2"/>
        <v>0.08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  <c r="X11" s="44"/>
      <c r="Y11" s="45"/>
    </row>
    <row r="12" spans="1:25" ht="21" customHeight="1" x14ac:dyDescent="0.2">
      <c r="A12" s="2">
        <v>7343010</v>
      </c>
      <c r="B12" s="6">
        <v>347</v>
      </c>
      <c r="C12" s="7" t="str">
        <f t="shared" si="7"/>
        <v>Premium6R3less</v>
      </c>
      <c r="D12" s="7" t="str">
        <f t="shared" si="8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雷のメタルジェントル</v>
      </c>
      <c r="I12" s="7" t="str">
        <f>VLOOKUP(B12,[1]characters!$A:$J,10,FALSE)</f>
        <v>Material</v>
      </c>
      <c r="J12" s="7">
        <f>VLOOKUP(B12,[1]characters!$A:$I,9,FALSE)</f>
        <v>6</v>
      </c>
      <c r="K12" s="7" t="str">
        <f>VLOOKUP(B12,[1]characters!$A:$H,8,FALSE)</f>
        <v>yellow</v>
      </c>
      <c r="L12" s="7" t="str">
        <f>VLOOKUP(B12,[1]characters!$A:$K,11,FALSE)</f>
        <v>exp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3">
        <v>100</v>
      </c>
      <c r="P12" s="34">
        <f t="shared" si="2"/>
        <v>0.1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  <c r="X12" s="44"/>
      <c r="Y12" s="45"/>
    </row>
    <row r="13" spans="1:25" ht="21" customHeight="1" x14ac:dyDescent="0.2">
      <c r="A13" s="2">
        <v>7343010</v>
      </c>
      <c r="B13" s="6">
        <v>355</v>
      </c>
      <c r="C13" s="7" t="str">
        <f t="shared" ref="C13:C14" si="9">D13&amp;J13&amp;E13&amp;F13&amp;G13</f>
        <v>Premium6R3less</v>
      </c>
      <c r="D13" s="7" t="str">
        <f t="shared" ref="D13:D14" si="10">IF(I13="PremiumSS",I13,IF(I13="PremiumSSS",I13,IF(I13="PremiumW",I13,"Premium")))</f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雷のメタルフロッグ</v>
      </c>
      <c r="I13" s="7" t="str">
        <f>VLOOKUP(B13,[1]characters!$A:$J,10,FALSE)</f>
        <v>Material</v>
      </c>
      <c r="J13" s="7">
        <f>VLOOKUP(B13,[1]characters!$A:$I,9,FALSE)</f>
        <v>6</v>
      </c>
      <c r="K13" s="7" t="str">
        <f>VLOOKUP(B13,[1]characters!$A:$H,8,FALSE)</f>
        <v>yellow</v>
      </c>
      <c r="L13" s="7" t="str">
        <f>VLOOKUP(B13,[1]characters!$A:$K,11,FALSE)</f>
        <v>exp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3">
        <v>20</v>
      </c>
      <c r="P13" s="34">
        <f t="shared" si="2"/>
        <v>0.02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  <c r="X13" s="44"/>
      <c r="Y13" s="45"/>
    </row>
    <row r="14" spans="1:25" ht="21" customHeight="1" x14ac:dyDescent="0.2">
      <c r="A14" s="2">
        <v>7343010</v>
      </c>
      <c r="B14" s="6">
        <v>607</v>
      </c>
      <c r="C14" s="7" t="str">
        <f t="shared" si="9"/>
        <v>Premium4R3less</v>
      </c>
      <c r="D14" s="7" t="str">
        <f t="shared" si="10"/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メガ攻めの果実</v>
      </c>
      <c r="I14" s="7" t="str">
        <f>VLOOKUP(B14,[1]characters!$A:$J,10,FALSE)</f>
        <v>Material</v>
      </c>
      <c r="J14" s="7">
        <f>VLOOKUP(B14,[1]characters!$A:$I,9,FALSE)</f>
        <v>4</v>
      </c>
      <c r="K14" s="7" t="str">
        <f>VLOOKUP(B14,[1]characters!$A:$H,8,FALSE)</f>
        <v>red</v>
      </c>
      <c r="L14" s="7" t="str">
        <f>VLOOKUP(B14,[1]characters!$A:$K,11,FALSE)</f>
        <v>limitbreak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3">
        <v>40</v>
      </c>
      <c r="P14" s="34">
        <f t="shared" si="2"/>
        <v>0.04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  <c r="X14" s="44"/>
      <c r="Y14" s="45"/>
    </row>
    <row r="15" spans="1:25" ht="21" customHeight="1" x14ac:dyDescent="0.2">
      <c r="A15" s="2">
        <v>7343010</v>
      </c>
      <c r="B15" s="6">
        <v>608</v>
      </c>
      <c r="C15" s="7" t="str">
        <f t="shared" ref="C15:C21" si="11">D15&amp;J15&amp;E15&amp;F15&amp;G15</f>
        <v>Premium4R3less</v>
      </c>
      <c r="D15" s="7" t="str">
        <f t="shared" ref="D15:D21" si="12">IF(I15="PremiumSS",I15,IF(I15="PremiumSSS",I15,IF(I15="PremiumW",I15,"Premium")))</f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メガ生命の果実</v>
      </c>
      <c r="I15" s="7" t="str">
        <f>VLOOKUP(B15,[1]characters!$A:$J,10,FALSE)</f>
        <v>Material</v>
      </c>
      <c r="J15" s="7">
        <f>VLOOKUP(B15,[1]characters!$A:$I,9,FALSE)</f>
        <v>4</v>
      </c>
      <c r="K15" s="7" t="str">
        <f>VLOOKUP(B15,[1]characters!$A:$H,8,FALSE)</f>
        <v>green</v>
      </c>
      <c r="L15" s="7" t="str">
        <f>VLOOKUP(B15,[1]characters!$A:$K,11,FALSE)</f>
        <v>limitbreak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3">
        <v>40</v>
      </c>
      <c r="P15" s="34">
        <f t="shared" si="2"/>
        <v>0.04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  <c r="X15" s="44"/>
      <c r="Y15" s="45"/>
    </row>
    <row r="16" spans="1:25" ht="21" customHeight="1" x14ac:dyDescent="0.2">
      <c r="A16" s="2">
        <v>7343010</v>
      </c>
      <c r="B16" s="6">
        <v>609</v>
      </c>
      <c r="C16" s="7" t="str">
        <f t="shared" si="11"/>
        <v>Premium4R3less</v>
      </c>
      <c r="D16" s="7" t="str">
        <f t="shared" si="12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メガ癒しの果実</v>
      </c>
      <c r="I16" s="7" t="str">
        <f>VLOOKUP(B16,[1]characters!$A:$J,10,FALSE)</f>
        <v>Material</v>
      </c>
      <c r="J16" s="7">
        <f>VLOOKUP(B16,[1]characters!$A:$I,9,FALSE)</f>
        <v>4</v>
      </c>
      <c r="K16" s="7" t="str">
        <f>VLOOKUP(B16,[1]characters!$A:$H,8,FALSE)</f>
        <v>blue</v>
      </c>
      <c r="L16" s="7" t="str">
        <f>VLOOKUP(B16,[1]characters!$A:$K,11,FALSE)</f>
        <v>limitbreak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3">
        <v>40</v>
      </c>
      <c r="P16" s="34">
        <f t="shared" si="2"/>
        <v>0.04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  <c r="X16" s="44"/>
      <c r="Y16" s="45"/>
    </row>
    <row r="17" spans="1:25" ht="21" customHeight="1" x14ac:dyDescent="0.2">
      <c r="A17" s="2">
        <v>7343010</v>
      </c>
      <c r="B17" s="6">
        <v>610</v>
      </c>
      <c r="C17" s="7" t="str">
        <f t="shared" si="11"/>
        <v>Premium4R3less</v>
      </c>
      <c r="D17" s="7" t="str">
        <f t="shared" si="12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メガ秘術の果実</v>
      </c>
      <c r="I17" s="7" t="str">
        <f>VLOOKUP(B17,[1]characters!$A:$J,10,FALSE)</f>
        <v>Material</v>
      </c>
      <c r="J17" s="7">
        <f>VLOOKUP(B17,[1]characters!$A:$I,9,FALSE)</f>
        <v>4</v>
      </c>
      <c r="K17" s="7" t="str">
        <f>VLOOKUP(B17,[1]characters!$A:$H,8,FALSE)</f>
        <v>blue</v>
      </c>
      <c r="L17" s="7" t="str">
        <f>VLOOKUP(B17,[1]characters!$A:$K,11,FALSE)</f>
        <v>skilllevel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3">
        <v>20</v>
      </c>
      <c r="P17" s="34">
        <f t="shared" si="2"/>
        <v>0.02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  <c r="X17" s="44"/>
      <c r="Y17" s="45"/>
    </row>
    <row r="18" spans="1:25" ht="21" customHeight="1" x14ac:dyDescent="0.2">
      <c r="A18" s="2">
        <v>7343010</v>
      </c>
      <c r="B18" s="6">
        <v>611</v>
      </c>
      <c r="C18" s="7" t="str">
        <f t="shared" si="11"/>
        <v>Premium5R3less</v>
      </c>
      <c r="D18" s="7" t="str">
        <f t="shared" si="12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ギガ攻めの果実</v>
      </c>
      <c r="I18" s="7" t="str">
        <f>VLOOKUP(B18,[1]characters!$A:$J,10,FALSE)</f>
        <v>Material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limitbreak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33">
        <v>25</v>
      </c>
      <c r="P18" s="34">
        <f t="shared" si="2"/>
        <v>2.5000000000000001E-2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  <c r="X18" s="44"/>
      <c r="Y18" s="45"/>
    </row>
    <row r="19" spans="1:25" ht="21" customHeight="1" x14ac:dyDescent="0.2">
      <c r="A19" s="2">
        <v>7343010</v>
      </c>
      <c r="B19" s="6">
        <v>612</v>
      </c>
      <c r="C19" s="7" t="str">
        <f t="shared" si="11"/>
        <v>Premium5R3less</v>
      </c>
      <c r="D19" s="7" t="str">
        <f t="shared" si="12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ギガ生命の果実</v>
      </c>
      <c r="I19" s="7" t="str">
        <f>VLOOKUP(B19,[1]characters!$A:$J,10,FALSE)</f>
        <v>Material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limitbreak</v>
      </c>
      <c r="M19" s="7" t="str">
        <f>VLOOKUP(B19,[1]characters!$A:$M,13,FALSE)</f>
        <v>unknown</v>
      </c>
      <c r="N19" s="7" t="str">
        <f>VLOOKUP(B19,[1]characters!$A:$G,7,FALSE)</f>
        <v>不明</v>
      </c>
      <c r="O19" s="33">
        <v>25</v>
      </c>
      <c r="P19" s="34">
        <f t="shared" si="2"/>
        <v>2.5000000000000001E-2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  <c r="X19" s="44"/>
      <c r="Y19" s="45"/>
    </row>
    <row r="20" spans="1:25" ht="21" customHeight="1" x14ac:dyDescent="0.2">
      <c r="A20" s="2">
        <v>7343010</v>
      </c>
      <c r="B20" s="6">
        <v>613</v>
      </c>
      <c r="C20" s="7" t="str">
        <f t="shared" si="11"/>
        <v>Premium5R3less</v>
      </c>
      <c r="D20" s="7" t="str">
        <f t="shared" si="12"/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ギガ癒しの果実</v>
      </c>
      <c r="I20" s="7" t="str">
        <f>VLOOKUP(B20,[1]characters!$A:$J,10,FALSE)</f>
        <v>Material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limitbreak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33">
        <v>25</v>
      </c>
      <c r="P20" s="34">
        <f t="shared" si="2"/>
        <v>2.5000000000000001E-2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  <c r="X20" s="44"/>
      <c r="Y20" s="45"/>
    </row>
    <row r="21" spans="1:25" ht="21" customHeight="1" x14ac:dyDescent="0.2">
      <c r="A21" s="2">
        <v>7343010</v>
      </c>
      <c r="B21" s="6">
        <v>837</v>
      </c>
      <c r="C21" s="7" t="str">
        <f t="shared" si="11"/>
        <v>Premium6R3less</v>
      </c>
      <c r="D21" s="7" t="str">
        <f t="shared" si="12"/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リトルハンプティ</v>
      </c>
      <c r="I21" s="7" t="str">
        <f>VLOOKUP(B21,[1]characters!$A:$J,10,FALSE)</f>
        <v>Material</v>
      </c>
      <c r="J21" s="7">
        <f>VLOOKUP(B21,[1]characters!$A:$I,9,FALSE)</f>
        <v>6</v>
      </c>
      <c r="K21" s="7" t="str">
        <f>VLOOKUP(B21,[1]characters!$A:$H,8,FALSE)</f>
        <v>yellow</v>
      </c>
      <c r="L21" s="7" t="str">
        <f>VLOOKUP(B21,[1]characters!$A:$K,11,FALSE)</f>
        <v>evolution</v>
      </c>
      <c r="M21" s="7" t="str">
        <f>VLOOKUP(B21,[1]characters!$A:$M,13,FALSE)</f>
        <v>unknown</v>
      </c>
      <c r="N21" s="7" t="str">
        <f>VLOOKUP(B21,[1]characters!$A:$G,7,FALSE)</f>
        <v>男性</v>
      </c>
      <c r="O21" s="33">
        <v>20</v>
      </c>
      <c r="P21" s="34">
        <f t="shared" si="2"/>
        <v>0.02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  <c r="X21" s="44"/>
      <c r="Y21" s="45"/>
    </row>
    <row r="22" spans="1:25" ht="21" customHeight="1" x14ac:dyDescent="0.2">
      <c r="A22" s="2">
        <v>7343010</v>
      </c>
      <c r="B22" s="6">
        <v>1697</v>
      </c>
      <c r="C22" s="7" t="str">
        <f t="shared" ref="C22" si="13">D22&amp;J22&amp;E22&amp;F22&amp;G22</f>
        <v>Premium6R3less</v>
      </c>
      <c r="D22" s="7" t="str">
        <f t="shared" ref="D22" si="14">IF(I22="PremiumSS",I22,IF(I22="PremiumSSS",I22,IF(I22="PremiumW",I22,"Premium")))</f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駆動する機会 ガーネット</v>
      </c>
      <c r="I22" s="7" t="str">
        <f>VLOOKUP(B22,[1]characters!$A:$J,10,FALSE)</f>
        <v>DropWizS</v>
      </c>
      <c r="J22" s="7">
        <f>VLOOKUP(B22,[1]characters!$A:$I,9,FALSE)</f>
        <v>6</v>
      </c>
      <c r="K22" s="7" t="str">
        <f>VLOOKUP(B22,[1]characters!$A:$H,8,FALSE)</f>
        <v>red</v>
      </c>
      <c r="L22" s="7" t="str">
        <f>VLOOKUP(B22,[1]characters!$A:$K,11,FALSE)</f>
        <v>hp</v>
      </c>
      <c r="M22" s="7" t="str">
        <f>VLOOKUP(B22,[1]characters!$A:$M,13,FALSE)</f>
        <v>human</v>
      </c>
      <c r="N22" s="7">
        <f>VLOOKUP(B22,[1]characters!$A:$G,7,FALSE)</f>
        <v>0</v>
      </c>
      <c r="O22" s="33">
        <v>100</v>
      </c>
      <c r="P22" s="34">
        <f t="shared" si="2"/>
        <v>0.1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  <c r="X22" s="44"/>
      <c r="Y22" s="45"/>
    </row>
  </sheetData>
  <autoFilter ref="A1:V4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Y22"/>
  <sheetViews>
    <sheetView showGridLines="0" zoomScaleNormal="75" zoomScalePageLayoutView="75" workbookViewId="0">
      <pane ySplit="1" topLeftCell="A2" activePane="bottomLeft" state="frozen"/>
      <selection activeCell="A266" sqref="A266:XFD266"/>
      <selection pane="bottomLeft" activeCell="H8" sqref="H8:H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1" t="s">
        <v>62</v>
      </c>
      <c r="B1" s="13" t="s">
        <v>1</v>
      </c>
      <c r="C1" s="3" t="s">
        <v>31</v>
      </c>
      <c r="D1" s="3" t="s">
        <v>74</v>
      </c>
      <c r="E1" s="3" t="s">
        <v>77</v>
      </c>
      <c r="F1" s="3" t="s">
        <v>78</v>
      </c>
      <c r="G1" s="3" t="s">
        <v>75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54</v>
      </c>
      <c r="O1" s="13" t="s">
        <v>2</v>
      </c>
      <c r="P1" s="3" t="s">
        <v>56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5" ht="21" customHeight="1" x14ac:dyDescent="0.2">
      <c r="A2" s="2">
        <v>7345010</v>
      </c>
      <c r="B2" s="6">
        <v>119</v>
      </c>
      <c r="C2" s="7" t="str">
        <f t="shared" ref="C2:C22" si="0">D2&amp;J2&amp;E2&amp;F2&amp;G2</f>
        <v>Premium5R3less</v>
      </c>
      <c r="D2" s="7" t="str">
        <f t="shared" ref="D2:D22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ゴールドダック</v>
      </c>
      <c r="I2" s="7" t="str">
        <f>VLOOKUP(B2,[1]characters!$A:$J,10,FALSE)</f>
        <v>Material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coin</v>
      </c>
      <c r="M2" s="7" t="str">
        <f>VLOOKUP(B2,[1]characters!$A:$M,13,FALSE)</f>
        <v>unknown</v>
      </c>
      <c r="N2" s="7" t="str">
        <f>VLOOKUP(B2,[1]characters!$A:$G,7,FALSE)</f>
        <v>不明</v>
      </c>
      <c r="O2" s="33">
        <v>50</v>
      </c>
      <c r="P2" s="34">
        <f>O2/SUM(O:O)</f>
        <v>0.05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  <c r="X2" s="44"/>
      <c r="Y2" s="45"/>
    </row>
    <row r="3" spans="1:25" ht="21" customHeight="1" x14ac:dyDescent="0.2">
      <c r="A3" s="2">
        <v>7345010</v>
      </c>
      <c r="B3" s="6">
        <v>120</v>
      </c>
      <c r="C3" s="7" t="str">
        <f t="shared" si="0"/>
        <v>Premium6R3less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ゴールドキング</v>
      </c>
      <c r="I3" s="7" t="str">
        <f>VLOOKUP(B3,[1]characters!$A:$J,10,FALSE)</f>
        <v>Material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coin</v>
      </c>
      <c r="M3" s="7" t="str">
        <f>VLOOKUP(B3,[1]characters!$A:$M,13,FALSE)</f>
        <v>unknown</v>
      </c>
      <c r="N3" s="7" t="str">
        <f>VLOOKUP(B3,[1]characters!$A:$G,7,FALSE)</f>
        <v>不明</v>
      </c>
      <c r="O3" s="33">
        <v>35</v>
      </c>
      <c r="P3" s="34">
        <f t="shared" ref="P3:P22" si="2">O3/SUM(O:O)</f>
        <v>3.5000000000000003E-2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  <c r="X3" s="44"/>
      <c r="Y3" s="45"/>
    </row>
    <row r="4" spans="1:25" ht="21" customHeight="1" x14ac:dyDescent="0.2">
      <c r="A4" s="2">
        <v>7345010</v>
      </c>
      <c r="B4" s="6">
        <v>121</v>
      </c>
      <c r="C4" s="7" t="str">
        <f t="shared" si="0"/>
        <v>Premium3R3less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攻めの果実</v>
      </c>
      <c r="I4" s="7" t="str">
        <f>VLOOKUP(B4,[1]characters!$A:$J,10,FALSE)</f>
        <v>Material</v>
      </c>
      <c r="J4" s="7">
        <f>VLOOKUP(B4,[1]characters!$A:$I,9,FALSE)</f>
        <v>3</v>
      </c>
      <c r="K4" s="7" t="str">
        <f>VLOOKUP(B4,[1]characters!$A:$H,8,FALSE)</f>
        <v>red</v>
      </c>
      <c r="L4" s="7" t="str">
        <f>VLOOKUP(B4,[1]characters!$A:$K,11,FALSE)</f>
        <v>limitbreak</v>
      </c>
      <c r="M4" s="7" t="str">
        <f>VLOOKUP(B4,[1]characters!$A:$M,13,FALSE)</f>
        <v>unknown</v>
      </c>
      <c r="N4" s="7" t="str">
        <f>VLOOKUP(B4,[1]characters!$A:$G,7,FALSE)</f>
        <v>不明</v>
      </c>
      <c r="O4" s="33">
        <v>50</v>
      </c>
      <c r="P4" s="34">
        <f t="shared" si="2"/>
        <v>0.05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  <c r="X4" s="44"/>
      <c r="Y4" s="45"/>
    </row>
    <row r="5" spans="1:25" ht="21" customHeight="1" x14ac:dyDescent="0.2">
      <c r="A5" s="2">
        <v>7345010</v>
      </c>
      <c r="B5" s="6">
        <v>122</v>
      </c>
      <c r="C5" s="7" t="str">
        <f t="shared" si="0"/>
        <v>Premium3R3less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生命の果実</v>
      </c>
      <c r="I5" s="7" t="str">
        <f>VLOOKUP(B5,[1]characters!$A:$J,10,FALSE)</f>
        <v>Material</v>
      </c>
      <c r="J5" s="7">
        <f>VLOOKUP(B5,[1]characters!$A:$I,9,FALSE)</f>
        <v>3</v>
      </c>
      <c r="K5" s="7" t="str">
        <f>VLOOKUP(B5,[1]characters!$A:$H,8,FALSE)</f>
        <v>green</v>
      </c>
      <c r="L5" s="7" t="str">
        <f>VLOOKUP(B5,[1]characters!$A:$K,11,FALSE)</f>
        <v>limitbreak</v>
      </c>
      <c r="M5" s="7" t="str">
        <f>VLOOKUP(B5,[1]characters!$A:$M,13,FALSE)</f>
        <v>unknown</v>
      </c>
      <c r="N5" s="7" t="str">
        <f>VLOOKUP(B5,[1]characters!$A:$G,7,FALSE)</f>
        <v>不明</v>
      </c>
      <c r="O5" s="33">
        <v>50</v>
      </c>
      <c r="P5" s="34">
        <f t="shared" si="2"/>
        <v>0.05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  <c r="X5" s="44"/>
      <c r="Y5" s="45"/>
    </row>
    <row r="6" spans="1:25" ht="21" customHeight="1" x14ac:dyDescent="0.2">
      <c r="A6" s="2">
        <v>7345010</v>
      </c>
      <c r="B6" s="6">
        <v>123</v>
      </c>
      <c r="C6" s="7" t="str">
        <f t="shared" si="0"/>
        <v>Premium3R3less</v>
      </c>
      <c r="D6" s="7" t="str">
        <f t="shared" si="1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癒しの果実</v>
      </c>
      <c r="I6" s="7" t="str">
        <f>VLOOKUP(B6,[1]characters!$A:$J,10,FALSE)</f>
        <v>Material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limitbreak</v>
      </c>
      <c r="M6" s="7" t="str">
        <f>VLOOKUP(B6,[1]characters!$A:$M,13,FALSE)</f>
        <v>unknown</v>
      </c>
      <c r="N6" s="7" t="str">
        <f>VLOOKUP(B6,[1]characters!$A:$G,7,FALSE)</f>
        <v>不明</v>
      </c>
      <c r="O6" s="33">
        <v>50</v>
      </c>
      <c r="P6" s="34">
        <f t="shared" si="2"/>
        <v>0.05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  <c r="X6" s="44"/>
      <c r="Y6" s="45"/>
    </row>
    <row r="7" spans="1:25" ht="21" customHeight="1" x14ac:dyDescent="0.2">
      <c r="A7" s="2">
        <v>7345010</v>
      </c>
      <c r="B7" s="6">
        <v>125</v>
      </c>
      <c r="C7" s="7" t="str">
        <f t="shared" si="0"/>
        <v>Premium3R3less</v>
      </c>
      <c r="D7" s="7" t="str">
        <f t="shared" si="1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秘術の果実</v>
      </c>
      <c r="I7" s="7" t="str">
        <f>VLOOKUP(B7,[1]characters!$A:$J,10,FALSE)</f>
        <v>Material</v>
      </c>
      <c r="J7" s="7">
        <f>VLOOKUP(B7,[1]characters!$A:$I,9,FALSE)</f>
        <v>3</v>
      </c>
      <c r="K7" s="7" t="str">
        <f>VLOOKUP(B7,[1]characters!$A:$H,8,FALSE)</f>
        <v>blue</v>
      </c>
      <c r="L7" s="7" t="str">
        <f>VLOOKUP(B7,[1]characters!$A:$K,11,FALSE)</f>
        <v>skilllevel</v>
      </c>
      <c r="M7" s="7" t="str">
        <f>VLOOKUP(B7,[1]characters!$A:$M,13,FALSE)</f>
        <v>unknown</v>
      </c>
      <c r="N7" s="7" t="str">
        <f>VLOOKUP(B7,[1]characters!$A:$G,7,FALSE)</f>
        <v>不明</v>
      </c>
      <c r="O7" s="33">
        <v>30</v>
      </c>
      <c r="P7" s="34">
        <f t="shared" si="2"/>
        <v>0.03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  <c r="X7" s="44"/>
      <c r="Y7" s="45"/>
    </row>
    <row r="8" spans="1:25" ht="21" customHeight="1" x14ac:dyDescent="0.2">
      <c r="A8" s="2">
        <v>7345010</v>
      </c>
      <c r="B8" s="6">
        <v>338</v>
      </c>
      <c r="C8" s="7" t="str">
        <f t="shared" si="0"/>
        <v>Premium5R3less</v>
      </c>
      <c r="D8" s="7" t="str">
        <f t="shared" si="1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森のメタルダック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33">
        <v>80</v>
      </c>
      <c r="P8" s="34">
        <f t="shared" si="2"/>
        <v>0.08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  <c r="X8" s="44"/>
      <c r="Y8" s="45"/>
    </row>
    <row r="9" spans="1:25" ht="21" customHeight="1" x14ac:dyDescent="0.2">
      <c r="A9" s="2">
        <v>7345010</v>
      </c>
      <c r="B9" s="6">
        <v>339</v>
      </c>
      <c r="C9" s="7" t="str">
        <f t="shared" si="0"/>
        <v>Premium6R3less</v>
      </c>
      <c r="D9" s="7" t="str">
        <f t="shared" si="1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森のメタルジェントル</v>
      </c>
      <c r="I9" s="7" t="str">
        <f>VLOOKUP(B9,[1]characters!$A:$J,10,FALSE)</f>
        <v>Material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3">
        <v>100</v>
      </c>
      <c r="P9" s="34">
        <f t="shared" si="2"/>
        <v>0.1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  <c r="X9" s="44"/>
      <c r="Y9" s="45"/>
    </row>
    <row r="10" spans="1:25" ht="21" customHeight="1" x14ac:dyDescent="0.2">
      <c r="A10" s="2">
        <v>7345010</v>
      </c>
      <c r="B10" s="6">
        <v>351</v>
      </c>
      <c r="C10" s="7" t="str">
        <f t="shared" si="0"/>
        <v>Premium6R3less</v>
      </c>
      <c r="D10" s="7" t="str">
        <f t="shared" si="1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森のメタルフロッグ</v>
      </c>
      <c r="I10" s="7" t="str">
        <f>VLOOKUP(B10,[1]characters!$A:$J,10,FALSE)</f>
        <v>Material</v>
      </c>
      <c r="J10" s="7">
        <f>VLOOKUP(B10,[1]characters!$A:$I,9,FALSE)</f>
        <v>6</v>
      </c>
      <c r="K10" s="7" t="str">
        <f>VLOOKUP(B10,[1]characters!$A:$H,8,FALSE)</f>
        <v>green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3">
        <v>20</v>
      </c>
      <c r="P10" s="34">
        <f t="shared" si="2"/>
        <v>0.02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  <c r="X10" s="44"/>
      <c r="Y10" s="45"/>
    </row>
    <row r="11" spans="1:25" ht="21" customHeight="1" x14ac:dyDescent="0.2">
      <c r="A11" s="2">
        <v>7345010</v>
      </c>
      <c r="B11" s="6">
        <v>342</v>
      </c>
      <c r="C11" s="7" t="str">
        <f t="shared" si="0"/>
        <v>Premium5R3less</v>
      </c>
      <c r="D11" s="7" t="str">
        <f t="shared" si="1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水のメタルダック</v>
      </c>
      <c r="I11" s="7" t="str">
        <f>VLOOKUP(B11,[1]characters!$A:$J,10,FALSE)</f>
        <v>Material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3">
        <v>80</v>
      </c>
      <c r="P11" s="34">
        <f t="shared" si="2"/>
        <v>0.08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  <c r="X11" s="44"/>
      <c r="Y11" s="45"/>
    </row>
    <row r="12" spans="1:25" ht="21" customHeight="1" x14ac:dyDescent="0.2">
      <c r="A12" s="2">
        <v>7345010</v>
      </c>
      <c r="B12" s="6">
        <v>343</v>
      </c>
      <c r="C12" s="7" t="str">
        <f t="shared" si="0"/>
        <v>Premium6R3less</v>
      </c>
      <c r="D12" s="7" t="str">
        <f t="shared" si="1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水のメタルジェントル</v>
      </c>
      <c r="I12" s="7" t="str">
        <f>VLOOKUP(B12,[1]characters!$A:$J,10,FALSE)</f>
        <v>Material</v>
      </c>
      <c r="J12" s="7">
        <f>VLOOKUP(B12,[1]characters!$A:$I,9,FALSE)</f>
        <v>6</v>
      </c>
      <c r="K12" s="7" t="str">
        <f>VLOOKUP(B12,[1]characters!$A:$H,8,FALSE)</f>
        <v>blue</v>
      </c>
      <c r="L12" s="7" t="str">
        <f>VLOOKUP(B12,[1]characters!$A:$K,11,FALSE)</f>
        <v>exp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3">
        <v>100</v>
      </c>
      <c r="P12" s="34">
        <f t="shared" si="2"/>
        <v>0.1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  <c r="X12" s="44"/>
      <c r="Y12" s="45"/>
    </row>
    <row r="13" spans="1:25" ht="21" customHeight="1" x14ac:dyDescent="0.2">
      <c r="A13" s="2">
        <v>7345010</v>
      </c>
      <c r="B13" s="6">
        <v>353</v>
      </c>
      <c r="C13" s="7" t="str">
        <f t="shared" si="0"/>
        <v>Premium6R3less</v>
      </c>
      <c r="D13" s="7" t="str">
        <f t="shared" si="1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水のメタルフロッグ</v>
      </c>
      <c r="I13" s="7" t="str">
        <f>VLOOKUP(B13,[1]characters!$A:$J,10,FALSE)</f>
        <v>Material</v>
      </c>
      <c r="J13" s="7">
        <f>VLOOKUP(B13,[1]characters!$A:$I,9,FALSE)</f>
        <v>6</v>
      </c>
      <c r="K13" s="7" t="str">
        <f>VLOOKUP(B13,[1]characters!$A:$H,8,FALSE)</f>
        <v>blue</v>
      </c>
      <c r="L13" s="7" t="str">
        <f>VLOOKUP(B13,[1]characters!$A:$K,11,FALSE)</f>
        <v>exp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3">
        <v>20</v>
      </c>
      <c r="P13" s="34">
        <f t="shared" si="2"/>
        <v>0.02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  <c r="X13" s="44"/>
      <c r="Y13" s="45"/>
    </row>
    <row r="14" spans="1:25" ht="21" customHeight="1" x14ac:dyDescent="0.2">
      <c r="A14" s="2">
        <v>7345010</v>
      </c>
      <c r="B14" s="6">
        <v>607</v>
      </c>
      <c r="C14" s="7" t="str">
        <f t="shared" si="0"/>
        <v>Premium4R3less</v>
      </c>
      <c r="D14" s="7" t="str">
        <f t="shared" si="1"/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メガ攻めの果実</v>
      </c>
      <c r="I14" s="7" t="str">
        <f>VLOOKUP(B14,[1]characters!$A:$J,10,FALSE)</f>
        <v>Material</v>
      </c>
      <c r="J14" s="7">
        <f>VLOOKUP(B14,[1]characters!$A:$I,9,FALSE)</f>
        <v>4</v>
      </c>
      <c r="K14" s="7" t="str">
        <f>VLOOKUP(B14,[1]characters!$A:$H,8,FALSE)</f>
        <v>red</v>
      </c>
      <c r="L14" s="7" t="str">
        <f>VLOOKUP(B14,[1]characters!$A:$K,11,FALSE)</f>
        <v>limitbreak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3">
        <v>40</v>
      </c>
      <c r="P14" s="34">
        <f t="shared" si="2"/>
        <v>0.04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  <c r="X14" s="44"/>
      <c r="Y14" s="45"/>
    </row>
    <row r="15" spans="1:25" ht="21" customHeight="1" x14ac:dyDescent="0.2">
      <c r="A15" s="2">
        <v>7345010</v>
      </c>
      <c r="B15" s="6">
        <v>608</v>
      </c>
      <c r="C15" s="7" t="str">
        <f t="shared" si="0"/>
        <v>Premium4R3less</v>
      </c>
      <c r="D15" s="7" t="str">
        <f t="shared" si="1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メガ生命の果実</v>
      </c>
      <c r="I15" s="7" t="str">
        <f>VLOOKUP(B15,[1]characters!$A:$J,10,FALSE)</f>
        <v>Material</v>
      </c>
      <c r="J15" s="7">
        <f>VLOOKUP(B15,[1]characters!$A:$I,9,FALSE)</f>
        <v>4</v>
      </c>
      <c r="K15" s="7" t="str">
        <f>VLOOKUP(B15,[1]characters!$A:$H,8,FALSE)</f>
        <v>green</v>
      </c>
      <c r="L15" s="7" t="str">
        <f>VLOOKUP(B15,[1]characters!$A:$K,11,FALSE)</f>
        <v>limitbreak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3">
        <v>40</v>
      </c>
      <c r="P15" s="34">
        <f t="shared" si="2"/>
        <v>0.04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  <c r="X15" s="44"/>
      <c r="Y15" s="45"/>
    </row>
    <row r="16" spans="1:25" ht="21" customHeight="1" x14ac:dyDescent="0.2">
      <c r="A16" s="2">
        <v>7345010</v>
      </c>
      <c r="B16" s="6">
        <v>609</v>
      </c>
      <c r="C16" s="7" t="str">
        <f t="shared" si="0"/>
        <v>Premium4R3less</v>
      </c>
      <c r="D16" s="7" t="str">
        <f t="shared" si="1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メガ癒しの果実</v>
      </c>
      <c r="I16" s="7" t="str">
        <f>VLOOKUP(B16,[1]characters!$A:$J,10,FALSE)</f>
        <v>Material</v>
      </c>
      <c r="J16" s="7">
        <f>VLOOKUP(B16,[1]characters!$A:$I,9,FALSE)</f>
        <v>4</v>
      </c>
      <c r="K16" s="7" t="str">
        <f>VLOOKUP(B16,[1]characters!$A:$H,8,FALSE)</f>
        <v>blue</v>
      </c>
      <c r="L16" s="7" t="str">
        <f>VLOOKUP(B16,[1]characters!$A:$K,11,FALSE)</f>
        <v>limitbreak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3">
        <v>40</v>
      </c>
      <c r="P16" s="34">
        <f t="shared" si="2"/>
        <v>0.04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  <c r="X16" s="44"/>
      <c r="Y16" s="45"/>
    </row>
    <row r="17" spans="1:25" ht="21" customHeight="1" x14ac:dyDescent="0.2">
      <c r="A17" s="2">
        <v>7345010</v>
      </c>
      <c r="B17" s="6">
        <v>610</v>
      </c>
      <c r="C17" s="7" t="str">
        <f t="shared" si="0"/>
        <v>Premium4R3less</v>
      </c>
      <c r="D17" s="7" t="str">
        <f t="shared" si="1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メガ秘術の果実</v>
      </c>
      <c r="I17" s="7" t="str">
        <f>VLOOKUP(B17,[1]characters!$A:$J,10,FALSE)</f>
        <v>Material</v>
      </c>
      <c r="J17" s="7">
        <f>VLOOKUP(B17,[1]characters!$A:$I,9,FALSE)</f>
        <v>4</v>
      </c>
      <c r="K17" s="7" t="str">
        <f>VLOOKUP(B17,[1]characters!$A:$H,8,FALSE)</f>
        <v>blue</v>
      </c>
      <c r="L17" s="7" t="str">
        <f>VLOOKUP(B17,[1]characters!$A:$K,11,FALSE)</f>
        <v>skilllevel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3">
        <v>20</v>
      </c>
      <c r="P17" s="34">
        <f t="shared" si="2"/>
        <v>0.02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  <c r="X17" s="44"/>
      <c r="Y17" s="45"/>
    </row>
    <row r="18" spans="1:25" ht="21" customHeight="1" x14ac:dyDescent="0.2">
      <c r="A18" s="2">
        <v>7345010</v>
      </c>
      <c r="B18" s="6">
        <v>611</v>
      </c>
      <c r="C18" s="7" t="str">
        <f t="shared" si="0"/>
        <v>Premium5R3less</v>
      </c>
      <c r="D18" s="7" t="str">
        <f t="shared" si="1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ギガ攻めの果実</v>
      </c>
      <c r="I18" s="7" t="str">
        <f>VLOOKUP(B18,[1]characters!$A:$J,10,FALSE)</f>
        <v>Material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limitbreak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33">
        <v>25</v>
      </c>
      <c r="P18" s="34">
        <f t="shared" si="2"/>
        <v>2.5000000000000001E-2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  <c r="X18" s="44"/>
      <c r="Y18" s="45"/>
    </row>
    <row r="19" spans="1:25" ht="21" customHeight="1" x14ac:dyDescent="0.2">
      <c r="A19" s="2">
        <v>7345010</v>
      </c>
      <c r="B19" s="6">
        <v>612</v>
      </c>
      <c r="C19" s="7" t="str">
        <f t="shared" si="0"/>
        <v>Premium5R3less</v>
      </c>
      <c r="D19" s="7" t="str">
        <f t="shared" si="1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ギガ生命の果実</v>
      </c>
      <c r="I19" s="7" t="str">
        <f>VLOOKUP(B19,[1]characters!$A:$J,10,FALSE)</f>
        <v>Material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limitbreak</v>
      </c>
      <c r="M19" s="7" t="str">
        <f>VLOOKUP(B19,[1]characters!$A:$M,13,FALSE)</f>
        <v>unknown</v>
      </c>
      <c r="N19" s="7" t="str">
        <f>VLOOKUP(B19,[1]characters!$A:$G,7,FALSE)</f>
        <v>不明</v>
      </c>
      <c r="O19" s="33">
        <v>25</v>
      </c>
      <c r="P19" s="34">
        <f t="shared" si="2"/>
        <v>2.5000000000000001E-2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  <c r="X19" s="44"/>
      <c r="Y19" s="45"/>
    </row>
    <row r="20" spans="1:25" ht="21" customHeight="1" x14ac:dyDescent="0.2">
      <c r="A20" s="2">
        <v>7345010</v>
      </c>
      <c r="B20" s="6">
        <v>613</v>
      </c>
      <c r="C20" s="7" t="str">
        <f t="shared" si="0"/>
        <v>Premium5R3less</v>
      </c>
      <c r="D20" s="7" t="str">
        <f t="shared" si="1"/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ギガ癒しの果実</v>
      </c>
      <c r="I20" s="7" t="str">
        <f>VLOOKUP(B20,[1]characters!$A:$J,10,FALSE)</f>
        <v>Material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limitbreak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33">
        <v>25</v>
      </c>
      <c r="P20" s="34">
        <f t="shared" si="2"/>
        <v>2.5000000000000001E-2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  <c r="X20" s="44"/>
      <c r="Y20" s="45"/>
    </row>
    <row r="21" spans="1:25" ht="21" customHeight="1" x14ac:dyDescent="0.2">
      <c r="A21" s="2">
        <v>7345010</v>
      </c>
      <c r="B21" s="6">
        <v>837</v>
      </c>
      <c r="C21" s="7" t="str">
        <f t="shared" si="0"/>
        <v>Premium6R3less</v>
      </c>
      <c r="D21" s="7" t="str">
        <f t="shared" si="1"/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リトルハンプティ</v>
      </c>
      <c r="I21" s="7" t="str">
        <f>VLOOKUP(B21,[1]characters!$A:$J,10,FALSE)</f>
        <v>Material</v>
      </c>
      <c r="J21" s="7">
        <f>VLOOKUP(B21,[1]characters!$A:$I,9,FALSE)</f>
        <v>6</v>
      </c>
      <c r="K21" s="7" t="str">
        <f>VLOOKUP(B21,[1]characters!$A:$H,8,FALSE)</f>
        <v>yellow</v>
      </c>
      <c r="L21" s="7" t="str">
        <f>VLOOKUP(B21,[1]characters!$A:$K,11,FALSE)</f>
        <v>evolution</v>
      </c>
      <c r="M21" s="7" t="str">
        <f>VLOOKUP(B21,[1]characters!$A:$M,13,FALSE)</f>
        <v>unknown</v>
      </c>
      <c r="N21" s="7" t="str">
        <f>VLOOKUP(B21,[1]characters!$A:$G,7,FALSE)</f>
        <v>男性</v>
      </c>
      <c r="O21" s="33">
        <v>20</v>
      </c>
      <c r="P21" s="34">
        <f t="shared" si="2"/>
        <v>0.02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  <c r="X21" s="44"/>
      <c r="Y21" s="45"/>
    </row>
    <row r="22" spans="1:25" ht="21" customHeight="1" x14ac:dyDescent="0.2">
      <c r="A22" s="2">
        <v>7345010</v>
      </c>
      <c r="B22" s="6">
        <v>1699</v>
      </c>
      <c r="C22" s="7" t="str">
        <f t="shared" si="0"/>
        <v>Premium6R3less</v>
      </c>
      <c r="D22" s="7" t="str">
        <f t="shared" si="1"/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崇高祝言 アマテラス</v>
      </c>
      <c r="I22" s="7" t="str">
        <f>VLOOKUP(B22,[1]characters!$A:$J,10,FALSE)</f>
        <v>DropWizS</v>
      </c>
      <c r="J22" s="7">
        <f>VLOOKUP(B22,[1]characters!$A:$I,9,FALSE)</f>
        <v>6</v>
      </c>
      <c r="K22" s="7" t="str">
        <f>VLOOKUP(B22,[1]characters!$A:$H,8,FALSE)</f>
        <v>green</v>
      </c>
      <c r="L22" s="7" t="str">
        <f>VLOOKUP(B22,[1]characters!$A:$K,11,FALSE)</f>
        <v>technical</v>
      </c>
      <c r="M22" s="7" t="str">
        <f>VLOOKUP(B22,[1]characters!$A:$M,13,FALSE)</f>
        <v>god</v>
      </c>
      <c r="N22" s="7">
        <f>VLOOKUP(B22,[1]characters!$A:$G,7,FALSE)</f>
        <v>0</v>
      </c>
      <c r="O22" s="33">
        <v>100</v>
      </c>
      <c r="P22" s="34">
        <f t="shared" si="2"/>
        <v>0.1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  <c r="X22" s="44"/>
      <c r="Y22" s="45"/>
    </row>
  </sheetData>
  <autoFilter ref="A1:V4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B3" sqref="B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62</v>
      </c>
      <c r="B1" s="13" t="s">
        <v>1</v>
      </c>
      <c r="C1" s="3" t="s">
        <v>31</v>
      </c>
      <c r="D1" s="3" t="s">
        <v>74</v>
      </c>
      <c r="E1" s="3" t="s">
        <v>77</v>
      </c>
      <c r="F1" s="3" t="s">
        <v>78</v>
      </c>
      <c r="G1" s="3" t="s">
        <v>75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54</v>
      </c>
      <c r="O1" s="13" t="s">
        <v>2</v>
      </c>
      <c r="P1" s="3" t="s">
        <v>56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7344100</v>
      </c>
      <c r="B2" s="6">
        <v>1697</v>
      </c>
      <c r="C2" s="7" t="str">
        <f t="shared" ref="C2" si="0">D2&amp;J2&amp;E2&amp;F2&amp;G2</f>
        <v>Premium6R3less</v>
      </c>
      <c r="D2" s="7" t="str">
        <f t="shared" ref="D2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駆動する機会 ガーネット</v>
      </c>
      <c r="I2" s="7" t="str">
        <f>VLOOKUP(B2,[1]characters!$A:$J,10,FALSE)</f>
        <v>DropWizS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>
        <f>VLOOKUP(B2,[1]characters!$A:$G,7,FALSE)</f>
        <v>0</v>
      </c>
      <c r="O2" s="33">
        <v>1</v>
      </c>
      <c r="P2" s="34">
        <f>O2/SUM(O:O)</f>
        <v>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</sheetData>
  <autoFilter ref="A1:V2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B3" sqref="B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62</v>
      </c>
      <c r="B1" s="13" t="s">
        <v>1</v>
      </c>
      <c r="C1" s="3" t="s">
        <v>31</v>
      </c>
      <c r="D1" s="3" t="s">
        <v>74</v>
      </c>
      <c r="E1" s="3" t="s">
        <v>77</v>
      </c>
      <c r="F1" s="3" t="s">
        <v>78</v>
      </c>
      <c r="G1" s="3" t="s">
        <v>75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54</v>
      </c>
      <c r="O1" s="13" t="s">
        <v>2</v>
      </c>
      <c r="P1" s="3" t="s">
        <v>56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7346100</v>
      </c>
      <c r="B2" s="6">
        <v>1699</v>
      </c>
      <c r="C2" s="7" t="str">
        <f t="shared" ref="C2" si="0">D2&amp;J2&amp;E2&amp;F2&amp;G2</f>
        <v>Premium6R3less</v>
      </c>
      <c r="D2" s="7" t="str">
        <f t="shared" ref="D2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崇高祝言 アマテラス</v>
      </c>
      <c r="I2" s="7" t="str">
        <f>VLOOKUP(B2,[1]characters!$A:$J,10,FALSE)</f>
        <v>DropWizS</v>
      </c>
      <c r="J2" s="7">
        <f>VLOOKUP(B2,[1]characters!$A:$I,9,FALSE)</f>
        <v>6</v>
      </c>
      <c r="K2" s="7" t="str">
        <f>VLOOKUP(B2,[1]characters!$A:$H,8,FALSE)</f>
        <v>green</v>
      </c>
      <c r="L2" s="7" t="str">
        <f>VLOOKUP(B2,[1]characters!$A:$K,11,FALSE)</f>
        <v>technical</v>
      </c>
      <c r="M2" s="7" t="str">
        <f>VLOOKUP(B2,[1]characters!$A:$M,13,FALSE)</f>
        <v>god</v>
      </c>
      <c r="N2" s="7">
        <f>VLOOKUP(B2,[1]characters!$A:$G,7,FALSE)</f>
        <v>0</v>
      </c>
      <c r="O2" s="33">
        <v>1</v>
      </c>
      <c r="P2" s="34">
        <f>O2/SUM(O:O)</f>
        <v>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</sheetData>
  <autoFilter ref="A1:V2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1"/>
  <sheetViews>
    <sheetView showGridLines="0" workbookViewId="0">
      <pane ySplit="1" topLeftCell="A2" activePane="bottomLeft" state="frozen"/>
      <selection activeCell="M24" sqref="M24"/>
      <selection pane="bottomLeft" activeCell="F7" sqref="F7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5" width="25.19921875" style="1" bestFit="1" customWidth="1"/>
    <col min="16" max="16" width="23.59765625" style="1" bestFit="1" customWidth="1"/>
    <col min="17" max="17" width="67.3984375" style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8" t="s">
        <v>66</v>
      </c>
      <c r="H1" s="38" t="s">
        <v>67</v>
      </c>
      <c r="I1" s="39" t="s">
        <v>68</v>
      </c>
      <c r="J1" s="39" t="s">
        <v>69</v>
      </c>
      <c r="K1" s="39" t="s">
        <v>70</v>
      </c>
      <c r="L1" s="39" t="s">
        <v>71</v>
      </c>
      <c r="M1" s="39" t="s">
        <v>72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34" customHeight="1" x14ac:dyDescent="0.15">
      <c r="A2" s="51">
        <v>734401</v>
      </c>
      <c r="B2" s="51" t="str">
        <f>A2&amp;1</f>
        <v>7344011</v>
      </c>
      <c r="C2" s="52" t="s">
        <v>85</v>
      </c>
      <c r="D2" s="52">
        <v>100000</v>
      </c>
      <c r="E2" s="52" t="s">
        <v>86</v>
      </c>
      <c r="F2" s="52">
        <v>1</v>
      </c>
      <c r="G2" s="51">
        <v>0</v>
      </c>
      <c r="H2" s="51">
        <v>0</v>
      </c>
      <c r="I2" s="51">
        <v>0</v>
      </c>
      <c r="J2" s="51">
        <v>0</v>
      </c>
      <c r="K2" s="51">
        <v>1</v>
      </c>
      <c r="L2" s="51">
        <v>1</v>
      </c>
      <c r="M2" s="51">
        <v>1</v>
      </c>
      <c r="N2" s="52" t="s">
        <v>73</v>
      </c>
      <c r="O2" s="52" t="s">
        <v>91</v>
      </c>
      <c r="P2" s="52" t="s">
        <v>87</v>
      </c>
      <c r="Q2" s="53" t="s">
        <v>90</v>
      </c>
    </row>
    <row r="3" spans="1:17" ht="34" customHeight="1" x14ac:dyDescent="0.15">
      <c r="A3" s="51">
        <v>734402</v>
      </c>
      <c r="B3" s="51" t="str">
        <f t="shared" ref="B3:B21" si="0">A3&amp;1</f>
        <v>7344021</v>
      </c>
      <c r="C3" s="51" t="s">
        <v>88</v>
      </c>
      <c r="D3" s="51">
        <v>121</v>
      </c>
      <c r="E3" s="51">
        <v>3</v>
      </c>
      <c r="F3" s="52">
        <v>1</v>
      </c>
      <c r="G3" s="51">
        <v>0</v>
      </c>
      <c r="H3" s="51">
        <v>0</v>
      </c>
      <c r="I3" s="51">
        <v>0</v>
      </c>
      <c r="J3" s="51">
        <v>0</v>
      </c>
      <c r="K3" s="51">
        <v>1</v>
      </c>
      <c r="L3" s="51">
        <v>1</v>
      </c>
      <c r="M3" s="51">
        <v>1</v>
      </c>
      <c r="N3" s="52" t="s">
        <v>73</v>
      </c>
      <c r="O3" s="52" t="s">
        <v>92</v>
      </c>
      <c r="P3" s="52" t="s">
        <v>87</v>
      </c>
      <c r="Q3" s="53" t="s">
        <v>95</v>
      </c>
    </row>
    <row r="4" spans="1:17" ht="34" customHeight="1" x14ac:dyDescent="0.15">
      <c r="A4" s="51">
        <v>734403</v>
      </c>
      <c r="B4" s="51" t="str">
        <f t="shared" si="0"/>
        <v>7344031</v>
      </c>
      <c r="C4" s="51" t="s">
        <v>88</v>
      </c>
      <c r="D4" s="51">
        <v>123</v>
      </c>
      <c r="E4" s="51">
        <v>3</v>
      </c>
      <c r="F4" s="52">
        <v>1</v>
      </c>
      <c r="G4" s="51">
        <v>0</v>
      </c>
      <c r="H4" s="51">
        <v>0</v>
      </c>
      <c r="I4" s="51">
        <v>0</v>
      </c>
      <c r="J4" s="51">
        <v>0</v>
      </c>
      <c r="K4" s="51">
        <v>1</v>
      </c>
      <c r="L4" s="51">
        <v>1</v>
      </c>
      <c r="M4" s="51">
        <v>1</v>
      </c>
      <c r="N4" s="52" t="s">
        <v>73</v>
      </c>
      <c r="O4" s="52" t="s">
        <v>93</v>
      </c>
      <c r="P4" s="52" t="s">
        <v>87</v>
      </c>
      <c r="Q4" s="53" t="s">
        <v>96</v>
      </c>
    </row>
    <row r="5" spans="1:17" ht="34" customHeight="1" x14ac:dyDescent="0.15">
      <c r="A5" s="51">
        <v>734404</v>
      </c>
      <c r="B5" s="51" t="str">
        <f t="shared" si="0"/>
        <v>7344041</v>
      </c>
      <c r="C5" s="51" t="s">
        <v>88</v>
      </c>
      <c r="D5" s="51">
        <v>122</v>
      </c>
      <c r="E5" s="51">
        <v>3</v>
      </c>
      <c r="F5" s="52">
        <v>1</v>
      </c>
      <c r="G5" s="51">
        <v>0</v>
      </c>
      <c r="H5" s="51">
        <v>0</v>
      </c>
      <c r="I5" s="51">
        <v>0</v>
      </c>
      <c r="J5" s="51">
        <v>0</v>
      </c>
      <c r="K5" s="51">
        <v>1</v>
      </c>
      <c r="L5" s="51">
        <v>1</v>
      </c>
      <c r="M5" s="51">
        <v>1</v>
      </c>
      <c r="N5" s="52" t="s">
        <v>73</v>
      </c>
      <c r="O5" s="52" t="s">
        <v>94</v>
      </c>
      <c r="P5" s="52" t="s">
        <v>87</v>
      </c>
      <c r="Q5" s="53" t="s">
        <v>97</v>
      </c>
    </row>
    <row r="6" spans="1:17" ht="34" customHeight="1" x14ac:dyDescent="0.15">
      <c r="A6" s="51">
        <v>734405</v>
      </c>
      <c r="B6" s="51" t="str">
        <f t="shared" si="0"/>
        <v>7344051</v>
      </c>
      <c r="C6" s="51" t="s">
        <v>89</v>
      </c>
      <c r="D6" s="51">
        <v>2</v>
      </c>
      <c r="E6" s="52" t="s">
        <v>86</v>
      </c>
      <c r="F6" s="52">
        <v>1</v>
      </c>
      <c r="G6" s="51">
        <v>0</v>
      </c>
      <c r="H6" s="51">
        <v>0</v>
      </c>
      <c r="I6" s="51">
        <v>0</v>
      </c>
      <c r="J6" s="51">
        <v>0</v>
      </c>
      <c r="K6" s="51">
        <v>1</v>
      </c>
      <c r="L6" s="51">
        <v>1</v>
      </c>
      <c r="M6" s="51">
        <v>1</v>
      </c>
      <c r="N6" s="52" t="s">
        <v>73</v>
      </c>
      <c r="O6" s="52" t="s">
        <v>98</v>
      </c>
      <c r="P6" s="52" t="s">
        <v>87</v>
      </c>
      <c r="Q6" s="53" t="s">
        <v>99</v>
      </c>
    </row>
    <row r="7" spans="1:17" ht="34" customHeight="1" x14ac:dyDescent="0.15">
      <c r="A7" s="51">
        <v>734406</v>
      </c>
      <c r="B7" s="51" t="str">
        <f t="shared" si="0"/>
        <v>7344061</v>
      </c>
      <c r="C7" s="51" t="s">
        <v>88</v>
      </c>
      <c r="D7" s="51">
        <v>681</v>
      </c>
      <c r="E7" s="51">
        <v>1</v>
      </c>
      <c r="F7" s="52">
        <v>1</v>
      </c>
      <c r="G7" s="51">
        <v>0</v>
      </c>
      <c r="H7" s="51">
        <v>0</v>
      </c>
      <c r="I7" s="51">
        <v>0</v>
      </c>
      <c r="J7" s="51">
        <v>0</v>
      </c>
      <c r="K7" s="51">
        <v>1</v>
      </c>
      <c r="L7" s="51">
        <v>1</v>
      </c>
      <c r="M7" s="51">
        <v>1</v>
      </c>
      <c r="N7" s="52" t="s">
        <v>73</v>
      </c>
      <c r="O7" s="51" t="s">
        <v>105</v>
      </c>
      <c r="P7" s="52" t="s">
        <v>87</v>
      </c>
      <c r="Q7" s="53" t="s">
        <v>101</v>
      </c>
    </row>
    <row r="8" spans="1:17" ht="34" customHeight="1" x14ac:dyDescent="0.15">
      <c r="A8" s="51">
        <v>734407</v>
      </c>
      <c r="B8" s="51" t="str">
        <f t="shared" si="0"/>
        <v>7344071</v>
      </c>
      <c r="C8" s="51" t="s">
        <v>88</v>
      </c>
      <c r="D8" s="51">
        <v>685</v>
      </c>
      <c r="E8" s="51">
        <v>1</v>
      </c>
      <c r="F8" s="52">
        <v>1</v>
      </c>
      <c r="G8" s="51">
        <v>0</v>
      </c>
      <c r="H8" s="51">
        <v>0</v>
      </c>
      <c r="I8" s="51">
        <v>0</v>
      </c>
      <c r="J8" s="51">
        <v>0</v>
      </c>
      <c r="K8" s="51">
        <v>1</v>
      </c>
      <c r="L8" s="51">
        <v>1</v>
      </c>
      <c r="M8" s="51">
        <v>1</v>
      </c>
      <c r="N8" s="52" t="s">
        <v>73</v>
      </c>
      <c r="O8" s="51" t="s">
        <v>106</v>
      </c>
      <c r="P8" s="52" t="s">
        <v>87</v>
      </c>
      <c r="Q8" s="53" t="s">
        <v>102</v>
      </c>
    </row>
    <row r="9" spans="1:17" ht="34" customHeight="1" x14ac:dyDescent="0.15">
      <c r="A9" s="51">
        <v>734408</v>
      </c>
      <c r="B9" s="51" t="str">
        <f t="shared" si="0"/>
        <v>7344081</v>
      </c>
      <c r="C9" s="51" t="s">
        <v>88</v>
      </c>
      <c r="D9" s="51">
        <v>683</v>
      </c>
      <c r="E9" s="51">
        <v>1</v>
      </c>
      <c r="F9" s="52">
        <v>1</v>
      </c>
      <c r="G9" s="51">
        <v>0</v>
      </c>
      <c r="H9" s="51">
        <v>0</v>
      </c>
      <c r="I9" s="51">
        <v>0</v>
      </c>
      <c r="J9" s="51">
        <v>0</v>
      </c>
      <c r="K9" s="51">
        <v>1</v>
      </c>
      <c r="L9" s="51">
        <v>1</v>
      </c>
      <c r="M9" s="51">
        <v>1</v>
      </c>
      <c r="N9" s="52" t="s">
        <v>73</v>
      </c>
      <c r="O9" s="51" t="s">
        <v>107</v>
      </c>
      <c r="P9" s="52" t="s">
        <v>87</v>
      </c>
      <c r="Q9" s="53" t="s">
        <v>103</v>
      </c>
    </row>
    <row r="10" spans="1:17" ht="34" customHeight="1" x14ac:dyDescent="0.15">
      <c r="A10" s="51">
        <v>734409</v>
      </c>
      <c r="B10" s="51" t="str">
        <f t="shared" si="0"/>
        <v>7344091</v>
      </c>
      <c r="C10" s="51" t="s">
        <v>88</v>
      </c>
      <c r="D10" s="51">
        <v>687</v>
      </c>
      <c r="E10" s="51">
        <v>1</v>
      </c>
      <c r="F10" s="52">
        <v>1</v>
      </c>
      <c r="G10" s="51">
        <v>0</v>
      </c>
      <c r="H10" s="51">
        <v>0</v>
      </c>
      <c r="I10" s="51">
        <v>0</v>
      </c>
      <c r="J10" s="51">
        <v>0</v>
      </c>
      <c r="K10" s="51">
        <v>1</v>
      </c>
      <c r="L10" s="51">
        <v>1</v>
      </c>
      <c r="M10" s="51">
        <v>1</v>
      </c>
      <c r="N10" s="52" t="s">
        <v>73</v>
      </c>
      <c r="O10" s="51" t="s">
        <v>108</v>
      </c>
      <c r="P10" s="52" t="s">
        <v>87</v>
      </c>
      <c r="Q10" s="53" t="s">
        <v>104</v>
      </c>
    </row>
    <row r="11" spans="1:17" ht="34" customHeight="1" x14ac:dyDescent="0.15">
      <c r="A11" s="51">
        <v>734410</v>
      </c>
      <c r="B11" s="51" t="str">
        <f t="shared" si="0"/>
        <v>7344101</v>
      </c>
      <c r="C11" s="51" t="s">
        <v>89</v>
      </c>
      <c r="D11" s="51">
        <v>3</v>
      </c>
      <c r="E11" s="52" t="s">
        <v>86</v>
      </c>
      <c r="F11" s="52">
        <v>1</v>
      </c>
      <c r="G11" s="51">
        <v>0</v>
      </c>
      <c r="H11" s="51">
        <v>0</v>
      </c>
      <c r="I11" s="51">
        <v>0</v>
      </c>
      <c r="J11" s="51">
        <v>0</v>
      </c>
      <c r="K11" s="51">
        <v>1</v>
      </c>
      <c r="L11" s="51">
        <v>1</v>
      </c>
      <c r="M11" s="51">
        <v>1</v>
      </c>
      <c r="N11" s="52" t="s">
        <v>73</v>
      </c>
      <c r="O11" s="52" t="s">
        <v>109</v>
      </c>
      <c r="P11" s="52" t="s">
        <v>87</v>
      </c>
      <c r="Q11" s="53" t="s">
        <v>100</v>
      </c>
    </row>
    <row r="12" spans="1:17" ht="34" customHeight="1" x14ac:dyDescent="0.15">
      <c r="A12" s="47">
        <v>734601</v>
      </c>
      <c r="B12" s="48" t="str">
        <f t="shared" si="0"/>
        <v>7346011</v>
      </c>
      <c r="C12" s="49" t="s">
        <v>85</v>
      </c>
      <c r="D12" s="49">
        <v>100000</v>
      </c>
      <c r="E12" s="49" t="s">
        <v>86</v>
      </c>
      <c r="F12" s="49">
        <v>1</v>
      </c>
      <c r="G12" s="47">
        <v>0</v>
      </c>
      <c r="H12" s="47">
        <v>0</v>
      </c>
      <c r="I12" s="47">
        <v>0</v>
      </c>
      <c r="J12" s="47">
        <v>0</v>
      </c>
      <c r="K12" s="47">
        <v>1</v>
      </c>
      <c r="L12" s="47">
        <v>1</v>
      </c>
      <c r="M12" s="47">
        <v>1</v>
      </c>
      <c r="N12" s="49" t="s">
        <v>73</v>
      </c>
      <c r="O12" s="49" t="s">
        <v>91</v>
      </c>
      <c r="P12" s="49" t="s">
        <v>110</v>
      </c>
      <c r="Q12" s="50" t="s">
        <v>90</v>
      </c>
    </row>
    <row r="13" spans="1:17" ht="34" customHeight="1" x14ac:dyDescent="0.15">
      <c r="A13" s="47">
        <v>734602</v>
      </c>
      <c r="B13" s="48" t="str">
        <f t="shared" si="0"/>
        <v>7346021</v>
      </c>
      <c r="C13" s="47" t="s">
        <v>88</v>
      </c>
      <c r="D13" s="47">
        <v>121</v>
      </c>
      <c r="E13" s="47">
        <v>3</v>
      </c>
      <c r="F13" s="49">
        <v>1</v>
      </c>
      <c r="G13" s="47">
        <v>0</v>
      </c>
      <c r="H13" s="47">
        <v>0</v>
      </c>
      <c r="I13" s="47">
        <v>0</v>
      </c>
      <c r="J13" s="47">
        <v>0</v>
      </c>
      <c r="K13" s="47">
        <v>1</v>
      </c>
      <c r="L13" s="47">
        <v>1</v>
      </c>
      <c r="M13" s="47">
        <v>1</v>
      </c>
      <c r="N13" s="49" t="s">
        <v>73</v>
      </c>
      <c r="O13" s="49" t="s">
        <v>92</v>
      </c>
      <c r="P13" s="49" t="s">
        <v>110</v>
      </c>
      <c r="Q13" s="50" t="s">
        <v>95</v>
      </c>
    </row>
    <row r="14" spans="1:17" ht="34" customHeight="1" x14ac:dyDescent="0.15">
      <c r="A14" s="47">
        <v>734603</v>
      </c>
      <c r="B14" s="48" t="str">
        <f t="shared" si="0"/>
        <v>7346031</v>
      </c>
      <c r="C14" s="47" t="s">
        <v>88</v>
      </c>
      <c r="D14" s="47">
        <v>123</v>
      </c>
      <c r="E14" s="47">
        <v>3</v>
      </c>
      <c r="F14" s="49">
        <v>1</v>
      </c>
      <c r="G14" s="47">
        <v>0</v>
      </c>
      <c r="H14" s="47">
        <v>0</v>
      </c>
      <c r="I14" s="47">
        <v>0</v>
      </c>
      <c r="J14" s="47">
        <v>0</v>
      </c>
      <c r="K14" s="47">
        <v>1</v>
      </c>
      <c r="L14" s="47">
        <v>1</v>
      </c>
      <c r="M14" s="47">
        <v>1</v>
      </c>
      <c r="N14" s="49" t="s">
        <v>73</v>
      </c>
      <c r="O14" s="49" t="s">
        <v>93</v>
      </c>
      <c r="P14" s="49" t="s">
        <v>110</v>
      </c>
      <c r="Q14" s="50" t="s">
        <v>96</v>
      </c>
    </row>
    <row r="15" spans="1:17" ht="34" customHeight="1" x14ac:dyDescent="0.15">
      <c r="A15" s="47">
        <v>734604</v>
      </c>
      <c r="B15" s="48" t="str">
        <f t="shared" si="0"/>
        <v>7346041</v>
      </c>
      <c r="C15" s="47" t="s">
        <v>88</v>
      </c>
      <c r="D15" s="47">
        <v>122</v>
      </c>
      <c r="E15" s="47">
        <v>3</v>
      </c>
      <c r="F15" s="49">
        <v>1</v>
      </c>
      <c r="G15" s="47">
        <v>0</v>
      </c>
      <c r="H15" s="47">
        <v>0</v>
      </c>
      <c r="I15" s="47">
        <v>0</v>
      </c>
      <c r="J15" s="47">
        <v>0</v>
      </c>
      <c r="K15" s="47">
        <v>1</v>
      </c>
      <c r="L15" s="47">
        <v>1</v>
      </c>
      <c r="M15" s="47">
        <v>1</v>
      </c>
      <c r="N15" s="49" t="s">
        <v>73</v>
      </c>
      <c r="O15" s="49" t="s">
        <v>94</v>
      </c>
      <c r="P15" s="49" t="s">
        <v>110</v>
      </c>
      <c r="Q15" s="50" t="s">
        <v>97</v>
      </c>
    </row>
    <row r="16" spans="1:17" ht="34" customHeight="1" x14ac:dyDescent="0.15">
      <c r="A16" s="47">
        <v>734605</v>
      </c>
      <c r="B16" s="48" t="str">
        <f t="shared" si="0"/>
        <v>7346051</v>
      </c>
      <c r="C16" s="47" t="s">
        <v>89</v>
      </c>
      <c r="D16" s="47">
        <v>2</v>
      </c>
      <c r="E16" s="49" t="s">
        <v>86</v>
      </c>
      <c r="F16" s="49">
        <v>1</v>
      </c>
      <c r="G16" s="47">
        <v>0</v>
      </c>
      <c r="H16" s="47">
        <v>0</v>
      </c>
      <c r="I16" s="47">
        <v>0</v>
      </c>
      <c r="J16" s="47">
        <v>0</v>
      </c>
      <c r="K16" s="47">
        <v>1</v>
      </c>
      <c r="L16" s="47">
        <v>1</v>
      </c>
      <c r="M16" s="47">
        <v>1</v>
      </c>
      <c r="N16" s="49" t="s">
        <v>73</v>
      </c>
      <c r="O16" s="49" t="s">
        <v>98</v>
      </c>
      <c r="P16" s="49" t="s">
        <v>110</v>
      </c>
      <c r="Q16" s="50" t="s">
        <v>99</v>
      </c>
    </row>
    <row r="17" spans="1:17" ht="34" customHeight="1" x14ac:dyDescent="0.15">
      <c r="A17" s="47">
        <v>734606</v>
      </c>
      <c r="B17" s="48" t="str">
        <f t="shared" si="0"/>
        <v>7346061</v>
      </c>
      <c r="C17" s="47" t="s">
        <v>88</v>
      </c>
      <c r="D17" s="47">
        <v>681</v>
      </c>
      <c r="E17" s="47">
        <v>1</v>
      </c>
      <c r="F17" s="49">
        <v>1</v>
      </c>
      <c r="G17" s="47">
        <v>0</v>
      </c>
      <c r="H17" s="47">
        <v>0</v>
      </c>
      <c r="I17" s="47">
        <v>0</v>
      </c>
      <c r="J17" s="47">
        <v>0</v>
      </c>
      <c r="K17" s="47">
        <v>1</v>
      </c>
      <c r="L17" s="47">
        <v>1</v>
      </c>
      <c r="M17" s="47">
        <v>1</v>
      </c>
      <c r="N17" s="49" t="s">
        <v>73</v>
      </c>
      <c r="O17" s="47" t="s">
        <v>105</v>
      </c>
      <c r="P17" s="49" t="s">
        <v>110</v>
      </c>
      <c r="Q17" s="50" t="s">
        <v>101</v>
      </c>
    </row>
    <row r="18" spans="1:17" ht="34" customHeight="1" x14ac:dyDescent="0.15">
      <c r="A18" s="47">
        <v>734607</v>
      </c>
      <c r="B18" s="48" t="str">
        <f t="shared" si="0"/>
        <v>7346071</v>
      </c>
      <c r="C18" s="47" t="s">
        <v>88</v>
      </c>
      <c r="D18" s="47">
        <v>685</v>
      </c>
      <c r="E18" s="47">
        <v>1</v>
      </c>
      <c r="F18" s="49">
        <v>1</v>
      </c>
      <c r="G18" s="47">
        <v>0</v>
      </c>
      <c r="H18" s="47">
        <v>0</v>
      </c>
      <c r="I18" s="47">
        <v>0</v>
      </c>
      <c r="J18" s="47">
        <v>0</v>
      </c>
      <c r="K18" s="47">
        <v>1</v>
      </c>
      <c r="L18" s="47">
        <v>1</v>
      </c>
      <c r="M18" s="47">
        <v>1</v>
      </c>
      <c r="N18" s="49" t="s">
        <v>73</v>
      </c>
      <c r="O18" s="47" t="s">
        <v>106</v>
      </c>
      <c r="P18" s="49" t="s">
        <v>110</v>
      </c>
      <c r="Q18" s="50" t="s">
        <v>102</v>
      </c>
    </row>
    <row r="19" spans="1:17" ht="34" customHeight="1" x14ac:dyDescent="0.15">
      <c r="A19" s="47">
        <v>734608</v>
      </c>
      <c r="B19" s="48" t="str">
        <f t="shared" si="0"/>
        <v>7346081</v>
      </c>
      <c r="C19" s="47" t="s">
        <v>88</v>
      </c>
      <c r="D19" s="47">
        <v>683</v>
      </c>
      <c r="E19" s="47">
        <v>1</v>
      </c>
      <c r="F19" s="49">
        <v>1</v>
      </c>
      <c r="G19" s="47">
        <v>0</v>
      </c>
      <c r="H19" s="47">
        <v>0</v>
      </c>
      <c r="I19" s="47">
        <v>0</v>
      </c>
      <c r="J19" s="47">
        <v>0</v>
      </c>
      <c r="K19" s="47">
        <v>1</v>
      </c>
      <c r="L19" s="47">
        <v>1</v>
      </c>
      <c r="M19" s="47">
        <v>1</v>
      </c>
      <c r="N19" s="49" t="s">
        <v>73</v>
      </c>
      <c r="O19" s="47" t="s">
        <v>107</v>
      </c>
      <c r="P19" s="49" t="s">
        <v>110</v>
      </c>
      <c r="Q19" s="50" t="s">
        <v>103</v>
      </c>
    </row>
    <row r="20" spans="1:17" ht="34" customHeight="1" x14ac:dyDescent="0.15">
      <c r="A20" s="47">
        <v>734609</v>
      </c>
      <c r="B20" s="48" t="str">
        <f t="shared" si="0"/>
        <v>7346091</v>
      </c>
      <c r="C20" s="47" t="s">
        <v>88</v>
      </c>
      <c r="D20" s="47">
        <v>687</v>
      </c>
      <c r="E20" s="47">
        <v>1</v>
      </c>
      <c r="F20" s="49">
        <v>1</v>
      </c>
      <c r="G20" s="47">
        <v>0</v>
      </c>
      <c r="H20" s="47">
        <v>0</v>
      </c>
      <c r="I20" s="47">
        <v>0</v>
      </c>
      <c r="J20" s="47">
        <v>0</v>
      </c>
      <c r="K20" s="47">
        <v>1</v>
      </c>
      <c r="L20" s="47">
        <v>1</v>
      </c>
      <c r="M20" s="47">
        <v>1</v>
      </c>
      <c r="N20" s="49" t="s">
        <v>73</v>
      </c>
      <c r="O20" s="47" t="s">
        <v>108</v>
      </c>
      <c r="P20" s="49" t="s">
        <v>110</v>
      </c>
      <c r="Q20" s="50" t="s">
        <v>104</v>
      </c>
    </row>
    <row r="21" spans="1:17" ht="34" customHeight="1" x14ac:dyDescent="0.15">
      <c r="A21" s="47">
        <v>734610</v>
      </c>
      <c r="B21" s="48" t="str">
        <f t="shared" si="0"/>
        <v>7346101</v>
      </c>
      <c r="C21" s="47" t="s">
        <v>89</v>
      </c>
      <c r="D21" s="47">
        <v>3</v>
      </c>
      <c r="E21" s="49" t="s">
        <v>86</v>
      </c>
      <c r="F21" s="49">
        <v>1</v>
      </c>
      <c r="G21" s="47">
        <v>0</v>
      </c>
      <c r="H21" s="47">
        <v>0</v>
      </c>
      <c r="I21" s="47">
        <v>0</v>
      </c>
      <c r="J21" s="47">
        <v>0</v>
      </c>
      <c r="K21" s="47">
        <v>1</v>
      </c>
      <c r="L21" s="47">
        <v>1</v>
      </c>
      <c r="M21" s="47">
        <v>1</v>
      </c>
      <c r="N21" s="49" t="s">
        <v>73</v>
      </c>
      <c r="O21" s="49" t="s">
        <v>109</v>
      </c>
      <c r="P21" s="49" t="s">
        <v>110</v>
      </c>
      <c r="Q21" s="50" t="s">
        <v>100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0">
        <v>668</v>
      </c>
      <c r="B246" s="7" t="str">
        <f>VLOOKUP(A246,[1]characters!$A:$C,3,FALSE)</f>
        <v>アグニ</v>
      </c>
    </row>
    <row r="247" spans="1:2" x14ac:dyDescent="0.15">
      <c r="A247" s="40">
        <v>669</v>
      </c>
      <c r="B247" s="7" t="str">
        <f>VLOOKUP(A247,[1]characters!$A:$C,3,FALSE)</f>
        <v>天地の仲界 アグニ</v>
      </c>
    </row>
    <row r="248" spans="1:2" x14ac:dyDescent="0.15">
      <c r="A248" s="40">
        <v>670</v>
      </c>
      <c r="B248" s="7" t="str">
        <f>VLOOKUP(A248,[1]characters!$A:$C,3,FALSE)</f>
        <v>陽天の噴煙 アグニ</v>
      </c>
    </row>
    <row r="249" spans="1:2" x14ac:dyDescent="0.15">
      <c r="A249" s="40">
        <v>671</v>
      </c>
      <c r="B249" s="7" t="str">
        <f>VLOOKUP(A249,[1]characters!$A:$C,3,FALSE)</f>
        <v>ハヌマーン</v>
      </c>
    </row>
    <row r="250" spans="1:2" x14ac:dyDescent="0.15">
      <c r="A250" s="40">
        <v>672</v>
      </c>
      <c r="B250" s="7" t="str">
        <f>VLOOKUP(A250,[1]characters!$A:$C,3,FALSE)</f>
        <v>西遊韋駄天 ハヌマーン</v>
      </c>
    </row>
    <row r="251" spans="1:2" x14ac:dyDescent="0.15">
      <c r="A251" s="40">
        <v>673</v>
      </c>
      <c r="B251" s="7" t="str">
        <f>VLOOKUP(A251,[1]characters!$A:$C,3,FALSE)</f>
        <v>変幻自在の猿王 ハヌマーン</v>
      </c>
    </row>
    <row r="252" spans="1:2" x14ac:dyDescent="0.15">
      <c r="A252" s="40">
        <v>674</v>
      </c>
      <c r="B252" s="7" t="str">
        <f>VLOOKUP(A252,[1]characters!$A:$C,3,FALSE)</f>
        <v>サラスヴァティ</v>
      </c>
    </row>
    <row r="253" spans="1:2" x14ac:dyDescent="0.15">
      <c r="A253" s="40">
        <v>675</v>
      </c>
      <c r="B253" s="7" t="str">
        <f>VLOOKUP(A253,[1]characters!$A:$C,3,FALSE)</f>
        <v>芸楽の奔流 サラスヴァティ</v>
      </c>
    </row>
    <row r="254" spans="1:2" x14ac:dyDescent="0.15">
      <c r="A254" s="40">
        <v>676</v>
      </c>
      <c r="B254" s="7" t="str">
        <f>VLOOKUP(A254,[1]characters!$A:$C,3,FALSE)</f>
        <v>ヴィシュヌ</v>
      </c>
    </row>
    <row r="255" spans="1:2" x14ac:dyDescent="0.15">
      <c r="A255" s="40">
        <v>677</v>
      </c>
      <c r="B255" s="7" t="str">
        <f>VLOOKUP(A255,[1]characters!$A:$C,3,FALSE)</f>
        <v>武遊闊歩 ヴィシュヌ</v>
      </c>
    </row>
    <row r="256" spans="1:2" x14ac:dyDescent="0.15">
      <c r="A256" s="40">
        <v>770</v>
      </c>
      <c r="B256" s="7" t="str">
        <f>VLOOKUP(A256,[1]characters!$A:$C,3,FALSE)</f>
        <v>ハヅル</v>
      </c>
    </row>
    <row r="257" spans="1:2" x14ac:dyDescent="0.15">
      <c r="A257" s="40">
        <v>771</v>
      </c>
      <c r="B257" s="7" t="str">
        <f>VLOOKUP(A257,[1]characters!$A:$C,3,FALSE)</f>
        <v>天織羽鶴 ハヅル</v>
      </c>
    </row>
    <row r="258" spans="1:2" x14ac:dyDescent="0.15">
      <c r="A258" s="40">
        <v>772</v>
      </c>
      <c r="B258" s="7" t="str">
        <f>VLOOKUP(A258,[1]characters!$A:$C,3,FALSE)</f>
        <v>イナバ</v>
      </c>
    </row>
    <row r="259" spans="1:2" x14ac:dyDescent="0.15">
      <c r="A259" s="40">
        <v>773</v>
      </c>
      <c r="B259" s="7" t="str">
        <f>VLOOKUP(A259,[1]characters!$A:$C,3,FALSE)</f>
        <v>浮跳天兎 イナバ</v>
      </c>
    </row>
    <row r="260" spans="1:2" x14ac:dyDescent="0.15">
      <c r="A260" s="40">
        <v>774</v>
      </c>
      <c r="B260" s="7" t="str">
        <f>VLOOKUP(A260,[1]characters!$A:$C,3,FALSE)</f>
        <v>ミズチ</v>
      </c>
    </row>
    <row r="261" spans="1:2" x14ac:dyDescent="0.15">
      <c r="A261" s="40">
        <v>775</v>
      </c>
      <c r="B261" s="7" t="str">
        <f>VLOOKUP(A261,[1]characters!$A:$C,3,FALSE)</f>
        <v>水底霊竜 ミズチ</v>
      </c>
    </row>
    <row r="262" spans="1:2" x14ac:dyDescent="0.15">
      <c r="A262" s="40">
        <v>776</v>
      </c>
      <c r="B262" s="7" t="str">
        <f>VLOOKUP(A262,[1]characters!$A:$C,3,FALSE)</f>
        <v>水竜底主 ミズチ</v>
      </c>
    </row>
    <row r="263" spans="1:2" x14ac:dyDescent="0.15">
      <c r="A263" s="40">
        <v>777</v>
      </c>
      <c r="B263" s="7" t="str">
        <f>VLOOKUP(A263,[1]characters!$A:$C,3,FALSE)</f>
        <v>ガメック</v>
      </c>
    </row>
    <row r="264" spans="1:2" x14ac:dyDescent="0.15">
      <c r="A264" s="40">
        <v>778</v>
      </c>
      <c r="B264" s="7" t="str">
        <f>VLOOKUP(A264,[1]characters!$A:$C,3,FALSE)</f>
        <v>一亀懸明 ガメック</v>
      </c>
    </row>
    <row r="265" spans="1:2" x14ac:dyDescent="0.15">
      <c r="A265" s="40">
        <v>779</v>
      </c>
      <c r="B265" s="7" t="str">
        <f>VLOOKUP(A265,[1]characters!$A:$C,3,FALSE)</f>
        <v>頑堅咬亀 ガメック</v>
      </c>
    </row>
    <row r="266" spans="1:2" x14ac:dyDescent="0.15">
      <c r="A266" s="40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32" t="s">
        <v>55</v>
      </c>
      <c r="B1" s="32"/>
    </row>
    <row r="2" spans="1:2" x14ac:dyDescent="0.15">
      <c r="A2" s="30" t="s">
        <v>1</v>
      </c>
      <c r="B2" s="31" t="s">
        <v>57</v>
      </c>
    </row>
    <row r="3" spans="1:2" x14ac:dyDescent="0.15">
      <c r="A3" s="6">
        <v>166</v>
      </c>
      <c r="B3" s="31" t="str">
        <f>VLOOKUP(A3,[1]characters!$A:$C,3,FALSE)</f>
        <v>ベリアル</v>
      </c>
    </row>
    <row r="4" spans="1:2" x14ac:dyDescent="0.15">
      <c r="A4" s="6">
        <v>167</v>
      </c>
      <c r="B4" s="31" t="str">
        <f>VLOOKUP(A4,[1]characters!$A:$C,3,FALSE)</f>
        <v>逆徒 ベリアル</v>
      </c>
    </row>
    <row r="5" spans="1:2" x14ac:dyDescent="0.15">
      <c r="A5" s="6">
        <v>168</v>
      </c>
      <c r="B5" s="31" t="str">
        <f>VLOOKUP(A5,[1]characters!$A:$C,3,FALSE)</f>
        <v>猛進の大逆者 ベリアル</v>
      </c>
    </row>
    <row r="6" spans="1:2" x14ac:dyDescent="0.15">
      <c r="A6" s="30">
        <v>169</v>
      </c>
      <c r="B6" s="31" t="str">
        <f>VLOOKUP(A6,[1]characters!$A:$C,3,FALSE)</f>
        <v>オセ</v>
      </c>
    </row>
    <row r="7" spans="1:2" x14ac:dyDescent="0.15">
      <c r="A7" s="30">
        <v>170</v>
      </c>
      <c r="B7" s="31" t="str">
        <f>VLOOKUP(A7,[1]characters!$A:$C,3,FALSE)</f>
        <v>識徒 オセ</v>
      </c>
    </row>
    <row r="8" spans="1:2" x14ac:dyDescent="0.15">
      <c r="A8" s="30">
        <v>171</v>
      </c>
      <c r="B8" s="31" t="str">
        <f>VLOOKUP(A8,[1]characters!$A:$C,3,FALSE)</f>
        <v>精解の預知者 オセ</v>
      </c>
    </row>
    <row r="9" spans="1:2" x14ac:dyDescent="0.15">
      <c r="A9" s="30">
        <v>172</v>
      </c>
      <c r="B9" s="31" t="str">
        <f>VLOOKUP(A9,[1]characters!$A:$C,3,FALSE)</f>
        <v>フォルネウス</v>
      </c>
    </row>
    <row r="10" spans="1:2" x14ac:dyDescent="0.15">
      <c r="A10" s="30">
        <v>173</v>
      </c>
      <c r="B10" s="31" t="str">
        <f>VLOOKUP(A10,[1]characters!$A:$C,3,FALSE)</f>
        <v>公爵 フォルネウス</v>
      </c>
    </row>
    <row r="11" spans="1:2" x14ac:dyDescent="0.15">
      <c r="A11" s="30">
        <v>174</v>
      </c>
      <c r="B11" s="31" t="str">
        <f>VLOOKUP(A11,[1]characters!$A:$C,3,FALSE)</f>
        <v>偽愛の大公爵 フォルネウス</v>
      </c>
    </row>
    <row r="12" spans="1:2" x14ac:dyDescent="0.15">
      <c r="A12" s="30">
        <v>235</v>
      </c>
      <c r="B12" s="31" t="str">
        <f>VLOOKUP(A12,[1]characters!$A:$C,3,FALSE)</f>
        <v>イザナミ</v>
      </c>
    </row>
    <row r="13" spans="1:2" x14ac:dyDescent="0.15">
      <c r="A13" s="30">
        <v>236</v>
      </c>
      <c r="B13" s="31" t="str">
        <f>VLOOKUP(A13,[1]characters!$A:$C,3,FALSE)</f>
        <v>神産 イザナミ</v>
      </c>
    </row>
    <row r="14" spans="1:2" x14ac:dyDescent="0.15">
      <c r="A14" s="30">
        <v>237</v>
      </c>
      <c r="B14" s="31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output</vt:lpstr>
      <vt:lpstr>tables_7343</vt:lpstr>
      <vt:lpstr>tables_7345</vt:lpstr>
      <vt:lpstr>tables_settle_7344</vt:lpstr>
      <vt:lpstr>tables_settle_7346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2017-06-07T09:38:15Z</dcterms:modified>
</cp:coreProperties>
</file>