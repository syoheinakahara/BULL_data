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8320" yWindow="1180" windowWidth="36860" windowHeight="1904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enemy_skills!$A$1:$AD$1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2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X2" i="1"/>
  <c r="X3" i="1"/>
  <c r="X4" i="1"/>
  <c r="X5" i="1"/>
  <c r="H5" i="1"/>
  <c r="H4" i="1"/>
  <c r="H3" i="1"/>
  <c r="H2" i="1"/>
  <c r="AD5" i="1"/>
  <c r="AF5" i="1"/>
  <c r="AI5" i="1"/>
  <c r="AG5" i="1"/>
  <c r="AE5" i="1"/>
  <c r="E2" i="9"/>
  <c r="V5" i="1"/>
  <c r="T5" i="1"/>
  <c r="Q5" i="1"/>
  <c r="P5" i="1"/>
  <c r="O5" i="1"/>
  <c r="N5" i="1"/>
  <c r="M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D4" i="1"/>
  <c r="F4" i="1"/>
  <c r="E4" i="1"/>
  <c r="A4" i="1"/>
  <c r="G3" i="2"/>
  <c r="A3" i="2"/>
  <c r="B3" i="2"/>
  <c r="D3" i="2"/>
  <c r="E3" i="2"/>
  <c r="H3" i="2"/>
  <c r="G4" i="2"/>
  <c r="A4" i="2"/>
  <c r="B4" i="2"/>
  <c r="D4" i="2"/>
  <c r="E4" i="2"/>
  <c r="H4" i="2"/>
  <c r="W2" i="7"/>
  <c r="U2" i="7"/>
  <c r="V3" i="1"/>
  <c r="V2" i="1"/>
  <c r="T3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AI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I3" i="1"/>
  <c r="A2" i="9"/>
  <c r="D3" i="1"/>
  <c r="F3" i="1"/>
  <c r="E3" i="1"/>
  <c r="A2" i="7"/>
  <c r="I2" i="7"/>
  <c r="D2" i="7"/>
  <c r="F2" i="7"/>
  <c r="E2" i="7"/>
  <c r="D2" i="2"/>
  <c r="E2" i="2"/>
  <c r="H2" i="2"/>
  <c r="D2" i="1"/>
  <c r="E2" i="1"/>
  <c r="F2" i="1"/>
  <c r="B2" i="2"/>
  <c r="O2" i="10"/>
  <c r="V2" i="10"/>
  <c r="Y2" i="10"/>
  <c r="X2" i="10"/>
  <c r="Z2" i="10"/>
  <c r="W2" i="10"/>
  <c r="AA2" i="10"/>
  <c r="P2" i="10"/>
  <c r="S2" i="10"/>
  <c r="R2" i="10"/>
  <c r="T2" i="10"/>
  <c r="Q2" i="10"/>
  <c r="U2" i="10"/>
  <c r="I2" i="10"/>
  <c r="L2" i="10"/>
  <c r="K2" i="10"/>
  <c r="M2" i="10"/>
  <c r="J2" i="10"/>
  <c r="N2" i="10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<sst xmlns="http://schemas.openxmlformats.org/spreadsheetml/2006/main" count="1081" uniqueCount="309">
  <si>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</si>
  <si>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</si>
  <si>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</si>
  <si>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</si>
  <si>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</si>
  <si>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</si>
  <si>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</si>
  <si>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</si>
  <si>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</si>
  <si>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</si>
  <si>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</si>
  <si>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</si>
  <si>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</si>
  <si>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</si>
  <si>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</si>
  <si>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</si>
  <si>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</si>
  <si>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</si>
  <si>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</si>
  <si>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</si>
  <si>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</si>
  <si>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</si>
  <si>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</si>
  <si>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</si>
  <si>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</si>
  <si>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</si>
  <si>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</si>
  <si>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</si>
  <si>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</si>
  <si>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</si>
  <si>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</si>
  <si>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</si>
  <si>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</si>
  <si>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</si>
  <si>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</si>
  <si>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</si>
  <si>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</si>
  <si>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</si>
  <si>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</si>
  <si>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</si>
  <si>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</si>
  <si>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</si>
  <si>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</si>
  <si>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</si>
  <si>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</si>
  <si>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</si>
  <si>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</si>
  <si>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</si>
  <si>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</si>
  <si>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</si>
  <si>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</si>
  <si>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</si>
  <si>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</si>
  <si>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</si>
  <si>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</si>
  <si>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</si>
  <si>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</si>
  <si>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</si>
  <si>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</si>
  <si>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</si>
  <si>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</si>
  <si>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</si>
  <si>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</si>
  <si>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</si>
  <si>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</si>
  <si>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</si>
  <si>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</si>
  <si>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</si>
  <si>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</si>
  <si>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</si>
  <si>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</si>
  <si>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</si>
  <si>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</si>
  <si>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</si>
  <si>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</si>
  <si>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</si>
  <si>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</si>
  <si>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</si>
  <si>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</si>
  <si>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</si>
  <si>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</si>
  <si>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</si>
  <si>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</si>
  <si>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</si>
  <si>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</si>
  <si>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</si>
  <si>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</si>
  <si>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</si>
  <si>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</si>
  <si>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</si>
  <si>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</si>
  <si>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</si>
  <si>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</si>
  <si>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</si>
  <si>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</si>
  <si>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</si>
  <si>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</si>
  <si>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</si>
  <si>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</si>
  <si>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</si>
  <si>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</si>
  <si>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</si>
  <si>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</si>
  <si>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</si>
  <si>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</si>
  <si>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</si>
  <si>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</si>
  <si>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</si>
  <si>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</si>
  <si>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</si>
  <si>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</si>
  <si>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</si>
  <si>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</si>
  <si>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</si>
  <si>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</si>
  <si>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</si>
  <si>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</si>
  <si>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</si>
  <si>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</si>
  <si>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</si>
  <si>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</si>
  <si>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</si>
  <si>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</si>
  <si>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</si>
  <si>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</si>
  <si>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</si>
  <si>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</si>
  <si>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</si>
  <si>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</si>
  <si>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</si>
  <si>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</si>
  <si>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</si>
  <si>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</si>
  <si>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</si>
  <si>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</si>
  <si>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</si>
  <si>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</si>
  <si>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</si>
  <si>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</si>
  <si>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</si>
  <si>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</si>
  <si>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</si>
  <si>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</si>
  <si>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</si>
  <si>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</si>
  <si>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</si>
  <si>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</si>
  <si>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</si>
  <si>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</si>
  <si>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</si>
  <si>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</si>
  <si>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</si>
  <si>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</si>
  <si>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</si>
  <si>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</si>
  <si>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</si>
  <si>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</si>
  <si>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</si>
  <si>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</si>
  <si>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</si>
  <si>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</si>
  <si>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</si>
  <si>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</si>
  <si>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</si>
  <si>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</si>
  <si>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</si>
  <si>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</si>
  <si>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</si>
  <si>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</si>
  <si>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</si>
  <si>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</si>
  <si>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</si>
  <si>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</si>
  <si>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</si>
  <si>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</si>
  <si>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</si>
  <si>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</si>
  <si>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</si>
  <si>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</si>
  <si>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</si>
  <si>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</si>
  <si>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</si>
  <si>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</si>
  <si>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</si>
  <si>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</si>
  <si>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</si>
  <si>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</si>
  <si>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</si>
  <si>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</si>
  <si>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</si>
  <si>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</si>
  <si>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</si>
  <si>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</si>
  <si>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</si>
  <si>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</si>
  <si>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</si>
  <si>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</si>
  <si>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</si>
  <si>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</si>
  <si>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</si>
  <si>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</si>
  <si>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</si>
  <si>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</si>
  <si>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</si>
  <si>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</si>
  <si>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</si>
  <si>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</si>
  <si>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</si>
  <si>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</si>
  <si>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</si>
  <si>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</si>
  <si>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</si>
  <si>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</si>
  <si>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</si>
  <si>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</si>
  <si>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</si>
  <si>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</si>
  <si>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</si>
  <si>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</si>
  <si>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</si>
  <si>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</si>
  <si>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</si>
  <si>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</si>
  <si>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</si>
  <si>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</si>
  <si>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</si>
  <si>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</si>
  <si>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</si>
  <si>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</si>
  <si>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</si>
  <si>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</si>
  <si>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</si>
  <si>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</si>
  <si>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</si>
  <si>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</si>
  <si>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</si>
  <si>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</si>
  <si>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</si>
  <si>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</si>
  <si>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</si>
  <si>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</si>
  <si>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</si>
  <si>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</si>
  <si>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</si>
  <si>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</si>
  <si>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</si>
  <si>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</si>
  <si>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</si>
  <si>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</si>
  <si>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</si>
  <si>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</si>
  <si>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</si>
  <si>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</si>
  <si>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</si>
  <si>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</si>
  <si>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</si>
  <si>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</si>
  <si>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</si>
  <si>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</si>
  <si>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</si>
  <si>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</si>
  <si>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</si>
  <si>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</si>
  <si>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</si>
  <si>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</si>
  <si>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</si>
  <si>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[effect:critical, val:1.4, animation:enemy_critical]</t>
    <phoneticPr fontId="5"/>
  </si>
  <si>
    <t>ジェリー</t>
  </si>
  <si>
    <t>朱雀</t>
    <rPh sb="0" eb="2">
      <t>スザク</t>
    </rPh>
    <phoneticPr fontId="5"/>
  </si>
  <si>
    <t>アルフヘイム</t>
    <phoneticPr fontId="5"/>
  </si>
  <si>
    <t>アルフヘイム</t>
  </si>
  <si>
    <t>愛羽妖精 ファータ</t>
    <phoneticPr fontId="5"/>
  </si>
  <si>
    <t>愛羽妖精 ファータ</t>
  </si>
  <si>
    <t>愛を咲かせる春羽妖精　ファータ</t>
    <phoneticPr fontId="5"/>
  </si>
  <si>
    <t>愛を咲かせる春羽妖精　ファータ</t>
  </si>
  <si>
    <t>2every</t>
    <phoneticPr fontId="5"/>
  </si>
  <si>
    <t>開幕</t>
    <rPh sb="0" eb="2">
      <t>カイマク</t>
    </rPh>
    <phoneticPr fontId="5"/>
  </si>
  <si>
    <t>１ターン目</t>
    <rPh sb="4" eb="5">
      <t>メ</t>
    </rPh>
    <phoneticPr fontId="5"/>
  </si>
  <si>
    <t>2ターン目</t>
    <rPh sb="4" eb="5">
      <t>メ</t>
    </rPh>
    <phoneticPr fontId="5"/>
  </si>
  <si>
    <t>3ターン目</t>
    <rPh sb="4" eb="5">
      <t>メ</t>
    </rPh>
    <phoneticPr fontId="5"/>
  </si>
  <si>
    <t>3ターン目以降20%</t>
    <rPh sb="5" eb="7">
      <t>イコウ</t>
    </rPh>
    <phoneticPr fontId="5"/>
  </si>
  <si>
    <t>1ターン目</t>
    <phoneticPr fontId="5"/>
  </si>
  <si>
    <t>2ターン目</t>
    <phoneticPr fontId="5"/>
  </si>
  <si>
    <t>2ターン目以降2every</t>
    <rPh sb="5" eb="7">
      <t>イコウ</t>
    </rPh>
    <phoneticPr fontId="5"/>
  </si>
  <si>
    <t>クリティカル</t>
    <phoneticPr fontId="5"/>
  </si>
  <si>
    <t>全体攻撃</t>
    <phoneticPr fontId="5"/>
  </si>
  <si>
    <t>セリフ</t>
    <phoneticPr fontId="5"/>
  </si>
  <si>
    <t>5回連続攻撃</t>
    <phoneticPr fontId="5"/>
  </si>
  <si>
    <t>属性パネルを黄のダメージパネルに5個変換</t>
    <phoneticPr fontId="5"/>
  </si>
  <si>
    <t>緑パネルをプロテクト</t>
    <phoneticPr fontId="5"/>
  </si>
  <si>
    <t>緑パネルを赤パネルに10個変換</t>
    <phoneticPr fontId="5"/>
  </si>
  <si>
    <t>2回連続全体攻撃</t>
    <phoneticPr fontId="5"/>
  </si>
  <si>
    <t>赤・青・黄パネルを緑パネルに変換</t>
    <phoneticPr fontId="5"/>
  </si>
  <si>
    <t>2ターン防御力UP(5000)</t>
    <phoneticPr fontId="5"/>
  </si>
  <si>
    <t>ユニット1体にスリープ+単体攻撃</t>
  </si>
  <si>
    <t>緑パネルを吸収して単体攻撃</t>
    <phoneticPr fontId="5"/>
  </si>
  <si>
    <t>・ハートパネルを吸収して全体攻撃</t>
  </si>
  <si>
    <t xml:space="preserve">[effect:spread, val:0.4]    </t>
    <phoneticPr fontId="5"/>
  </si>
  <si>
    <t xml:space="preserve">[effect:rush, count:5, val:0.2]    </t>
    <phoneticPr fontId="5"/>
  </si>
  <si>
    <t>[effect:force_change_block, new_block:damage, target:normal, ignore01:block_negative, color:block_yellow, count:5, val:0.5, animation:change_block]</t>
    <phoneticPr fontId="5"/>
  </si>
  <si>
    <t xml:space="preserve">[effect:panel_freeze, target:normal, color:block_green, count:-1, break_count:1]    </t>
    <phoneticPr fontId="5"/>
  </si>
  <si>
    <t>[effect:force_change_block, new_block:block_red, target:block_green, count:10, val:0, animation:change_block]</t>
    <phoneticPr fontId="5"/>
  </si>
  <si>
    <t xml:space="preserve">[effect:spread, val:0.2],[effect:spread, val:0.4]    </t>
    <phoneticPr fontId="5"/>
  </si>
  <si>
    <t>[effect:force_change_block, new_block:block_green, target:normal, ignore01:block_green, count:0, val:0, animation:change_block]</t>
    <phoneticPr fontId="5"/>
  </si>
  <si>
    <t xml:space="preserve">[effect:enhance_unit, target:myself, turn:2, status:defense, val:5000, calc:add, animation:enhance_unit_all_defense01]    </t>
    <phoneticPr fontId="5"/>
  </si>
  <si>
    <t xml:space="preserve">[effect:damage_abnormal, target:unit_one, val:1, status:sleep, turn:2]    </t>
    <phoneticPr fontId="5"/>
  </si>
  <si>
    <t xml:space="preserve">[effect:break_attack_fix, target:unit_one, val:200, lowest_val:1800, count:-1, block01:block_green]    </t>
    <phoneticPr fontId="5"/>
  </si>
  <si>
    <t xml:space="preserve">[effect:break_attack_fix, target:unit_all, val:200, lowest_val:1800, count:-1, block01:block_heart]    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</si>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</sst>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rgb="FF00000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491"/>
        <bgColor rgb="FF000000"/>
      </patternFill>
    </fill>
    <fill>
      <patternFill patternType="solid">
        <fgColor rgb="FFFFFFE7"/>
        <bgColor indexed="64"/>
      </patternFill>
    </fill>
    <fill>
      <patternFill patternType="solid">
        <fgColor rgb="FFFFF491"/>
        <bgColor indexed="64"/>
      </patternFill>
    </fill>
    <fill>
      <patternFill patternType="solid">
        <fgColor rgb="FFF7EA76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32" borderId="7" xfId="0" applyFont="1" applyFill="1" applyBorder="1" applyAlignment="1">
      <alignment horizontal="center" vertical="center"/>
    </xf>
    <xf numFmtId="0" fontId="6" fillId="32" borderId="7" xfId="0" applyFont="1" applyFill="1" applyBorder="1" applyAlignment="1">
      <alignment vertical="center"/>
    </xf>
    <xf numFmtId="0" fontId="4" fillId="13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52" fillId="13" borderId="12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52" fillId="13" borderId="7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53" fillId="33" borderId="12" xfId="0" applyFont="1" applyFill="1" applyBorder="1" applyAlignment="1">
      <alignment horizontal="right" vertical="center" wrapText="1"/>
    </xf>
    <xf numFmtId="0" fontId="0" fillId="3" borderId="7" xfId="0" applyFont="1" applyFill="1" applyBorder="1" applyAlignment="1">
      <alignment horizontal="center" vertical="center"/>
    </xf>
    <xf numFmtId="9" fontId="23" fillId="0" borderId="12" xfId="0" applyNumberFormat="1" applyFont="1" applyFill="1" applyBorder="1" applyAlignment="1">
      <alignment horizontal="left" vertical="center" wrapText="1"/>
    </xf>
    <xf numFmtId="0" fontId="23" fillId="34" borderId="12" xfId="0" applyFont="1" applyFill="1" applyBorder="1" applyAlignment="1">
      <alignment horizontal="left" vertical="center" wrapText="1"/>
    </xf>
    <xf numFmtId="0" fontId="23" fillId="35" borderId="12" xfId="0" applyFont="1" applyFill="1" applyBorder="1" applyAlignment="1">
      <alignment horizontal="left" vertical="center" wrapText="1"/>
    </xf>
    <xf numFmtId="0" fontId="23" fillId="36" borderId="12" xfId="0" applyFont="1" applyFill="1" applyBorder="1" applyAlignment="1">
      <alignment horizontal="left" vertical="center" wrapText="1"/>
    </xf>
    <xf numFmtId="0" fontId="23" fillId="6" borderId="7" xfId="0" applyFont="1" applyFill="1" applyBorder="1" applyAlignment="1">
      <alignment horizontal="center" vertical="center"/>
    </xf>
    <xf numFmtId="0" fontId="23" fillId="0" borderId="12" xfId="0" applyFont="1" applyFill="1" applyBorder="1" applyAlignment="1">
      <alignment horizontal="left" vertical="center" wrapText="1"/>
    </xf>
    <xf numFmtId="0" fontId="23" fillId="0" borderId="0" xfId="0" applyFont="1" applyFill="1" applyAlignment="1">
      <alignment vertical="center"/>
    </xf>
    <xf numFmtId="0" fontId="23" fillId="37" borderId="12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horizontal="left" vertical="center"/>
    </xf>
    <xf numFmtId="0" fontId="52" fillId="0" borderId="7" xfId="0" applyFont="1" applyFill="1" applyBorder="1" applyAlignment="1">
      <alignment vertical="center"/>
    </xf>
    <xf numFmtId="0" fontId="52" fillId="3" borderId="7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1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3" sqref="A18:E2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308</v>
      </c>
      <c r="B2" s="55" t="s">
        <v>105</v>
      </c>
      <c r="C2" s="60">
        <v>65529</v>
      </c>
      <c r="D2" s="55" t="s">
        <v>106</v>
      </c>
      <c r="E2" s="54" t="str">
        <f>B2&amp;C2&amp;D2</f>
        <v>floors_65529.tmp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308</v>
      </c>
      <c r="B3" s="55" t="s">
        <v>108</v>
      </c>
      <c r="C3" s="60">
        <f>C$2</f>
        <v>65529</v>
      </c>
      <c r="D3" s="55" t="s">
        <v>106</v>
      </c>
      <c r="E3" s="54" t="str">
        <f>B3&amp;C3&amp;D3</f>
        <v>enemy_habitats_65529.tmp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178</v>
      </c>
    </row>
    <row r="4" spans="1:30" x14ac:dyDescent="0.15">
      <c r="A4" s="59" t="s">
        <v>308</v>
      </c>
      <c r="B4" s="55" t="s">
        <v>110</v>
      </c>
      <c r="C4" s="60">
        <f t="shared" ref="C4:C13" si="0">C$2</f>
        <v>65529</v>
      </c>
      <c r="D4" s="55" t="s">
        <v>106</v>
      </c>
      <c r="E4" s="54" t="str">
        <f>B4&amp;C4&amp;D4</f>
        <v>enemy_habitat_S_65529.tmp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308</v>
      </c>
      <c r="B5" s="55" t="s">
        <v>112</v>
      </c>
      <c r="C5" s="60">
        <f t="shared" si="0"/>
        <v>65529</v>
      </c>
      <c r="D5" s="55" t="s">
        <v>106</v>
      </c>
      <c r="E5" s="54" t="str">
        <f>B5&amp;C5&amp;D5</f>
        <v>enemy_skill_sets_65529.tmp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308</v>
      </c>
      <c r="B6" s="55" t="s">
        <v>114</v>
      </c>
      <c r="C6" s="60">
        <f t="shared" si="0"/>
        <v>65529</v>
      </c>
      <c r="D6" s="55" t="s">
        <v>115</v>
      </c>
      <c r="E6" s="54" t="str">
        <f t="shared" ref="E6:E10" si="1">B6&amp;C6&amp;D6</f>
        <v>enemy_skills_tmp_65529.tmp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308</v>
      </c>
      <c r="B7" s="55" t="s">
        <v>116</v>
      </c>
      <c r="C7" s="60">
        <f t="shared" si="0"/>
        <v>65529</v>
      </c>
      <c r="D7" s="55" t="s">
        <v>106</v>
      </c>
      <c r="E7" s="54" t="str">
        <f>B7&amp;C7&amp;D7</f>
        <v>enemy_skills_i18n_65529.tmp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308</v>
      </c>
      <c r="B8" s="55" t="s">
        <v>118</v>
      </c>
      <c r="C8" s="60">
        <f t="shared" si="0"/>
        <v>65529</v>
      </c>
      <c r="D8" s="55" t="s">
        <v>119</v>
      </c>
      <c r="E8" s="54" t="str">
        <f t="shared" si="1"/>
        <v>enemy_skill_triggers_65529.tmp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187</v>
      </c>
      <c r="B9" s="65" t="s">
        <v>177</v>
      </c>
      <c r="C9" s="60">
        <f t="shared" si="0"/>
        <v>65529</v>
      </c>
      <c r="D9" s="65" t="s">
        <v>171</v>
      </c>
      <c r="E9" s="66" t="str">
        <f t="shared" si="1"/>
        <v>stage_bug_bonuses_65529.tmp</v>
      </c>
      <c r="F9" s="65" t="s">
        <v>172</v>
      </c>
      <c r="G9" s="62" t="s">
        <v>149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187</v>
      </c>
      <c r="B10" s="65" t="s">
        <v>201</v>
      </c>
      <c r="C10" s="60">
        <f>C$2</f>
        <v>65529</v>
      </c>
      <c r="D10" s="65" t="s">
        <v>180</v>
      </c>
      <c r="E10" s="66" t="str">
        <f t="shared" si="1"/>
        <v>stage_hints_data_c_65529.tmp</v>
      </c>
      <c r="F10" s="65" t="s">
        <v>210</v>
      </c>
      <c r="G10" s="70" t="s">
        <v>181</v>
      </c>
      <c r="H10" s="70" t="s">
        <v>173</v>
      </c>
      <c r="I10" s="71" t="s">
        <v>182</v>
      </c>
      <c r="J10" s="64" t="s">
        <v>183</v>
      </c>
      <c r="K10" s="64" t="s">
        <v>184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2" customFormat="1" x14ac:dyDescent="0.15">
      <c r="A11" s="59" t="s">
        <v>187</v>
      </c>
      <c r="B11" s="65" t="s">
        <v>202</v>
      </c>
      <c r="C11" s="60">
        <f t="shared" si="0"/>
        <v>65529</v>
      </c>
      <c r="D11" s="65" t="s">
        <v>171</v>
      </c>
      <c r="E11" s="66" t="str">
        <f t="shared" ref="E11:E13" si="2">B11&amp;C11&amp;D11</f>
        <v>stage_hints_data_f_65529.tmp</v>
      </c>
      <c r="F11" s="65" t="s">
        <v>212</v>
      </c>
      <c r="G11" s="70" t="s">
        <v>181</v>
      </c>
      <c r="H11" s="70" t="s">
        <v>173</v>
      </c>
      <c r="I11" s="71" t="s">
        <v>182</v>
      </c>
      <c r="J11" s="64" t="s">
        <v>183</v>
      </c>
      <c r="K11" s="64" t="s">
        <v>184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2" customFormat="1" x14ac:dyDescent="0.15">
      <c r="A12" s="65" t="s">
        <v>203</v>
      </c>
      <c r="B12" s="65" t="s">
        <v>204</v>
      </c>
      <c r="C12" s="60">
        <f t="shared" si="0"/>
        <v>65529</v>
      </c>
      <c r="D12" s="65" t="s">
        <v>171</v>
      </c>
      <c r="E12" s="66" t="str">
        <f t="shared" si="2"/>
        <v>stage_hints_i18n_65529.tmp</v>
      </c>
      <c r="F12" s="65" t="s">
        <v>213</v>
      </c>
      <c r="G12" s="71" t="s">
        <v>205</v>
      </c>
      <c r="H12" s="93" t="s">
        <v>206</v>
      </c>
      <c r="I12" s="70" t="s">
        <v>207</v>
      </c>
      <c r="J12" s="102" t="s">
        <v>208</v>
      </c>
      <c r="K12" s="64" t="s">
        <v>209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2" customFormat="1" x14ac:dyDescent="0.15">
      <c r="A13" s="65" t="s">
        <v>261</v>
      </c>
      <c r="B13" s="65" t="s">
        <v>260</v>
      </c>
      <c r="C13" s="60">
        <f t="shared" si="0"/>
        <v>65529</v>
      </c>
      <c r="D13" s="65" t="s">
        <v>241</v>
      </c>
      <c r="E13" s="66" t="str">
        <f t="shared" si="2"/>
        <v>stage_bonuses_65529.tmp</v>
      </c>
      <c r="F13" s="65" t="s">
        <v>240</v>
      </c>
      <c r="G13" s="70" t="s">
        <v>242</v>
      </c>
      <c r="H13" s="70" t="s">
        <v>243</v>
      </c>
      <c r="I13" s="70" t="s">
        <v>244</v>
      </c>
      <c r="J13" s="70" t="s">
        <v>245</v>
      </c>
      <c r="K13" s="70" t="s">
        <v>246</v>
      </c>
      <c r="L13" s="70" t="s">
        <v>247</v>
      </c>
      <c r="M13" s="70" t="s">
        <v>248</v>
      </c>
      <c r="N13" s="70" t="s">
        <v>249</v>
      </c>
      <c r="O13" s="70" t="s">
        <v>250</v>
      </c>
      <c r="P13" s="70" t="s">
        <v>251</v>
      </c>
      <c r="Q13" s="70" t="s">
        <v>252</v>
      </c>
      <c r="R13" s="70" t="s">
        <v>253</v>
      </c>
      <c r="S13" s="70" t="s">
        <v>254</v>
      </c>
      <c r="T13" s="70" t="s">
        <v>255</v>
      </c>
      <c r="U13" s="70" t="s">
        <v>256</v>
      </c>
      <c r="V13" s="70" t="s">
        <v>257</v>
      </c>
      <c r="W13" s="70" t="s">
        <v>258</v>
      </c>
      <c r="X13" s="70" t="s">
        <v>259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tabSelected="1" workbookViewId="0">
      <pane ySplit="1" topLeftCell="A2" activePane="bottomLeft" state="frozen"/>
      <selection activeCell="V2" sqref="V2:X34"/>
      <selection pane="bottomLeft" activeCell="H15" sqref="H1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65529_1-1</v>
      </c>
      <c r="B2" s="15" t="str">
        <f>IF(COUNTIF(enemy_habitats!$H:$H,A2),"OK","NG")</f>
        <v>OK</v>
      </c>
      <c r="C2" s="7">
        <v>65529</v>
      </c>
      <c r="D2" s="11" t="str">
        <f ca="1">VLOOKUP($C2,OFFSET([2]quests!$A$1,0,0,COUNTA([2]quests!$A:$A),MATCH(D$1,[2]quests!$1:$1,0)-MATCH($C$1,[2]quests!$1:$1,0)+1),MATCH(D$1,[2]quests!$1:$1,0)-MATCH($C$1,[2]quests!$1:$1,0)+1,FALSE)</f>
        <v>【LB中原】検証クエスト</v>
      </c>
      <c r="E2" s="17" t="str">
        <f ca="1">VLOOKUP($C2,OFFSET([2]quests!$A$1,0,0,COUNTA([2]quests!$A:$A),MATCH(E$1,[2]quests!$1:$1,0)-MATCH($C$1,[2]quests!$1:$1,0)+1),MATCH(E$1,[2]quests!$1:$1,0)-MATCH($C$1,[2]quests!$1:$1,0)+1,FALSE)</f>
        <v>検証</v>
      </c>
      <c r="F2" s="106">
        <v>1</v>
      </c>
      <c r="G2" s="22" t="str">
        <f>C2&amp;"_"&amp;F2</f>
        <v>65529_1</v>
      </c>
      <c r="H2" s="14" t="str">
        <f ca="1">VLOOKUP($G2,OFFSET([2]stages!$A$1,0,0,COUNTA([2]stages!$A:$A),MATCH(H$1,[2]stages!$2:$2,0)-MATCH($G$1,[2]stages!$2:$2,0)+1),MATCH(H$1,[2]stages!$2:$2,0)-MATCH($G$1,[2]stages!$2:$2,0)+1,FALSE)</f>
        <v>【LB中原】検証</v>
      </c>
      <c r="I2" s="106">
        <v>1</v>
      </c>
      <c r="J2" s="107">
        <v>35</v>
      </c>
      <c r="K2" s="107">
        <v>35</v>
      </c>
    </row>
    <row r="3" spans="1:11" ht="21" customHeight="1" x14ac:dyDescent="0.15">
      <c r="A3" s="15" t="str">
        <f t="shared" ref="A3:A4" si="0">G3&amp;"-"&amp;I3</f>
        <v>65529_1-2</v>
      </c>
      <c r="B3" s="15" t="str">
        <f>IF(COUNTIF(enemy_habitats!$H:$H,A3),"OK","NG")</f>
        <v>OK</v>
      </c>
      <c r="C3" s="7">
        <v>65529</v>
      </c>
      <c r="D3" s="11" t="str">
        <f ca="1">VLOOKUP($C3,OFFSET([2]quests!$A$1,0,0,COUNTA([2]quests!$A:$A),MATCH(D$1,[2]quests!$1:$1,0)-MATCH($C$1,[2]quests!$1:$1,0)+1),MATCH(D$1,[2]quests!$1:$1,0)-MATCH($C$1,[2]quests!$1:$1,0)+1,FALSE)</f>
        <v>【LB中原】検証クエスト</v>
      </c>
      <c r="E3" s="17" t="str">
        <f ca="1">VLOOKUP($C3,OFFSET([2]quests!$A$1,0,0,COUNTA([2]quests!$A:$A),MATCH(E$1,[2]quests!$1:$1,0)-MATCH($C$1,[2]quests!$1:$1,0)+1),MATCH(E$1,[2]quests!$1:$1,0)-MATCH($C$1,[2]quests!$1:$1,0)+1,FALSE)</f>
        <v>検証</v>
      </c>
      <c r="F3" s="106">
        <v>1</v>
      </c>
      <c r="G3" s="22" t="str">
        <f t="shared" ref="G3:G4" si="1">C3&amp;"_"&amp;F3</f>
        <v>65529_1</v>
      </c>
      <c r="H3" s="14" t="str">
        <f ca="1">VLOOKUP($G3,OFFSET([2]stages!$A$1,0,0,COUNTA([2]stages!$A:$A),MATCH(H$1,[2]stages!$2:$2,0)-MATCH($G$1,[2]stages!$2:$2,0)+1),MATCH(H$1,[2]stages!$2:$2,0)-MATCH($G$1,[2]stages!$2:$2,0)+1,FALSE)</f>
        <v>【LB中原】検証</v>
      </c>
      <c r="I3" s="106">
        <v>2</v>
      </c>
      <c r="J3" s="107">
        <v>30</v>
      </c>
      <c r="K3" s="107">
        <v>30</v>
      </c>
    </row>
    <row r="4" spans="1:11" ht="21" customHeight="1" x14ac:dyDescent="0.15">
      <c r="A4" s="15" t="str">
        <f t="shared" si="0"/>
        <v>65529_1-3</v>
      </c>
      <c r="B4" s="15" t="str">
        <f>IF(COUNTIF(enemy_habitats!$H:$H,A4),"OK","NG")</f>
        <v>OK</v>
      </c>
      <c r="C4" s="7">
        <v>65529</v>
      </c>
      <c r="D4" s="11" t="str">
        <f ca="1">VLOOKUP($C4,OFFSET([2]quests!$A$1,0,0,COUNTA([2]quests!$A:$A),MATCH(D$1,[2]quests!$1:$1,0)-MATCH($C$1,[2]quests!$1:$1,0)+1),MATCH(D$1,[2]quests!$1:$1,0)-MATCH($C$1,[2]quests!$1:$1,0)+1,FALSE)</f>
        <v>【LB中原】検証クエスト</v>
      </c>
      <c r="E4" s="17" t="str">
        <f ca="1">VLOOKUP($C4,OFFSET([2]quests!$A$1,0,0,COUNTA([2]quests!$A:$A),MATCH(E$1,[2]quests!$1:$1,0)-MATCH($C$1,[2]quests!$1:$1,0)+1),MATCH(E$1,[2]quests!$1:$1,0)-MATCH($C$1,[2]quests!$1:$1,0)+1,FALSE)</f>
        <v>検証</v>
      </c>
      <c r="F4" s="20">
        <v>1</v>
      </c>
      <c r="G4" s="22" t="str">
        <f t="shared" si="1"/>
        <v>65529_1</v>
      </c>
      <c r="H4" s="14" t="str">
        <f ca="1">VLOOKUP($G4,OFFSET([2]stages!$A$1,0,0,COUNTA([2]stages!$A:$A),MATCH(H$1,[2]stages!$2:$2,0)-MATCH($G$1,[2]stages!$2:$2,0)+1),MATCH(H$1,[2]stages!$2:$2,0)-MATCH($G$1,[2]stages!$2:$2,0)+1,FALSE)</f>
        <v>【LB中原】検証</v>
      </c>
      <c r="I4" s="106">
        <v>3</v>
      </c>
      <c r="J4" s="107">
        <v>60</v>
      </c>
      <c r="K4" s="10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Q5" sqref="Q5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customWidth="1" outlineLevel="1"/>
    <col min="32" max="32" width="8" style="13" customWidth="1" outlineLevel="1"/>
    <col min="33" max="33" width="12" style="13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3" t="s">
        <v>262</v>
      </c>
      <c r="U1" s="25" t="s">
        <v>50</v>
      </c>
      <c r="V1" s="103" t="s">
        <v>263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179</v>
      </c>
    </row>
    <row r="2" spans="1:42" ht="21" customHeight="1" x14ac:dyDescent="0.15">
      <c r="A2" s="15" t="str">
        <f>B2&amp;"_"&amp;C2&amp;"-"&amp;G2&amp;"/"&amp;L2&amp;"&lt;lv"&amp;R2&amp;"&gt;s"&amp;AC2</f>
        <v>65529_1-1/1&lt;lv9&gt;s2</v>
      </c>
      <c r="B2" s="21">
        <v>65529</v>
      </c>
      <c r="C2" s="108">
        <v>1</v>
      </c>
      <c r="D2" s="2" t="str">
        <f>B2&amp;"_"&amp;C2</f>
        <v>65529_1</v>
      </c>
      <c r="E2" s="4" t="str">
        <f ca="1">VLOOKUP($B2,OFFSET([2]quests!$A$1,0,0,COUNTA([2]quests!$A:$A),MATCH(E$1,[2]quests!$1:$1,0)-MATCH($B$1,[2]quests!$1:$1,0)+1),MATCH(E$1,[2]quests!$1:$1,0)-MATCH($B$1,[2]quests!$1:$1,0)+1,FALSE)</f>
        <v>【LB中原】検証クエスト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【LB中原】検証</v>
      </c>
      <c r="G2" s="109">
        <v>1</v>
      </c>
      <c r="H2" s="110" t="str">
        <f>B2&amp;"_"&amp;C2&amp;"-"&amp;G2</f>
        <v>65529_1-1</v>
      </c>
      <c r="I2" s="4" t="e">
        <v>#VALUE!</v>
      </c>
      <c r="J2" s="4" t="e">
        <v>#VALUE!</v>
      </c>
      <c r="K2" s="111" t="s">
        <v>53</v>
      </c>
      <c r="L2" s="112">
        <v>1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9</v>
      </c>
      <c r="S2" s="24">
        <v>5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10500</v>
      </c>
      <c r="U2" s="24">
        <v>1.3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999.7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13">
        <v>65529001</v>
      </c>
      <c r="Z2" s="6">
        <v>1</v>
      </c>
      <c r="AA2" s="6">
        <v>100</v>
      </c>
      <c r="AB2" s="6">
        <v>0</v>
      </c>
      <c r="AC2" s="114">
        <v>2</v>
      </c>
      <c r="AD2" s="23">
        <f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3">
        <f ca="1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>B3&amp;"_"&amp;C3&amp;"-"&amp;G3&amp;"/"&amp;L3&amp;"&lt;lv"&amp;R3&amp;"&gt;s"&amp;AC3</f>
        <v>65529_1-1/85&lt;lv2&gt;s1</v>
      </c>
      <c r="B3" s="21">
        <v>65529</v>
      </c>
      <c r="C3" s="108">
        <v>1</v>
      </c>
      <c r="D3" s="2" t="str">
        <f>B3&amp;"_"&amp;C3</f>
        <v>65529_1</v>
      </c>
      <c r="E3" s="4" t="str">
        <f ca="1">VLOOKUP($B3,OFFSET([2]quests!$A$1,0,0,COUNTA([2]quests!$A:$A),MATCH(E$1,[2]quests!$1:$1,0)-MATCH($B$1,[2]quests!$1:$1,0)+1),MATCH(E$1,[2]quests!$1:$1,0)-MATCH($B$1,[2]quests!$1:$1,0)+1,FALSE)</f>
        <v>【LB中原】検証クエスト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【LB中原】検証</v>
      </c>
      <c r="G3" s="109">
        <v>1</v>
      </c>
      <c r="H3" s="110" t="str">
        <f>B3&amp;"_"&amp;C3&amp;"-"&amp;G3</f>
        <v>65529_1-1</v>
      </c>
      <c r="I3" s="4" t="e">
        <v>#VALUE!</v>
      </c>
      <c r="J3" s="4" t="e">
        <v>#VALUE!</v>
      </c>
      <c r="K3" s="111" t="s">
        <v>53</v>
      </c>
      <c r="L3" s="112">
        <v>85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朱雀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2</v>
      </c>
      <c r="S3" s="24">
        <v>4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20020</v>
      </c>
      <c r="U3" s="24">
        <v>7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2058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113">
        <v>65529002</v>
      </c>
      <c r="Z3" s="6">
        <v>1</v>
      </c>
      <c r="AA3" s="6">
        <v>100</v>
      </c>
      <c r="AB3" s="6">
        <v>0</v>
      </c>
      <c r="AC3" s="114">
        <v>1</v>
      </c>
      <c r="AD3" s="23">
        <f>L3</f>
        <v>85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朱雀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3">
        <f ca="1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>B4&amp;"_"&amp;C4&amp;"-"&amp;G4&amp;"/"&amp;L4&amp;"&lt;lv"&amp;R4&amp;"&gt;s"&amp;AC4</f>
        <v>65529_1-2/594&lt;lv9&gt;s1</v>
      </c>
      <c r="B4" s="21">
        <v>65529</v>
      </c>
      <c r="C4" s="108">
        <v>1</v>
      </c>
      <c r="D4" s="2" t="str">
        <f>B4&amp;"_"&amp;C4</f>
        <v>65529_1</v>
      </c>
      <c r="E4" s="4" t="str">
        <f ca="1">VLOOKUP($B4,OFFSET([2]quests!$A$1,0,0,COUNTA([2]quests!$A:$A),MATCH(E$1,[2]quests!$1:$1,0)-MATCH($B$1,[2]quests!$1:$1,0)+1),MATCH(E$1,[2]quests!$1:$1,0)-MATCH($B$1,[2]quests!$1:$1,0)+1,FALSE)</f>
        <v>【LB中原】検証クエスト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【LB中原】検証</v>
      </c>
      <c r="G4" s="109">
        <v>2</v>
      </c>
      <c r="H4" s="110" t="str">
        <f>B4&amp;"_"&amp;C4&amp;"-"&amp;G4</f>
        <v>65529_1-2</v>
      </c>
      <c r="I4" s="4" t="e">
        <v>#VALUE!</v>
      </c>
      <c r="J4" s="4" t="e">
        <v>#VALUE!</v>
      </c>
      <c r="K4" s="111" t="s">
        <v>53</v>
      </c>
      <c r="L4" s="112">
        <v>594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アルフヘイム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9</v>
      </c>
      <c r="S4" s="24">
        <v>2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30768</v>
      </c>
      <c r="U4" s="24">
        <v>1.9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2988.7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13">
        <v>65529003</v>
      </c>
      <c r="Z4" s="6">
        <v>1</v>
      </c>
      <c r="AA4" s="6">
        <v>100</v>
      </c>
      <c r="AB4" s="6">
        <v>0</v>
      </c>
      <c r="AC4" s="114">
        <v>1</v>
      </c>
      <c r="AD4" s="23">
        <f>L4</f>
        <v>594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アルフヘイム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3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>B5&amp;"_"&amp;C5&amp;"-"&amp;G5&amp;"/"&amp;L5&amp;"&lt;lv"&amp;R5&amp;"&gt;s"&amp;AC5</f>
        <v>65529_1-3/477&lt;lv18&gt;s2</v>
      </c>
      <c r="B5" s="21">
        <v>65529</v>
      </c>
      <c r="C5" s="108">
        <v>1</v>
      </c>
      <c r="D5" s="2" t="str">
        <f>B5&amp;"_"&amp;C5</f>
        <v>65529_1</v>
      </c>
      <c r="E5" s="4" t="str">
        <f ca="1">VLOOKUP($B5,OFFSET([2]quests!$A$1,0,0,COUNTA([2]quests!$A:$A),MATCH(E$1,[2]quests!$1:$1,0)-MATCH($B$1,[2]quests!$1:$1,0)+1),MATCH(E$1,[2]quests!$1:$1,0)-MATCH($B$1,[2]quests!$1:$1,0)+1,FALSE)</f>
        <v>【LB中原】検証クエスト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【LB中原】検証</v>
      </c>
      <c r="G5" s="109">
        <v>3</v>
      </c>
      <c r="H5" s="110" t="str">
        <f>B5&amp;"_"&amp;C5&amp;"-"&amp;G5</f>
        <v>65529_1-3</v>
      </c>
      <c r="I5" s="4" t="e">
        <v>#VALUE!</v>
      </c>
      <c r="J5" s="4" t="e">
        <v>#VALUE!</v>
      </c>
      <c r="K5" s="111">
        <v>1</v>
      </c>
      <c r="L5" s="112">
        <v>477</v>
      </c>
      <c r="M5" s="16" t="str">
        <f ca="1">VLOOKUP($L5,OFFSET([3]enemies!$A$1,0,0,COUNTA([3]enemies!$A:$A),MATCH(M$1,[3]enemies!$1:$1,0)-MATCH($L$1,[3]enemies!$1:$1,0)+1),MATCH(M$1,[3]enemies!$1:$1,0)-MATCH($L$1,[3]enemies!$1:$1,0)+1,FALSE)</f>
        <v>愛羽妖精 ファータ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18</v>
      </c>
      <c r="S5" s="24">
        <v>5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103430</v>
      </c>
      <c r="U5" s="24">
        <v>2.7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4079.7000000000003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緑パネルを赤パネルに10個変換</v>
      </c>
      <c r="Y5" s="113">
        <v>65529004</v>
      </c>
      <c r="Z5" s="6">
        <v>1</v>
      </c>
      <c r="AA5" s="6">
        <v>100</v>
      </c>
      <c r="AB5" s="6">
        <v>1</v>
      </c>
      <c r="AC5" s="114">
        <v>2</v>
      </c>
      <c r="AD5" s="23">
        <f>L5</f>
        <v>477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愛羽妖精 ファータ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3">
        <f ca="1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2" sqref="N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4.83203125" style="3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3" t="s">
        <v>262</v>
      </c>
      <c r="V1" s="25" t="s">
        <v>50</v>
      </c>
      <c r="W1" s="103" t="s">
        <v>263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65529_1-3/1173&lt;lv13&gt;sq1st2</v>
      </c>
      <c r="B2" s="21">
        <v>65529</v>
      </c>
      <c r="C2" s="20">
        <v>1</v>
      </c>
      <c r="D2" s="2" t="str">
        <f>B2&amp;"_"&amp;C2</f>
        <v>65529_1</v>
      </c>
      <c r="E2" s="4" t="str">
        <f ca="1">VLOOKUP($B2,OFFSET([2]quests!$A$1,0,0,COUNTA([2]quests!$A:$A),MATCH(E$1,[2]quests!$1:$1,0)-MATCH($B$1,[2]quests!$1:$1,0)+1),MATCH(E$1,[2]quests!$1:$1,0)-MATCH($B$1,[2]quests!$1:$1,0)+1,FALSE)</f>
        <v>【LB中原】検証クエスト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【LB中原】検証</v>
      </c>
      <c r="G2" s="20">
        <v>3</v>
      </c>
      <c r="H2" s="14" t="str">
        <f>B2&amp;"_"&amp;C2&amp;"-"&amp;G2</f>
        <v>65529_1-3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1173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愛を咲かせる春羽妖精 ファータ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13</v>
      </c>
      <c r="T2" s="24">
        <v>5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100570</v>
      </c>
      <c r="V2" s="24">
        <v>3.3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3993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5">
        <v>65529010</v>
      </c>
      <c r="AA2" s="11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K18" sqref="K18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0.6640625" style="48" customWidth="1"/>
    <col min="3" max="3" width="10.83203125" style="48" customWidth="1"/>
    <col min="4" max="4" width="18.5" style="48" customWidth="1" outlineLevel="1"/>
    <col min="5" max="5" width="44.1640625" style="48" bestFit="1" customWidth="1" outlineLevel="1"/>
    <col min="6" max="6" width="11.33203125" style="48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65529001_65529532</v>
      </c>
      <c r="B2" s="115">
        <v>65529001</v>
      </c>
      <c r="C2" s="117">
        <v>65529532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ジェリー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2" s="117">
        <v>65529532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6"/>
      <c r="Q2" s="46"/>
      <c r="R2" s="46"/>
    </row>
    <row r="3" spans="1:18" ht="21" customHeight="1" x14ac:dyDescent="0.15">
      <c r="A3" s="38" t="str">
        <f t="shared" ref="A3:A15" si="1">B3&amp;"_"&amp;C3</f>
        <v>65529002_65529533</v>
      </c>
      <c r="B3" s="115">
        <v>65529002</v>
      </c>
      <c r="C3" s="117">
        <v>65529533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朱雀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117">
        <v>65529533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65529003_65529534</v>
      </c>
      <c r="B4" s="115">
        <v>65529003</v>
      </c>
      <c r="C4" s="117">
        <v>65529534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アルフヘイム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セリフ</v>
      </c>
      <c r="F4" s="117">
        <v>65529534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65529003_65529535</v>
      </c>
      <c r="B5" s="115">
        <v>65529003</v>
      </c>
      <c r="C5" s="117">
        <v>65529535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アルフヘイム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117">
        <v>65529535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65529003_65529536</v>
      </c>
      <c r="B6" s="115">
        <v>65529003</v>
      </c>
      <c r="C6" s="117">
        <v>65529536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アルフヘイム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属性パネルを黄のダメージパネルに5個変換</v>
      </c>
      <c r="F6" s="117">
        <v>65529536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65529003_65529537</v>
      </c>
      <c r="B7" s="115">
        <v>65529003</v>
      </c>
      <c r="C7" s="117">
        <v>65529537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アルフヘイム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緑パネルをプロテクト</v>
      </c>
      <c r="F7" s="117">
        <v>65529537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65529003_65529538</v>
      </c>
      <c r="B8" s="115">
        <v>65529003</v>
      </c>
      <c r="C8" s="117">
        <v>65529538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アルフヘイム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8" s="117">
        <v>65529538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6"/>
      <c r="Q8" s="46"/>
      <c r="R8" s="46"/>
    </row>
    <row r="9" spans="1:18" ht="21" customHeight="1" x14ac:dyDescent="0.15">
      <c r="A9" s="38" t="str">
        <f t="shared" si="1"/>
        <v>65529004_65529539</v>
      </c>
      <c r="B9" s="115">
        <v>65529004</v>
      </c>
      <c r="C9" s="117">
        <v>65529539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愛羽妖精 ファータ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緑パネルを赤パネルに10個変換</v>
      </c>
      <c r="F9" s="117">
        <v>65529539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65529004_65529540</v>
      </c>
      <c r="B10" s="115">
        <v>65529004</v>
      </c>
      <c r="C10" s="117">
        <v>65529540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愛羽妖精 ファータ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10" s="117">
        <v>65529540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6"/>
      <c r="Q10" s="46"/>
      <c r="R10" s="46"/>
    </row>
    <row r="11" spans="1:18" ht="21" customHeight="1" x14ac:dyDescent="0.15">
      <c r="A11" s="38" t="str">
        <f t="shared" si="1"/>
        <v>65529010_65529541</v>
      </c>
      <c r="B11" s="115">
        <v>65529010</v>
      </c>
      <c r="C11" s="117">
        <v>65529541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愛を咲かせる春羽妖精　ファータ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赤・青・黄パネルを緑パネルに変換</v>
      </c>
      <c r="F11" s="117">
        <v>65529541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65529010_65529542</v>
      </c>
      <c r="B12" s="115">
        <v>65529010</v>
      </c>
      <c r="C12" s="117">
        <v>65529542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愛を咲かせる春羽妖精　ファータ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2ターン防御力UP(5000)</v>
      </c>
      <c r="F12" s="117">
        <v>65529542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65529010_65529543</v>
      </c>
      <c r="B13" s="115">
        <v>65529010</v>
      </c>
      <c r="C13" s="117">
        <v>65529543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愛を咲かせる春羽妖精　ファータ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ユニット1体にスリープ+単体攻撃</v>
      </c>
      <c r="F13" s="117">
        <v>65529543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65529010_65529544</v>
      </c>
      <c r="B14" s="115">
        <v>65529010</v>
      </c>
      <c r="C14" s="117">
        <v>65529544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愛を咲かせる春羽妖精　ファータ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緑パネルを吸収して単体攻撃</v>
      </c>
      <c r="F14" s="117">
        <v>65529544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65529010_65529545</v>
      </c>
      <c r="B15" s="115">
        <v>65529010</v>
      </c>
      <c r="C15" s="117">
        <v>65529545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愛を咲かせる春羽妖精　ファータ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・ハートパネルを吸収して全体攻撃</v>
      </c>
      <c r="F15" s="117">
        <v>65529545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</sheetData>
  <autoFilter ref="A1:R1"/>
  <phoneticPr fontId="5"/>
  <conditionalFormatting sqref="F2:F15">
    <cfRule type="containsText" dxfId="50" priority="1" operator="containsText" text="死亡">
      <formula>NOT(ISERROR(SEARCH("死亡",F2)))</formula>
    </cfRule>
    <cfRule type="containsText" dxfId="49" priority="2" operator="containsText" text="開幕">
      <formula>NOT(ISERROR(SEARCH("開幕",F2)))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15"/>
  <sheetViews>
    <sheetView showGridLines="0" workbookViewId="0">
      <pane ySplit="1" topLeftCell="A2" activePane="bottomLeft" state="frozenSplit"/>
      <selection pane="bottomLeft" activeCell="B18" sqref="B18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43.5" style="48" customWidth="1"/>
    <col min="3" max="5" width="4.5" style="48" customWidth="1"/>
    <col min="6" max="6" width="39.6640625" style="48" customWidth="1"/>
    <col min="7" max="7" width="14.5" style="125" customWidth="1"/>
    <col min="8" max="8" width="36.33203125" style="48" customWidth="1"/>
    <col min="9" max="9" width="52" style="48" hidden="1" customWidth="1" outlineLevel="1"/>
    <col min="10" max="10" width="18.33203125" style="48" hidden="1" customWidth="1" outlineLevel="1"/>
    <col min="11" max="13" width="18.6640625" style="48" hidden="1" customWidth="1" outlineLevel="1"/>
    <col min="14" max="14" width="23.6640625" style="48" hidden="1" customWidth="1" collapsed="1"/>
    <col min="15" max="20" width="23.6640625" style="48" hidden="1" customWidth="1" outlineLevel="1"/>
    <col min="21" max="21" width="23.6640625" style="48" hidden="1" customWidth="1" collapsed="1"/>
    <col min="22" max="26" width="23.6640625" style="48" hidden="1" customWidth="1" outlineLevel="1"/>
    <col min="27" max="27" width="23.6640625" style="48" hidden="1" customWidth="1" collapsed="1"/>
    <col min="28" max="29" width="0" style="48" hidden="1" customWidth="1"/>
    <col min="30" max="30" width="18.5" style="48" hidden="1" customWidth="1"/>
    <col min="31" max="31" width="74.83203125" style="48" customWidth="1"/>
    <col min="32" max="16384" width="12.83203125" style="48"/>
  </cols>
  <sheetData>
    <row r="1" spans="1:31" ht="21" customHeight="1" x14ac:dyDescent="0.15">
      <c r="A1" s="39" t="s">
        <v>79</v>
      </c>
      <c r="B1" s="39" t="s">
        <v>80</v>
      </c>
      <c r="C1" s="39" t="s">
        <v>81</v>
      </c>
      <c r="D1" s="39" t="s">
        <v>125</v>
      </c>
      <c r="E1" s="39"/>
      <c r="F1" s="39" t="s">
        <v>82</v>
      </c>
      <c r="G1" s="123"/>
      <c r="H1" s="39" t="s">
        <v>83</v>
      </c>
      <c r="I1" s="40" t="s">
        <v>131</v>
      </c>
      <c r="J1" s="40" t="s">
        <v>137</v>
      </c>
      <c r="K1" s="40" t="s">
        <v>139</v>
      </c>
      <c r="L1" s="40" t="s">
        <v>138</v>
      </c>
      <c r="M1" s="40" t="s">
        <v>140</v>
      </c>
      <c r="N1" s="40" t="s">
        <v>132</v>
      </c>
      <c r="O1" s="40" t="s">
        <v>130</v>
      </c>
      <c r="P1" s="40" t="s">
        <v>133</v>
      </c>
      <c r="Q1" s="40" t="s">
        <v>141</v>
      </c>
      <c r="R1" s="40" t="s">
        <v>142</v>
      </c>
      <c r="S1" s="40" t="s">
        <v>143</v>
      </c>
      <c r="T1" s="40" t="s">
        <v>144</v>
      </c>
      <c r="U1" s="40" t="s">
        <v>134</v>
      </c>
      <c r="V1" s="40" t="s">
        <v>135</v>
      </c>
      <c r="W1" s="40" t="s">
        <v>145</v>
      </c>
      <c r="X1" s="40" t="s">
        <v>146</v>
      </c>
      <c r="Y1" s="40" t="s">
        <v>147</v>
      </c>
      <c r="Z1" s="40" t="s">
        <v>148</v>
      </c>
      <c r="AA1" s="40" t="s">
        <v>136</v>
      </c>
      <c r="AB1" s="40" t="s">
        <v>76</v>
      </c>
      <c r="AC1" s="40" t="s">
        <v>77</v>
      </c>
      <c r="AD1" s="40" t="s">
        <v>78</v>
      </c>
      <c r="AE1" s="118" t="s">
        <v>265</v>
      </c>
    </row>
    <row r="2" spans="1:31" ht="21" customHeight="1" x14ac:dyDescent="0.15">
      <c r="A2" s="117">
        <v>65529532</v>
      </c>
      <c r="B2" s="47" t="str">
        <f>"[effect:enemy_message, val1:"&amp;TEXT(IF(TEXT(F2,0)="[表示しない]", "0", IF(LEN(SUBSTITUTE(F2,CHAR(13),""))*0.1&lt;1.2, 1.2, LEN(SUBSTITUTE(F2,CHAR(13),""))*0.1)), "0.0")&amp;", val2:"&amp;TEXT(IF(TEXT(H2,0)="[表示しない]", "0", IF(LEN(SUBSTITUTE(H2,CHAR(13),""))*0.1&lt;1.2, 1.2, LEN(SUBSTITUTE(H2,CHAR(13),""))*0.1)),"0.0")&amp;"]"&amp;IF(LEN(AE2)&gt;0, ","&amp;SUBSTITUTE(AE2,CHAR(13),""),SUBSTITUTE(AE2,CHAR(13),""))</f>
        <v>[effect:enemy_message, val1:1.2, val2:1.2],[effect:critical, val:1.4, animation:enemy_critical]</v>
      </c>
      <c r="C2" s="49">
        <v>1</v>
      </c>
      <c r="D2" s="49" t="s">
        <v>126</v>
      </c>
      <c r="E2" s="127"/>
      <c r="F2" s="120" t="s">
        <v>267</v>
      </c>
      <c r="G2" s="119">
        <v>0.5</v>
      </c>
      <c r="H2" s="124" t="s">
        <v>284</v>
      </c>
      <c r="I2" s="61" t="str">
        <f>IFERROR(LEFT(B2,FIND("],",B2)),B2)</f>
        <v>[effect:enemy_message, val1:1.2, val2:1.2]</v>
      </c>
      <c r="J2" s="61">
        <f>FIND("effect:",I2)+7</f>
        <v>9</v>
      </c>
      <c r="K2" s="61">
        <f>IFERROR(FIND(",",I2),LEN(I2))</f>
        <v>22</v>
      </c>
      <c r="L2" s="61" t="e">
        <f>FIND("target:",I2)+7</f>
        <v>#VALUE!</v>
      </c>
      <c r="M2" s="61">
        <f>FIND(",",I2,K2+1)</f>
        <v>32</v>
      </c>
      <c r="N2" s="61" t="str">
        <f>IFERROR(VLOOKUP(MID(I2,L2,M2-L2),[6]skilldef!$C:$D,2,FALSE),"-") &amp; " / " &amp; IFERROR(VLOOKUP(MID(I2,J2,K2-J2),[6]skilldef!$A:$B,2,FALSE),"-")</f>
        <v>- / -</v>
      </c>
      <c r="O2" s="61" t="str">
        <f>IFERROR(RIGHT(B2,LEN(B2)-FIND("],",B2)-1),"none")</f>
        <v>[effect:critical, val:1.4, animation:enemy_critical]</v>
      </c>
      <c r="P2" s="47" t="str">
        <f>IFERROR(LEFT(O2,FIND("],",O2)+U12),O2)</f>
        <v>[effect:critical, val:1.4, animation:enemy_critical]</v>
      </c>
      <c r="Q2" s="61">
        <f>FIND("effect:",P2)+7</f>
        <v>9</v>
      </c>
      <c r="R2" s="61">
        <f>IFERROR(FIND(",",P2),LEN(P2))</f>
        <v>17</v>
      </c>
      <c r="S2" s="61" t="e">
        <f>FIND("target:",P2)+7</f>
        <v>#VALUE!</v>
      </c>
      <c r="T2" s="61">
        <f>FIND(",",P2,R2+1)</f>
        <v>26</v>
      </c>
      <c r="U2" s="61" t="str">
        <f>IFERROR(VLOOKUP(MID(P2,S2,T2-S2),[6]skilldef!$C:$D,2,FALSE),"-") &amp; " / " &amp; IFERROR(VLOOKUP(MID(P2,Q2,R2-Q2),[6]skilldef!$A:$B,2,FALSE),"-")</f>
        <v>- / 大攻撃</v>
      </c>
      <c r="V2" s="47" t="str">
        <f>IFERROR(RIGHT(O2,LEN(O2)-FIND("],",O2)-1),"none")</f>
        <v>none</v>
      </c>
      <c r="W2" s="61" t="e">
        <f>FIND("effect:",V2)+7</f>
        <v>#VALUE!</v>
      </c>
      <c r="X2" s="61">
        <f>IFERROR(FIND(",",V2),LEN(V2))</f>
        <v>4</v>
      </c>
      <c r="Y2" s="61" t="e">
        <f>FIND("target:",V2)+7</f>
        <v>#VALUE!</v>
      </c>
      <c r="Z2" s="61" t="e">
        <f>FIND(",",V2,X2+1)</f>
        <v>#VALUE!</v>
      </c>
      <c r="AA2" s="61" t="str">
        <f>IFERROR(VLOOKUP(MID(V2,Y2,Z2-Y2),[6]skilldef!$C:$D,2,FALSE),"-") &amp; " / " &amp; IFERROR(VLOOKUP(MID(V2,W2,X2-W2),[6]skilldef!$A:$B,2,FALSE),"-")</f>
        <v>- / -</v>
      </c>
      <c r="AB2" s="49"/>
      <c r="AC2" s="50"/>
      <c r="AD2" s="49"/>
      <c r="AE2" s="119" t="s">
        <v>266</v>
      </c>
    </row>
    <row r="3" spans="1:31" ht="21" customHeight="1" x14ac:dyDescent="0.15">
      <c r="A3" s="117">
        <v>65529533</v>
      </c>
      <c r="B3" s="47" t="str">
        <f t="shared" ref="B3:B15" si="0">"[effect:enemy_message, val1:"&amp;TEXT(IF(TEXT(F3,0)="[表示しない]", "0", IF(LEN(SUBSTITUTE(F3,CHAR(13),""))*0.1&lt;1.2, 1.2, LEN(SUBSTITUTE(F3,CHAR(13),""))*0.1)), "0.0")&amp;", val2:"&amp;TEXT(IF(TEXT(H3,0)="[表示しない]", "0", IF(LEN(SUBSTITUTE(H3,CHAR(13),""))*0.1&lt;1.2, 1.2, LEN(SUBSTITUTE(H3,CHAR(13),""))*0.1)),"0.0")&amp;"]"&amp;IF(LEN(AE3)&gt;0, ","&amp;SUBSTITUTE(AE3,CHAR(13),""),SUBSTITUTE(AE3,CHAR(13),""))</f>
        <v xml:space="preserve">[effect:enemy_message, val1:1.2, val2:1.2],[effect:spread, val:0.4]    </v>
      </c>
      <c r="C3" s="49">
        <v>1</v>
      </c>
      <c r="D3" s="49" t="s">
        <v>126</v>
      </c>
      <c r="E3" s="127"/>
      <c r="F3" s="121" t="s">
        <v>268</v>
      </c>
      <c r="G3" s="124" t="s">
        <v>275</v>
      </c>
      <c r="H3" s="124" t="s">
        <v>285</v>
      </c>
      <c r="AE3" s="124" t="s">
        <v>297</v>
      </c>
    </row>
    <row r="4" spans="1:31" ht="21" customHeight="1" x14ac:dyDescent="0.15">
      <c r="A4" s="117">
        <v>65529534</v>
      </c>
      <c r="B4" s="47" t="str">
        <f t="shared" si="0"/>
        <v>[effect:enemy_message, val1:1.2, val2:1.2]</v>
      </c>
      <c r="C4" s="49">
        <v>1</v>
      </c>
      <c r="D4" s="49" t="s">
        <v>126</v>
      </c>
      <c r="E4" s="127"/>
      <c r="F4" s="121" t="s">
        <v>269</v>
      </c>
      <c r="G4" s="124" t="s">
        <v>276</v>
      </c>
      <c r="H4" s="124" t="s">
        <v>286</v>
      </c>
      <c r="AE4" s="124"/>
    </row>
    <row r="5" spans="1:31" ht="21" customHeight="1" x14ac:dyDescent="0.15">
      <c r="A5" s="117">
        <v>65529535</v>
      </c>
      <c r="B5" s="47" t="str">
        <f t="shared" si="0"/>
        <v xml:space="preserve">[effect:enemy_message, val1:1.2, val2:1.2],[effect:rush, count:5, val:0.2]    </v>
      </c>
      <c r="C5" s="49">
        <v>1</v>
      </c>
      <c r="D5" s="49" t="s">
        <v>126</v>
      </c>
      <c r="E5" s="127"/>
      <c r="F5" s="121" t="s">
        <v>269</v>
      </c>
      <c r="G5" s="124" t="s">
        <v>277</v>
      </c>
      <c r="H5" s="124" t="s">
        <v>287</v>
      </c>
      <c r="AE5" s="124" t="s">
        <v>298</v>
      </c>
    </row>
    <row r="6" spans="1:31" ht="21" customHeight="1" x14ac:dyDescent="0.15">
      <c r="A6" s="117">
        <v>65529536</v>
      </c>
      <c r="B6" s="47" t="str">
        <f t="shared" si="0"/>
        <v>[effect:enemy_message, val1:1.2, val2:2.0],[effect:force_change_block, new_block:damage, target:normal, ignore01:block_negative, color:block_yellow, count:5, val:0.5, animation:change_block]</v>
      </c>
      <c r="C6" s="49">
        <v>1</v>
      </c>
      <c r="D6" s="49" t="s">
        <v>126</v>
      </c>
      <c r="E6" s="127"/>
      <c r="F6" s="121" t="s">
        <v>270</v>
      </c>
      <c r="G6" s="124" t="s">
        <v>278</v>
      </c>
      <c r="H6" s="124" t="s">
        <v>288</v>
      </c>
      <c r="AE6" s="124" t="s">
        <v>299</v>
      </c>
    </row>
    <row r="7" spans="1:31" ht="21" customHeight="1" x14ac:dyDescent="0.15">
      <c r="A7" s="117">
        <v>65529537</v>
      </c>
      <c r="B7" s="47" t="str">
        <f t="shared" si="0"/>
        <v xml:space="preserve">[effect:enemy_message, val1:1.2, val2:1.2],[effect:panel_freeze, target:normal, color:block_green, count:-1, break_count:1]    </v>
      </c>
      <c r="C7" s="49">
        <v>1</v>
      </c>
      <c r="D7" s="49" t="s">
        <v>126</v>
      </c>
      <c r="E7" s="127"/>
      <c r="F7" s="121" t="s">
        <v>270</v>
      </c>
      <c r="G7" s="124" t="s">
        <v>279</v>
      </c>
      <c r="H7" s="124" t="s">
        <v>289</v>
      </c>
      <c r="AE7" s="124" t="s">
        <v>300</v>
      </c>
    </row>
    <row r="8" spans="1:31" ht="21" customHeight="1" x14ac:dyDescent="0.15">
      <c r="A8" s="117">
        <v>65529538</v>
      </c>
      <c r="B8" s="47" t="str">
        <f t="shared" si="0"/>
        <v>[effect:enemy_message, val1:1.2, val2:1.2],[effect:critical, val:1.4, animation:enemy_critical]</v>
      </c>
      <c r="C8" s="49">
        <v>1</v>
      </c>
      <c r="D8" s="49" t="s">
        <v>126</v>
      </c>
      <c r="E8" s="127"/>
      <c r="F8" s="121" t="s">
        <v>270</v>
      </c>
      <c r="G8" s="119" t="s">
        <v>280</v>
      </c>
      <c r="H8" s="124" t="s">
        <v>284</v>
      </c>
      <c r="AE8" s="119" t="s">
        <v>266</v>
      </c>
    </row>
    <row r="9" spans="1:31" ht="21" customHeight="1" x14ac:dyDescent="0.15">
      <c r="A9" s="117">
        <v>65529539</v>
      </c>
      <c r="B9" s="47" t="str">
        <f t="shared" si="0"/>
        <v>[effect:enemy_message, val1:1.2, val2:1.5],[effect:force_change_block, new_block:block_red, target:block_green, count:10, val:0, animation:change_block]</v>
      </c>
      <c r="C9" s="49">
        <v>1</v>
      </c>
      <c r="D9" s="49" t="s">
        <v>126</v>
      </c>
      <c r="E9" s="127"/>
      <c r="F9" s="121" t="s">
        <v>271</v>
      </c>
      <c r="G9" s="119" t="s">
        <v>276</v>
      </c>
      <c r="H9" s="124" t="s">
        <v>290</v>
      </c>
      <c r="AE9" s="119" t="s">
        <v>301</v>
      </c>
    </row>
    <row r="10" spans="1:31" ht="21" customHeight="1" x14ac:dyDescent="0.15">
      <c r="A10" s="117">
        <v>65529540</v>
      </c>
      <c r="B10" s="47" t="str">
        <f t="shared" si="0"/>
        <v xml:space="preserve">[effect:enemy_message, val1:1.2, val2:1.2],[effect:spread, val:0.2],[effect:spread, val:0.4]    </v>
      </c>
      <c r="C10" s="49">
        <v>1</v>
      </c>
      <c r="D10" s="49" t="s">
        <v>126</v>
      </c>
      <c r="E10" s="127"/>
      <c r="F10" s="122" t="s">
        <v>272</v>
      </c>
      <c r="G10" s="119">
        <v>0.5</v>
      </c>
      <c r="H10" s="124" t="s">
        <v>291</v>
      </c>
      <c r="AE10" s="119" t="s">
        <v>302</v>
      </c>
    </row>
    <row r="11" spans="1:31" ht="21" customHeight="1" x14ac:dyDescent="0.15">
      <c r="A11" s="117">
        <v>65529541</v>
      </c>
      <c r="B11" s="47" t="str">
        <f t="shared" si="0"/>
        <v>[effect:enemy_message, val1:1.5, val2:1.6],[effect:force_change_block, new_block:block_green, target:normal, ignore01:block_green, count:0, val:0, animation:change_block]</v>
      </c>
      <c r="C11" s="49">
        <v>1</v>
      </c>
      <c r="D11" s="49" t="s">
        <v>126</v>
      </c>
      <c r="E11" s="127"/>
      <c r="F11" s="122" t="s">
        <v>273</v>
      </c>
      <c r="G11" s="124" t="s">
        <v>276</v>
      </c>
      <c r="H11" s="124" t="s">
        <v>292</v>
      </c>
      <c r="AE11" s="124" t="s">
        <v>303</v>
      </c>
    </row>
    <row r="12" spans="1:31" ht="21" customHeight="1" x14ac:dyDescent="0.15">
      <c r="A12" s="117">
        <v>65529542</v>
      </c>
      <c r="B12" s="47" t="str">
        <f t="shared" si="0"/>
        <v xml:space="preserve">[effect:enemy_message, val1:1.5, val2:1.5],[effect:enhance_unit, target:myself, turn:2, status:defense, val:5000, calc:add, animation:enhance_unit_all_defense01]    </v>
      </c>
      <c r="C12" s="49">
        <v>1</v>
      </c>
      <c r="D12" s="49" t="s">
        <v>126</v>
      </c>
      <c r="E12" s="127"/>
      <c r="F12" s="122" t="s">
        <v>274</v>
      </c>
      <c r="G12" s="124" t="s">
        <v>281</v>
      </c>
      <c r="H12" s="124" t="s">
        <v>293</v>
      </c>
      <c r="AE12" s="124" t="s">
        <v>304</v>
      </c>
    </row>
    <row r="13" spans="1:31" ht="21" customHeight="1" x14ac:dyDescent="0.15">
      <c r="A13" s="117">
        <v>65529543</v>
      </c>
      <c r="B13" s="47" t="str">
        <f t="shared" si="0"/>
        <v xml:space="preserve">[effect:enemy_message, val1:1.5, val2:1.6],[effect:damage_abnormal, target:unit_one, val:1, status:sleep, turn:2]    </v>
      </c>
      <c r="C13" s="49">
        <v>1</v>
      </c>
      <c r="D13" s="49" t="s">
        <v>126</v>
      </c>
      <c r="E13" s="127"/>
      <c r="F13" s="122" t="s">
        <v>274</v>
      </c>
      <c r="G13" s="124" t="s">
        <v>282</v>
      </c>
      <c r="H13" s="126" t="s">
        <v>294</v>
      </c>
      <c r="AE13" s="124" t="s">
        <v>305</v>
      </c>
    </row>
    <row r="14" spans="1:31" ht="21" customHeight="1" x14ac:dyDescent="0.15">
      <c r="A14" s="117">
        <v>65529544</v>
      </c>
      <c r="B14" s="47" t="str">
        <f t="shared" si="0"/>
        <v xml:space="preserve">[effect:enemy_message, val1:1.5, val2:1.3],[effect:break_attack_fix, target:unit_one, val:200, lowest_val:1800, count:-1, block01:block_green]    </v>
      </c>
      <c r="C14" s="49">
        <v>1</v>
      </c>
      <c r="D14" s="49" t="s">
        <v>126</v>
      </c>
      <c r="E14" s="127"/>
      <c r="F14" s="122" t="s">
        <v>274</v>
      </c>
      <c r="G14" s="124" t="s">
        <v>283</v>
      </c>
      <c r="H14" s="124" t="s">
        <v>295</v>
      </c>
      <c r="AE14" s="124" t="s">
        <v>306</v>
      </c>
    </row>
    <row r="15" spans="1:31" ht="21" customHeight="1" x14ac:dyDescent="0.15">
      <c r="A15" s="117">
        <v>65529545</v>
      </c>
      <c r="B15" s="47" t="str">
        <f t="shared" si="0"/>
        <v xml:space="preserve">[effect:enemy_message, val1:1.5, val2:1.6],[effect:break_attack_fix, target:unit_all, val:200, lowest_val:1800, count:-1, block01:block_heart]    </v>
      </c>
      <c r="C15" s="49">
        <v>1</v>
      </c>
      <c r="D15" s="49" t="s">
        <v>126</v>
      </c>
      <c r="E15" s="127"/>
      <c r="F15" s="122" t="s">
        <v>274</v>
      </c>
      <c r="G15" s="124" t="s">
        <v>283</v>
      </c>
      <c r="H15" s="124" t="s">
        <v>296</v>
      </c>
      <c r="AE15" s="124" t="s">
        <v>307</v>
      </c>
    </row>
  </sheetData>
  <autoFilter ref="A1:AD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15"/>
  <sheetViews>
    <sheetView showGridLines="0" workbookViewId="0">
      <pane ySplit="1" topLeftCell="A2" activePane="bottomLeft" state="frozenSplit"/>
      <selection pane="bottomLeft" activeCell="F10" sqref="F10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4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1" t="s">
        <v>71</v>
      </c>
      <c r="G1" s="51" t="s">
        <v>72</v>
      </c>
      <c r="H1" s="41" t="s">
        <v>73</v>
      </c>
      <c r="I1" s="41" t="s">
        <v>74</v>
      </c>
      <c r="J1" s="41" t="s">
        <v>75</v>
      </c>
      <c r="K1" s="52" t="s">
        <v>88</v>
      </c>
    </row>
    <row r="2" spans="1:14" ht="42" customHeight="1" x14ac:dyDescent="0.15">
      <c r="A2" s="117">
        <v>65529532</v>
      </c>
      <c r="B2" s="128">
        <v>0</v>
      </c>
      <c r="C2" s="128">
        <v>490</v>
      </c>
      <c r="D2" s="128">
        <v>50</v>
      </c>
      <c r="E2" s="128" t="s">
        <v>53</v>
      </c>
      <c r="F2" s="128" t="s">
        <v>53</v>
      </c>
      <c r="G2" s="128" t="s">
        <v>53</v>
      </c>
      <c r="H2" s="128">
        <v>1</v>
      </c>
      <c r="I2" s="128" t="s">
        <v>53</v>
      </c>
      <c r="J2" s="129">
        <f t="shared" ref="J2:J15" si="0">D2</f>
        <v>50</v>
      </c>
      <c r="K2" s="130"/>
      <c r="L2" s="120" t="s">
        <v>267</v>
      </c>
      <c r="M2" s="119">
        <v>0.5</v>
      </c>
      <c r="N2" s="124" t="s">
        <v>284</v>
      </c>
    </row>
    <row r="3" spans="1:14" ht="42" customHeight="1" x14ac:dyDescent="0.15">
      <c r="A3" s="117">
        <v>65529533</v>
      </c>
      <c r="B3" s="128">
        <v>0</v>
      </c>
      <c r="C3" s="128">
        <v>490</v>
      </c>
      <c r="D3" s="128">
        <v>100</v>
      </c>
      <c r="E3" s="128" t="s">
        <v>53</v>
      </c>
      <c r="F3" s="128" t="s">
        <v>53</v>
      </c>
      <c r="G3" s="128" t="s">
        <v>53</v>
      </c>
      <c r="H3" s="128">
        <v>2</v>
      </c>
      <c r="I3" s="128" t="s">
        <v>53</v>
      </c>
      <c r="J3" s="129">
        <f t="shared" si="0"/>
        <v>100</v>
      </c>
      <c r="K3" s="130"/>
      <c r="L3" s="121" t="s">
        <v>268</v>
      </c>
      <c r="M3" s="124" t="s">
        <v>275</v>
      </c>
      <c r="N3" s="124" t="s">
        <v>285</v>
      </c>
    </row>
    <row r="4" spans="1:14" ht="42" customHeight="1" x14ac:dyDescent="0.15">
      <c r="A4" s="117">
        <v>65529534</v>
      </c>
      <c r="B4" s="128">
        <v>1</v>
      </c>
      <c r="C4" s="128">
        <v>490</v>
      </c>
      <c r="D4" s="128">
        <v>100</v>
      </c>
      <c r="E4" s="128" t="s">
        <v>53</v>
      </c>
      <c r="F4" s="128" t="s">
        <v>53</v>
      </c>
      <c r="G4" s="128">
        <v>1</v>
      </c>
      <c r="H4" s="128">
        <v>1</v>
      </c>
      <c r="I4" s="128" t="s">
        <v>53</v>
      </c>
      <c r="J4" s="129">
        <f t="shared" si="0"/>
        <v>100</v>
      </c>
      <c r="K4" s="130"/>
      <c r="L4" s="121" t="s">
        <v>269</v>
      </c>
      <c r="M4" s="124" t="s">
        <v>276</v>
      </c>
      <c r="N4" s="124" t="s">
        <v>286</v>
      </c>
    </row>
    <row r="5" spans="1:14" ht="42" customHeight="1" x14ac:dyDescent="0.15">
      <c r="A5" s="117">
        <v>65529535</v>
      </c>
      <c r="B5" s="128">
        <v>0</v>
      </c>
      <c r="C5" s="128">
        <v>490</v>
      </c>
      <c r="D5" s="128">
        <v>100</v>
      </c>
      <c r="E5" s="128" t="s">
        <v>53</v>
      </c>
      <c r="F5" s="128" t="s">
        <v>53</v>
      </c>
      <c r="G5" s="128">
        <v>1</v>
      </c>
      <c r="H5" s="128">
        <v>1</v>
      </c>
      <c r="I5" s="128" t="s">
        <v>53</v>
      </c>
      <c r="J5" s="129">
        <f t="shared" si="0"/>
        <v>100</v>
      </c>
      <c r="K5" s="130"/>
      <c r="L5" s="121" t="s">
        <v>269</v>
      </c>
      <c r="M5" s="124" t="s">
        <v>277</v>
      </c>
      <c r="N5" s="124" t="s">
        <v>287</v>
      </c>
    </row>
    <row r="6" spans="1:14" ht="42" customHeight="1" x14ac:dyDescent="0.15">
      <c r="A6" s="117">
        <v>65529536</v>
      </c>
      <c r="B6" s="128">
        <v>0</v>
      </c>
      <c r="C6" s="128">
        <v>480</v>
      </c>
      <c r="D6" s="128">
        <v>100</v>
      </c>
      <c r="E6" s="128" t="s">
        <v>53</v>
      </c>
      <c r="F6" s="128" t="s">
        <v>53</v>
      </c>
      <c r="G6" s="128">
        <v>1</v>
      </c>
      <c r="H6" s="128">
        <v>2</v>
      </c>
      <c r="I6" s="128" t="s">
        <v>53</v>
      </c>
      <c r="J6" s="129">
        <f t="shared" si="0"/>
        <v>100</v>
      </c>
      <c r="K6" s="130"/>
      <c r="L6" s="121" t="s">
        <v>270</v>
      </c>
      <c r="M6" s="124" t="s">
        <v>278</v>
      </c>
      <c r="N6" s="124" t="s">
        <v>288</v>
      </c>
    </row>
    <row r="7" spans="1:14" ht="42" customHeight="1" x14ac:dyDescent="0.15">
      <c r="A7" s="117">
        <v>65529537</v>
      </c>
      <c r="B7" s="128">
        <v>0</v>
      </c>
      <c r="C7" s="128">
        <v>470</v>
      </c>
      <c r="D7" s="128">
        <v>100</v>
      </c>
      <c r="E7" s="128" t="s">
        <v>53</v>
      </c>
      <c r="F7" s="128" t="s">
        <v>53</v>
      </c>
      <c r="G7" s="128">
        <v>1</v>
      </c>
      <c r="H7" s="128">
        <v>3</v>
      </c>
      <c r="I7" s="128" t="s">
        <v>53</v>
      </c>
      <c r="J7" s="129">
        <f t="shared" si="0"/>
        <v>100</v>
      </c>
      <c r="K7" s="130"/>
      <c r="L7" s="121" t="s">
        <v>270</v>
      </c>
      <c r="M7" s="124" t="s">
        <v>279</v>
      </c>
      <c r="N7" s="124" t="s">
        <v>289</v>
      </c>
    </row>
    <row r="8" spans="1:14" ht="42" customHeight="1" x14ac:dyDescent="0.15">
      <c r="A8" s="117">
        <v>65529538</v>
      </c>
      <c r="B8" s="128">
        <v>0</v>
      </c>
      <c r="C8" s="128">
        <v>460</v>
      </c>
      <c r="D8" s="128">
        <v>20</v>
      </c>
      <c r="E8" s="128" t="s">
        <v>53</v>
      </c>
      <c r="F8" s="128" t="s">
        <v>53</v>
      </c>
      <c r="G8" s="128" t="s">
        <v>53</v>
      </c>
      <c r="H8" s="128">
        <v>1</v>
      </c>
      <c r="I8" s="128" t="s">
        <v>53</v>
      </c>
      <c r="J8" s="129">
        <f t="shared" si="0"/>
        <v>20</v>
      </c>
      <c r="K8" s="130"/>
      <c r="L8" s="121" t="s">
        <v>270</v>
      </c>
      <c r="M8" s="119" t="s">
        <v>280</v>
      </c>
      <c r="N8" s="124" t="s">
        <v>284</v>
      </c>
    </row>
    <row r="9" spans="1:14" ht="42" customHeight="1" x14ac:dyDescent="0.15">
      <c r="A9" s="117">
        <v>65529539</v>
      </c>
      <c r="B9" s="128">
        <v>1</v>
      </c>
      <c r="C9" s="128">
        <v>490</v>
      </c>
      <c r="D9" s="128">
        <v>100</v>
      </c>
      <c r="E9" s="128" t="s">
        <v>53</v>
      </c>
      <c r="F9" s="128" t="s">
        <v>53</v>
      </c>
      <c r="G9" s="128">
        <v>1</v>
      </c>
      <c r="H9" s="128">
        <v>1</v>
      </c>
      <c r="I9" s="128" t="s">
        <v>53</v>
      </c>
      <c r="J9" s="129">
        <f t="shared" si="0"/>
        <v>100</v>
      </c>
      <c r="K9" s="130"/>
      <c r="L9" s="121" t="s">
        <v>271</v>
      </c>
      <c r="M9" s="119" t="s">
        <v>276</v>
      </c>
      <c r="N9" s="124" t="s">
        <v>290</v>
      </c>
    </row>
    <row r="10" spans="1:14" ht="42" customHeight="1" x14ac:dyDescent="0.15">
      <c r="A10" s="117">
        <v>65529540</v>
      </c>
      <c r="B10" s="128">
        <v>0</v>
      </c>
      <c r="C10" s="128">
        <v>480</v>
      </c>
      <c r="D10" s="128">
        <v>50</v>
      </c>
      <c r="E10" s="128" t="s">
        <v>53</v>
      </c>
      <c r="F10" s="128" t="s">
        <v>53</v>
      </c>
      <c r="G10" s="128" t="s">
        <v>53</v>
      </c>
      <c r="H10" s="128">
        <v>1</v>
      </c>
      <c r="I10" s="128" t="s">
        <v>53</v>
      </c>
      <c r="J10" s="129">
        <f t="shared" si="0"/>
        <v>50</v>
      </c>
      <c r="K10" s="130"/>
      <c r="L10" s="122" t="s">
        <v>272</v>
      </c>
      <c r="M10" s="119">
        <v>0.5</v>
      </c>
      <c r="N10" s="124" t="s">
        <v>291</v>
      </c>
    </row>
    <row r="11" spans="1:14" ht="42" customHeight="1" x14ac:dyDescent="0.15">
      <c r="A11" s="117">
        <v>65529541</v>
      </c>
      <c r="B11" s="128">
        <v>1</v>
      </c>
      <c r="C11" s="128">
        <v>490</v>
      </c>
      <c r="D11" s="128">
        <v>100</v>
      </c>
      <c r="E11" s="128" t="s">
        <v>53</v>
      </c>
      <c r="F11" s="128" t="s">
        <v>53</v>
      </c>
      <c r="G11" s="128">
        <v>1</v>
      </c>
      <c r="H11" s="128">
        <v>1</v>
      </c>
      <c r="I11" s="128" t="s">
        <v>53</v>
      </c>
      <c r="J11" s="129">
        <f t="shared" si="0"/>
        <v>100</v>
      </c>
      <c r="K11" s="130"/>
      <c r="L11" s="122" t="s">
        <v>273</v>
      </c>
      <c r="M11" s="124" t="s">
        <v>276</v>
      </c>
      <c r="N11" s="124" t="s">
        <v>292</v>
      </c>
    </row>
    <row r="12" spans="1:14" ht="42" customHeight="1" x14ac:dyDescent="0.15">
      <c r="A12" s="117">
        <v>65529542</v>
      </c>
      <c r="B12" s="128">
        <v>0</v>
      </c>
      <c r="C12" s="128">
        <v>480</v>
      </c>
      <c r="D12" s="128">
        <v>100</v>
      </c>
      <c r="E12" s="128" t="s">
        <v>53</v>
      </c>
      <c r="F12" s="128" t="s">
        <v>53</v>
      </c>
      <c r="G12" s="128">
        <v>1</v>
      </c>
      <c r="H12" s="128">
        <v>1</v>
      </c>
      <c r="I12" s="128" t="s">
        <v>53</v>
      </c>
      <c r="J12" s="129">
        <f t="shared" si="0"/>
        <v>100</v>
      </c>
      <c r="K12" s="130"/>
      <c r="L12" s="122" t="s">
        <v>274</v>
      </c>
      <c r="M12" s="124" t="s">
        <v>281</v>
      </c>
      <c r="N12" s="124" t="s">
        <v>293</v>
      </c>
    </row>
    <row r="13" spans="1:14" ht="42" customHeight="1" x14ac:dyDescent="0.15">
      <c r="A13" s="117">
        <v>65529543</v>
      </c>
      <c r="B13" s="128">
        <v>0</v>
      </c>
      <c r="C13" s="128">
        <v>470</v>
      </c>
      <c r="D13" s="128">
        <v>100</v>
      </c>
      <c r="E13" s="128" t="s">
        <v>53</v>
      </c>
      <c r="F13" s="128" t="s">
        <v>53</v>
      </c>
      <c r="G13" s="128">
        <v>1</v>
      </c>
      <c r="H13" s="128">
        <v>2</v>
      </c>
      <c r="I13" s="128" t="s">
        <v>53</v>
      </c>
      <c r="J13" s="129">
        <f t="shared" si="0"/>
        <v>100</v>
      </c>
      <c r="K13" s="130"/>
      <c r="L13" s="122" t="s">
        <v>274</v>
      </c>
      <c r="M13" s="124" t="s">
        <v>282</v>
      </c>
      <c r="N13" s="126" t="s">
        <v>294</v>
      </c>
    </row>
    <row r="14" spans="1:14" ht="42" customHeight="1" x14ac:dyDescent="0.15">
      <c r="A14" s="117">
        <v>65529544</v>
      </c>
      <c r="B14" s="128">
        <v>0</v>
      </c>
      <c r="C14" s="128">
        <v>450</v>
      </c>
      <c r="D14" s="128">
        <v>100</v>
      </c>
      <c r="E14" s="128" t="s">
        <v>53</v>
      </c>
      <c r="F14" s="128" t="s">
        <v>53</v>
      </c>
      <c r="G14" s="128" t="s">
        <v>53</v>
      </c>
      <c r="H14" s="128">
        <v>1</v>
      </c>
      <c r="I14" s="128" t="s">
        <v>53</v>
      </c>
      <c r="J14" s="129">
        <f t="shared" si="0"/>
        <v>100</v>
      </c>
      <c r="K14" s="130"/>
      <c r="L14" s="122" t="s">
        <v>274</v>
      </c>
      <c r="M14" s="124" t="s">
        <v>283</v>
      </c>
      <c r="N14" s="124" t="s">
        <v>295</v>
      </c>
    </row>
    <row r="15" spans="1:14" ht="42" customHeight="1" x14ac:dyDescent="0.15">
      <c r="A15" s="117">
        <v>65529545</v>
      </c>
      <c r="B15" s="128">
        <v>0</v>
      </c>
      <c r="C15" s="128">
        <v>460</v>
      </c>
      <c r="D15" s="128">
        <v>100</v>
      </c>
      <c r="E15" s="128" t="s">
        <v>53</v>
      </c>
      <c r="F15" s="128" t="s">
        <v>53</v>
      </c>
      <c r="G15" s="128" t="s">
        <v>53</v>
      </c>
      <c r="H15" s="128">
        <v>2</v>
      </c>
      <c r="I15" s="128" t="s">
        <v>53</v>
      </c>
      <c r="J15" s="129">
        <f t="shared" si="0"/>
        <v>100</v>
      </c>
      <c r="K15" s="130"/>
      <c r="L15" s="122" t="s">
        <v>274</v>
      </c>
      <c r="M15" s="124" t="s">
        <v>283</v>
      </c>
      <c r="N15" s="124" t="s">
        <v>296</v>
      </c>
    </row>
  </sheetData>
  <autoFilter ref="A1:G1"/>
  <phoneticPr fontId="5"/>
  <conditionalFormatting sqref="K1 K16:K1048576">
    <cfRule type="duplicateValues" dxfId="48" priority="49"/>
  </conditionalFormatting>
  <conditionalFormatting sqref="L2">
    <cfRule type="containsText" dxfId="47" priority="45" operator="containsText" text="死亡">
      <formula>NOT(ISERROR(SEARCH("死亡",L2)))</formula>
    </cfRule>
    <cfRule type="containsText" dxfId="46" priority="47" operator="containsText" text="開幕">
      <formula>NOT(ISERROR(SEARCH("開幕",L2)))</formula>
    </cfRule>
  </conditionalFormatting>
  <conditionalFormatting sqref="B2">
    <cfRule type="containsText" dxfId="45" priority="46" operator="containsText" text="1">
      <formula>NOT(ISERROR(SEARCH("1",B2)))</formula>
    </cfRule>
  </conditionalFormatting>
  <conditionalFormatting sqref="G2">
    <cfRule type="notContainsText" dxfId="44" priority="44" operator="notContains" text="null">
      <formula>ISERROR(SEARCH("null",G2))</formula>
    </cfRule>
  </conditionalFormatting>
  <conditionalFormatting sqref="D2">
    <cfRule type="notContainsText" dxfId="43" priority="43" operator="notContains" text="100">
      <formula>ISERROR(SEARCH("100",D2))</formula>
    </cfRule>
  </conditionalFormatting>
  <conditionalFormatting sqref="A2">
    <cfRule type="containsText" dxfId="42" priority="41" operator="containsText" text="死亡">
      <formula>NOT(ISERROR(SEARCH("死亡",A2)))</formula>
    </cfRule>
    <cfRule type="containsText" dxfId="41" priority="42" operator="containsText" text="開幕">
      <formula>NOT(ISERROR(SEARCH("開幕",A2)))</formula>
    </cfRule>
  </conditionalFormatting>
  <conditionalFormatting sqref="K2">
    <cfRule type="duplicateValues" dxfId="40" priority="48"/>
  </conditionalFormatting>
  <conditionalFormatting sqref="L3">
    <cfRule type="containsText" dxfId="39" priority="37" operator="containsText" text="死亡">
      <formula>NOT(ISERROR(SEARCH("死亡",L3)))</formula>
    </cfRule>
    <cfRule type="containsText" dxfId="38" priority="39" operator="containsText" text="開幕">
      <formula>NOT(ISERROR(SEARCH("開幕",L3)))</formula>
    </cfRule>
  </conditionalFormatting>
  <conditionalFormatting sqref="B3">
    <cfRule type="containsText" dxfId="37" priority="38" operator="containsText" text="1">
      <formula>NOT(ISERROR(SEARCH("1",B3)))</formula>
    </cfRule>
  </conditionalFormatting>
  <conditionalFormatting sqref="G3">
    <cfRule type="notContainsText" dxfId="36" priority="36" operator="notContains" text="null">
      <formula>ISERROR(SEARCH("null",G3))</formula>
    </cfRule>
  </conditionalFormatting>
  <conditionalFormatting sqref="D3">
    <cfRule type="notContainsText" dxfId="35" priority="35" operator="notContains" text="100">
      <formula>ISERROR(SEARCH("100",D3))</formula>
    </cfRule>
  </conditionalFormatting>
  <conditionalFormatting sqref="A3">
    <cfRule type="containsText" dxfId="34" priority="33" operator="containsText" text="死亡">
      <formula>NOT(ISERROR(SEARCH("死亡",A3)))</formula>
    </cfRule>
    <cfRule type="containsText" dxfId="33" priority="34" operator="containsText" text="開幕">
      <formula>NOT(ISERROR(SEARCH("開幕",A3)))</formula>
    </cfRule>
  </conditionalFormatting>
  <conditionalFormatting sqref="K3">
    <cfRule type="duplicateValues" dxfId="32" priority="40"/>
  </conditionalFormatting>
  <conditionalFormatting sqref="L4">
    <cfRule type="containsText" dxfId="31" priority="29" operator="containsText" text="死亡">
      <formula>NOT(ISERROR(SEARCH("死亡",L4)))</formula>
    </cfRule>
    <cfRule type="containsText" dxfId="30" priority="31" operator="containsText" text="開幕">
      <formula>NOT(ISERROR(SEARCH("開幕",L4)))</formula>
    </cfRule>
  </conditionalFormatting>
  <conditionalFormatting sqref="B4">
    <cfRule type="containsText" dxfId="29" priority="30" operator="containsText" text="1">
      <formula>NOT(ISERROR(SEARCH("1",B4)))</formula>
    </cfRule>
  </conditionalFormatting>
  <conditionalFormatting sqref="G4">
    <cfRule type="notContainsText" dxfId="28" priority="28" operator="notContains" text="null">
      <formula>ISERROR(SEARCH("null",G4))</formula>
    </cfRule>
  </conditionalFormatting>
  <conditionalFormatting sqref="D4">
    <cfRule type="notContainsText" dxfId="27" priority="27" operator="notContains" text="100">
      <formula>ISERROR(SEARCH("100",D4))</formula>
    </cfRule>
  </conditionalFormatting>
  <conditionalFormatting sqref="A4">
    <cfRule type="containsText" dxfId="26" priority="25" operator="containsText" text="死亡">
      <formula>NOT(ISERROR(SEARCH("死亡",A4)))</formula>
    </cfRule>
    <cfRule type="containsText" dxfId="25" priority="26" operator="containsText" text="開幕">
      <formula>NOT(ISERROR(SEARCH("開幕",A4)))</formula>
    </cfRule>
  </conditionalFormatting>
  <conditionalFormatting sqref="K4">
    <cfRule type="duplicateValues" dxfId="24" priority="32"/>
  </conditionalFormatting>
  <conditionalFormatting sqref="L5">
    <cfRule type="containsText" dxfId="23" priority="21" operator="containsText" text="死亡">
      <formula>NOT(ISERROR(SEARCH("死亡",L5)))</formula>
    </cfRule>
    <cfRule type="containsText" dxfId="22" priority="23" operator="containsText" text="開幕">
      <formula>NOT(ISERROR(SEARCH("開幕",L5)))</formula>
    </cfRule>
  </conditionalFormatting>
  <conditionalFormatting sqref="B5">
    <cfRule type="containsText" dxfId="21" priority="22" operator="containsText" text="1">
      <formula>NOT(ISERROR(SEARCH("1",B5)))</formula>
    </cfRule>
  </conditionalFormatting>
  <conditionalFormatting sqref="G5">
    <cfRule type="notContainsText" dxfId="20" priority="20" operator="notContains" text="null">
      <formula>ISERROR(SEARCH("null",G5))</formula>
    </cfRule>
  </conditionalFormatting>
  <conditionalFormatting sqref="D5">
    <cfRule type="notContainsText" dxfId="19" priority="19" operator="notContains" text="100">
      <formula>ISERROR(SEARCH("100",D5))</formula>
    </cfRule>
  </conditionalFormatting>
  <conditionalFormatting sqref="A5">
    <cfRule type="containsText" dxfId="18" priority="17" operator="containsText" text="死亡">
      <formula>NOT(ISERROR(SEARCH("死亡",A5)))</formula>
    </cfRule>
    <cfRule type="containsText" dxfId="17" priority="18" operator="containsText" text="開幕">
      <formula>NOT(ISERROR(SEARCH("開幕",A5)))</formula>
    </cfRule>
  </conditionalFormatting>
  <conditionalFormatting sqref="K5">
    <cfRule type="duplicateValues" dxfId="16" priority="24"/>
  </conditionalFormatting>
  <conditionalFormatting sqref="L6">
    <cfRule type="containsText" dxfId="15" priority="13" operator="containsText" text="死亡">
      <formula>NOT(ISERROR(SEARCH("死亡",L6)))</formula>
    </cfRule>
    <cfRule type="containsText" dxfId="14" priority="15" operator="containsText" text="開幕">
      <formula>NOT(ISERROR(SEARCH("開幕",L6)))</formula>
    </cfRule>
  </conditionalFormatting>
  <conditionalFormatting sqref="B6">
    <cfRule type="containsText" dxfId="13" priority="14" operator="containsText" text="1">
      <formula>NOT(ISERROR(SEARCH("1",B6)))</formula>
    </cfRule>
  </conditionalFormatting>
  <conditionalFormatting sqref="G6">
    <cfRule type="notContainsText" dxfId="12" priority="12" operator="notContains" text="null">
      <formula>ISERROR(SEARCH("null",G6))</formula>
    </cfRule>
  </conditionalFormatting>
  <conditionalFormatting sqref="D6">
    <cfRule type="notContainsText" dxfId="11" priority="11" operator="notContains" text="100">
      <formula>ISERROR(SEARCH("100",D6))</formula>
    </cfRule>
  </conditionalFormatting>
  <conditionalFormatting sqref="A6">
    <cfRule type="containsText" dxfId="10" priority="9" operator="containsText" text="死亡">
      <formula>NOT(ISERROR(SEARCH("死亡",A6)))</formula>
    </cfRule>
    <cfRule type="containsText" dxfId="9" priority="10" operator="containsText" text="開幕">
      <formula>NOT(ISERROR(SEARCH("開幕",A6)))</formula>
    </cfRule>
  </conditionalFormatting>
  <conditionalFormatting sqref="K6">
    <cfRule type="duplicateValues" dxfId="8" priority="16"/>
  </conditionalFormatting>
  <conditionalFormatting sqref="L7:L15">
    <cfRule type="containsText" dxfId="7" priority="5" operator="containsText" text="死亡">
      <formula>NOT(ISERROR(SEARCH("死亡",L7)))</formula>
    </cfRule>
    <cfRule type="containsText" dxfId="6" priority="7" operator="containsText" text="開幕">
      <formula>NOT(ISERROR(SEARCH("開幕",L7)))</formula>
    </cfRule>
  </conditionalFormatting>
  <conditionalFormatting sqref="B7:B15">
    <cfRule type="containsText" dxfId="5" priority="6" operator="containsText" text="1">
      <formula>NOT(ISERROR(SEARCH("1",B7)))</formula>
    </cfRule>
  </conditionalFormatting>
  <conditionalFormatting sqref="G7:G15">
    <cfRule type="notContainsText" dxfId="4" priority="4" operator="notContains" text="null">
      <formula>ISERROR(SEARCH("null",G7))</formula>
    </cfRule>
  </conditionalFormatting>
  <conditionalFormatting sqref="D7:D15">
    <cfRule type="notContainsText" dxfId="3" priority="3" operator="notContains" text="100">
      <formula>ISERROR(SEARCH("100",D7))</formula>
    </cfRule>
  </conditionalFormatting>
  <conditionalFormatting sqref="A7:A15">
    <cfRule type="containsText" dxfId="2" priority="1" operator="containsText" text="死亡">
      <formula>NOT(ISERROR(SEARCH("死亡",A7)))</formula>
    </cfRule>
    <cfRule type="containsText" dxfId="1" priority="2" operator="containsText" text="開幕">
      <formula>NOT(ISERROR(SEARCH("開幕",A7)))</formula>
    </cfRule>
  </conditionalFormatting>
  <conditionalFormatting sqref="K7:K15">
    <cfRule type="duplicateValues" dxfId="0" priority="8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f>floors!C2</f>
        <v>65529</v>
      </c>
      <c r="B2" s="55">
        <v>1</v>
      </c>
      <c r="C2" s="68" t="str">
        <f>A2&amp; "_"&amp;B2</f>
        <v>65529_1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167</v>
      </c>
      <c r="G2" s="55">
        <v>1000</v>
      </c>
      <c r="H2" s="55" t="s">
        <v>168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169</v>
      </c>
      <c r="R2" s="55" t="s">
        <v>170</v>
      </c>
    </row>
    <row r="3" spans="1:18" x14ac:dyDescent="0.1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x14ac:dyDescent="0.1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x14ac:dyDescent="0.1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188</v>
      </c>
      <c r="B1" s="70" t="s">
        <v>189</v>
      </c>
      <c r="C1" s="74" t="s">
        <v>190</v>
      </c>
      <c r="D1" s="74" t="s">
        <v>33</v>
      </c>
      <c r="E1" s="70" t="s">
        <v>191</v>
      </c>
      <c r="F1" s="74" t="s">
        <v>192</v>
      </c>
      <c r="G1" s="74" t="s">
        <v>33</v>
      </c>
      <c r="H1" s="70" t="s">
        <v>193</v>
      </c>
      <c r="I1" s="89" t="s">
        <v>195</v>
      </c>
      <c r="J1" s="76" t="s">
        <v>125</v>
      </c>
      <c r="K1" s="75" t="s">
        <v>186</v>
      </c>
      <c r="L1" s="90" t="s">
        <v>185</v>
      </c>
      <c r="M1" s="77" t="s">
        <v>196</v>
      </c>
    </row>
    <row r="2" spans="1:13" x14ac:dyDescent="0.15">
      <c r="A2" s="78" t="s">
        <v>200</v>
      </c>
      <c r="B2" s="79">
        <f>floors!$C$2</f>
        <v>65529</v>
      </c>
      <c r="C2" s="80" t="str">
        <f ca="1">VLOOKUP($B2,OFFSET([2]quests!$A$1,0,0,COUNTA([2]quests!$A:$A),MATCH(C$1,[2]quests!$1:$1,0)-MATCH($B$1,[2]quests!$1:$1,0)+1),MATCH(C$1,[2]quests!$1:$1,0)-MATCH($B$1,[2]quests!$1:$1,0)+1,FALSE)</f>
        <v>【LB中原】検証クエスト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 t="s">
        <v>214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>
        <v>0</v>
      </c>
      <c r="I2">
        <v>1</v>
      </c>
      <c r="J2" s="81" t="s">
        <v>198</v>
      </c>
      <c r="K2" s="91" t="str">
        <f>VLOOKUP(I2,[7]stage_hints!$A:$C,3,FALSE)</f>
        <v>長くつなげて大ダメージ</v>
      </c>
      <c r="L2" s="92" t="str">
        <f>VLOOKUP(I2,[7]stage_hints!$A:$D,4,FALSE)</f>
        <v>パネルを長くつなげるほど_x000D_大ダメージを与えることができます</v>
      </c>
      <c r="M2" s="55" t="s">
        <v>211</v>
      </c>
    </row>
    <row r="3" spans="1:13" x14ac:dyDescent="0.15">
      <c r="A3" s="78" t="s">
        <v>200</v>
      </c>
      <c r="B3" s="79">
        <f>floors!$C$2</f>
        <v>65529</v>
      </c>
      <c r="C3" s="80" t="str">
        <f ca="1">VLOOKUP($B3,OFFSET([2]quests!$A$1,0,0,COUNTA([2]quests!$A:$A),MATCH(C$1,[2]quests!$1:$1,0)-MATCH($B$1,[2]quests!$1:$1,0)+1),MATCH(C$1,[2]quests!$1:$1,0)-MATCH($B$1,[2]quests!$1:$1,0)+1,FALSE)</f>
        <v>【LB中原】検証クエスト</v>
      </c>
      <c r="D3" s="80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 t="s">
        <v>214</v>
      </c>
      <c r="F3" s="80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0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2">
        <v>0</v>
      </c>
      <c r="I3">
        <v>2</v>
      </c>
      <c r="J3" s="81" t="s">
        <v>198</v>
      </c>
      <c r="K3" s="91" t="str">
        <f>VLOOKUP(I3,[7]stage_hints!$A:$C,3,FALSE)</f>
        <v>属性の相性</v>
      </c>
      <c r="L3" s="92" t="str">
        <f>VLOOKUP(I3,[7]stage_hints!$A:$D,4,FALSE)</f>
        <v>赤＞青　青＞黄　黄＞緑　緑＞赤_x000D_敵属性に最適なパーティがオススメです</v>
      </c>
      <c r="M3" s="55" t="s">
        <v>211</v>
      </c>
    </row>
    <row r="4" spans="1:13" x14ac:dyDescent="0.15">
      <c r="A4" s="78" t="s">
        <v>200</v>
      </c>
      <c r="B4" s="79">
        <f>floors!$C$2</f>
        <v>65529</v>
      </c>
      <c r="C4" s="80" t="str">
        <f ca="1">VLOOKUP($B4,OFFSET([2]quests!$A$1,0,0,COUNTA([2]quests!$A:$A),MATCH(C$1,[2]quests!$1:$1,0)-MATCH($B$1,[2]quests!$1:$1,0)+1),MATCH(C$1,[2]quests!$1:$1,0)-MATCH($B$1,[2]quests!$1:$1,0)+1,FALSE)</f>
        <v>【LB中原】検証クエスト</v>
      </c>
      <c r="D4" s="80" t="str">
        <f ca="1">VLOOKUP($B4,OFFSET([2]quests!$A$1,0,0,COUNTA([2]quests!$A:$A),MATCH(D$1,[2]quests!$1:$1,0)-MATCH($B$1,[2]quests!$1:$1,0)+1),MATCH(D$1,[2]quests!$1:$1,0)-MATCH($B$1,[2]quests!$1:$1,0)+1,FALSE)</f>
        <v>検証</v>
      </c>
      <c r="E4" s="84" t="s">
        <v>214</v>
      </c>
      <c r="F4" s="80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0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2">
        <v>0</v>
      </c>
      <c r="I4">
        <v>3</v>
      </c>
      <c r="J4" s="81" t="s">
        <v>198</v>
      </c>
      <c r="K4" s="91" t="str">
        <f>VLOOKUP(I4,[7]stage_hints!$A:$C,3,FALSE)</f>
        <v>ターゲット</v>
      </c>
      <c r="L4" s="92" t="str">
        <f>VLOOKUP(I4,[7]stage_hints!$A:$D,4,FALSE)</f>
        <v>敵ユニットをタップすると_x000D_その敵を狙い撃ちできます</v>
      </c>
      <c r="M4" s="55" t="s">
        <v>211</v>
      </c>
    </row>
    <row r="5" spans="1:13" x14ac:dyDescent="0.15">
      <c r="A5" s="78" t="s">
        <v>200</v>
      </c>
      <c r="B5" s="79">
        <f>floors!$C$2</f>
        <v>65529</v>
      </c>
      <c r="C5" s="80" t="str">
        <f ca="1">VLOOKUP($B5,OFFSET([2]quests!$A$1,0,0,COUNTA([2]quests!$A:$A),MATCH(C$1,[2]quests!$1:$1,0)-MATCH($B$1,[2]quests!$1:$1,0)+1),MATCH(C$1,[2]quests!$1:$1,0)-MATCH($B$1,[2]quests!$1:$1,0)+1,FALSE)</f>
        <v>【LB中原】検証クエスト</v>
      </c>
      <c r="D5" s="80" t="str">
        <f ca="1">VLOOKUP($B5,OFFSET([2]quests!$A$1,0,0,COUNTA([2]quests!$A:$A),MATCH(D$1,[2]quests!$1:$1,0)-MATCH($B$1,[2]quests!$1:$1,0)+1),MATCH(D$1,[2]quests!$1:$1,0)-MATCH($B$1,[2]quests!$1:$1,0)+1,FALSE)</f>
        <v>検証</v>
      </c>
      <c r="E5" s="84" t="s">
        <v>214</v>
      </c>
      <c r="F5" s="80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0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2">
        <v>0</v>
      </c>
      <c r="I5">
        <v>5</v>
      </c>
      <c r="J5" s="81" t="s">
        <v>198</v>
      </c>
      <c r="K5" s="91" t="str">
        <f>VLOOKUP(I5,[7]stage_hints!$A:$C,3,FALSE)</f>
        <v>ユニット強化でレベルアップ</v>
      </c>
      <c r="L5" s="92" t="str">
        <f>VLOOKUP(I5,[7]stage_hints!$A:$D,4,FALSE)</f>
        <v>「ユニット強化」でレベルアップすると_x000D_勝てない敵にも勝てるようになります</v>
      </c>
      <c r="M5" s="55" t="s">
        <v>211</v>
      </c>
    </row>
    <row r="6" spans="1:13" x14ac:dyDescent="0.15">
      <c r="A6" s="78" t="s">
        <v>200</v>
      </c>
      <c r="B6" s="79">
        <f>floors!$C$2</f>
        <v>65529</v>
      </c>
      <c r="C6" s="80" t="str">
        <f ca="1">VLOOKUP($B6,OFFSET([2]quests!$A$1,0,0,COUNTA([2]quests!$A:$A),MATCH(C$1,[2]quests!$1:$1,0)-MATCH($B$1,[2]quests!$1:$1,0)+1),MATCH(C$1,[2]quests!$1:$1,0)-MATCH($B$1,[2]quests!$1:$1,0)+1,FALSE)</f>
        <v>【LB中原】検証クエスト</v>
      </c>
      <c r="D6" s="80" t="str">
        <f ca="1">VLOOKUP($B6,OFFSET([2]quests!$A$1,0,0,COUNTA([2]quests!$A:$A),MATCH(D$1,[2]quests!$1:$1,0)-MATCH($B$1,[2]quests!$1:$1,0)+1),MATCH(D$1,[2]quests!$1:$1,0)-MATCH($B$1,[2]quests!$1:$1,0)+1,FALSE)</f>
        <v>検証</v>
      </c>
      <c r="E6" s="84" t="s">
        <v>214</v>
      </c>
      <c r="F6" s="80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0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2">
        <v>0</v>
      </c>
      <c r="I6">
        <v>6</v>
      </c>
      <c r="J6" s="81" t="s">
        <v>198</v>
      </c>
      <c r="K6" s="91" t="str">
        <f>VLOOKUP(I6,[7]stage_hints!$A:$C,3,FALSE)</f>
        <v>ユニット強化の属性ボーナス</v>
      </c>
      <c r="L6" s="92" t="str">
        <f>VLOOKUP(I6,[7]stage_hints!$A:$D,4,FALSE)</f>
        <v>同属性ユニットを強化素材にすると_x000D_経験値が多くもらえます</v>
      </c>
      <c r="M6" s="55" t="s">
        <v>211</v>
      </c>
    </row>
    <row r="7" spans="1:13" x14ac:dyDescent="0.15">
      <c r="A7" s="78" t="s">
        <v>200</v>
      </c>
      <c r="B7" s="79">
        <f>floors!$C$2</f>
        <v>65529</v>
      </c>
      <c r="C7" s="80" t="str">
        <f ca="1">VLOOKUP($B7,OFFSET([2]quests!$A$1,0,0,COUNTA([2]quests!$A:$A),MATCH(C$1,[2]quests!$1:$1,0)-MATCH($B$1,[2]quests!$1:$1,0)+1),MATCH(C$1,[2]quests!$1:$1,0)-MATCH($B$1,[2]quests!$1:$1,0)+1,FALSE)</f>
        <v>【LB中原】検証クエスト</v>
      </c>
      <c r="D7" s="80" t="str">
        <f ca="1">VLOOKUP($B7,OFFSET([2]quests!$A$1,0,0,COUNTA([2]quests!$A:$A),MATCH(D$1,[2]quests!$1:$1,0)-MATCH($B$1,[2]quests!$1:$1,0)+1),MATCH(D$1,[2]quests!$1:$1,0)-MATCH($B$1,[2]quests!$1:$1,0)+1,FALSE)</f>
        <v>検証</v>
      </c>
      <c r="E7" s="84" t="s">
        <v>214</v>
      </c>
      <c r="F7" s="80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0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2">
        <v>0</v>
      </c>
      <c r="I7">
        <v>7</v>
      </c>
      <c r="J7" s="81" t="s">
        <v>198</v>
      </c>
      <c r="K7" s="91" t="str">
        <f>VLOOKUP(I7,[7]stage_hints!$A:$C,3,FALSE)</f>
        <v>メタルダックで経験値を獲得</v>
      </c>
      <c r="L7" s="92" t="str">
        <f>VLOOKUP(I7,[7]stage_hints!$A:$D,4,FALSE)</f>
        <v>「メタルなアヒル」を強化素材にすると_x000D_大量の経験値がもらえます</v>
      </c>
      <c r="M7" s="55" t="s">
        <v>211</v>
      </c>
    </row>
    <row r="8" spans="1:13" x14ac:dyDescent="0.15">
      <c r="A8" s="78" t="s">
        <v>200</v>
      </c>
      <c r="B8" s="79">
        <f>floors!$C$2</f>
        <v>65529</v>
      </c>
      <c r="C8" s="80" t="str">
        <f ca="1">VLOOKUP($B8,OFFSET([2]quests!$A$1,0,0,COUNTA([2]quests!$A:$A),MATCH(C$1,[2]quests!$1:$1,0)-MATCH($B$1,[2]quests!$1:$1,0)+1),MATCH(C$1,[2]quests!$1:$1,0)-MATCH($B$1,[2]quests!$1:$1,0)+1,FALSE)</f>
        <v>【LB中原】検証クエスト</v>
      </c>
      <c r="D8" s="80" t="str">
        <f ca="1">VLOOKUP($B8,OFFSET([2]quests!$A$1,0,0,COUNTA([2]quests!$A:$A),MATCH(D$1,[2]quests!$1:$1,0)-MATCH($B$1,[2]quests!$1:$1,0)+1),MATCH(D$1,[2]quests!$1:$1,0)-MATCH($B$1,[2]quests!$1:$1,0)+1,FALSE)</f>
        <v>検証</v>
      </c>
      <c r="E8" s="84" t="s">
        <v>214</v>
      </c>
      <c r="F8" s="80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0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2">
        <v>0</v>
      </c>
      <c r="I8">
        <v>8</v>
      </c>
      <c r="J8" s="81" t="s">
        <v>198</v>
      </c>
      <c r="K8" s="91" t="str">
        <f>VLOOKUP(I8,[7]stage_hints!$A:$C,3,FALSE)</f>
        <v>ゲリラクエストは要チェック</v>
      </c>
      <c r="L8" s="92" t="str">
        <f>VLOOKUP(I8,[7]stage_hints!$A:$D,4,FALSE)</f>
        <v>時間限定の「アヒル捕獲作戦」では_x000D_経験値素材ユニットが多く手に入ります</v>
      </c>
      <c r="M8" s="55" t="s">
        <v>211</v>
      </c>
    </row>
    <row r="9" spans="1:13" x14ac:dyDescent="0.15">
      <c r="A9" s="78" t="s">
        <v>200</v>
      </c>
      <c r="B9" s="79">
        <f>floors!$C$2</f>
        <v>65529</v>
      </c>
      <c r="C9" s="80" t="str">
        <f ca="1">VLOOKUP($B9,OFFSET([2]quests!$A$1,0,0,COUNTA([2]quests!$A:$A),MATCH(C$1,[2]quests!$1:$1,0)-MATCH($B$1,[2]quests!$1:$1,0)+1),MATCH(C$1,[2]quests!$1:$1,0)-MATCH($B$1,[2]quests!$1:$1,0)+1,FALSE)</f>
        <v>【LB中原】検証クエスト</v>
      </c>
      <c r="D9" s="80" t="str">
        <f ca="1">VLOOKUP($B9,OFFSET([2]quests!$A$1,0,0,COUNTA([2]quests!$A:$A),MATCH(D$1,[2]quests!$1:$1,0)-MATCH($B$1,[2]quests!$1:$1,0)+1),MATCH(D$1,[2]quests!$1:$1,0)-MATCH($B$1,[2]quests!$1:$1,0)+1,FALSE)</f>
        <v>検証</v>
      </c>
      <c r="E9" s="84" t="s">
        <v>214</v>
      </c>
      <c r="F9" s="80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0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2">
        <v>0</v>
      </c>
      <c r="I9">
        <v>9</v>
      </c>
      <c r="J9" s="81" t="s">
        <v>198</v>
      </c>
      <c r="K9" s="91" t="str">
        <f>VLOOKUP(I9,[7]stage_hints!$A:$C,3,FALSE)</f>
        <v>ゴールドダックでビットを獲得</v>
      </c>
      <c r="L9" s="92" t="str">
        <f>VLOOKUP(I9,[7]stage_hints!$A:$D,4,FALSE)</f>
        <v>「ゴールドなアヒル」を売却すると_x000D_大量のビットがもらえます</v>
      </c>
      <c r="M9" s="55" t="s">
        <v>211</v>
      </c>
    </row>
    <row r="10" spans="1:13" x14ac:dyDescent="0.15">
      <c r="A10" s="78" t="s">
        <v>200</v>
      </c>
      <c r="B10" s="79">
        <f>floors!$C$2</f>
        <v>65529</v>
      </c>
      <c r="C10" s="80" t="str">
        <f ca="1">VLOOKUP($B10,OFFSET([2]quests!$A$1,0,0,COUNTA([2]quests!$A:$A),MATCH(C$1,[2]quests!$1:$1,0)-MATCH($B$1,[2]quests!$1:$1,0)+1),MATCH(C$1,[2]quests!$1:$1,0)-MATCH($B$1,[2]quests!$1:$1,0)+1,FALSE)</f>
        <v>【LB中原】検証クエスト</v>
      </c>
      <c r="D10" s="80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4" t="s">
        <v>214</v>
      </c>
      <c r="F10" s="80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0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2">
        <v>0</v>
      </c>
      <c r="I10">
        <v>10</v>
      </c>
      <c r="J10" s="81" t="s">
        <v>198</v>
      </c>
      <c r="K10" s="91" t="str">
        <f>VLOOKUP(I10,[7]stage_hints!$A:$C,3,FALSE)</f>
        <v>土日に大量のビットを獲得</v>
      </c>
      <c r="L10" s="92" t="str">
        <f>VLOOKUP(I10,[7]stage_hints!$A:$D,4,FALSE)</f>
        <v>土日限定の「ゴールドカジノ」では_x000D_売却素材ユニットが多く手に入ります</v>
      </c>
      <c r="M10" s="55" t="s">
        <v>211</v>
      </c>
    </row>
    <row r="11" spans="1:13" x14ac:dyDescent="0.15">
      <c r="A11" s="78" t="s">
        <v>200</v>
      </c>
      <c r="B11" s="79">
        <f>floors!$C$2</f>
        <v>65529</v>
      </c>
      <c r="C11" s="80" t="str">
        <f ca="1">VLOOKUP($B11,OFFSET([2]quests!$A$1,0,0,COUNTA([2]quests!$A:$A),MATCH(C$1,[2]quests!$1:$1,0)-MATCH($B$1,[2]quests!$1:$1,0)+1),MATCH(C$1,[2]quests!$1:$1,0)-MATCH($B$1,[2]quests!$1:$1,0)+1,FALSE)</f>
        <v>【LB中原】検証クエスト</v>
      </c>
      <c r="D11" s="80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4" t="s">
        <v>214</v>
      </c>
      <c r="F11" s="80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0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2">
        <v>0</v>
      </c>
      <c r="I11">
        <v>11</v>
      </c>
      <c r="J11" s="81" t="s">
        <v>198</v>
      </c>
      <c r="K11" s="91" t="str">
        <f>VLOOKUP(I11,[7]stage_hints!$A:$C,3,FALSE)</f>
        <v>ゲリラクエストは要チェック</v>
      </c>
      <c r="L11" s="92" t="str">
        <f>VLOOKUP(I11,[7]stage_hints!$A:$D,4,FALSE)</f>
        <v>時間限定の「アヒル捕獲作戦」では_x000D_経験値素材ユニットが多く手に入ります</v>
      </c>
      <c r="M11" s="55" t="s">
        <v>211</v>
      </c>
    </row>
    <row r="12" spans="1:13" x14ac:dyDescent="0.15">
      <c r="A12" s="78" t="s">
        <v>200</v>
      </c>
      <c r="B12" s="79">
        <f>floors!$C$2</f>
        <v>65529</v>
      </c>
      <c r="C12" s="80" t="str">
        <f ca="1">VLOOKUP($B12,OFFSET([2]quests!$A$1,0,0,COUNTA([2]quests!$A:$A),MATCH(C$1,[2]quests!$1:$1,0)-MATCH($B$1,[2]quests!$1:$1,0)+1),MATCH(C$1,[2]quests!$1:$1,0)-MATCH($B$1,[2]quests!$1:$1,0)+1,FALSE)</f>
        <v>【LB中原】検証クエスト</v>
      </c>
      <c r="D12" s="80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4" t="s">
        <v>214</v>
      </c>
      <c r="F12" s="80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0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2">
        <v>0</v>
      </c>
      <c r="I12">
        <v>12</v>
      </c>
      <c r="J12" s="81" t="s">
        <v>198</v>
      </c>
      <c r="K12" s="91" t="str">
        <f>VLOOKUP(I12,[7]stage_hints!$A:$C,3,FALSE)</f>
        <v>ユニットのお気に入り登録</v>
      </c>
      <c r="L12" s="92" t="str">
        <f>VLOOKUP(I12,[7]stage_hints!$A:$D,4,FALSE)</f>
        <v>大事なユニットを誤って消さないように_x000D_フォルダから「お気に入り登録」しましょう</v>
      </c>
      <c r="M12" s="55" t="s">
        <v>211</v>
      </c>
    </row>
    <row r="13" spans="1:13" x14ac:dyDescent="0.15">
      <c r="A13" s="78" t="s">
        <v>200</v>
      </c>
      <c r="B13" s="79">
        <f>floors!$C$2</f>
        <v>65529</v>
      </c>
      <c r="C13" s="80" t="str">
        <f ca="1">VLOOKUP($B13,OFFSET([2]quests!$A$1,0,0,COUNTA([2]quests!$A:$A),MATCH(C$1,[2]quests!$1:$1,0)-MATCH($B$1,[2]quests!$1:$1,0)+1),MATCH(C$1,[2]quests!$1:$1,0)-MATCH($B$1,[2]quests!$1:$1,0)+1,FALSE)</f>
        <v>【LB中原】検証クエスト</v>
      </c>
      <c r="D13" s="80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4" t="s">
        <v>214</v>
      </c>
      <c r="F13" s="80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0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2">
        <v>0</v>
      </c>
      <c r="I13">
        <v>13</v>
      </c>
      <c r="J13" s="81" t="s">
        <v>198</v>
      </c>
      <c r="K13" s="91" t="str">
        <f>VLOOKUP(I13,[7]stage_hints!$A:$C,3,FALSE)</f>
        <v>ユニットの覚醒</v>
      </c>
      <c r="L13" s="92" t="str">
        <f>VLOOKUP(I13,[7]stage_hints!$A:$D,4,FALSE)</f>
        <v>ユニットを覚醒させると_x000D_比べものにならない強さが手に入ります</v>
      </c>
      <c r="M13" s="55" t="s">
        <v>211</v>
      </c>
    </row>
    <row r="14" spans="1:13" x14ac:dyDescent="0.15">
      <c r="A14" s="78" t="s">
        <v>200</v>
      </c>
      <c r="B14" s="79">
        <f>floors!$C$2</f>
        <v>65529</v>
      </c>
      <c r="C14" s="80" t="str">
        <f ca="1">VLOOKUP($B14,OFFSET([2]quests!$A$1,0,0,COUNTA([2]quests!$A:$A),MATCH(C$1,[2]quests!$1:$1,0)-MATCH($B$1,[2]quests!$1:$1,0)+1),MATCH(C$1,[2]quests!$1:$1,0)-MATCH($B$1,[2]quests!$1:$1,0)+1,FALSE)</f>
        <v>【LB中原】検証クエスト</v>
      </c>
      <c r="D14" s="80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4" t="s">
        <v>214</v>
      </c>
      <c r="F14" s="80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0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2">
        <v>0</v>
      </c>
      <c r="I14">
        <v>14</v>
      </c>
      <c r="J14" s="81" t="s">
        <v>198</v>
      </c>
      <c r="K14" s="91" t="str">
        <f>VLOOKUP(I14,[7]stage_hints!$A:$C,3,FALSE)</f>
        <v>覚醒するにはレベルを最大に</v>
      </c>
      <c r="L14" s="92" t="str">
        <f>VLOOKUP(I14,[7]stage_hints!$A:$D,4,FALSE)</f>
        <v>覚醒するにはユニットのレベルを_x000D_最大まで上げる必要があります</v>
      </c>
      <c r="M14" s="55" t="s">
        <v>211</v>
      </c>
    </row>
    <row r="15" spans="1:13" x14ac:dyDescent="0.15">
      <c r="A15" s="78" t="s">
        <v>200</v>
      </c>
      <c r="B15" s="79">
        <f>floors!$C$2</f>
        <v>65529</v>
      </c>
      <c r="C15" s="80" t="str">
        <f ca="1">VLOOKUP($B15,OFFSET([2]quests!$A$1,0,0,COUNTA([2]quests!$A:$A),MATCH(C$1,[2]quests!$1:$1,0)-MATCH($B$1,[2]quests!$1:$1,0)+1),MATCH(C$1,[2]quests!$1:$1,0)-MATCH($B$1,[2]quests!$1:$1,0)+1,FALSE)</f>
        <v>【LB中原】検証クエスト</v>
      </c>
      <c r="D15" s="80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4" t="s">
        <v>214</v>
      </c>
      <c r="F15" s="80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0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2">
        <v>0</v>
      </c>
      <c r="I15">
        <v>15</v>
      </c>
      <c r="J15" s="81" t="s">
        <v>198</v>
      </c>
      <c r="K15" s="91" t="str">
        <f>VLOOKUP(I15,[7]stage_hints!$A:$C,3,FALSE)</f>
        <v>覚醒素材を獲得</v>
      </c>
      <c r="L15" s="92" t="str">
        <f>VLOOKUP(I15,[7]stage_hints!$A:$D,4,FALSE)</f>
        <v>「曜日クエスト」では_x000D_ユニットの覚醒に必要な素材が手に入ります</v>
      </c>
      <c r="M15" s="55" t="s">
        <v>211</v>
      </c>
    </row>
    <row r="16" spans="1:13" x14ac:dyDescent="0.15">
      <c r="A16" s="78" t="s">
        <v>200</v>
      </c>
      <c r="B16" s="79">
        <f>floors!$C$2</f>
        <v>65529</v>
      </c>
      <c r="C16" s="80" t="str">
        <f ca="1">VLOOKUP($B16,OFFSET([2]quests!$A$1,0,0,COUNTA([2]quests!$A:$A),MATCH(C$1,[2]quests!$1:$1,0)-MATCH($B$1,[2]quests!$1:$1,0)+1),MATCH(C$1,[2]quests!$1:$1,0)-MATCH($B$1,[2]quests!$1:$1,0)+1,FALSE)</f>
        <v>【LB中原】検証クエスト</v>
      </c>
      <c r="D16" s="80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4" t="s">
        <v>214</v>
      </c>
      <c r="F16" s="80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0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2">
        <v>0</v>
      </c>
      <c r="I16">
        <v>16</v>
      </c>
      <c r="J16" s="81" t="s">
        <v>198</v>
      </c>
      <c r="K16" s="91" t="str">
        <f>VLOOKUP(I16,[7]stage_hints!$A:$C,3,FALSE)</f>
        <v>マルチプレイのメリット（その1）</v>
      </c>
      <c r="L16" s="92" t="str">
        <f>VLOOKUP(I16,[7]stage_hints!$A:$D,4,FALSE)</f>
        <v>他のプレイヤーとマルチプレイで遊ぶと_x000D_ポリゴンがもらえます（100人まで）</v>
      </c>
      <c r="M16" s="55" t="s">
        <v>211</v>
      </c>
    </row>
    <row r="17" spans="1:13" x14ac:dyDescent="0.15">
      <c r="A17" s="78" t="s">
        <v>200</v>
      </c>
      <c r="B17" s="79">
        <f>floors!$C$2</f>
        <v>65529</v>
      </c>
      <c r="C17" s="80" t="str">
        <f ca="1">VLOOKUP($B17,OFFSET([2]quests!$A$1,0,0,COUNTA([2]quests!$A:$A),MATCH(C$1,[2]quests!$1:$1,0)-MATCH($B$1,[2]quests!$1:$1,0)+1),MATCH(C$1,[2]quests!$1:$1,0)-MATCH($B$1,[2]quests!$1:$1,0)+1,FALSE)</f>
        <v>【LB中原】検証クエスト</v>
      </c>
      <c r="D17" s="80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4" t="s">
        <v>214</v>
      </c>
      <c r="F17" s="80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0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2">
        <v>0</v>
      </c>
      <c r="I17">
        <v>17</v>
      </c>
      <c r="J17" s="81" t="s">
        <v>198</v>
      </c>
      <c r="K17" s="91" t="str">
        <f>VLOOKUP(I17,[7]stage_hints!$A:$C,3,FALSE)</f>
        <v>リンクガチャ</v>
      </c>
      <c r="L17" s="92" t="str">
        <f>VLOOKUP(I17,[7]stage_hints!$A:$D,4,FALSE)</f>
        <v>無料のリンクガチャを回して_x000D_経験値素材や売却素材を獲得しましょう</v>
      </c>
      <c r="M17" s="55" t="s">
        <v>211</v>
      </c>
    </row>
    <row r="18" spans="1:13" x14ac:dyDescent="0.15">
      <c r="A18" s="78" t="s">
        <v>200</v>
      </c>
      <c r="B18" s="79">
        <f>floors!$C$2</f>
        <v>65529</v>
      </c>
      <c r="C18" s="80" t="str">
        <f ca="1">VLOOKUP($B18,OFFSET([2]quests!$A$1,0,0,COUNTA([2]quests!$A:$A),MATCH(C$1,[2]quests!$1:$1,0)-MATCH($B$1,[2]quests!$1:$1,0)+1),MATCH(C$1,[2]quests!$1:$1,0)-MATCH($B$1,[2]quests!$1:$1,0)+1,FALSE)</f>
        <v>【LB中原】検証クエスト</v>
      </c>
      <c r="D18" s="80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4" t="s">
        <v>214</v>
      </c>
      <c r="F18" s="80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0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2">
        <v>0</v>
      </c>
      <c r="I18">
        <v>18</v>
      </c>
      <c r="J18" s="81" t="s">
        <v>198</v>
      </c>
      <c r="K18" s="91" t="str">
        <f>VLOOKUP(I18,[7]stage_hints!$A:$C,3,FALSE)</f>
        <v>マルチプレイのメリット（その2）</v>
      </c>
      <c r="L18" s="92" t="str">
        <f>VLOOKUP(I18,[7]stage_hints!$A:$D,4,FALSE)</f>
        <v>マルチプレイならリンクが2倍もらえます_x000D_リンクガチャをたくさん回しましょう</v>
      </c>
      <c r="M18" s="55" t="s">
        <v>211</v>
      </c>
    </row>
    <row r="19" spans="1:13" x14ac:dyDescent="0.15">
      <c r="A19" s="78" t="s">
        <v>200</v>
      </c>
      <c r="B19" s="79">
        <f>floors!$C$2</f>
        <v>65529</v>
      </c>
      <c r="C19" s="80" t="str">
        <f ca="1">VLOOKUP($B19,OFFSET([2]quests!$A$1,0,0,COUNTA([2]quests!$A:$A),MATCH(C$1,[2]quests!$1:$1,0)-MATCH($B$1,[2]quests!$1:$1,0)+1),MATCH(C$1,[2]quests!$1:$1,0)-MATCH($B$1,[2]quests!$1:$1,0)+1,FALSE)</f>
        <v>【LB中原】検証クエスト</v>
      </c>
      <c r="D19" s="80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4" t="s">
        <v>214</v>
      </c>
      <c r="F19" s="80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0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2">
        <v>0</v>
      </c>
      <c r="I19">
        <v>19</v>
      </c>
      <c r="J19" s="81" t="s">
        <v>198</v>
      </c>
      <c r="K19" s="91" t="str">
        <f>VLOOKUP(I19,[7]stage_hints!$A:$C,3,FALSE)</f>
        <v>ソロ専用タワーオブザクイーン</v>
      </c>
      <c r="L19" s="92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5" t="s">
        <v>211</v>
      </c>
    </row>
    <row r="20" spans="1:13" x14ac:dyDescent="0.15">
      <c r="A20" s="78" t="s">
        <v>200</v>
      </c>
      <c r="B20" s="79">
        <f>floors!$C$2</f>
        <v>65529</v>
      </c>
      <c r="C20" s="80" t="str">
        <f ca="1">VLOOKUP($B20,OFFSET([2]quests!$A$1,0,0,COUNTA([2]quests!$A:$A),MATCH(C$1,[2]quests!$1:$1,0)-MATCH($B$1,[2]quests!$1:$1,0)+1),MATCH(C$1,[2]quests!$1:$1,0)-MATCH($B$1,[2]quests!$1:$1,0)+1,FALSE)</f>
        <v>【LB中原】検証クエスト</v>
      </c>
      <c r="D20" s="80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4" t="s">
        <v>214</v>
      </c>
      <c r="F20" s="80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0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2">
        <v>0</v>
      </c>
      <c r="I20">
        <v>20</v>
      </c>
      <c r="J20" s="81" t="s">
        <v>198</v>
      </c>
      <c r="K20" s="91" t="str">
        <f>VLOOKUP(I20,[7]stage_hints!$A:$C,3,FALSE)</f>
        <v>マルチプレイのメリット（その3）</v>
      </c>
      <c r="L20" s="92" t="str">
        <f>VLOOKUP(I20,[7]stage_hints!$A:$D,4,FALSE)</f>
        <v>マルチプレイへの参加はエナジー消費ゼロ_x000D_いつでも好きなだけ遊ぶことができます</v>
      </c>
      <c r="M20" s="55" t="s">
        <v>211</v>
      </c>
    </row>
    <row r="21" spans="1:13" x14ac:dyDescent="0.15">
      <c r="A21" s="78" t="s">
        <v>200</v>
      </c>
      <c r="B21" s="79">
        <f>floors!$C$2</f>
        <v>65529</v>
      </c>
      <c r="C21" s="80" t="str">
        <f ca="1">VLOOKUP($B21,OFFSET([2]quests!$A$1,0,0,COUNTA([2]quests!$A:$A),MATCH(C$1,[2]quests!$1:$1,0)-MATCH($B$1,[2]quests!$1:$1,0)+1),MATCH(C$1,[2]quests!$1:$1,0)-MATCH($B$1,[2]quests!$1:$1,0)+1,FALSE)</f>
        <v>【LB中原】検証クエスト</v>
      </c>
      <c r="D21" s="80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4" t="s">
        <v>214</v>
      </c>
      <c r="F21" s="80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0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2">
        <v>0</v>
      </c>
      <c r="I21">
        <v>21</v>
      </c>
      <c r="J21" s="81" t="s">
        <v>198</v>
      </c>
      <c r="K21" s="91" t="str">
        <f>VLOOKUP(I21,[7]stage_hints!$A:$C,3,FALSE)</f>
        <v>スキルを有効に</v>
      </c>
      <c r="L21" s="92" t="str">
        <f>VLOOKUP(I21,[7]stage_hints!$A:$D,4,FALSE)</f>
        <v>ターン経過でユニットのスキルが使えます_x000D_強力スキルでバトルを有利に進めましょう</v>
      </c>
      <c r="M21" s="55" t="s">
        <v>211</v>
      </c>
    </row>
    <row r="22" spans="1:13" x14ac:dyDescent="0.15">
      <c r="A22" s="78" t="s">
        <v>200</v>
      </c>
      <c r="B22" s="79">
        <f>floors!$C$2</f>
        <v>65529</v>
      </c>
      <c r="C22" s="80" t="str">
        <f ca="1">VLOOKUP($B22,OFFSET([2]quests!$A$1,0,0,COUNTA([2]quests!$A:$A),MATCH(C$1,[2]quests!$1:$1,0)-MATCH($B$1,[2]quests!$1:$1,0)+1),MATCH(C$1,[2]quests!$1:$1,0)-MATCH($B$1,[2]quests!$1:$1,0)+1,FALSE)</f>
        <v>【LB中原】検証クエスト</v>
      </c>
      <c r="D22" s="80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4" t="s">
        <v>214</v>
      </c>
      <c r="F22" s="80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0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2">
        <v>0</v>
      </c>
      <c r="I22">
        <v>22</v>
      </c>
      <c r="J22" s="81" t="s">
        <v>198</v>
      </c>
      <c r="K22" s="91" t="str">
        <f>VLOOKUP(I22,[7]stage_hints!$A:$C,3,FALSE)</f>
        <v>フィーバーで一発逆転（その1）</v>
      </c>
      <c r="L22" s="92" t="str">
        <f>VLOOKUP(I22,[7]stage_hints!$A:$D,4,FALSE)</f>
        <v>フィーバーは攻撃と回復を兼ね備えます_x000D_ピンチからの一発逆転を狙いましょう</v>
      </c>
      <c r="M22" s="55" t="s">
        <v>211</v>
      </c>
    </row>
    <row r="23" spans="1:13" x14ac:dyDescent="0.15">
      <c r="A23" s="78" t="s">
        <v>200</v>
      </c>
      <c r="B23" s="79">
        <f>floors!$C$2</f>
        <v>65529</v>
      </c>
      <c r="C23" s="80" t="str">
        <f ca="1">VLOOKUP($B23,OFFSET([2]quests!$A$1,0,0,COUNTA([2]quests!$A:$A),MATCH(C$1,[2]quests!$1:$1,0)-MATCH($B$1,[2]quests!$1:$1,0)+1),MATCH(C$1,[2]quests!$1:$1,0)-MATCH($B$1,[2]quests!$1:$1,0)+1,FALSE)</f>
        <v>【LB中原】検証クエスト</v>
      </c>
      <c r="D23" s="80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4" t="s">
        <v>214</v>
      </c>
      <c r="F23" s="80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0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2">
        <v>0</v>
      </c>
      <c r="I23">
        <v>23</v>
      </c>
      <c r="J23" s="81" t="s">
        <v>198</v>
      </c>
      <c r="K23" s="91" t="str">
        <f>VLOOKUP(I23,[7]stage_hints!$A:$C,3,FALSE)</f>
        <v>フィーバーで一発逆転（その2）</v>
      </c>
      <c r="L23" s="92" t="str">
        <f>VLOOKUP(I23,[7]stage_hints!$A:$D,4,FALSE)</f>
        <v>フィーバー中は虹色のボムパネルを狙って_x000D_画面上のパネルを一気に破壊しましょう</v>
      </c>
      <c r="M23" s="55" t="s">
        <v>211</v>
      </c>
    </row>
    <row r="24" spans="1:13" x14ac:dyDescent="0.15">
      <c r="A24" s="78" t="s">
        <v>200</v>
      </c>
      <c r="B24" s="79">
        <f>floors!$C$2</f>
        <v>65529</v>
      </c>
      <c r="C24" s="80" t="str">
        <f ca="1">VLOOKUP($B24,OFFSET([2]quests!$A$1,0,0,COUNTA([2]quests!$A:$A),MATCH(C$1,[2]quests!$1:$1,0)-MATCH($B$1,[2]quests!$1:$1,0)+1),MATCH(C$1,[2]quests!$1:$1,0)-MATCH($B$1,[2]quests!$1:$1,0)+1,FALSE)</f>
        <v>【LB中原】検証クエスト</v>
      </c>
      <c r="D24" s="80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4" t="s">
        <v>214</v>
      </c>
      <c r="F24" s="80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0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2">
        <v>0</v>
      </c>
      <c r="I24">
        <v>24</v>
      </c>
      <c r="J24" s="81" t="s">
        <v>198</v>
      </c>
      <c r="K24" s="91" t="str">
        <f>VLOOKUP(I24,[7]stage_hints!$A:$C,3,FALSE)</f>
        <v>果実を使って限界突破</v>
      </c>
      <c r="L24" s="92" t="str">
        <f>VLOOKUP(I24,[7]stage_hints!$A:$D,4,FALSE)</f>
        <v>攻めの果実 癒しの果実_x000D_生命の果実をユニット強化に使うと_x000D_ステータスが限界突破します（計99個迄）</v>
      </c>
      <c r="M24" s="55" t="s">
        <v>211</v>
      </c>
    </row>
    <row r="25" spans="1:13" x14ac:dyDescent="0.15">
      <c r="A25" s="78" t="s">
        <v>200</v>
      </c>
      <c r="B25" s="79">
        <f>floors!$C$2</f>
        <v>65529</v>
      </c>
      <c r="C25" s="80" t="str">
        <f ca="1">VLOOKUP($B25,OFFSET([2]quests!$A$1,0,0,COUNTA([2]quests!$A:$A),MATCH(C$1,[2]quests!$1:$1,0)-MATCH($B$1,[2]quests!$1:$1,0)+1),MATCH(C$1,[2]quests!$1:$1,0)-MATCH($B$1,[2]quests!$1:$1,0)+1,FALSE)</f>
        <v>【LB中原】検証クエスト</v>
      </c>
      <c r="D25" s="80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4" t="s">
        <v>214</v>
      </c>
      <c r="F25" s="80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0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2">
        <v>0</v>
      </c>
      <c r="I25">
        <v>25</v>
      </c>
      <c r="J25" s="81" t="s">
        <v>198</v>
      </c>
      <c r="K25" s="91" t="str">
        <f>VLOOKUP(I25,[7]stage_hints!$A:$C,3,FALSE)</f>
        <v>スキルレベルアップ</v>
      </c>
      <c r="L25" s="92" t="str">
        <f>VLOOKUP(I25,[7]stage_hints!$A:$D,4,FALSE)</f>
        <v>「秘術の果実」を強化に使うと_x000D_スキルレベルを上げることができます</v>
      </c>
      <c r="M25" s="55" t="s">
        <v>211</v>
      </c>
    </row>
    <row r="26" spans="1:13" x14ac:dyDescent="0.15">
      <c r="A26" s="78" t="s">
        <v>200</v>
      </c>
      <c r="B26" s="79">
        <f>floors!$C$2</f>
        <v>65529</v>
      </c>
      <c r="C26" s="80" t="str">
        <f ca="1">VLOOKUP($B26,OFFSET([2]quests!$A$1,0,0,COUNTA([2]quests!$A:$A),MATCH(C$1,[2]quests!$1:$1,0)-MATCH($B$1,[2]quests!$1:$1,0)+1),MATCH(C$1,[2]quests!$1:$1,0)-MATCH($B$1,[2]quests!$1:$1,0)+1,FALSE)</f>
        <v>【LB中原】検証クエスト</v>
      </c>
      <c r="D26" s="80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4" t="s">
        <v>214</v>
      </c>
      <c r="F26" s="80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0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2">
        <v>0</v>
      </c>
      <c r="I26">
        <v>26</v>
      </c>
      <c r="J26" s="81" t="s">
        <v>198</v>
      </c>
      <c r="K26" s="91" t="str">
        <f>VLOOKUP(I26,[7]stage_hints!$A:$C,3,FALSE)</f>
        <v>スキルレベルの効果</v>
      </c>
      <c r="L26" s="92" t="str">
        <f>VLOOKUP(I26,[7]stage_hints!$A:$D,4,FALSE)</f>
        <v>スキルレベルが上がると_x000D_短いターンでスキルを使うことができます</v>
      </c>
      <c r="M26" s="55" t="s">
        <v>211</v>
      </c>
    </row>
    <row r="27" spans="1:13" x14ac:dyDescent="0.15">
      <c r="A27" s="78" t="s">
        <v>200</v>
      </c>
      <c r="B27" s="79">
        <f>floors!$C$2</f>
        <v>65529</v>
      </c>
      <c r="C27" s="80" t="str">
        <f ca="1">VLOOKUP($B27,OFFSET([2]quests!$A$1,0,0,COUNTA([2]quests!$A:$A),MATCH(C$1,[2]quests!$1:$1,0)-MATCH($B$1,[2]quests!$1:$1,0)+1),MATCH(C$1,[2]quests!$1:$1,0)-MATCH($B$1,[2]quests!$1:$1,0)+1,FALSE)</f>
        <v>【LB中原】検証クエスト</v>
      </c>
      <c r="D27" s="80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4" t="s">
        <v>214</v>
      </c>
      <c r="F27" s="80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0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2">
        <v>0</v>
      </c>
      <c r="I27">
        <v>39</v>
      </c>
      <c r="J27" s="81" t="s">
        <v>198</v>
      </c>
      <c r="K27" s="91" t="str">
        <f>VLOOKUP(I27,[7]stage_hints!$A:$C,3,FALSE)</f>
        <v>システム適合者を確認</v>
      </c>
      <c r="L27" s="92" t="str">
        <f>VLOOKUP(I27,[7]stage_hints!$A:$D,4,FALSE)</f>
        <v>ALICEが 「アナタ」を呼んでいます</v>
      </c>
      <c r="M27" s="55" t="s">
        <v>211</v>
      </c>
    </row>
    <row r="28" spans="1:13" x14ac:dyDescent="0.15">
      <c r="A28" s="78" t="s">
        <v>200</v>
      </c>
      <c r="B28" s="79">
        <f>floors!$C$2</f>
        <v>65529</v>
      </c>
      <c r="C28" s="80" t="str">
        <f ca="1">VLOOKUP($B28,OFFSET([2]quests!$A$1,0,0,COUNTA([2]quests!$A:$A),MATCH(C$1,[2]quests!$1:$1,0)-MATCH($B$1,[2]quests!$1:$1,0)+1),MATCH(C$1,[2]quests!$1:$1,0)-MATCH($B$1,[2]quests!$1:$1,0)+1,FALSE)</f>
        <v>【LB中原】検証クエスト</v>
      </c>
      <c r="D28" s="80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4" t="s">
        <v>215</v>
      </c>
      <c r="F28" s="80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0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2">
        <v>0</v>
      </c>
      <c r="I28">
        <v>3</v>
      </c>
      <c r="J28" s="81" t="s">
        <v>198</v>
      </c>
      <c r="K28" s="91" t="str">
        <f>VLOOKUP(I28,[7]stage_hints!$A:$C,3,FALSE)</f>
        <v>ターゲット</v>
      </c>
      <c r="L28" s="92" t="str">
        <f>VLOOKUP(I28,[7]stage_hints!$A:$D,4,FALSE)</f>
        <v>敵ユニットをタップすると_x000D_その敵を狙い撃ちできます</v>
      </c>
      <c r="M28" s="55" t="s">
        <v>211</v>
      </c>
    </row>
    <row r="29" spans="1:13" x14ac:dyDescent="0.15">
      <c r="A29" s="78" t="s">
        <v>200</v>
      </c>
      <c r="B29" s="79">
        <f>floors!$C$2</f>
        <v>65529</v>
      </c>
      <c r="C29" s="80" t="str">
        <f ca="1">VLOOKUP($B29,OFFSET([2]quests!$A$1,0,0,COUNTA([2]quests!$A:$A),MATCH(C$1,[2]quests!$1:$1,0)-MATCH($B$1,[2]quests!$1:$1,0)+1),MATCH(C$1,[2]quests!$1:$1,0)-MATCH($B$1,[2]quests!$1:$1,0)+1,FALSE)</f>
        <v>【LB中原】検証クエスト</v>
      </c>
      <c r="D29" s="80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4" t="s">
        <v>215</v>
      </c>
      <c r="F29" s="80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0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2">
        <v>0</v>
      </c>
      <c r="I29">
        <v>6</v>
      </c>
      <c r="J29" s="81" t="s">
        <v>198</v>
      </c>
      <c r="K29" s="91" t="str">
        <f>VLOOKUP(I29,[7]stage_hints!$A:$C,3,FALSE)</f>
        <v>ユニット強化の属性ボーナス</v>
      </c>
      <c r="L29" s="92" t="str">
        <f>VLOOKUP(I29,[7]stage_hints!$A:$D,4,FALSE)</f>
        <v>同属性ユニットを強化素材にすると_x000D_経験値が多くもらえます</v>
      </c>
      <c r="M29" s="55" t="s">
        <v>211</v>
      </c>
    </row>
    <row r="30" spans="1:13" x14ac:dyDescent="0.15">
      <c r="A30" s="78" t="s">
        <v>200</v>
      </c>
      <c r="B30" s="79">
        <f>floors!$C$2</f>
        <v>65529</v>
      </c>
      <c r="C30" s="80" t="str">
        <f ca="1">VLOOKUP($B30,OFFSET([2]quests!$A$1,0,0,COUNTA([2]quests!$A:$A),MATCH(C$1,[2]quests!$1:$1,0)-MATCH($B$1,[2]quests!$1:$1,0)+1),MATCH(C$1,[2]quests!$1:$1,0)-MATCH($B$1,[2]quests!$1:$1,0)+1,FALSE)</f>
        <v>【LB中原】検証クエスト</v>
      </c>
      <c r="D30" s="80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4" t="s">
        <v>215</v>
      </c>
      <c r="F30" s="80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0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2">
        <v>0</v>
      </c>
      <c r="I30">
        <v>7</v>
      </c>
      <c r="J30" s="81" t="s">
        <v>198</v>
      </c>
      <c r="K30" s="91" t="str">
        <f>VLOOKUP(I30,[7]stage_hints!$A:$C,3,FALSE)</f>
        <v>メタルダックで経験値を獲得</v>
      </c>
      <c r="L30" s="92" t="str">
        <f>VLOOKUP(I30,[7]stage_hints!$A:$D,4,FALSE)</f>
        <v>「メタルなアヒル」を強化素材にすると_x000D_大量の経験値がもらえます</v>
      </c>
      <c r="M30" s="55" t="s">
        <v>211</v>
      </c>
    </row>
    <row r="31" spans="1:13" x14ac:dyDescent="0.15">
      <c r="A31" s="78" t="s">
        <v>200</v>
      </c>
      <c r="B31" s="79">
        <f>floors!$C$2</f>
        <v>65529</v>
      </c>
      <c r="C31" s="80" t="str">
        <f ca="1">VLOOKUP($B31,OFFSET([2]quests!$A$1,0,0,COUNTA([2]quests!$A:$A),MATCH(C$1,[2]quests!$1:$1,0)-MATCH($B$1,[2]quests!$1:$1,0)+1),MATCH(C$1,[2]quests!$1:$1,0)-MATCH($B$1,[2]quests!$1:$1,0)+1,FALSE)</f>
        <v>【LB中原】検証クエスト</v>
      </c>
      <c r="D31" s="80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4" t="s">
        <v>215</v>
      </c>
      <c r="F31" s="80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0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2">
        <v>0</v>
      </c>
      <c r="I31">
        <v>8</v>
      </c>
      <c r="J31" s="81" t="s">
        <v>198</v>
      </c>
      <c r="K31" s="91" t="str">
        <f>VLOOKUP(I31,[7]stage_hints!$A:$C,3,FALSE)</f>
        <v>ゲリラクエストは要チェック</v>
      </c>
      <c r="L31" s="92" t="str">
        <f>VLOOKUP(I31,[7]stage_hints!$A:$D,4,FALSE)</f>
        <v>時間限定の「アヒル捕獲作戦」では_x000D_経験値素材ユニットが多く手に入ります</v>
      </c>
      <c r="M31" s="55" t="s">
        <v>211</v>
      </c>
    </row>
    <row r="32" spans="1:13" x14ac:dyDescent="0.15">
      <c r="A32" s="78" t="s">
        <v>200</v>
      </c>
      <c r="B32" s="79">
        <f>floors!$C$2</f>
        <v>65529</v>
      </c>
      <c r="C32" s="80" t="str">
        <f ca="1">VLOOKUP($B32,OFFSET([2]quests!$A$1,0,0,COUNTA([2]quests!$A:$A),MATCH(C$1,[2]quests!$1:$1,0)-MATCH($B$1,[2]quests!$1:$1,0)+1),MATCH(C$1,[2]quests!$1:$1,0)-MATCH($B$1,[2]quests!$1:$1,0)+1,FALSE)</f>
        <v>【LB中原】検証クエスト</v>
      </c>
      <c r="D32" s="80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4" t="s">
        <v>215</v>
      </c>
      <c r="F32" s="80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0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2">
        <v>0</v>
      </c>
      <c r="I32">
        <v>9</v>
      </c>
      <c r="J32" s="81" t="s">
        <v>198</v>
      </c>
      <c r="K32" s="91" t="str">
        <f>VLOOKUP(I32,[7]stage_hints!$A:$C,3,FALSE)</f>
        <v>ゴールドダックでビットを獲得</v>
      </c>
      <c r="L32" s="92" t="str">
        <f>VLOOKUP(I32,[7]stage_hints!$A:$D,4,FALSE)</f>
        <v>「ゴールドなアヒル」を売却すると_x000D_大量のビットがもらえます</v>
      </c>
      <c r="M32" s="55" t="s">
        <v>211</v>
      </c>
    </row>
    <row r="33" spans="1:13" x14ac:dyDescent="0.15">
      <c r="A33" s="78" t="s">
        <v>200</v>
      </c>
      <c r="B33" s="79">
        <f>floors!$C$2</f>
        <v>65529</v>
      </c>
      <c r="C33" s="80" t="str">
        <f ca="1">VLOOKUP($B33,OFFSET([2]quests!$A$1,0,0,COUNTA([2]quests!$A:$A),MATCH(C$1,[2]quests!$1:$1,0)-MATCH($B$1,[2]quests!$1:$1,0)+1),MATCH(C$1,[2]quests!$1:$1,0)-MATCH($B$1,[2]quests!$1:$1,0)+1,FALSE)</f>
        <v>【LB中原】検証クエスト</v>
      </c>
      <c r="D33" s="80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4" t="s">
        <v>215</v>
      </c>
      <c r="F33" s="80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0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2">
        <v>0</v>
      </c>
      <c r="I33">
        <v>10</v>
      </c>
      <c r="J33" s="81" t="s">
        <v>198</v>
      </c>
      <c r="K33" s="91" t="str">
        <f>VLOOKUP(I33,[7]stage_hints!$A:$C,3,FALSE)</f>
        <v>土日に大量のビットを獲得</v>
      </c>
      <c r="L33" s="92" t="str">
        <f>VLOOKUP(I33,[7]stage_hints!$A:$D,4,FALSE)</f>
        <v>土日限定の「ゴールドカジノ」では_x000D_売却素材ユニットが多く手に入ります</v>
      </c>
      <c r="M33" s="55" t="s">
        <v>211</v>
      </c>
    </row>
    <row r="34" spans="1:13" x14ac:dyDescent="0.15">
      <c r="A34" s="78" t="s">
        <v>200</v>
      </c>
      <c r="B34" s="79">
        <f>floors!$C$2</f>
        <v>65529</v>
      </c>
      <c r="C34" s="80" t="str">
        <f ca="1">VLOOKUP($B34,OFFSET([2]quests!$A$1,0,0,COUNTA([2]quests!$A:$A),MATCH(C$1,[2]quests!$1:$1,0)-MATCH($B$1,[2]quests!$1:$1,0)+1),MATCH(C$1,[2]quests!$1:$1,0)-MATCH($B$1,[2]quests!$1:$1,0)+1,FALSE)</f>
        <v>【LB中原】検証クエスト</v>
      </c>
      <c r="D34" s="80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4" t="s">
        <v>215</v>
      </c>
      <c r="F34" s="80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0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2">
        <v>0</v>
      </c>
      <c r="I34">
        <v>11</v>
      </c>
      <c r="J34" s="81" t="s">
        <v>198</v>
      </c>
      <c r="K34" s="91" t="str">
        <f>VLOOKUP(I34,[7]stage_hints!$A:$C,3,FALSE)</f>
        <v>ゲリラクエストは要チェック</v>
      </c>
      <c r="L34" s="92" t="str">
        <f>VLOOKUP(I34,[7]stage_hints!$A:$D,4,FALSE)</f>
        <v>時間限定の「アヒル捕獲作戦」では_x000D_経験値素材ユニットが多く手に入ります</v>
      </c>
      <c r="M34" s="55" t="s">
        <v>211</v>
      </c>
    </row>
    <row r="35" spans="1:13" x14ac:dyDescent="0.15">
      <c r="A35" s="78" t="s">
        <v>200</v>
      </c>
      <c r="B35" s="79">
        <f>floors!$C$2</f>
        <v>65529</v>
      </c>
      <c r="C35" s="80" t="str">
        <f ca="1">VLOOKUP($B35,OFFSET([2]quests!$A$1,0,0,COUNTA([2]quests!$A:$A),MATCH(C$1,[2]quests!$1:$1,0)-MATCH($B$1,[2]quests!$1:$1,0)+1),MATCH(C$1,[2]quests!$1:$1,0)-MATCH($B$1,[2]quests!$1:$1,0)+1,FALSE)</f>
        <v>【LB中原】検証クエスト</v>
      </c>
      <c r="D35" s="80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4" t="s">
        <v>215</v>
      </c>
      <c r="F35" s="80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0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2">
        <v>0</v>
      </c>
      <c r="I35">
        <v>12</v>
      </c>
      <c r="J35" s="81" t="s">
        <v>198</v>
      </c>
      <c r="K35" s="91" t="str">
        <f>VLOOKUP(I35,[7]stage_hints!$A:$C,3,FALSE)</f>
        <v>ユニットのお気に入り登録</v>
      </c>
      <c r="L35" s="92" t="str">
        <f>VLOOKUP(I35,[7]stage_hints!$A:$D,4,FALSE)</f>
        <v>大事なユニットを誤って消さないように_x000D_フォルダから「お気に入り登録」しましょう</v>
      </c>
      <c r="M35" s="55" t="s">
        <v>211</v>
      </c>
    </row>
    <row r="36" spans="1:13" x14ac:dyDescent="0.15">
      <c r="A36" s="78" t="s">
        <v>200</v>
      </c>
      <c r="B36" s="79">
        <f>floors!$C$2</f>
        <v>65529</v>
      </c>
      <c r="C36" s="80" t="str">
        <f ca="1">VLOOKUP($B36,OFFSET([2]quests!$A$1,0,0,COUNTA([2]quests!$A:$A),MATCH(C$1,[2]quests!$1:$1,0)-MATCH($B$1,[2]quests!$1:$1,0)+1),MATCH(C$1,[2]quests!$1:$1,0)-MATCH($B$1,[2]quests!$1:$1,0)+1,FALSE)</f>
        <v>【LB中原】検証クエスト</v>
      </c>
      <c r="D36" s="80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4" t="s">
        <v>215</v>
      </c>
      <c r="F36" s="80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0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2">
        <v>0</v>
      </c>
      <c r="I36">
        <v>13</v>
      </c>
      <c r="J36" s="81" t="s">
        <v>198</v>
      </c>
      <c r="K36" s="91" t="str">
        <f>VLOOKUP(I36,[7]stage_hints!$A:$C,3,FALSE)</f>
        <v>ユニットの覚醒</v>
      </c>
      <c r="L36" s="92" t="str">
        <f>VLOOKUP(I36,[7]stage_hints!$A:$D,4,FALSE)</f>
        <v>ユニットを覚醒させると_x000D_比べものにならない強さが手に入ります</v>
      </c>
      <c r="M36" s="55" t="s">
        <v>211</v>
      </c>
    </row>
    <row r="37" spans="1:13" x14ac:dyDescent="0.15">
      <c r="A37" s="78" t="s">
        <v>200</v>
      </c>
      <c r="B37" s="79">
        <f>floors!$C$2</f>
        <v>65529</v>
      </c>
      <c r="C37" s="80" t="str">
        <f ca="1">VLOOKUP($B37,OFFSET([2]quests!$A$1,0,0,COUNTA([2]quests!$A:$A),MATCH(C$1,[2]quests!$1:$1,0)-MATCH($B$1,[2]quests!$1:$1,0)+1),MATCH(C$1,[2]quests!$1:$1,0)-MATCH($B$1,[2]quests!$1:$1,0)+1,FALSE)</f>
        <v>【LB中原】検証クエスト</v>
      </c>
      <c r="D37" s="80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4" t="s">
        <v>215</v>
      </c>
      <c r="F37" s="80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0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2">
        <v>0</v>
      </c>
      <c r="I37">
        <v>14</v>
      </c>
      <c r="J37" s="81" t="s">
        <v>198</v>
      </c>
      <c r="K37" s="91" t="str">
        <f>VLOOKUP(I37,[7]stage_hints!$A:$C,3,FALSE)</f>
        <v>覚醒するにはレベルを最大に</v>
      </c>
      <c r="L37" s="92" t="str">
        <f>VLOOKUP(I37,[7]stage_hints!$A:$D,4,FALSE)</f>
        <v>覚醒するにはユニットのレベルを_x000D_最大まで上げる必要があります</v>
      </c>
      <c r="M37" s="55" t="s">
        <v>211</v>
      </c>
    </row>
    <row r="38" spans="1:13" x14ac:dyDescent="0.15">
      <c r="A38" s="78" t="s">
        <v>200</v>
      </c>
      <c r="B38" s="79">
        <f>floors!$C$2</f>
        <v>65529</v>
      </c>
      <c r="C38" s="80" t="str">
        <f ca="1">VLOOKUP($B38,OFFSET([2]quests!$A$1,0,0,COUNTA([2]quests!$A:$A),MATCH(C$1,[2]quests!$1:$1,0)-MATCH($B$1,[2]quests!$1:$1,0)+1),MATCH(C$1,[2]quests!$1:$1,0)-MATCH($B$1,[2]quests!$1:$1,0)+1,FALSE)</f>
        <v>【LB中原】検証クエスト</v>
      </c>
      <c r="D38" s="80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4" t="s">
        <v>215</v>
      </c>
      <c r="F38" s="80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0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2">
        <v>0</v>
      </c>
      <c r="I38">
        <v>15</v>
      </c>
      <c r="J38" s="81" t="s">
        <v>198</v>
      </c>
      <c r="K38" s="91" t="str">
        <f>VLOOKUP(I38,[7]stage_hints!$A:$C,3,FALSE)</f>
        <v>覚醒素材を獲得</v>
      </c>
      <c r="L38" s="92" t="str">
        <f>VLOOKUP(I38,[7]stage_hints!$A:$D,4,FALSE)</f>
        <v>「曜日クエスト」では_x000D_ユニットの覚醒に必要な素材が手に入ります</v>
      </c>
      <c r="M38" s="55" t="s">
        <v>211</v>
      </c>
    </row>
    <row r="39" spans="1:13" x14ac:dyDescent="0.15">
      <c r="A39" s="78" t="s">
        <v>200</v>
      </c>
      <c r="B39" s="79">
        <f>floors!$C$2</f>
        <v>65529</v>
      </c>
      <c r="C39" s="80" t="str">
        <f ca="1">VLOOKUP($B39,OFFSET([2]quests!$A$1,0,0,COUNTA([2]quests!$A:$A),MATCH(C$1,[2]quests!$1:$1,0)-MATCH($B$1,[2]quests!$1:$1,0)+1),MATCH(C$1,[2]quests!$1:$1,0)-MATCH($B$1,[2]quests!$1:$1,0)+1,FALSE)</f>
        <v>【LB中原】検証クエスト</v>
      </c>
      <c r="D39" s="80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4" t="s">
        <v>215</v>
      </c>
      <c r="F39" s="80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0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2">
        <v>0</v>
      </c>
      <c r="I39">
        <v>16</v>
      </c>
      <c r="J39" s="81" t="s">
        <v>198</v>
      </c>
      <c r="K39" s="91" t="str">
        <f>VLOOKUP(I39,[7]stage_hints!$A:$C,3,FALSE)</f>
        <v>マルチプレイのメリット（その1）</v>
      </c>
      <c r="L39" s="92" t="str">
        <f>VLOOKUP(I39,[7]stage_hints!$A:$D,4,FALSE)</f>
        <v>他のプレイヤーとマルチプレイで遊ぶと_x000D_ポリゴンがもらえます（100人まで）</v>
      </c>
      <c r="M39" s="55" t="s">
        <v>211</v>
      </c>
    </row>
    <row r="40" spans="1:13" x14ac:dyDescent="0.15">
      <c r="A40" s="78" t="s">
        <v>200</v>
      </c>
      <c r="B40" s="79">
        <f>floors!$C$2</f>
        <v>65529</v>
      </c>
      <c r="C40" s="80" t="str">
        <f ca="1">VLOOKUP($B40,OFFSET([2]quests!$A$1,0,0,COUNTA([2]quests!$A:$A),MATCH(C$1,[2]quests!$1:$1,0)-MATCH($B$1,[2]quests!$1:$1,0)+1),MATCH(C$1,[2]quests!$1:$1,0)-MATCH($B$1,[2]quests!$1:$1,0)+1,FALSE)</f>
        <v>【LB中原】検証クエスト</v>
      </c>
      <c r="D40" s="80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4" t="s">
        <v>215</v>
      </c>
      <c r="F40" s="80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0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2">
        <v>0</v>
      </c>
      <c r="I40">
        <v>17</v>
      </c>
      <c r="J40" s="81" t="s">
        <v>198</v>
      </c>
      <c r="K40" s="91" t="str">
        <f>VLOOKUP(I40,[7]stage_hints!$A:$C,3,FALSE)</f>
        <v>リンクガチャ</v>
      </c>
      <c r="L40" s="92" t="str">
        <f>VLOOKUP(I40,[7]stage_hints!$A:$D,4,FALSE)</f>
        <v>無料のリンクガチャを回して_x000D_経験値素材や売却素材を獲得しましょう</v>
      </c>
      <c r="M40" s="55" t="s">
        <v>211</v>
      </c>
    </row>
    <row r="41" spans="1:13" x14ac:dyDescent="0.15">
      <c r="A41" s="78" t="s">
        <v>200</v>
      </c>
      <c r="B41" s="79">
        <f>floors!$C$2</f>
        <v>65529</v>
      </c>
      <c r="C41" s="80" t="str">
        <f ca="1">VLOOKUP($B41,OFFSET([2]quests!$A$1,0,0,COUNTA([2]quests!$A:$A),MATCH(C$1,[2]quests!$1:$1,0)-MATCH($B$1,[2]quests!$1:$1,0)+1),MATCH(C$1,[2]quests!$1:$1,0)-MATCH($B$1,[2]quests!$1:$1,0)+1,FALSE)</f>
        <v>【LB中原】検証クエスト</v>
      </c>
      <c r="D41" s="80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4" t="s">
        <v>215</v>
      </c>
      <c r="F41" s="80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0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2">
        <v>0</v>
      </c>
      <c r="I41">
        <v>18</v>
      </c>
      <c r="J41" s="81" t="s">
        <v>198</v>
      </c>
      <c r="K41" s="91" t="str">
        <f>VLOOKUP(I41,[7]stage_hints!$A:$C,3,FALSE)</f>
        <v>マルチプレイのメリット（その2）</v>
      </c>
      <c r="L41" s="92" t="str">
        <f>VLOOKUP(I41,[7]stage_hints!$A:$D,4,FALSE)</f>
        <v>マルチプレイならリンクが2倍もらえます_x000D_リンクガチャをたくさん回しましょう</v>
      </c>
      <c r="M41" s="55" t="s">
        <v>211</v>
      </c>
    </row>
    <row r="42" spans="1:13" x14ac:dyDescent="0.15">
      <c r="A42" s="78" t="s">
        <v>200</v>
      </c>
      <c r="B42" s="79">
        <f>floors!$C$2</f>
        <v>65529</v>
      </c>
      <c r="C42" s="80" t="str">
        <f ca="1">VLOOKUP($B42,OFFSET([2]quests!$A$1,0,0,COUNTA([2]quests!$A:$A),MATCH(C$1,[2]quests!$1:$1,0)-MATCH($B$1,[2]quests!$1:$1,0)+1),MATCH(C$1,[2]quests!$1:$1,0)-MATCH($B$1,[2]quests!$1:$1,0)+1,FALSE)</f>
        <v>【LB中原】検証クエスト</v>
      </c>
      <c r="D42" s="80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4" t="s">
        <v>215</v>
      </c>
      <c r="F42" s="80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0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2">
        <v>0</v>
      </c>
      <c r="I42">
        <v>19</v>
      </c>
      <c r="J42" s="81" t="s">
        <v>198</v>
      </c>
      <c r="K42" s="91" t="str">
        <f>VLOOKUP(I42,[7]stage_hints!$A:$C,3,FALSE)</f>
        <v>ソロ専用タワーオブザクイーン</v>
      </c>
      <c r="L42" s="92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5" t="s">
        <v>211</v>
      </c>
    </row>
    <row r="43" spans="1:13" x14ac:dyDescent="0.15">
      <c r="A43" s="78" t="s">
        <v>200</v>
      </c>
      <c r="B43" s="79">
        <f>floors!$C$2</f>
        <v>65529</v>
      </c>
      <c r="C43" s="80" t="str">
        <f ca="1">VLOOKUP($B43,OFFSET([2]quests!$A$1,0,0,COUNTA([2]quests!$A:$A),MATCH(C$1,[2]quests!$1:$1,0)-MATCH($B$1,[2]quests!$1:$1,0)+1),MATCH(C$1,[2]quests!$1:$1,0)-MATCH($B$1,[2]quests!$1:$1,0)+1,FALSE)</f>
        <v>【LB中原】検証クエスト</v>
      </c>
      <c r="D43" s="80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4" t="s">
        <v>215</v>
      </c>
      <c r="F43" s="80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0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2">
        <v>0</v>
      </c>
      <c r="I43">
        <v>20</v>
      </c>
      <c r="J43" s="81" t="s">
        <v>198</v>
      </c>
      <c r="K43" s="91" t="str">
        <f>VLOOKUP(I43,[7]stage_hints!$A:$C,3,FALSE)</f>
        <v>マルチプレイのメリット（その3）</v>
      </c>
      <c r="L43" s="92" t="str">
        <f>VLOOKUP(I43,[7]stage_hints!$A:$D,4,FALSE)</f>
        <v>マルチプレイへの参加はエナジー消費ゼロ_x000D_いつでも好きなだけ遊ぶことができます</v>
      </c>
      <c r="M43" s="55" t="s">
        <v>211</v>
      </c>
    </row>
    <row r="44" spans="1:13" x14ac:dyDescent="0.15">
      <c r="A44" s="78" t="s">
        <v>200</v>
      </c>
      <c r="B44" s="79">
        <f>floors!$C$2</f>
        <v>65529</v>
      </c>
      <c r="C44" s="80" t="str">
        <f ca="1">VLOOKUP($B44,OFFSET([2]quests!$A$1,0,0,COUNTA([2]quests!$A:$A),MATCH(C$1,[2]quests!$1:$1,0)-MATCH($B$1,[2]quests!$1:$1,0)+1),MATCH(C$1,[2]quests!$1:$1,0)-MATCH($B$1,[2]quests!$1:$1,0)+1,FALSE)</f>
        <v>【LB中原】検証クエスト</v>
      </c>
      <c r="D44" s="80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4" t="s">
        <v>215</v>
      </c>
      <c r="F44" s="80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0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2">
        <v>0</v>
      </c>
      <c r="I44">
        <v>21</v>
      </c>
      <c r="J44" s="81" t="s">
        <v>198</v>
      </c>
      <c r="K44" s="91" t="str">
        <f>VLOOKUP(I44,[7]stage_hints!$A:$C,3,FALSE)</f>
        <v>スキルを有効に</v>
      </c>
      <c r="L44" s="92" t="str">
        <f>VLOOKUP(I44,[7]stage_hints!$A:$D,4,FALSE)</f>
        <v>ターン経過でユニットのスキルが使えます_x000D_強力スキルでバトルを有利に進めましょう</v>
      </c>
      <c r="M44" s="55" t="s">
        <v>211</v>
      </c>
    </row>
    <row r="45" spans="1:13" x14ac:dyDescent="0.15">
      <c r="A45" s="78" t="s">
        <v>200</v>
      </c>
      <c r="B45" s="79">
        <f>floors!$C$2</f>
        <v>65529</v>
      </c>
      <c r="C45" s="80" t="str">
        <f ca="1">VLOOKUP($B45,OFFSET([2]quests!$A$1,0,0,COUNTA([2]quests!$A:$A),MATCH(C$1,[2]quests!$1:$1,0)-MATCH($B$1,[2]quests!$1:$1,0)+1),MATCH(C$1,[2]quests!$1:$1,0)-MATCH($B$1,[2]quests!$1:$1,0)+1,FALSE)</f>
        <v>【LB中原】検証クエスト</v>
      </c>
      <c r="D45" s="80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4" t="s">
        <v>215</v>
      </c>
      <c r="F45" s="80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0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2">
        <v>0</v>
      </c>
      <c r="I45">
        <v>22</v>
      </c>
      <c r="J45" s="81" t="s">
        <v>198</v>
      </c>
      <c r="K45" s="91" t="str">
        <f>VLOOKUP(I45,[7]stage_hints!$A:$C,3,FALSE)</f>
        <v>フィーバーで一発逆転（その1）</v>
      </c>
      <c r="L45" s="92" t="str">
        <f>VLOOKUP(I45,[7]stage_hints!$A:$D,4,FALSE)</f>
        <v>フィーバーは攻撃と回復を兼ね備えます_x000D_ピンチからの一発逆転を狙いましょう</v>
      </c>
      <c r="M45" s="55" t="s">
        <v>211</v>
      </c>
    </row>
    <row r="46" spans="1:13" x14ac:dyDescent="0.15">
      <c r="A46" s="78" t="s">
        <v>200</v>
      </c>
      <c r="B46" s="79">
        <f>floors!$C$2</f>
        <v>65529</v>
      </c>
      <c r="C46" s="80" t="str">
        <f ca="1">VLOOKUP($B46,OFFSET([2]quests!$A$1,0,0,COUNTA([2]quests!$A:$A),MATCH(C$1,[2]quests!$1:$1,0)-MATCH($B$1,[2]quests!$1:$1,0)+1),MATCH(C$1,[2]quests!$1:$1,0)-MATCH($B$1,[2]quests!$1:$1,0)+1,FALSE)</f>
        <v>【LB中原】検証クエスト</v>
      </c>
      <c r="D46" s="80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4" t="s">
        <v>215</v>
      </c>
      <c r="F46" s="80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0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2">
        <v>0</v>
      </c>
      <c r="I46">
        <v>23</v>
      </c>
      <c r="J46" s="81" t="s">
        <v>198</v>
      </c>
      <c r="K46" s="91" t="str">
        <f>VLOOKUP(I46,[7]stage_hints!$A:$C,3,FALSE)</f>
        <v>フィーバーで一発逆転（その2）</v>
      </c>
      <c r="L46" s="92" t="str">
        <f>VLOOKUP(I46,[7]stage_hints!$A:$D,4,FALSE)</f>
        <v>フィーバー中は虹色のボムパネルを狙って_x000D_画面上のパネルを一気に破壊しましょう</v>
      </c>
      <c r="M46" s="55" t="s">
        <v>211</v>
      </c>
    </row>
    <row r="47" spans="1:13" x14ac:dyDescent="0.15">
      <c r="A47" s="78" t="s">
        <v>200</v>
      </c>
      <c r="B47" s="79">
        <f>floors!$C$2</f>
        <v>65529</v>
      </c>
      <c r="C47" s="80" t="str">
        <f ca="1">VLOOKUP($B47,OFFSET([2]quests!$A$1,0,0,COUNTA([2]quests!$A:$A),MATCH(C$1,[2]quests!$1:$1,0)-MATCH($B$1,[2]quests!$1:$1,0)+1),MATCH(C$1,[2]quests!$1:$1,0)-MATCH($B$1,[2]quests!$1:$1,0)+1,FALSE)</f>
        <v>【LB中原】検証クエスト</v>
      </c>
      <c r="D47" s="80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4" t="s">
        <v>215</v>
      </c>
      <c r="F47" s="80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0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2">
        <v>0</v>
      </c>
      <c r="I47">
        <v>24</v>
      </c>
      <c r="J47" s="81" t="s">
        <v>198</v>
      </c>
      <c r="K47" s="91" t="str">
        <f>VLOOKUP(I47,[7]stage_hints!$A:$C,3,FALSE)</f>
        <v>果実を使って限界突破</v>
      </c>
      <c r="L47" s="92" t="str">
        <f>VLOOKUP(I47,[7]stage_hints!$A:$D,4,FALSE)</f>
        <v>攻めの果実 癒しの果実_x000D_生命の果実をユニット強化に使うと_x000D_ステータスが限界突破します（計99個迄）</v>
      </c>
      <c r="M47" s="55" t="s">
        <v>211</v>
      </c>
    </row>
    <row r="48" spans="1:13" x14ac:dyDescent="0.15">
      <c r="A48" s="78" t="s">
        <v>200</v>
      </c>
      <c r="B48" s="79">
        <f>floors!$C$2</f>
        <v>65529</v>
      </c>
      <c r="C48" s="80" t="str">
        <f ca="1">VLOOKUP($B48,OFFSET([2]quests!$A$1,0,0,COUNTA([2]quests!$A:$A),MATCH(C$1,[2]quests!$1:$1,0)-MATCH($B$1,[2]quests!$1:$1,0)+1),MATCH(C$1,[2]quests!$1:$1,0)-MATCH($B$1,[2]quests!$1:$1,0)+1,FALSE)</f>
        <v>【LB中原】検証クエスト</v>
      </c>
      <c r="D48" s="80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4" t="s">
        <v>215</v>
      </c>
      <c r="F48" s="80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0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2">
        <v>0</v>
      </c>
      <c r="I48">
        <v>25</v>
      </c>
      <c r="J48" s="81" t="s">
        <v>198</v>
      </c>
      <c r="K48" s="91" t="str">
        <f>VLOOKUP(I48,[7]stage_hints!$A:$C,3,FALSE)</f>
        <v>スキルレベルアップ</v>
      </c>
      <c r="L48" s="92" t="str">
        <f>VLOOKUP(I48,[7]stage_hints!$A:$D,4,FALSE)</f>
        <v>「秘術の果実」を強化に使うと_x000D_スキルレベルを上げることができます</v>
      </c>
      <c r="M48" s="55" t="s">
        <v>211</v>
      </c>
    </row>
    <row r="49" spans="1:13" x14ac:dyDescent="0.15">
      <c r="A49" s="78" t="s">
        <v>200</v>
      </c>
      <c r="B49" s="79">
        <f>floors!$C$2</f>
        <v>65529</v>
      </c>
      <c r="C49" s="80" t="str">
        <f ca="1">VLOOKUP($B49,OFFSET([2]quests!$A$1,0,0,COUNTA([2]quests!$A:$A),MATCH(C$1,[2]quests!$1:$1,0)-MATCH($B$1,[2]quests!$1:$1,0)+1),MATCH(C$1,[2]quests!$1:$1,0)-MATCH($B$1,[2]quests!$1:$1,0)+1,FALSE)</f>
        <v>【LB中原】検証クエスト</v>
      </c>
      <c r="D49" s="80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4" t="s">
        <v>215</v>
      </c>
      <c r="F49" s="80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0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2">
        <v>0</v>
      </c>
      <c r="I49">
        <v>26</v>
      </c>
      <c r="J49" s="81" t="s">
        <v>198</v>
      </c>
      <c r="K49" s="91" t="str">
        <f>VLOOKUP(I49,[7]stage_hints!$A:$C,3,FALSE)</f>
        <v>スキルレベルの効果</v>
      </c>
      <c r="L49" s="92" t="str">
        <f>VLOOKUP(I49,[7]stage_hints!$A:$D,4,FALSE)</f>
        <v>スキルレベルが上がると_x000D_短いターンでスキルを使うことができます</v>
      </c>
      <c r="M49" s="55" t="s">
        <v>211</v>
      </c>
    </row>
    <row r="50" spans="1:13" x14ac:dyDescent="0.15">
      <c r="A50" s="78" t="s">
        <v>200</v>
      </c>
      <c r="B50" s="79">
        <f>floors!$C$2</f>
        <v>65529</v>
      </c>
      <c r="C50" s="80" t="str">
        <f ca="1">VLOOKUP($B50,OFFSET([2]quests!$A$1,0,0,COUNTA([2]quests!$A:$A),MATCH(C$1,[2]quests!$1:$1,0)-MATCH($B$1,[2]quests!$1:$1,0)+1),MATCH(C$1,[2]quests!$1:$1,0)-MATCH($B$1,[2]quests!$1:$1,0)+1,FALSE)</f>
        <v>【LB中原】検証クエスト</v>
      </c>
      <c r="D50" s="80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4" t="s">
        <v>215</v>
      </c>
      <c r="F50" s="80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0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2">
        <v>0</v>
      </c>
      <c r="I50">
        <v>27</v>
      </c>
      <c r="J50" s="81" t="s">
        <v>198</v>
      </c>
      <c r="K50" s="91" t="str">
        <f>VLOOKUP(I50,[7]stage_hints!$A:$C,3,FALSE)</f>
        <v>ホーム画面からデッキを編成</v>
      </c>
      <c r="L50" s="92" t="str">
        <f>VLOOKUP(I50,[7]stage_hints!$A:$D,4,FALSE)</f>
        <v>ホーム画面でユニットを長押しすると_x000D_すぐにパーティ編成に移動できます</v>
      </c>
      <c r="M50" s="55" t="s">
        <v>211</v>
      </c>
    </row>
    <row r="51" spans="1:13" x14ac:dyDescent="0.15">
      <c r="A51" s="78" t="s">
        <v>200</v>
      </c>
      <c r="B51" s="79">
        <f>floors!$C$2</f>
        <v>65529</v>
      </c>
      <c r="C51" s="80" t="str">
        <f ca="1">VLOOKUP($B51,OFFSET([2]quests!$A$1,0,0,COUNTA([2]quests!$A:$A),MATCH(C$1,[2]quests!$1:$1,0)-MATCH($B$1,[2]quests!$1:$1,0)+1),MATCH(C$1,[2]quests!$1:$1,0)-MATCH($B$1,[2]quests!$1:$1,0)+1,FALSE)</f>
        <v>【LB中原】検証クエスト</v>
      </c>
      <c r="D51" s="80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4" t="s">
        <v>215</v>
      </c>
      <c r="F51" s="80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0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2">
        <v>0</v>
      </c>
      <c r="I51">
        <v>28</v>
      </c>
      <c r="J51" s="81" t="s">
        <v>198</v>
      </c>
      <c r="K51" s="91" t="str">
        <f>VLOOKUP(I51,[7]stage_hints!$A:$C,3,FALSE)</f>
        <v>ステータス情報は長押しで</v>
      </c>
      <c r="L51" s="92" t="str">
        <f>VLOOKUP(I51,[7]stage_hints!$A:$D,4,FALSE)</f>
        <v>ユニットのアイコンを長押しすると_x000D_ステータス情報を確認することができます</v>
      </c>
      <c r="M51" s="55" t="s">
        <v>211</v>
      </c>
    </row>
    <row r="52" spans="1:13" x14ac:dyDescent="0.15">
      <c r="A52" s="78" t="s">
        <v>200</v>
      </c>
      <c r="B52" s="79">
        <f>floors!$C$2</f>
        <v>65529</v>
      </c>
      <c r="C52" s="80" t="str">
        <f ca="1">VLOOKUP($B52,OFFSET([2]quests!$A$1,0,0,COUNTA([2]quests!$A:$A),MATCH(C$1,[2]quests!$1:$1,0)-MATCH($B$1,[2]quests!$1:$1,0)+1),MATCH(C$1,[2]quests!$1:$1,0)-MATCH($B$1,[2]quests!$1:$1,0)+1,FALSE)</f>
        <v>【LB中原】検証クエスト</v>
      </c>
      <c r="D52" s="80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4" t="s">
        <v>215</v>
      </c>
      <c r="F52" s="80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0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2">
        <v>0</v>
      </c>
      <c r="I52">
        <v>29</v>
      </c>
      <c r="J52" s="81" t="s">
        <v>198</v>
      </c>
      <c r="K52" s="91" t="str">
        <f>VLOOKUP(I52,[7]stage_hints!$A:$C,3,FALSE)</f>
        <v>「バグ」のメリット</v>
      </c>
      <c r="L52" s="92" t="str">
        <f>VLOOKUP(I52,[7]stage_hints!$A:$D,4,FALSE)</f>
        <v>ユニットの「バグ」を増やすと_x000D_報酬をもらえる確率がアップします</v>
      </c>
      <c r="M52" s="55" t="s">
        <v>211</v>
      </c>
    </row>
    <row r="53" spans="1:13" x14ac:dyDescent="0.15">
      <c r="A53" s="78" t="s">
        <v>200</v>
      </c>
      <c r="B53" s="79">
        <f>floors!$C$2</f>
        <v>65529</v>
      </c>
      <c r="C53" s="80" t="str">
        <f ca="1">VLOOKUP($B53,OFFSET([2]quests!$A$1,0,0,COUNTA([2]quests!$A:$A),MATCH(C$1,[2]quests!$1:$1,0)-MATCH($B$1,[2]quests!$1:$1,0)+1),MATCH(C$1,[2]quests!$1:$1,0)-MATCH($B$1,[2]quests!$1:$1,0)+1,FALSE)</f>
        <v>【LB中原】検証クエスト</v>
      </c>
      <c r="D53" s="80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4" t="s">
        <v>215</v>
      </c>
      <c r="F53" s="80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0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2">
        <v>0</v>
      </c>
      <c r="I53">
        <v>30</v>
      </c>
      <c r="J53" s="81" t="s">
        <v>198</v>
      </c>
      <c r="K53" s="91" t="str">
        <f>VLOOKUP(I53,[7]stage_hints!$A:$C,3,FALSE)</f>
        <v>「バグ」の増やし方</v>
      </c>
      <c r="L53" s="92" t="str">
        <f>VLOOKUP(I53,[7]stage_hints!$A:$D,4,FALSE)</f>
        <v>同じユニット同士を強化で合成すると_x000D_「バグ」を増やすことができます</v>
      </c>
      <c r="M53" s="55" t="s">
        <v>211</v>
      </c>
    </row>
    <row r="54" spans="1:13" x14ac:dyDescent="0.15">
      <c r="A54" s="78" t="s">
        <v>200</v>
      </c>
      <c r="B54" s="79">
        <f>floors!$C$2</f>
        <v>65529</v>
      </c>
      <c r="C54" s="80" t="str">
        <f ca="1">VLOOKUP($B54,OFFSET([2]quests!$A$1,0,0,COUNTA([2]quests!$A:$A),MATCH(C$1,[2]quests!$1:$1,0)-MATCH($B$1,[2]quests!$1:$1,0)+1),MATCH(C$1,[2]quests!$1:$1,0)-MATCH($B$1,[2]quests!$1:$1,0)+1,FALSE)</f>
        <v>【LB中原】検証クエスト</v>
      </c>
      <c r="D54" s="80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4" t="s">
        <v>215</v>
      </c>
      <c r="F54" s="80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0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2">
        <v>0</v>
      </c>
      <c r="I54">
        <v>31</v>
      </c>
      <c r="J54" s="81" t="s">
        <v>198</v>
      </c>
      <c r="K54" s="91" t="str">
        <f>VLOOKUP(I54,[7]stage_hints!$A:$C,3,FALSE)</f>
        <v>イベントはお知らせでチェック</v>
      </c>
      <c r="L54" s="92" t="str">
        <f>VLOOKUP(I54,[7]stage_hints!$A:$D,4,FALSE)</f>
        <v>イベント限定ユニットを取り忘れないように_x000D_お知らせをこまめにチェックしましょう</v>
      </c>
      <c r="M54" s="55" t="s">
        <v>211</v>
      </c>
    </row>
    <row r="55" spans="1:13" x14ac:dyDescent="0.15">
      <c r="A55" s="78" t="s">
        <v>200</v>
      </c>
      <c r="B55" s="79">
        <f>floors!$C$2</f>
        <v>65529</v>
      </c>
      <c r="C55" s="80" t="str">
        <f ca="1">VLOOKUP($B55,OFFSET([2]quests!$A$1,0,0,COUNTA([2]quests!$A:$A),MATCH(C$1,[2]quests!$1:$1,0)-MATCH($B$1,[2]quests!$1:$1,0)+1),MATCH(C$1,[2]quests!$1:$1,0)-MATCH($B$1,[2]quests!$1:$1,0)+1,FALSE)</f>
        <v>【LB中原】検証クエスト</v>
      </c>
      <c r="D55" s="80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4" t="s">
        <v>215</v>
      </c>
      <c r="F55" s="80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0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2">
        <v>0</v>
      </c>
      <c r="I55">
        <v>32</v>
      </c>
      <c r="J55" s="81" t="s">
        <v>198</v>
      </c>
      <c r="K55" s="91" t="str">
        <f>VLOOKUP(I55,[7]stage_hints!$A:$C,3,FALSE)</f>
        <v>敵の連続攻撃には</v>
      </c>
      <c r="L55" s="92" t="str">
        <f>VLOOKUP(I55,[7]stage_hints!$A:$D,4,FALSE)</f>
        <v>カウンタースキルを持つユニットがいれば_x000D_ダメージ回数分の反撃ができます</v>
      </c>
      <c r="M55" s="55" t="s">
        <v>211</v>
      </c>
    </row>
    <row r="56" spans="1:13" x14ac:dyDescent="0.15">
      <c r="A56" s="78" t="s">
        <v>200</v>
      </c>
      <c r="B56" s="79">
        <f>floors!$C$2</f>
        <v>65529</v>
      </c>
      <c r="C56" s="80" t="str">
        <f ca="1">VLOOKUP($B56,OFFSET([2]quests!$A$1,0,0,COUNTA([2]quests!$A:$A),MATCH(C$1,[2]quests!$1:$1,0)-MATCH($B$1,[2]quests!$1:$1,0)+1),MATCH(C$1,[2]quests!$1:$1,0)-MATCH($B$1,[2]quests!$1:$1,0)+1,FALSE)</f>
        <v>【LB中原】検証クエスト</v>
      </c>
      <c r="D56" s="80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4" t="s">
        <v>215</v>
      </c>
      <c r="F56" s="80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0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2">
        <v>0</v>
      </c>
      <c r="I56">
        <v>33</v>
      </c>
      <c r="J56" s="81" t="s">
        <v>198</v>
      </c>
      <c r="K56" s="91" t="str">
        <f>VLOOKUP(I56,[7]stage_hints!$A:$C,3,FALSE)</f>
        <v>敵のカウンター攻撃には</v>
      </c>
      <c r="L56" s="92" t="str">
        <f>VLOOKUP(I56,[7]stage_hints!$A:$D,4,FALSE)</f>
        <v>カウンターブレイクスキルを持っていれば_x000D_敵のカウンターを解除して攻撃ができます</v>
      </c>
      <c r="M56" s="55" t="s">
        <v>211</v>
      </c>
    </row>
    <row r="57" spans="1:13" x14ac:dyDescent="0.15">
      <c r="A57" s="78" t="s">
        <v>200</v>
      </c>
      <c r="B57" s="79">
        <f>floors!$C$2</f>
        <v>65529</v>
      </c>
      <c r="C57" s="80" t="str">
        <f ca="1">VLOOKUP($B57,OFFSET([2]quests!$A$1,0,0,COUNTA([2]quests!$A:$A),MATCH(C$1,[2]quests!$1:$1,0)-MATCH($B$1,[2]quests!$1:$1,0)+1),MATCH(C$1,[2]quests!$1:$1,0)-MATCH($B$1,[2]quests!$1:$1,0)+1,FALSE)</f>
        <v>【LB中原】検証クエスト</v>
      </c>
      <c r="D57" s="80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4" t="s">
        <v>215</v>
      </c>
      <c r="F57" s="80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0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2">
        <v>0</v>
      </c>
      <c r="I57">
        <v>34</v>
      </c>
      <c r="J57" s="81" t="s">
        <v>198</v>
      </c>
      <c r="K57" s="91" t="str">
        <f>VLOOKUP(I57,[7]stage_hints!$A:$C,3,FALSE)</f>
        <v>ステータスをスキルで下げられたら</v>
      </c>
      <c r="L57" s="92" t="str">
        <f>VLOOKUP(I57,[7]stage_hints!$A:$D,4,FALSE)</f>
        <v>ステータスダウンのスキルを受けたら_x000D_ステータスアップスキルで上書きしましょう</v>
      </c>
      <c r="M57" s="55" t="s">
        <v>211</v>
      </c>
    </row>
    <row r="58" spans="1:13" x14ac:dyDescent="0.15">
      <c r="A58" s="78" t="s">
        <v>200</v>
      </c>
      <c r="B58" s="79">
        <f>floors!$C$2</f>
        <v>65529</v>
      </c>
      <c r="C58" s="80" t="str">
        <f ca="1">VLOOKUP($B58,OFFSET([2]quests!$A$1,0,0,COUNTA([2]quests!$A:$A),MATCH(C$1,[2]quests!$1:$1,0)-MATCH($B$1,[2]quests!$1:$1,0)+1),MATCH(C$1,[2]quests!$1:$1,0)-MATCH($B$1,[2]quests!$1:$1,0)+1,FALSE)</f>
        <v>【LB中原】検証クエスト</v>
      </c>
      <c r="D58" s="80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4" t="s">
        <v>215</v>
      </c>
      <c r="F58" s="80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0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2">
        <v>0</v>
      </c>
      <c r="I58">
        <v>35</v>
      </c>
      <c r="J58" s="81" t="s">
        <v>198</v>
      </c>
      <c r="K58" s="91" t="str">
        <f>VLOOKUP(I58,[7]stage_hints!$A:$C,3,FALSE)</f>
        <v>敵のステータスがスキルで上がったら</v>
      </c>
      <c r="L58" s="92" t="str">
        <f>VLOOKUP(I58,[7]stage_hints!$A:$D,4,FALSE)</f>
        <v>敵のステータスがスキルでアップしたときは_x000D_ステータスダウンスキルで上書きしましょう</v>
      </c>
      <c r="M58" s="55" t="s">
        <v>211</v>
      </c>
    </row>
    <row r="59" spans="1:13" x14ac:dyDescent="0.15">
      <c r="A59" s="78" t="s">
        <v>200</v>
      </c>
      <c r="B59" s="79">
        <f>floors!$C$2</f>
        <v>65529</v>
      </c>
      <c r="C59" s="80" t="str">
        <f ca="1">VLOOKUP($B59,OFFSET([2]quests!$A$1,0,0,COUNTA([2]quests!$A:$A),MATCH(C$1,[2]quests!$1:$1,0)-MATCH($B$1,[2]quests!$1:$1,0)+1),MATCH(C$1,[2]quests!$1:$1,0)-MATCH($B$1,[2]quests!$1:$1,0)+1,FALSE)</f>
        <v>【LB中原】検証クエスト</v>
      </c>
      <c r="D59" s="80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4" t="s">
        <v>215</v>
      </c>
      <c r="F59" s="80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0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2">
        <v>0</v>
      </c>
      <c r="I59">
        <v>39</v>
      </c>
      <c r="J59" s="81" t="s">
        <v>198</v>
      </c>
      <c r="K59" s="91" t="str">
        <f>VLOOKUP(I59,[7]stage_hints!$A:$C,3,FALSE)</f>
        <v>システム適合者を確認</v>
      </c>
      <c r="L59" s="92" t="str">
        <f>VLOOKUP(I59,[7]stage_hints!$A:$D,4,FALSE)</f>
        <v>ALICEが 「アナタ」を呼んでいます</v>
      </c>
      <c r="M59" s="55" t="s">
        <v>211</v>
      </c>
    </row>
    <row r="60" spans="1:13" x14ac:dyDescent="0.15">
      <c r="A60" s="78" t="s">
        <v>200</v>
      </c>
      <c r="B60" s="79">
        <f>floors!$C$2</f>
        <v>65529</v>
      </c>
      <c r="C60" s="80" t="str">
        <f ca="1">VLOOKUP($B60,OFFSET([2]quests!$A$1,0,0,COUNTA([2]quests!$A:$A),MATCH(C$1,[2]quests!$1:$1,0)-MATCH($B$1,[2]quests!$1:$1,0)+1),MATCH(C$1,[2]quests!$1:$1,0)-MATCH($B$1,[2]quests!$1:$1,0)+1,FALSE)</f>
        <v>【LB中原】検証クエスト</v>
      </c>
      <c r="D60" s="80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4" t="s">
        <v>216</v>
      </c>
      <c r="F60" s="80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0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2">
        <v>0</v>
      </c>
      <c r="I60" s="94">
        <v>3</v>
      </c>
      <c r="J60" s="81" t="s">
        <v>198</v>
      </c>
      <c r="K60" s="91" t="str">
        <f>VLOOKUP(I60,[7]stage_hints!$A:$C,3,FALSE)</f>
        <v>ターゲット</v>
      </c>
      <c r="L60" s="92" t="str">
        <f>VLOOKUP(I60,[7]stage_hints!$A:$D,4,FALSE)</f>
        <v>敵ユニットをタップすると_x000D_その敵を狙い撃ちできます</v>
      </c>
      <c r="M60" s="55" t="s">
        <v>211</v>
      </c>
    </row>
    <row r="61" spans="1:13" x14ac:dyDescent="0.15">
      <c r="A61" s="78" t="s">
        <v>200</v>
      </c>
      <c r="B61" s="79">
        <f>floors!$C$2</f>
        <v>65529</v>
      </c>
      <c r="C61" s="80" t="str">
        <f ca="1">VLOOKUP($B61,OFFSET([2]quests!$A$1,0,0,COUNTA([2]quests!$A:$A),MATCH(C$1,[2]quests!$1:$1,0)-MATCH($B$1,[2]quests!$1:$1,0)+1),MATCH(C$1,[2]quests!$1:$1,0)-MATCH($B$1,[2]quests!$1:$1,0)+1,FALSE)</f>
        <v>【LB中原】検証クエスト</v>
      </c>
      <c r="D61" s="80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4" t="s">
        <v>216</v>
      </c>
      <c r="F61" s="80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0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2">
        <v>0</v>
      </c>
      <c r="I61" s="94">
        <v>6</v>
      </c>
      <c r="J61" s="81" t="s">
        <v>198</v>
      </c>
      <c r="K61" s="91" t="str">
        <f>VLOOKUP(I61,[7]stage_hints!$A:$C,3,FALSE)</f>
        <v>ユニット強化の属性ボーナス</v>
      </c>
      <c r="L61" s="92" t="str">
        <f>VLOOKUP(I61,[7]stage_hints!$A:$D,4,FALSE)</f>
        <v>同属性ユニットを強化素材にすると_x000D_経験値が多くもらえます</v>
      </c>
      <c r="M61" s="55" t="s">
        <v>211</v>
      </c>
    </row>
    <row r="62" spans="1:13" x14ac:dyDescent="0.15">
      <c r="A62" s="78" t="s">
        <v>200</v>
      </c>
      <c r="B62" s="79">
        <f>floors!$C$2</f>
        <v>65529</v>
      </c>
      <c r="C62" s="80" t="str">
        <f ca="1">VLOOKUP($B62,OFFSET([2]quests!$A$1,0,0,COUNTA([2]quests!$A:$A),MATCH(C$1,[2]quests!$1:$1,0)-MATCH($B$1,[2]quests!$1:$1,0)+1),MATCH(C$1,[2]quests!$1:$1,0)-MATCH($B$1,[2]quests!$1:$1,0)+1,FALSE)</f>
        <v>【LB中原】検証クエスト</v>
      </c>
      <c r="D62" s="80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4" t="s">
        <v>216</v>
      </c>
      <c r="F62" s="80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0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2">
        <v>0</v>
      </c>
      <c r="I62" s="94">
        <v>7</v>
      </c>
      <c r="J62" s="81" t="s">
        <v>198</v>
      </c>
      <c r="K62" s="91" t="str">
        <f>VLOOKUP(I62,[7]stage_hints!$A:$C,3,FALSE)</f>
        <v>メタルダックで経験値を獲得</v>
      </c>
      <c r="L62" s="92" t="str">
        <f>VLOOKUP(I62,[7]stage_hints!$A:$D,4,FALSE)</f>
        <v>「メタルなアヒル」を強化素材にすると_x000D_大量の経験値がもらえます</v>
      </c>
      <c r="M62" s="55" t="s">
        <v>211</v>
      </c>
    </row>
    <row r="63" spans="1:13" x14ac:dyDescent="0.15">
      <c r="A63" s="78" t="s">
        <v>200</v>
      </c>
      <c r="B63" s="79">
        <f>floors!$C$2</f>
        <v>65529</v>
      </c>
      <c r="C63" s="80" t="str">
        <f ca="1">VLOOKUP($B63,OFFSET([2]quests!$A$1,0,0,COUNTA([2]quests!$A:$A),MATCH(C$1,[2]quests!$1:$1,0)-MATCH($B$1,[2]quests!$1:$1,0)+1),MATCH(C$1,[2]quests!$1:$1,0)-MATCH($B$1,[2]quests!$1:$1,0)+1,FALSE)</f>
        <v>【LB中原】検証クエスト</v>
      </c>
      <c r="D63" s="80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4" t="s">
        <v>216</v>
      </c>
      <c r="F63" s="80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0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2">
        <v>0</v>
      </c>
      <c r="I63" s="94">
        <v>8</v>
      </c>
      <c r="J63" s="81" t="s">
        <v>198</v>
      </c>
      <c r="K63" s="91" t="str">
        <f>VLOOKUP(I63,[7]stage_hints!$A:$C,3,FALSE)</f>
        <v>ゲリラクエストは要チェック</v>
      </c>
      <c r="L63" s="92" t="str">
        <f>VLOOKUP(I63,[7]stage_hints!$A:$D,4,FALSE)</f>
        <v>時間限定の「アヒル捕獲作戦」では_x000D_経験値素材ユニットが多く手に入ります</v>
      </c>
      <c r="M63" s="55" t="s">
        <v>211</v>
      </c>
    </row>
    <row r="64" spans="1:13" x14ac:dyDescent="0.15">
      <c r="A64" s="78" t="s">
        <v>200</v>
      </c>
      <c r="B64" s="79">
        <f>floors!$C$2</f>
        <v>65529</v>
      </c>
      <c r="C64" s="80" t="str">
        <f ca="1">VLOOKUP($B64,OFFSET([2]quests!$A$1,0,0,COUNTA([2]quests!$A:$A),MATCH(C$1,[2]quests!$1:$1,0)-MATCH($B$1,[2]quests!$1:$1,0)+1),MATCH(C$1,[2]quests!$1:$1,0)-MATCH($B$1,[2]quests!$1:$1,0)+1,FALSE)</f>
        <v>【LB中原】検証クエスト</v>
      </c>
      <c r="D64" s="80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4" t="s">
        <v>216</v>
      </c>
      <c r="F64" s="80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0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2">
        <v>0</v>
      </c>
      <c r="I64" s="94">
        <v>9</v>
      </c>
      <c r="J64" s="81" t="s">
        <v>198</v>
      </c>
      <c r="K64" s="91" t="str">
        <f>VLOOKUP(I64,[7]stage_hints!$A:$C,3,FALSE)</f>
        <v>ゴールドダックでビットを獲得</v>
      </c>
      <c r="L64" s="92" t="str">
        <f>VLOOKUP(I64,[7]stage_hints!$A:$D,4,FALSE)</f>
        <v>「ゴールドなアヒル」を売却すると_x000D_大量のビットがもらえます</v>
      </c>
      <c r="M64" s="55" t="s">
        <v>211</v>
      </c>
    </row>
    <row r="65" spans="1:13" x14ac:dyDescent="0.15">
      <c r="A65" s="78" t="s">
        <v>200</v>
      </c>
      <c r="B65" s="79">
        <f>floors!$C$2</f>
        <v>65529</v>
      </c>
      <c r="C65" s="80" t="str">
        <f ca="1">VLOOKUP($B65,OFFSET([2]quests!$A$1,0,0,COUNTA([2]quests!$A:$A),MATCH(C$1,[2]quests!$1:$1,0)-MATCH($B$1,[2]quests!$1:$1,0)+1),MATCH(C$1,[2]quests!$1:$1,0)-MATCH($B$1,[2]quests!$1:$1,0)+1,FALSE)</f>
        <v>【LB中原】検証クエスト</v>
      </c>
      <c r="D65" s="80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4" t="s">
        <v>216</v>
      </c>
      <c r="F65" s="80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0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2">
        <v>0</v>
      </c>
      <c r="I65" s="94">
        <v>10</v>
      </c>
      <c r="J65" s="81" t="s">
        <v>198</v>
      </c>
      <c r="K65" s="91" t="str">
        <f>VLOOKUP(I65,[7]stage_hints!$A:$C,3,FALSE)</f>
        <v>土日に大量のビットを獲得</v>
      </c>
      <c r="L65" s="92" t="str">
        <f>VLOOKUP(I65,[7]stage_hints!$A:$D,4,FALSE)</f>
        <v>土日限定の「ゴールドカジノ」では_x000D_売却素材ユニットが多く手に入ります</v>
      </c>
      <c r="M65" s="55" t="s">
        <v>211</v>
      </c>
    </row>
    <row r="66" spans="1:13" x14ac:dyDescent="0.15">
      <c r="A66" s="78" t="s">
        <v>200</v>
      </c>
      <c r="B66" s="79">
        <f>floors!$C$2</f>
        <v>65529</v>
      </c>
      <c r="C66" s="80" t="str">
        <f ca="1">VLOOKUP($B66,OFFSET([2]quests!$A$1,0,0,COUNTA([2]quests!$A:$A),MATCH(C$1,[2]quests!$1:$1,0)-MATCH($B$1,[2]quests!$1:$1,0)+1),MATCH(C$1,[2]quests!$1:$1,0)-MATCH($B$1,[2]quests!$1:$1,0)+1,FALSE)</f>
        <v>【LB中原】検証クエスト</v>
      </c>
      <c r="D66" s="80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4" t="s">
        <v>216</v>
      </c>
      <c r="F66" s="80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0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2">
        <v>0</v>
      </c>
      <c r="I66" s="94">
        <v>11</v>
      </c>
      <c r="J66" s="81" t="s">
        <v>198</v>
      </c>
      <c r="K66" s="91" t="str">
        <f>VLOOKUP(I66,[7]stage_hints!$A:$C,3,FALSE)</f>
        <v>ゲリラクエストは要チェック</v>
      </c>
      <c r="L66" s="92" t="str">
        <f>VLOOKUP(I66,[7]stage_hints!$A:$D,4,FALSE)</f>
        <v>時間限定の「アヒル捕獲作戦」では_x000D_経験値素材ユニットが多く手に入ります</v>
      </c>
      <c r="M66" s="55" t="s">
        <v>211</v>
      </c>
    </row>
    <row r="67" spans="1:13" x14ac:dyDescent="0.15">
      <c r="A67" s="78" t="s">
        <v>200</v>
      </c>
      <c r="B67" s="79">
        <f>floors!$C$2</f>
        <v>65529</v>
      </c>
      <c r="C67" s="80" t="str">
        <f ca="1">VLOOKUP($B67,OFFSET([2]quests!$A$1,0,0,COUNTA([2]quests!$A:$A),MATCH(C$1,[2]quests!$1:$1,0)-MATCH($B$1,[2]quests!$1:$1,0)+1),MATCH(C$1,[2]quests!$1:$1,0)-MATCH($B$1,[2]quests!$1:$1,0)+1,FALSE)</f>
        <v>【LB中原】検証クエスト</v>
      </c>
      <c r="D67" s="80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4" t="s">
        <v>216</v>
      </c>
      <c r="F67" s="80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0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2">
        <v>0</v>
      </c>
      <c r="I67" s="94">
        <v>12</v>
      </c>
      <c r="J67" s="81" t="s">
        <v>198</v>
      </c>
      <c r="K67" s="91" t="str">
        <f>VLOOKUP(I67,[7]stage_hints!$A:$C,3,FALSE)</f>
        <v>ユニットのお気に入り登録</v>
      </c>
      <c r="L67" s="92" t="str">
        <f>VLOOKUP(I67,[7]stage_hints!$A:$D,4,FALSE)</f>
        <v>大事なユニットを誤って消さないように_x000D_フォルダから「お気に入り登録」しましょう</v>
      </c>
      <c r="M67" s="55" t="s">
        <v>211</v>
      </c>
    </row>
    <row r="68" spans="1:13" x14ac:dyDescent="0.15">
      <c r="A68" s="78" t="s">
        <v>200</v>
      </c>
      <c r="B68" s="79">
        <f>floors!$C$2</f>
        <v>65529</v>
      </c>
      <c r="C68" s="80" t="str">
        <f ca="1">VLOOKUP($B68,OFFSET([2]quests!$A$1,0,0,COUNTA([2]quests!$A:$A),MATCH(C$1,[2]quests!$1:$1,0)-MATCH($B$1,[2]quests!$1:$1,0)+1),MATCH(C$1,[2]quests!$1:$1,0)-MATCH($B$1,[2]quests!$1:$1,0)+1,FALSE)</f>
        <v>【LB中原】検証クエスト</v>
      </c>
      <c r="D68" s="80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4" t="s">
        <v>216</v>
      </c>
      <c r="F68" s="80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0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2">
        <v>0</v>
      </c>
      <c r="I68" s="94">
        <v>13</v>
      </c>
      <c r="J68" s="81" t="s">
        <v>198</v>
      </c>
      <c r="K68" s="91" t="str">
        <f>VLOOKUP(I68,[7]stage_hints!$A:$C,3,FALSE)</f>
        <v>ユニットの覚醒</v>
      </c>
      <c r="L68" s="92" t="str">
        <f>VLOOKUP(I68,[7]stage_hints!$A:$D,4,FALSE)</f>
        <v>ユニットを覚醒させると_x000D_比べものにならない強さが手に入ります</v>
      </c>
      <c r="M68" s="55" t="s">
        <v>211</v>
      </c>
    </row>
    <row r="69" spans="1:13" x14ac:dyDescent="0.15">
      <c r="A69" s="78" t="s">
        <v>200</v>
      </c>
      <c r="B69" s="79">
        <f>floors!$C$2</f>
        <v>65529</v>
      </c>
      <c r="C69" s="80" t="str">
        <f ca="1">VLOOKUP($B69,OFFSET([2]quests!$A$1,0,0,COUNTA([2]quests!$A:$A),MATCH(C$1,[2]quests!$1:$1,0)-MATCH($B$1,[2]quests!$1:$1,0)+1),MATCH(C$1,[2]quests!$1:$1,0)-MATCH($B$1,[2]quests!$1:$1,0)+1,FALSE)</f>
        <v>【LB中原】検証クエスト</v>
      </c>
      <c r="D69" s="80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4" t="s">
        <v>216</v>
      </c>
      <c r="F69" s="80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0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2">
        <v>0</v>
      </c>
      <c r="I69" s="94">
        <v>14</v>
      </c>
      <c r="J69" s="81" t="s">
        <v>198</v>
      </c>
      <c r="K69" s="91" t="str">
        <f>VLOOKUP(I69,[7]stage_hints!$A:$C,3,FALSE)</f>
        <v>覚醒するにはレベルを最大に</v>
      </c>
      <c r="L69" s="92" t="str">
        <f>VLOOKUP(I69,[7]stage_hints!$A:$D,4,FALSE)</f>
        <v>覚醒するにはユニットのレベルを_x000D_最大まで上げる必要があります</v>
      </c>
      <c r="M69" s="55" t="s">
        <v>211</v>
      </c>
    </row>
    <row r="70" spans="1:13" x14ac:dyDescent="0.15">
      <c r="A70" s="78" t="s">
        <v>200</v>
      </c>
      <c r="B70" s="79">
        <f>floors!$C$2</f>
        <v>65529</v>
      </c>
      <c r="C70" s="80" t="str">
        <f ca="1">VLOOKUP($B70,OFFSET([2]quests!$A$1,0,0,COUNTA([2]quests!$A:$A),MATCH(C$1,[2]quests!$1:$1,0)-MATCH($B$1,[2]quests!$1:$1,0)+1),MATCH(C$1,[2]quests!$1:$1,0)-MATCH($B$1,[2]quests!$1:$1,0)+1,FALSE)</f>
        <v>【LB中原】検証クエスト</v>
      </c>
      <c r="D70" s="80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4" t="s">
        <v>216</v>
      </c>
      <c r="F70" s="80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0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2">
        <v>0</v>
      </c>
      <c r="I70" s="94">
        <v>15</v>
      </c>
      <c r="J70" s="81" t="s">
        <v>198</v>
      </c>
      <c r="K70" s="91" t="str">
        <f>VLOOKUP(I70,[7]stage_hints!$A:$C,3,FALSE)</f>
        <v>覚醒素材を獲得</v>
      </c>
      <c r="L70" s="92" t="str">
        <f>VLOOKUP(I70,[7]stage_hints!$A:$D,4,FALSE)</f>
        <v>「曜日クエスト」では_x000D_ユニットの覚醒に必要な素材が手に入ります</v>
      </c>
      <c r="M70" s="55" t="s">
        <v>211</v>
      </c>
    </row>
    <row r="71" spans="1:13" x14ac:dyDescent="0.15">
      <c r="A71" s="78" t="s">
        <v>200</v>
      </c>
      <c r="B71" s="79">
        <f>floors!$C$2</f>
        <v>65529</v>
      </c>
      <c r="C71" s="80" t="str">
        <f ca="1">VLOOKUP($B71,OFFSET([2]quests!$A$1,0,0,COUNTA([2]quests!$A:$A),MATCH(C$1,[2]quests!$1:$1,0)-MATCH($B$1,[2]quests!$1:$1,0)+1),MATCH(C$1,[2]quests!$1:$1,0)-MATCH($B$1,[2]quests!$1:$1,0)+1,FALSE)</f>
        <v>【LB中原】検証クエスト</v>
      </c>
      <c r="D71" s="80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4" t="s">
        <v>216</v>
      </c>
      <c r="F71" s="80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0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2">
        <v>0</v>
      </c>
      <c r="I71" s="94">
        <v>16</v>
      </c>
      <c r="J71" s="81" t="s">
        <v>198</v>
      </c>
      <c r="K71" s="91" t="str">
        <f>VLOOKUP(I71,[7]stage_hints!$A:$C,3,FALSE)</f>
        <v>マルチプレイのメリット（その1）</v>
      </c>
      <c r="L71" s="92" t="str">
        <f>VLOOKUP(I71,[7]stage_hints!$A:$D,4,FALSE)</f>
        <v>他のプレイヤーとマルチプレイで遊ぶと_x000D_ポリゴンがもらえます（100人まで）</v>
      </c>
      <c r="M71" s="55" t="s">
        <v>211</v>
      </c>
    </row>
    <row r="72" spans="1:13" x14ac:dyDescent="0.15">
      <c r="A72" s="78" t="s">
        <v>200</v>
      </c>
      <c r="B72" s="79">
        <f>floors!$C$2</f>
        <v>65529</v>
      </c>
      <c r="C72" s="80" t="str">
        <f ca="1">VLOOKUP($B72,OFFSET([2]quests!$A$1,0,0,COUNTA([2]quests!$A:$A),MATCH(C$1,[2]quests!$1:$1,0)-MATCH($B$1,[2]quests!$1:$1,0)+1),MATCH(C$1,[2]quests!$1:$1,0)-MATCH($B$1,[2]quests!$1:$1,0)+1,FALSE)</f>
        <v>【LB中原】検証クエスト</v>
      </c>
      <c r="D72" s="80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4" t="s">
        <v>216</v>
      </c>
      <c r="F72" s="80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0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2">
        <v>0</v>
      </c>
      <c r="I72" s="94">
        <v>17</v>
      </c>
      <c r="J72" s="81" t="s">
        <v>198</v>
      </c>
      <c r="K72" s="91" t="str">
        <f>VLOOKUP(I72,[7]stage_hints!$A:$C,3,FALSE)</f>
        <v>リンクガチャ</v>
      </c>
      <c r="L72" s="92" t="str">
        <f>VLOOKUP(I72,[7]stage_hints!$A:$D,4,FALSE)</f>
        <v>無料のリンクガチャを回して_x000D_経験値素材や売却素材を獲得しましょう</v>
      </c>
      <c r="M72" s="55" t="s">
        <v>211</v>
      </c>
    </row>
    <row r="73" spans="1:13" x14ac:dyDescent="0.15">
      <c r="A73" s="78" t="s">
        <v>200</v>
      </c>
      <c r="B73" s="79">
        <f>floors!$C$2</f>
        <v>65529</v>
      </c>
      <c r="C73" s="80" t="str">
        <f ca="1">VLOOKUP($B73,OFFSET([2]quests!$A$1,0,0,COUNTA([2]quests!$A:$A),MATCH(C$1,[2]quests!$1:$1,0)-MATCH($B$1,[2]quests!$1:$1,0)+1),MATCH(C$1,[2]quests!$1:$1,0)-MATCH($B$1,[2]quests!$1:$1,0)+1,FALSE)</f>
        <v>【LB中原】検証クエスト</v>
      </c>
      <c r="D73" s="80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4" t="s">
        <v>216</v>
      </c>
      <c r="F73" s="80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0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2">
        <v>0</v>
      </c>
      <c r="I73" s="94">
        <v>18</v>
      </c>
      <c r="J73" s="81" t="s">
        <v>198</v>
      </c>
      <c r="K73" s="91" t="str">
        <f>VLOOKUP(I73,[7]stage_hints!$A:$C,3,FALSE)</f>
        <v>マルチプレイのメリット（その2）</v>
      </c>
      <c r="L73" s="92" t="str">
        <f>VLOOKUP(I73,[7]stage_hints!$A:$D,4,FALSE)</f>
        <v>マルチプレイならリンクが2倍もらえます_x000D_リンクガチャをたくさん回しましょう</v>
      </c>
      <c r="M73" s="55" t="s">
        <v>211</v>
      </c>
    </row>
    <row r="74" spans="1:13" x14ac:dyDescent="0.15">
      <c r="A74" s="78" t="s">
        <v>200</v>
      </c>
      <c r="B74" s="79">
        <f>floors!$C$2</f>
        <v>65529</v>
      </c>
      <c r="C74" s="80" t="str">
        <f ca="1">VLOOKUP($B74,OFFSET([2]quests!$A$1,0,0,COUNTA([2]quests!$A:$A),MATCH(C$1,[2]quests!$1:$1,0)-MATCH($B$1,[2]quests!$1:$1,0)+1),MATCH(C$1,[2]quests!$1:$1,0)-MATCH($B$1,[2]quests!$1:$1,0)+1,FALSE)</f>
        <v>【LB中原】検証クエスト</v>
      </c>
      <c r="D74" s="80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4" t="s">
        <v>216</v>
      </c>
      <c r="F74" s="80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0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2">
        <v>0</v>
      </c>
      <c r="I74" s="94">
        <v>19</v>
      </c>
      <c r="J74" s="81" t="s">
        <v>198</v>
      </c>
      <c r="K74" s="91" t="str">
        <f>VLOOKUP(I74,[7]stage_hints!$A:$C,3,FALSE)</f>
        <v>ソロ専用タワーオブザクイーン</v>
      </c>
      <c r="L74" s="92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5" t="s">
        <v>211</v>
      </c>
    </row>
    <row r="75" spans="1:13" x14ac:dyDescent="0.15">
      <c r="A75" s="78" t="s">
        <v>200</v>
      </c>
      <c r="B75" s="79">
        <f>floors!$C$2</f>
        <v>65529</v>
      </c>
      <c r="C75" s="80" t="str">
        <f ca="1">VLOOKUP($B75,OFFSET([2]quests!$A$1,0,0,COUNTA([2]quests!$A:$A),MATCH(C$1,[2]quests!$1:$1,0)-MATCH($B$1,[2]quests!$1:$1,0)+1),MATCH(C$1,[2]quests!$1:$1,0)-MATCH($B$1,[2]quests!$1:$1,0)+1,FALSE)</f>
        <v>【LB中原】検証クエスト</v>
      </c>
      <c r="D75" s="80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4" t="s">
        <v>216</v>
      </c>
      <c r="F75" s="80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0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2">
        <v>0</v>
      </c>
      <c r="I75" s="94">
        <v>20</v>
      </c>
      <c r="J75" s="81" t="s">
        <v>198</v>
      </c>
      <c r="K75" s="91" t="str">
        <f>VLOOKUP(I75,[7]stage_hints!$A:$C,3,FALSE)</f>
        <v>マルチプレイのメリット（その3）</v>
      </c>
      <c r="L75" s="92" t="str">
        <f>VLOOKUP(I75,[7]stage_hints!$A:$D,4,FALSE)</f>
        <v>マルチプレイへの参加はエナジー消費ゼロ_x000D_いつでも好きなだけ遊ぶことができます</v>
      </c>
      <c r="M75" s="55" t="s">
        <v>211</v>
      </c>
    </row>
    <row r="76" spans="1:13" x14ac:dyDescent="0.15">
      <c r="A76" s="78" t="s">
        <v>200</v>
      </c>
      <c r="B76" s="79">
        <f>floors!$C$2</f>
        <v>65529</v>
      </c>
      <c r="C76" s="80" t="str">
        <f ca="1">VLOOKUP($B76,OFFSET([2]quests!$A$1,0,0,COUNTA([2]quests!$A:$A),MATCH(C$1,[2]quests!$1:$1,0)-MATCH($B$1,[2]quests!$1:$1,0)+1),MATCH(C$1,[2]quests!$1:$1,0)-MATCH($B$1,[2]quests!$1:$1,0)+1,FALSE)</f>
        <v>【LB中原】検証クエスト</v>
      </c>
      <c r="D76" s="80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4" t="s">
        <v>216</v>
      </c>
      <c r="F76" s="80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0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2">
        <v>0</v>
      </c>
      <c r="I76" s="94">
        <v>21</v>
      </c>
      <c r="J76" s="81" t="s">
        <v>198</v>
      </c>
      <c r="K76" s="91" t="str">
        <f>VLOOKUP(I76,[7]stage_hints!$A:$C,3,FALSE)</f>
        <v>スキルを有効に</v>
      </c>
      <c r="L76" s="92" t="str">
        <f>VLOOKUP(I76,[7]stage_hints!$A:$D,4,FALSE)</f>
        <v>ターン経過でユニットのスキルが使えます_x000D_強力スキルでバトルを有利に進めましょう</v>
      </c>
      <c r="M76" s="55" t="s">
        <v>211</v>
      </c>
    </row>
    <row r="77" spans="1:13" x14ac:dyDescent="0.15">
      <c r="A77" s="78" t="s">
        <v>200</v>
      </c>
      <c r="B77" s="79">
        <f>floors!$C$2</f>
        <v>65529</v>
      </c>
      <c r="C77" s="80" t="str">
        <f ca="1">VLOOKUP($B77,OFFSET([2]quests!$A$1,0,0,COUNTA([2]quests!$A:$A),MATCH(C$1,[2]quests!$1:$1,0)-MATCH($B$1,[2]quests!$1:$1,0)+1),MATCH(C$1,[2]quests!$1:$1,0)-MATCH($B$1,[2]quests!$1:$1,0)+1,FALSE)</f>
        <v>【LB中原】検証クエスト</v>
      </c>
      <c r="D77" s="80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4" t="s">
        <v>216</v>
      </c>
      <c r="F77" s="80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0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2">
        <v>0</v>
      </c>
      <c r="I77" s="94">
        <v>22</v>
      </c>
      <c r="J77" s="81" t="s">
        <v>198</v>
      </c>
      <c r="K77" s="91" t="str">
        <f>VLOOKUP(I77,[7]stage_hints!$A:$C,3,FALSE)</f>
        <v>フィーバーで一発逆転（その1）</v>
      </c>
      <c r="L77" s="92" t="str">
        <f>VLOOKUP(I77,[7]stage_hints!$A:$D,4,FALSE)</f>
        <v>フィーバーは攻撃と回復を兼ね備えます_x000D_ピンチからの一発逆転を狙いましょう</v>
      </c>
      <c r="M77" s="55" t="s">
        <v>211</v>
      </c>
    </row>
    <row r="78" spans="1:13" x14ac:dyDescent="0.15">
      <c r="A78" s="78" t="s">
        <v>200</v>
      </c>
      <c r="B78" s="79">
        <f>floors!$C$2</f>
        <v>65529</v>
      </c>
      <c r="C78" s="80" t="str">
        <f ca="1">VLOOKUP($B78,OFFSET([2]quests!$A$1,0,0,COUNTA([2]quests!$A:$A),MATCH(C$1,[2]quests!$1:$1,0)-MATCH($B$1,[2]quests!$1:$1,0)+1),MATCH(C$1,[2]quests!$1:$1,0)-MATCH($B$1,[2]quests!$1:$1,0)+1,FALSE)</f>
        <v>【LB中原】検証クエスト</v>
      </c>
      <c r="D78" s="80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4" t="s">
        <v>216</v>
      </c>
      <c r="F78" s="80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0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2">
        <v>0</v>
      </c>
      <c r="I78" s="94">
        <v>23</v>
      </c>
      <c r="J78" s="81" t="s">
        <v>198</v>
      </c>
      <c r="K78" s="91" t="str">
        <f>VLOOKUP(I78,[7]stage_hints!$A:$C,3,FALSE)</f>
        <v>フィーバーで一発逆転（その2）</v>
      </c>
      <c r="L78" s="92" t="str">
        <f>VLOOKUP(I78,[7]stage_hints!$A:$D,4,FALSE)</f>
        <v>フィーバー中は虹色のボムパネルを狙って_x000D_画面上のパネルを一気に破壊しましょう</v>
      </c>
      <c r="M78" s="55" t="s">
        <v>211</v>
      </c>
    </row>
    <row r="79" spans="1:13" x14ac:dyDescent="0.15">
      <c r="A79" s="78" t="s">
        <v>200</v>
      </c>
      <c r="B79" s="79">
        <f>floors!$C$2</f>
        <v>65529</v>
      </c>
      <c r="C79" s="80" t="str">
        <f ca="1">VLOOKUP($B79,OFFSET([2]quests!$A$1,0,0,COUNTA([2]quests!$A:$A),MATCH(C$1,[2]quests!$1:$1,0)-MATCH($B$1,[2]quests!$1:$1,0)+1),MATCH(C$1,[2]quests!$1:$1,0)-MATCH($B$1,[2]quests!$1:$1,0)+1,FALSE)</f>
        <v>【LB中原】検証クエスト</v>
      </c>
      <c r="D79" s="80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4" t="s">
        <v>216</v>
      </c>
      <c r="F79" s="80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0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2">
        <v>0</v>
      </c>
      <c r="I79" s="94">
        <v>24</v>
      </c>
      <c r="J79" s="81" t="s">
        <v>198</v>
      </c>
      <c r="K79" s="91" t="str">
        <f>VLOOKUP(I79,[7]stage_hints!$A:$C,3,FALSE)</f>
        <v>果実を使って限界突破</v>
      </c>
      <c r="L79" s="92" t="str">
        <f>VLOOKUP(I79,[7]stage_hints!$A:$D,4,FALSE)</f>
        <v>攻めの果実 癒しの果実_x000D_生命の果実をユニット強化に使うと_x000D_ステータスが限界突破します（計99個迄）</v>
      </c>
      <c r="M79" s="55" t="s">
        <v>211</v>
      </c>
    </row>
    <row r="80" spans="1:13" x14ac:dyDescent="0.15">
      <c r="A80" s="78" t="s">
        <v>200</v>
      </c>
      <c r="B80" s="79">
        <f>floors!$C$2</f>
        <v>65529</v>
      </c>
      <c r="C80" s="80" t="str">
        <f ca="1">VLOOKUP($B80,OFFSET([2]quests!$A$1,0,0,COUNTA([2]quests!$A:$A),MATCH(C$1,[2]quests!$1:$1,0)-MATCH($B$1,[2]quests!$1:$1,0)+1),MATCH(C$1,[2]quests!$1:$1,0)-MATCH($B$1,[2]quests!$1:$1,0)+1,FALSE)</f>
        <v>【LB中原】検証クエスト</v>
      </c>
      <c r="D80" s="80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4" t="s">
        <v>216</v>
      </c>
      <c r="F80" s="80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0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2">
        <v>0</v>
      </c>
      <c r="I80" s="94">
        <v>25</v>
      </c>
      <c r="J80" s="81" t="s">
        <v>198</v>
      </c>
      <c r="K80" s="91" t="str">
        <f>VLOOKUP(I80,[7]stage_hints!$A:$C,3,FALSE)</f>
        <v>スキルレベルアップ</v>
      </c>
      <c r="L80" s="92" t="str">
        <f>VLOOKUP(I80,[7]stage_hints!$A:$D,4,FALSE)</f>
        <v>「秘術の果実」を強化に使うと_x000D_スキルレベルを上げることができます</v>
      </c>
      <c r="M80" s="55" t="s">
        <v>211</v>
      </c>
    </row>
    <row r="81" spans="1:13" x14ac:dyDescent="0.15">
      <c r="A81" s="78" t="s">
        <v>200</v>
      </c>
      <c r="B81" s="79">
        <f>floors!$C$2</f>
        <v>65529</v>
      </c>
      <c r="C81" s="80" t="str">
        <f ca="1">VLOOKUP($B81,OFFSET([2]quests!$A$1,0,0,COUNTA([2]quests!$A:$A),MATCH(C$1,[2]quests!$1:$1,0)-MATCH($B$1,[2]quests!$1:$1,0)+1),MATCH(C$1,[2]quests!$1:$1,0)-MATCH($B$1,[2]quests!$1:$1,0)+1,FALSE)</f>
        <v>【LB中原】検証クエスト</v>
      </c>
      <c r="D81" s="80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4" t="s">
        <v>216</v>
      </c>
      <c r="F81" s="80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0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2">
        <v>0</v>
      </c>
      <c r="I81" s="94">
        <v>26</v>
      </c>
      <c r="J81" s="81" t="s">
        <v>198</v>
      </c>
      <c r="K81" s="91" t="str">
        <f>VLOOKUP(I81,[7]stage_hints!$A:$C,3,FALSE)</f>
        <v>スキルレベルの効果</v>
      </c>
      <c r="L81" s="92" t="str">
        <f>VLOOKUP(I81,[7]stage_hints!$A:$D,4,FALSE)</f>
        <v>スキルレベルが上がると_x000D_短いターンでスキルを使うことができます</v>
      </c>
      <c r="M81" s="55" t="s">
        <v>211</v>
      </c>
    </row>
    <row r="82" spans="1:13" x14ac:dyDescent="0.15">
      <c r="A82" s="78" t="s">
        <v>200</v>
      </c>
      <c r="B82" s="79">
        <f>floors!$C$2</f>
        <v>65529</v>
      </c>
      <c r="C82" s="80" t="str">
        <f ca="1">VLOOKUP($B82,OFFSET([2]quests!$A$1,0,0,COUNTA([2]quests!$A:$A),MATCH(C$1,[2]quests!$1:$1,0)-MATCH($B$1,[2]quests!$1:$1,0)+1),MATCH(C$1,[2]quests!$1:$1,0)-MATCH($B$1,[2]quests!$1:$1,0)+1,FALSE)</f>
        <v>【LB中原】検証クエスト</v>
      </c>
      <c r="D82" s="80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4" t="s">
        <v>216</v>
      </c>
      <c r="F82" s="80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0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2">
        <v>0</v>
      </c>
      <c r="I82" s="94">
        <v>27</v>
      </c>
      <c r="J82" s="81" t="s">
        <v>198</v>
      </c>
      <c r="K82" s="91" t="str">
        <f>VLOOKUP(I82,[7]stage_hints!$A:$C,3,FALSE)</f>
        <v>ホーム画面からデッキを編成</v>
      </c>
      <c r="L82" s="92" t="str">
        <f>VLOOKUP(I82,[7]stage_hints!$A:$D,4,FALSE)</f>
        <v>ホーム画面でユニットを長押しすると_x000D_すぐにパーティ編成に移動できます</v>
      </c>
      <c r="M82" s="55" t="s">
        <v>211</v>
      </c>
    </row>
    <row r="83" spans="1:13" x14ac:dyDescent="0.15">
      <c r="A83" s="78" t="s">
        <v>200</v>
      </c>
      <c r="B83" s="79">
        <f>floors!$C$2</f>
        <v>65529</v>
      </c>
      <c r="C83" s="80" t="str">
        <f ca="1">VLOOKUP($B83,OFFSET([2]quests!$A$1,0,0,COUNTA([2]quests!$A:$A),MATCH(C$1,[2]quests!$1:$1,0)-MATCH($B$1,[2]quests!$1:$1,0)+1),MATCH(C$1,[2]quests!$1:$1,0)-MATCH($B$1,[2]quests!$1:$1,0)+1,FALSE)</f>
        <v>【LB中原】検証クエスト</v>
      </c>
      <c r="D83" s="80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4" t="s">
        <v>216</v>
      </c>
      <c r="F83" s="80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0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2">
        <v>0</v>
      </c>
      <c r="I83" s="94">
        <v>28</v>
      </c>
      <c r="J83" s="81" t="s">
        <v>198</v>
      </c>
      <c r="K83" s="91" t="str">
        <f>VLOOKUP(I83,[7]stage_hints!$A:$C,3,FALSE)</f>
        <v>ステータス情報は長押しで</v>
      </c>
      <c r="L83" s="92" t="str">
        <f>VLOOKUP(I83,[7]stage_hints!$A:$D,4,FALSE)</f>
        <v>ユニットのアイコンを長押しすると_x000D_ステータス情報を確認することができます</v>
      </c>
      <c r="M83" s="55" t="s">
        <v>211</v>
      </c>
    </row>
    <row r="84" spans="1:13" x14ac:dyDescent="0.15">
      <c r="A84" s="78" t="s">
        <v>200</v>
      </c>
      <c r="B84" s="79">
        <f>floors!$C$2</f>
        <v>65529</v>
      </c>
      <c r="C84" s="80" t="str">
        <f ca="1">VLOOKUP($B84,OFFSET([2]quests!$A$1,0,0,COUNTA([2]quests!$A:$A),MATCH(C$1,[2]quests!$1:$1,0)-MATCH($B$1,[2]quests!$1:$1,0)+1),MATCH(C$1,[2]quests!$1:$1,0)-MATCH($B$1,[2]quests!$1:$1,0)+1,FALSE)</f>
        <v>【LB中原】検証クエスト</v>
      </c>
      <c r="D84" s="80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4" t="s">
        <v>216</v>
      </c>
      <c r="F84" s="80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0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2">
        <v>0</v>
      </c>
      <c r="I84" s="94">
        <v>29</v>
      </c>
      <c r="J84" s="81" t="s">
        <v>198</v>
      </c>
      <c r="K84" s="91" t="str">
        <f>VLOOKUP(I84,[7]stage_hints!$A:$C,3,FALSE)</f>
        <v>「バグ」のメリット</v>
      </c>
      <c r="L84" s="92" t="str">
        <f>VLOOKUP(I84,[7]stage_hints!$A:$D,4,FALSE)</f>
        <v>ユニットの「バグ」を増やすと_x000D_報酬をもらえる確率がアップします</v>
      </c>
      <c r="M84" s="55" t="s">
        <v>211</v>
      </c>
    </row>
    <row r="85" spans="1:13" x14ac:dyDescent="0.15">
      <c r="A85" s="78" t="s">
        <v>200</v>
      </c>
      <c r="B85" s="79">
        <f>floors!$C$2</f>
        <v>65529</v>
      </c>
      <c r="C85" s="80" t="str">
        <f ca="1">VLOOKUP($B85,OFFSET([2]quests!$A$1,0,0,COUNTA([2]quests!$A:$A),MATCH(C$1,[2]quests!$1:$1,0)-MATCH($B$1,[2]quests!$1:$1,0)+1),MATCH(C$1,[2]quests!$1:$1,0)-MATCH($B$1,[2]quests!$1:$1,0)+1,FALSE)</f>
        <v>【LB中原】検証クエスト</v>
      </c>
      <c r="D85" s="80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4" t="s">
        <v>216</v>
      </c>
      <c r="F85" s="80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0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2">
        <v>0</v>
      </c>
      <c r="I85" s="94">
        <v>30</v>
      </c>
      <c r="J85" s="81" t="s">
        <v>198</v>
      </c>
      <c r="K85" s="91" t="str">
        <f>VLOOKUP(I85,[7]stage_hints!$A:$C,3,FALSE)</f>
        <v>「バグ」の増やし方</v>
      </c>
      <c r="L85" s="92" t="str">
        <f>VLOOKUP(I85,[7]stage_hints!$A:$D,4,FALSE)</f>
        <v>同じユニット同士を強化で合成すると_x000D_「バグ」を増やすことができます</v>
      </c>
      <c r="M85" s="55" t="s">
        <v>211</v>
      </c>
    </row>
    <row r="86" spans="1:13" x14ac:dyDescent="0.15">
      <c r="A86" s="78" t="s">
        <v>200</v>
      </c>
      <c r="B86" s="79">
        <f>floors!$C$2</f>
        <v>65529</v>
      </c>
      <c r="C86" s="80" t="str">
        <f ca="1">VLOOKUP($B86,OFFSET([2]quests!$A$1,0,0,COUNTA([2]quests!$A:$A),MATCH(C$1,[2]quests!$1:$1,0)-MATCH($B$1,[2]quests!$1:$1,0)+1),MATCH(C$1,[2]quests!$1:$1,0)-MATCH($B$1,[2]quests!$1:$1,0)+1,FALSE)</f>
        <v>【LB中原】検証クエスト</v>
      </c>
      <c r="D86" s="80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4" t="s">
        <v>216</v>
      </c>
      <c r="F86" s="80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0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2">
        <v>0</v>
      </c>
      <c r="I86" s="94">
        <v>31</v>
      </c>
      <c r="J86" s="81" t="s">
        <v>198</v>
      </c>
      <c r="K86" s="91" t="str">
        <f>VLOOKUP(I86,[7]stage_hints!$A:$C,3,FALSE)</f>
        <v>イベントはお知らせでチェック</v>
      </c>
      <c r="L86" s="92" t="str">
        <f>VLOOKUP(I86,[7]stage_hints!$A:$D,4,FALSE)</f>
        <v>イベント限定ユニットを取り忘れないように_x000D_お知らせをこまめにチェックしましょう</v>
      </c>
      <c r="M86" s="55" t="s">
        <v>211</v>
      </c>
    </row>
    <row r="87" spans="1:13" x14ac:dyDescent="0.15">
      <c r="A87" s="78" t="s">
        <v>200</v>
      </c>
      <c r="B87" s="79">
        <f>floors!$C$2</f>
        <v>65529</v>
      </c>
      <c r="C87" s="80" t="str">
        <f ca="1">VLOOKUP($B87,OFFSET([2]quests!$A$1,0,0,COUNTA([2]quests!$A:$A),MATCH(C$1,[2]quests!$1:$1,0)-MATCH($B$1,[2]quests!$1:$1,0)+1),MATCH(C$1,[2]quests!$1:$1,0)-MATCH($B$1,[2]quests!$1:$1,0)+1,FALSE)</f>
        <v>【LB中原】検証クエスト</v>
      </c>
      <c r="D87" s="80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4" t="s">
        <v>216</v>
      </c>
      <c r="F87" s="80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0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2">
        <v>0</v>
      </c>
      <c r="I87" s="94">
        <v>32</v>
      </c>
      <c r="J87" s="81" t="s">
        <v>198</v>
      </c>
      <c r="K87" s="91" t="str">
        <f>VLOOKUP(I87,[7]stage_hints!$A:$C,3,FALSE)</f>
        <v>敵の連続攻撃には</v>
      </c>
      <c r="L87" s="92" t="str">
        <f>VLOOKUP(I87,[7]stage_hints!$A:$D,4,FALSE)</f>
        <v>カウンタースキルを持つユニットがいれば_x000D_ダメージ回数分の反撃ができます</v>
      </c>
      <c r="M87" s="55" t="s">
        <v>211</v>
      </c>
    </row>
    <row r="88" spans="1:13" x14ac:dyDescent="0.15">
      <c r="A88" s="78" t="s">
        <v>200</v>
      </c>
      <c r="B88" s="79">
        <f>floors!$C$2</f>
        <v>65529</v>
      </c>
      <c r="C88" s="80" t="str">
        <f ca="1">VLOOKUP($B88,OFFSET([2]quests!$A$1,0,0,COUNTA([2]quests!$A:$A),MATCH(C$1,[2]quests!$1:$1,0)-MATCH($B$1,[2]quests!$1:$1,0)+1),MATCH(C$1,[2]quests!$1:$1,0)-MATCH($B$1,[2]quests!$1:$1,0)+1,FALSE)</f>
        <v>【LB中原】検証クエスト</v>
      </c>
      <c r="D88" s="80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4" t="s">
        <v>216</v>
      </c>
      <c r="F88" s="80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0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2">
        <v>0</v>
      </c>
      <c r="I88" s="94">
        <v>33</v>
      </c>
      <c r="J88" s="81" t="s">
        <v>198</v>
      </c>
      <c r="K88" s="91" t="str">
        <f>VLOOKUP(I88,[7]stage_hints!$A:$C,3,FALSE)</f>
        <v>敵のカウンター攻撃には</v>
      </c>
      <c r="L88" s="92" t="str">
        <f>VLOOKUP(I88,[7]stage_hints!$A:$D,4,FALSE)</f>
        <v>カウンターブレイクスキルを持っていれば_x000D_敵のカウンターを解除して攻撃ができます</v>
      </c>
      <c r="M88" s="55" t="s">
        <v>211</v>
      </c>
    </row>
    <row r="89" spans="1:13" x14ac:dyDescent="0.15">
      <c r="A89" s="78" t="s">
        <v>200</v>
      </c>
      <c r="B89" s="79">
        <f>floors!$C$2</f>
        <v>65529</v>
      </c>
      <c r="C89" s="80" t="str">
        <f ca="1">VLOOKUP($B89,OFFSET([2]quests!$A$1,0,0,COUNTA([2]quests!$A:$A),MATCH(C$1,[2]quests!$1:$1,0)-MATCH($B$1,[2]quests!$1:$1,0)+1),MATCH(C$1,[2]quests!$1:$1,0)-MATCH($B$1,[2]quests!$1:$1,0)+1,FALSE)</f>
        <v>【LB中原】検証クエスト</v>
      </c>
      <c r="D89" s="80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4" t="s">
        <v>216</v>
      </c>
      <c r="F89" s="80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0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2">
        <v>0</v>
      </c>
      <c r="I89" s="94">
        <v>34</v>
      </c>
      <c r="J89" s="81" t="s">
        <v>198</v>
      </c>
      <c r="K89" s="91" t="str">
        <f>VLOOKUP(I89,[7]stage_hints!$A:$C,3,FALSE)</f>
        <v>ステータスをスキルで下げられたら</v>
      </c>
      <c r="L89" s="92" t="str">
        <f>VLOOKUP(I89,[7]stage_hints!$A:$D,4,FALSE)</f>
        <v>ステータスダウンのスキルを受けたら_x000D_ステータスアップスキルで上書きしましょう</v>
      </c>
      <c r="M89" s="55" t="s">
        <v>211</v>
      </c>
    </row>
    <row r="90" spans="1:13" x14ac:dyDescent="0.15">
      <c r="A90" s="78" t="s">
        <v>200</v>
      </c>
      <c r="B90" s="79">
        <f>floors!$C$2</f>
        <v>65529</v>
      </c>
      <c r="C90" s="80" t="str">
        <f ca="1">VLOOKUP($B90,OFFSET([2]quests!$A$1,0,0,COUNTA([2]quests!$A:$A),MATCH(C$1,[2]quests!$1:$1,0)-MATCH($B$1,[2]quests!$1:$1,0)+1),MATCH(C$1,[2]quests!$1:$1,0)-MATCH($B$1,[2]quests!$1:$1,0)+1,FALSE)</f>
        <v>【LB中原】検証クエスト</v>
      </c>
      <c r="D90" s="80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4" t="s">
        <v>216</v>
      </c>
      <c r="F90" s="80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0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2">
        <v>0</v>
      </c>
      <c r="I90" s="94">
        <v>35</v>
      </c>
      <c r="J90" s="81" t="s">
        <v>198</v>
      </c>
      <c r="K90" s="91" t="str">
        <f>VLOOKUP(I90,[7]stage_hints!$A:$C,3,FALSE)</f>
        <v>敵のステータスがスキルで上がったら</v>
      </c>
      <c r="L90" s="92" t="str">
        <f>VLOOKUP(I90,[7]stage_hints!$A:$D,4,FALSE)</f>
        <v>敵のステータスがスキルでアップしたときは_x000D_ステータスダウンスキルで上書きしましょう</v>
      </c>
      <c r="M90" s="55" t="s">
        <v>211</v>
      </c>
    </row>
    <row r="91" spans="1:13" x14ac:dyDescent="0.15">
      <c r="A91" s="78" t="s">
        <v>200</v>
      </c>
      <c r="B91" s="79">
        <f>floors!$C$2</f>
        <v>65529</v>
      </c>
      <c r="C91" s="80" t="str">
        <f ca="1">VLOOKUP($B91,OFFSET([2]quests!$A$1,0,0,COUNTA([2]quests!$A:$A),MATCH(C$1,[2]quests!$1:$1,0)-MATCH($B$1,[2]quests!$1:$1,0)+1),MATCH(C$1,[2]quests!$1:$1,0)-MATCH($B$1,[2]quests!$1:$1,0)+1,FALSE)</f>
        <v>【LB中原】検証クエスト</v>
      </c>
      <c r="D91" s="80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4" t="s">
        <v>216</v>
      </c>
      <c r="F91" s="80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0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2">
        <v>0</v>
      </c>
      <c r="I91" s="94">
        <v>36</v>
      </c>
      <c r="J91" s="81" t="s">
        <v>198</v>
      </c>
      <c r="K91" s="91" t="str">
        <f>VLOOKUP(I91,[7]stage_hints!$A:$C,3,FALSE)</f>
        <v>タワーオブザクイーンのボス</v>
      </c>
      <c r="L91" s="92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5" t="s">
        <v>211</v>
      </c>
    </row>
    <row r="92" spans="1:13" x14ac:dyDescent="0.15">
      <c r="A92" s="78" t="s">
        <v>200</v>
      </c>
      <c r="B92" s="79">
        <f>floors!$C$2</f>
        <v>65529</v>
      </c>
      <c r="C92" s="80" t="str">
        <f ca="1">VLOOKUP($B92,OFFSET([2]quests!$A$1,0,0,COUNTA([2]quests!$A:$A),MATCH(C$1,[2]quests!$1:$1,0)-MATCH($B$1,[2]quests!$1:$1,0)+1),MATCH(C$1,[2]quests!$1:$1,0)-MATCH($B$1,[2]quests!$1:$1,0)+1,FALSE)</f>
        <v>【LB中原】検証クエスト</v>
      </c>
      <c r="D92" s="80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4" t="s">
        <v>216</v>
      </c>
      <c r="F92" s="80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0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2">
        <v>0</v>
      </c>
      <c r="I92" s="94">
        <v>37</v>
      </c>
      <c r="J92" s="81" t="s">
        <v>198</v>
      </c>
      <c r="K92" s="91" t="str">
        <f>VLOOKUP(I92,[7]stage_hints!$A:$C,3,FALSE)</f>
        <v>限界突破値の引き継ぎ</v>
      </c>
      <c r="L92" s="92" t="str">
        <f>VLOOKUP(I92,[7]stage_hints!$A:$D,4,FALSE)</f>
        <v>同じユニットを強化で合成すると_x000D_限界突破値を引き継げます（覚醒前後も可）</v>
      </c>
      <c r="M92" s="55" t="s">
        <v>211</v>
      </c>
    </row>
    <row r="93" spans="1:13" x14ac:dyDescent="0.15">
      <c r="A93" s="78" t="s">
        <v>200</v>
      </c>
      <c r="B93" s="79">
        <f>floors!$C$2</f>
        <v>65529</v>
      </c>
      <c r="C93" s="80" t="str">
        <f ca="1">VLOOKUP($B93,OFFSET([2]quests!$A$1,0,0,COUNTA([2]quests!$A:$A),MATCH(C$1,[2]quests!$1:$1,0)-MATCH($B$1,[2]quests!$1:$1,0)+1),MATCH(C$1,[2]quests!$1:$1,0)-MATCH($B$1,[2]quests!$1:$1,0)+1,FALSE)</f>
        <v>【LB中原】検証クエスト</v>
      </c>
      <c r="D93" s="80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4" t="s">
        <v>216</v>
      </c>
      <c r="F93" s="80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0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2">
        <v>0</v>
      </c>
      <c r="I93" s="94">
        <v>39</v>
      </c>
      <c r="J93" s="81" t="s">
        <v>198</v>
      </c>
      <c r="K93" s="91" t="str">
        <f>VLOOKUP(I93,[7]stage_hints!$A:$C,3,FALSE)</f>
        <v>システム適合者を確認</v>
      </c>
      <c r="L93" s="92" t="str">
        <f>VLOOKUP(I93,[7]stage_hints!$A:$D,4,FALSE)</f>
        <v>ALICEが 「アナタ」を呼んでいます</v>
      </c>
      <c r="M93" s="55" t="s">
        <v>211</v>
      </c>
    </row>
    <row r="94" spans="1:13" x14ac:dyDescent="0.15">
      <c r="A94" s="78" t="s">
        <v>200</v>
      </c>
      <c r="B94" s="79">
        <f>floors!$C$2</f>
        <v>65529</v>
      </c>
      <c r="C94" s="80" t="str">
        <f ca="1">VLOOKUP($B94,OFFSET([2]quests!$A$1,0,0,COUNTA([2]quests!$A:$A),MATCH(C$1,[2]quests!$1:$1,0)-MATCH($B$1,[2]quests!$1:$1,0)+1),MATCH(C$1,[2]quests!$1:$1,0)-MATCH($B$1,[2]quests!$1:$1,0)+1,FALSE)</f>
        <v>【LB中原】検証クエスト</v>
      </c>
      <c r="D94" s="80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4" t="s">
        <v>217</v>
      </c>
      <c r="F94" s="80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0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2">
        <v>0</v>
      </c>
      <c r="I94">
        <v>12</v>
      </c>
      <c r="J94" s="81" t="s">
        <v>198</v>
      </c>
      <c r="K94" s="91" t="str">
        <f>VLOOKUP(I94,[7]stage_hints!$A:$C,3,FALSE)</f>
        <v>ユニットのお気に入り登録</v>
      </c>
      <c r="L94" s="92" t="str">
        <f>VLOOKUP(I94,[7]stage_hints!$A:$D,4,FALSE)</f>
        <v>大事なユニットを誤って消さないように_x000D_フォルダから「お気に入り登録」しましょう</v>
      </c>
      <c r="M94" s="55" t="s">
        <v>211</v>
      </c>
    </row>
    <row r="95" spans="1:13" x14ac:dyDescent="0.15">
      <c r="A95" s="78" t="s">
        <v>200</v>
      </c>
      <c r="B95" s="79">
        <f>floors!$C$2</f>
        <v>65529</v>
      </c>
      <c r="C95" s="80" t="str">
        <f ca="1">VLOOKUP($B95,OFFSET([2]quests!$A$1,0,0,COUNTA([2]quests!$A:$A),MATCH(C$1,[2]quests!$1:$1,0)-MATCH($B$1,[2]quests!$1:$1,0)+1),MATCH(C$1,[2]quests!$1:$1,0)-MATCH($B$1,[2]quests!$1:$1,0)+1,FALSE)</f>
        <v>【LB中原】検証クエスト</v>
      </c>
      <c r="D95" s="80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4" t="s">
        <v>217</v>
      </c>
      <c r="F95" s="80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0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2">
        <v>0</v>
      </c>
      <c r="I95">
        <v>17</v>
      </c>
      <c r="J95" s="81" t="s">
        <v>198</v>
      </c>
      <c r="K95" s="91" t="str">
        <f>VLOOKUP(I95,[7]stage_hints!$A:$C,3,FALSE)</f>
        <v>リンクガチャ</v>
      </c>
      <c r="L95" s="92" t="str">
        <f>VLOOKUP(I95,[7]stage_hints!$A:$D,4,FALSE)</f>
        <v>無料のリンクガチャを回して_x000D_経験値素材や売却素材を獲得しましょう</v>
      </c>
      <c r="M95" s="55" t="s">
        <v>211</v>
      </c>
    </row>
    <row r="96" spans="1:13" x14ac:dyDescent="0.15">
      <c r="A96" s="78" t="s">
        <v>200</v>
      </c>
      <c r="B96" s="79">
        <f>floors!$C$2</f>
        <v>65529</v>
      </c>
      <c r="C96" s="80" t="str">
        <f ca="1">VLOOKUP($B96,OFFSET([2]quests!$A$1,0,0,COUNTA([2]quests!$A:$A),MATCH(C$1,[2]quests!$1:$1,0)-MATCH($B$1,[2]quests!$1:$1,0)+1),MATCH(C$1,[2]quests!$1:$1,0)-MATCH($B$1,[2]quests!$1:$1,0)+1,FALSE)</f>
        <v>【LB中原】検証クエスト</v>
      </c>
      <c r="D96" s="80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4" t="s">
        <v>217</v>
      </c>
      <c r="F96" s="80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0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2">
        <v>0</v>
      </c>
      <c r="I96">
        <v>19</v>
      </c>
      <c r="J96" s="81" t="s">
        <v>198</v>
      </c>
      <c r="K96" s="91" t="str">
        <f>VLOOKUP(I96,[7]stage_hints!$A:$C,3,FALSE)</f>
        <v>ソロ専用タワーオブザクイーン</v>
      </c>
      <c r="L96" s="92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5" t="s">
        <v>211</v>
      </c>
    </row>
    <row r="97" spans="1:13" x14ac:dyDescent="0.15">
      <c r="A97" s="78" t="s">
        <v>200</v>
      </c>
      <c r="B97" s="79">
        <f>floors!$C$2</f>
        <v>65529</v>
      </c>
      <c r="C97" s="80" t="str">
        <f ca="1">VLOOKUP($B97,OFFSET([2]quests!$A$1,0,0,COUNTA([2]quests!$A:$A),MATCH(C$1,[2]quests!$1:$1,0)-MATCH($B$1,[2]quests!$1:$1,0)+1),MATCH(C$1,[2]quests!$1:$1,0)-MATCH($B$1,[2]quests!$1:$1,0)+1,FALSE)</f>
        <v>【LB中原】検証クエスト</v>
      </c>
      <c r="D97" s="80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4" t="s">
        <v>217</v>
      </c>
      <c r="F97" s="80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0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2">
        <v>0</v>
      </c>
      <c r="I97">
        <v>21</v>
      </c>
      <c r="J97" s="81" t="s">
        <v>198</v>
      </c>
      <c r="K97" s="91" t="str">
        <f>VLOOKUP(I97,[7]stage_hints!$A:$C,3,FALSE)</f>
        <v>スキルを有効に</v>
      </c>
      <c r="L97" s="92" t="str">
        <f>VLOOKUP(I97,[7]stage_hints!$A:$D,4,FALSE)</f>
        <v>ターン経過でユニットのスキルが使えます_x000D_強力スキルでバトルを有利に進めましょう</v>
      </c>
      <c r="M97" s="55" t="s">
        <v>211</v>
      </c>
    </row>
    <row r="98" spans="1:13" x14ac:dyDescent="0.15">
      <c r="A98" s="78" t="s">
        <v>200</v>
      </c>
      <c r="B98" s="79">
        <f>floors!$C$2</f>
        <v>65529</v>
      </c>
      <c r="C98" s="80" t="str">
        <f ca="1">VLOOKUP($B98,OFFSET([2]quests!$A$1,0,0,COUNTA([2]quests!$A:$A),MATCH(C$1,[2]quests!$1:$1,0)-MATCH($B$1,[2]quests!$1:$1,0)+1),MATCH(C$1,[2]quests!$1:$1,0)-MATCH($B$1,[2]quests!$1:$1,0)+1,FALSE)</f>
        <v>【LB中原】検証クエスト</v>
      </c>
      <c r="D98" s="80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4" t="s">
        <v>217</v>
      </c>
      <c r="F98" s="80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0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2">
        <v>0</v>
      </c>
      <c r="I98">
        <v>27</v>
      </c>
      <c r="J98" s="81" t="s">
        <v>198</v>
      </c>
      <c r="K98" s="91" t="str">
        <f>VLOOKUP(I98,[7]stage_hints!$A:$C,3,FALSE)</f>
        <v>ホーム画面からデッキを編成</v>
      </c>
      <c r="L98" s="92" t="str">
        <f>VLOOKUP(I98,[7]stage_hints!$A:$D,4,FALSE)</f>
        <v>ホーム画面でユニットを長押しすると_x000D_すぐにパーティ編成に移動できます</v>
      </c>
      <c r="M98" s="55" t="s">
        <v>211</v>
      </c>
    </row>
    <row r="99" spans="1:13" x14ac:dyDescent="0.15">
      <c r="A99" s="78" t="s">
        <v>200</v>
      </c>
      <c r="B99" s="79">
        <f>floors!$C$2</f>
        <v>65529</v>
      </c>
      <c r="C99" s="80" t="str">
        <f ca="1">VLOOKUP($B99,OFFSET([2]quests!$A$1,0,0,COUNTA([2]quests!$A:$A),MATCH(C$1,[2]quests!$1:$1,0)-MATCH($B$1,[2]quests!$1:$1,0)+1),MATCH(C$1,[2]quests!$1:$1,0)-MATCH($B$1,[2]quests!$1:$1,0)+1,FALSE)</f>
        <v>【LB中原】検証クエスト</v>
      </c>
      <c r="D99" s="80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4" t="s">
        <v>217</v>
      </c>
      <c r="F99" s="80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0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2">
        <v>0</v>
      </c>
      <c r="I99">
        <v>28</v>
      </c>
      <c r="J99" s="81" t="s">
        <v>198</v>
      </c>
      <c r="K99" s="91" t="str">
        <f>VLOOKUP(I99,[7]stage_hints!$A:$C,3,FALSE)</f>
        <v>ステータス情報は長押しで</v>
      </c>
      <c r="L99" s="92" t="str">
        <f>VLOOKUP(I99,[7]stage_hints!$A:$D,4,FALSE)</f>
        <v>ユニットのアイコンを長押しすると_x000D_ステータス情報を確認することができます</v>
      </c>
      <c r="M99" s="55" t="s">
        <v>211</v>
      </c>
    </row>
    <row r="100" spans="1:13" x14ac:dyDescent="0.15">
      <c r="A100" s="78" t="s">
        <v>200</v>
      </c>
      <c r="B100" s="79">
        <f>floors!$C$2</f>
        <v>65529</v>
      </c>
      <c r="C100" s="80" t="str">
        <f ca="1">VLOOKUP($B100,OFFSET([2]quests!$A$1,0,0,COUNTA([2]quests!$A:$A),MATCH(C$1,[2]quests!$1:$1,0)-MATCH($B$1,[2]quests!$1:$1,0)+1),MATCH(C$1,[2]quests!$1:$1,0)-MATCH($B$1,[2]quests!$1:$1,0)+1,FALSE)</f>
        <v>【LB中原】検証クエスト</v>
      </c>
      <c r="D100" s="80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4" t="s">
        <v>217</v>
      </c>
      <c r="F100" s="80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0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2">
        <v>0</v>
      </c>
      <c r="I100">
        <v>29</v>
      </c>
      <c r="J100" s="81" t="s">
        <v>198</v>
      </c>
      <c r="K100" s="91" t="str">
        <f>VLOOKUP(I100,[7]stage_hints!$A:$C,3,FALSE)</f>
        <v>「バグ」のメリット</v>
      </c>
      <c r="L100" s="92" t="str">
        <f>VLOOKUP(I100,[7]stage_hints!$A:$D,4,FALSE)</f>
        <v>ユニットの「バグ」を増やすと_x000D_報酬をもらえる確率がアップします</v>
      </c>
      <c r="M100" s="55" t="s">
        <v>211</v>
      </c>
    </row>
    <row r="101" spans="1:13" x14ac:dyDescent="0.15">
      <c r="A101" s="78" t="s">
        <v>200</v>
      </c>
      <c r="B101" s="79">
        <f>floors!$C$2</f>
        <v>65529</v>
      </c>
      <c r="C101" s="80" t="str">
        <f ca="1">VLOOKUP($B101,OFFSET([2]quests!$A$1,0,0,COUNTA([2]quests!$A:$A),MATCH(C$1,[2]quests!$1:$1,0)-MATCH($B$1,[2]quests!$1:$1,0)+1),MATCH(C$1,[2]quests!$1:$1,0)-MATCH($B$1,[2]quests!$1:$1,0)+1,FALSE)</f>
        <v>【LB中原】検証クエスト</v>
      </c>
      <c r="D101" s="80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4" t="s">
        <v>217</v>
      </c>
      <c r="F101" s="80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0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2">
        <v>0</v>
      </c>
      <c r="I101">
        <v>30</v>
      </c>
      <c r="J101" s="81" t="s">
        <v>198</v>
      </c>
      <c r="K101" s="91" t="str">
        <f>VLOOKUP(I101,[7]stage_hints!$A:$C,3,FALSE)</f>
        <v>「バグ」の増やし方</v>
      </c>
      <c r="L101" s="92" t="str">
        <f>VLOOKUP(I101,[7]stage_hints!$A:$D,4,FALSE)</f>
        <v>同じユニット同士を強化で合成すると_x000D_「バグ」を増やすことができます</v>
      </c>
      <c r="M101" s="55" t="s">
        <v>211</v>
      </c>
    </row>
    <row r="102" spans="1:13" x14ac:dyDescent="0.15">
      <c r="A102" s="78" t="s">
        <v>200</v>
      </c>
      <c r="B102" s="79">
        <f>floors!$C$2</f>
        <v>65529</v>
      </c>
      <c r="C102" s="80" t="str">
        <f ca="1">VLOOKUP($B102,OFFSET([2]quests!$A$1,0,0,COUNTA([2]quests!$A:$A),MATCH(C$1,[2]quests!$1:$1,0)-MATCH($B$1,[2]quests!$1:$1,0)+1),MATCH(C$1,[2]quests!$1:$1,0)-MATCH($B$1,[2]quests!$1:$1,0)+1,FALSE)</f>
        <v>【LB中原】検証クエスト</v>
      </c>
      <c r="D102" s="80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4" t="s">
        <v>217</v>
      </c>
      <c r="F102" s="80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0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2">
        <v>0</v>
      </c>
      <c r="I102">
        <v>32</v>
      </c>
      <c r="J102" s="81" t="s">
        <v>198</v>
      </c>
      <c r="K102" s="91" t="str">
        <f>VLOOKUP(I102,[7]stage_hints!$A:$C,3,FALSE)</f>
        <v>敵の連続攻撃には</v>
      </c>
      <c r="L102" s="92" t="str">
        <f>VLOOKUP(I102,[7]stage_hints!$A:$D,4,FALSE)</f>
        <v>カウンタースキルを持つユニットがいれば_x000D_ダメージ回数分の反撃ができます</v>
      </c>
      <c r="M102" s="55" t="s">
        <v>211</v>
      </c>
    </row>
    <row r="103" spans="1:13" x14ac:dyDescent="0.15">
      <c r="A103" s="78" t="s">
        <v>200</v>
      </c>
      <c r="B103" s="79">
        <f>floors!$C$2</f>
        <v>65529</v>
      </c>
      <c r="C103" s="80" t="str">
        <f ca="1">VLOOKUP($B103,OFFSET([2]quests!$A$1,0,0,COUNTA([2]quests!$A:$A),MATCH(C$1,[2]quests!$1:$1,0)-MATCH($B$1,[2]quests!$1:$1,0)+1),MATCH(C$1,[2]quests!$1:$1,0)-MATCH($B$1,[2]quests!$1:$1,0)+1,FALSE)</f>
        <v>【LB中原】検証クエスト</v>
      </c>
      <c r="D103" s="80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4" t="s">
        <v>217</v>
      </c>
      <c r="F103" s="80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0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2">
        <v>0</v>
      </c>
      <c r="I103">
        <v>33</v>
      </c>
      <c r="J103" s="81" t="s">
        <v>198</v>
      </c>
      <c r="K103" s="91" t="str">
        <f>VLOOKUP(I103,[7]stage_hints!$A:$C,3,FALSE)</f>
        <v>敵のカウンター攻撃には</v>
      </c>
      <c r="L103" s="92" t="str">
        <f>VLOOKUP(I103,[7]stage_hints!$A:$D,4,FALSE)</f>
        <v>カウンターブレイクスキルを持っていれば_x000D_敵のカウンターを解除して攻撃ができます</v>
      </c>
      <c r="M103" s="55" t="s">
        <v>211</v>
      </c>
    </row>
    <row r="104" spans="1:13" x14ac:dyDescent="0.15">
      <c r="A104" s="78" t="s">
        <v>200</v>
      </c>
      <c r="B104" s="79">
        <f>floors!$C$2</f>
        <v>65529</v>
      </c>
      <c r="C104" s="80" t="str">
        <f ca="1">VLOOKUP($B104,OFFSET([2]quests!$A$1,0,0,COUNTA([2]quests!$A:$A),MATCH(C$1,[2]quests!$1:$1,0)-MATCH($B$1,[2]quests!$1:$1,0)+1),MATCH(C$1,[2]quests!$1:$1,0)-MATCH($B$1,[2]quests!$1:$1,0)+1,FALSE)</f>
        <v>【LB中原】検証クエスト</v>
      </c>
      <c r="D104" s="80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4" t="s">
        <v>217</v>
      </c>
      <c r="F104" s="80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0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2">
        <v>0</v>
      </c>
      <c r="I104">
        <v>34</v>
      </c>
      <c r="J104" s="81" t="s">
        <v>198</v>
      </c>
      <c r="K104" s="91" t="str">
        <f>VLOOKUP(I104,[7]stage_hints!$A:$C,3,FALSE)</f>
        <v>ステータスをスキルで下げられたら</v>
      </c>
      <c r="L104" s="92" t="str">
        <f>VLOOKUP(I104,[7]stage_hints!$A:$D,4,FALSE)</f>
        <v>ステータスダウンのスキルを受けたら_x000D_ステータスアップスキルで上書きしましょう</v>
      </c>
      <c r="M104" s="55" t="s">
        <v>211</v>
      </c>
    </row>
    <row r="105" spans="1:13" x14ac:dyDescent="0.15">
      <c r="A105" s="78" t="s">
        <v>200</v>
      </c>
      <c r="B105" s="79">
        <f>floors!$C$2</f>
        <v>65529</v>
      </c>
      <c r="C105" s="80" t="str">
        <f ca="1">VLOOKUP($B105,OFFSET([2]quests!$A$1,0,0,COUNTA([2]quests!$A:$A),MATCH(C$1,[2]quests!$1:$1,0)-MATCH($B$1,[2]quests!$1:$1,0)+1),MATCH(C$1,[2]quests!$1:$1,0)-MATCH($B$1,[2]quests!$1:$1,0)+1,FALSE)</f>
        <v>【LB中原】検証クエスト</v>
      </c>
      <c r="D105" s="80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4" t="s">
        <v>217</v>
      </c>
      <c r="F105" s="80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0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2">
        <v>0</v>
      </c>
      <c r="I105">
        <v>35</v>
      </c>
      <c r="J105" s="81" t="s">
        <v>198</v>
      </c>
      <c r="K105" s="91" t="str">
        <f>VLOOKUP(I105,[7]stage_hints!$A:$C,3,FALSE)</f>
        <v>敵のステータスがスキルで上がったら</v>
      </c>
      <c r="L105" s="92" t="str">
        <f>VLOOKUP(I105,[7]stage_hints!$A:$D,4,FALSE)</f>
        <v>敵のステータスがスキルでアップしたときは_x000D_ステータスダウンスキルで上書きしましょう</v>
      </c>
      <c r="M105" s="55" t="s">
        <v>211</v>
      </c>
    </row>
    <row r="106" spans="1:13" x14ac:dyDescent="0.15">
      <c r="A106" s="78" t="s">
        <v>200</v>
      </c>
      <c r="B106" s="79">
        <f>floors!$C$2</f>
        <v>65529</v>
      </c>
      <c r="C106" s="80" t="str">
        <f ca="1">VLOOKUP($B106,OFFSET([2]quests!$A$1,0,0,COUNTA([2]quests!$A:$A),MATCH(C$1,[2]quests!$1:$1,0)-MATCH($B$1,[2]quests!$1:$1,0)+1),MATCH(C$1,[2]quests!$1:$1,0)-MATCH($B$1,[2]quests!$1:$1,0)+1,FALSE)</f>
        <v>【LB中原】検証クエスト</v>
      </c>
      <c r="D106" s="80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4" t="s">
        <v>217</v>
      </c>
      <c r="F106" s="80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0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2">
        <v>0</v>
      </c>
      <c r="I106">
        <v>36</v>
      </c>
      <c r="J106" s="81" t="s">
        <v>198</v>
      </c>
      <c r="K106" s="91" t="str">
        <f>VLOOKUP(I106,[7]stage_hints!$A:$C,3,FALSE)</f>
        <v>タワーオブザクイーンのボス</v>
      </c>
      <c r="L106" s="92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5" t="s">
        <v>211</v>
      </c>
    </row>
    <row r="107" spans="1:13" x14ac:dyDescent="0.15">
      <c r="A107" s="78" t="s">
        <v>200</v>
      </c>
      <c r="B107" s="79">
        <f>floors!$C$2</f>
        <v>65529</v>
      </c>
      <c r="C107" s="80" t="str">
        <f ca="1">VLOOKUP($B107,OFFSET([2]quests!$A$1,0,0,COUNTA([2]quests!$A:$A),MATCH(C$1,[2]quests!$1:$1,0)-MATCH($B$1,[2]quests!$1:$1,0)+1),MATCH(C$1,[2]quests!$1:$1,0)-MATCH($B$1,[2]quests!$1:$1,0)+1,FALSE)</f>
        <v>【LB中原】検証クエスト</v>
      </c>
      <c r="D107" s="80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4" t="s">
        <v>217</v>
      </c>
      <c r="F107" s="80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0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2">
        <v>0</v>
      </c>
      <c r="I107">
        <v>37</v>
      </c>
      <c r="J107" s="81" t="s">
        <v>198</v>
      </c>
      <c r="K107" s="91" t="str">
        <f>VLOOKUP(I107,[7]stage_hints!$A:$C,3,FALSE)</f>
        <v>限界突破値の引き継ぎ</v>
      </c>
      <c r="L107" s="92" t="str">
        <f>VLOOKUP(I107,[7]stage_hints!$A:$D,4,FALSE)</f>
        <v>同じユニットを強化で合成すると_x000D_限界突破値を引き継げます（覚醒前後も可）</v>
      </c>
      <c r="M107" s="55" t="s">
        <v>211</v>
      </c>
    </row>
    <row r="108" spans="1:13" x14ac:dyDescent="0.15">
      <c r="A108" s="78" t="s">
        <v>200</v>
      </c>
      <c r="B108" s="79">
        <f>floors!$C$2</f>
        <v>65529</v>
      </c>
      <c r="C108" s="80" t="str">
        <f ca="1">VLOOKUP($B108,OFFSET([2]quests!$A$1,0,0,COUNTA([2]quests!$A:$A),MATCH(C$1,[2]quests!$1:$1,0)-MATCH($B$1,[2]quests!$1:$1,0)+1),MATCH(C$1,[2]quests!$1:$1,0)-MATCH($B$1,[2]quests!$1:$1,0)+1,FALSE)</f>
        <v>【LB中原】検証クエスト</v>
      </c>
      <c r="D108" s="80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4" t="s">
        <v>217</v>
      </c>
      <c r="F108" s="80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0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2">
        <v>0</v>
      </c>
      <c r="I108">
        <v>39</v>
      </c>
      <c r="J108" s="81" t="s">
        <v>198</v>
      </c>
      <c r="K108" s="91" t="str">
        <f>VLOOKUP(I108,[7]stage_hints!$A:$C,3,FALSE)</f>
        <v>システム適合者を確認</v>
      </c>
      <c r="L108" s="92" t="str">
        <f>VLOOKUP(I108,[7]stage_hints!$A:$D,4,FALSE)</f>
        <v>ALICEが 「アナタ」を呼んでいます</v>
      </c>
      <c r="M108" s="55" t="s">
        <v>211</v>
      </c>
    </row>
    <row r="109" spans="1:13" x14ac:dyDescent="0.15">
      <c r="A109" s="78" t="s">
        <v>200</v>
      </c>
      <c r="B109" s="79">
        <f>floors!$C$2</f>
        <v>65529</v>
      </c>
      <c r="C109" s="80" t="str">
        <f ca="1">VLOOKUP($B109,OFFSET([2]quests!$A$1,0,0,COUNTA([2]quests!$A:$A),MATCH(C$1,[2]quests!$1:$1,0)-MATCH($B$1,[2]quests!$1:$1,0)+1),MATCH(C$1,[2]quests!$1:$1,0)-MATCH($B$1,[2]quests!$1:$1,0)+1,FALSE)</f>
        <v>【LB中原】検証クエスト</v>
      </c>
      <c r="D109" s="80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4" t="s">
        <v>218</v>
      </c>
      <c r="F109" s="80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0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2">
        <v>0</v>
      </c>
      <c r="I109">
        <v>12</v>
      </c>
      <c r="J109" s="81" t="s">
        <v>198</v>
      </c>
      <c r="K109" s="91" t="str">
        <f>VLOOKUP(I109,[7]stage_hints!$A:$C,3,FALSE)</f>
        <v>ユニットのお気に入り登録</v>
      </c>
      <c r="L109" s="92" t="str">
        <f>VLOOKUP(I109,[7]stage_hints!$A:$D,4,FALSE)</f>
        <v>大事なユニットを誤って消さないように_x000D_フォルダから「お気に入り登録」しましょう</v>
      </c>
      <c r="M109" s="55" t="s">
        <v>211</v>
      </c>
    </row>
    <row r="110" spans="1:13" x14ac:dyDescent="0.15">
      <c r="A110" s="78" t="s">
        <v>200</v>
      </c>
      <c r="B110" s="79">
        <f>floors!$C$2</f>
        <v>65529</v>
      </c>
      <c r="C110" s="80" t="str">
        <f ca="1">VLOOKUP($B110,OFFSET([2]quests!$A$1,0,0,COUNTA([2]quests!$A:$A),MATCH(C$1,[2]quests!$1:$1,0)-MATCH($B$1,[2]quests!$1:$1,0)+1),MATCH(C$1,[2]quests!$1:$1,0)-MATCH($B$1,[2]quests!$1:$1,0)+1,FALSE)</f>
        <v>【LB中原】検証クエスト</v>
      </c>
      <c r="D110" s="80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4" t="s">
        <v>218</v>
      </c>
      <c r="F110" s="80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0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2">
        <v>0</v>
      </c>
      <c r="I110">
        <v>17</v>
      </c>
      <c r="J110" s="81" t="s">
        <v>198</v>
      </c>
      <c r="K110" s="91" t="str">
        <f>VLOOKUP(I110,[7]stage_hints!$A:$C,3,FALSE)</f>
        <v>リンクガチャ</v>
      </c>
      <c r="L110" s="92" t="str">
        <f>VLOOKUP(I110,[7]stage_hints!$A:$D,4,FALSE)</f>
        <v>無料のリンクガチャを回して_x000D_経験値素材や売却素材を獲得しましょう</v>
      </c>
      <c r="M110" s="55" t="s">
        <v>211</v>
      </c>
    </row>
    <row r="111" spans="1:13" x14ac:dyDescent="0.15">
      <c r="A111" s="78" t="s">
        <v>200</v>
      </c>
      <c r="B111" s="79">
        <f>floors!$C$2</f>
        <v>65529</v>
      </c>
      <c r="C111" s="80" t="str">
        <f ca="1">VLOOKUP($B111,OFFSET([2]quests!$A$1,0,0,COUNTA([2]quests!$A:$A),MATCH(C$1,[2]quests!$1:$1,0)-MATCH($B$1,[2]quests!$1:$1,0)+1),MATCH(C$1,[2]quests!$1:$1,0)-MATCH($B$1,[2]quests!$1:$1,0)+1,FALSE)</f>
        <v>【LB中原】検証クエスト</v>
      </c>
      <c r="D111" s="80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4" t="s">
        <v>218</v>
      </c>
      <c r="F111" s="80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0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2">
        <v>0</v>
      </c>
      <c r="I111">
        <v>19</v>
      </c>
      <c r="J111" s="81" t="s">
        <v>198</v>
      </c>
      <c r="K111" s="91" t="str">
        <f>VLOOKUP(I111,[7]stage_hints!$A:$C,3,FALSE)</f>
        <v>ソロ専用タワーオブザクイーン</v>
      </c>
      <c r="L111" s="92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5" t="s">
        <v>211</v>
      </c>
    </row>
    <row r="112" spans="1:13" x14ac:dyDescent="0.15">
      <c r="A112" s="78" t="s">
        <v>200</v>
      </c>
      <c r="B112" s="79">
        <f>floors!$C$2</f>
        <v>65529</v>
      </c>
      <c r="C112" s="80" t="str">
        <f ca="1">VLOOKUP($B112,OFFSET([2]quests!$A$1,0,0,COUNTA([2]quests!$A:$A),MATCH(C$1,[2]quests!$1:$1,0)-MATCH($B$1,[2]quests!$1:$1,0)+1),MATCH(C$1,[2]quests!$1:$1,0)-MATCH($B$1,[2]quests!$1:$1,0)+1,FALSE)</f>
        <v>【LB中原】検証クエスト</v>
      </c>
      <c r="D112" s="80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4" t="s">
        <v>218</v>
      </c>
      <c r="F112" s="80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0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2">
        <v>0</v>
      </c>
      <c r="I112">
        <v>21</v>
      </c>
      <c r="J112" s="81" t="s">
        <v>198</v>
      </c>
      <c r="K112" s="91" t="str">
        <f>VLOOKUP(I112,[7]stage_hints!$A:$C,3,FALSE)</f>
        <v>スキルを有効に</v>
      </c>
      <c r="L112" s="92" t="str">
        <f>VLOOKUP(I112,[7]stage_hints!$A:$D,4,FALSE)</f>
        <v>ターン経過でユニットのスキルが使えます_x000D_強力スキルでバトルを有利に進めましょう</v>
      </c>
      <c r="M112" s="55" t="s">
        <v>211</v>
      </c>
    </row>
    <row r="113" spans="1:13" x14ac:dyDescent="0.15">
      <c r="A113" s="78" t="s">
        <v>200</v>
      </c>
      <c r="B113" s="79">
        <f>floors!$C$2</f>
        <v>65529</v>
      </c>
      <c r="C113" s="80" t="str">
        <f ca="1">VLOOKUP($B113,OFFSET([2]quests!$A$1,0,0,COUNTA([2]quests!$A:$A),MATCH(C$1,[2]quests!$1:$1,0)-MATCH($B$1,[2]quests!$1:$1,0)+1),MATCH(C$1,[2]quests!$1:$1,0)-MATCH($B$1,[2]quests!$1:$1,0)+1,FALSE)</f>
        <v>【LB中原】検証クエスト</v>
      </c>
      <c r="D113" s="80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4" t="s">
        <v>218</v>
      </c>
      <c r="F113" s="80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0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2">
        <v>0</v>
      </c>
      <c r="I113">
        <v>29</v>
      </c>
      <c r="J113" s="81" t="s">
        <v>198</v>
      </c>
      <c r="K113" s="91" t="str">
        <f>VLOOKUP(I113,[7]stage_hints!$A:$C,3,FALSE)</f>
        <v>「バグ」のメリット</v>
      </c>
      <c r="L113" s="92" t="str">
        <f>VLOOKUP(I113,[7]stage_hints!$A:$D,4,FALSE)</f>
        <v>ユニットの「バグ」を増やすと_x000D_報酬をもらえる確率がアップします</v>
      </c>
      <c r="M113" s="55" t="s">
        <v>211</v>
      </c>
    </row>
    <row r="114" spans="1:13" x14ac:dyDescent="0.15">
      <c r="A114" s="78" t="s">
        <v>200</v>
      </c>
      <c r="B114" s="79">
        <f>floors!$C$2</f>
        <v>65529</v>
      </c>
      <c r="C114" s="80" t="str">
        <f ca="1">VLOOKUP($B114,OFFSET([2]quests!$A$1,0,0,COUNTA([2]quests!$A:$A),MATCH(C$1,[2]quests!$1:$1,0)-MATCH($B$1,[2]quests!$1:$1,0)+1),MATCH(C$1,[2]quests!$1:$1,0)-MATCH($B$1,[2]quests!$1:$1,0)+1,FALSE)</f>
        <v>【LB中原】検証クエスト</v>
      </c>
      <c r="D114" s="80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4" t="s">
        <v>218</v>
      </c>
      <c r="F114" s="80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0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2">
        <v>0</v>
      </c>
      <c r="I114">
        <v>30</v>
      </c>
      <c r="J114" s="81" t="s">
        <v>198</v>
      </c>
      <c r="K114" s="91" t="str">
        <f>VLOOKUP(I114,[7]stage_hints!$A:$C,3,FALSE)</f>
        <v>「バグ」の増やし方</v>
      </c>
      <c r="L114" s="92" t="str">
        <f>VLOOKUP(I114,[7]stage_hints!$A:$D,4,FALSE)</f>
        <v>同じユニット同士を強化で合成すると_x000D_「バグ」を増やすことができます</v>
      </c>
      <c r="M114" s="55" t="s">
        <v>211</v>
      </c>
    </row>
    <row r="115" spans="1:13" x14ac:dyDescent="0.15">
      <c r="A115" s="78" t="s">
        <v>200</v>
      </c>
      <c r="B115" s="79">
        <f>floors!$C$2</f>
        <v>65529</v>
      </c>
      <c r="C115" s="80" t="str">
        <f ca="1">VLOOKUP($B115,OFFSET([2]quests!$A$1,0,0,COUNTA([2]quests!$A:$A),MATCH(C$1,[2]quests!$1:$1,0)-MATCH($B$1,[2]quests!$1:$1,0)+1),MATCH(C$1,[2]quests!$1:$1,0)-MATCH($B$1,[2]quests!$1:$1,0)+1,FALSE)</f>
        <v>【LB中原】検証クエスト</v>
      </c>
      <c r="D115" s="80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4" t="s">
        <v>218</v>
      </c>
      <c r="F115" s="80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0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2">
        <v>0</v>
      </c>
      <c r="I115">
        <v>32</v>
      </c>
      <c r="J115" s="81" t="s">
        <v>198</v>
      </c>
      <c r="K115" s="91" t="str">
        <f>VLOOKUP(I115,[7]stage_hints!$A:$C,3,FALSE)</f>
        <v>敵の連続攻撃には</v>
      </c>
      <c r="L115" s="92" t="str">
        <f>VLOOKUP(I115,[7]stage_hints!$A:$D,4,FALSE)</f>
        <v>カウンタースキルを持つユニットがいれば_x000D_ダメージ回数分の反撃ができます</v>
      </c>
      <c r="M115" s="55" t="s">
        <v>211</v>
      </c>
    </row>
    <row r="116" spans="1:13" x14ac:dyDescent="0.15">
      <c r="A116" s="78" t="s">
        <v>200</v>
      </c>
      <c r="B116" s="79">
        <f>floors!$C$2</f>
        <v>65529</v>
      </c>
      <c r="C116" s="80" t="str">
        <f ca="1">VLOOKUP($B116,OFFSET([2]quests!$A$1,0,0,COUNTA([2]quests!$A:$A),MATCH(C$1,[2]quests!$1:$1,0)-MATCH($B$1,[2]quests!$1:$1,0)+1),MATCH(C$1,[2]quests!$1:$1,0)-MATCH($B$1,[2]quests!$1:$1,0)+1,FALSE)</f>
        <v>【LB中原】検証クエスト</v>
      </c>
      <c r="D116" s="80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4" t="s">
        <v>218</v>
      </c>
      <c r="F116" s="80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0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2">
        <v>0</v>
      </c>
      <c r="I116">
        <v>33</v>
      </c>
      <c r="J116" s="81" t="s">
        <v>198</v>
      </c>
      <c r="K116" s="91" t="str">
        <f>VLOOKUP(I116,[7]stage_hints!$A:$C,3,FALSE)</f>
        <v>敵のカウンター攻撃には</v>
      </c>
      <c r="L116" s="92" t="str">
        <f>VLOOKUP(I116,[7]stage_hints!$A:$D,4,FALSE)</f>
        <v>カウンターブレイクスキルを持っていれば_x000D_敵のカウンターを解除して攻撃ができます</v>
      </c>
      <c r="M116" s="55" t="s">
        <v>211</v>
      </c>
    </row>
    <row r="117" spans="1:13" x14ac:dyDescent="0.15">
      <c r="A117" s="78" t="s">
        <v>200</v>
      </c>
      <c r="B117" s="79">
        <f>floors!$C$2</f>
        <v>65529</v>
      </c>
      <c r="C117" s="80" t="str">
        <f ca="1">VLOOKUP($B117,OFFSET([2]quests!$A$1,0,0,COUNTA([2]quests!$A:$A),MATCH(C$1,[2]quests!$1:$1,0)-MATCH($B$1,[2]quests!$1:$1,0)+1),MATCH(C$1,[2]quests!$1:$1,0)-MATCH($B$1,[2]quests!$1:$1,0)+1,FALSE)</f>
        <v>【LB中原】検証クエスト</v>
      </c>
      <c r="D117" s="80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4" t="s">
        <v>218</v>
      </c>
      <c r="F117" s="80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0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2">
        <v>0</v>
      </c>
      <c r="I117">
        <v>34</v>
      </c>
      <c r="J117" s="81" t="s">
        <v>198</v>
      </c>
      <c r="K117" s="91" t="str">
        <f>VLOOKUP(I117,[7]stage_hints!$A:$C,3,FALSE)</f>
        <v>ステータスをスキルで下げられたら</v>
      </c>
      <c r="L117" s="92" t="str">
        <f>VLOOKUP(I117,[7]stage_hints!$A:$D,4,FALSE)</f>
        <v>ステータスダウンのスキルを受けたら_x000D_ステータスアップスキルで上書きしましょう</v>
      </c>
      <c r="M117" s="55" t="s">
        <v>211</v>
      </c>
    </row>
    <row r="118" spans="1:13" x14ac:dyDescent="0.15">
      <c r="A118" s="78" t="s">
        <v>200</v>
      </c>
      <c r="B118" s="79">
        <f>floors!$C$2</f>
        <v>65529</v>
      </c>
      <c r="C118" s="80" t="str">
        <f ca="1">VLOOKUP($B118,OFFSET([2]quests!$A$1,0,0,COUNTA([2]quests!$A:$A),MATCH(C$1,[2]quests!$1:$1,0)-MATCH($B$1,[2]quests!$1:$1,0)+1),MATCH(C$1,[2]quests!$1:$1,0)-MATCH($B$1,[2]quests!$1:$1,0)+1,FALSE)</f>
        <v>【LB中原】検証クエスト</v>
      </c>
      <c r="D118" s="80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4" t="s">
        <v>218</v>
      </c>
      <c r="F118" s="80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0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2">
        <v>0</v>
      </c>
      <c r="I118">
        <v>35</v>
      </c>
      <c r="J118" s="81" t="s">
        <v>198</v>
      </c>
      <c r="K118" s="91" t="str">
        <f>VLOOKUP(I118,[7]stage_hints!$A:$C,3,FALSE)</f>
        <v>敵のステータスがスキルで上がったら</v>
      </c>
      <c r="L118" s="92" t="str">
        <f>VLOOKUP(I118,[7]stage_hints!$A:$D,4,FALSE)</f>
        <v>敵のステータスがスキルでアップしたときは_x000D_ステータスダウンスキルで上書きしましょう</v>
      </c>
      <c r="M118" s="55" t="s">
        <v>211</v>
      </c>
    </row>
    <row r="119" spans="1:13" x14ac:dyDescent="0.15">
      <c r="A119" s="78" t="s">
        <v>200</v>
      </c>
      <c r="B119" s="79">
        <f>floors!$C$2</f>
        <v>65529</v>
      </c>
      <c r="C119" s="80" t="str">
        <f ca="1">VLOOKUP($B119,OFFSET([2]quests!$A$1,0,0,COUNTA([2]quests!$A:$A),MATCH(C$1,[2]quests!$1:$1,0)-MATCH($B$1,[2]quests!$1:$1,0)+1),MATCH(C$1,[2]quests!$1:$1,0)-MATCH($B$1,[2]quests!$1:$1,0)+1,FALSE)</f>
        <v>【LB中原】検証クエスト</v>
      </c>
      <c r="D119" s="80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4" t="s">
        <v>218</v>
      </c>
      <c r="F119" s="80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0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2">
        <v>0</v>
      </c>
      <c r="I119">
        <v>36</v>
      </c>
      <c r="J119" s="81" t="s">
        <v>198</v>
      </c>
      <c r="K119" s="91" t="str">
        <f>VLOOKUP(I119,[7]stage_hints!$A:$C,3,FALSE)</f>
        <v>タワーオブザクイーンのボス</v>
      </c>
      <c r="L119" s="92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5" t="s">
        <v>211</v>
      </c>
    </row>
    <row r="120" spans="1:13" x14ac:dyDescent="0.15">
      <c r="A120" s="78" t="s">
        <v>200</v>
      </c>
      <c r="B120" s="79">
        <f>floors!$C$2</f>
        <v>65529</v>
      </c>
      <c r="C120" s="80" t="str">
        <f ca="1">VLOOKUP($B120,OFFSET([2]quests!$A$1,0,0,COUNTA([2]quests!$A:$A),MATCH(C$1,[2]quests!$1:$1,0)-MATCH($B$1,[2]quests!$1:$1,0)+1),MATCH(C$1,[2]quests!$1:$1,0)-MATCH($B$1,[2]quests!$1:$1,0)+1,FALSE)</f>
        <v>【LB中原】検証クエスト</v>
      </c>
      <c r="D120" s="80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4" t="s">
        <v>218</v>
      </c>
      <c r="F120" s="80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0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2">
        <v>0</v>
      </c>
      <c r="I120">
        <v>37</v>
      </c>
      <c r="J120" s="81" t="s">
        <v>198</v>
      </c>
      <c r="K120" s="91" t="str">
        <f>VLOOKUP(I120,[7]stage_hints!$A:$C,3,FALSE)</f>
        <v>限界突破値の引き継ぎ</v>
      </c>
      <c r="L120" s="92" t="str">
        <f>VLOOKUP(I120,[7]stage_hints!$A:$D,4,FALSE)</f>
        <v>同じユニットを強化で合成すると_x000D_限界突破値を引き継げます（覚醒前後も可）</v>
      </c>
      <c r="M120" s="55" t="s">
        <v>211</v>
      </c>
    </row>
    <row r="121" spans="1:13" x14ac:dyDescent="0.15">
      <c r="A121" s="78" t="s">
        <v>200</v>
      </c>
      <c r="B121" s="79">
        <f>floors!$C$2</f>
        <v>65529</v>
      </c>
      <c r="C121" s="80" t="str">
        <f ca="1">VLOOKUP($B121,OFFSET([2]quests!$A$1,0,0,COUNTA([2]quests!$A:$A),MATCH(C$1,[2]quests!$1:$1,0)-MATCH($B$1,[2]quests!$1:$1,0)+1),MATCH(C$1,[2]quests!$1:$1,0)-MATCH($B$1,[2]quests!$1:$1,0)+1,FALSE)</f>
        <v>【LB中原】検証クエスト</v>
      </c>
      <c r="D121" s="80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4" t="s">
        <v>218</v>
      </c>
      <c r="F121" s="80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0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2">
        <v>0</v>
      </c>
      <c r="I121">
        <v>39</v>
      </c>
      <c r="J121" s="81" t="s">
        <v>198</v>
      </c>
      <c r="K121" s="91" t="str">
        <f>VLOOKUP(I121,[7]stage_hints!$A:$C,3,FALSE)</f>
        <v>システム適合者を確認</v>
      </c>
      <c r="L121" s="92" t="str">
        <f>VLOOKUP(I121,[7]stage_hints!$A:$D,4,FALSE)</f>
        <v>ALICEが 「アナタ」を呼んでいます</v>
      </c>
      <c r="M121" s="55" t="s">
        <v>211</v>
      </c>
    </row>
    <row r="122" spans="1:13" x14ac:dyDescent="0.15">
      <c r="A122" s="78" t="s">
        <v>200</v>
      </c>
      <c r="B122" s="79">
        <f>floors!$C$2</f>
        <v>65529</v>
      </c>
      <c r="C122" s="80" t="str">
        <f ca="1">VLOOKUP($B122,OFFSET([2]quests!$A$1,0,0,COUNTA([2]quests!$A:$A),MATCH(C$1,[2]quests!$1:$1,0)-MATCH($B$1,[2]quests!$1:$1,0)+1),MATCH(C$1,[2]quests!$1:$1,0)-MATCH($B$1,[2]quests!$1:$1,0)+1,FALSE)</f>
        <v>【LB中原】検証クエスト</v>
      </c>
      <c r="D122" s="80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4" t="s">
        <v>219</v>
      </c>
      <c r="F122" s="80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0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2">
        <v>0</v>
      </c>
      <c r="I122">
        <v>12</v>
      </c>
      <c r="J122" s="81" t="s">
        <v>198</v>
      </c>
      <c r="K122" s="91" t="str">
        <f>VLOOKUP(I122,[7]stage_hints!$A:$C,3,FALSE)</f>
        <v>ユニットのお気に入り登録</v>
      </c>
      <c r="L122" s="92" t="str">
        <f>VLOOKUP(I122,[7]stage_hints!$A:$D,4,FALSE)</f>
        <v>大事なユニットを誤って消さないように_x000D_フォルダから「お気に入り登録」しましょう</v>
      </c>
      <c r="M122" s="55" t="s">
        <v>211</v>
      </c>
    </row>
    <row r="123" spans="1:13" x14ac:dyDescent="0.15">
      <c r="A123" s="78" t="s">
        <v>200</v>
      </c>
      <c r="B123" s="79">
        <f>floors!$C$2</f>
        <v>65529</v>
      </c>
      <c r="C123" s="80" t="str">
        <f ca="1">VLOOKUP($B123,OFFSET([2]quests!$A$1,0,0,COUNTA([2]quests!$A:$A),MATCH(C$1,[2]quests!$1:$1,0)-MATCH($B$1,[2]quests!$1:$1,0)+1),MATCH(C$1,[2]quests!$1:$1,0)-MATCH($B$1,[2]quests!$1:$1,0)+1,FALSE)</f>
        <v>【LB中原】検証クエスト</v>
      </c>
      <c r="D123" s="80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4" t="s">
        <v>219</v>
      </c>
      <c r="F123" s="80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0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2">
        <v>0</v>
      </c>
      <c r="I123">
        <v>17</v>
      </c>
      <c r="J123" s="81" t="s">
        <v>198</v>
      </c>
      <c r="K123" s="91" t="str">
        <f>VLOOKUP(I123,[7]stage_hints!$A:$C,3,FALSE)</f>
        <v>リンクガチャ</v>
      </c>
      <c r="L123" s="92" t="str">
        <f>VLOOKUP(I123,[7]stage_hints!$A:$D,4,FALSE)</f>
        <v>無料のリンクガチャを回して_x000D_経験値素材や売却素材を獲得しましょう</v>
      </c>
      <c r="M123" s="55" t="s">
        <v>211</v>
      </c>
    </row>
    <row r="124" spans="1:13" x14ac:dyDescent="0.15">
      <c r="A124" s="78" t="s">
        <v>200</v>
      </c>
      <c r="B124" s="79">
        <f>floors!$C$2</f>
        <v>65529</v>
      </c>
      <c r="C124" s="80" t="str">
        <f ca="1">VLOOKUP($B124,OFFSET([2]quests!$A$1,0,0,COUNTA([2]quests!$A:$A),MATCH(C$1,[2]quests!$1:$1,0)-MATCH($B$1,[2]quests!$1:$1,0)+1),MATCH(C$1,[2]quests!$1:$1,0)-MATCH($B$1,[2]quests!$1:$1,0)+1,FALSE)</f>
        <v>【LB中原】検証クエスト</v>
      </c>
      <c r="D124" s="80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4" t="s">
        <v>219</v>
      </c>
      <c r="F124" s="80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0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2">
        <v>0</v>
      </c>
      <c r="I124">
        <v>19</v>
      </c>
      <c r="J124" s="81" t="s">
        <v>198</v>
      </c>
      <c r="K124" s="91" t="str">
        <f>VLOOKUP(I124,[7]stage_hints!$A:$C,3,FALSE)</f>
        <v>ソロ専用タワーオブザクイーン</v>
      </c>
      <c r="L124" s="92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5" t="s">
        <v>211</v>
      </c>
    </row>
    <row r="125" spans="1:13" x14ac:dyDescent="0.15">
      <c r="A125" s="78" t="s">
        <v>200</v>
      </c>
      <c r="B125" s="79">
        <f>floors!$C$2</f>
        <v>65529</v>
      </c>
      <c r="C125" s="80" t="str">
        <f ca="1">VLOOKUP($B125,OFFSET([2]quests!$A$1,0,0,COUNTA([2]quests!$A:$A),MATCH(C$1,[2]quests!$1:$1,0)-MATCH($B$1,[2]quests!$1:$1,0)+1),MATCH(C$1,[2]quests!$1:$1,0)-MATCH($B$1,[2]quests!$1:$1,0)+1,FALSE)</f>
        <v>【LB中原】検証クエスト</v>
      </c>
      <c r="D125" s="80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4" t="s">
        <v>219</v>
      </c>
      <c r="F125" s="80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0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2">
        <v>0</v>
      </c>
      <c r="I125">
        <v>21</v>
      </c>
      <c r="J125" s="81" t="s">
        <v>198</v>
      </c>
      <c r="K125" s="91" t="str">
        <f>VLOOKUP(I125,[7]stage_hints!$A:$C,3,FALSE)</f>
        <v>スキルを有効に</v>
      </c>
      <c r="L125" s="92" t="str">
        <f>VLOOKUP(I125,[7]stage_hints!$A:$D,4,FALSE)</f>
        <v>ターン経過でユニットのスキルが使えます_x000D_強力スキルでバトルを有利に進めましょう</v>
      </c>
      <c r="M125" s="55" t="s">
        <v>211</v>
      </c>
    </row>
    <row r="126" spans="1:13" x14ac:dyDescent="0.15">
      <c r="A126" s="78" t="s">
        <v>200</v>
      </c>
      <c r="B126" s="79">
        <f>floors!$C$2</f>
        <v>65529</v>
      </c>
      <c r="C126" s="80" t="str">
        <f ca="1">VLOOKUP($B126,OFFSET([2]quests!$A$1,0,0,COUNTA([2]quests!$A:$A),MATCH(C$1,[2]quests!$1:$1,0)-MATCH($B$1,[2]quests!$1:$1,0)+1),MATCH(C$1,[2]quests!$1:$1,0)-MATCH($B$1,[2]quests!$1:$1,0)+1,FALSE)</f>
        <v>【LB中原】検証クエスト</v>
      </c>
      <c r="D126" s="80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4" t="s">
        <v>219</v>
      </c>
      <c r="F126" s="80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0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2">
        <v>0</v>
      </c>
      <c r="I126">
        <v>29</v>
      </c>
      <c r="J126" s="81" t="s">
        <v>198</v>
      </c>
      <c r="K126" s="91" t="str">
        <f>VLOOKUP(I126,[7]stage_hints!$A:$C,3,FALSE)</f>
        <v>「バグ」のメリット</v>
      </c>
      <c r="L126" s="92" t="str">
        <f>VLOOKUP(I126,[7]stage_hints!$A:$D,4,FALSE)</f>
        <v>ユニットの「バグ」を増やすと_x000D_報酬をもらえる確率がアップします</v>
      </c>
      <c r="M126" s="55" t="s">
        <v>211</v>
      </c>
    </row>
    <row r="127" spans="1:13" x14ac:dyDescent="0.15">
      <c r="A127" s="78" t="s">
        <v>200</v>
      </c>
      <c r="B127" s="79">
        <f>floors!$C$2</f>
        <v>65529</v>
      </c>
      <c r="C127" s="80" t="str">
        <f ca="1">VLOOKUP($B127,OFFSET([2]quests!$A$1,0,0,COUNTA([2]quests!$A:$A),MATCH(C$1,[2]quests!$1:$1,0)-MATCH($B$1,[2]quests!$1:$1,0)+1),MATCH(C$1,[2]quests!$1:$1,0)-MATCH($B$1,[2]quests!$1:$1,0)+1,FALSE)</f>
        <v>【LB中原】検証クエスト</v>
      </c>
      <c r="D127" s="80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4" t="s">
        <v>219</v>
      </c>
      <c r="F127" s="80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0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2">
        <v>0</v>
      </c>
      <c r="I127">
        <v>30</v>
      </c>
      <c r="J127" s="81" t="s">
        <v>198</v>
      </c>
      <c r="K127" s="91" t="str">
        <f>VLOOKUP(I127,[7]stage_hints!$A:$C,3,FALSE)</f>
        <v>「バグ」の増やし方</v>
      </c>
      <c r="L127" s="92" t="str">
        <f>VLOOKUP(I127,[7]stage_hints!$A:$D,4,FALSE)</f>
        <v>同じユニット同士を強化で合成すると_x000D_「バグ」を増やすことができます</v>
      </c>
      <c r="M127" s="55" t="s">
        <v>211</v>
      </c>
    </row>
    <row r="128" spans="1:13" x14ac:dyDescent="0.15">
      <c r="A128" s="78" t="s">
        <v>200</v>
      </c>
      <c r="B128" s="79">
        <f>floors!$C$2</f>
        <v>65529</v>
      </c>
      <c r="C128" s="80" t="str">
        <f ca="1">VLOOKUP($B128,OFFSET([2]quests!$A$1,0,0,COUNTA([2]quests!$A:$A),MATCH(C$1,[2]quests!$1:$1,0)-MATCH($B$1,[2]quests!$1:$1,0)+1),MATCH(C$1,[2]quests!$1:$1,0)-MATCH($B$1,[2]quests!$1:$1,0)+1,FALSE)</f>
        <v>【LB中原】検証クエスト</v>
      </c>
      <c r="D128" s="80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4" t="s">
        <v>219</v>
      </c>
      <c r="F128" s="80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0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2">
        <v>0</v>
      </c>
      <c r="I128">
        <v>32</v>
      </c>
      <c r="J128" s="81" t="s">
        <v>198</v>
      </c>
      <c r="K128" s="91" t="str">
        <f>VLOOKUP(I128,[7]stage_hints!$A:$C,3,FALSE)</f>
        <v>敵の連続攻撃には</v>
      </c>
      <c r="L128" s="92" t="str">
        <f>VLOOKUP(I128,[7]stage_hints!$A:$D,4,FALSE)</f>
        <v>カウンタースキルを持つユニットがいれば_x000D_ダメージ回数分の反撃ができます</v>
      </c>
      <c r="M128" s="55" t="s">
        <v>211</v>
      </c>
    </row>
    <row r="129" spans="1:13" x14ac:dyDescent="0.15">
      <c r="A129" s="78" t="s">
        <v>200</v>
      </c>
      <c r="B129" s="79">
        <f>floors!$C$2</f>
        <v>65529</v>
      </c>
      <c r="C129" s="80" t="str">
        <f ca="1">VLOOKUP($B129,OFFSET([2]quests!$A$1,0,0,COUNTA([2]quests!$A:$A),MATCH(C$1,[2]quests!$1:$1,0)-MATCH($B$1,[2]quests!$1:$1,0)+1),MATCH(C$1,[2]quests!$1:$1,0)-MATCH($B$1,[2]quests!$1:$1,0)+1,FALSE)</f>
        <v>【LB中原】検証クエスト</v>
      </c>
      <c r="D129" s="80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4" t="s">
        <v>219</v>
      </c>
      <c r="F129" s="80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0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2">
        <v>0</v>
      </c>
      <c r="I129">
        <v>33</v>
      </c>
      <c r="J129" s="81" t="s">
        <v>198</v>
      </c>
      <c r="K129" s="91" t="str">
        <f>VLOOKUP(I129,[7]stage_hints!$A:$C,3,FALSE)</f>
        <v>敵のカウンター攻撃には</v>
      </c>
      <c r="L129" s="92" t="str">
        <f>VLOOKUP(I129,[7]stage_hints!$A:$D,4,FALSE)</f>
        <v>カウンターブレイクスキルを持っていれば_x000D_敵のカウンターを解除して攻撃ができます</v>
      </c>
      <c r="M129" s="55" t="s">
        <v>211</v>
      </c>
    </row>
    <row r="130" spans="1:13" x14ac:dyDescent="0.15">
      <c r="A130" s="78" t="s">
        <v>200</v>
      </c>
      <c r="B130" s="79">
        <f>floors!$C$2</f>
        <v>65529</v>
      </c>
      <c r="C130" s="80" t="str">
        <f ca="1">VLOOKUP($B130,OFFSET([2]quests!$A$1,0,0,COUNTA([2]quests!$A:$A),MATCH(C$1,[2]quests!$1:$1,0)-MATCH($B$1,[2]quests!$1:$1,0)+1),MATCH(C$1,[2]quests!$1:$1,0)-MATCH($B$1,[2]quests!$1:$1,0)+1,FALSE)</f>
        <v>【LB中原】検証クエスト</v>
      </c>
      <c r="D130" s="80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4" t="s">
        <v>219</v>
      </c>
      <c r="F130" s="80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0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2">
        <v>0</v>
      </c>
      <c r="I130">
        <v>34</v>
      </c>
      <c r="J130" s="81" t="s">
        <v>198</v>
      </c>
      <c r="K130" s="91" t="str">
        <f>VLOOKUP(I130,[7]stage_hints!$A:$C,3,FALSE)</f>
        <v>ステータスをスキルで下げられたら</v>
      </c>
      <c r="L130" s="92" t="str">
        <f>VLOOKUP(I130,[7]stage_hints!$A:$D,4,FALSE)</f>
        <v>ステータスダウンのスキルを受けたら_x000D_ステータスアップスキルで上書きしましょう</v>
      </c>
      <c r="M130" s="55" t="s">
        <v>211</v>
      </c>
    </row>
    <row r="131" spans="1:13" x14ac:dyDescent="0.15">
      <c r="A131" s="78" t="s">
        <v>200</v>
      </c>
      <c r="B131" s="79">
        <f>floors!$C$2</f>
        <v>65529</v>
      </c>
      <c r="C131" s="80" t="str">
        <f ca="1">VLOOKUP($B131,OFFSET([2]quests!$A$1,0,0,COUNTA([2]quests!$A:$A),MATCH(C$1,[2]quests!$1:$1,0)-MATCH($B$1,[2]quests!$1:$1,0)+1),MATCH(C$1,[2]quests!$1:$1,0)-MATCH($B$1,[2]quests!$1:$1,0)+1,FALSE)</f>
        <v>【LB中原】検証クエスト</v>
      </c>
      <c r="D131" s="80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4" t="s">
        <v>219</v>
      </c>
      <c r="F131" s="80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0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2">
        <v>0</v>
      </c>
      <c r="I131">
        <v>35</v>
      </c>
      <c r="J131" s="81" t="s">
        <v>198</v>
      </c>
      <c r="K131" s="91" t="str">
        <f>VLOOKUP(I131,[7]stage_hints!$A:$C,3,FALSE)</f>
        <v>敵のステータスがスキルで上がったら</v>
      </c>
      <c r="L131" s="92" t="str">
        <f>VLOOKUP(I131,[7]stage_hints!$A:$D,4,FALSE)</f>
        <v>敵のステータスがスキルでアップしたときは_x000D_ステータスダウンスキルで上書きしましょう</v>
      </c>
      <c r="M131" s="55" t="s">
        <v>211</v>
      </c>
    </row>
    <row r="132" spans="1:13" x14ac:dyDescent="0.15">
      <c r="A132" s="78" t="s">
        <v>200</v>
      </c>
      <c r="B132" s="79">
        <f>floors!$C$2</f>
        <v>65529</v>
      </c>
      <c r="C132" s="80" t="str">
        <f ca="1">VLOOKUP($B132,OFFSET([2]quests!$A$1,0,0,COUNTA([2]quests!$A:$A),MATCH(C$1,[2]quests!$1:$1,0)-MATCH($B$1,[2]quests!$1:$1,0)+1),MATCH(C$1,[2]quests!$1:$1,0)-MATCH($B$1,[2]quests!$1:$1,0)+1,FALSE)</f>
        <v>【LB中原】検証クエスト</v>
      </c>
      <c r="D132" s="80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4" t="s">
        <v>219</v>
      </c>
      <c r="F132" s="80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0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2">
        <v>0</v>
      </c>
      <c r="I132">
        <v>36</v>
      </c>
      <c r="J132" s="81" t="s">
        <v>198</v>
      </c>
      <c r="K132" s="91" t="str">
        <f>VLOOKUP(I132,[7]stage_hints!$A:$C,3,FALSE)</f>
        <v>タワーオブザクイーンのボス</v>
      </c>
      <c r="L132" s="92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5" t="s">
        <v>211</v>
      </c>
    </row>
    <row r="133" spans="1:13" x14ac:dyDescent="0.15">
      <c r="A133" s="78" t="s">
        <v>200</v>
      </c>
      <c r="B133" s="79">
        <f>floors!$C$2</f>
        <v>65529</v>
      </c>
      <c r="C133" s="80" t="str">
        <f ca="1">VLOOKUP($B133,OFFSET([2]quests!$A$1,0,0,COUNTA([2]quests!$A:$A),MATCH(C$1,[2]quests!$1:$1,0)-MATCH($B$1,[2]quests!$1:$1,0)+1),MATCH(C$1,[2]quests!$1:$1,0)-MATCH($B$1,[2]quests!$1:$1,0)+1,FALSE)</f>
        <v>【LB中原】検証クエスト</v>
      </c>
      <c r="D133" s="80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4" t="s">
        <v>219</v>
      </c>
      <c r="F133" s="80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0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2">
        <v>0</v>
      </c>
      <c r="I133">
        <v>37</v>
      </c>
      <c r="J133" s="81" t="s">
        <v>198</v>
      </c>
      <c r="K133" s="91" t="str">
        <f>VLOOKUP(I133,[7]stage_hints!$A:$C,3,FALSE)</f>
        <v>限界突破値の引き継ぎ</v>
      </c>
      <c r="L133" s="92" t="str">
        <f>VLOOKUP(I133,[7]stage_hints!$A:$D,4,FALSE)</f>
        <v>同じユニットを強化で合成すると_x000D_限界突破値を引き継げます（覚醒前後も可）</v>
      </c>
      <c r="M133" s="55" t="s">
        <v>211</v>
      </c>
    </row>
    <row r="134" spans="1:13" x14ac:dyDescent="0.15">
      <c r="A134" s="78" t="s">
        <v>200</v>
      </c>
      <c r="B134" s="79">
        <f>floors!$C$2</f>
        <v>65529</v>
      </c>
      <c r="C134" s="80" t="str">
        <f ca="1">VLOOKUP($B134,OFFSET([2]quests!$A$1,0,0,COUNTA([2]quests!$A:$A),MATCH(C$1,[2]quests!$1:$1,0)-MATCH($B$1,[2]quests!$1:$1,0)+1),MATCH(C$1,[2]quests!$1:$1,0)-MATCH($B$1,[2]quests!$1:$1,0)+1,FALSE)</f>
        <v>【LB中原】検証クエスト</v>
      </c>
      <c r="D134" s="80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4" t="s">
        <v>219</v>
      </c>
      <c r="F134" s="80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0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2">
        <v>0</v>
      </c>
      <c r="I134">
        <v>39</v>
      </c>
      <c r="J134" s="81" t="s">
        <v>198</v>
      </c>
      <c r="K134" s="91" t="str">
        <f>VLOOKUP(I134,[7]stage_hints!$A:$C,3,FALSE)</f>
        <v>システム適合者を確認</v>
      </c>
      <c r="L134" s="92" t="str">
        <f>VLOOKUP(I134,[7]stage_hints!$A:$D,4,FALSE)</f>
        <v>ALICEが 「アナタ」を呼んでいます</v>
      </c>
      <c r="M134" s="55" t="s">
        <v>211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188</v>
      </c>
      <c r="B1" s="70" t="s">
        <v>149</v>
      </c>
      <c r="C1" s="74" t="s">
        <v>190</v>
      </c>
      <c r="D1" s="74" t="s">
        <v>33</v>
      </c>
      <c r="E1" s="70" t="s">
        <v>191</v>
      </c>
      <c r="F1" s="74" t="s">
        <v>18</v>
      </c>
      <c r="G1" s="74" t="s">
        <v>33</v>
      </c>
      <c r="H1" s="70" t="s">
        <v>193</v>
      </c>
      <c r="I1" s="87" t="s">
        <v>194</v>
      </c>
      <c r="J1" s="89" t="s">
        <v>195</v>
      </c>
      <c r="K1" s="76" t="s">
        <v>125</v>
      </c>
      <c r="L1" s="75" t="s">
        <v>186</v>
      </c>
      <c r="M1" s="90" t="s">
        <v>185</v>
      </c>
      <c r="N1" s="77" t="s">
        <v>196</v>
      </c>
    </row>
    <row r="2" spans="1:14" x14ac:dyDescent="0.15">
      <c r="A2" s="78" t="s">
        <v>197</v>
      </c>
      <c r="B2" s="79">
        <f>floors!$C$2</f>
        <v>65529</v>
      </c>
      <c r="C2" s="80" t="str">
        <f ca="1">VLOOKUP($B2,OFFSET([2]quests!$A$1,0,0,COUNTA([2]quests!$A:$A),MATCH(C$1,[2]quests!$1:$1,0)-MATCH($B$1,[2]quests!$1:$1,0)+1),MATCH(C$1,[2]quests!$1:$1,0)-MATCH($B$1,[2]quests!$1:$1,0)+1,FALSE)</f>
        <v>【LB中原】検証クエスト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検証</v>
      </c>
      <c r="E2" s="81">
        <v>99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>
        <v>99</v>
      </c>
      <c r="I2" s="88">
        <f>ROW()-1</f>
        <v>1</v>
      </c>
      <c r="J2" s="83" t="str">
        <f>B2&amp;TEXT(I2,"00")</f>
        <v>6552901</v>
      </c>
      <c r="K2" s="81" t="s">
        <v>198</v>
      </c>
      <c r="L2" s="84" t="s">
        <v>264</v>
      </c>
      <c r="M2" s="85"/>
      <c r="N2" s="55" t="s">
        <v>199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220</v>
      </c>
      <c r="B1" s="96" t="s">
        <v>221</v>
      </c>
      <c r="C1" s="74" t="s">
        <v>222</v>
      </c>
      <c r="D1" s="74" t="s">
        <v>33</v>
      </c>
      <c r="E1" s="96" t="s">
        <v>223</v>
      </c>
      <c r="F1" s="74" t="s">
        <v>224</v>
      </c>
      <c r="G1" s="74" t="s">
        <v>33</v>
      </c>
      <c r="H1" s="96" t="s">
        <v>225</v>
      </c>
      <c r="I1" s="96" t="s">
        <v>226</v>
      </c>
      <c r="J1" s="96" t="s">
        <v>227</v>
      </c>
      <c r="K1" s="70" t="s">
        <v>228</v>
      </c>
      <c r="L1" s="70" t="s">
        <v>229</v>
      </c>
      <c r="M1" s="70" t="s">
        <v>155</v>
      </c>
      <c r="N1" s="74" t="s">
        <v>16</v>
      </c>
      <c r="O1" s="70" t="s">
        <v>230</v>
      </c>
      <c r="P1" s="70" t="s">
        <v>57</v>
      </c>
      <c r="Q1" s="70" t="s">
        <v>231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232</v>
      </c>
      <c r="X1" s="70" t="s">
        <v>233</v>
      </c>
    </row>
    <row r="2" spans="1:24" x14ac:dyDescent="0.15">
      <c r="A2" s="97" t="str">
        <f>B2&amp;"_"&amp;E2&amp;"_"&amp;H2&amp;"_"&amp;I2&amp;"_"&amp;J2</f>
        <v>65529_7_everyone_clear_1</v>
      </c>
      <c r="B2" s="79">
        <v>65529</v>
      </c>
      <c r="C2" s="80" t="str">
        <f ca="1">VLOOKUP($B2,OFFSET([2]quests!$A$1,0,0,COUNTA([2]quests!$A:$A),MATCH(C$1,[2]quests!$1:$1,0)-MATCH($B$1,[2]quests!$1:$1,0)+1),MATCH(C$1,[2]quests!$1:$1,0)-MATCH($B$1,[2]quests!$1:$1,0)+1,FALSE)</f>
        <v>【LB中原】検証クエスト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検証</v>
      </c>
      <c r="E2" s="81">
        <v>7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 t="s">
        <v>234</v>
      </c>
      <c r="I2" s="81" t="s">
        <v>235</v>
      </c>
      <c r="J2" s="81">
        <v>1</v>
      </c>
      <c r="K2" s="81">
        <v>610</v>
      </c>
      <c r="L2" s="81" t="s">
        <v>236</v>
      </c>
      <c r="M2" s="81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9" t="s">
        <v>237</v>
      </c>
      <c r="X2" s="100" t="s">
        <v>238</v>
      </c>
    </row>
    <row r="3" spans="1:24" x14ac:dyDescent="0.15">
      <c r="A3" s="97" t="str">
        <f>B3&amp;"_"&amp;E3&amp;"_"&amp;H3&amp;"_"&amp;I3&amp;"_"&amp;J3</f>
        <v>65529_7_everyone_no_continue_1</v>
      </c>
      <c r="B3" s="79">
        <v>65529</v>
      </c>
      <c r="C3" s="80" t="str">
        <f ca="1">VLOOKUP($B3,OFFSET([2]quests!$A$1,0,0,COUNTA([2]quests!$A:$A),MATCH(C$1,[2]quests!$1:$1,0)-MATCH($B$1,[2]quests!$1:$1,0)+1),MATCH(C$1,[2]quests!$1:$1,0)-MATCH($B$1,[2]quests!$1:$1,0)+1,FALSE)</f>
        <v>【LB中原】検証クエスト</v>
      </c>
      <c r="D3" s="80" t="str">
        <f ca="1">VLOOKUP($B3,OFFSET([2]quests!$A$1,0,0,COUNTA([2]quests!$A:$A),MATCH(D$1,[2]quests!$1:$1,0)-MATCH($B$1,[2]quests!$1:$1,0)+1),MATCH(D$1,[2]quests!$1:$1,0)-MATCH($B$1,[2]quests!$1:$1,0)+1,FALSE)</f>
        <v>検証</v>
      </c>
      <c r="E3" s="81">
        <v>7</v>
      </c>
      <c r="F3" s="80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0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2" t="s">
        <v>234</v>
      </c>
      <c r="I3" s="81" t="s">
        <v>239</v>
      </c>
      <c r="J3" s="81">
        <v>1</v>
      </c>
      <c r="K3" s="81">
        <v>610</v>
      </c>
      <c r="L3" s="81" t="s">
        <v>236</v>
      </c>
      <c r="M3" s="81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9" t="s">
        <v>237</v>
      </c>
      <c r="X3" s="100" t="s">
        <v>238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2017-06-09T10:07:32Z</dcterms:modified>
</cp:coreProperties>
</file>